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285" yWindow="90" windowWidth="15300" windowHeight="7095" activeTab="1"/>
  </bookViews>
  <sheets>
    <sheet name="Districts" sheetId="1" r:id="rId1"/>
    <sheet name="Charters" sheetId="2" r:id="rId2"/>
  </sheets>
  <definedNames>
    <definedName name="_xlnm.Print_Area" localSheetId="1">Charters!$A$1:$Q$89</definedName>
    <definedName name="_xlnm.Print_Area" localSheetId="0">Districts!$A$1:$Q$54</definedName>
    <definedName name="_xlnm.Print_Titles" localSheetId="1">Charters!$1:$4</definedName>
  </definedNames>
  <calcPr calcId="152511"/>
</workbook>
</file>

<file path=xl/calcChain.xml><?xml version="1.0" encoding="utf-8"?>
<calcChain xmlns="http://schemas.openxmlformats.org/spreadsheetml/2006/main">
  <c r="Q49" i="1" l="1"/>
  <c r="P49" i="1" s="1"/>
  <c r="F49" i="1"/>
  <c r="Q89" i="2"/>
  <c r="P89" i="2" s="1"/>
  <c r="P47" i="1" s="1"/>
  <c r="F46" i="1"/>
  <c r="C47" i="1"/>
  <c r="E47" i="1"/>
  <c r="D89" i="2"/>
  <c r="D47" i="1" s="1"/>
  <c r="B89" i="2"/>
  <c r="B47" i="1" s="1"/>
  <c r="B49" i="1" s="1"/>
  <c r="D46" i="1"/>
  <c r="B46" i="1"/>
  <c r="Q47" i="1"/>
  <c r="O47" i="1"/>
  <c r="G88" i="2"/>
  <c r="O88" i="2" s="1"/>
  <c r="F88" i="2"/>
  <c r="G87" i="2"/>
  <c r="O87" i="2" s="1"/>
  <c r="F87" i="2"/>
  <c r="G86" i="2"/>
  <c r="O86" i="2" s="1"/>
  <c r="F86" i="2"/>
  <c r="G85" i="2"/>
  <c r="O85" i="2"/>
  <c r="Q85" i="2" s="1"/>
  <c r="P85" i="2" s="1"/>
  <c r="F85" i="2"/>
  <c r="G84" i="2"/>
  <c r="O84" i="2"/>
  <c r="Q84" i="2" s="1"/>
  <c r="P84" i="2" s="1"/>
  <c r="F84" i="2"/>
  <c r="F83" i="2"/>
  <c r="G82" i="2"/>
  <c r="O82" i="2" s="1"/>
  <c r="G81" i="2"/>
  <c r="O81" i="2"/>
  <c r="Q81" i="2" s="1"/>
  <c r="P81" i="2" s="1"/>
  <c r="F81" i="2"/>
  <c r="G80" i="2"/>
  <c r="O80" i="2"/>
  <c r="Q80" i="2" s="1"/>
  <c r="P80" i="2" s="1"/>
  <c r="F80" i="2"/>
  <c r="G79" i="2"/>
  <c r="O79" i="2" s="1"/>
  <c r="Q79" i="2" s="1"/>
  <c r="P79" i="2" s="1"/>
  <c r="F79" i="2"/>
  <c r="G78" i="2"/>
  <c r="O78" i="2" s="1"/>
  <c r="Q78" i="2" s="1"/>
  <c r="P78" i="2" s="1"/>
  <c r="F78" i="2"/>
  <c r="G77" i="2"/>
  <c r="O77" i="2"/>
  <c r="Q77" i="2" s="1"/>
  <c r="P77" i="2" s="1"/>
  <c r="F77" i="2"/>
  <c r="G76" i="2"/>
  <c r="O76" i="2"/>
  <c r="Q76" i="2" s="1"/>
  <c r="P76" i="2" s="1"/>
  <c r="F76" i="2"/>
  <c r="G75" i="2"/>
  <c r="O75" i="2" s="1"/>
  <c r="Q75" i="2" s="1"/>
  <c r="P75" i="2" s="1"/>
  <c r="F75" i="2"/>
  <c r="G74" i="2"/>
  <c r="O74" i="2" s="1"/>
  <c r="Q74" i="2" s="1"/>
  <c r="P74" i="2" s="1"/>
  <c r="F74" i="2"/>
  <c r="G73" i="2"/>
  <c r="O73" i="2"/>
  <c r="Q73" i="2" s="1"/>
  <c r="P73" i="2" s="1"/>
  <c r="F73" i="2"/>
  <c r="F72" i="2"/>
  <c r="G71" i="2"/>
  <c r="O71" i="2" s="1"/>
  <c r="F71" i="2"/>
  <c r="F70" i="2"/>
  <c r="G69" i="2"/>
  <c r="O69" i="2" s="1"/>
  <c r="F69" i="2"/>
  <c r="G67" i="2"/>
  <c r="O67" i="2" s="1"/>
  <c r="F67" i="2"/>
  <c r="G66" i="2"/>
  <c r="O66" i="2" s="1"/>
  <c r="F66" i="2"/>
  <c r="G65" i="2"/>
  <c r="O65" i="2" s="1"/>
  <c r="G64" i="2"/>
  <c r="O64" i="2" s="1"/>
  <c r="F64" i="2"/>
  <c r="G63" i="2"/>
  <c r="O63" i="2" s="1"/>
  <c r="F63" i="2"/>
  <c r="G62" i="2"/>
  <c r="O62" i="2" s="1"/>
  <c r="G61" i="2"/>
  <c r="O61" i="2"/>
  <c r="Q61" i="2" s="1"/>
  <c r="P61" i="2" s="1"/>
  <c r="F61" i="2"/>
  <c r="G60" i="2"/>
  <c r="O60" i="2" s="1"/>
  <c r="Q60" i="2" s="1"/>
  <c r="P60" i="2" s="1"/>
  <c r="F60" i="2"/>
  <c r="F59" i="2"/>
  <c r="G58" i="2"/>
  <c r="O58" i="2" s="1"/>
  <c r="F58" i="2"/>
  <c r="G57" i="2"/>
  <c r="O57" i="2" s="1"/>
  <c r="F57" i="2"/>
  <c r="G56" i="2"/>
  <c r="O56" i="2" s="1"/>
  <c r="F55" i="2"/>
  <c r="G54" i="2"/>
  <c r="O54" i="2" s="1"/>
  <c r="F54" i="2"/>
  <c r="G53" i="2"/>
  <c r="O53" i="2" s="1"/>
  <c r="F53" i="2"/>
  <c r="G52" i="2"/>
  <c r="O52" i="2" s="1"/>
  <c r="F52" i="2"/>
  <c r="G51" i="2"/>
  <c r="O51" i="2" s="1"/>
  <c r="F51" i="2"/>
  <c r="G50" i="2"/>
  <c r="O50" i="2" s="1"/>
  <c r="F50" i="2"/>
  <c r="F49" i="2"/>
  <c r="G48" i="2"/>
  <c r="O48" i="2" s="1"/>
  <c r="F48" i="2"/>
  <c r="G47" i="2"/>
  <c r="O47" i="2" s="1"/>
  <c r="F47" i="2"/>
  <c r="G46" i="2"/>
  <c r="O46" i="2" s="1"/>
  <c r="F46" i="2"/>
  <c r="G45" i="2"/>
  <c r="O45" i="2" s="1"/>
  <c r="G44" i="2"/>
  <c r="O44" i="2" s="1"/>
  <c r="F44" i="2"/>
  <c r="G43" i="2"/>
  <c r="O43" i="2" s="1"/>
  <c r="G42" i="2"/>
  <c r="O42" i="2" s="1"/>
  <c r="F42" i="2"/>
  <c r="G41" i="2"/>
  <c r="O41" i="2"/>
  <c r="Q41" i="2" s="1"/>
  <c r="P41" i="2" s="1"/>
  <c r="F41" i="2"/>
  <c r="G40" i="2"/>
  <c r="O40" i="2"/>
  <c r="Q40" i="2" s="1"/>
  <c r="P40" i="2" s="1"/>
  <c r="G39" i="2"/>
  <c r="O39" i="2" s="1"/>
  <c r="F39" i="2"/>
  <c r="G38" i="2"/>
  <c r="O38" i="2" s="1"/>
  <c r="G37" i="2"/>
  <c r="O37" i="2" s="1"/>
  <c r="F37" i="2"/>
  <c r="G36" i="2"/>
  <c r="O36" i="2" s="1"/>
  <c r="F36" i="2"/>
  <c r="G35" i="2"/>
  <c r="O35" i="2" s="1"/>
  <c r="F35" i="2"/>
  <c r="G34" i="2"/>
  <c r="O34" i="2" s="1"/>
  <c r="F34" i="2"/>
  <c r="G33" i="2"/>
  <c r="O33" i="2" s="1"/>
  <c r="F33" i="2"/>
  <c r="G32" i="2"/>
  <c r="O32" i="2" s="1"/>
  <c r="F32" i="2"/>
  <c r="G31" i="2"/>
  <c r="O31" i="2" s="1"/>
  <c r="F31" i="2"/>
  <c r="G30" i="2"/>
  <c r="O30" i="2" s="1"/>
  <c r="F30" i="2"/>
  <c r="G29" i="2"/>
  <c r="O29" i="2" s="1"/>
  <c r="F29" i="2"/>
  <c r="G28" i="2"/>
  <c r="O28" i="2" s="1"/>
  <c r="F28" i="2"/>
  <c r="G27" i="2"/>
  <c r="O27" i="2" s="1"/>
  <c r="F27" i="2"/>
  <c r="G26" i="2"/>
  <c r="O26" i="2" s="1"/>
  <c r="F26" i="2"/>
  <c r="G25" i="2"/>
  <c r="O25" i="2" s="1"/>
  <c r="F25" i="2"/>
  <c r="G24" i="2"/>
  <c r="O24" i="2" s="1"/>
  <c r="F24" i="2"/>
  <c r="G23" i="2"/>
  <c r="O23" i="2" s="1"/>
  <c r="F23" i="2"/>
  <c r="G22" i="2"/>
  <c r="O22" i="2" s="1"/>
  <c r="F22" i="2"/>
  <c r="G21" i="2"/>
  <c r="O21" i="2" s="1"/>
  <c r="F21" i="2"/>
  <c r="G20" i="2"/>
  <c r="O20" i="2" s="1"/>
  <c r="G19" i="2"/>
  <c r="O19" i="2" s="1"/>
  <c r="F19" i="2"/>
  <c r="G18" i="2"/>
  <c r="O18" i="2" s="1"/>
  <c r="F18" i="2"/>
  <c r="G17" i="2"/>
  <c r="O17" i="2" s="1"/>
  <c r="F17" i="2"/>
  <c r="G16" i="2"/>
  <c r="O16" i="2" s="1"/>
  <c r="G15" i="2"/>
  <c r="O15" i="2"/>
  <c r="Q15" i="2" s="1"/>
  <c r="P15" i="2" s="1"/>
  <c r="F15" i="2"/>
  <c r="G14" i="2"/>
  <c r="O14" i="2" s="1"/>
  <c r="Q14" i="2" s="1"/>
  <c r="P14" i="2" s="1"/>
  <c r="F14" i="2"/>
  <c r="G13" i="2"/>
  <c r="O13" i="2"/>
  <c r="Q13" i="2" s="1"/>
  <c r="F13" i="2"/>
  <c r="G12" i="2"/>
  <c r="O12" i="2"/>
  <c r="G11" i="2"/>
  <c r="O11" i="2" s="1"/>
  <c r="Q11" i="2" s="1"/>
  <c r="P11" i="2" s="1"/>
  <c r="G10" i="2"/>
  <c r="O10" i="2" s="1"/>
  <c r="F10" i="2"/>
  <c r="G9" i="2"/>
  <c r="O9" i="2" s="1"/>
  <c r="F9" i="2"/>
  <c r="G8" i="2"/>
  <c r="O8" i="2" s="1"/>
  <c r="F8" i="2"/>
  <c r="G7" i="2"/>
  <c r="O7" i="2" s="1"/>
  <c r="F7" i="2"/>
  <c r="G6" i="2"/>
  <c r="O6" i="2" s="1"/>
  <c r="F6" i="2"/>
  <c r="F89" i="2" s="1"/>
  <c r="G5" i="2"/>
  <c r="O5" i="2" s="1"/>
  <c r="F5" i="2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F45" i="1"/>
  <c r="F44" i="1"/>
  <c r="F43" i="1"/>
  <c r="F42" i="1"/>
  <c r="F41" i="1"/>
  <c r="F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G45" i="1"/>
  <c r="O45" i="1" s="1"/>
  <c r="Q45" i="1" s="1"/>
  <c r="P45" i="1" s="1"/>
  <c r="G44" i="1"/>
  <c r="G43" i="1"/>
  <c r="G42" i="1"/>
  <c r="O42" i="1" s="1"/>
  <c r="G41" i="1"/>
  <c r="G40" i="1"/>
  <c r="O40" i="1" s="1"/>
  <c r="G39" i="1"/>
  <c r="G38" i="1"/>
  <c r="O38" i="1" s="1"/>
  <c r="G37" i="1"/>
  <c r="O37" i="1" s="1"/>
  <c r="G36" i="1"/>
  <c r="O36" i="1" s="1"/>
  <c r="Q36" i="1" s="1"/>
  <c r="P36" i="1" s="1"/>
  <c r="G35" i="1"/>
  <c r="G34" i="1"/>
  <c r="G33" i="1"/>
  <c r="O33" i="1" s="1"/>
  <c r="Q33" i="1" s="1"/>
  <c r="G32" i="1"/>
  <c r="O32" i="1" s="1"/>
  <c r="G31" i="1"/>
  <c r="G30" i="1"/>
  <c r="O30" i="1" s="1"/>
  <c r="G29" i="1"/>
  <c r="G28" i="1"/>
  <c r="O28" i="1" s="1"/>
  <c r="G27" i="1"/>
  <c r="G26" i="1"/>
  <c r="O26" i="1" s="1"/>
  <c r="G25" i="1"/>
  <c r="O25" i="1" s="1"/>
  <c r="G24" i="1"/>
  <c r="O24" i="1" s="1"/>
  <c r="Q24" i="1" s="1"/>
  <c r="G23" i="1"/>
  <c r="G22" i="1"/>
  <c r="G21" i="1"/>
  <c r="O21" i="1" s="1"/>
  <c r="G20" i="1"/>
  <c r="O20" i="1" s="1"/>
  <c r="Q20" i="1" s="1"/>
  <c r="P20" i="1" s="1"/>
  <c r="G19" i="1"/>
  <c r="G18" i="1"/>
  <c r="O18" i="1" s="1"/>
  <c r="G17" i="1"/>
  <c r="G16" i="1"/>
  <c r="G15" i="1"/>
  <c r="G14" i="1"/>
  <c r="O14" i="1" s="1"/>
  <c r="G13" i="1"/>
  <c r="O13" i="1" s="1"/>
  <c r="Q13" i="1" s="1"/>
  <c r="P13" i="1" s="1"/>
  <c r="G12" i="1"/>
  <c r="O12" i="1" s="1"/>
  <c r="Q12" i="1" s="1"/>
  <c r="P12" i="1" s="1"/>
  <c r="G11" i="1"/>
  <c r="G10" i="1"/>
  <c r="G9" i="1"/>
  <c r="G8" i="1"/>
  <c r="O8" i="1" s="1"/>
  <c r="Q8" i="1" s="1"/>
  <c r="P8" i="1" s="1"/>
  <c r="G7" i="1"/>
  <c r="G6" i="1"/>
  <c r="O6" i="1" s="1"/>
  <c r="G5" i="1"/>
  <c r="F5" i="1"/>
  <c r="O5" i="1"/>
  <c r="Q5" i="1" s="1"/>
  <c r="O41" i="1"/>
  <c r="Q41" i="1" s="1"/>
  <c r="O35" i="1"/>
  <c r="Q35" i="1" s="1"/>
  <c r="O19" i="1"/>
  <c r="Q19" i="1" s="1"/>
  <c r="P19" i="1" s="1"/>
  <c r="O11" i="1"/>
  <c r="Q11" i="1" s="1"/>
  <c r="P11" i="1" s="1"/>
  <c r="O27" i="1"/>
  <c r="Q27" i="1" s="1"/>
  <c r="P27" i="1" s="1"/>
  <c r="O43" i="1"/>
  <c r="Q43" i="1" s="1"/>
  <c r="O44" i="1"/>
  <c r="Q44" i="1" s="1"/>
  <c r="P44" i="1" s="1"/>
  <c r="O7" i="1"/>
  <c r="Q7" i="1" s="1"/>
  <c r="O15" i="1"/>
  <c r="O23" i="1"/>
  <c r="Q23" i="1" s="1"/>
  <c r="P23" i="1" s="1"/>
  <c r="O31" i="1"/>
  <c r="Q31" i="1" s="1"/>
  <c r="O22" i="1"/>
  <c r="Q22" i="1" s="1"/>
  <c r="O34" i="1"/>
  <c r="Q34" i="1" s="1"/>
  <c r="P34" i="1" s="1"/>
  <c r="O29" i="1"/>
  <c r="Q29" i="1" s="1"/>
  <c r="P29" i="1" s="1"/>
  <c r="O10" i="1"/>
  <c r="Q10" i="1" s="1"/>
  <c r="P10" i="1" s="1"/>
  <c r="O39" i="1"/>
  <c r="O16" i="1"/>
  <c r="Q16" i="1" s="1"/>
  <c r="P16" i="1" s="1"/>
  <c r="O9" i="1"/>
  <c r="Q9" i="1" s="1"/>
  <c r="P9" i="1" s="1"/>
  <c r="O17" i="1"/>
  <c r="Q46" i="1"/>
  <c r="P46" i="1"/>
  <c r="Q39" i="1"/>
  <c r="P39" i="1" s="1"/>
  <c r="Q15" i="1"/>
  <c r="P15" i="1" s="1"/>
  <c r="Q38" i="2" l="1"/>
  <c r="P38" i="2" s="1"/>
  <c r="Q28" i="1"/>
  <c r="P28" i="1" s="1"/>
  <c r="Q32" i="1"/>
  <c r="P32" i="1"/>
  <c r="Q40" i="1"/>
  <c r="P40" i="1" s="1"/>
  <c r="Q21" i="1"/>
  <c r="P21" i="1" s="1"/>
  <c r="P25" i="1"/>
  <c r="Q25" i="1"/>
  <c r="Q37" i="1"/>
  <c r="P37" i="1" s="1"/>
  <c r="P39" i="2"/>
  <c r="Q39" i="2"/>
  <c r="P31" i="1"/>
  <c r="Q17" i="1"/>
  <c r="P17" i="1" s="1"/>
  <c r="P43" i="1"/>
  <c r="Q16" i="2"/>
  <c r="P16" i="2" s="1"/>
  <c r="Q18" i="2"/>
  <c r="P18" i="2" s="1"/>
  <c r="Q45" i="2"/>
  <c r="P45" i="2" s="1"/>
  <c r="Q47" i="2"/>
  <c r="P47" i="2"/>
  <c r="Q65" i="2"/>
  <c r="P65" i="2" s="1"/>
  <c r="Q67" i="2"/>
  <c r="P67" i="2"/>
  <c r="Q8" i="2"/>
  <c r="P8" i="2" s="1"/>
  <c r="Q23" i="2"/>
  <c r="P23" i="2" s="1"/>
  <c r="Q27" i="2"/>
  <c r="P27" i="2" s="1"/>
  <c r="Q29" i="2"/>
  <c r="P29" i="2" s="1"/>
  <c r="Q33" i="2"/>
  <c r="P33" i="2" s="1"/>
  <c r="Q35" i="2"/>
  <c r="P35" i="2" s="1"/>
  <c r="P37" i="2"/>
  <c r="Q37" i="2"/>
  <c r="Q43" i="2"/>
  <c r="P43" i="2" s="1"/>
  <c r="Q50" i="2"/>
  <c r="P50" i="2" s="1"/>
  <c r="Q52" i="2"/>
  <c r="P52" i="2" s="1"/>
  <c r="Q54" i="2"/>
  <c r="P54" i="2" s="1"/>
  <c r="Q57" i="2"/>
  <c r="P57" i="2" s="1"/>
  <c r="Q63" i="2"/>
  <c r="P63" i="2" s="1"/>
  <c r="Q71" i="2"/>
  <c r="P71" i="2" s="1"/>
  <c r="Q87" i="2"/>
  <c r="P87" i="2" s="1"/>
  <c r="Q6" i="2"/>
  <c r="P6" i="2" s="1"/>
  <c r="Q10" i="2"/>
  <c r="P10" i="2" s="1"/>
  <c r="Q21" i="2"/>
  <c r="P21" i="2" s="1"/>
  <c r="Q25" i="2"/>
  <c r="P25" i="2" s="1"/>
  <c r="Q31" i="2"/>
  <c r="P31" i="2" s="1"/>
  <c r="Q17" i="2"/>
  <c r="P17" i="2" s="1"/>
  <c r="Q19" i="2"/>
  <c r="P19" i="2" s="1"/>
  <c r="Q46" i="2"/>
  <c r="P46" i="2" s="1"/>
  <c r="Q48" i="2"/>
  <c r="P48" i="2" s="1"/>
  <c r="Q66" i="2"/>
  <c r="P66" i="2" s="1"/>
  <c r="Q69" i="2"/>
  <c r="P69" i="2" s="1"/>
  <c r="P82" i="2"/>
  <c r="Q82" i="2"/>
  <c r="Q5" i="2"/>
  <c r="P5" i="2" s="1"/>
  <c r="Q7" i="2"/>
  <c r="P7" i="2" s="1"/>
  <c r="Q9" i="2"/>
  <c r="P9" i="2" s="1"/>
  <c r="Q20" i="2"/>
  <c r="P20" i="2" s="1"/>
  <c r="Q22" i="2"/>
  <c r="P22" i="2" s="1"/>
  <c r="Q24" i="2"/>
  <c r="P24" i="2" s="1"/>
  <c r="Q26" i="2"/>
  <c r="P26" i="2" s="1"/>
  <c r="Q28" i="2"/>
  <c r="P28" i="2" s="1"/>
  <c r="Q30" i="2"/>
  <c r="P30" i="2" s="1"/>
  <c r="Q32" i="2"/>
  <c r="P32" i="2" s="1"/>
  <c r="Q34" i="2"/>
  <c r="P34" i="2" s="1"/>
  <c r="Q36" i="2"/>
  <c r="P36" i="2" s="1"/>
  <c r="P42" i="2"/>
  <c r="Q44" i="2"/>
  <c r="P44" i="2" s="1"/>
  <c r="Q51" i="2"/>
  <c r="P51" i="2"/>
  <c r="Q53" i="2"/>
  <c r="P53" i="2" s="1"/>
  <c r="Q56" i="2"/>
  <c r="P56" i="2"/>
  <c r="Q58" i="2"/>
  <c r="P58" i="2" s="1"/>
  <c r="Q62" i="2"/>
  <c r="P62" i="2"/>
  <c r="Q64" i="2"/>
  <c r="P64" i="2" s="1"/>
  <c r="Q86" i="2"/>
  <c r="P86" i="2" s="1"/>
  <c r="Q88" i="2"/>
  <c r="P88" i="2" s="1"/>
  <c r="P13" i="2"/>
  <c r="Q12" i="2"/>
  <c r="P12" i="2" s="1"/>
  <c r="Q42" i="2"/>
  <c r="Q14" i="1"/>
  <c r="P14" i="1" s="1"/>
  <c r="Q38" i="1"/>
  <c r="P38" i="1" s="1"/>
  <c r="Q18" i="1"/>
  <c r="P18" i="1"/>
  <c r="Q30" i="1"/>
  <c r="P30" i="1" s="1"/>
  <c r="Q6" i="1"/>
  <c r="P6" i="1"/>
  <c r="Q26" i="1"/>
  <c r="P26" i="1" s="1"/>
  <c r="Q42" i="1"/>
  <c r="P42" i="1"/>
  <c r="F47" i="1"/>
  <c r="P41" i="1"/>
  <c r="P7" i="1"/>
  <c r="P24" i="1"/>
  <c r="P35" i="1"/>
  <c r="P22" i="1"/>
  <c r="P33" i="1"/>
  <c r="P5" i="1"/>
  <c r="D49" i="1"/>
</calcChain>
</file>

<file path=xl/sharedStrings.xml><?xml version="1.0" encoding="utf-8"?>
<sst xmlns="http://schemas.openxmlformats.org/spreadsheetml/2006/main" count="208" uniqueCount="158">
  <si>
    <t>Social Security</t>
  </si>
  <si>
    <t>Retirement</t>
  </si>
  <si>
    <t>Health</t>
  </si>
  <si>
    <t>Dental</t>
  </si>
  <si>
    <t>Life</t>
  </si>
  <si>
    <t>Industrial</t>
  </si>
  <si>
    <t>Long Term Disability</t>
  </si>
  <si>
    <t>Unemploy-ment</t>
  </si>
  <si>
    <t>Benefits Subtotal</t>
  </si>
  <si>
    <t>Classroom Teacher</t>
  </si>
  <si>
    <t>School Administrator</t>
  </si>
  <si>
    <t>Estimated Total Teacher Compen-sation</t>
  </si>
  <si>
    <t>Annualized Trimmed Mean Salary</t>
  </si>
  <si>
    <t>Admini-strator to Teacher Salary Ratio</t>
  </si>
  <si>
    <t>DNR</t>
  </si>
  <si>
    <t>INS</t>
  </si>
  <si>
    <t>As Percent of Total Compen-sation</t>
  </si>
  <si>
    <t>Amount</t>
  </si>
  <si>
    <r>
      <t>Salary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</si>
  <si>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Estimated Teacher Benefits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</si>
  <si>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FTEs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</si>
  <si>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DNR = Did not report, INS = Reported but insufficient for analysis (did meet criterion to be included in analysis)</t>
  </si>
  <si>
    <t>―</t>
  </si>
  <si>
    <t>and (c) whose reported salary was within three standard deviations of the raw mean salary (trimmed) and divided by their total FTE (annualized).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</si>
  <si>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As reported by local education agencies through the CACTUS (Educator Licensing) database.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</si>
  <si>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Based on educators (a) who were employed at least half time, (2) who were assigned for at least half of their time to classroom teaching (Category Code = 610,701,710,720, or 1000) or school administration (Category Code = 800),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</si>
  <si>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As reported by local education agencies through the Teacher Benefits Report, which is part of the Year End Web Survey.</t>
    </r>
  </si>
  <si>
    <r>
      <rPr>
        <vertAlign val="superscript"/>
        <sz val="9"/>
        <color theme="1"/>
        <rFont val="Calibri"/>
        <family val="2"/>
        <scheme val="minor"/>
      </rPr>
      <t>1,2,3</t>
    </r>
    <r>
      <rPr>
        <sz val="9"/>
        <color theme="1"/>
        <rFont val="Calibri"/>
        <family val="2"/>
        <scheme val="minor"/>
      </rPr>
      <t>See the School Districts version of this table for explanatory notes.</t>
    </r>
  </si>
  <si>
    <t xml:space="preserve">District  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</si>
  <si>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</si>
  <si>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</si>
  <si>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</si>
  <si>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</si>
  <si>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</si>
  <si>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</si>
  <si>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</si>
  <si>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</si>
  <si>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</si>
  <si>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</si>
  <si>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</si>
  <si>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</si>
  <si>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</si>
  <si>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</si>
  <si>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</si>
  <si>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</si>
  <si>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</si>
  <si>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</si>
  <si>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</si>
  <si>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</si>
  <si>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</si>
  <si>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</si>
  <si>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</si>
  <si>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</si>
  <si>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</si>
  <si>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</si>
  <si>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</si>
  <si>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</si>
  <si>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</si>
  <si>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</si>
  <si>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</si>
  <si>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</si>
  <si>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</si>
  <si>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</si>
  <si>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</si>
  <si>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</si>
  <si>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</si>
  <si>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</si>
  <si>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</si>
  <si>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</si>
  <si>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</si>
  <si>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Academy For Math Engineering &amp; Science (Ames)</t>
  </si>
  <si>
    <t>Alianza Academy</t>
  </si>
  <si>
    <t>American Leadership Academy</t>
  </si>
  <si>
    <t>American Preparatory Academy</t>
  </si>
  <si>
    <t>Aristotle Academy</t>
  </si>
  <si>
    <t>Bear River Charter School</t>
  </si>
  <si>
    <t>Beehive Science &amp; Technology Academy</t>
  </si>
  <si>
    <t>Canyon Grove Academy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</si>
  <si>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</si>
  <si>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</si>
  <si>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</si>
  <si>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</si>
  <si>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</si>
  <si>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</si>
  <si>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</si>
  <si>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</si>
  <si>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</si>
  <si>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</si>
  <si>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</si>
  <si>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</si>
  <si>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</si>
  <si>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</si>
  <si>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</si>
  <si>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</si>
  <si>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</si>
  <si>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</si>
  <si>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</si>
  <si>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Highmark Charter School</t>
  </si>
  <si>
    <t>Intech Collegiate High School</t>
  </si>
  <si>
    <t>Itineris Early College High</t>
  </si>
  <si>
    <t>Jefferson Academy</t>
  </si>
  <si>
    <t>John Hancock Charter School</t>
  </si>
  <si>
    <t>Karl G Maeser Preparatory Academy</t>
  </si>
  <si>
    <t>Lakeview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</si>
  <si>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</si>
  <si>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</si>
  <si>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</si>
  <si>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</si>
  <si>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</si>
  <si>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Charter School</t>
  </si>
  <si>
    <t>Monticello Academy</t>
  </si>
  <si>
    <t>Mountain Heights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</si>
  <si>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</si>
  <si>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</si>
  <si>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</si>
  <si>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</si>
  <si>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</si>
  <si>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</si>
  <si>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</si>
  <si>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</si>
  <si>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</si>
  <si>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Pacific Heritage Academy</t>
  </si>
  <si>
    <t>Paradigm High School</t>
  </si>
  <si>
    <t>Pinnacle Canyon Academy</t>
  </si>
  <si>
    <t>Pioneer High School For The Performing Arts</t>
  </si>
  <si>
    <t>Promontory School Of Expeditionary Learning</t>
  </si>
  <si>
    <t>Providence Hall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</si>
  <si>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</si>
  <si>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</si>
  <si>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</si>
  <si>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</si>
  <si>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</si>
  <si>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</si>
  <si>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</si>
  <si>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</si>
  <si>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</si>
  <si>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</si>
  <si>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</si>
  <si>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</si>
  <si>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</si>
  <si>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</si>
  <si>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Thomas Edison</t>
  </si>
  <si>
    <t>Timpanogos Academy</t>
  </si>
  <si>
    <t>Tuacahn High School For The Performing Arts</t>
  </si>
  <si>
    <t>Uintah River High</t>
  </si>
  <si>
    <t>Utah Connections Academy</t>
  </si>
  <si>
    <t>Utah County Academy Of Science (Ucas)</t>
  </si>
  <si>
    <t>Utah Virtual Academy</t>
  </si>
  <si>
    <t>Valley Academy</t>
  </si>
  <si>
    <t>Venture Academy</t>
  </si>
  <si>
    <t>Vista At Entrada School Of Performing Arts And Tech</t>
  </si>
  <si>
    <t>Walden School Of Liberal Arts</t>
  </si>
  <si>
    <t>Wasatch Peak Academy</t>
  </si>
  <si>
    <t>Weilenmann School Of Discovery</t>
  </si>
  <si>
    <t>Charter Subtotal</t>
  </si>
  <si>
    <t>District Subtotal</t>
  </si>
  <si>
    <t>Utah Schools for Deaf &amp; Blind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</si>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</sst>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&quot;$&quot;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9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 wrapText="1"/>
    </xf>
    <xf numFmtId="0" fontId="0" fillId="0" borderId="0" xfId="0" applyAlignment="1"/>
    <xf numFmtId="0" fontId="0" fillId="0" borderId="10" xfId="0" applyBorder="1" applyAlignment="1"/>
    <xf numFmtId="0" fontId="0" fillId="0" borderId="13" xfId="0" applyBorder="1" applyAlignment="1"/>
    <xf numFmtId="0" fontId="16" fillId="0" borderId="16" xfId="0" applyFont="1" applyBorder="1" applyAlignment="1">
      <alignment horizontal="centerContinuous"/>
    </xf>
    <xf numFmtId="3" fontId="16" fillId="0" borderId="14" xfId="0" applyNumberFormat="1" applyFont="1" applyBorder="1" applyAlignment="1">
      <alignment horizontal="centerContinuous"/>
    </xf>
    <xf numFmtId="3" fontId="18" fillId="0" borderId="0" xfId="0" applyNumberFormat="1" applyFont="1" applyAlignment="1"/>
    <xf numFmtId="3" fontId="18" fillId="0" borderId="10" xfId="0" applyNumberFormat="1" applyFont="1" applyBorder="1" applyAlignment="1"/>
    <xf numFmtId="3" fontId="0" fillId="0" borderId="10" xfId="0" applyNumberFormat="1" applyBorder="1" applyAlignment="1"/>
    <xf numFmtId="3" fontId="0" fillId="0" borderId="0" xfId="0" applyNumberFormat="1" applyAlignment="1"/>
    <xf numFmtId="3" fontId="16" fillId="0" borderId="16" xfId="0" applyNumberFormat="1" applyFont="1" applyBorder="1" applyAlignment="1">
      <alignment horizontal="centerContinuous"/>
    </xf>
    <xf numFmtId="3" fontId="18" fillId="0" borderId="0" xfId="0" applyNumberFormat="1" applyFont="1" applyAlignment="1">
      <alignment wrapText="1"/>
    </xf>
    <xf numFmtId="164" fontId="18" fillId="0" borderId="18" xfId="0" applyNumberFormat="1" applyFont="1" applyBorder="1" applyAlignment="1"/>
    <xf numFmtId="3" fontId="16" fillId="0" borderId="15" xfId="0" applyNumberFormat="1" applyFont="1" applyBorder="1" applyAlignment="1">
      <alignment horizontal="centerContinuous"/>
    </xf>
    <xf numFmtId="3" fontId="19" fillId="0" borderId="15" xfId="0" applyNumberFormat="1" applyFont="1" applyBorder="1" applyAlignment="1">
      <alignment horizontal="center" wrapText="1"/>
    </xf>
    <xf numFmtId="0" fontId="0" fillId="0" borderId="0" xfId="0" applyBorder="1" applyAlignment="1"/>
    <xf numFmtId="3" fontId="0" fillId="0" borderId="0" xfId="0" applyNumberFormat="1" applyBorder="1" applyAlignment="1"/>
    <xf numFmtId="3" fontId="16" fillId="0" borderId="0" xfId="0" applyNumberFormat="1" applyFont="1" applyBorder="1" applyAlignment="1">
      <alignment horizontal="centerContinuous"/>
    </xf>
    <xf numFmtId="3" fontId="19" fillId="0" borderId="16" xfId="0" applyNumberFormat="1" applyFont="1" applyBorder="1" applyAlignment="1">
      <alignment horizontal="center" wrapText="1"/>
    </xf>
    <xf numFmtId="3" fontId="18" fillId="0" borderId="0" xfId="0" applyNumberFormat="1" applyFont="1" applyBorder="1" applyAlignment="1"/>
    <xf numFmtId="3" fontId="16" fillId="0" borderId="16" xfId="0" applyNumberFormat="1" applyFont="1" applyBorder="1" applyAlignment="1">
      <alignment horizontal="center" wrapText="1"/>
    </xf>
    <xf numFmtId="165" fontId="0" fillId="0" borderId="13" xfId="0" applyNumberFormat="1" applyBorder="1" applyAlignment="1"/>
    <xf numFmtId="0" fontId="0" fillId="0" borderId="15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2" xfId="0" applyBorder="1" applyAlignment="1"/>
    <xf numFmtId="3" fontId="19" fillId="0" borderId="14" xfId="0" applyNumberFormat="1" applyFont="1" applyBorder="1" applyAlignment="1">
      <alignment horizontal="center" wrapText="1"/>
    </xf>
    <xf numFmtId="165" fontId="19" fillId="0" borderId="13" xfId="0" applyNumberFormat="1" applyFont="1" applyBorder="1" applyAlignment="1">
      <alignment wrapText="1"/>
    </xf>
    <xf numFmtId="3" fontId="18" fillId="0" borderId="13" xfId="0" applyNumberFormat="1" applyFont="1" applyBorder="1" applyAlignment="1"/>
    <xf numFmtId="3" fontId="18" fillId="0" borderId="11" xfId="0" applyNumberFormat="1" applyFont="1" applyBorder="1" applyAlignment="1"/>
    <xf numFmtId="3" fontId="18" fillId="0" borderId="12" xfId="0" applyNumberFormat="1" applyFont="1" applyBorder="1" applyAlignment="1"/>
    <xf numFmtId="165" fontId="19" fillId="0" borderId="17" xfId="0" applyNumberFormat="1" applyFont="1" applyBorder="1" applyAlignment="1">
      <alignment wrapText="1"/>
    </xf>
    <xf numFmtId="0" fontId="16" fillId="0" borderId="20" xfId="0" applyFont="1" applyBorder="1" applyAlignment="1">
      <alignment horizontal="centerContinuous"/>
    </xf>
    <xf numFmtId="0" fontId="0" fillId="0" borderId="21" xfId="0" applyBorder="1" applyAlignment="1">
      <alignment horizontal="centerContinuous"/>
    </xf>
    <xf numFmtId="164" fontId="19" fillId="0" borderId="17" xfId="0" applyNumberFormat="1" applyFont="1" applyBorder="1" applyAlignment="1">
      <alignment wrapText="1"/>
    </xf>
    <xf numFmtId="4" fontId="16" fillId="0" borderId="15" xfId="0" applyNumberFormat="1" applyFont="1" applyBorder="1" applyAlignment="1">
      <alignment horizontal="centerContinuous"/>
    </xf>
    <xf numFmtId="4" fontId="16" fillId="0" borderId="16" xfId="0" applyNumberFormat="1" applyFont="1" applyBorder="1" applyAlignment="1">
      <alignment horizontal="centerContinuous"/>
    </xf>
    <xf numFmtId="4" fontId="18" fillId="0" borderId="10" xfId="0" applyNumberFormat="1" applyFont="1" applyBorder="1" applyAlignment="1"/>
    <xf numFmtId="4" fontId="19" fillId="0" borderId="11" xfId="0" applyNumberFormat="1" applyFont="1" applyBorder="1" applyAlignment="1"/>
    <xf numFmtId="4" fontId="19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/>
    <xf numFmtId="4" fontId="0" fillId="0" borderId="0" xfId="0" applyNumberFormat="1" applyAlignment="1"/>
    <xf numFmtId="4" fontId="18" fillId="0" borderId="0" xfId="0" applyNumberFormat="1" applyFont="1" applyAlignment="1">
      <alignment wrapText="1"/>
    </xf>
    <xf numFmtId="4" fontId="19" fillId="0" borderId="12" xfId="0" applyNumberFormat="1" applyFont="1" applyBorder="1" applyAlignment="1">
      <alignment wrapText="1"/>
    </xf>
    <xf numFmtId="4" fontId="19" fillId="0" borderId="0" xfId="0" applyNumberFormat="1" applyFont="1" applyAlignment="1">
      <alignment wrapText="1"/>
    </xf>
    <xf numFmtId="3" fontId="0" fillId="0" borderId="0" xfId="0" applyNumberFormat="1" applyAlignment="1">
      <alignment horizontal="right"/>
    </xf>
    <xf numFmtId="0" fontId="0" fillId="0" borderId="10" xfId="0" applyBorder="1" applyAlignment="1">
      <alignment horizontal="right"/>
    </xf>
    <xf numFmtId="3" fontId="0" fillId="0" borderId="10" xfId="0" applyNumberFormat="1" applyBorder="1" applyAlignment="1">
      <alignment horizontal="right"/>
    </xf>
    <xf numFmtId="164" fontId="19" fillId="0" borderId="18" xfId="0" applyNumberFormat="1" applyFont="1" applyBorder="1" applyAlignment="1">
      <alignment wrapText="1"/>
    </xf>
    <xf numFmtId="4" fontId="0" fillId="0" borderId="0" xfId="0" applyNumberFormat="1" applyAlignment="1">
      <alignment horizontal="right"/>
    </xf>
    <xf numFmtId="3" fontId="22" fillId="0" borderId="0" xfId="0" applyNumberFormat="1" applyFont="1" applyAlignment="1">
      <alignment horizontal="right"/>
    </xf>
    <xf numFmtId="3" fontId="22" fillId="0" borderId="13" xfId="0" applyNumberFormat="1" applyFont="1" applyBorder="1" applyAlignment="1">
      <alignment horizontal="right"/>
    </xf>
    <xf numFmtId="3" fontId="22" fillId="0" borderId="18" xfId="0" applyNumberFormat="1" applyFont="1" applyBorder="1" applyAlignment="1">
      <alignment horizontal="right"/>
    </xf>
    <xf numFmtId="166" fontId="19" fillId="0" borderId="12" xfId="0" applyNumberFormat="1" applyFont="1" applyBorder="1" applyAlignment="1">
      <alignment wrapText="1"/>
    </xf>
    <xf numFmtId="166" fontId="19" fillId="0" borderId="0" xfId="0" applyNumberFormat="1" applyFont="1" applyAlignment="1">
      <alignment wrapText="1"/>
    </xf>
    <xf numFmtId="166" fontId="19" fillId="0" borderId="17" xfId="0" applyNumberFormat="1" applyFont="1" applyBorder="1" applyAlignment="1">
      <alignment wrapText="1"/>
    </xf>
    <xf numFmtId="166" fontId="19" fillId="0" borderId="13" xfId="0" applyNumberFormat="1" applyFont="1" applyBorder="1" applyAlignment="1"/>
    <xf numFmtId="166" fontId="19" fillId="0" borderId="11" xfId="0" applyNumberFormat="1" applyFont="1" applyBorder="1" applyAlignment="1">
      <alignment wrapText="1"/>
    </xf>
    <xf numFmtId="3" fontId="0" fillId="0" borderId="14" xfId="0" applyNumberFormat="1" applyBorder="1" applyAlignment="1">
      <alignment horizontal="centerContinuous"/>
    </xf>
    <xf numFmtId="3" fontId="18" fillId="0" borderId="15" xfId="0" applyNumberFormat="1" applyFont="1" applyBorder="1" applyAlignment="1"/>
    <xf numFmtId="4" fontId="19" fillId="0" borderId="15" xfId="0" applyNumberFormat="1" applyFont="1" applyBorder="1" applyAlignment="1"/>
    <xf numFmtId="166" fontId="19" fillId="0" borderId="15" xfId="0" applyNumberFormat="1" applyFont="1" applyBorder="1" applyAlignment="1">
      <alignment horizontal="right"/>
    </xf>
    <xf numFmtId="4" fontId="19" fillId="0" borderId="16" xfId="0" applyNumberFormat="1" applyFont="1" applyBorder="1" applyAlignment="1"/>
    <xf numFmtId="166" fontId="19" fillId="0" borderId="15" xfId="0" applyNumberFormat="1" applyFont="1" applyBorder="1" applyAlignment="1"/>
    <xf numFmtId="164" fontId="19" fillId="0" borderId="19" xfId="0" applyNumberFormat="1" applyFont="1" applyBorder="1" applyAlignment="1">
      <alignment wrapText="1"/>
    </xf>
    <xf numFmtId="3" fontId="18" fillId="0" borderId="16" xfId="0" applyNumberFormat="1" applyFont="1" applyBorder="1" applyAlignment="1"/>
    <xf numFmtId="166" fontId="19" fillId="0" borderId="15" xfId="0" applyNumberFormat="1" applyFont="1" applyBorder="1" applyAlignment="1">
      <alignment wrapText="1"/>
    </xf>
    <xf numFmtId="3" fontId="16" fillId="0" borderId="0" xfId="0" applyNumberFormat="1" applyFont="1" applyAlignment="1">
      <alignment horizontal="center" wrapText="1"/>
    </xf>
    <xf numFmtId="166" fontId="0" fillId="0" borderId="0" xfId="0" applyNumberFormat="1" applyAlignment="1"/>
    <xf numFmtId="4" fontId="16" fillId="0" borderId="22" xfId="0" applyNumberFormat="1" applyFont="1" applyBorder="1" applyAlignment="1"/>
    <xf numFmtId="166" fontId="16" fillId="0" borderId="22" xfId="0" applyNumberFormat="1" applyFont="1" applyBorder="1" applyAlignment="1">
      <alignment horizontal="right"/>
    </xf>
    <xf numFmtId="4" fontId="16" fillId="0" borderId="20" xfId="0" applyNumberFormat="1" applyFont="1" applyBorder="1" applyAlignment="1"/>
    <xf numFmtId="166" fontId="16" fillId="0" borderId="22" xfId="0" applyNumberFormat="1" applyFont="1" applyBorder="1" applyAlignment="1"/>
    <xf numFmtId="164" fontId="16" fillId="0" borderId="23" xfId="0" applyNumberFormat="1" applyFont="1" applyBorder="1" applyAlignment="1"/>
    <xf numFmtId="3" fontId="0" fillId="0" borderId="20" xfId="0" applyNumberFormat="1" applyBorder="1" applyAlignment="1"/>
    <xf numFmtId="3" fontId="0" fillId="0" borderId="22" xfId="0" applyNumberFormat="1" applyBorder="1" applyAlignment="1"/>
    <xf numFmtId="166" fontId="16" fillId="0" borderId="20" xfId="0" applyNumberFormat="1" applyFont="1" applyBorder="1" applyAlignment="1">
      <alignment horizontal="right"/>
    </xf>
    <xf numFmtId="165" fontId="16" fillId="0" borderId="21" xfId="0" applyNumberFormat="1" applyFont="1" applyBorder="1" applyAlignment="1"/>
    <xf numFmtId="0" fontId="23" fillId="0" borderId="0" xfId="0" applyFont="1" applyAlignment="1"/>
    <xf numFmtId="0" fontId="23" fillId="0" borderId="0" xfId="0" applyFont="1" applyFill="1" applyBorder="1" applyAlignment="1"/>
    <xf numFmtId="4" fontId="23" fillId="0" borderId="0" xfId="0" applyNumberFormat="1" applyFont="1" applyAlignment="1"/>
    <xf numFmtId="3" fontId="23" fillId="0" borderId="0" xfId="0" applyNumberFormat="1" applyFont="1" applyAlignment="1">
      <alignment horizontal="right"/>
    </xf>
    <xf numFmtId="3" fontId="23" fillId="0" borderId="0" xfId="0" applyNumberFormat="1" applyFont="1" applyAlignment="1"/>
    <xf numFmtId="3" fontId="23" fillId="0" borderId="0" xfId="0" applyNumberFormat="1" applyFont="1" applyBorder="1" applyAlignment="1"/>
    <xf numFmtId="0" fontId="0" fillId="0" borderId="13" xfId="0" applyBorder="1" applyAlignment="1"/>
    <xf numFmtId="4" fontId="19" fillId="0" borderId="0" xfId="0" applyNumberFormat="1" applyFont="1" applyAlignment="1">
      <alignment horizontal="right"/>
    </xf>
    <xf numFmtId="3" fontId="19" fillId="0" borderId="10" xfId="0" applyNumberFormat="1" applyFont="1" applyBorder="1" applyAlignment="1">
      <alignment horizontal="right"/>
    </xf>
    <xf numFmtId="166" fontId="19" fillId="0" borderId="16" xfId="0" applyNumberFormat="1" applyFont="1" applyBorder="1" applyAlignment="1">
      <alignment horizontal="right"/>
    </xf>
    <xf numFmtId="165" fontId="19" fillId="0" borderId="14" xfId="0" applyNumberFormat="1" applyFont="1" applyBorder="1" applyAlignment="1">
      <alignment horizontal="right"/>
    </xf>
    <xf numFmtId="0" fontId="18" fillId="0" borderId="17" xfId="0" applyFont="1" applyBorder="1" applyAlignment="1"/>
    <xf numFmtId="0" fontId="18" fillId="0" borderId="13" xfId="0" applyFont="1" applyBorder="1" applyAlignment="1"/>
    <xf numFmtId="0" fontId="18" fillId="0" borderId="14" xfId="0" applyFont="1" applyBorder="1" applyAlignment="1"/>
    <xf numFmtId="0" fontId="19" fillId="0" borderId="14" xfId="0" applyFont="1" applyBorder="1" applyAlignment="1">
      <alignment horizontal="center" wrapText="1"/>
    </xf>
    <xf numFmtId="4" fontId="18" fillId="0" borderId="12" xfId="0" applyNumberFormat="1" applyFont="1" applyBorder="1" applyAlignment="1"/>
    <xf numFmtId="3" fontId="18" fillId="0" borderId="12" xfId="0" applyNumberFormat="1" applyFont="1" applyBorder="1" applyAlignment="1">
      <alignment horizontal="right"/>
    </xf>
    <xf numFmtId="4" fontId="18" fillId="0" borderId="11" xfId="0" applyNumberFormat="1" applyFont="1" applyBorder="1" applyAlignment="1"/>
    <xf numFmtId="164" fontId="18" fillId="0" borderId="24" xfId="0" applyNumberFormat="1" applyFont="1" applyBorder="1" applyAlignment="1"/>
    <xf numFmtId="3" fontId="0" fillId="0" borderId="11" xfId="0" applyNumberFormat="1" applyBorder="1" applyAlignment="1">
      <alignment horizontal="right"/>
    </xf>
    <xf numFmtId="165" fontId="0" fillId="0" borderId="17" xfId="0" applyNumberFormat="1" applyBorder="1" applyAlignment="1"/>
    <xf numFmtId="3" fontId="0" fillId="0" borderId="24" xfId="0" applyNumberFormat="1" applyBorder="1" applyAlignment="1"/>
    <xf numFmtId="4" fontId="18" fillId="0" borderId="0" xfId="0" applyNumberFormat="1" applyFont="1" applyBorder="1" applyAlignment="1"/>
    <xf numFmtId="3" fontId="18" fillId="0" borderId="0" xfId="0" applyNumberFormat="1" applyFont="1" applyBorder="1" applyAlignment="1">
      <alignment horizontal="right"/>
    </xf>
    <xf numFmtId="3" fontId="0" fillId="0" borderId="18" xfId="0" applyNumberFormat="1" applyBorder="1" applyAlignment="1"/>
    <xf numFmtId="4" fontId="18" fillId="0" borderId="15" xfId="0" applyNumberFormat="1" applyFont="1" applyBorder="1" applyAlignment="1"/>
    <xf numFmtId="3" fontId="18" fillId="0" borderId="15" xfId="0" applyNumberFormat="1" applyFont="1" applyBorder="1" applyAlignment="1">
      <alignment horizontal="right"/>
    </xf>
    <xf numFmtId="4" fontId="18" fillId="0" borderId="16" xfId="0" applyNumberFormat="1" applyFont="1" applyBorder="1" applyAlignment="1"/>
    <xf numFmtId="164" fontId="18" fillId="0" borderId="19" xfId="0" applyNumberFormat="1" applyFont="1" applyBorder="1" applyAlignment="1"/>
    <xf numFmtId="3" fontId="0" fillId="0" borderId="16" xfId="0" applyNumberFormat="1" applyBorder="1" applyAlignment="1">
      <alignment horizontal="right"/>
    </xf>
    <xf numFmtId="165" fontId="0" fillId="0" borderId="14" xfId="0" applyNumberFormat="1" applyBorder="1" applyAlignment="1"/>
    <xf numFmtId="3" fontId="0" fillId="0" borderId="19" xfId="0" applyNumberFormat="1" applyBorder="1" applyAlignment="1"/>
    <xf numFmtId="166" fontId="16" fillId="0" borderId="23" xfId="0" applyNumberFormat="1" applyFont="1" applyBorder="1" applyAlignment="1"/>
    <xf numFmtId="0" fontId="0" fillId="0" borderId="14" xfId="0" applyBorder="1" applyAlignment="1"/>
    <xf numFmtId="0" fontId="0" fillId="0" borderId="13" xfId="0" applyBorder="1" applyAlignment="1"/>
    <xf numFmtId="0" fontId="18" fillId="0" borderId="24" xfId="0" applyFont="1" applyBorder="1" applyAlignment="1"/>
    <xf numFmtId="0" fontId="18" fillId="0" borderId="18" xfId="0" applyFont="1" applyBorder="1" applyAlignment="1"/>
    <xf numFmtId="0" fontId="18" fillId="0" borderId="19" xfId="0" applyFont="1" applyBorder="1" applyAlignment="1"/>
    <xf numFmtId="0" fontId="19" fillId="0" borderId="23" xfId="0" applyFont="1" applyBorder="1" applyAlignment="1"/>
    <xf numFmtId="0" fontId="19" fillId="0" borderId="17" xfId="0" applyFont="1" applyBorder="1" applyAlignment="1"/>
    <xf numFmtId="0" fontId="19" fillId="0" borderId="13" xfId="0" applyFont="1" applyBorder="1" applyAlignment="1"/>
    <xf numFmtId="0" fontId="19" fillId="0" borderId="14" xfId="0" applyFont="1" applyBorder="1" applyAlignment="1"/>
    <xf numFmtId="4" fontId="19" fillId="0" borderId="0" xfId="0" applyNumberFormat="1" applyFont="1" applyBorder="1" applyAlignment="1">
      <alignment horizontal="center" wrapText="1"/>
    </xf>
    <xf numFmtId="4" fontId="0" fillId="0" borderId="15" xfId="0" applyNumberFormat="1" applyBorder="1" applyAlignment="1"/>
    <xf numFmtId="0" fontId="19" fillId="0" borderId="0" xfId="0" applyFont="1" applyBorder="1" applyAlignment="1">
      <alignment horizontal="center" wrapText="1"/>
    </xf>
    <xf numFmtId="0" fontId="0" fillId="0" borderId="15" xfId="0" applyBorder="1" applyAlignment="1"/>
    <xf numFmtId="0" fontId="19" fillId="0" borderId="18" xfId="0" applyFont="1" applyBorder="1" applyAlignment="1">
      <alignment horizontal="center" wrapText="1"/>
    </xf>
    <xf numFmtId="0" fontId="0" fillId="0" borderId="18" xfId="0" applyBorder="1" applyAlignment="1"/>
    <xf numFmtId="0" fontId="0" fillId="0" borderId="19" xfId="0" applyBorder="1" applyAlignment="1"/>
    <xf numFmtId="3" fontId="16" fillId="0" borderId="10" xfId="0" applyNumberFormat="1" applyFont="1" applyBorder="1" applyAlignment="1">
      <alignment horizontal="center" wrapText="1"/>
    </xf>
    <xf numFmtId="3" fontId="0" fillId="0" borderId="16" xfId="0" applyNumberFormat="1" applyBorder="1" applyAlignment="1"/>
    <xf numFmtId="3" fontId="16" fillId="0" borderId="11" xfId="0" applyNumberFormat="1" applyFont="1" applyBorder="1" applyAlignment="1">
      <alignment horizontal="center" wrapText="1"/>
    </xf>
    <xf numFmtId="4" fontId="19" fillId="0" borderId="11" xfId="0" applyNumberFormat="1" applyFont="1" applyBorder="1" applyAlignment="1">
      <alignment horizontal="center" wrapText="1"/>
    </xf>
    <xf numFmtId="4" fontId="0" fillId="0" borderId="16" xfId="0" applyNumberFormat="1" applyBorder="1" applyAlignment="1"/>
    <xf numFmtId="3" fontId="19" fillId="0" borderId="0" xfId="0" applyNumberFormat="1" applyFont="1" applyBorder="1" applyAlignment="1">
      <alignment horizontal="center" wrapText="1"/>
    </xf>
    <xf numFmtId="3" fontId="0" fillId="0" borderId="15" xfId="0" applyNumberFormat="1" applyBorder="1" applyAlignment="1"/>
    <xf numFmtId="3" fontId="16" fillId="0" borderId="17" xfId="0" applyNumberFormat="1" applyFont="1" applyBorder="1" applyAlignment="1">
      <alignment horizontal="center" wrapText="1"/>
    </xf>
    <xf numFmtId="0" fontId="0" fillId="0" borderId="14" xfId="0" applyBorder="1" applyAlignment="1"/>
    <xf numFmtId="3" fontId="19" fillId="0" borderId="10" xfId="0" applyNumberFormat="1" applyFont="1" applyBorder="1" applyAlignment="1">
      <alignment horizontal="center" wrapText="1"/>
    </xf>
    <xf numFmtId="0" fontId="0" fillId="0" borderId="10" xfId="0" applyBorder="1" applyAlignment="1"/>
    <xf numFmtId="0" fontId="0" fillId="0" borderId="16" xfId="0" applyBorder="1" applyAlignment="1"/>
    <xf numFmtId="3" fontId="16" fillId="0" borderId="13" xfId="0" applyNumberFormat="1" applyFont="1" applyBorder="1" applyAlignment="1">
      <alignment horizontal="center" wrapText="1"/>
    </xf>
    <xf numFmtId="0" fontId="0" fillId="0" borderId="11" xfId="0" applyBorder="1" applyAlignment="1"/>
    <xf numFmtId="0" fontId="0" fillId="0" borderId="12" xfId="0" applyBorder="1" applyAlignment="1"/>
    <xf numFmtId="0" fontId="0" fillId="0" borderId="17" xfId="0" applyBorder="1" applyAlignment="1"/>
    <xf numFmtId="0" fontId="0" fillId="0" borderId="0" xfId="0" applyBorder="1" applyAlignment="1"/>
    <xf numFmtId="0" fontId="0" fillId="0" borderId="13" xfId="0" applyBorder="1" applyAlignment="1"/>
    <xf numFmtId="3" fontId="19" fillId="0" borderId="17" xfId="0" applyNumberFormat="1" applyFont="1" applyBorder="1" applyAlignment="1">
      <alignment horizontal="center" wrapText="1"/>
    </xf>
    <xf numFmtId="3" fontId="0" fillId="0" borderId="14" xfId="0" applyNumberFormat="1" applyBorder="1" applyAlignment="1">
      <alignment horizontal="center"/>
    </xf>
    <xf numFmtId="4" fontId="19" fillId="0" borderId="10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4"/>
  <sheetViews>
    <sheetView view="pageLayout" topLeftCell="A22" zoomScaleNormal="100" workbookViewId="0">
      <selection activeCell="I53" sqref="I53"/>
    </sheetView>
  </sheetViews>
  <sheetFormatPr defaultColWidth="8.85546875" defaultRowHeight="15" x14ac:dyDescent="0.25"/>
  <cols>
    <col min="1" max="1" width="28.42578125" style="1" customWidth="1"/>
    <col min="2" max="2" width="9.7109375" style="42" customWidth="1"/>
    <col min="3" max="3" width="9.7109375" style="11" customWidth="1"/>
    <col min="4" max="4" width="9.7109375" style="42" customWidth="1"/>
    <col min="5" max="6" width="9.7109375" style="11" customWidth="1"/>
    <col min="7" max="8" width="9.85546875" style="11" customWidth="1"/>
    <col min="9" max="9" width="9.85546875" style="18" customWidth="1"/>
    <col min="10" max="17" width="9.85546875" style="11" customWidth="1"/>
    <col min="18" max="16384" width="8.85546875" style="1"/>
  </cols>
  <sheetData>
    <row r="1" spans="1:17" s="3" customFormat="1" ht="17.25" x14ac:dyDescent="0.25">
      <c r="A1" s="85"/>
      <c r="B1" s="36" t="s">
        <v>18</v>
      </c>
      <c r="C1" s="15"/>
      <c r="D1" s="36"/>
      <c r="E1" s="15"/>
      <c r="F1" s="7"/>
      <c r="G1" s="12" t="s">
        <v>19</v>
      </c>
      <c r="H1" s="15"/>
      <c r="I1" s="19"/>
      <c r="J1" s="15"/>
      <c r="K1" s="15"/>
      <c r="L1" s="15"/>
      <c r="M1" s="15"/>
      <c r="N1" s="15"/>
      <c r="O1" s="15"/>
      <c r="P1" s="59"/>
      <c r="Q1" s="10"/>
    </row>
    <row r="2" spans="1:17" s="3" customFormat="1" x14ac:dyDescent="0.25">
      <c r="A2" s="85"/>
      <c r="B2" s="36" t="s">
        <v>10</v>
      </c>
      <c r="C2" s="15"/>
      <c r="D2" s="37" t="s">
        <v>9</v>
      </c>
      <c r="E2" s="15"/>
      <c r="F2" s="125" t="s">
        <v>13</v>
      </c>
      <c r="G2" s="4"/>
      <c r="H2" s="17"/>
      <c r="I2" s="26"/>
      <c r="J2" s="17"/>
      <c r="K2" s="17"/>
      <c r="L2" s="17"/>
      <c r="M2" s="17"/>
      <c r="N2" s="5"/>
      <c r="O2" s="6" t="s">
        <v>8</v>
      </c>
      <c r="P2" s="19"/>
      <c r="Q2" s="128" t="s">
        <v>11</v>
      </c>
    </row>
    <row r="3" spans="1:17" s="3" customFormat="1" ht="14.45" customHeight="1" x14ac:dyDescent="0.25">
      <c r="A3" s="85"/>
      <c r="B3" s="121" t="s">
        <v>20</v>
      </c>
      <c r="C3" s="133" t="s">
        <v>12</v>
      </c>
      <c r="D3" s="131" t="s">
        <v>20</v>
      </c>
      <c r="E3" s="123" t="s">
        <v>12</v>
      </c>
      <c r="F3" s="126"/>
      <c r="G3" s="137" t="s">
        <v>0</v>
      </c>
      <c r="H3" s="133" t="s">
        <v>1</v>
      </c>
      <c r="I3" s="19"/>
      <c r="J3" s="19"/>
      <c r="K3" s="19"/>
      <c r="L3" s="19"/>
      <c r="M3" s="19"/>
      <c r="N3" s="19"/>
      <c r="O3" s="130" t="s">
        <v>17</v>
      </c>
      <c r="P3" s="135" t="s">
        <v>16</v>
      </c>
      <c r="Q3" s="128"/>
    </row>
    <row r="4" spans="1:17" s="2" customFormat="1" ht="40.9" customHeight="1" x14ac:dyDescent="0.25">
      <c r="A4" s="93" t="s">
        <v>28</v>
      </c>
      <c r="B4" s="122"/>
      <c r="C4" s="134"/>
      <c r="D4" s="132"/>
      <c r="E4" s="124"/>
      <c r="F4" s="127"/>
      <c r="G4" s="129"/>
      <c r="H4" s="134"/>
      <c r="I4" s="16" t="s">
        <v>2</v>
      </c>
      <c r="J4" s="16" t="s">
        <v>3</v>
      </c>
      <c r="K4" s="16" t="s">
        <v>4</v>
      </c>
      <c r="L4" s="16" t="s">
        <v>5</v>
      </c>
      <c r="M4" s="16" t="s">
        <v>7</v>
      </c>
      <c r="N4" s="16" t="s">
        <v>6</v>
      </c>
      <c r="O4" s="129"/>
      <c r="P4" s="136"/>
      <c r="Q4" s="129"/>
    </row>
    <row r="5" spans="1:17" x14ac:dyDescent="0.25">
      <c r="A5" s="90" t="s">
        <v>29</v>
      </c>
      <c r="B5" s="43">
        <v>120.286</v>
      </c>
      <c r="C5" s="13">
        <v>85374</v>
      </c>
      <c r="D5" s="38">
        <v>2710.3939999999998</v>
      </c>
      <c r="E5" s="8">
        <v>44872</v>
      </c>
      <c r="F5" s="14">
        <f t="shared" ref="F5:F38" si="0">C5/E5</f>
        <v>1.9026118737742914</v>
      </c>
      <c r="G5" s="9">
        <f>E5*0.0765</f>
        <v>3432.7080000000001</v>
      </c>
      <c r="H5" s="8">
        <f>E5*0.2026</f>
        <v>9091.0671999999995</v>
      </c>
      <c r="I5" s="21">
        <v>12920.69</v>
      </c>
      <c r="J5" s="8">
        <v>0</v>
      </c>
      <c r="K5" s="8">
        <v>35.880000000000003</v>
      </c>
      <c r="L5" s="8">
        <v>157.05000000000001</v>
      </c>
      <c r="M5" s="8">
        <v>21.84</v>
      </c>
      <c r="N5" s="8">
        <v>148.19999999999999</v>
      </c>
      <c r="O5" s="10">
        <f>SUM(G5:N5)</f>
        <v>25807.4352</v>
      </c>
      <c r="P5" s="23">
        <f>O5/Q5</f>
        <v>0.36513357990161183</v>
      </c>
      <c r="Q5" s="10">
        <f>E5+O5</f>
        <v>70679.435200000007</v>
      </c>
    </row>
    <row r="6" spans="1:17" x14ac:dyDescent="0.25">
      <c r="A6" s="91" t="s">
        <v>30</v>
      </c>
      <c r="B6" s="43">
        <v>3.75</v>
      </c>
      <c r="C6" s="13">
        <v>75454</v>
      </c>
      <c r="D6" s="38">
        <v>74.349999999999994</v>
      </c>
      <c r="E6" s="8">
        <v>48612</v>
      </c>
      <c r="F6" s="14">
        <f t="shared" si="0"/>
        <v>1.5521681889245453</v>
      </c>
      <c r="G6" s="9">
        <f t="shared" ref="G6:G45" si="1">E6*0.0765</f>
        <v>3718.8179999999998</v>
      </c>
      <c r="H6" s="8">
        <f t="shared" ref="H6:H45" si="2">E6*0.2026</f>
        <v>9848.7911999999997</v>
      </c>
      <c r="I6" s="21">
        <v>14480</v>
      </c>
      <c r="J6" s="8">
        <v>957</v>
      </c>
      <c r="K6" s="8">
        <v>50</v>
      </c>
      <c r="L6" s="8">
        <v>276</v>
      </c>
      <c r="M6" s="8">
        <v>48.905000000000001</v>
      </c>
      <c r="N6" s="8">
        <v>109</v>
      </c>
      <c r="O6" s="10">
        <f t="shared" ref="O6:O45" si="3">SUM(G6:N6)</f>
        <v>29488.514199999998</v>
      </c>
      <c r="P6" s="23">
        <f t="shared" ref="P6:P45" si="4">O6/Q6</f>
        <v>0.37757131949843165</v>
      </c>
      <c r="Q6" s="10">
        <f t="shared" ref="Q6:Q45" si="5">E6+O6</f>
        <v>78100.514200000005</v>
      </c>
    </row>
    <row r="7" spans="1:17" x14ac:dyDescent="0.25">
      <c r="A7" s="91" t="s">
        <v>31</v>
      </c>
      <c r="B7" s="43">
        <v>24.8</v>
      </c>
      <c r="C7" s="13">
        <v>77552</v>
      </c>
      <c r="D7" s="38">
        <v>476.61799999999999</v>
      </c>
      <c r="E7" s="8">
        <v>44983</v>
      </c>
      <c r="F7" s="14">
        <f t="shared" si="0"/>
        <v>1.7240290776515572</v>
      </c>
      <c r="G7" s="9">
        <f t="shared" si="1"/>
        <v>3441.1994999999997</v>
      </c>
      <c r="H7" s="8">
        <f t="shared" si="2"/>
        <v>9113.5558000000001</v>
      </c>
      <c r="I7" s="21">
        <v>10933</v>
      </c>
      <c r="J7" s="8">
        <v>0</v>
      </c>
      <c r="K7" s="8">
        <v>86</v>
      </c>
      <c r="L7" s="8">
        <v>177</v>
      </c>
      <c r="M7" s="8">
        <v>22</v>
      </c>
      <c r="N7" s="8">
        <v>0</v>
      </c>
      <c r="O7" s="10">
        <f t="shared" si="3"/>
        <v>23772.755300000001</v>
      </c>
      <c r="P7" s="23">
        <f t="shared" si="4"/>
        <v>0.34575658715802077</v>
      </c>
      <c r="Q7" s="10">
        <f t="shared" si="5"/>
        <v>68755.755300000004</v>
      </c>
    </row>
    <row r="8" spans="1:17" x14ac:dyDescent="0.25">
      <c r="A8" s="91" t="s">
        <v>32</v>
      </c>
      <c r="B8" s="43">
        <v>32.606000000000002</v>
      </c>
      <c r="C8" s="13">
        <v>81719</v>
      </c>
      <c r="D8" s="38">
        <v>613.11900000000003</v>
      </c>
      <c r="E8" s="8">
        <v>47790</v>
      </c>
      <c r="F8" s="14">
        <f t="shared" si="0"/>
        <v>1.7099602427286043</v>
      </c>
      <c r="G8" s="9">
        <f t="shared" si="1"/>
        <v>3655.9349999999999</v>
      </c>
      <c r="H8" s="8">
        <f t="shared" si="2"/>
        <v>9682.2540000000008</v>
      </c>
      <c r="I8" s="21">
        <v>11761.2</v>
      </c>
      <c r="J8" s="8">
        <v>0</v>
      </c>
      <c r="K8" s="8">
        <v>0</v>
      </c>
      <c r="L8" s="8">
        <v>0</v>
      </c>
      <c r="M8" s="8">
        <v>47.79</v>
      </c>
      <c r="N8" s="8">
        <v>0</v>
      </c>
      <c r="O8" s="10">
        <f t="shared" si="3"/>
        <v>25147.179000000004</v>
      </c>
      <c r="P8" s="23">
        <f t="shared" si="4"/>
        <v>0.34477860735469357</v>
      </c>
      <c r="Q8" s="10">
        <f t="shared" si="5"/>
        <v>72937.179000000004</v>
      </c>
    </row>
    <row r="9" spans="1:17" x14ac:dyDescent="0.25">
      <c r="A9" s="91" t="s">
        <v>33</v>
      </c>
      <c r="B9" s="43">
        <v>80.594999999999999</v>
      </c>
      <c r="C9" s="13">
        <v>84097</v>
      </c>
      <c r="D9" s="38">
        <v>1456.8240000000001</v>
      </c>
      <c r="E9" s="8">
        <v>45707</v>
      </c>
      <c r="F9" s="14">
        <f t="shared" si="0"/>
        <v>1.8399151114708907</v>
      </c>
      <c r="G9" s="9">
        <f t="shared" si="1"/>
        <v>3496.5855000000001</v>
      </c>
      <c r="H9" s="8">
        <f t="shared" si="2"/>
        <v>9260.2381999999998</v>
      </c>
      <c r="I9" s="21">
        <v>7012</v>
      </c>
      <c r="J9" s="8">
        <v>0</v>
      </c>
      <c r="K9" s="8">
        <v>53.76</v>
      </c>
      <c r="L9" s="8">
        <v>365.66</v>
      </c>
      <c r="M9" s="8">
        <v>45.619</v>
      </c>
      <c r="N9" s="8">
        <v>156.6</v>
      </c>
      <c r="O9" s="10">
        <f t="shared" si="3"/>
        <v>20390.462699999996</v>
      </c>
      <c r="P9" s="23">
        <f t="shared" si="4"/>
        <v>0.3084908537646483</v>
      </c>
      <c r="Q9" s="10">
        <f t="shared" si="5"/>
        <v>66097.462700000004</v>
      </c>
    </row>
    <row r="10" spans="1:17" x14ac:dyDescent="0.25">
      <c r="A10" s="91" t="s">
        <v>34</v>
      </c>
      <c r="B10" s="43">
        <v>12</v>
      </c>
      <c r="C10" s="13">
        <v>69609</v>
      </c>
      <c r="D10" s="38">
        <v>170.32599999999999</v>
      </c>
      <c r="E10" s="8">
        <v>44901</v>
      </c>
      <c r="F10" s="14">
        <f t="shared" si="0"/>
        <v>1.5502772766753525</v>
      </c>
      <c r="G10" s="9">
        <f t="shared" si="1"/>
        <v>3434.9265</v>
      </c>
      <c r="H10" s="8">
        <f t="shared" si="2"/>
        <v>9096.9426000000003</v>
      </c>
      <c r="I10" s="21">
        <v>17828</v>
      </c>
      <c r="J10" s="8">
        <v>0</v>
      </c>
      <c r="K10" s="8">
        <v>70</v>
      </c>
      <c r="L10" s="8">
        <v>375</v>
      </c>
      <c r="M10" s="8">
        <v>44.901000000000003</v>
      </c>
      <c r="N10" s="8">
        <v>0</v>
      </c>
      <c r="O10" s="10">
        <f t="shared" si="3"/>
        <v>30849.770100000002</v>
      </c>
      <c r="P10" s="23">
        <f t="shared" si="4"/>
        <v>0.40725355081241615</v>
      </c>
      <c r="Q10" s="10">
        <f t="shared" si="5"/>
        <v>75750.770099999994</v>
      </c>
    </row>
    <row r="11" spans="1:17" x14ac:dyDescent="0.25">
      <c r="A11" s="91" t="s">
        <v>35</v>
      </c>
      <c r="B11" s="43">
        <v>0.66</v>
      </c>
      <c r="C11" s="13">
        <v>46116</v>
      </c>
      <c r="D11" s="38">
        <v>13.24</v>
      </c>
      <c r="E11" s="8">
        <v>43716</v>
      </c>
      <c r="F11" s="14">
        <f t="shared" si="0"/>
        <v>1.0548998078506726</v>
      </c>
      <c r="G11" s="9">
        <f t="shared" si="1"/>
        <v>3344.2739999999999</v>
      </c>
      <c r="H11" s="8">
        <f t="shared" si="2"/>
        <v>8856.8616000000002</v>
      </c>
      <c r="I11" s="21">
        <v>15719</v>
      </c>
      <c r="J11" s="8">
        <v>0</v>
      </c>
      <c r="K11" s="8">
        <v>59.05</v>
      </c>
      <c r="L11" s="8">
        <v>353.65</v>
      </c>
      <c r="M11" s="8">
        <v>39.215000000000003</v>
      </c>
      <c r="N11" s="8">
        <v>170.64</v>
      </c>
      <c r="O11" s="10">
        <f t="shared" si="3"/>
        <v>28542.690600000002</v>
      </c>
      <c r="P11" s="23">
        <f t="shared" si="4"/>
        <v>0.39500702770830448</v>
      </c>
      <c r="Q11" s="10">
        <f t="shared" si="5"/>
        <v>72258.690600000002</v>
      </c>
    </row>
    <row r="12" spans="1:17" x14ac:dyDescent="0.25">
      <c r="A12" s="91" t="s">
        <v>36</v>
      </c>
      <c r="B12" s="43">
        <v>175.047</v>
      </c>
      <c r="C12" s="13">
        <v>73472</v>
      </c>
      <c r="D12" s="38">
        <v>2813.8440000000001</v>
      </c>
      <c r="E12" s="8">
        <v>47333</v>
      </c>
      <c r="F12" s="14">
        <f t="shared" si="0"/>
        <v>1.5522362833541081</v>
      </c>
      <c r="G12" s="9">
        <f t="shared" si="1"/>
        <v>3620.9744999999998</v>
      </c>
      <c r="H12" s="8">
        <f t="shared" si="2"/>
        <v>9589.6658000000007</v>
      </c>
      <c r="I12" s="21">
        <v>13225.21</v>
      </c>
      <c r="J12" s="8">
        <v>953.97</v>
      </c>
      <c r="K12" s="8">
        <v>59.27</v>
      </c>
      <c r="L12" s="8">
        <v>74.67</v>
      </c>
      <c r="M12" s="8">
        <v>51.3</v>
      </c>
      <c r="N12" s="8">
        <v>94.5</v>
      </c>
      <c r="O12" s="10">
        <f t="shared" si="3"/>
        <v>27669.560299999997</v>
      </c>
      <c r="P12" s="23">
        <f t="shared" si="4"/>
        <v>0.3689148768965424</v>
      </c>
      <c r="Q12" s="10">
        <f t="shared" si="5"/>
        <v>75002.560299999997</v>
      </c>
    </row>
    <row r="13" spans="1:17" x14ac:dyDescent="0.25">
      <c r="A13" s="91" t="s">
        <v>37</v>
      </c>
      <c r="B13" s="43">
        <v>16</v>
      </c>
      <c r="C13" s="13">
        <v>66435</v>
      </c>
      <c r="D13" s="38">
        <v>225.11</v>
      </c>
      <c r="E13" s="8">
        <v>43428</v>
      </c>
      <c r="F13" s="14">
        <f t="shared" si="0"/>
        <v>1.5297734180712903</v>
      </c>
      <c r="G13" s="9">
        <f t="shared" si="1"/>
        <v>3322.2419999999997</v>
      </c>
      <c r="H13" s="8">
        <f t="shared" si="2"/>
        <v>8798.5128000000004</v>
      </c>
      <c r="I13" s="21">
        <v>10764</v>
      </c>
      <c r="J13" s="8">
        <v>0</v>
      </c>
      <c r="K13" s="8">
        <v>68.94</v>
      </c>
      <c r="L13" s="8">
        <v>143.31</v>
      </c>
      <c r="M13" s="8">
        <v>26.06</v>
      </c>
      <c r="N13" s="8">
        <v>119.43</v>
      </c>
      <c r="O13" s="10">
        <f t="shared" si="3"/>
        <v>23242.494800000004</v>
      </c>
      <c r="P13" s="23">
        <f t="shared" si="4"/>
        <v>0.34861740369144528</v>
      </c>
      <c r="Q13" s="10">
        <f t="shared" si="5"/>
        <v>66670.4948</v>
      </c>
    </row>
    <row r="14" spans="1:17" x14ac:dyDescent="0.25">
      <c r="A14" s="91" t="s">
        <v>38</v>
      </c>
      <c r="B14" s="43">
        <v>10.029999999999999</v>
      </c>
      <c r="C14" s="13">
        <v>81480</v>
      </c>
      <c r="D14" s="38">
        <v>128.88999999999999</v>
      </c>
      <c r="E14" s="8">
        <v>48768</v>
      </c>
      <c r="F14" s="14">
        <f t="shared" si="0"/>
        <v>1.6707677165354331</v>
      </c>
      <c r="G14" s="9">
        <f t="shared" si="1"/>
        <v>3730.752</v>
      </c>
      <c r="H14" s="8">
        <f t="shared" si="2"/>
        <v>9880.3968000000004</v>
      </c>
      <c r="I14" s="21">
        <v>17656</v>
      </c>
      <c r="J14" s="8">
        <v>842</v>
      </c>
      <c r="K14" s="8">
        <v>56.4</v>
      </c>
      <c r="L14" s="8">
        <v>340</v>
      </c>
      <c r="M14" s="8">
        <v>48.219000000000001</v>
      </c>
      <c r="N14" s="8">
        <v>92.1</v>
      </c>
      <c r="O14" s="10">
        <f t="shared" si="3"/>
        <v>32645.867800000004</v>
      </c>
      <c r="P14" s="23">
        <f t="shared" si="4"/>
        <v>0.40098657246204439</v>
      </c>
      <c r="Q14" s="10">
        <f t="shared" si="5"/>
        <v>81413.867800000007</v>
      </c>
    </row>
    <row r="15" spans="1:17" x14ac:dyDescent="0.25">
      <c r="A15" s="91" t="s">
        <v>39</v>
      </c>
      <c r="B15" s="43">
        <v>2.97</v>
      </c>
      <c r="C15" s="13">
        <v>57370</v>
      </c>
      <c r="D15" s="38">
        <v>56.485999999999997</v>
      </c>
      <c r="E15" s="8">
        <v>47964</v>
      </c>
      <c r="F15" s="14">
        <f t="shared" si="0"/>
        <v>1.1961054123926278</v>
      </c>
      <c r="G15" s="9">
        <f t="shared" si="1"/>
        <v>3669.2460000000001</v>
      </c>
      <c r="H15" s="8">
        <f t="shared" si="2"/>
        <v>9717.5064000000002</v>
      </c>
      <c r="I15" s="21">
        <v>14832</v>
      </c>
      <c r="J15" s="8">
        <v>0</v>
      </c>
      <c r="K15" s="8">
        <v>49.68</v>
      </c>
      <c r="L15" s="8">
        <v>172.24</v>
      </c>
      <c r="M15" s="8">
        <v>35.11</v>
      </c>
      <c r="N15" s="8">
        <v>167.64</v>
      </c>
      <c r="O15" s="10">
        <f t="shared" si="3"/>
        <v>28643.422400000003</v>
      </c>
      <c r="P15" s="23">
        <f t="shared" si="4"/>
        <v>0.3738987881675549</v>
      </c>
      <c r="Q15" s="10">
        <f t="shared" si="5"/>
        <v>76607.42240000001</v>
      </c>
    </row>
    <row r="16" spans="1:17" x14ac:dyDescent="0.25">
      <c r="A16" s="91" t="s">
        <v>40</v>
      </c>
      <c r="B16" s="43">
        <v>5</v>
      </c>
      <c r="C16" s="13">
        <v>75469</v>
      </c>
      <c r="D16" s="38">
        <v>81.94</v>
      </c>
      <c r="E16" s="8">
        <v>44454</v>
      </c>
      <c r="F16" s="14">
        <f t="shared" si="0"/>
        <v>1.6976874971881046</v>
      </c>
      <c r="G16" s="9">
        <f t="shared" si="1"/>
        <v>3400.7309999999998</v>
      </c>
      <c r="H16" s="8">
        <f t="shared" si="2"/>
        <v>9006.3804</v>
      </c>
      <c r="I16" s="21">
        <v>7156.49</v>
      </c>
      <c r="J16" s="8">
        <v>0</v>
      </c>
      <c r="K16" s="8">
        <v>63.16</v>
      </c>
      <c r="L16" s="8">
        <v>296.08999999999997</v>
      </c>
      <c r="M16" s="8">
        <v>40.19</v>
      </c>
      <c r="N16" s="8">
        <v>219.33</v>
      </c>
      <c r="O16" s="10">
        <f t="shared" si="3"/>
        <v>20182.3714</v>
      </c>
      <c r="P16" s="23">
        <f t="shared" si="4"/>
        <v>0.31224480834640417</v>
      </c>
      <c r="Q16" s="10">
        <f t="shared" si="5"/>
        <v>64636.371400000004</v>
      </c>
    </row>
    <row r="17" spans="1:17" x14ac:dyDescent="0.25">
      <c r="A17" s="91" t="s">
        <v>41</v>
      </c>
      <c r="B17" s="43">
        <v>137.44499999999999</v>
      </c>
      <c r="C17" s="13">
        <v>77416</v>
      </c>
      <c r="D17" s="38">
        <v>2862.8969999999999</v>
      </c>
      <c r="E17" s="8">
        <v>46119</v>
      </c>
      <c r="F17" s="14">
        <f t="shared" si="0"/>
        <v>1.6786140202519568</v>
      </c>
      <c r="G17" s="9">
        <f t="shared" si="1"/>
        <v>3528.1034999999997</v>
      </c>
      <c r="H17" s="8">
        <f t="shared" si="2"/>
        <v>9343.7093999999997</v>
      </c>
      <c r="I17" s="21">
        <v>10062</v>
      </c>
      <c r="J17" s="8">
        <v>0</v>
      </c>
      <c r="K17" s="8">
        <v>62</v>
      </c>
      <c r="L17" s="8">
        <v>241</v>
      </c>
      <c r="M17" s="8">
        <v>26</v>
      </c>
      <c r="N17" s="8">
        <v>0</v>
      </c>
      <c r="O17" s="10">
        <f t="shared" si="3"/>
        <v>23262.812899999997</v>
      </c>
      <c r="P17" s="23">
        <f t="shared" si="4"/>
        <v>0.33528689908303044</v>
      </c>
      <c r="Q17" s="10">
        <f t="shared" si="5"/>
        <v>69381.81289999999</v>
      </c>
    </row>
    <row r="18" spans="1:17" x14ac:dyDescent="0.25">
      <c r="A18" s="91" t="s">
        <v>42</v>
      </c>
      <c r="B18" s="43">
        <v>20</v>
      </c>
      <c r="C18" s="13">
        <v>62767</v>
      </c>
      <c r="D18" s="38">
        <v>401.94299999999998</v>
      </c>
      <c r="E18" s="8">
        <v>41667</v>
      </c>
      <c r="F18" s="14">
        <f t="shared" si="0"/>
        <v>1.5063959488324092</v>
      </c>
      <c r="G18" s="9">
        <f t="shared" si="1"/>
        <v>3187.5254999999997</v>
      </c>
      <c r="H18" s="8">
        <f t="shared" si="2"/>
        <v>8441.7342000000008</v>
      </c>
      <c r="I18" s="21">
        <v>11159.54</v>
      </c>
      <c r="J18" s="8">
        <v>1034.99</v>
      </c>
      <c r="K18" s="8">
        <v>79.44</v>
      </c>
      <c r="L18" s="8">
        <v>162.25</v>
      </c>
      <c r="M18" s="8">
        <v>0</v>
      </c>
      <c r="N18" s="8">
        <v>100.08</v>
      </c>
      <c r="O18" s="10">
        <f t="shared" si="3"/>
        <v>24165.559700000005</v>
      </c>
      <c r="P18" s="23">
        <f t="shared" si="4"/>
        <v>0.36707610656676321</v>
      </c>
      <c r="Q18" s="10">
        <f t="shared" si="5"/>
        <v>65832.559700000013</v>
      </c>
    </row>
    <row r="19" spans="1:17" x14ac:dyDescent="0.25">
      <c r="A19" s="91" t="s">
        <v>43</v>
      </c>
      <c r="B19" s="43">
        <v>96.197000000000003</v>
      </c>
      <c r="C19" s="13">
        <v>85569</v>
      </c>
      <c r="D19" s="38">
        <v>2104.931</v>
      </c>
      <c r="E19" s="8">
        <v>45429</v>
      </c>
      <c r="F19" s="14">
        <f t="shared" si="0"/>
        <v>1.8835765700323581</v>
      </c>
      <c r="G19" s="9">
        <f t="shared" si="1"/>
        <v>3475.3184999999999</v>
      </c>
      <c r="H19" s="8">
        <f t="shared" si="2"/>
        <v>9203.9153999999999</v>
      </c>
      <c r="I19" s="21">
        <v>10967.26</v>
      </c>
      <c r="J19" s="8">
        <v>0</v>
      </c>
      <c r="K19" s="8">
        <v>92.4</v>
      </c>
      <c r="L19" s="8">
        <v>362.02</v>
      </c>
      <c r="M19" s="8">
        <v>45.429000000000002</v>
      </c>
      <c r="N19" s="8">
        <v>156.6</v>
      </c>
      <c r="O19" s="10">
        <f t="shared" si="3"/>
        <v>24302.942900000002</v>
      </c>
      <c r="P19" s="23">
        <f t="shared" si="4"/>
        <v>0.34851951472013271</v>
      </c>
      <c r="Q19" s="10">
        <f t="shared" si="5"/>
        <v>69731.942899999995</v>
      </c>
    </row>
    <row r="20" spans="1:17" x14ac:dyDescent="0.25">
      <c r="A20" s="91" t="s">
        <v>44</v>
      </c>
      <c r="B20" s="43">
        <v>6</v>
      </c>
      <c r="C20" s="13">
        <v>75170</v>
      </c>
      <c r="D20" s="38">
        <v>101.679</v>
      </c>
      <c r="E20" s="8">
        <v>44751</v>
      </c>
      <c r="F20" s="14">
        <f t="shared" si="0"/>
        <v>1.6797390002458046</v>
      </c>
      <c r="G20" s="9">
        <f t="shared" si="1"/>
        <v>3423.4515000000001</v>
      </c>
      <c r="H20" s="8">
        <f t="shared" si="2"/>
        <v>9066.5526000000009</v>
      </c>
      <c r="I20" s="21">
        <v>7372.34</v>
      </c>
      <c r="J20" s="8">
        <v>0</v>
      </c>
      <c r="K20" s="8">
        <v>128.41999999999999</v>
      </c>
      <c r="L20" s="8">
        <v>280.93</v>
      </c>
      <c r="M20" s="8">
        <v>44.722000000000001</v>
      </c>
      <c r="N20" s="8">
        <v>199.35</v>
      </c>
      <c r="O20" s="10">
        <f t="shared" si="3"/>
        <v>20515.766100000001</v>
      </c>
      <c r="P20" s="23">
        <f t="shared" si="4"/>
        <v>0.31433710180409874</v>
      </c>
      <c r="Q20" s="10">
        <f t="shared" si="5"/>
        <v>65266.766100000001</v>
      </c>
    </row>
    <row r="21" spans="1:17" x14ac:dyDescent="0.25">
      <c r="A21" s="91" t="s">
        <v>45</v>
      </c>
      <c r="B21" s="43">
        <v>3.5</v>
      </c>
      <c r="C21" s="13">
        <v>65838</v>
      </c>
      <c r="D21" s="38">
        <v>68.076999999999998</v>
      </c>
      <c r="E21" s="8">
        <v>47344</v>
      </c>
      <c r="F21" s="14">
        <f t="shared" si="0"/>
        <v>1.3906302805001689</v>
      </c>
      <c r="G21" s="9">
        <f t="shared" si="1"/>
        <v>3621.8159999999998</v>
      </c>
      <c r="H21" s="8">
        <f t="shared" si="2"/>
        <v>9591.8943999999992</v>
      </c>
      <c r="I21" s="21">
        <v>13498.88</v>
      </c>
      <c r="J21" s="8">
        <v>931.68</v>
      </c>
      <c r="K21" s="8">
        <v>81.12</v>
      </c>
      <c r="L21" s="8">
        <v>146.27000000000001</v>
      </c>
      <c r="M21" s="8">
        <v>47.360999999999997</v>
      </c>
      <c r="N21" s="8">
        <v>234.81</v>
      </c>
      <c r="O21" s="10">
        <f t="shared" si="3"/>
        <v>28153.831400000003</v>
      </c>
      <c r="P21" s="23">
        <f t="shared" si="4"/>
        <v>0.37290914027498812</v>
      </c>
      <c r="Q21" s="10">
        <f t="shared" si="5"/>
        <v>75497.831399999995</v>
      </c>
    </row>
    <row r="22" spans="1:17" x14ac:dyDescent="0.25">
      <c r="A22" s="91" t="s">
        <v>46</v>
      </c>
      <c r="B22" s="43">
        <v>11.88</v>
      </c>
      <c r="C22" s="13">
        <v>77880</v>
      </c>
      <c r="D22" s="38">
        <v>256.69799999999998</v>
      </c>
      <c r="E22" s="8">
        <v>47117</v>
      </c>
      <c r="F22" s="14">
        <f t="shared" si="0"/>
        <v>1.652906594222892</v>
      </c>
      <c r="G22" s="9">
        <f t="shared" si="1"/>
        <v>3604.4504999999999</v>
      </c>
      <c r="H22" s="8">
        <f t="shared" si="2"/>
        <v>9545.9042000000009</v>
      </c>
      <c r="I22" s="21">
        <v>9634</v>
      </c>
      <c r="J22" s="8">
        <v>0</v>
      </c>
      <c r="K22" s="8">
        <v>55.48</v>
      </c>
      <c r="L22" s="8">
        <v>312.41000000000003</v>
      </c>
      <c r="M22" s="8">
        <v>26.44</v>
      </c>
      <c r="N22" s="8">
        <v>99.36</v>
      </c>
      <c r="O22" s="10">
        <f t="shared" si="3"/>
        <v>23278.044699999999</v>
      </c>
      <c r="P22" s="23">
        <f t="shared" si="4"/>
        <v>0.33067731967787212</v>
      </c>
      <c r="Q22" s="10">
        <f t="shared" si="5"/>
        <v>70395.044699999999</v>
      </c>
    </row>
    <row r="23" spans="1:17" x14ac:dyDescent="0.25">
      <c r="A23" s="91" t="s">
        <v>47</v>
      </c>
      <c r="B23" s="43">
        <v>8.02</v>
      </c>
      <c r="C23" s="13">
        <v>69754</v>
      </c>
      <c r="D23" s="38">
        <v>139.51599999999999</v>
      </c>
      <c r="E23" s="8">
        <v>51652</v>
      </c>
      <c r="F23" s="14">
        <f t="shared" si="0"/>
        <v>1.3504607759622087</v>
      </c>
      <c r="G23" s="9">
        <f t="shared" si="1"/>
        <v>3951.3779999999997</v>
      </c>
      <c r="H23" s="8">
        <f t="shared" si="2"/>
        <v>10464.6952</v>
      </c>
      <c r="I23" s="21">
        <v>16284</v>
      </c>
      <c r="J23" s="8">
        <v>1396.8</v>
      </c>
      <c r="K23" s="8">
        <v>48.12</v>
      </c>
      <c r="L23" s="8">
        <v>391.2</v>
      </c>
      <c r="M23" s="8">
        <v>0</v>
      </c>
      <c r="N23" s="8">
        <v>144.6</v>
      </c>
      <c r="O23" s="10">
        <f t="shared" si="3"/>
        <v>32680.793199999996</v>
      </c>
      <c r="P23" s="23">
        <f t="shared" si="4"/>
        <v>0.38752176893389079</v>
      </c>
      <c r="Q23" s="10">
        <f t="shared" si="5"/>
        <v>84332.7932</v>
      </c>
    </row>
    <row r="24" spans="1:17" x14ac:dyDescent="0.25">
      <c r="A24" s="91" t="s">
        <v>48</v>
      </c>
      <c r="B24" s="43">
        <v>5.86</v>
      </c>
      <c r="C24" s="13">
        <v>70476</v>
      </c>
      <c r="D24" s="38">
        <v>109.247</v>
      </c>
      <c r="E24" s="8">
        <v>43728</v>
      </c>
      <c r="F24" s="14">
        <f t="shared" si="0"/>
        <v>1.6116904500548848</v>
      </c>
      <c r="G24" s="9">
        <f t="shared" si="1"/>
        <v>3345.192</v>
      </c>
      <c r="H24" s="8">
        <f t="shared" si="2"/>
        <v>8859.2927999999993</v>
      </c>
      <c r="I24" s="21">
        <v>15567.36</v>
      </c>
      <c r="J24" s="8">
        <v>0</v>
      </c>
      <c r="K24" s="8">
        <v>83.52</v>
      </c>
      <c r="L24" s="8">
        <v>227</v>
      </c>
      <c r="M24" s="8">
        <v>44.082999999999998</v>
      </c>
      <c r="N24" s="8">
        <v>79.349999999999994</v>
      </c>
      <c r="O24" s="10">
        <f t="shared" si="3"/>
        <v>28205.797799999997</v>
      </c>
      <c r="P24" s="23">
        <f t="shared" si="4"/>
        <v>0.39210772491703472</v>
      </c>
      <c r="Q24" s="10">
        <f t="shared" si="5"/>
        <v>71933.7978</v>
      </c>
    </row>
    <row r="25" spans="1:17" x14ac:dyDescent="0.25">
      <c r="A25" s="91" t="s">
        <v>49</v>
      </c>
      <c r="B25" s="43">
        <v>15</v>
      </c>
      <c r="C25" s="13">
        <v>79696</v>
      </c>
      <c r="D25" s="38">
        <v>281.37</v>
      </c>
      <c r="E25" s="8">
        <v>50834</v>
      </c>
      <c r="F25" s="14">
        <f t="shared" si="0"/>
        <v>1.5677696030215997</v>
      </c>
      <c r="G25" s="9">
        <f t="shared" si="1"/>
        <v>3888.8009999999999</v>
      </c>
      <c r="H25" s="8">
        <f t="shared" si="2"/>
        <v>10298.9684</v>
      </c>
      <c r="I25" s="21">
        <v>12487</v>
      </c>
      <c r="J25" s="8">
        <v>0</v>
      </c>
      <c r="K25" s="8">
        <v>90</v>
      </c>
      <c r="L25" s="8">
        <v>144</v>
      </c>
      <c r="M25" s="8">
        <v>50.834000000000003</v>
      </c>
      <c r="N25" s="8">
        <v>142</v>
      </c>
      <c r="O25" s="10">
        <f t="shared" si="3"/>
        <v>27101.603399999996</v>
      </c>
      <c r="P25" s="23">
        <f t="shared" si="4"/>
        <v>0.34774355002940799</v>
      </c>
      <c r="Q25" s="10">
        <f t="shared" si="5"/>
        <v>77935.603399999993</v>
      </c>
    </row>
    <row r="26" spans="1:17" x14ac:dyDescent="0.25">
      <c r="A26" s="91" t="s">
        <v>50</v>
      </c>
      <c r="B26" s="43">
        <v>59</v>
      </c>
      <c r="C26" s="13">
        <v>85304</v>
      </c>
      <c r="D26" s="38">
        <v>1151.221</v>
      </c>
      <c r="E26" s="8">
        <v>41935</v>
      </c>
      <c r="F26" s="14">
        <f t="shared" si="0"/>
        <v>2.0341957791820673</v>
      </c>
      <c r="G26" s="9">
        <f t="shared" si="1"/>
        <v>3208.0275000000001</v>
      </c>
      <c r="H26" s="8">
        <f t="shared" si="2"/>
        <v>8496.0310000000009</v>
      </c>
      <c r="I26" s="21">
        <v>11223</v>
      </c>
      <c r="J26" s="8">
        <v>0</v>
      </c>
      <c r="K26" s="8">
        <v>62.04</v>
      </c>
      <c r="L26" s="8">
        <v>207.85</v>
      </c>
      <c r="M26" s="8">
        <v>41.947000000000003</v>
      </c>
      <c r="N26" s="8">
        <v>58.8</v>
      </c>
      <c r="O26" s="10">
        <f t="shared" si="3"/>
        <v>23297.695499999998</v>
      </c>
      <c r="P26" s="23">
        <f t="shared" si="4"/>
        <v>0.3571475212150324</v>
      </c>
      <c r="Q26" s="10">
        <f t="shared" si="5"/>
        <v>65232.695500000002</v>
      </c>
    </row>
    <row r="27" spans="1:17" x14ac:dyDescent="0.25">
      <c r="A27" s="91" t="s">
        <v>51</v>
      </c>
      <c r="B27" s="43">
        <v>7</v>
      </c>
      <c r="C27" s="13">
        <v>68664</v>
      </c>
      <c r="D27" s="38">
        <v>113.104</v>
      </c>
      <c r="E27" s="8">
        <v>45942</v>
      </c>
      <c r="F27" s="14">
        <f t="shared" si="0"/>
        <v>1.4945801227634843</v>
      </c>
      <c r="G27" s="9">
        <f t="shared" si="1"/>
        <v>3514.5630000000001</v>
      </c>
      <c r="H27" s="8">
        <f t="shared" si="2"/>
        <v>9307.8492000000006</v>
      </c>
      <c r="I27" s="21">
        <v>15794</v>
      </c>
      <c r="J27" s="8">
        <v>0</v>
      </c>
      <c r="K27" s="8">
        <v>58</v>
      </c>
      <c r="L27" s="8">
        <v>288</v>
      </c>
      <c r="M27" s="8">
        <v>4</v>
      </c>
      <c r="N27" s="8">
        <v>93</v>
      </c>
      <c r="O27" s="10">
        <f t="shared" si="3"/>
        <v>29059.412199999999</v>
      </c>
      <c r="P27" s="23">
        <f t="shared" si="4"/>
        <v>0.38745153387925146</v>
      </c>
      <c r="Q27" s="10">
        <f t="shared" si="5"/>
        <v>75001.412199999992</v>
      </c>
    </row>
    <row r="28" spans="1:17" x14ac:dyDescent="0.25">
      <c r="A28" s="91" t="s">
        <v>52</v>
      </c>
      <c r="B28" s="43">
        <v>2.5</v>
      </c>
      <c r="C28" s="13">
        <v>73963</v>
      </c>
      <c r="D28" s="38">
        <v>51.66</v>
      </c>
      <c r="E28" s="8">
        <v>46986</v>
      </c>
      <c r="F28" s="14">
        <f t="shared" si="0"/>
        <v>1.5741497467330694</v>
      </c>
      <c r="G28" s="9">
        <f t="shared" si="1"/>
        <v>3594.4290000000001</v>
      </c>
      <c r="H28" s="8">
        <f t="shared" si="2"/>
        <v>9519.3636000000006</v>
      </c>
      <c r="I28" s="21">
        <v>15708</v>
      </c>
      <c r="J28" s="8">
        <v>816</v>
      </c>
      <c r="K28" s="8">
        <v>42.22</v>
      </c>
      <c r="L28" s="8">
        <v>235.55</v>
      </c>
      <c r="M28" s="8">
        <v>0</v>
      </c>
      <c r="N28" s="8">
        <v>185</v>
      </c>
      <c r="O28" s="10">
        <f t="shared" si="3"/>
        <v>30100.562600000001</v>
      </c>
      <c r="P28" s="23">
        <f t="shared" si="4"/>
        <v>0.3904774267363687</v>
      </c>
      <c r="Q28" s="10">
        <f t="shared" si="5"/>
        <v>77086.562600000005</v>
      </c>
    </row>
    <row r="29" spans="1:17" x14ac:dyDescent="0.25">
      <c r="A29" s="91" t="s">
        <v>53</v>
      </c>
      <c r="B29" s="43">
        <v>31.718</v>
      </c>
      <c r="C29" s="13">
        <v>79254</v>
      </c>
      <c r="D29" s="38">
        <v>572.35500000000002</v>
      </c>
      <c r="E29" s="8">
        <v>44831</v>
      </c>
      <c r="F29" s="14">
        <f t="shared" si="0"/>
        <v>1.7678392183979836</v>
      </c>
      <c r="G29" s="9">
        <f t="shared" si="1"/>
        <v>3429.5715</v>
      </c>
      <c r="H29" s="8">
        <f t="shared" si="2"/>
        <v>9082.7605999999996</v>
      </c>
      <c r="I29" s="21">
        <v>8227.7900000000009</v>
      </c>
      <c r="J29" s="8">
        <v>531.75</v>
      </c>
      <c r="K29" s="8">
        <v>28.44</v>
      </c>
      <c r="L29" s="8">
        <v>111.22</v>
      </c>
      <c r="M29" s="8">
        <v>111.22</v>
      </c>
      <c r="N29" s="8">
        <v>266.91000000000003</v>
      </c>
      <c r="O29" s="10">
        <f t="shared" si="3"/>
        <v>21789.662100000001</v>
      </c>
      <c r="P29" s="23">
        <f t="shared" si="4"/>
        <v>0.32707063264086056</v>
      </c>
      <c r="Q29" s="10">
        <f t="shared" si="5"/>
        <v>66620.662100000001</v>
      </c>
    </row>
    <row r="30" spans="1:17" x14ac:dyDescent="0.25">
      <c r="A30" s="91" t="s">
        <v>54</v>
      </c>
      <c r="B30" s="43">
        <v>12</v>
      </c>
      <c r="C30" s="13">
        <v>96297</v>
      </c>
      <c r="D30" s="38">
        <v>216.33</v>
      </c>
      <c r="E30" s="8">
        <v>59728</v>
      </c>
      <c r="F30" s="14">
        <f t="shared" si="0"/>
        <v>1.612258907045272</v>
      </c>
      <c r="G30" s="9">
        <f t="shared" si="1"/>
        <v>4569.192</v>
      </c>
      <c r="H30" s="8">
        <f t="shared" si="2"/>
        <v>12100.8928</v>
      </c>
      <c r="I30" s="21">
        <v>17546.400000000001</v>
      </c>
      <c r="J30" s="8">
        <v>1079.6400000000001</v>
      </c>
      <c r="K30" s="8">
        <v>126</v>
      </c>
      <c r="L30" s="8">
        <v>340.44</v>
      </c>
      <c r="M30" s="8">
        <v>34.19</v>
      </c>
      <c r="N30" s="8">
        <v>76.540000000000006</v>
      </c>
      <c r="O30" s="10">
        <f t="shared" si="3"/>
        <v>35873.294800000011</v>
      </c>
      <c r="P30" s="23">
        <f t="shared" si="4"/>
        <v>0.37523858724976189</v>
      </c>
      <c r="Q30" s="10">
        <f t="shared" si="5"/>
        <v>95601.294800000003</v>
      </c>
    </row>
    <row r="31" spans="1:17" x14ac:dyDescent="0.25">
      <c r="A31" s="91" t="s">
        <v>55</v>
      </c>
      <c r="B31" s="43">
        <v>0.5</v>
      </c>
      <c r="C31" s="13">
        <v>49101</v>
      </c>
      <c r="D31" s="38">
        <v>21</v>
      </c>
      <c r="E31" s="8">
        <v>44033</v>
      </c>
      <c r="F31" s="14">
        <f t="shared" si="0"/>
        <v>1.1150954965593987</v>
      </c>
      <c r="G31" s="9">
        <f t="shared" si="1"/>
        <v>3368.5245</v>
      </c>
      <c r="H31" s="8">
        <f t="shared" si="2"/>
        <v>8921.0858000000007</v>
      </c>
      <c r="I31" s="21">
        <v>15708</v>
      </c>
      <c r="J31" s="8">
        <v>0</v>
      </c>
      <c r="K31" s="8">
        <v>60.6</v>
      </c>
      <c r="L31" s="8">
        <v>0</v>
      </c>
      <c r="M31" s="8">
        <v>44.033000000000001</v>
      </c>
      <c r="N31" s="8">
        <v>38.93</v>
      </c>
      <c r="O31" s="10">
        <f t="shared" si="3"/>
        <v>28141.173299999999</v>
      </c>
      <c r="P31" s="23">
        <f t="shared" si="4"/>
        <v>0.38990641684287919</v>
      </c>
      <c r="Q31" s="10">
        <f t="shared" si="5"/>
        <v>72174.173299999995</v>
      </c>
    </row>
    <row r="32" spans="1:17" x14ac:dyDescent="0.25">
      <c r="A32" s="91" t="s">
        <v>56</v>
      </c>
      <c r="B32" s="43">
        <v>29</v>
      </c>
      <c r="C32" s="13">
        <v>80377</v>
      </c>
      <c r="D32" s="38">
        <v>583.70299999999997</v>
      </c>
      <c r="E32" s="8">
        <v>44913</v>
      </c>
      <c r="F32" s="14">
        <f t="shared" si="0"/>
        <v>1.789615478814597</v>
      </c>
      <c r="G32" s="9">
        <f t="shared" si="1"/>
        <v>3435.8445000000002</v>
      </c>
      <c r="H32" s="8">
        <f t="shared" si="2"/>
        <v>9099.3737999999994</v>
      </c>
      <c r="I32" s="21">
        <v>11557.44</v>
      </c>
      <c r="J32" s="8">
        <v>0</v>
      </c>
      <c r="K32" s="8">
        <v>38.04</v>
      </c>
      <c r="L32" s="8">
        <v>449.13</v>
      </c>
      <c r="M32" s="8">
        <v>44.76</v>
      </c>
      <c r="N32" s="8">
        <v>170.67</v>
      </c>
      <c r="O32" s="10">
        <f t="shared" si="3"/>
        <v>24795.258300000001</v>
      </c>
      <c r="P32" s="23">
        <f t="shared" si="4"/>
        <v>0.35570044216697927</v>
      </c>
      <c r="Q32" s="10">
        <f t="shared" si="5"/>
        <v>69708.258300000001</v>
      </c>
    </row>
    <row r="33" spans="1:18" x14ac:dyDescent="0.25">
      <c r="A33" s="91" t="s">
        <v>57</v>
      </c>
      <c r="B33" s="43">
        <v>1.5</v>
      </c>
      <c r="C33" s="13">
        <v>80883</v>
      </c>
      <c r="D33" s="38">
        <v>32.9</v>
      </c>
      <c r="E33" s="8">
        <v>50288</v>
      </c>
      <c r="F33" s="14">
        <f t="shared" si="0"/>
        <v>1.6083956411072224</v>
      </c>
      <c r="G33" s="9">
        <f t="shared" si="1"/>
        <v>3847.0320000000002</v>
      </c>
      <c r="H33" s="8">
        <f t="shared" si="2"/>
        <v>10188.3488</v>
      </c>
      <c r="I33" s="21">
        <v>17465.52</v>
      </c>
      <c r="J33" s="8">
        <v>940.8</v>
      </c>
      <c r="K33" s="8">
        <v>3.9</v>
      </c>
      <c r="L33" s="8">
        <v>113.94</v>
      </c>
      <c r="M33" s="8">
        <v>50.287999999999997</v>
      </c>
      <c r="N33" s="8">
        <v>15.9</v>
      </c>
      <c r="O33" s="10">
        <f t="shared" si="3"/>
        <v>32625.728800000001</v>
      </c>
      <c r="P33" s="23">
        <f t="shared" si="4"/>
        <v>0.39349006819724652</v>
      </c>
      <c r="Q33" s="10">
        <f t="shared" si="5"/>
        <v>82913.728799999997</v>
      </c>
    </row>
    <row r="34" spans="1:18" x14ac:dyDescent="0.25">
      <c r="A34" s="91" t="s">
        <v>58</v>
      </c>
      <c r="B34" s="43">
        <v>69.161000000000001</v>
      </c>
      <c r="C34" s="13">
        <v>86362</v>
      </c>
      <c r="D34" s="38">
        <v>1134.008</v>
      </c>
      <c r="E34" s="8">
        <v>55261</v>
      </c>
      <c r="F34" s="14">
        <f t="shared" si="0"/>
        <v>1.5628019760771612</v>
      </c>
      <c r="G34" s="9">
        <f t="shared" si="1"/>
        <v>4227.4664999999995</v>
      </c>
      <c r="H34" s="8">
        <f t="shared" si="2"/>
        <v>11195.8786</v>
      </c>
      <c r="I34" s="21">
        <v>8573</v>
      </c>
      <c r="J34" s="8">
        <v>585</v>
      </c>
      <c r="K34" s="8">
        <v>123</v>
      </c>
      <c r="L34" s="8">
        <v>155.34</v>
      </c>
      <c r="M34" s="8">
        <v>54.66</v>
      </c>
      <c r="N34" s="8">
        <v>345</v>
      </c>
      <c r="O34" s="10">
        <f t="shared" si="3"/>
        <v>25259.345099999999</v>
      </c>
      <c r="P34" s="23">
        <f t="shared" si="4"/>
        <v>0.31370140141140551</v>
      </c>
      <c r="Q34" s="10">
        <f t="shared" si="5"/>
        <v>80520.345100000006</v>
      </c>
    </row>
    <row r="35" spans="1:18" x14ac:dyDescent="0.25">
      <c r="A35" s="91" t="s">
        <v>59</v>
      </c>
      <c r="B35" s="43">
        <v>14.34</v>
      </c>
      <c r="C35" s="13">
        <v>70935</v>
      </c>
      <c r="D35" s="38">
        <v>158.02600000000001</v>
      </c>
      <c r="E35" s="8">
        <v>49797</v>
      </c>
      <c r="F35" s="14">
        <f t="shared" si="0"/>
        <v>1.4244834026146154</v>
      </c>
      <c r="G35" s="9">
        <f t="shared" si="1"/>
        <v>3809.4704999999999</v>
      </c>
      <c r="H35" s="8">
        <f t="shared" si="2"/>
        <v>10088.8722</v>
      </c>
      <c r="I35" s="21">
        <v>9624</v>
      </c>
      <c r="J35" s="8">
        <v>0</v>
      </c>
      <c r="K35" s="8">
        <v>115.8</v>
      </c>
      <c r="L35" s="8">
        <v>0</v>
      </c>
      <c r="M35" s="8">
        <v>48.822000000000003</v>
      </c>
      <c r="N35" s="8">
        <v>138.65</v>
      </c>
      <c r="O35" s="10">
        <f t="shared" si="3"/>
        <v>23825.614700000002</v>
      </c>
      <c r="P35" s="23">
        <f t="shared" si="4"/>
        <v>0.32361815451794868</v>
      </c>
      <c r="Q35" s="10">
        <f t="shared" si="5"/>
        <v>73622.614700000006</v>
      </c>
    </row>
    <row r="36" spans="1:18" x14ac:dyDescent="0.25">
      <c r="A36" s="91" t="s">
        <v>60</v>
      </c>
      <c r="B36" s="43">
        <v>11</v>
      </c>
      <c r="C36" s="13">
        <v>72583</v>
      </c>
      <c r="D36" s="38">
        <v>215.761</v>
      </c>
      <c r="E36" s="8">
        <v>47254</v>
      </c>
      <c r="F36" s="14">
        <f t="shared" si="0"/>
        <v>1.5360181148685825</v>
      </c>
      <c r="G36" s="9">
        <f t="shared" si="1"/>
        <v>3614.931</v>
      </c>
      <c r="H36" s="8">
        <f t="shared" si="2"/>
        <v>9573.6604000000007</v>
      </c>
      <c r="I36" s="21">
        <v>9692.4</v>
      </c>
      <c r="J36" s="8">
        <v>0</v>
      </c>
      <c r="K36" s="8">
        <v>50</v>
      </c>
      <c r="L36" s="8">
        <v>302.43</v>
      </c>
      <c r="M36" s="8">
        <v>0</v>
      </c>
      <c r="N36" s="8">
        <v>173.89</v>
      </c>
      <c r="O36" s="10">
        <f t="shared" si="3"/>
        <v>23407.311399999999</v>
      </c>
      <c r="P36" s="23">
        <f t="shared" si="4"/>
        <v>0.3312606422982407</v>
      </c>
      <c r="Q36" s="10">
        <f t="shared" si="5"/>
        <v>70661.311400000006</v>
      </c>
    </row>
    <row r="37" spans="1:18" x14ac:dyDescent="0.25">
      <c r="A37" s="91" t="s">
        <v>61</v>
      </c>
      <c r="B37" s="43">
        <v>11.14</v>
      </c>
      <c r="C37" s="13">
        <v>73902</v>
      </c>
      <c r="D37" s="38">
        <v>164.523</v>
      </c>
      <c r="E37" s="8">
        <v>45659</v>
      </c>
      <c r="F37" s="14">
        <f t="shared" si="0"/>
        <v>1.6185637004752622</v>
      </c>
      <c r="G37" s="9">
        <f t="shared" si="1"/>
        <v>3492.9135000000001</v>
      </c>
      <c r="H37" s="8">
        <f t="shared" si="2"/>
        <v>9250.5133999999998</v>
      </c>
      <c r="I37" s="21">
        <v>13695</v>
      </c>
      <c r="J37" s="8">
        <v>0</v>
      </c>
      <c r="K37" s="8">
        <v>124</v>
      </c>
      <c r="L37" s="8">
        <v>340</v>
      </c>
      <c r="M37" s="8">
        <v>45.658999999999999</v>
      </c>
      <c r="N37" s="8">
        <v>163</v>
      </c>
      <c r="O37" s="10">
        <f t="shared" si="3"/>
        <v>27111.085899999998</v>
      </c>
      <c r="P37" s="23">
        <f t="shared" si="4"/>
        <v>0.37255811319579596</v>
      </c>
      <c r="Q37" s="10">
        <f t="shared" si="5"/>
        <v>72770.085900000005</v>
      </c>
    </row>
    <row r="38" spans="1:18" x14ac:dyDescent="0.25">
      <c r="A38" s="91" t="s">
        <v>62</v>
      </c>
      <c r="B38" s="43">
        <v>3.9</v>
      </c>
      <c r="C38" s="13">
        <v>77561</v>
      </c>
      <c r="D38" s="38">
        <v>71.295000000000002</v>
      </c>
      <c r="E38" s="8">
        <v>49101</v>
      </c>
      <c r="F38" s="14">
        <f t="shared" si="0"/>
        <v>1.579621596301501</v>
      </c>
      <c r="G38" s="9">
        <f t="shared" si="1"/>
        <v>3756.2264999999998</v>
      </c>
      <c r="H38" s="8">
        <f t="shared" si="2"/>
        <v>9947.8626000000004</v>
      </c>
      <c r="I38" s="21">
        <v>14832</v>
      </c>
      <c r="J38" s="8">
        <v>600</v>
      </c>
      <c r="K38" s="8">
        <v>90.48</v>
      </c>
      <c r="L38" s="8">
        <v>364.43</v>
      </c>
      <c r="M38" s="8">
        <v>1.1200000000000001</v>
      </c>
      <c r="N38" s="8">
        <v>118.2</v>
      </c>
      <c r="O38" s="10">
        <f t="shared" si="3"/>
        <v>29710.319100000001</v>
      </c>
      <c r="P38" s="23">
        <f t="shared" si="4"/>
        <v>0.37698035560478271</v>
      </c>
      <c r="Q38" s="10">
        <f t="shared" si="5"/>
        <v>78811.319099999993</v>
      </c>
    </row>
    <row r="39" spans="1:18" x14ac:dyDescent="0.25">
      <c r="A39" s="91" t="s">
        <v>63</v>
      </c>
      <c r="B39" s="50" t="s">
        <v>15</v>
      </c>
      <c r="C39" s="51" t="s">
        <v>22</v>
      </c>
      <c r="D39" s="38">
        <v>14.66</v>
      </c>
      <c r="E39" s="8">
        <v>48073</v>
      </c>
      <c r="F39" s="53" t="s">
        <v>22</v>
      </c>
      <c r="G39" s="9">
        <f t="shared" si="1"/>
        <v>3677.5844999999999</v>
      </c>
      <c r="H39" s="8">
        <f t="shared" si="2"/>
        <v>9739.5897999999997</v>
      </c>
      <c r="I39" s="21">
        <v>11172</v>
      </c>
      <c r="J39" s="8">
        <v>1152</v>
      </c>
      <c r="K39" s="8">
        <v>75</v>
      </c>
      <c r="L39" s="8">
        <v>2.5</v>
      </c>
      <c r="M39" s="8">
        <v>48.07</v>
      </c>
      <c r="N39" s="8">
        <v>197.1</v>
      </c>
      <c r="O39" s="10">
        <f t="shared" si="3"/>
        <v>26063.844299999997</v>
      </c>
      <c r="P39" s="23">
        <f t="shared" si="4"/>
        <v>0.35156398341600303</v>
      </c>
      <c r="Q39" s="10">
        <f t="shared" si="5"/>
        <v>74136.844299999997</v>
      </c>
    </row>
    <row r="40" spans="1:18" x14ac:dyDescent="0.25">
      <c r="A40" s="91" t="s">
        <v>64</v>
      </c>
      <c r="B40" s="43">
        <v>30.12</v>
      </c>
      <c r="C40" s="13">
        <v>80655</v>
      </c>
      <c r="D40" s="38">
        <v>641.07899999999995</v>
      </c>
      <c r="E40" s="8">
        <v>44297</v>
      </c>
      <c r="F40" s="14">
        <f t="shared" ref="F40:F47" si="6">C40/E40</f>
        <v>1.8207779307853804</v>
      </c>
      <c r="G40" s="9">
        <f t="shared" si="1"/>
        <v>3388.7204999999999</v>
      </c>
      <c r="H40" s="8">
        <f t="shared" si="2"/>
        <v>8974.5722000000005</v>
      </c>
      <c r="I40" s="21">
        <v>10646</v>
      </c>
      <c r="J40" s="8">
        <v>385</v>
      </c>
      <c r="K40" s="8">
        <v>43</v>
      </c>
      <c r="L40" s="8">
        <v>202</v>
      </c>
      <c r="M40" s="8">
        <v>44.100999999999999</v>
      </c>
      <c r="N40" s="8">
        <v>92</v>
      </c>
      <c r="O40" s="10">
        <f t="shared" si="3"/>
        <v>23775.393699999997</v>
      </c>
      <c r="P40" s="23">
        <f t="shared" si="4"/>
        <v>0.34926630911173612</v>
      </c>
      <c r="Q40" s="10">
        <f t="shared" si="5"/>
        <v>68072.393700000001</v>
      </c>
    </row>
    <row r="41" spans="1:18" x14ac:dyDescent="0.25">
      <c r="A41" s="91" t="s">
        <v>65</v>
      </c>
      <c r="B41" s="43">
        <v>16.5</v>
      </c>
      <c r="C41" s="13">
        <v>69469</v>
      </c>
      <c r="D41" s="38">
        <v>311.91399999999999</v>
      </c>
      <c r="E41" s="8">
        <v>43501</v>
      </c>
      <c r="F41" s="14">
        <f t="shared" si="6"/>
        <v>1.5969517942116274</v>
      </c>
      <c r="G41" s="9">
        <f t="shared" si="1"/>
        <v>3327.8265000000001</v>
      </c>
      <c r="H41" s="8">
        <f t="shared" si="2"/>
        <v>8813.3026000000009</v>
      </c>
      <c r="I41" s="21">
        <v>13224</v>
      </c>
      <c r="J41" s="8">
        <v>0</v>
      </c>
      <c r="K41" s="8">
        <v>217.51</v>
      </c>
      <c r="L41" s="8">
        <v>369.76</v>
      </c>
      <c r="M41" s="8">
        <v>174.01</v>
      </c>
      <c r="N41" s="8">
        <v>195.76</v>
      </c>
      <c r="O41" s="10">
        <f t="shared" si="3"/>
        <v>26322.169099999996</v>
      </c>
      <c r="P41" s="23">
        <f t="shared" si="4"/>
        <v>0.37698330567467747</v>
      </c>
      <c r="Q41" s="10">
        <f t="shared" si="5"/>
        <v>69823.169099999999</v>
      </c>
    </row>
    <row r="42" spans="1:18" x14ac:dyDescent="0.25">
      <c r="A42" s="91" t="s">
        <v>66</v>
      </c>
      <c r="B42" s="43">
        <v>12</v>
      </c>
      <c r="C42" s="13">
        <v>84482</v>
      </c>
      <c r="D42" s="38">
        <v>252.06</v>
      </c>
      <c r="E42" s="8">
        <v>49191</v>
      </c>
      <c r="F42" s="14">
        <f t="shared" si="6"/>
        <v>1.7174279847939664</v>
      </c>
      <c r="G42" s="9">
        <f t="shared" si="1"/>
        <v>3763.1115</v>
      </c>
      <c r="H42" s="8">
        <f t="shared" si="2"/>
        <v>9966.0966000000008</v>
      </c>
      <c r="I42" s="21">
        <v>14832</v>
      </c>
      <c r="J42" s="8">
        <v>1296</v>
      </c>
      <c r="K42" s="8">
        <v>30.06</v>
      </c>
      <c r="L42" s="8">
        <v>147.57</v>
      </c>
      <c r="M42" s="8">
        <v>49.191000000000003</v>
      </c>
      <c r="N42" s="8">
        <v>182.5</v>
      </c>
      <c r="O42" s="10">
        <f t="shared" si="3"/>
        <v>30266.5291</v>
      </c>
      <c r="P42" s="23">
        <f t="shared" si="4"/>
        <v>0.38091455199806862</v>
      </c>
      <c r="Q42" s="10">
        <f t="shared" si="5"/>
        <v>79457.5291</v>
      </c>
    </row>
    <row r="43" spans="1:18" x14ac:dyDescent="0.25">
      <c r="A43" s="91" t="s">
        <v>67</v>
      </c>
      <c r="B43" s="43">
        <v>58.05</v>
      </c>
      <c r="C43" s="13">
        <v>84827</v>
      </c>
      <c r="D43" s="38">
        <v>1211.4570000000001</v>
      </c>
      <c r="E43" s="8">
        <v>45980</v>
      </c>
      <c r="F43" s="14">
        <f t="shared" si="6"/>
        <v>1.8448673336233146</v>
      </c>
      <c r="G43" s="9">
        <f t="shared" si="1"/>
        <v>3517.47</v>
      </c>
      <c r="H43" s="8">
        <f t="shared" si="2"/>
        <v>9315.5480000000007</v>
      </c>
      <c r="I43" s="21">
        <v>10494</v>
      </c>
      <c r="J43" s="8">
        <v>821</v>
      </c>
      <c r="K43" s="8">
        <v>28</v>
      </c>
      <c r="L43" s="8">
        <v>284.39</v>
      </c>
      <c r="M43" s="8">
        <v>45.98</v>
      </c>
      <c r="N43" s="8">
        <v>189</v>
      </c>
      <c r="O43" s="10">
        <f t="shared" si="3"/>
        <v>24695.387999999999</v>
      </c>
      <c r="P43" s="23">
        <f t="shared" si="4"/>
        <v>0.34941991404419309</v>
      </c>
      <c r="Q43" s="10">
        <f t="shared" si="5"/>
        <v>70675.388000000006</v>
      </c>
      <c r="R43" s="17"/>
    </row>
    <row r="44" spans="1:18" x14ac:dyDescent="0.25">
      <c r="A44" s="91" t="s">
        <v>68</v>
      </c>
      <c r="B44" s="43">
        <v>2.35</v>
      </c>
      <c r="C44" s="13">
        <v>48442</v>
      </c>
      <c r="D44" s="38">
        <v>34.633000000000003</v>
      </c>
      <c r="E44" s="8">
        <v>40617</v>
      </c>
      <c r="F44" s="14">
        <f t="shared" si="6"/>
        <v>1.1926533225004308</v>
      </c>
      <c r="G44" s="9">
        <f t="shared" si="1"/>
        <v>3107.2004999999999</v>
      </c>
      <c r="H44" s="8">
        <f t="shared" si="2"/>
        <v>8229.0041999999994</v>
      </c>
      <c r="I44" s="21">
        <v>14178</v>
      </c>
      <c r="J44" s="8">
        <v>1136</v>
      </c>
      <c r="K44" s="8">
        <v>73.8</v>
      </c>
      <c r="L44" s="8">
        <v>91.61</v>
      </c>
      <c r="M44" s="8">
        <v>42.43</v>
      </c>
      <c r="N44" s="8">
        <v>256.82</v>
      </c>
      <c r="O44" s="10">
        <f t="shared" si="3"/>
        <v>27114.864699999998</v>
      </c>
      <c r="P44" s="23">
        <f t="shared" si="4"/>
        <v>0.40032656446264936</v>
      </c>
      <c r="Q44" s="10">
        <f t="shared" si="5"/>
        <v>67731.864700000006</v>
      </c>
    </row>
    <row r="45" spans="1:18" x14ac:dyDescent="0.25">
      <c r="A45" s="92" t="s">
        <v>69</v>
      </c>
      <c r="B45" s="43">
        <v>68.150999999999996</v>
      </c>
      <c r="C45" s="13">
        <v>74304</v>
      </c>
      <c r="D45" s="38">
        <v>1317.3119999999999</v>
      </c>
      <c r="E45" s="8">
        <v>44225</v>
      </c>
      <c r="F45" s="14">
        <f t="shared" si="6"/>
        <v>1.680135669869983</v>
      </c>
      <c r="G45" s="9">
        <f t="shared" si="1"/>
        <v>3383.2125000000001</v>
      </c>
      <c r="H45" s="8">
        <f t="shared" si="2"/>
        <v>8959.9850000000006</v>
      </c>
      <c r="I45" s="60">
        <v>10507</v>
      </c>
      <c r="J45" s="8">
        <v>0</v>
      </c>
      <c r="K45" s="8">
        <v>48.72</v>
      </c>
      <c r="L45" s="8">
        <v>89.28</v>
      </c>
      <c r="M45" s="8">
        <v>13.12</v>
      </c>
      <c r="N45" s="8">
        <v>74.400000000000006</v>
      </c>
      <c r="O45" s="10">
        <f t="shared" si="3"/>
        <v>23075.717500000002</v>
      </c>
      <c r="P45" s="23">
        <f t="shared" si="4"/>
        <v>0.34287476207070161</v>
      </c>
      <c r="Q45" s="10">
        <f t="shared" si="5"/>
        <v>67300.717499999999</v>
      </c>
    </row>
    <row r="46" spans="1:18" s="3" customFormat="1" x14ac:dyDescent="0.25">
      <c r="A46" s="118" t="s">
        <v>155</v>
      </c>
      <c r="B46" s="44">
        <f>SUM(B5:B45)</f>
        <v>1227.5760000000002</v>
      </c>
      <c r="C46" s="54">
        <v>79274</v>
      </c>
      <c r="D46" s="39">
        <f>SUM(D5:D45)</f>
        <v>23416.500000000007</v>
      </c>
      <c r="E46" s="56">
        <v>46232</v>
      </c>
      <c r="F46" s="35">
        <f t="shared" si="6"/>
        <v>1.7146997750475861</v>
      </c>
      <c r="G46" s="30"/>
      <c r="H46" s="31"/>
      <c r="I46" s="21"/>
      <c r="J46" s="31"/>
      <c r="K46" s="31"/>
      <c r="L46" s="31"/>
      <c r="M46" s="31"/>
      <c r="N46" s="31"/>
      <c r="O46" s="58">
        <v>24866.959999999999</v>
      </c>
      <c r="P46" s="32">
        <f>O46/Q46</f>
        <v>0.34975138876855588</v>
      </c>
      <c r="Q46" s="54">
        <f>E46+O46</f>
        <v>71098.959999999992</v>
      </c>
    </row>
    <row r="47" spans="1:18" s="3" customFormat="1" x14ac:dyDescent="0.25">
      <c r="A47" s="119" t="s">
        <v>154</v>
      </c>
      <c r="B47" s="45">
        <f>Charters!B89</f>
        <v>107.62800000000001</v>
      </c>
      <c r="C47" s="55">
        <f>Charters!C89</f>
        <v>70693</v>
      </c>
      <c r="D47" s="40">
        <f>Charters!D89</f>
        <v>2139.6169999999997</v>
      </c>
      <c r="E47" s="55">
        <f>Charters!E89</f>
        <v>37778</v>
      </c>
      <c r="F47" s="49">
        <f t="shared" si="6"/>
        <v>1.8712742866218435</v>
      </c>
      <c r="G47" s="9"/>
      <c r="H47" s="8"/>
      <c r="I47" s="21"/>
      <c r="J47" s="8"/>
      <c r="K47" s="8"/>
      <c r="L47" s="8"/>
      <c r="M47" s="8"/>
      <c r="N47" s="29"/>
      <c r="O47" s="55">
        <f>Charters!O89</f>
        <v>13792.5</v>
      </c>
      <c r="P47" s="28">
        <f>Charters!P89</f>
        <v>0.2674494139091147</v>
      </c>
      <c r="Q47" s="55">
        <f>Charters!Q89</f>
        <v>51570.5</v>
      </c>
    </row>
    <row r="48" spans="1:18" x14ac:dyDescent="0.25">
      <c r="A48" s="119" t="s">
        <v>156</v>
      </c>
      <c r="B48" s="86" t="s">
        <v>15</v>
      </c>
      <c r="C48" s="51" t="s">
        <v>22</v>
      </c>
      <c r="D48" s="41">
        <v>110.48</v>
      </c>
      <c r="E48" s="57">
        <v>52782</v>
      </c>
      <c r="F48" s="51" t="s">
        <v>22</v>
      </c>
      <c r="G48" s="9"/>
      <c r="H48" s="8"/>
      <c r="I48" s="21"/>
      <c r="J48" s="8"/>
      <c r="K48" s="8"/>
      <c r="L48" s="8"/>
      <c r="M48" s="8"/>
      <c r="N48" s="8"/>
      <c r="O48" s="87" t="s">
        <v>14</v>
      </c>
      <c r="P48" s="52" t="s">
        <v>22</v>
      </c>
      <c r="Q48" s="51" t="s">
        <v>22</v>
      </c>
    </row>
    <row r="49" spans="1:17" s="3" customFormat="1" x14ac:dyDescent="0.25">
      <c r="A49" s="120" t="s">
        <v>157</v>
      </c>
      <c r="B49" s="61">
        <f>SUM(B46:B47)</f>
        <v>1335.2040000000002</v>
      </c>
      <c r="C49" s="62">
        <v>78573</v>
      </c>
      <c r="D49" s="63">
        <f>SUM(D46:D48)</f>
        <v>25666.597000000005</v>
      </c>
      <c r="E49" s="64">
        <v>45543</v>
      </c>
      <c r="F49" s="65">
        <f>C49/E49</f>
        <v>1.7252486660957775</v>
      </c>
      <c r="G49" s="66"/>
      <c r="H49" s="60"/>
      <c r="I49" s="60"/>
      <c r="J49" s="60"/>
      <c r="K49" s="60"/>
      <c r="L49" s="60"/>
      <c r="M49" s="60"/>
      <c r="N49" s="60"/>
      <c r="O49" s="88">
        <v>23939.78</v>
      </c>
      <c r="P49" s="89">
        <f>O49/Q49</f>
        <v>0.3445426334409763</v>
      </c>
      <c r="Q49" s="67">
        <f>E49+O49</f>
        <v>69482.78</v>
      </c>
    </row>
    <row r="50" spans="1:17" ht="13.15" customHeight="1" x14ac:dyDescent="0.25">
      <c r="A50" s="79" t="s">
        <v>24</v>
      </c>
    </row>
    <row r="51" spans="1:17" ht="13.15" customHeight="1" x14ac:dyDescent="0.25">
      <c r="A51" s="79" t="s">
        <v>25</v>
      </c>
    </row>
    <row r="52" spans="1:17" ht="13.15" customHeight="1" x14ac:dyDescent="0.25">
      <c r="A52" s="79" t="s">
        <v>23</v>
      </c>
    </row>
    <row r="53" spans="1:17" ht="13.15" customHeight="1" x14ac:dyDescent="0.25">
      <c r="A53" s="79" t="s">
        <v>26</v>
      </c>
    </row>
    <row r="54" spans="1:17" ht="13.15" customHeight="1" x14ac:dyDescent="0.25">
      <c r="A54" s="79" t="s">
        <v>21</v>
      </c>
    </row>
  </sheetData>
  <sheetProtection password="EB3F" sheet="1" objects="1" scenarios="1"/>
  <mergeCells count="10">
    <mergeCell ref="B3:B4"/>
    <mergeCell ref="E3:E4"/>
    <mergeCell ref="F2:F4"/>
    <mergeCell ref="Q2:Q4"/>
    <mergeCell ref="O3:O4"/>
    <mergeCell ref="D3:D4"/>
    <mergeCell ref="C3:C4"/>
    <mergeCell ref="P3:P4"/>
    <mergeCell ref="H3:H4"/>
    <mergeCell ref="G3:G4"/>
  </mergeCells>
  <printOptions horizontalCentered="1"/>
  <pageMargins left="0.25" right="0.25" top="0.75" bottom="0.75" header="0.3" footer="0.3"/>
  <pageSetup scale="63" fitToWidth="0" orientation="landscape" r:id="rId1"/>
  <headerFooter>
    <oddHeader>&amp;C&amp;"-,Bold"&amp;14Average Salary and Benefits (In Dollars), FY 2013
 District</oddHeader>
  </headerFooter>
  <ignoredErrors>
    <ignoredError sqref="D46 P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0"/>
  <sheetViews>
    <sheetView tabSelected="1" view="pageLayout" zoomScaleNormal="100" workbookViewId="0">
      <selection activeCell="A87" sqref="A87"/>
    </sheetView>
  </sheetViews>
  <sheetFormatPr defaultColWidth="8.85546875" defaultRowHeight="15" x14ac:dyDescent="0.25"/>
  <cols>
    <col min="1" max="1" width="49.85546875" style="3" customWidth="1"/>
    <col min="2" max="2" width="9.7109375" style="42" customWidth="1"/>
    <col min="3" max="3" width="9.7109375" style="46" customWidth="1"/>
    <col min="4" max="4" width="9.7109375" style="42" customWidth="1"/>
    <col min="5" max="6" width="9.7109375" style="11" customWidth="1"/>
    <col min="7" max="8" width="9.85546875" style="11" customWidth="1"/>
    <col min="9" max="9" width="9.85546875" style="18" customWidth="1"/>
    <col min="10" max="14" width="9.85546875" style="11" customWidth="1"/>
    <col min="15" max="15" width="9.85546875" style="46" customWidth="1"/>
    <col min="16" max="16" width="9.7109375" style="11" customWidth="1"/>
    <col min="17" max="17" width="9.85546875" style="11" customWidth="1"/>
    <col min="18" max="18" width="8.85546875" style="3"/>
    <col min="19" max="20" width="8.85546875" style="11"/>
    <col min="21" max="16384" width="8.85546875" style="3"/>
  </cols>
  <sheetData>
    <row r="1" spans="1:20" ht="17.25" x14ac:dyDescent="0.25">
      <c r="A1" s="113"/>
      <c r="B1" s="36" t="s">
        <v>18</v>
      </c>
      <c r="C1" s="15"/>
      <c r="D1" s="36"/>
      <c r="E1" s="15"/>
      <c r="F1" s="7"/>
      <c r="G1" s="12" t="s">
        <v>19</v>
      </c>
      <c r="H1" s="24"/>
      <c r="I1" s="24"/>
      <c r="J1" s="24"/>
      <c r="K1" s="24"/>
      <c r="L1" s="24"/>
      <c r="M1" s="24"/>
      <c r="N1" s="24"/>
      <c r="O1" s="24"/>
      <c r="P1" s="25"/>
      <c r="Q1" s="128" t="s">
        <v>11</v>
      </c>
    </row>
    <row r="2" spans="1:20" ht="14.45" customHeight="1" x14ac:dyDescent="0.25">
      <c r="A2" s="113"/>
      <c r="B2" s="36" t="s">
        <v>10</v>
      </c>
      <c r="C2" s="15"/>
      <c r="D2" s="37" t="s">
        <v>9</v>
      </c>
      <c r="E2" s="15"/>
      <c r="F2" s="125" t="s">
        <v>13</v>
      </c>
      <c r="G2" s="141"/>
      <c r="H2" s="142"/>
      <c r="I2" s="142"/>
      <c r="J2" s="142"/>
      <c r="K2" s="142"/>
      <c r="L2" s="142"/>
      <c r="M2" s="142"/>
      <c r="N2" s="143"/>
      <c r="O2" s="33" t="s">
        <v>8</v>
      </c>
      <c r="P2" s="34"/>
      <c r="Q2" s="138"/>
    </row>
    <row r="3" spans="1:20" ht="14.45" customHeight="1" x14ac:dyDescent="0.25">
      <c r="A3" s="113"/>
      <c r="B3" s="121" t="s">
        <v>20</v>
      </c>
      <c r="C3" s="146" t="s">
        <v>12</v>
      </c>
      <c r="D3" s="148" t="s">
        <v>20</v>
      </c>
      <c r="E3" s="123" t="s">
        <v>12</v>
      </c>
      <c r="F3" s="126"/>
      <c r="G3" s="138"/>
      <c r="H3" s="144"/>
      <c r="I3" s="144"/>
      <c r="J3" s="144"/>
      <c r="K3" s="144"/>
      <c r="L3" s="144"/>
      <c r="M3" s="144"/>
      <c r="N3" s="145"/>
      <c r="O3" s="47"/>
      <c r="P3" s="140" t="s">
        <v>16</v>
      </c>
      <c r="Q3" s="138"/>
    </row>
    <row r="4" spans="1:20" s="2" customFormat="1" ht="40.9" customHeight="1" x14ac:dyDescent="0.25">
      <c r="A4" s="112"/>
      <c r="B4" s="122"/>
      <c r="C4" s="147"/>
      <c r="D4" s="132"/>
      <c r="E4" s="124"/>
      <c r="F4" s="127"/>
      <c r="G4" s="20" t="s">
        <v>0</v>
      </c>
      <c r="H4" s="16" t="s">
        <v>1</v>
      </c>
      <c r="I4" s="16" t="s">
        <v>2</v>
      </c>
      <c r="J4" s="16" t="s">
        <v>3</v>
      </c>
      <c r="K4" s="16" t="s">
        <v>4</v>
      </c>
      <c r="L4" s="16" t="s">
        <v>5</v>
      </c>
      <c r="M4" s="16" t="s">
        <v>7</v>
      </c>
      <c r="N4" s="27" t="s">
        <v>6</v>
      </c>
      <c r="O4" s="22" t="s">
        <v>17</v>
      </c>
      <c r="P4" s="136"/>
      <c r="Q4" s="139"/>
      <c r="S4" s="68"/>
      <c r="T4" s="68"/>
    </row>
    <row r="5" spans="1:20" x14ac:dyDescent="0.25">
      <c r="A5" s="114" t="s">
        <v>70</v>
      </c>
      <c r="B5" s="94">
        <v>1</v>
      </c>
      <c r="C5" s="95">
        <v>90000</v>
      </c>
      <c r="D5" s="96">
        <v>20.515999999999998</v>
      </c>
      <c r="E5" s="31">
        <v>49136</v>
      </c>
      <c r="F5" s="97">
        <f t="shared" ref="F5:F10" si="0">C5/E5</f>
        <v>1.8316509280364701</v>
      </c>
      <c r="G5" s="30">
        <f t="shared" ref="G5:G27" si="1">E5*0.0765</f>
        <v>3758.904</v>
      </c>
      <c r="H5" s="31">
        <v>9755.3925999999992</v>
      </c>
      <c r="I5" s="31">
        <v>12744.96</v>
      </c>
      <c r="J5" s="31">
        <v>480</v>
      </c>
      <c r="K5" s="31">
        <v>118.8</v>
      </c>
      <c r="L5" s="31">
        <v>192.6</v>
      </c>
      <c r="M5" s="31">
        <v>192.6</v>
      </c>
      <c r="N5" s="31">
        <v>288.91000000000003</v>
      </c>
      <c r="O5" s="98">
        <f t="shared" ref="O5:O27" si="2">SUM(G5:N5)</f>
        <v>27532.166599999997</v>
      </c>
      <c r="P5" s="99">
        <f>O5/Q5</f>
        <v>0.35910819080418699</v>
      </c>
      <c r="Q5" s="100">
        <f t="shared" ref="Q5:Q48" si="3">E5+O5</f>
        <v>76668.166599999997</v>
      </c>
    </row>
    <row r="6" spans="1:20" x14ac:dyDescent="0.25">
      <c r="A6" s="115" t="s">
        <v>71</v>
      </c>
      <c r="B6" s="101">
        <v>1</v>
      </c>
      <c r="C6" s="102">
        <v>57000</v>
      </c>
      <c r="D6" s="38">
        <v>17.25</v>
      </c>
      <c r="E6" s="21">
        <v>37076</v>
      </c>
      <c r="F6" s="14">
        <f t="shared" si="0"/>
        <v>1.5373826734275542</v>
      </c>
      <c r="G6" s="9">
        <f t="shared" si="1"/>
        <v>2836.3139999999999</v>
      </c>
      <c r="H6" s="21">
        <v>7511.5976000000001</v>
      </c>
      <c r="I6" s="21">
        <v>7253.45</v>
      </c>
      <c r="J6" s="21">
        <v>703.44</v>
      </c>
      <c r="K6" s="21">
        <v>45</v>
      </c>
      <c r="L6" s="21">
        <v>0</v>
      </c>
      <c r="M6" s="21">
        <v>37.076000000000001</v>
      </c>
      <c r="N6" s="21">
        <v>45</v>
      </c>
      <c r="O6" s="48">
        <f t="shared" si="2"/>
        <v>18431.8776</v>
      </c>
      <c r="P6" s="23">
        <f t="shared" ref="P6:P69" si="4">O6/Q6</f>
        <v>0.33205877069960249</v>
      </c>
      <c r="Q6" s="103">
        <f t="shared" si="3"/>
        <v>55507.8776</v>
      </c>
    </row>
    <row r="7" spans="1:20" x14ac:dyDescent="0.25">
      <c r="A7" s="115" t="s">
        <v>72</v>
      </c>
      <c r="B7" s="101">
        <v>2</v>
      </c>
      <c r="C7" s="102">
        <v>51665</v>
      </c>
      <c r="D7" s="38">
        <v>70.344999999999999</v>
      </c>
      <c r="E7" s="21">
        <v>39368</v>
      </c>
      <c r="F7" s="14">
        <f t="shared" si="0"/>
        <v>1.3123602926234506</v>
      </c>
      <c r="G7" s="9">
        <f t="shared" si="1"/>
        <v>3011.652</v>
      </c>
      <c r="H7" s="21">
        <v>7975.9567999999999</v>
      </c>
      <c r="I7" s="21">
        <v>9600</v>
      </c>
      <c r="J7" s="21">
        <v>925</v>
      </c>
      <c r="K7" s="21">
        <v>0</v>
      </c>
      <c r="L7" s="21">
        <v>163</v>
      </c>
      <c r="M7" s="21">
        <v>39.368000000000002</v>
      </c>
      <c r="N7" s="21">
        <v>0</v>
      </c>
      <c r="O7" s="48">
        <f t="shared" si="2"/>
        <v>21714.9768</v>
      </c>
      <c r="P7" s="23">
        <f t="shared" si="4"/>
        <v>0.3554996487990415</v>
      </c>
      <c r="Q7" s="103">
        <f t="shared" si="3"/>
        <v>61082.976800000004</v>
      </c>
    </row>
    <row r="8" spans="1:20" x14ac:dyDescent="0.25">
      <c r="A8" s="115" t="s">
        <v>73</v>
      </c>
      <c r="B8" s="101">
        <v>6</v>
      </c>
      <c r="C8" s="102">
        <v>45633</v>
      </c>
      <c r="D8" s="38">
        <v>93.566000000000003</v>
      </c>
      <c r="E8" s="21">
        <v>35231</v>
      </c>
      <c r="F8" s="14">
        <f t="shared" si="0"/>
        <v>1.2952513411484203</v>
      </c>
      <c r="G8" s="9">
        <f t="shared" si="1"/>
        <v>2695.1714999999999</v>
      </c>
      <c r="H8" s="21">
        <v>2113.86</v>
      </c>
      <c r="I8" s="21">
        <v>3935.52</v>
      </c>
      <c r="J8" s="21">
        <v>385.92</v>
      </c>
      <c r="K8" s="21">
        <v>83.27</v>
      </c>
      <c r="L8" s="21">
        <v>74.62</v>
      </c>
      <c r="M8" s="21">
        <v>598.92999999999995</v>
      </c>
      <c r="N8" s="21">
        <v>510.85</v>
      </c>
      <c r="O8" s="48">
        <f t="shared" si="2"/>
        <v>10398.141500000002</v>
      </c>
      <c r="P8" s="23">
        <f t="shared" si="4"/>
        <v>0.22788378562853306</v>
      </c>
      <c r="Q8" s="103">
        <f t="shared" si="3"/>
        <v>45629.141499999998</v>
      </c>
    </row>
    <row r="9" spans="1:20" x14ac:dyDescent="0.25">
      <c r="A9" s="116" t="s">
        <v>74</v>
      </c>
      <c r="B9" s="104">
        <v>1</v>
      </c>
      <c r="C9" s="105">
        <v>60000</v>
      </c>
      <c r="D9" s="106">
        <v>12</v>
      </c>
      <c r="E9" s="60">
        <v>38000</v>
      </c>
      <c r="F9" s="107">
        <f t="shared" si="0"/>
        <v>1.5789473684210527</v>
      </c>
      <c r="G9" s="66">
        <f t="shared" si="1"/>
        <v>2907</v>
      </c>
      <c r="H9" s="60">
        <v>0</v>
      </c>
      <c r="I9" s="60">
        <v>425.44</v>
      </c>
      <c r="J9" s="60">
        <v>0</v>
      </c>
      <c r="K9" s="60">
        <v>0</v>
      </c>
      <c r="L9" s="60">
        <v>7.98</v>
      </c>
      <c r="M9" s="60">
        <v>152</v>
      </c>
      <c r="N9" s="60">
        <v>0</v>
      </c>
      <c r="O9" s="108">
        <f t="shared" si="2"/>
        <v>3492.42</v>
      </c>
      <c r="P9" s="109">
        <f t="shared" si="4"/>
        <v>8.4170072509629476E-2</v>
      </c>
      <c r="Q9" s="110">
        <f t="shared" si="3"/>
        <v>41492.42</v>
      </c>
    </row>
    <row r="10" spans="1:20" x14ac:dyDescent="0.25">
      <c r="A10" s="114" t="s">
        <v>75</v>
      </c>
      <c r="B10" s="94">
        <v>1</v>
      </c>
      <c r="C10" s="95">
        <v>81000</v>
      </c>
      <c r="D10" s="96">
        <v>11.561</v>
      </c>
      <c r="E10" s="31">
        <v>36918</v>
      </c>
      <c r="F10" s="97">
        <f t="shared" si="0"/>
        <v>2.1940516821062896</v>
      </c>
      <c r="G10" s="30">
        <f t="shared" si="1"/>
        <v>2824.2269999999999</v>
      </c>
      <c r="H10" s="31">
        <v>1799.22</v>
      </c>
      <c r="I10" s="31">
        <v>4862.13</v>
      </c>
      <c r="J10" s="31">
        <v>658.75</v>
      </c>
      <c r="K10" s="31">
        <v>0</v>
      </c>
      <c r="L10" s="31">
        <v>214.14</v>
      </c>
      <c r="M10" s="31">
        <v>180.3</v>
      </c>
      <c r="N10" s="31">
        <v>0</v>
      </c>
      <c r="O10" s="98">
        <f t="shared" si="2"/>
        <v>10538.767</v>
      </c>
      <c r="P10" s="99">
        <f t="shared" si="4"/>
        <v>0.2220709008685737</v>
      </c>
      <c r="Q10" s="100">
        <f t="shared" si="3"/>
        <v>47456.767</v>
      </c>
    </row>
    <row r="11" spans="1:20" x14ac:dyDescent="0.25">
      <c r="A11" s="115" t="s">
        <v>76</v>
      </c>
      <c r="B11" s="101"/>
      <c r="C11" s="102" t="s">
        <v>15</v>
      </c>
      <c r="D11" s="38">
        <v>14.233000000000001</v>
      </c>
      <c r="E11" s="21">
        <v>33663</v>
      </c>
      <c r="F11" s="14"/>
      <c r="G11" s="9">
        <f t="shared" si="1"/>
        <v>2575.2195000000002</v>
      </c>
      <c r="H11" s="21">
        <v>0</v>
      </c>
      <c r="I11" s="21">
        <v>3562</v>
      </c>
      <c r="J11" s="21">
        <v>0</v>
      </c>
      <c r="K11" s="21">
        <v>0</v>
      </c>
      <c r="L11" s="21">
        <v>113.71</v>
      </c>
      <c r="M11" s="21">
        <v>449.32</v>
      </c>
      <c r="N11" s="21">
        <v>0</v>
      </c>
      <c r="O11" s="48">
        <f t="shared" si="2"/>
        <v>6700.2494999999999</v>
      </c>
      <c r="P11" s="23">
        <f t="shared" si="4"/>
        <v>0.16599876330571453</v>
      </c>
      <c r="Q11" s="103">
        <f t="shared" si="3"/>
        <v>40363.249499999998</v>
      </c>
    </row>
    <row r="12" spans="1:20" x14ac:dyDescent="0.25">
      <c r="A12" s="115" t="s">
        <v>77</v>
      </c>
      <c r="B12" s="101"/>
      <c r="C12" s="102" t="s">
        <v>14</v>
      </c>
      <c r="D12" s="38">
        <v>13.595000000000001</v>
      </c>
      <c r="E12" s="21">
        <v>33018</v>
      </c>
      <c r="F12" s="14"/>
      <c r="G12" s="9">
        <f t="shared" si="1"/>
        <v>2525.877</v>
      </c>
      <c r="H12" s="21">
        <v>6689.4467999999997</v>
      </c>
      <c r="I12" s="21">
        <v>6571.8</v>
      </c>
      <c r="J12" s="21">
        <v>0</v>
      </c>
      <c r="K12" s="21">
        <v>286.68</v>
      </c>
      <c r="L12" s="21">
        <v>138.68</v>
      </c>
      <c r="M12" s="21">
        <v>33.018000000000001</v>
      </c>
      <c r="N12" s="21">
        <v>365.12</v>
      </c>
      <c r="O12" s="48">
        <f t="shared" si="2"/>
        <v>16610.621800000001</v>
      </c>
      <c r="P12" s="23">
        <f t="shared" si="4"/>
        <v>0.33469843000959582</v>
      </c>
      <c r="Q12" s="103">
        <f t="shared" si="3"/>
        <v>49628.621800000001</v>
      </c>
    </row>
    <row r="13" spans="1:20" x14ac:dyDescent="0.25">
      <c r="A13" s="115" t="s">
        <v>78</v>
      </c>
      <c r="B13" s="101">
        <v>1</v>
      </c>
      <c r="C13" s="102">
        <v>85000</v>
      </c>
      <c r="D13" s="38">
        <v>22</v>
      </c>
      <c r="E13" s="21">
        <v>41051</v>
      </c>
      <c r="F13" s="14">
        <f>C13/E13</f>
        <v>2.0705951133955325</v>
      </c>
      <c r="G13" s="9">
        <f t="shared" si="1"/>
        <v>3140.4014999999999</v>
      </c>
      <c r="H13" s="21">
        <v>1500</v>
      </c>
      <c r="I13" s="21">
        <v>6340</v>
      </c>
      <c r="J13" s="21">
        <v>493</v>
      </c>
      <c r="K13" s="21">
        <v>0</v>
      </c>
      <c r="L13" s="21">
        <v>0</v>
      </c>
      <c r="M13" s="21">
        <v>41.850999999999999</v>
      </c>
      <c r="N13" s="21">
        <v>0</v>
      </c>
      <c r="O13" s="48">
        <f t="shared" si="2"/>
        <v>11515.252500000001</v>
      </c>
      <c r="P13" s="23">
        <f t="shared" si="4"/>
        <v>0.2190616974265</v>
      </c>
      <c r="Q13" s="103">
        <f t="shared" si="3"/>
        <v>52566.252500000002</v>
      </c>
    </row>
    <row r="14" spans="1:20" x14ac:dyDescent="0.25">
      <c r="A14" s="116" t="s">
        <v>79</v>
      </c>
      <c r="B14" s="104">
        <v>1.25</v>
      </c>
      <c r="C14" s="105">
        <v>69720</v>
      </c>
      <c r="D14" s="106">
        <v>18.5</v>
      </c>
      <c r="E14" s="60">
        <v>38193</v>
      </c>
      <c r="F14" s="107">
        <f>C14/E14</f>
        <v>1.8254653994187418</v>
      </c>
      <c r="G14" s="66">
        <f t="shared" si="1"/>
        <v>2921.7644999999998</v>
      </c>
      <c r="H14" s="60">
        <v>2607</v>
      </c>
      <c r="I14" s="60">
        <v>4324</v>
      </c>
      <c r="J14" s="60">
        <v>388</v>
      </c>
      <c r="K14" s="60">
        <v>60</v>
      </c>
      <c r="L14" s="60">
        <v>140</v>
      </c>
      <c r="M14" s="60">
        <v>155</v>
      </c>
      <c r="N14" s="60">
        <v>0</v>
      </c>
      <c r="O14" s="108">
        <f t="shared" si="2"/>
        <v>10595.764499999999</v>
      </c>
      <c r="P14" s="109">
        <f t="shared" si="4"/>
        <v>0.21717632345455273</v>
      </c>
      <c r="Q14" s="110">
        <f t="shared" si="3"/>
        <v>48788.764499999997</v>
      </c>
    </row>
    <row r="15" spans="1:20" x14ac:dyDescent="0.25">
      <c r="A15" s="114" t="s">
        <v>80</v>
      </c>
      <c r="B15" s="94">
        <v>0.9</v>
      </c>
      <c r="C15" s="95">
        <v>53832</v>
      </c>
      <c r="D15" s="96">
        <v>12.917</v>
      </c>
      <c r="E15" s="31">
        <v>36452</v>
      </c>
      <c r="F15" s="97">
        <f>C15/E15</f>
        <v>1.4767913969055195</v>
      </c>
      <c r="G15" s="30">
        <f t="shared" si="1"/>
        <v>2788.578</v>
      </c>
      <c r="H15" s="31">
        <v>1653.44</v>
      </c>
      <c r="I15" s="31">
        <v>5511.45</v>
      </c>
      <c r="J15" s="31">
        <v>0</v>
      </c>
      <c r="K15" s="31">
        <v>0</v>
      </c>
      <c r="L15" s="31">
        <v>121.25</v>
      </c>
      <c r="M15" s="31">
        <v>36.74</v>
      </c>
      <c r="N15" s="31">
        <v>0</v>
      </c>
      <c r="O15" s="98">
        <f t="shared" si="2"/>
        <v>10111.458000000001</v>
      </c>
      <c r="P15" s="99">
        <f t="shared" si="4"/>
        <v>0.21715436168851551</v>
      </c>
      <c r="Q15" s="100">
        <f t="shared" si="3"/>
        <v>46563.457999999999</v>
      </c>
    </row>
    <row r="16" spans="1:20" x14ac:dyDescent="0.25">
      <c r="A16" s="115" t="s">
        <v>81</v>
      </c>
      <c r="B16" s="101"/>
      <c r="C16" s="102" t="s">
        <v>14</v>
      </c>
      <c r="D16" s="38">
        <v>11</v>
      </c>
      <c r="E16" s="21">
        <v>31536</v>
      </c>
      <c r="F16" s="14"/>
      <c r="G16" s="9">
        <f t="shared" si="1"/>
        <v>2412.5039999999999</v>
      </c>
      <c r="H16" s="21">
        <v>947.7</v>
      </c>
      <c r="I16" s="21">
        <v>4681.4399999999996</v>
      </c>
      <c r="J16" s="21">
        <v>0</v>
      </c>
      <c r="K16" s="21">
        <v>14.4</v>
      </c>
      <c r="L16" s="21">
        <v>0</v>
      </c>
      <c r="M16" s="21">
        <v>575.70000000000005</v>
      </c>
      <c r="N16" s="21">
        <v>0</v>
      </c>
      <c r="O16" s="48">
        <f t="shared" si="2"/>
        <v>8631.7439999999988</v>
      </c>
      <c r="P16" s="23">
        <f t="shared" si="4"/>
        <v>0.21489242711763945</v>
      </c>
      <c r="Q16" s="103">
        <f t="shared" si="3"/>
        <v>40167.743999999999</v>
      </c>
    </row>
    <row r="17" spans="1:17" x14ac:dyDescent="0.25">
      <c r="A17" s="115" t="s">
        <v>82</v>
      </c>
      <c r="B17" s="101">
        <v>1.25</v>
      </c>
      <c r="C17" s="102">
        <v>82500</v>
      </c>
      <c r="D17" s="38">
        <v>31.9</v>
      </c>
      <c r="E17" s="21">
        <v>37001</v>
      </c>
      <c r="F17" s="14">
        <f>C17/E17</f>
        <v>2.2296694683927463</v>
      </c>
      <c r="G17" s="9">
        <f t="shared" si="1"/>
        <v>2830.5765000000001</v>
      </c>
      <c r="H17" s="21">
        <v>1224.3900000000001</v>
      </c>
      <c r="I17" s="21">
        <v>4088.57</v>
      </c>
      <c r="J17" s="21">
        <v>0</v>
      </c>
      <c r="K17" s="21">
        <v>72.150000000000006</v>
      </c>
      <c r="L17" s="21">
        <v>198.89</v>
      </c>
      <c r="M17" s="21">
        <v>765.24</v>
      </c>
      <c r="N17" s="21">
        <v>0</v>
      </c>
      <c r="O17" s="48">
        <f t="shared" si="2"/>
        <v>9179.816499999999</v>
      </c>
      <c r="P17" s="23">
        <f t="shared" si="4"/>
        <v>0.19877986566131844</v>
      </c>
      <c r="Q17" s="103">
        <f t="shared" si="3"/>
        <v>46180.816500000001</v>
      </c>
    </row>
    <row r="18" spans="1:17" x14ac:dyDescent="0.25">
      <c r="A18" s="115" t="s">
        <v>83</v>
      </c>
      <c r="B18" s="101">
        <v>1.5</v>
      </c>
      <c r="C18" s="102">
        <v>52500</v>
      </c>
      <c r="D18" s="38">
        <v>18.22</v>
      </c>
      <c r="E18" s="21">
        <v>38832</v>
      </c>
      <c r="F18" s="14">
        <f>C18/E18</f>
        <v>1.3519777503090236</v>
      </c>
      <c r="G18" s="9">
        <f t="shared" si="1"/>
        <v>2970.6480000000001</v>
      </c>
      <c r="H18" s="21">
        <v>776.64</v>
      </c>
      <c r="I18" s="21">
        <v>4784.51</v>
      </c>
      <c r="J18" s="21">
        <v>0</v>
      </c>
      <c r="K18" s="21">
        <v>0</v>
      </c>
      <c r="L18" s="21">
        <v>231.18</v>
      </c>
      <c r="M18" s="21">
        <v>516.63</v>
      </c>
      <c r="N18" s="21">
        <v>0</v>
      </c>
      <c r="O18" s="48">
        <f t="shared" si="2"/>
        <v>9279.6080000000002</v>
      </c>
      <c r="P18" s="23">
        <f t="shared" si="4"/>
        <v>0.19287669620188128</v>
      </c>
      <c r="Q18" s="103">
        <f t="shared" si="3"/>
        <v>48111.608</v>
      </c>
    </row>
    <row r="19" spans="1:17" x14ac:dyDescent="0.25">
      <c r="A19" s="116" t="s">
        <v>84</v>
      </c>
      <c r="B19" s="104">
        <v>0.95</v>
      </c>
      <c r="C19" s="105">
        <v>77250</v>
      </c>
      <c r="D19" s="106">
        <v>34.24</v>
      </c>
      <c r="E19" s="60">
        <v>37252</v>
      </c>
      <c r="F19" s="107">
        <f>C19/E19</f>
        <v>2.0737141629979599</v>
      </c>
      <c r="G19" s="66">
        <f t="shared" si="1"/>
        <v>2849.7779999999998</v>
      </c>
      <c r="H19" s="60">
        <v>0</v>
      </c>
      <c r="I19" s="60">
        <v>7500</v>
      </c>
      <c r="J19" s="60">
        <v>0</v>
      </c>
      <c r="K19" s="60">
        <v>0</v>
      </c>
      <c r="L19" s="60">
        <v>111.77</v>
      </c>
      <c r="M19" s="60">
        <v>860.32</v>
      </c>
      <c r="N19" s="60">
        <v>0</v>
      </c>
      <c r="O19" s="108">
        <f t="shared" si="2"/>
        <v>11321.868</v>
      </c>
      <c r="P19" s="109">
        <f t="shared" si="4"/>
        <v>0.23308557597266086</v>
      </c>
      <c r="Q19" s="110">
        <f t="shared" si="3"/>
        <v>48573.868000000002</v>
      </c>
    </row>
    <row r="20" spans="1:17" x14ac:dyDescent="0.25">
      <c r="A20" s="114" t="s">
        <v>85</v>
      </c>
      <c r="B20" s="94"/>
      <c r="C20" s="95" t="s">
        <v>15</v>
      </c>
      <c r="D20" s="96">
        <v>17.167000000000002</v>
      </c>
      <c r="E20" s="31">
        <v>33365</v>
      </c>
      <c r="F20" s="97"/>
      <c r="G20" s="30">
        <f t="shared" si="1"/>
        <v>2552.4225000000001</v>
      </c>
      <c r="H20" s="31">
        <v>6759.7489999999998</v>
      </c>
      <c r="I20" s="31">
        <v>4560</v>
      </c>
      <c r="J20" s="31">
        <v>242.4</v>
      </c>
      <c r="K20" s="31">
        <v>0</v>
      </c>
      <c r="L20" s="31">
        <v>225</v>
      </c>
      <c r="M20" s="31">
        <v>33.365000000000002</v>
      </c>
      <c r="N20" s="31">
        <v>0</v>
      </c>
      <c r="O20" s="98">
        <f t="shared" si="2"/>
        <v>14372.9365</v>
      </c>
      <c r="P20" s="99">
        <f t="shared" si="4"/>
        <v>0.30107997022451949</v>
      </c>
      <c r="Q20" s="100">
        <f t="shared" si="3"/>
        <v>47737.936499999996</v>
      </c>
    </row>
    <row r="21" spans="1:17" x14ac:dyDescent="0.25">
      <c r="A21" s="115" t="s">
        <v>86</v>
      </c>
      <c r="B21" s="101">
        <v>1.3</v>
      </c>
      <c r="C21" s="102">
        <v>76869</v>
      </c>
      <c r="D21" s="38">
        <v>16.163</v>
      </c>
      <c r="E21" s="21">
        <v>45192</v>
      </c>
      <c r="F21" s="14">
        <f t="shared" ref="F21:F37" si="5">C21/E21</f>
        <v>1.7009426447158789</v>
      </c>
      <c r="G21" s="9">
        <f t="shared" si="1"/>
        <v>3457.1880000000001</v>
      </c>
      <c r="H21" s="21">
        <v>6916.18</v>
      </c>
      <c r="I21" s="21">
        <v>7235.32</v>
      </c>
      <c r="J21" s="21">
        <v>812.96</v>
      </c>
      <c r="K21" s="21">
        <v>81.3</v>
      </c>
      <c r="L21" s="21">
        <v>150.47999999999999</v>
      </c>
      <c r="M21" s="21">
        <v>45.192</v>
      </c>
      <c r="N21" s="21">
        <v>125.18</v>
      </c>
      <c r="O21" s="48">
        <f t="shared" si="2"/>
        <v>18823.8</v>
      </c>
      <c r="P21" s="23">
        <f t="shared" si="4"/>
        <v>0.29404928158360905</v>
      </c>
      <c r="Q21" s="103">
        <f t="shared" si="3"/>
        <v>64015.8</v>
      </c>
    </row>
    <row r="22" spans="1:17" x14ac:dyDescent="0.25">
      <c r="A22" s="115" t="s">
        <v>87</v>
      </c>
      <c r="B22" s="101">
        <v>1.75</v>
      </c>
      <c r="C22" s="102">
        <v>65000</v>
      </c>
      <c r="D22" s="38">
        <v>25.5</v>
      </c>
      <c r="E22" s="21">
        <v>36882</v>
      </c>
      <c r="F22" s="14">
        <f t="shared" si="5"/>
        <v>1.7623773114256276</v>
      </c>
      <c r="G22" s="9">
        <f t="shared" si="1"/>
        <v>2821.473</v>
      </c>
      <c r="H22" s="21">
        <v>2212.92</v>
      </c>
      <c r="I22" s="21">
        <v>4400</v>
      </c>
      <c r="J22" s="21">
        <v>310</v>
      </c>
      <c r="K22" s="21">
        <v>24.12</v>
      </c>
      <c r="L22" s="21">
        <v>39.17</v>
      </c>
      <c r="M22" s="21">
        <v>36.881999999999998</v>
      </c>
      <c r="N22" s="21">
        <v>61.78</v>
      </c>
      <c r="O22" s="48">
        <f t="shared" si="2"/>
        <v>9906.3450000000012</v>
      </c>
      <c r="P22" s="23">
        <f t="shared" si="4"/>
        <v>0.21172676656975153</v>
      </c>
      <c r="Q22" s="103">
        <f t="shared" si="3"/>
        <v>46788.345000000001</v>
      </c>
    </row>
    <row r="23" spans="1:17" x14ac:dyDescent="0.25">
      <c r="A23" s="115" t="s">
        <v>88</v>
      </c>
      <c r="B23" s="101">
        <v>1</v>
      </c>
      <c r="C23" s="102">
        <v>65000</v>
      </c>
      <c r="D23" s="38">
        <v>44.09</v>
      </c>
      <c r="E23" s="21">
        <v>38004</v>
      </c>
      <c r="F23" s="14">
        <f t="shared" si="5"/>
        <v>1.710346279339017</v>
      </c>
      <c r="G23" s="9">
        <f t="shared" si="1"/>
        <v>2907.306</v>
      </c>
      <c r="H23" s="21">
        <v>2590.2800000000002</v>
      </c>
      <c r="I23" s="21">
        <v>10915.8</v>
      </c>
      <c r="J23" s="21">
        <v>1463.28</v>
      </c>
      <c r="K23" s="21">
        <v>23.93</v>
      </c>
      <c r="L23" s="21">
        <v>109.51</v>
      </c>
      <c r="M23" s="21">
        <v>432.76</v>
      </c>
      <c r="N23" s="21">
        <v>0</v>
      </c>
      <c r="O23" s="48">
        <f t="shared" si="2"/>
        <v>18442.865999999995</v>
      </c>
      <c r="P23" s="23">
        <f t="shared" si="4"/>
        <v>0.32672967175892453</v>
      </c>
      <c r="Q23" s="103">
        <f t="shared" si="3"/>
        <v>56446.865999999995</v>
      </c>
    </row>
    <row r="24" spans="1:17" x14ac:dyDescent="0.25">
      <c r="A24" s="116" t="s">
        <v>89</v>
      </c>
      <c r="B24" s="104">
        <v>2</v>
      </c>
      <c r="C24" s="105">
        <v>47665</v>
      </c>
      <c r="D24" s="106">
        <v>28.062000000000001</v>
      </c>
      <c r="E24" s="60">
        <v>37797</v>
      </c>
      <c r="F24" s="107">
        <f t="shared" si="5"/>
        <v>1.2610789216075351</v>
      </c>
      <c r="G24" s="66">
        <f t="shared" si="1"/>
        <v>2891.4704999999999</v>
      </c>
      <c r="H24" s="60">
        <v>3399.12</v>
      </c>
      <c r="I24" s="60">
        <v>7200</v>
      </c>
      <c r="J24" s="60">
        <v>0</v>
      </c>
      <c r="K24" s="60">
        <v>36</v>
      </c>
      <c r="L24" s="60">
        <v>150</v>
      </c>
      <c r="M24" s="60">
        <v>230.1</v>
      </c>
      <c r="N24" s="60">
        <v>0</v>
      </c>
      <c r="O24" s="108">
        <f t="shared" si="2"/>
        <v>13906.690500000001</v>
      </c>
      <c r="P24" s="109">
        <f t="shared" si="4"/>
        <v>0.2689690110225304</v>
      </c>
      <c r="Q24" s="110">
        <f t="shared" si="3"/>
        <v>51703.690499999997</v>
      </c>
    </row>
    <row r="25" spans="1:17" x14ac:dyDescent="0.25">
      <c r="A25" s="114" t="s">
        <v>90</v>
      </c>
      <c r="B25" s="94">
        <v>1.04</v>
      </c>
      <c r="C25" s="95">
        <v>61538</v>
      </c>
      <c r="D25" s="96">
        <v>11.122</v>
      </c>
      <c r="E25" s="31">
        <v>36271</v>
      </c>
      <c r="F25" s="97">
        <f t="shared" si="5"/>
        <v>1.6966171321441372</v>
      </c>
      <c r="G25" s="30">
        <f t="shared" si="1"/>
        <v>2774.7314999999999</v>
      </c>
      <c r="H25" s="31">
        <v>7348.5046000000002</v>
      </c>
      <c r="I25" s="31">
        <v>6600</v>
      </c>
      <c r="J25" s="31">
        <v>250</v>
      </c>
      <c r="K25" s="31">
        <v>0</v>
      </c>
      <c r="L25" s="31">
        <v>102</v>
      </c>
      <c r="M25" s="31">
        <v>36.271000000000001</v>
      </c>
      <c r="N25" s="31">
        <v>0</v>
      </c>
      <c r="O25" s="98">
        <f t="shared" si="2"/>
        <v>17111.507100000003</v>
      </c>
      <c r="P25" s="99">
        <f t="shared" si="4"/>
        <v>0.3205452128343369</v>
      </c>
      <c r="Q25" s="100">
        <f t="shared" si="3"/>
        <v>53382.507100000003</v>
      </c>
    </row>
    <row r="26" spans="1:17" x14ac:dyDescent="0.25">
      <c r="A26" s="115" t="s">
        <v>91</v>
      </c>
      <c r="B26" s="101">
        <v>1</v>
      </c>
      <c r="C26" s="102">
        <v>95000</v>
      </c>
      <c r="D26" s="38">
        <v>36.305</v>
      </c>
      <c r="E26" s="21">
        <v>40031</v>
      </c>
      <c r="F26" s="14">
        <f t="shared" si="5"/>
        <v>2.3731608003797056</v>
      </c>
      <c r="G26" s="9">
        <f t="shared" si="1"/>
        <v>3062.3714999999997</v>
      </c>
      <c r="H26" s="21">
        <v>8110.2806</v>
      </c>
      <c r="I26" s="21">
        <v>11500</v>
      </c>
      <c r="J26" s="21">
        <v>0</v>
      </c>
      <c r="K26" s="21">
        <v>30</v>
      </c>
      <c r="L26" s="21">
        <v>0</v>
      </c>
      <c r="M26" s="21">
        <v>40.030999999999999</v>
      </c>
      <c r="N26" s="21">
        <v>0</v>
      </c>
      <c r="O26" s="48">
        <f t="shared" si="2"/>
        <v>22742.683099999998</v>
      </c>
      <c r="P26" s="23">
        <f t="shared" si="4"/>
        <v>0.36229645891209467</v>
      </c>
      <c r="Q26" s="103">
        <f t="shared" si="3"/>
        <v>62773.683099999995</v>
      </c>
    </row>
    <row r="27" spans="1:17" x14ac:dyDescent="0.25">
      <c r="A27" s="115" t="s">
        <v>92</v>
      </c>
      <c r="B27" s="101">
        <v>1.722</v>
      </c>
      <c r="C27" s="102">
        <v>49508</v>
      </c>
      <c r="D27" s="38">
        <v>23.655000000000001</v>
      </c>
      <c r="E27" s="21">
        <v>32487</v>
      </c>
      <c r="F27" s="14">
        <f t="shared" si="5"/>
        <v>1.5239326499830701</v>
      </c>
      <c r="G27" s="9">
        <f t="shared" si="1"/>
        <v>2485.2554999999998</v>
      </c>
      <c r="H27" s="21">
        <v>1530.65</v>
      </c>
      <c r="I27" s="21">
        <v>4800</v>
      </c>
      <c r="J27" s="21">
        <v>0</v>
      </c>
      <c r="K27" s="21">
        <v>6.65</v>
      </c>
      <c r="L27" s="21">
        <v>116.32</v>
      </c>
      <c r="M27" s="21">
        <v>489</v>
      </c>
      <c r="N27" s="21">
        <v>62</v>
      </c>
      <c r="O27" s="48">
        <f t="shared" si="2"/>
        <v>9489.8755000000001</v>
      </c>
      <c r="P27" s="23">
        <f t="shared" si="4"/>
        <v>0.22607388918215221</v>
      </c>
      <c r="Q27" s="103">
        <f t="shared" si="3"/>
        <v>41976.875500000002</v>
      </c>
    </row>
    <row r="28" spans="1:17" x14ac:dyDescent="0.25">
      <c r="A28" s="115" t="s">
        <v>93</v>
      </c>
      <c r="B28" s="101">
        <v>1.5</v>
      </c>
      <c r="C28" s="102">
        <v>62000</v>
      </c>
      <c r="D28" s="38">
        <v>43.9</v>
      </c>
      <c r="E28" s="21">
        <v>34301</v>
      </c>
      <c r="F28" s="14">
        <f t="shared" si="5"/>
        <v>1.8075274773330223</v>
      </c>
      <c r="G28" s="9">
        <f t="shared" ref="G28:G88" si="6">E28*0.0765</f>
        <v>2624.0264999999999</v>
      </c>
      <c r="H28" s="21">
        <v>1715.05</v>
      </c>
      <c r="I28" s="21">
        <v>5516.22</v>
      </c>
      <c r="J28" s="21">
        <v>0</v>
      </c>
      <c r="K28" s="21">
        <v>0</v>
      </c>
      <c r="L28" s="21">
        <v>137.19999999999999</v>
      </c>
      <c r="M28" s="21">
        <v>205.81</v>
      </c>
      <c r="N28" s="21">
        <v>0</v>
      </c>
      <c r="O28" s="48">
        <f t="shared" ref="O28:O88" si="7">SUM(G28:N28)</f>
        <v>10198.306500000001</v>
      </c>
      <c r="P28" s="23">
        <f t="shared" si="4"/>
        <v>0.22917899855360668</v>
      </c>
      <c r="Q28" s="103">
        <f t="shared" si="3"/>
        <v>44499.306499999999</v>
      </c>
    </row>
    <row r="29" spans="1:17" x14ac:dyDescent="0.25">
      <c r="A29" s="116" t="s">
        <v>94</v>
      </c>
      <c r="B29" s="104">
        <v>1</v>
      </c>
      <c r="C29" s="105">
        <v>60000</v>
      </c>
      <c r="D29" s="106">
        <v>23.34</v>
      </c>
      <c r="E29" s="60">
        <v>35467</v>
      </c>
      <c r="F29" s="107">
        <f t="shared" si="5"/>
        <v>1.6917134237460174</v>
      </c>
      <c r="G29" s="66">
        <f t="shared" si="6"/>
        <v>2713.2255</v>
      </c>
      <c r="H29" s="60">
        <v>2482.69</v>
      </c>
      <c r="I29" s="60">
        <v>4073.8</v>
      </c>
      <c r="J29" s="60">
        <v>0</v>
      </c>
      <c r="K29" s="60">
        <v>20.21</v>
      </c>
      <c r="L29" s="60">
        <v>137.75</v>
      </c>
      <c r="M29" s="60">
        <v>124.38</v>
      </c>
      <c r="N29" s="60">
        <v>0</v>
      </c>
      <c r="O29" s="108">
        <f t="shared" si="7"/>
        <v>9552.0554999999986</v>
      </c>
      <c r="P29" s="109">
        <f t="shared" si="4"/>
        <v>0.21217805202510298</v>
      </c>
      <c r="Q29" s="110">
        <f t="shared" si="3"/>
        <v>45019.055500000002</v>
      </c>
    </row>
    <row r="30" spans="1:17" x14ac:dyDescent="0.25">
      <c r="A30" s="114" t="s">
        <v>95</v>
      </c>
      <c r="B30" s="94">
        <v>1</v>
      </c>
      <c r="C30" s="95">
        <v>80000</v>
      </c>
      <c r="D30" s="96">
        <v>6.3780000000000001</v>
      </c>
      <c r="E30" s="31">
        <v>37176</v>
      </c>
      <c r="F30" s="97">
        <f t="shared" si="5"/>
        <v>2.1519259737465033</v>
      </c>
      <c r="G30" s="30">
        <f t="shared" si="6"/>
        <v>2843.9639999999999</v>
      </c>
      <c r="H30" s="31">
        <v>1115.28</v>
      </c>
      <c r="I30" s="31">
        <v>4336.8</v>
      </c>
      <c r="J30" s="31">
        <v>171</v>
      </c>
      <c r="K30" s="31">
        <v>65.760000000000005</v>
      </c>
      <c r="L30" s="31">
        <v>105.12</v>
      </c>
      <c r="M30" s="31">
        <v>141.5</v>
      </c>
      <c r="N30" s="31">
        <v>0</v>
      </c>
      <c r="O30" s="98">
        <f t="shared" si="7"/>
        <v>8779.4240000000009</v>
      </c>
      <c r="P30" s="99">
        <f t="shared" si="4"/>
        <v>0.19104217164876994</v>
      </c>
      <c r="Q30" s="100">
        <f t="shared" si="3"/>
        <v>45955.423999999999</v>
      </c>
    </row>
    <row r="31" spans="1:17" x14ac:dyDescent="0.25">
      <c r="A31" s="115" t="s">
        <v>96</v>
      </c>
      <c r="B31" s="101">
        <v>1</v>
      </c>
      <c r="C31" s="102">
        <v>82000</v>
      </c>
      <c r="D31" s="38">
        <v>34.549999999999997</v>
      </c>
      <c r="E31" s="21">
        <v>33861</v>
      </c>
      <c r="F31" s="14">
        <f t="shared" si="5"/>
        <v>2.4216650423791384</v>
      </c>
      <c r="G31" s="9">
        <f t="shared" si="6"/>
        <v>2590.3665000000001</v>
      </c>
      <c r="H31" s="21">
        <v>0</v>
      </c>
      <c r="I31" s="21">
        <v>7800</v>
      </c>
      <c r="J31" s="21">
        <v>0</v>
      </c>
      <c r="K31" s="21">
        <v>0</v>
      </c>
      <c r="L31" s="21">
        <v>101.34</v>
      </c>
      <c r="M31" s="21">
        <v>766.53</v>
      </c>
      <c r="N31" s="21">
        <v>0</v>
      </c>
      <c r="O31" s="48">
        <f t="shared" si="7"/>
        <v>11258.236500000001</v>
      </c>
      <c r="P31" s="23">
        <f t="shared" si="4"/>
        <v>0.24952187522056143</v>
      </c>
      <c r="Q31" s="103">
        <f t="shared" si="3"/>
        <v>45119.236499999999</v>
      </c>
    </row>
    <row r="32" spans="1:17" x14ac:dyDescent="0.25">
      <c r="A32" s="115" t="s">
        <v>97</v>
      </c>
      <c r="B32" s="101">
        <v>1</v>
      </c>
      <c r="C32" s="102">
        <v>72000</v>
      </c>
      <c r="D32" s="38">
        <v>22.77</v>
      </c>
      <c r="E32" s="21">
        <v>34933</v>
      </c>
      <c r="F32" s="14">
        <f t="shared" si="5"/>
        <v>2.0610883691638278</v>
      </c>
      <c r="G32" s="9">
        <f t="shared" si="6"/>
        <v>2672.3744999999999</v>
      </c>
      <c r="H32" s="21">
        <v>0</v>
      </c>
      <c r="I32" s="21">
        <v>7200</v>
      </c>
      <c r="J32" s="21">
        <v>0</v>
      </c>
      <c r="K32" s="21">
        <v>0</v>
      </c>
      <c r="L32" s="21">
        <v>104.84</v>
      </c>
      <c r="M32" s="21">
        <v>771.39</v>
      </c>
      <c r="N32" s="21">
        <v>0</v>
      </c>
      <c r="O32" s="48">
        <f t="shared" si="7"/>
        <v>10748.604499999999</v>
      </c>
      <c r="P32" s="23">
        <f t="shared" si="4"/>
        <v>0.23529393543959251</v>
      </c>
      <c r="Q32" s="103">
        <f t="shared" si="3"/>
        <v>45681.604500000001</v>
      </c>
    </row>
    <row r="33" spans="1:17" x14ac:dyDescent="0.25">
      <c r="A33" s="115" t="s">
        <v>98</v>
      </c>
      <c r="B33" s="101">
        <v>1</v>
      </c>
      <c r="C33" s="102">
        <v>87482</v>
      </c>
      <c r="D33" s="38">
        <v>7.61</v>
      </c>
      <c r="E33" s="21">
        <v>38211</v>
      </c>
      <c r="F33" s="14">
        <f t="shared" si="5"/>
        <v>2.2894454476459658</v>
      </c>
      <c r="G33" s="9">
        <f t="shared" si="6"/>
        <v>2923.1414999999997</v>
      </c>
      <c r="H33" s="21">
        <v>6792</v>
      </c>
      <c r="I33" s="21">
        <v>5297</v>
      </c>
      <c r="J33" s="21">
        <v>0</v>
      </c>
      <c r="K33" s="21">
        <v>0</v>
      </c>
      <c r="L33" s="21">
        <v>152</v>
      </c>
      <c r="M33" s="21">
        <v>407</v>
      </c>
      <c r="N33" s="21">
        <v>0</v>
      </c>
      <c r="O33" s="48">
        <f t="shared" si="7"/>
        <v>15571.1415</v>
      </c>
      <c r="P33" s="23">
        <f t="shared" si="4"/>
        <v>0.2895225267294349</v>
      </c>
      <c r="Q33" s="103">
        <f t="shared" si="3"/>
        <v>53782.141499999998</v>
      </c>
    </row>
    <row r="34" spans="1:17" x14ac:dyDescent="0.25">
      <c r="A34" s="116" t="s">
        <v>99</v>
      </c>
      <c r="B34" s="104">
        <v>0.95</v>
      </c>
      <c r="C34" s="105">
        <v>87214</v>
      </c>
      <c r="D34" s="106">
        <v>10.694000000000001</v>
      </c>
      <c r="E34" s="60">
        <v>45706</v>
      </c>
      <c r="F34" s="107">
        <f t="shared" si="5"/>
        <v>1.9081521025685906</v>
      </c>
      <c r="G34" s="66">
        <f t="shared" si="6"/>
        <v>3496.509</v>
      </c>
      <c r="H34" s="60">
        <v>9260.0355999999992</v>
      </c>
      <c r="I34" s="60">
        <v>11886</v>
      </c>
      <c r="J34" s="60">
        <v>0</v>
      </c>
      <c r="K34" s="60">
        <v>90</v>
      </c>
      <c r="L34" s="60">
        <v>265.87</v>
      </c>
      <c r="M34" s="60">
        <v>45.706000000000003</v>
      </c>
      <c r="N34" s="60">
        <v>137.28</v>
      </c>
      <c r="O34" s="108">
        <f t="shared" si="7"/>
        <v>25181.400599999997</v>
      </c>
      <c r="P34" s="109">
        <f t="shared" si="4"/>
        <v>0.35523097739318149</v>
      </c>
      <c r="Q34" s="110">
        <f t="shared" si="3"/>
        <v>70887.400599999994</v>
      </c>
    </row>
    <row r="35" spans="1:17" x14ac:dyDescent="0.25">
      <c r="A35" s="114" t="s">
        <v>100</v>
      </c>
      <c r="B35" s="94">
        <v>2</v>
      </c>
      <c r="C35" s="95">
        <v>78100</v>
      </c>
      <c r="D35" s="96">
        <v>35.232999999999997</v>
      </c>
      <c r="E35" s="31">
        <v>34546</v>
      </c>
      <c r="F35" s="97">
        <f t="shared" si="5"/>
        <v>2.2607537775719329</v>
      </c>
      <c r="G35" s="30">
        <f t="shared" si="6"/>
        <v>2642.7689999999998</v>
      </c>
      <c r="H35" s="31">
        <v>0</v>
      </c>
      <c r="I35" s="31">
        <v>7800</v>
      </c>
      <c r="J35" s="31">
        <v>0</v>
      </c>
      <c r="K35" s="31">
        <v>0</v>
      </c>
      <c r="L35" s="31">
        <v>103.59</v>
      </c>
      <c r="M35" s="31">
        <v>800.61</v>
      </c>
      <c r="N35" s="31">
        <v>0</v>
      </c>
      <c r="O35" s="98">
        <f t="shared" si="7"/>
        <v>11346.969000000001</v>
      </c>
      <c r="P35" s="99">
        <f t="shared" si="4"/>
        <v>0.24724852732888128</v>
      </c>
      <c r="Q35" s="100">
        <f t="shared" si="3"/>
        <v>45892.968999999997</v>
      </c>
    </row>
    <row r="36" spans="1:17" x14ac:dyDescent="0.25">
      <c r="A36" s="115" t="s">
        <v>101</v>
      </c>
      <c r="B36" s="101">
        <v>1</v>
      </c>
      <c r="C36" s="102">
        <v>71757</v>
      </c>
      <c r="D36" s="38">
        <v>10.834</v>
      </c>
      <c r="E36" s="21">
        <v>38910</v>
      </c>
      <c r="F36" s="14">
        <f t="shared" si="5"/>
        <v>1.8441788743253662</v>
      </c>
      <c r="G36" s="9">
        <f t="shared" si="6"/>
        <v>2976.6149999999998</v>
      </c>
      <c r="H36" s="21">
        <v>2334.61</v>
      </c>
      <c r="I36" s="21">
        <v>14832.65</v>
      </c>
      <c r="J36" s="21">
        <v>725.16</v>
      </c>
      <c r="K36" s="21">
        <v>84.01</v>
      </c>
      <c r="L36" s="21">
        <v>99.94</v>
      </c>
      <c r="M36" s="21">
        <v>88.32</v>
      </c>
      <c r="N36" s="21">
        <v>122.72</v>
      </c>
      <c r="O36" s="48">
        <f t="shared" si="7"/>
        <v>21264.024999999998</v>
      </c>
      <c r="P36" s="23">
        <f t="shared" si="4"/>
        <v>0.35337548053333645</v>
      </c>
      <c r="Q36" s="103">
        <f t="shared" si="3"/>
        <v>60174.024999999994</v>
      </c>
    </row>
    <row r="37" spans="1:17" x14ac:dyDescent="0.25">
      <c r="A37" s="115" t="s">
        <v>102</v>
      </c>
      <c r="B37" s="101">
        <v>0.74</v>
      </c>
      <c r="C37" s="102">
        <v>56100</v>
      </c>
      <c r="D37" s="38">
        <v>30.605</v>
      </c>
      <c r="E37" s="21">
        <v>37609</v>
      </c>
      <c r="F37" s="14">
        <f t="shared" si="5"/>
        <v>1.4916642293068147</v>
      </c>
      <c r="G37" s="9">
        <f t="shared" si="6"/>
        <v>2877.0884999999998</v>
      </c>
      <c r="H37" s="21">
        <v>7619.5834000000004</v>
      </c>
      <c r="I37" s="21">
        <v>758.49</v>
      </c>
      <c r="J37" s="21">
        <v>0</v>
      </c>
      <c r="K37" s="21">
        <v>98.5</v>
      </c>
      <c r="L37" s="21">
        <v>82.3</v>
      </c>
      <c r="M37" s="21">
        <v>37.609000000000002</v>
      </c>
      <c r="N37" s="21">
        <v>0</v>
      </c>
      <c r="O37" s="48">
        <f t="shared" si="7"/>
        <v>11473.570900000001</v>
      </c>
      <c r="P37" s="23">
        <f t="shared" si="4"/>
        <v>0.23376059341667452</v>
      </c>
      <c r="Q37" s="103">
        <f t="shared" si="3"/>
        <v>49082.570899999999</v>
      </c>
    </row>
    <row r="38" spans="1:17" x14ac:dyDescent="0.25">
      <c r="A38" s="115" t="s">
        <v>103</v>
      </c>
      <c r="B38" s="101"/>
      <c r="C38" s="102" t="s">
        <v>15</v>
      </c>
      <c r="D38" s="38">
        <v>35.817999999999998</v>
      </c>
      <c r="E38" s="21">
        <v>36246</v>
      </c>
      <c r="F38" s="14"/>
      <c r="G38" s="9">
        <f t="shared" si="6"/>
        <v>2772.819</v>
      </c>
      <c r="H38" s="21">
        <v>2537.2199999999998</v>
      </c>
      <c r="I38" s="21">
        <v>11245.59</v>
      </c>
      <c r="J38" s="21">
        <v>0</v>
      </c>
      <c r="K38" s="21">
        <v>0</v>
      </c>
      <c r="L38" s="21">
        <v>136.88999999999999</v>
      </c>
      <c r="M38" s="21">
        <v>36.246000000000002</v>
      </c>
      <c r="N38" s="21">
        <v>0</v>
      </c>
      <c r="O38" s="48">
        <f t="shared" si="7"/>
        <v>16728.764999999999</v>
      </c>
      <c r="P38" s="23">
        <f t="shared" si="4"/>
        <v>0.31578743199710274</v>
      </c>
      <c r="Q38" s="103">
        <f t="shared" si="3"/>
        <v>52974.764999999999</v>
      </c>
    </row>
    <row r="39" spans="1:17" x14ac:dyDescent="0.25">
      <c r="A39" s="116" t="s">
        <v>104</v>
      </c>
      <c r="B39" s="104">
        <v>2</v>
      </c>
      <c r="C39" s="105">
        <v>62000</v>
      </c>
      <c r="D39" s="106">
        <v>51.15</v>
      </c>
      <c r="E39" s="60">
        <v>35624</v>
      </c>
      <c r="F39" s="107">
        <f>C39/E39</f>
        <v>1.7403997305187513</v>
      </c>
      <c r="G39" s="66">
        <f t="shared" si="6"/>
        <v>2725.2359999999999</v>
      </c>
      <c r="H39" s="60">
        <v>7217.4224000000004</v>
      </c>
      <c r="I39" s="60">
        <v>10506</v>
      </c>
      <c r="J39" s="60">
        <v>611</v>
      </c>
      <c r="K39" s="60">
        <v>10.8</v>
      </c>
      <c r="L39" s="60">
        <v>106</v>
      </c>
      <c r="M39" s="60">
        <v>295</v>
      </c>
      <c r="N39" s="60">
        <v>0</v>
      </c>
      <c r="O39" s="108">
        <f t="shared" si="7"/>
        <v>21471.4584</v>
      </c>
      <c r="P39" s="109">
        <f t="shared" si="4"/>
        <v>0.37606245753515133</v>
      </c>
      <c r="Q39" s="110">
        <f t="shared" si="3"/>
        <v>57095.458400000003</v>
      </c>
    </row>
    <row r="40" spans="1:17" x14ac:dyDescent="0.25">
      <c r="A40" s="114" t="s">
        <v>105</v>
      </c>
      <c r="B40" s="94"/>
      <c r="C40" s="95" t="s">
        <v>15</v>
      </c>
      <c r="D40" s="96">
        <v>20.65</v>
      </c>
      <c r="E40" s="31">
        <v>34580</v>
      </c>
      <c r="F40" s="97"/>
      <c r="G40" s="30">
        <f t="shared" si="6"/>
        <v>2645.37</v>
      </c>
      <c r="H40" s="31">
        <v>7005.9080000000004</v>
      </c>
      <c r="I40" s="31">
        <v>3668</v>
      </c>
      <c r="J40" s="31">
        <v>460</v>
      </c>
      <c r="K40" s="31">
        <v>240</v>
      </c>
      <c r="L40" s="31">
        <v>276</v>
      </c>
      <c r="M40" s="31">
        <v>34.58</v>
      </c>
      <c r="N40" s="31">
        <v>0</v>
      </c>
      <c r="O40" s="98">
        <f t="shared" si="7"/>
        <v>14329.858</v>
      </c>
      <c r="P40" s="99">
        <f t="shared" si="4"/>
        <v>0.29298506652789708</v>
      </c>
      <c r="Q40" s="100">
        <f t="shared" si="3"/>
        <v>48909.858</v>
      </c>
    </row>
    <row r="41" spans="1:17" x14ac:dyDescent="0.25">
      <c r="A41" s="115" t="s">
        <v>106</v>
      </c>
      <c r="B41" s="101">
        <v>1</v>
      </c>
      <c r="C41" s="102">
        <v>69160</v>
      </c>
      <c r="D41" s="38">
        <v>27.38</v>
      </c>
      <c r="E41" s="21">
        <v>37130</v>
      </c>
      <c r="F41" s="14">
        <f>C41/E41</f>
        <v>1.8626447616482629</v>
      </c>
      <c r="G41" s="9">
        <f t="shared" si="6"/>
        <v>2840.4450000000002</v>
      </c>
      <c r="H41" s="21">
        <v>884.89</v>
      </c>
      <c r="I41" s="21">
        <v>8053.04</v>
      </c>
      <c r="J41" s="21">
        <v>848.63</v>
      </c>
      <c r="K41" s="21">
        <v>163.58000000000001</v>
      </c>
      <c r="L41" s="21">
        <v>137.38</v>
      </c>
      <c r="M41" s="21">
        <v>0</v>
      </c>
      <c r="N41" s="21">
        <v>76.819999999999993</v>
      </c>
      <c r="O41" s="48">
        <f t="shared" si="7"/>
        <v>13004.784999999998</v>
      </c>
      <c r="P41" s="23">
        <f t="shared" si="4"/>
        <v>0.25939644500320486</v>
      </c>
      <c r="Q41" s="103">
        <f t="shared" si="3"/>
        <v>50134.784999999996</v>
      </c>
    </row>
    <row r="42" spans="1:17" x14ac:dyDescent="0.25">
      <c r="A42" s="115" t="s">
        <v>107</v>
      </c>
      <c r="B42" s="101">
        <v>1</v>
      </c>
      <c r="C42" s="102">
        <v>74500</v>
      </c>
      <c r="D42" s="38">
        <v>20.125</v>
      </c>
      <c r="E42" s="21">
        <v>36396</v>
      </c>
      <c r="F42" s="14">
        <f>C42/E42</f>
        <v>2.0469282338718542</v>
      </c>
      <c r="G42" s="9">
        <f t="shared" si="6"/>
        <v>2784.2939999999999</v>
      </c>
      <c r="H42" s="21">
        <v>0</v>
      </c>
      <c r="I42" s="21">
        <v>7800</v>
      </c>
      <c r="J42" s="21">
        <v>0</v>
      </c>
      <c r="K42" s="21">
        <v>0</v>
      </c>
      <c r="L42" s="21">
        <v>108.63</v>
      </c>
      <c r="M42" s="21">
        <v>702.16</v>
      </c>
      <c r="N42" s="21">
        <v>0</v>
      </c>
      <c r="O42" s="48">
        <f t="shared" si="7"/>
        <v>11395.083999999999</v>
      </c>
      <c r="P42" s="23">
        <f t="shared" si="4"/>
        <v>0.23843535333912907</v>
      </c>
      <c r="Q42" s="103">
        <f t="shared" si="3"/>
        <v>47791.084000000003</v>
      </c>
    </row>
    <row r="43" spans="1:17" x14ac:dyDescent="0.25">
      <c r="A43" s="115" t="s">
        <v>108</v>
      </c>
      <c r="B43" s="101"/>
      <c r="C43" s="102" t="s">
        <v>14</v>
      </c>
      <c r="D43" s="38">
        <v>6.35</v>
      </c>
      <c r="E43" s="21">
        <v>34272</v>
      </c>
      <c r="F43" s="14"/>
      <c r="G43" s="9">
        <f t="shared" si="6"/>
        <v>2621.808</v>
      </c>
      <c r="H43" s="21">
        <v>1028.1600000000001</v>
      </c>
      <c r="I43" s="21">
        <v>5678.04</v>
      </c>
      <c r="J43" s="21">
        <v>801.96</v>
      </c>
      <c r="K43" s="21">
        <v>57.36</v>
      </c>
      <c r="L43" s="21">
        <v>0</v>
      </c>
      <c r="M43" s="21">
        <v>727.2</v>
      </c>
      <c r="N43" s="21">
        <v>56.76</v>
      </c>
      <c r="O43" s="48">
        <f t="shared" si="7"/>
        <v>10971.288000000002</v>
      </c>
      <c r="P43" s="23">
        <f t="shared" si="4"/>
        <v>0.24249537301532997</v>
      </c>
      <c r="Q43" s="103">
        <f t="shared" si="3"/>
        <v>45243.288</v>
      </c>
    </row>
    <row r="44" spans="1:17" x14ac:dyDescent="0.25">
      <c r="A44" s="116" t="s">
        <v>109</v>
      </c>
      <c r="B44" s="104">
        <v>1</v>
      </c>
      <c r="C44" s="105">
        <v>60000</v>
      </c>
      <c r="D44" s="106">
        <v>6.5</v>
      </c>
      <c r="E44" s="60">
        <v>34000</v>
      </c>
      <c r="F44" s="107">
        <f>C44/E44</f>
        <v>1.7647058823529411</v>
      </c>
      <c r="G44" s="66">
        <f t="shared" si="6"/>
        <v>2601</v>
      </c>
      <c r="H44" s="60">
        <v>6888.4</v>
      </c>
      <c r="I44" s="60">
        <v>3932</v>
      </c>
      <c r="J44" s="60">
        <v>0</v>
      </c>
      <c r="K44" s="60">
        <v>0</v>
      </c>
      <c r="L44" s="60">
        <v>150.87</v>
      </c>
      <c r="M44" s="60">
        <v>34</v>
      </c>
      <c r="N44" s="60">
        <v>0</v>
      </c>
      <c r="O44" s="108">
        <f t="shared" si="7"/>
        <v>13606.27</v>
      </c>
      <c r="P44" s="109">
        <f t="shared" si="4"/>
        <v>0.28580836095749573</v>
      </c>
      <c r="Q44" s="110">
        <f t="shared" si="3"/>
        <v>47606.270000000004</v>
      </c>
    </row>
    <row r="45" spans="1:17" x14ac:dyDescent="0.25">
      <c r="A45" s="114" t="s">
        <v>110</v>
      </c>
      <c r="B45" s="94"/>
      <c r="C45" s="95" t="s">
        <v>15</v>
      </c>
      <c r="D45" s="96">
        <v>34.369999999999997</v>
      </c>
      <c r="E45" s="31">
        <v>37492</v>
      </c>
      <c r="F45" s="97"/>
      <c r="G45" s="30">
        <f t="shared" si="6"/>
        <v>2868.1379999999999</v>
      </c>
      <c r="H45" s="31">
        <v>7595.8792000000003</v>
      </c>
      <c r="I45" s="31">
        <v>12471</v>
      </c>
      <c r="J45" s="31">
        <v>0</v>
      </c>
      <c r="K45" s="31">
        <v>0</v>
      </c>
      <c r="L45" s="31">
        <v>205.11</v>
      </c>
      <c r="M45" s="31">
        <v>37.32</v>
      </c>
      <c r="N45" s="31">
        <v>0</v>
      </c>
      <c r="O45" s="98">
        <f t="shared" si="7"/>
        <v>23177.447200000002</v>
      </c>
      <c r="P45" s="99">
        <f t="shared" si="4"/>
        <v>0.38202832347547749</v>
      </c>
      <c r="Q45" s="100">
        <f t="shared" si="3"/>
        <v>60669.447200000002</v>
      </c>
    </row>
    <row r="46" spans="1:17" x14ac:dyDescent="0.25">
      <c r="A46" s="115" t="s">
        <v>111</v>
      </c>
      <c r="B46" s="101">
        <v>1</v>
      </c>
      <c r="C46" s="102">
        <v>85500</v>
      </c>
      <c r="D46" s="38">
        <v>17.100000000000001</v>
      </c>
      <c r="E46" s="21">
        <v>33295</v>
      </c>
      <c r="F46" s="14">
        <f t="shared" ref="F46:F55" si="8">C46/E46</f>
        <v>2.5679531461180356</v>
      </c>
      <c r="G46" s="9">
        <f t="shared" si="6"/>
        <v>2547.0675000000001</v>
      </c>
      <c r="H46" s="21">
        <v>0</v>
      </c>
      <c r="I46" s="21">
        <v>8760</v>
      </c>
      <c r="J46" s="21">
        <v>0</v>
      </c>
      <c r="K46" s="21">
        <v>0</v>
      </c>
      <c r="L46" s="21">
        <v>99.88</v>
      </c>
      <c r="M46" s="21">
        <v>774.9</v>
      </c>
      <c r="N46" s="21">
        <v>0</v>
      </c>
      <c r="O46" s="48">
        <f t="shared" si="7"/>
        <v>12181.8475</v>
      </c>
      <c r="P46" s="23">
        <f t="shared" si="4"/>
        <v>0.26786921630836436</v>
      </c>
      <c r="Q46" s="103">
        <f t="shared" si="3"/>
        <v>45476.847500000003</v>
      </c>
    </row>
    <row r="47" spans="1:17" x14ac:dyDescent="0.25">
      <c r="A47" s="115" t="s">
        <v>112</v>
      </c>
      <c r="B47" s="101">
        <v>2.444</v>
      </c>
      <c r="C47" s="102">
        <v>55647</v>
      </c>
      <c r="D47" s="38">
        <v>34.091000000000001</v>
      </c>
      <c r="E47" s="21">
        <v>38477</v>
      </c>
      <c r="F47" s="14">
        <f t="shared" si="8"/>
        <v>1.4462406112742678</v>
      </c>
      <c r="G47" s="9">
        <f t="shared" si="6"/>
        <v>2943.4904999999999</v>
      </c>
      <c r="H47" s="21">
        <v>1287.21</v>
      </c>
      <c r="I47" s="21">
        <v>9521.3700000000008</v>
      </c>
      <c r="J47" s="21">
        <v>0</v>
      </c>
      <c r="K47" s="21">
        <v>55.32</v>
      </c>
      <c r="L47" s="21">
        <v>92.4</v>
      </c>
      <c r="M47" s="21">
        <v>190.6</v>
      </c>
      <c r="N47" s="21">
        <v>0</v>
      </c>
      <c r="O47" s="48">
        <f t="shared" si="7"/>
        <v>14090.390500000001</v>
      </c>
      <c r="P47" s="23">
        <f t="shared" si="4"/>
        <v>0.26804432112718246</v>
      </c>
      <c r="Q47" s="103">
        <f t="shared" si="3"/>
        <v>52567.390500000001</v>
      </c>
    </row>
    <row r="48" spans="1:17" x14ac:dyDescent="0.25">
      <c r="A48" s="115" t="s">
        <v>113</v>
      </c>
      <c r="B48" s="101">
        <v>1</v>
      </c>
      <c r="C48" s="102">
        <v>90700</v>
      </c>
      <c r="D48" s="38">
        <v>29.87</v>
      </c>
      <c r="E48" s="21">
        <v>38642</v>
      </c>
      <c r="F48" s="14">
        <f t="shared" si="8"/>
        <v>2.3471869986025569</v>
      </c>
      <c r="G48" s="9">
        <f t="shared" si="6"/>
        <v>2956.1129999999998</v>
      </c>
      <c r="H48" s="21">
        <v>7828.8692000000001</v>
      </c>
      <c r="I48" s="21">
        <v>5274.83</v>
      </c>
      <c r="J48" s="21">
        <v>0</v>
      </c>
      <c r="K48" s="21">
        <v>0</v>
      </c>
      <c r="L48" s="21">
        <v>162.30000000000001</v>
      </c>
      <c r="M48" s="21">
        <v>38.642000000000003</v>
      </c>
      <c r="N48" s="21">
        <v>0</v>
      </c>
      <c r="O48" s="48">
        <f t="shared" si="7"/>
        <v>16260.754199999999</v>
      </c>
      <c r="P48" s="23">
        <f t="shared" si="4"/>
        <v>0.29617374277372777</v>
      </c>
      <c r="Q48" s="103">
        <f t="shared" si="3"/>
        <v>54902.754199999996</v>
      </c>
    </row>
    <row r="49" spans="1:17" x14ac:dyDescent="0.25">
      <c r="A49" s="116" t="s">
        <v>114</v>
      </c>
      <c r="B49" s="104">
        <v>2</v>
      </c>
      <c r="C49" s="105">
        <v>108975</v>
      </c>
      <c r="D49" s="106">
        <v>18.693000000000001</v>
      </c>
      <c r="E49" s="60">
        <v>50989</v>
      </c>
      <c r="F49" s="107">
        <f t="shared" si="8"/>
        <v>2.1372256761262234</v>
      </c>
      <c r="G49" s="66">
        <v>0</v>
      </c>
      <c r="H49" s="60">
        <v>1E-3</v>
      </c>
      <c r="I49" s="60">
        <v>0</v>
      </c>
      <c r="J49" s="60">
        <v>0</v>
      </c>
      <c r="K49" s="60">
        <v>0</v>
      </c>
      <c r="L49" s="60">
        <v>0</v>
      </c>
      <c r="M49" s="60">
        <v>1E-3</v>
      </c>
      <c r="N49" s="60">
        <v>0</v>
      </c>
      <c r="O49" s="108" t="s">
        <v>15</v>
      </c>
      <c r="P49" s="109"/>
      <c r="Q49" s="110"/>
    </row>
    <row r="50" spans="1:17" x14ac:dyDescent="0.25">
      <c r="A50" s="114" t="s">
        <v>115</v>
      </c>
      <c r="B50" s="94">
        <v>1</v>
      </c>
      <c r="C50" s="95">
        <v>99576</v>
      </c>
      <c r="D50" s="96">
        <v>20.5</v>
      </c>
      <c r="E50" s="31">
        <v>33764</v>
      </c>
      <c r="F50" s="97">
        <f t="shared" si="8"/>
        <v>2.9491766378391184</v>
      </c>
      <c r="G50" s="30">
        <f t="shared" si="6"/>
        <v>2582.9459999999999</v>
      </c>
      <c r="H50" s="31">
        <v>6752.8</v>
      </c>
      <c r="I50" s="31">
        <v>2993.12</v>
      </c>
      <c r="J50" s="31">
        <v>309.5</v>
      </c>
      <c r="K50" s="31">
        <v>94.96</v>
      </c>
      <c r="L50" s="31">
        <v>172.4</v>
      </c>
      <c r="M50" s="31">
        <v>311.27999999999997</v>
      </c>
      <c r="N50" s="31">
        <v>0</v>
      </c>
      <c r="O50" s="98">
        <f t="shared" si="7"/>
        <v>13217.005999999998</v>
      </c>
      <c r="P50" s="99">
        <f t="shared" si="4"/>
        <v>0.28132658547158396</v>
      </c>
      <c r="Q50" s="100">
        <f>E50+O50</f>
        <v>46981.005999999994</v>
      </c>
    </row>
    <row r="51" spans="1:17" x14ac:dyDescent="0.25">
      <c r="A51" s="115" t="s">
        <v>116</v>
      </c>
      <c r="B51" s="101">
        <v>2.4</v>
      </c>
      <c r="C51" s="102">
        <v>65594</v>
      </c>
      <c r="D51" s="38">
        <v>39.433</v>
      </c>
      <c r="E51" s="21">
        <v>40983</v>
      </c>
      <c r="F51" s="14">
        <f t="shared" si="8"/>
        <v>1.6005172876558573</v>
      </c>
      <c r="G51" s="9">
        <f t="shared" si="6"/>
        <v>3135.1994999999997</v>
      </c>
      <c r="H51" s="21">
        <v>0</v>
      </c>
      <c r="I51" s="21">
        <v>8700</v>
      </c>
      <c r="J51" s="21">
        <v>0</v>
      </c>
      <c r="K51" s="21">
        <v>0</v>
      </c>
      <c r="L51" s="21">
        <v>122.96</v>
      </c>
      <c r="M51" s="21">
        <v>951.55</v>
      </c>
      <c r="N51" s="21">
        <v>0</v>
      </c>
      <c r="O51" s="48">
        <f t="shared" si="7"/>
        <v>12909.709499999997</v>
      </c>
      <c r="P51" s="23">
        <f t="shared" si="4"/>
        <v>0.23954463636681689</v>
      </c>
      <c r="Q51" s="103">
        <f>E51+O51</f>
        <v>53892.709499999997</v>
      </c>
    </row>
    <row r="52" spans="1:17" x14ac:dyDescent="0.25">
      <c r="A52" s="115" t="s">
        <v>117</v>
      </c>
      <c r="B52" s="101">
        <v>1</v>
      </c>
      <c r="C52" s="102">
        <v>74175</v>
      </c>
      <c r="D52" s="38">
        <v>24.23</v>
      </c>
      <c r="E52" s="21">
        <v>39920</v>
      </c>
      <c r="F52" s="14">
        <f t="shared" si="8"/>
        <v>1.8580911823647295</v>
      </c>
      <c r="G52" s="9">
        <f t="shared" si="6"/>
        <v>3053.88</v>
      </c>
      <c r="H52" s="21">
        <v>388.77</v>
      </c>
      <c r="I52" s="21">
        <v>6900</v>
      </c>
      <c r="J52" s="21">
        <v>0</v>
      </c>
      <c r="K52" s="21">
        <v>0</v>
      </c>
      <c r="L52" s="21">
        <v>119.73</v>
      </c>
      <c r="M52" s="21">
        <v>911.97</v>
      </c>
      <c r="N52" s="21">
        <v>0</v>
      </c>
      <c r="O52" s="48">
        <f t="shared" si="7"/>
        <v>11374.349999999999</v>
      </c>
      <c r="P52" s="23">
        <f t="shared" si="4"/>
        <v>0.22174664461095617</v>
      </c>
      <c r="Q52" s="103">
        <f>E52+O52</f>
        <v>51294.35</v>
      </c>
    </row>
    <row r="53" spans="1:17" x14ac:dyDescent="0.25">
      <c r="A53" s="115" t="s">
        <v>118</v>
      </c>
      <c r="B53" s="101">
        <v>2</v>
      </c>
      <c r="C53" s="102">
        <v>66484</v>
      </c>
      <c r="D53" s="38">
        <v>23.466999999999999</v>
      </c>
      <c r="E53" s="21">
        <v>37408</v>
      </c>
      <c r="F53" s="14">
        <f t="shared" si="8"/>
        <v>1.7772668947818648</v>
      </c>
      <c r="G53" s="9">
        <f t="shared" si="6"/>
        <v>2861.712</v>
      </c>
      <c r="H53" s="21">
        <v>748.16</v>
      </c>
      <c r="I53" s="21">
        <v>11995.32</v>
      </c>
      <c r="J53" s="21">
        <v>0</v>
      </c>
      <c r="K53" s="21">
        <v>32.64</v>
      </c>
      <c r="L53" s="21">
        <v>129.76</v>
      </c>
      <c r="M53" s="21">
        <v>241.92</v>
      </c>
      <c r="N53" s="21">
        <v>0</v>
      </c>
      <c r="O53" s="48">
        <f t="shared" si="7"/>
        <v>16009.511999999999</v>
      </c>
      <c r="P53" s="23">
        <f t="shared" si="4"/>
        <v>0.29970531012376611</v>
      </c>
      <c r="Q53" s="103">
        <f>E53+O53</f>
        <v>53417.512000000002</v>
      </c>
    </row>
    <row r="54" spans="1:17" x14ac:dyDescent="0.25">
      <c r="A54" s="116" t="s">
        <v>119</v>
      </c>
      <c r="B54" s="104">
        <v>1.8</v>
      </c>
      <c r="C54" s="105">
        <v>84951</v>
      </c>
      <c r="D54" s="106">
        <v>45.055</v>
      </c>
      <c r="E54" s="60">
        <v>41709</v>
      </c>
      <c r="F54" s="107">
        <f t="shared" si="8"/>
        <v>2.0367546572682156</v>
      </c>
      <c r="G54" s="66">
        <f t="shared" si="6"/>
        <v>3190.7384999999999</v>
      </c>
      <c r="H54" s="60">
        <v>402.28</v>
      </c>
      <c r="I54" s="60">
        <v>9300</v>
      </c>
      <c r="J54" s="60">
        <v>0</v>
      </c>
      <c r="K54" s="60">
        <v>0</v>
      </c>
      <c r="L54" s="60">
        <v>125.1</v>
      </c>
      <c r="M54" s="60">
        <v>947.12</v>
      </c>
      <c r="N54" s="60">
        <v>0</v>
      </c>
      <c r="O54" s="108">
        <f t="shared" si="7"/>
        <v>13965.238500000001</v>
      </c>
      <c r="P54" s="109">
        <f t="shared" si="4"/>
        <v>0.25083842862080641</v>
      </c>
      <c r="Q54" s="110">
        <f>E54+O54</f>
        <v>55674.238499999999</v>
      </c>
    </row>
    <row r="55" spans="1:17" x14ac:dyDescent="0.25">
      <c r="A55" s="114" t="s">
        <v>120</v>
      </c>
      <c r="B55" s="94">
        <v>1</v>
      </c>
      <c r="C55" s="95">
        <v>88171</v>
      </c>
      <c r="D55" s="96">
        <v>18.3</v>
      </c>
      <c r="E55" s="31">
        <v>53686</v>
      </c>
      <c r="F55" s="97">
        <f t="shared" si="8"/>
        <v>1.6423462355176397</v>
      </c>
      <c r="G55" s="30">
        <v>0</v>
      </c>
      <c r="H55" s="31">
        <v>1E-3</v>
      </c>
      <c r="I55" s="31">
        <v>0</v>
      </c>
      <c r="J55" s="31">
        <v>0</v>
      </c>
      <c r="K55" s="31">
        <v>0</v>
      </c>
      <c r="L55" s="31">
        <v>0</v>
      </c>
      <c r="M55" s="31">
        <v>1E-3</v>
      </c>
      <c r="N55" s="31">
        <v>0</v>
      </c>
      <c r="O55" s="98" t="s">
        <v>15</v>
      </c>
      <c r="P55" s="99"/>
      <c r="Q55" s="100"/>
    </row>
    <row r="56" spans="1:17" x14ac:dyDescent="0.25">
      <c r="A56" s="115" t="s">
        <v>121</v>
      </c>
      <c r="B56" s="101"/>
      <c r="C56" s="102" t="s">
        <v>15</v>
      </c>
      <c r="D56" s="38">
        <v>15.917</v>
      </c>
      <c r="E56" s="21">
        <v>35490</v>
      </c>
      <c r="F56" s="14"/>
      <c r="G56" s="9">
        <f t="shared" si="6"/>
        <v>2714.9850000000001</v>
      </c>
      <c r="H56" s="21">
        <v>7190.2740000000003</v>
      </c>
      <c r="I56" s="21">
        <v>6000</v>
      </c>
      <c r="J56" s="21">
        <v>0</v>
      </c>
      <c r="K56" s="21">
        <v>123</v>
      </c>
      <c r="L56" s="21">
        <v>0</v>
      </c>
      <c r="M56" s="21">
        <v>35.49</v>
      </c>
      <c r="N56" s="21">
        <v>0</v>
      </c>
      <c r="O56" s="48">
        <f t="shared" si="7"/>
        <v>16063.749</v>
      </c>
      <c r="P56" s="23">
        <f t="shared" si="4"/>
        <v>0.31159225685022446</v>
      </c>
      <c r="Q56" s="103">
        <f>E56+O56</f>
        <v>51553.748999999996</v>
      </c>
    </row>
    <row r="57" spans="1:17" x14ac:dyDescent="0.25">
      <c r="A57" s="115" t="s">
        <v>122</v>
      </c>
      <c r="B57" s="101">
        <v>5.4</v>
      </c>
      <c r="C57" s="102">
        <v>75925</v>
      </c>
      <c r="D57" s="38">
        <v>28.14</v>
      </c>
      <c r="E57" s="21">
        <v>40775</v>
      </c>
      <c r="F57" s="14">
        <f>C57/E57</f>
        <v>1.8620478234212139</v>
      </c>
      <c r="G57" s="9">
        <f t="shared" si="6"/>
        <v>3119.2874999999999</v>
      </c>
      <c r="H57" s="21">
        <v>0</v>
      </c>
      <c r="I57" s="21">
        <v>4445</v>
      </c>
      <c r="J57" s="21">
        <v>600</v>
      </c>
      <c r="K57" s="21">
        <v>250</v>
      </c>
      <c r="L57" s="21">
        <v>214</v>
      </c>
      <c r="M57" s="21">
        <v>40.774999999999999</v>
      </c>
      <c r="N57" s="21">
        <v>40</v>
      </c>
      <c r="O57" s="48">
        <f t="shared" si="7"/>
        <v>8709.0625</v>
      </c>
      <c r="P57" s="23">
        <f t="shared" si="4"/>
        <v>0.17599732237020757</v>
      </c>
      <c r="Q57" s="103">
        <f>E57+O57</f>
        <v>49484.0625</v>
      </c>
    </row>
    <row r="58" spans="1:17" x14ac:dyDescent="0.25">
      <c r="A58" s="115" t="s">
        <v>123</v>
      </c>
      <c r="B58" s="101">
        <v>1.8</v>
      </c>
      <c r="C58" s="102">
        <v>62035</v>
      </c>
      <c r="D58" s="38">
        <v>25.956</v>
      </c>
      <c r="E58" s="21">
        <v>29336</v>
      </c>
      <c r="F58" s="14">
        <f>C58/E58</f>
        <v>2.1146373056994818</v>
      </c>
      <c r="G58" s="9">
        <f t="shared" si="6"/>
        <v>2244.2040000000002</v>
      </c>
      <c r="H58" s="21">
        <v>5017</v>
      </c>
      <c r="I58" s="21">
        <v>12384</v>
      </c>
      <c r="J58" s="21">
        <v>1459</v>
      </c>
      <c r="K58" s="21">
        <v>154</v>
      </c>
      <c r="L58" s="21">
        <v>1063</v>
      </c>
      <c r="M58" s="21">
        <v>40.619999999999997</v>
      </c>
      <c r="N58" s="21">
        <v>154</v>
      </c>
      <c r="O58" s="48">
        <f t="shared" si="7"/>
        <v>22515.823999999997</v>
      </c>
      <c r="P58" s="23">
        <f t="shared" si="4"/>
        <v>0.4342339818171102</v>
      </c>
      <c r="Q58" s="103">
        <f>E58+O58</f>
        <v>51851.823999999993</v>
      </c>
    </row>
    <row r="59" spans="1:17" x14ac:dyDescent="0.25">
      <c r="A59" s="116" t="s">
        <v>124</v>
      </c>
      <c r="B59" s="104">
        <v>0.95</v>
      </c>
      <c r="C59" s="105">
        <v>70000</v>
      </c>
      <c r="D59" s="106">
        <v>4</v>
      </c>
      <c r="E59" s="60">
        <v>22250</v>
      </c>
      <c r="F59" s="107">
        <f>C59/E59</f>
        <v>3.1460674157303372</v>
      </c>
      <c r="G59" s="66"/>
      <c r="H59" s="60"/>
      <c r="I59" s="60"/>
      <c r="J59" s="60"/>
      <c r="K59" s="60"/>
      <c r="L59" s="60"/>
      <c r="M59" s="60"/>
      <c r="N59" s="60"/>
      <c r="O59" s="108" t="s">
        <v>14</v>
      </c>
      <c r="P59" s="109"/>
      <c r="Q59" s="110"/>
    </row>
    <row r="60" spans="1:17" x14ac:dyDescent="0.25">
      <c r="A60" s="114" t="s">
        <v>125</v>
      </c>
      <c r="B60" s="94">
        <v>1</v>
      </c>
      <c r="C60" s="95">
        <v>70000</v>
      </c>
      <c r="D60" s="96">
        <v>20</v>
      </c>
      <c r="E60" s="31">
        <v>35450</v>
      </c>
      <c r="F60" s="97">
        <f>C60/E60</f>
        <v>1.9746121297602257</v>
      </c>
      <c r="G60" s="30">
        <f t="shared" si="6"/>
        <v>2711.9249999999997</v>
      </c>
      <c r="H60" s="31">
        <v>2127</v>
      </c>
      <c r="I60" s="31">
        <v>14184</v>
      </c>
      <c r="J60" s="31">
        <v>1764</v>
      </c>
      <c r="K60" s="31">
        <v>55.72</v>
      </c>
      <c r="L60" s="31">
        <v>194.1</v>
      </c>
      <c r="M60" s="31">
        <v>410.38</v>
      </c>
      <c r="N60" s="31">
        <v>0</v>
      </c>
      <c r="O60" s="98">
        <f t="shared" si="7"/>
        <v>21447.125</v>
      </c>
      <c r="P60" s="99">
        <f t="shared" si="4"/>
        <v>0.37694567168376258</v>
      </c>
      <c r="Q60" s="100">
        <f t="shared" ref="Q60:Q67" si="9">E60+O60</f>
        <v>56897.125</v>
      </c>
    </row>
    <row r="61" spans="1:17" x14ac:dyDescent="0.25">
      <c r="A61" s="115" t="s">
        <v>126</v>
      </c>
      <c r="B61" s="101">
        <v>2</v>
      </c>
      <c r="C61" s="102">
        <v>59918</v>
      </c>
      <c r="D61" s="38">
        <v>64.766000000000005</v>
      </c>
      <c r="E61" s="21">
        <v>35601</v>
      </c>
      <c r="F61" s="14">
        <f>C61/E61</f>
        <v>1.6830426111626078</v>
      </c>
      <c r="G61" s="9">
        <f t="shared" si="6"/>
        <v>2723.4764999999998</v>
      </c>
      <c r="H61" s="21">
        <v>2492.31</v>
      </c>
      <c r="I61" s="21">
        <v>6000</v>
      </c>
      <c r="J61" s="21">
        <v>0</v>
      </c>
      <c r="K61" s="21">
        <v>0</v>
      </c>
      <c r="L61" s="21">
        <v>156</v>
      </c>
      <c r="M61" s="21">
        <v>268</v>
      </c>
      <c r="N61" s="21">
        <v>0</v>
      </c>
      <c r="O61" s="48">
        <f t="shared" si="7"/>
        <v>11639.7865</v>
      </c>
      <c r="P61" s="23">
        <f t="shared" si="4"/>
        <v>0.24639273310997903</v>
      </c>
      <c r="Q61" s="103">
        <f t="shared" si="9"/>
        <v>47240.786500000002</v>
      </c>
    </row>
    <row r="62" spans="1:17" x14ac:dyDescent="0.25">
      <c r="A62" s="115" t="s">
        <v>127</v>
      </c>
      <c r="B62" s="101"/>
      <c r="C62" s="102" t="s">
        <v>15</v>
      </c>
      <c r="D62" s="38">
        <v>36.270000000000003</v>
      </c>
      <c r="E62" s="21">
        <v>37677</v>
      </c>
      <c r="F62" s="14"/>
      <c r="G62" s="9">
        <f t="shared" si="6"/>
        <v>2882.2905000000001</v>
      </c>
      <c r="H62" s="21">
        <v>0</v>
      </c>
      <c r="I62" s="21">
        <v>8400</v>
      </c>
      <c r="J62" s="21">
        <v>0</v>
      </c>
      <c r="K62" s="21">
        <v>0</v>
      </c>
      <c r="L62" s="21">
        <v>113.05</v>
      </c>
      <c r="M62" s="21">
        <v>1245.44</v>
      </c>
      <c r="N62" s="21">
        <v>0</v>
      </c>
      <c r="O62" s="48">
        <f t="shared" si="7"/>
        <v>12640.780499999999</v>
      </c>
      <c r="P62" s="23">
        <f t="shared" si="4"/>
        <v>0.25121896026395679</v>
      </c>
      <c r="Q62" s="103">
        <f t="shared" si="9"/>
        <v>50317.780500000001</v>
      </c>
    </row>
    <row r="63" spans="1:17" x14ac:dyDescent="0.25">
      <c r="A63" s="115" t="s">
        <v>128</v>
      </c>
      <c r="B63" s="101">
        <v>1</v>
      </c>
      <c r="C63" s="102">
        <v>86450</v>
      </c>
      <c r="D63" s="38">
        <v>16.082000000000001</v>
      </c>
      <c r="E63" s="21">
        <v>43154</v>
      </c>
      <c r="F63" s="14">
        <f>C63/E63</f>
        <v>2.003290540853687</v>
      </c>
      <c r="G63" s="9">
        <f t="shared" si="6"/>
        <v>3301.2809999999999</v>
      </c>
      <c r="H63" s="21">
        <v>2075.4499999999998</v>
      </c>
      <c r="I63" s="21">
        <v>9602.4</v>
      </c>
      <c r="J63" s="21">
        <v>0</v>
      </c>
      <c r="K63" s="21">
        <v>26.16</v>
      </c>
      <c r="L63" s="21">
        <v>150.72</v>
      </c>
      <c r="M63" s="21">
        <v>43.154000000000003</v>
      </c>
      <c r="N63" s="21">
        <v>0</v>
      </c>
      <c r="O63" s="48">
        <f t="shared" si="7"/>
        <v>15199.164999999999</v>
      </c>
      <c r="P63" s="23">
        <f t="shared" si="4"/>
        <v>0.26046856241645161</v>
      </c>
      <c r="Q63" s="103">
        <f t="shared" si="9"/>
        <v>58353.165000000001</v>
      </c>
    </row>
    <row r="64" spans="1:17" x14ac:dyDescent="0.25">
      <c r="A64" s="116" t="s">
        <v>129</v>
      </c>
      <c r="B64" s="104">
        <v>2</v>
      </c>
      <c r="C64" s="105">
        <v>58750</v>
      </c>
      <c r="D64" s="106">
        <v>37.01</v>
      </c>
      <c r="E64" s="60">
        <v>33444</v>
      </c>
      <c r="F64" s="107">
        <f>C64/E64</f>
        <v>1.7566678626958498</v>
      </c>
      <c r="G64" s="66">
        <f t="shared" si="6"/>
        <v>2558.4659999999999</v>
      </c>
      <c r="H64" s="60">
        <v>2523.7600000000002</v>
      </c>
      <c r="I64" s="60">
        <v>7805.61</v>
      </c>
      <c r="J64" s="60">
        <v>888.18</v>
      </c>
      <c r="K64" s="60">
        <v>0</v>
      </c>
      <c r="L64" s="60">
        <v>191.7</v>
      </c>
      <c r="M64" s="60">
        <v>33.444000000000003</v>
      </c>
      <c r="N64" s="60">
        <v>0</v>
      </c>
      <c r="O64" s="108">
        <f t="shared" si="7"/>
        <v>14001.16</v>
      </c>
      <c r="P64" s="109">
        <f t="shared" si="4"/>
        <v>0.29510196614364875</v>
      </c>
      <c r="Q64" s="110">
        <f t="shared" si="9"/>
        <v>47445.16</v>
      </c>
    </row>
    <row r="65" spans="1:17" x14ac:dyDescent="0.25">
      <c r="A65" s="114" t="s">
        <v>130</v>
      </c>
      <c r="B65" s="94"/>
      <c r="C65" s="95" t="s">
        <v>15</v>
      </c>
      <c r="D65" s="96">
        <v>32.683999999999997</v>
      </c>
      <c r="E65" s="31">
        <v>37252</v>
      </c>
      <c r="F65" s="97"/>
      <c r="G65" s="30">
        <f t="shared" si="6"/>
        <v>2849.7779999999998</v>
      </c>
      <c r="H65" s="31">
        <v>2607.64</v>
      </c>
      <c r="I65" s="31">
        <v>9800.6299999999992</v>
      </c>
      <c r="J65" s="31">
        <v>0</v>
      </c>
      <c r="K65" s="31">
        <v>172.8</v>
      </c>
      <c r="L65" s="31">
        <v>154.05000000000001</v>
      </c>
      <c r="M65" s="31">
        <v>187.02</v>
      </c>
      <c r="N65" s="31">
        <v>0</v>
      </c>
      <c r="O65" s="98">
        <f t="shared" si="7"/>
        <v>15771.917999999998</v>
      </c>
      <c r="P65" s="99">
        <f t="shared" si="4"/>
        <v>0.29744912475158847</v>
      </c>
      <c r="Q65" s="100">
        <f t="shared" si="9"/>
        <v>53023.917999999998</v>
      </c>
    </row>
    <row r="66" spans="1:17" x14ac:dyDescent="0.25">
      <c r="A66" s="115" t="s">
        <v>131</v>
      </c>
      <c r="B66" s="101">
        <v>0.84</v>
      </c>
      <c r="C66" s="102">
        <v>80000</v>
      </c>
      <c r="D66" s="38">
        <v>16.7</v>
      </c>
      <c r="E66" s="21">
        <v>34146</v>
      </c>
      <c r="F66" s="14">
        <f>C66/E66</f>
        <v>2.3428805716628593</v>
      </c>
      <c r="G66" s="9">
        <f t="shared" si="6"/>
        <v>2612.1689999999999</v>
      </c>
      <c r="H66" s="21">
        <v>682.92</v>
      </c>
      <c r="I66" s="21">
        <v>6043.4</v>
      </c>
      <c r="J66" s="21">
        <v>0</v>
      </c>
      <c r="K66" s="21">
        <v>0</v>
      </c>
      <c r="L66" s="21">
        <v>409.72</v>
      </c>
      <c r="M66" s="21">
        <v>34.146000000000001</v>
      </c>
      <c r="N66" s="21">
        <v>0</v>
      </c>
      <c r="O66" s="48">
        <f t="shared" si="7"/>
        <v>9782.3549999999996</v>
      </c>
      <c r="P66" s="23">
        <f t="shared" si="4"/>
        <v>0.22268885324752088</v>
      </c>
      <c r="Q66" s="103">
        <f t="shared" si="9"/>
        <v>43928.354999999996</v>
      </c>
    </row>
    <row r="67" spans="1:17" x14ac:dyDescent="0.25">
      <c r="A67" s="115" t="s">
        <v>132</v>
      </c>
      <c r="B67" s="101">
        <v>1</v>
      </c>
      <c r="C67" s="102">
        <v>81810</v>
      </c>
      <c r="D67" s="38">
        <v>16.16</v>
      </c>
      <c r="E67" s="21">
        <v>50100</v>
      </c>
      <c r="F67" s="14">
        <f>C67/E67</f>
        <v>1.6329341317365269</v>
      </c>
      <c r="G67" s="9">
        <f t="shared" si="6"/>
        <v>3832.65</v>
      </c>
      <c r="H67" s="21">
        <v>10536.33</v>
      </c>
      <c r="I67" s="21">
        <v>6833.98</v>
      </c>
      <c r="J67" s="21">
        <v>0</v>
      </c>
      <c r="K67" s="21">
        <v>0</v>
      </c>
      <c r="L67" s="21">
        <v>0</v>
      </c>
      <c r="M67" s="21">
        <v>50.1</v>
      </c>
      <c r="N67" s="21">
        <v>0</v>
      </c>
      <c r="O67" s="48">
        <f t="shared" si="7"/>
        <v>21253.059999999998</v>
      </c>
      <c r="P67" s="23">
        <f t="shared" si="4"/>
        <v>0.29785772327073284</v>
      </c>
      <c r="Q67" s="103">
        <f t="shared" si="9"/>
        <v>71353.06</v>
      </c>
    </row>
    <row r="68" spans="1:17" x14ac:dyDescent="0.25">
      <c r="A68" s="115" t="s">
        <v>133</v>
      </c>
      <c r="B68" s="101"/>
      <c r="C68" s="102" t="s">
        <v>15</v>
      </c>
      <c r="D68" s="38">
        <v>17.75</v>
      </c>
      <c r="E68" s="21">
        <v>52435</v>
      </c>
      <c r="F68" s="14"/>
      <c r="G68" s="9">
        <v>0</v>
      </c>
      <c r="H68" s="21">
        <v>1E-3</v>
      </c>
      <c r="I68" s="21">
        <v>0</v>
      </c>
      <c r="J68" s="21">
        <v>0</v>
      </c>
      <c r="K68" s="21">
        <v>0</v>
      </c>
      <c r="L68" s="21">
        <v>0</v>
      </c>
      <c r="M68" s="21">
        <v>1E-3</v>
      </c>
      <c r="N68" s="21">
        <v>0</v>
      </c>
      <c r="O68" s="48" t="s">
        <v>15</v>
      </c>
      <c r="P68" s="23"/>
      <c r="Q68" s="103"/>
    </row>
    <row r="69" spans="1:17" x14ac:dyDescent="0.25">
      <c r="A69" s="116" t="s">
        <v>134</v>
      </c>
      <c r="B69" s="104">
        <v>1</v>
      </c>
      <c r="C69" s="105">
        <v>61281</v>
      </c>
      <c r="D69" s="106">
        <v>3.83</v>
      </c>
      <c r="E69" s="60">
        <v>41148</v>
      </c>
      <c r="F69" s="107">
        <f t="shared" ref="F69:F81" si="10">C69/E69</f>
        <v>1.4892825896762905</v>
      </c>
      <c r="G69" s="66">
        <f t="shared" si="6"/>
        <v>3147.8220000000001</v>
      </c>
      <c r="H69" s="60">
        <v>2057.4</v>
      </c>
      <c r="I69" s="60">
        <v>4533.93</v>
      </c>
      <c r="J69" s="60">
        <v>0</v>
      </c>
      <c r="K69" s="60">
        <v>0</v>
      </c>
      <c r="L69" s="60">
        <v>123.45</v>
      </c>
      <c r="M69" s="60">
        <v>164.6</v>
      </c>
      <c r="N69" s="60">
        <v>0</v>
      </c>
      <c r="O69" s="108">
        <f t="shared" si="7"/>
        <v>10027.202000000001</v>
      </c>
      <c r="P69" s="109">
        <f t="shared" si="4"/>
        <v>0.19593868921123164</v>
      </c>
      <c r="Q69" s="110">
        <f>E69+O69</f>
        <v>51175.202000000005</v>
      </c>
    </row>
    <row r="70" spans="1:17" x14ac:dyDescent="0.25">
      <c r="A70" s="114" t="s">
        <v>135</v>
      </c>
      <c r="B70" s="94">
        <v>0.745</v>
      </c>
      <c r="C70" s="95">
        <v>107383</v>
      </c>
      <c r="D70" s="96">
        <v>18</v>
      </c>
      <c r="E70" s="31">
        <v>42645</v>
      </c>
      <c r="F70" s="97">
        <f t="shared" si="10"/>
        <v>2.5180677687888382</v>
      </c>
      <c r="G70" s="30"/>
      <c r="H70" s="31"/>
      <c r="I70" s="31"/>
      <c r="J70" s="31"/>
      <c r="K70" s="31"/>
      <c r="L70" s="31"/>
      <c r="M70" s="31"/>
      <c r="N70" s="31"/>
      <c r="O70" s="98" t="s">
        <v>14</v>
      </c>
      <c r="P70" s="99"/>
      <c r="Q70" s="100"/>
    </row>
    <row r="71" spans="1:17" x14ac:dyDescent="0.25">
      <c r="A71" s="115" t="s">
        <v>136</v>
      </c>
      <c r="B71" s="101">
        <v>1.93</v>
      </c>
      <c r="C71" s="102">
        <v>72500</v>
      </c>
      <c r="D71" s="38">
        <v>37.18</v>
      </c>
      <c r="E71" s="21">
        <v>38479</v>
      </c>
      <c r="F71" s="14">
        <f t="shared" si="10"/>
        <v>1.8841445983523479</v>
      </c>
      <c r="G71" s="9">
        <f t="shared" si="6"/>
        <v>2943.6435000000001</v>
      </c>
      <c r="H71" s="21">
        <v>1154.3699999999999</v>
      </c>
      <c r="I71" s="21">
        <v>9896.3799999999992</v>
      </c>
      <c r="J71" s="21">
        <v>0</v>
      </c>
      <c r="K71" s="21">
        <v>0</v>
      </c>
      <c r="L71" s="21">
        <v>188.29</v>
      </c>
      <c r="M71" s="21">
        <v>260.79000000000002</v>
      </c>
      <c r="N71" s="21">
        <v>0</v>
      </c>
      <c r="O71" s="48">
        <f t="shared" si="7"/>
        <v>14443.4735</v>
      </c>
      <c r="P71" s="23">
        <f t="shared" ref="P71:P88" si="11">O71/Q71</f>
        <v>0.27291758197961025</v>
      </c>
      <c r="Q71" s="103">
        <f>E71+O71</f>
        <v>52922.4735</v>
      </c>
    </row>
    <row r="72" spans="1:17" x14ac:dyDescent="0.25">
      <c r="A72" s="115" t="s">
        <v>137</v>
      </c>
      <c r="B72" s="101">
        <v>1</v>
      </c>
      <c r="C72" s="102">
        <v>81885</v>
      </c>
      <c r="D72" s="38">
        <v>6</v>
      </c>
      <c r="E72" s="21">
        <v>41305</v>
      </c>
      <c r="F72" s="14">
        <f t="shared" si="10"/>
        <v>1.9824476455634912</v>
      </c>
      <c r="G72" s="9"/>
      <c r="H72" s="21"/>
      <c r="I72" s="21"/>
      <c r="J72" s="21"/>
      <c r="K72" s="21"/>
      <c r="L72" s="21"/>
      <c r="M72" s="21"/>
      <c r="N72" s="21"/>
      <c r="O72" s="48" t="s">
        <v>14</v>
      </c>
      <c r="P72" s="23"/>
      <c r="Q72" s="103"/>
    </row>
    <row r="73" spans="1:17" x14ac:dyDescent="0.25">
      <c r="A73" s="115" t="s">
        <v>138</v>
      </c>
      <c r="B73" s="101">
        <v>3</v>
      </c>
      <c r="C73" s="102">
        <v>81000</v>
      </c>
      <c r="D73" s="38">
        <v>45.81</v>
      </c>
      <c r="E73" s="21">
        <v>36767</v>
      </c>
      <c r="F73" s="14">
        <f t="shared" si="10"/>
        <v>2.2030625288981969</v>
      </c>
      <c r="G73" s="9">
        <f t="shared" si="6"/>
        <v>2812.6754999999998</v>
      </c>
      <c r="H73" s="21">
        <v>6617.37</v>
      </c>
      <c r="I73" s="21">
        <v>4920</v>
      </c>
      <c r="J73" s="21">
        <v>0</v>
      </c>
      <c r="K73" s="21">
        <v>0</v>
      </c>
      <c r="L73" s="21">
        <v>97</v>
      </c>
      <c r="M73" s="21">
        <v>224</v>
      </c>
      <c r="N73" s="21">
        <v>0</v>
      </c>
      <c r="O73" s="48">
        <f t="shared" si="7"/>
        <v>14671.0455</v>
      </c>
      <c r="P73" s="23">
        <f t="shared" si="11"/>
        <v>0.28521778690055399</v>
      </c>
      <c r="Q73" s="103">
        <f t="shared" ref="Q73:Q82" si="12">E73+O73</f>
        <v>51438.0455</v>
      </c>
    </row>
    <row r="74" spans="1:17" x14ac:dyDescent="0.25">
      <c r="A74" s="116" t="s">
        <v>139</v>
      </c>
      <c r="B74" s="104">
        <v>1</v>
      </c>
      <c r="C74" s="105">
        <v>53040</v>
      </c>
      <c r="D74" s="106">
        <v>24.859000000000002</v>
      </c>
      <c r="E74" s="60">
        <v>36626</v>
      </c>
      <c r="F74" s="107">
        <f t="shared" si="10"/>
        <v>1.4481515863048109</v>
      </c>
      <c r="G74" s="66">
        <f t="shared" si="6"/>
        <v>2801.8890000000001</v>
      </c>
      <c r="H74" s="60">
        <v>6592</v>
      </c>
      <c r="I74" s="60">
        <v>4225.5</v>
      </c>
      <c r="J74" s="60">
        <v>0</v>
      </c>
      <c r="K74" s="60">
        <v>0</v>
      </c>
      <c r="L74" s="60">
        <v>129</v>
      </c>
      <c r="M74" s="60">
        <v>245</v>
      </c>
      <c r="N74" s="60">
        <v>0</v>
      </c>
      <c r="O74" s="108">
        <f t="shared" si="7"/>
        <v>13993.388999999999</v>
      </c>
      <c r="P74" s="109">
        <f t="shared" si="11"/>
        <v>0.27644326169168104</v>
      </c>
      <c r="Q74" s="110">
        <f t="shared" si="12"/>
        <v>50619.388999999996</v>
      </c>
    </row>
    <row r="75" spans="1:17" x14ac:dyDescent="0.25">
      <c r="A75" s="114" t="s">
        <v>140</v>
      </c>
      <c r="B75" s="94">
        <v>3</v>
      </c>
      <c r="C75" s="95">
        <v>81121</v>
      </c>
      <c r="D75" s="96">
        <v>43.67</v>
      </c>
      <c r="E75" s="31">
        <v>39011</v>
      </c>
      <c r="F75" s="97">
        <f t="shared" si="10"/>
        <v>2.0794391325523569</v>
      </c>
      <c r="G75" s="30">
        <f t="shared" si="6"/>
        <v>2984.3415</v>
      </c>
      <c r="H75" s="31">
        <v>282.72000000000003</v>
      </c>
      <c r="I75" s="31">
        <v>9600</v>
      </c>
      <c r="J75" s="31">
        <v>0</v>
      </c>
      <c r="K75" s="31">
        <v>0</v>
      </c>
      <c r="L75" s="31">
        <v>117.06</v>
      </c>
      <c r="M75" s="31">
        <v>1134.1400000000001</v>
      </c>
      <c r="N75" s="31">
        <v>0</v>
      </c>
      <c r="O75" s="98">
        <f t="shared" si="7"/>
        <v>14118.261499999999</v>
      </c>
      <c r="P75" s="99">
        <f t="shared" si="11"/>
        <v>0.2657341943290516</v>
      </c>
      <c r="Q75" s="100">
        <f t="shared" si="12"/>
        <v>53129.261500000001</v>
      </c>
    </row>
    <row r="76" spans="1:17" x14ac:dyDescent="0.25">
      <c r="A76" s="115" t="s">
        <v>141</v>
      </c>
      <c r="B76" s="101">
        <v>3</v>
      </c>
      <c r="C76" s="102">
        <v>79213</v>
      </c>
      <c r="D76" s="38">
        <v>54.302999999999997</v>
      </c>
      <c r="E76" s="21">
        <v>38305</v>
      </c>
      <c r="F76" s="14">
        <f t="shared" si="10"/>
        <v>2.0679545751207415</v>
      </c>
      <c r="G76" s="9">
        <f t="shared" si="6"/>
        <v>2930.3325</v>
      </c>
      <c r="H76" s="21">
        <v>3447.45</v>
      </c>
      <c r="I76" s="21">
        <v>9305.0300000000007</v>
      </c>
      <c r="J76" s="21">
        <v>0</v>
      </c>
      <c r="K76" s="21">
        <v>76.2</v>
      </c>
      <c r="L76" s="21">
        <v>136.85</v>
      </c>
      <c r="M76" s="21">
        <v>1.02</v>
      </c>
      <c r="N76" s="21">
        <v>85.04</v>
      </c>
      <c r="O76" s="48">
        <f t="shared" si="7"/>
        <v>15981.922500000002</v>
      </c>
      <c r="P76" s="23">
        <f t="shared" si="11"/>
        <v>0.2943972832499393</v>
      </c>
      <c r="Q76" s="103">
        <f t="shared" si="12"/>
        <v>54286.922500000001</v>
      </c>
    </row>
    <row r="77" spans="1:17" x14ac:dyDescent="0.25">
      <c r="A77" s="115" t="s">
        <v>142</v>
      </c>
      <c r="B77" s="101">
        <v>1</v>
      </c>
      <c r="C77" s="102">
        <v>89500</v>
      </c>
      <c r="D77" s="38">
        <v>21.75</v>
      </c>
      <c r="E77" s="21">
        <v>40409</v>
      </c>
      <c r="F77" s="14">
        <f t="shared" si="10"/>
        <v>2.2148531267786877</v>
      </c>
      <c r="G77" s="9">
        <f t="shared" si="6"/>
        <v>3091.2885000000001</v>
      </c>
      <c r="H77" s="21">
        <v>2424.54</v>
      </c>
      <c r="I77" s="21">
        <v>11305.13</v>
      </c>
      <c r="J77" s="21">
        <v>472.68</v>
      </c>
      <c r="K77" s="21">
        <v>51.01</v>
      </c>
      <c r="L77" s="21">
        <v>94.49</v>
      </c>
      <c r="M77" s="21">
        <v>0</v>
      </c>
      <c r="N77" s="21">
        <v>75.040000000000006</v>
      </c>
      <c r="O77" s="48">
        <f t="shared" si="7"/>
        <v>17514.178500000002</v>
      </c>
      <c r="P77" s="23">
        <f t="shared" si="11"/>
        <v>0.30236908528767981</v>
      </c>
      <c r="Q77" s="103">
        <f t="shared" si="12"/>
        <v>57923.178500000002</v>
      </c>
    </row>
    <row r="78" spans="1:17" x14ac:dyDescent="0.25">
      <c r="A78" s="115" t="s">
        <v>143</v>
      </c>
      <c r="B78" s="101">
        <v>2.5870000000000002</v>
      </c>
      <c r="C78" s="102">
        <v>56208</v>
      </c>
      <c r="D78" s="38">
        <v>16</v>
      </c>
      <c r="E78" s="21">
        <v>38073</v>
      </c>
      <c r="F78" s="14">
        <f t="shared" si="10"/>
        <v>1.476321802852415</v>
      </c>
      <c r="G78" s="9">
        <f t="shared" si="6"/>
        <v>2912.5844999999999</v>
      </c>
      <c r="H78" s="21">
        <v>7713.5897999999997</v>
      </c>
      <c r="I78" s="21">
        <v>13719.37</v>
      </c>
      <c r="J78" s="21">
        <v>1023.25</v>
      </c>
      <c r="K78" s="21">
        <v>0</v>
      </c>
      <c r="L78" s="21">
        <v>0</v>
      </c>
      <c r="M78" s="21">
        <v>38.073</v>
      </c>
      <c r="N78" s="21">
        <v>0</v>
      </c>
      <c r="O78" s="48">
        <f t="shared" si="7"/>
        <v>25406.867300000002</v>
      </c>
      <c r="P78" s="23">
        <f t="shared" si="11"/>
        <v>0.40023504113405733</v>
      </c>
      <c r="Q78" s="103">
        <f t="shared" si="12"/>
        <v>63479.867299999998</v>
      </c>
    </row>
    <row r="79" spans="1:17" x14ac:dyDescent="0.25">
      <c r="A79" s="116" t="s">
        <v>144</v>
      </c>
      <c r="B79" s="104">
        <v>1</v>
      </c>
      <c r="C79" s="105">
        <v>65443</v>
      </c>
      <c r="D79" s="106">
        <v>7.8109999999999999</v>
      </c>
      <c r="E79" s="60">
        <v>45126</v>
      </c>
      <c r="F79" s="107">
        <f t="shared" si="10"/>
        <v>1.4502282497894783</v>
      </c>
      <c r="G79" s="66">
        <f t="shared" si="6"/>
        <v>3452.1390000000001</v>
      </c>
      <c r="H79" s="60">
        <v>8924.5300000000007</v>
      </c>
      <c r="I79" s="60">
        <v>8892.19</v>
      </c>
      <c r="J79" s="60">
        <v>0</v>
      </c>
      <c r="K79" s="60">
        <v>0</v>
      </c>
      <c r="L79" s="60">
        <v>1070.46</v>
      </c>
      <c r="M79" s="60">
        <v>44.05</v>
      </c>
      <c r="N79" s="60">
        <v>0</v>
      </c>
      <c r="O79" s="108">
        <f t="shared" si="7"/>
        <v>22383.369000000002</v>
      </c>
      <c r="P79" s="109">
        <f t="shared" si="11"/>
        <v>0.33155944621553196</v>
      </c>
      <c r="Q79" s="110">
        <f t="shared" si="12"/>
        <v>67509.369000000006</v>
      </c>
    </row>
    <row r="80" spans="1:17" x14ac:dyDescent="0.25">
      <c r="A80" s="114" t="s">
        <v>145</v>
      </c>
      <c r="B80" s="94">
        <v>1</v>
      </c>
      <c r="C80" s="95">
        <v>88300</v>
      </c>
      <c r="D80" s="96">
        <v>9.5</v>
      </c>
      <c r="E80" s="31">
        <v>35580</v>
      </c>
      <c r="F80" s="97">
        <f t="shared" si="10"/>
        <v>2.4817313097245646</v>
      </c>
      <c r="G80" s="30">
        <f t="shared" si="6"/>
        <v>2721.87</v>
      </c>
      <c r="H80" s="31">
        <v>0</v>
      </c>
      <c r="I80" s="31">
        <v>5814.24</v>
      </c>
      <c r="J80" s="31">
        <v>456.47</v>
      </c>
      <c r="K80" s="31">
        <v>78.66</v>
      </c>
      <c r="L80" s="31">
        <v>0</v>
      </c>
      <c r="M80" s="31">
        <v>480.33</v>
      </c>
      <c r="N80" s="31">
        <v>55.03</v>
      </c>
      <c r="O80" s="98">
        <f t="shared" si="7"/>
        <v>9606.6</v>
      </c>
      <c r="P80" s="99">
        <f t="shared" si="11"/>
        <v>0.2125984251968504</v>
      </c>
      <c r="Q80" s="100">
        <f t="shared" si="12"/>
        <v>45186.6</v>
      </c>
    </row>
    <row r="81" spans="1:20" x14ac:dyDescent="0.25">
      <c r="A81" s="115" t="s">
        <v>146</v>
      </c>
      <c r="B81" s="101">
        <v>1</v>
      </c>
      <c r="C81" s="102">
        <v>99062</v>
      </c>
      <c r="D81" s="38">
        <v>10.35</v>
      </c>
      <c r="E81" s="21">
        <v>48362</v>
      </c>
      <c r="F81" s="14">
        <f t="shared" si="10"/>
        <v>2.0483437409536411</v>
      </c>
      <c r="G81" s="9">
        <f t="shared" si="6"/>
        <v>3699.6929999999998</v>
      </c>
      <c r="H81" s="21">
        <v>7486.56</v>
      </c>
      <c r="I81" s="21">
        <v>16088.04</v>
      </c>
      <c r="J81" s="21">
        <v>1478</v>
      </c>
      <c r="K81" s="21">
        <v>0</v>
      </c>
      <c r="L81" s="21">
        <v>0</v>
      </c>
      <c r="M81" s="21">
        <v>46.790999999999997</v>
      </c>
      <c r="N81" s="21">
        <v>0</v>
      </c>
      <c r="O81" s="48">
        <f t="shared" si="7"/>
        <v>28799.084000000003</v>
      </c>
      <c r="P81" s="23">
        <f t="shared" si="11"/>
        <v>0.37323327391305183</v>
      </c>
      <c r="Q81" s="103">
        <f t="shared" si="12"/>
        <v>77161.084000000003</v>
      </c>
    </row>
    <row r="82" spans="1:20" x14ac:dyDescent="0.25">
      <c r="A82" s="115" t="s">
        <v>147</v>
      </c>
      <c r="B82" s="101"/>
      <c r="C82" s="102" t="s">
        <v>14</v>
      </c>
      <c r="D82" s="38">
        <v>48.05</v>
      </c>
      <c r="E82" s="21">
        <v>30999</v>
      </c>
      <c r="F82" s="14"/>
      <c r="G82" s="9">
        <f t="shared" si="6"/>
        <v>2371.4234999999999</v>
      </c>
      <c r="H82" s="21">
        <v>6280.3973999999998</v>
      </c>
      <c r="I82" s="21">
        <v>0</v>
      </c>
      <c r="J82" s="21">
        <v>0</v>
      </c>
      <c r="K82" s="21">
        <v>0</v>
      </c>
      <c r="L82" s="21">
        <v>0</v>
      </c>
      <c r="M82" s="21">
        <v>30.998999999999999</v>
      </c>
      <c r="N82" s="21">
        <v>0</v>
      </c>
      <c r="O82" s="48">
        <f t="shared" si="7"/>
        <v>8682.8198999999986</v>
      </c>
      <c r="P82" s="23">
        <f t="shared" si="11"/>
        <v>0.21881103038825087</v>
      </c>
      <c r="Q82" s="103">
        <f t="shared" si="12"/>
        <v>39681.819900000002</v>
      </c>
      <c r="T82" s="69"/>
    </row>
    <row r="83" spans="1:20" x14ac:dyDescent="0.25">
      <c r="A83" s="115" t="s">
        <v>148</v>
      </c>
      <c r="B83" s="101">
        <v>1</v>
      </c>
      <c r="C83" s="102">
        <v>75000</v>
      </c>
      <c r="D83" s="38">
        <v>21.4</v>
      </c>
      <c r="E83" s="21">
        <v>33029</v>
      </c>
      <c r="F83" s="14">
        <f t="shared" ref="F83:F88" si="13">C83/E83</f>
        <v>2.2707317811620094</v>
      </c>
      <c r="G83" s="9"/>
      <c r="H83" s="21"/>
      <c r="I83" s="21"/>
      <c r="J83" s="21"/>
      <c r="K83" s="21"/>
      <c r="L83" s="21"/>
      <c r="M83" s="21"/>
      <c r="N83" s="21"/>
      <c r="O83" s="48" t="s">
        <v>14</v>
      </c>
      <c r="P83" s="23"/>
      <c r="Q83" s="103"/>
    </row>
    <row r="84" spans="1:20" x14ac:dyDescent="0.25">
      <c r="A84" s="116" t="s">
        <v>149</v>
      </c>
      <c r="B84" s="104">
        <v>2</v>
      </c>
      <c r="C84" s="105">
        <v>75625</v>
      </c>
      <c r="D84" s="106">
        <v>26.55</v>
      </c>
      <c r="E84" s="60">
        <v>40260</v>
      </c>
      <c r="F84" s="107">
        <f t="shared" si="13"/>
        <v>1.8784153005464481</v>
      </c>
      <c r="G84" s="66">
        <f t="shared" si="6"/>
        <v>3079.89</v>
      </c>
      <c r="H84" s="60">
        <v>2818.2</v>
      </c>
      <c r="I84" s="60">
        <v>4792</v>
      </c>
      <c r="J84" s="60">
        <v>928</v>
      </c>
      <c r="K84" s="60">
        <v>32.76</v>
      </c>
      <c r="L84" s="60">
        <v>203.22</v>
      </c>
      <c r="M84" s="60">
        <v>112.23</v>
      </c>
      <c r="N84" s="60">
        <v>0</v>
      </c>
      <c r="O84" s="108">
        <f t="shared" si="7"/>
        <v>11966.3</v>
      </c>
      <c r="P84" s="109">
        <f t="shared" si="11"/>
        <v>0.22912402371984994</v>
      </c>
      <c r="Q84" s="110">
        <f t="shared" ref="Q84:Q89" si="14">E84+O84</f>
        <v>52226.3</v>
      </c>
    </row>
    <row r="85" spans="1:20" x14ac:dyDescent="0.25">
      <c r="A85" s="114" t="s">
        <v>150</v>
      </c>
      <c r="B85" s="94">
        <v>1.3</v>
      </c>
      <c r="C85" s="95">
        <v>74615</v>
      </c>
      <c r="D85" s="96">
        <v>39.802</v>
      </c>
      <c r="E85" s="31">
        <v>37251</v>
      </c>
      <c r="F85" s="97">
        <f t="shared" si="13"/>
        <v>2.0030334756113928</v>
      </c>
      <c r="G85" s="30">
        <f t="shared" si="6"/>
        <v>2849.7015000000001</v>
      </c>
      <c r="H85" s="31">
        <v>2594</v>
      </c>
      <c r="I85" s="31">
        <v>6000</v>
      </c>
      <c r="J85" s="31">
        <v>0</v>
      </c>
      <c r="K85" s="31">
        <v>0</v>
      </c>
      <c r="L85" s="31">
        <v>102.73</v>
      </c>
      <c r="M85" s="31">
        <v>259</v>
      </c>
      <c r="N85" s="31">
        <v>0</v>
      </c>
      <c r="O85" s="98">
        <f t="shared" si="7"/>
        <v>11805.431499999999</v>
      </c>
      <c r="P85" s="99">
        <f t="shared" si="11"/>
        <v>0.24065002567502283</v>
      </c>
      <c r="Q85" s="100">
        <f t="shared" si="14"/>
        <v>49056.431499999999</v>
      </c>
    </row>
    <row r="86" spans="1:20" x14ac:dyDescent="0.25">
      <c r="A86" s="115" t="s">
        <v>151</v>
      </c>
      <c r="B86" s="101">
        <v>2.08</v>
      </c>
      <c r="C86" s="102">
        <v>46154</v>
      </c>
      <c r="D86" s="38">
        <v>21.32</v>
      </c>
      <c r="E86" s="21">
        <v>34421</v>
      </c>
      <c r="F86" s="14">
        <f t="shared" si="13"/>
        <v>1.3408674936811831</v>
      </c>
      <c r="G86" s="9">
        <f t="shared" si="6"/>
        <v>2633.2064999999998</v>
      </c>
      <c r="H86" s="21">
        <v>3442</v>
      </c>
      <c r="I86" s="21">
        <v>9775</v>
      </c>
      <c r="J86" s="21">
        <v>0</v>
      </c>
      <c r="K86" s="21">
        <v>0</v>
      </c>
      <c r="L86" s="21">
        <v>0</v>
      </c>
      <c r="M86" s="21">
        <v>37.5</v>
      </c>
      <c r="N86" s="21">
        <v>0</v>
      </c>
      <c r="O86" s="48">
        <f t="shared" si="7"/>
        <v>15887.7065</v>
      </c>
      <c r="P86" s="23">
        <f t="shared" si="11"/>
        <v>0.31580431311625951</v>
      </c>
      <c r="Q86" s="103">
        <f t="shared" si="14"/>
        <v>50308.7065</v>
      </c>
    </row>
    <row r="87" spans="1:20" x14ac:dyDescent="0.25">
      <c r="A87" s="115" t="s">
        <v>152</v>
      </c>
      <c r="B87" s="101">
        <v>1</v>
      </c>
      <c r="C87" s="102">
        <v>88775</v>
      </c>
      <c r="D87" s="38">
        <v>17.302</v>
      </c>
      <c r="E87" s="21">
        <v>37943</v>
      </c>
      <c r="F87" s="14">
        <f t="shared" si="13"/>
        <v>2.3396937511530456</v>
      </c>
      <c r="G87" s="9">
        <f t="shared" si="6"/>
        <v>2902.6394999999998</v>
      </c>
      <c r="H87" s="21">
        <v>411.79</v>
      </c>
      <c r="I87" s="21">
        <v>8700</v>
      </c>
      <c r="J87" s="21">
        <v>0</v>
      </c>
      <c r="K87" s="21">
        <v>0</v>
      </c>
      <c r="L87" s="21">
        <v>113.8</v>
      </c>
      <c r="M87" s="21">
        <v>887.2</v>
      </c>
      <c r="N87" s="21">
        <v>0</v>
      </c>
      <c r="O87" s="48">
        <f t="shared" si="7"/>
        <v>13015.4295</v>
      </c>
      <c r="P87" s="23">
        <f t="shared" si="11"/>
        <v>0.2554126888859477</v>
      </c>
      <c r="Q87" s="103">
        <f t="shared" si="14"/>
        <v>50958.429499999998</v>
      </c>
    </row>
    <row r="88" spans="1:20" x14ac:dyDescent="0.25">
      <c r="A88" s="115" t="s">
        <v>153</v>
      </c>
      <c r="B88" s="101">
        <v>2.5</v>
      </c>
      <c r="C88" s="102">
        <v>72454</v>
      </c>
      <c r="D88" s="38">
        <v>31.792000000000002</v>
      </c>
      <c r="E88" s="21">
        <v>44717</v>
      </c>
      <c r="F88" s="14">
        <f t="shared" si="13"/>
        <v>1.6202786412326409</v>
      </c>
      <c r="G88" s="9">
        <f t="shared" si="6"/>
        <v>3420.8505</v>
      </c>
      <c r="H88" s="21">
        <v>9059.6641999999993</v>
      </c>
      <c r="I88" s="21">
        <v>8020</v>
      </c>
      <c r="J88" s="21">
        <v>0</v>
      </c>
      <c r="K88" s="21">
        <v>160</v>
      </c>
      <c r="L88" s="21">
        <v>93</v>
      </c>
      <c r="M88" s="21">
        <v>44.716999999999999</v>
      </c>
      <c r="N88" s="21">
        <v>0</v>
      </c>
      <c r="O88" s="48">
        <f t="shared" si="7"/>
        <v>20798.2317</v>
      </c>
      <c r="P88" s="23">
        <f t="shared" si="11"/>
        <v>0.31745643204372576</v>
      </c>
      <c r="Q88" s="103">
        <f t="shared" si="14"/>
        <v>65515.231700000004</v>
      </c>
    </row>
    <row r="89" spans="1:20" x14ac:dyDescent="0.25">
      <c r="A89" s="117" t="s">
        <v>154</v>
      </c>
      <c r="B89" s="70">
        <f>SUM(B5:B88)</f>
        <v>107.62800000000001</v>
      </c>
      <c r="C89" s="71">
        <v>70693</v>
      </c>
      <c r="D89" s="72">
        <f>SUM(D5:D88)</f>
        <v>2139.6169999999997</v>
      </c>
      <c r="E89" s="73">
        <v>37778</v>
      </c>
      <c r="F89" s="74">
        <f>MEDIAN(F5:F88)</f>
        <v>1.8626447616482629</v>
      </c>
      <c r="G89" s="75"/>
      <c r="H89" s="76"/>
      <c r="I89" s="76"/>
      <c r="J89" s="76"/>
      <c r="K89" s="76"/>
      <c r="L89" s="76"/>
      <c r="M89" s="76"/>
      <c r="N89" s="76"/>
      <c r="O89" s="77">
        <v>13792.5</v>
      </c>
      <c r="P89" s="78">
        <f>O89/Q89</f>
        <v>0.2674494139091147</v>
      </c>
      <c r="Q89" s="111">
        <f t="shared" si="14"/>
        <v>51570.5</v>
      </c>
    </row>
    <row r="90" spans="1:20" s="79" customFormat="1" ht="13.15" customHeight="1" x14ac:dyDescent="0.2">
      <c r="A90" s="80" t="s">
        <v>27</v>
      </c>
      <c r="B90" s="81"/>
      <c r="C90" s="82"/>
      <c r="D90" s="81"/>
      <c r="E90" s="83"/>
      <c r="F90" s="83"/>
      <c r="G90" s="83"/>
      <c r="H90" s="83"/>
      <c r="I90" s="84"/>
      <c r="J90" s="83"/>
      <c r="K90" s="83"/>
      <c r="L90" s="83"/>
      <c r="M90" s="83"/>
      <c r="N90" s="83"/>
      <c r="O90" s="82"/>
      <c r="P90" s="83"/>
      <c r="Q90" s="83"/>
      <c r="S90" s="83"/>
      <c r="T90" s="83"/>
    </row>
  </sheetData>
  <sheetProtection password="EB3F" sheet="1" objects="1" scenarios="1"/>
  <mergeCells count="8">
    <mergeCell ref="Q1:Q4"/>
    <mergeCell ref="P3:P4"/>
    <mergeCell ref="G2:N3"/>
    <mergeCell ref="F2:F4"/>
    <mergeCell ref="B3:B4"/>
    <mergeCell ref="C3:C4"/>
    <mergeCell ref="D3:D4"/>
    <mergeCell ref="E3:E4"/>
  </mergeCells>
  <printOptions horizontalCentered="1"/>
  <pageMargins left="0.25" right="0.25" top="0.75" bottom="0.75" header="0.3" footer="0.3"/>
  <pageSetup scale="65" fitToHeight="0" orientation="landscape" r:id="rId1"/>
  <headerFooter>
    <oddHeader xml:space="preserve">&amp;C&amp;"-,Bold"&amp;14Average Salary and Benefits (In Dollars), FY 2013
Charter </oddHeader>
  </headerFooter>
  <rowBreaks count="1" manualBreakCount="1">
    <brk id="49" max="16" man="1"/>
  </rowBreaks>
  <ignoredErrors>
    <ignoredError sqref="P8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Districts</vt:lpstr>
      <vt:lpstr>Charters</vt:lpstr>
      <vt:lpstr>Charters!Print_Area</vt:lpstr>
      <vt:lpstr>Districts!Print_Area</vt:lpstr>
      <vt:lpstr>Charters!Print_Titles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Morandy, Tina</cp:lastModifiedBy>
  <cp:lastPrinted>2013-12-19T22:39:54Z</cp:lastPrinted>
  <dcterms:created xsi:type="dcterms:W3CDTF">2013-12-11T19:14:47Z</dcterms:created>
  <dcterms:modified xsi:type="dcterms:W3CDTF">2013-12-20T17:42:49Z</dcterms:modified>
</cp:coreProperties>
</file>