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4955" windowHeight="7680" firstSheet="1" activeTab="3"/>
  </bookViews>
  <sheets>
    <sheet name="Dist Region Table" sheetId="2" state="hidden" r:id="rId1"/>
    <sheet name="FY16 Feb Forecast" sheetId="15" r:id="rId2"/>
    <sheet name="FY16 Tax Bill" sheetId="13" r:id="rId3"/>
    <sheet name="FY16 Change" sheetId="14" r:id="rId4"/>
    <sheet name="Tax Bill Summary" sheetId="1" state="hidden" r:id="rId5"/>
    <sheet name="GE16FEB14 Unfudged" sheetId="10" state="hidden" r:id="rId6"/>
    <sheet name="GE16FEB14 Tax Bill Unfudged" sheetId="11" state="hidden" r:id="rId7"/>
  </sheets>
  <externalReferences>
    <externalReference r:id="rId8"/>
  </externalReferences>
  <definedNames>
    <definedName name="Dnumber">[1]Report!$A$1</definedName>
    <definedName name="_xlnm.Print_Area" localSheetId="0">'Dist Region Table'!#REF!</definedName>
    <definedName name="_xlnm.Print_Area" localSheetId="4">'Tax Bill Summary'!$AJ$2:$AX$517</definedName>
    <definedName name="_xlnm.Print_Titles" localSheetId="0">'Dist Region Table'!$A:$D,'Dist Region Table'!#REF!</definedName>
    <definedName name="_xlnm.Print_Titles" localSheetId="3">'FY16 Change'!$1:$4</definedName>
    <definedName name="_xlnm.Print_Titles" localSheetId="1">'FY16 Feb Forecast'!$1:$4</definedName>
    <definedName name="_xlnm.Print_Titles" localSheetId="2">'FY16 Tax Bill'!$1:$4</definedName>
    <definedName name="_xlnm.Print_Titles" localSheetId="4">'Tax Bill Summary'!$2:$8</definedName>
    <definedName name="SPSS" localSheetId="1">#REF!</definedName>
    <definedName name="SPSS">#REF!</definedName>
    <definedName name="Start" localSheetId="0">#REF!</definedName>
    <definedName name="Start" localSheetId="1">'Tax Bill Summary'!#REF!</definedName>
    <definedName name="Start">'Tax Bill Summary'!#REF!</definedName>
    <definedName name="TitelRegion1.a2.t514.2">'FY16 Tax Bill'!$T$514</definedName>
    <definedName name="TitleRegion1.a2.t514.1">'FY16 Feb Forecast'!$T$514</definedName>
    <definedName name="TitleRegion1.a2.t514.3">'FY16 Change'!$T$514</definedName>
  </definedNames>
  <calcPr calcId="145621"/>
</workbook>
</file>

<file path=xl/calcChain.xml><?xml version="1.0" encoding="utf-8"?>
<calcChain xmlns="http://schemas.openxmlformats.org/spreadsheetml/2006/main">
  <c r="N514" i="14" l="1"/>
  <c r="M514" i="14"/>
  <c r="L514" i="14"/>
  <c r="K514" i="14"/>
  <c r="J514" i="14"/>
  <c r="I514" i="14"/>
  <c r="H514" i="14"/>
  <c r="G514" i="14"/>
  <c r="F514" i="14"/>
  <c r="N513" i="14"/>
  <c r="M513" i="14"/>
  <c r="L513" i="14"/>
  <c r="K513" i="14"/>
  <c r="J513" i="14"/>
  <c r="I513" i="14"/>
  <c r="H513" i="14"/>
  <c r="G513" i="14"/>
  <c r="F513" i="14"/>
  <c r="N512" i="14"/>
  <c r="M512" i="14"/>
  <c r="L512" i="14"/>
  <c r="K512" i="14"/>
  <c r="J512" i="14"/>
  <c r="I512" i="14"/>
  <c r="H512" i="14"/>
  <c r="G512" i="14"/>
  <c r="F512" i="14"/>
  <c r="N511" i="14"/>
  <c r="M511" i="14"/>
  <c r="L511" i="14"/>
  <c r="K511" i="14"/>
  <c r="J511" i="14"/>
  <c r="I511" i="14"/>
  <c r="H511" i="14"/>
  <c r="G511" i="14"/>
  <c r="F511" i="14"/>
  <c r="N510" i="14"/>
  <c r="M510" i="14"/>
  <c r="L510" i="14"/>
  <c r="K510" i="14"/>
  <c r="J510" i="14"/>
  <c r="I510" i="14"/>
  <c r="H510" i="14"/>
  <c r="G510" i="14"/>
  <c r="F510" i="14"/>
  <c r="N509" i="14"/>
  <c r="M509" i="14"/>
  <c r="L509" i="14"/>
  <c r="K509" i="14"/>
  <c r="J509" i="14"/>
  <c r="I509" i="14"/>
  <c r="H509" i="14"/>
  <c r="G509" i="14"/>
  <c r="F509" i="14"/>
  <c r="N508" i="14"/>
  <c r="M508" i="14"/>
  <c r="L508" i="14"/>
  <c r="K508" i="14"/>
  <c r="J508" i="14"/>
  <c r="I508" i="14"/>
  <c r="H508" i="14"/>
  <c r="G508" i="14"/>
  <c r="F508" i="14"/>
  <c r="N507" i="14"/>
  <c r="M507" i="14"/>
  <c r="L507" i="14"/>
  <c r="K507" i="14"/>
  <c r="J507" i="14"/>
  <c r="I507" i="14"/>
  <c r="H507" i="14"/>
  <c r="G507" i="14"/>
  <c r="F507" i="14"/>
  <c r="N506" i="14"/>
  <c r="M506" i="14"/>
  <c r="L506" i="14"/>
  <c r="K506" i="14"/>
  <c r="J506" i="14"/>
  <c r="I506" i="14"/>
  <c r="H506" i="14"/>
  <c r="G506" i="14"/>
  <c r="F506" i="14"/>
  <c r="N505" i="14"/>
  <c r="M505" i="14"/>
  <c r="L505" i="14"/>
  <c r="K505" i="14"/>
  <c r="J505" i="14"/>
  <c r="I505" i="14"/>
  <c r="H505" i="14"/>
  <c r="G505" i="14"/>
  <c r="F505" i="14"/>
  <c r="N504" i="14"/>
  <c r="M504" i="14"/>
  <c r="L504" i="14"/>
  <c r="K504" i="14"/>
  <c r="J504" i="14"/>
  <c r="I504" i="14"/>
  <c r="H504" i="14"/>
  <c r="G504" i="14"/>
  <c r="F504" i="14"/>
  <c r="N503" i="14"/>
  <c r="M503" i="14"/>
  <c r="L503" i="14"/>
  <c r="K503" i="14"/>
  <c r="J503" i="14"/>
  <c r="I503" i="14"/>
  <c r="H503" i="14"/>
  <c r="G503" i="14"/>
  <c r="F503" i="14"/>
  <c r="N502" i="14"/>
  <c r="M502" i="14"/>
  <c r="L502" i="14"/>
  <c r="K502" i="14"/>
  <c r="J502" i="14"/>
  <c r="I502" i="14"/>
  <c r="H502" i="14"/>
  <c r="G502" i="14"/>
  <c r="F502" i="14"/>
  <c r="N501" i="14"/>
  <c r="M501" i="14"/>
  <c r="L501" i="14"/>
  <c r="K501" i="14"/>
  <c r="J501" i="14"/>
  <c r="I501" i="14"/>
  <c r="H501" i="14"/>
  <c r="G501" i="14"/>
  <c r="F501" i="14"/>
  <c r="N500" i="14"/>
  <c r="M500" i="14"/>
  <c r="L500" i="14"/>
  <c r="K500" i="14"/>
  <c r="J500" i="14"/>
  <c r="I500" i="14"/>
  <c r="H500" i="14"/>
  <c r="G500" i="14"/>
  <c r="F500" i="14"/>
  <c r="N499" i="14"/>
  <c r="M499" i="14"/>
  <c r="L499" i="14"/>
  <c r="K499" i="14"/>
  <c r="J499" i="14"/>
  <c r="I499" i="14"/>
  <c r="H499" i="14"/>
  <c r="G499" i="14"/>
  <c r="F499" i="14"/>
  <c r="N498" i="14"/>
  <c r="M498" i="14"/>
  <c r="L498" i="14"/>
  <c r="K498" i="14"/>
  <c r="J498" i="14"/>
  <c r="I498" i="14"/>
  <c r="H498" i="14"/>
  <c r="G498" i="14"/>
  <c r="F498" i="14"/>
  <c r="N497" i="14"/>
  <c r="M497" i="14"/>
  <c r="L497" i="14"/>
  <c r="K497" i="14"/>
  <c r="J497" i="14"/>
  <c r="I497" i="14"/>
  <c r="H497" i="14"/>
  <c r="G497" i="14"/>
  <c r="F497" i="14"/>
  <c r="N496" i="14"/>
  <c r="M496" i="14"/>
  <c r="L496" i="14"/>
  <c r="K496" i="14"/>
  <c r="J496" i="14"/>
  <c r="I496" i="14"/>
  <c r="H496" i="14"/>
  <c r="G496" i="14"/>
  <c r="F496" i="14"/>
  <c r="N495" i="14"/>
  <c r="M495" i="14"/>
  <c r="L495" i="14"/>
  <c r="K495" i="14"/>
  <c r="J495" i="14"/>
  <c r="I495" i="14"/>
  <c r="H495" i="14"/>
  <c r="G495" i="14"/>
  <c r="F495" i="14"/>
  <c r="N494" i="14"/>
  <c r="M494" i="14"/>
  <c r="L494" i="14"/>
  <c r="K494" i="14"/>
  <c r="J494" i="14"/>
  <c r="I494" i="14"/>
  <c r="H494" i="14"/>
  <c r="G494" i="14"/>
  <c r="F494" i="14"/>
  <c r="N493" i="14"/>
  <c r="M493" i="14"/>
  <c r="L493" i="14"/>
  <c r="K493" i="14"/>
  <c r="J493" i="14"/>
  <c r="I493" i="14"/>
  <c r="H493" i="14"/>
  <c r="G493" i="14"/>
  <c r="F493" i="14"/>
  <c r="N492" i="14"/>
  <c r="M492" i="14"/>
  <c r="L492" i="14"/>
  <c r="K492" i="14"/>
  <c r="J492" i="14"/>
  <c r="I492" i="14"/>
  <c r="H492" i="14"/>
  <c r="G492" i="14"/>
  <c r="F492" i="14"/>
  <c r="N491" i="14"/>
  <c r="M491" i="14"/>
  <c r="L491" i="14"/>
  <c r="K491" i="14"/>
  <c r="J491" i="14"/>
  <c r="I491" i="14"/>
  <c r="H491" i="14"/>
  <c r="G491" i="14"/>
  <c r="F491" i="14"/>
  <c r="N490" i="14"/>
  <c r="M490" i="14"/>
  <c r="L490" i="14"/>
  <c r="K490" i="14"/>
  <c r="J490" i="14"/>
  <c r="I490" i="14"/>
  <c r="H490" i="14"/>
  <c r="G490" i="14"/>
  <c r="F490" i="14"/>
  <c r="N489" i="14"/>
  <c r="M489" i="14"/>
  <c r="L489" i="14"/>
  <c r="K489" i="14"/>
  <c r="J489" i="14"/>
  <c r="I489" i="14"/>
  <c r="H489" i="14"/>
  <c r="G489" i="14"/>
  <c r="F489" i="14"/>
  <c r="N488" i="14"/>
  <c r="M488" i="14"/>
  <c r="L488" i="14"/>
  <c r="K488" i="14"/>
  <c r="J488" i="14"/>
  <c r="I488" i="14"/>
  <c r="H488" i="14"/>
  <c r="G488" i="14"/>
  <c r="F488" i="14"/>
  <c r="N487" i="14"/>
  <c r="M487" i="14"/>
  <c r="L487" i="14"/>
  <c r="K487" i="14"/>
  <c r="J487" i="14"/>
  <c r="I487" i="14"/>
  <c r="H487" i="14"/>
  <c r="G487" i="14"/>
  <c r="F487" i="14"/>
  <c r="N486" i="14"/>
  <c r="M486" i="14"/>
  <c r="L486" i="14"/>
  <c r="K486" i="14"/>
  <c r="J486" i="14"/>
  <c r="I486" i="14"/>
  <c r="H486" i="14"/>
  <c r="G486" i="14"/>
  <c r="F486" i="14"/>
  <c r="N485" i="14"/>
  <c r="M485" i="14"/>
  <c r="L485" i="14"/>
  <c r="K485" i="14"/>
  <c r="J485" i="14"/>
  <c r="I485" i="14"/>
  <c r="H485" i="14"/>
  <c r="G485" i="14"/>
  <c r="F485" i="14"/>
  <c r="N484" i="14"/>
  <c r="M484" i="14"/>
  <c r="L484" i="14"/>
  <c r="K484" i="14"/>
  <c r="J484" i="14"/>
  <c r="I484" i="14"/>
  <c r="H484" i="14"/>
  <c r="G484" i="14"/>
  <c r="F484" i="14"/>
  <c r="N483" i="14"/>
  <c r="M483" i="14"/>
  <c r="L483" i="14"/>
  <c r="K483" i="14"/>
  <c r="J483" i="14"/>
  <c r="I483" i="14"/>
  <c r="H483" i="14"/>
  <c r="G483" i="14"/>
  <c r="F483" i="14"/>
  <c r="N482" i="14"/>
  <c r="M482" i="14"/>
  <c r="L482" i="14"/>
  <c r="K482" i="14"/>
  <c r="J482" i="14"/>
  <c r="I482" i="14"/>
  <c r="H482" i="14"/>
  <c r="G482" i="14"/>
  <c r="F482" i="14"/>
  <c r="N481" i="14"/>
  <c r="M481" i="14"/>
  <c r="L481" i="14"/>
  <c r="K481" i="14"/>
  <c r="J481" i="14"/>
  <c r="I481" i="14"/>
  <c r="H481" i="14"/>
  <c r="G481" i="14"/>
  <c r="F481" i="14"/>
  <c r="N480" i="14"/>
  <c r="M480" i="14"/>
  <c r="L480" i="14"/>
  <c r="K480" i="14"/>
  <c r="J480" i="14"/>
  <c r="I480" i="14"/>
  <c r="H480" i="14"/>
  <c r="G480" i="14"/>
  <c r="F480" i="14"/>
  <c r="N479" i="14"/>
  <c r="M479" i="14"/>
  <c r="L479" i="14"/>
  <c r="K479" i="14"/>
  <c r="J479" i="14"/>
  <c r="I479" i="14"/>
  <c r="H479" i="14"/>
  <c r="G479" i="14"/>
  <c r="F479" i="14"/>
  <c r="N478" i="14"/>
  <c r="M478" i="14"/>
  <c r="L478" i="14"/>
  <c r="K478" i="14"/>
  <c r="J478" i="14"/>
  <c r="I478" i="14"/>
  <c r="H478" i="14"/>
  <c r="G478" i="14"/>
  <c r="F478" i="14"/>
  <c r="N477" i="14"/>
  <c r="M477" i="14"/>
  <c r="L477" i="14"/>
  <c r="K477" i="14"/>
  <c r="J477" i="14"/>
  <c r="I477" i="14"/>
  <c r="H477" i="14"/>
  <c r="G477" i="14"/>
  <c r="F477" i="14"/>
  <c r="N476" i="14"/>
  <c r="M476" i="14"/>
  <c r="L476" i="14"/>
  <c r="K476" i="14"/>
  <c r="J476" i="14"/>
  <c r="I476" i="14"/>
  <c r="H476" i="14"/>
  <c r="G476" i="14"/>
  <c r="F476" i="14"/>
  <c r="N475" i="14"/>
  <c r="M475" i="14"/>
  <c r="L475" i="14"/>
  <c r="K475" i="14"/>
  <c r="J475" i="14"/>
  <c r="I475" i="14"/>
  <c r="H475" i="14"/>
  <c r="G475" i="14"/>
  <c r="F475" i="14"/>
  <c r="N474" i="14"/>
  <c r="M474" i="14"/>
  <c r="L474" i="14"/>
  <c r="K474" i="14"/>
  <c r="J474" i="14"/>
  <c r="I474" i="14"/>
  <c r="H474" i="14"/>
  <c r="G474" i="14"/>
  <c r="F474" i="14"/>
  <c r="N473" i="14"/>
  <c r="M473" i="14"/>
  <c r="L473" i="14"/>
  <c r="K473" i="14"/>
  <c r="J473" i="14"/>
  <c r="I473" i="14"/>
  <c r="H473" i="14"/>
  <c r="G473" i="14"/>
  <c r="F473" i="14"/>
  <c r="N472" i="14"/>
  <c r="M472" i="14"/>
  <c r="L472" i="14"/>
  <c r="K472" i="14"/>
  <c r="J472" i="14"/>
  <c r="I472" i="14"/>
  <c r="H472" i="14"/>
  <c r="G472" i="14"/>
  <c r="F472" i="14"/>
  <c r="N471" i="14"/>
  <c r="M471" i="14"/>
  <c r="L471" i="14"/>
  <c r="K471" i="14"/>
  <c r="J471" i="14"/>
  <c r="I471" i="14"/>
  <c r="H471" i="14"/>
  <c r="G471" i="14"/>
  <c r="F471" i="14"/>
  <c r="N470" i="14"/>
  <c r="M470" i="14"/>
  <c r="L470" i="14"/>
  <c r="K470" i="14"/>
  <c r="J470" i="14"/>
  <c r="I470" i="14"/>
  <c r="H470" i="14"/>
  <c r="G470" i="14"/>
  <c r="F470" i="14"/>
  <c r="N469" i="14"/>
  <c r="M469" i="14"/>
  <c r="L469" i="14"/>
  <c r="K469" i="14"/>
  <c r="J469" i="14"/>
  <c r="I469" i="14"/>
  <c r="H469" i="14"/>
  <c r="G469" i="14"/>
  <c r="F469" i="14"/>
  <c r="N468" i="14"/>
  <c r="M468" i="14"/>
  <c r="L468" i="14"/>
  <c r="K468" i="14"/>
  <c r="J468" i="14"/>
  <c r="I468" i="14"/>
  <c r="H468" i="14"/>
  <c r="G468" i="14"/>
  <c r="F468" i="14"/>
  <c r="N467" i="14"/>
  <c r="M467" i="14"/>
  <c r="L467" i="14"/>
  <c r="K467" i="14"/>
  <c r="J467" i="14"/>
  <c r="I467" i="14"/>
  <c r="H467" i="14"/>
  <c r="G467" i="14"/>
  <c r="F467" i="14"/>
  <c r="N466" i="14"/>
  <c r="M466" i="14"/>
  <c r="L466" i="14"/>
  <c r="K466" i="14"/>
  <c r="J466" i="14"/>
  <c r="I466" i="14"/>
  <c r="H466" i="14"/>
  <c r="G466" i="14"/>
  <c r="F466" i="14"/>
  <c r="N465" i="14"/>
  <c r="M465" i="14"/>
  <c r="L465" i="14"/>
  <c r="K465" i="14"/>
  <c r="J465" i="14"/>
  <c r="I465" i="14"/>
  <c r="H465" i="14"/>
  <c r="G465" i="14"/>
  <c r="F465" i="14"/>
  <c r="N464" i="14"/>
  <c r="M464" i="14"/>
  <c r="L464" i="14"/>
  <c r="K464" i="14"/>
  <c r="J464" i="14"/>
  <c r="I464" i="14"/>
  <c r="H464" i="14"/>
  <c r="G464" i="14"/>
  <c r="F464" i="14"/>
  <c r="N463" i="14"/>
  <c r="M463" i="14"/>
  <c r="L463" i="14"/>
  <c r="K463" i="14"/>
  <c r="J463" i="14"/>
  <c r="I463" i="14"/>
  <c r="H463" i="14"/>
  <c r="G463" i="14"/>
  <c r="F463" i="14"/>
  <c r="N462" i="14"/>
  <c r="M462" i="14"/>
  <c r="L462" i="14"/>
  <c r="K462" i="14"/>
  <c r="J462" i="14"/>
  <c r="I462" i="14"/>
  <c r="H462" i="14"/>
  <c r="G462" i="14"/>
  <c r="F462" i="14"/>
  <c r="N461" i="14"/>
  <c r="M461" i="14"/>
  <c r="L461" i="14"/>
  <c r="K461" i="14"/>
  <c r="J461" i="14"/>
  <c r="I461" i="14"/>
  <c r="H461" i="14"/>
  <c r="G461" i="14"/>
  <c r="F461" i="14"/>
  <c r="N460" i="14"/>
  <c r="M460" i="14"/>
  <c r="L460" i="14"/>
  <c r="K460" i="14"/>
  <c r="J460" i="14"/>
  <c r="I460" i="14"/>
  <c r="H460" i="14"/>
  <c r="G460" i="14"/>
  <c r="F460" i="14"/>
  <c r="N459" i="14"/>
  <c r="M459" i="14"/>
  <c r="L459" i="14"/>
  <c r="K459" i="14"/>
  <c r="J459" i="14"/>
  <c r="I459" i="14"/>
  <c r="H459" i="14"/>
  <c r="G459" i="14"/>
  <c r="F459" i="14"/>
  <c r="N458" i="14"/>
  <c r="M458" i="14"/>
  <c r="L458" i="14"/>
  <c r="K458" i="14"/>
  <c r="J458" i="14"/>
  <c r="I458" i="14"/>
  <c r="H458" i="14"/>
  <c r="G458" i="14"/>
  <c r="F458" i="14"/>
  <c r="N457" i="14"/>
  <c r="M457" i="14"/>
  <c r="L457" i="14"/>
  <c r="K457" i="14"/>
  <c r="J457" i="14"/>
  <c r="I457" i="14"/>
  <c r="H457" i="14"/>
  <c r="G457" i="14"/>
  <c r="F457" i="14"/>
  <c r="N456" i="14"/>
  <c r="M456" i="14"/>
  <c r="L456" i="14"/>
  <c r="K456" i="14"/>
  <c r="J456" i="14"/>
  <c r="I456" i="14"/>
  <c r="H456" i="14"/>
  <c r="G456" i="14"/>
  <c r="F456" i="14"/>
  <c r="N455" i="14"/>
  <c r="M455" i="14"/>
  <c r="L455" i="14"/>
  <c r="K455" i="14"/>
  <c r="J455" i="14"/>
  <c r="I455" i="14"/>
  <c r="H455" i="14"/>
  <c r="G455" i="14"/>
  <c r="F455" i="14"/>
  <c r="N454" i="14"/>
  <c r="M454" i="14"/>
  <c r="L454" i="14"/>
  <c r="K454" i="14"/>
  <c r="J454" i="14"/>
  <c r="I454" i="14"/>
  <c r="H454" i="14"/>
  <c r="G454" i="14"/>
  <c r="F454" i="14"/>
  <c r="N453" i="14"/>
  <c r="M453" i="14"/>
  <c r="L453" i="14"/>
  <c r="K453" i="14"/>
  <c r="J453" i="14"/>
  <c r="I453" i="14"/>
  <c r="H453" i="14"/>
  <c r="G453" i="14"/>
  <c r="F453" i="14"/>
  <c r="N452" i="14"/>
  <c r="M452" i="14"/>
  <c r="L452" i="14"/>
  <c r="K452" i="14"/>
  <c r="J452" i="14"/>
  <c r="I452" i="14"/>
  <c r="H452" i="14"/>
  <c r="G452" i="14"/>
  <c r="F452" i="14"/>
  <c r="N451" i="14"/>
  <c r="M451" i="14"/>
  <c r="L451" i="14"/>
  <c r="K451" i="14"/>
  <c r="J451" i="14"/>
  <c r="I451" i="14"/>
  <c r="H451" i="14"/>
  <c r="G451" i="14"/>
  <c r="F451" i="14"/>
  <c r="N450" i="14"/>
  <c r="M450" i="14"/>
  <c r="L450" i="14"/>
  <c r="K450" i="14"/>
  <c r="J450" i="14"/>
  <c r="I450" i="14"/>
  <c r="H450" i="14"/>
  <c r="G450" i="14"/>
  <c r="F450" i="14"/>
  <c r="N449" i="14"/>
  <c r="M449" i="14"/>
  <c r="L449" i="14"/>
  <c r="K449" i="14"/>
  <c r="J449" i="14"/>
  <c r="I449" i="14"/>
  <c r="H449" i="14"/>
  <c r="G449" i="14"/>
  <c r="F449" i="14"/>
  <c r="N448" i="14"/>
  <c r="M448" i="14"/>
  <c r="L448" i="14"/>
  <c r="K448" i="14"/>
  <c r="J448" i="14"/>
  <c r="I448" i="14"/>
  <c r="H448" i="14"/>
  <c r="G448" i="14"/>
  <c r="F448" i="14"/>
  <c r="N447" i="14"/>
  <c r="M447" i="14"/>
  <c r="L447" i="14"/>
  <c r="K447" i="14"/>
  <c r="J447" i="14"/>
  <c r="I447" i="14"/>
  <c r="H447" i="14"/>
  <c r="G447" i="14"/>
  <c r="F447" i="14"/>
  <c r="N446" i="14"/>
  <c r="M446" i="14"/>
  <c r="L446" i="14"/>
  <c r="K446" i="14"/>
  <c r="J446" i="14"/>
  <c r="I446" i="14"/>
  <c r="H446" i="14"/>
  <c r="G446" i="14"/>
  <c r="F446" i="14"/>
  <c r="N445" i="14"/>
  <c r="M445" i="14"/>
  <c r="L445" i="14"/>
  <c r="K445" i="14"/>
  <c r="J445" i="14"/>
  <c r="I445" i="14"/>
  <c r="H445" i="14"/>
  <c r="G445" i="14"/>
  <c r="F445" i="14"/>
  <c r="N444" i="14"/>
  <c r="M444" i="14"/>
  <c r="L444" i="14"/>
  <c r="K444" i="14"/>
  <c r="J444" i="14"/>
  <c r="I444" i="14"/>
  <c r="H444" i="14"/>
  <c r="G444" i="14"/>
  <c r="F444" i="14"/>
  <c r="N443" i="14"/>
  <c r="M443" i="14"/>
  <c r="L443" i="14"/>
  <c r="K443" i="14"/>
  <c r="J443" i="14"/>
  <c r="I443" i="14"/>
  <c r="H443" i="14"/>
  <c r="G443" i="14"/>
  <c r="F443" i="14"/>
  <c r="N442" i="14"/>
  <c r="M442" i="14"/>
  <c r="L442" i="14"/>
  <c r="K442" i="14"/>
  <c r="J442" i="14"/>
  <c r="I442" i="14"/>
  <c r="H442" i="14"/>
  <c r="G442" i="14"/>
  <c r="F442" i="14"/>
  <c r="N441" i="14"/>
  <c r="M441" i="14"/>
  <c r="L441" i="14"/>
  <c r="K441" i="14"/>
  <c r="J441" i="14"/>
  <c r="I441" i="14"/>
  <c r="H441" i="14"/>
  <c r="G441" i="14"/>
  <c r="F441" i="14"/>
  <c r="N440" i="14"/>
  <c r="M440" i="14"/>
  <c r="L440" i="14"/>
  <c r="K440" i="14"/>
  <c r="J440" i="14"/>
  <c r="I440" i="14"/>
  <c r="H440" i="14"/>
  <c r="G440" i="14"/>
  <c r="F440" i="14"/>
  <c r="N439" i="14"/>
  <c r="M439" i="14"/>
  <c r="L439" i="14"/>
  <c r="K439" i="14"/>
  <c r="J439" i="14"/>
  <c r="I439" i="14"/>
  <c r="H439" i="14"/>
  <c r="G439" i="14"/>
  <c r="F439" i="14"/>
  <c r="N438" i="14"/>
  <c r="M438" i="14"/>
  <c r="L438" i="14"/>
  <c r="K438" i="14"/>
  <c r="J438" i="14"/>
  <c r="I438" i="14"/>
  <c r="H438" i="14"/>
  <c r="G438" i="14"/>
  <c r="F438" i="14"/>
  <c r="N437" i="14"/>
  <c r="M437" i="14"/>
  <c r="L437" i="14"/>
  <c r="K437" i="14"/>
  <c r="J437" i="14"/>
  <c r="I437" i="14"/>
  <c r="H437" i="14"/>
  <c r="G437" i="14"/>
  <c r="F437" i="14"/>
  <c r="N436" i="14"/>
  <c r="M436" i="14"/>
  <c r="L436" i="14"/>
  <c r="K436" i="14"/>
  <c r="J436" i="14"/>
  <c r="I436" i="14"/>
  <c r="H436" i="14"/>
  <c r="G436" i="14"/>
  <c r="F436" i="14"/>
  <c r="N435" i="14"/>
  <c r="M435" i="14"/>
  <c r="L435" i="14"/>
  <c r="K435" i="14"/>
  <c r="J435" i="14"/>
  <c r="I435" i="14"/>
  <c r="H435" i="14"/>
  <c r="G435" i="14"/>
  <c r="F435" i="14"/>
  <c r="N434" i="14"/>
  <c r="M434" i="14"/>
  <c r="L434" i="14"/>
  <c r="K434" i="14"/>
  <c r="J434" i="14"/>
  <c r="I434" i="14"/>
  <c r="H434" i="14"/>
  <c r="G434" i="14"/>
  <c r="F434" i="14"/>
  <c r="N433" i="14"/>
  <c r="M433" i="14"/>
  <c r="L433" i="14"/>
  <c r="K433" i="14"/>
  <c r="J433" i="14"/>
  <c r="I433" i="14"/>
  <c r="H433" i="14"/>
  <c r="G433" i="14"/>
  <c r="F433" i="14"/>
  <c r="N432" i="14"/>
  <c r="M432" i="14"/>
  <c r="L432" i="14"/>
  <c r="K432" i="14"/>
  <c r="J432" i="14"/>
  <c r="I432" i="14"/>
  <c r="H432" i="14"/>
  <c r="G432" i="14"/>
  <c r="F432" i="14"/>
  <c r="N431" i="14"/>
  <c r="M431" i="14"/>
  <c r="L431" i="14"/>
  <c r="K431" i="14"/>
  <c r="J431" i="14"/>
  <c r="I431" i="14"/>
  <c r="H431" i="14"/>
  <c r="G431" i="14"/>
  <c r="F431" i="14"/>
  <c r="N430" i="14"/>
  <c r="M430" i="14"/>
  <c r="L430" i="14"/>
  <c r="K430" i="14"/>
  <c r="J430" i="14"/>
  <c r="I430" i="14"/>
  <c r="H430" i="14"/>
  <c r="G430" i="14"/>
  <c r="F430" i="14"/>
  <c r="N429" i="14"/>
  <c r="M429" i="14"/>
  <c r="L429" i="14"/>
  <c r="K429" i="14"/>
  <c r="J429" i="14"/>
  <c r="I429" i="14"/>
  <c r="H429" i="14"/>
  <c r="G429" i="14"/>
  <c r="F429" i="14"/>
  <c r="N428" i="14"/>
  <c r="M428" i="14"/>
  <c r="L428" i="14"/>
  <c r="K428" i="14"/>
  <c r="J428" i="14"/>
  <c r="I428" i="14"/>
  <c r="H428" i="14"/>
  <c r="G428" i="14"/>
  <c r="F428" i="14"/>
  <c r="N427" i="14"/>
  <c r="M427" i="14"/>
  <c r="L427" i="14"/>
  <c r="K427" i="14"/>
  <c r="J427" i="14"/>
  <c r="I427" i="14"/>
  <c r="H427" i="14"/>
  <c r="G427" i="14"/>
  <c r="F427" i="14"/>
  <c r="N426" i="14"/>
  <c r="M426" i="14"/>
  <c r="L426" i="14"/>
  <c r="K426" i="14"/>
  <c r="J426" i="14"/>
  <c r="I426" i="14"/>
  <c r="H426" i="14"/>
  <c r="G426" i="14"/>
  <c r="F426" i="14"/>
  <c r="N425" i="14"/>
  <c r="M425" i="14"/>
  <c r="L425" i="14"/>
  <c r="K425" i="14"/>
  <c r="J425" i="14"/>
  <c r="I425" i="14"/>
  <c r="H425" i="14"/>
  <c r="G425" i="14"/>
  <c r="F425" i="14"/>
  <c r="N424" i="14"/>
  <c r="M424" i="14"/>
  <c r="L424" i="14"/>
  <c r="K424" i="14"/>
  <c r="J424" i="14"/>
  <c r="I424" i="14"/>
  <c r="H424" i="14"/>
  <c r="G424" i="14"/>
  <c r="F424" i="14"/>
  <c r="N423" i="14"/>
  <c r="M423" i="14"/>
  <c r="L423" i="14"/>
  <c r="K423" i="14"/>
  <c r="J423" i="14"/>
  <c r="I423" i="14"/>
  <c r="H423" i="14"/>
  <c r="G423" i="14"/>
  <c r="F423" i="14"/>
  <c r="N422" i="14"/>
  <c r="M422" i="14"/>
  <c r="L422" i="14"/>
  <c r="K422" i="14"/>
  <c r="J422" i="14"/>
  <c r="I422" i="14"/>
  <c r="H422" i="14"/>
  <c r="G422" i="14"/>
  <c r="F422" i="14"/>
  <c r="N421" i="14"/>
  <c r="M421" i="14"/>
  <c r="L421" i="14"/>
  <c r="K421" i="14"/>
  <c r="J421" i="14"/>
  <c r="I421" i="14"/>
  <c r="H421" i="14"/>
  <c r="G421" i="14"/>
  <c r="F421" i="14"/>
  <c r="N420" i="14"/>
  <c r="M420" i="14"/>
  <c r="L420" i="14"/>
  <c r="K420" i="14"/>
  <c r="J420" i="14"/>
  <c r="I420" i="14"/>
  <c r="H420" i="14"/>
  <c r="G420" i="14"/>
  <c r="F420" i="14"/>
  <c r="N419" i="14"/>
  <c r="M419" i="14"/>
  <c r="L419" i="14"/>
  <c r="K419" i="14"/>
  <c r="J419" i="14"/>
  <c r="I419" i="14"/>
  <c r="H419" i="14"/>
  <c r="G419" i="14"/>
  <c r="F419" i="14"/>
  <c r="N418" i="14"/>
  <c r="M418" i="14"/>
  <c r="L418" i="14"/>
  <c r="K418" i="14"/>
  <c r="J418" i="14"/>
  <c r="I418" i="14"/>
  <c r="H418" i="14"/>
  <c r="G418" i="14"/>
  <c r="F418" i="14"/>
  <c r="N417" i="14"/>
  <c r="M417" i="14"/>
  <c r="L417" i="14"/>
  <c r="K417" i="14"/>
  <c r="J417" i="14"/>
  <c r="I417" i="14"/>
  <c r="H417" i="14"/>
  <c r="G417" i="14"/>
  <c r="F417" i="14"/>
  <c r="N416" i="14"/>
  <c r="M416" i="14"/>
  <c r="L416" i="14"/>
  <c r="K416" i="14"/>
  <c r="J416" i="14"/>
  <c r="I416" i="14"/>
  <c r="H416" i="14"/>
  <c r="G416" i="14"/>
  <c r="F416" i="14"/>
  <c r="N415" i="14"/>
  <c r="M415" i="14"/>
  <c r="L415" i="14"/>
  <c r="K415" i="14"/>
  <c r="J415" i="14"/>
  <c r="I415" i="14"/>
  <c r="H415" i="14"/>
  <c r="G415" i="14"/>
  <c r="F415" i="14"/>
  <c r="N414" i="14"/>
  <c r="M414" i="14"/>
  <c r="L414" i="14"/>
  <c r="K414" i="14"/>
  <c r="J414" i="14"/>
  <c r="I414" i="14"/>
  <c r="H414" i="14"/>
  <c r="G414" i="14"/>
  <c r="F414" i="14"/>
  <c r="N413" i="14"/>
  <c r="M413" i="14"/>
  <c r="L413" i="14"/>
  <c r="K413" i="14"/>
  <c r="J413" i="14"/>
  <c r="I413" i="14"/>
  <c r="H413" i="14"/>
  <c r="G413" i="14"/>
  <c r="F413" i="14"/>
  <c r="N412" i="14"/>
  <c r="M412" i="14"/>
  <c r="L412" i="14"/>
  <c r="K412" i="14"/>
  <c r="J412" i="14"/>
  <c r="I412" i="14"/>
  <c r="H412" i="14"/>
  <c r="G412" i="14"/>
  <c r="F412" i="14"/>
  <c r="N411" i="14"/>
  <c r="M411" i="14"/>
  <c r="L411" i="14"/>
  <c r="K411" i="14"/>
  <c r="J411" i="14"/>
  <c r="I411" i="14"/>
  <c r="H411" i="14"/>
  <c r="G411" i="14"/>
  <c r="F411" i="14"/>
  <c r="N410" i="14"/>
  <c r="M410" i="14"/>
  <c r="L410" i="14"/>
  <c r="K410" i="14"/>
  <c r="J410" i="14"/>
  <c r="I410" i="14"/>
  <c r="H410" i="14"/>
  <c r="G410" i="14"/>
  <c r="F410" i="14"/>
  <c r="N409" i="14"/>
  <c r="M409" i="14"/>
  <c r="L409" i="14"/>
  <c r="K409" i="14"/>
  <c r="J409" i="14"/>
  <c r="I409" i="14"/>
  <c r="H409" i="14"/>
  <c r="G409" i="14"/>
  <c r="F409" i="14"/>
  <c r="N408" i="14"/>
  <c r="M408" i="14"/>
  <c r="L408" i="14"/>
  <c r="K408" i="14"/>
  <c r="J408" i="14"/>
  <c r="I408" i="14"/>
  <c r="H408" i="14"/>
  <c r="G408" i="14"/>
  <c r="F408" i="14"/>
  <c r="N407" i="14"/>
  <c r="M407" i="14"/>
  <c r="L407" i="14"/>
  <c r="K407" i="14"/>
  <c r="J407" i="14"/>
  <c r="I407" i="14"/>
  <c r="H407" i="14"/>
  <c r="G407" i="14"/>
  <c r="F407" i="14"/>
  <c r="N406" i="14"/>
  <c r="M406" i="14"/>
  <c r="L406" i="14"/>
  <c r="K406" i="14"/>
  <c r="J406" i="14"/>
  <c r="I406" i="14"/>
  <c r="H406" i="14"/>
  <c r="G406" i="14"/>
  <c r="F406" i="14"/>
  <c r="N405" i="14"/>
  <c r="M405" i="14"/>
  <c r="L405" i="14"/>
  <c r="K405" i="14"/>
  <c r="J405" i="14"/>
  <c r="I405" i="14"/>
  <c r="H405" i="14"/>
  <c r="G405" i="14"/>
  <c r="F405" i="14"/>
  <c r="N404" i="14"/>
  <c r="M404" i="14"/>
  <c r="L404" i="14"/>
  <c r="K404" i="14"/>
  <c r="J404" i="14"/>
  <c r="I404" i="14"/>
  <c r="H404" i="14"/>
  <c r="G404" i="14"/>
  <c r="F404" i="14"/>
  <c r="N403" i="14"/>
  <c r="M403" i="14"/>
  <c r="L403" i="14"/>
  <c r="K403" i="14"/>
  <c r="J403" i="14"/>
  <c r="I403" i="14"/>
  <c r="H403" i="14"/>
  <c r="G403" i="14"/>
  <c r="F403" i="14"/>
  <c r="N402" i="14"/>
  <c r="M402" i="14"/>
  <c r="L402" i="14"/>
  <c r="K402" i="14"/>
  <c r="J402" i="14"/>
  <c r="I402" i="14"/>
  <c r="H402" i="14"/>
  <c r="G402" i="14"/>
  <c r="F402" i="14"/>
  <c r="N401" i="14"/>
  <c r="M401" i="14"/>
  <c r="L401" i="14"/>
  <c r="K401" i="14"/>
  <c r="J401" i="14"/>
  <c r="I401" i="14"/>
  <c r="H401" i="14"/>
  <c r="G401" i="14"/>
  <c r="F401" i="14"/>
  <c r="N400" i="14"/>
  <c r="M400" i="14"/>
  <c r="L400" i="14"/>
  <c r="K400" i="14"/>
  <c r="J400" i="14"/>
  <c r="I400" i="14"/>
  <c r="H400" i="14"/>
  <c r="G400" i="14"/>
  <c r="F400" i="14"/>
  <c r="N399" i="14"/>
  <c r="M399" i="14"/>
  <c r="L399" i="14"/>
  <c r="K399" i="14"/>
  <c r="J399" i="14"/>
  <c r="I399" i="14"/>
  <c r="H399" i="14"/>
  <c r="G399" i="14"/>
  <c r="F399" i="14"/>
  <c r="N398" i="14"/>
  <c r="M398" i="14"/>
  <c r="L398" i="14"/>
  <c r="K398" i="14"/>
  <c r="J398" i="14"/>
  <c r="I398" i="14"/>
  <c r="H398" i="14"/>
  <c r="G398" i="14"/>
  <c r="F398" i="14"/>
  <c r="N397" i="14"/>
  <c r="M397" i="14"/>
  <c r="L397" i="14"/>
  <c r="K397" i="14"/>
  <c r="J397" i="14"/>
  <c r="I397" i="14"/>
  <c r="H397" i="14"/>
  <c r="G397" i="14"/>
  <c r="F397" i="14"/>
  <c r="N396" i="14"/>
  <c r="M396" i="14"/>
  <c r="L396" i="14"/>
  <c r="K396" i="14"/>
  <c r="J396" i="14"/>
  <c r="I396" i="14"/>
  <c r="H396" i="14"/>
  <c r="G396" i="14"/>
  <c r="F396" i="14"/>
  <c r="N395" i="14"/>
  <c r="M395" i="14"/>
  <c r="L395" i="14"/>
  <c r="K395" i="14"/>
  <c r="J395" i="14"/>
  <c r="I395" i="14"/>
  <c r="H395" i="14"/>
  <c r="G395" i="14"/>
  <c r="F395" i="14"/>
  <c r="N394" i="14"/>
  <c r="M394" i="14"/>
  <c r="L394" i="14"/>
  <c r="K394" i="14"/>
  <c r="J394" i="14"/>
  <c r="I394" i="14"/>
  <c r="H394" i="14"/>
  <c r="G394" i="14"/>
  <c r="F394" i="14"/>
  <c r="N393" i="14"/>
  <c r="M393" i="14"/>
  <c r="L393" i="14"/>
  <c r="K393" i="14"/>
  <c r="J393" i="14"/>
  <c r="I393" i="14"/>
  <c r="H393" i="14"/>
  <c r="G393" i="14"/>
  <c r="F393" i="14"/>
  <c r="N392" i="14"/>
  <c r="M392" i="14"/>
  <c r="L392" i="14"/>
  <c r="K392" i="14"/>
  <c r="J392" i="14"/>
  <c r="I392" i="14"/>
  <c r="H392" i="14"/>
  <c r="G392" i="14"/>
  <c r="F392" i="14"/>
  <c r="N391" i="14"/>
  <c r="M391" i="14"/>
  <c r="L391" i="14"/>
  <c r="K391" i="14"/>
  <c r="J391" i="14"/>
  <c r="I391" i="14"/>
  <c r="H391" i="14"/>
  <c r="G391" i="14"/>
  <c r="F391" i="14"/>
  <c r="N390" i="14"/>
  <c r="M390" i="14"/>
  <c r="L390" i="14"/>
  <c r="K390" i="14"/>
  <c r="J390" i="14"/>
  <c r="I390" i="14"/>
  <c r="H390" i="14"/>
  <c r="G390" i="14"/>
  <c r="F390" i="14"/>
  <c r="N389" i="14"/>
  <c r="M389" i="14"/>
  <c r="L389" i="14"/>
  <c r="K389" i="14"/>
  <c r="J389" i="14"/>
  <c r="I389" i="14"/>
  <c r="H389" i="14"/>
  <c r="G389" i="14"/>
  <c r="F389" i="14"/>
  <c r="N388" i="14"/>
  <c r="M388" i="14"/>
  <c r="L388" i="14"/>
  <c r="K388" i="14"/>
  <c r="J388" i="14"/>
  <c r="I388" i="14"/>
  <c r="H388" i="14"/>
  <c r="G388" i="14"/>
  <c r="F388" i="14"/>
  <c r="N387" i="14"/>
  <c r="M387" i="14"/>
  <c r="L387" i="14"/>
  <c r="K387" i="14"/>
  <c r="J387" i="14"/>
  <c r="I387" i="14"/>
  <c r="H387" i="14"/>
  <c r="G387" i="14"/>
  <c r="F387" i="14"/>
  <c r="N386" i="14"/>
  <c r="M386" i="14"/>
  <c r="L386" i="14"/>
  <c r="K386" i="14"/>
  <c r="J386" i="14"/>
  <c r="I386" i="14"/>
  <c r="H386" i="14"/>
  <c r="G386" i="14"/>
  <c r="F386" i="14"/>
  <c r="N385" i="14"/>
  <c r="M385" i="14"/>
  <c r="L385" i="14"/>
  <c r="K385" i="14"/>
  <c r="J385" i="14"/>
  <c r="I385" i="14"/>
  <c r="H385" i="14"/>
  <c r="G385" i="14"/>
  <c r="F385" i="14"/>
  <c r="N384" i="14"/>
  <c r="M384" i="14"/>
  <c r="L384" i="14"/>
  <c r="K384" i="14"/>
  <c r="J384" i="14"/>
  <c r="I384" i="14"/>
  <c r="H384" i="14"/>
  <c r="G384" i="14"/>
  <c r="F384" i="14"/>
  <c r="N383" i="14"/>
  <c r="M383" i="14"/>
  <c r="L383" i="14"/>
  <c r="K383" i="14"/>
  <c r="J383" i="14"/>
  <c r="I383" i="14"/>
  <c r="H383" i="14"/>
  <c r="G383" i="14"/>
  <c r="F383" i="14"/>
  <c r="N382" i="14"/>
  <c r="M382" i="14"/>
  <c r="L382" i="14"/>
  <c r="K382" i="14"/>
  <c r="J382" i="14"/>
  <c r="I382" i="14"/>
  <c r="H382" i="14"/>
  <c r="G382" i="14"/>
  <c r="F382" i="14"/>
  <c r="N381" i="14"/>
  <c r="M381" i="14"/>
  <c r="L381" i="14"/>
  <c r="K381" i="14"/>
  <c r="J381" i="14"/>
  <c r="I381" i="14"/>
  <c r="H381" i="14"/>
  <c r="G381" i="14"/>
  <c r="F381" i="14"/>
  <c r="N380" i="14"/>
  <c r="M380" i="14"/>
  <c r="L380" i="14"/>
  <c r="K380" i="14"/>
  <c r="J380" i="14"/>
  <c r="I380" i="14"/>
  <c r="H380" i="14"/>
  <c r="G380" i="14"/>
  <c r="F380" i="14"/>
  <c r="N379" i="14"/>
  <c r="M379" i="14"/>
  <c r="L379" i="14"/>
  <c r="K379" i="14"/>
  <c r="J379" i="14"/>
  <c r="I379" i="14"/>
  <c r="H379" i="14"/>
  <c r="G379" i="14"/>
  <c r="F379" i="14"/>
  <c r="N378" i="14"/>
  <c r="M378" i="14"/>
  <c r="L378" i="14"/>
  <c r="K378" i="14"/>
  <c r="J378" i="14"/>
  <c r="I378" i="14"/>
  <c r="H378" i="14"/>
  <c r="G378" i="14"/>
  <c r="F378" i="14"/>
  <c r="N377" i="14"/>
  <c r="M377" i="14"/>
  <c r="L377" i="14"/>
  <c r="K377" i="14"/>
  <c r="J377" i="14"/>
  <c r="I377" i="14"/>
  <c r="H377" i="14"/>
  <c r="G377" i="14"/>
  <c r="F377" i="14"/>
  <c r="N376" i="14"/>
  <c r="M376" i="14"/>
  <c r="L376" i="14"/>
  <c r="K376" i="14"/>
  <c r="J376" i="14"/>
  <c r="I376" i="14"/>
  <c r="H376" i="14"/>
  <c r="G376" i="14"/>
  <c r="F376" i="14"/>
  <c r="N375" i="14"/>
  <c r="M375" i="14"/>
  <c r="L375" i="14"/>
  <c r="K375" i="14"/>
  <c r="J375" i="14"/>
  <c r="I375" i="14"/>
  <c r="H375" i="14"/>
  <c r="G375" i="14"/>
  <c r="F375" i="14"/>
  <c r="N374" i="14"/>
  <c r="M374" i="14"/>
  <c r="L374" i="14"/>
  <c r="K374" i="14"/>
  <c r="J374" i="14"/>
  <c r="I374" i="14"/>
  <c r="H374" i="14"/>
  <c r="G374" i="14"/>
  <c r="F374" i="14"/>
  <c r="N373" i="14"/>
  <c r="M373" i="14"/>
  <c r="L373" i="14"/>
  <c r="K373" i="14"/>
  <c r="J373" i="14"/>
  <c r="I373" i="14"/>
  <c r="H373" i="14"/>
  <c r="G373" i="14"/>
  <c r="F373" i="14"/>
  <c r="N372" i="14"/>
  <c r="M372" i="14"/>
  <c r="L372" i="14"/>
  <c r="K372" i="14"/>
  <c r="J372" i="14"/>
  <c r="I372" i="14"/>
  <c r="H372" i="14"/>
  <c r="G372" i="14"/>
  <c r="F372" i="14"/>
  <c r="N371" i="14"/>
  <c r="M371" i="14"/>
  <c r="L371" i="14"/>
  <c r="K371" i="14"/>
  <c r="J371" i="14"/>
  <c r="I371" i="14"/>
  <c r="H371" i="14"/>
  <c r="G371" i="14"/>
  <c r="F371" i="14"/>
  <c r="N370" i="14"/>
  <c r="M370" i="14"/>
  <c r="L370" i="14"/>
  <c r="K370" i="14"/>
  <c r="J370" i="14"/>
  <c r="I370" i="14"/>
  <c r="H370" i="14"/>
  <c r="G370" i="14"/>
  <c r="F370" i="14"/>
  <c r="N369" i="14"/>
  <c r="M369" i="14"/>
  <c r="L369" i="14"/>
  <c r="K369" i="14"/>
  <c r="J369" i="14"/>
  <c r="I369" i="14"/>
  <c r="H369" i="14"/>
  <c r="G369" i="14"/>
  <c r="F369" i="14"/>
  <c r="N368" i="14"/>
  <c r="M368" i="14"/>
  <c r="L368" i="14"/>
  <c r="K368" i="14"/>
  <c r="J368" i="14"/>
  <c r="I368" i="14"/>
  <c r="H368" i="14"/>
  <c r="G368" i="14"/>
  <c r="F368" i="14"/>
  <c r="N367" i="14"/>
  <c r="M367" i="14"/>
  <c r="L367" i="14"/>
  <c r="K367" i="14"/>
  <c r="J367" i="14"/>
  <c r="I367" i="14"/>
  <c r="H367" i="14"/>
  <c r="G367" i="14"/>
  <c r="F367" i="14"/>
  <c r="N366" i="14"/>
  <c r="M366" i="14"/>
  <c r="L366" i="14"/>
  <c r="K366" i="14"/>
  <c r="J366" i="14"/>
  <c r="I366" i="14"/>
  <c r="H366" i="14"/>
  <c r="G366" i="14"/>
  <c r="F366" i="14"/>
  <c r="N365" i="14"/>
  <c r="M365" i="14"/>
  <c r="L365" i="14"/>
  <c r="K365" i="14"/>
  <c r="J365" i="14"/>
  <c r="I365" i="14"/>
  <c r="H365" i="14"/>
  <c r="G365" i="14"/>
  <c r="F365" i="14"/>
  <c r="N364" i="14"/>
  <c r="M364" i="14"/>
  <c r="L364" i="14"/>
  <c r="K364" i="14"/>
  <c r="J364" i="14"/>
  <c r="I364" i="14"/>
  <c r="H364" i="14"/>
  <c r="G364" i="14"/>
  <c r="F364" i="14"/>
  <c r="N363" i="14"/>
  <c r="M363" i="14"/>
  <c r="L363" i="14"/>
  <c r="K363" i="14"/>
  <c r="J363" i="14"/>
  <c r="I363" i="14"/>
  <c r="H363" i="14"/>
  <c r="G363" i="14"/>
  <c r="F363" i="14"/>
  <c r="N362" i="14"/>
  <c r="M362" i="14"/>
  <c r="L362" i="14"/>
  <c r="K362" i="14"/>
  <c r="J362" i="14"/>
  <c r="I362" i="14"/>
  <c r="H362" i="14"/>
  <c r="G362" i="14"/>
  <c r="F362" i="14"/>
  <c r="N361" i="14"/>
  <c r="M361" i="14"/>
  <c r="L361" i="14"/>
  <c r="K361" i="14"/>
  <c r="J361" i="14"/>
  <c r="I361" i="14"/>
  <c r="H361" i="14"/>
  <c r="G361" i="14"/>
  <c r="F361" i="14"/>
  <c r="N360" i="14"/>
  <c r="M360" i="14"/>
  <c r="L360" i="14"/>
  <c r="K360" i="14"/>
  <c r="J360" i="14"/>
  <c r="I360" i="14"/>
  <c r="H360" i="14"/>
  <c r="G360" i="14"/>
  <c r="F360" i="14"/>
  <c r="N359" i="14"/>
  <c r="M359" i="14"/>
  <c r="L359" i="14"/>
  <c r="K359" i="14"/>
  <c r="J359" i="14"/>
  <c r="I359" i="14"/>
  <c r="H359" i="14"/>
  <c r="G359" i="14"/>
  <c r="F359" i="14"/>
  <c r="N358" i="14"/>
  <c r="M358" i="14"/>
  <c r="L358" i="14"/>
  <c r="K358" i="14"/>
  <c r="J358" i="14"/>
  <c r="I358" i="14"/>
  <c r="H358" i="14"/>
  <c r="G358" i="14"/>
  <c r="F358" i="14"/>
  <c r="N357" i="14"/>
  <c r="M357" i="14"/>
  <c r="L357" i="14"/>
  <c r="K357" i="14"/>
  <c r="J357" i="14"/>
  <c r="I357" i="14"/>
  <c r="H357" i="14"/>
  <c r="G357" i="14"/>
  <c r="F357" i="14"/>
  <c r="N356" i="14"/>
  <c r="M356" i="14"/>
  <c r="L356" i="14"/>
  <c r="K356" i="14"/>
  <c r="J356" i="14"/>
  <c r="I356" i="14"/>
  <c r="H356" i="14"/>
  <c r="G356" i="14"/>
  <c r="F356" i="14"/>
  <c r="N355" i="14"/>
  <c r="M355" i="14"/>
  <c r="L355" i="14"/>
  <c r="K355" i="14"/>
  <c r="J355" i="14"/>
  <c r="I355" i="14"/>
  <c r="H355" i="14"/>
  <c r="G355" i="14"/>
  <c r="F355" i="14"/>
  <c r="N354" i="14"/>
  <c r="M354" i="14"/>
  <c r="L354" i="14"/>
  <c r="K354" i="14"/>
  <c r="J354" i="14"/>
  <c r="I354" i="14"/>
  <c r="H354" i="14"/>
  <c r="G354" i="14"/>
  <c r="F354" i="14"/>
  <c r="N353" i="14"/>
  <c r="M353" i="14"/>
  <c r="L353" i="14"/>
  <c r="K353" i="14"/>
  <c r="J353" i="14"/>
  <c r="I353" i="14"/>
  <c r="H353" i="14"/>
  <c r="G353" i="14"/>
  <c r="F353" i="14"/>
  <c r="N352" i="14"/>
  <c r="M352" i="14"/>
  <c r="L352" i="14"/>
  <c r="K352" i="14"/>
  <c r="J352" i="14"/>
  <c r="I352" i="14"/>
  <c r="H352" i="14"/>
  <c r="G352" i="14"/>
  <c r="F352" i="14"/>
  <c r="N351" i="14"/>
  <c r="M351" i="14"/>
  <c r="L351" i="14"/>
  <c r="K351" i="14"/>
  <c r="J351" i="14"/>
  <c r="I351" i="14"/>
  <c r="H351" i="14"/>
  <c r="G351" i="14"/>
  <c r="F351" i="14"/>
  <c r="N350" i="14"/>
  <c r="M350" i="14"/>
  <c r="L350" i="14"/>
  <c r="K350" i="14"/>
  <c r="J350" i="14"/>
  <c r="I350" i="14"/>
  <c r="H350" i="14"/>
  <c r="G350" i="14"/>
  <c r="F350" i="14"/>
  <c r="N349" i="14"/>
  <c r="M349" i="14"/>
  <c r="L349" i="14"/>
  <c r="K349" i="14"/>
  <c r="J349" i="14"/>
  <c r="I349" i="14"/>
  <c r="H349" i="14"/>
  <c r="G349" i="14"/>
  <c r="F349" i="14"/>
  <c r="N348" i="14"/>
  <c r="M348" i="14"/>
  <c r="L348" i="14"/>
  <c r="K348" i="14"/>
  <c r="J348" i="14"/>
  <c r="I348" i="14"/>
  <c r="H348" i="14"/>
  <c r="G348" i="14"/>
  <c r="F348" i="14"/>
  <c r="N347" i="14"/>
  <c r="M347" i="14"/>
  <c r="L347" i="14"/>
  <c r="K347" i="14"/>
  <c r="J347" i="14"/>
  <c r="I347" i="14"/>
  <c r="H347" i="14"/>
  <c r="G347" i="14"/>
  <c r="F347" i="14"/>
  <c r="N346" i="14"/>
  <c r="M346" i="14"/>
  <c r="L346" i="14"/>
  <c r="K346" i="14"/>
  <c r="J346" i="14"/>
  <c r="I346" i="14"/>
  <c r="H346" i="14"/>
  <c r="G346" i="14"/>
  <c r="F346" i="14"/>
  <c r="N345" i="14"/>
  <c r="M345" i="14"/>
  <c r="L345" i="14"/>
  <c r="K345" i="14"/>
  <c r="J345" i="14"/>
  <c r="I345" i="14"/>
  <c r="H345" i="14"/>
  <c r="G345" i="14"/>
  <c r="F345" i="14"/>
  <c r="N344" i="14"/>
  <c r="M344" i="14"/>
  <c r="L344" i="14"/>
  <c r="K344" i="14"/>
  <c r="J344" i="14"/>
  <c r="I344" i="14"/>
  <c r="H344" i="14"/>
  <c r="G344" i="14"/>
  <c r="F344" i="14"/>
  <c r="N343" i="14"/>
  <c r="M343" i="14"/>
  <c r="L343" i="14"/>
  <c r="K343" i="14"/>
  <c r="J343" i="14"/>
  <c r="I343" i="14"/>
  <c r="H343" i="14"/>
  <c r="G343" i="14"/>
  <c r="F343" i="14"/>
  <c r="N342" i="14"/>
  <c r="M342" i="14"/>
  <c r="L342" i="14"/>
  <c r="K342" i="14"/>
  <c r="J342" i="14"/>
  <c r="I342" i="14"/>
  <c r="H342" i="14"/>
  <c r="G342" i="14"/>
  <c r="F342" i="14"/>
  <c r="N341" i="14"/>
  <c r="M341" i="14"/>
  <c r="L341" i="14"/>
  <c r="K341" i="14"/>
  <c r="J341" i="14"/>
  <c r="I341" i="14"/>
  <c r="H341" i="14"/>
  <c r="G341" i="14"/>
  <c r="F341" i="14"/>
  <c r="N340" i="14"/>
  <c r="M340" i="14"/>
  <c r="L340" i="14"/>
  <c r="K340" i="14"/>
  <c r="J340" i="14"/>
  <c r="I340" i="14"/>
  <c r="H340" i="14"/>
  <c r="G340" i="14"/>
  <c r="F340" i="14"/>
  <c r="N339" i="14"/>
  <c r="M339" i="14"/>
  <c r="L339" i="14"/>
  <c r="K339" i="14"/>
  <c r="J339" i="14"/>
  <c r="I339" i="14"/>
  <c r="H339" i="14"/>
  <c r="G339" i="14"/>
  <c r="F339" i="14"/>
  <c r="N338" i="14"/>
  <c r="M338" i="14"/>
  <c r="L338" i="14"/>
  <c r="K338" i="14"/>
  <c r="J338" i="14"/>
  <c r="I338" i="14"/>
  <c r="H338" i="14"/>
  <c r="G338" i="14"/>
  <c r="F338" i="14"/>
  <c r="N337" i="14"/>
  <c r="M337" i="14"/>
  <c r="L337" i="14"/>
  <c r="K337" i="14"/>
  <c r="J337" i="14"/>
  <c r="I337" i="14"/>
  <c r="H337" i="14"/>
  <c r="G337" i="14"/>
  <c r="F337" i="14"/>
  <c r="N336" i="14"/>
  <c r="M336" i="14"/>
  <c r="L336" i="14"/>
  <c r="K336" i="14"/>
  <c r="J336" i="14"/>
  <c r="I336" i="14"/>
  <c r="H336" i="14"/>
  <c r="G336" i="14"/>
  <c r="F336" i="14"/>
  <c r="N335" i="14"/>
  <c r="M335" i="14"/>
  <c r="L335" i="14"/>
  <c r="K335" i="14"/>
  <c r="J335" i="14"/>
  <c r="I335" i="14"/>
  <c r="H335" i="14"/>
  <c r="G335" i="14"/>
  <c r="F335" i="14"/>
  <c r="N334" i="14"/>
  <c r="M334" i="14"/>
  <c r="L334" i="14"/>
  <c r="K334" i="14"/>
  <c r="J334" i="14"/>
  <c r="I334" i="14"/>
  <c r="H334" i="14"/>
  <c r="G334" i="14"/>
  <c r="F334" i="14"/>
  <c r="N333" i="14"/>
  <c r="M333" i="14"/>
  <c r="L333" i="14"/>
  <c r="K333" i="14"/>
  <c r="J333" i="14"/>
  <c r="I333" i="14"/>
  <c r="H333" i="14"/>
  <c r="G333" i="14"/>
  <c r="F333" i="14"/>
  <c r="N332" i="14"/>
  <c r="M332" i="14"/>
  <c r="L332" i="14"/>
  <c r="K332" i="14"/>
  <c r="J332" i="14"/>
  <c r="I332" i="14"/>
  <c r="H332" i="14"/>
  <c r="G332" i="14"/>
  <c r="F332" i="14"/>
  <c r="N331" i="14"/>
  <c r="M331" i="14"/>
  <c r="L331" i="14"/>
  <c r="K331" i="14"/>
  <c r="J331" i="14"/>
  <c r="I331" i="14"/>
  <c r="H331" i="14"/>
  <c r="G331" i="14"/>
  <c r="F331" i="14"/>
  <c r="N330" i="14"/>
  <c r="M330" i="14"/>
  <c r="L330" i="14"/>
  <c r="K330" i="14"/>
  <c r="J330" i="14"/>
  <c r="I330" i="14"/>
  <c r="H330" i="14"/>
  <c r="G330" i="14"/>
  <c r="F330" i="14"/>
  <c r="N329" i="14"/>
  <c r="M329" i="14"/>
  <c r="L329" i="14"/>
  <c r="K329" i="14"/>
  <c r="J329" i="14"/>
  <c r="I329" i="14"/>
  <c r="H329" i="14"/>
  <c r="G329" i="14"/>
  <c r="F329" i="14"/>
  <c r="N328" i="14"/>
  <c r="M328" i="14"/>
  <c r="L328" i="14"/>
  <c r="K328" i="14"/>
  <c r="J328" i="14"/>
  <c r="I328" i="14"/>
  <c r="H328" i="14"/>
  <c r="G328" i="14"/>
  <c r="F328" i="14"/>
  <c r="N327" i="14"/>
  <c r="M327" i="14"/>
  <c r="L327" i="14"/>
  <c r="K327" i="14"/>
  <c r="J327" i="14"/>
  <c r="I327" i="14"/>
  <c r="H327" i="14"/>
  <c r="G327" i="14"/>
  <c r="F327" i="14"/>
  <c r="N326" i="14"/>
  <c r="M326" i="14"/>
  <c r="L326" i="14"/>
  <c r="K326" i="14"/>
  <c r="J326" i="14"/>
  <c r="I326" i="14"/>
  <c r="H326" i="14"/>
  <c r="G326" i="14"/>
  <c r="F326" i="14"/>
  <c r="N325" i="14"/>
  <c r="M325" i="14"/>
  <c r="L325" i="14"/>
  <c r="K325" i="14"/>
  <c r="J325" i="14"/>
  <c r="I325" i="14"/>
  <c r="H325" i="14"/>
  <c r="G325" i="14"/>
  <c r="F325" i="14"/>
  <c r="N324" i="14"/>
  <c r="M324" i="14"/>
  <c r="L324" i="14"/>
  <c r="K324" i="14"/>
  <c r="J324" i="14"/>
  <c r="I324" i="14"/>
  <c r="H324" i="14"/>
  <c r="G324" i="14"/>
  <c r="F324" i="14"/>
  <c r="N323" i="14"/>
  <c r="M323" i="14"/>
  <c r="L323" i="14"/>
  <c r="K323" i="14"/>
  <c r="J323" i="14"/>
  <c r="I323" i="14"/>
  <c r="H323" i="14"/>
  <c r="G323" i="14"/>
  <c r="F323" i="14"/>
  <c r="N322" i="14"/>
  <c r="M322" i="14"/>
  <c r="L322" i="14"/>
  <c r="K322" i="14"/>
  <c r="J322" i="14"/>
  <c r="I322" i="14"/>
  <c r="H322" i="14"/>
  <c r="G322" i="14"/>
  <c r="F322" i="14"/>
  <c r="N321" i="14"/>
  <c r="M321" i="14"/>
  <c r="L321" i="14"/>
  <c r="K321" i="14"/>
  <c r="J321" i="14"/>
  <c r="I321" i="14"/>
  <c r="H321" i="14"/>
  <c r="G321" i="14"/>
  <c r="F321" i="14"/>
  <c r="N320" i="14"/>
  <c r="M320" i="14"/>
  <c r="L320" i="14"/>
  <c r="K320" i="14"/>
  <c r="J320" i="14"/>
  <c r="I320" i="14"/>
  <c r="H320" i="14"/>
  <c r="G320" i="14"/>
  <c r="F320" i="14"/>
  <c r="N319" i="14"/>
  <c r="M319" i="14"/>
  <c r="L319" i="14"/>
  <c r="K319" i="14"/>
  <c r="J319" i="14"/>
  <c r="I319" i="14"/>
  <c r="H319" i="14"/>
  <c r="G319" i="14"/>
  <c r="F319" i="14"/>
  <c r="N318" i="14"/>
  <c r="M318" i="14"/>
  <c r="L318" i="14"/>
  <c r="K318" i="14"/>
  <c r="J318" i="14"/>
  <c r="I318" i="14"/>
  <c r="H318" i="14"/>
  <c r="G318" i="14"/>
  <c r="F318" i="14"/>
  <c r="N317" i="14"/>
  <c r="M317" i="14"/>
  <c r="L317" i="14"/>
  <c r="K317" i="14"/>
  <c r="J317" i="14"/>
  <c r="I317" i="14"/>
  <c r="H317" i="14"/>
  <c r="G317" i="14"/>
  <c r="F317" i="14"/>
  <c r="N316" i="14"/>
  <c r="M316" i="14"/>
  <c r="L316" i="14"/>
  <c r="K316" i="14"/>
  <c r="J316" i="14"/>
  <c r="I316" i="14"/>
  <c r="H316" i="14"/>
  <c r="G316" i="14"/>
  <c r="F316" i="14"/>
  <c r="N315" i="14"/>
  <c r="M315" i="14"/>
  <c r="L315" i="14"/>
  <c r="K315" i="14"/>
  <c r="J315" i="14"/>
  <c r="I315" i="14"/>
  <c r="H315" i="14"/>
  <c r="G315" i="14"/>
  <c r="F315" i="14"/>
  <c r="N314" i="14"/>
  <c r="M314" i="14"/>
  <c r="L314" i="14"/>
  <c r="K314" i="14"/>
  <c r="J314" i="14"/>
  <c r="I314" i="14"/>
  <c r="H314" i="14"/>
  <c r="G314" i="14"/>
  <c r="F314" i="14"/>
  <c r="N313" i="14"/>
  <c r="M313" i="14"/>
  <c r="L313" i="14"/>
  <c r="K313" i="14"/>
  <c r="J313" i="14"/>
  <c r="I313" i="14"/>
  <c r="H313" i="14"/>
  <c r="G313" i="14"/>
  <c r="F313" i="14"/>
  <c r="N312" i="14"/>
  <c r="M312" i="14"/>
  <c r="L312" i="14"/>
  <c r="K312" i="14"/>
  <c r="J312" i="14"/>
  <c r="I312" i="14"/>
  <c r="H312" i="14"/>
  <c r="G312" i="14"/>
  <c r="F312" i="14"/>
  <c r="N311" i="14"/>
  <c r="M311" i="14"/>
  <c r="L311" i="14"/>
  <c r="K311" i="14"/>
  <c r="J311" i="14"/>
  <c r="I311" i="14"/>
  <c r="H311" i="14"/>
  <c r="G311" i="14"/>
  <c r="F311" i="14"/>
  <c r="N310" i="14"/>
  <c r="M310" i="14"/>
  <c r="L310" i="14"/>
  <c r="K310" i="14"/>
  <c r="J310" i="14"/>
  <c r="I310" i="14"/>
  <c r="H310" i="14"/>
  <c r="G310" i="14"/>
  <c r="F310" i="14"/>
  <c r="N309" i="14"/>
  <c r="M309" i="14"/>
  <c r="L309" i="14"/>
  <c r="K309" i="14"/>
  <c r="J309" i="14"/>
  <c r="I309" i="14"/>
  <c r="H309" i="14"/>
  <c r="G309" i="14"/>
  <c r="F309" i="14"/>
  <c r="N308" i="14"/>
  <c r="M308" i="14"/>
  <c r="L308" i="14"/>
  <c r="K308" i="14"/>
  <c r="J308" i="14"/>
  <c r="I308" i="14"/>
  <c r="H308" i="14"/>
  <c r="G308" i="14"/>
  <c r="F308" i="14"/>
  <c r="N307" i="14"/>
  <c r="M307" i="14"/>
  <c r="L307" i="14"/>
  <c r="K307" i="14"/>
  <c r="J307" i="14"/>
  <c r="I307" i="14"/>
  <c r="H307" i="14"/>
  <c r="G307" i="14"/>
  <c r="F307" i="14"/>
  <c r="N306" i="14"/>
  <c r="M306" i="14"/>
  <c r="L306" i="14"/>
  <c r="K306" i="14"/>
  <c r="J306" i="14"/>
  <c r="I306" i="14"/>
  <c r="H306" i="14"/>
  <c r="G306" i="14"/>
  <c r="F306" i="14"/>
  <c r="N305" i="14"/>
  <c r="M305" i="14"/>
  <c r="L305" i="14"/>
  <c r="K305" i="14"/>
  <c r="J305" i="14"/>
  <c r="I305" i="14"/>
  <c r="H305" i="14"/>
  <c r="G305" i="14"/>
  <c r="F305" i="14"/>
  <c r="N304" i="14"/>
  <c r="M304" i="14"/>
  <c r="L304" i="14"/>
  <c r="K304" i="14"/>
  <c r="J304" i="14"/>
  <c r="I304" i="14"/>
  <c r="H304" i="14"/>
  <c r="G304" i="14"/>
  <c r="F304" i="14"/>
  <c r="N303" i="14"/>
  <c r="M303" i="14"/>
  <c r="L303" i="14"/>
  <c r="K303" i="14"/>
  <c r="J303" i="14"/>
  <c r="I303" i="14"/>
  <c r="H303" i="14"/>
  <c r="G303" i="14"/>
  <c r="F303" i="14"/>
  <c r="N302" i="14"/>
  <c r="M302" i="14"/>
  <c r="L302" i="14"/>
  <c r="K302" i="14"/>
  <c r="J302" i="14"/>
  <c r="I302" i="14"/>
  <c r="H302" i="14"/>
  <c r="G302" i="14"/>
  <c r="F302" i="14"/>
  <c r="N301" i="14"/>
  <c r="M301" i="14"/>
  <c r="L301" i="14"/>
  <c r="K301" i="14"/>
  <c r="J301" i="14"/>
  <c r="I301" i="14"/>
  <c r="H301" i="14"/>
  <c r="G301" i="14"/>
  <c r="F301" i="14"/>
  <c r="N300" i="14"/>
  <c r="M300" i="14"/>
  <c r="L300" i="14"/>
  <c r="K300" i="14"/>
  <c r="J300" i="14"/>
  <c r="I300" i="14"/>
  <c r="H300" i="14"/>
  <c r="G300" i="14"/>
  <c r="F300" i="14"/>
  <c r="N299" i="14"/>
  <c r="M299" i="14"/>
  <c r="L299" i="14"/>
  <c r="K299" i="14"/>
  <c r="J299" i="14"/>
  <c r="I299" i="14"/>
  <c r="H299" i="14"/>
  <c r="G299" i="14"/>
  <c r="F299" i="14"/>
  <c r="N298" i="14"/>
  <c r="M298" i="14"/>
  <c r="L298" i="14"/>
  <c r="K298" i="14"/>
  <c r="J298" i="14"/>
  <c r="I298" i="14"/>
  <c r="H298" i="14"/>
  <c r="G298" i="14"/>
  <c r="F298" i="14"/>
  <c r="N297" i="14"/>
  <c r="M297" i="14"/>
  <c r="L297" i="14"/>
  <c r="K297" i="14"/>
  <c r="J297" i="14"/>
  <c r="I297" i="14"/>
  <c r="H297" i="14"/>
  <c r="G297" i="14"/>
  <c r="F297" i="14"/>
  <c r="N296" i="14"/>
  <c r="M296" i="14"/>
  <c r="L296" i="14"/>
  <c r="K296" i="14"/>
  <c r="J296" i="14"/>
  <c r="I296" i="14"/>
  <c r="H296" i="14"/>
  <c r="G296" i="14"/>
  <c r="F296" i="14"/>
  <c r="N295" i="14"/>
  <c r="M295" i="14"/>
  <c r="L295" i="14"/>
  <c r="K295" i="14"/>
  <c r="J295" i="14"/>
  <c r="I295" i="14"/>
  <c r="H295" i="14"/>
  <c r="G295" i="14"/>
  <c r="F295" i="14"/>
  <c r="N294" i="14"/>
  <c r="M294" i="14"/>
  <c r="L294" i="14"/>
  <c r="K294" i="14"/>
  <c r="J294" i="14"/>
  <c r="I294" i="14"/>
  <c r="H294" i="14"/>
  <c r="G294" i="14"/>
  <c r="F294" i="14"/>
  <c r="N293" i="14"/>
  <c r="M293" i="14"/>
  <c r="L293" i="14"/>
  <c r="K293" i="14"/>
  <c r="J293" i="14"/>
  <c r="I293" i="14"/>
  <c r="H293" i="14"/>
  <c r="G293" i="14"/>
  <c r="F293" i="14"/>
  <c r="N292" i="14"/>
  <c r="M292" i="14"/>
  <c r="L292" i="14"/>
  <c r="K292" i="14"/>
  <c r="J292" i="14"/>
  <c r="I292" i="14"/>
  <c r="H292" i="14"/>
  <c r="G292" i="14"/>
  <c r="F292" i="14"/>
  <c r="N291" i="14"/>
  <c r="M291" i="14"/>
  <c r="L291" i="14"/>
  <c r="K291" i="14"/>
  <c r="J291" i="14"/>
  <c r="I291" i="14"/>
  <c r="H291" i="14"/>
  <c r="G291" i="14"/>
  <c r="F291" i="14"/>
  <c r="N290" i="14"/>
  <c r="M290" i="14"/>
  <c r="L290" i="14"/>
  <c r="K290" i="14"/>
  <c r="J290" i="14"/>
  <c r="I290" i="14"/>
  <c r="H290" i="14"/>
  <c r="G290" i="14"/>
  <c r="F290" i="14"/>
  <c r="N289" i="14"/>
  <c r="M289" i="14"/>
  <c r="L289" i="14"/>
  <c r="K289" i="14"/>
  <c r="J289" i="14"/>
  <c r="I289" i="14"/>
  <c r="H289" i="14"/>
  <c r="G289" i="14"/>
  <c r="F289" i="14"/>
  <c r="N288" i="14"/>
  <c r="M288" i="14"/>
  <c r="L288" i="14"/>
  <c r="K288" i="14"/>
  <c r="J288" i="14"/>
  <c r="I288" i="14"/>
  <c r="H288" i="14"/>
  <c r="G288" i="14"/>
  <c r="F288" i="14"/>
  <c r="N287" i="14"/>
  <c r="M287" i="14"/>
  <c r="L287" i="14"/>
  <c r="K287" i="14"/>
  <c r="J287" i="14"/>
  <c r="I287" i="14"/>
  <c r="H287" i="14"/>
  <c r="G287" i="14"/>
  <c r="F287" i="14"/>
  <c r="N286" i="14"/>
  <c r="M286" i="14"/>
  <c r="L286" i="14"/>
  <c r="K286" i="14"/>
  <c r="J286" i="14"/>
  <c r="I286" i="14"/>
  <c r="H286" i="14"/>
  <c r="G286" i="14"/>
  <c r="F286" i="14"/>
  <c r="N285" i="14"/>
  <c r="M285" i="14"/>
  <c r="L285" i="14"/>
  <c r="K285" i="14"/>
  <c r="J285" i="14"/>
  <c r="I285" i="14"/>
  <c r="H285" i="14"/>
  <c r="G285" i="14"/>
  <c r="F285" i="14"/>
  <c r="N284" i="14"/>
  <c r="M284" i="14"/>
  <c r="L284" i="14"/>
  <c r="K284" i="14"/>
  <c r="J284" i="14"/>
  <c r="I284" i="14"/>
  <c r="H284" i="14"/>
  <c r="G284" i="14"/>
  <c r="F284" i="14"/>
  <c r="N283" i="14"/>
  <c r="M283" i="14"/>
  <c r="L283" i="14"/>
  <c r="K283" i="14"/>
  <c r="J283" i="14"/>
  <c r="I283" i="14"/>
  <c r="H283" i="14"/>
  <c r="G283" i="14"/>
  <c r="F283" i="14"/>
  <c r="N282" i="14"/>
  <c r="M282" i="14"/>
  <c r="L282" i="14"/>
  <c r="K282" i="14"/>
  <c r="J282" i="14"/>
  <c r="I282" i="14"/>
  <c r="H282" i="14"/>
  <c r="G282" i="14"/>
  <c r="F282" i="14"/>
  <c r="N281" i="14"/>
  <c r="M281" i="14"/>
  <c r="L281" i="14"/>
  <c r="K281" i="14"/>
  <c r="J281" i="14"/>
  <c r="I281" i="14"/>
  <c r="H281" i="14"/>
  <c r="G281" i="14"/>
  <c r="F281" i="14"/>
  <c r="N280" i="14"/>
  <c r="M280" i="14"/>
  <c r="L280" i="14"/>
  <c r="K280" i="14"/>
  <c r="J280" i="14"/>
  <c r="I280" i="14"/>
  <c r="H280" i="14"/>
  <c r="G280" i="14"/>
  <c r="F280" i="14"/>
  <c r="N279" i="14"/>
  <c r="M279" i="14"/>
  <c r="L279" i="14"/>
  <c r="K279" i="14"/>
  <c r="J279" i="14"/>
  <c r="I279" i="14"/>
  <c r="H279" i="14"/>
  <c r="G279" i="14"/>
  <c r="F279" i="14"/>
  <c r="N278" i="14"/>
  <c r="M278" i="14"/>
  <c r="L278" i="14"/>
  <c r="K278" i="14"/>
  <c r="J278" i="14"/>
  <c r="I278" i="14"/>
  <c r="H278" i="14"/>
  <c r="G278" i="14"/>
  <c r="F278" i="14"/>
  <c r="N277" i="14"/>
  <c r="M277" i="14"/>
  <c r="L277" i="14"/>
  <c r="K277" i="14"/>
  <c r="J277" i="14"/>
  <c r="I277" i="14"/>
  <c r="H277" i="14"/>
  <c r="G277" i="14"/>
  <c r="F277" i="14"/>
  <c r="N276" i="14"/>
  <c r="M276" i="14"/>
  <c r="L276" i="14"/>
  <c r="K276" i="14"/>
  <c r="J276" i="14"/>
  <c r="I276" i="14"/>
  <c r="H276" i="14"/>
  <c r="G276" i="14"/>
  <c r="F276" i="14"/>
  <c r="N275" i="14"/>
  <c r="M275" i="14"/>
  <c r="L275" i="14"/>
  <c r="K275" i="14"/>
  <c r="J275" i="14"/>
  <c r="I275" i="14"/>
  <c r="H275" i="14"/>
  <c r="G275" i="14"/>
  <c r="F275" i="14"/>
  <c r="N274" i="14"/>
  <c r="M274" i="14"/>
  <c r="L274" i="14"/>
  <c r="K274" i="14"/>
  <c r="J274" i="14"/>
  <c r="I274" i="14"/>
  <c r="H274" i="14"/>
  <c r="G274" i="14"/>
  <c r="F274" i="14"/>
  <c r="N273" i="14"/>
  <c r="M273" i="14"/>
  <c r="L273" i="14"/>
  <c r="K273" i="14"/>
  <c r="J273" i="14"/>
  <c r="I273" i="14"/>
  <c r="H273" i="14"/>
  <c r="G273" i="14"/>
  <c r="F273" i="14"/>
  <c r="N272" i="14"/>
  <c r="M272" i="14"/>
  <c r="L272" i="14"/>
  <c r="K272" i="14"/>
  <c r="J272" i="14"/>
  <c r="I272" i="14"/>
  <c r="H272" i="14"/>
  <c r="G272" i="14"/>
  <c r="F272" i="14"/>
  <c r="N271" i="14"/>
  <c r="M271" i="14"/>
  <c r="L271" i="14"/>
  <c r="K271" i="14"/>
  <c r="J271" i="14"/>
  <c r="I271" i="14"/>
  <c r="H271" i="14"/>
  <c r="G271" i="14"/>
  <c r="F271" i="14"/>
  <c r="N270" i="14"/>
  <c r="M270" i="14"/>
  <c r="L270" i="14"/>
  <c r="K270" i="14"/>
  <c r="J270" i="14"/>
  <c r="I270" i="14"/>
  <c r="H270" i="14"/>
  <c r="G270" i="14"/>
  <c r="F270" i="14"/>
  <c r="N269" i="14"/>
  <c r="M269" i="14"/>
  <c r="L269" i="14"/>
  <c r="K269" i="14"/>
  <c r="J269" i="14"/>
  <c r="I269" i="14"/>
  <c r="H269" i="14"/>
  <c r="G269" i="14"/>
  <c r="F269" i="14"/>
  <c r="N268" i="14"/>
  <c r="M268" i="14"/>
  <c r="L268" i="14"/>
  <c r="K268" i="14"/>
  <c r="J268" i="14"/>
  <c r="I268" i="14"/>
  <c r="H268" i="14"/>
  <c r="G268" i="14"/>
  <c r="F268" i="14"/>
  <c r="N267" i="14"/>
  <c r="M267" i="14"/>
  <c r="L267" i="14"/>
  <c r="K267" i="14"/>
  <c r="J267" i="14"/>
  <c r="I267" i="14"/>
  <c r="H267" i="14"/>
  <c r="G267" i="14"/>
  <c r="F267" i="14"/>
  <c r="N266" i="14"/>
  <c r="M266" i="14"/>
  <c r="L266" i="14"/>
  <c r="K266" i="14"/>
  <c r="J266" i="14"/>
  <c r="I266" i="14"/>
  <c r="H266" i="14"/>
  <c r="G266" i="14"/>
  <c r="F266" i="14"/>
  <c r="N265" i="14"/>
  <c r="M265" i="14"/>
  <c r="L265" i="14"/>
  <c r="K265" i="14"/>
  <c r="J265" i="14"/>
  <c r="I265" i="14"/>
  <c r="H265" i="14"/>
  <c r="G265" i="14"/>
  <c r="F265" i="14"/>
  <c r="N264" i="14"/>
  <c r="M264" i="14"/>
  <c r="L264" i="14"/>
  <c r="K264" i="14"/>
  <c r="J264" i="14"/>
  <c r="I264" i="14"/>
  <c r="H264" i="14"/>
  <c r="G264" i="14"/>
  <c r="F264" i="14"/>
  <c r="N263" i="14"/>
  <c r="M263" i="14"/>
  <c r="L263" i="14"/>
  <c r="K263" i="14"/>
  <c r="J263" i="14"/>
  <c r="I263" i="14"/>
  <c r="H263" i="14"/>
  <c r="G263" i="14"/>
  <c r="F263" i="14"/>
  <c r="N262" i="14"/>
  <c r="M262" i="14"/>
  <c r="L262" i="14"/>
  <c r="K262" i="14"/>
  <c r="J262" i="14"/>
  <c r="I262" i="14"/>
  <c r="H262" i="14"/>
  <c r="G262" i="14"/>
  <c r="F262" i="14"/>
  <c r="N261" i="14"/>
  <c r="M261" i="14"/>
  <c r="L261" i="14"/>
  <c r="K261" i="14"/>
  <c r="J261" i="14"/>
  <c r="I261" i="14"/>
  <c r="H261" i="14"/>
  <c r="G261" i="14"/>
  <c r="F261" i="14"/>
  <c r="N260" i="14"/>
  <c r="M260" i="14"/>
  <c r="L260" i="14"/>
  <c r="K260" i="14"/>
  <c r="J260" i="14"/>
  <c r="I260" i="14"/>
  <c r="H260" i="14"/>
  <c r="G260" i="14"/>
  <c r="F260" i="14"/>
  <c r="N259" i="14"/>
  <c r="M259" i="14"/>
  <c r="L259" i="14"/>
  <c r="K259" i="14"/>
  <c r="J259" i="14"/>
  <c r="I259" i="14"/>
  <c r="H259" i="14"/>
  <c r="G259" i="14"/>
  <c r="F259" i="14"/>
  <c r="N258" i="14"/>
  <c r="M258" i="14"/>
  <c r="L258" i="14"/>
  <c r="K258" i="14"/>
  <c r="J258" i="14"/>
  <c r="I258" i="14"/>
  <c r="H258" i="14"/>
  <c r="G258" i="14"/>
  <c r="F258" i="14"/>
  <c r="N257" i="14"/>
  <c r="M257" i="14"/>
  <c r="L257" i="14"/>
  <c r="K257" i="14"/>
  <c r="J257" i="14"/>
  <c r="I257" i="14"/>
  <c r="H257" i="14"/>
  <c r="G257" i="14"/>
  <c r="F257" i="14"/>
  <c r="N256" i="14"/>
  <c r="M256" i="14"/>
  <c r="L256" i="14"/>
  <c r="K256" i="14"/>
  <c r="J256" i="14"/>
  <c r="I256" i="14"/>
  <c r="H256" i="14"/>
  <c r="G256" i="14"/>
  <c r="F256" i="14"/>
  <c r="N255" i="14"/>
  <c r="M255" i="14"/>
  <c r="L255" i="14"/>
  <c r="K255" i="14"/>
  <c r="J255" i="14"/>
  <c r="I255" i="14"/>
  <c r="H255" i="14"/>
  <c r="G255" i="14"/>
  <c r="F255" i="14"/>
  <c r="N254" i="14"/>
  <c r="M254" i="14"/>
  <c r="L254" i="14"/>
  <c r="K254" i="14"/>
  <c r="J254" i="14"/>
  <c r="I254" i="14"/>
  <c r="H254" i="14"/>
  <c r="G254" i="14"/>
  <c r="F254" i="14"/>
  <c r="N253" i="14"/>
  <c r="M253" i="14"/>
  <c r="L253" i="14"/>
  <c r="K253" i="14"/>
  <c r="J253" i="14"/>
  <c r="I253" i="14"/>
  <c r="H253" i="14"/>
  <c r="G253" i="14"/>
  <c r="F253" i="14"/>
  <c r="N252" i="14"/>
  <c r="M252" i="14"/>
  <c r="L252" i="14"/>
  <c r="K252" i="14"/>
  <c r="J252" i="14"/>
  <c r="I252" i="14"/>
  <c r="H252" i="14"/>
  <c r="G252" i="14"/>
  <c r="F252" i="14"/>
  <c r="N251" i="14"/>
  <c r="M251" i="14"/>
  <c r="L251" i="14"/>
  <c r="K251" i="14"/>
  <c r="J251" i="14"/>
  <c r="I251" i="14"/>
  <c r="H251" i="14"/>
  <c r="G251" i="14"/>
  <c r="F251" i="14"/>
  <c r="N250" i="14"/>
  <c r="M250" i="14"/>
  <c r="L250" i="14"/>
  <c r="K250" i="14"/>
  <c r="J250" i="14"/>
  <c r="I250" i="14"/>
  <c r="H250" i="14"/>
  <c r="G250" i="14"/>
  <c r="F250" i="14"/>
  <c r="N249" i="14"/>
  <c r="M249" i="14"/>
  <c r="L249" i="14"/>
  <c r="K249" i="14"/>
  <c r="J249" i="14"/>
  <c r="I249" i="14"/>
  <c r="H249" i="14"/>
  <c r="G249" i="14"/>
  <c r="F249" i="14"/>
  <c r="N248" i="14"/>
  <c r="M248" i="14"/>
  <c r="L248" i="14"/>
  <c r="K248" i="14"/>
  <c r="J248" i="14"/>
  <c r="I248" i="14"/>
  <c r="H248" i="14"/>
  <c r="G248" i="14"/>
  <c r="F248" i="14"/>
  <c r="N247" i="14"/>
  <c r="M247" i="14"/>
  <c r="L247" i="14"/>
  <c r="K247" i="14"/>
  <c r="J247" i="14"/>
  <c r="I247" i="14"/>
  <c r="H247" i="14"/>
  <c r="G247" i="14"/>
  <c r="F247" i="14"/>
  <c r="N246" i="14"/>
  <c r="M246" i="14"/>
  <c r="L246" i="14"/>
  <c r="K246" i="14"/>
  <c r="J246" i="14"/>
  <c r="I246" i="14"/>
  <c r="H246" i="14"/>
  <c r="G246" i="14"/>
  <c r="F246" i="14"/>
  <c r="N245" i="14"/>
  <c r="M245" i="14"/>
  <c r="L245" i="14"/>
  <c r="K245" i="14"/>
  <c r="J245" i="14"/>
  <c r="I245" i="14"/>
  <c r="H245" i="14"/>
  <c r="G245" i="14"/>
  <c r="F245" i="14"/>
  <c r="N244" i="14"/>
  <c r="M244" i="14"/>
  <c r="L244" i="14"/>
  <c r="K244" i="14"/>
  <c r="J244" i="14"/>
  <c r="I244" i="14"/>
  <c r="H244" i="14"/>
  <c r="G244" i="14"/>
  <c r="F244" i="14"/>
  <c r="N243" i="14"/>
  <c r="M243" i="14"/>
  <c r="L243" i="14"/>
  <c r="K243" i="14"/>
  <c r="J243" i="14"/>
  <c r="I243" i="14"/>
  <c r="H243" i="14"/>
  <c r="G243" i="14"/>
  <c r="F243" i="14"/>
  <c r="N242" i="14"/>
  <c r="M242" i="14"/>
  <c r="L242" i="14"/>
  <c r="K242" i="14"/>
  <c r="J242" i="14"/>
  <c r="I242" i="14"/>
  <c r="H242" i="14"/>
  <c r="G242" i="14"/>
  <c r="F242" i="14"/>
  <c r="N241" i="14"/>
  <c r="M241" i="14"/>
  <c r="L241" i="14"/>
  <c r="K241" i="14"/>
  <c r="J241" i="14"/>
  <c r="I241" i="14"/>
  <c r="H241" i="14"/>
  <c r="G241" i="14"/>
  <c r="F241" i="14"/>
  <c r="N240" i="14"/>
  <c r="M240" i="14"/>
  <c r="L240" i="14"/>
  <c r="K240" i="14"/>
  <c r="J240" i="14"/>
  <c r="I240" i="14"/>
  <c r="H240" i="14"/>
  <c r="G240" i="14"/>
  <c r="F240" i="14"/>
  <c r="N239" i="14"/>
  <c r="M239" i="14"/>
  <c r="L239" i="14"/>
  <c r="K239" i="14"/>
  <c r="J239" i="14"/>
  <c r="I239" i="14"/>
  <c r="H239" i="14"/>
  <c r="G239" i="14"/>
  <c r="F239" i="14"/>
  <c r="N238" i="14"/>
  <c r="M238" i="14"/>
  <c r="L238" i="14"/>
  <c r="K238" i="14"/>
  <c r="J238" i="14"/>
  <c r="I238" i="14"/>
  <c r="H238" i="14"/>
  <c r="G238" i="14"/>
  <c r="F238" i="14"/>
  <c r="N237" i="14"/>
  <c r="M237" i="14"/>
  <c r="L237" i="14"/>
  <c r="K237" i="14"/>
  <c r="J237" i="14"/>
  <c r="I237" i="14"/>
  <c r="H237" i="14"/>
  <c r="G237" i="14"/>
  <c r="F237" i="14"/>
  <c r="N236" i="14"/>
  <c r="M236" i="14"/>
  <c r="L236" i="14"/>
  <c r="K236" i="14"/>
  <c r="J236" i="14"/>
  <c r="I236" i="14"/>
  <c r="H236" i="14"/>
  <c r="G236" i="14"/>
  <c r="F236" i="14"/>
  <c r="N235" i="14"/>
  <c r="M235" i="14"/>
  <c r="L235" i="14"/>
  <c r="K235" i="14"/>
  <c r="J235" i="14"/>
  <c r="I235" i="14"/>
  <c r="H235" i="14"/>
  <c r="G235" i="14"/>
  <c r="F235" i="14"/>
  <c r="N234" i="14"/>
  <c r="M234" i="14"/>
  <c r="L234" i="14"/>
  <c r="K234" i="14"/>
  <c r="J234" i="14"/>
  <c r="I234" i="14"/>
  <c r="H234" i="14"/>
  <c r="G234" i="14"/>
  <c r="F234" i="14"/>
  <c r="N233" i="14"/>
  <c r="M233" i="14"/>
  <c r="L233" i="14"/>
  <c r="K233" i="14"/>
  <c r="J233" i="14"/>
  <c r="I233" i="14"/>
  <c r="H233" i="14"/>
  <c r="G233" i="14"/>
  <c r="F233" i="14"/>
  <c r="N232" i="14"/>
  <c r="M232" i="14"/>
  <c r="L232" i="14"/>
  <c r="K232" i="14"/>
  <c r="J232" i="14"/>
  <c r="I232" i="14"/>
  <c r="H232" i="14"/>
  <c r="G232" i="14"/>
  <c r="F232" i="14"/>
  <c r="N231" i="14"/>
  <c r="M231" i="14"/>
  <c r="L231" i="14"/>
  <c r="K231" i="14"/>
  <c r="J231" i="14"/>
  <c r="I231" i="14"/>
  <c r="H231" i="14"/>
  <c r="G231" i="14"/>
  <c r="F231" i="14"/>
  <c r="N230" i="14"/>
  <c r="M230" i="14"/>
  <c r="L230" i="14"/>
  <c r="K230" i="14"/>
  <c r="J230" i="14"/>
  <c r="I230" i="14"/>
  <c r="H230" i="14"/>
  <c r="G230" i="14"/>
  <c r="F230" i="14"/>
  <c r="N229" i="14"/>
  <c r="M229" i="14"/>
  <c r="L229" i="14"/>
  <c r="K229" i="14"/>
  <c r="J229" i="14"/>
  <c r="I229" i="14"/>
  <c r="H229" i="14"/>
  <c r="G229" i="14"/>
  <c r="F229" i="14"/>
  <c r="N228" i="14"/>
  <c r="M228" i="14"/>
  <c r="L228" i="14"/>
  <c r="K228" i="14"/>
  <c r="J228" i="14"/>
  <c r="I228" i="14"/>
  <c r="H228" i="14"/>
  <c r="G228" i="14"/>
  <c r="F228" i="14"/>
  <c r="N227" i="14"/>
  <c r="M227" i="14"/>
  <c r="L227" i="14"/>
  <c r="K227" i="14"/>
  <c r="J227" i="14"/>
  <c r="I227" i="14"/>
  <c r="H227" i="14"/>
  <c r="G227" i="14"/>
  <c r="F227" i="14"/>
  <c r="N226" i="14"/>
  <c r="M226" i="14"/>
  <c r="L226" i="14"/>
  <c r="K226" i="14"/>
  <c r="J226" i="14"/>
  <c r="I226" i="14"/>
  <c r="H226" i="14"/>
  <c r="G226" i="14"/>
  <c r="F226" i="14"/>
  <c r="N225" i="14"/>
  <c r="M225" i="14"/>
  <c r="L225" i="14"/>
  <c r="K225" i="14"/>
  <c r="J225" i="14"/>
  <c r="I225" i="14"/>
  <c r="H225" i="14"/>
  <c r="G225" i="14"/>
  <c r="F225" i="14"/>
  <c r="N224" i="14"/>
  <c r="M224" i="14"/>
  <c r="L224" i="14"/>
  <c r="K224" i="14"/>
  <c r="J224" i="14"/>
  <c r="I224" i="14"/>
  <c r="H224" i="14"/>
  <c r="G224" i="14"/>
  <c r="F224" i="14"/>
  <c r="N223" i="14"/>
  <c r="M223" i="14"/>
  <c r="L223" i="14"/>
  <c r="K223" i="14"/>
  <c r="J223" i="14"/>
  <c r="I223" i="14"/>
  <c r="H223" i="14"/>
  <c r="G223" i="14"/>
  <c r="F223" i="14"/>
  <c r="N222" i="14"/>
  <c r="M222" i="14"/>
  <c r="L222" i="14"/>
  <c r="K222" i="14"/>
  <c r="J222" i="14"/>
  <c r="I222" i="14"/>
  <c r="H222" i="14"/>
  <c r="G222" i="14"/>
  <c r="F222" i="14"/>
  <c r="N221" i="14"/>
  <c r="M221" i="14"/>
  <c r="L221" i="14"/>
  <c r="K221" i="14"/>
  <c r="J221" i="14"/>
  <c r="I221" i="14"/>
  <c r="H221" i="14"/>
  <c r="G221" i="14"/>
  <c r="F221" i="14"/>
  <c r="N220" i="14"/>
  <c r="M220" i="14"/>
  <c r="L220" i="14"/>
  <c r="K220" i="14"/>
  <c r="J220" i="14"/>
  <c r="I220" i="14"/>
  <c r="H220" i="14"/>
  <c r="G220" i="14"/>
  <c r="F220" i="14"/>
  <c r="N219" i="14"/>
  <c r="M219" i="14"/>
  <c r="L219" i="14"/>
  <c r="K219" i="14"/>
  <c r="J219" i="14"/>
  <c r="I219" i="14"/>
  <c r="H219" i="14"/>
  <c r="G219" i="14"/>
  <c r="F219" i="14"/>
  <c r="N218" i="14"/>
  <c r="M218" i="14"/>
  <c r="L218" i="14"/>
  <c r="K218" i="14"/>
  <c r="J218" i="14"/>
  <c r="I218" i="14"/>
  <c r="H218" i="14"/>
  <c r="G218" i="14"/>
  <c r="F218" i="14"/>
  <c r="N217" i="14"/>
  <c r="M217" i="14"/>
  <c r="L217" i="14"/>
  <c r="K217" i="14"/>
  <c r="J217" i="14"/>
  <c r="I217" i="14"/>
  <c r="H217" i="14"/>
  <c r="G217" i="14"/>
  <c r="F217" i="14"/>
  <c r="N216" i="14"/>
  <c r="M216" i="14"/>
  <c r="L216" i="14"/>
  <c r="K216" i="14"/>
  <c r="J216" i="14"/>
  <c r="I216" i="14"/>
  <c r="H216" i="14"/>
  <c r="G216" i="14"/>
  <c r="F216" i="14"/>
  <c r="N215" i="14"/>
  <c r="M215" i="14"/>
  <c r="L215" i="14"/>
  <c r="K215" i="14"/>
  <c r="J215" i="14"/>
  <c r="I215" i="14"/>
  <c r="H215" i="14"/>
  <c r="G215" i="14"/>
  <c r="F215" i="14"/>
  <c r="N214" i="14"/>
  <c r="M214" i="14"/>
  <c r="L214" i="14"/>
  <c r="K214" i="14"/>
  <c r="J214" i="14"/>
  <c r="I214" i="14"/>
  <c r="H214" i="14"/>
  <c r="G214" i="14"/>
  <c r="F214" i="14"/>
  <c r="N213" i="14"/>
  <c r="M213" i="14"/>
  <c r="L213" i="14"/>
  <c r="K213" i="14"/>
  <c r="J213" i="14"/>
  <c r="I213" i="14"/>
  <c r="H213" i="14"/>
  <c r="G213" i="14"/>
  <c r="F213" i="14"/>
  <c r="N212" i="14"/>
  <c r="M212" i="14"/>
  <c r="L212" i="14"/>
  <c r="K212" i="14"/>
  <c r="J212" i="14"/>
  <c r="I212" i="14"/>
  <c r="H212" i="14"/>
  <c r="G212" i="14"/>
  <c r="F212" i="14"/>
  <c r="N211" i="14"/>
  <c r="M211" i="14"/>
  <c r="L211" i="14"/>
  <c r="K211" i="14"/>
  <c r="J211" i="14"/>
  <c r="I211" i="14"/>
  <c r="H211" i="14"/>
  <c r="G211" i="14"/>
  <c r="F211" i="14"/>
  <c r="N210" i="14"/>
  <c r="M210" i="14"/>
  <c r="L210" i="14"/>
  <c r="K210" i="14"/>
  <c r="J210" i="14"/>
  <c r="I210" i="14"/>
  <c r="H210" i="14"/>
  <c r="G210" i="14"/>
  <c r="F210" i="14"/>
  <c r="N209" i="14"/>
  <c r="M209" i="14"/>
  <c r="L209" i="14"/>
  <c r="K209" i="14"/>
  <c r="J209" i="14"/>
  <c r="I209" i="14"/>
  <c r="H209" i="14"/>
  <c r="G209" i="14"/>
  <c r="F209" i="14"/>
  <c r="N208" i="14"/>
  <c r="M208" i="14"/>
  <c r="L208" i="14"/>
  <c r="K208" i="14"/>
  <c r="J208" i="14"/>
  <c r="I208" i="14"/>
  <c r="H208" i="14"/>
  <c r="G208" i="14"/>
  <c r="F208" i="14"/>
  <c r="N207" i="14"/>
  <c r="M207" i="14"/>
  <c r="L207" i="14"/>
  <c r="K207" i="14"/>
  <c r="J207" i="14"/>
  <c r="I207" i="14"/>
  <c r="H207" i="14"/>
  <c r="G207" i="14"/>
  <c r="F207" i="14"/>
  <c r="N206" i="14"/>
  <c r="M206" i="14"/>
  <c r="L206" i="14"/>
  <c r="K206" i="14"/>
  <c r="J206" i="14"/>
  <c r="I206" i="14"/>
  <c r="H206" i="14"/>
  <c r="G206" i="14"/>
  <c r="F206" i="14"/>
  <c r="N205" i="14"/>
  <c r="M205" i="14"/>
  <c r="L205" i="14"/>
  <c r="K205" i="14"/>
  <c r="J205" i="14"/>
  <c r="I205" i="14"/>
  <c r="H205" i="14"/>
  <c r="G205" i="14"/>
  <c r="F205" i="14"/>
  <c r="N204" i="14"/>
  <c r="M204" i="14"/>
  <c r="L204" i="14"/>
  <c r="K204" i="14"/>
  <c r="J204" i="14"/>
  <c r="I204" i="14"/>
  <c r="H204" i="14"/>
  <c r="G204" i="14"/>
  <c r="F204" i="14"/>
  <c r="N203" i="14"/>
  <c r="M203" i="14"/>
  <c r="L203" i="14"/>
  <c r="K203" i="14"/>
  <c r="J203" i="14"/>
  <c r="I203" i="14"/>
  <c r="H203" i="14"/>
  <c r="G203" i="14"/>
  <c r="F203" i="14"/>
  <c r="N202" i="14"/>
  <c r="M202" i="14"/>
  <c r="L202" i="14"/>
  <c r="K202" i="14"/>
  <c r="J202" i="14"/>
  <c r="I202" i="14"/>
  <c r="H202" i="14"/>
  <c r="G202" i="14"/>
  <c r="F202" i="14"/>
  <c r="N201" i="14"/>
  <c r="M201" i="14"/>
  <c r="L201" i="14"/>
  <c r="K201" i="14"/>
  <c r="J201" i="14"/>
  <c r="I201" i="14"/>
  <c r="H201" i="14"/>
  <c r="G201" i="14"/>
  <c r="F201" i="14"/>
  <c r="N200" i="14"/>
  <c r="M200" i="14"/>
  <c r="L200" i="14"/>
  <c r="K200" i="14"/>
  <c r="J200" i="14"/>
  <c r="I200" i="14"/>
  <c r="H200" i="14"/>
  <c r="G200" i="14"/>
  <c r="F200" i="14"/>
  <c r="N199" i="14"/>
  <c r="M199" i="14"/>
  <c r="L199" i="14"/>
  <c r="K199" i="14"/>
  <c r="J199" i="14"/>
  <c r="I199" i="14"/>
  <c r="H199" i="14"/>
  <c r="G199" i="14"/>
  <c r="F199" i="14"/>
  <c r="N198" i="14"/>
  <c r="M198" i="14"/>
  <c r="L198" i="14"/>
  <c r="K198" i="14"/>
  <c r="J198" i="14"/>
  <c r="I198" i="14"/>
  <c r="H198" i="14"/>
  <c r="G198" i="14"/>
  <c r="F198" i="14"/>
  <c r="N197" i="14"/>
  <c r="M197" i="14"/>
  <c r="L197" i="14"/>
  <c r="K197" i="14"/>
  <c r="J197" i="14"/>
  <c r="I197" i="14"/>
  <c r="H197" i="14"/>
  <c r="G197" i="14"/>
  <c r="F197" i="14"/>
  <c r="N196" i="14"/>
  <c r="M196" i="14"/>
  <c r="L196" i="14"/>
  <c r="K196" i="14"/>
  <c r="J196" i="14"/>
  <c r="I196" i="14"/>
  <c r="H196" i="14"/>
  <c r="G196" i="14"/>
  <c r="F196" i="14"/>
  <c r="N195" i="14"/>
  <c r="M195" i="14"/>
  <c r="L195" i="14"/>
  <c r="K195" i="14"/>
  <c r="J195" i="14"/>
  <c r="I195" i="14"/>
  <c r="H195" i="14"/>
  <c r="G195" i="14"/>
  <c r="F195" i="14"/>
  <c r="N194" i="14"/>
  <c r="M194" i="14"/>
  <c r="L194" i="14"/>
  <c r="K194" i="14"/>
  <c r="J194" i="14"/>
  <c r="I194" i="14"/>
  <c r="H194" i="14"/>
  <c r="G194" i="14"/>
  <c r="F194" i="14"/>
  <c r="N193" i="14"/>
  <c r="M193" i="14"/>
  <c r="L193" i="14"/>
  <c r="K193" i="14"/>
  <c r="J193" i="14"/>
  <c r="I193" i="14"/>
  <c r="H193" i="14"/>
  <c r="G193" i="14"/>
  <c r="F193" i="14"/>
  <c r="N192" i="14"/>
  <c r="M192" i="14"/>
  <c r="L192" i="14"/>
  <c r="K192" i="14"/>
  <c r="J192" i="14"/>
  <c r="I192" i="14"/>
  <c r="H192" i="14"/>
  <c r="G192" i="14"/>
  <c r="F192" i="14"/>
  <c r="N191" i="14"/>
  <c r="M191" i="14"/>
  <c r="L191" i="14"/>
  <c r="K191" i="14"/>
  <c r="J191" i="14"/>
  <c r="I191" i="14"/>
  <c r="H191" i="14"/>
  <c r="G191" i="14"/>
  <c r="F191" i="14"/>
  <c r="N190" i="14"/>
  <c r="M190" i="14"/>
  <c r="L190" i="14"/>
  <c r="K190" i="14"/>
  <c r="J190" i="14"/>
  <c r="I190" i="14"/>
  <c r="H190" i="14"/>
  <c r="G190" i="14"/>
  <c r="F190" i="14"/>
  <c r="N189" i="14"/>
  <c r="M189" i="14"/>
  <c r="L189" i="14"/>
  <c r="K189" i="14"/>
  <c r="J189" i="14"/>
  <c r="I189" i="14"/>
  <c r="H189" i="14"/>
  <c r="G189" i="14"/>
  <c r="F189" i="14"/>
  <c r="N188" i="14"/>
  <c r="M188" i="14"/>
  <c r="L188" i="14"/>
  <c r="K188" i="14"/>
  <c r="J188" i="14"/>
  <c r="I188" i="14"/>
  <c r="H188" i="14"/>
  <c r="G188" i="14"/>
  <c r="F188" i="14"/>
  <c r="N187" i="14"/>
  <c r="M187" i="14"/>
  <c r="L187" i="14"/>
  <c r="K187" i="14"/>
  <c r="J187" i="14"/>
  <c r="I187" i="14"/>
  <c r="H187" i="14"/>
  <c r="G187" i="14"/>
  <c r="F187" i="14"/>
  <c r="N186" i="14"/>
  <c r="M186" i="14"/>
  <c r="L186" i="14"/>
  <c r="K186" i="14"/>
  <c r="J186" i="14"/>
  <c r="I186" i="14"/>
  <c r="H186" i="14"/>
  <c r="G186" i="14"/>
  <c r="F186" i="14"/>
  <c r="N185" i="14"/>
  <c r="M185" i="14"/>
  <c r="L185" i="14"/>
  <c r="K185" i="14"/>
  <c r="J185" i="14"/>
  <c r="I185" i="14"/>
  <c r="H185" i="14"/>
  <c r="G185" i="14"/>
  <c r="F185" i="14"/>
  <c r="N184" i="14"/>
  <c r="M184" i="14"/>
  <c r="L184" i="14"/>
  <c r="K184" i="14"/>
  <c r="J184" i="14"/>
  <c r="I184" i="14"/>
  <c r="H184" i="14"/>
  <c r="G184" i="14"/>
  <c r="F184" i="14"/>
  <c r="N183" i="14"/>
  <c r="M183" i="14"/>
  <c r="L183" i="14"/>
  <c r="K183" i="14"/>
  <c r="J183" i="14"/>
  <c r="I183" i="14"/>
  <c r="H183" i="14"/>
  <c r="G183" i="14"/>
  <c r="F183" i="14"/>
  <c r="N182" i="14"/>
  <c r="M182" i="14"/>
  <c r="L182" i="14"/>
  <c r="K182" i="14"/>
  <c r="J182" i="14"/>
  <c r="I182" i="14"/>
  <c r="H182" i="14"/>
  <c r="G182" i="14"/>
  <c r="F182" i="14"/>
  <c r="N181" i="14"/>
  <c r="M181" i="14"/>
  <c r="L181" i="14"/>
  <c r="K181" i="14"/>
  <c r="J181" i="14"/>
  <c r="I181" i="14"/>
  <c r="H181" i="14"/>
  <c r="G181" i="14"/>
  <c r="F181" i="14"/>
  <c r="N180" i="14"/>
  <c r="M180" i="14"/>
  <c r="L180" i="14"/>
  <c r="K180" i="14"/>
  <c r="J180" i="14"/>
  <c r="I180" i="14"/>
  <c r="H180" i="14"/>
  <c r="G180" i="14"/>
  <c r="F180" i="14"/>
  <c r="N179" i="14"/>
  <c r="M179" i="14"/>
  <c r="L179" i="14"/>
  <c r="K179" i="14"/>
  <c r="J179" i="14"/>
  <c r="I179" i="14"/>
  <c r="H179" i="14"/>
  <c r="G179" i="14"/>
  <c r="F179" i="14"/>
  <c r="N178" i="14"/>
  <c r="M178" i="14"/>
  <c r="L178" i="14"/>
  <c r="K178" i="14"/>
  <c r="J178" i="14"/>
  <c r="I178" i="14"/>
  <c r="H178" i="14"/>
  <c r="G178" i="14"/>
  <c r="F178" i="14"/>
  <c r="N177" i="14"/>
  <c r="M177" i="14"/>
  <c r="L177" i="14"/>
  <c r="K177" i="14"/>
  <c r="J177" i="14"/>
  <c r="I177" i="14"/>
  <c r="H177" i="14"/>
  <c r="G177" i="14"/>
  <c r="F177" i="14"/>
  <c r="N176" i="14"/>
  <c r="M176" i="14"/>
  <c r="L176" i="14"/>
  <c r="K176" i="14"/>
  <c r="J176" i="14"/>
  <c r="I176" i="14"/>
  <c r="H176" i="14"/>
  <c r="G176" i="14"/>
  <c r="F176" i="14"/>
  <c r="N175" i="14"/>
  <c r="M175" i="14"/>
  <c r="L175" i="14"/>
  <c r="K175" i="14"/>
  <c r="J175" i="14"/>
  <c r="I175" i="14"/>
  <c r="H175" i="14"/>
  <c r="G175" i="14"/>
  <c r="F175" i="14"/>
  <c r="N174" i="14"/>
  <c r="M174" i="14"/>
  <c r="L174" i="14"/>
  <c r="K174" i="14"/>
  <c r="J174" i="14"/>
  <c r="I174" i="14"/>
  <c r="H174" i="14"/>
  <c r="G174" i="14"/>
  <c r="F174" i="14"/>
  <c r="N173" i="14"/>
  <c r="M173" i="14"/>
  <c r="L173" i="14"/>
  <c r="K173" i="14"/>
  <c r="J173" i="14"/>
  <c r="I173" i="14"/>
  <c r="H173" i="14"/>
  <c r="G173" i="14"/>
  <c r="F173" i="14"/>
  <c r="N172" i="14"/>
  <c r="M172" i="14"/>
  <c r="L172" i="14"/>
  <c r="K172" i="14"/>
  <c r="J172" i="14"/>
  <c r="I172" i="14"/>
  <c r="H172" i="14"/>
  <c r="G172" i="14"/>
  <c r="F172" i="14"/>
  <c r="N171" i="14"/>
  <c r="M171" i="14"/>
  <c r="L171" i="14"/>
  <c r="K171" i="14"/>
  <c r="J171" i="14"/>
  <c r="I171" i="14"/>
  <c r="H171" i="14"/>
  <c r="G171" i="14"/>
  <c r="F171" i="14"/>
  <c r="N170" i="14"/>
  <c r="M170" i="14"/>
  <c r="L170" i="14"/>
  <c r="K170" i="14"/>
  <c r="J170" i="14"/>
  <c r="I170" i="14"/>
  <c r="H170" i="14"/>
  <c r="G170" i="14"/>
  <c r="F170" i="14"/>
  <c r="N169" i="14"/>
  <c r="M169" i="14"/>
  <c r="L169" i="14"/>
  <c r="K169" i="14"/>
  <c r="J169" i="14"/>
  <c r="I169" i="14"/>
  <c r="H169" i="14"/>
  <c r="G169" i="14"/>
  <c r="F169" i="14"/>
  <c r="N168" i="14"/>
  <c r="M168" i="14"/>
  <c r="L168" i="14"/>
  <c r="K168" i="14"/>
  <c r="J168" i="14"/>
  <c r="I168" i="14"/>
  <c r="H168" i="14"/>
  <c r="G168" i="14"/>
  <c r="F168" i="14"/>
  <c r="N167" i="14"/>
  <c r="M167" i="14"/>
  <c r="L167" i="14"/>
  <c r="K167" i="14"/>
  <c r="J167" i="14"/>
  <c r="I167" i="14"/>
  <c r="H167" i="14"/>
  <c r="G167" i="14"/>
  <c r="F167" i="14"/>
  <c r="N166" i="14"/>
  <c r="M166" i="14"/>
  <c r="L166" i="14"/>
  <c r="K166" i="14"/>
  <c r="J166" i="14"/>
  <c r="I166" i="14"/>
  <c r="H166" i="14"/>
  <c r="G166" i="14"/>
  <c r="F166" i="14"/>
  <c r="N165" i="14"/>
  <c r="M165" i="14"/>
  <c r="L165" i="14"/>
  <c r="K165" i="14"/>
  <c r="J165" i="14"/>
  <c r="I165" i="14"/>
  <c r="H165" i="14"/>
  <c r="G165" i="14"/>
  <c r="F165" i="14"/>
  <c r="N164" i="14"/>
  <c r="M164" i="14"/>
  <c r="L164" i="14"/>
  <c r="K164" i="14"/>
  <c r="J164" i="14"/>
  <c r="I164" i="14"/>
  <c r="H164" i="14"/>
  <c r="G164" i="14"/>
  <c r="F164" i="14"/>
  <c r="N163" i="14"/>
  <c r="M163" i="14"/>
  <c r="L163" i="14"/>
  <c r="K163" i="14"/>
  <c r="J163" i="14"/>
  <c r="I163" i="14"/>
  <c r="H163" i="14"/>
  <c r="G163" i="14"/>
  <c r="F163" i="14"/>
  <c r="N162" i="14"/>
  <c r="M162" i="14"/>
  <c r="L162" i="14"/>
  <c r="K162" i="14"/>
  <c r="J162" i="14"/>
  <c r="I162" i="14"/>
  <c r="H162" i="14"/>
  <c r="G162" i="14"/>
  <c r="F162" i="14"/>
  <c r="N161" i="14"/>
  <c r="M161" i="14"/>
  <c r="L161" i="14"/>
  <c r="K161" i="14"/>
  <c r="J161" i="14"/>
  <c r="I161" i="14"/>
  <c r="H161" i="14"/>
  <c r="G161" i="14"/>
  <c r="F161" i="14"/>
  <c r="N160" i="14"/>
  <c r="M160" i="14"/>
  <c r="L160" i="14"/>
  <c r="K160" i="14"/>
  <c r="J160" i="14"/>
  <c r="I160" i="14"/>
  <c r="H160" i="14"/>
  <c r="G160" i="14"/>
  <c r="F160" i="14"/>
  <c r="N159" i="14"/>
  <c r="M159" i="14"/>
  <c r="L159" i="14"/>
  <c r="K159" i="14"/>
  <c r="J159" i="14"/>
  <c r="I159" i="14"/>
  <c r="H159" i="14"/>
  <c r="G159" i="14"/>
  <c r="F159" i="14"/>
  <c r="N158" i="14"/>
  <c r="M158" i="14"/>
  <c r="L158" i="14"/>
  <c r="K158" i="14"/>
  <c r="J158" i="14"/>
  <c r="I158" i="14"/>
  <c r="H158" i="14"/>
  <c r="G158" i="14"/>
  <c r="F158" i="14"/>
  <c r="N157" i="14"/>
  <c r="M157" i="14"/>
  <c r="L157" i="14"/>
  <c r="K157" i="14"/>
  <c r="J157" i="14"/>
  <c r="I157" i="14"/>
  <c r="H157" i="14"/>
  <c r="G157" i="14"/>
  <c r="F157" i="14"/>
  <c r="N156" i="14"/>
  <c r="M156" i="14"/>
  <c r="L156" i="14"/>
  <c r="K156" i="14"/>
  <c r="J156" i="14"/>
  <c r="I156" i="14"/>
  <c r="H156" i="14"/>
  <c r="G156" i="14"/>
  <c r="F156" i="14"/>
  <c r="N155" i="14"/>
  <c r="M155" i="14"/>
  <c r="L155" i="14"/>
  <c r="K155" i="14"/>
  <c r="J155" i="14"/>
  <c r="I155" i="14"/>
  <c r="H155" i="14"/>
  <c r="G155" i="14"/>
  <c r="F155" i="14"/>
  <c r="N154" i="14"/>
  <c r="M154" i="14"/>
  <c r="L154" i="14"/>
  <c r="K154" i="14"/>
  <c r="J154" i="14"/>
  <c r="I154" i="14"/>
  <c r="H154" i="14"/>
  <c r="G154" i="14"/>
  <c r="F154" i="14"/>
  <c r="N153" i="14"/>
  <c r="M153" i="14"/>
  <c r="L153" i="14"/>
  <c r="K153" i="14"/>
  <c r="J153" i="14"/>
  <c r="I153" i="14"/>
  <c r="H153" i="14"/>
  <c r="G153" i="14"/>
  <c r="F153" i="14"/>
  <c r="N152" i="14"/>
  <c r="M152" i="14"/>
  <c r="L152" i="14"/>
  <c r="K152" i="14"/>
  <c r="J152" i="14"/>
  <c r="I152" i="14"/>
  <c r="H152" i="14"/>
  <c r="G152" i="14"/>
  <c r="F152" i="14"/>
  <c r="N151" i="14"/>
  <c r="M151" i="14"/>
  <c r="L151" i="14"/>
  <c r="K151" i="14"/>
  <c r="J151" i="14"/>
  <c r="I151" i="14"/>
  <c r="H151" i="14"/>
  <c r="G151" i="14"/>
  <c r="F151" i="14"/>
  <c r="N150" i="14"/>
  <c r="M150" i="14"/>
  <c r="L150" i="14"/>
  <c r="K150" i="14"/>
  <c r="J150" i="14"/>
  <c r="I150" i="14"/>
  <c r="H150" i="14"/>
  <c r="G150" i="14"/>
  <c r="F150" i="14"/>
  <c r="N149" i="14"/>
  <c r="M149" i="14"/>
  <c r="L149" i="14"/>
  <c r="K149" i="14"/>
  <c r="J149" i="14"/>
  <c r="I149" i="14"/>
  <c r="H149" i="14"/>
  <c r="G149" i="14"/>
  <c r="F149" i="14"/>
  <c r="N148" i="14"/>
  <c r="M148" i="14"/>
  <c r="L148" i="14"/>
  <c r="K148" i="14"/>
  <c r="J148" i="14"/>
  <c r="I148" i="14"/>
  <c r="H148" i="14"/>
  <c r="G148" i="14"/>
  <c r="F148" i="14"/>
  <c r="N147" i="14"/>
  <c r="M147" i="14"/>
  <c r="L147" i="14"/>
  <c r="K147" i="14"/>
  <c r="J147" i="14"/>
  <c r="I147" i="14"/>
  <c r="H147" i="14"/>
  <c r="G147" i="14"/>
  <c r="F147" i="14"/>
  <c r="N146" i="14"/>
  <c r="M146" i="14"/>
  <c r="L146" i="14"/>
  <c r="K146" i="14"/>
  <c r="J146" i="14"/>
  <c r="I146" i="14"/>
  <c r="H146" i="14"/>
  <c r="G146" i="14"/>
  <c r="F146" i="14"/>
  <c r="N145" i="14"/>
  <c r="M145" i="14"/>
  <c r="L145" i="14"/>
  <c r="K145" i="14"/>
  <c r="J145" i="14"/>
  <c r="I145" i="14"/>
  <c r="H145" i="14"/>
  <c r="G145" i="14"/>
  <c r="F145" i="14"/>
  <c r="N144" i="14"/>
  <c r="M144" i="14"/>
  <c r="L144" i="14"/>
  <c r="K144" i="14"/>
  <c r="J144" i="14"/>
  <c r="I144" i="14"/>
  <c r="H144" i="14"/>
  <c r="G144" i="14"/>
  <c r="F144" i="14"/>
  <c r="N143" i="14"/>
  <c r="M143" i="14"/>
  <c r="L143" i="14"/>
  <c r="K143" i="14"/>
  <c r="J143" i="14"/>
  <c r="I143" i="14"/>
  <c r="H143" i="14"/>
  <c r="G143" i="14"/>
  <c r="F143" i="14"/>
  <c r="N142" i="14"/>
  <c r="M142" i="14"/>
  <c r="L142" i="14"/>
  <c r="K142" i="14"/>
  <c r="J142" i="14"/>
  <c r="I142" i="14"/>
  <c r="H142" i="14"/>
  <c r="G142" i="14"/>
  <c r="F142" i="14"/>
  <c r="N141" i="14"/>
  <c r="M141" i="14"/>
  <c r="L141" i="14"/>
  <c r="K141" i="14"/>
  <c r="J141" i="14"/>
  <c r="I141" i="14"/>
  <c r="H141" i="14"/>
  <c r="G141" i="14"/>
  <c r="F141" i="14"/>
  <c r="N140" i="14"/>
  <c r="M140" i="14"/>
  <c r="L140" i="14"/>
  <c r="K140" i="14"/>
  <c r="J140" i="14"/>
  <c r="I140" i="14"/>
  <c r="H140" i="14"/>
  <c r="G140" i="14"/>
  <c r="F140" i="14"/>
  <c r="N139" i="14"/>
  <c r="M139" i="14"/>
  <c r="L139" i="14"/>
  <c r="K139" i="14"/>
  <c r="J139" i="14"/>
  <c r="I139" i="14"/>
  <c r="H139" i="14"/>
  <c r="G139" i="14"/>
  <c r="F139" i="14"/>
  <c r="N138" i="14"/>
  <c r="M138" i="14"/>
  <c r="L138" i="14"/>
  <c r="K138" i="14"/>
  <c r="J138" i="14"/>
  <c r="I138" i="14"/>
  <c r="H138" i="14"/>
  <c r="G138" i="14"/>
  <c r="F138" i="14"/>
  <c r="N137" i="14"/>
  <c r="M137" i="14"/>
  <c r="L137" i="14"/>
  <c r="K137" i="14"/>
  <c r="J137" i="14"/>
  <c r="I137" i="14"/>
  <c r="H137" i="14"/>
  <c r="G137" i="14"/>
  <c r="F137" i="14"/>
  <c r="N136" i="14"/>
  <c r="M136" i="14"/>
  <c r="L136" i="14"/>
  <c r="K136" i="14"/>
  <c r="J136" i="14"/>
  <c r="I136" i="14"/>
  <c r="H136" i="14"/>
  <c r="G136" i="14"/>
  <c r="F136" i="14"/>
  <c r="N135" i="14"/>
  <c r="M135" i="14"/>
  <c r="L135" i="14"/>
  <c r="K135" i="14"/>
  <c r="J135" i="14"/>
  <c r="I135" i="14"/>
  <c r="H135" i="14"/>
  <c r="G135" i="14"/>
  <c r="F135" i="14"/>
  <c r="N134" i="14"/>
  <c r="M134" i="14"/>
  <c r="L134" i="14"/>
  <c r="K134" i="14"/>
  <c r="J134" i="14"/>
  <c r="I134" i="14"/>
  <c r="H134" i="14"/>
  <c r="G134" i="14"/>
  <c r="F134" i="14"/>
  <c r="N133" i="14"/>
  <c r="M133" i="14"/>
  <c r="L133" i="14"/>
  <c r="K133" i="14"/>
  <c r="J133" i="14"/>
  <c r="I133" i="14"/>
  <c r="H133" i="14"/>
  <c r="G133" i="14"/>
  <c r="F133" i="14"/>
  <c r="N132" i="14"/>
  <c r="M132" i="14"/>
  <c r="L132" i="14"/>
  <c r="K132" i="14"/>
  <c r="J132" i="14"/>
  <c r="I132" i="14"/>
  <c r="H132" i="14"/>
  <c r="G132" i="14"/>
  <c r="F132" i="14"/>
  <c r="N131" i="14"/>
  <c r="M131" i="14"/>
  <c r="L131" i="14"/>
  <c r="K131" i="14"/>
  <c r="J131" i="14"/>
  <c r="I131" i="14"/>
  <c r="H131" i="14"/>
  <c r="G131" i="14"/>
  <c r="F131" i="14"/>
  <c r="N130" i="14"/>
  <c r="M130" i="14"/>
  <c r="L130" i="14"/>
  <c r="K130" i="14"/>
  <c r="J130" i="14"/>
  <c r="I130" i="14"/>
  <c r="H130" i="14"/>
  <c r="G130" i="14"/>
  <c r="F130" i="14"/>
  <c r="N129" i="14"/>
  <c r="M129" i="14"/>
  <c r="L129" i="14"/>
  <c r="K129" i="14"/>
  <c r="J129" i="14"/>
  <c r="I129" i="14"/>
  <c r="H129" i="14"/>
  <c r="G129" i="14"/>
  <c r="F129" i="14"/>
  <c r="N128" i="14"/>
  <c r="M128" i="14"/>
  <c r="L128" i="14"/>
  <c r="K128" i="14"/>
  <c r="J128" i="14"/>
  <c r="I128" i="14"/>
  <c r="H128" i="14"/>
  <c r="G128" i="14"/>
  <c r="F128" i="14"/>
  <c r="N127" i="14"/>
  <c r="M127" i="14"/>
  <c r="L127" i="14"/>
  <c r="K127" i="14"/>
  <c r="J127" i="14"/>
  <c r="I127" i="14"/>
  <c r="H127" i="14"/>
  <c r="G127" i="14"/>
  <c r="F127" i="14"/>
  <c r="N126" i="14"/>
  <c r="M126" i="14"/>
  <c r="L126" i="14"/>
  <c r="K126" i="14"/>
  <c r="J126" i="14"/>
  <c r="I126" i="14"/>
  <c r="H126" i="14"/>
  <c r="G126" i="14"/>
  <c r="F126" i="14"/>
  <c r="N125" i="14"/>
  <c r="M125" i="14"/>
  <c r="L125" i="14"/>
  <c r="K125" i="14"/>
  <c r="J125" i="14"/>
  <c r="I125" i="14"/>
  <c r="H125" i="14"/>
  <c r="G125" i="14"/>
  <c r="F125" i="14"/>
  <c r="N124" i="14"/>
  <c r="M124" i="14"/>
  <c r="L124" i="14"/>
  <c r="K124" i="14"/>
  <c r="J124" i="14"/>
  <c r="I124" i="14"/>
  <c r="H124" i="14"/>
  <c r="G124" i="14"/>
  <c r="F124" i="14"/>
  <c r="N123" i="14"/>
  <c r="M123" i="14"/>
  <c r="L123" i="14"/>
  <c r="K123" i="14"/>
  <c r="J123" i="14"/>
  <c r="I123" i="14"/>
  <c r="H123" i="14"/>
  <c r="G123" i="14"/>
  <c r="F123" i="14"/>
  <c r="N122" i="14"/>
  <c r="M122" i="14"/>
  <c r="L122" i="14"/>
  <c r="K122" i="14"/>
  <c r="J122" i="14"/>
  <c r="I122" i="14"/>
  <c r="H122" i="14"/>
  <c r="G122" i="14"/>
  <c r="F122" i="14"/>
  <c r="N121" i="14"/>
  <c r="M121" i="14"/>
  <c r="L121" i="14"/>
  <c r="K121" i="14"/>
  <c r="J121" i="14"/>
  <c r="I121" i="14"/>
  <c r="H121" i="14"/>
  <c r="G121" i="14"/>
  <c r="F121" i="14"/>
  <c r="N120" i="14"/>
  <c r="M120" i="14"/>
  <c r="L120" i="14"/>
  <c r="K120" i="14"/>
  <c r="J120" i="14"/>
  <c r="I120" i="14"/>
  <c r="H120" i="14"/>
  <c r="G120" i="14"/>
  <c r="F120" i="14"/>
  <c r="N119" i="14"/>
  <c r="M119" i="14"/>
  <c r="L119" i="14"/>
  <c r="K119" i="14"/>
  <c r="J119" i="14"/>
  <c r="I119" i="14"/>
  <c r="H119" i="14"/>
  <c r="G119" i="14"/>
  <c r="F119" i="14"/>
  <c r="N118" i="14"/>
  <c r="M118" i="14"/>
  <c r="L118" i="14"/>
  <c r="K118" i="14"/>
  <c r="J118" i="14"/>
  <c r="I118" i="14"/>
  <c r="H118" i="14"/>
  <c r="G118" i="14"/>
  <c r="F118" i="14"/>
  <c r="N117" i="14"/>
  <c r="M117" i="14"/>
  <c r="L117" i="14"/>
  <c r="K117" i="14"/>
  <c r="J117" i="14"/>
  <c r="I117" i="14"/>
  <c r="H117" i="14"/>
  <c r="G117" i="14"/>
  <c r="F117" i="14"/>
  <c r="N116" i="14"/>
  <c r="M116" i="14"/>
  <c r="L116" i="14"/>
  <c r="K116" i="14"/>
  <c r="J116" i="14"/>
  <c r="I116" i="14"/>
  <c r="H116" i="14"/>
  <c r="G116" i="14"/>
  <c r="F116" i="14"/>
  <c r="N115" i="14"/>
  <c r="M115" i="14"/>
  <c r="L115" i="14"/>
  <c r="K115" i="14"/>
  <c r="J115" i="14"/>
  <c r="I115" i="14"/>
  <c r="H115" i="14"/>
  <c r="G115" i="14"/>
  <c r="F115" i="14"/>
  <c r="N114" i="14"/>
  <c r="M114" i="14"/>
  <c r="L114" i="14"/>
  <c r="K114" i="14"/>
  <c r="J114" i="14"/>
  <c r="I114" i="14"/>
  <c r="H114" i="14"/>
  <c r="G114" i="14"/>
  <c r="F114" i="14"/>
  <c r="N113" i="14"/>
  <c r="M113" i="14"/>
  <c r="L113" i="14"/>
  <c r="K113" i="14"/>
  <c r="J113" i="14"/>
  <c r="I113" i="14"/>
  <c r="H113" i="14"/>
  <c r="G113" i="14"/>
  <c r="F113" i="14"/>
  <c r="N112" i="14"/>
  <c r="M112" i="14"/>
  <c r="L112" i="14"/>
  <c r="K112" i="14"/>
  <c r="J112" i="14"/>
  <c r="I112" i="14"/>
  <c r="H112" i="14"/>
  <c r="G112" i="14"/>
  <c r="F112" i="14"/>
  <c r="N111" i="14"/>
  <c r="M111" i="14"/>
  <c r="L111" i="14"/>
  <c r="K111" i="14"/>
  <c r="J111" i="14"/>
  <c r="I111" i="14"/>
  <c r="H111" i="14"/>
  <c r="G111" i="14"/>
  <c r="F111" i="14"/>
  <c r="N110" i="14"/>
  <c r="M110" i="14"/>
  <c r="L110" i="14"/>
  <c r="K110" i="14"/>
  <c r="J110" i="14"/>
  <c r="I110" i="14"/>
  <c r="H110" i="14"/>
  <c r="G110" i="14"/>
  <c r="F110" i="14"/>
  <c r="N109" i="14"/>
  <c r="M109" i="14"/>
  <c r="L109" i="14"/>
  <c r="K109" i="14"/>
  <c r="J109" i="14"/>
  <c r="I109" i="14"/>
  <c r="H109" i="14"/>
  <c r="G109" i="14"/>
  <c r="F109" i="14"/>
  <c r="N108" i="14"/>
  <c r="M108" i="14"/>
  <c r="L108" i="14"/>
  <c r="K108" i="14"/>
  <c r="J108" i="14"/>
  <c r="I108" i="14"/>
  <c r="H108" i="14"/>
  <c r="G108" i="14"/>
  <c r="F108" i="14"/>
  <c r="N107" i="14"/>
  <c r="M107" i="14"/>
  <c r="L107" i="14"/>
  <c r="K107" i="14"/>
  <c r="J107" i="14"/>
  <c r="I107" i="14"/>
  <c r="H107" i="14"/>
  <c r="G107" i="14"/>
  <c r="F107" i="14"/>
  <c r="N106" i="14"/>
  <c r="M106" i="14"/>
  <c r="L106" i="14"/>
  <c r="K106" i="14"/>
  <c r="J106" i="14"/>
  <c r="I106" i="14"/>
  <c r="H106" i="14"/>
  <c r="G106" i="14"/>
  <c r="F106" i="14"/>
  <c r="N105" i="14"/>
  <c r="M105" i="14"/>
  <c r="L105" i="14"/>
  <c r="K105" i="14"/>
  <c r="J105" i="14"/>
  <c r="I105" i="14"/>
  <c r="H105" i="14"/>
  <c r="G105" i="14"/>
  <c r="F105" i="14"/>
  <c r="N104" i="14"/>
  <c r="M104" i="14"/>
  <c r="L104" i="14"/>
  <c r="K104" i="14"/>
  <c r="J104" i="14"/>
  <c r="I104" i="14"/>
  <c r="H104" i="14"/>
  <c r="G104" i="14"/>
  <c r="F104" i="14"/>
  <c r="N103" i="14"/>
  <c r="M103" i="14"/>
  <c r="L103" i="14"/>
  <c r="K103" i="14"/>
  <c r="J103" i="14"/>
  <c r="I103" i="14"/>
  <c r="H103" i="14"/>
  <c r="G103" i="14"/>
  <c r="F103" i="14"/>
  <c r="N102" i="14"/>
  <c r="M102" i="14"/>
  <c r="L102" i="14"/>
  <c r="K102" i="14"/>
  <c r="J102" i="14"/>
  <c r="I102" i="14"/>
  <c r="H102" i="14"/>
  <c r="G102" i="14"/>
  <c r="F102" i="14"/>
  <c r="N101" i="14"/>
  <c r="M101" i="14"/>
  <c r="L101" i="14"/>
  <c r="K101" i="14"/>
  <c r="J101" i="14"/>
  <c r="I101" i="14"/>
  <c r="H101" i="14"/>
  <c r="G101" i="14"/>
  <c r="F101" i="14"/>
  <c r="N100" i="14"/>
  <c r="M100" i="14"/>
  <c r="L100" i="14"/>
  <c r="K100" i="14"/>
  <c r="J100" i="14"/>
  <c r="I100" i="14"/>
  <c r="H100" i="14"/>
  <c r="G100" i="14"/>
  <c r="F100" i="14"/>
  <c r="N99" i="14"/>
  <c r="M99" i="14"/>
  <c r="L99" i="14"/>
  <c r="K99" i="14"/>
  <c r="J99" i="14"/>
  <c r="I99" i="14"/>
  <c r="H99" i="14"/>
  <c r="G99" i="14"/>
  <c r="F99" i="14"/>
  <c r="N98" i="14"/>
  <c r="M98" i="14"/>
  <c r="L98" i="14"/>
  <c r="K98" i="14"/>
  <c r="J98" i="14"/>
  <c r="I98" i="14"/>
  <c r="H98" i="14"/>
  <c r="G98" i="14"/>
  <c r="F98" i="14"/>
  <c r="N97" i="14"/>
  <c r="M97" i="14"/>
  <c r="L97" i="14"/>
  <c r="K97" i="14"/>
  <c r="J97" i="14"/>
  <c r="I97" i="14"/>
  <c r="H97" i="14"/>
  <c r="G97" i="14"/>
  <c r="F97" i="14"/>
  <c r="N96" i="14"/>
  <c r="M96" i="14"/>
  <c r="L96" i="14"/>
  <c r="K96" i="14"/>
  <c r="J96" i="14"/>
  <c r="I96" i="14"/>
  <c r="H96" i="14"/>
  <c r="G96" i="14"/>
  <c r="F96" i="14"/>
  <c r="N95" i="14"/>
  <c r="M95" i="14"/>
  <c r="L95" i="14"/>
  <c r="K95" i="14"/>
  <c r="J95" i="14"/>
  <c r="I95" i="14"/>
  <c r="H95" i="14"/>
  <c r="G95" i="14"/>
  <c r="F95" i="14"/>
  <c r="N94" i="14"/>
  <c r="M94" i="14"/>
  <c r="L94" i="14"/>
  <c r="K94" i="14"/>
  <c r="J94" i="14"/>
  <c r="I94" i="14"/>
  <c r="H94" i="14"/>
  <c r="G94" i="14"/>
  <c r="F94" i="14"/>
  <c r="N93" i="14"/>
  <c r="M93" i="14"/>
  <c r="L93" i="14"/>
  <c r="K93" i="14"/>
  <c r="J93" i="14"/>
  <c r="I93" i="14"/>
  <c r="H93" i="14"/>
  <c r="G93" i="14"/>
  <c r="F93" i="14"/>
  <c r="N92" i="14"/>
  <c r="M92" i="14"/>
  <c r="L92" i="14"/>
  <c r="K92" i="14"/>
  <c r="J92" i="14"/>
  <c r="I92" i="14"/>
  <c r="H92" i="14"/>
  <c r="G92" i="14"/>
  <c r="F92" i="14"/>
  <c r="N91" i="14"/>
  <c r="M91" i="14"/>
  <c r="L91" i="14"/>
  <c r="K91" i="14"/>
  <c r="J91" i="14"/>
  <c r="I91" i="14"/>
  <c r="H91" i="14"/>
  <c r="G91" i="14"/>
  <c r="F91" i="14"/>
  <c r="N90" i="14"/>
  <c r="M90" i="14"/>
  <c r="L90" i="14"/>
  <c r="K90" i="14"/>
  <c r="J90" i="14"/>
  <c r="I90" i="14"/>
  <c r="H90" i="14"/>
  <c r="G90" i="14"/>
  <c r="F90" i="14"/>
  <c r="N89" i="14"/>
  <c r="M89" i="14"/>
  <c r="L89" i="14"/>
  <c r="K89" i="14"/>
  <c r="J89" i="14"/>
  <c r="I89" i="14"/>
  <c r="H89" i="14"/>
  <c r="G89" i="14"/>
  <c r="F89" i="14"/>
  <c r="N88" i="14"/>
  <c r="M88" i="14"/>
  <c r="L88" i="14"/>
  <c r="K88" i="14"/>
  <c r="J88" i="14"/>
  <c r="I88" i="14"/>
  <c r="H88" i="14"/>
  <c r="G88" i="14"/>
  <c r="F88" i="14"/>
  <c r="N87" i="14"/>
  <c r="M87" i="14"/>
  <c r="L87" i="14"/>
  <c r="K87" i="14"/>
  <c r="J87" i="14"/>
  <c r="I87" i="14"/>
  <c r="H87" i="14"/>
  <c r="G87" i="14"/>
  <c r="F87" i="14"/>
  <c r="N86" i="14"/>
  <c r="M86" i="14"/>
  <c r="L86" i="14"/>
  <c r="K86" i="14"/>
  <c r="J86" i="14"/>
  <c r="I86" i="14"/>
  <c r="H86" i="14"/>
  <c r="G86" i="14"/>
  <c r="F86" i="14"/>
  <c r="N85" i="14"/>
  <c r="M85" i="14"/>
  <c r="L85" i="14"/>
  <c r="K85" i="14"/>
  <c r="J85" i="14"/>
  <c r="I85" i="14"/>
  <c r="H85" i="14"/>
  <c r="G85" i="14"/>
  <c r="F85" i="14"/>
  <c r="N84" i="14"/>
  <c r="M84" i="14"/>
  <c r="L84" i="14"/>
  <c r="K84" i="14"/>
  <c r="J84" i="14"/>
  <c r="I84" i="14"/>
  <c r="H84" i="14"/>
  <c r="G84" i="14"/>
  <c r="F84" i="14"/>
  <c r="N83" i="14"/>
  <c r="M83" i="14"/>
  <c r="L83" i="14"/>
  <c r="K83" i="14"/>
  <c r="J83" i="14"/>
  <c r="I83" i="14"/>
  <c r="H83" i="14"/>
  <c r="G83" i="14"/>
  <c r="F83" i="14"/>
  <c r="N82" i="14"/>
  <c r="M82" i="14"/>
  <c r="L82" i="14"/>
  <c r="K82" i="14"/>
  <c r="J82" i="14"/>
  <c r="I82" i="14"/>
  <c r="H82" i="14"/>
  <c r="G82" i="14"/>
  <c r="F82" i="14"/>
  <c r="N81" i="14"/>
  <c r="M81" i="14"/>
  <c r="L81" i="14"/>
  <c r="K81" i="14"/>
  <c r="J81" i="14"/>
  <c r="I81" i="14"/>
  <c r="H81" i="14"/>
  <c r="G81" i="14"/>
  <c r="F81" i="14"/>
  <c r="N80" i="14"/>
  <c r="M80" i="14"/>
  <c r="L80" i="14"/>
  <c r="K80" i="14"/>
  <c r="J80" i="14"/>
  <c r="I80" i="14"/>
  <c r="H80" i="14"/>
  <c r="G80" i="14"/>
  <c r="F80" i="14"/>
  <c r="N79" i="14"/>
  <c r="M79" i="14"/>
  <c r="L79" i="14"/>
  <c r="K79" i="14"/>
  <c r="J79" i="14"/>
  <c r="I79" i="14"/>
  <c r="H79" i="14"/>
  <c r="G79" i="14"/>
  <c r="F79" i="14"/>
  <c r="N78" i="14"/>
  <c r="M78" i="14"/>
  <c r="L78" i="14"/>
  <c r="K78" i="14"/>
  <c r="J78" i="14"/>
  <c r="I78" i="14"/>
  <c r="H78" i="14"/>
  <c r="G78" i="14"/>
  <c r="F78" i="14"/>
  <c r="N77" i="14"/>
  <c r="M77" i="14"/>
  <c r="L77" i="14"/>
  <c r="K77" i="14"/>
  <c r="J77" i="14"/>
  <c r="I77" i="14"/>
  <c r="H77" i="14"/>
  <c r="G77" i="14"/>
  <c r="F77" i="14"/>
  <c r="N76" i="14"/>
  <c r="M76" i="14"/>
  <c r="L76" i="14"/>
  <c r="K76" i="14"/>
  <c r="J76" i="14"/>
  <c r="I76" i="14"/>
  <c r="H76" i="14"/>
  <c r="G76" i="14"/>
  <c r="F76" i="14"/>
  <c r="N75" i="14"/>
  <c r="M75" i="14"/>
  <c r="L75" i="14"/>
  <c r="K75" i="14"/>
  <c r="J75" i="14"/>
  <c r="I75" i="14"/>
  <c r="H75" i="14"/>
  <c r="G75" i="14"/>
  <c r="F75" i="14"/>
  <c r="N74" i="14"/>
  <c r="M74" i="14"/>
  <c r="L74" i="14"/>
  <c r="K74" i="14"/>
  <c r="J74" i="14"/>
  <c r="I74" i="14"/>
  <c r="H74" i="14"/>
  <c r="G74" i="14"/>
  <c r="F74" i="14"/>
  <c r="N73" i="14"/>
  <c r="M73" i="14"/>
  <c r="L73" i="14"/>
  <c r="K73" i="14"/>
  <c r="J73" i="14"/>
  <c r="I73" i="14"/>
  <c r="H73" i="14"/>
  <c r="G73" i="14"/>
  <c r="F73" i="14"/>
  <c r="N72" i="14"/>
  <c r="M72" i="14"/>
  <c r="L72" i="14"/>
  <c r="K72" i="14"/>
  <c r="J72" i="14"/>
  <c r="I72" i="14"/>
  <c r="H72" i="14"/>
  <c r="G72" i="14"/>
  <c r="F72" i="14"/>
  <c r="N71" i="14"/>
  <c r="M71" i="14"/>
  <c r="L71" i="14"/>
  <c r="K71" i="14"/>
  <c r="J71" i="14"/>
  <c r="I71" i="14"/>
  <c r="H71" i="14"/>
  <c r="G71" i="14"/>
  <c r="F71" i="14"/>
  <c r="N70" i="14"/>
  <c r="M70" i="14"/>
  <c r="L70" i="14"/>
  <c r="K70" i="14"/>
  <c r="J70" i="14"/>
  <c r="I70" i="14"/>
  <c r="H70" i="14"/>
  <c r="G70" i="14"/>
  <c r="F70" i="14"/>
  <c r="N69" i="14"/>
  <c r="M69" i="14"/>
  <c r="L69" i="14"/>
  <c r="K69" i="14"/>
  <c r="J69" i="14"/>
  <c r="I69" i="14"/>
  <c r="H69" i="14"/>
  <c r="G69" i="14"/>
  <c r="F69" i="14"/>
  <c r="N68" i="14"/>
  <c r="M68" i="14"/>
  <c r="L68" i="14"/>
  <c r="K68" i="14"/>
  <c r="J68" i="14"/>
  <c r="I68" i="14"/>
  <c r="H68" i="14"/>
  <c r="G68" i="14"/>
  <c r="F68" i="14"/>
  <c r="N67" i="14"/>
  <c r="M67" i="14"/>
  <c r="L67" i="14"/>
  <c r="K67" i="14"/>
  <c r="J67" i="14"/>
  <c r="I67" i="14"/>
  <c r="H67" i="14"/>
  <c r="G67" i="14"/>
  <c r="F67" i="14"/>
  <c r="N66" i="14"/>
  <c r="M66" i="14"/>
  <c r="L66" i="14"/>
  <c r="K66" i="14"/>
  <c r="J66" i="14"/>
  <c r="I66" i="14"/>
  <c r="H66" i="14"/>
  <c r="G66" i="14"/>
  <c r="F66" i="14"/>
  <c r="N65" i="14"/>
  <c r="M65" i="14"/>
  <c r="L65" i="14"/>
  <c r="K65" i="14"/>
  <c r="J65" i="14"/>
  <c r="I65" i="14"/>
  <c r="H65" i="14"/>
  <c r="G65" i="14"/>
  <c r="F65" i="14"/>
  <c r="N64" i="14"/>
  <c r="M64" i="14"/>
  <c r="L64" i="14"/>
  <c r="K64" i="14"/>
  <c r="J64" i="14"/>
  <c r="I64" i="14"/>
  <c r="H64" i="14"/>
  <c r="G64" i="14"/>
  <c r="F64" i="14"/>
  <c r="N63" i="14"/>
  <c r="M63" i="14"/>
  <c r="L63" i="14"/>
  <c r="K63" i="14"/>
  <c r="J63" i="14"/>
  <c r="I63" i="14"/>
  <c r="H63" i="14"/>
  <c r="G63" i="14"/>
  <c r="F63" i="14"/>
  <c r="N62" i="14"/>
  <c r="M62" i="14"/>
  <c r="L62" i="14"/>
  <c r="K62" i="14"/>
  <c r="J62" i="14"/>
  <c r="I62" i="14"/>
  <c r="H62" i="14"/>
  <c r="G62" i="14"/>
  <c r="F62" i="14"/>
  <c r="N61" i="14"/>
  <c r="M61" i="14"/>
  <c r="L61" i="14"/>
  <c r="K61" i="14"/>
  <c r="J61" i="14"/>
  <c r="I61" i="14"/>
  <c r="H61" i="14"/>
  <c r="G61" i="14"/>
  <c r="F61" i="14"/>
  <c r="N60" i="14"/>
  <c r="M60" i="14"/>
  <c r="L60" i="14"/>
  <c r="K60" i="14"/>
  <c r="J60" i="14"/>
  <c r="I60" i="14"/>
  <c r="H60" i="14"/>
  <c r="G60" i="14"/>
  <c r="F60" i="14"/>
  <c r="N59" i="14"/>
  <c r="M59" i="14"/>
  <c r="L59" i="14"/>
  <c r="K59" i="14"/>
  <c r="J59" i="14"/>
  <c r="I59" i="14"/>
  <c r="H59" i="14"/>
  <c r="G59" i="14"/>
  <c r="F59" i="14"/>
  <c r="N58" i="14"/>
  <c r="M58" i="14"/>
  <c r="L58" i="14"/>
  <c r="K58" i="14"/>
  <c r="J58" i="14"/>
  <c r="I58" i="14"/>
  <c r="H58" i="14"/>
  <c r="G58" i="14"/>
  <c r="F58" i="14"/>
  <c r="N57" i="14"/>
  <c r="M57" i="14"/>
  <c r="L57" i="14"/>
  <c r="K57" i="14"/>
  <c r="J57" i="14"/>
  <c r="I57" i="14"/>
  <c r="H57" i="14"/>
  <c r="G57" i="14"/>
  <c r="F57" i="14"/>
  <c r="N56" i="14"/>
  <c r="M56" i="14"/>
  <c r="L56" i="14"/>
  <c r="K56" i="14"/>
  <c r="J56" i="14"/>
  <c r="I56" i="14"/>
  <c r="H56" i="14"/>
  <c r="G56" i="14"/>
  <c r="F56" i="14"/>
  <c r="N55" i="14"/>
  <c r="M55" i="14"/>
  <c r="L55" i="14"/>
  <c r="K55" i="14"/>
  <c r="J55" i="14"/>
  <c r="I55" i="14"/>
  <c r="H55" i="14"/>
  <c r="G55" i="14"/>
  <c r="F55" i="14"/>
  <c r="N54" i="14"/>
  <c r="M54" i="14"/>
  <c r="L54" i="14"/>
  <c r="K54" i="14"/>
  <c r="J54" i="14"/>
  <c r="I54" i="14"/>
  <c r="H54" i="14"/>
  <c r="G54" i="14"/>
  <c r="F54" i="14"/>
  <c r="N53" i="14"/>
  <c r="M53" i="14"/>
  <c r="L53" i="14"/>
  <c r="K53" i="14"/>
  <c r="J53" i="14"/>
  <c r="I53" i="14"/>
  <c r="H53" i="14"/>
  <c r="G53" i="14"/>
  <c r="F53" i="14"/>
  <c r="N52" i="14"/>
  <c r="M52" i="14"/>
  <c r="L52" i="14"/>
  <c r="K52" i="14"/>
  <c r="J52" i="14"/>
  <c r="I52" i="14"/>
  <c r="H52" i="14"/>
  <c r="G52" i="14"/>
  <c r="F52" i="14"/>
  <c r="N51" i="14"/>
  <c r="M51" i="14"/>
  <c r="L51" i="14"/>
  <c r="K51" i="14"/>
  <c r="J51" i="14"/>
  <c r="I51" i="14"/>
  <c r="H51" i="14"/>
  <c r="G51" i="14"/>
  <c r="F51" i="14"/>
  <c r="N50" i="14"/>
  <c r="M50" i="14"/>
  <c r="L50" i="14"/>
  <c r="K50" i="14"/>
  <c r="J50" i="14"/>
  <c r="I50" i="14"/>
  <c r="H50" i="14"/>
  <c r="G50" i="14"/>
  <c r="F50" i="14"/>
  <c r="N49" i="14"/>
  <c r="M49" i="14"/>
  <c r="L49" i="14"/>
  <c r="K49" i="14"/>
  <c r="J49" i="14"/>
  <c r="I49" i="14"/>
  <c r="H49" i="14"/>
  <c r="G49" i="14"/>
  <c r="F49" i="14"/>
  <c r="N48" i="14"/>
  <c r="M48" i="14"/>
  <c r="L48" i="14"/>
  <c r="K48" i="14"/>
  <c r="J48" i="14"/>
  <c r="I48" i="14"/>
  <c r="H48" i="14"/>
  <c r="G48" i="14"/>
  <c r="F48" i="14"/>
  <c r="N47" i="14"/>
  <c r="M47" i="14"/>
  <c r="L47" i="14"/>
  <c r="K47" i="14"/>
  <c r="J47" i="14"/>
  <c r="I47" i="14"/>
  <c r="H47" i="14"/>
  <c r="G47" i="14"/>
  <c r="F47" i="14"/>
  <c r="N46" i="14"/>
  <c r="M46" i="14"/>
  <c r="L46" i="14"/>
  <c r="K46" i="14"/>
  <c r="J46" i="14"/>
  <c r="I46" i="14"/>
  <c r="H46" i="14"/>
  <c r="G46" i="14"/>
  <c r="F46" i="14"/>
  <c r="N45" i="14"/>
  <c r="M45" i="14"/>
  <c r="L45" i="14"/>
  <c r="K45" i="14"/>
  <c r="J45" i="14"/>
  <c r="I45" i="14"/>
  <c r="H45" i="14"/>
  <c r="G45" i="14"/>
  <c r="F45" i="14"/>
  <c r="N44" i="14"/>
  <c r="M44" i="14"/>
  <c r="L44" i="14"/>
  <c r="K44" i="14"/>
  <c r="J44" i="14"/>
  <c r="I44" i="14"/>
  <c r="H44" i="14"/>
  <c r="G44" i="14"/>
  <c r="F44" i="14"/>
  <c r="N43" i="14"/>
  <c r="M43" i="14"/>
  <c r="L43" i="14"/>
  <c r="K43" i="14"/>
  <c r="J43" i="14"/>
  <c r="I43" i="14"/>
  <c r="H43" i="14"/>
  <c r="G43" i="14"/>
  <c r="F43" i="14"/>
  <c r="N42" i="14"/>
  <c r="M42" i="14"/>
  <c r="L42" i="14"/>
  <c r="K42" i="14"/>
  <c r="J42" i="14"/>
  <c r="I42" i="14"/>
  <c r="H42" i="14"/>
  <c r="G42" i="14"/>
  <c r="F42" i="14"/>
  <c r="N41" i="14"/>
  <c r="M41" i="14"/>
  <c r="L41" i="14"/>
  <c r="K41" i="14"/>
  <c r="J41" i="14"/>
  <c r="I41" i="14"/>
  <c r="H41" i="14"/>
  <c r="G41" i="14"/>
  <c r="F41" i="14"/>
  <c r="N40" i="14"/>
  <c r="M40" i="14"/>
  <c r="L40" i="14"/>
  <c r="K40" i="14"/>
  <c r="J40" i="14"/>
  <c r="I40" i="14"/>
  <c r="H40" i="14"/>
  <c r="G40" i="14"/>
  <c r="F40" i="14"/>
  <c r="N39" i="14"/>
  <c r="M39" i="14"/>
  <c r="L39" i="14"/>
  <c r="K39" i="14"/>
  <c r="J39" i="14"/>
  <c r="I39" i="14"/>
  <c r="H39" i="14"/>
  <c r="G39" i="14"/>
  <c r="F39" i="14"/>
  <c r="N38" i="14"/>
  <c r="M38" i="14"/>
  <c r="L38" i="14"/>
  <c r="K38" i="14"/>
  <c r="J38" i="14"/>
  <c r="I38" i="14"/>
  <c r="H38" i="14"/>
  <c r="G38" i="14"/>
  <c r="F38" i="14"/>
  <c r="N37" i="14"/>
  <c r="M37" i="14"/>
  <c r="L37" i="14"/>
  <c r="K37" i="14"/>
  <c r="J37" i="14"/>
  <c r="I37" i="14"/>
  <c r="H37" i="14"/>
  <c r="G37" i="14"/>
  <c r="F37" i="14"/>
  <c r="N36" i="14"/>
  <c r="M36" i="14"/>
  <c r="L36" i="14"/>
  <c r="K36" i="14"/>
  <c r="J36" i="14"/>
  <c r="I36" i="14"/>
  <c r="H36" i="14"/>
  <c r="G36" i="14"/>
  <c r="F36" i="14"/>
  <c r="N35" i="14"/>
  <c r="M35" i="14"/>
  <c r="L35" i="14"/>
  <c r="K35" i="14"/>
  <c r="J35" i="14"/>
  <c r="I35" i="14"/>
  <c r="H35" i="14"/>
  <c r="G35" i="14"/>
  <c r="F35" i="14"/>
  <c r="N34" i="14"/>
  <c r="M34" i="14"/>
  <c r="L34" i="14"/>
  <c r="K34" i="14"/>
  <c r="J34" i="14"/>
  <c r="I34" i="14"/>
  <c r="H34" i="14"/>
  <c r="G34" i="14"/>
  <c r="F34" i="14"/>
  <c r="N33" i="14"/>
  <c r="M33" i="14"/>
  <c r="L33" i="14"/>
  <c r="K33" i="14"/>
  <c r="J33" i="14"/>
  <c r="I33" i="14"/>
  <c r="H33" i="14"/>
  <c r="G33" i="14"/>
  <c r="F33" i="14"/>
  <c r="N32" i="14"/>
  <c r="M32" i="14"/>
  <c r="L32" i="14"/>
  <c r="K32" i="14"/>
  <c r="J32" i="14"/>
  <c r="I32" i="14"/>
  <c r="H32" i="14"/>
  <c r="G32" i="14"/>
  <c r="F32" i="14"/>
  <c r="N31" i="14"/>
  <c r="M31" i="14"/>
  <c r="L31" i="14"/>
  <c r="K31" i="14"/>
  <c r="J31" i="14"/>
  <c r="I31" i="14"/>
  <c r="H31" i="14"/>
  <c r="G31" i="14"/>
  <c r="F31" i="14"/>
  <c r="N30" i="14"/>
  <c r="M30" i="14"/>
  <c r="L30" i="14"/>
  <c r="K30" i="14"/>
  <c r="J30" i="14"/>
  <c r="I30" i="14"/>
  <c r="H30" i="14"/>
  <c r="G30" i="14"/>
  <c r="F30" i="14"/>
  <c r="N29" i="14"/>
  <c r="M29" i="14"/>
  <c r="L29" i="14"/>
  <c r="K29" i="14"/>
  <c r="J29" i="14"/>
  <c r="I29" i="14"/>
  <c r="H29" i="14"/>
  <c r="G29" i="14"/>
  <c r="F29" i="14"/>
  <c r="N28" i="14"/>
  <c r="M28" i="14"/>
  <c r="L28" i="14"/>
  <c r="K28" i="14"/>
  <c r="J28" i="14"/>
  <c r="I28" i="14"/>
  <c r="H28" i="14"/>
  <c r="G28" i="14"/>
  <c r="F28" i="14"/>
  <c r="N27" i="14"/>
  <c r="M27" i="14"/>
  <c r="L27" i="14"/>
  <c r="K27" i="14"/>
  <c r="J27" i="14"/>
  <c r="I27" i="14"/>
  <c r="H27" i="14"/>
  <c r="G27" i="14"/>
  <c r="F27" i="14"/>
  <c r="N26" i="14"/>
  <c r="M26" i="14"/>
  <c r="L26" i="14"/>
  <c r="K26" i="14"/>
  <c r="J26" i="14"/>
  <c r="I26" i="14"/>
  <c r="H26" i="14"/>
  <c r="G26" i="14"/>
  <c r="F26" i="14"/>
  <c r="N25" i="14"/>
  <c r="M25" i="14"/>
  <c r="L25" i="14"/>
  <c r="K25" i="14"/>
  <c r="J25" i="14"/>
  <c r="I25" i="14"/>
  <c r="H25" i="14"/>
  <c r="G25" i="14"/>
  <c r="F25" i="14"/>
  <c r="N24" i="14"/>
  <c r="M24" i="14"/>
  <c r="L24" i="14"/>
  <c r="K24" i="14"/>
  <c r="J24" i="14"/>
  <c r="I24" i="14"/>
  <c r="H24" i="14"/>
  <c r="G24" i="14"/>
  <c r="F24" i="14"/>
  <c r="N23" i="14"/>
  <c r="M23" i="14"/>
  <c r="L23" i="14"/>
  <c r="K23" i="14"/>
  <c r="J23" i="14"/>
  <c r="I23" i="14"/>
  <c r="H23" i="14"/>
  <c r="G23" i="14"/>
  <c r="F23" i="14"/>
  <c r="N22" i="14"/>
  <c r="M22" i="14"/>
  <c r="L22" i="14"/>
  <c r="K22" i="14"/>
  <c r="J22" i="14"/>
  <c r="I22" i="14"/>
  <c r="H22" i="14"/>
  <c r="G22" i="14"/>
  <c r="F22" i="14"/>
  <c r="N21" i="14"/>
  <c r="M21" i="14"/>
  <c r="L21" i="14"/>
  <c r="K21" i="14"/>
  <c r="J21" i="14"/>
  <c r="I21" i="14"/>
  <c r="H21" i="14"/>
  <c r="G21" i="14"/>
  <c r="F21" i="14"/>
  <c r="N20" i="14"/>
  <c r="M20" i="14"/>
  <c r="L20" i="14"/>
  <c r="K20" i="14"/>
  <c r="J20" i="14"/>
  <c r="I20" i="14"/>
  <c r="H20" i="14"/>
  <c r="G20" i="14"/>
  <c r="F20" i="14"/>
  <c r="N19" i="14"/>
  <c r="M19" i="14"/>
  <c r="L19" i="14"/>
  <c r="K19" i="14"/>
  <c r="J19" i="14"/>
  <c r="I19" i="14"/>
  <c r="H19" i="14"/>
  <c r="G19" i="14"/>
  <c r="F19" i="14"/>
  <c r="N18" i="14"/>
  <c r="M18" i="14"/>
  <c r="L18" i="14"/>
  <c r="K18" i="14"/>
  <c r="J18" i="14"/>
  <c r="I18" i="14"/>
  <c r="H18" i="14"/>
  <c r="G18" i="14"/>
  <c r="F18" i="14"/>
  <c r="O18" i="15"/>
  <c r="Q514" i="15"/>
  <c r="P514" i="15"/>
  <c r="O514" i="15"/>
  <c r="Q513" i="15"/>
  <c r="P513" i="15"/>
  <c r="O513" i="15"/>
  <c r="Q512" i="15"/>
  <c r="P512" i="15"/>
  <c r="O512" i="15"/>
  <c r="Q511" i="15"/>
  <c r="P511" i="15"/>
  <c r="O511" i="15"/>
  <c r="Q510" i="15"/>
  <c r="P510" i="15"/>
  <c r="O510" i="15"/>
  <c r="Q509" i="15"/>
  <c r="P509" i="15"/>
  <c r="O509" i="15"/>
  <c r="Q508" i="15"/>
  <c r="P508" i="15"/>
  <c r="O508" i="15"/>
  <c r="Q507" i="15"/>
  <c r="P507" i="15"/>
  <c r="O507" i="15"/>
  <c r="Q506" i="15"/>
  <c r="P506" i="15"/>
  <c r="O506" i="15"/>
  <c r="Q505" i="15"/>
  <c r="P505" i="15"/>
  <c r="O505" i="15"/>
  <c r="Q504" i="15"/>
  <c r="P504" i="15"/>
  <c r="O504" i="15"/>
  <c r="Q503" i="15"/>
  <c r="P503" i="15"/>
  <c r="O503" i="15"/>
  <c r="Q502" i="15"/>
  <c r="P502" i="15"/>
  <c r="O502" i="15"/>
  <c r="Q501" i="15"/>
  <c r="P501" i="15"/>
  <c r="O501" i="15"/>
  <c r="Q500" i="15"/>
  <c r="P500" i="15"/>
  <c r="O500" i="15"/>
  <c r="Q499" i="15"/>
  <c r="P499" i="15"/>
  <c r="O499" i="15"/>
  <c r="Q498" i="15"/>
  <c r="P498" i="15"/>
  <c r="O498" i="15"/>
  <c r="Q497" i="15"/>
  <c r="P497" i="15"/>
  <c r="O497" i="15"/>
  <c r="Q496" i="15"/>
  <c r="P496" i="15"/>
  <c r="O496" i="15"/>
  <c r="Q495" i="15"/>
  <c r="P495" i="15"/>
  <c r="O495" i="15"/>
  <c r="Q494" i="15"/>
  <c r="P494" i="15"/>
  <c r="O494" i="15"/>
  <c r="Q493" i="15"/>
  <c r="P493" i="15"/>
  <c r="O493" i="15"/>
  <c r="Q492" i="15"/>
  <c r="P492" i="15"/>
  <c r="O492" i="15"/>
  <c r="Q491" i="15"/>
  <c r="P491" i="15"/>
  <c r="O491" i="15"/>
  <c r="Q490" i="15"/>
  <c r="P490" i="15"/>
  <c r="O490" i="15"/>
  <c r="Q489" i="15"/>
  <c r="P489" i="15"/>
  <c r="O489" i="15"/>
  <c r="Q488" i="15"/>
  <c r="P488" i="15"/>
  <c r="O488" i="15"/>
  <c r="Q487" i="15"/>
  <c r="P487" i="15"/>
  <c r="O487" i="15"/>
  <c r="Q486" i="15"/>
  <c r="P486" i="15"/>
  <c r="O486" i="15"/>
  <c r="Q485" i="15"/>
  <c r="P485" i="15"/>
  <c r="O485" i="15"/>
  <c r="Q484" i="15"/>
  <c r="P484" i="15"/>
  <c r="O484" i="15"/>
  <c r="Q483" i="15"/>
  <c r="P483" i="15"/>
  <c r="O483" i="15"/>
  <c r="Q482" i="15"/>
  <c r="P482" i="15"/>
  <c r="O482" i="15"/>
  <c r="Q481" i="15"/>
  <c r="P481" i="15"/>
  <c r="O481" i="15"/>
  <c r="Q480" i="15"/>
  <c r="P480" i="15"/>
  <c r="O480" i="15"/>
  <c r="Q479" i="15"/>
  <c r="P479" i="15"/>
  <c r="O479" i="15"/>
  <c r="Q478" i="15"/>
  <c r="P478" i="15"/>
  <c r="O478" i="15"/>
  <c r="Q477" i="15"/>
  <c r="P477" i="15"/>
  <c r="O477" i="15"/>
  <c r="Q476" i="15"/>
  <c r="P476" i="15"/>
  <c r="O476" i="15"/>
  <c r="Q475" i="15"/>
  <c r="P475" i="15"/>
  <c r="O475" i="15"/>
  <c r="Q474" i="15"/>
  <c r="P474" i="15"/>
  <c r="O474" i="15"/>
  <c r="Q473" i="15"/>
  <c r="P473" i="15"/>
  <c r="O473" i="15"/>
  <c r="Q472" i="15"/>
  <c r="P472" i="15"/>
  <c r="O472" i="15"/>
  <c r="Q471" i="15"/>
  <c r="P471" i="15"/>
  <c r="O471" i="15"/>
  <c r="Q470" i="15"/>
  <c r="P470" i="15"/>
  <c r="O470" i="15"/>
  <c r="Q469" i="15"/>
  <c r="P469" i="15"/>
  <c r="O469" i="15"/>
  <c r="Q468" i="15"/>
  <c r="P468" i="15"/>
  <c r="O468" i="15"/>
  <c r="Q467" i="15"/>
  <c r="P467" i="15"/>
  <c r="O467" i="15"/>
  <c r="Q466" i="15"/>
  <c r="P466" i="15"/>
  <c r="O466" i="15"/>
  <c r="Q465" i="15"/>
  <c r="P465" i="15"/>
  <c r="O465" i="15"/>
  <c r="Q464" i="15"/>
  <c r="P464" i="15"/>
  <c r="O464" i="15"/>
  <c r="Q463" i="15"/>
  <c r="P463" i="15"/>
  <c r="O463" i="15"/>
  <c r="Q462" i="15"/>
  <c r="P462" i="15"/>
  <c r="O462" i="15"/>
  <c r="Q461" i="15"/>
  <c r="P461" i="15"/>
  <c r="O461" i="15"/>
  <c r="Q460" i="15"/>
  <c r="P460" i="15"/>
  <c r="O460" i="15"/>
  <c r="Q459" i="15"/>
  <c r="P459" i="15"/>
  <c r="O459" i="15"/>
  <c r="Q458" i="15"/>
  <c r="P458" i="15"/>
  <c r="O458" i="15"/>
  <c r="Q457" i="15"/>
  <c r="P457" i="15"/>
  <c r="O457" i="15"/>
  <c r="Q456" i="15"/>
  <c r="P456" i="15"/>
  <c r="O456" i="15"/>
  <c r="Q455" i="15"/>
  <c r="P455" i="15"/>
  <c r="O455" i="15"/>
  <c r="Q454" i="15"/>
  <c r="P454" i="15"/>
  <c r="O454" i="15"/>
  <c r="Q453" i="15"/>
  <c r="P453" i="15"/>
  <c r="O453" i="15"/>
  <c r="Q452" i="15"/>
  <c r="P452" i="15"/>
  <c r="O452" i="15"/>
  <c r="Q451" i="15"/>
  <c r="P451" i="15"/>
  <c r="O451" i="15"/>
  <c r="Q450" i="15"/>
  <c r="P450" i="15"/>
  <c r="O450" i="15"/>
  <c r="Q449" i="15"/>
  <c r="P449" i="15"/>
  <c r="O449" i="15"/>
  <c r="Q448" i="15"/>
  <c r="P448" i="15"/>
  <c r="O448" i="15"/>
  <c r="Q447" i="15"/>
  <c r="P447" i="15"/>
  <c r="O447" i="15"/>
  <c r="Q446" i="15"/>
  <c r="P446" i="15"/>
  <c r="O446" i="15"/>
  <c r="Q445" i="15"/>
  <c r="P445" i="15"/>
  <c r="O445" i="15"/>
  <c r="Q444" i="15"/>
  <c r="P444" i="15"/>
  <c r="O444" i="15"/>
  <c r="Q443" i="15"/>
  <c r="P443" i="15"/>
  <c r="O443" i="15"/>
  <c r="Q442" i="15"/>
  <c r="P442" i="15"/>
  <c r="O442" i="15"/>
  <c r="Q441" i="15"/>
  <c r="P441" i="15"/>
  <c r="O441" i="15"/>
  <c r="Q440" i="15"/>
  <c r="P440" i="15"/>
  <c r="O440" i="15"/>
  <c r="Q439" i="15"/>
  <c r="P439" i="15"/>
  <c r="O439" i="15"/>
  <c r="Q438" i="15"/>
  <c r="P438" i="15"/>
  <c r="O438" i="15"/>
  <c r="Q437" i="15"/>
  <c r="P437" i="15"/>
  <c r="O437" i="15"/>
  <c r="Q436" i="15"/>
  <c r="P436" i="15"/>
  <c r="O436" i="15"/>
  <c r="Q435" i="15"/>
  <c r="P435" i="15"/>
  <c r="O435" i="15"/>
  <c r="Q434" i="15"/>
  <c r="P434" i="15"/>
  <c r="O434" i="15"/>
  <c r="Q433" i="15"/>
  <c r="P433" i="15"/>
  <c r="O433" i="15"/>
  <c r="Q432" i="15"/>
  <c r="P432" i="15"/>
  <c r="O432" i="15"/>
  <c r="Q431" i="15"/>
  <c r="P431" i="15"/>
  <c r="O431" i="15"/>
  <c r="Q430" i="15"/>
  <c r="P430" i="15"/>
  <c r="O430" i="15"/>
  <c r="Q429" i="15"/>
  <c r="P429" i="15"/>
  <c r="O429" i="15"/>
  <c r="Q428" i="15"/>
  <c r="P428" i="15"/>
  <c r="O428" i="15"/>
  <c r="Q427" i="15"/>
  <c r="P427" i="15"/>
  <c r="O427" i="15"/>
  <c r="Q426" i="15"/>
  <c r="P426" i="15"/>
  <c r="O426" i="15"/>
  <c r="Q425" i="15"/>
  <c r="P425" i="15"/>
  <c r="O425" i="15"/>
  <c r="Q424" i="15"/>
  <c r="P424" i="15"/>
  <c r="O424" i="15"/>
  <c r="Q423" i="15"/>
  <c r="P423" i="15"/>
  <c r="O423" i="15"/>
  <c r="Q422" i="15"/>
  <c r="P422" i="15"/>
  <c r="O422" i="15"/>
  <c r="Q421" i="15"/>
  <c r="P421" i="15"/>
  <c r="O421" i="15"/>
  <c r="Q420" i="15"/>
  <c r="P420" i="15"/>
  <c r="O420" i="15"/>
  <c r="Q419" i="15"/>
  <c r="P419" i="15"/>
  <c r="O419" i="15"/>
  <c r="Q418" i="15"/>
  <c r="P418" i="15"/>
  <c r="O418" i="15"/>
  <c r="Q417" i="15"/>
  <c r="P417" i="15"/>
  <c r="O417" i="15"/>
  <c r="Q416" i="15"/>
  <c r="P416" i="15"/>
  <c r="O416" i="15"/>
  <c r="Q415" i="15"/>
  <c r="P415" i="15"/>
  <c r="O415" i="15"/>
  <c r="Q414" i="15"/>
  <c r="P414" i="15"/>
  <c r="O414" i="15"/>
  <c r="Q413" i="15"/>
  <c r="P413" i="15"/>
  <c r="O413" i="15"/>
  <c r="Q412" i="15"/>
  <c r="P412" i="15"/>
  <c r="O412" i="15"/>
  <c r="Q411" i="15"/>
  <c r="P411" i="15"/>
  <c r="O411" i="15"/>
  <c r="Q410" i="15"/>
  <c r="P410" i="15"/>
  <c r="O410" i="15"/>
  <c r="Q409" i="15"/>
  <c r="P409" i="15"/>
  <c r="O409" i="15"/>
  <c r="Q408" i="15"/>
  <c r="P408" i="15"/>
  <c r="O408" i="15"/>
  <c r="Q407" i="15"/>
  <c r="P407" i="15"/>
  <c r="O407" i="15"/>
  <c r="Q406" i="15"/>
  <c r="P406" i="15"/>
  <c r="O406" i="15"/>
  <c r="Q405" i="15"/>
  <c r="P405" i="15"/>
  <c r="O405" i="15"/>
  <c r="Q404" i="15"/>
  <c r="P404" i="15"/>
  <c r="O404" i="15"/>
  <c r="Q403" i="15"/>
  <c r="P403" i="15"/>
  <c r="O403" i="15"/>
  <c r="Q402" i="15"/>
  <c r="P402" i="15"/>
  <c r="O402" i="15"/>
  <c r="Q401" i="15"/>
  <c r="P401" i="15"/>
  <c r="O401" i="15"/>
  <c r="Q400" i="15"/>
  <c r="P400" i="15"/>
  <c r="O400" i="15"/>
  <c r="Q399" i="15"/>
  <c r="P399" i="15"/>
  <c r="O399" i="15"/>
  <c r="Q398" i="15"/>
  <c r="P398" i="15"/>
  <c r="O398" i="15"/>
  <c r="Q397" i="15"/>
  <c r="P397" i="15"/>
  <c r="O397" i="15"/>
  <c r="Q396" i="15"/>
  <c r="P396" i="15"/>
  <c r="O396" i="15"/>
  <c r="Q395" i="15"/>
  <c r="P395" i="15"/>
  <c r="O395" i="15"/>
  <c r="Q394" i="15"/>
  <c r="P394" i="15"/>
  <c r="O394" i="15"/>
  <c r="Q393" i="15"/>
  <c r="P393" i="15"/>
  <c r="O393" i="15"/>
  <c r="Q392" i="15"/>
  <c r="P392" i="15"/>
  <c r="O392" i="15"/>
  <c r="Q391" i="15"/>
  <c r="P391" i="15"/>
  <c r="O391" i="15"/>
  <c r="Q390" i="15"/>
  <c r="P390" i="15"/>
  <c r="O390" i="15"/>
  <c r="Q389" i="15"/>
  <c r="P389" i="15"/>
  <c r="O389" i="15"/>
  <c r="Q388" i="15"/>
  <c r="P388" i="15"/>
  <c r="O388" i="15"/>
  <c r="Q387" i="15"/>
  <c r="P387" i="15"/>
  <c r="O387" i="15"/>
  <c r="Q386" i="15"/>
  <c r="P386" i="15"/>
  <c r="O386" i="15"/>
  <c r="Q385" i="15"/>
  <c r="P385" i="15"/>
  <c r="O385" i="15"/>
  <c r="Q384" i="15"/>
  <c r="P384" i="15"/>
  <c r="O384" i="15"/>
  <c r="Q383" i="15"/>
  <c r="P383" i="15"/>
  <c r="O383" i="15"/>
  <c r="Q382" i="15"/>
  <c r="P382" i="15"/>
  <c r="O382" i="15"/>
  <c r="Q381" i="15"/>
  <c r="P381" i="15"/>
  <c r="O381" i="15"/>
  <c r="Q380" i="15"/>
  <c r="P380" i="15"/>
  <c r="O380" i="15"/>
  <c r="Q379" i="15"/>
  <c r="P379" i="15"/>
  <c r="O379" i="15"/>
  <c r="Q378" i="15"/>
  <c r="P378" i="15"/>
  <c r="O378" i="15"/>
  <c r="Q377" i="15"/>
  <c r="P377" i="15"/>
  <c r="O377" i="15"/>
  <c r="Q376" i="15"/>
  <c r="P376" i="15"/>
  <c r="O376" i="15"/>
  <c r="Q375" i="15"/>
  <c r="P375" i="15"/>
  <c r="O375" i="15"/>
  <c r="Q374" i="15"/>
  <c r="P374" i="15"/>
  <c r="O374" i="15"/>
  <c r="Q373" i="15"/>
  <c r="P373" i="15"/>
  <c r="O373" i="15"/>
  <c r="Q372" i="15"/>
  <c r="P372" i="15"/>
  <c r="O372" i="15"/>
  <c r="Q371" i="15"/>
  <c r="P371" i="15"/>
  <c r="O371" i="15"/>
  <c r="Q370" i="15"/>
  <c r="P370" i="15"/>
  <c r="O370" i="15"/>
  <c r="Q369" i="15"/>
  <c r="P369" i="15"/>
  <c r="O369" i="15"/>
  <c r="Q368" i="15"/>
  <c r="P368" i="15"/>
  <c r="O368" i="15"/>
  <c r="Q367" i="15"/>
  <c r="P367" i="15"/>
  <c r="O367" i="15"/>
  <c r="Q366" i="15"/>
  <c r="P366" i="15"/>
  <c r="O366" i="15"/>
  <c r="Q365" i="15"/>
  <c r="P365" i="15"/>
  <c r="O365" i="15"/>
  <c r="Q364" i="15"/>
  <c r="P364" i="15"/>
  <c r="O364" i="15"/>
  <c r="Q363" i="15"/>
  <c r="P363" i="15"/>
  <c r="O363" i="15"/>
  <c r="Q362" i="15"/>
  <c r="P362" i="15"/>
  <c r="O362" i="15"/>
  <c r="Q361" i="15"/>
  <c r="P361" i="15"/>
  <c r="O361" i="15"/>
  <c r="Q360" i="15"/>
  <c r="P360" i="15"/>
  <c r="O360" i="15"/>
  <c r="Q359" i="15"/>
  <c r="P359" i="15"/>
  <c r="O359" i="15"/>
  <c r="Q358" i="15"/>
  <c r="P358" i="15"/>
  <c r="O358" i="15"/>
  <c r="Q357" i="15"/>
  <c r="P357" i="15"/>
  <c r="O357" i="15"/>
  <c r="Q356" i="15"/>
  <c r="P356" i="15"/>
  <c r="O356" i="15"/>
  <c r="Q355" i="15"/>
  <c r="P355" i="15"/>
  <c r="O355" i="15"/>
  <c r="Q354" i="15"/>
  <c r="P354" i="15"/>
  <c r="O354" i="15"/>
  <c r="Q353" i="15"/>
  <c r="P353" i="15"/>
  <c r="O353" i="15"/>
  <c r="Q352" i="15"/>
  <c r="P352" i="15"/>
  <c r="O352" i="15"/>
  <c r="Q351" i="15"/>
  <c r="P351" i="15"/>
  <c r="O351" i="15"/>
  <c r="Q350" i="15"/>
  <c r="P350" i="15"/>
  <c r="O350" i="15"/>
  <c r="Q349" i="15"/>
  <c r="P349" i="15"/>
  <c r="O349" i="15"/>
  <c r="Q348" i="15"/>
  <c r="P348" i="15"/>
  <c r="O348" i="15"/>
  <c r="Q347" i="15"/>
  <c r="P347" i="15"/>
  <c r="O347" i="15"/>
  <c r="Q346" i="15"/>
  <c r="P346" i="15"/>
  <c r="O346" i="15"/>
  <c r="Q345" i="15"/>
  <c r="P345" i="15"/>
  <c r="O345" i="15"/>
  <c r="Q344" i="15"/>
  <c r="P344" i="15"/>
  <c r="O344" i="15"/>
  <c r="Q343" i="15"/>
  <c r="P343" i="15"/>
  <c r="O343" i="15"/>
  <c r="Q342" i="15"/>
  <c r="P342" i="15"/>
  <c r="O342" i="15"/>
  <c r="Q341" i="15"/>
  <c r="P341" i="15"/>
  <c r="O341" i="15"/>
  <c r="Q340" i="15"/>
  <c r="P340" i="15"/>
  <c r="O340" i="15"/>
  <c r="Q339" i="15"/>
  <c r="P339" i="15"/>
  <c r="O339" i="15"/>
  <c r="Q338" i="15"/>
  <c r="P338" i="15"/>
  <c r="O338" i="15"/>
  <c r="Q337" i="15"/>
  <c r="P337" i="15"/>
  <c r="O337" i="15"/>
  <c r="Q336" i="15"/>
  <c r="P336" i="15"/>
  <c r="O336" i="15"/>
  <c r="Q335" i="15"/>
  <c r="P335" i="15"/>
  <c r="O335" i="15"/>
  <c r="Q334" i="15"/>
  <c r="P334" i="15"/>
  <c r="O334" i="15"/>
  <c r="Q333" i="15"/>
  <c r="P333" i="15"/>
  <c r="O333" i="15"/>
  <c r="Q332" i="15"/>
  <c r="P332" i="15"/>
  <c r="O332" i="15"/>
  <c r="Q331" i="15"/>
  <c r="P331" i="15"/>
  <c r="O331" i="15"/>
  <c r="Q330" i="15"/>
  <c r="P330" i="15"/>
  <c r="O330" i="15"/>
  <c r="Q329" i="15"/>
  <c r="P329" i="15"/>
  <c r="O329" i="15"/>
  <c r="Q328" i="15"/>
  <c r="P328" i="15"/>
  <c r="O328" i="15"/>
  <c r="Q327" i="15"/>
  <c r="P327" i="15"/>
  <c r="O327" i="15"/>
  <c r="Q326" i="15"/>
  <c r="P326" i="15"/>
  <c r="O326" i="15"/>
  <c r="Q325" i="15"/>
  <c r="P325" i="15"/>
  <c r="O325" i="15"/>
  <c r="Q324" i="15"/>
  <c r="P324" i="15"/>
  <c r="O324" i="15"/>
  <c r="Q323" i="15"/>
  <c r="P323" i="15"/>
  <c r="O323" i="15"/>
  <c r="Q322" i="15"/>
  <c r="P322" i="15"/>
  <c r="O322" i="15"/>
  <c r="Q321" i="15"/>
  <c r="P321" i="15"/>
  <c r="O321" i="15"/>
  <c r="Q320" i="15"/>
  <c r="P320" i="15"/>
  <c r="O320" i="15"/>
  <c r="Q319" i="15"/>
  <c r="P319" i="15"/>
  <c r="O319" i="15"/>
  <c r="Q318" i="15"/>
  <c r="P318" i="15"/>
  <c r="O318" i="15"/>
  <c r="Q317" i="15"/>
  <c r="P317" i="15"/>
  <c r="O317" i="15"/>
  <c r="Q316" i="15"/>
  <c r="P316" i="15"/>
  <c r="O316" i="15"/>
  <c r="Q315" i="15"/>
  <c r="P315" i="15"/>
  <c r="O315" i="15"/>
  <c r="Q314" i="15"/>
  <c r="P314" i="15"/>
  <c r="O314" i="15"/>
  <c r="Q313" i="15"/>
  <c r="P313" i="15"/>
  <c r="O313" i="15"/>
  <c r="Q312" i="15"/>
  <c r="P312" i="15"/>
  <c r="O312" i="15"/>
  <c r="Q311" i="15"/>
  <c r="P311" i="15"/>
  <c r="O311" i="15"/>
  <c r="Q310" i="15"/>
  <c r="P310" i="15"/>
  <c r="O310" i="15"/>
  <c r="Q309" i="15"/>
  <c r="P309" i="15"/>
  <c r="O309" i="15"/>
  <c r="Q308" i="15"/>
  <c r="P308" i="15"/>
  <c r="O308" i="15"/>
  <c r="Q307" i="15"/>
  <c r="P307" i="15"/>
  <c r="O307" i="15"/>
  <c r="Q306" i="15"/>
  <c r="P306" i="15"/>
  <c r="O306" i="15"/>
  <c r="Q305" i="15"/>
  <c r="P305" i="15"/>
  <c r="O305" i="15"/>
  <c r="Q304" i="15"/>
  <c r="P304" i="15"/>
  <c r="O304" i="15"/>
  <c r="Q303" i="15"/>
  <c r="P303" i="15"/>
  <c r="O303" i="15"/>
  <c r="Q302" i="15"/>
  <c r="P302" i="15"/>
  <c r="O302" i="15"/>
  <c r="Q301" i="15"/>
  <c r="P301" i="15"/>
  <c r="O301" i="15"/>
  <c r="Q300" i="15"/>
  <c r="P300" i="15"/>
  <c r="O300" i="15"/>
  <c r="Q299" i="15"/>
  <c r="P299" i="15"/>
  <c r="O299" i="15"/>
  <c r="Q298" i="15"/>
  <c r="P298" i="15"/>
  <c r="O298" i="15"/>
  <c r="Q297" i="15"/>
  <c r="P297" i="15"/>
  <c r="O297" i="15"/>
  <c r="Q296" i="15"/>
  <c r="P296" i="15"/>
  <c r="O296" i="15"/>
  <c r="Q295" i="15"/>
  <c r="P295" i="15"/>
  <c r="O295" i="15"/>
  <c r="Q294" i="15"/>
  <c r="P294" i="15"/>
  <c r="O294" i="15"/>
  <c r="Q293" i="15"/>
  <c r="P293" i="15"/>
  <c r="O293" i="15"/>
  <c r="Q292" i="15"/>
  <c r="P292" i="15"/>
  <c r="O292" i="15"/>
  <c r="Q291" i="15"/>
  <c r="P291" i="15"/>
  <c r="O291" i="15"/>
  <c r="Q290" i="15"/>
  <c r="P290" i="15"/>
  <c r="O290" i="15"/>
  <c r="Q289" i="15"/>
  <c r="P289" i="15"/>
  <c r="O289" i="15"/>
  <c r="Q288" i="15"/>
  <c r="P288" i="15"/>
  <c r="O288" i="15"/>
  <c r="Q287" i="15"/>
  <c r="P287" i="15"/>
  <c r="O287" i="15"/>
  <c r="Q286" i="15"/>
  <c r="P286" i="15"/>
  <c r="O286" i="15"/>
  <c r="Q285" i="15"/>
  <c r="P285" i="15"/>
  <c r="O285" i="15"/>
  <c r="Q284" i="15"/>
  <c r="P284" i="15"/>
  <c r="O284" i="15"/>
  <c r="Q283" i="15"/>
  <c r="P283" i="15"/>
  <c r="O283" i="15"/>
  <c r="Q282" i="15"/>
  <c r="P282" i="15"/>
  <c r="O282" i="15"/>
  <c r="Q281" i="15"/>
  <c r="P281" i="15"/>
  <c r="O281" i="15"/>
  <c r="Q280" i="15"/>
  <c r="P280" i="15"/>
  <c r="O280" i="15"/>
  <c r="Q279" i="15"/>
  <c r="P279" i="15"/>
  <c r="O279" i="15"/>
  <c r="Q278" i="15"/>
  <c r="P278" i="15"/>
  <c r="O278" i="15"/>
  <c r="Q277" i="15"/>
  <c r="P277" i="15"/>
  <c r="O277" i="15"/>
  <c r="Q276" i="15"/>
  <c r="P276" i="15"/>
  <c r="O276" i="15"/>
  <c r="Q275" i="15"/>
  <c r="P275" i="15"/>
  <c r="O275" i="15"/>
  <c r="Q274" i="15"/>
  <c r="P274" i="15"/>
  <c r="O274" i="15"/>
  <c r="Q273" i="15"/>
  <c r="P273" i="15"/>
  <c r="O273" i="15"/>
  <c r="Q272" i="15"/>
  <c r="P272" i="15"/>
  <c r="O272" i="15"/>
  <c r="Q271" i="15"/>
  <c r="P271" i="15"/>
  <c r="O271" i="15"/>
  <c r="Q270" i="15"/>
  <c r="P270" i="15"/>
  <c r="O270" i="15"/>
  <c r="Q269" i="15"/>
  <c r="P269" i="15"/>
  <c r="O269" i="15"/>
  <c r="Q268" i="15"/>
  <c r="P268" i="15"/>
  <c r="O268" i="15"/>
  <c r="Q267" i="15"/>
  <c r="P267" i="15"/>
  <c r="O267" i="15"/>
  <c r="Q266" i="15"/>
  <c r="P266" i="15"/>
  <c r="O266" i="15"/>
  <c r="Q265" i="15"/>
  <c r="P265" i="15"/>
  <c r="O265" i="15"/>
  <c r="Q264" i="15"/>
  <c r="P264" i="15"/>
  <c r="O264" i="15"/>
  <c r="Q263" i="15"/>
  <c r="P263" i="15"/>
  <c r="O263" i="15"/>
  <c r="Q262" i="15"/>
  <c r="P262" i="15"/>
  <c r="O262" i="15"/>
  <c r="Q261" i="15"/>
  <c r="P261" i="15"/>
  <c r="O261" i="15"/>
  <c r="Q260" i="15"/>
  <c r="P260" i="15"/>
  <c r="O260" i="15"/>
  <c r="Q259" i="15"/>
  <c r="P259" i="15"/>
  <c r="O259" i="15"/>
  <c r="Q258" i="15"/>
  <c r="P258" i="15"/>
  <c r="O258" i="15"/>
  <c r="Q257" i="15"/>
  <c r="P257" i="15"/>
  <c r="O257" i="15"/>
  <c r="Q256" i="15"/>
  <c r="P256" i="15"/>
  <c r="O256" i="15"/>
  <c r="Q255" i="15"/>
  <c r="P255" i="15"/>
  <c r="O255" i="15"/>
  <c r="Q254" i="15"/>
  <c r="P254" i="15"/>
  <c r="O254" i="15"/>
  <c r="Q253" i="15"/>
  <c r="P253" i="15"/>
  <c r="O253" i="15"/>
  <c r="Q252" i="15"/>
  <c r="P252" i="15"/>
  <c r="O252" i="15"/>
  <c r="Q251" i="15"/>
  <c r="P251" i="15"/>
  <c r="O251" i="15"/>
  <c r="Q250" i="15"/>
  <c r="P250" i="15"/>
  <c r="O250" i="15"/>
  <c r="Q249" i="15"/>
  <c r="P249" i="15"/>
  <c r="O249" i="15"/>
  <c r="Q248" i="15"/>
  <c r="P248" i="15"/>
  <c r="O248" i="15"/>
  <c r="Q247" i="15"/>
  <c r="P247" i="15"/>
  <c r="O247" i="15"/>
  <c r="Q246" i="15"/>
  <c r="P246" i="15"/>
  <c r="O246" i="15"/>
  <c r="Q245" i="15"/>
  <c r="P245" i="15"/>
  <c r="O245" i="15"/>
  <c r="Q244" i="15"/>
  <c r="P244" i="15"/>
  <c r="O244" i="15"/>
  <c r="Q243" i="15"/>
  <c r="P243" i="15"/>
  <c r="O243" i="15"/>
  <c r="Q242" i="15"/>
  <c r="P242" i="15"/>
  <c r="O242" i="15"/>
  <c r="Q241" i="15"/>
  <c r="P241" i="15"/>
  <c r="O241" i="15"/>
  <c r="Q240" i="15"/>
  <c r="P240" i="15"/>
  <c r="O240" i="15"/>
  <c r="Q239" i="15"/>
  <c r="P239" i="15"/>
  <c r="O239" i="15"/>
  <c r="Q238" i="15"/>
  <c r="P238" i="15"/>
  <c r="O238" i="15"/>
  <c r="Q237" i="15"/>
  <c r="P237" i="15"/>
  <c r="O237" i="15"/>
  <c r="Q236" i="15"/>
  <c r="P236" i="15"/>
  <c r="O236" i="15"/>
  <c r="Q235" i="15"/>
  <c r="P235" i="15"/>
  <c r="O235" i="15"/>
  <c r="Q234" i="15"/>
  <c r="P234" i="15"/>
  <c r="O234" i="15"/>
  <c r="Q233" i="15"/>
  <c r="P233" i="15"/>
  <c r="O233" i="15"/>
  <c r="Q232" i="15"/>
  <c r="P232" i="15"/>
  <c r="O232" i="15"/>
  <c r="Q231" i="15"/>
  <c r="P231" i="15"/>
  <c r="O231" i="15"/>
  <c r="Q230" i="15"/>
  <c r="P230" i="15"/>
  <c r="O230" i="15"/>
  <c r="Q229" i="15"/>
  <c r="P229" i="15"/>
  <c r="O229" i="15"/>
  <c r="Q228" i="15"/>
  <c r="P228" i="15"/>
  <c r="O228" i="15"/>
  <c r="Q227" i="15"/>
  <c r="P227" i="15"/>
  <c r="O227" i="15"/>
  <c r="Q226" i="15"/>
  <c r="P226" i="15"/>
  <c r="O226" i="15"/>
  <c r="Q225" i="15"/>
  <c r="P225" i="15"/>
  <c r="O225" i="15"/>
  <c r="Q224" i="15"/>
  <c r="P224" i="15"/>
  <c r="O224" i="15"/>
  <c r="Q223" i="15"/>
  <c r="P223" i="15"/>
  <c r="O223" i="15"/>
  <c r="Q222" i="15"/>
  <c r="P222" i="15"/>
  <c r="O222" i="15"/>
  <c r="Q221" i="15"/>
  <c r="P221" i="15"/>
  <c r="O221" i="15"/>
  <c r="Q220" i="15"/>
  <c r="P220" i="15"/>
  <c r="O220" i="15"/>
  <c r="Q219" i="15"/>
  <c r="P219" i="15"/>
  <c r="O219" i="15"/>
  <c r="Q218" i="15"/>
  <c r="P218" i="15"/>
  <c r="O218" i="15"/>
  <c r="Q217" i="15"/>
  <c r="P217" i="15"/>
  <c r="O217" i="15"/>
  <c r="Q216" i="15"/>
  <c r="P216" i="15"/>
  <c r="O216" i="15"/>
  <c r="Q215" i="15"/>
  <c r="P215" i="15"/>
  <c r="O215" i="15"/>
  <c r="Q214" i="15"/>
  <c r="P214" i="15"/>
  <c r="O214" i="15"/>
  <c r="Q213" i="15"/>
  <c r="P213" i="15"/>
  <c r="O213" i="15"/>
  <c r="Q212" i="15"/>
  <c r="P212" i="15"/>
  <c r="O212" i="15"/>
  <c r="Q211" i="15"/>
  <c r="P211" i="15"/>
  <c r="O211" i="15"/>
  <c r="Q210" i="15"/>
  <c r="P210" i="15"/>
  <c r="O210" i="15"/>
  <c r="Q209" i="15"/>
  <c r="P209" i="15"/>
  <c r="O209" i="15"/>
  <c r="Q208" i="15"/>
  <c r="P208" i="15"/>
  <c r="O208" i="15"/>
  <c r="Q207" i="15"/>
  <c r="P207" i="15"/>
  <c r="O207" i="15"/>
  <c r="Q206" i="15"/>
  <c r="P206" i="15"/>
  <c r="O206" i="15"/>
  <c r="Q205" i="15"/>
  <c r="P205" i="15"/>
  <c r="O205" i="15"/>
  <c r="Q204" i="15"/>
  <c r="P204" i="15"/>
  <c r="O204" i="15"/>
  <c r="Q203" i="15"/>
  <c r="P203" i="15"/>
  <c r="O203" i="15"/>
  <c r="Q202" i="15"/>
  <c r="P202" i="15"/>
  <c r="O202" i="15"/>
  <c r="Q201" i="15"/>
  <c r="P201" i="15"/>
  <c r="O201" i="15"/>
  <c r="Q200" i="15"/>
  <c r="P200" i="15"/>
  <c r="O200" i="15"/>
  <c r="Q199" i="15"/>
  <c r="P199" i="15"/>
  <c r="O199" i="15"/>
  <c r="Q198" i="15"/>
  <c r="P198" i="15"/>
  <c r="O198" i="15"/>
  <c r="Q197" i="15"/>
  <c r="P197" i="15"/>
  <c r="O197" i="15"/>
  <c r="Q196" i="15"/>
  <c r="P196" i="15"/>
  <c r="O196" i="15"/>
  <c r="Q195" i="15"/>
  <c r="P195" i="15"/>
  <c r="O195" i="15"/>
  <c r="Q194" i="15"/>
  <c r="P194" i="15"/>
  <c r="O194" i="15"/>
  <c r="Q193" i="15"/>
  <c r="P193" i="15"/>
  <c r="O193" i="15"/>
  <c r="Q192" i="15"/>
  <c r="P192" i="15"/>
  <c r="O192" i="15"/>
  <c r="Q191" i="15"/>
  <c r="P191" i="15"/>
  <c r="O191" i="15"/>
  <c r="Q190" i="15"/>
  <c r="P190" i="15"/>
  <c r="O190" i="15"/>
  <c r="Q189" i="15"/>
  <c r="P189" i="15"/>
  <c r="O189" i="15"/>
  <c r="Q188" i="15"/>
  <c r="P188" i="15"/>
  <c r="O188" i="15"/>
  <c r="Q187" i="15"/>
  <c r="P187" i="15"/>
  <c r="O187" i="15"/>
  <c r="Q186" i="15"/>
  <c r="P186" i="15"/>
  <c r="O186" i="15"/>
  <c r="Q185" i="15"/>
  <c r="P185" i="15"/>
  <c r="O185" i="15"/>
  <c r="Q184" i="15"/>
  <c r="P184" i="15"/>
  <c r="O184" i="15"/>
  <c r="Q183" i="15"/>
  <c r="P183" i="15"/>
  <c r="O183" i="15"/>
  <c r="Q182" i="15"/>
  <c r="P182" i="15"/>
  <c r="O182" i="15"/>
  <c r="Q181" i="15"/>
  <c r="P181" i="15"/>
  <c r="O181" i="15"/>
  <c r="Q180" i="15"/>
  <c r="P180" i="15"/>
  <c r="O180" i="15"/>
  <c r="Q179" i="15"/>
  <c r="P179" i="15"/>
  <c r="O179" i="15"/>
  <c r="Q178" i="15"/>
  <c r="P178" i="15"/>
  <c r="O178" i="15"/>
  <c r="Q177" i="15"/>
  <c r="P177" i="15"/>
  <c r="O177" i="15"/>
  <c r="Q176" i="15"/>
  <c r="P176" i="15"/>
  <c r="O176" i="15"/>
  <c r="Q175" i="15"/>
  <c r="P175" i="15"/>
  <c r="O175" i="15"/>
  <c r="Q174" i="15"/>
  <c r="P174" i="15"/>
  <c r="O174" i="15"/>
  <c r="Q173" i="15"/>
  <c r="P173" i="15"/>
  <c r="O173" i="15"/>
  <c r="Q172" i="15"/>
  <c r="P172" i="15"/>
  <c r="O172" i="15"/>
  <c r="Q171" i="15"/>
  <c r="P171" i="15"/>
  <c r="O171" i="15"/>
  <c r="Q170" i="15"/>
  <c r="P170" i="15"/>
  <c r="O170" i="15"/>
  <c r="Q169" i="15"/>
  <c r="P169" i="15"/>
  <c r="O169" i="15"/>
  <c r="Q168" i="15"/>
  <c r="P168" i="15"/>
  <c r="O168" i="15"/>
  <c r="Q167" i="15"/>
  <c r="P167" i="15"/>
  <c r="O167" i="15"/>
  <c r="Q166" i="15"/>
  <c r="P166" i="15"/>
  <c r="O166" i="15"/>
  <c r="Q165" i="15"/>
  <c r="P165" i="15"/>
  <c r="O165" i="15"/>
  <c r="Q164" i="15"/>
  <c r="P164" i="15"/>
  <c r="O164" i="15"/>
  <c r="Q163" i="15"/>
  <c r="P163" i="15"/>
  <c r="O163" i="15"/>
  <c r="Q162" i="15"/>
  <c r="P162" i="15"/>
  <c r="O162" i="15"/>
  <c r="Q161" i="15"/>
  <c r="P161" i="15"/>
  <c r="O161" i="15"/>
  <c r="Q160" i="15"/>
  <c r="P160" i="15"/>
  <c r="O160" i="15"/>
  <c r="Q159" i="15"/>
  <c r="P159" i="15"/>
  <c r="O159" i="15"/>
  <c r="Q158" i="15"/>
  <c r="P158" i="15"/>
  <c r="O158" i="15"/>
  <c r="Q157" i="15"/>
  <c r="P157" i="15"/>
  <c r="O157" i="15"/>
  <c r="Q156" i="15"/>
  <c r="P156" i="15"/>
  <c r="O156" i="15"/>
  <c r="Q155" i="15"/>
  <c r="P155" i="15"/>
  <c r="O155" i="15"/>
  <c r="Q154" i="15"/>
  <c r="P154" i="15"/>
  <c r="O154" i="15"/>
  <c r="Q153" i="15"/>
  <c r="P153" i="15"/>
  <c r="O153" i="15"/>
  <c r="Q152" i="15"/>
  <c r="P152" i="15"/>
  <c r="O152" i="15"/>
  <c r="Q151" i="15"/>
  <c r="P151" i="15"/>
  <c r="O151" i="15"/>
  <c r="Q150" i="15"/>
  <c r="P150" i="15"/>
  <c r="O150" i="15"/>
  <c r="Q149" i="15"/>
  <c r="P149" i="15"/>
  <c r="O149" i="15"/>
  <c r="Q148" i="15"/>
  <c r="P148" i="15"/>
  <c r="O148" i="15"/>
  <c r="Q147" i="15"/>
  <c r="P147" i="15"/>
  <c r="O147" i="15"/>
  <c r="Q146" i="15"/>
  <c r="P146" i="15"/>
  <c r="O146" i="15"/>
  <c r="Q145" i="15"/>
  <c r="P145" i="15"/>
  <c r="O145" i="15"/>
  <c r="Q144" i="15"/>
  <c r="P144" i="15"/>
  <c r="O144" i="15"/>
  <c r="Q143" i="15"/>
  <c r="P143" i="15"/>
  <c r="O143" i="15"/>
  <c r="Q142" i="15"/>
  <c r="P142" i="15"/>
  <c r="O142" i="15"/>
  <c r="Q141" i="15"/>
  <c r="P141" i="15"/>
  <c r="O141" i="15"/>
  <c r="Q140" i="15"/>
  <c r="P140" i="15"/>
  <c r="O140" i="15"/>
  <c r="Q139" i="15"/>
  <c r="P139" i="15"/>
  <c r="O139" i="15"/>
  <c r="Q138" i="15"/>
  <c r="P138" i="15"/>
  <c r="O138" i="15"/>
  <c r="Q137" i="15"/>
  <c r="P137" i="15"/>
  <c r="O137" i="15"/>
  <c r="Q136" i="15"/>
  <c r="P136" i="15"/>
  <c r="O136" i="15"/>
  <c r="Q135" i="15"/>
  <c r="P135" i="15"/>
  <c r="O135" i="15"/>
  <c r="Q134" i="15"/>
  <c r="P134" i="15"/>
  <c r="O134" i="15"/>
  <c r="Q133" i="15"/>
  <c r="P133" i="15"/>
  <c r="O133" i="15"/>
  <c r="Q132" i="15"/>
  <c r="P132" i="15"/>
  <c r="O132" i="15"/>
  <c r="Q131" i="15"/>
  <c r="P131" i="15"/>
  <c r="O131" i="15"/>
  <c r="Q130" i="15"/>
  <c r="P130" i="15"/>
  <c r="O130" i="15"/>
  <c r="Q129" i="15"/>
  <c r="P129" i="15"/>
  <c r="O129" i="15"/>
  <c r="Q128" i="15"/>
  <c r="P128" i="15"/>
  <c r="O128" i="15"/>
  <c r="Q127" i="15"/>
  <c r="P127" i="15"/>
  <c r="O127" i="15"/>
  <c r="Q126" i="15"/>
  <c r="P126" i="15"/>
  <c r="O126" i="15"/>
  <c r="Q125" i="15"/>
  <c r="P125" i="15"/>
  <c r="O125" i="15"/>
  <c r="Q124" i="15"/>
  <c r="P124" i="15"/>
  <c r="O124" i="15"/>
  <c r="Q123" i="15"/>
  <c r="P123" i="15"/>
  <c r="O123" i="15"/>
  <c r="Q122" i="15"/>
  <c r="P122" i="15"/>
  <c r="O122" i="15"/>
  <c r="Q121" i="15"/>
  <c r="P121" i="15"/>
  <c r="O121" i="15"/>
  <c r="Q120" i="15"/>
  <c r="P120" i="15"/>
  <c r="O120" i="15"/>
  <c r="Q119" i="15"/>
  <c r="P119" i="15"/>
  <c r="O119" i="15"/>
  <c r="Q118" i="15"/>
  <c r="P118" i="15"/>
  <c r="O118" i="15"/>
  <c r="Q117" i="15"/>
  <c r="P117" i="15"/>
  <c r="O117" i="15"/>
  <c r="Q116" i="15"/>
  <c r="P116" i="15"/>
  <c r="O116" i="15"/>
  <c r="Q115" i="15"/>
  <c r="P115" i="15"/>
  <c r="O115" i="15"/>
  <c r="Q114" i="15"/>
  <c r="P114" i="15"/>
  <c r="O114" i="15"/>
  <c r="Q113" i="15"/>
  <c r="P113" i="15"/>
  <c r="O113" i="15"/>
  <c r="Q112" i="15"/>
  <c r="P112" i="15"/>
  <c r="O112" i="15"/>
  <c r="Q111" i="15"/>
  <c r="P111" i="15"/>
  <c r="O111" i="15"/>
  <c r="Q110" i="15"/>
  <c r="P110" i="15"/>
  <c r="O110" i="15"/>
  <c r="Q109" i="15"/>
  <c r="P109" i="15"/>
  <c r="O109" i="15"/>
  <c r="Q108" i="15"/>
  <c r="P108" i="15"/>
  <c r="O108" i="15"/>
  <c r="Q107" i="15"/>
  <c r="P107" i="15"/>
  <c r="O107" i="15"/>
  <c r="Q106" i="15"/>
  <c r="P106" i="15"/>
  <c r="O106" i="15"/>
  <c r="Q105" i="15"/>
  <c r="P105" i="15"/>
  <c r="O105" i="15"/>
  <c r="Q104" i="15"/>
  <c r="P104" i="15"/>
  <c r="O104" i="15"/>
  <c r="Q103" i="15"/>
  <c r="P103" i="15"/>
  <c r="O103" i="15"/>
  <c r="Q102" i="15"/>
  <c r="P102" i="15"/>
  <c r="O102" i="15"/>
  <c r="Q101" i="15"/>
  <c r="P101" i="15"/>
  <c r="O101" i="15"/>
  <c r="Q100" i="15"/>
  <c r="P100" i="15"/>
  <c r="O100" i="15"/>
  <c r="Q99" i="15"/>
  <c r="P99" i="15"/>
  <c r="O99" i="15"/>
  <c r="Q98" i="15"/>
  <c r="P98" i="15"/>
  <c r="O98" i="15"/>
  <c r="Q97" i="15"/>
  <c r="P97" i="15"/>
  <c r="O97" i="15"/>
  <c r="Q96" i="15"/>
  <c r="P96" i="15"/>
  <c r="O96" i="15"/>
  <c r="Q95" i="15"/>
  <c r="P95" i="15"/>
  <c r="O95" i="15"/>
  <c r="Q94" i="15"/>
  <c r="P94" i="15"/>
  <c r="O94" i="15"/>
  <c r="Q93" i="15"/>
  <c r="P93" i="15"/>
  <c r="O93" i="15"/>
  <c r="Q92" i="15"/>
  <c r="P92" i="15"/>
  <c r="O92" i="15"/>
  <c r="Q91" i="15"/>
  <c r="P91" i="15"/>
  <c r="O91" i="15"/>
  <c r="Q90" i="15"/>
  <c r="P90" i="15"/>
  <c r="O90" i="15"/>
  <c r="Q89" i="15"/>
  <c r="P89" i="15"/>
  <c r="O89" i="15"/>
  <c r="Q88" i="15"/>
  <c r="P88" i="15"/>
  <c r="O88" i="15"/>
  <c r="Q87" i="15"/>
  <c r="P87" i="15"/>
  <c r="O87" i="15"/>
  <c r="Q86" i="15"/>
  <c r="P86" i="15"/>
  <c r="O86" i="15"/>
  <c r="Q85" i="15"/>
  <c r="P85" i="15"/>
  <c r="O85" i="15"/>
  <c r="Q84" i="15"/>
  <c r="P84" i="15"/>
  <c r="O84" i="15"/>
  <c r="Q83" i="15"/>
  <c r="P83" i="15"/>
  <c r="O83" i="15"/>
  <c r="Q82" i="15"/>
  <c r="P82" i="15"/>
  <c r="O82" i="15"/>
  <c r="Q81" i="15"/>
  <c r="P81" i="15"/>
  <c r="O81" i="15"/>
  <c r="Q80" i="15"/>
  <c r="P80" i="15"/>
  <c r="O80" i="15"/>
  <c r="Q79" i="15"/>
  <c r="P79" i="15"/>
  <c r="O79" i="15"/>
  <c r="Q78" i="15"/>
  <c r="P78" i="15"/>
  <c r="O78" i="15"/>
  <c r="Q77" i="15"/>
  <c r="P77" i="15"/>
  <c r="O77" i="15"/>
  <c r="Q76" i="15"/>
  <c r="P76" i="15"/>
  <c r="O76" i="15"/>
  <c r="Q75" i="15"/>
  <c r="P75" i="15"/>
  <c r="O75" i="15"/>
  <c r="Q74" i="15"/>
  <c r="P74" i="15"/>
  <c r="O74" i="15"/>
  <c r="Q73" i="15"/>
  <c r="P73" i="15"/>
  <c r="O73" i="15"/>
  <c r="Q72" i="15"/>
  <c r="P72" i="15"/>
  <c r="O72" i="15"/>
  <c r="Q71" i="15"/>
  <c r="P71" i="15"/>
  <c r="O71" i="15"/>
  <c r="Q70" i="15"/>
  <c r="P70" i="15"/>
  <c r="O70" i="15"/>
  <c r="Q69" i="15"/>
  <c r="P69" i="15"/>
  <c r="O69" i="15"/>
  <c r="Q68" i="15"/>
  <c r="P68" i="15"/>
  <c r="O68" i="15"/>
  <c r="Q67" i="15"/>
  <c r="P67" i="15"/>
  <c r="O67" i="15"/>
  <c r="Q66" i="15"/>
  <c r="P66" i="15"/>
  <c r="O66" i="15"/>
  <c r="Q65" i="15"/>
  <c r="P65" i="15"/>
  <c r="O65" i="15"/>
  <c r="Q64" i="15"/>
  <c r="P64" i="15"/>
  <c r="O64" i="15"/>
  <c r="Q63" i="15"/>
  <c r="P63" i="15"/>
  <c r="O63" i="15"/>
  <c r="Q62" i="15"/>
  <c r="P62" i="15"/>
  <c r="O62" i="15"/>
  <c r="Q61" i="15"/>
  <c r="P61" i="15"/>
  <c r="O61" i="15"/>
  <c r="Q60" i="15"/>
  <c r="P60" i="15"/>
  <c r="O60" i="15"/>
  <c r="Q59" i="15"/>
  <c r="P59" i="15"/>
  <c r="O59" i="15"/>
  <c r="Q58" i="15"/>
  <c r="P58" i="15"/>
  <c r="O58" i="15"/>
  <c r="Q57" i="15"/>
  <c r="P57" i="15"/>
  <c r="O57" i="15"/>
  <c r="Q56" i="15"/>
  <c r="P56" i="15"/>
  <c r="O56" i="15"/>
  <c r="Q55" i="15"/>
  <c r="P55" i="15"/>
  <c r="O55" i="15"/>
  <c r="Q54" i="15"/>
  <c r="P54" i="15"/>
  <c r="O54" i="15"/>
  <c r="Q53" i="15"/>
  <c r="P53" i="15"/>
  <c r="O53" i="15"/>
  <c r="Q52" i="15"/>
  <c r="P52" i="15"/>
  <c r="O52" i="15"/>
  <c r="Q51" i="15"/>
  <c r="P51" i="15"/>
  <c r="O51" i="15"/>
  <c r="Q50" i="15"/>
  <c r="P50" i="15"/>
  <c r="O50" i="15"/>
  <c r="Q49" i="15"/>
  <c r="P49" i="15"/>
  <c r="O49" i="15"/>
  <c r="Q48" i="15"/>
  <c r="P48" i="15"/>
  <c r="O48" i="15"/>
  <c r="Q47" i="15"/>
  <c r="P47" i="15"/>
  <c r="O47" i="15"/>
  <c r="Q46" i="15"/>
  <c r="P46" i="15"/>
  <c r="O46" i="15"/>
  <c r="Q45" i="15"/>
  <c r="P45" i="15"/>
  <c r="O45" i="15"/>
  <c r="Q44" i="15"/>
  <c r="P44" i="15"/>
  <c r="O44" i="15"/>
  <c r="Q43" i="15"/>
  <c r="P43" i="15"/>
  <c r="O43" i="15"/>
  <c r="Q42" i="15"/>
  <c r="P42" i="15"/>
  <c r="O42" i="15"/>
  <c r="Q41" i="15"/>
  <c r="P41" i="15"/>
  <c r="O41" i="15"/>
  <c r="Q40" i="15"/>
  <c r="P40" i="15"/>
  <c r="O40" i="15"/>
  <c r="Q39" i="15"/>
  <c r="P39" i="15"/>
  <c r="O39" i="15"/>
  <c r="Q38" i="15"/>
  <c r="P38" i="15"/>
  <c r="O38" i="15"/>
  <c r="Q37" i="15"/>
  <c r="P37" i="15"/>
  <c r="O37" i="15"/>
  <c r="Q36" i="15"/>
  <c r="P36" i="15"/>
  <c r="O36" i="15"/>
  <c r="Q35" i="15"/>
  <c r="P35" i="15"/>
  <c r="O35" i="15"/>
  <c r="Q34" i="15"/>
  <c r="P34" i="15"/>
  <c r="O34" i="15"/>
  <c r="Q33" i="15"/>
  <c r="P33" i="15"/>
  <c r="O33" i="15"/>
  <c r="Q32" i="15"/>
  <c r="P32" i="15"/>
  <c r="O32" i="15"/>
  <c r="Q31" i="15"/>
  <c r="P31" i="15"/>
  <c r="O31" i="15"/>
  <c r="Q30" i="15"/>
  <c r="P30" i="15"/>
  <c r="O30" i="15"/>
  <c r="Q29" i="15"/>
  <c r="P29" i="15"/>
  <c r="O29" i="15"/>
  <c r="Q28" i="15"/>
  <c r="P28" i="15"/>
  <c r="O28" i="15"/>
  <c r="Q27" i="15"/>
  <c r="P27" i="15"/>
  <c r="O27" i="15"/>
  <c r="Q26" i="15"/>
  <c r="P26" i="15"/>
  <c r="O26" i="15"/>
  <c r="Q25" i="15"/>
  <c r="P25" i="15"/>
  <c r="O25" i="15"/>
  <c r="Q24" i="15"/>
  <c r="P24" i="15"/>
  <c r="O24" i="15"/>
  <c r="Q23" i="15"/>
  <c r="P23" i="15"/>
  <c r="O23" i="15"/>
  <c r="Q22" i="15"/>
  <c r="P22" i="15"/>
  <c r="O22" i="15"/>
  <c r="Q21" i="15"/>
  <c r="P21" i="15"/>
  <c r="O21" i="15"/>
  <c r="Q20" i="15"/>
  <c r="P20" i="15"/>
  <c r="O20" i="15"/>
  <c r="Q19" i="15"/>
  <c r="P19" i="15"/>
  <c r="O19" i="15"/>
  <c r="Q18" i="15"/>
  <c r="P18" i="15"/>
  <c r="O18" i="13"/>
  <c r="Q514" i="13"/>
  <c r="P514" i="13"/>
  <c r="O514" i="13"/>
  <c r="Q513" i="13"/>
  <c r="P513" i="13"/>
  <c r="O513" i="13"/>
  <c r="Q512" i="13"/>
  <c r="P512" i="13"/>
  <c r="O512" i="13"/>
  <c r="Q511" i="13"/>
  <c r="P511" i="13"/>
  <c r="O511" i="13"/>
  <c r="Q510" i="13"/>
  <c r="P510" i="13"/>
  <c r="O510" i="13"/>
  <c r="Q509" i="13"/>
  <c r="P509" i="13"/>
  <c r="O509" i="13"/>
  <c r="Q508" i="13"/>
  <c r="P508" i="13"/>
  <c r="O508" i="13"/>
  <c r="Q507" i="13"/>
  <c r="P507" i="13"/>
  <c r="O507" i="13"/>
  <c r="Q506" i="13"/>
  <c r="P506" i="13"/>
  <c r="O506" i="13"/>
  <c r="Q505" i="13"/>
  <c r="P505" i="13"/>
  <c r="O505" i="13"/>
  <c r="Q504" i="13"/>
  <c r="P504" i="13"/>
  <c r="O504" i="13"/>
  <c r="Q503" i="13"/>
  <c r="P503" i="13"/>
  <c r="O503" i="13"/>
  <c r="Q502" i="13"/>
  <c r="P502" i="13"/>
  <c r="O502" i="13"/>
  <c r="Q501" i="13"/>
  <c r="P501" i="13"/>
  <c r="O501" i="13"/>
  <c r="Q500" i="13"/>
  <c r="P500" i="13"/>
  <c r="O500" i="13"/>
  <c r="Q499" i="13"/>
  <c r="P499" i="13"/>
  <c r="O499" i="13"/>
  <c r="Q498" i="13"/>
  <c r="P498" i="13"/>
  <c r="O498" i="13"/>
  <c r="Q497" i="13"/>
  <c r="P497" i="13"/>
  <c r="O497" i="13"/>
  <c r="Q496" i="13"/>
  <c r="P496" i="13"/>
  <c r="O496" i="13"/>
  <c r="Q495" i="13"/>
  <c r="P495" i="13"/>
  <c r="O495" i="13"/>
  <c r="Q494" i="13"/>
  <c r="P494" i="13"/>
  <c r="O494" i="13"/>
  <c r="Q493" i="13"/>
  <c r="P493" i="13"/>
  <c r="O493" i="13"/>
  <c r="Q492" i="13"/>
  <c r="P492" i="13"/>
  <c r="O492" i="13"/>
  <c r="Q491" i="13"/>
  <c r="P491" i="13"/>
  <c r="O491" i="13"/>
  <c r="Q490" i="13"/>
  <c r="P490" i="13"/>
  <c r="O490" i="13"/>
  <c r="Q489" i="13"/>
  <c r="P489" i="13"/>
  <c r="O489" i="13"/>
  <c r="Q488" i="13"/>
  <c r="P488" i="13"/>
  <c r="O488" i="13"/>
  <c r="Q487" i="13"/>
  <c r="P487" i="13"/>
  <c r="O487" i="13"/>
  <c r="Q486" i="13"/>
  <c r="P486" i="13"/>
  <c r="O486" i="13"/>
  <c r="Q485" i="13"/>
  <c r="P485" i="13"/>
  <c r="O485" i="13"/>
  <c r="Q484" i="13"/>
  <c r="P484" i="13"/>
  <c r="O484" i="13"/>
  <c r="Q483" i="13"/>
  <c r="P483" i="13"/>
  <c r="O483" i="13"/>
  <c r="Q482" i="13"/>
  <c r="P482" i="13"/>
  <c r="O482" i="13"/>
  <c r="Q481" i="13"/>
  <c r="P481" i="13"/>
  <c r="O481" i="13"/>
  <c r="Q480" i="13"/>
  <c r="P480" i="13"/>
  <c r="O480" i="13"/>
  <c r="Q479" i="13"/>
  <c r="P479" i="13"/>
  <c r="O479" i="13"/>
  <c r="Q478" i="13"/>
  <c r="P478" i="13"/>
  <c r="O478" i="13"/>
  <c r="Q477" i="13"/>
  <c r="P477" i="13"/>
  <c r="O477" i="13"/>
  <c r="Q476" i="13"/>
  <c r="P476" i="13"/>
  <c r="O476" i="13"/>
  <c r="Q475" i="13"/>
  <c r="P475" i="13"/>
  <c r="O475" i="13"/>
  <c r="Q474" i="13"/>
  <c r="P474" i="13"/>
  <c r="O474" i="13"/>
  <c r="Q473" i="13"/>
  <c r="P473" i="13"/>
  <c r="O473" i="13"/>
  <c r="Q472" i="13"/>
  <c r="P472" i="13"/>
  <c r="O472" i="13"/>
  <c r="Q471" i="13"/>
  <c r="P471" i="13"/>
  <c r="O471" i="13"/>
  <c r="Q470" i="13"/>
  <c r="P470" i="13"/>
  <c r="O470" i="13"/>
  <c r="Q469" i="13"/>
  <c r="P469" i="13"/>
  <c r="O469" i="13"/>
  <c r="Q468" i="13"/>
  <c r="P468" i="13"/>
  <c r="O468" i="13"/>
  <c r="Q467" i="13"/>
  <c r="P467" i="13"/>
  <c r="O467" i="13"/>
  <c r="Q466" i="13"/>
  <c r="P466" i="13"/>
  <c r="O466" i="13"/>
  <c r="Q465" i="13"/>
  <c r="P465" i="13"/>
  <c r="O465" i="13"/>
  <c r="Q464" i="13"/>
  <c r="P464" i="13"/>
  <c r="O464" i="13"/>
  <c r="Q463" i="13"/>
  <c r="P463" i="13"/>
  <c r="O463" i="13"/>
  <c r="Q462" i="13"/>
  <c r="P462" i="13"/>
  <c r="O462" i="13"/>
  <c r="Q461" i="13"/>
  <c r="P461" i="13"/>
  <c r="O461" i="13"/>
  <c r="Q460" i="13"/>
  <c r="P460" i="13"/>
  <c r="O460" i="13"/>
  <c r="Q459" i="13"/>
  <c r="P459" i="13"/>
  <c r="O459" i="13"/>
  <c r="Q458" i="13"/>
  <c r="P458" i="13"/>
  <c r="O458" i="13"/>
  <c r="Q457" i="13"/>
  <c r="P457" i="13"/>
  <c r="O457" i="13"/>
  <c r="Q456" i="13"/>
  <c r="P456" i="13"/>
  <c r="O456" i="13"/>
  <c r="Q455" i="13"/>
  <c r="P455" i="13"/>
  <c r="O455" i="13"/>
  <c r="Q454" i="13"/>
  <c r="P454" i="13"/>
  <c r="O454" i="13"/>
  <c r="Q453" i="13"/>
  <c r="P453" i="13"/>
  <c r="O453" i="13"/>
  <c r="Q452" i="13"/>
  <c r="P452" i="13"/>
  <c r="O452" i="13"/>
  <c r="Q451" i="13"/>
  <c r="P451" i="13"/>
  <c r="O451" i="13"/>
  <c r="Q450" i="13"/>
  <c r="P450" i="13"/>
  <c r="O450" i="13"/>
  <c r="Q449" i="13"/>
  <c r="P449" i="13"/>
  <c r="O449" i="13"/>
  <c r="Q448" i="13"/>
  <c r="P448" i="13"/>
  <c r="O448" i="13"/>
  <c r="Q447" i="13"/>
  <c r="P447" i="13"/>
  <c r="O447" i="13"/>
  <c r="Q446" i="13"/>
  <c r="P446" i="13"/>
  <c r="O446" i="13"/>
  <c r="Q445" i="13"/>
  <c r="P445" i="13"/>
  <c r="O445" i="13"/>
  <c r="Q444" i="13"/>
  <c r="P444" i="13"/>
  <c r="O444" i="13"/>
  <c r="Q443" i="13"/>
  <c r="P443" i="13"/>
  <c r="O443" i="13"/>
  <c r="Q442" i="13"/>
  <c r="P442" i="13"/>
  <c r="O442" i="13"/>
  <c r="Q441" i="13"/>
  <c r="P441" i="13"/>
  <c r="O441" i="13"/>
  <c r="Q440" i="13"/>
  <c r="P440" i="13"/>
  <c r="O440" i="13"/>
  <c r="Q439" i="13"/>
  <c r="P439" i="13"/>
  <c r="O439" i="13"/>
  <c r="Q438" i="13"/>
  <c r="P438" i="13"/>
  <c r="O438" i="13"/>
  <c r="Q437" i="13"/>
  <c r="P437" i="13"/>
  <c r="O437" i="13"/>
  <c r="Q436" i="13"/>
  <c r="P436" i="13"/>
  <c r="O436" i="13"/>
  <c r="Q435" i="13"/>
  <c r="P435" i="13"/>
  <c r="O435" i="13"/>
  <c r="Q434" i="13"/>
  <c r="P434" i="13"/>
  <c r="O434" i="13"/>
  <c r="Q433" i="13"/>
  <c r="P433" i="13"/>
  <c r="O433" i="13"/>
  <c r="Q432" i="13"/>
  <c r="P432" i="13"/>
  <c r="O432" i="13"/>
  <c r="Q431" i="13"/>
  <c r="P431" i="13"/>
  <c r="O431" i="13"/>
  <c r="Q430" i="13"/>
  <c r="P430" i="13"/>
  <c r="O430" i="13"/>
  <c r="Q429" i="13"/>
  <c r="P429" i="13"/>
  <c r="O429" i="13"/>
  <c r="Q428" i="13"/>
  <c r="P428" i="13"/>
  <c r="O428" i="13"/>
  <c r="Q427" i="13"/>
  <c r="P427" i="13"/>
  <c r="O427" i="13"/>
  <c r="Q426" i="13"/>
  <c r="P426" i="13"/>
  <c r="O426" i="13"/>
  <c r="Q425" i="13"/>
  <c r="P425" i="13"/>
  <c r="O425" i="13"/>
  <c r="Q424" i="13"/>
  <c r="P424" i="13"/>
  <c r="O424" i="13"/>
  <c r="Q423" i="13"/>
  <c r="P423" i="13"/>
  <c r="O423" i="13"/>
  <c r="Q422" i="13"/>
  <c r="P422" i="13"/>
  <c r="O422" i="13"/>
  <c r="Q421" i="13"/>
  <c r="P421" i="13"/>
  <c r="O421" i="13"/>
  <c r="Q420" i="13"/>
  <c r="P420" i="13"/>
  <c r="O420" i="13"/>
  <c r="Q419" i="13"/>
  <c r="P419" i="13"/>
  <c r="O419" i="13"/>
  <c r="Q418" i="13"/>
  <c r="P418" i="13"/>
  <c r="O418" i="13"/>
  <c r="Q417" i="13"/>
  <c r="P417" i="13"/>
  <c r="O417" i="13"/>
  <c r="Q416" i="13"/>
  <c r="P416" i="13"/>
  <c r="O416" i="13"/>
  <c r="Q415" i="13"/>
  <c r="P415" i="13"/>
  <c r="O415" i="13"/>
  <c r="Q414" i="13"/>
  <c r="P414" i="13"/>
  <c r="O414" i="13"/>
  <c r="Q413" i="13"/>
  <c r="P413" i="13"/>
  <c r="O413" i="13"/>
  <c r="Q412" i="13"/>
  <c r="P412" i="13"/>
  <c r="O412" i="13"/>
  <c r="Q411" i="13"/>
  <c r="P411" i="13"/>
  <c r="O411" i="13"/>
  <c r="Q410" i="13"/>
  <c r="P410" i="13"/>
  <c r="O410" i="13"/>
  <c r="Q409" i="13"/>
  <c r="P409" i="13"/>
  <c r="O409" i="13"/>
  <c r="Q408" i="13"/>
  <c r="P408" i="13"/>
  <c r="O408" i="13"/>
  <c r="Q407" i="13"/>
  <c r="P407" i="13"/>
  <c r="O407" i="13"/>
  <c r="Q406" i="13"/>
  <c r="P406" i="13"/>
  <c r="O406" i="13"/>
  <c r="Q405" i="13"/>
  <c r="P405" i="13"/>
  <c r="O405" i="13"/>
  <c r="Q404" i="13"/>
  <c r="P404" i="13"/>
  <c r="O404" i="13"/>
  <c r="Q403" i="13"/>
  <c r="P403" i="13"/>
  <c r="O403" i="13"/>
  <c r="Q402" i="13"/>
  <c r="P402" i="13"/>
  <c r="O402" i="13"/>
  <c r="Q401" i="13"/>
  <c r="P401" i="13"/>
  <c r="O401" i="13"/>
  <c r="Q400" i="13"/>
  <c r="P400" i="13"/>
  <c r="O400" i="13"/>
  <c r="Q399" i="13"/>
  <c r="P399" i="13"/>
  <c r="O399" i="13"/>
  <c r="Q398" i="13"/>
  <c r="P398" i="13"/>
  <c r="O398" i="13"/>
  <c r="Q397" i="13"/>
  <c r="P397" i="13"/>
  <c r="O397" i="13"/>
  <c r="Q396" i="13"/>
  <c r="P396" i="13"/>
  <c r="O396" i="13"/>
  <c r="Q395" i="13"/>
  <c r="P395" i="13"/>
  <c r="O395" i="13"/>
  <c r="Q394" i="13"/>
  <c r="P394" i="13"/>
  <c r="O394" i="13"/>
  <c r="Q393" i="13"/>
  <c r="P393" i="13"/>
  <c r="O393" i="13"/>
  <c r="Q392" i="13"/>
  <c r="P392" i="13"/>
  <c r="O392" i="13"/>
  <c r="Q391" i="13"/>
  <c r="P391" i="13"/>
  <c r="O391" i="13"/>
  <c r="Q390" i="13"/>
  <c r="P390" i="13"/>
  <c r="O390" i="13"/>
  <c r="Q389" i="13"/>
  <c r="P389" i="13"/>
  <c r="O389" i="13"/>
  <c r="Q388" i="13"/>
  <c r="P388" i="13"/>
  <c r="O388" i="13"/>
  <c r="Q387" i="13"/>
  <c r="P387" i="13"/>
  <c r="O387" i="13"/>
  <c r="Q386" i="13"/>
  <c r="P386" i="13"/>
  <c r="O386" i="13"/>
  <c r="Q385" i="13"/>
  <c r="P385" i="13"/>
  <c r="O385" i="13"/>
  <c r="Q384" i="13"/>
  <c r="P384" i="13"/>
  <c r="O384" i="13"/>
  <c r="Q383" i="13"/>
  <c r="P383" i="13"/>
  <c r="O383" i="13"/>
  <c r="Q382" i="13"/>
  <c r="P382" i="13"/>
  <c r="O382" i="13"/>
  <c r="Q381" i="13"/>
  <c r="P381" i="13"/>
  <c r="O381" i="13"/>
  <c r="Q380" i="13"/>
  <c r="P380" i="13"/>
  <c r="O380" i="13"/>
  <c r="Q379" i="13"/>
  <c r="P379" i="13"/>
  <c r="O379" i="13"/>
  <c r="Q378" i="13"/>
  <c r="P378" i="13"/>
  <c r="O378" i="13"/>
  <c r="Q377" i="13"/>
  <c r="P377" i="13"/>
  <c r="O377" i="13"/>
  <c r="Q376" i="13"/>
  <c r="P376" i="13"/>
  <c r="O376" i="13"/>
  <c r="Q375" i="13"/>
  <c r="P375" i="13"/>
  <c r="O375" i="13"/>
  <c r="Q374" i="13"/>
  <c r="P374" i="13"/>
  <c r="O374" i="13"/>
  <c r="Q373" i="13"/>
  <c r="P373" i="13"/>
  <c r="O373" i="13"/>
  <c r="Q372" i="13"/>
  <c r="P372" i="13"/>
  <c r="O372" i="13"/>
  <c r="Q371" i="13"/>
  <c r="P371" i="13"/>
  <c r="O371" i="13"/>
  <c r="Q370" i="13"/>
  <c r="P370" i="13"/>
  <c r="O370" i="13"/>
  <c r="Q369" i="13"/>
  <c r="P369" i="13"/>
  <c r="O369" i="13"/>
  <c r="Q368" i="13"/>
  <c r="P368" i="13"/>
  <c r="O368" i="13"/>
  <c r="Q367" i="13"/>
  <c r="P367" i="13"/>
  <c r="O367" i="13"/>
  <c r="Q366" i="13"/>
  <c r="P366" i="13"/>
  <c r="O366" i="13"/>
  <c r="Q365" i="13"/>
  <c r="P365" i="13"/>
  <c r="O365" i="13"/>
  <c r="Q364" i="13"/>
  <c r="P364" i="13"/>
  <c r="O364" i="13"/>
  <c r="Q363" i="13"/>
  <c r="P363" i="13"/>
  <c r="O363" i="13"/>
  <c r="Q362" i="13"/>
  <c r="P362" i="13"/>
  <c r="O362" i="13"/>
  <c r="Q361" i="13"/>
  <c r="P361" i="13"/>
  <c r="O361" i="13"/>
  <c r="Q360" i="13"/>
  <c r="P360" i="13"/>
  <c r="O360" i="13"/>
  <c r="Q359" i="13"/>
  <c r="P359" i="13"/>
  <c r="O359" i="13"/>
  <c r="Q358" i="13"/>
  <c r="P358" i="13"/>
  <c r="O358" i="13"/>
  <c r="Q357" i="13"/>
  <c r="P357" i="13"/>
  <c r="O357" i="13"/>
  <c r="Q356" i="13"/>
  <c r="P356" i="13"/>
  <c r="O356" i="13"/>
  <c r="Q355" i="13"/>
  <c r="P355" i="13"/>
  <c r="O355" i="13"/>
  <c r="Q354" i="13"/>
  <c r="P354" i="13"/>
  <c r="O354" i="13"/>
  <c r="Q353" i="13"/>
  <c r="P353" i="13"/>
  <c r="O353" i="13"/>
  <c r="Q352" i="13"/>
  <c r="P352" i="13"/>
  <c r="O352" i="13"/>
  <c r="Q351" i="13"/>
  <c r="P351" i="13"/>
  <c r="O351" i="13"/>
  <c r="Q350" i="13"/>
  <c r="P350" i="13"/>
  <c r="O350" i="13"/>
  <c r="Q349" i="13"/>
  <c r="P349" i="13"/>
  <c r="O349" i="13"/>
  <c r="Q348" i="13"/>
  <c r="P348" i="13"/>
  <c r="O348" i="13"/>
  <c r="Q347" i="13"/>
  <c r="P347" i="13"/>
  <c r="O347" i="13"/>
  <c r="Q346" i="13"/>
  <c r="P346" i="13"/>
  <c r="O346" i="13"/>
  <c r="Q345" i="13"/>
  <c r="P345" i="13"/>
  <c r="O345" i="13"/>
  <c r="Q344" i="13"/>
  <c r="P344" i="13"/>
  <c r="O344" i="13"/>
  <c r="Q343" i="13"/>
  <c r="P343" i="13"/>
  <c r="O343" i="13"/>
  <c r="Q342" i="13"/>
  <c r="P342" i="13"/>
  <c r="O342" i="13"/>
  <c r="Q341" i="13"/>
  <c r="P341" i="13"/>
  <c r="O341" i="13"/>
  <c r="Q340" i="13"/>
  <c r="P340" i="13"/>
  <c r="O340" i="13"/>
  <c r="Q339" i="13"/>
  <c r="P339" i="13"/>
  <c r="O339" i="13"/>
  <c r="Q338" i="13"/>
  <c r="P338" i="13"/>
  <c r="O338" i="13"/>
  <c r="Q337" i="13"/>
  <c r="P337" i="13"/>
  <c r="O337" i="13"/>
  <c r="Q336" i="13"/>
  <c r="P336" i="13"/>
  <c r="O336" i="13"/>
  <c r="Q335" i="13"/>
  <c r="P335" i="13"/>
  <c r="O335" i="13"/>
  <c r="Q334" i="13"/>
  <c r="P334" i="13"/>
  <c r="O334" i="13"/>
  <c r="Q333" i="13"/>
  <c r="P333" i="13"/>
  <c r="O333" i="13"/>
  <c r="Q332" i="13"/>
  <c r="P332" i="13"/>
  <c r="O332" i="13"/>
  <c r="Q331" i="13"/>
  <c r="P331" i="13"/>
  <c r="O331" i="13"/>
  <c r="Q330" i="13"/>
  <c r="P330" i="13"/>
  <c r="O330" i="13"/>
  <c r="Q329" i="13"/>
  <c r="P329" i="13"/>
  <c r="O329" i="13"/>
  <c r="Q328" i="13"/>
  <c r="P328" i="13"/>
  <c r="O328" i="13"/>
  <c r="Q327" i="13"/>
  <c r="P327" i="13"/>
  <c r="O327" i="13"/>
  <c r="Q326" i="13"/>
  <c r="P326" i="13"/>
  <c r="O326" i="13"/>
  <c r="Q325" i="13"/>
  <c r="P325" i="13"/>
  <c r="O325" i="13"/>
  <c r="Q324" i="13"/>
  <c r="P324" i="13"/>
  <c r="O324" i="13"/>
  <c r="Q323" i="13"/>
  <c r="P323" i="13"/>
  <c r="O323" i="13"/>
  <c r="Q322" i="13"/>
  <c r="P322" i="13"/>
  <c r="O322" i="13"/>
  <c r="Q321" i="13"/>
  <c r="P321" i="13"/>
  <c r="O321" i="13"/>
  <c r="Q320" i="13"/>
  <c r="P320" i="13"/>
  <c r="O320" i="13"/>
  <c r="Q319" i="13"/>
  <c r="P319" i="13"/>
  <c r="O319" i="13"/>
  <c r="Q318" i="13"/>
  <c r="P318" i="13"/>
  <c r="O318" i="13"/>
  <c r="Q317" i="13"/>
  <c r="P317" i="13"/>
  <c r="O317" i="13"/>
  <c r="Q316" i="13"/>
  <c r="P316" i="13"/>
  <c r="O316" i="13"/>
  <c r="Q315" i="13"/>
  <c r="P315" i="13"/>
  <c r="O315" i="13"/>
  <c r="Q314" i="13"/>
  <c r="P314" i="13"/>
  <c r="O314" i="13"/>
  <c r="Q313" i="13"/>
  <c r="P313" i="13"/>
  <c r="O313" i="13"/>
  <c r="Q312" i="13"/>
  <c r="P312" i="13"/>
  <c r="O312" i="13"/>
  <c r="Q311" i="13"/>
  <c r="P311" i="13"/>
  <c r="O311" i="13"/>
  <c r="Q310" i="13"/>
  <c r="P310" i="13"/>
  <c r="O310" i="13"/>
  <c r="Q309" i="13"/>
  <c r="P309" i="13"/>
  <c r="O309" i="13"/>
  <c r="Q308" i="13"/>
  <c r="P308" i="13"/>
  <c r="O308" i="13"/>
  <c r="Q307" i="13"/>
  <c r="P307" i="13"/>
  <c r="O307" i="13"/>
  <c r="Q306" i="13"/>
  <c r="P306" i="13"/>
  <c r="O306" i="13"/>
  <c r="Q305" i="13"/>
  <c r="P305" i="13"/>
  <c r="O305" i="13"/>
  <c r="Q304" i="13"/>
  <c r="P304" i="13"/>
  <c r="O304" i="13"/>
  <c r="Q303" i="13"/>
  <c r="P303" i="13"/>
  <c r="O303" i="13"/>
  <c r="Q302" i="13"/>
  <c r="P302" i="13"/>
  <c r="O302" i="13"/>
  <c r="Q301" i="13"/>
  <c r="P301" i="13"/>
  <c r="O301" i="13"/>
  <c r="Q300" i="13"/>
  <c r="P300" i="13"/>
  <c r="O300" i="13"/>
  <c r="Q299" i="13"/>
  <c r="P299" i="13"/>
  <c r="O299" i="13"/>
  <c r="Q298" i="13"/>
  <c r="P298" i="13"/>
  <c r="O298" i="13"/>
  <c r="Q297" i="13"/>
  <c r="P297" i="13"/>
  <c r="O297" i="13"/>
  <c r="Q296" i="13"/>
  <c r="P296" i="13"/>
  <c r="O296" i="13"/>
  <c r="Q295" i="13"/>
  <c r="P295" i="13"/>
  <c r="O295" i="13"/>
  <c r="Q294" i="13"/>
  <c r="P294" i="13"/>
  <c r="O294" i="13"/>
  <c r="Q293" i="13"/>
  <c r="P293" i="13"/>
  <c r="O293" i="13"/>
  <c r="Q292" i="13"/>
  <c r="P292" i="13"/>
  <c r="O292" i="13"/>
  <c r="Q291" i="13"/>
  <c r="P291" i="13"/>
  <c r="O291" i="13"/>
  <c r="Q290" i="13"/>
  <c r="P290" i="13"/>
  <c r="O290" i="13"/>
  <c r="Q289" i="13"/>
  <c r="P289" i="13"/>
  <c r="O289" i="13"/>
  <c r="Q288" i="13"/>
  <c r="P288" i="13"/>
  <c r="O288" i="13"/>
  <c r="Q287" i="13"/>
  <c r="P287" i="13"/>
  <c r="O287" i="13"/>
  <c r="Q286" i="13"/>
  <c r="P286" i="13"/>
  <c r="O286" i="13"/>
  <c r="Q285" i="13"/>
  <c r="P285" i="13"/>
  <c r="O285" i="13"/>
  <c r="Q284" i="13"/>
  <c r="P284" i="13"/>
  <c r="O284" i="13"/>
  <c r="Q283" i="13"/>
  <c r="P283" i="13"/>
  <c r="O283" i="13"/>
  <c r="Q282" i="13"/>
  <c r="P282" i="13"/>
  <c r="O282" i="13"/>
  <c r="Q281" i="13"/>
  <c r="P281" i="13"/>
  <c r="O281" i="13"/>
  <c r="Q280" i="13"/>
  <c r="P280" i="13"/>
  <c r="O280" i="13"/>
  <c r="Q279" i="13"/>
  <c r="P279" i="13"/>
  <c r="O279" i="13"/>
  <c r="Q278" i="13"/>
  <c r="P278" i="13"/>
  <c r="O278" i="13"/>
  <c r="Q277" i="13"/>
  <c r="P277" i="13"/>
  <c r="O277" i="13"/>
  <c r="Q276" i="13"/>
  <c r="P276" i="13"/>
  <c r="O276" i="13"/>
  <c r="Q275" i="13"/>
  <c r="P275" i="13"/>
  <c r="O275" i="13"/>
  <c r="Q274" i="13"/>
  <c r="P274" i="13"/>
  <c r="O274" i="13"/>
  <c r="Q273" i="13"/>
  <c r="P273" i="13"/>
  <c r="O273" i="13"/>
  <c r="Q272" i="13"/>
  <c r="P272" i="13"/>
  <c r="O272" i="13"/>
  <c r="Q271" i="13"/>
  <c r="P271" i="13"/>
  <c r="O271" i="13"/>
  <c r="Q270" i="13"/>
  <c r="P270" i="13"/>
  <c r="O270" i="13"/>
  <c r="Q269" i="13"/>
  <c r="P269" i="13"/>
  <c r="O269" i="13"/>
  <c r="Q268" i="13"/>
  <c r="P268" i="13"/>
  <c r="O268" i="13"/>
  <c r="Q267" i="13"/>
  <c r="P267" i="13"/>
  <c r="O267" i="13"/>
  <c r="Q266" i="13"/>
  <c r="P266" i="13"/>
  <c r="O266" i="13"/>
  <c r="Q265" i="13"/>
  <c r="P265" i="13"/>
  <c r="O265" i="13"/>
  <c r="Q264" i="13"/>
  <c r="P264" i="13"/>
  <c r="O264" i="13"/>
  <c r="Q263" i="13"/>
  <c r="P263" i="13"/>
  <c r="O263" i="13"/>
  <c r="Q262" i="13"/>
  <c r="P262" i="13"/>
  <c r="O262" i="13"/>
  <c r="Q261" i="13"/>
  <c r="P261" i="13"/>
  <c r="O261" i="13"/>
  <c r="Q260" i="13"/>
  <c r="P260" i="13"/>
  <c r="O260" i="13"/>
  <c r="Q259" i="13"/>
  <c r="P259" i="13"/>
  <c r="O259" i="13"/>
  <c r="Q258" i="13"/>
  <c r="P258" i="13"/>
  <c r="O258" i="13"/>
  <c r="Q257" i="13"/>
  <c r="P257" i="13"/>
  <c r="O257" i="13"/>
  <c r="Q256" i="13"/>
  <c r="P256" i="13"/>
  <c r="O256" i="13"/>
  <c r="Q255" i="13"/>
  <c r="P255" i="13"/>
  <c r="O255" i="13"/>
  <c r="Q254" i="13"/>
  <c r="P254" i="13"/>
  <c r="O254" i="13"/>
  <c r="Q253" i="13"/>
  <c r="P253" i="13"/>
  <c r="O253" i="13"/>
  <c r="Q252" i="13"/>
  <c r="P252" i="13"/>
  <c r="O252" i="13"/>
  <c r="Q251" i="13"/>
  <c r="P251" i="13"/>
  <c r="O251" i="13"/>
  <c r="Q250" i="13"/>
  <c r="P250" i="13"/>
  <c r="O250" i="13"/>
  <c r="Q249" i="13"/>
  <c r="P249" i="13"/>
  <c r="O249" i="13"/>
  <c r="Q248" i="13"/>
  <c r="P248" i="13"/>
  <c r="O248" i="13"/>
  <c r="Q247" i="13"/>
  <c r="P247" i="13"/>
  <c r="O247" i="13"/>
  <c r="Q246" i="13"/>
  <c r="P246" i="13"/>
  <c r="O246" i="13"/>
  <c r="Q245" i="13"/>
  <c r="P245" i="13"/>
  <c r="O245" i="13"/>
  <c r="Q244" i="13"/>
  <c r="P244" i="13"/>
  <c r="O244" i="13"/>
  <c r="Q243" i="13"/>
  <c r="P243" i="13"/>
  <c r="O243" i="13"/>
  <c r="Q242" i="13"/>
  <c r="P242" i="13"/>
  <c r="O242" i="13"/>
  <c r="Q241" i="13"/>
  <c r="P241" i="13"/>
  <c r="O241" i="13"/>
  <c r="Q240" i="13"/>
  <c r="P240" i="13"/>
  <c r="O240" i="13"/>
  <c r="Q239" i="13"/>
  <c r="P239" i="13"/>
  <c r="O239" i="13"/>
  <c r="Q238" i="13"/>
  <c r="P238" i="13"/>
  <c r="O238" i="13"/>
  <c r="Q237" i="13"/>
  <c r="P237" i="13"/>
  <c r="O237" i="13"/>
  <c r="Q236" i="13"/>
  <c r="P236" i="13"/>
  <c r="O236" i="13"/>
  <c r="Q235" i="13"/>
  <c r="P235" i="13"/>
  <c r="O235" i="13"/>
  <c r="Q234" i="13"/>
  <c r="P234" i="13"/>
  <c r="O234" i="13"/>
  <c r="Q233" i="13"/>
  <c r="P233" i="13"/>
  <c r="O233" i="13"/>
  <c r="Q232" i="13"/>
  <c r="P232" i="13"/>
  <c r="O232" i="13"/>
  <c r="Q231" i="13"/>
  <c r="P231" i="13"/>
  <c r="O231" i="13"/>
  <c r="Q230" i="13"/>
  <c r="P230" i="13"/>
  <c r="O230" i="13"/>
  <c r="Q229" i="13"/>
  <c r="P229" i="13"/>
  <c r="O229" i="13"/>
  <c r="Q228" i="13"/>
  <c r="P228" i="13"/>
  <c r="O228" i="13"/>
  <c r="Q227" i="13"/>
  <c r="P227" i="13"/>
  <c r="O227" i="13"/>
  <c r="Q226" i="13"/>
  <c r="P226" i="13"/>
  <c r="O226" i="13"/>
  <c r="Q225" i="13"/>
  <c r="P225" i="13"/>
  <c r="O225" i="13"/>
  <c r="Q224" i="13"/>
  <c r="P224" i="13"/>
  <c r="O224" i="13"/>
  <c r="Q223" i="13"/>
  <c r="P223" i="13"/>
  <c r="O223" i="13"/>
  <c r="Q222" i="13"/>
  <c r="P222" i="13"/>
  <c r="O222" i="13"/>
  <c r="Q221" i="13"/>
  <c r="P221" i="13"/>
  <c r="O221" i="13"/>
  <c r="Q220" i="13"/>
  <c r="P220" i="13"/>
  <c r="O220" i="13"/>
  <c r="Q219" i="13"/>
  <c r="P219" i="13"/>
  <c r="O219" i="13"/>
  <c r="Q218" i="13"/>
  <c r="P218" i="13"/>
  <c r="O218" i="13"/>
  <c r="Q217" i="13"/>
  <c r="P217" i="13"/>
  <c r="O217" i="13"/>
  <c r="Q216" i="13"/>
  <c r="P216" i="13"/>
  <c r="O216" i="13"/>
  <c r="Q215" i="13"/>
  <c r="P215" i="13"/>
  <c r="O215" i="13"/>
  <c r="Q214" i="13"/>
  <c r="P214" i="13"/>
  <c r="O214" i="13"/>
  <c r="Q213" i="13"/>
  <c r="P213" i="13"/>
  <c r="O213" i="13"/>
  <c r="Q212" i="13"/>
  <c r="P212" i="13"/>
  <c r="O212" i="13"/>
  <c r="Q211" i="13"/>
  <c r="P211" i="13"/>
  <c r="O211" i="13"/>
  <c r="Q210" i="13"/>
  <c r="P210" i="13"/>
  <c r="O210" i="13"/>
  <c r="Q209" i="13"/>
  <c r="P209" i="13"/>
  <c r="O209" i="13"/>
  <c r="Q208" i="13"/>
  <c r="P208" i="13"/>
  <c r="O208" i="13"/>
  <c r="Q207" i="13"/>
  <c r="P207" i="13"/>
  <c r="O207" i="13"/>
  <c r="Q206" i="13"/>
  <c r="P206" i="13"/>
  <c r="O206" i="13"/>
  <c r="Q205" i="13"/>
  <c r="P205" i="13"/>
  <c r="O205" i="13"/>
  <c r="Q204" i="13"/>
  <c r="P204" i="13"/>
  <c r="O204" i="13"/>
  <c r="Q203" i="13"/>
  <c r="P203" i="13"/>
  <c r="O203" i="13"/>
  <c r="Q202" i="13"/>
  <c r="P202" i="13"/>
  <c r="O202" i="13"/>
  <c r="Q201" i="13"/>
  <c r="P201" i="13"/>
  <c r="O201" i="13"/>
  <c r="Q200" i="13"/>
  <c r="P200" i="13"/>
  <c r="O200" i="13"/>
  <c r="Q199" i="13"/>
  <c r="P199" i="13"/>
  <c r="O199" i="13"/>
  <c r="Q198" i="13"/>
  <c r="P198" i="13"/>
  <c r="O198" i="13"/>
  <c r="Q197" i="13"/>
  <c r="P197" i="13"/>
  <c r="O197" i="13"/>
  <c r="Q196" i="13"/>
  <c r="P196" i="13"/>
  <c r="O196" i="13"/>
  <c r="Q195" i="13"/>
  <c r="P195" i="13"/>
  <c r="O195" i="13"/>
  <c r="Q194" i="13"/>
  <c r="P194" i="13"/>
  <c r="O194" i="13"/>
  <c r="Q193" i="13"/>
  <c r="P193" i="13"/>
  <c r="O193" i="13"/>
  <c r="Q192" i="13"/>
  <c r="P192" i="13"/>
  <c r="O192" i="13"/>
  <c r="Q191" i="13"/>
  <c r="P191" i="13"/>
  <c r="O191" i="13"/>
  <c r="Q190" i="13"/>
  <c r="P190" i="13"/>
  <c r="O190" i="13"/>
  <c r="Q189" i="13"/>
  <c r="P189" i="13"/>
  <c r="O189" i="13"/>
  <c r="Q188" i="13"/>
  <c r="P188" i="13"/>
  <c r="O188" i="13"/>
  <c r="Q187" i="13"/>
  <c r="P187" i="13"/>
  <c r="O187" i="13"/>
  <c r="Q186" i="13"/>
  <c r="P186" i="13"/>
  <c r="O186" i="13"/>
  <c r="Q185" i="13"/>
  <c r="P185" i="13"/>
  <c r="O185" i="13"/>
  <c r="Q184" i="13"/>
  <c r="P184" i="13"/>
  <c r="O184" i="13"/>
  <c r="Q183" i="13"/>
  <c r="P183" i="13"/>
  <c r="O183" i="13"/>
  <c r="Q182" i="13"/>
  <c r="P182" i="13"/>
  <c r="O182" i="13"/>
  <c r="Q181" i="13"/>
  <c r="P181" i="13"/>
  <c r="O181" i="13"/>
  <c r="Q180" i="13"/>
  <c r="P180" i="13"/>
  <c r="O180" i="13"/>
  <c r="Q179" i="13"/>
  <c r="P179" i="13"/>
  <c r="O179" i="13"/>
  <c r="Q178" i="13"/>
  <c r="P178" i="13"/>
  <c r="O178" i="13"/>
  <c r="Q177" i="13"/>
  <c r="P177" i="13"/>
  <c r="O177" i="13"/>
  <c r="Q176" i="13"/>
  <c r="P176" i="13"/>
  <c r="O176" i="13"/>
  <c r="Q175" i="13"/>
  <c r="P175" i="13"/>
  <c r="O175" i="13"/>
  <c r="Q174" i="13"/>
  <c r="P174" i="13"/>
  <c r="O174" i="13"/>
  <c r="Q173" i="13"/>
  <c r="P173" i="13"/>
  <c r="O173" i="13"/>
  <c r="Q172" i="13"/>
  <c r="P172" i="13"/>
  <c r="O172" i="13"/>
  <c r="Q171" i="13"/>
  <c r="P171" i="13"/>
  <c r="O171" i="13"/>
  <c r="Q170" i="13"/>
  <c r="P170" i="13"/>
  <c r="O170" i="13"/>
  <c r="Q169" i="13"/>
  <c r="P169" i="13"/>
  <c r="O169" i="13"/>
  <c r="Q168" i="13"/>
  <c r="P168" i="13"/>
  <c r="O168" i="13"/>
  <c r="Q167" i="13"/>
  <c r="P167" i="13"/>
  <c r="O167" i="13"/>
  <c r="Q166" i="13"/>
  <c r="P166" i="13"/>
  <c r="O166" i="13"/>
  <c r="Q165" i="13"/>
  <c r="P165" i="13"/>
  <c r="O165" i="13"/>
  <c r="Q164" i="13"/>
  <c r="P164" i="13"/>
  <c r="O164" i="13"/>
  <c r="Q163" i="13"/>
  <c r="P163" i="13"/>
  <c r="O163" i="13"/>
  <c r="Q162" i="13"/>
  <c r="P162" i="13"/>
  <c r="O162" i="13"/>
  <c r="Q161" i="13"/>
  <c r="P161" i="13"/>
  <c r="O161" i="13"/>
  <c r="Q160" i="13"/>
  <c r="P160" i="13"/>
  <c r="O160" i="13"/>
  <c r="Q159" i="13"/>
  <c r="P159" i="13"/>
  <c r="O159" i="13"/>
  <c r="Q158" i="13"/>
  <c r="P158" i="13"/>
  <c r="O158" i="13"/>
  <c r="Q157" i="13"/>
  <c r="P157" i="13"/>
  <c r="O157" i="13"/>
  <c r="Q156" i="13"/>
  <c r="P156" i="13"/>
  <c r="O156" i="13"/>
  <c r="Q155" i="13"/>
  <c r="P155" i="13"/>
  <c r="O155" i="13"/>
  <c r="Q154" i="13"/>
  <c r="P154" i="13"/>
  <c r="O154" i="13"/>
  <c r="Q153" i="13"/>
  <c r="P153" i="13"/>
  <c r="O153" i="13"/>
  <c r="Q152" i="13"/>
  <c r="P152" i="13"/>
  <c r="O152" i="13"/>
  <c r="Q151" i="13"/>
  <c r="P151" i="13"/>
  <c r="O151" i="13"/>
  <c r="Q150" i="13"/>
  <c r="P150" i="13"/>
  <c r="O150" i="13"/>
  <c r="Q149" i="13"/>
  <c r="P149" i="13"/>
  <c r="O149" i="13"/>
  <c r="Q148" i="13"/>
  <c r="P148" i="13"/>
  <c r="O148" i="13"/>
  <c r="Q147" i="13"/>
  <c r="P147" i="13"/>
  <c r="O147" i="13"/>
  <c r="Q146" i="13"/>
  <c r="P146" i="13"/>
  <c r="O146" i="13"/>
  <c r="Q145" i="13"/>
  <c r="P145" i="13"/>
  <c r="O145" i="13"/>
  <c r="Q144" i="13"/>
  <c r="P144" i="13"/>
  <c r="O144" i="13"/>
  <c r="Q143" i="13"/>
  <c r="P143" i="13"/>
  <c r="O143" i="13"/>
  <c r="Q142" i="13"/>
  <c r="P142" i="13"/>
  <c r="O142" i="13"/>
  <c r="Q141" i="13"/>
  <c r="P141" i="13"/>
  <c r="O141" i="13"/>
  <c r="Q140" i="13"/>
  <c r="P140" i="13"/>
  <c r="O140" i="13"/>
  <c r="Q139" i="13"/>
  <c r="P139" i="13"/>
  <c r="O139" i="13"/>
  <c r="Q138" i="13"/>
  <c r="P138" i="13"/>
  <c r="O138" i="13"/>
  <c r="Q137" i="13"/>
  <c r="P137" i="13"/>
  <c r="O137" i="13"/>
  <c r="Q136" i="13"/>
  <c r="P136" i="13"/>
  <c r="O136" i="13"/>
  <c r="Q135" i="13"/>
  <c r="P135" i="13"/>
  <c r="O135" i="13"/>
  <c r="Q134" i="13"/>
  <c r="P134" i="13"/>
  <c r="O134" i="13"/>
  <c r="Q133" i="13"/>
  <c r="P133" i="13"/>
  <c r="O133" i="13"/>
  <c r="Q132" i="13"/>
  <c r="P132" i="13"/>
  <c r="O132" i="13"/>
  <c r="Q131" i="13"/>
  <c r="P131" i="13"/>
  <c r="O131" i="13"/>
  <c r="Q130" i="13"/>
  <c r="P130" i="13"/>
  <c r="O130" i="13"/>
  <c r="Q129" i="13"/>
  <c r="P129" i="13"/>
  <c r="O129" i="13"/>
  <c r="Q128" i="13"/>
  <c r="P128" i="13"/>
  <c r="O128" i="13"/>
  <c r="Q127" i="13"/>
  <c r="P127" i="13"/>
  <c r="O127" i="13"/>
  <c r="Q126" i="13"/>
  <c r="P126" i="13"/>
  <c r="O126" i="13"/>
  <c r="Q125" i="13"/>
  <c r="P125" i="13"/>
  <c r="O125" i="13"/>
  <c r="Q124" i="13"/>
  <c r="P124" i="13"/>
  <c r="O124" i="13"/>
  <c r="Q123" i="13"/>
  <c r="P123" i="13"/>
  <c r="O123" i="13"/>
  <c r="Q122" i="13"/>
  <c r="P122" i="13"/>
  <c r="O122" i="13"/>
  <c r="Q121" i="13"/>
  <c r="P121" i="13"/>
  <c r="O121" i="13"/>
  <c r="Q120" i="13"/>
  <c r="P120" i="13"/>
  <c r="O120" i="13"/>
  <c r="Q119" i="13"/>
  <c r="P119" i="13"/>
  <c r="O119" i="13"/>
  <c r="Q118" i="13"/>
  <c r="P118" i="13"/>
  <c r="O118" i="13"/>
  <c r="Q117" i="13"/>
  <c r="P117" i="13"/>
  <c r="O117" i="13"/>
  <c r="Q116" i="13"/>
  <c r="P116" i="13"/>
  <c r="O116" i="13"/>
  <c r="Q115" i="13"/>
  <c r="P115" i="13"/>
  <c r="O115" i="13"/>
  <c r="Q114" i="13"/>
  <c r="P114" i="13"/>
  <c r="O114" i="13"/>
  <c r="Q113" i="13"/>
  <c r="P113" i="13"/>
  <c r="O113" i="13"/>
  <c r="Q112" i="13"/>
  <c r="P112" i="13"/>
  <c r="O112" i="13"/>
  <c r="Q111" i="13"/>
  <c r="P111" i="13"/>
  <c r="O111" i="13"/>
  <c r="Q110" i="13"/>
  <c r="P110" i="13"/>
  <c r="O110" i="13"/>
  <c r="Q109" i="13"/>
  <c r="P109" i="13"/>
  <c r="O109" i="13"/>
  <c r="Q108" i="13"/>
  <c r="P108" i="13"/>
  <c r="O108" i="13"/>
  <c r="Q107" i="13"/>
  <c r="P107" i="13"/>
  <c r="O107" i="13"/>
  <c r="Q106" i="13"/>
  <c r="P106" i="13"/>
  <c r="O106" i="13"/>
  <c r="Q105" i="13"/>
  <c r="P105" i="13"/>
  <c r="O105" i="13"/>
  <c r="Q104" i="13"/>
  <c r="P104" i="13"/>
  <c r="O104" i="13"/>
  <c r="Q103" i="13"/>
  <c r="P103" i="13"/>
  <c r="O103" i="13"/>
  <c r="Q102" i="13"/>
  <c r="P102" i="13"/>
  <c r="O102" i="13"/>
  <c r="Q101" i="13"/>
  <c r="P101" i="13"/>
  <c r="O101" i="13"/>
  <c r="Q100" i="13"/>
  <c r="P100" i="13"/>
  <c r="O100" i="13"/>
  <c r="Q99" i="13"/>
  <c r="P99" i="13"/>
  <c r="O99" i="13"/>
  <c r="Q98" i="13"/>
  <c r="P98" i="13"/>
  <c r="O98" i="13"/>
  <c r="Q97" i="13"/>
  <c r="P97" i="13"/>
  <c r="O97" i="13"/>
  <c r="Q96" i="13"/>
  <c r="P96" i="13"/>
  <c r="O96" i="13"/>
  <c r="Q95" i="13"/>
  <c r="P95" i="13"/>
  <c r="O95" i="13"/>
  <c r="Q94" i="13"/>
  <c r="P94" i="13"/>
  <c r="O94" i="13"/>
  <c r="Q93" i="13"/>
  <c r="P93" i="13"/>
  <c r="O93" i="13"/>
  <c r="Q92" i="13"/>
  <c r="P92" i="13"/>
  <c r="O92" i="13"/>
  <c r="Q91" i="13"/>
  <c r="P91" i="13"/>
  <c r="O91" i="13"/>
  <c r="Q90" i="13"/>
  <c r="P90" i="13"/>
  <c r="O90" i="13"/>
  <c r="Q89" i="13"/>
  <c r="P89" i="13"/>
  <c r="O89" i="13"/>
  <c r="Q88" i="13"/>
  <c r="P88" i="13"/>
  <c r="O88" i="13"/>
  <c r="Q87" i="13"/>
  <c r="P87" i="13"/>
  <c r="O87" i="13"/>
  <c r="Q86" i="13"/>
  <c r="P86" i="13"/>
  <c r="O86" i="13"/>
  <c r="Q85" i="13"/>
  <c r="P85" i="13"/>
  <c r="O85" i="13"/>
  <c r="Q84" i="13"/>
  <c r="P84" i="13"/>
  <c r="O84" i="13"/>
  <c r="Q83" i="13"/>
  <c r="P83" i="13"/>
  <c r="O83" i="13"/>
  <c r="Q82" i="13"/>
  <c r="P82" i="13"/>
  <c r="O82" i="13"/>
  <c r="Q81" i="13"/>
  <c r="P81" i="13"/>
  <c r="O81" i="13"/>
  <c r="Q80" i="13"/>
  <c r="P80" i="13"/>
  <c r="O80" i="13"/>
  <c r="Q79" i="13"/>
  <c r="P79" i="13"/>
  <c r="O79" i="13"/>
  <c r="Q78" i="13"/>
  <c r="P78" i="13"/>
  <c r="O78" i="13"/>
  <c r="Q77" i="13"/>
  <c r="P77" i="13"/>
  <c r="O77" i="13"/>
  <c r="Q76" i="13"/>
  <c r="P76" i="13"/>
  <c r="O76" i="13"/>
  <c r="Q75" i="13"/>
  <c r="P75" i="13"/>
  <c r="O75" i="13"/>
  <c r="Q74" i="13"/>
  <c r="P74" i="13"/>
  <c r="O74" i="13"/>
  <c r="Q73" i="13"/>
  <c r="P73" i="13"/>
  <c r="O73" i="13"/>
  <c r="Q72" i="13"/>
  <c r="P72" i="13"/>
  <c r="O72" i="13"/>
  <c r="Q71" i="13"/>
  <c r="P71" i="13"/>
  <c r="O71" i="13"/>
  <c r="Q70" i="13"/>
  <c r="P70" i="13"/>
  <c r="O70" i="13"/>
  <c r="Q69" i="13"/>
  <c r="P69" i="13"/>
  <c r="O69" i="13"/>
  <c r="Q68" i="13"/>
  <c r="P68" i="13"/>
  <c r="O68" i="13"/>
  <c r="Q67" i="13"/>
  <c r="P67" i="13"/>
  <c r="O67" i="13"/>
  <c r="Q66" i="13"/>
  <c r="P66" i="13"/>
  <c r="O66" i="13"/>
  <c r="Q65" i="13"/>
  <c r="P65" i="13"/>
  <c r="O65" i="13"/>
  <c r="Q64" i="13"/>
  <c r="P64" i="13"/>
  <c r="O64" i="13"/>
  <c r="Q63" i="13"/>
  <c r="P63" i="13"/>
  <c r="O63" i="13"/>
  <c r="Q62" i="13"/>
  <c r="P62" i="13"/>
  <c r="O62" i="13"/>
  <c r="Q61" i="13"/>
  <c r="P61" i="13"/>
  <c r="O61" i="13"/>
  <c r="Q60" i="13"/>
  <c r="P60" i="13"/>
  <c r="O60" i="13"/>
  <c r="Q59" i="13"/>
  <c r="P59" i="13"/>
  <c r="O59" i="13"/>
  <c r="Q58" i="13"/>
  <c r="P58" i="13"/>
  <c r="O58" i="13"/>
  <c r="Q57" i="13"/>
  <c r="P57" i="13"/>
  <c r="O57" i="13"/>
  <c r="Q56" i="13"/>
  <c r="P56" i="13"/>
  <c r="O56" i="13"/>
  <c r="Q55" i="13"/>
  <c r="P55" i="13"/>
  <c r="O55" i="13"/>
  <c r="Q54" i="13"/>
  <c r="P54" i="13"/>
  <c r="O54" i="13"/>
  <c r="Q53" i="13"/>
  <c r="P53" i="13"/>
  <c r="O53" i="13"/>
  <c r="Q52" i="13"/>
  <c r="P52" i="13"/>
  <c r="O52" i="13"/>
  <c r="Q51" i="13"/>
  <c r="P51" i="13"/>
  <c r="O51" i="13"/>
  <c r="Q50" i="13"/>
  <c r="P50" i="13"/>
  <c r="O50" i="13"/>
  <c r="Q49" i="13"/>
  <c r="P49" i="13"/>
  <c r="O49" i="13"/>
  <c r="Q48" i="13"/>
  <c r="P48" i="13"/>
  <c r="O48" i="13"/>
  <c r="Q47" i="13"/>
  <c r="P47" i="13"/>
  <c r="O47" i="13"/>
  <c r="Q46" i="13"/>
  <c r="P46" i="13"/>
  <c r="O46" i="13"/>
  <c r="Q45" i="13"/>
  <c r="P45" i="13"/>
  <c r="O45" i="13"/>
  <c r="Q44" i="13"/>
  <c r="P44" i="13"/>
  <c r="O44" i="13"/>
  <c r="Q43" i="13"/>
  <c r="P43" i="13"/>
  <c r="O43" i="13"/>
  <c r="Q42" i="13"/>
  <c r="P42" i="13"/>
  <c r="O42" i="13"/>
  <c r="Q41" i="13"/>
  <c r="P41" i="13"/>
  <c r="O41" i="13"/>
  <c r="Q40" i="13"/>
  <c r="P40" i="13"/>
  <c r="O40" i="13"/>
  <c r="Q39" i="13"/>
  <c r="P39" i="13"/>
  <c r="O39" i="13"/>
  <c r="Q38" i="13"/>
  <c r="P38" i="13"/>
  <c r="O38" i="13"/>
  <c r="Q37" i="13"/>
  <c r="P37" i="13"/>
  <c r="O37" i="13"/>
  <c r="Q36" i="13"/>
  <c r="P36" i="13"/>
  <c r="O36" i="13"/>
  <c r="Q35" i="13"/>
  <c r="P35" i="13"/>
  <c r="O35" i="13"/>
  <c r="Q34" i="13"/>
  <c r="P34" i="13"/>
  <c r="O34" i="13"/>
  <c r="Q33" i="13"/>
  <c r="P33" i="13"/>
  <c r="O33" i="13"/>
  <c r="Q32" i="13"/>
  <c r="P32" i="13"/>
  <c r="O32" i="13"/>
  <c r="Q31" i="13"/>
  <c r="P31" i="13"/>
  <c r="O31" i="13"/>
  <c r="Q30" i="13"/>
  <c r="P30" i="13"/>
  <c r="O30" i="13"/>
  <c r="Q29" i="13"/>
  <c r="P29" i="13"/>
  <c r="O29" i="13"/>
  <c r="Q28" i="13"/>
  <c r="P28" i="13"/>
  <c r="O28" i="13"/>
  <c r="Q27" i="13"/>
  <c r="P27" i="13"/>
  <c r="O27" i="13"/>
  <c r="Q26" i="13"/>
  <c r="P26" i="13"/>
  <c r="O26" i="13"/>
  <c r="Q25" i="13"/>
  <c r="P25" i="13"/>
  <c r="O25" i="13"/>
  <c r="Q24" i="13"/>
  <c r="P24" i="13"/>
  <c r="O24" i="13"/>
  <c r="Q23" i="13"/>
  <c r="P23" i="13"/>
  <c r="O23" i="13"/>
  <c r="Q22" i="13"/>
  <c r="P22" i="13"/>
  <c r="O22" i="13"/>
  <c r="Q21" i="13"/>
  <c r="P21" i="13"/>
  <c r="O21" i="13"/>
  <c r="Q20" i="13"/>
  <c r="P20" i="13"/>
  <c r="O20" i="13"/>
  <c r="Q19" i="13"/>
  <c r="P19" i="13"/>
  <c r="O19" i="13"/>
  <c r="Q18" i="13"/>
  <c r="P18" i="13"/>
  <c r="E514" i="15"/>
  <c r="E513" i="15"/>
  <c r="E512" i="15"/>
  <c r="E511" i="15"/>
  <c r="E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E485" i="15"/>
  <c r="E484" i="15"/>
  <c r="E483" i="15"/>
  <c r="E482" i="15"/>
  <c r="E481" i="15"/>
  <c r="S481" i="15" s="1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E437" i="15"/>
  <c r="E436" i="15"/>
  <c r="E435" i="15"/>
  <c r="E434" i="15"/>
  <c r="E433" i="15"/>
  <c r="E432" i="15"/>
  <c r="E431" i="15"/>
  <c r="E430" i="15"/>
  <c r="E429" i="15"/>
  <c r="E428" i="15"/>
  <c r="S428" i="15" s="1"/>
  <c r="E427" i="15"/>
  <c r="T427" i="15" s="1"/>
  <c r="E426" i="15"/>
  <c r="R426" i="15" s="1"/>
  <c r="E425" i="15"/>
  <c r="T425" i="15" s="1"/>
  <c r="E424" i="15"/>
  <c r="E423" i="15"/>
  <c r="E422" i="15"/>
  <c r="E421" i="15"/>
  <c r="E420" i="15"/>
  <c r="E419" i="15"/>
  <c r="E418" i="15"/>
  <c r="E417" i="15"/>
  <c r="T417" i="15" s="1"/>
  <c r="E416" i="15"/>
  <c r="E415" i="15"/>
  <c r="E414" i="15"/>
  <c r="E413" i="15"/>
  <c r="E412" i="15"/>
  <c r="E411" i="15"/>
  <c r="E410" i="15"/>
  <c r="E409" i="15"/>
  <c r="T409" i="15" s="1"/>
  <c r="E408" i="15"/>
  <c r="E407" i="15"/>
  <c r="E406" i="15"/>
  <c r="E405" i="15"/>
  <c r="E404" i="15"/>
  <c r="E403" i="15"/>
  <c r="E402" i="15"/>
  <c r="E401" i="15"/>
  <c r="T401" i="15" s="1"/>
  <c r="E400" i="15"/>
  <c r="E399" i="15"/>
  <c r="E398" i="15"/>
  <c r="E397" i="15"/>
  <c r="E396" i="15"/>
  <c r="E395" i="15"/>
  <c r="E394" i="15"/>
  <c r="E393" i="15"/>
  <c r="T393" i="15" s="1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T377" i="15" s="1"/>
  <c r="E376" i="15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S352" i="15" s="1"/>
  <c r="E351" i="15"/>
  <c r="E350" i="15"/>
  <c r="E349" i="15"/>
  <c r="E348" i="15"/>
  <c r="E347" i="15"/>
  <c r="E346" i="15"/>
  <c r="E345" i="15"/>
  <c r="E344" i="15"/>
  <c r="E343" i="15"/>
  <c r="E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S231" i="15" s="1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T65" i="15" s="1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R18" i="15" s="1"/>
  <c r="N16" i="15"/>
  <c r="M16" i="15"/>
  <c r="L16" i="15"/>
  <c r="K16" i="15"/>
  <c r="J16" i="15"/>
  <c r="I16" i="15"/>
  <c r="H16" i="15"/>
  <c r="G16" i="15"/>
  <c r="F16" i="15"/>
  <c r="N15" i="15"/>
  <c r="M15" i="15"/>
  <c r="L15" i="15"/>
  <c r="K15" i="15"/>
  <c r="J15" i="15"/>
  <c r="I15" i="15"/>
  <c r="H15" i="15"/>
  <c r="G15" i="15"/>
  <c r="F15" i="15"/>
  <c r="E15" i="15"/>
  <c r="S15" i="15" s="1"/>
  <c r="N14" i="15"/>
  <c r="M14" i="15"/>
  <c r="L14" i="15"/>
  <c r="K14" i="15"/>
  <c r="J14" i="15"/>
  <c r="I14" i="15"/>
  <c r="H14" i="15"/>
  <c r="G14" i="15"/>
  <c r="F14" i="15"/>
  <c r="N13" i="15"/>
  <c r="M13" i="15"/>
  <c r="L13" i="15"/>
  <c r="K13" i="15"/>
  <c r="J13" i="15"/>
  <c r="I13" i="15"/>
  <c r="H13" i="15"/>
  <c r="G13" i="15"/>
  <c r="F13" i="15"/>
  <c r="N12" i="15"/>
  <c r="M12" i="15"/>
  <c r="L12" i="15"/>
  <c r="K12" i="15"/>
  <c r="J12" i="15"/>
  <c r="I12" i="15"/>
  <c r="H12" i="15"/>
  <c r="G12" i="15"/>
  <c r="F12" i="15"/>
  <c r="N11" i="15"/>
  <c r="M11" i="15"/>
  <c r="L11" i="15"/>
  <c r="K11" i="15"/>
  <c r="J11" i="15"/>
  <c r="I11" i="15"/>
  <c r="H11" i="15"/>
  <c r="G11" i="15"/>
  <c r="F11" i="15"/>
  <c r="N10" i="15"/>
  <c r="M10" i="15"/>
  <c r="L10" i="15"/>
  <c r="K10" i="15"/>
  <c r="J10" i="15"/>
  <c r="I10" i="15"/>
  <c r="H10" i="15"/>
  <c r="G10" i="15"/>
  <c r="F10" i="15"/>
  <c r="N9" i="15"/>
  <c r="M9" i="15"/>
  <c r="L9" i="15"/>
  <c r="K9" i="15"/>
  <c r="J9" i="15"/>
  <c r="I9" i="15"/>
  <c r="H9" i="15"/>
  <c r="G9" i="15"/>
  <c r="F9" i="15"/>
  <c r="N8" i="15"/>
  <c r="M8" i="15"/>
  <c r="L8" i="15"/>
  <c r="K8" i="15"/>
  <c r="J8" i="15"/>
  <c r="I8" i="15"/>
  <c r="H8" i="15"/>
  <c r="G8" i="15"/>
  <c r="F8" i="15"/>
  <c r="N6" i="15"/>
  <c r="M6" i="15"/>
  <c r="L6" i="15"/>
  <c r="K6" i="15"/>
  <c r="J6" i="15"/>
  <c r="I6" i="15"/>
  <c r="H6" i="15"/>
  <c r="G6" i="15"/>
  <c r="F6" i="15"/>
  <c r="E514" i="14"/>
  <c r="E513" i="14"/>
  <c r="E512" i="14"/>
  <c r="E511" i="14"/>
  <c r="E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5" i="14"/>
  <c r="M6" i="13"/>
  <c r="I8" i="13"/>
  <c r="I9" i="13"/>
  <c r="M9" i="13"/>
  <c r="I12" i="13"/>
  <c r="M12" i="13"/>
  <c r="I13" i="13"/>
  <c r="M13" i="13"/>
  <c r="F15" i="13"/>
  <c r="G15" i="13"/>
  <c r="H15" i="13"/>
  <c r="I15" i="13"/>
  <c r="J15" i="13"/>
  <c r="K15" i="13"/>
  <c r="L15" i="13"/>
  <c r="M15" i="13"/>
  <c r="N15" i="13"/>
  <c r="G6" i="13"/>
  <c r="G8" i="13"/>
  <c r="K8" i="13"/>
  <c r="J8" i="13"/>
  <c r="L8" i="13"/>
  <c r="N8" i="13"/>
  <c r="G13" i="13"/>
  <c r="K13" i="13"/>
  <c r="J13" i="13"/>
  <c r="L13" i="13"/>
  <c r="N13" i="13"/>
  <c r="G9" i="13"/>
  <c r="J9" i="13"/>
  <c r="G10" i="13"/>
  <c r="J10" i="13"/>
  <c r="L10" i="13"/>
  <c r="L10" i="14" s="1"/>
  <c r="N10" i="13"/>
  <c r="G11" i="13"/>
  <c r="H11" i="13"/>
  <c r="K11" i="13"/>
  <c r="J11" i="13"/>
  <c r="F16" i="13"/>
  <c r="G16" i="13"/>
  <c r="I16" i="13"/>
  <c r="J16" i="13"/>
  <c r="K16" i="13"/>
  <c r="M16" i="13"/>
  <c r="F14" i="13"/>
  <c r="G14" i="13"/>
  <c r="I14" i="13"/>
  <c r="J14" i="13"/>
  <c r="K14" i="13"/>
  <c r="M14" i="13"/>
  <c r="E514" i="13"/>
  <c r="R514" i="13" s="1"/>
  <c r="E513" i="13"/>
  <c r="E512" i="13"/>
  <c r="E511" i="13"/>
  <c r="E510" i="13"/>
  <c r="E509" i="13"/>
  <c r="E508" i="13"/>
  <c r="R508" i="13" s="1"/>
  <c r="E507" i="13"/>
  <c r="R507" i="13" s="1"/>
  <c r="E506" i="13"/>
  <c r="E505" i="13"/>
  <c r="E504" i="13"/>
  <c r="E503" i="13"/>
  <c r="E502" i="13"/>
  <c r="E501" i="13"/>
  <c r="E500" i="13"/>
  <c r="R500" i="13" s="1"/>
  <c r="E499" i="13"/>
  <c r="E498" i="13"/>
  <c r="E497" i="13"/>
  <c r="E496" i="13"/>
  <c r="R496" i="13" s="1"/>
  <c r="E495" i="13"/>
  <c r="S495" i="13" s="1"/>
  <c r="E494" i="13"/>
  <c r="E493" i="13"/>
  <c r="E492" i="13"/>
  <c r="E491" i="13"/>
  <c r="R491" i="13" s="1"/>
  <c r="E490" i="13"/>
  <c r="E489" i="13"/>
  <c r="E488" i="13"/>
  <c r="E487" i="13"/>
  <c r="E486" i="13"/>
  <c r="E485" i="13"/>
  <c r="E484" i="13"/>
  <c r="E483" i="13"/>
  <c r="E482" i="13"/>
  <c r="E481" i="13"/>
  <c r="R481" i="13" s="1"/>
  <c r="E480" i="13"/>
  <c r="E479" i="13"/>
  <c r="T479" i="13" s="1"/>
  <c r="E478" i="13"/>
  <c r="E477" i="13"/>
  <c r="E476" i="13"/>
  <c r="S476" i="13" s="1"/>
  <c r="E475" i="13"/>
  <c r="R475" i="13" s="1"/>
  <c r="E474" i="13"/>
  <c r="E473" i="13"/>
  <c r="E472" i="13"/>
  <c r="R472" i="13" s="1"/>
  <c r="E471" i="13"/>
  <c r="E470" i="13"/>
  <c r="E469" i="13"/>
  <c r="E468" i="13"/>
  <c r="R468" i="13" s="1"/>
  <c r="E467" i="13"/>
  <c r="E466" i="13"/>
  <c r="E465" i="13"/>
  <c r="E464" i="13"/>
  <c r="E463" i="13"/>
  <c r="R463" i="13" s="1"/>
  <c r="E462" i="13"/>
  <c r="E461" i="13"/>
  <c r="E460" i="13"/>
  <c r="E459" i="13"/>
  <c r="E458" i="13"/>
  <c r="E457" i="13"/>
  <c r="E456" i="13"/>
  <c r="R456" i="13" s="1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R439" i="13" s="1"/>
  <c r="E438" i="13"/>
  <c r="E437" i="13"/>
  <c r="E436" i="13"/>
  <c r="E435" i="13"/>
  <c r="E434" i="13"/>
  <c r="E433" i="13"/>
  <c r="E432" i="13"/>
  <c r="E431" i="13"/>
  <c r="E430" i="13"/>
  <c r="E429" i="13"/>
  <c r="T429" i="13" s="1"/>
  <c r="E428" i="13"/>
  <c r="E427" i="13"/>
  <c r="R427" i="13" s="1"/>
  <c r="E426" i="13"/>
  <c r="S426" i="13" s="1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R411" i="13" s="1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T383" i="13" s="1"/>
  <c r="E382" i="13"/>
  <c r="E381" i="13"/>
  <c r="E380" i="13"/>
  <c r="S380" i="13" s="1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R363" i="13" s="1"/>
  <c r="E362" i="13"/>
  <c r="E361" i="13"/>
  <c r="E360" i="13"/>
  <c r="E359" i="13"/>
  <c r="E358" i="13"/>
  <c r="E357" i="13"/>
  <c r="E356" i="13"/>
  <c r="E355" i="13"/>
  <c r="E354" i="13"/>
  <c r="E353" i="13"/>
  <c r="E352" i="13"/>
  <c r="S352" i="13" s="1"/>
  <c r="E351" i="13"/>
  <c r="E350" i="13"/>
  <c r="E349" i="13"/>
  <c r="E348" i="13"/>
  <c r="E347" i="13"/>
  <c r="E346" i="13"/>
  <c r="E345" i="13"/>
  <c r="E344" i="13"/>
  <c r="E343" i="13"/>
  <c r="R343" i="13" s="1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R323" i="13" s="1"/>
  <c r="E322" i="13"/>
  <c r="E321" i="13"/>
  <c r="E320" i="13"/>
  <c r="E319" i="13"/>
  <c r="R319" i="13" s="1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R303" i="13" s="1"/>
  <c r="E302" i="13"/>
  <c r="E301" i="13"/>
  <c r="E300" i="13"/>
  <c r="E299" i="13"/>
  <c r="E298" i="13"/>
  <c r="E297" i="13"/>
  <c r="E296" i="13"/>
  <c r="E295" i="13"/>
  <c r="R295" i="13" s="1"/>
  <c r="E294" i="13"/>
  <c r="E293" i="13"/>
  <c r="E292" i="13"/>
  <c r="E291" i="13"/>
  <c r="R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R271" i="13" s="1"/>
  <c r="E270" i="13"/>
  <c r="E269" i="13"/>
  <c r="E268" i="13"/>
  <c r="E267" i="13"/>
  <c r="R267" i="13" s="1"/>
  <c r="E266" i="13"/>
  <c r="E265" i="13"/>
  <c r="E264" i="13"/>
  <c r="E263" i="13"/>
  <c r="R263" i="13" s="1"/>
  <c r="E262" i="13"/>
  <c r="E261" i="13"/>
  <c r="E260" i="13"/>
  <c r="E259" i="13"/>
  <c r="R259" i="13" s="1"/>
  <c r="E258" i="13"/>
  <c r="E257" i="13"/>
  <c r="E256" i="13"/>
  <c r="E255" i="13"/>
  <c r="E254" i="13"/>
  <c r="E253" i="13"/>
  <c r="E252" i="13"/>
  <c r="E251" i="13"/>
  <c r="E250" i="13"/>
  <c r="S250" i="13" s="1"/>
  <c r="E249" i="13"/>
  <c r="E248" i="13"/>
  <c r="E247" i="13"/>
  <c r="R247" i="13" s="1"/>
  <c r="E246" i="13"/>
  <c r="E245" i="13"/>
  <c r="E244" i="13"/>
  <c r="E243" i="13"/>
  <c r="R243" i="13" s="1"/>
  <c r="E242" i="13"/>
  <c r="E241" i="13"/>
  <c r="E240" i="13"/>
  <c r="E239" i="13"/>
  <c r="R239" i="13" s="1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R191" i="13" s="1"/>
  <c r="E190" i="13"/>
  <c r="E189" i="13"/>
  <c r="E188" i="13"/>
  <c r="E187" i="13"/>
  <c r="E186" i="13"/>
  <c r="E185" i="13"/>
  <c r="E184" i="13"/>
  <c r="E183" i="13"/>
  <c r="R183" i="13" s="1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S66" i="13" s="1"/>
  <c r="E65" i="13"/>
  <c r="R65" i="13" s="1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5" i="13"/>
  <c r="S15" i="13" s="1"/>
  <c r="U22" i="1"/>
  <c r="V22" i="1"/>
  <c r="X22" i="1"/>
  <c r="Y22" i="1"/>
  <c r="AA22" i="1"/>
  <c r="AB22" i="1"/>
  <c r="U23" i="1"/>
  <c r="V23" i="1"/>
  <c r="X23" i="1"/>
  <c r="Y23" i="1"/>
  <c r="AA23" i="1"/>
  <c r="AB23" i="1"/>
  <c r="U24" i="1"/>
  <c r="V24" i="1"/>
  <c r="X24" i="1"/>
  <c r="Y24" i="1"/>
  <c r="AA24" i="1"/>
  <c r="AB24" i="1"/>
  <c r="U25" i="1"/>
  <c r="V25" i="1"/>
  <c r="X25" i="1"/>
  <c r="Y25" i="1"/>
  <c r="AA25" i="1"/>
  <c r="AB25" i="1"/>
  <c r="U26" i="1"/>
  <c r="V26" i="1"/>
  <c r="X26" i="1"/>
  <c r="Y26" i="1"/>
  <c r="AA26" i="1"/>
  <c r="AB26" i="1"/>
  <c r="U27" i="1"/>
  <c r="V27" i="1"/>
  <c r="X27" i="1"/>
  <c r="Y27" i="1"/>
  <c r="AA27" i="1"/>
  <c r="AB27" i="1"/>
  <c r="U28" i="1"/>
  <c r="V28" i="1"/>
  <c r="X28" i="1"/>
  <c r="Y28" i="1"/>
  <c r="AA28" i="1"/>
  <c r="AB28" i="1"/>
  <c r="U29" i="1"/>
  <c r="V29" i="1"/>
  <c r="X29" i="1"/>
  <c r="Y29" i="1"/>
  <c r="AA29" i="1"/>
  <c r="AB29" i="1"/>
  <c r="U30" i="1"/>
  <c r="V30" i="1"/>
  <c r="X30" i="1"/>
  <c r="Y30" i="1"/>
  <c r="AA30" i="1"/>
  <c r="AB30" i="1"/>
  <c r="U31" i="1"/>
  <c r="V31" i="1"/>
  <c r="X31" i="1"/>
  <c r="Y31" i="1"/>
  <c r="AA31" i="1"/>
  <c r="AB31" i="1"/>
  <c r="U32" i="1"/>
  <c r="V32" i="1"/>
  <c r="X32" i="1"/>
  <c r="Y32" i="1"/>
  <c r="AA32" i="1"/>
  <c r="AB32" i="1"/>
  <c r="U33" i="1"/>
  <c r="V33" i="1"/>
  <c r="X33" i="1"/>
  <c r="Y33" i="1"/>
  <c r="AA33" i="1"/>
  <c r="AB33" i="1"/>
  <c r="U34" i="1"/>
  <c r="V34" i="1"/>
  <c r="X34" i="1"/>
  <c r="Y34" i="1"/>
  <c r="AA34" i="1"/>
  <c r="AB34" i="1"/>
  <c r="U35" i="1"/>
  <c r="V35" i="1"/>
  <c r="X35" i="1"/>
  <c r="Y35" i="1"/>
  <c r="AA35" i="1"/>
  <c r="AB35" i="1"/>
  <c r="U36" i="1"/>
  <c r="V36" i="1"/>
  <c r="X36" i="1"/>
  <c r="Y36" i="1"/>
  <c r="AA36" i="1"/>
  <c r="AB36" i="1"/>
  <c r="U37" i="1"/>
  <c r="V37" i="1"/>
  <c r="X37" i="1"/>
  <c r="Y37" i="1"/>
  <c r="AA37" i="1"/>
  <c r="AB37" i="1"/>
  <c r="U38" i="1"/>
  <c r="V38" i="1"/>
  <c r="X38" i="1"/>
  <c r="Y38" i="1"/>
  <c r="AA38" i="1"/>
  <c r="AB38" i="1"/>
  <c r="U39" i="1"/>
  <c r="V39" i="1"/>
  <c r="X39" i="1"/>
  <c r="Y39" i="1"/>
  <c r="AA39" i="1"/>
  <c r="AB39" i="1"/>
  <c r="U40" i="1"/>
  <c r="V40" i="1"/>
  <c r="X40" i="1"/>
  <c r="Y40" i="1"/>
  <c r="AA40" i="1"/>
  <c r="AB40" i="1"/>
  <c r="U41" i="1"/>
  <c r="V41" i="1"/>
  <c r="X41" i="1"/>
  <c r="Y41" i="1"/>
  <c r="AA41" i="1"/>
  <c r="AB41" i="1"/>
  <c r="U42" i="1"/>
  <c r="V42" i="1"/>
  <c r="X42" i="1"/>
  <c r="Y42" i="1"/>
  <c r="AA42" i="1"/>
  <c r="AB42" i="1"/>
  <c r="U43" i="1"/>
  <c r="V43" i="1"/>
  <c r="X43" i="1"/>
  <c r="Y43" i="1"/>
  <c r="AA43" i="1"/>
  <c r="AB43" i="1"/>
  <c r="U44" i="1"/>
  <c r="V44" i="1"/>
  <c r="X44" i="1"/>
  <c r="Y44" i="1"/>
  <c r="AA44" i="1"/>
  <c r="AB44" i="1"/>
  <c r="U45" i="1"/>
  <c r="V45" i="1"/>
  <c r="X45" i="1"/>
  <c r="Y45" i="1"/>
  <c r="AA45" i="1"/>
  <c r="AB45" i="1"/>
  <c r="U46" i="1"/>
  <c r="V46" i="1"/>
  <c r="X46" i="1"/>
  <c r="Y46" i="1"/>
  <c r="AA46" i="1"/>
  <c r="AB46" i="1"/>
  <c r="U47" i="1"/>
  <c r="V47" i="1"/>
  <c r="X47" i="1"/>
  <c r="Y47" i="1"/>
  <c r="AA47" i="1"/>
  <c r="AB47" i="1"/>
  <c r="U48" i="1"/>
  <c r="V48" i="1"/>
  <c r="X48" i="1"/>
  <c r="Y48" i="1"/>
  <c r="AA48" i="1"/>
  <c r="AB48" i="1"/>
  <c r="U49" i="1"/>
  <c r="V49" i="1"/>
  <c r="X49" i="1"/>
  <c r="Y49" i="1"/>
  <c r="AA49" i="1"/>
  <c r="AB49" i="1"/>
  <c r="U50" i="1"/>
  <c r="V50" i="1"/>
  <c r="X50" i="1"/>
  <c r="Y50" i="1"/>
  <c r="AA50" i="1"/>
  <c r="AB50" i="1"/>
  <c r="U51" i="1"/>
  <c r="V51" i="1"/>
  <c r="X51" i="1"/>
  <c r="Y51" i="1"/>
  <c r="AA51" i="1"/>
  <c r="AB51" i="1"/>
  <c r="U52" i="1"/>
  <c r="V52" i="1"/>
  <c r="X52" i="1"/>
  <c r="Y52" i="1"/>
  <c r="AA52" i="1"/>
  <c r="AB52" i="1"/>
  <c r="U53" i="1"/>
  <c r="V53" i="1"/>
  <c r="X53" i="1"/>
  <c r="Y53" i="1"/>
  <c r="AA53" i="1"/>
  <c r="AB53" i="1"/>
  <c r="U54" i="1"/>
  <c r="V54" i="1"/>
  <c r="X54" i="1"/>
  <c r="Y54" i="1"/>
  <c r="AA54" i="1"/>
  <c r="AB54" i="1"/>
  <c r="U55" i="1"/>
  <c r="V55" i="1"/>
  <c r="X55" i="1"/>
  <c r="Y55" i="1"/>
  <c r="AA55" i="1"/>
  <c r="AB55" i="1"/>
  <c r="U56" i="1"/>
  <c r="V56" i="1"/>
  <c r="X56" i="1"/>
  <c r="Y56" i="1"/>
  <c r="AA56" i="1"/>
  <c r="AB56" i="1"/>
  <c r="U57" i="1"/>
  <c r="V57" i="1"/>
  <c r="X57" i="1"/>
  <c r="Y57" i="1"/>
  <c r="AA57" i="1"/>
  <c r="AB57" i="1"/>
  <c r="U58" i="1"/>
  <c r="V58" i="1"/>
  <c r="X58" i="1"/>
  <c r="Y58" i="1"/>
  <c r="AA58" i="1"/>
  <c r="AB58" i="1"/>
  <c r="U59" i="1"/>
  <c r="V59" i="1"/>
  <c r="X59" i="1"/>
  <c r="Y59" i="1"/>
  <c r="AA59" i="1"/>
  <c r="AB59" i="1"/>
  <c r="U60" i="1"/>
  <c r="V60" i="1"/>
  <c r="X60" i="1"/>
  <c r="Y60" i="1"/>
  <c r="AA60" i="1"/>
  <c r="AB60" i="1"/>
  <c r="U61" i="1"/>
  <c r="V61" i="1"/>
  <c r="X61" i="1"/>
  <c r="Y61" i="1"/>
  <c r="AA61" i="1"/>
  <c r="AB61" i="1"/>
  <c r="U62" i="1"/>
  <c r="V62" i="1"/>
  <c r="X62" i="1"/>
  <c r="Y62" i="1"/>
  <c r="AA62" i="1"/>
  <c r="AB62" i="1"/>
  <c r="U63" i="1"/>
  <c r="V63" i="1"/>
  <c r="X63" i="1"/>
  <c r="Y63" i="1"/>
  <c r="AA63" i="1"/>
  <c r="AB63" i="1"/>
  <c r="U64" i="1"/>
  <c r="V64" i="1"/>
  <c r="X64" i="1"/>
  <c r="Y64" i="1"/>
  <c r="AA64" i="1"/>
  <c r="AB64" i="1"/>
  <c r="U65" i="1"/>
  <c r="V65" i="1"/>
  <c r="X65" i="1"/>
  <c r="Y65" i="1"/>
  <c r="AA65" i="1"/>
  <c r="AB65" i="1"/>
  <c r="U66" i="1"/>
  <c r="V66" i="1"/>
  <c r="X66" i="1"/>
  <c r="Y66" i="1"/>
  <c r="AA66" i="1"/>
  <c r="AB66" i="1"/>
  <c r="U67" i="1"/>
  <c r="V67" i="1"/>
  <c r="X67" i="1"/>
  <c r="Y67" i="1"/>
  <c r="AA67" i="1"/>
  <c r="AB67" i="1"/>
  <c r="U68" i="1"/>
  <c r="V68" i="1"/>
  <c r="X68" i="1"/>
  <c r="Y68" i="1"/>
  <c r="AA68" i="1"/>
  <c r="AB68" i="1"/>
  <c r="U69" i="1"/>
  <c r="V69" i="1"/>
  <c r="X69" i="1"/>
  <c r="Y69" i="1"/>
  <c r="AA69" i="1"/>
  <c r="AB69" i="1"/>
  <c r="U70" i="1"/>
  <c r="V70" i="1"/>
  <c r="X70" i="1"/>
  <c r="Y70" i="1"/>
  <c r="AA70" i="1"/>
  <c r="AB70" i="1"/>
  <c r="U71" i="1"/>
  <c r="V71" i="1"/>
  <c r="X71" i="1"/>
  <c r="Y71" i="1"/>
  <c r="AA71" i="1"/>
  <c r="AB71" i="1"/>
  <c r="U72" i="1"/>
  <c r="V72" i="1"/>
  <c r="X72" i="1"/>
  <c r="Y72" i="1"/>
  <c r="AA72" i="1"/>
  <c r="AB72" i="1"/>
  <c r="U73" i="1"/>
  <c r="V73" i="1"/>
  <c r="X73" i="1"/>
  <c r="Y73" i="1"/>
  <c r="AA73" i="1"/>
  <c r="AB73" i="1"/>
  <c r="U74" i="1"/>
  <c r="V74" i="1"/>
  <c r="X74" i="1"/>
  <c r="Y74" i="1"/>
  <c r="AA74" i="1"/>
  <c r="AB74" i="1"/>
  <c r="U75" i="1"/>
  <c r="V75" i="1"/>
  <c r="X75" i="1"/>
  <c r="Y75" i="1"/>
  <c r="AA75" i="1"/>
  <c r="AB75" i="1"/>
  <c r="U76" i="1"/>
  <c r="V76" i="1"/>
  <c r="X76" i="1"/>
  <c r="Y76" i="1"/>
  <c r="AA76" i="1"/>
  <c r="AB76" i="1"/>
  <c r="U77" i="1"/>
  <c r="V77" i="1"/>
  <c r="X77" i="1"/>
  <c r="Y77" i="1"/>
  <c r="AA77" i="1"/>
  <c r="AB77" i="1"/>
  <c r="U78" i="1"/>
  <c r="V78" i="1"/>
  <c r="X78" i="1"/>
  <c r="Y78" i="1"/>
  <c r="AA78" i="1"/>
  <c r="AB78" i="1"/>
  <c r="U79" i="1"/>
  <c r="V79" i="1"/>
  <c r="X79" i="1"/>
  <c r="Y79" i="1"/>
  <c r="AA79" i="1"/>
  <c r="AB79" i="1"/>
  <c r="U80" i="1"/>
  <c r="V80" i="1"/>
  <c r="X80" i="1"/>
  <c r="Y80" i="1"/>
  <c r="AA80" i="1"/>
  <c r="AB80" i="1"/>
  <c r="U81" i="1"/>
  <c r="V81" i="1"/>
  <c r="X81" i="1"/>
  <c r="Y81" i="1"/>
  <c r="AA81" i="1"/>
  <c r="AB81" i="1"/>
  <c r="U82" i="1"/>
  <c r="V82" i="1"/>
  <c r="X82" i="1"/>
  <c r="Y82" i="1"/>
  <c r="AA82" i="1"/>
  <c r="AB82" i="1"/>
  <c r="U83" i="1"/>
  <c r="V83" i="1"/>
  <c r="X83" i="1"/>
  <c r="Y83" i="1"/>
  <c r="AA83" i="1"/>
  <c r="AB83" i="1"/>
  <c r="U84" i="1"/>
  <c r="V84" i="1"/>
  <c r="X84" i="1"/>
  <c r="Y84" i="1"/>
  <c r="AA84" i="1"/>
  <c r="AB84" i="1"/>
  <c r="U85" i="1"/>
  <c r="V85" i="1"/>
  <c r="X85" i="1"/>
  <c r="Y85" i="1"/>
  <c r="AA85" i="1"/>
  <c r="AB85" i="1"/>
  <c r="U86" i="1"/>
  <c r="V86" i="1"/>
  <c r="X86" i="1"/>
  <c r="Y86" i="1"/>
  <c r="AA86" i="1"/>
  <c r="AB86" i="1"/>
  <c r="U87" i="1"/>
  <c r="V87" i="1"/>
  <c r="X87" i="1"/>
  <c r="Y87" i="1"/>
  <c r="AA87" i="1"/>
  <c r="AB87" i="1"/>
  <c r="U88" i="1"/>
  <c r="V88" i="1"/>
  <c r="X88" i="1"/>
  <c r="Y88" i="1"/>
  <c r="AA88" i="1"/>
  <c r="AB88" i="1"/>
  <c r="U89" i="1"/>
  <c r="V89" i="1"/>
  <c r="X89" i="1"/>
  <c r="Y89" i="1"/>
  <c r="AA89" i="1"/>
  <c r="AB89" i="1"/>
  <c r="U90" i="1"/>
  <c r="V90" i="1"/>
  <c r="X90" i="1"/>
  <c r="Y90" i="1"/>
  <c r="AA90" i="1"/>
  <c r="AB90" i="1"/>
  <c r="U91" i="1"/>
  <c r="V91" i="1"/>
  <c r="X91" i="1"/>
  <c r="Y91" i="1"/>
  <c r="AA91" i="1"/>
  <c r="AB91" i="1"/>
  <c r="U92" i="1"/>
  <c r="V92" i="1"/>
  <c r="X92" i="1"/>
  <c r="Y92" i="1"/>
  <c r="AA92" i="1"/>
  <c r="AB92" i="1"/>
  <c r="U93" i="1"/>
  <c r="V93" i="1"/>
  <c r="X93" i="1"/>
  <c r="Y93" i="1"/>
  <c r="AA93" i="1"/>
  <c r="AB93" i="1"/>
  <c r="U94" i="1"/>
  <c r="V94" i="1"/>
  <c r="X94" i="1"/>
  <c r="Y94" i="1"/>
  <c r="AA94" i="1"/>
  <c r="AB94" i="1"/>
  <c r="U95" i="1"/>
  <c r="V95" i="1"/>
  <c r="X95" i="1"/>
  <c r="Y95" i="1"/>
  <c r="AA95" i="1"/>
  <c r="AB95" i="1"/>
  <c r="U96" i="1"/>
  <c r="V96" i="1"/>
  <c r="X96" i="1"/>
  <c r="Y96" i="1"/>
  <c r="AA96" i="1"/>
  <c r="AB96" i="1"/>
  <c r="U97" i="1"/>
  <c r="V97" i="1"/>
  <c r="X97" i="1"/>
  <c r="Y97" i="1"/>
  <c r="AA97" i="1"/>
  <c r="AB97" i="1"/>
  <c r="U98" i="1"/>
  <c r="V98" i="1"/>
  <c r="X98" i="1"/>
  <c r="Y98" i="1"/>
  <c r="AA98" i="1"/>
  <c r="AB98" i="1"/>
  <c r="U99" i="1"/>
  <c r="V99" i="1"/>
  <c r="X99" i="1"/>
  <c r="Y99" i="1"/>
  <c r="AA99" i="1"/>
  <c r="AB99" i="1"/>
  <c r="U100" i="1"/>
  <c r="V100" i="1"/>
  <c r="X100" i="1"/>
  <c r="Y100" i="1"/>
  <c r="AA100" i="1"/>
  <c r="AB100" i="1"/>
  <c r="U101" i="1"/>
  <c r="V101" i="1"/>
  <c r="X101" i="1"/>
  <c r="Y101" i="1"/>
  <c r="AA101" i="1"/>
  <c r="AB101" i="1"/>
  <c r="U102" i="1"/>
  <c r="V102" i="1"/>
  <c r="X102" i="1"/>
  <c r="Y102" i="1"/>
  <c r="AA102" i="1"/>
  <c r="AB102" i="1"/>
  <c r="U103" i="1"/>
  <c r="V103" i="1"/>
  <c r="X103" i="1"/>
  <c r="Y103" i="1"/>
  <c r="AA103" i="1"/>
  <c r="AB103" i="1"/>
  <c r="U104" i="1"/>
  <c r="V104" i="1"/>
  <c r="X104" i="1"/>
  <c r="Y104" i="1"/>
  <c r="AA104" i="1"/>
  <c r="AB104" i="1"/>
  <c r="U105" i="1"/>
  <c r="V105" i="1"/>
  <c r="X105" i="1"/>
  <c r="Y105" i="1"/>
  <c r="AA105" i="1"/>
  <c r="AB105" i="1"/>
  <c r="U106" i="1"/>
  <c r="V106" i="1"/>
  <c r="X106" i="1"/>
  <c r="Y106" i="1"/>
  <c r="AA106" i="1"/>
  <c r="AB106" i="1"/>
  <c r="U107" i="1"/>
  <c r="V107" i="1"/>
  <c r="X107" i="1"/>
  <c r="Y107" i="1"/>
  <c r="AA107" i="1"/>
  <c r="AB107" i="1"/>
  <c r="U108" i="1"/>
  <c r="V108" i="1"/>
  <c r="X108" i="1"/>
  <c r="Y108" i="1"/>
  <c r="AA108" i="1"/>
  <c r="AB108" i="1"/>
  <c r="U109" i="1"/>
  <c r="V109" i="1"/>
  <c r="X109" i="1"/>
  <c r="Y109" i="1"/>
  <c r="AA109" i="1"/>
  <c r="AB109" i="1"/>
  <c r="U110" i="1"/>
  <c r="V110" i="1"/>
  <c r="X110" i="1"/>
  <c r="Y110" i="1"/>
  <c r="AA110" i="1"/>
  <c r="AB110" i="1"/>
  <c r="U111" i="1"/>
  <c r="V111" i="1"/>
  <c r="X111" i="1"/>
  <c r="Y111" i="1"/>
  <c r="AA111" i="1"/>
  <c r="AB111" i="1"/>
  <c r="U112" i="1"/>
  <c r="V112" i="1"/>
  <c r="X112" i="1"/>
  <c r="Y112" i="1"/>
  <c r="AA112" i="1"/>
  <c r="AB112" i="1"/>
  <c r="U113" i="1"/>
  <c r="V113" i="1"/>
  <c r="X113" i="1"/>
  <c r="Y113" i="1"/>
  <c r="AA113" i="1"/>
  <c r="AB113" i="1"/>
  <c r="U114" i="1"/>
  <c r="V114" i="1"/>
  <c r="X114" i="1"/>
  <c r="Y114" i="1"/>
  <c r="AA114" i="1"/>
  <c r="AB114" i="1"/>
  <c r="U115" i="1"/>
  <c r="V115" i="1"/>
  <c r="X115" i="1"/>
  <c r="Y115" i="1"/>
  <c r="AA115" i="1"/>
  <c r="AB115" i="1"/>
  <c r="U116" i="1"/>
  <c r="V116" i="1"/>
  <c r="X116" i="1"/>
  <c r="Y116" i="1"/>
  <c r="AA116" i="1"/>
  <c r="AB116" i="1"/>
  <c r="U117" i="1"/>
  <c r="V117" i="1"/>
  <c r="X117" i="1"/>
  <c r="Y117" i="1"/>
  <c r="AA117" i="1"/>
  <c r="AB117" i="1"/>
  <c r="U118" i="1"/>
  <c r="V118" i="1"/>
  <c r="X118" i="1"/>
  <c r="Y118" i="1"/>
  <c r="AA118" i="1"/>
  <c r="AB118" i="1"/>
  <c r="U119" i="1"/>
  <c r="V119" i="1"/>
  <c r="X119" i="1"/>
  <c r="Y119" i="1"/>
  <c r="AA119" i="1"/>
  <c r="AB119" i="1"/>
  <c r="U120" i="1"/>
  <c r="V120" i="1"/>
  <c r="X120" i="1"/>
  <c r="Y120" i="1"/>
  <c r="AA120" i="1"/>
  <c r="AB120" i="1"/>
  <c r="U121" i="1"/>
  <c r="V121" i="1"/>
  <c r="X121" i="1"/>
  <c r="Y121" i="1"/>
  <c r="AA121" i="1"/>
  <c r="AB121" i="1"/>
  <c r="U122" i="1"/>
  <c r="V122" i="1"/>
  <c r="X122" i="1"/>
  <c r="Y122" i="1"/>
  <c r="AA122" i="1"/>
  <c r="AB122" i="1"/>
  <c r="U123" i="1"/>
  <c r="V123" i="1"/>
  <c r="X123" i="1"/>
  <c r="Y123" i="1"/>
  <c r="AA123" i="1"/>
  <c r="AB123" i="1"/>
  <c r="U124" i="1"/>
  <c r="V124" i="1"/>
  <c r="X124" i="1"/>
  <c r="Y124" i="1"/>
  <c r="AA124" i="1"/>
  <c r="AB124" i="1"/>
  <c r="U125" i="1"/>
  <c r="V125" i="1"/>
  <c r="X125" i="1"/>
  <c r="Y125" i="1"/>
  <c r="AA125" i="1"/>
  <c r="AB125" i="1"/>
  <c r="U126" i="1"/>
  <c r="V126" i="1"/>
  <c r="X126" i="1"/>
  <c r="Y126" i="1"/>
  <c r="AA126" i="1"/>
  <c r="AB126" i="1"/>
  <c r="U127" i="1"/>
  <c r="V127" i="1"/>
  <c r="X127" i="1"/>
  <c r="Y127" i="1"/>
  <c r="AA127" i="1"/>
  <c r="AB127" i="1"/>
  <c r="U128" i="1"/>
  <c r="V128" i="1"/>
  <c r="X128" i="1"/>
  <c r="Y128" i="1"/>
  <c r="AA128" i="1"/>
  <c r="AB128" i="1"/>
  <c r="U129" i="1"/>
  <c r="V129" i="1"/>
  <c r="X129" i="1"/>
  <c r="Y129" i="1"/>
  <c r="AA129" i="1"/>
  <c r="AB129" i="1"/>
  <c r="U130" i="1"/>
  <c r="V130" i="1"/>
  <c r="X130" i="1"/>
  <c r="Y130" i="1"/>
  <c r="AA130" i="1"/>
  <c r="AB130" i="1"/>
  <c r="U131" i="1"/>
  <c r="V131" i="1"/>
  <c r="X131" i="1"/>
  <c r="Y131" i="1"/>
  <c r="AA131" i="1"/>
  <c r="AB131" i="1"/>
  <c r="U132" i="1"/>
  <c r="V132" i="1"/>
  <c r="X132" i="1"/>
  <c r="Y132" i="1"/>
  <c r="AA132" i="1"/>
  <c r="AB132" i="1"/>
  <c r="U133" i="1"/>
  <c r="V133" i="1"/>
  <c r="X133" i="1"/>
  <c r="Y133" i="1"/>
  <c r="AA133" i="1"/>
  <c r="AB133" i="1"/>
  <c r="U134" i="1"/>
  <c r="V134" i="1"/>
  <c r="X134" i="1"/>
  <c r="Y134" i="1"/>
  <c r="AA134" i="1"/>
  <c r="AB134" i="1"/>
  <c r="U135" i="1"/>
  <c r="V135" i="1"/>
  <c r="X135" i="1"/>
  <c r="Y135" i="1"/>
  <c r="AA135" i="1"/>
  <c r="AB135" i="1"/>
  <c r="U136" i="1"/>
  <c r="V136" i="1"/>
  <c r="X136" i="1"/>
  <c r="Y136" i="1"/>
  <c r="AA136" i="1"/>
  <c r="AB136" i="1"/>
  <c r="U137" i="1"/>
  <c r="V137" i="1"/>
  <c r="X137" i="1"/>
  <c r="Y137" i="1"/>
  <c r="AA137" i="1"/>
  <c r="AB137" i="1"/>
  <c r="U138" i="1"/>
  <c r="V138" i="1"/>
  <c r="X138" i="1"/>
  <c r="Y138" i="1"/>
  <c r="AA138" i="1"/>
  <c r="AB138" i="1"/>
  <c r="U139" i="1"/>
  <c r="V139" i="1"/>
  <c r="X139" i="1"/>
  <c r="Y139" i="1"/>
  <c r="AA139" i="1"/>
  <c r="AB139" i="1"/>
  <c r="U140" i="1"/>
  <c r="V140" i="1"/>
  <c r="X140" i="1"/>
  <c r="Y140" i="1"/>
  <c r="AA140" i="1"/>
  <c r="AB140" i="1"/>
  <c r="U141" i="1"/>
  <c r="V141" i="1"/>
  <c r="X141" i="1"/>
  <c r="Y141" i="1"/>
  <c r="AA141" i="1"/>
  <c r="AB141" i="1"/>
  <c r="U142" i="1"/>
  <c r="V142" i="1"/>
  <c r="X142" i="1"/>
  <c r="Y142" i="1"/>
  <c r="AA142" i="1"/>
  <c r="AB142" i="1"/>
  <c r="U143" i="1"/>
  <c r="V143" i="1"/>
  <c r="X143" i="1"/>
  <c r="Y143" i="1"/>
  <c r="AA143" i="1"/>
  <c r="AB143" i="1"/>
  <c r="U144" i="1"/>
  <c r="V144" i="1"/>
  <c r="X144" i="1"/>
  <c r="Y144" i="1"/>
  <c r="AA144" i="1"/>
  <c r="AB144" i="1"/>
  <c r="U145" i="1"/>
  <c r="V145" i="1"/>
  <c r="X145" i="1"/>
  <c r="Y145" i="1"/>
  <c r="AA145" i="1"/>
  <c r="AB145" i="1"/>
  <c r="U146" i="1"/>
  <c r="V146" i="1"/>
  <c r="X146" i="1"/>
  <c r="Y146" i="1"/>
  <c r="AA146" i="1"/>
  <c r="AB146" i="1"/>
  <c r="U147" i="1"/>
  <c r="V147" i="1"/>
  <c r="X147" i="1"/>
  <c r="Y147" i="1"/>
  <c r="AA147" i="1"/>
  <c r="AB147" i="1"/>
  <c r="U148" i="1"/>
  <c r="V148" i="1"/>
  <c r="X148" i="1"/>
  <c r="Y148" i="1"/>
  <c r="AA148" i="1"/>
  <c r="AB148" i="1"/>
  <c r="U149" i="1"/>
  <c r="V149" i="1"/>
  <c r="X149" i="1"/>
  <c r="Y149" i="1"/>
  <c r="AA149" i="1"/>
  <c r="AB149" i="1"/>
  <c r="U150" i="1"/>
  <c r="V150" i="1"/>
  <c r="X150" i="1"/>
  <c r="Y150" i="1"/>
  <c r="AA150" i="1"/>
  <c r="AB150" i="1"/>
  <c r="U151" i="1"/>
  <c r="V151" i="1"/>
  <c r="X151" i="1"/>
  <c r="Y151" i="1"/>
  <c r="AA151" i="1"/>
  <c r="AB151" i="1"/>
  <c r="U152" i="1"/>
  <c r="V152" i="1"/>
  <c r="X152" i="1"/>
  <c r="Y152" i="1"/>
  <c r="AA152" i="1"/>
  <c r="AB152" i="1"/>
  <c r="U153" i="1"/>
  <c r="V153" i="1"/>
  <c r="X153" i="1"/>
  <c r="Y153" i="1"/>
  <c r="AA153" i="1"/>
  <c r="AB153" i="1"/>
  <c r="U154" i="1"/>
  <c r="V154" i="1"/>
  <c r="X154" i="1"/>
  <c r="Y154" i="1"/>
  <c r="AA154" i="1"/>
  <c r="AB154" i="1"/>
  <c r="U155" i="1"/>
  <c r="V155" i="1"/>
  <c r="X155" i="1"/>
  <c r="Y155" i="1"/>
  <c r="AA155" i="1"/>
  <c r="AB155" i="1"/>
  <c r="U156" i="1"/>
  <c r="V156" i="1"/>
  <c r="X156" i="1"/>
  <c r="Y156" i="1"/>
  <c r="AA156" i="1"/>
  <c r="AB156" i="1"/>
  <c r="U157" i="1"/>
  <c r="V157" i="1"/>
  <c r="X157" i="1"/>
  <c r="Y157" i="1"/>
  <c r="AA157" i="1"/>
  <c r="AB157" i="1"/>
  <c r="U158" i="1"/>
  <c r="V158" i="1"/>
  <c r="X158" i="1"/>
  <c r="Y158" i="1"/>
  <c r="AA158" i="1"/>
  <c r="AB158" i="1"/>
  <c r="U159" i="1"/>
  <c r="V159" i="1"/>
  <c r="X159" i="1"/>
  <c r="Y159" i="1"/>
  <c r="AA159" i="1"/>
  <c r="AB159" i="1"/>
  <c r="U160" i="1"/>
  <c r="V160" i="1"/>
  <c r="X160" i="1"/>
  <c r="Y160" i="1"/>
  <c r="AA160" i="1"/>
  <c r="AB160" i="1"/>
  <c r="U161" i="1"/>
  <c r="V161" i="1"/>
  <c r="X161" i="1"/>
  <c r="Y161" i="1"/>
  <c r="AA161" i="1"/>
  <c r="AB161" i="1"/>
  <c r="U162" i="1"/>
  <c r="V162" i="1"/>
  <c r="X162" i="1"/>
  <c r="Y162" i="1"/>
  <c r="AA162" i="1"/>
  <c r="AB162" i="1"/>
  <c r="U163" i="1"/>
  <c r="V163" i="1"/>
  <c r="X163" i="1"/>
  <c r="Y163" i="1"/>
  <c r="AA163" i="1"/>
  <c r="AB163" i="1"/>
  <c r="U164" i="1"/>
  <c r="V164" i="1"/>
  <c r="X164" i="1"/>
  <c r="Y164" i="1"/>
  <c r="AA164" i="1"/>
  <c r="AB164" i="1"/>
  <c r="U165" i="1"/>
  <c r="V165" i="1"/>
  <c r="X165" i="1"/>
  <c r="Y165" i="1"/>
  <c r="AA165" i="1"/>
  <c r="AB165" i="1"/>
  <c r="U166" i="1"/>
  <c r="V166" i="1"/>
  <c r="X166" i="1"/>
  <c r="Y166" i="1"/>
  <c r="AA166" i="1"/>
  <c r="AB166" i="1"/>
  <c r="U167" i="1"/>
  <c r="V167" i="1"/>
  <c r="X167" i="1"/>
  <c r="Y167" i="1"/>
  <c r="AA167" i="1"/>
  <c r="AB167" i="1"/>
  <c r="U168" i="1"/>
  <c r="V168" i="1"/>
  <c r="X168" i="1"/>
  <c r="Y168" i="1"/>
  <c r="AA168" i="1"/>
  <c r="AB168" i="1"/>
  <c r="U169" i="1"/>
  <c r="V169" i="1"/>
  <c r="X169" i="1"/>
  <c r="Y169" i="1"/>
  <c r="AA169" i="1"/>
  <c r="AB169" i="1"/>
  <c r="U170" i="1"/>
  <c r="V170" i="1"/>
  <c r="X170" i="1"/>
  <c r="Y170" i="1"/>
  <c r="AA170" i="1"/>
  <c r="AB170" i="1"/>
  <c r="U171" i="1"/>
  <c r="V171" i="1"/>
  <c r="X171" i="1"/>
  <c r="Y171" i="1"/>
  <c r="AA171" i="1"/>
  <c r="AB171" i="1"/>
  <c r="U172" i="1"/>
  <c r="V172" i="1"/>
  <c r="X172" i="1"/>
  <c r="Y172" i="1"/>
  <c r="AA172" i="1"/>
  <c r="AB172" i="1"/>
  <c r="U173" i="1"/>
  <c r="V173" i="1"/>
  <c r="X173" i="1"/>
  <c r="Y173" i="1"/>
  <c r="AA173" i="1"/>
  <c r="AB173" i="1"/>
  <c r="U174" i="1"/>
  <c r="V174" i="1"/>
  <c r="X174" i="1"/>
  <c r="Y174" i="1"/>
  <c r="AA174" i="1"/>
  <c r="AB174" i="1"/>
  <c r="U175" i="1"/>
  <c r="V175" i="1"/>
  <c r="X175" i="1"/>
  <c r="Y175" i="1"/>
  <c r="AA175" i="1"/>
  <c r="AB175" i="1"/>
  <c r="U176" i="1"/>
  <c r="V176" i="1"/>
  <c r="X176" i="1"/>
  <c r="Y176" i="1"/>
  <c r="AA176" i="1"/>
  <c r="AB176" i="1"/>
  <c r="U177" i="1"/>
  <c r="V177" i="1"/>
  <c r="X177" i="1"/>
  <c r="Y177" i="1"/>
  <c r="AA177" i="1"/>
  <c r="AB177" i="1"/>
  <c r="U178" i="1"/>
  <c r="V178" i="1"/>
  <c r="X178" i="1"/>
  <c r="Y178" i="1"/>
  <c r="AA178" i="1"/>
  <c r="AB178" i="1"/>
  <c r="U179" i="1"/>
  <c r="V179" i="1"/>
  <c r="X179" i="1"/>
  <c r="Y179" i="1"/>
  <c r="AA179" i="1"/>
  <c r="AB179" i="1"/>
  <c r="U180" i="1"/>
  <c r="V180" i="1"/>
  <c r="X180" i="1"/>
  <c r="Y180" i="1"/>
  <c r="AA180" i="1"/>
  <c r="AB180" i="1"/>
  <c r="U181" i="1"/>
  <c r="V181" i="1"/>
  <c r="X181" i="1"/>
  <c r="Y181" i="1"/>
  <c r="AA181" i="1"/>
  <c r="AB181" i="1"/>
  <c r="U182" i="1"/>
  <c r="V182" i="1"/>
  <c r="X182" i="1"/>
  <c r="Y182" i="1"/>
  <c r="AA182" i="1"/>
  <c r="AB182" i="1"/>
  <c r="U183" i="1"/>
  <c r="V183" i="1"/>
  <c r="X183" i="1"/>
  <c r="Y183" i="1"/>
  <c r="AA183" i="1"/>
  <c r="AB183" i="1"/>
  <c r="U184" i="1"/>
  <c r="V184" i="1"/>
  <c r="X184" i="1"/>
  <c r="Y184" i="1"/>
  <c r="AA184" i="1"/>
  <c r="AB184" i="1"/>
  <c r="U185" i="1"/>
  <c r="V185" i="1"/>
  <c r="X185" i="1"/>
  <c r="Y185" i="1"/>
  <c r="AA185" i="1"/>
  <c r="AB185" i="1"/>
  <c r="U186" i="1"/>
  <c r="V186" i="1"/>
  <c r="X186" i="1"/>
  <c r="Y186" i="1"/>
  <c r="AA186" i="1"/>
  <c r="AB186" i="1"/>
  <c r="U187" i="1"/>
  <c r="V187" i="1"/>
  <c r="X187" i="1"/>
  <c r="Y187" i="1"/>
  <c r="AA187" i="1"/>
  <c r="AB187" i="1"/>
  <c r="U188" i="1"/>
  <c r="V188" i="1"/>
  <c r="X188" i="1"/>
  <c r="Y188" i="1"/>
  <c r="AA188" i="1"/>
  <c r="AB188" i="1"/>
  <c r="U189" i="1"/>
  <c r="V189" i="1"/>
  <c r="X189" i="1"/>
  <c r="Y189" i="1"/>
  <c r="AA189" i="1"/>
  <c r="AB189" i="1"/>
  <c r="U190" i="1"/>
  <c r="V190" i="1"/>
  <c r="X190" i="1"/>
  <c r="Y190" i="1"/>
  <c r="AA190" i="1"/>
  <c r="AB190" i="1"/>
  <c r="U191" i="1"/>
  <c r="V191" i="1"/>
  <c r="X191" i="1"/>
  <c r="Y191" i="1"/>
  <c r="AA191" i="1"/>
  <c r="AB191" i="1"/>
  <c r="U192" i="1"/>
  <c r="V192" i="1"/>
  <c r="X192" i="1"/>
  <c r="Y192" i="1"/>
  <c r="AA192" i="1"/>
  <c r="AB192" i="1"/>
  <c r="U193" i="1"/>
  <c r="V193" i="1"/>
  <c r="X193" i="1"/>
  <c r="Y193" i="1"/>
  <c r="AA193" i="1"/>
  <c r="AB193" i="1"/>
  <c r="U194" i="1"/>
  <c r="V194" i="1"/>
  <c r="X194" i="1"/>
  <c r="Y194" i="1"/>
  <c r="AA194" i="1"/>
  <c r="AB194" i="1"/>
  <c r="U195" i="1"/>
  <c r="V195" i="1"/>
  <c r="X195" i="1"/>
  <c r="Y195" i="1"/>
  <c r="AA195" i="1"/>
  <c r="AB195" i="1"/>
  <c r="U196" i="1"/>
  <c r="V196" i="1"/>
  <c r="X196" i="1"/>
  <c r="Y196" i="1"/>
  <c r="AA196" i="1"/>
  <c r="AB196" i="1"/>
  <c r="U197" i="1"/>
  <c r="V197" i="1"/>
  <c r="X197" i="1"/>
  <c r="Y197" i="1"/>
  <c r="AA197" i="1"/>
  <c r="AB197" i="1"/>
  <c r="U198" i="1"/>
  <c r="V198" i="1"/>
  <c r="X198" i="1"/>
  <c r="Y198" i="1"/>
  <c r="AA198" i="1"/>
  <c r="AB198" i="1"/>
  <c r="U199" i="1"/>
  <c r="V199" i="1"/>
  <c r="X199" i="1"/>
  <c r="Y199" i="1"/>
  <c r="AA199" i="1"/>
  <c r="AB199" i="1"/>
  <c r="U200" i="1"/>
  <c r="V200" i="1"/>
  <c r="X200" i="1"/>
  <c r="Y200" i="1"/>
  <c r="AA200" i="1"/>
  <c r="AB200" i="1"/>
  <c r="U201" i="1"/>
  <c r="V201" i="1"/>
  <c r="X201" i="1"/>
  <c r="Y201" i="1"/>
  <c r="AA201" i="1"/>
  <c r="AB201" i="1"/>
  <c r="AC201" i="1" s="1"/>
  <c r="U202" i="1"/>
  <c r="V202" i="1"/>
  <c r="X202" i="1"/>
  <c r="Y202" i="1"/>
  <c r="AA202" i="1"/>
  <c r="AB202" i="1"/>
  <c r="U203" i="1"/>
  <c r="V203" i="1"/>
  <c r="X203" i="1"/>
  <c r="Y203" i="1"/>
  <c r="AA203" i="1"/>
  <c r="AB203" i="1"/>
  <c r="U204" i="1"/>
  <c r="V204" i="1"/>
  <c r="X204" i="1"/>
  <c r="Y204" i="1"/>
  <c r="AA204" i="1"/>
  <c r="AB204" i="1"/>
  <c r="U205" i="1"/>
  <c r="V205" i="1"/>
  <c r="X205" i="1"/>
  <c r="Y205" i="1"/>
  <c r="AA205" i="1"/>
  <c r="AB205" i="1"/>
  <c r="AC205" i="1" s="1"/>
  <c r="U206" i="1"/>
  <c r="V206" i="1"/>
  <c r="X206" i="1"/>
  <c r="Y206" i="1"/>
  <c r="AA206" i="1"/>
  <c r="AB206" i="1"/>
  <c r="U207" i="1"/>
  <c r="V207" i="1"/>
  <c r="X207" i="1"/>
  <c r="Y207" i="1"/>
  <c r="AA207" i="1"/>
  <c r="AB207" i="1"/>
  <c r="U208" i="1"/>
  <c r="V208" i="1"/>
  <c r="X208" i="1"/>
  <c r="Y208" i="1"/>
  <c r="AA208" i="1"/>
  <c r="AB208" i="1"/>
  <c r="U209" i="1"/>
  <c r="V209" i="1"/>
  <c r="X209" i="1"/>
  <c r="Y209" i="1"/>
  <c r="AA209" i="1"/>
  <c r="AB209" i="1"/>
  <c r="U210" i="1"/>
  <c r="V210" i="1"/>
  <c r="X210" i="1"/>
  <c r="Y210" i="1"/>
  <c r="AA210" i="1"/>
  <c r="AB210" i="1"/>
  <c r="U211" i="1"/>
  <c r="V211" i="1"/>
  <c r="X211" i="1"/>
  <c r="Y211" i="1"/>
  <c r="AA211" i="1"/>
  <c r="AB211" i="1"/>
  <c r="U212" i="1"/>
  <c r="V212" i="1"/>
  <c r="X212" i="1"/>
  <c r="Y212" i="1"/>
  <c r="AA212" i="1"/>
  <c r="AB212" i="1"/>
  <c r="U213" i="1"/>
  <c r="V213" i="1"/>
  <c r="X213" i="1"/>
  <c r="Y213" i="1"/>
  <c r="AA213" i="1"/>
  <c r="AB213" i="1"/>
  <c r="U214" i="1"/>
  <c r="V214" i="1"/>
  <c r="X214" i="1"/>
  <c r="Y214" i="1"/>
  <c r="AA214" i="1"/>
  <c r="AB214" i="1"/>
  <c r="U215" i="1"/>
  <c r="V215" i="1"/>
  <c r="X215" i="1"/>
  <c r="Y215" i="1"/>
  <c r="AA215" i="1"/>
  <c r="AB215" i="1"/>
  <c r="U216" i="1"/>
  <c r="V216" i="1"/>
  <c r="X216" i="1"/>
  <c r="Y216" i="1"/>
  <c r="AA216" i="1"/>
  <c r="AB216" i="1"/>
  <c r="U217" i="1"/>
  <c r="V217" i="1"/>
  <c r="X217" i="1"/>
  <c r="Y217" i="1"/>
  <c r="AA217" i="1"/>
  <c r="AB217" i="1"/>
  <c r="U218" i="1"/>
  <c r="V218" i="1"/>
  <c r="X218" i="1"/>
  <c r="Y218" i="1"/>
  <c r="AA218" i="1"/>
  <c r="AB218" i="1"/>
  <c r="U219" i="1"/>
  <c r="V219" i="1"/>
  <c r="X219" i="1"/>
  <c r="Y219" i="1"/>
  <c r="AA219" i="1"/>
  <c r="AB219" i="1"/>
  <c r="U220" i="1"/>
  <c r="V220" i="1"/>
  <c r="X220" i="1"/>
  <c r="Y220" i="1"/>
  <c r="AA220" i="1"/>
  <c r="AB220" i="1"/>
  <c r="U221" i="1"/>
  <c r="V221" i="1"/>
  <c r="X221" i="1"/>
  <c r="Y221" i="1"/>
  <c r="AA221" i="1"/>
  <c r="AB221" i="1"/>
  <c r="U222" i="1"/>
  <c r="V222" i="1"/>
  <c r="X222" i="1"/>
  <c r="Y222" i="1"/>
  <c r="AA222" i="1"/>
  <c r="AB222" i="1"/>
  <c r="U223" i="1"/>
  <c r="V223" i="1"/>
  <c r="X223" i="1"/>
  <c r="Y223" i="1"/>
  <c r="AA223" i="1"/>
  <c r="AB223" i="1"/>
  <c r="U224" i="1"/>
  <c r="V224" i="1"/>
  <c r="X224" i="1"/>
  <c r="Y224" i="1"/>
  <c r="AA224" i="1"/>
  <c r="AB224" i="1"/>
  <c r="U225" i="1"/>
  <c r="V225" i="1"/>
  <c r="X225" i="1"/>
  <c r="Y225" i="1"/>
  <c r="AA225" i="1"/>
  <c r="AB225" i="1"/>
  <c r="U226" i="1"/>
  <c r="V226" i="1"/>
  <c r="X226" i="1"/>
  <c r="Y226" i="1"/>
  <c r="AA226" i="1"/>
  <c r="AB226" i="1"/>
  <c r="U227" i="1"/>
  <c r="V227" i="1"/>
  <c r="X227" i="1"/>
  <c r="Y227" i="1"/>
  <c r="AA227" i="1"/>
  <c r="AB227" i="1"/>
  <c r="U228" i="1"/>
  <c r="V228" i="1"/>
  <c r="X228" i="1"/>
  <c r="Y228" i="1"/>
  <c r="AA228" i="1"/>
  <c r="AB228" i="1"/>
  <c r="U229" i="1"/>
  <c r="V229" i="1"/>
  <c r="X229" i="1"/>
  <c r="Y229" i="1"/>
  <c r="AA229" i="1"/>
  <c r="AB229" i="1"/>
  <c r="U230" i="1"/>
  <c r="V230" i="1"/>
  <c r="X230" i="1"/>
  <c r="Y230" i="1"/>
  <c r="AA230" i="1"/>
  <c r="AB230" i="1"/>
  <c r="U231" i="1"/>
  <c r="V231" i="1"/>
  <c r="X231" i="1"/>
  <c r="Y231" i="1"/>
  <c r="AA231" i="1"/>
  <c r="AB231" i="1"/>
  <c r="U232" i="1"/>
  <c r="V232" i="1"/>
  <c r="X232" i="1"/>
  <c r="Y232" i="1"/>
  <c r="AA232" i="1"/>
  <c r="AB232" i="1"/>
  <c r="U233" i="1"/>
  <c r="V233" i="1"/>
  <c r="X233" i="1"/>
  <c r="Y233" i="1"/>
  <c r="AA233" i="1"/>
  <c r="AB233" i="1"/>
  <c r="U234" i="1"/>
  <c r="V234" i="1"/>
  <c r="X234" i="1"/>
  <c r="Y234" i="1"/>
  <c r="AA234" i="1"/>
  <c r="AB234" i="1"/>
  <c r="U235" i="1"/>
  <c r="V235" i="1"/>
  <c r="X235" i="1"/>
  <c r="Y235" i="1"/>
  <c r="AA235" i="1"/>
  <c r="AB235" i="1"/>
  <c r="U236" i="1"/>
  <c r="V236" i="1"/>
  <c r="X236" i="1"/>
  <c r="Y236" i="1"/>
  <c r="AA236" i="1"/>
  <c r="AB236" i="1"/>
  <c r="U237" i="1"/>
  <c r="V237" i="1"/>
  <c r="X237" i="1"/>
  <c r="Y237" i="1"/>
  <c r="AA237" i="1"/>
  <c r="AB237" i="1"/>
  <c r="U238" i="1"/>
  <c r="V238" i="1"/>
  <c r="X238" i="1"/>
  <c r="Y238" i="1"/>
  <c r="AA238" i="1"/>
  <c r="AB238" i="1"/>
  <c r="U239" i="1"/>
  <c r="V239" i="1"/>
  <c r="X239" i="1"/>
  <c r="Y239" i="1"/>
  <c r="AA239" i="1"/>
  <c r="AB239" i="1"/>
  <c r="U240" i="1"/>
  <c r="V240" i="1"/>
  <c r="X240" i="1"/>
  <c r="Y240" i="1"/>
  <c r="AA240" i="1"/>
  <c r="AB240" i="1"/>
  <c r="U241" i="1"/>
  <c r="V241" i="1"/>
  <c r="X241" i="1"/>
  <c r="Y241" i="1"/>
  <c r="AA241" i="1"/>
  <c r="AB241" i="1"/>
  <c r="U242" i="1"/>
  <c r="V242" i="1"/>
  <c r="X242" i="1"/>
  <c r="Y242" i="1"/>
  <c r="AA242" i="1"/>
  <c r="AB242" i="1"/>
  <c r="U243" i="1"/>
  <c r="V243" i="1"/>
  <c r="X243" i="1"/>
  <c r="Y243" i="1"/>
  <c r="AA243" i="1"/>
  <c r="AB243" i="1"/>
  <c r="U244" i="1"/>
  <c r="V244" i="1"/>
  <c r="X244" i="1"/>
  <c r="Y244" i="1"/>
  <c r="AA244" i="1"/>
  <c r="AB244" i="1"/>
  <c r="U245" i="1"/>
  <c r="V245" i="1"/>
  <c r="X245" i="1"/>
  <c r="Y245" i="1"/>
  <c r="AA245" i="1"/>
  <c r="AB245" i="1"/>
  <c r="U246" i="1"/>
  <c r="V246" i="1"/>
  <c r="X246" i="1"/>
  <c r="Y246" i="1"/>
  <c r="AA246" i="1"/>
  <c r="AB246" i="1"/>
  <c r="U247" i="1"/>
  <c r="V247" i="1"/>
  <c r="X247" i="1"/>
  <c r="Y247" i="1"/>
  <c r="AA247" i="1"/>
  <c r="AB247" i="1"/>
  <c r="U248" i="1"/>
  <c r="V248" i="1"/>
  <c r="X248" i="1"/>
  <c r="Y248" i="1"/>
  <c r="AA248" i="1"/>
  <c r="AB248" i="1"/>
  <c r="U249" i="1"/>
  <c r="V249" i="1"/>
  <c r="X249" i="1"/>
  <c r="Y249" i="1"/>
  <c r="AA249" i="1"/>
  <c r="AB249" i="1"/>
  <c r="U250" i="1"/>
  <c r="V250" i="1"/>
  <c r="X250" i="1"/>
  <c r="Y250" i="1"/>
  <c r="AA250" i="1"/>
  <c r="AB250" i="1"/>
  <c r="U251" i="1"/>
  <c r="V251" i="1"/>
  <c r="X251" i="1"/>
  <c r="Y251" i="1"/>
  <c r="AA251" i="1"/>
  <c r="AB251" i="1"/>
  <c r="U252" i="1"/>
  <c r="V252" i="1"/>
  <c r="X252" i="1"/>
  <c r="Y252" i="1"/>
  <c r="AA252" i="1"/>
  <c r="AB252" i="1"/>
  <c r="U253" i="1"/>
  <c r="V253" i="1"/>
  <c r="X253" i="1"/>
  <c r="Y253" i="1"/>
  <c r="AA253" i="1"/>
  <c r="AB253" i="1"/>
  <c r="U254" i="1"/>
  <c r="V254" i="1"/>
  <c r="X254" i="1"/>
  <c r="Y254" i="1"/>
  <c r="AA254" i="1"/>
  <c r="AB254" i="1"/>
  <c r="U255" i="1"/>
  <c r="V255" i="1"/>
  <c r="X255" i="1"/>
  <c r="Y255" i="1"/>
  <c r="AA255" i="1"/>
  <c r="AB255" i="1"/>
  <c r="U256" i="1"/>
  <c r="V256" i="1"/>
  <c r="X256" i="1"/>
  <c r="Y256" i="1"/>
  <c r="AA256" i="1"/>
  <c r="AB256" i="1"/>
  <c r="U257" i="1"/>
  <c r="V257" i="1"/>
  <c r="X257" i="1"/>
  <c r="Y257" i="1"/>
  <c r="AA257" i="1"/>
  <c r="AB257" i="1"/>
  <c r="U258" i="1"/>
  <c r="V258" i="1"/>
  <c r="X258" i="1"/>
  <c r="Y258" i="1"/>
  <c r="AA258" i="1"/>
  <c r="AB258" i="1"/>
  <c r="U259" i="1"/>
  <c r="V259" i="1"/>
  <c r="X259" i="1"/>
  <c r="Y259" i="1"/>
  <c r="AA259" i="1"/>
  <c r="AB259" i="1"/>
  <c r="U260" i="1"/>
  <c r="V260" i="1"/>
  <c r="X260" i="1"/>
  <c r="Y260" i="1"/>
  <c r="AA260" i="1"/>
  <c r="AB260" i="1"/>
  <c r="U261" i="1"/>
  <c r="V261" i="1"/>
  <c r="X261" i="1"/>
  <c r="Y261" i="1"/>
  <c r="AA261" i="1"/>
  <c r="AB261" i="1"/>
  <c r="U262" i="1"/>
  <c r="V262" i="1"/>
  <c r="X262" i="1"/>
  <c r="Y262" i="1"/>
  <c r="AA262" i="1"/>
  <c r="AB262" i="1"/>
  <c r="U263" i="1"/>
  <c r="V263" i="1"/>
  <c r="X263" i="1"/>
  <c r="Y263" i="1"/>
  <c r="AA263" i="1"/>
  <c r="AB263" i="1"/>
  <c r="U264" i="1"/>
  <c r="V264" i="1"/>
  <c r="X264" i="1"/>
  <c r="Y264" i="1"/>
  <c r="AA264" i="1"/>
  <c r="AB264" i="1"/>
  <c r="U265" i="1"/>
  <c r="V265" i="1"/>
  <c r="X265" i="1"/>
  <c r="Y265" i="1"/>
  <c r="AA265" i="1"/>
  <c r="AB265" i="1"/>
  <c r="U266" i="1"/>
  <c r="V266" i="1"/>
  <c r="X266" i="1"/>
  <c r="Y266" i="1"/>
  <c r="AA266" i="1"/>
  <c r="AB266" i="1"/>
  <c r="U267" i="1"/>
  <c r="V267" i="1"/>
  <c r="X267" i="1"/>
  <c r="Y267" i="1"/>
  <c r="AA267" i="1"/>
  <c r="AB267" i="1"/>
  <c r="U268" i="1"/>
  <c r="V268" i="1"/>
  <c r="X268" i="1"/>
  <c r="Y268" i="1"/>
  <c r="AA268" i="1"/>
  <c r="AB268" i="1"/>
  <c r="U269" i="1"/>
  <c r="V269" i="1"/>
  <c r="X269" i="1"/>
  <c r="Y269" i="1"/>
  <c r="AA269" i="1"/>
  <c r="AB269" i="1"/>
  <c r="U270" i="1"/>
  <c r="V270" i="1"/>
  <c r="X270" i="1"/>
  <c r="Y270" i="1"/>
  <c r="AA270" i="1"/>
  <c r="AB270" i="1"/>
  <c r="U271" i="1"/>
  <c r="V271" i="1"/>
  <c r="X271" i="1"/>
  <c r="Y271" i="1"/>
  <c r="AA271" i="1"/>
  <c r="AB271" i="1"/>
  <c r="U272" i="1"/>
  <c r="V272" i="1"/>
  <c r="X272" i="1"/>
  <c r="Y272" i="1"/>
  <c r="AA272" i="1"/>
  <c r="AB272" i="1"/>
  <c r="U273" i="1"/>
  <c r="V273" i="1"/>
  <c r="X273" i="1"/>
  <c r="Y273" i="1"/>
  <c r="AA273" i="1"/>
  <c r="AB273" i="1"/>
  <c r="U274" i="1"/>
  <c r="V274" i="1"/>
  <c r="X274" i="1"/>
  <c r="Y274" i="1"/>
  <c r="AA274" i="1"/>
  <c r="AB274" i="1"/>
  <c r="U275" i="1"/>
  <c r="V275" i="1"/>
  <c r="X275" i="1"/>
  <c r="Y275" i="1"/>
  <c r="AA275" i="1"/>
  <c r="AB275" i="1"/>
  <c r="U276" i="1"/>
  <c r="V276" i="1"/>
  <c r="X276" i="1"/>
  <c r="Y276" i="1"/>
  <c r="AA276" i="1"/>
  <c r="AB276" i="1"/>
  <c r="U277" i="1"/>
  <c r="V277" i="1"/>
  <c r="X277" i="1"/>
  <c r="Y277" i="1"/>
  <c r="AA277" i="1"/>
  <c r="AB277" i="1"/>
  <c r="U278" i="1"/>
  <c r="V278" i="1"/>
  <c r="X278" i="1"/>
  <c r="Y278" i="1"/>
  <c r="AA278" i="1"/>
  <c r="AB278" i="1"/>
  <c r="U279" i="1"/>
  <c r="V279" i="1"/>
  <c r="X279" i="1"/>
  <c r="Y279" i="1"/>
  <c r="AA279" i="1"/>
  <c r="AB279" i="1"/>
  <c r="U280" i="1"/>
  <c r="V280" i="1"/>
  <c r="X280" i="1"/>
  <c r="Y280" i="1"/>
  <c r="AA280" i="1"/>
  <c r="AB280" i="1"/>
  <c r="U281" i="1"/>
  <c r="V281" i="1"/>
  <c r="X281" i="1"/>
  <c r="Y281" i="1"/>
  <c r="AA281" i="1"/>
  <c r="AB281" i="1"/>
  <c r="U282" i="1"/>
  <c r="V282" i="1"/>
  <c r="X282" i="1"/>
  <c r="Y282" i="1"/>
  <c r="AA282" i="1"/>
  <c r="AB282" i="1"/>
  <c r="U283" i="1"/>
  <c r="V283" i="1"/>
  <c r="X283" i="1"/>
  <c r="Y283" i="1"/>
  <c r="AA283" i="1"/>
  <c r="AB283" i="1"/>
  <c r="U284" i="1"/>
  <c r="V284" i="1"/>
  <c r="X284" i="1"/>
  <c r="Y284" i="1"/>
  <c r="AA284" i="1"/>
  <c r="AB284" i="1"/>
  <c r="U285" i="1"/>
  <c r="V285" i="1"/>
  <c r="X285" i="1"/>
  <c r="Y285" i="1"/>
  <c r="AA285" i="1"/>
  <c r="AB285" i="1"/>
  <c r="U286" i="1"/>
  <c r="V286" i="1"/>
  <c r="X286" i="1"/>
  <c r="Y286" i="1"/>
  <c r="AA286" i="1"/>
  <c r="AB286" i="1"/>
  <c r="U287" i="1"/>
  <c r="V287" i="1"/>
  <c r="X287" i="1"/>
  <c r="Y287" i="1"/>
  <c r="AA287" i="1"/>
  <c r="AB287" i="1"/>
  <c r="U288" i="1"/>
  <c r="V288" i="1"/>
  <c r="X288" i="1"/>
  <c r="Y288" i="1"/>
  <c r="AA288" i="1"/>
  <c r="AB288" i="1"/>
  <c r="U289" i="1"/>
  <c r="V289" i="1"/>
  <c r="X289" i="1"/>
  <c r="Y289" i="1"/>
  <c r="AA289" i="1"/>
  <c r="AB289" i="1"/>
  <c r="U290" i="1"/>
  <c r="V290" i="1"/>
  <c r="X290" i="1"/>
  <c r="Y290" i="1"/>
  <c r="AA290" i="1"/>
  <c r="AB290" i="1"/>
  <c r="U291" i="1"/>
  <c r="V291" i="1"/>
  <c r="X291" i="1"/>
  <c r="Y291" i="1"/>
  <c r="AA291" i="1"/>
  <c r="AB291" i="1"/>
  <c r="U292" i="1"/>
  <c r="V292" i="1"/>
  <c r="X292" i="1"/>
  <c r="Y292" i="1"/>
  <c r="AA292" i="1"/>
  <c r="AB292" i="1"/>
  <c r="U293" i="1"/>
  <c r="V293" i="1"/>
  <c r="X293" i="1"/>
  <c r="Y293" i="1"/>
  <c r="AA293" i="1"/>
  <c r="AB293" i="1"/>
  <c r="U294" i="1"/>
  <c r="V294" i="1"/>
  <c r="X294" i="1"/>
  <c r="Y294" i="1"/>
  <c r="AA294" i="1"/>
  <c r="AB294" i="1"/>
  <c r="U295" i="1"/>
  <c r="V295" i="1"/>
  <c r="X295" i="1"/>
  <c r="Y295" i="1"/>
  <c r="AA295" i="1"/>
  <c r="AB295" i="1"/>
  <c r="U296" i="1"/>
  <c r="V296" i="1"/>
  <c r="X296" i="1"/>
  <c r="Y296" i="1"/>
  <c r="AA296" i="1"/>
  <c r="AB296" i="1"/>
  <c r="U297" i="1"/>
  <c r="V297" i="1"/>
  <c r="X297" i="1"/>
  <c r="Y297" i="1"/>
  <c r="AA297" i="1"/>
  <c r="AB297" i="1"/>
  <c r="U298" i="1"/>
  <c r="V298" i="1"/>
  <c r="X298" i="1"/>
  <c r="Y298" i="1"/>
  <c r="AA298" i="1"/>
  <c r="AB298" i="1"/>
  <c r="U299" i="1"/>
  <c r="V299" i="1"/>
  <c r="X299" i="1"/>
  <c r="Y299" i="1"/>
  <c r="AA299" i="1"/>
  <c r="AB299" i="1"/>
  <c r="U300" i="1"/>
  <c r="V300" i="1"/>
  <c r="X300" i="1"/>
  <c r="Y300" i="1"/>
  <c r="AA300" i="1"/>
  <c r="AB300" i="1"/>
  <c r="U301" i="1"/>
  <c r="V301" i="1"/>
  <c r="X301" i="1"/>
  <c r="Y301" i="1"/>
  <c r="AA301" i="1"/>
  <c r="AB301" i="1"/>
  <c r="U302" i="1"/>
  <c r="V302" i="1"/>
  <c r="X302" i="1"/>
  <c r="Y302" i="1"/>
  <c r="AA302" i="1"/>
  <c r="AB302" i="1"/>
  <c r="U303" i="1"/>
  <c r="V303" i="1"/>
  <c r="X303" i="1"/>
  <c r="Y303" i="1"/>
  <c r="AA303" i="1"/>
  <c r="AB303" i="1"/>
  <c r="U304" i="1"/>
  <c r="V304" i="1"/>
  <c r="X304" i="1"/>
  <c r="Y304" i="1"/>
  <c r="AA304" i="1"/>
  <c r="AB304" i="1"/>
  <c r="U305" i="1"/>
  <c r="V305" i="1"/>
  <c r="X305" i="1"/>
  <c r="Y305" i="1"/>
  <c r="AA305" i="1"/>
  <c r="AB305" i="1"/>
  <c r="U306" i="1"/>
  <c r="V306" i="1"/>
  <c r="X306" i="1"/>
  <c r="Y306" i="1"/>
  <c r="AA306" i="1"/>
  <c r="AB306" i="1"/>
  <c r="U307" i="1"/>
  <c r="V307" i="1"/>
  <c r="X307" i="1"/>
  <c r="Y307" i="1"/>
  <c r="AA307" i="1"/>
  <c r="AB307" i="1"/>
  <c r="U308" i="1"/>
  <c r="V308" i="1"/>
  <c r="X308" i="1"/>
  <c r="Y308" i="1"/>
  <c r="AA308" i="1"/>
  <c r="AB308" i="1"/>
  <c r="U309" i="1"/>
  <c r="V309" i="1"/>
  <c r="X309" i="1"/>
  <c r="Y309" i="1"/>
  <c r="AA309" i="1"/>
  <c r="AB309" i="1"/>
  <c r="U310" i="1"/>
  <c r="V310" i="1"/>
  <c r="X310" i="1"/>
  <c r="Y310" i="1"/>
  <c r="AA310" i="1"/>
  <c r="AB310" i="1"/>
  <c r="U311" i="1"/>
  <c r="V311" i="1"/>
  <c r="X311" i="1"/>
  <c r="Y311" i="1"/>
  <c r="AA311" i="1"/>
  <c r="AB311" i="1"/>
  <c r="U312" i="1"/>
  <c r="V312" i="1"/>
  <c r="X312" i="1"/>
  <c r="Y312" i="1"/>
  <c r="AA312" i="1"/>
  <c r="AB312" i="1"/>
  <c r="U313" i="1"/>
  <c r="V313" i="1"/>
  <c r="X313" i="1"/>
  <c r="Y313" i="1"/>
  <c r="AA313" i="1"/>
  <c r="AB313" i="1"/>
  <c r="U314" i="1"/>
  <c r="V314" i="1"/>
  <c r="X314" i="1"/>
  <c r="Y314" i="1"/>
  <c r="AA314" i="1"/>
  <c r="AB314" i="1"/>
  <c r="U315" i="1"/>
  <c r="V315" i="1"/>
  <c r="X315" i="1"/>
  <c r="Y315" i="1"/>
  <c r="AA315" i="1"/>
  <c r="AB315" i="1"/>
  <c r="U316" i="1"/>
  <c r="V316" i="1"/>
  <c r="X316" i="1"/>
  <c r="Y316" i="1"/>
  <c r="AA316" i="1"/>
  <c r="AB316" i="1"/>
  <c r="U317" i="1"/>
  <c r="V317" i="1"/>
  <c r="X317" i="1"/>
  <c r="Y317" i="1"/>
  <c r="AA317" i="1"/>
  <c r="AB317" i="1"/>
  <c r="U318" i="1"/>
  <c r="V318" i="1"/>
  <c r="X318" i="1"/>
  <c r="Y318" i="1"/>
  <c r="AA318" i="1"/>
  <c r="AB318" i="1"/>
  <c r="U319" i="1"/>
  <c r="V319" i="1"/>
  <c r="X319" i="1"/>
  <c r="Y319" i="1"/>
  <c r="AA319" i="1"/>
  <c r="AB319" i="1"/>
  <c r="U320" i="1"/>
  <c r="V320" i="1"/>
  <c r="X320" i="1"/>
  <c r="Y320" i="1"/>
  <c r="AA320" i="1"/>
  <c r="AB320" i="1"/>
  <c r="U321" i="1"/>
  <c r="V321" i="1"/>
  <c r="X321" i="1"/>
  <c r="Y321" i="1"/>
  <c r="AA321" i="1"/>
  <c r="AB321" i="1"/>
  <c r="U322" i="1"/>
  <c r="V322" i="1"/>
  <c r="X322" i="1"/>
  <c r="Y322" i="1"/>
  <c r="AA322" i="1"/>
  <c r="AB322" i="1"/>
  <c r="U323" i="1"/>
  <c r="V323" i="1"/>
  <c r="X323" i="1"/>
  <c r="Y323" i="1"/>
  <c r="AA323" i="1"/>
  <c r="AB323" i="1"/>
  <c r="U324" i="1"/>
  <c r="V324" i="1"/>
  <c r="X324" i="1"/>
  <c r="Y324" i="1"/>
  <c r="AA324" i="1"/>
  <c r="AB324" i="1"/>
  <c r="U325" i="1"/>
  <c r="V325" i="1"/>
  <c r="X325" i="1"/>
  <c r="Y325" i="1"/>
  <c r="AA325" i="1"/>
  <c r="AB325" i="1"/>
  <c r="U326" i="1"/>
  <c r="V326" i="1"/>
  <c r="X326" i="1"/>
  <c r="Y326" i="1"/>
  <c r="AA326" i="1"/>
  <c r="AB326" i="1"/>
  <c r="U327" i="1"/>
  <c r="V327" i="1"/>
  <c r="X327" i="1"/>
  <c r="Y327" i="1"/>
  <c r="AA327" i="1"/>
  <c r="AB327" i="1"/>
  <c r="U328" i="1"/>
  <c r="V328" i="1"/>
  <c r="X328" i="1"/>
  <c r="Y328" i="1"/>
  <c r="AA328" i="1"/>
  <c r="AB328" i="1"/>
  <c r="U329" i="1"/>
  <c r="V329" i="1"/>
  <c r="X329" i="1"/>
  <c r="Y329" i="1"/>
  <c r="AA329" i="1"/>
  <c r="AB329" i="1"/>
  <c r="U330" i="1"/>
  <c r="V330" i="1"/>
  <c r="X330" i="1"/>
  <c r="Y330" i="1"/>
  <c r="AA330" i="1"/>
  <c r="AB330" i="1"/>
  <c r="U331" i="1"/>
  <c r="V331" i="1"/>
  <c r="X331" i="1"/>
  <c r="Y331" i="1"/>
  <c r="AA331" i="1"/>
  <c r="AB331" i="1"/>
  <c r="U332" i="1"/>
  <c r="V332" i="1"/>
  <c r="X332" i="1"/>
  <c r="Y332" i="1"/>
  <c r="AA332" i="1"/>
  <c r="AB332" i="1"/>
  <c r="U333" i="1"/>
  <c r="V333" i="1"/>
  <c r="X333" i="1"/>
  <c r="Y333" i="1"/>
  <c r="AA333" i="1"/>
  <c r="AB333" i="1"/>
  <c r="U334" i="1"/>
  <c r="V334" i="1"/>
  <c r="X334" i="1"/>
  <c r="Y334" i="1"/>
  <c r="AA334" i="1"/>
  <c r="AB334" i="1"/>
  <c r="U335" i="1"/>
  <c r="V335" i="1"/>
  <c r="X335" i="1"/>
  <c r="Y335" i="1"/>
  <c r="AA335" i="1"/>
  <c r="AB335" i="1"/>
  <c r="U336" i="1"/>
  <c r="V336" i="1"/>
  <c r="X336" i="1"/>
  <c r="Y336" i="1"/>
  <c r="AA336" i="1"/>
  <c r="AB336" i="1"/>
  <c r="U337" i="1"/>
  <c r="V337" i="1"/>
  <c r="X337" i="1"/>
  <c r="Y337" i="1"/>
  <c r="AA337" i="1"/>
  <c r="AB337" i="1"/>
  <c r="U338" i="1"/>
  <c r="V338" i="1"/>
  <c r="X338" i="1"/>
  <c r="Y338" i="1"/>
  <c r="AA338" i="1"/>
  <c r="AB338" i="1"/>
  <c r="U339" i="1"/>
  <c r="V339" i="1"/>
  <c r="X339" i="1"/>
  <c r="Y339" i="1"/>
  <c r="AA339" i="1"/>
  <c r="AB339" i="1"/>
  <c r="U340" i="1"/>
  <c r="V340" i="1"/>
  <c r="X340" i="1"/>
  <c r="Y340" i="1"/>
  <c r="AA340" i="1"/>
  <c r="AB340" i="1"/>
  <c r="U341" i="1"/>
  <c r="V341" i="1"/>
  <c r="X341" i="1"/>
  <c r="Y341" i="1"/>
  <c r="AA341" i="1"/>
  <c r="AB341" i="1"/>
  <c r="U342" i="1"/>
  <c r="V342" i="1"/>
  <c r="X342" i="1"/>
  <c r="Y342" i="1"/>
  <c r="AA342" i="1"/>
  <c r="AB342" i="1"/>
  <c r="U343" i="1"/>
  <c r="V343" i="1"/>
  <c r="X343" i="1"/>
  <c r="Y343" i="1"/>
  <c r="AA343" i="1"/>
  <c r="AB343" i="1"/>
  <c r="U344" i="1"/>
  <c r="V344" i="1"/>
  <c r="X344" i="1"/>
  <c r="Y344" i="1"/>
  <c r="AA344" i="1"/>
  <c r="AB344" i="1"/>
  <c r="U345" i="1"/>
  <c r="V345" i="1"/>
  <c r="X345" i="1"/>
  <c r="Y345" i="1"/>
  <c r="AA345" i="1"/>
  <c r="AB345" i="1"/>
  <c r="U346" i="1"/>
  <c r="V346" i="1"/>
  <c r="X346" i="1"/>
  <c r="Y346" i="1"/>
  <c r="AA346" i="1"/>
  <c r="AB346" i="1"/>
  <c r="U347" i="1"/>
  <c r="V347" i="1"/>
  <c r="X347" i="1"/>
  <c r="Y347" i="1"/>
  <c r="AA347" i="1"/>
  <c r="AB347" i="1"/>
  <c r="U348" i="1"/>
  <c r="V348" i="1"/>
  <c r="X348" i="1"/>
  <c r="Y348" i="1"/>
  <c r="AA348" i="1"/>
  <c r="AB348" i="1"/>
  <c r="U349" i="1"/>
  <c r="V349" i="1"/>
  <c r="X349" i="1"/>
  <c r="Y349" i="1"/>
  <c r="AA349" i="1"/>
  <c r="AB349" i="1"/>
  <c r="U350" i="1"/>
  <c r="V350" i="1"/>
  <c r="X350" i="1"/>
  <c r="Y350" i="1"/>
  <c r="AA350" i="1"/>
  <c r="AB350" i="1"/>
  <c r="U351" i="1"/>
  <c r="V351" i="1"/>
  <c r="X351" i="1"/>
  <c r="Y351" i="1"/>
  <c r="AA351" i="1"/>
  <c r="AB351" i="1"/>
  <c r="U352" i="1"/>
  <c r="V352" i="1"/>
  <c r="X352" i="1"/>
  <c r="Y352" i="1"/>
  <c r="AA352" i="1"/>
  <c r="AB352" i="1"/>
  <c r="U353" i="1"/>
  <c r="V353" i="1"/>
  <c r="X353" i="1"/>
  <c r="Y353" i="1"/>
  <c r="AA353" i="1"/>
  <c r="AB353" i="1"/>
  <c r="U354" i="1"/>
  <c r="V354" i="1"/>
  <c r="X354" i="1"/>
  <c r="Y354" i="1"/>
  <c r="AA354" i="1"/>
  <c r="AB354" i="1"/>
  <c r="U355" i="1"/>
  <c r="V355" i="1"/>
  <c r="X355" i="1"/>
  <c r="Y355" i="1"/>
  <c r="AA355" i="1"/>
  <c r="AB355" i="1"/>
  <c r="U356" i="1"/>
  <c r="V356" i="1"/>
  <c r="X356" i="1"/>
  <c r="Y356" i="1"/>
  <c r="AA356" i="1"/>
  <c r="AB356" i="1"/>
  <c r="U357" i="1"/>
  <c r="V357" i="1"/>
  <c r="X357" i="1"/>
  <c r="Y357" i="1"/>
  <c r="AA357" i="1"/>
  <c r="AB357" i="1"/>
  <c r="U358" i="1"/>
  <c r="V358" i="1"/>
  <c r="X358" i="1"/>
  <c r="Y358" i="1"/>
  <c r="AA358" i="1"/>
  <c r="AB358" i="1"/>
  <c r="U359" i="1"/>
  <c r="V359" i="1"/>
  <c r="X359" i="1"/>
  <c r="Y359" i="1"/>
  <c r="AA359" i="1"/>
  <c r="AB359" i="1"/>
  <c r="U360" i="1"/>
  <c r="V360" i="1"/>
  <c r="X360" i="1"/>
  <c r="Y360" i="1"/>
  <c r="AA360" i="1"/>
  <c r="AB360" i="1"/>
  <c r="U361" i="1"/>
  <c r="V361" i="1"/>
  <c r="X361" i="1"/>
  <c r="Y361" i="1"/>
  <c r="AA361" i="1"/>
  <c r="AB361" i="1"/>
  <c r="U362" i="1"/>
  <c r="V362" i="1"/>
  <c r="X362" i="1"/>
  <c r="Y362" i="1"/>
  <c r="AA362" i="1"/>
  <c r="AB362" i="1"/>
  <c r="U363" i="1"/>
  <c r="V363" i="1"/>
  <c r="X363" i="1"/>
  <c r="Y363" i="1"/>
  <c r="AA363" i="1"/>
  <c r="AB363" i="1"/>
  <c r="U364" i="1"/>
  <c r="V364" i="1"/>
  <c r="X364" i="1"/>
  <c r="Y364" i="1"/>
  <c r="AA364" i="1"/>
  <c r="AB364" i="1"/>
  <c r="U365" i="1"/>
  <c r="V365" i="1"/>
  <c r="X365" i="1"/>
  <c r="Y365" i="1"/>
  <c r="AA365" i="1"/>
  <c r="AB365" i="1"/>
  <c r="U366" i="1"/>
  <c r="V366" i="1"/>
  <c r="X366" i="1"/>
  <c r="Y366" i="1"/>
  <c r="AA366" i="1"/>
  <c r="AB366" i="1"/>
  <c r="U367" i="1"/>
  <c r="V367" i="1"/>
  <c r="X367" i="1"/>
  <c r="Y367" i="1"/>
  <c r="AA367" i="1"/>
  <c r="AB367" i="1"/>
  <c r="U368" i="1"/>
  <c r="V368" i="1"/>
  <c r="X368" i="1"/>
  <c r="Y368" i="1"/>
  <c r="AA368" i="1"/>
  <c r="AB368" i="1"/>
  <c r="U369" i="1"/>
  <c r="V369" i="1"/>
  <c r="X369" i="1"/>
  <c r="Y369" i="1"/>
  <c r="AA369" i="1"/>
  <c r="AB369" i="1"/>
  <c r="U370" i="1"/>
  <c r="V370" i="1"/>
  <c r="X370" i="1"/>
  <c r="Y370" i="1"/>
  <c r="AA370" i="1"/>
  <c r="AB370" i="1"/>
  <c r="U371" i="1"/>
  <c r="V371" i="1"/>
  <c r="X371" i="1"/>
  <c r="Y371" i="1"/>
  <c r="AA371" i="1"/>
  <c r="AB371" i="1"/>
  <c r="U372" i="1"/>
  <c r="V372" i="1"/>
  <c r="X372" i="1"/>
  <c r="Y372" i="1"/>
  <c r="AA372" i="1"/>
  <c r="AB372" i="1"/>
  <c r="U373" i="1"/>
  <c r="V373" i="1"/>
  <c r="X373" i="1"/>
  <c r="Y373" i="1"/>
  <c r="AA373" i="1"/>
  <c r="AB373" i="1"/>
  <c r="U374" i="1"/>
  <c r="V374" i="1"/>
  <c r="X374" i="1"/>
  <c r="Y374" i="1"/>
  <c r="AA374" i="1"/>
  <c r="AB374" i="1"/>
  <c r="U375" i="1"/>
  <c r="V375" i="1"/>
  <c r="X375" i="1"/>
  <c r="Y375" i="1"/>
  <c r="AA375" i="1"/>
  <c r="AB375" i="1"/>
  <c r="U376" i="1"/>
  <c r="V376" i="1"/>
  <c r="X376" i="1"/>
  <c r="Y376" i="1"/>
  <c r="AA376" i="1"/>
  <c r="AB376" i="1"/>
  <c r="U377" i="1"/>
  <c r="V377" i="1"/>
  <c r="X377" i="1"/>
  <c r="Y377" i="1"/>
  <c r="AA377" i="1"/>
  <c r="AB377" i="1"/>
  <c r="U378" i="1"/>
  <c r="V378" i="1"/>
  <c r="X378" i="1"/>
  <c r="Y378" i="1"/>
  <c r="AA378" i="1"/>
  <c r="AB378" i="1"/>
  <c r="U379" i="1"/>
  <c r="V379" i="1"/>
  <c r="X379" i="1"/>
  <c r="Y379" i="1"/>
  <c r="AA379" i="1"/>
  <c r="AB379" i="1"/>
  <c r="U380" i="1"/>
  <c r="V380" i="1"/>
  <c r="X380" i="1"/>
  <c r="Y380" i="1"/>
  <c r="AA380" i="1"/>
  <c r="AB380" i="1"/>
  <c r="U381" i="1"/>
  <c r="V381" i="1"/>
  <c r="X381" i="1"/>
  <c r="Y381" i="1"/>
  <c r="AA381" i="1"/>
  <c r="AB381" i="1"/>
  <c r="U382" i="1"/>
  <c r="V382" i="1"/>
  <c r="X382" i="1"/>
  <c r="Y382" i="1"/>
  <c r="AA382" i="1"/>
  <c r="AB382" i="1"/>
  <c r="U383" i="1"/>
  <c r="V383" i="1"/>
  <c r="X383" i="1"/>
  <c r="Y383" i="1"/>
  <c r="AA383" i="1"/>
  <c r="AB383" i="1"/>
  <c r="U384" i="1"/>
  <c r="V384" i="1"/>
  <c r="X384" i="1"/>
  <c r="Y384" i="1"/>
  <c r="AA384" i="1"/>
  <c r="AB384" i="1"/>
  <c r="U385" i="1"/>
  <c r="V385" i="1"/>
  <c r="X385" i="1"/>
  <c r="Y385" i="1"/>
  <c r="AA385" i="1"/>
  <c r="AB385" i="1"/>
  <c r="U386" i="1"/>
  <c r="V386" i="1"/>
  <c r="X386" i="1"/>
  <c r="Y386" i="1"/>
  <c r="AA386" i="1"/>
  <c r="AB386" i="1"/>
  <c r="U387" i="1"/>
  <c r="V387" i="1"/>
  <c r="X387" i="1"/>
  <c r="Y387" i="1"/>
  <c r="AA387" i="1"/>
  <c r="AB387" i="1"/>
  <c r="U388" i="1"/>
  <c r="V388" i="1"/>
  <c r="X388" i="1"/>
  <c r="Y388" i="1"/>
  <c r="AA388" i="1"/>
  <c r="AB388" i="1"/>
  <c r="U389" i="1"/>
  <c r="V389" i="1"/>
  <c r="X389" i="1"/>
  <c r="Y389" i="1"/>
  <c r="AA389" i="1"/>
  <c r="AB389" i="1"/>
  <c r="U390" i="1"/>
  <c r="V390" i="1"/>
  <c r="X390" i="1"/>
  <c r="Y390" i="1"/>
  <c r="AA390" i="1"/>
  <c r="AB390" i="1"/>
  <c r="U391" i="1"/>
  <c r="V391" i="1"/>
  <c r="X391" i="1"/>
  <c r="Y391" i="1"/>
  <c r="AA391" i="1"/>
  <c r="AB391" i="1"/>
  <c r="U392" i="1"/>
  <c r="V392" i="1"/>
  <c r="X392" i="1"/>
  <c r="Y392" i="1"/>
  <c r="AA392" i="1"/>
  <c r="AB392" i="1"/>
  <c r="U393" i="1"/>
  <c r="V393" i="1"/>
  <c r="X393" i="1"/>
  <c r="Y393" i="1"/>
  <c r="AA393" i="1"/>
  <c r="AB393" i="1"/>
  <c r="U394" i="1"/>
  <c r="V394" i="1"/>
  <c r="X394" i="1"/>
  <c r="Y394" i="1"/>
  <c r="AA394" i="1"/>
  <c r="AB394" i="1"/>
  <c r="U395" i="1"/>
  <c r="V395" i="1"/>
  <c r="X395" i="1"/>
  <c r="Y395" i="1"/>
  <c r="AA395" i="1"/>
  <c r="AB395" i="1"/>
  <c r="U396" i="1"/>
  <c r="V396" i="1"/>
  <c r="X396" i="1"/>
  <c r="Y396" i="1"/>
  <c r="AA396" i="1"/>
  <c r="AB396" i="1"/>
  <c r="U397" i="1"/>
  <c r="V397" i="1"/>
  <c r="X397" i="1"/>
  <c r="Y397" i="1"/>
  <c r="AA397" i="1"/>
  <c r="AB397" i="1"/>
  <c r="U398" i="1"/>
  <c r="V398" i="1"/>
  <c r="X398" i="1"/>
  <c r="Y398" i="1"/>
  <c r="AA398" i="1"/>
  <c r="AB398" i="1"/>
  <c r="U399" i="1"/>
  <c r="V399" i="1"/>
  <c r="X399" i="1"/>
  <c r="Y399" i="1"/>
  <c r="AA399" i="1"/>
  <c r="AB399" i="1"/>
  <c r="U400" i="1"/>
  <c r="V400" i="1"/>
  <c r="X400" i="1"/>
  <c r="Y400" i="1"/>
  <c r="AA400" i="1"/>
  <c r="AB400" i="1"/>
  <c r="U401" i="1"/>
  <c r="V401" i="1"/>
  <c r="X401" i="1"/>
  <c r="Y401" i="1"/>
  <c r="AA401" i="1"/>
  <c r="AB401" i="1"/>
  <c r="U402" i="1"/>
  <c r="V402" i="1"/>
  <c r="X402" i="1"/>
  <c r="Y402" i="1"/>
  <c r="AA402" i="1"/>
  <c r="AB402" i="1"/>
  <c r="U403" i="1"/>
  <c r="V403" i="1"/>
  <c r="X403" i="1"/>
  <c r="Y403" i="1"/>
  <c r="AA403" i="1"/>
  <c r="AB403" i="1"/>
  <c r="U404" i="1"/>
  <c r="V404" i="1"/>
  <c r="X404" i="1"/>
  <c r="Y404" i="1"/>
  <c r="AA404" i="1"/>
  <c r="AB404" i="1"/>
  <c r="U405" i="1"/>
  <c r="V405" i="1"/>
  <c r="X405" i="1"/>
  <c r="Y405" i="1"/>
  <c r="AA405" i="1"/>
  <c r="AB405" i="1"/>
  <c r="U406" i="1"/>
  <c r="V406" i="1"/>
  <c r="X406" i="1"/>
  <c r="Y406" i="1"/>
  <c r="AA406" i="1"/>
  <c r="AB406" i="1"/>
  <c r="U407" i="1"/>
  <c r="V407" i="1"/>
  <c r="X407" i="1"/>
  <c r="Y407" i="1"/>
  <c r="AA407" i="1"/>
  <c r="AB407" i="1"/>
  <c r="U408" i="1"/>
  <c r="V408" i="1"/>
  <c r="X408" i="1"/>
  <c r="Y408" i="1"/>
  <c r="AA408" i="1"/>
  <c r="AB408" i="1"/>
  <c r="U409" i="1"/>
  <c r="V409" i="1"/>
  <c r="X409" i="1"/>
  <c r="Y409" i="1"/>
  <c r="AA409" i="1"/>
  <c r="AB409" i="1"/>
  <c r="U410" i="1"/>
  <c r="V410" i="1"/>
  <c r="X410" i="1"/>
  <c r="Y410" i="1"/>
  <c r="AA410" i="1"/>
  <c r="AB410" i="1"/>
  <c r="U411" i="1"/>
  <c r="V411" i="1"/>
  <c r="X411" i="1"/>
  <c r="Y411" i="1"/>
  <c r="AA411" i="1"/>
  <c r="AB411" i="1"/>
  <c r="U412" i="1"/>
  <c r="V412" i="1"/>
  <c r="X412" i="1"/>
  <c r="Y412" i="1"/>
  <c r="AA412" i="1"/>
  <c r="AB412" i="1"/>
  <c r="U413" i="1"/>
  <c r="V413" i="1"/>
  <c r="X413" i="1"/>
  <c r="Y413" i="1"/>
  <c r="AA413" i="1"/>
  <c r="AB413" i="1"/>
  <c r="U414" i="1"/>
  <c r="V414" i="1"/>
  <c r="X414" i="1"/>
  <c r="Y414" i="1"/>
  <c r="AA414" i="1"/>
  <c r="AB414" i="1"/>
  <c r="U415" i="1"/>
  <c r="V415" i="1"/>
  <c r="X415" i="1"/>
  <c r="Y415" i="1"/>
  <c r="AA415" i="1"/>
  <c r="AB415" i="1"/>
  <c r="U416" i="1"/>
  <c r="V416" i="1"/>
  <c r="X416" i="1"/>
  <c r="Y416" i="1"/>
  <c r="AA416" i="1"/>
  <c r="AB416" i="1"/>
  <c r="U417" i="1"/>
  <c r="V417" i="1"/>
  <c r="X417" i="1"/>
  <c r="Y417" i="1"/>
  <c r="AA417" i="1"/>
  <c r="AB417" i="1"/>
  <c r="U418" i="1"/>
  <c r="V418" i="1"/>
  <c r="X418" i="1"/>
  <c r="Y418" i="1"/>
  <c r="AA418" i="1"/>
  <c r="AB418" i="1"/>
  <c r="U419" i="1"/>
  <c r="V419" i="1"/>
  <c r="X419" i="1"/>
  <c r="Y419" i="1"/>
  <c r="AA419" i="1"/>
  <c r="AB419" i="1"/>
  <c r="U420" i="1"/>
  <c r="V420" i="1"/>
  <c r="X420" i="1"/>
  <c r="Y420" i="1"/>
  <c r="AA420" i="1"/>
  <c r="AB420" i="1"/>
  <c r="U421" i="1"/>
  <c r="V421" i="1"/>
  <c r="X421" i="1"/>
  <c r="Y421" i="1"/>
  <c r="AA421" i="1"/>
  <c r="AB421" i="1"/>
  <c r="U422" i="1"/>
  <c r="V422" i="1"/>
  <c r="X422" i="1"/>
  <c r="Y422" i="1"/>
  <c r="AA422" i="1"/>
  <c r="AB422" i="1"/>
  <c r="U423" i="1"/>
  <c r="V423" i="1"/>
  <c r="X423" i="1"/>
  <c r="Y423" i="1"/>
  <c r="AA423" i="1"/>
  <c r="AB423" i="1"/>
  <c r="U424" i="1"/>
  <c r="V424" i="1"/>
  <c r="X424" i="1"/>
  <c r="Y424" i="1"/>
  <c r="AA424" i="1"/>
  <c r="AB424" i="1"/>
  <c r="U425" i="1"/>
  <c r="V425" i="1"/>
  <c r="X425" i="1"/>
  <c r="Y425" i="1"/>
  <c r="AA425" i="1"/>
  <c r="AB425" i="1"/>
  <c r="U426" i="1"/>
  <c r="V426" i="1"/>
  <c r="X426" i="1"/>
  <c r="Y426" i="1"/>
  <c r="AA426" i="1"/>
  <c r="AB426" i="1"/>
  <c r="U427" i="1"/>
  <c r="V427" i="1"/>
  <c r="X427" i="1"/>
  <c r="Y427" i="1"/>
  <c r="AA427" i="1"/>
  <c r="AB427" i="1"/>
  <c r="U428" i="1"/>
  <c r="V428" i="1"/>
  <c r="X428" i="1"/>
  <c r="Y428" i="1"/>
  <c r="AA428" i="1"/>
  <c r="AB428" i="1"/>
  <c r="U429" i="1"/>
  <c r="V429" i="1"/>
  <c r="X429" i="1"/>
  <c r="Y429" i="1"/>
  <c r="AA429" i="1"/>
  <c r="AB429" i="1"/>
  <c r="U430" i="1"/>
  <c r="V430" i="1"/>
  <c r="X430" i="1"/>
  <c r="Y430" i="1"/>
  <c r="AA430" i="1"/>
  <c r="AB430" i="1"/>
  <c r="U431" i="1"/>
  <c r="V431" i="1"/>
  <c r="X431" i="1"/>
  <c r="Y431" i="1"/>
  <c r="AA431" i="1"/>
  <c r="AB431" i="1"/>
  <c r="U432" i="1"/>
  <c r="V432" i="1"/>
  <c r="X432" i="1"/>
  <c r="Y432" i="1"/>
  <c r="AA432" i="1"/>
  <c r="AB432" i="1"/>
  <c r="U433" i="1"/>
  <c r="V433" i="1"/>
  <c r="X433" i="1"/>
  <c r="Y433" i="1"/>
  <c r="AA433" i="1"/>
  <c r="AB433" i="1"/>
  <c r="U434" i="1"/>
  <c r="V434" i="1"/>
  <c r="X434" i="1"/>
  <c r="Y434" i="1"/>
  <c r="AA434" i="1"/>
  <c r="AB434" i="1"/>
  <c r="U435" i="1"/>
  <c r="V435" i="1"/>
  <c r="X435" i="1"/>
  <c r="Y435" i="1"/>
  <c r="AA435" i="1"/>
  <c r="AB435" i="1"/>
  <c r="U436" i="1"/>
  <c r="V436" i="1"/>
  <c r="X436" i="1"/>
  <c r="Y436" i="1"/>
  <c r="AA436" i="1"/>
  <c r="AB436" i="1"/>
  <c r="U437" i="1"/>
  <c r="V437" i="1"/>
  <c r="X437" i="1"/>
  <c r="Y437" i="1"/>
  <c r="AA437" i="1"/>
  <c r="AB437" i="1"/>
  <c r="U438" i="1"/>
  <c r="V438" i="1"/>
  <c r="X438" i="1"/>
  <c r="Y438" i="1"/>
  <c r="AA438" i="1"/>
  <c r="AB438" i="1"/>
  <c r="U439" i="1"/>
  <c r="V439" i="1"/>
  <c r="X439" i="1"/>
  <c r="Y439" i="1"/>
  <c r="AA439" i="1"/>
  <c r="AB439" i="1"/>
  <c r="U440" i="1"/>
  <c r="V440" i="1"/>
  <c r="X440" i="1"/>
  <c r="Y440" i="1"/>
  <c r="AA440" i="1"/>
  <c r="AB440" i="1"/>
  <c r="U441" i="1"/>
  <c r="V441" i="1"/>
  <c r="X441" i="1"/>
  <c r="Y441" i="1"/>
  <c r="AA441" i="1"/>
  <c r="AB441" i="1"/>
  <c r="U442" i="1"/>
  <c r="V442" i="1"/>
  <c r="X442" i="1"/>
  <c r="Y442" i="1"/>
  <c r="AA442" i="1"/>
  <c r="AB442" i="1"/>
  <c r="U443" i="1"/>
  <c r="V443" i="1"/>
  <c r="X443" i="1"/>
  <c r="Y443" i="1"/>
  <c r="AA443" i="1"/>
  <c r="AB443" i="1"/>
  <c r="U444" i="1"/>
  <c r="V444" i="1"/>
  <c r="X444" i="1"/>
  <c r="Y444" i="1"/>
  <c r="AA444" i="1"/>
  <c r="AB444" i="1"/>
  <c r="U445" i="1"/>
  <c r="V445" i="1"/>
  <c r="X445" i="1"/>
  <c r="Y445" i="1"/>
  <c r="AA445" i="1"/>
  <c r="AB445" i="1"/>
  <c r="U446" i="1"/>
  <c r="V446" i="1"/>
  <c r="X446" i="1"/>
  <c r="Y446" i="1"/>
  <c r="AA446" i="1"/>
  <c r="AB446" i="1"/>
  <c r="U447" i="1"/>
  <c r="V447" i="1"/>
  <c r="X447" i="1"/>
  <c r="Y447" i="1"/>
  <c r="AA447" i="1"/>
  <c r="AB447" i="1"/>
  <c r="U448" i="1"/>
  <c r="V448" i="1"/>
  <c r="X448" i="1"/>
  <c r="Y448" i="1"/>
  <c r="AA448" i="1"/>
  <c r="AB448" i="1"/>
  <c r="U449" i="1"/>
  <c r="V449" i="1"/>
  <c r="X449" i="1"/>
  <c r="Y449" i="1"/>
  <c r="AA449" i="1"/>
  <c r="AB449" i="1"/>
  <c r="U450" i="1"/>
  <c r="V450" i="1"/>
  <c r="X450" i="1"/>
  <c r="Y450" i="1"/>
  <c r="AA450" i="1"/>
  <c r="AB450" i="1"/>
  <c r="U451" i="1"/>
  <c r="V451" i="1"/>
  <c r="X451" i="1"/>
  <c r="Y451" i="1"/>
  <c r="AA451" i="1"/>
  <c r="AB451" i="1"/>
  <c r="U452" i="1"/>
  <c r="V452" i="1"/>
  <c r="X452" i="1"/>
  <c r="Y452" i="1"/>
  <c r="AA452" i="1"/>
  <c r="AB452" i="1"/>
  <c r="U453" i="1"/>
  <c r="V453" i="1"/>
  <c r="X453" i="1"/>
  <c r="Y453" i="1"/>
  <c r="AA453" i="1"/>
  <c r="AB453" i="1"/>
  <c r="U454" i="1"/>
  <c r="V454" i="1"/>
  <c r="X454" i="1"/>
  <c r="Y454" i="1"/>
  <c r="AA454" i="1"/>
  <c r="AB454" i="1"/>
  <c r="U455" i="1"/>
  <c r="V455" i="1"/>
  <c r="X455" i="1"/>
  <c r="Y455" i="1"/>
  <c r="AA455" i="1"/>
  <c r="AB455" i="1"/>
  <c r="U456" i="1"/>
  <c r="V456" i="1"/>
  <c r="X456" i="1"/>
  <c r="Y456" i="1"/>
  <c r="AA456" i="1"/>
  <c r="AB456" i="1"/>
  <c r="U457" i="1"/>
  <c r="V457" i="1"/>
  <c r="X457" i="1"/>
  <c r="Y457" i="1"/>
  <c r="AA457" i="1"/>
  <c r="AB457" i="1"/>
  <c r="U458" i="1"/>
  <c r="V458" i="1"/>
  <c r="X458" i="1"/>
  <c r="Y458" i="1"/>
  <c r="AA458" i="1"/>
  <c r="AB458" i="1"/>
  <c r="U459" i="1"/>
  <c r="V459" i="1"/>
  <c r="X459" i="1"/>
  <c r="Y459" i="1"/>
  <c r="AA459" i="1"/>
  <c r="AB459" i="1"/>
  <c r="U460" i="1"/>
  <c r="V460" i="1"/>
  <c r="X460" i="1"/>
  <c r="Y460" i="1"/>
  <c r="AA460" i="1"/>
  <c r="AB460" i="1"/>
  <c r="U461" i="1"/>
  <c r="V461" i="1"/>
  <c r="X461" i="1"/>
  <c r="Y461" i="1"/>
  <c r="AA461" i="1"/>
  <c r="AB461" i="1"/>
  <c r="U462" i="1"/>
  <c r="V462" i="1"/>
  <c r="X462" i="1"/>
  <c r="Y462" i="1"/>
  <c r="AA462" i="1"/>
  <c r="AB462" i="1"/>
  <c r="U463" i="1"/>
  <c r="V463" i="1"/>
  <c r="X463" i="1"/>
  <c r="Y463" i="1"/>
  <c r="AA463" i="1"/>
  <c r="AB463" i="1"/>
  <c r="U464" i="1"/>
  <c r="V464" i="1"/>
  <c r="X464" i="1"/>
  <c r="Y464" i="1"/>
  <c r="AA464" i="1"/>
  <c r="AB464" i="1"/>
  <c r="U465" i="1"/>
  <c r="V465" i="1"/>
  <c r="X465" i="1"/>
  <c r="Y465" i="1"/>
  <c r="AA465" i="1"/>
  <c r="AB465" i="1"/>
  <c r="U466" i="1"/>
  <c r="V466" i="1"/>
  <c r="X466" i="1"/>
  <c r="Y466" i="1"/>
  <c r="AA466" i="1"/>
  <c r="AB466" i="1"/>
  <c r="U467" i="1"/>
  <c r="V467" i="1"/>
  <c r="X467" i="1"/>
  <c r="Y467" i="1"/>
  <c r="AA467" i="1"/>
  <c r="AB467" i="1"/>
  <c r="U468" i="1"/>
  <c r="V468" i="1"/>
  <c r="X468" i="1"/>
  <c r="Y468" i="1"/>
  <c r="AA468" i="1"/>
  <c r="AB468" i="1"/>
  <c r="U469" i="1"/>
  <c r="V469" i="1"/>
  <c r="X469" i="1"/>
  <c r="Y469" i="1"/>
  <c r="AA469" i="1"/>
  <c r="AB469" i="1"/>
  <c r="U470" i="1"/>
  <c r="V470" i="1"/>
  <c r="X470" i="1"/>
  <c r="Y470" i="1"/>
  <c r="AA470" i="1"/>
  <c r="AB470" i="1"/>
  <c r="U471" i="1"/>
  <c r="V471" i="1"/>
  <c r="X471" i="1"/>
  <c r="Y471" i="1"/>
  <c r="AA471" i="1"/>
  <c r="AB471" i="1"/>
  <c r="U472" i="1"/>
  <c r="V472" i="1"/>
  <c r="X472" i="1"/>
  <c r="Y472" i="1"/>
  <c r="AA472" i="1"/>
  <c r="AB472" i="1"/>
  <c r="U473" i="1"/>
  <c r="V473" i="1"/>
  <c r="X473" i="1"/>
  <c r="Y473" i="1"/>
  <c r="AA473" i="1"/>
  <c r="AB473" i="1"/>
  <c r="U474" i="1"/>
  <c r="V474" i="1"/>
  <c r="X474" i="1"/>
  <c r="Y474" i="1"/>
  <c r="AA474" i="1"/>
  <c r="AB474" i="1"/>
  <c r="U475" i="1"/>
  <c r="V475" i="1"/>
  <c r="X475" i="1"/>
  <c r="Y475" i="1"/>
  <c r="AA475" i="1"/>
  <c r="AB475" i="1"/>
  <c r="U476" i="1"/>
  <c r="V476" i="1"/>
  <c r="X476" i="1"/>
  <c r="Y476" i="1"/>
  <c r="AA476" i="1"/>
  <c r="AB476" i="1"/>
  <c r="U477" i="1"/>
  <c r="V477" i="1"/>
  <c r="X477" i="1"/>
  <c r="Y477" i="1"/>
  <c r="AA477" i="1"/>
  <c r="AB477" i="1"/>
  <c r="U478" i="1"/>
  <c r="V478" i="1"/>
  <c r="X478" i="1"/>
  <c r="Y478" i="1"/>
  <c r="AA478" i="1"/>
  <c r="AB478" i="1"/>
  <c r="U479" i="1"/>
  <c r="V479" i="1"/>
  <c r="X479" i="1"/>
  <c r="Y479" i="1"/>
  <c r="AA479" i="1"/>
  <c r="AB479" i="1"/>
  <c r="U480" i="1"/>
  <c r="V480" i="1"/>
  <c r="X480" i="1"/>
  <c r="Y480" i="1"/>
  <c r="AA480" i="1"/>
  <c r="AB480" i="1"/>
  <c r="U481" i="1"/>
  <c r="V481" i="1"/>
  <c r="X481" i="1"/>
  <c r="Y481" i="1"/>
  <c r="AA481" i="1"/>
  <c r="AB481" i="1"/>
  <c r="U482" i="1"/>
  <c r="V482" i="1"/>
  <c r="X482" i="1"/>
  <c r="Y482" i="1"/>
  <c r="AA482" i="1"/>
  <c r="AB482" i="1"/>
  <c r="U483" i="1"/>
  <c r="V483" i="1"/>
  <c r="X483" i="1"/>
  <c r="Y483" i="1"/>
  <c r="AA483" i="1"/>
  <c r="AB483" i="1"/>
  <c r="U484" i="1"/>
  <c r="V484" i="1"/>
  <c r="X484" i="1"/>
  <c r="Y484" i="1"/>
  <c r="AA484" i="1"/>
  <c r="AB484" i="1"/>
  <c r="U485" i="1"/>
  <c r="V485" i="1"/>
  <c r="X485" i="1"/>
  <c r="Y485" i="1"/>
  <c r="AA485" i="1"/>
  <c r="AB485" i="1"/>
  <c r="U486" i="1"/>
  <c r="V486" i="1"/>
  <c r="X486" i="1"/>
  <c r="Y486" i="1"/>
  <c r="AA486" i="1"/>
  <c r="AB486" i="1"/>
  <c r="U487" i="1"/>
  <c r="V487" i="1"/>
  <c r="X487" i="1"/>
  <c r="Y487" i="1"/>
  <c r="AA487" i="1"/>
  <c r="AB487" i="1"/>
  <c r="U488" i="1"/>
  <c r="V488" i="1"/>
  <c r="X488" i="1"/>
  <c r="Y488" i="1"/>
  <c r="AA488" i="1"/>
  <c r="AB488" i="1"/>
  <c r="U489" i="1"/>
  <c r="V489" i="1"/>
  <c r="X489" i="1"/>
  <c r="Y489" i="1"/>
  <c r="AA489" i="1"/>
  <c r="AB489" i="1"/>
  <c r="U490" i="1"/>
  <c r="V490" i="1"/>
  <c r="X490" i="1"/>
  <c r="Y490" i="1"/>
  <c r="AA490" i="1"/>
  <c r="AB490" i="1"/>
  <c r="U491" i="1"/>
  <c r="V491" i="1"/>
  <c r="X491" i="1"/>
  <c r="Y491" i="1"/>
  <c r="AA491" i="1"/>
  <c r="AB491" i="1"/>
  <c r="U492" i="1"/>
  <c r="V492" i="1"/>
  <c r="X492" i="1"/>
  <c r="Y492" i="1"/>
  <c r="AA492" i="1"/>
  <c r="AB492" i="1"/>
  <c r="U493" i="1"/>
  <c r="V493" i="1"/>
  <c r="X493" i="1"/>
  <c r="Y493" i="1"/>
  <c r="AA493" i="1"/>
  <c r="AB493" i="1"/>
  <c r="U494" i="1"/>
  <c r="V494" i="1"/>
  <c r="X494" i="1"/>
  <c r="Y494" i="1"/>
  <c r="AA494" i="1"/>
  <c r="AB494" i="1"/>
  <c r="U495" i="1"/>
  <c r="V495" i="1"/>
  <c r="X495" i="1"/>
  <c r="Y495" i="1"/>
  <c r="AA495" i="1"/>
  <c r="AB495" i="1"/>
  <c r="U496" i="1"/>
  <c r="V496" i="1"/>
  <c r="X496" i="1"/>
  <c r="Y496" i="1"/>
  <c r="AA496" i="1"/>
  <c r="AB496" i="1"/>
  <c r="U497" i="1"/>
  <c r="V497" i="1"/>
  <c r="X497" i="1"/>
  <c r="Y497" i="1"/>
  <c r="AA497" i="1"/>
  <c r="AB497" i="1"/>
  <c r="U498" i="1"/>
  <c r="V498" i="1"/>
  <c r="X498" i="1"/>
  <c r="Y498" i="1"/>
  <c r="AA498" i="1"/>
  <c r="AB498" i="1"/>
  <c r="U499" i="1"/>
  <c r="V499" i="1"/>
  <c r="X499" i="1"/>
  <c r="Y499" i="1"/>
  <c r="AA499" i="1"/>
  <c r="AB499" i="1"/>
  <c r="U500" i="1"/>
  <c r="V500" i="1"/>
  <c r="X500" i="1"/>
  <c r="Y500" i="1"/>
  <c r="AA500" i="1"/>
  <c r="AB500" i="1"/>
  <c r="U501" i="1"/>
  <c r="V501" i="1"/>
  <c r="X501" i="1"/>
  <c r="Y501" i="1"/>
  <c r="AA501" i="1"/>
  <c r="AB501" i="1"/>
  <c r="U502" i="1"/>
  <c r="V502" i="1"/>
  <c r="X502" i="1"/>
  <c r="Y502" i="1"/>
  <c r="AA502" i="1"/>
  <c r="AB502" i="1"/>
  <c r="U503" i="1"/>
  <c r="V503" i="1"/>
  <c r="X503" i="1"/>
  <c r="Y503" i="1"/>
  <c r="AA503" i="1"/>
  <c r="AB503" i="1"/>
  <c r="U504" i="1"/>
  <c r="V504" i="1"/>
  <c r="X504" i="1"/>
  <c r="Y504" i="1"/>
  <c r="AA504" i="1"/>
  <c r="AB504" i="1"/>
  <c r="U505" i="1"/>
  <c r="V505" i="1"/>
  <c r="X505" i="1"/>
  <c r="Y505" i="1"/>
  <c r="AA505" i="1"/>
  <c r="AB505" i="1"/>
  <c r="U506" i="1"/>
  <c r="V506" i="1"/>
  <c r="X506" i="1"/>
  <c r="Y506" i="1"/>
  <c r="AA506" i="1"/>
  <c r="AB506" i="1"/>
  <c r="U507" i="1"/>
  <c r="V507" i="1"/>
  <c r="X507" i="1"/>
  <c r="Y507" i="1"/>
  <c r="AA507" i="1"/>
  <c r="AB507" i="1"/>
  <c r="U508" i="1"/>
  <c r="V508" i="1"/>
  <c r="X508" i="1"/>
  <c r="Y508" i="1"/>
  <c r="AA508" i="1"/>
  <c r="AB508" i="1"/>
  <c r="U509" i="1"/>
  <c r="V509" i="1"/>
  <c r="X509" i="1"/>
  <c r="Y509" i="1"/>
  <c r="AA509" i="1"/>
  <c r="AB509" i="1"/>
  <c r="U510" i="1"/>
  <c r="V510" i="1"/>
  <c r="X510" i="1"/>
  <c r="Y510" i="1"/>
  <c r="AA510" i="1"/>
  <c r="AB510" i="1"/>
  <c r="U511" i="1"/>
  <c r="V511" i="1"/>
  <c r="X511" i="1"/>
  <c r="Y511" i="1"/>
  <c r="AA511" i="1"/>
  <c r="AB511" i="1"/>
  <c r="U512" i="1"/>
  <c r="V512" i="1"/>
  <c r="X512" i="1"/>
  <c r="Y512" i="1"/>
  <c r="AA512" i="1"/>
  <c r="AB512" i="1"/>
  <c r="U513" i="1"/>
  <c r="V513" i="1"/>
  <c r="X513" i="1"/>
  <c r="Y513" i="1"/>
  <c r="AA513" i="1"/>
  <c r="AB513" i="1"/>
  <c r="U514" i="1"/>
  <c r="V514" i="1"/>
  <c r="X514" i="1"/>
  <c r="Y514" i="1"/>
  <c r="AA514" i="1"/>
  <c r="AB514" i="1"/>
  <c r="U515" i="1"/>
  <c r="V515" i="1"/>
  <c r="X515" i="1"/>
  <c r="Y515" i="1"/>
  <c r="AA515" i="1"/>
  <c r="AB515" i="1"/>
  <c r="U516" i="1"/>
  <c r="V516" i="1"/>
  <c r="X516" i="1"/>
  <c r="Y516" i="1"/>
  <c r="AA516" i="1"/>
  <c r="AB516" i="1"/>
  <c r="U517" i="1"/>
  <c r="V517" i="1"/>
  <c r="X517" i="1"/>
  <c r="Y517" i="1"/>
  <c r="AA517" i="1"/>
  <c r="AB517" i="1"/>
  <c r="AB21" i="1"/>
  <c r="AA21" i="1"/>
  <c r="Y21" i="1"/>
  <c r="X21" i="1"/>
  <c r="V21" i="1"/>
  <c r="U21" i="1"/>
  <c r="F22" i="1"/>
  <c r="G22" i="1"/>
  <c r="I22" i="1"/>
  <c r="J22" i="1"/>
  <c r="L22" i="1"/>
  <c r="M22" i="1"/>
  <c r="F23" i="1"/>
  <c r="G23" i="1"/>
  <c r="I23" i="1"/>
  <c r="J23" i="1"/>
  <c r="L23" i="1"/>
  <c r="M23" i="1"/>
  <c r="F24" i="1"/>
  <c r="G24" i="1"/>
  <c r="I24" i="1"/>
  <c r="J24" i="1"/>
  <c r="L24" i="1"/>
  <c r="M24" i="1"/>
  <c r="F25" i="1"/>
  <c r="G25" i="1"/>
  <c r="I25" i="1"/>
  <c r="J25" i="1"/>
  <c r="L25" i="1"/>
  <c r="M25" i="1"/>
  <c r="F26" i="1"/>
  <c r="G26" i="1"/>
  <c r="I26" i="1"/>
  <c r="J26" i="1"/>
  <c r="L26" i="1"/>
  <c r="M26" i="1"/>
  <c r="F27" i="1"/>
  <c r="G27" i="1"/>
  <c r="I27" i="1"/>
  <c r="J27" i="1"/>
  <c r="L27" i="1"/>
  <c r="M27" i="1"/>
  <c r="F28" i="1"/>
  <c r="G28" i="1"/>
  <c r="I28" i="1"/>
  <c r="J28" i="1"/>
  <c r="L28" i="1"/>
  <c r="M28" i="1"/>
  <c r="F29" i="1"/>
  <c r="G29" i="1"/>
  <c r="I29" i="1"/>
  <c r="J29" i="1"/>
  <c r="L29" i="1"/>
  <c r="M29" i="1"/>
  <c r="F30" i="1"/>
  <c r="G30" i="1"/>
  <c r="I30" i="1"/>
  <c r="J30" i="1"/>
  <c r="L30" i="1"/>
  <c r="M30" i="1"/>
  <c r="F31" i="1"/>
  <c r="G31" i="1"/>
  <c r="I31" i="1"/>
  <c r="J31" i="1"/>
  <c r="L31" i="1"/>
  <c r="M31" i="1"/>
  <c r="F32" i="1"/>
  <c r="G32" i="1"/>
  <c r="I32" i="1"/>
  <c r="J32" i="1"/>
  <c r="L32" i="1"/>
  <c r="M32" i="1"/>
  <c r="F33" i="1"/>
  <c r="G33" i="1"/>
  <c r="I33" i="1"/>
  <c r="J33" i="1"/>
  <c r="L33" i="1"/>
  <c r="M33" i="1"/>
  <c r="F34" i="1"/>
  <c r="G34" i="1"/>
  <c r="I34" i="1"/>
  <c r="J34" i="1"/>
  <c r="L34" i="1"/>
  <c r="M34" i="1"/>
  <c r="F35" i="1"/>
  <c r="G35" i="1"/>
  <c r="I35" i="1"/>
  <c r="J35" i="1"/>
  <c r="L35" i="1"/>
  <c r="M35" i="1"/>
  <c r="F36" i="1"/>
  <c r="G36" i="1"/>
  <c r="I36" i="1"/>
  <c r="J36" i="1"/>
  <c r="L36" i="1"/>
  <c r="M36" i="1"/>
  <c r="F37" i="1"/>
  <c r="G37" i="1"/>
  <c r="I37" i="1"/>
  <c r="J37" i="1"/>
  <c r="L37" i="1"/>
  <c r="M37" i="1"/>
  <c r="F38" i="1"/>
  <c r="G38" i="1"/>
  <c r="I38" i="1"/>
  <c r="J38" i="1"/>
  <c r="L38" i="1"/>
  <c r="M38" i="1"/>
  <c r="F39" i="1"/>
  <c r="G39" i="1"/>
  <c r="I39" i="1"/>
  <c r="J39" i="1"/>
  <c r="L39" i="1"/>
  <c r="M39" i="1"/>
  <c r="F40" i="1"/>
  <c r="G40" i="1"/>
  <c r="I40" i="1"/>
  <c r="J40" i="1"/>
  <c r="L40" i="1"/>
  <c r="M40" i="1"/>
  <c r="F41" i="1"/>
  <c r="G41" i="1"/>
  <c r="I41" i="1"/>
  <c r="J41" i="1"/>
  <c r="L41" i="1"/>
  <c r="M41" i="1"/>
  <c r="F42" i="1"/>
  <c r="G42" i="1"/>
  <c r="I42" i="1"/>
  <c r="J42" i="1"/>
  <c r="L42" i="1"/>
  <c r="M42" i="1"/>
  <c r="F43" i="1"/>
  <c r="G43" i="1"/>
  <c r="I43" i="1"/>
  <c r="J43" i="1"/>
  <c r="L43" i="1"/>
  <c r="M43" i="1"/>
  <c r="F44" i="1"/>
  <c r="G44" i="1"/>
  <c r="I44" i="1"/>
  <c r="J44" i="1"/>
  <c r="L44" i="1"/>
  <c r="M44" i="1"/>
  <c r="F45" i="1"/>
  <c r="G45" i="1"/>
  <c r="I45" i="1"/>
  <c r="J45" i="1"/>
  <c r="L45" i="1"/>
  <c r="M45" i="1"/>
  <c r="F46" i="1"/>
  <c r="G46" i="1"/>
  <c r="I46" i="1"/>
  <c r="J46" i="1"/>
  <c r="L46" i="1"/>
  <c r="M46" i="1"/>
  <c r="F47" i="1"/>
  <c r="G47" i="1"/>
  <c r="I47" i="1"/>
  <c r="J47" i="1"/>
  <c r="L47" i="1"/>
  <c r="M47" i="1"/>
  <c r="F48" i="1"/>
  <c r="G48" i="1"/>
  <c r="I48" i="1"/>
  <c r="J48" i="1"/>
  <c r="L48" i="1"/>
  <c r="M48" i="1"/>
  <c r="F49" i="1"/>
  <c r="G49" i="1"/>
  <c r="I49" i="1"/>
  <c r="J49" i="1"/>
  <c r="L49" i="1"/>
  <c r="M49" i="1"/>
  <c r="F50" i="1"/>
  <c r="G50" i="1"/>
  <c r="I50" i="1"/>
  <c r="J50" i="1"/>
  <c r="L50" i="1"/>
  <c r="M50" i="1"/>
  <c r="F51" i="1"/>
  <c r="G51" i="1"/>
  <c r="I51" i="1"/>
  <c r="J51" i="1"/>
  <c r="L51" i="1"/>
  <c r="M51" i="1"/>
  <c r="F52" i="1"/>
  <c r="G52" i="1"/>
  <c r="I52" i="1"/>
  <c r="J52" i="1"/>
  <c r="L52" i="1"/>
  <c r="M52" i="1"/>
  <c r="F53" i="1"/>
  <c r="G53" i="1"/>
  <c r="I53" i="1"/>
  <c r="J53" i="1"/>
  <c r="L53" i="1"/>
  <c r="M53" i="1"/>
  <c r="F54" i="1"/>
  <c r="G54" i="1"/>
  <c r="I54" i="1"/>
  <c r="J54" i="1"/>
  <c r="L54" i="1"/>
  <c r="M54" i="1"/>
  <c r="F55" i="1"/>
  <c r="G55" i="1"/>
  <c r="I55" i="1"/>
  <c r="J55" i="1"/>
  <c r="L55" i="1"/>
  <c r="M55" i="1"/>
  <c r="F56" i="1"/>
  <c r="G56" i="1"/>
  <c r="I56" i="1"/>
  <c r="J56" i="1"/>
  <c r="L56" i="1"/>
  <c r="M56" i="1"/>
  <c r="F57" i="1"/>
  <c r="G57" i="1"/>
  <c r="I57" i="1"/>
  <c r="J57" i="1"/>
  <c r="L57" i="1"/>
  <c r="M57" i="1"/>
  <c r="F58" i="1"/>
  <c r="G58" i="1"/>
  <c r="I58" i="1"/>
  <c r="J58" i="1"/>
  <c r="L58" i="1"/>
  <c r="M58" i="1"/>
  <c r="F59" i="1"/>
  <c r="G59" i="1"/>
  <c r="I59" i="1"/>
  <c r="J59" i="1"/>
  <c r="L59" i="1"/>
  <c r="M59" i="1"/>
  <c r="F60" i="1"/>
  <c r="G60" i="1"/>
  <c r="I60" i="1"/>
  <c r="J60" i="1"/>
  <c r="L60" i="1"/>
  <c r="M60" i="1"/>
  <c r="F61" i="1"/>
  <c r="G61" i="1"/>
  <c r="I61" i="1"/>
  <c r="J61" i="1"/>
  <c r="L61" i="1"/>
  <c r="M61" i="1"/>
  <c r="F62" i="1"/>
  <c r="G62" i="1"/>
  <c r="I62" i="1"/>
  <c r="J62" i="1"/>
  <c r="L62" i="1"/>
  <c r="M62" i="1"/>
  <c r="F63" i="1"/>
  <c r="G63" i="1"/>
  <c r="I63" i="1"/>
  <c r="J63" i="1"/>
  <c r="L63" i="1"/>
  <c r="M63" i="1"/>
  <c r="F64" i="1"/>
  <c r="G64" i="1"/>
  <c r="I64" i="1"/>
  <c r="J64" i="1"/>
  <c r="L64" i="1"/>
  <c r="M64" i="1"/>
  <c r="F65" i="1"/>
  <c r="G65" i="1"/>
  <c r="I65" i="1"/>
  <c r="J65" i="1"/>
  <c r="L65" i="1"/>
  <c r="M65" i="1"/>
  <c r="F66" i="1"/>
  <c r="G66" i="1"/>
  <c r="I66" i="1"/>
  <c r="J66" i="1"/>
  <c r="L66" i="1"/>
  <c r="M66" i="1"/>
  <c r="F67" i="1"/>
  <c r="G67" i="1"/>
  <c r="I67" i="1"/>
  <c r="J67" i="1"/>
  <c r="L67" i="1"/>
  <c r="M67" i="1"/>
  <c r="F68" i="1"/>
  <c r="G68" i="1"/>
  <c r="I68" i="1"/>
  <c r="J68" i="1"/>
  <c r="L68" i="1"/>
  <c r="M68" i="1"/>
  <c r="F69" i="1"/>
  <c r="G69" i="1"/>
  <c r="I69" i="1"/>
  <c r="J69" i="1"/>
  <c r="L69" i="1"/>
  <c r="M69" i="1"/>
  <c r="F70" i="1"/>
  <c r="G70" i="1"/>
  <c r="I70" i="1"/>
  <c r="J70" i="1"/>
  <c r="L70" i="1"/>
  <c r="M70" i="1"/>
  <c r="F71" i="1"/>
  <c r="G71" i="1"/>
  <c r="I71" i="1"/>
  <c r="J71" i="1"/>
  <c r="L71" i="1"/>
  <c r="M71" i="1"/>
  <c r="F72" i="1"/>
  <c r="G72" i="1"/>
  <c r="I72" i="1"/>
  <c r="J72" i="1"/>
  <c r="L72" i="1"/>
  <c r="M72" i="1"/>
  <c r="F73" i="1"/>
  <c r="G73" i="1"/>
  <c r="I73" i="1"/>
  <c r="J73" i="1"/>
  <c r="L73" i="1"/>
  <c r="M73" i="1"/>
  <c r="F74" i="1"/>
  <c r="G74" i="1"/>
  <c r="I74" i="1"/>
  <c r="J74" i="1"/>
  <c r="L74" i="1"/>
  <c r="M74" i="1"/>
  <c r="F75" i="1"/>
  <c r="G75" i="1"/>
  <c r="I75" i="1"/>
  <c r="J75" i="1"/>
  <c r="L75" i="1"/>
  <c r="M75" i="1"/>
  <c r="F76" i="1"/>
  <c r="G76" i="1"/>
  <c r="I76" i="1"/>
  <c r="J76" i="1"/>
  <c r="L76" i="1"/>
  <c r="M76" i="1"/>
  <c r="F77" i="1"/>
  <c r="G77" i="1"/>
  <c r="I77" i="1"/>
  <c r="J77" i="1"/>
  <c r="L77" i="1"/>
  <c r="M77" i="1"/>
  <c r="F78" i="1"/>
  <c r="G78" i="1"/>
  <c r="I78" i="1"/>
  <c r="J78" i="1"/>
  <c r="L78" i="1"/>
  <c r="M78" i="1"/>
  <c r="F79" i="1"/>
  <c r="G79" i="1"/>
  <c r="I79" i="1"/>
  <c r="J79" i="1"/>
  <c r="L79" i="1"/>
  <c r="M79" i="1"/>
  <c r="F80" i="1"/>
  <c r="G80" i="1"/>
  <c r="I80" i="1"/>
  <c r="J80" i="1"/>
  <c r="L80" i="1"/>
  <c r="M80" i="1"/>
  <c r="F81" i="1"/>
  <c r="G81" i="1"/>
  <c r="I81" i="1"/>
  <c r="J81" i="1"/>
  <c r="L81" i="1"/>
  <c r="M81" i="1"/>
  <c r="F82" i="1"/>
  <c r="G82" i="1"/>
  <c r="I82" i="1"/>
  <c r="J82" i="1"/>
  <c r="L82" i="1"/>
  <c r="M82" i="1"/>
  <c r="F83" i="1"/>
  <c r="G83" i="1"/>
  <c r="I83" i="1"/>
  <c r="J83" i="1"/>
  <c r="L83" i="1"/>
  <c r="M83" i="1"/>
  <c r="F84" i="1"/>
  <c r="G84" i="1"/>
  <c r="I84" i="1"/>
  <c r="J84" i="1"/>
  <c r="L84" i="1"/>
  <c r="M84" i="1"/>
  <c r="F85" i="1"/>
  <c r="G85" i="1"/>
  <c r="I85" i="1"/>
  <c r="J85" i="1"/>
  <c r="L85" i="1"/>
  <c r="M85" i="1"/>
  <c r="F86" i="1"/>
  <c r="G86" i="1"/>
  <c r="I86" i="1"/>
  <c r="J86" i="1"/>
  <c r="L86" i="1"/>
  <c r="M86" i="1"/>
  <c r="F87" i="1"/>
  <c r="G87" i="1"/>
  <c r="I87" i="1"/>
  <c r="J87" i="1"/>
  <c r="L87" i="1"/>
  <c r="M87" i="1"/>
  <c r="F88" i="1"/>
  <c r="G88" i="1"/>
  <c r="I88" i="1"/>
  <c r="J88" i="1"/>
  <c r="L88" i="1"/>
  <c r="M88" i="1"/>
  <c r="F89" i="1"/>
  <c r="G89" i="1"/>
  <c r="I89" i="1"/>
  <c r="J89" i="1"/>
  <c r="L89" i="1"/>
  <c r="M89" i="1"/>
  <c r="F90" i="1"/>
  <c r="G90" i="1"/>
  <c r="I90" i="1"/>
  <c r="J90" i="1"/>
  <c r="L90" i="1"/>
  <c r="M90" i="1"/>
  <c r="F91" i="1"/>
  <c r="G91" i="1"/>
  <c r="I91" i="1"/>
  <c r="J91" i="1"/>
  <c r="L91" i="1"/>
  <c r="M91" i="1"/>
  <c r="F92" i="1"/>
  <c r="G92" i="1"/>
  <c r="I92" i="1"/>
  <c r="J92" i="1"/>
  <c r="L92" i="1"/>
  <c r="M92" i="1"/>
  <c r="F93" i="1"/>
  <c r="G93" i="1"/>
  <c r="I93" i="1"/>
  <c r="J93" i="1"/>
  <c r="L93" i="1"/>
  <c r="M93" i="1"/>
  <c r="F94" i="1"/>
  <c r="G94" i="1"/>
  <c r="I94" i="1"/>
  <c r="J94" i="1"/>
  <c r="L94" i="1"/>
  <c r="M94" i="1"/>
  <c r="F95" i="1"/>
  <c r="G95" i="1"/>
  <c r="I95" i="1"/>
  <c r="J95" i="1"/>
  <c r="L95" i="1"/>
  <c r="M95" i="1"/>
  <c r="F96" i="1"/>
  <c r="G96" i="1"/>
  <c r="I96" i="1"/>
  <c r="J96" i="1"/>
  <c r="L96" i="1"/>
  <c r="M96" i="1"/>
  <c r="F97" i="1"/>
  <c r="G97" i="1"/>
  <c r="I97" i="1"/>
  <c r="J97" i="1"/>
  <c r="L97" i="1"/>
  <c r="M97" i="1"/>
  <c r="F98" i="1"/>
  <c r="G98" i="1"/>
  <c r="I98" i="1"/>
  <c r="J98" i="1"/>
  <c r="L98" i="1"/>
  <c r="M98" i="1"/>
  <c r="F99" i="1"/>
  <c r="G99" i="1"/>
  <c r="I99" i="1"/>
  <c r="J99" i="1"/>
  <c r="L99" i="1"/>
  <c r="M99" i="1"/>
  <c r="F100" i="1"/>
  <c r="G100" i="1"/>
  <c r="I100" i="1"/>
  <c r="J100" i="1"/>
  <c r="L100" i="1"/>
  <c r="M100" i="1"/>
  <c r="F101" i="1"/>
  <c r="G101" i="1"/>
  <c r="I101" i="1"/>
  <c r="J101" i="1"/>
  <c r="L101" i="1"/>
  <c r="M101" i="1"/>
  <c r="F102" i="1"/>
  <c r="G102" i="1"/>
  <c r="I102" i="1"/>
  <c r="J102" i="1"/>
  <c r="L102" i="1"/>
  <c r="M102" i="1"/>
  <c r="F103" i="1"/>
  <c r="G103" i="1"/>
  <c r="I103" i="1"/>
  <c r="J103" i="1"/>
  <c r="L103" i="1"/>
  <c r="M103" i="1"/>
  <c r="F104" i="1"/>
  <c r="G104" i="1"/>
  <c r="I104" i="1"/>
  <c r="J104" i="1"/>
  <c r="L104" i="1"/>
  <c r="M104" i="1"/>
  <c r="F105" i="1"/>
  <c r="G105" i="1"/>
  <c r="I105" i="1"/>
  <c r="J105" i="1"/>
  <c r="L105" i="1"/>
  <c r="M105" i="1"/>
  <c r="F106" i="1"/>
  <c r="G106" i="1"/>
  <c r="I106" i="1"/>
  <c r="J106" i="1"/>
  <c r="L106" i="1"/>
  <c r="M106" i="1"/>
  <c r="F107" i="1"/>
  <c r="G107" i="1"/>
  <c r="I107" i="1"/>
  <c r="J107" i="1"/>
  <c r="L107" i="1"/>
  <c r="M107" i="1"/>
  <c r="F108" i="1"/>
  <c r="G108" i="1"/>
  <c r="I108" i="1"/>
  <c r="J108" i="1"/>
  <c r="L108" i="1"/>
  <c r="M108" i="1"/>
  <c r="F109" i="1"/>
  <c r="G109" i="1"/>
  <c r="I109" i="1"/>
  <c r="J109" i="1"/>
  <c r="L109" i="1"/>
  <c r="M109" i="1"/>
  <c r="F110" i="1"/>
  <c r="G110" i="1"/>
  <c r="I110" i="1"/>
  <c r="J110" i="1"/>
  <c r="L110" i="1"/>
  <c r="M110" i="1"/>
  <c r="F111" i="1"/>
  <c r="G111" i="1"/>
  <c r="I111" i="1"/>
  <c r="J111" i="1"/>
  <c r="L111" i="1"/>
  <c r="M111" i="1"/>
  <c r="F112" i="1"/>
  <c r="G112" i="1"/>
  <c r="I112" i="1"/>
  <c r="J112" i="1"/>
  <c r="L112" i="1"/>
  <c r="M112" i="1"/>
  <c r="F113" i="1"/>
  <c r="G113" i="1"/>
  <c r="I113" i="1"/>
  <c r="J113" i="1"/>
  <c r="L113" i="1"/>
  <c r="M113" i="1"/>
  <c r="F114" i="1"/>
  <c r="G114" i="1"/>
  <c r="I114" i="1"/>
  <c r="J114" i="1"/>
  <c r="L114" i="1"/>
  <c r="M114" i="1"/>
  <c r="F115" i="1"/>
  <c r="G115" i="1"/>
  <c r="I115" i="1"/>
  <c r="J115" i="1"/>
  <c r="L115" i="1"/>
  <c r="M115" i="1"/>
  <c r="F116" i="1"/>
  <c r="G116" i="1"/>
  <c r="I116" i="1"/>
  <c r="J116" i="1"/>
  <c r="L116" i="1"/>
  <c r="M116" i="1"/>
  <c r="F117" i="1"/>
  <c r="G117" i="1"/>
  <c r="I117" i="1"/>
  <c r="J117" i="1"/>
  <c r="L117" i="1"/>
  <c r="M117" i="1"/>
  <c r="F118" i="1"/>
  <c r="G118" i="1"/>
  <c r="I118" i="1"/>
  <c r="J118" i="1"/>
  <c r="L118" i="1"/>
  <c r="M118" i="1"/>
  <c r="F119" i="1"/>
  <c r="G119" i="1"/>
  <c r="I119" i="1"/>
  <c r="J119" i="1"/>
  <c r="L119" i="1"/>
  <c r="M119" i="1"/>
  <c r="F120" i="1"/>
  <c r="G120" i="1"/>
  <c r="I120" i="1"/>
  <c r="J120" i="1"/>
  <c r="L120" i="1"/>
  <c r="M120" i="1"/>
  <c r="F121" i="1"/>
  <c r="G121" i="1"/>
  <c r="I121" i="1"/>
  <c r="J121" i="1"/>
  <c r="L121" i="1"/>
  <c r="M121" i="1"/>
  <c r="F122" i="1"/>
  <c r="G122" i="1"/>
  <c r="I122" i="1"/>
  <c r="J122" i="1"/>
  <c r="L122" i="1"/>
  <c r="M122" i="1"/>
  <c r="F123" i="1"/>
  <c r="G123" i="1"/>
  <c r="I123" i="1"/>
  <c r="J123" i="1"/>
  <c r="L123" i="1"/>
  <c r="M123" i="1"/>
  <c r="F124" i="1"/>
  <c r="G124" i="1"/>
  <c r="I124" i="1"/>
  <c r="J124" i="1"/>
  <c r="L124" i="1"/>
  <c r="M124" i="1"/>
  <c r="F125" i="1"/>
  <c r="G125" i="1"/>
  <c r="I125" i="1"/>
  <c r="J125" i="1"/>
  <c r="L125" i="1"/>
  <c r="M125" i="1"/>
  <c r="F126" i="1"/>
  <c r="G126" i="1"/>
  <c r="I126" i="1"/>
  <c r="J126" i="1"/>
  <c r="L126" i="1"/>
  <c r="M126" i="1"/>
  <c r="F127" i="1"/>
  <c r="G127" i="1"/>
  <c r="I127" i="1"/>
  <c r="J127" i="1"/>
  <c r="L127" i="1"/>
  <c r="M127" i="1"/>
  <c r="F128" i="1"/>
  <c r="G128" i="1"/>
  <c r="I128" i="1"/>
  <c r="J128" i="1"/>
  <c r="L128" i="1"/>
  <c r="M128" i="1"/>
  <c r="F129" i="1"/>
  <c r="G129" i="1"/>
  <c r="I129" i="1"/>
  <c r="J129" i="1"/>
  <c r="L129" i="1"/>
  <c r="M129" i="1"/>
  <c r="F130" i="1"/>
  <c r="G130" i="1"/>
  <c r="I130" i="1"/>
  <c r="J130" i="1"/>
  <c r="L130" i="1"/>
  <c r="M130" i="1"/>
  <c r="F131" i="1"/>
  <c r="G131" i="1"/>
  <c r="I131" i="1"/>
  <c r="J131" i="1"/>
  <c r="L131" i="1"/>
  <c r="M131" i="1"/>
  <c r="F132" i="1"/>
  <c r="G132" i="1"/>
  <c r="I132" i="1"/>
  <c r="J132" i="1"/>
  <c r="L132" i="1"/>
  <c r="M132" i="1"/>
  <c r="F133" i="1"/>
  <c r="G133" i="1"/>
  <c r="I133" i="1"/>
  <c r="J133" i="1"/>
  <c r="L133" i="1"/>
  <c r="M133" i="1"/>
  <c r="F134" i="1"/>
  <c r="G134" i="1"/>
  <c r="I134" i="1"/>
  <c r="J134" i="1"/>
  <c r="L134" i="1"/>
  <c r="M134" i="1"/>
  <c r="F135" i="1"/>
  <c r="G135" i="1"/>
  <c r="I135" i="1"/>
  <c r="J135" i="1"/>
  <c r="L135" i="1"/>
  <c r="M135" i="1"/>
  <c r="F136" i="1"/>
  <c r="G136" i="1"/>
  <c r="I136" i="1"/>
  <c r="J136" i="1"/>
  <c r="L136" i="1"/>
  <c r="M136" i="1"/>
  <c r="F137" i="1"/>
  <c r="G137" i="1"/>
  <c r="I137" i="1"/>
  <c r="J137" i="1"/>
  <c r="L137" i="1"/>
  <c r="M137" i="1"/>
  <c r="F138" i="1"/>
  <c r="G138" i="1"/>
  <c r="I138" i="1"/>
  <c r="J138" i="1"/>
  <c r="L138" i="1"/>
  <c r="M138" i="1"/>
  <c r="F139" i="1"/>
  <c r="G139" i="1"/>
  <c r="I139" i="1"/>
  <c r="J139" i="1"/>
  <c r="L139" i="1"/>
  <c r="M139" i="1"/>
  <c r="F140" i="1"/>
  <c r="G140" i="1"/>
  <c r="I140" i="1"/>
  <c r="J140" i="1"/>
  <c r="L140" i="1"/>
  <c r="M140" i="1"/>
  <c r="F141" i="1"/>
  <c r="G141" i="1"/>
  <c r="I141" i="1"/>
  <c r="J141" i="1"/>
  <c r="L141" i="1"/>
  <c r="M141" i="1"/>
  <c r="F142" i="1"/>
  <c r="G142" i="1"/>
  <c r="I142" i="1"/>
  <c r="J142" i="1"/>
  <c r="L142" i="1"/>
  <c r="M142" i="1"/>
  <c r="F143" i="1"/>
  <c r="G143" i="1"/>
  <c r="I143" i="1"/>
  <c r="J143" i="1"/>
  <c r="L143" i="1"/>
  <c r="M143" i="1"/>
  <c r="F144" i="1"/>
  <c r="G144" i="1"/>
  <c r="I144" i="1"/>
  <c r="J144" i="1"/>
  <c r="L144" i="1"/>
  <c r="M144" i="1"/>
  <c r="F145" i="1"/>
  <c r="G145" i="1"/>
  <c r="I145" i="1"/>
  <c r="J145" i="1"/>
  <c r="L145" i="1"/>
  <c r="M145" i="1"/>
  <c r="F146" i="1"/>
  <c r="G146" i="1"/>
  <c r="I146" i="1"/>
  <c r="J146" i="1"/>
  <c r="L146" i="1"/>
  <c r="M146" i="1"/>
  <c r="F147" i="1"/>
  <c r="G147" i="1"/>
  <c r="I147" i="1"/>
  <c r="J147" i="1"/>
  <c r="L147" i="1"/>
  <c r="M147" i="1"/>
  <c r="F148" i="1"/>
  <c r="G148" i="1"/>
  <c r="I148" i="1"/>
  <c r="J148" i="1"/>
  <c r="L148" i="1"/>
  <c r="M148" i="1"/>
  <c r="F149" i="1"/>
  <c r="G149" i="1"/>
  <c r="I149" i="1"/>
  <c r="J149" i="1"/>
  <c r="L149" i="1"/>
  <c r="M149" i="1"/>
  <c r="F150" i="1"/>
  <c r="G150" i="1"/>
  <c r="I150" i="1"/>
  <c r="J150" i="1"/>
  <c r="L150" i="1"/>
  <c r="M150" i="1"/>
  <c r="F151" i="1"/>
  <c r="G151" i="1"/>
  <c r="I151" i="1"/>
  <c r="J151" i="1"/>
  <c r="L151" i="1"/>
  <c r="M151" i="1"/>
  <c r="F152" i="1"/>
  <c r="G152" i="1"/>
  <c r="I152" i="1"/>
  <c r="J152" i="1"/>
  <c r="L152" i="1"/>
  <c r="M152" i="1"/>
  <c r="F153" i="1"/>
  <c r="G153" i="1"/>
  <c r="I153" i="1"/>
  <c r="J153" i="1"/>
  <c r="L153" i="1"/>
  <c r="M153" i="1"/>
  <c r="F154" i="1"/>
  <c r="G154" i="1"/>
  <c r="I154" i="1"/>
  <c r="J154" i="1"/>
  <c r="L154" i="1"/>
  <c r="M154" i="1"/>
  <c r="F155" i="1"/>
  <c r="G155" i="1"/>
  <c r="I155" i="1"/>
  <c r="J155" i="1"/>
  <c r="L155" i="1"/>
  <c r="M155" i="1"/>
  <c r="F156" i="1"/>
  <c r="G156" i="1"/>
  <c r="I156" i="1"/>
  <c r="J156" i="1"/>
  <c r="L156" i="1"/>
  <c r="M156" i="1"/>
  <c r="F157" i="1"/>
  <c r="G157" i="1"/>
  <c r="I157" i="1"/>
  <c r="J157" i="1"/>
  <c r="L157" i="1"/>
  <c r="M157" i="1"/>
  <c r="F158" i="1"/>
  <c r="G158" i="1"/>
  <c r="I158" i="1"/>
  <c r="J158" i="1"/>
  <c r="L158" i="1"/>
  <c r="M158" i="1"/>
  <c r="F159" i="1"/>
  <c r="G159" i="1"/>
  <c r="I159" i="1"/>
  <c r="J159" i="1"/>
  <c r="L159" i="1"/>
  <c r="M159" i="1"/>
  <c r="F160" i="1"/>
  <c r="G160" i="1"/>
  <c r="I160" i="1"/>
  <c r="J160" i="1"/>
  <c r="L160" i="1"/>
  <c r="M160" i="1"/>
  <c r="F161" i="1"/>
  <c r="G161" i="1"/>
  <c r="I161" i="1"/>
  <c r="J161" i="1"/>
  <c r="L161" i="1"/>
  <c r="M161" i="1"/>
  <c r="F162" i="1"/>
  <c r="G162" i="1"/>
  <c r="I162" i="1"/>
  <c r="J162" i="1"/>
  <c r="L162" i="1"/>
  <c r="M162" i="1"/>
  <c r="F163" i="1"/>
  <c r="G163" i="1"/>
  <c r="I163" i="1"/>
  <c r="J163" i="1"/>
  <c r="L163" i="1"/>
  <c r="M163" i="1"/>
  <c r="F164" i="1"/>
  <c r="G164" i="1"/>
  <c r="I164" i="1"/>
  <c r="J164" i="1"/>
  <c r="L164" i="1"/>
  <c r="M164" i="1"/>
  <c r="F165" i="1"/>
  <c r="G165" i="1"/>
  <c r="I165" i="1"/>
  <c r="J165" i="1"/>
  <c r="L165" i="1"/>
  <c r="M165" i="1"/>
  <c r="F166" i="1"/>
  <c r="G166" i="1"/>
  <c r="I166" i="1"/>
  <c r="J166" i="1"/>
  <c r="L166" i="1"/>
  <c r="M166" i="1"/>
  <c r="F167" i="1"/>
  <c r="G167" i="1"/>
  <c r="I167" i="1"/>
  <c r="J167" i="1"/>
  <c r="L167" i="1"/>
  <c r="M167" i="1"/>
  <c r="F168" i="1"/>
  <c r="G168" i="1"/>
  <c r="I168" i="1"/>
  <c r="J168" i="1"/>
  <c r="L168" i="1"/>
  <c r="M168" i="1"/>
  <c r="F169" i="1"/>
  <c r="G169" i="1"/>
  <c r="I169" i="1"/>
  <c r="J169" i="1"/>
  <c r="L169" i="1"/>
  <c r="M169" i="1"/>
  <c r="F170" i="1"/>
  <c r="G170" i="1"/>
  <c r="I170" i="1"/>
  <c r="J170" i="1"/>
  <c r="L170" i="1"/>
  <c r="M170" i="1"/>
  <c r="F171" i="1"/>
  <c r="G171" i="1"/>
  <c r="I171" i="1"/>
  <c r="J171" i="1"/>
  <c r="L171" i="1"/>
  <c r="M171" i="1"/>
  <c r="F172" i="1"/>
  <c r="G172" i="1"/>
  <c r="I172" i="1"/>
  <c r="J172" i="1"/>
  <c r="L172" i="1"/>
  <c r="M172" i="1"/>
  <c r="F173" i="1"/>
  <c r="G173" i="1"/>
  <c r="I173" i="1"/>
  <c r="J173" i="1"/>
  <c r="L173" i="1"/>
  <c r="M173" i="1"/>
  <c r="F174" i="1"/>
  <c r="G174" i="1"/>
  <c r="I174" i="1"/>
  <c r="J174" i="1"/>
  <c r="L174" i="1"/>
  <c r="M174" i="1"/>
  <c r="F175" i="1"/>
  <c r="G175" i="1"/>
  <c r="I175" i="1"/>
  <c r="J175" i="1"/>
  <c r="L175" i="1"/>
  <c r="M175" i="1"/>
  <c r="F176" i="1"/>
  <c r="G176" i="1"/>
  <c r="I176" i="1"/>
  <c r="J176" i="1"/>
  <c r="L176" i="1"/>
  <c r="M176" i="1"/>
  <c r="F177" i="1"/>
  <c r="G177" i="1"/>
  <c r="I177" i="1"/>
  <c r="J177" i="1"/>
  <c r="L177" i="1"/>
  <c r="M177" i="1"/>
  <c r="F178" i="1"/>
  <c r="G178" i="1"/>
  <c r="I178" i="1"/>
  <c r="J178" i="1"/>
  <c r="L178" i="1"/>
  <c r="M178" i="1"/>
  <c r="F179" i="1"/>
  <c r="G179" i="1"/>
  <c r="I179" i="1"/>
  <c r="J179" i="1"/>
  <c r="L179" i="1"/>
  <c r="M179" i="1"/>
  <c r="F180" i="1"/>
  <c r="G180" i="1"/>
  <c r="I180" i="1"/>
  <c r="J180" i="1"/>
  <c r="L180" i="1"/>
  <c r="M180" i="1"/>
  <c r="F181" i="1"/>
  <c r="G181" i="1"/>
  <c r="I181" i="1"/>
  <c r="J181" i="1"/>
  <c r="L181" i="1"/>
  <c r="M181" i="1"/>
  <c r="F182" i="1"/>
  <c r="G182" i="1"/>
  <c r="I182" i="1"/>
  <c r="J182" i="1"/>
  <c r="L182" i="1"/>
  <c r="M182" i="1"/>
  <c r="F183" i="1"/>
  <c r="G183" i="1"/>
  <c r="I183" i="1"/>
  <c r="J183" i="1"/>
  <c r="L183" i="1"/>
  <c r="M183" i="1"/>
  <c r="F184" i="1"/>
  <c r="G184" i="1"/>
  <c r="I184" i="1"/>
  <c r="J184" i="1"/>
  <c r="L184" i="1"/>
  <c r="M184" i="1"/>
  <c r="F185" i="1"/>
  <c r="G185" i="1"/>
  <c r="I185" i="1"/>
  <c r="J185" i="1"/>
  <c r="L185" i="1"/>
  <c r="M185" i="1"/>
  <c r="F186" i="1"/>
  <c r="G186" i="1"/>
  <c r="I186" i="1"/>
  <c r="J186" i="1"/>
  <c r="L186" i="1"/>
  <c r="M186" i="1"/>
  <c r="F187" i="1"/>
  <c r="G187" i="1"/>
  <c r="I187" i="1"/>
  <c r="J187" i="1"/>
  <c r="L187" i="1"/>
  <c r="M187" i="1"/>
  <c r="F188" i="1"/>
  <c r="G188" i="1"/>
  <c r="I188" i="1"/>
  <c r="J188" i="1"/>
  <c r="L188" i="1"/>
  <c r="M188" i="1"/>
  <c r="F189" i="1"/>
  <c r="G189" i="1"/>
  <c r="I189" i="1"/>
  <c r="J189" i="1"/>
  <c r="L189" i="1"/>
  <c r="M189" i="1"/>
  <c r="F190" i="1"/>
  <c r="G190" i="1"/>
  <c r="I190" i="1"/>
  <c r="J190" i="1"/>
  <c r="L190" i="1"/>
  <c r="M190" i="1"/>
  <c r="F191" i="1"/>
  <c r="G191" i="1"/>
  <c r="I191" i="1"/>
  <c r="J191" i="1"/>
  <c r="L191" i="1"/>
  <c r="M191" i="1"/>
  <c r="F192" i="1"/>
  <c r="G192" i="1"/>
  <c r="I192" i="1"/>
  <c r="J192" i="1"/>
  <c r="L192" i="1"/>
  <c r="M192" i="1"/>
  <c r="F193" i="1"/>
  <c r="G193" i="1"/>
  <c r="I193" i="1"/>
  <c r="J193" i="1"/>
  <c r="L193" i="1"/>
  <c r="M193" i="1"/>
  <c r="F194" i="1"/>
  <c r="G194" i="1"/>
  <c r="I194" i="1"/>
  <c r="J194" i="1"/>
  <c r="L194" i="1"/>
  <c r="M194" i="1"/>
  <c r="F195" i="1"/>
  <c r="G195" i="1"/>
  <c r="I195" i="1"/>
  <c r="J195" i="1"/>
  <c r="L195" i="1"/>
  <c r="M195" i="1"/>
  <c r="F196" i="1"/>
  <c r="G196" i="1"/>
  <c r="I196" i="1"/>
  <c r="J196" i="1"/>
  <c r="L196" i="1"/>
  <c r="M196" i="1"/>
  <c r="F197" i="1"/>
  <c r="G197" i="1"/>
  <c r="I197" i="1"/>
  <c r="J197" i="1"/>
  <c r="L197" i="1"/>
  <c r="M197" i="1"/>
  <c r="F198" i="1"/>
  <c r="G198" i="1"/>
  <c r="I198" i="1"/>
  <c r="J198" i="1"/>
  <c r="L198" i="1"/>
  <c r="M198" i="1"/>
  <c r="F199" i="1"/>
  <c r="G199" i="1"/>
  <c r="I199" i="1"/>
  <c r="J199" i="1"/>
  <c r="L199" i="1"/>
  <c r="M199" i="1"/>
  <c r="F200" i="1"/>
  <c r="G200" i="1"/>
  <c r="I200" i="1"/>
  <c r="J200" i="1"/>
  <c r="L200" i="1"/>
  <c r="M200" i="1"/>
  <c r="F201" i="1"/>
  <c r="G201" i="1"/>
  <c r="I201" i="1"/>
  <c r="J201" i="1"/>
  <c r="L201" i="1"/>
  <c r="M201" i="1"/>
  <c r="F202" i="1"/>
  <c r="G202" i="1"/>
  <c r="I202" i="1"/>
  <c r="J202" i="1"/>
  <c r="L202" i="1"/>
  <c r="M202" i="1"/>
  <c r="F203" i="1"/>
  <c r="G203" i="1"/>
  <c r="I203" i="1"/>
  <c r="J203" i="1"/>
  <c r="L203" i="1"/>
  <c r="M203" i="1"/>
  <c r="F204" i="1"/>
  <c r="G204" i="1"/>
  <c r="I204" i="1"/>
  <c r="J204" i="1"/>
  <c r="L204" i="1"/>
  <c r="M204" i="1"/>
  <c r="F205" i="1"/>
  <c r="G205" i="1"/>
  <c r="I205" i="1"/>
  <c r="J205" i="1"/>
  <c r="L205" i="1"/>
  <c r="M205" i="1"/>
  <c r="F206" i="1"/>
  <c r="G206" i="1"/>
  <c r="I206" i="1"/>
  <c r="J206" i="1"/>
  <c r="L206" i="1"/>
  <c r="M206" i="1"/>
  <c r="F207" i="1"/>
  <c r="G207" i="1"/>
  <c r="I207" i="1"/>
  <c r="J207" i="1"/>
  <c r="L207" i="1"/>
  <c r="M207" i="1"/>
  <c r="F208" i="1"/>
  <c r="G208" i="1"/>
  <c r="I208" i="1"/>
  <c r="J208" i="1"/>
  <c r="L208" i="1"/>
  <c r="M208" i="1"/>
  <c r="F209" i="1"/>
  <c r="G209" i="1"/>
  <c r="I209" i="1"/>
  <c r="J209" i="1"/>
  <c r="L209" i="1"/>
  <c r="M209" i="1"/>
  <c r="F210" i="1"/>
  <c r="G210" i="1"/>
  <c r="I210" i="1"/>
  <c r="J210" i="1"/>
  <c r="L210" i="1"/>
  <c r="M210" i="1"/>
  <c r="F211" i="1"/>
  <c r="G211" i="1"/>
  <c r="I211" i="1"/>
  <c r="J211" i="1"/>
  <c r="L211" i="1"/>
  <c r="M211" i="1"/>
  <c r="F212" i="1"/>
  <c r="G212" i="1"/>
  <c r="I212" i="1"/>
  <c r="J212" i="1"/>
  <c r="L212" i="1"/>
  <c r="M212" i="1"/>
  <c r="F213" i="1"/>
  <c r="G213" i="1"/>
  <c r="I213" i="1"/>
  <c r="J213" i="1"/>
  <c r="L213" i="1"/>
  <c r="M213" i="1"/>
  <c r="F214" i="1"/>
  <c r="G214" i="1"/>
  <c r="I214" i="1"/>
  <c r="J214" i="1"/>
  <c r="L214" i="1"/>
  <c r="M214" i="1"/>
  <c r="F215" i="1"/>
  <c r="G215" i="1"/>
  <c r="I215" i="1"/>
  <c r="J215" i="1"/>
  <c r="L215" i="1"/>
  <c r="M215" i="1"/>
  <c r="F216" i="1"/>
  <c r="G216" i="1"/>
  <c r="I216" i="1"/>
  <c r="J216" i="1"/>
  <c r="L216" i="1"/>
  <c r="M216" i="1"/>
  <c r="F217" i="1"/>
  <c r="G217" i="1"/>
  <c r="I217" i="1"/>
  <c r="J217" i="1"/>
  <c r="L217" i="1"/>
  <c r="M217" i="1"/>
  <c r="F218" i="1"/>
  <c r="G218" i="1"/>
  <c r="I218" i="1"/>
  <c r="J218" i="1"/>
  <c r="L218" i="1"/>
  <c r="M218" i="1"/>
  <c r="F219" i="1"/>
  <c r="G219" i="1"/>
  <c r="I219" i="1"/>
  <c r="J219" i="1"/>
  <c r="L219" i="1"/>
  <c r="M219" i="1"/>
  <c r="F220" i="1"/>
  <c r="G220" i="1"/>
  <c r="I220" i="1"/>
  <c r="J220" i="1"/>
  <c r="L220" i="1"/>
  <c r="M220" i="1"/>
  <c r="F221" i="1"/>
  <c r="G221" i="1"/>
  <c r="I221" i="1"/>
  <c r="J221" i="1"/>
  <c r="L221" i="1"/>
  <c r="M221" i="1"/>
  <c r="F222" i="1"/>
  <c r="G222" i="1"/>
  <c r="I222" i="1"/>
  <c r="J222" i="1"/>
  <c r="L222" i="1"/>
  <c r="M222" i="1"/>
  <c r="F223" i="1"/>
  <c r="G223" i="1"/>
  <c r="I223" i="1"/>
  <c r="J223" i="1"/>
  <c r="L223" i="1"/>
  <c r="M223" i="1"/>
  <c r="F224" i="1"/>
  <c r="G224" i="1"/>
  <c r="I224" i="1"/>
  <c r="J224" i="1"/>
  <c r="L224" i="1"/>
  <c r="M224" i="1"/>
  <c r="F225" i="1"/>
  <c r="G225" i="1"/>
  <c r="I225" i="1"/>
  <c r="J225" i="1"/>
  <c r="L225" i="1"/>
  <c r="M225" i="1"/>
  <c r="F226" i="1"/>
  <c r="G226" i="1"/>
  <c r="I226" i="1"/>
  <c r="J226" i="1"/>
  <c r="L226" i="1"/>
  <c r="M226" i="1"/>
  <c r="F227" i="1"/>
  <c r="G227" i="1"/>
  <c r="I227" i="1"/>
  <c r="J227" i="1"/>
  <c r="L227" i="1"/>
  <c r="M227" i="1"/>
  <c r="F228" i="1"/>
  <c r="G228" i="1"/>
  <c r="I228" i="1"/>
  <c r="J228" i="1"/>
  <c r="L228" i="1"/>
  <c r="M228" i="1"/>
  <c r="F229" i="1"/>
  <c r="G229" i="1"/>
  <c r="I229" i="1"/>
  <c r="J229" i="1"/>
  <c r="L229" i="1"/>
  <c r="M229" i="1"/>
  <c r="F230" i="1"/>
  <c r="G230" i="1"/>
  <c r="I230" i="1"/>
  <c r="J230" i="1"/>
  <c r="L230" i="1"/>
  <c r="M230" i="1"/>
  <c r="F231" i="1"/>
  <c r="G231" i="1"/>
  <c r="I231" i="1"/>
  <c r="J231" i="1"/>
  <c r="L231" i="1"/>
  <c r="M231" i="1"/>
  <c r="F232" i="1"/>
  <c r="G232" i="1"/>
  <c r="I232" i="1"/>
  <c r="J232" i="1"/>
  <c r="L232" i="1"/>
  <c r="M232" i="1"/>
  <c r="F233" i="1"/>
  <c r="G233" i="1"/>
  <c r="I233" i="1"/>
  <c r="J233" i="1"/>
  <c r="L233" i="1"/>
  <c r="M233" i="1"/>
  <c r="F234" i="1"/>
  <c r="G234" i="1"/>
  <c r="I234" i="1"/>
  <c r="J234" i="1"/>
  <c r="L234" i="1"/>
  <c r="M234" i="1"/>
  <c r="F235" i="1"/>
  <c r="G235" i="1"/>
  <c r="I235" i="1"/>
  <c r="J235" i="1"/>
  <c r="L235" i="1"/>
  <c r="M235" i="1"/>
  <c r="F236" i="1"/>
  <c r="G236" i="1"/>
  <c r="I236" i="1"/>
  <c r="J236" i="1"/>
  <c r="L236" i="1"/>
  <c r="M236" i="1"/>
  <c r="F237" i="1"/>
  <c r="G237" i="1"/>
  <c r="I237" i="1"/>
  <c r="J237" i="1"/>
  <c r="L237" i="1"/>
  <c r="M237" i="1"/>
  <c r="F238" i="1"/>
  <c r="G238" i="1"/>
  <c r="I238" i="1"/>
  <c r="J238" i="1"/>
  <c r="L238" i="1"/>
  <c r="M238" i="1"/>
  <c r="F239" i="1"/>
  <c r="G239" i="1"/>
  <c r="I239" i="1"/>
  <c r="J239" i="1"/>
  <c r="L239" i="1"/>
  <c r="M239" i="1"/>
  <c r="F240" i="1"/>
  <c r="G240" i="1"/>
  <c r="I240" i="1"/>
  <c r="J240" i="1"/>
  <c r="L240" i="1"/>
  <c r="M240" i="1"/>
  <c r="F241" i="1"/>
  <c r="G241" i="1"/>
  <c r="I241" i="1"/>
  <c r="J241" i="1"/>
  <c r="L241" i="1"/>
  <c r="M241" i="1"/>
  <c r="F242" i="1"/>
  <c r="G242" i="1"/>
  <c r="I242" i="1"/>
  <c r="J242" i="1"/>
  <c r="L242" i="1"/>
  <c r="M242" i="1"/>
  <c r="F243" i="1"/>
  <c r="G243" i="1"/>
  <c r="I243" i="1"/>
  <c r="J243" i="1"/>
  <c r="L243" i="1"/>
  <c r="M243" i="1"/>
  <c r="F244" i="1"/>
  <c r="G244" i="1"/>
  <c r="I244" i="1"/>
  <c r="J244" i="1"/>
  <c r="L244" i="1"/>
  <c r="M244" i="1"/>
  <c r="F245" i="1"/>
  <c r="G245" i="1"/>
  <c r="I245" i="1"/>
  <c r="J245" i="1"/>
  <c r="L245" i="1"/>
  <c r="M245" i="1"/>
  <c r="F246" i="1"/>
  <c r="G246" i="1"/>
  <c r="I246" i="1"/>
  <c r="J246" i="1"/>
  <c r="L246" i="1"/>
  <c r="M246" i="1"/>
  <c r="F247" i="1"/>
  <c r="G247" i="1"/>
  <c r="I247" i="1"/>
  <c r="J247" i="1"/>
  <c r="L247" i="1"/>
  <c r="M247" i="1"/>
  <c r="F248" i="1"/>
  <c r="G248" i="1"/>
  <c r="I248" i="1"/>
  <c r="J248" i="1"/>
  <c r="L248" i="1"/>
  <c r="M248" i="1"/>
  <c r="F249" i="1"/>
  <c r="G249" i="1"/>
  <c r="I249" i="1"/>
  <c r="J249" i="1"/>
  <c r="L249" i="1"/>
  <c r="M249" i="1"/>
  <c r="F250" i="1"/>
  <c r="G250" i="1"/>
  <c r="I250" i="1"/>
  <c r="J250" i="1"/>
  <c r="L250" i="1"/>
  <c r="M250" i="1"/>
  <c r="F251" i="1"/>
  <c r="G251" i="1"/>
  <c r="I251" i="1"/>
  <c r="J251" i="1"/>
  <c r="L251" i="1"/>
  <c r="M251" i="1"/>
  <c r="F252" i="1"/>
  <c r="G252" i="1"/>
  <c r="I252" i="1"/>
  <c r="J252" i="1"/>
  <c r="L252" i="1"/>
  <c r="M252" i="1"/>
  <c r="F253" i="1"/>
  <c r="G253" i="1"/>
  <c r="I253" i="1"/>
  <c r="J253" i="1"/>
  <c r="L253" i="1"/>
  <c r="M253" i="1"/>
  <c r="F254" i="1"/>
  <c r="G254" i="1"/>
  <c r="I254" i="1"/>
  <c r="J254" i="1"/>
  <c r="L254" i="1"/>
  <c r="M254" i="1"/>
  <c r="F255" i="1"/>
  <c r="G255" i="1"/>
  <c r="I255" i="1"/>
  <c r="J255" i="1"/>
  <c r="L255" i="1"/>
  <c r="M255" i="1"/>
  <c r="F256" i="1"/>
  <c r="G256" i="1"/>
  <c r="I256" i="1"/>
  <c r="J256" i="1"/>
  <c r="L256" i="1"/>
  <c r="M256" i="1"/>
  <c r="F257" i="1"/>
  <c r="G257" i="1"/>
  <c r="I257" i="1"/>
  <c r="J257" i="1"/>
  <c r="L257" i="1"/>
  <c r="M257" i="1"/>
  <c r="F258" i="1"/>
  <c r="G258" i="1"/>
  <c r="I258" i="1"/>
  <c r="J258" i="1"/>
  <c r="L258" i="1"/>
  <c r="M258" i="1"/>
  <c r="F259" i="1"/>
  <c r="G259" i="1"/>
  <c r="I259" i="1"/>
  <c r="J259" i="1"/>
  <c r="L259" i="1"/>
  <c r="M259" i="1"/>
  <c r="F260" i="1"/>
  <c r="G260" i="1"/>
  <c r="I260" i="1"/>
  <c r="J260" i="1"/>
  <c r="L260" i="1"/>
  <c r="M260" i="1"/>
  <c r="F261" i="1"/>
  <c r="G261" i="1"/>
  <c r="I261" i="1"/>
  <c r="J261" i="1"/>
  <c r="L261" i="1"/>
  <c r="M261" i="1"/>
  <c r="F262" i="1"/>
  <c r="G262" i="1"/>
  <c r="I262" i="1"/>
  <c r="J262" i="1"/>
  <c r="L262" i="1"/>
  <c r="M262" i="1"/>
  <c r="F263" i="1"/>
  <c r="G263" i="1"/>
  <c r="I263" i="1"/>
  <c r="J263" i="1"/>
  <c r="L263" i="1"/>
  <c r="M263" i="1"/>
  <c r="F264" i="1"/>
  <c r="G264" i="1"/>
  <c r="I264" i="1"/>
  <c r="J264" i="1"/>
  <c r="L264" i="1"/>
  <c r="M264" i="1"/>
  <c r="F265" i="1"/>
  <c r="G265" i="1"/>
  <c r="I265" i="1"/>
  <c r="J265" i="1"/>
  <c r="L265" i="1"/>
  <c r="M265" i="1"/>
  <c r="F266" i="1"/>
  <c r="G266" i="1"/>
  <c r="I266" i="1"/>
  <c r="J266" i="1"/>
  <c r="L266" i="1"/>
  <c r="M266" i="1"/>
  <c r="F267" i="1"/>
  <c r="G267" i="1"/>
  <c r="I267" i="1"/>
  <c r="J267" i="1"/>
  <c r="L267" i="1"/>
  <c r="M267" i="1"/>
  <c r="F268" i="1"/>
  <c r="G268" i="1"/>
  <c r="I268" i="1"/>
  <c r="J268" i="1"/>
  <c r="L268" i="1"/>
  <c r="M268" i="1"/>
  <c r="F269" i="1"/>
  <c r="G269" i="1"/>
  <c r="I269" i="1"/>
  <c r="J269" i="1"/>
  <c r="L269" i="1"/>
  <c r="M269" i="1"/>
  <c r="F270" i="1"/>
  <c r="G270" i="1"/>
  <c r="I270" i="1"/>
  <c r="J270" i="1"/>
  <c r="L270" i="1"/>
  <c r="M270" i="1"/>
  <c r="F271" i="1"/>
  <c r="G271" i="1"/>
  <c r="I271" i="1"/>
  <c r="J271" i="1"/>
  <c r="L271" i="1"/>
  <c r="M271" i="1"/>
  <c r="F272" i="1"/>
  <c r="G272" i="1"/>
  <c r="I272" i="1"/>
  <c r="J272" i="1"/>
  <c r="L272" i="1"/>
  <c r="M272" i="1"/>
  <c r="F273" i="1"/>
  <c r="G273" i="1"/>
  <c r="I273" i="1"/>
  <c r="J273" i="1"/>
  <c r="L273" i="1"/>
  <c r="M273" i="1"/>
  <c r="F274" i="1"/>
  <c r="G274" i="1"/>
  <c r="I274" i="1"/>
  <c r="J274" i="1"/>
  <c r="L274" i="1"/>
  <c r="M274" i="1"/>
  <c r="F275" i="1"/>
  <c r="G275" i="1"/>
  <c r="I275" i="1"/>
  <c r="J275" i="1"/>
  <c r="L275" i="1"/>
  <c r="M275" i="1"/>
  <c r="F276" i="1"/>
  <c r="G276" i="1"/>
  <c r="I276" i="1"/>
  <c r="J276" i="1"/>
  <c r="L276" i="1"/>
  <c r="M276" i="1"/>
  <c r="F277" i="1"/>
  <c r="G277" i="1"/>
  <c r="I277" i="1"/>
  <c r="J277" i="1"/>
  <c r="L277" i="1"/>
  <c r="M277" i="1"/>
  <c r="F278" i="1"/>
  <c r="G278" i="1"/>
  <c r="I278" i="1"/>
  <c r="J278" i="1"/>
  <c r="L278" i="1"/>
  <c r="M278" i="1"/>
  <c r="F279" i="1"/>
  <c r="G279" i="1"/>
  <c r="I279" i="1"/>
  <c r="J279" i="1"/>
  <c r="L279" i="1"/>
  <c r="M279" i="1"/>
  <c r="F280" i="1"/>
  <c r="G280" i="1"/>
  <c r="I280" i="1"/>
  <c r="J280" i="1"/>
  <c r="L280" i="1"/>
  <c r="M280" i="1"/>
  <c r="F281" i="1"/>
  <c r="G281" i="1"/>
  <c r="I281" i="1"/>
  <c r="J281" i="1"/>
  <c r="L281" i="1"/>
  <c r="M281" i="1"/>
  <c r="F282" i="1"/>
  <c r="G282" i="1"/>
  <c r="I282" i="1"/>
  <c r="J282" i="1"/>
  <c r="L282" i="1"/>
  <c r="M282" i="1"/>
  <c r="F283" i="1"/>
  <c r="G283" i="1"/>
  <c r="I283" i="1"/>
  <c r="J283" i="1"/>
  <c r="L283" i="1"/>
  <c r="M283" i="1"/>
  <c r="F284" i="1"/>
  <c r="G284" i="1"/>
  <c r="I284" i="1"/>
  <c r="J284" i="1"/>
  <c r="L284" i="1"/>
  <c r="M284" i="1"/>
  <c r="F285" i="1"/>
  <c r="G285" i="1"/>
  <c r="I285" i="1"/>
  <c r="J285" i="1"/>
  <c r="L285" i="1"/>
  <c r="M285" i="1"/>
  <c r="F286" i="1"/>
  <c r="G286" i="1"/>
  <c r="I286" i="1"/>
  <c r="J286" i="1"/>
  <c r="L286" i="1"/>
  <c r="M286" i="1"/>
  <c r="F287" i="1"/>
  <c r="G287" i="1"/>
  <c r="I287" i="1"/>
  <c r="J287" i="1"/>
  <c r="L287" i="1"/>
  <c r="M287" i="1"/>
  <c r="F288" i="1"/>
  <c r="G288" i="1"/>
  <c r="I288" i="1"/>
  <c r="J288" i="1"/>
  <c r="L288" i="1"/>
  <c r="M288" i="1"/>
  <c r="F289" i="1"/>
  <c r="G289" i="1"/>
  <c r="I289" i="1"/>
  <c r="J289" i="1"/>
  <c r="L289" i="1"/>
  <c r="M289" i="1"/>
  <c r="F290" i="1"/>
  <c r="G290" i="1"/>
  <c r="I290" i="1"/>
  <c r="J290" i="1"/>
  <c r="L290" i="1"/>
  <c r="M290" i="1"/>
  <c r="F291" i="1"/>
  <c r="G291" i="1"/>
  <c r="I291" i="1"/>
  <c r="J291" i="1"/>
  <c r="L291" i="1"/>
  <c r="M291" i="1"/>
  <c r="F292" i="1"/>
  <c r="G292" i="1"/>
  <c r="I292" i="1"/>
  <c r="J292" i="1"/>
  <c r="L292" i="1"/>
  <c r="M292" i="1"/>
  <c r="F293" i="1"/>
  <c r="G293" i="1"/>
  <c r="I293" i="1"/>
  <c r="J293" i="1"/>
  <c r="L293" i="1"/>
  <c r="M293" i="1"/>
  <c r="F294" i="1"/>
  <c r="G294" i="1"/>
  <c r="I294" i="1"/>
  <c r="J294" i="1"/>
  <c r="L294" i="1"/>
  <c r="M294" i="1"/>
  <c r="F295" i="1"/>
  <c r="G295" i="1"/>
  <c r="I295" i="1"/>
  <c r="J295" i="1"/>
  <c r="L295" i="1"/>
  <c r="M295" i="1"/>
  <c r="F296" i="1"/>
  <c r="G296" i="1"/>
  <c r="I296" i="1"/>
  <c r="J296" i="1"/>
  <c r="L296" i="1"/>
  <c r="M296" i="1"/>
  <c r="F297" i="1"/>
  <c r="G297" i="1"/>
  <c r="I297" i="1"/>
  <c r="J297" i="1"/>
  <c r="L297" i="1"/>
  <c r="M297" i="1"/>
  <c r="F298" i="1"/>
  <c r="G298" i="1"/>
  <c r="I298" i="1"/>
  <c r="J298" i="1"/>
  <c r="L298" i="1"/>
  <c r="M298" i="1"/>
  <c r="F299" i="1"/>
  <c r="G299" i="1"/>
  <c r="I299" i="1"/>
  <c r="J299" i="1"/>
  <c r="L299" i="1"/>
  <c r="M299" i="1"/>
  <c r="F300" i="1"/>
  <c r="G300" i="1"/>
  <c r="I300" i="1"/>
  <c r="J300" i="1"/>
  <c r="L300" i="1"/>
  <c r="M300" i="1"/>
  <c r="F301" i="1"/>
  <c r="G301" i="1"/>
  <c r="I301" i="1"/>
  <c r="J301" i="1"/>
  <c r="L301" i="1"/>
  <c r="M301" i="1"/>
  <c r="F302" i="1"/>
  <c r="G302" i="1"/>
  <c r="I302" i="1"/>
  <c r="J302" i="1"/>
  <c r="L302" i="1"/>
  <c r="M302" i="1"/>
  <c r="F303" i="1"/>
  <c r="G303" i="1"/>
  <c r="I303" i="1"/>
  <c r="J303" i="1"/>
  <c r="L303" i="1"/>
  <c r="M303" i="1"/>
  <c r="F304" i="1"/>
  <c r="G304" i="1"/>
  <c r="I304" i="1"/>
  <c r="J304" i="1"/>
  <c r="L304" i="1"/>
  <c r="M304" i="1"/>
  <c r="F305" i="1"/>
  <c r="G305" i="1"/>
  <c r="I305" i="1"/>
  <c r="J305" i="1"/>
  <c r="L305" i="1"/>
  <c r="M305" i="1"/>
  <c r="F306" i="1"/>
  <c r="G306" i="1"/>
  <c r="I306" i="1"/>
  <c r="J306" i="1"/>
  <c r="L306" i="1"/>
  <c r="M306" i="1"/>
  <c r="F307" i="1"/>
  <c r="G307" i="1"/>
  <c r="I307" i="1"/>
  <c r="J307" i="1"/>
  <c r="L307" i="1"/>
  <c r="M307" i="1"/>
  <c r="F308" i="1"/>
  <c r="G308" i="1"/>
  <c r="I308" i="1"/>
  <c r="J308" i="1"/>
  <c r="L308" i="1"/>
  <c r="M308" i="1"/>
  <c r="F309" i="1"/>
  <c r="G309" i="1"/>
  <c r="I309" i="1"/>
  <c r="J309" i="1"/>
  <c r="L309" i="1"/>
  <c r="M309" i="1"/>
  <c r="F310" i="1"/>
  <c r="G310" i="1"/>
  <c r="I310" i="1"/>
  <c r="J310" i="1"/>
  <c r="L310" i="1"/>
  <c r="M310" i="1"/>
  <c r="F311" i="1"/>
  <c r="G311" i="1"/>
  <c r="I311" i="1"/>
  <c r="J311" i="1"/>
  <c r="L311" i="1"/>
  <c r="M311" i="1"/>
  <c r="F312" i="1"/>
  <c r="G312" i="1"/>
  <c r="I312" i="1"/>
  <c r="J312" i="1"/>
  <c r="L312" i="1"/>
  <c r="M312" i="1"/>
  <c r="F313" i="1"/>
  <c r="G313" i="1"/>
  <c r="I313" i="1"/>
  <c r="J313" i="1"/>
  <c r="L313" i="1"/>
  <c r="M313" i="1"/>
  <c r="F314" i="1"/>
  <c r="G314" i="1"/>
  <c r="I314" i="1"/>
  <c r="J314" i="1"/>
  <c r="L314" i="1"/>
  <c r="M314" i="1"/>
  <c r="F315" i="1"/>
  <c r="G315" i="1"/>
  <c r="I315" i="1"/>
  <c r="J315" i="1"/>
  <c r="L315" i="1"/>
  <c r="M315" i="1"/>
  <c r="F316" i="1"/>
  <c r="G316" i="1"/>
  <c r="I316" i="1"/>
  <c r="J316" i="1"/>
  <c r="L316" i="1"/>
  <c r="M316" i="1"/>
  <c r="F317" i="1"/>
  <c r="G317" i="1"/>
  <c r="I317" i="1"/>
  <c r="J317" i="1"/>
  <c r="L317" i="1"/>
  <c r="M317" i="1"/>
  <c r="F318" i="1"/>
  <c r="G318" i="1"/>
  <c r="I318" i="1"/>
  <c r="J318" i="1"/>
  <c r="L318" i="1"/>
  <c r="M318" i="1"/>
  <c r="F319" i="1"/>
  <c r="G319" i="1"/>
  <c r="I319" i="1"/>
  <c r="J319" i="1"/>
  <c r="L319" i="1"/>
  <c r="M319" i="1"/>
  <c r="F320" i="1"/>
  <c r="G320" i="1"/>
  <c r="I320" i="1"/>
  <c r="J320" i="1"/>
  <c r="L320" i="1"/>
  <c r="M320" i="1"/>
  <c r="F321" i="1"/>
  <c r="G321" i="1"/>
  <c r="I321" i="1"/>
  <c r="J321" i="1"/>
  <c r="L321" i="1"/>
  <c r="M321" i="1"/>
  <c r="F322" i="1"/>
  <c r="G322" i="1"/>
  <c r="I322" i="1"/>
  <c r="J322" i="1"/>
  <c r="L322" i="1"/>
  <c r="M322" i="1"/>
  <c r="F323" i="1"/>
  <c r="G323" i="1"/>
  <c r="I323" i="1"/>
  <c r="J323" i="1"/>
  <c r="L323" i="1"/>
  <c r="M323" i="1"/>
  <c r="F324" i="1"/>
  <c r="G324" i="1"/>
  <c r="I324" i="1"/>
  <c r="J324" i="1"/>
  <c r="L324" i="1"/>
  <c r="M324" i="1"/>
  <c r="F325" i="1"/>
  <c r="G325" i="1"/>
  <c r="I325" i="1"/>
  <c r="J325" i="1"/>
  <c r="L325" i="1"/>
  <c r="M325" i="1"/>
  <c r="F326" i="1"/>
  <c r="G326" i="1"/>
  <c r="I326" i="1"/>
  <c r="J326" i="1"/>
  <c r="L326" i="1"/>
  <c r="M326" i="1"/>
  <c r="F327" i="1"/>
  <c r="G327" i="1"/>
  <c r="I327" i="1"/>
  <c r="J327" i="1"/>
  <c r="L327" i="1"/>
  <c r="M327" i="1"/>
  <c r="F328" i="1"/>
  <c r="G328" i="1"/>
  <c r="I328" i="1"/>
  <c r="J328" i="1"/>
  <c r="L328" i="1"/>
  <c r="M328" i="1"/>
  <c r="F329" i="1"/>
  <c r="G329" i="1"/>
  <c r="I329" i="1"/>
  <c r="J329" i="1"/>
  <c r="L329" i="1"/>
  <c r="M329" i="1"/>
  <c r="F330" i="1"/>
  <c r="G330" i="1"/>
  <c r="I330" i="1"/>
  <c r="J330" i="1"/>
  <c r="L330" i="1"/>
  <c r="M330" i="1"/>
  <c r="F331" i="1"/>
  <c r="G331" i="1"/>
  <c r="I331" i="1"/>
  <c r="J331" i="1"/>
  <c r="L331" i="1"/>
  <c r="M331" i="1"/>
  <c r="F332" i="1"/>
  <c r="G332" i="1"/>
  <c r="I332" i="1"/>
  <c r="J332" i="1"/>
  <c r="L332" i="1"/>
  <c r="M332" i="1"/>
  <c r="F333" i="1"/>
  <c r="G333" i="1"/>
  <c r="I333" i="1"/>
  <c r="J333" i="1"/>
  <c r="L333" i="1"/>
  <c r="M333" i="1"/>
  <c r="F334" i="1"/>
  <c r="G334" i="1"/>
  <c r="I334" i="1"/>
  <c r="J334" i="1"/>
  <c r="L334" i="1"/>
  <c r="M334" i="1"/>
  <c r="F335" i="1"/>
  <c r="G335" i="1"/>
  <c r="I335" i="1"/>
  <c r="J335" i="1"/>
  <c r="L335" i="1"/>
  <c r="M335" i="1"/>
  <c r="F336" i="1"/>
  <c r="G336" i="1"/>
  <c r="I336" i="1"/>
  <c r="J336" i="1"/>
  <c r="L336" i="1"/>
  <c r="M336" i="1"/>
  <c r="F337" i="1"/>
  <c r="G337" i="1"/>
  <c r="I337" i="1"/>
  <c r="J337" i="1"/>
  <c r="L337" i="1"/>
  <c r="M337" i="1"/>
  <c r="F338" i="1"/>
  <c r="G338" i="1"/>
  <c r="I338" i="1"/>
  <c r="J338" i="1"/>
  <c r="L338" i="1"/>
  <c r="M338" i="1"/>
  <c r="F339" i="1"/>
  <c r="G339" i="1"/>
  <c r="I339" i="1"/>
  <c r="J339" i="1"/>
  <c r="L339" i="1"/>
  <c r="M339" i="1"/>
  <c r="F340" i="1"/>
  <c r="G340" i="1"/>
  <c r="I340" i="1"/>
  <c r="J340" i="1"/>
  <c r="L340" i="1"/>
  <c r="M340" i="1"/>
  <c r="F341" i="1"/>
  <c r="G341" i="1"/>
  <c r="I341" i="1"/>
  <c r="J341" i="1"/>
  <c r="L341" i="1"/>
  <c r="M341" i="1"/>
  <c r="F342" i="1"/>
  <c r="G342" i="1"/>
  <c r="I342" i="1"/>
  <c r="J342" i="1"/>
  <c r="L342" i="1"/>
  <c r="M342" i="1"/>
  <c r="F343" i="1"/>
  <c r="G343" i="1"/>
  <c r="I343" i="1"/>
  <c r="J343" i="1"/>
  <c r="L343" i="1"/>
  <c r="M343" i="1"/>
  <c r="F344" i="1"/>
  <c r="G344" i="1"/>
  <c r="I344" i="1"/>
  <c r="J344" i="1"/>
  <c r="L344" i="1"/>
  <c r="M344" i="1"/>
  <c r="F345" i="1"/>
  <c r="G345" i="1"/>
  <c r="I345" i="1"/>
  <c r="J345" i="1"/>
  <c r="L345" i="1"/>
  <c r="M345" i="1"/>
  <c r="F346" i="1"/>
  <c r="G346" i="1"/>
  <c r="I346" i="1"/>
  <c r="J346" i="1"/>
  <c r="L346" i="1"/>
  <c r="M346" i="1"/>
  <c r="F347" i="1"/>
  <c r="G347" i="1"/>
  <c r="I347" i="1"/>
  <c r="J347" i="1"/>
  <c r="L347" i="1"/>
  <c r="M347" i="1"/>
  <c r="F348" i="1"/>
  <c r="G348" i="1"/>
  <c r="I348" i="1"/>
  <c r="J348" i="1"/>
  <c r="L348" i="1"/>
  <c r="M348" i="1"/>
  <c r="F349" i="1"/>
  <c r="G349" i="1"/>
  <c r="I349" i="1"/>
  <c r="J349" i="1"/>
  <c r="L349" i="1"/>
  <c r="M349" i="1"/>
  <c r="F350" i="1"/>
  <c r="G350" i="1"/>
  <c r="I350" i="1"/>
  <c r="J350" i="1"/>
  <c r="L350" i="1"/>
  <c r="M350" i="1"/>
  <c r="F351" i="1"/>
  <c r="G351" i="1"/>
  <c r="I351" i="1"/>
  <c r="J351" i="1"/>
  <c r="L351" i="1"/>
  <c r="M351" i="1"/>
  <c r="F352" i="1"/>
  <c r="G352" i="1"/>
  <c r="I352" i="1"/>
  <c r="J352" i="1"/>
  <c r="L352" i="1"/>
  <c r="M352" i="1"/>
  <c r="F353" i="1"/>
  <c r="G353" i="1"/>
  <c r="I353" i="1"/>
  <c r="J353" i="1"/>
  <c r="L353" i="1"/>
  <c r="M353" i="1"/>
  <c r="F354" i="1"/>
  <c r="G354" i="1"/>
  <c r="I354" i="1"/>
  <c r="J354" i="1"/>
  <c r="L354" i="1"/>
  <c r="M354" i="1"/>
  <c r="F355" i="1"/>
  <c r="G355" i="1"/>
  <c r="I355" i="1"/>
  <c r="J355" i="1"/>
  <c r="L355" i="1"/>
  <c r="M355" i="1"/>
  <c r="F356" i="1"/>
  <c r="G356" i="1"/>
  <c r="I356" i="1"/>
  <c r="J356" i="1"/>
  <c r="L356" i="1"/>
  <c r="M356" i="1"/>
  <c r="F357" i="1"/>
  <c r="G357" i="1"/>
  <c r="I357" i="1"/>
  <c r="J357" i="1"/>
  <c r="L357" i="1"/>
  <c r="M357" i="1"/>
  <c r="F358" i="1"/>
  <c r="G358" i="1"/>
  <c r="I358" i="1"/>
  <c r="J358" i="1"/>
  <c r="L358" i="1"/>
  <c r="M358" i="1"/>
  <c r="F359" i="1"/>
  <c r="G359" i="1"/>
  <c r="I359" i="1"/>
  <c r="J359" i="1"/>
  <c r="L359" i="1"/>
  <c r="M359" i="1"/>
  <c r="F360" i="1"/>
  <c r="G360" i="1"/>
  <c r="I360" i="1"/>
  <c r="J360" i="1"/>
  <c r="L360" i="1"/>
  <c r="M360" i="1"/>
  <c r="F361" i="1"/>
  <c r="G361" i="1"/>
  <c r="I361" i="1"/>
  <c r="J361" i="1"/>
  <c r="L361" i="1"/>
  <c r="M361" i="1"/>
  <c r="F362" i="1"/>
  <c r="G362" i="1"/>
  <c r="I362" i="1"/>
  <c r="J362" i="1"/>
  <c r="L362" i="1"/>
  <c r="M362" i="1"/>
  <c r="F363" i="1"/>
  <c r="G363" i="1"/>
  <c r="I363" i="1"/>
  <c r="J363" i="1"/>
  <c r="L363" i="1"/>
  <c r="M363" i="1"/>
  <c r="F364" i="1"/>
  <c r="G364" i="1"/>
  <c r="I364" i="1"/>
  <c r="J364" i="1"/>
  <c r="L364" i="1"/>
  <c r="M364" i="1"/>
  <c r="F365" i="1"/>
  <c r="G365" i="1"/>
  <c r="I365" i="1"/>
  <c r="J365" i="1"/>
  <c r="L365" i="1"/>
  <c r="M365" i="1"/>
  <c r="F366" i="1"/>
  <c r="G366" i="1"/>
  <c r="I366" i="1"/>
  <c r="J366" i="1"/>
  <c r="L366" i="1"/>
  <c r="M366" i="1"/>
  <c r="F367" i="1"/>
  <c r="G367" i="1"/>
  <c r="I367" i="1"/>
  <c r="J367" i="1"/>
  <c r="L367" i="1"/>
  <c r="M367" i="1"/>
  <c r="F368" i="1"/>
  <c r="G368" i="1"/>
  <c r="I368" i="1"/>
  <c r="J368" i="1"/>
  <c r="L368" i="1"/>
  <c r="M368" i="1"/>
  <c r="F369" i="1"/>
  <c r="G369" i="1"/>
  <c r="I369" i="1"/>
  <c r="J369" i="1"/>
  <c r="L369" i="1"/>
  <c r="M369" i="1"/>
  <c r="F370" i="1"/>
  <c r="G370" i="1"/>
  <c r="I370" i="1"/>
  <c r="J370" i="1"/>
  <c r="L370" i="1"/>
  <c r="M370" i="1"/>
  <c r="F371" i="1"/>
  <c r="G371" i="1"/>
  <c r="I371" i="1"/>
  <c r="J371" i="1"/>
  <c r="L371" i="1"/>
  <c r="M371" i="1"/>
  <c r="F372" i="1"/>
  <c r="G372" i="1"/>
  <c r="I372" i="1"/>
  <c r="J372" i="1"/>
  <c r="L372" i="1"/>
  <c r="M372" i="1"/>
  <c r="F373" i="1"/>
  <c r="G373" i="1"/>
  <c r="I373" i="1"/>
  <c r="J373" i="1"/>
  <c r="L373" i="1"/>
  <c r="M373" i="1"/>
  <c r="F374" i="1"/>
  <c r="G374" i="1"/>
  <c r="I374" i="1"/>
  <c r="J374" i="1"/>
  <c r="L374" i="1"/>
  <c r="M374" i="1"/>
  <c r="F375" i="1"/>
  <c r="G375" i="1"/>
  <c r="I375" i="1"/>
  <c r="J375" i="1"/>
  <c r="L375" i="1"/>
  <c r="M375" i="1"/>
  <c r="F376" i="1"/>
  <c r="G376" i="1"/>
  <c r="I376" i="1"/>
  <c r="J376" i="1"/>
  <c r="L376" i="1"/>
  <c r="M376" i="1"/>
  <c r="F377" i="1"/>
  <c r="G377" i="1"/>
  <c r="I377" i="1"/>
  <c r="J377" i="1"/>
  <c r="L377" i="1"/>
  <c r="M377" i="1"/>
  <c r="F378" i="1"/>
  <c r="G378" i="1"/>
  <c r="I378" i="1"/>
  <c r="J378" i="1"/>
  <c r="L378" i="1"/>
  <c r="M378" i="1"/>
  <c r="F379" i="1"/>
  <c r="G379" i="1"/>
  <c r="I379" i="1"/>
  <c r="J379" i="1"/>
  <c r="L379" i="1"/>
  <c r="M379" i="1"/>
  <c r="F380" i="1"/>
  <c r="G380" i="1"/>
  <c r="I380" i="1"/>
  <c r="J380" i="1"/>
  <c r="L380" i="1"/>
  <c r="M380" i="1"/>
  <c r="F381" i="1"/>
  <c r="G381" i="1"/>
  <c r="I381" i="1"/>
  <c r="J381" i="1"/>
  <c r="L381" i="1"/>
  <c r="M381" i="1"/>
  <c r="F382" i="1"/>
  <c r="G382" i="1"/>
  <c r="I382" i="1"/>
  <c r="J382" i="1"/>
  <c r="L382" i="1"/>
  <c r="M382" i="1"/>
  <c r="F383" i="1"/>
  <c r="G383" i="1"/>
  <c r="I383" i="1"/>
  <c r="J383" i="1"/>
  <c r="L383" i="1"/>
  <c r="M383" i="1"/>
  <c r="F384" i="1"/>
  <c r="G384" i="1"/>
  <c r="I384" i="1"/>
  <c r="J384" i="1"/>
  <c r="L384" i="1"/>
  <c r="M384" i="1"/>
  <c r="F385" i="1"/>
  <c r="G385" i="1"/>
  <c r="I385" i="1"/>
  <c r="J385" i="1"/>
  <c r="L385" i="1"/>
  <c r="M385" i="1"/>
  <c r="F386" i="1"/>
  <c r="G386" i="1"/>
  <c r="I386" i="1"/>
  <c r="J386" i="1"/>
  <c r="L386" i="1"/>
  <c r="M386" i="1"/>
  <c r="F387" i="1"/>
  <c r="G387" i="1"/>
  <c r="I387" i="1"/>
  <c r="J387" i="1"/>
  <c r="L387" i="1"/>
  <c r="M387" i="1"/>
  <c r="F388" i="1"/>
  <c r="G388" i="1"/>
  <c r="I388" i="1"/>
  <c r="J388" i="1"/>
  <c r="L388" i="1"/>
  <c r="M388" i="1"/>
  <c r="F389" i="1"/>
  <c r="G389" i="1"/>
  <c r="I389" i="1"/>
  <c r="J389" i="1"/>
  <c r="L389" i="1"/>
  <c r="M389" i="1"/>
  <c r="F390" i="1"/>
  <c r="G390" i="1"/>
  <c r="I390" i="1"/>
  <c r="J390" i="1"/>
  <c r="L390" i="1"/>
  <c r="M390" i="1"/>
  <c r="F391" i="1"/>
  <c r="G391" i="1"/>
  <c r="I391" i="1"/>
  <c r="J391" i="1"/>
  <c r="L391" i="1"/>
  <c r="M391" i="1"/>
  <c r="F392" i="1"/>
  <c r="G392" i="1"/>
  <c r="I392" i="1"/>
  <c r="J392" i="1"/>
  <c r="L392" i="1"/>
  <c r="M392" i="1"/>
  <c r="F393" i="1"/>
  <c r="G393" i="1"/>
  <c r="I393" i="1"/>
  <c r="J393" i="1"/>
  <c r="L393" i="1"/>
  <c r="M393" i="1"/>
  <c r="F394" i="1"/>
  <c r="G394" i="1"/>
  <c r="I394" i="1"/>
  <c r="J394" i="1"/>
  <c r="L394" i="1"/>
  <c r="M394" i="1"/>
  <c r="F395" i="1"/>
  <c r="G395" i="1"/>
  <c r="I395" i="1"/>
  <c r="J395" i="1"/>
  <c r="L395" i="1"/>
  <c r="M395" i="1"/>
  <c r="F396" i="1"/>
  <c r="G396" i="1"/>
  <c r="I396" i="1"/>
  <c r="J396" i="1"/>
  <c r="L396" i="1"/>
  <c r="M396" i="1"/>
  <c r="F397" i="1"/>
  <c r="G397" i="1"/>
  <c r="I397" i="1"/>
  <c r="J397" i="1"/>
  <c r="L397" i="1"/>
  <c r="M397" i="1"/>
  <c r="F398" i="1"/>
  <c r="G398" i="1"/>
  <c r="I398" i="1"/>
  <c r="J398" i="1"/>
  <c r="L398" i="1"/>
  <c r="M398" i="1"/>
  <c r="F399" i="1"/>
  <c r="G399" i="1"/>
  <c r="I399" i="1"/>
  <c r="J399" i="1"/>
  <c r="L399" i="1"/>
  <c r="M399" i="1"/>
  <c r="F400" i="1"/>
  <c r="G400" i="1"/>
  <c r="I400" i="1"/>
  <c r="J400" i="1"/>
  <c r="L400" i="1"/>
  <c r="M400" i="1"/>
  <c r="F401" i="1"/>
  <c r="G401" i="1"/>
  <c r="I401" i="1"/>
  <c r="J401" i="1"/>
  <c r="L401" i="1"/>
  <c r="M401" i="1"/>
  <c r="F402" i="1"/>
  <c r="G402" i="1"/>
  <c r="I402" i="1"/>
  <c r="J402" i="1"/>
  <c r="L402" i="1"/>
  <c r="M402" i="1"/>
  <c r="F403" i="1"/>
  <c r="G403" i="1"/>
  <c r="I403" i="1"/>
  <c r="J403" i="1"/>
  <c r="L403" i="1"/>
  <c r="M403" i="1"/>
  <c r="F404" i="1"/>
  <c r="G404" i="1"/>
  <c r="I404" i="1"/>
  <c r="J404" i="1"/>
  <c r="L404" i="1"/>
  <c r="M404" i="1"/>
  <c r="F405" i="1"/>
  <c r="G405" i="1"/>
  <c r="I405" i="1"/>
  <c r="J405" i="1"/>
  <c r="L405" i="1"/>
  <c r="M405" i="1"/>
  <c r="F406" i="1"/>
  <c r="G406" i="1"/>
  <c r="I406" i="1"/>
  <c r="J406" i="1"/>
  <c r="L406" i="1"/>
  <c r="M406" i="1"/>
  <c r="F407" i="1"/>
  <c r="G407" i="1"/>
  <c r="I407" i="1"/>
  <c r="J407" i="1"/>
  <c r="L407" i="1"/>
  <c r="M407" i="1"/>
  <c r="F408" i="1"/>
  <c r="G408" i="1"/>
  <c r="I408" i="1"/>
  <c r="J408" i="1"/>
  <c r="L408" i="1"/>
  <c r="M408" i="1"/>
  <c r="F409" i="1"/>
  <c r="G409" i="1"/>
  <c r="I409" i="1"/>
  <c r="J409" i="1"/>
  <c r="L409" i="1"/>
  <c r="M409" i="1"/>
  <c r="F410" i="1"/>
  <c r="G410" i="1"/>
  <c r="I410" i="1"/>
  <c r="J410" i="1"/>
  <c r="L410" i="1"/>
  <c r="M410" i="1"/>
  <c r="F411" i="1"/>
  <c r="G411" i="1"/>
  <c r="I411" i="1"/>
  <c r="J411" i="1"/>
  <c r="L411" i="1"/>
  <c r="M411" i="1"/>
  <c r="F412" i="1"/>
  <c r="G412" i="1"/>
  <c r="I412" i="1"/>
  <c r="J412" i="1"/>
  <c r="L412" i="1"/>
  <c r="M412" i="1"/>
  <c r="F413" i="1"/>
  <c r="G413" i="1"/>
  <c r="I413" i="1"/>
  <c r="J413" i="1"/>
  <c r="L413" i="1"/>
  <c r="M413" i="1"/>
  <c r="F414" i="1"/>
  <c r="G414" i="1"/>
  <c r="I414" i="1"/>
  <c r="J414" i="1"/>
  <c r="L414" i="1"/>
  <c r="M414" i="1"/>
  <c r="F415" i="1"/>
  <c r="G415" i="1"/>
  <c r="I415" i="1"/>
  <c r="J415" i="1"/>
  <c r="L415" i="1"/>
  <c r="M415" i="1"/>
  <c r="F416" i="1"/>
  <c r="G416" i="1"/>
  <c r="I416" i="1"/>
  <c r="J416" i="1"/>
  <c r="L416" i="1"/>
  <c r="M416" i="1"/>
  <c r="F417" i="1"/>
  <c r="G417" i="1"/>
  <c r="I417" i="1"/>
  <c r="J417" i="1"/>
  <c r="L417" i="1"/>
  <c r="M417" i="1"/>
  <c r="F418" i="1"/>
  <c r="G418" i="1"/>
  <c r="I418" i="1"/>
  <c r="J418" i="1"/>
  <c r="L418" i="1"/>
  <c r="M418" i="1"/>
  <c r="F419" i="1"/>
  <c r="G419" i="1"/>
  <c r="I419" i="1"/>
  <c r="J419" i="1"/>
  <c r="L419" i="1"/>
  <c r="M419" i="1"/>
  <c r="F420" i="1"/>
  <c r="G420" i="1"/>
  <c r="I420" i="1"/>
  <c r="J420" i="1"/>
  <c r="L420" i="1"/>
  <c r="M420" i="1"/>
  <c r="F421" i="1"/>
  <c r="G421" i="1"/>
  <c r="I421" i="1"/>
  <c r="J421" i="1"/>
  <c r="L421" i="1"/>
  <c r="M421" i="1"/>
  <c r="F422" i="1"/>
  <c r="G422" i="1"/>
  <c r="I422" i="1"/>
  <c r="J422" i="1"/>
  <c r="L422" i="1"/>
  <c r="M422" i="1"/>
  <c r="F423" i="1"/>
  <c r="G423" i="1"/>
  <c r="I423" i="1"/>
  <c r="J423" i="1"/>
  <c r="L423" i="1"/>
  <c r="M423" i="1"/>
  <c r="F424" i="1"/>
  <c r="G424" i="1"/>
  <c r="I424" i="1"/>
  <c r="J424" i="1"/>
  <c r="L424" i="1"/>
  <c r="M424" i="1"/>
  <c r="F425" i="1"/>
  <c r="G425" i="1"/>
  <c r="I425" i="1"/>
  <c r="J425" i="1"/>
  <c r="L425" i="1"/>
  <c r="M425" i="1"/>
  <c r="F426" i="1"/>
  <c r="G426" i="1"/>
  <c r="I426" i="1"/>
  <c r="J426" i="1"/>
  <c r="L426" i="1"/>
  <c r="M426" i="1"/>
  <c r="F427" i="1"/>
  <c r="G427" i="1"/>
  <c r="I427" i="1"/>
  <c r="J427" i="1"/>
  <c r="L427" i="1"/>
  <c r="M427" i="1"/>
  <c r="F428" i="1"/>
  <c r="G428" i="1"/>
  <c r="I428" i="1"/>
  <c r="J428" i="1"/>
  <c r="L428" i="1"/>
  <c r="M428" i="1"/>
  <c r="F429" i="1"/>
  <c r="G429" i="1"/>
  <c r="I429" i="1"/>
  <c r="J429" i="1"/>
  <c r="L429" i="1"/>
  <c r="M429" i="1"/>
  <c r="F430" i="1"/>
  <c r="G430" i="1"/>
  <c r="I430" i="1"/>
  <c r="J430" i="1"/>
  <c r="L430" i="1"/>
  <c r="M430" i="1"/>
  <c r="F431" i="1"/>
  <c r="G431" i="1"/>
  <c r="I431" i="1"/>
  <c r="J431" i="1"/>
  <c r="L431" i="1"/>
  <c r="M431" i="1"/>
  <c r="F432" i="1"/>
  <c r="G432" i="1"/>
  <c r="I432" i="1"/>
  <c r="J432" i="1"/>
  <c r="L432" i="1"/>
  <c r="M432" i="1"/>
  <c r="F433" i="1"/>
  <c r="G433" i="1"/>
  <c r="I433" i="1"/>
  <c r="J433" i="1"/>
  <c r="L433" i="1"/>
  <c r="M433" i="1"/>
  <c r="F434" i="1"/>
  <c r="G434" i="1"/>
  <c r="I434" i="1"/>
  <c r="J434" i="1"/>
  <c r="L434" i="1"/>
  <c r="M434" i="1"/>
  <c r="F435" i="1"/>
  <c r="G435" i="1"/>
  <c r="I435" i="1"/>
  <c r="J435" i="1"/>
  <c r="L435" i="1"/>
  <c r="M435" i="1"/>
  <c r="F436" i="1"/>
  <c r="G436" i="1"/>
  <c r="I436" i="1"/>
  <c r="J436" i="1"/>
  <c r="L436" i="1"/>
  <c r="M436" i="1"/>
  <c r="F437" i="1"/>
  <c r="G437" i="1"/>
  <c r="I437" i="1"/>
  <c r="J437" i="1"/>
  <c r="L437" i="1"/>
  <c r="M437" i="1"/>
  <c r="F438" i="1"/>
  <c r="G438" i="1"/>
  <c r="I438" i="1"/>
  <c r="J438" i="1"/>
  <c r="L438" i="1"/>
  <c r="M438" i="1"/>
  <c r="F439" i="1"/>
  <c r="G439" i="1"/>
  <c r="I439" i="1"/>
  <c r="J439" i="1"/>
  <c r="L439" i="1"/>
  <c r="M439" i="1"/>
  <c r="F440" i="1"/>
  <c r="G440" i="1"/>
  <c r="I440" i="1"/>
  <c r="J440" i="1"/>
  <c r="L440" i="1"/>
  <c r="M440" i="1"/>
  <c r="F441" i="1"/>
  <c r="G441" i="1"/>
  <c r="I441" i="1"/>
  <c r="J441" i="1"/>
  <c r="L441" i="1"/>
  <c r="M441" i="1"/>
  <c r="F442" i="1"/>
  <c r="G442" i="1"/>
  <c r="I442" i="1"/>
  <c r="J442" i="1"/>
  <c r="L442" i="1"/>
  <c r="M442" i="1"/>
  <c r="F443" i="1"/>
  <c r="G443" i="1"/>
  <c r="I443" i="1"/>
  <c r="J443" i="1"/>
  <c r="L443" i="1"/>
  <c r="M443" i="1"/>
  <c r="F444" i="1"/>
  <c r="G444" i="1"/>
  <c r="I444" i="1"/>
  <c r="J444" i="1"/>
  <c r="L444" i="1"/>
  <c r="M444" i="1"/>
  <c r="F445" i="1"/>
  <c r="G445" i="1"/>
  <c r="I445" i="1"/>
  <c r="J445" i="1"/>
  <c r="L445" i="1"/>
  <c r="M445" i="1"/>
  <c r="F446" i="1"/>
  <c r="G446" i="1"/>
  <c r="I446" i="1"/>
  <c r="J446" i="1"/>
  <c r="L446" i="1"/>
  <c r="M446" i="1"/>
  <c r="F447" i="1"/>
  <c r="G447" i="1"/>
  <c r="I447" i="1"/>
  <c r="J447" i="1"/>
  <c r="L447" i="1"/>
  <c r="M447" i="1"/>
  <c r="F448" i="1"/>
  <c r="G448" i="1"/>
  <c r="I448" i="1"/>
  <c r="J448" i="1"/>
  <c r="L448" i="1"/>
  <c r="M448" i="1"/>
  <c r="F449" i="1"/>
  <c r="G449" i="1"/>
  <c r="I449" i="1"/>
  <c r="J449" i="1"/>
  <c r="L449" i="1"/>
  <c r="M449" i="1"/>
  <c r="F450" i="1"/>
  <c r="G450" i="1"/>
  <c r="I450" i="1"/>
  <c r="J450" i="1"/>
  <c r="L450" i="1"/>
  <c r="M450" i="1"/>
  <c r="F451" i="1"/>
  <c r="G451" i="1"/>
  <c r="I451" i="1"/>
  <c r="J451" i="1"/>
  <c r="L451" i="1"/>
  <c r="M451" i="1"/>
  <c r="F452" i="1"/>
  <c r="G452" i="1"/>
  <c r="I452" i="1"/>
  <c r="J452" i="1"/>
  <c r="L452" i="1"/>
  <c r="M452" i="1"/>
  <c r="F453" i="1"/>
  <c r="G453" i="1"/>
  <c r="I453" i="1"/>
  <c r="J453" i="1"/>
  <c r="L453" i="1"/>
  <c r="M453" i="1"/>
  <c r="F454" i="1"/>
  <c r="G454" i="1"/>
  <c r="I454" i="1"/>
  <c r="J454" i="1"/>
  <c r="L454" i="1"/>
  <c r="M454" i="1"/>
  <c r="F455" i="1"/>
  <c r="G455" i="1"/>
  <c r="I455" i="1"/>
  <c r="J455" i="1"/>
  <c r="L455" i="1"/>
  <c r="M455" i="1"/>
  <c r="F456" i="1"/>
  <c r="G456" i="1"/>
  <c r="I456" i="1"/>
  <c r="J456" i="1"/>
  <c r="L456" i="1"/>
  <c r="M456" i="1"/>
  <c r="F457" i="1"/>
  <c r="G457" i="1"/>
  <c r="I457" i="1"/>
  <c r="J457" i="1"/>
  <c r="L457" i="1"/>
  <c r="M457" i="1"/>
  <c r="F458" i="1"/>
  <c r="G458" i="1"/>
  <c r="I458" i="1"/>
  <c r="J458" i="1"/>
  <c r="L458" i="1"/>
  <c r="M458" i="1"/>
  <c r="F459" i="1"/>
  <c r="G459" i="1"/>
  <c r="I459" i="1"/>
  <c r="J459" i="1"/>
  <c r="L459" i="1"/>
  <c r="M459" i="1"/>
  <c r="F460" i="1"/>
  <c r="G460" i="1"/>
  <c r="I460" i="1"/>
  <c r="J460" i="1"/>
  <c r="L460" i="1"/>
  <c r="M460" i="1"/>
  <c r="F461" i="1"/>
  <c r="G461" i="1"/>
  <c r="I461" i="1"/>
  <c r="J461" i="1"/>
  <c r="L461" i="1"/>
  <c r="M461" i="1"/>
  <c r="F462" i="1"/>
  <c r="G462" i="1"/>
  <c r="I462" i="1"/>
  <c r="J462" i="1"/>
  <c r="L462" i="1"/>
  <c r="M462" i="1"/>
  <c r="F463" i="1"/>
  <c r="G463" i="1"/>
  <c r="I463" i="1"/>
  <c r="J463" i="1"/>
  <c r="L463" i="1"/>
  <c r="M463" i="1"/>
  <c r="F464" i="1"/>
  <c r="G464" i="1"/>
  <c r="I464" i="1"/>
  <c r="J464" i="1"/>
  <c r="L464" i="1"/>
  <c r="M464" i="1"/>
  <c r="F465" i="1"/>
  <c r="G465" i="1"/>
  <c r="I465" i="1"/>
  <c r="J465" i="1"/>
  <c r="L465" i="1"/>
  <c r="M465" i="1"/>
  <c r="F466" i="1"/>
  <c r="G466" i="1"/>
  <c r="I466" i="1"/>
  <c r="J466" i="1"/>
  <c r="L466" i="1"/>
  <c r="M466" i="1"/>
  <c r="F467" i="1"/>
  <c r="G467" i="1"/>
  <c r="I467" i="1"/>
  <c r="J467" i="1"/>
  <c r="L467" i="1"/>
  <c r="M467" i="1"/>
  <c r="F468" i="1"/>
  <c r="G468" i="1"/>
  <c r="I468" i="1"/>
  <c r="J468" i="1"/>
  <c r="L468" i="1"/>
  <c r="M468" i="1"/>
  <c r="F469" i="1"/>
  <c r="G469" i="1"/>
  <c r="I469" i="1"/>
  <c r="J469" i="1"/>
  <c r="L469" i="1"/>
  <c r="M469" i="1"/>
  <c r="F470" i="1"/>
  <c r="G470" i="1"/>
  <c r="I470" i="1"/>
  <c r="J470" i="1"/>
  <c r="L470" i="1"/>
  <c r="M470" i="1"/>
  <c r="F471" i="1"/>
  <c r="G471" i="1"/>
  <c r="I471" i="1"/>
  <c r="J471" i="1"/>
  <c r="L471" i="1"/>
  <c r="M471" i="1"/>
  <c r="F472" i="1"/>
  <c r="G472" i="1"/>
  <c r="I472" i="1"/>
  <c r="J472" i="1"/>
  <c r="L472" i="1"/>
  <c r="M472" i="1"/>
  <c r="F473" i="1"/>
  <c r="G473" i="1"/>
  <c r="I473" i="1"/>
  <c r="J473" i="1"/>
  <c r="L473" i="1"/>
  <c r="M473" i="1"/>
  <c r="F474" i="1"/>
  <c r="G474" i="1"/>
  <c r="I474" i="1"/>
  <c r="J474" i="1"/>
  <c r="L474" i="1"/>
  <c r="M474" i="1"/>
  <c r="F475" i="1"/>
  <c r="G475" i="1"/>
  <c r="I475" i="1"/>
  <c r="J475" i="1"/>
  <c r="L475" i="1"/>
  <c r="M475" i="1"/>
  <c r="F476" i="1"/>
  <c r="G476" i="1"/>
  <c r="I476" i="1"/>
  <c r="J476" i="1"/>
  <c r="L476" i="1"/>
  <c r="M476" i="1"/>
  <c r="F477" i="1"/>
  <c r="G477" i="1"/>
  <c r="I477" i="1"/>
  <c r="J477" i="1"/>
  <c r="L477" i="1"/>
  <c r="M477" i="1"/>
  <c r="F478" i="1"/>
  <c r="G478" i="1"/>
  <c r="I478" i="1"/>
  <c r="J478" i="1"/>
  <c r="L478" i="1"/>
  <c r="M478" i="1"/>
  <c r="F479" i="1"/>
  <c r="G479" i="1"/>
  <c r="I479" i="1"/>
  <c r="J479" i="1"/>
  <c r="L479" i="1"/>
  <c r="M479" i="1"/>
  <c r="F480" i="1"/>
  <c r="G480" i="1"/>
  <c r="I480" i="1"/>
  <c r="J480" i="1"/>
  <c r="L480" i="1"/>
  <c r="M480" i="1"/>
  <c r="F481" i="1"/>
  <c r="G481" i="1"/>
  <c r="I481" i="1"/>
  <c r="J481" i="1"/>
  <c r="L481" i="1"/>
  <c r="M481" i="1"/>
  <c r="F482" i="1"/>
  <c r="G482" i="1"/>
  <c r="I482" i="1"/>
  <c r="J482" i="1"/>
  <c r="L482" i="1"/>
  <c r="M482" i="1"/>
  <c r="F483" i="1"/>
  <c r="G483" i="1"/>
  <c r="I483" i="1"/>
  <c r="J483" i="1"/>
  <c r="L483" i="1"/>
  <c r="M483" i="1"/>
  <c r="F484" i="1"/>
  <c r="G484" i="1"/>
  <c r="I484" i="1"/>
  <c r="J484" i="1"/>
  <c r="L484" i="1"/>
  <c r="M484" i="1"/>
  <c r="F485" i="1"/>
  <c r="G485" i="1"/>
  <c r="I485" i="1"/>
  <c r="J485" i="1"/>
  <c r="L485" i="1"/>
  <c r="M485" i="1"/>
  <c r="F486" i="1"/>
  <c r="G486" i="1"/>
  <c r="I486" i="1"/>
  <c r="J486" i="1"/>
  <c r="L486" i="1"/>
  <c r="M486" i="1"/>
  <c r="F487" i="1"/>
  <c r="G487" i="1"/>
  <c r="I487" i="1"/>
  <c r="J487" i="1"/>
  <c r="L487" i="1"/>
  <c r="M487" i="1"/>
  <c r="F488" i="1"/>
  <c r="G488" i="1"/>
  <c r="I488" i="1"/>
  <c r="J488" i="1"/>
  <c r="L488" i="1"/>
  <c r="M488" i="1"/>
  <c r="F489" i="1"/>
  <c r="G489" i="1"/>
  <c r="I489" i="1"/>
  <c r="J489" i="1"/>
  <c r="L489" i="1"/>
  <c r="M489" i="1"/>
  <c r="F490" i="1"/>
  <c r="G490" i="1"/>
  <c r="I490" i="1"/>
  <c r="J490" i="1"/>
  <c r="L490" i="1"/>
  <c r="M490" i="1"/>
  <c r="F491" i="1"/>
  <c r="G491" i="1"/>
  <c r="I491" i="1"/>
  <c r="J491" i="1"/>
  <c r="L491" i="1"/>
  <c r="M491" i="1"/>
  <c r="F492" i="1"/>
  <c r="G492" i="1"/>
  <c r="I492" i="1"/>
  <c r="J492" i="1"/>
  <c r="L492" i="1"/>
  <c r="M492" i="1"/>
  <c r="F493" i="1"/>
  <c r="G493" i="1"/>
  <c r="I493" i="1"/>
  <c r="J493" i="1"/>
  <c r="L493" i="1"/>
  <c r="M493" i="1"/>
  <c r="F494" i="1"/>
  <c r="G494" i="1"/>
  <c r="I494" i="1"/>
  <c r="J494" i="1"/>
  <c r="L494" i="1"/>
  <c r="M494" i="1"/>
  <c r="F495" i="1"/>
  <c r="G495" i="1"/>
  <c r="I495" i="1"/>
  <c r="J495" i="1"/>
  <c r="L495" i="1"/>
  <c r="M495" i="1"/>
  <c r="F496" i="1"/>
  <c r="G496" i="1"/>
  <c r="I496" i="1"/>
  <c r="J496" i="1"/>
  <c r="L496" i="1"/>
  <c r="M496" i="1"/>
  <c r="F497" i="1"/>
  <c r="G497" i="1"/>
  <c r="I497" i="1"/>
  <c r="J497" i="1"/>
  <c r="L497" i="1"/>
  <c r="M497" i="1"/>
  <c r="F498" i="1"/>
  <c r="G498" i="1"/>
  <c r="I498" i="1"/>
  <c r="J498" i="1"/>
  <c r="L498" i="1"/>
  <c r="M498" i="1"/>
  <c r="F499" i="1"/>
  <c r="G499" i="1"/>
  <c r="I499" i="1"/>
  <c r="J499" i="1"/>
  <c r="L499" i="1"/>
  <c r="M499" i="1"/>
  <c r="F500" i="1"/>
  <c r="G500" i="1"/>
  <c r="I500" i="1"/>
  <c r="J500" i="1"/>
  <c r="L500" i="1"/>
  <c r="M500" i="1"/>
  <c r="F501" i="1"/>
  <c r="G501" i="1"/>
  <c r="I501" i="1"/>
  <c r="J501" i="1"/>
  <c r="L501" i="1"/>
  <c r="M501" i="1"/>
  <c r="F502" i="1"/>
  <c r="G502" i="1"/>
  <c r="I502" i="1"/>
  <c r="J502" i="1"/>
  <c r="L502" i="1"/>
  <c r="M502" i="1"/>
  <c r="F503" i="1"/>
  <c r="G503" i="1"/>
  <c r="I503" i="1"/>
  <c r="J503" i="1"/>
  <c r="L503" i="1"/>
  <c r="M503" i="1"/>
  <c r="F504" i="1"/>
  <c r="G504" i="1"/>
  <c r="I504" i="1"/>
  <c r="J504" i="1"/>
  <c r="L504" i="1"/>
  <c r="M504" i="1"/>
  <c r="F505" i="1"/>
  <c r="G505" i="1"/>
  <c r="I505" i="1"/>
  <c r="J505" i="1"/>
  <c r="L505" i="1"/>
  <c r="M505" i="1"/>
  <c r="F506" i="1"/>
  <c r="G506" i="1"/>
  <c r="I506" i="1"/>
  <c r="J506" i="1"/>
  <c r="L506" i="1"/>
  <c r="M506" i="1"/>
  <c r="F507" i="1"/>
  <c r="G507" i="1"/>
  <c r="I507" i="1"/>
  <c r="J507" i="1"/>
  <c r="L507" i="1"/>
  <c r="M507" i="1"/>
  <c r="F508" i="1"/>
  <c r="G508" i="1"/>
  <c r="I508" i="1"/>
  <c r="J508" i="1"/>
  <c r="L508" i="1"/>
  <c r="M508" i="1"/>
  <c r="F509" i="1"/>
  <c r="G509" i="1"/>
  <c r="I509" i="1"/>
  <c r="J509" i="1"/>
  <c r="L509" i="1"/>
  <c r="M509" i="1"/>
  <c r="F510" i="1"/>
  <c r="G510" i="1"/>
  <c r="I510" i="1"/>
  <c r="J510" i="1"/>
  <c r="L510" i="1"/>
  <c r="M510" i="1"/>
  <c r="F511" i="1"/>
  <c r="G511" i="1"/>
  <c r="I511" i="1"/>
  <c r="J511" i="1"/>
  <c r="L511" i="1"/>
  <c r="M511" i="1"/>
  <c r="F512" i="1"/>
  <c r="G512" i="1"/>
  <c r="I512" i="1"/>
  <c r="J512" i="1"/>
  <c r="L512" i="1"/>
  <c r="M512" i="1"/>
  <c r="F513" i="1"/>
  <c r="G513" i="1"/>
  <c r="I513" i="1"/>
  <c r="J513" i="1"/>
  <c r="L513" i="1"/>
  <c r="M513" i="1"/>
  <c r="F514" i="1"/>
  <c r="G514" i="1"/>
  <c r="I514" i="1"/>
  <c r="J514" i="1"/>
  <c r="L514" i="1"/>
  <c r="M514" i="1"/>
  <c r="F515" i="1"/>
  <c r="G515" i="1"/>
  <c r="I515" i="1"/>
  <c r="J515" i="1"/>
  <c r="L515" i="1"/>
  <c r="M515" i="1"/>
  <c r="F516" i="1"/>
  <c r="G516" i="1"/>
  <c r="I516" i="1"/>
  <c r="J516" i="1"/>
  <c r="L516" i="1"/>
  <c r="M516" i="1"/>
  <c r="F517" i="1"/>
  <c r="G517" i="1"/>
  <c r="I517" i="1"/>
  <c r="J517" i="1"/>
  <c r="L517" i="1"/>
  <c r="M517" i="1"/>
  <c r="M21" i="1"/>
  <c r="L21" i="1"/>
  <c r="J21" i="1"/>
  <c r="I21" i="1"/>
  <c r="G21" i="1"/>
  <c r="F21" i="1"/>
  <c r="E16" i="14" l="1"/>
  <c r="Z505" i="1"/>
  <c r="Z513" i="1"/>
  <c r="Z511" i="1"/>
  <c r="H246" i="1"/>
  <c r="H236" i="1"/>
  <c r="H230" i="1"/>
  <c r="H220" i="1"/>
  <c r="H214" i="1"/>
  <c r="H204" i="1"/>
  <c r="H198" i="1"/>
  <c r="H178" i="1"/>
  <c r="R346" i="15"/>
  <c r="R362" i="15"/>
  <c r="R370" i="15"/>
  <c r="R402" i="15"/>
  <c r="R406" i="15"/>
  <c r="R400" i="15"/>
  <c r="R404" i="15"/>
  <c r="S40" i="13"/>
  <c r="S84" i="13"/>
  <c r="S148" i="13"/>
  <c r="S172" i="13"/>
  <c r="S200" i="13"/>
  <c r="S220" i="13"/>
  <c r="S232" i="13"/>
  <c r="S236" i="13"/>
  <c r="S308" i="13"/>
  <c r="S360" i="13"/>
  <c r="S368" i="13"/>
  <c r="S392" i="13"/>
  <c r="S400" i="13"/>
  <c r="S448" i="13"/>
  <c r="S492" i="13"/>
  <c r="AC198" i="1"/>
  <c r="AC140" i="1"/>
  <c r="AC134" i="1"/>
  <c r="AC128" i="1"/>
  <c r="AC218" i="1"/>
  <c r="AC206" i="1"/>
  <c r="N278" i="1"/>
  <c r="N272" i="1"/>
  <c r="N266" i="1"/>
  <c r="N260" i="1"/>
  <c r="N188" i="1"/>
  <c r="N168" i="1"/>
  <c r="N164" i="1"/>
  <c r="N162" i="1"/>
  <c r="N144" i="1"/>
  <c r="N142" i="1"/>
  <c r="N126" i="1"/>
  <c r="N124" i="1"/>
  <c r="N122" i="1"/>
  <c r="N118" i="1"/>
  <c r="N116" i="1"/>
  <c r="N104" i="1"/>
  <c r="N102" i="1"/>
  <c r="N56" i="1"/>
  <c r="K276" i="1"/>
  <c r="K272" i="1"/>
  <c r="K264" i="1"/>
  <c r="N37" i="1"/>
  <c r="N35" i="1"/>
  <c r="N33" i="1"/>
  <c r="N31" i="1"/>
  <c r="N29" i="1"/>
  <c r="N27" i="1"/>
  <c r="N25" i="1"/>
  <c r="N23" i="1"/>
  <c r="K132" i="1"/>
  <c r="K130" i="1"/>
  <c r="K82" i="1"/>
  <c r="K78" i="1"/>
  <c r="K74" i="1"/>
  <c r="K70" i="1"/>
  <c r="K66" i="1"/>
  <c r="H487" i="1"/>
  <c r="H485" i="1"/>
  <c r="H483" i="1"/>
  <c r="H481" i="1"/>
  <c r="H479" i="1"/>
  <c r="H477" i="1"/>
  <c r="H475" i="1"/>
  <c r="H473" i="1"/>
  <c r="S426" i="15"/>
  <c r="AC409" i="1"/>
  <c r="AC391" i="1"/>
  <c r="AC387" i="1"/>
  <c r="AC385" i="1"/>
  <c r="AC383" i="1"/>
  <c r="AC379" i="1"/>
  <c r="AC369" i="1"/>
  <c r="AC367" i="1"/>
  <c r="AC357" i="1"/>
  <c r="AC339" i="1"/>
  <c r="AC329" i="1"/>
  <c r="AC327" i="1"/>
  <c r="AC323" i="1"/>
  <c r="AC273" i="1"/>
  <c r="AC271" i="1"/>
  <c r="AC269" i="1"/>
  <c r="AC265" i="1"/>
  <c r="AC259" i="1"/>
  <c r="AC251" i="1"/>
  <c r="AC227" i="1"/>
  <c r="AC500" i="1"/>
  <c r="AC496" i="1"/>
  <c r="AC482" i="1"/>
  <c r="AC472" i="1"/>
  <c r="AC470" i="1"/>
  <c r="AC468" i="1"/>
  <c r="Z498" i="1"/>
  <c r="N512" i="1"/>
  <c r="N508" i="1"/>
  <c r="N506" i="1"/>
  <c r="N504" i="1"/>
  <c r="N502" i="1"/>
  <c r="N500" i="1"/>
  <c r="N486" i="1"/>
  <c r="N484" i="1"/>
  <c r="N478" i="1"/>
  <c r="N476" i="1"/>
  <c r="N368" i="1"/>
  <c r="N366" i="1"/>
  <c r="N362" i="1"/>
  <c r="N360" i="1"/>
  <c r="N358" i="1"/>
  <c r="N356" i="1"/>
  <c r="N354" i="1"/>
  <c r="N350" i="1"/>
  <c r="P510" i="1"/>
  <c r="P502" i="1"/>
  <c r="P500" i="1"/>
  <c r="W120" i="1"/>
  <c r="W60" i="1"/>
  <c r="W58" i="1"/>
  <c r="W56" i="1"/>
  <c r="W54" i="1"/>
  <c r="W50" i="1"/>
  <c r="W22" i="1"/>
  <c r="N517" i="1"/>
  <c r="N515" i="1"/>
  <c r="N495" i="1"/>
  <c r="N493" i="1"/>
  <c r="N491" i="1"/>
  <c r="N489" i="1"/>
  <c r="N481" i="1"/>
  <c r="N473" i="1"/>
  <c r="N451" i="1"/>
  <c r="N449" i="1"/>
  <c r="N447" i="1"/>
  <c r="N445" i="1"/>
  <c r="N443" i="1"/>
  <c r="N441" i="1"/>
  <c r="N439" i="1"/>
  <c r="N437" i="1"/>
  <c r="N435" i="1"/>
  <c r="N433" i="1"/>
  <c r="N431" i="1"/>
  <c r="N429" i="1"/>
  <c r="N427" i="1"/>
  <c r="N425" i="1"/>
  <c r="N423" i="1"/>
  <c r="N421" i="1"/>
  <c r="N403" i="1"/>
  <c r="N401" i="1"/>
  <c r="N399" i="1"/>
  <c r="N397" i="1"/>
  <c r="N395" i="1"/>
  <c r="N383" i="1"/>
  <c r="N381" i="1"/>
  <c r="N379" i="1"/>
  <c r="N377" i="1"/>
  <c r="N375" i="1"/>
  <c r="N373" i="1"/>
  <c r="N367" i="1"/>
  <c r="N359" i="1"/>
  <c r="N351" i="1"/>
  <c r="N337" i="1"/>
  <c r="N329" i="1"/>
  <c r="N319" i="1"/>
  <c r="N311" i="1"/>
  <c r="N303" i="1"/>
  <c r="N301" i="1"/>
  <c r="N299" i="1"/>
  <c r="N291" i="1"/>
  <c r="N283" i="1"/>
  <c r="N275" i="1"/>
  <c r="N269" i="1"/>
  <c r="N263" i="1"/>
  <c r="N257" i="1"/>
  <c r="N225" i="1"/>
  <c r="N223" i="1"/>
  <c r="N213" i="1"/>
  <c r="N211" i="1"/>
  <c r="N209" i="1"/>
  <c r="N189" i="1"/>
  <c r="N177" i="1"/>
  <c r="N175" i="1"/>
  <c r="N173" i="1"/>
  <c r="N171" i="1"/>
  <c r="N169" i="1"/>
  <c r="N165" i="1"/>
  <c r="N159" i="1"/>
  <c r="N157" i="1"/>
  <c r="N155" i="1"/>
  <c r="N153" i="1"/>
  <c r="N151" i="1"/>
  <c r="N149" i="1"/>
  <c r="N147" i="1"/>
  <c r="N139" i="1"/>
  <c r="N137" i="1"/>
  <c r="N135" i="1"/>
  <c r="N133" i="1"/>
  <c r="N131" i="1"/>
  <c r="N129" i="1"/>
  <c r="N127" i="1"/>
  <c r="N125" i="1"/>
  <c r="N121" i="1"/>
  <c r="N119" i="1"/>
  <c r="N113" i="1"/>
  <c r="N111" i="1"/>
  <c r="N107" i="1"/>
  <c r="N101" i="1"/>
  <c r="N99" i="1"/>
  <c r="N97" i="1"/>
  <c r="N57" i="1"/>
  <c r="N96" i="1"/>
  <c r="H173" i="1"/>
  <c r="H97" i="1"/>
  <c r="H162" i="1"/>
  <c r="H146" i="1"/>
  <c r="H102" i="1"/>
  <c r="H70" i="1"/>
  <c r="T408" i="15"/>
  <c r="T424" i="15"/>
  <c r="R22" i="15"/>
  <c r="R26" i="15"/>
  <c r="R30" i="15"/>
  <c r="R34" i="15"/>
  <c r="R38" i="15"/>
  <c r="R42" i="15"/>
  <c r="R46" i="15"/>
  <c r="R50" i="15"/>
  <c r="R54" i="15"/>
  <c r="R58" i="15"/>
  <c r="R62" i="15"/>
  <c r="R282" i="15"/>
  <c r="R298" i="15"/>
  <c r="R306" i="15"/>
  <c r="S342" i="15"/>
  <c r="M13" i="14"/>
  <c r="M9" i="14"/>
  <c r="T21" i="15"/>
  <c r="T25" i="15"/>
  <c r="T29" i="15"/>
  <c r="T33" i="15"/>
  <c r="T37" i="15"/>
  <c r="T41" i="15"/>
  <c r="T45" i="15"/>
  <c r="T49" i="15"/>
  <c r="T53" i="15"/>
  <c r="T57" i="15"/>
  <c r="T61" i="15"/>
  <c r="T69" i="15"/>
  <c r="T73" i="15"/>
  <c r="T77" i="15"/>
  <c r="T81" i="15"/>
  <c r="T85" i="15"/>
  <c r="T89" i="15"/>
  <c r="T93" i="15"/>
  <c r="T97" i="15"/>
  <c r="T101" i="15"/>
  <c r="T105" i="15"/>
  <c r="T109" i="15"/>
  <c r="T113" i="15"/>
  <c r="T117" i="15"/>
  <c r="T121" i="15"/>
  <c r="T249" i="15"/>
  <c r="T281" i="15"/>
  <c r="T313" i="15"/>
  <c r="T345" i="15"/>
  <c r="S356" i="15"/>
  <c r="S360" i="15"/>
  <c r="S368" i="15"/>
  <c r="S376" i="15"/>
  <c r="S384" i="15"/>
  <c r="S396" i="15"/>
  <c r="S412" i="15"/>
  <c r="Q6" i="15"/>
  <c r="T67" i="15"/>
  <c r="T71" i="15"/>
  <c r="T75" i="15"/>
  <c r="T79" i="15"/>
  <c r="T83" i="15"/>
  <c r="T87" i="15"/>
  <c r="T91" i="15"/>
  <c r="T95" i="15"/>
  <c r="T99" i="15"/>
  <c r="T103" i="15"/>
  <c r="T107" i="15"/>
  <c r="T111" i="15"/>
  <c r="T115" i="15"/>
  <c r="T119" i="15"/>
  <c r="S248" i="15"/>
  <c r="S256" i="15"/>
  <c r="S260" i="15"/>
  <c r="S264" i="15"/>
  <c r="R268" i="15"/>
  <c r="S272" i="15"/>
  <c r="S280" i="15"/>
  <c r="R284" i="15"/>
  <c r="S288" i="15"/>
  <c r="S296" i="15"/>
  <c r="S304" i="15"/>
  <c r="S312" i="15"/>
  <c r="S320" i="15"/>
  <c r="S324" i="15"/>
  <c r="S328" i="15"/>
  <c r="S336" i="15"/>
  <c r="S344" i="15"/>
  <c r="J8" i="14"/>
  <c r="Q441" i="14"/>
  <c r="Q449" i="14"/>
  <c r="O301" i="1"/>
  <c r="N195" i="1"/>
  <c r="N117" i="1"/>
  <c r="N94" i="1"/>
  <c r="N92" i="1"/>
  <c r="N80" i="1"/>
  <c r="N58" i="1"/>
  <c r="N55" i="1"/>
  <c r="N49" i="1"/>
  <c r="N47" i="1"/>
  <c r="N41" i="1"/>
  <c r="N39" i="1"/>
  <c r="P65" i="1"/>
  <c r="N187" i="1"/>
  <c r="N185" i="1"/>
  <c r="N183" i="1"/>
  <c r="N181" i="1"/>
  <c r="N179" i="1"/>
  <c r="N95" i="1"/>
  <c r="N89" i="1"/>
  <c r="N87" i="1"/>
  <c r="N85" i="1"/>
  <c r="N83" i="1"/>
  <c r="N63" i="1"/>
  <c r="N61" i="1"/>
  <c r="N59" i="1"/>
  <c r="N54" i="1"/>
  <c r="N52" i="1"/>
  <c r="N50" i="1"/>
  <c r="N46" i="1"/>
  <c r="N44" i="1"/>
  <c r="N38" i="1"/>
  <c r="N470" i="1"/>
  <c r="N468" i="1"/>
  <c r="N450" i="1"/>
  <c r="N448" i="1"/>
  <c r="N444" i="1"/>
  <c r="N442" i="1"/>
  <c r="N440" i="1"/>
  <c r="N438" i="1"/>
  <c r="N436" i="1"/>
  <c r="N432" i="1"/>
  <c r="N430" i="1"/>
  <c r="N428" i="1"/>
  <c r="N424" i="1"/>
  <c r="N422" i="1"/>
  <c r="N400" i="1"/>
  <c r="N398" i="1"/>
  <c r="N396" i="1"/>
  <c r="N380" i="1"/>
  <c r="N378" i="1"/>
  <c r="N376" i="1"/>
  <c r="N374" i="1"/>
  <c r="N372" i="1"/>
  <c r="N156" i="1"/>
  <c r="N45" i="1"/>
  <c r="K56" i="1"/>
  <c r="P495" i="1"/>
  <c r="P136" i="1"/>
  <c r="K301" i="1"/>
  <c r="K297" i="1"/>
  <c r="K289" i="1"/>
  <c r="K277" i="1"/>
  <c r="K275" i="1"/>
  <c r="K271" i="1"/>
  <c r="K269" i="1"/>
  <c r="K62" i="1"/>
  <c r="K60" i="1"/>
  <c r="K348" i="1"/>
  <c r="K346" i="1"/>
  <c r="K330" i="1"/>
  <c r="K326" i="1"/>
  <c r="K322" i="1"/>
  <c r="K314" i="1"/>
  <c r="K306" i="1"/>
  <c r="K302" i="1"/>
  <c r="K260" i="1"/>
  <c r="K258" i="1"/>
  <c r="K254" i="1"/>
  <c r="K252" i="1"/>
  <c r="K250" i="1"/>
  <c r="K190" i="1"/>
  <c r="K187" i="1"/>
  <c r="K183" i="1"/>
  <c r="K181" i="1"/>
  <c r="K179" i="1"/>
  <c r="K164" i="1"/>
  <c r="K162" i="1"/>
  <c r="K160" i="1"/>
  <c r="K158" i="1"/>
  <c r="K116" i="1"/>
  <c r="K114" i="1"/>
  <c r="K112" i="1"/>
  <c r="K110" i="1"/>
  <c r="K108" i="1"/>
  <c r="K106" i="1"/>
  <c r="K104" i="1"/>
  <c r="K100" i="1"/>
  <c r="H392" i="1"/>
  <c r="H388" i="1"/>
  <c r="H376" i="1"/>
  <c r="H372" i="1"/>
  <c r="O338" i="1"/>
  <c r="O318" i="1"/>
  <c r="O298" i="1"/>
  <c r="O290" i="1"/>
  <c r="O286" i="1"/>
  <c r="H189" i="1"/>
  <c r="H157" i="1"/>
  <c r="H141" i="1"/>
  <c r="H67" i="1"/>
  <c r="H488" i="1"/>
  <c r="H486" i="1"/>
  <c r="H484" i="1"/>
  <c r="H482" i="1"/>
  <c r="H480" i="1"/>
  <c r="H478" i="1"/>
  <c r="H476" i="1"/>
  <c r="H474" i="1"/>
  <c r="H472" i="1"/>
  <c r="H468" i="1"/>
  <c r="H456" i="1"/>
  <c r="H452" i="1"/>
  <c r="H440" i="1"/>
  <c r="H436" i="1"/>
  <c r="H424" i="1"/>
  <c r="H420" i="1"/>
  <c r="H408" i="1"/>
  <c r="H404" i="1"/>
  <c r="S398" i="15"/>
  <c r="R332" i="15"/>
  <c r="AC509" i="1"/>
  <c r="AC393" i="1"/>
  <c r="AC136" i="1"/>
  <c r="AC132" i="1"/>
  <c r="AC124" i="1"/>
  <c r="AC76" i="1"/>
  <c r="AC68" i="1"/>
  <c r="AC161" i="1"/>
  <c r="AC159" i="1"/>
  <c r="AC157" i="1"/>
  <c r="AC155" i="1"/>
  <c r="AC153" i="1"/>
  <c r="AC151" i="1"/>
  <c r="AC149" i="1"/>
  <c r="AC147" i="1"/>
  <c r="AC145" i="1"/>
  <c r="AC143" i="1"/>
  <c r="AC139" i="1"/>
  <c r="AC131" i="1"/>
  <c r="AC71" i="1"/>
  <c r="AC67" i="1"/>
  <c r="AC63" i="1"/>
  <c r="Z496" i="1"/>
  <c r="Z494" i="1"/>
  <c r="Z470" i="1"/>
  <c r="Z464" i="1"/>
  <c r="Z456" i="1"/>
  <c r="Z454" i="1"/>
  <c r="Z448" i="1"/>
  <c r="Z446" i="1"/>
  <c r="Z270" i="1"/>
  <c r="Z264" i="1"/>
  <c r="Z260" i="1"/>
  <c r="Z258" i="1"/>
  <c r="Z256" i="1"/>
  <c r="Z244" i="1"/>
  <c r="Z499" i="1"/>
  <c r="Z487" i="1"/>
  <c r="Z485" i="1"/>
  <c r="Z479" i="1"/>
  <c r="Z477" i="1"/>
  <c r="Z429" i="1"/>
  <c r="Z423" i="1"/>
  <c r="Z421" i="1"/>
  <c r="W511" i="1"/>
  <c r="W509" i="1"/>
  <c r="AE504" i="1"/>
  <c r="AE490" i="1"/>
  <c r="AE480" i="1"/>
  <c r="AE478" i="1"/>
  <c r="AE466" i="1"/>
  <c r="W397" i="1"/>
  <c r="P499" i="1"/>
  <c r="P493" i="1"/>
  <c r="P489" i="1"/>
  <c r="H174" i="1"/>
  <c r="K341" i="1"/>
  <c r="K333" i="1"/>
  <c r="K325" i="1"/>
  <c r="K321" i="1"/>
  <c r="K313" i="1"/>
  <c r="K309" i="1"/>
  <c r="K268" i="1"/>
  <c r="K266" i="1"/>
  <c r="K189" i="1"/>
  <c r="K176" i="1"/>
  <c r="K174" i="1"/>
  <c r="K170" i="1"/>
  <c r="K168" i="1"/>
  <c r="K166" i="1"/>
  <c r="K157" i="1"/>
  <c r="K155" i="1"/>
  <c r="K151" i="1"/>
  <c r="K149" i="1"/>
  <c r="K147" i="1"/>
  <c r="K145" i="1"/>
  <c r="K143" i="1"/>
  <c r="K139" i="1"/>
  <c r="K137" i="1"/>
  <c r="K133" i="1"/>
  <c r="K129" i="1"/>
  <c r="K93" i="1"/>
  <c r="K91" i="1"/>
  <c r="K89" i="1"/>
  <c r="K87" i="1"/>
  <c r="K85" i="1"/>
  <c r="K83" i="1"/>
  <c r="K81" i="1"/>
  <c r="K79" i="1"/>
  <c r="K77" i="1"/>
  <c r="K75" i="1"/>
  <c r="K73" i="1"/>
  <c r="K71" i="1"/>
  <c r="K69" i="1"/>
  <c r="K65" i="1"/>
  <c r="O333" i="1"/>
  <c r="K298" i="1"/>
  <c r="K294" i="1"/>
  <c r="K290" i="1"/>
  <c r="K282" i="1"/>
  <c r="K278" i="1"/>
  <c r="K274" i="1"/>
  <c r="K263" i="1"/>
  <c r="K261" i="1"/>
  <c r="K257" i="1"/>
  <c r="K255" i="1"/>
  <c r="P68" i="1"/>
  <c r="K499" i="1"/>
  <c r="K495" i="1"/>
  <c r="K491" i="1"/>
  <c r="K345" i="1"/>
  <c r="K337" i="1"/>
  <c r="K335" i="1"/>
  <c r="K58" i="1"/>
  <c r="K273" i="1"/>
  <c r="K259" i="1"/>
  <c r="K253" i="1"/>
  <c r="K68" i="1"/>
  <c r="K512" i="1"/>
  <c r="K329" i="1"/>
  <c r="P371" i="1"/>
  <c r="P69" i="1"/>
  <c r="P64" i="1"/>
  <c r="K362" i="1"/>
  <c r="P512" i="1"/>
  <c r="P453" i="1"/>
  <c r="P362" i="1"/>
  <c r="K342" i="1"/>
  <c r="K334" i="1"/>
  <c r="K317" i="1"/>
  <c r="K315" i="1"/>
  <c r="K293" i="1"/>
  <c r="K285" i="1"/>
  <c r="K281" i="1"/>
  <c r="K256" i="1"/>
  <c r="K192" i="1"/>
  <c r="K67" i="1"/>
  <c r="P66" i="1"/>
  <c r="K64" i="1"/>
  <c r="O475" i="1"/>
  <c r="K338" i="1"/>
  <c r="O317" i="1"/>
  <c r="K310" i="1"/>
  <c r="K305" i="1"/>
  <c r="O285" i="1"/>
  <c r="K270" i="1"/>
  <c r="K267" i="1"/>
  <c r="K265" i="1"/>
  <c r="K262" i="1"/>
  <c r="K251" i="1"/>
  <c r="K191" i="1"/>
  <c r="K188" i="1"/>
  <c r="K186" i="1"/>
  <c r="K184" i="1"/>
  <c r="K180" i="1"/>
  <c r="K178" i="1"/>
  <c r="K163" i="1"/>
  <c r="K161" i="1"/>
  <c r="K159" i="1"/>
  <c r="K117" i="1"/>
  <c r="K115" i="1"/>
  <c r="K113" i="1"/>
  <c r="K109" i="1"/>
  <c r="K105" i="1"/>
  <c r="K97" i="1"/>
  <c r="K54" i="1"/>
  <c r="K52" i="1"/>
  <c r="O335" i="1"/>
  <c r="O483" i="1"/>
  <c r="K318" i="1"/>
  <c r="K286" i="1"/>
  <c r="O253" i="1"/>
  <c r="K177" i="1"/>
  <c r="K175" i="1"/>
  <c r="K171" i="1"/>
  <c r="K169" i="1"/>
  <c r="K167" i="1"/>
  <c r="K165" i="1"/>
  <c r="K156" i="1"/>
  <c r="K154" i="1"/>
  <c r="K152" i="1"/>
  <c r="K148" i="1"/>
  <c r="K146" i="1"/>
  <c r="K144" i="1"/>
  <c r="K142" i="1"/>
  <c r="K138" i="1"/>
  <c r="K136" i="1"/>
  <c r="K134" i="1"/>
  <c r="K96" i="1"/>
  <c r="K94" i="1"/>
  <c r="K90" i="1"/>
  <c r="K86" i="1"/>
  <c r="O58" i="1"/>
  <c r="P484" i="1"/>
  <c r="P393" i="1"/>
  <c r="P352" i="1"/>
  <c r="P473" i="1"/>
  <c r="AE138" i="1"/>
  <c r="W504" i="1"/>
  <c r="W500" i="1"/>
  <c r="W494" i="1"/>
  <c r="W490" i="1"/>
  <c r="W488" i="1"/>
  <c r="W486" i="1"/>
  <c r="W484" i="1"/>
  <c r="W480" i="1"/>
  <c r="W478" i="1"/>
  <c r="W476" i="1"/>
  <c r="W474" i="1"/>
  <c r="W466" i="1"/>
  <c r="W462" i="1"/>
  <c r="W458" i="1"/>
  <c r="W456" i="1"/>
  <c r="W454" i="1"/>
  <c r="W448" i="1"/>
  <c r="W446" i="1"/>
  <c r="W444" i="1"/>
  <c r="W442" i="1"/>
  <c r="W434" i="1"/>
  <c r="W426" i="1"/>
  <c r="W424" i="1"/>
  <c r="W422" i="1"/>
  <c r="W420" i="1"/>
  <c r="W300" i="1"/>
  <c r="W296" i="1"/>
  <c r="W292" i="1"/>
  <c r="W288" i="1"/>
  <c r="W258" i="1"/>
  <c r="W254" i="1"/>
  <c r="W250" i="1"/>
  <c r="W185" i="1"/>
  <c r="W181" i="1"/>
  <c r="W177" i="1"/>
  <c r="W81" i="1"/>
  <c r="AE441" i="1"/>
  <c r="AE349" i="1"/>
  <c r="AE345" i="1"/>
  <c r="AE451" i="1"/>
  <c r="AE443" i="1"/>
  <c r="W503" i="1"/>
  <c r="W499" i="1"/>
  <c r="W497" i="1"/>
  <c r="W491" i="1"/>
  <c r="W489" i="1"/>
  <c r="W487" i="1"/>
  <c r="W485" i="1"/>
  <c r="W483" i="1"/>
  <c r="W481" i="1"/>
  <c r="W479" i="1"/>
  <c r="W477" i="1"/>
  <c r="W475" i="1"/>
  <c r="W465" i="1"/>
  <c r="W459" i="1"/>
  <c r="W457" i="1"/>
  <c r="W455" i="1"/>
  <c r="W453" i="1"/>
  <c r="W443" i="1"/>
  <c r="W441" i="1"/>
  <c r="W439" i="1"/>
  <c r="W433" i="1"/>
  <c r="W429" i="1"/>
  <c r="W423" i="1"/>
  <c r="W419" i="1"/>
  <c r="W417" i="1"/>
  <c r="W411" i="1"/>
  <c r="W407" i="1"/>
  <c r="W405" i="1"/>
  <c r="W403" i="1"/>
  <c r="W401" i="1"/>
  <c r="W395" i="1"/>
  <c r="W387" i="1"/>
  <c r="W385" i="1"/>
  <c r="W383" i="1"/>
  <c r="W377" i="1"/>
  <c r="W375" i="1"/>
  <c r="W373" i="1"/>
  <c r="W371" i="1"/>
  <c r="W369" i="1"/>
  <c r="W361" i="1"/>
  <c r="W349" i="1"/>
  <c r="W345" i="1"/>
  <c r="W341" i="1"/>
  <c r="W337" i="1"/>
  <c r="W335" i="1"/>
  <c r="W331" i="1"/>
  <c r="W329" i="1"/>
  <c r="W325" i="1"/>
  <c r="W319" i="1"/>
  <c r="W317" i="1"/>
  <c r="W313" i="1"/>
  <c r="W307" i="1"/>
  <c r="W303" i="1"/>
  <c r="W299" i="1"/>
  <c r="W291" i="1"/>
  <c r="W287" i="1"/>
  <c r="W271" i="1"/>
  <c r="W259" i="1"/>
  <c r="W255" i="1"/>
  <c r="W251" i="1"/>
  <c r="W247" i="1"/>
  <c r="W514" i="1"/>
  <c r="W512" i="1"/>
  <c r="W510" i="1"/>
  <c r="W508" i="1"/>
  <c r="W506" i="1"/>
  <c r="AE469" i="1"/>
  <c r="AE271" i="1"/>
  <c r="AE255" i="1"/>
  <c r="AE128" i="1"/>
  <c r="Z460" i="1"/>
  <c r="Z440" i="1"/>
  <c r="AE436" i="1"/>
  <c r="Z461" i="1"/>
  <c r="Z357" i="1"/>
  <c r="Z329" i="1"/>
  <c r="Z327" i="1"/>
  <c r="Z287" i="1"/>
  <c r="Z285" i="1"/>
  <c r="AE412" i="1"/>
  <c r="AC412" i="1"/>
  <c r="AC398" i="1"/>
  <c r="AC394" i="1"/>
  <c r="AE459" i="1"/>
  <c r="AE457" i="1"/>
  <c r="AE338" i="1"/>
  <c r="AE332" i="1"/>
  <c r="AE308" i="1"/>
  <c r="AE302" i="1"/>
  <c r="AE300" i="1"/>
  <c r="AE298" i="1"/>
  <c r="AC214" i="1"/>
  <c r="AC210" i="1"/>
  <c r="AC202" i="1"/>
  <c r="AC111" i="1"/>
  <c r="AC109" i="1"/>
  <c r="AC99" i="1"/>
  <c r="AC91" i="1"/>
  <c r="AC75" i="1"/>
  <c r="AC73" i="1"/>
  <c r="AC410" i="1"/>
  <c r="AC402" i="1"/>
  <c r="AC60" i="1"/>
  <c r="AC459" i="1"/>
  <c r="AC449" i="1"/>
  <c r="AC447" i="1"/>
  <c r="AC445" i="1"/>
  <c r="AC439" i="1"/>
  <c r="AC435" i="1"/>
  <c r="AC427" i="1"/>
  <c r="AC413" i="1"/>
  <c r="AE398" i="1"/>
  <c r="AE396" i="1"/>
  <c r="AC348" i="1"/>
  <c r="AC346" i="1"/>
  <c r="AC340" i="1"/>
  <c r="AC330" i="1"/>
  <c r="AC306" i="1"/>
  <c r="AC304" i="1"/>
  <c r="AC302" i="1"/>
  <c r="AC300" i="1"/>
  <c r="AC292" i="1"/>
  <c r="AC238" i="1"/>
  <c r="AC234" i="1"/>
  <c r="AC127" i="1"/>
  <c r="Z95" i="1"/>
  <c r="Z91" i="1"/>
  <c r="Z87" i="1"/>
  <c r="Z81" i="1"/>
  <c r="Z75" i="1"/>
  <c r="Z73" i="1"/>
  <c r="Z514" i="1"/>
  <c r="Z463" i="1"/>
  <c r="Z438" i="1"/>
  <c r="Z432" i="1"/>
  <c r="Z430" i="1"/>
  <c r="Z247" i="1"/>
  <c r="Z112" i="1"/>
  <c r="Z104" i="1"/>
  <c r="Z100" i="1"/>
  <c r="Z62" i="1"/>
  <c r="Z60" i="1"/>
  <c r="AC319" i="1"/>
  <c r="AC313" i="1"/>
  <c r="AC303" i="1"/>
  <c r="AC295" i="1"/>
  <c r="AC281" i="1"/>
  <c r="AC261" i="1"/>
  <c r="AC245" i="1"/>
  <c r="AC229" i="1"/>
  <c r="AC225" i="1"/>
  <c r="AC221" i="1"/>
  <c r="AC52" i="1"/>
  <c r="AC371" i="1"/>
  <c r="AC294" i="1"/>
  <c r="AC282" i="1"/>
  <c r="AC242" i="1"/>
  <c r="AC230" i="1"/>
  <c r="AC222" i="1"/>
  <c r="W473" i="1"/>
  <c r="W267" i="1"/>
  <c r="W449" i="1"/>
  <c r="W381" i="1"/>
  <c r="S34" i="13"/>
  <c r="S38" i="13"/>
  <c r="S46" i="13"/>
  <c r="S62" i="13"/>
  <c r="S110" i="13"/>
  <c r="S126" i="13"/>
  <c r="S142" i="13"/>
  <c r="S214" i="13"/>
  <c r="S234" i="13"/>
  <c r="S262" i="13"/>
  <c r="S274" i="13"/>
  <c r="S278" i="13"/>
  <c r="S310" i="13"/>
  <c r="S322" i="13"/>
  <c r="S326" i="13"/>
  <c r="S338" i="13"/>
  <c r="S358" i="13"/>
  <c r="S374" i="13"/>
  <c r="S394" i="13"/>
  <c r="S430" i="13"/>
  <c r="AC471" i="1"/>
  <c r="AC390" i="1"/>
  <c r="AC388" i="1"/>
  <c r="AC384" i="1"/>
  <c r="AC372" i="1"/>
  <c r="AC326" i="1"/>
  <c r="AC320" i="1"/>
  <c r="AC217" i="1"/>
  <c r="AC209" i="1"/>
  <c r="AE508" i="1"/>
  <c r="AE467" i="1"/>
  <c r="AE434" i="1"/>
  <c r="AE426" i="1"/>
  <c r="AE420" i="1"/>
  <c r="AE366" i="1"/>
  <c r="AE362" i="1"/>
  <c r="AE352" i="1"/>
  <c r="AC349" i="1"/>
  <c r="AE336" i="1"/>
  <c r="AE318" i="1"/>
  <c r="AE293" i="1"/>
  <c r="AE289" i="1"/>
  <c r="AE285" i="1"/>
  <c r="AE283" i="1"/>
  <c r="AE254" i="1"/>
  <c r="AE250" i="1"/>
  <c r="AE188" i="1"/>
  <c r="AE186" i="1"/>
  <c r="AE184" i="1"/>
  <c r="AE135" i="1"/>
  <c r="AE133" i="1"/>
  <c r="AC64" i="1"/>
  <c r="AC448" i="1"/>
  <c r="AC446" i="1"/>
  <c r="AC444" i="1"/>
  <c r="AC442" i="1"/>
  <c r="AC345" i="1"/>
  <c r="AC343" i="1"/>
  <c r="AC341" i="1"/>
  <c r="AC311" i="1"/>
  <c r="AC278" i="1"/>
  <c r="AC274" i="1"/>
  <c r="AC226" i="1"/>
  <c r="AC137" i="1"/>
  <c r="AC65" i="1"/>
  <c r="AC50" i="1"/>
  <c r="AC516" i="1"/>
  <c r="AC512" i="1"/>
  <c r="AE505" i="1"/>
  <c r="AE491" i="1"/>
  <c r="AE481" i="1"/>
  <c r="AE475" i="1"/>
  <c r="AE458" i="1"/>
  <c r="AE444" i="1"/>
  <c r="AC426" i="1"/>
  <c r="AC407" i="1"/>
  <c r="AC399" i="1"/>
  <c r="AC397" i="1"/>
  <c r="AE392" i="1"/>
  <c r="AE390" i="1"/>
  <c r="AE386" i="1"/>
  <c r="AE378" i="1"/>
  <c r="AE374" i="1"/>
  <c r="AC360" i="1"/>
  <c r="AC337" i="1"/>
  <c r="AC335" i="1"/>
  <c r="AE326" i="1"/>
  <c r="AE322" i="1"/>
  <c r="AE320" i="1"/>
  <c r="AC316" i="1"/>
  <c r="AC314" i="1"/>
  <c r="AE303" i="1"/>
  <c r="AC289" i="1"/>
  <c r="AE282" i="1"/>
  <c r="AE280" i="1"/>
  <c r="AE276" i="1"/>
  <c r="AC256" i="1"/>
  <c r="AC250" i="1"/>
  <c r="AC248" i="1"/>
  <c r="AC241" i="1"/>
  <c r="AC233" i="1"/>
  <c r="AC224" i="1"/>
  <c r="AC194" i="1"/>
  <c r="AC186" i="1"/>
  <c r="AC174" i="1"/>
  <c r="AC166" i="1"/>
  <c r="AC164" i="1"/>
  <c r="AC135" i="1"/>
  <c r="AC82" i="1"/>
  <c r="AC80" i="1"/>
  <c r="AC78" i="1"/>
  <c r="AC72" i="1"/>
  <c r="AC70" i="1"/>
  <c r="AE487" i="1"/>
  <c r="Z486" i="1"/>
  <c r="Z472" i="1"/>
  <c r="AE460" i="1"/>
  <c r="AE429" i="1"/>
  <c r="AE393" i="1"/>
  <c r="AE389" i="1"/>
  <c r="AE387" i="1"/>
  <c r="AE383" i="1"/>
  <c r="AE364" i="1"/>
  <c r="Z303" i="1"/>
  <c r="Z266" i="1"/>
  <c r="AE247" i="1"/>
  <c r="AE244" i="1"/>
  <c r="Z88" i="1"/>
  <c r="AE472" i="1"/>
  <c r="AE406" i="1"/>
  <c r="AE295" i="1"/>
  <c r="AE514" i="1"/>
  <c r="Z493" i="1"/>
  <c r="Z457" i="1"/>
  <c r="Z451" i="1"/>
  <c r="Z449" i="1"/>
  <c r="Z349" i="1"/>
  <c r="Z343" i="1"/>
  <c r="AE329" i="1"/>
  <c r="AE306" i="1"/>
  <c r="Z109" i="1"/>
  <c r="Z99" i="1"/>
  <c r="Z97" i="1"/>
  <c r="Z515" i="1"/>
  <c r="Z495" i="1"/>
  <c r="Z469" i="1"/>
  <c r="Z439" i="1"/>
  <c r="Z437" i="1"/>
  <c r="Z431" i="1"/>
  <c r="AD270" i="1"/>
  <c r="Z257" i="1"/>
  <c r="Z253" i="1"/>
  <c r="Z103" i="1"/>
  <c r="AD99" i="1"/>
  <c r="AD95" i="1"/>
  <c r="Z82" i="1"/>
  <c r="Z80" i="1"/>
  <c r="Z78" i="1"/>
  <c r="Z72" i="1"/>
  <c r="Z70" i="1"/>
  <c r="Z512" i="1"/>
  <c r="Z506" i="1"/>
  <c r="Z497" i="1"/>
  <c r="Z488" i="1"/>
  <c r="Z471" i="1"/>
  <c r="Z462" i="1"/>
  <c r="Z455" i="1"/>
  <c r="Z453" i="1"/>
  <c r="Z447" i="1"/>
  <c r="Z445" i="1"/>
  <c r="Z424" i="1"/>
  <c r="Z422" i="1"/>
  <c r="Z263" i="1"/>
  <c r="Z246" i="1"/>
  <c r="Z113" i="1"/>
  <c r="AD109" i="1"/>
  <c r="Z96" i="1"/>
  <c r="Z92" i="1"/>
  <c r="Z67" i="1"/>
  <c r="Z65" i="1"/>
  <c r="Z50" i="1"/>
  <c r="Z428" i="1"/>
  <c r="AE482" i="1"/>
  <c r="AE474" i="1"/>
  <c r="AE433" i="1"/>
  <c r="AE313" i="1"/>
  <c r="AE263" i="1"/>
  <c r="AE246" i="1"/>
  <c r="Z105" i="1"/>
  <c r="Z94" i="1"/>
  <c r="Z63" i="1"/>
  <c r="Z61" i="1"/>
  <c r="Z452" i="1"/>
  <c r="Z450" i="1"/>
  <c r="AE488" i="1"/>
  <c r="AE471" i="1"/>
  <c r="AE463" i="1"/>
  <c r="AE446" i="1"/>
  <c r="AE424" i="1"/>
  <c r="AE411" i="1"/>
  <c r="AE375" i="1"/>
  <c r="AE360" i="1"/>
  <c r="AE354" i="1"/>
  <c r="Z335" i="1"/>
  <c r="Z333" i="1"/>
  <c r="AE319" i="1"/>
  <c r="Z311" i="1"/>
  <c r="Z309" i="1"/>
  <c r="AE252" i="1"/>
  <c r="AE248" i="1"/>
  <c r="AE245" i="1"/>
  <c r="Z128" i="1"/>
  <c r="AE479" i="1"/>
  <c r="AE477" i="1"/>
  <c r="AE502" i="1"/>
  <c r="AE485" i="1"/>
  <c r="AE483" i="1"/>
  <c r="AE447" i="1"/>
  <c r="AE432" i="1"/>
  <c r="AE425" i="1"/>
  <c r="AE418" i="1"/>
  <c r="AE416" i="1"/>
  <c r="AE409" i="1"/>
  <c r="AE401" i="1"/>
  <c r="AE384" i="1"/>
  <c r="AE380" i="1"/>
  <c r="AE371" i="1"/>
  <c r="AE369" i="1"/>
  <c r="AE330" i="1"/>
  <c r="AE325" i="1"/>
  <c r="AE323" i="1"/>
  <c r="AE316" i="1"/>
  <c r="AE314" i="1"/>
  <c r="AE305" i="1"/>
  <c r="AE510" i="1"/>
  <c r="Z504" i="1"/>
  <c r="AE486" i="1"/>
  <c r="Z482" i="1"/>
  <c r="Z480" i="1"/>
  <c r="Z478" i="1"/>
  <c r="Z474" i="1"/>
  <c r="AE470" i="1"/>
  <c r="AE462" i="1"/>
  <c r="Z459" i="1"/>
  <c r="AE452" i="1"/>
  <c r="AE448" i="1"/>
  <c r="AE445" i="1"/>
  <c r="Z441" i="1"/>
  <c r="Z433" i="1"/>
  <c r="AE428" i="1"/>
  <c r="Z426" i="1"/>
  <c r="AE421" i="1"/>
  <c r="Z413" i="1"/>
  <c r="Z393" i="1"/>
  <c r="Z387" i="1"/>
  <c r="Z385" i="1"/>
  <c r="Z381" i="1"/>
  <c r="AE372" i="1"/>
  <c r="AE359" i="1"/>
  <c r="AE357" i="1"/>
  <c r="AE348" i="1"/>
  <c r="AE346" i="1"/>
  <c r="AE342" i="1"/>
  <c r="AE335" i="1"/>
  <c r="AE310" i="1"/>
  <c r="Z295" i="1"/>
  <c r="AE292" i="1"/>
  <c r="AE260" i="1"/>
  <c r="AE258" i="1"/>
  <c r="AE256" i="1"/>
  <c r="AE182" i="1"/>
  <c r="AE174" i="1"/>
  <c r="AE172" i="1"/>
  <c r="Z142" i="1"/>
  <c r="Z89" i="1"/>
  <c r="Z86" i="1"/>
  <c r="Z502" i="1"/>
  <c r="AE494" i="1"/>
  <c r="Z491" i="1"/>
  <c r="Z483" i="1"/>
  <c r="Z466" i="1"/>
  <c r="Z444" i="1"/>
  <c r="Z434" i="1"/>
  <c r="Z425" i="1"/>
  <c r="Z409" i="1"/>
  <c r="Z401" i="1"/>
  <c r="Z397" i="1"/>
  <c r="Z369" i="1"/>
  <c r="Z365" i="1"/>
  <c r="Z363" i="1"/>
  <c r="Z339" i="1"/>
  <c r="Z323" i="1"/>
  <c r="Z102" i="1"/>
  <c r="Z79" i="1"/>
  <c r="AC270" i="1"/>
  <c r="AC285" i="1"/>
  <c r="AC262" i="1"/>
  <c r="AC249" i="1"/>
  <c r="AC197" i="1"/>
  <c r="AC123" i="1"/>
  <c r="AD103" i="1"/>
  <c r="AD91" i="1"/>
  <c r="AC55" i="1"/>
  <c r="AD82" i="1"/>
  <c r="AC277" i="1"/>
  <c r="AC266" i="1"/>
  <c r="AC237" i="1"/>
  <c r="AC213" i="1"/>
  <c r="AD87" i="1"/>
  <c r="AC81" i="1"/>
  <c r="AC58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W351" i="1"/>
  <c r="W327" i="1"/>
  <c r="W507" i="1"/>
  <c r="W413" i="1"/>
  <c r="W343" i="1"/>
  <c r="W333" i="1"/>
  <c r="W311" i="1"/>
  <c r="AE356" i="1"/>
  <c r="AE449" i="1"/>
  <c r="AE408" i="1"/>
  <c r="AE468" i="1"/>
  <c r="AE435" i="1"/>
  <c r="AE274" i="1"/>
  <c r="W516" i="1"/>
  <c r="W513" i="1"/>
  <c r="W505" i="1"/>
  <c r="W502" i="1"/>
  <c r="AE498" i="1"/>
  <c r="W496" i="1"/>
  <c r="W493" i="1"/>
  <c r="AE484" i="1"/>
  <c r="W482" i="1"/>
  <c r="AE473" i="1"/>
  <c r="W472" i="1"/>
  <c r="W471" i="1"/>
  <c r="W470" i="1"/>
  <c r="AF470" i="1" s="1"/>
  <c r="W469" i="1"/>
  <c r="W467" i="1"/>
  <c r="W464" i="1"/>
  <c r="W461" i="1"/>
  <c r="W451" i="1"/>
  <c r="W447" i="1"/>
  <c r="AE440" i="1"/>
  <c r="W438" i="1"/>
  <c r="W436" i="1"/>
  <c r="W432" i="1"/>
  <c r="W430" i="1"/>
  <c r="W427" i="1"/>
  <c r="W421" i="1"/>
  <c r="W399" i="1"/>
  <c r="AE397" i="1"/>
  <c r="W393" i="1"/>
  <c r="W391" i="1"/>
  <c r="W389" i="1"/>
  <c r="W379" i="1"/>
  <c r="W367" i="1"/>
  <c r="W365" i="1"/>
  <c r="W363" i="1"/>
  <c r="AE340" i="1"/>
  <c r="AE333" i="1"/>
  <c r="AE328" i="1"/>
  <c r="W323" i="1"/>
  <c r="W321" i="1"/>
  <c r="W315" i="1"/>
  <c r="AE312" i="1"/>
  <c r="AE311" i="1"/>
  <c r="W305" i="1"/>
  <c r="AE297" i="1"/>
  <c r="W295" i="1"/>
  <c r="AE294" i="1"/>
  <c r="W263" i="1"/>
  <c r="AE251" i="1"/>
  <c r="AE249" i="1"/>
  <c r="W246" i="1"/>
  <c r="AE178" i="1"/>
  <c r="AE176" i="1"/>
  <c r="AE143" i="1"/>
  <c r="AE141" i="1"/>
  <c r="AE136" i="1"/>
  <c r="AE122" i="1"/>
  <c r="AE120" i="1"/>
  <c r="W84" i="1"/>
  <c r="W79" i="1"/>
  <c r="W52" i="1"/>
  <c r="AE194" i="1"/>
  <c r="AE190" i="1"/>
  <c r="AE170" i="1"/>
  <c r="AE168" i="1"/>
  <c r="AE166" i="1"/>
  <c r="AE164" i="1"/>
  <c r="AE130" i="1"/>
  <c r="AE127" i="1"/>
  <c r="AE125" i="1"/>
  <c r="W517" i="1"/>
  <c r="W515" i="1"/>
  <c r="AE509" i="1"/>
  <c r="AE507" i="1"/>
  <c r="AE506" i="1"/>
  <c r="AE503" i="1"/>
  <c r="W501" i="1"/>
  <c r="W498" i="1"/>
  <c r="W495" i="1"/>
  <c r="W492" i="1"/>
  <c r="AE489" i="1"/>
  <c r="AE476" i="1"/>
  <c r="W468" i="1"/>
  <c r="W463" i="1"/>
  <c r="W460" i="1"/>
  <c r="W452" i="1"/>
  <c r="W450" i="1"/>
  <c r="W445" i="1"/>
  <c r="AE442" i="1"/>
  <c r="W440" i="1"/>
  <c r="W437" i="1"/>
  <c r="W435" i="1"/>
  <c r="W431" i="1"/>
  <c r="W428" i="1"/>
  <c r="W425" i="1"/>
  <c r="W415" i="1"/>
  <c r="W409" i="1"/>
  <c r="AE404" i="1"/>
  <c r="AE402" i="1"/>
  <c r="AE394" i="1"/>
  <c r="AE382" i="1"/>
  <c r="AE370" i="1"/>
  <c r="AE368" i="1"/>
  <c r="W359" i="1"/>
  <c r="W357" i="1"/>
  <c r="W355" i="1"/>
  <c r="W353" i="1"/>
  <c r="W347" i="1"/>
  <c r="AE344" i="1"/>
  <c r="AE343" i="1"/>
  <c r="W339" i="1"/>
  <c r="W309" i="1"/>
  <c r="W193" i="1"/>
  <c r="W189" i="1"/>
  <c r="W173" i="1"/>
  <c r="W169" i="1"/>
  <c r="W165" i="1"/>
  <c r="W83" i="1"/>
  <c r="W80" i="1"/>
  <c r="W64" i="1"/>
  <c r="W62" i="1"/>
  <c r="P395" i="1"/>
  <c r="P481" i="1"/>
  <c r="P360" i="1"/>
  <c r="P358" i="1"/>
  <c r="P354" i="1"/>
  <c r="P213" i="1"/>
  <c r="P203" i="1"/>
  <c r="P201" i="1"/>
  <c r="P199" i="1"/>
  <c r="P198" i="1"/>
  <c r="P517" i="1"/>
  <c r="P515" i="1"/>
  <c r="P513" i="1"/>
  <c r="P476" i="1"/>
  <c r="P467" i="1"/>
  <c r="P415" i="1"/>
  <c r="P407" i="1"/>
  <c r="P405" i="1"/>
  <c r="H362" i="1"/>
  <c r="Q362" i="1" s="1"/>
  <c r="H360" i="1"/>
  <c r="H358" i="1"/>
  <c r="H356" i="1"/>
  <c r="H354" i="1"/>
  <c r="H138" i="1"/>
  <c r="H98" i="1"/>
  <c r="P208" i="1"/>
  <c r="P160" i="1"/>
  <c r="P425" i="1"/>
  <c r="H158" i="1"/>
  <c r="P87" i="1"/>
  <c r="P516" i="1"/>
  <c r="P451" i="1"/>
  <c r="P449" i="1"/>
  <c r="P433" i="1"/>
  <c r="P431" i="1"/>
  <c r="P429" i="1"/>
  <c r="P359" i="1"/>
  <c r="P353" i="1"/>
  <c r="P194" i="1"/>
  <c r="P206" i="1"/>
  <c r="P162" i="1"/>
  <c r="P108" i="1"/>
  <c r="H69" i="1"/>
  <c r="H68" i="1"/>
  <c r="H66" i="1"/>
  <c r="H65" i="1"/>
  <c r="P509" i="1"/>
  <c r="P391" i="1"/>
  <c r="P383" i="1"/>
  <c r="P381" i="1"/>
  <c r="P379" i="1"/>
  <c r="P377" i="1"/>
  <c r="H349" i="1"/>
  <c r="P225" i="1"/>
  <c r="H194" i="1"/>
  <c r="H154" i="1"/>
  <c r="H150" i="1"/>
  <c r="H142" i="1"/>
  <c r="H110" i="1"/>
  <c r="H106" i="1"/>
  <c r="H71" i="1"/>
  <c r="P67" i="1"/>
  <c r="H22" i="1"/>
  <c r="R145" i="13"/>
  <c r="R377" i="13"/>
  <c r="S358" i="15"/>
  <c r="S358" i="14" s="1"/>
  <c r="S382" i="15"/>
  <c r="Q27" i="14"/>
  <c r="Q31" i="14"/>
  <c r="Q39" i="14"/>
  <c r="Q47" i="14"/>
  <c r="Q55" i="14"/>
  <c r="Q63" i="14"/>
  <c r="Q71" i="14"/>
  <c r="Q79" i="14"/>
  <c r="Q87" i="14"/>
  <c r="Q95" i="14"/>
  <c r="Q103" i="14"/>
  <c r="Q111" i="14"/>
  <c r="Q115" i="14"/>
  <c r="Q119" i="14"/>
  <c r="Q255" i="14"/>
  <c r="G11" i="14"/>
  <c r="N8" i="14"/>
  <c r="S133" i="15"/>
  <c r="S181" i="15"/>
  <c r="S185" i="15"/>
  <c r="S189" i="15"/>
  <c r="S197" i="15"/>
  <c r="S229" i="15"/>
  <c r="S233" i="15"/>
  <c r="T395" i="15"/>
  <c r="S410" i="15"/>
  <c r="S414" i="15"/>
  <c r="S350" i="15"/>
  <c r="S374" i="15"/>
  <c r="S394" i="15"/>
  <c r="Q19" i="14"/>
  <c r="Q23" i="14"/>
  <c r="Q35" i="14"/>
  <c r="Q43" i="14"/>
  <c r="Q51" i="14"/>
  <c r="Q59" i="14"/>
  <c r="Q67" i="14"/>
  <c r="Q75" i="14"/>
  <c r="Q83" i="14"/>
  <c r="Q91" i="14"/>
  <c r="Q99" i="14"/>
  <c r="Q107" i="14"/>
  <c r="Q123" i="14"/>
  <c r="S122" i="15"/>
  <c r="S126" i="15"/>
  <c r="S246" i="15"/>
  <c r="S262" i="15"/>
  <c r="S278" i="15"/>
  <c r="S286" i="15"/>
  <c r="S294" i="15"/>
  <c r="S310" i="15"/>
  <c r="S326" i="15"/>
  <c r="R348" i="15"/>
  <c r="T403" i="15"/>
  <c r="T411" i="15"/>
  <c r="T419" i="15"/>
  <c r="S445" i="15"/>
  <c r="S449" i="15"/>
  <c r="S457" i="15"/>
  <c r="S461" i="15"/>
  <c r="S509" i="15"/>
  <c r="S513" i="15"/>
  <c r="W272" i="1"/>
  <c r="AE456" i="1"/>
  <c r="AE454" i="1"/>
  <c r="AE511" i="1"/>
  <c r="Z503" i="1"/>
  <c r="AE495" i="1"/>
  <c r="Z492" i="1"/>
  <c r="Z475" i="1"/>
  <c r="Z467" i="1"/>
  <c r="AE430" i="1"/>
  <c r="Z391" i="1"/>
  <c r="Z317" i="1"/>
  <c r="Z517" i="1"/>
  <c r="AE516" i="1"/>
  <c r="AE512" i="1"/>
  <c r="Z509" i="1"/>
  <c r="Z501" i="1"/>
  <c r="AE500" i="1"/>
  <c r="AE496" i="1"/>
  <c r="AE492" i="1"/>
  <c r="Z489" i="1"/>
  <c r="Z484" i="1"/>
  <c r="Z481" i="1"/>
  <c r="Z476" i="1"/>
  <c r="Z473" i="1"/>
  <c r="Z468" i="1"/>
  <c r="Z465" i="1"/>
  <c r="AE464" i="1"/>
  <c r="AE437" i="1"/>
  <c r="AE431" i="1"/>
  <c r="AE423" i="1"/>
  <c r="Z399" i="1"/>
  <c r="Z373" i="1"/>
  <c r="Z355" i="1"/>
  <c r="Z353" i="1"/>
  <c r="Z321" i="1"/>
  <c r="Z140" i="1"/>
  <c r="Z138" i="1"/>
  <c r="Z126" i="1"/>
  <c r="Z59" i="1"/>
  <c r="Z57" i="1"/>
  <c r="Z55" i="1"/>
  <c r="Z53" i="1"/>
  <c r="Z38" i="1"/>
  <c r="Z36" i="1"/>
  <c r="Z34" i="1"/>
  <c r="Z32" i="1"/>
  <c r="Z30" i="1"/>
  <c r="Z28" i="1"/>
  <c r="Z26" i="1"/>
  <c r="Z24" i="1"/>
  <c r="AE455" i="1"/>
  <c r="AE453" i="1"/>
  <c r="Z259" i="1"/>
  <c r="AE259" i="1"/>
  <c r="Z516" i="1"/>
  <c r="AE515" i="1"/>
  <c r="Z508" i="1"/>
  <c r="Z507" i="1"/>
  <c r="Z500" i="1"/>
  <c r="AE499" i="1"/>
  <c r="AE422" i="1"/>
  <c r="Z281" i="1"/>
  <c r="Z119" i="1"/>
  <c r="Z117" i="1"/>
  <c r="Z115" i="1"/>
  <c r="AE517" i="1"/>
  <c r="AE513" i="1"/>
  <c r="Z510" i="1"/>
  <c r="AE501" i="1"/>
  <c r="AE497" i="1"/>
  <c r="AE493" i="1"/>
  <c r="Z490" i="1"/>
  <c r="AE465" i="1"/>
  <c r="Z407" i="1"/>
  <c r="AE461" i="1"/>
  <c r="Z458" i="1"/>
  <c r="AE450" i="1"/>
  <c r="Z443" i="1"/>
  <c r="AE439" i="1"/>
  <c r="Z436" i="1"/>
  <c r="AE427" i="1"/>
  <c r="AE417" i="1"/>
  <c r="Z415" i="1"/>
  <c r="AE414" i="1"/>
  <c r="Z411" i="1"/>
  <c r="AE405" i="1"/>
  <c r="Z403" i="1"/>
  <c r="AE400" i="1"/>
  <c r="AE395" i="1"/>
  <c r="Z389" i="1"/>
  <c r="Z383" i="1"/>
  <c r="AE379" i="1"/>
  <c r="Z377" i="1"/>
  <c r="Z375" i="1"/>
  <c r="Z371" i="1"/>
  <c r="AE367" i="1"/>
  <c r="Z359" i="1"/>
  <c r="AE358" i="1"/>
  <c r="AE347" i="1"/>
  <c r="Z345" i="1"/>
  <c r="AE341" i="1"/>
  <c r="AE337" i="1"/>
  <c r="AE334" i="1"/>
  <c r="AE331" i="1"/>
  <c r="Z325" i="1"/>
  <c r="Z319" i="1"/>
  <c r="AE315" i="1"/>
  <c r="Z313" i="1"/>
  <c r="Z305" i="1"/>
  <c r="AE299" i="1"/>
  <c r="AE291" i="1"/>
  <c r="AE270" i="1"/>
  <c r="Z268" i="1"/>
  <c r="AE192" i="1"/>
  <c r="Z134" i="1"/>
  <c r="Z132" i="1"/>
  <c r="Z130" i="1"/>
  <c r="Z120" i="1"/>
  <c r="Z116" i="1"/>
  <c r="Z37" i="1"/>
  <c r="Z35" i="1"/>
  <c r="Z33" i="1"/>
  <c r="Z31" i="1"/>
  <c r="Z29" i="1"/>
  <c r="Z27" i="1"/>
  <c r="Z25" i="1"/>
  <c r="Z23" i="1"/>
  <c r="Z442" i="1"/>
  <c r="AE438" i="1"/>
  <c r="Z435" i="1"/>
  <c r="Z427" i="1"/>
  <c r="Z419" i="1"/>
  <c r="Z417" i="1"/>
  <c r="AE413" i="1"/>
  <c r="AE410" i="1"/>
  <c r="AE407" i="1"/>
  <c r="Z405" i="1"/>
  <c r="AE399" i="1"/>
  <c r="Z395" i="1"/>
  <c r="AE391" i="1"/>
  <c r="AE388" i="1"/>
  <c r="AE385" i="1"/>
  <c r="Z379" i="1"/>
  <c r="AE376" i="1"/>
  <c r="AE373" i="1"/>
  <c r="Z367" i="1"/>
  <c r="AE363" i="1"/>
  <c r="Z361" i="1"/>
  <c r="AE353" i="1"/>
  <c r="Z351" i="1"/>
  <c r="AE350" i="1"/>
  <c r="Z347" i="1"/>
  <c r="Z341" i="1"/>
  <c r="AE339" i="1"/>
  <c r="Z337" i="1"/>
  <c r="Z331" i="1"/>
  <c r="AE327" i="1"/>
  <c r="AE324" i="1"/>
  <c r="AE321" i="1"/>
  <c r="AE317" i="1"/>
  <c r="Z315" i="1"/>
  <c r="AE309" i="1"/>
  <c r="Z307" i="1"/>
  <c r="AE304" i="1"/>
  <c r="AE301" i="1"/>
  <c r="Z299" i="1"/>
  <c r="AE296" i="1"/>
  <c r="Z291" i="1"/>
  <c r="AE288" i="1"/>
  <c r="Z277" i="1"/>
  <c r="Z272" i="1"/>
  <c r="AE267" i="1"/>
  <c r="Z262" i="1"/>
  <c r="AE180" i="1"/>
  <c r="Z136" i="1"/>
  <c r="Z124" i="1"/>
  <c r="Z122" i="1"/>
  <c r="Z101" i="1"/>
  <c r="Z98" i="1"/>
  <c r="Z93" i="1"/>
  <c r="Z90" i="1"/>
  <c r="Z85" i="1"/>
  <c r="Z83" i="1"/>
  <c r="Z51" i="1"/>
  <c r="AE419" i="1"/>
  <c r="AC419" i="1"/>
  <c r="AC513" i="1"/>
  <c r="AF513" i="1" s="1"/>
  <c r="AC497" i="1"/>
  <c r="AC498" i="1"/>
  <c r="AE287" i="1"/>
  <c r="AC287" i="1"/>
  <c r="AE79" i="1"/>
  <c r="AC517" i="1"/>
  <c r="AC501" i="1"/>
  <c r="AE377" i="1"/>
  <c r="AC377" i="1"/>
  <c r="AC515" i="1"/>
  <c r="AC511" i="1"/>
  <c r="AF511" i="1" s="1"/>
  <c r="AE381" i="1"/>
  <c r="AC381" i="1"/>
  <c r="AE355" i="1"/>
  <c r="AC355" i="1"/>
  <c r="AC494" i="1"/>
  <c r="AC493" i="1"/>
  <c r="AC502" i="1"/>
  <c r="AC489" i="1"/>
  <c r="AC487" i="1"/>
  <c r="AC486" i="1"/>
  <c r="AC485" i="1"/>
  <c r="AC475" i="1"/>
  <c r="AC466" i="1"/>
  <c r="AC457" i="1"/>
  <c r="AC456" i="1"/>
  <c r="AC455" i="1"/>
  <c r="AC454" i="1"/>
  <c r="AC453" i="1"/>
  <c r="AC452" i="1"/>
  <c r="AC441" i="1"/>
  <c r="AC437" i="1"/>
  <c r="AC433" i="1"/>
  <c r="AC432" i="1"/>
  <c r="AC431" i="1"/>
  <c r="AC430" i="1"/>
  <c r="AC429" i="1"/>
  <c r="AC428" i="1"/>
  <c r="AC334" i="1"/>
  <c r="AC331" i="1"/>
  <c r="AE286" i="1"/>
  <c r="AC286" i="1"/>
  <c r="AC267" i="1"/>
  <c r="AC257" i="1"/>
  <c r="AE257" i="1"/>
  <c r="AC235" i="1"/>
  <c r="AC232" i="1"/>
  <c r="AE71" i="1"/>
  <c r="AC508" i="1"/>
  <c r="AC505" i="1"/>
  <c r="AC504" i="1"/>
  <c r="AC490" i="1"/>
  <c r="AC481" i="1"/>
  <c r="AC479" i="1"/>
  <c r="AC478" i="1"/>
  <c r="AC477" i="1"/>
  <c r="AC476" i="1"/>
  <c r="AC467" i="1"/>
  <c r="AC458" i="1"/>
  <c r="AC450" i="1"/>
  <c r="AC438" i="1"/>
  <c r="AC418" i="1"/>
  <c r="AC406" i="1"/>
  <c r="AC376" i="1"/>
  <c r="AC373" i="1"/>
  <c r="AE361" i="1"/>
  <c r="AC361" i="1"/>
  <c r="AC354" i="1"/>
  <c r="AC342" i="1"/>
  <c r="AC310" i="1"/>
  <c r="AC483" i="1"/>
  <c r="AC474" i="1"/>
  <c r="AC464" i="1"/>
  <c r="AC463" i="1"/>
  <c r="AF463" i="1" s="1"/>
  <c r="AC462" i="1"/>
  <c r="AC461" i="1"/>
  <c r="AC460" i="1"/>
  <c r="AC451" i="1"/>
  <c r="AC440" i="1"/>
  <c r="AC436" i="1"/>
  <c r="AE415" i="1"/>
  <c r="AC415" i="1"/>
  <c r="AC414" i="1"/>
  <c r="AE403" i="1"/>
  <c r="AC403" i="1"/>
  <c r="AC400" i="1"/>
  <c r="AC395" i="1"/>
  <c r="AE365" i="1"/>
  <c r="AC365" i="1"/>
  <c r="AC364" i="1"/>
  <c r="AE351" i="1"/>
  <c r="AC351" i="1"/>
  <c r="AC350" i="1"/>
  <c r="AC324" i="1"/>
  <c r="AC321" i="1"/>
  <c r="AC317" i="1"/>
  <c r="AE307" i="1"/>
  <c r="AC307" i="1"/>
  <c r="AC296" i="1"/>
  <c r="AC263" i="1"/>
  <c r="AE253" i="1"/>
  <c r="AC253" i="1"/>
  <c r="AC203" i="1"/>
  <c r="AC200" i="1"/>
  <c r="AC172" i="1"/>
  <c r="AC142" i="1"/>
  <c r="AC416" i="1"/>
  <c r="AC411" i="1"/>
  <c r="AC404" i="1"/>
  <c r="AC401" i="1"/>
  <c r="AC392" i="1"/>
  <c r="AC389" i="1"/>
  <c r="AC380" i="1"/>
  <c r="AC370" i="1"/>
  <c r="AC366" i="1"/>
  <c r="AC362" i="1"/>
  <c r="AC359" i="1"/>
  <c r="AC358" i="1"/>
  <c r="AC352" i="1"/>
  <c r="AC347" i="1"/>
  <c r="AC338" i="1"/>
  <c r="AC328" i="1"/>
  <c r="AC325" i="1"/>
  <c r="AC315" i="1"/>
  <c r="AC308" i="1"/>
  <c r="AC305" i="1"/>
  <c r="AC299" i="1"/>
  <c r="AE290" i="1"/>
  <c r="AC288" i="1"/>
  <c r="AE284" i="1"/>
  <c r="AE281" i="1"/>
  <c r="AE279" i="1"/>
  <c r="AC275" i="1"/>
  <c r="AE262" i="1"/>
  <c r="AC258" i="1"/>
  <c r="AC254" i="1"/>
  <c r="AC243" i="1"/>
  <c r="AC240" i="1"/>
  <c r="AC211" i="1"/>
  <c r="AC208" i="1"/>
  <c r="AC180" i="1"/>
  <c r="AC121" i="1"/>
  <c r="AC107" i="1"/>
  <c r="AC105" i="1"/>
  <c r="AC102" i="1"/>
  <c r="AC100" i="1"/>
  <c r="AC97" i="1"/>
  <c r="AC94" i="1"/>
  <c r="AC92" i="1"/>
  <c r="AC89" i="1"/>
  <c r="AC86" i="1"/>
  <c r="AC84" i="1"/>
  <c r="AE82" i="1"/>
  <c r="AE68" i="1"/>
  <c r="AE63" i="1"/>
  <c r="AE61" i="1"/>
  <c r="AC56" i="1"/>
  <c r="AC54" i="1"/>
  <c r="AC443" i="1"/>
  <c r="AC434" i="1"/>
  <c r="AC425" i="1"/>
  <c r="AC424" i="1"/>
  <c r="AC423" i="1"/>
  <c r="AC422" i="1"/>
  <c r="AC421" i="1"/>
  <c r="AC420" i="1"/>
  <c r="AC417" i="1"/>
  <c r="AC408" i="1"/>
  <c r="AC405" i="1"/>
  <c r="AC396" i="1"/>
  <c r="AC386" i="1"/>
  <c r="AC382" i="1"/>
  <c r="AC378" i="1"/>
  <c r="AC375" i="1"/>
  <c r="AC374" i="1"/>
  <c r="AC368" i="1"/>
  <c r="AC363" i="1"/>
  <c r="AC356" i="1"/>
  <c r="AC353" i="1"/>
  <c r="AC344" i="1"/>
  <c r="AC336" i="1"/>
  <c r="AC333" i="1"/>
  <c r="AC332" i="1"/>
  <c r="AC322" i="1"/>
  <c r="AC318" i="1"/>
  <c r="AC312" i="1"/>
  <c r="AC309" i="1"/>
  <c r="AC297" i="1"/>
  <c r="AC291" i="1"/>
  <c r="AC283" i="1"/>
  <c r="AC280" i="1"/>
  <c r="AE277" i="1"/>
  <c r="AE275" i="1"/>
  <c r="AE266" i="1"/>
  <c r="AC252" i="1"/>
  <c r="AC219" i="1"/>
  <c r="AC216" i="1"/>
  <c r="AC192" i="1"/>
  <c r="AC129" i="1"/>
  <c r="AC126" i="1"/>
  <c r="AE76" i="1"/>
  <c r="AE59" i="1"/>
  <c r="AC301" i="1"/>
  <c r="AC298" i="1"/>
  <c r="AC293" i="1"/>
  <c r="AC290" i="1"/>
  <c r="AC284" i="1"/>
  <c r="AC279" i="1"/>
  <c r="AE278" i="1"/>
  <c r="AC276" i="1"/>
  <c r="AC260" i="1"/>
  <c r="AC255" i="1"/>
  <c r="AC247" i="1"/>
  <c r="AC246" i="1"/>
  <c r="AC244" i="1"/>
  <c r="AC239" i="1"/>
  <c r="AC236" i="1"/>
  <c r="AC231" i="1"/>
  <c r="AC228" i="1"/>
  <c r="AC223" i="1"/>
  <c r="AC220" i="1"/>
  <c r="AC215" i="1"/>
  <c r="AC212" i="1"/>
  <c r="AC207" i="1"/>
  <c r="AC204" i="1"/>
  <c r="AC199" i="1"/>
  <c r="AC196" i="1"/>
  <c r="AC188" i="1"/>
  <c r="AC182" i="1"/>
  <c r="AC176" i="1"/>
  <c r="AC168" i="1"/>
  <c r="AC141" i="1"/>
  <c r="AE140" i="1"/>
  <c r="AC138" i="1"/>
  <c r="AC133" i="1"/>
  <c r="AE132" i="1"/>
  <c r="AC130" i="1"/>
  <c r="AC125" i="1"/>
  <c r="AE124" i="1"/>
  <c r="AC122" i="1"/>
  <c r="AC108" i="1"/>
  <c r="AC104" i="1"/>
  <c r="AC101" i="1"/>
  <c r="AC98" i="1"/>
  <c r="AC96" i="1"/>
  <c r="AC93" i="1"/>
  <c r="AC90" i="1"/>
  <c r="AC88" i="1"/>
  <c r="AC85" i="1"/>
  <c r="AE75" i="1"/>
  <c r="AE67" i="1"/>
  <c r="AE51" i="1"/>
  <c r="AC190" i="1"/>
  <c r="AC184" i="1"/>
  <c r="AC178" i="1"/>
  <c r="AC170" i="1"/>
  <c r="AE142" i="1"/>
  <c r="AE139" i="1"/>
  <c r="AE137" i="1"/>
  <c r="AE134" i="1"/>
  <c r="AE131" i="1"/>
  <c r="AE129" i="1"/>
  <c r="AE126" i="1"/>
  <c r="AE123" i="1"/>
  <c r="AC117" i="1"/>
  <c r="AC113" i="1"/>
  <c r="AC103" i="1"/>
  <c r="AC95" i="1"/>
  <c r="AC87" i="1"/>
  <c r="AE83" i="1"/>
  <c r="AC79" i="1"/>
  <c r="AC77" i="1"/>
  <c r="AC74" i="1"/>
  <c r="AE72" i="1"/>
  <c r="AC69" i="1"/>
  <c r="AC66" i="1"/>
  <c r="AE57" i="1"/>
  <c r="AE55" i="1"/>
  <c r="AE53" i="1"/>
  <c r="AD495" i="1"/>
  <c r="AD469" i="1"/>
  <c r="W264" i="1"/>
  <c r="AD81" i="1"/>
  <c r="AD80" i="1"/>
  <c r="AD488" i="1"/>
  <c r="AD480" i="1"/>
  <c r="W268" i="1"/>
  <c r="AD108" i="1"/>
  <c r="AD492" i="1"/>
  <c r="Z271" i="1"/>
  <c r="AD266" i="1"/>
  <c r="Z255" i="1"/>
  <c r="AD255" i="1"/>
  <c r="Z254" i="1"/>
  <c r="Z252" i="1"/>
  <c r="Z249" i="1"/>
  <c r="AD189" i="1"/>
  <c r="AD173" i="1"/>
  <c r="Z108" i="1"/>
  <c r="AD102" i="1"/>
  <c r="AD98" i="1"/>
  <c r="AD94" i="1"/>
  <c r="AD90" i="1"/>
  <c r="AD86" i="1"/>
  <c r="Z77" i="1"/>
  <c r="Z74" i="1"/>
  <c r="Z71" i="1"/>
  <c r="Z69" i="1"/>
  <c r="Z66" i="1"/>
  <c r="Z52" i="1"/>
  <c r="AD484" i="1"/>
  <c r="AD507" i="1"/>
  <c r="AD473" i="1"/>
  <c r="AD465" i="1"/>
  <c r="Z267" i="1"/>
  <c r="AD262" i="1"/>
  <c r="Z251" i="1"/>
  <c r="Z250" i="1"/>
  <c r="Z248" i="1"/>
  <c r="Z245" i="1"/>
  <c r="AD185" i="1"/>
  <c r="AD169" i="1"/>
  <c r="Z76" i="1"/>
  <c r="Z68" i="1"/>
  <c r="Z58" i="1"/>
  <c r="Z56" i="1"/>
  <c r="Z54" i="1"/>
  <c r="AD298" i="1"/>
  <c r="AD193" i="1"/>
  <c r="AD177" i="1"/>
  <c r="AC115" i="1"/>
  <c r="AD115" i="1"/>
  <c r="AC268" i="1"/>
  <c r="AD268" i="1"/>
  <c r="AD247" i="1"/>
  <c r="AD113" i="1"/>
  <c r="AD104" i="1"/>
  <c r="AD100" i="1"/>
  <c r="AD96" i="1"/>
  <c r="AD92" i="1"/>
  <c r="AD88" i="1"/>
  <c r="AD35" i="1"/>
  <c r="AD31" i="1"/>
  <c r="AD27" i="1"/>
  <c r="AD23" i="1"/>
  <c r="AD62" i="1"/>
  <c r="AC62" i="1"/>
  <c r="AD290" i="1"/>
  <c r="AC264" i="1"/>
  <c r="AD264" i="1"/>
  <c r="AD259" i="1"/>
  <c r="AD165" i="1"/>
  <c r="AC272" i="1"/>
  <c r="AD272" i="1"/>
  <c r="AD251" i="1"/>
  <c r="AD120" i="1"/>
  <c r="AC120" i="1"/>
  <c r="AC119" i="1"/>
  <c r="AD119" i="1"/>
  <c r="AD83" i="1"/>
  <c r="AC83" i="1"/>
  <c r="AC57" i="1"/>
  <c r="AD294" i="1"/>
  <c r="AD116" i="1"/>
  <c r="AC59" i="1"/>
  <c r="AC51" i="1"/>
  <c r="AD38" i="1"/>
  <c r="AD34" i="1"/>
  <c r="AD30" i="1"/>
  <c r="AD26" i="1"/>
  <c r="AD302" i="1"/>
  <c r="AD181" i="1"/>
  <c r="AC162" i="1"/>
  <c r="AC160" i="1"/>
  <c r="AC158" i="1"/>
  <c r="AC156" i="1"/>
  <c r="AC154" i="1"/>
  <c r="AC152" i="1"/>
  <c r="AC150" i="1"/>
  <c r="AC148" i="1"/>
  <c r="AC146" i="1"/>
  <c r="AC144" i="1"/>
  <c r="AD117" i="1"/>
  <c r="AD112" i="1"/>
  <c r="AD105" i="1"/>
  <c r="AD101" i="1"/>
  <c r="AD97" i="1"/>
  <c r="AD93" i="1"/>
  <c r="AD89" i="1"/>
  <c r="AD85" i="1"/>
  <c r="AC61" i="1"/>
  <c r="AC53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D171" i="1"/>
  <c r="W171" i="1"/>
  <c r="AD187" i="1"/>
  <c r="W187" i="1"/>
  <c r="AD79" i="1"/>
  <c r="AD50" i="1"/>
  <c r="AD499" i="1"/>
  <c r="AD195" i="1"/>
  <c r="W195" i="1"/>
  <c r="AD179" i="1"/>
  <c r="W179" i="1"/>
  <c r="AD167" i="1"/>
  <c r="W167" i="1"/>
  <c r="AD54" i="1"/>
  <c r="AD191" i="1"/>
  <c r="W191" i="1"/>
  <c r="AD175" i="1"/>
  <c r="W175" i="1"/>
  <c r="AD503" i="1"/>
  <c r="AD183" i="1"/>
  <c r="W183" i="1"/>
  <c r="AD58" i="1"/>
  <c r="AD107" i="1"/>
  <c r="AD491" i="1"/>
  <c r="AD514" i="1"/>
  <c r="AD510" i="1"/>
  <c r="AD506" i="1"/>
  <c r="AD111" i="1"/>
  <c r="AD84" i="1"/>
  <c r="AD64" i="1"/>
  <c r="AD60" i="1"/>
  <c r="AD56" i="1"/>
  <c r="AD52" i="1"/>
  <c r="P157" i="1"/>
  <c r="K295" i="1"/>
  <c r="K38" i="1"/>
  <c r="K36" i="1"/>
  <c r="K34" i="1"/>
  <c r="K32" i="1"/>
  <c r="K30" i="1"/>
  <c r="K28" i="1"/>
  <c r="K26" i="1"/>
  <c r="K24" i="1"/>
  <c r="K516" i="1"/>
  <c r="P511" i="1"/>
  <c r="K509" i="1"/>
  <c r="K507" i="1"/>
  <c r="K503" i="1"/>
  <c r="K368" i="1"/>
  <c r="K356" i="1"/>
  <c r="K283" i="1"/>
  <c r="K195" i="1"/>
  <c r="K193" i="1"/>
  <c r="P161" i="1"/>
  <c r="P94" i="1"/>
  <c r="P90" i="1"/>
  <c r="P82" i="1"/>
  <c r="K511" i="1"/>
  <c r="P158" i="1"/>
  <c r="K366" i="1"/>
  <c r="K352" i="1"/>
  <c r="K350" i="1"/>
  <c r="K327" i="1"/>
  <c r="K307" i="1"/>
  <c r="P221" i="1"/>
  <c r="P166" i="1"/>
  <c r="P137" i="1"/>
  <c r="O486" i="1"/>
  <c r="O481" i="1"/>
  <c r="O478" i="1"/>
  <c r="O473" i="1"/>
  <c r="O408" i="1"/>
  <c r="P148" i="1"/>
  <c r="P110" i="1"/>
  <c r="N511" i="1"/>
  <c r="P507" i="1"/>
  <c r="P503" i="1"/>
  <c r="N498" i="1"/>
  <c r="N487" i="1"/>
  <c r="N479" i="1"/>
  <c r="N471" i="1"/>
  <c r="P459" i="1"/>
  <c r="N327" i="1"/>
  <c r="P134" i="1"/>
  <c r="P100" i="1"/>
  <c r="P79" i="1"/>
  <c r="P71" i="1"/>
  <c r="O52" i="1"/>
  <c r="N516" i="1"/>
  <c r="N514" i="1"/>
  <c r="N509" i="1"/>
  <c r="N507" i="1"/>
  <c r="N505" i="1"/>
  <c r="N503" i="1"/>
  <c r="N501" i="1"/>
  <c r="P498" i="1"/>
  <c r="N390" i="1"/>
  <c r="N386" i="1"/>
  <c r="N384" i="1"/>
  <c r="P368" i="1"/>
  <c r="N365" i="1"/>
  <c r="N363" i="1"/>
  <c r="P351" i="1"/>
  <c r="N305" i="1"/>
  <c r="O305" i="1"/>
  <c r="P109" i="1"/>
  <c r="N109" i="1"/>
  <c r="N100" i="1"/>
  <c r="N98" i="1"/>
  <c r="P86" i="1"/>
  <c r="N81" i="1"/>
  <c r="N79" i="1"/>
  <c r="N77" i="1"/>
  <c r="N75" i="1"/>
  <c r="N73" i="1"/>
  <c r="N62" i="1"/>
  <c r="N60" i="1"/>
  <c r="N347" i="1"/>
  <c r="O347" i="1"/>
  <c r="N496" i="1"/>
  <c r="O484" i="1"/>
  <c r="O476" i="1"/>
  <c r="N469" i="1"/>
  <c r="P457" i="1"/>
  <c r="P363" i="1"/>
  <c r="N345" i="1"/>
  <c r="P421" i="1"/>
  <c r="N412" i="1"/>
  <c r="N410" i="1"/>
  <c r="N408" i="1"/>
  <c r="N406" i="1"/>
  <c r="N404" i="1"/>
  <c r="N321" i="1"/>
  <c r="O321" i="1"/>
  <c r="P195" i="1"/>
  <c r="N176" i="1"/>
  <c r="N174" i="1"/>
  <c r="N163" i="1"/>
  <c r="P496" i="1"/>
  <c r="N494" i="1"/>
  <c r="N492" i="1"/>
  <c r="N490" i="1"/>
  <c r="N488" i="1"/>
  <c r="O487" i="1"/>
  <c r="N485" i="1"/>
  <c r="O485" i="1"/>
  <c r="N482" i="1"/>
  <c r="O482" i="1"/>
  <c r="N480" i="1"/>
  <c r="O479" i="1"/>
  <c r="N477" i="1"/>
  <c r="O477" i="1"/>
  <c r="N474" i="1"/>
  <c r="O474" i="1"/>
  <c r="N472" i="1"/>
  <c r="N467" i="1"/>
  <c r="N465" i="1"/>
  <c r="N463" i="1"/>
  <c r="N461" i="1"/>
  <c r="N459" i="1"/>
  <c r="N457" i="1"/>
  <c r="N455" i="1"/>
  <c r="O440" i="1"/>
  <c r="P423" i="1"/>
  <c r="N419" i="1"/>
  <c r="N417" i="1"/>
  <c r="N393" i="1"/>
  <c r="P389" i="1"/>
  <c r="P375" i="1"/>
  <c r="P373" i="1"/>
  <c r="P366" i="1"/>
  <c r="P365" i="1"/>
  <c r="N361" i="1"/>
  <c r="N357" i="1"/>
  <c r="N355" i="1"/>
  <c r="N352" i="1"/>
  <c r="N349" i="1"/>
  <c r="N343" i="1"/>
  <c r="N335" i="1"/>
  <c r="N325" i="1"/>
  <c r="N317" i="1"/>
  <c r="N307" i="1"/>
  <c r="N221" i="1"/>
  <c r="N191" i="1"/>
  <c r="P188" i="1"/>
  <c r="P180" i="1"/>
  <c r="N166" i="1"/>
  <c r="N140" i="1"/>
  <c r="N138" i="1"/>
  <c r="N136" i="1"/>
  <c r="N134" i="1"/>
  <c r="N132" i="1"/>
  <c r="N130" i="1"/>
  <c r="N114" i="1"/>
  <c r="N108" i="1"/>
  <c r="N105" i="1"/>
  <c r="N90" i="1"/>
  <c r="N88" i="1"/>
  <c r="N42" i="1"/>
  <c r="N513" i="1"/>
  <c r="N510" i="1"/>
  <c r="P505" i="1"/>
  <c r="N499" i="1"/>
  <c r="N497" i="1"/>
  <c r="P491" i="1"/>
  <c r="P488" i="1"/>
  <c r="O488" i="1"/>
  <c r="P485" i="1"/>
  <c r="N483" i="1"/>
  <c r="P480" i="1"/>
  <c r="O480" i="1"/>
  <c r="P477" i="1"/>
  <c r="N475" i="1"/>
  <c r="P472" i="1"/>
  <c r="O472" i="1"/>
  <c r="O468" i="1"/>
  <c r="P465" i="1"/>
  <c r="N464" i="1"/>
  <c r="P463" i="1"/>
  <c r="N462" i="1"/>
  <c r="P461" i="1"/>
  <c r="N456" i="1"/>
  <c r="N454" i="1"/>
  <c r="N453" i="1"/>
  <c r="P447" i="1"/>
  <c r="P435" i="1"/>
  <c r="P427" i="1"/>
  <c r="N418" i="1"/>
  <c r="N416" i="1"/>
  <c r="N415" i="1"/>
  <c r="N413" i="1"/>
  <c r="N411" i="1"/>
  <c r="N409" i="1"/>
  <c r="N407" i="1"/>
  <c r="N405" i="1"/>
  <c r="P403" i="1"/>
  <c r="N392" i="1"/>
  <c r="N391" i="1"/>
  <c r="N389" i="1"/>
  <c r="N387" i="1"/>
  <c r="N385" i="1"/>
  <c r="O376" i="1"/>
  <c r="N371" i="1"/>
  <c r="N369" i="1"/>
  <c r="P367" i="1"/>
  <c r="N364" i="1"/>
  <c r="P356" i="1"/>
  <c r="N353" i="1"/>
  <c r="P350" i="1"/>
  <c r="P349" i="1"/>
  <c r="N341" i="1"/>
  <c r="N339" i="1"/>
  <c r="N333" i="1"/>
  <c r="O325" i="1"/>
  <c r="N323" i="1"/>
  <c r="O322" i="1"/>
  <c r="N315" i="1"/>
  <c r="O306" i="1"/>
  <c r="N289" i="1"/>
  <c r="O289" i="1"/>
  <c r="N287" i="1"/>
  <c r="N276" i="1"/>
  <c r="N273" i="1"/>
  <c r="O269" i="1"/>
  <c r="N264" i="1"/>
  <c r="N261" i="1"/>
  <c r="O257" i="1"/>
  <c r="N254" i="1"/>
  <c r="N251" i="1"/>
  <c r="N247" i="1"/>
  <c r="N245" i="1"/>
  <c r="N243" i="1"/>
  <c r="N241" i="1"/>
  <c r="N239" i="1"/>
  <c r="N237" i="1"/>
  <c r="P169" i="1"/>
  <c r="N145" i="1"/>
  <c r="P117" i="1"/>
  <c r="O97" i="1"/>
  <c r="N295" i="1"/>
  <c r="N279" i="1"/>
  <c r="N277" i="1"/>
  <c r="O273" i="1"/>
  <c r="N270" i="1"/>
  <c r="N267" i="1"/>
  <c r="N265" i="1"/>
  <c r="O261" i="1"/>
  <c r="N258" i="1"/>
  <c r="N255" i="1"/>
  <c r="N252" i="1"/>
  <c r="P245" i="1"/>
  <c r="P243" i="1"/>
  <c r="P241" i="1"/>
  <c r="P239" i="1"/>
  <c r="P237" i="1"/>
  <c r="N235" i="1"/>
  <c r="N233" i="1"/>
  <c r="N231" i="1"/>
  <c r="N219" i="1"/>
  <c r="N217" i="1"/>
  <c r="N215" i="1"/>
  <c r="N208" i="1"/>
  <c r="N204" i="1"/>
  <c r="N200" i="1"/>
  <c r="P197" i="1"/>
  <c r="P192" i="1"/>
  <c r="P190" i="1"/>
  <c r="P189" i="1"/>
  <c r="N186" i="1"/>
  <c r="N184" i="1"/>
  <c r="N182" i="1"/>
  <c r="N180" i="1"/>
  <c r="N178" i="1"/>
  <c r="P178" i="1"/>
  <c r="N172" i="1"/>
  <c r="N170" i="1"/>
  <c r="N167" i="1"/>
  <c r="P164" i="1"/>
  <c r="N160" i="1"/>
  <c r="N154" i="1"/>
  <c r="N152" i="1"/>
  <c r="N150" i="1"/>
  <c r="N148" i="1"/>
  <c r="N146" i="1"/>
  <c r="N143" i="1"/>
  <c r="N141" i="1"/>
  <c r="P133" i="1"/>
  <c r="N128" i="1"/>
  <c r="N123" i="1"/>
  <c r="N120" i="1"/>
  <c r="N115" i="1"/>
  <c r="N112" i="1"/>
  <c r="N110" i="1"/>
  <c r="N106" i="1"/>
  <c r="N103" i="1"/>
  <c r="P96" i="1"/>
  <c r="N93" i="1"/>
  <c r="N91" i="1"/>
  <c r="N86" i="1"/>
  <c r="N84" i="1"/>
  <c r="P78" i="1"/>
  <c r="P74" i="1"/>
  <c r="O60" i="1"/>
  <c r="P56" i="1"/>
  <c r="N53" i="1"/>
  <c r="N51" i="1"/>
  <c r="N48" i="1"/>
  <c r="N43" i="1"/>
  <c r="N40" i="1"/>
  <c r="O302" i="1"/>
  <c r="N285" i="1"/>
  <c r="O277" i="1"/>
  <c r="N274" i="1"/>
  <c r="N271" i="1"/>
  <c r="N268" i="1"/>
  <c r="O265" i="1"/>
  <c r="N262" i="1"/>
  <c r="N259" i="1"/>
  <c r="N256" i="1"/>
  <c r="N253" i="1"/>
  <c r="N250" i="1"/>
  <c r="P235" i="1"/>
  <c r="P233" i="1"/>
  <c r="P231" i="1"/>
  <c r="N229" i="1"/>
  <c r="N227" i="1"/>
  <c r="P219" i="1"/>
  <c r="P217" i="1"/>
  <c r="P215" i="1"/>
  <c r="N207" i="1"/>
  <c r="N203" i="1"/>
  <c r="N201" i="1"/>
  <c r="N199" i="1"/>
  <c r="N196" i="1"/>
  <c r="N194" i="1"/>
  <c r="N192" i="1"/>
  <c r="N190" i="1"/>
  <c r="O189" i="1"/>
  <c r="P181" i="1"/>
  <c r="P168" i="1"/>
  <c r="P165" i="1"/>
  <c r="N161" i="1"/>
  <c r="N158" i="1"/>
  <c r="O157" i="1"/>
  <c r="N82" i="1"/>
  <c r="N78" i="1"/>
  <c r="N76" i="1"/>
  <c r="N74" i="1"/>
  <c r="N72" i="1"/>
  <c r="P58" i="1"/>
  <c r="O56" i="1"/>
  <c r="P200" i="1"/>
  <c r="P482" i="1"/>
  <c r="P474" i="1"/>
  <c r="H368" i="1"/>
  <c r="H366" i="1"/>
  <c r="H364" i="1"/>
  <c r="H190" i="1"/>
  <c r="H170" i="1"/>
  <c r="H134" i="1"/>
  <c r="P97" i="1"/>
  <c r="P508" i="1"/>
  <c r="P501" i="1"/>
  <c r="P494" i="1"/>
  <c r="P492" i="1"/>
  <c r="P487" i="1"/>
  <c r="P483" i="1"/>
  <c r="P479" i="1"/>
  <c r="P475" i="1"/>
  <c r="P471" i="1"/>
  <c r="P469" i="1"/>
  <c r="P445" i="1"/>
  <c r="P443" i="1"/>
  <c r="P441" i="1"/>
  <c r="P419" i="1"/>
  <c r="P417" i="1"/>
  <c r="P401" i="1"/>
  <c r="P399" i="1"/>
  <c r="P397" i="1"/>
  <c r="P364" i="1"/>
  <c r="P361" i="1"/>
  <c r="P357" i="1"/>
  <c r="H352" i="1"/>
  <c r="H350" i="1"/>
  <c r="H249" i="1"/>
  <c r="P229" i="1"/>
  <c r="P227" i="1"/>
  <c r="H186" i="1"/>
  <c r="H182" i="1"/>
  <c r="H166" i="1"/>
  <c r="H130" i="1"/>
  <c r="H51" i="1"/>
  <c r="P486" i="1"/>
  <c r="P478" i="1"/>
  <c r="P514" i="1"/>
  <c r="P506" i="1"/>
  <c r="P504" i="1"/>
  <c r="P497" i="1"/>
  <c r="P490" i="1"/>
  <c r="P455" i="1"/>
  <c r="P439" i="1"/>
  <c r="P437" i="1"/>
  <c r="P413" i="1"/>
  <c r="P411" i="1"/>
  <c r="P409" i="1"/>
  <c r="P387" i="1"/>
  <c r="P385" i="1"/>
  <c r="P369" i="1"/>
  <c r="P355" i="1"/>
  <c r="P249" i="1"/>
  <c r="P247" i="1"/>
  <c r="P223" i="1"/>
  <c r="P211" i="1"/>
  <c r="P209" i="1"/>
  <c r="P207" i="1"/>
  <c r="P205" i="1"/>
  <c r="P177" i="1"/>
  <c r="P156" i="1"/>
  <c r="K135" i="1"/>
  <c r="P135" i="1"/>
  <c r="K517" i="1"/>
  <c r="K492" i="1"/>
  <c r="K172" i="1"/>
  <c r="P172" i="1"/>
  <c r="K150" i="1"/>
  <c r="P150" i="1"/>
  <c r="P149" i="1"/>
  <c r="P144" i="1"/>
  <c r="P129" i="1"/>
  <c r="P104" i="1"/>
  <c r="K102" i="1"/>
  <c r="P102" i="1"/>
  <c r="K84" i="1"/>
  <c r="P84" i="1"/>
  <c r="P83" i="1"/>
  <c r="K504" i="1"/>
  <c r="K515" i="1"/>
  <c r="K508" i="1"/>
  <c r="K505" i="1"/>
  <c r="K496" i="1"/>
  <c r="K488" i="1"/>
  <c r="K487" i="1"/>
  <c r="K486" i="1"/>
  <c r="K485" i="1"/>
  <c r="K484" i="1"/>
  <c r="K483" i="1"/>
  <c r="K482" i="1"/>
  <c r="K481" i="1"/>
  <c r="K480" i="1"/>
  <c r="Q480" i="1" s="1"/>
  <c r="K479" i="1"/>
  <c r="K478" i="1"/>
  <c r="K477" i="1"/>
  <c r="K476" i="1"/>
  <c r="K475" i="1"/>
  <c r="K474" i="1"/>
  <c r="K473" i="1"/>
  <c r="K472" i="1"/>
  <c r="K347" i="1"/>
  <c r="K319" i="1"/>
  <c r="K287" i="1"/>
  <c r="K141" i="1"/>
  <c r="P141" i="1"/>
  <c r="K98" i="1"/>
  <c r="P98" i="1"/>
  <c r="K88" i="1"/>
  <c r="P88" i="1"/>
  <c r="K80" i="1"/>
  <c r="P80" i="1"/>
  <c r="K72" i="1"/>
  <c r="P72" i="1"/>
  <c r="K182" i="1"/>
  <c r="P182" i="1"/>
  <c r="P176" i="1"/>
  <c r="K101" i="1"/>
  <c r="P101" i="1"/>
  <c r="K513" i="1"/>
  <c r="K500" i="1"/>
  <c r="K185" i="1"/>
  <c r="P185" i="1"/>
  <c r="P184" i="1"/>
  <c r="P146" i="1"/>
  <c r="P145" i="1"/>
  <c r="P105" i="1"/>
  <c r="K92" i="1"/>
  <c r="P92" i="1"/>
  <c r="P91" i="1"/>
  <c r="K76" i="1"/>
  <c r="P76" i="1"/>
  <c r="P75" i="1"/>
  <c r="K501" i="1"/>
  <c r="K339" i="1"/>
  <c r="K173" i="1"/>
  <c r="P173" i="1"/>
  <c r="K153" i="1"/>
  <c r="P153" i="1"/>
  <c r="P152" i="1"/>
  <c r="K140" i="1"/>
  <c r="P140" i="1"/>
  <c r="K131" i="1"/>
  <c r="P131" i="1"/>
  <c r="P130" i="1"/>
  <c r="P106" i="1"/>
  <c r="P70" i="1"/>
  <c r="K497" i="1"/>
  <c r="K493" i="1"/>
  <c r="K489" i="1"/>
  <c r="K364" i="1"/>
  <c r="K360" i="1"/>
  <c r="K358" i="1"/>
  <c r="K354" i="1"/>
  <c r="P348" i="1"/>
  <c r="K331" i="1"/>
  <c r="K323" i="1"/>
  <c r="K311" i="1"/>
  <c r="K299" i="1"/>
  <c r="K291" i="1"/>
  <c r="K279" i="1"/>
  <c r="P204" i="1"/>
  <c r="P196" i="1"/>
  <c r="P193" i="1"/>
  <c r="P116" i="1"/>
  <c r="P113" i="1"/>
  <c r="P62" i="1"/>
  <c r="K55" i="1"/>
  <c r="P54" i="1"/>
  <c r="K514" i="1"/>
  <c r="K510" i="1"/>
  <c r="K506" i="1"/>
  <c r="K502" i="1"/>
  <c r="K498" i="1"/>
  <c r="K494" i="1"/>
  <c r="K490" i="1"/>
  <c r="K343" i="1"/>
  <c r="K303" i="1"/>
  <c r="P202" i="1"/>
  <c r="K194" i="1"/>
  <c r="P186" i="1"/>
  <c r="P174" i="1"/>
  <c r="P170" i="1"/>
  <c r="P154" i="1"/>
  <c r="P142" i="1"/>
  <c r="P138" i="1"/>
  <c r="P132" i="1"/>
  <c r="P93" i="1"/>
  <c r="P89" i="1"/>
  <c r="P85" i="1"/>
  <c r="P81" i="1"/>
  <c r="P77" i="1"/>
  <c r="P73" i="1"/>
  <c r="K61" i="1"/>
  <c r="P60" i="1"/>
  <c r="K57" i="1"/>
  <c r="K53" i="1"/>
  <c r="P52" i="1"/>
  <c r="K37" i="1"/>
  <c r="K35" i="1"/>
  <c r="K33" i="1"/>
  <c r="K31" i="1"/>
  <c r="K29" i="1"/>
  <c r="K27" i="1"/>
  <c r="K25" i="1"/>
  <c r="K23" i="1"/>
  <c r="O517" i="1"/>
  <c r="O509" i="1"/>
  <c r="O505" i="1"/>
  <c r="O497" i="1"/>
  <c r="O493" i="1"/>
  <c r="O489" i="1"/>
  <c r="O469" i="1"/>
  <c r="O513" i="1"/>
  <c r="O501" i="1"/>
  <c r="O463" i="1"/>
  <c r="O437" i="1"/>
  <c r="O431" i="1"/>
  <c r="O405" i="1"/>
  <c r="O399" i="1"/>
  <c r="O373" i="1"/>
  <c r="N331" i="1"/>
  <c r="O331" i="1"/>
  <c r="O291" i="1"/>
  <c r="O140" i="1"/>
  <c r="O510" i="1"/>
  <c r="O502" i="1"/>
  <c r="O494" i="1"/>
  <c r="O461" i="1"/>
  <c r="O455" i="1"/>
  <c r="O452" i="1"/>
  <c r="O444" i="1"/>
  <c r="O429" i="1"/>
  <c r="O423" i="1"/>
  <c r="O420" i="1"/>
  <c r="O412" i="1"/>
  <c r="O409" i="1"/>
  <c r="O400" i="1"/>
  <c r="O397" i="1"/>
  <c r="O391" i="1"/>
  <c r="O388" i="1"/>
  <c r="O385" i="1"/>
  <c r="O380" i="1"/>
  <c r="O377" i="1"/>
  <c r="O365" i="1"/>
  <c r="O345" i="1"/>
  <c r="O343" i="1"/>
  <c r="O337" i="1"/>
  <c r="N309" i="1"/>
  <c r="O309" i="1"/>
  <c r="O303" i="1"/>
  <c r="N297" i="1"/>
  <c r="O297" i="1"/>
  <c r="N249" i="1"/>
  <c r="O249" i="1"/>
  <c r="O173" i="1"/>
  <c r="O141" i="1"/>
  <c r="O132" i="1"/>
  <c r="O112" i="1"/>
  <c r="O35" i="1"/>
  <c r="O31" i="1"/>
  <c r="O27" i="1"/>
  <c r="O23" i="1"/>
  <c r="O515" i="1"/>
  <c r="O511" i="1"/>
  <c r="O507" i="1"/>
  <c r="O503" i="1"/>
  <c r="O499" i="1"/>
  <c r="O495" i="1"/>
  <c r="O491" i="1"/>
  <c r="O467" i="1"/>
  <c r="N460" i="1"/>
  <c r="O459" i="1"/>
  <c r="O456" i="1"/>
  <c r="O453" i="1"/>
  <c r="O447" i="1"/>
  <c r="O435" i="1"/>
  <c r="O427" i="1"/>
  <c r="O424" i="1"/>
  <c r="O421" i="1"/>
  <c r="O415" i="1"/>
  <c r="O403" i="1"/>
  <c r="O395" i="1"/>
  <c r="O392" i="1"/>
  <c r="O389" i="1"/>
  <c r="O383" i="1"/>
  <c r="O371" i="1"/>
  <c r="O307" i="1"/>
  <c r="O240" i="1"/>
  <c r="O230" i="1"/>
  <c r="O220" i="1"/>
  <c r="O218" i="1"/>
  <c r="O208" i="1"/>
  <c r="O198" i="1"/>
  <c r="O192" i="1"/>
  <c r="O180" i="1"/>
  <c r="O160" i="1"/>
  <c r="O148" i="1"/>
  <c r="O94" i="1"/>
  <c r="O90" i="1"/>
  <c r="O86" i="1"/>
  <c r="O82" i="1"/>
  <c r="O78" i="1"/>
  <c r="O74" i="1"/>
  <c r="O451" i="1"/>
  <c r="O443" i="1"/>
  <c r="O419" i="1"/>
  <c r="O411" i="1"/>
  <c r="O387" i="1"/>
  <c r="O379" i="1"/>
  <c r="O323" i="1"/>
  <c r="O172" i="1"/>
  <c r="O514" i="1"/>
  <c r="O506" i="1"/>
  <c r="O498" i="1"/>
  <c r="O490" i="1"/>
  <c r="O464" i="1"/>
  <c r="O449" i="1"/>
  <c r="O441" i="1"/>
  <c r="O432" i="1"/>
  <c r="O417" i="1"/>
  <c r="O516" i="1"/>
  <c r="O512" i="1"/>
  <c r="O508" i="1"/>
  <c r="O504" i="1"/>
  <c r="O500" i="1"/>
  <c r="O496" i="1"/>
  <c r="O492" i="1"/>
  <c r="O471" i="1"/>
  <c r="N466" i="1"/>
  <c r="O465" i="1"/>
  <c r="O460" i="1"/>
  <c r="N458" i="1"/>
  <c r="O457" i="1"/>
  <c r="N452" i="1"/>
  <c r="O448" i="1"/>
  <c r="N446" i="1"/>
  <c r="O445" i="1"/>
  <c r="O439" i="1"/>
  <c r="O436" i="1"/>
  <c r="N434" i="1"/>
  <c r="O433" i="1"/>
  <c r="O428" i="1"/>
  <c r="N426" i="1"/>
  <c r="O425" i="1"/>
  <c r="N420" i="1"/>
  <c r="O416" i="1"/>
  <c r="N414" i="1"/>
  <c r="O413" i="1"/>
  <c r="O407" i="1"/>
  <c r="O404" i="1"/>
  <c r="N402" i="1"/>
  <c r="O357" i="1"/>
  <c r="O319" i="1"/>
  <c r="O314" i="1"/>
  <c r="N313" i="1"/>
  <c r="O313" i="1"/>
  <c r="N293" i="1"/>
  <c r="O293" i="1"/>
  <c r="O287" i="1"/>
  <c r="O282" i="1"/>
  <c r="N281" i="1"/>
  <c r="O281" i="1"/>
  <c r="O278" i="1"/>
  <c r="O274" i="1"/>
  <c r="O270" i="1"/>
  <c r="O266" i="1"/>
  <c r="O262" i="1"/>
  <c r="O258" i="1"/>
  <c r="O254" i="1"/>
  <c r="O250" i="1"/>
  <c r="O184" i="1"/>
  <c r="O161" i="1"/>
  <c r="O152" i="1"/>
  <c r="O100" i="1"/>
  <c r="O95" i="1"/>
  <c r="O91" i="1"/>
  <c r="O87" i="1"/>
  <c r="O83" i="1"/>
  <c r="O79" i="1"/>
  <c r="O75" i="1"/>
  <c r="O311" i="1"/>
  <c r="O295" i="1"/>
  <c r="O279" i="1"/>
  <c r="O275" i="1"/>
  <c r="O271" i="1"/>
  <c r="O267" i="1"/>
  <c r="O263" i="1"/>
  <c r="O259" i="1"/>
  <c r="O255" i="1"/>
  <c r="O251" i="1"/>
  <c r="O193" i="1"/>
  <c r="O168" i="1"/>
  <c r="O136" i="1"/>
  <c r="O109" i="1"/>
  <c r="O108" i="1"/>
  <c r="O92" i="1"/>
  <c r="O88" i="1"/>
  <c r="O84" i="1"/>
  <c r="O80" i="1"/>
  <c r="O76" i="1"/>
  <c r="O72" i="1"/>
  <c r="O62" i="1"/>
  <c r="O54" i="1"/>
  <c r="N36" i="1"/>
  <c r="N34" i="1"/>
  <c r="N32" i="1"/>
  <c r="N30" i="1"/>
  <c r="N28" i="1"/>
  <c r="N26" i="1"/>
  <c r="N24" i="1"/>
  <c r="N22" i="1"/>
  <c r="O401" i="1"/>
  <c r="O396" i="1"/>
  <c r="N394" i="1"/>
  <c r="O393" i="1"/>
  <c r="N388" i="1"/>
  <c r="O384" i="1"/>
  <c r="N382" i="1"/>
  <c r="O381" i="1"/>
  <c r="O375" i="1"/>
  <c r="O372" i="1"/>
  <c r="N370" i="1"/>
  <c r="O369" i="1"/>
  <c r="O361" i="1"/>
  <c r="O353" i="1"/>
  <c r="O341" i="1"/>
  <c r="O339" i="1"/>
  <c r="O334" i="1"/>
  <c r="O329" i="1"/>
  <c r="O327" i="1"/>
  <c r="O315" i="1"/>
  <c r="O310" i="1"/>
  <c r="O299" i="1"/>
  <c r="O294" i="1"/>
  <c r="O283" i="1"/>
  <c r="O276" i="1"/>
  <c r="O272" i="1"/>
  <c r="O268" i="1"/>
  <c r="O264" i="1"/>
  <c r="O260" i="1"/>
  <c r="O256" i="1"/>
  <c r="O252" i="1"/>
  <c r="O246" i="1"/>
  <c r="O236" i="1"/>
  <c r="O234" i="1"/>
  <c r="O224" i="1"/>
  <c r="O214" i="1"/>
  <c r="N205" i="1"/>
  <c r="O204" i="1"/>
  <c r="O202" i="1"/>
  <c r="N197" i="1"/>
  <c r="O188" i="1"/>
  <c r="O177" i="1"/>
  <c r="O176" i="1"/>
  <c r="O164" i="1"/>
  <c r="O156" i="1"/>
  <c r="O145" i="1"/>
  <c r="O144" i="1"/>
  <c r="O104" i="1"/>
  <c r="O96" i="1"/>
  <c r="O93" i="1"/>
  <c r="O89" i="1"/>
  <c r="O85" i="1"/>
  <c r="O81" i="1"/>
  <c r="O77" i="1"/>
  <c r="O73" i="1"/>
  <c r="O36" i="1"/>
  <c r="O32" i="1"/>
  <c r="H464" i="1"/>
  <c r="H448" i="1"/>
  <c r="H432" i="1"/>
  <c r="H416" i="1"/>
  <c r="H400" i="1"/>
  <c r="H384" i="1"/>
  <c r="O346" i="1"/>
  <c r="O330" i="1"/>
  <c r="H240" i="1"/>
  <c r="H224" i="1"/>
  <c r="H208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460" i="1"/>
  <c r="H444" i="1"/>
  <c r="H428" i="1"/>
  <c r="H412" i="1"/>
  <c r="H396" i="1"/>
  <c r="H380" i="1"/>
  <c r="O342" i="1"/>
  <c r="O326" i="1"/>
  <c r="H234" i="1"/>
  <c r="H218" i="1"/>
  <c r="H202" i="1"/>
  <c r="H193" i="1"/>
  <c r="H192" i="1"/>
  <c r="H177" i="1"/>
  <c r="H161" i="1"/>
  <c r="H145" i="1"/>
  <c r="H109" i="1"/>
  <c r="E8" i="14"/>
  <c r="E14" i="14"/>
  <c r="S318" i="15"/>
  <c r="T318" i="15"/>
  <c r="E10" i="14"/>
  <c r="S254" i="15"/>
  <c r="T254" i="15"/>
  <c r="S292" i="15"/>
  <c r="R292" i="15"/>
  <c r="R356" i="15"/>
  <c r="T382" i="15"/>
  <c r="O462" i="1"/>
  <c r="H462" i="1"/>
  <c r="O446" i="1"/>
  <c r="H446" i="1"/>
  <c r="O430" i="1"/>
  <c r="H430" i="1"/>
  <c r="O414" i="1"/>
  <c r="H414" i="1"/>
  <c r="O398" i="1"/>
  <c r="H398" i="1"/>
  <c r="O382" i="1"/>
  <c r="H382" i="1"/>
  <c r="O195" i="1"/>
  <c r="H195" i="1"/>
  <c r="O386" i="1"/>
  <c r="H386" i="1"/>
  <c r="O370" i="1"/>
  <c r="H370" i="1"/>
  <c r="O363" i="1"/>
  <c r="H363" i="1"/>
  <c r="O242" i="1"/>
  <c r="H242" i="1"/>
  <c r="O228" i="1"/>
  <c r="H228" i="1"/>
  <c r="O210" i="1"/>
  <c r="H210" i="1"/>
  <c r="O196" i="1"/>
  <c r="H196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O458" i="1"/>
  <c r="H458" i="1"/>
  <c r="O442" i="1"/>
  <c r="H442" i="1"/>
  <c r="O426" i="1"/>
  <c r="H426" i="1"/>
  <c r="O410" i="1"/>
  <c r="H410" i="1"/>
  <c r="O394" i="1"/>
  <c r="H394" i="1"/>
  <c r="O378" i="1"/>
  <c r="H378" i="1"/>
  <c r="O367" i="1"/>
  <c r="H367" i="1"/>
  <c r="O359" i="1"/>
  <c r="H359" i="1"/>
  <c r="O351" i="1"/>
  <c r="H351" i="1"/>
  <c r="O248" i="1"/>
  <c r="H248" i="1"/>
  <c r="O238" i="1"/>
  <c r="H238" i="1"/>
  <c r="O232" i="1"/>
  <c r="H232" i="1"/>
  <c r="O222" i="1"/>
  <c r="H222" i="1"/>
  <c r="O216" i="1"/>
  <c r="H216" i="1"/>
  <c r="O206" i="1"/>
  <c r="H206" i="1"/>
  <c r="O200" i="1"/>
  <c r="H200" i="1"/>
  <c r="O181" i="1"/>
  <c r="H181" i="1"/>
  <c r="O165" i="1"/>
  <c r="H165" i="1"/>
  <c r="O149" i="1"/>
  <c r="H149" i="1"/>
  <c r="O133" i="1"/>
  <c r="H133" i="1"/>
  <c r="O105" i="1"/>
  <c r="H105" i="1"/>
  <c r="O466" i="1"/>
  <c r="H466" i="1"/>
  <c r="O450" i="1"/>
  <c r="H450" i="1"/>
  <c r="O434" i="1"/>
  <c r="H434" i="1"/>
  <c r="O418" i="1"/>
  <c r="H418" i="1"/>
  <c r="O402" i="1"/>
  <c r="H402" i="1"/>
  <c r="O355" i="1"/>
  <c r="H355" i="1"/>
  <c r="O244" i="1"/>
  <c r="H244" i="1"/>
  <c r="O226" i="1"/>
  <c r="H226" i="1"/>
  <c r="O212" i="1"/>
  <c r="H212" i="1"/>
  <c r="O185" i="1"/>
  <c r="H185" i="1"/>
  <c r="O169" i="1"/>
  <c r="H169" i="1"/>
  <c r="O153" i="1"/>
  <c r="H153" i="1"/>
  <c r="O137" i="1"/>
  <c r="H137" i="1"/>
  <c r="O101" i="1"/>
  <c r="H101" i="1"/>
  <c r="O470" i="1"/>
  <c r="H470" i="1"/>
  <c r="O454" i="1"/>
  <c r="H454" i="1"/>
  <c r="O438" i="1"/>
  <c r="H438" i="1"/>
  <c r="O422" i="1"/>
  <c r="H422" i="1"/>
  <c r="O406" i="1"/>
  <c r="H406" i="1"/>
  <c r="O390" i="1"/>
  <c r="H390" i="1"/>
  <c r="O374" i="1"/>
  <c r="H374" i="1"/>
  <c r="O348" i="1"/>
  <c r="H348" i="1"/>
  <c r="S231" i="13"/>
  <c r="S231" i="14" s="1"/>
  <c r="S21" i="13"/>
  <c r="S33" i="13"/>
  <c r="S81" i="13"/>
  <c r="S89" i="13"/>
  <c r="S93" i="13"/>
  <c r="S101" i="13"/>
  <c r="S105" i="13"/>
  <c r="S117" i="13"/>
  <c r="S121" i="13"/>
  <c r="S133" i="13"/>
  <c r="S137" i="13"/>
  <c r="S141" i="13"/>
  <c r="S149" i="13"/>
  <c r="S153" i="13"/>
  <c r="S157" i="13"/>
  <c r="S169" i="13"/>
  <c r="S173" i="13"/>
  <c r="S185" i="13"/>
  <c r="S193" i="13"/>
  <c r="S197" i="13"/>
  <c r="S201" i="13"/>
  <c r="S205" i="13"/>
  <c r="S221" i="13"/>
  <c r="S229" i="13"/>
  <c r="S233" i="13"/>
  <c r="S333" i="13"/>
  <c r="S337" i="13"/>
  <c r="S345" i="13"/>
  <c r="S353" i="13"/>
  <c r="S365" i="13"/>
  <c r="S369" i="13"/>
  <c r="S385" i="13"/>
  <c r="S389" i="13"/>
  <c r="S393" i="13"/>
  <c r="S401" i="13"/>
  <c r="S405" i="13"/>
  <c r="S409" i="13"/>
  <c r="S417" i="13"/>
  <c r="S421" i="13"/>
  <c r="S425" i="13"/>
  <c r="S437" i="13"/>
  <c r="S441" i="13"/>
  <c r="S453" i="13"/>
  <c r="S457" i="13"/>
  <c r="S469" i="13"/>
  <c r="S473" i="13"/>
  <c r="S485" i="13"/>
  <c r="S489" i="13"/>
  <c r="S493" i="13"/>
  <c r="S497" i="13"/>
  <c r="S501" i="13"/>
  <c r="S505" i="13"/>
  <c r="S509" i="13"/>
  <c r="S513" i="13"/>
  <c r="M6" i="14"/>
  <c r="K8" i="14"/>
  <c r="H11" i="14"/>
  <c r="N13" i="14"/>
  <c r="S27" i="13"/>
  <c r="S343" i="13"/>
  <c r="S215" i="13"/>
  <c r="J16" i="14"/>
  <c r="S203" i="13"/>
  <c r="S275" i="13"/>
  <c r="S503" i="13"/>
  <c r="T495" i="13"/>
  <c r="M14" i="14"/>
  <c r="S429" i="13"/>
  <c r="R54" i="13"/>
  <c r="R70" i="13"/>
  <c r="R50" i="13"/>
  <c r="R354" i="13"/>
  <c r="R470" i="13"/>
  <c r="R482" i="13"/>
  <c r="R490" i="13"/>
  <c r="R494" i="13"/>
  <c r="S481" i="13"/>
  <c r="S481" i="14" s="1"/>
  <c r="R249" i="13"/>
  <c r="R301" i="13"/>
  <c r="R329" i="13"/>
  <c r="S31" i="13"/>
  <c r="S39" i="13"/>
  <c r="S47" i="13"/>
  <c r="S55" i="13"/>
  <c r="S59" i="13"/>
  <c r="S63" i="13"/>
  <c r="S67" i="13"/>
  <c r="S79" i="13"/>
  <c r="S83" i="13"/>
  <c r="S87" i="13"/>
  <c r="S91" i="13"/>
  <c r="S99" i="13"/>
  <c r="S111" i="13"/>
  <c r="S115" i="13"/>
  <c r="S127" i="13"/>
  <c r="S131" i="13"/>
  <c r="S143" i="13"/>
  <c r="S147" i="13"/>
  <c r="S159" i="13"/>
  <c r="S163" i="13"/>
  <c r="S175" i="13"/>
  <c r="S199" i="13"/>
  <c r="S251" i="13"/>
  <c r="S267" i="13"/>
  <c r="S283" i="13"/>
  <c r="S299" i="13"/>
  <c r="S307" i="13"/>
  <c r="S315" i="13"/>
  <c r="S335" i="13"/>
  <c r="S339" i="13"/>
  <c r="S367" i="13"/>
  <c r="S379" i="13"/>
  <c r="S399" i="13"/>
  <c r="S403" i="13"/>
  <c r="S415" i="13"/>
  <c r="S419" i="13"/>
  <c r="S435" i="13"/>
  <c r="S451" i="13"/>
  <c r="S455" i="13"/>
  <c r="S467" i="13"/>
  <c r="S471" i="13"/>
  <c r="S499" i="13"/>
  <c r="S511" i="13"/>
  <c r="S479" i="13"/>
  <c r="S383" i="13"/>
  <c r="S323" i="13"/>
  <c r="L15" i="14"/>
  <c r="Q15" i="13"/>
  <c r="E10" i="13"/>
  <c r="T452" i="13"/>
  <c r="T504" i="13"/>
  <c r="T512" i="13"/>
  <c r="S439" i="13"/>
  <c r="R367" i="13"/>
  <c r="R299" i="13"/>
  <c r="R139" i="13"/>
  <c r="R143" i="13"/>
  <c r="R147" i="13"/>
  <c r="T149" i="13"/>
  <c r="R155" i="13"/>
  <c r="R163" i="13"/>
  <c r="T165" i="13"/>
  <c r="R171" i="13"/>
  <c r="R175" i="13"/>
  <c r="S180" i="13"/>
  <c r="P19" i="14"/>
  <c r="Q20" i="14"/>
  <c r="O22" i="14"/>
  <c r="P23" i="14"/>
  <c r="Q24" i="14"/>
  <c r="O26" i="14"/>
  <c r="P27" i="14"/>
  <c r="Q28" i="14"/>
  <c r="O30" i="14"/>
  <c r="P31" i="14"/>
  <c r="Q32" i="14"/>
  <c r="O34" i="14"/>
  <c r="P35" i="14"/>
  <c r="Q36" i="14"/>
  <c r="O38" i="14"/>
  <c r="P39" i="14"/>
  <c r="Q40" i="14"/>
  <c r="O42" i="14"/>
  <c r="P43" i="14"/>
  <c r="Q44" i="14"/>
  <c r="O46" i="14"/>
  <c r="P47" i="14"/>
  <c r="Q48" i="14"/>
  <c r="O50" i="14"/>
  <c r="P51" i="14"/>
  <c r="Q52" i="14"/>
  <c r="O54" i="14"/>
  <c r="P55" i="14"/>
  <c r="Q56" i="14"/>
  <c r="O58" i="14"/>
  <c r="P59" i="14"/>
  <c r="Q60" i="14"/>
  <c r="O62" i="14"/>
  <c r="P63" i="14"/>
  <c r="Q64" i="14"/>
  <c r="O66" i="14"/>
  <c r="P67" i="14"/>
  <c r="Q68" i="14"/>
  <c r="O70" i="14"/>
  <c r="P71" i="14"/>
  <c r="Q72" i="14"/>
  <c r="O74" i="14"/>
  <c r="P75" i="14"/>
  <c r="Q76" i="14"/>
  <c r="O78" i="14"/>
  <c r="P79" i="14"/>
  <c r="Q80" i="14"/>
  <c r="O82" i="14"/>
  <c r="P83" i="14"/>
  <c r="Q84" i="14"/>
  <c r="O86" i="14"/>
  <c r="P87" i="14"/>
  <c r="Q88" i="14"/>
  <c r="O90" i="14"/>
  <c r="P91" i="14"/>
  <c r="Q92" i="14"/>
  <c r="O94" i="14"/>
  <c r="P95" i="14"/>
  <c r="Q96" i="14"/>
  <c r="O98" i="14"/>
  <c r="P99" i="14"/>
  <c r="Q100" i="14"/>
  <c r="O102" i="14"/>
  <c r="P103" i="14"/>
  <c r="Q104" i="14"/>
  <c r="O106" i="14"/>
  <c r="P107" i="14"/>
  <c r="Q108" i="14"/>
  <c r="O110" i="14"/>
  <c r="P111" i="14"/>
  <c r="Q112" i="14"/>
  <c r="O114" i="14"/>
  <c r="P115" i="14"/>
  <c r="Q116" i="14"/>
  <c r="O118" i="14"/>
  <c r="P119" i="14"/>
  <c r="Q120" i="14"/>
  <c r="O122" i="14"/>
  <c r="P123" i="14"/>
  <c r="Q124" i="14"/>
  <c r="O126" i="14"/>
  <c r="P127" i="14"/>
  <c r="Q128" i="14"/>
  <c r="O130" i="14"/>
  <c r="P131" i="14"/>
  <c r="Q132" i="14"/>
  <c r="O134" i="14"/>
  <c r="P135" i="14"/>
  <c r="Q136" i="14"/>
  <c r="O138" i="14"/>
  <c r="P139" i="14"/>
  <c r="Q140" i="14"/>
  <c r="O142" i="14"/>
  <c r="P143" i="14"/>
  <c r="Q144" i="14"/>
  <c r="O146" i="14"/>
  <c r="P147" i="14"/>
  <c r="Q148" i="14"/>
  <c r="O150" i="14"/>
  <c r="P151" i="14"/>
  <c r="Q152" i="14"/>
  <c r="O154" i="14"/>
  <c r="P155" i="14"/>
  <c r="Q156" i="14"/>
  <c r="O158" i="14"/>
  <c r="P159" i="14"/>
  <c r="Q160" i="14"/>
  <c r="O162" i="14"/>
  <c r="P163" i="14"/>
  <c r="Q164" i="14"/>
  <c r="O166" i="14"/>
  <c r="P167" i="14"/>
  <c r="Q168" i="14"/>
  <c r="O170" i="14"/>
  <c r="P171" i="14"/>
  <c r="Q172" i="14"/>
  <c r="O174" i="14"/>
  <c r="P175" i="14"/>
  <c r="Q176" i="14"/>
  <c r="O178" i="14"/>
  <c r="P179" i="14"/>
  <c r="Q180" i="14"/>
  <c r="O182" i="14"/>
  <c r="P183" i="14"/>
  <c r="Q184" i="14"/>
  <c r="O186" i="14"/>
  <c r="P187" i="14"/>
  <c r="Q188" i="14"/>
  <c r="O190" i="14"/>
  <c r="P191" i="14"/>
  <c r="Q192" i="14"/>
  <c r="O194" i="14"/>
  <c r="P195" i="14"/>
  <c r="Q196" i="14"/>
  <c r="O198" i="14"/>
  <c r="P199" i="14"/>
  <c r="Q200" i="14"/>
  <c r="O202" i="14"/>
  <c r="P203" i="14"/>
  <c r="Q204" i="14"/>
  <c r="O206" i="14"/>
  <c r="P207" i="14"/>
  <c r="Q208" i="14"/>
  <c r="O210" i="14"/>
  <c r="P211" i="14"/>
  <c r="Q212" i="14"/>
  <c r="O214" i="14"/>
  <c r="P215" i="14"/>
  <c r="Q216" i="14"/>
  <c r="O218" i="14"/>
  <c r="P219" i="14"/>
  <c r="Q220" i="14"/>
  <c r="O222" i="14"/>
  <c r="P223" i="14"/>
  <c r="Q224" i="14"/>
  <c r="O226" i="14"/>
  <c r="P227" i="14"/>
  <c r="Q228" i="14"/>
  <c r="O230" i="14"/>
  <c r="P231" i="14"/>
  <c r="Q232" i="14"/>
  <c r="O234" i="14"/>
  <c r="P235" i="14"/>
  <c r="Q236" i="14"/>
  <c r="O238" i="14"/>
  <c r="P239" i="14"/>
  <c r="Q240" i="14"/>
  <c r="O242" i="14"/>
  <c r="P243" i="14"/>
  <c r="Q244" i="14"/>
  <c r="O246" i="14"/>
  <c r="P247" i="14"/>
  <c r="Q248" i="14"/>
  <c r="O250" i="14"/>
  <c r="P251" i="14"/>
  <c r="Q252" i="14"/>
  <c r="O254" i="14"/>
  <c r="P255" i="14"/>
  <c r="Q256" i="14"/>
  <c r="O258" i="14"/>
  <c r="P259" i="14"/>
  <c r="Q260" i="14"/>
  <c r="O262" i="14"/>
  <c r="P263" i="14"/>
  <c r="Q264" i="14"/>
  <c r="O266" i="14"/>
  <c r="P267" i="14"/>
  <c r="Q268" i="14"/>
  <c r="O270" i="14"/>
  <c r="P271" i="14"/>
  <c r="Q272" i="14"/>
  <c r="O274" i="14"/>
  <c r="P275" i="14"/>
  <c r="Q276" i="14"/>
  <c r="O278" i="14"/>
  <c r="P279" i="14"/>
  <c r="Q280" i="14"/>
  <c r="O282" i="14"/>
  <c r="P283" i="14"/>
  <c r="Q284" i="14"/>
  <c r="O286" i="14"/>
  <c r="P287" i="14"/>
  <c r="Q288" i="14"/>
  <c r="O290" i="14"/>
  <c r="P291" i="14"/>
  <c r="Q292" i="14"/>
  <c r="O294" i="14"/>
  <c r="R512" i="13"/>
  <c r="R15" i="13"/>
  <c r="J9" i="14"/>
  <c r="J13" i="14"/>
  <c r="I14" i="14"/>
  <c r="F16" i="14"/>
  <c r="E16" i="13"/>
  <c r="R57" i="13"/>
  <c r="R177" i="13"/>
  <c r="R209" i="13"/>
  <c r="R217" i="13"/>
  <c r="R245" i="13"/>
  <c r="R285" i="13"/>
  <c r="R433" i="13"/>
  <c r="T500" i="13"/>
  <c r="R380" i="13"/>
  <c r="R352" i="13"/>
  <c r="S259" i="13"/>
  <c r="R333" i="13"/>
  <c r="R283" i="13"/>
  <c r="L8" i="14"/>
  <c r="N10" i="14"/>
  <c r="F14" i="14"/>
  <c r="R476" i="13"/>
  <c r="S36" i="13"/>
  <c r="S44" i="13"/>
  <c r="S76" i="13"/>
  <c r="S80" i="13"/>
  <c r="S88" i="13"/>
  <c r="S92" i="13"/>
  <c r="S100" i="13"/>
  <c r="S108" i="13"/>
  <c r="S116" i="13"/>
  <c r="S124" i="13"/>
  <c r="S132" i="13"/>
  <c r="S140" i="13"/>
  <c r="S156" i="13"/>
  <c r="S164" i="13"/>
  <c r="E8" i="13"/>
  <c r="R151" i="13"/>
  <c r="R167" i="13"/>
  <c r="R179" i="13"/>
  <c r="T187" i="13"/>
  <c r="T255" i="13"/>
  <c r="T279" i="13"/>
  <c r="T287" i="13"/>
  <c r="T311" i="13"/>
  <c r="T347" i="13"/>
  <c r="T387" i="13"/>
  <c r="T481" i="13"/>
  <c r="S468" i="13"/>
  <c r="T337" i="13"/>
  <c r="S291" i="13"/>
  <c r="S239" i="13"/>
  <c r="S209" i="13"/>
  <c r="T65" i="13"/>
  <c r="T65" i="14" s="1"/>
  <c r="S491" i="13"/>
  <c r="R403" i="13"/>
  <c r="R315" i="13"/>
  <c r="R251" i="13"/>
  <c r="T181" i="13"/>
  <c r="R187" i="13"/>
  <c r="S192" i="13"/>
  <c r="R195" i="13"/>
  <c r="S196" i="13"/>
  <c r="S204" i="13"/>
  <c r="R215" i="13"/>
  <c r="S216" i="13"/>
  <c r="S228" i="13"/>
  <c r="R231" i="13"/>
  <c r="S240" i="13"/>
  <c r="S244" i="13"/>
  <c r="S248" i="13"/>
  <c r="S252" i="13"/>
  <c r="R255" i="13"/>
  <c r="S260" i="13"/>
  <c r="S268" i="13"/>
  <c r="R275" i="13"/>
  <c r="S276" i="13"/>
  <c r="R279" i="13"/>
  <c r="S284" i="13"/>
  <c r="R287" i="13"/>
  <c r="S292" i="13"/>
  <c r="S300" i="13"/>
  <c r="R307" i="13"/>
  <c r="R311" i="13"/>
  <c r="S316" i="13"/>
  <c r="S324" i="13"/>
  <c r="S328" i="13"/>
  <c r="S332" i="13"/>
  <c r="T333" i="13"/>
  <c r="R335" i="13"/>
  <c r="R339" i="13"/>
  <c r="S340" i="13"/>
  <c r="S344" i="13"/>
  <c r="T345" i="13"/>
  <c r="R347" i="13"/>
  <c r="S348" i="13"/>
  <c r="R351" i="13"/>
  <c r="S356" i="13"/>
  <c r="T357" i="13"/>
  <c r="R359" i="13"/>
  <c r="S364" i="13"/>
  <c r="T365" i="13"/>
  <c r="S372" i="13"/>
  <c r="T373" i="13"/>
  <c r="R375" i="13"/>
  <c r="S376" i="13"/>
  <c r="R379" i="13"/>
  <c r="S384" i="13"/>
  <c r="R387" i="13"/>
  <c r="T393" i="13"/>
  <c r="T393" i="14" s="1"/>
  <c r="R395" i="13"/>
  <c r="S396" i="13"/>
  <c r="R399" i="13"/>
  <c r="T401" i="13"/>
  <c r="T401" i="14" s="1"/>
  <c r="S404" i="13"/>
  <c r="S408" i="13"/>
  <c r="T409" i="13"/>
  <c r="T409" i="14" s="1"/>
  <c r="S412" i="13"/>
  <c r="S416" i="13"/>
  <c r="R419" i="13"/>
  <c r="S424" i="13"/>
  <c r="T425" i="13"/>
  <c r="T425" i="14" s="1"/>
  <c r="S428" i="13"/>
  <c r="S428" i="14" s="1"/>
  <c r="R431" i="13"/>
  <c r="S432" i="13"/>
  <c r="S436" i="13"/>
  <c r="S440" i="13"/>
  <c r="T445" i="13"/>
  <c r="R447" i="13"/>
  <c r="T453" i="13"/>
  <c r="R455" i="13"/>
  <c r="S460" i="13"/>
  <c r="T461" i="13"/>
  <c r="S464" i="13"/>
  <c r="R471" i="13"/>
  <c r="S472" i="13"/>
  <c r="S480" i="13"/>
  <c r="S484" i="13"/>
  <c r="R487" i="13"/>
  <c r="S488" i="13"/>
  <c r="T505" i="13"/>
  <c r="S512" i="13"/>
  <c r="T513" i="13"/>
  <c r="P18" i="14"/>
  <c r="O21" i="14"/>
  <c r="P22" i="14"/>
  <c r="O25" i="14"/>
  <c r="P26" i="14"/>
  <c r="O29" i="14"/>
  <c r="P30" i="14"/>
  <c r="O33" i="14"/>
  <c r="P34" i="14"/>
  <c r="O37" i="14"/>
  <c r="P38" i="14"/>
  <c r="O41" i="14"/>
  <c r="P42" i="14"/>
  <c r="O45" i="14"/>
  <c r="P46" i="14"/>
  <c r="O49" i="14"/>
  <c r="P50" i="14"/>
  <c r="O53" i="14"/>
  <c r="P54" i="14"/>
  <c r="O57" i="14"/>
  <c r="P58" i="14"/>
  <c r="O61" i="14"/>
  <c r="P62" i="14"/>
  <c r="O65" i="14"/>
  <c r="P66" i="14"/>
  <c r="O69" i="14"/>
  <c r="P70" i="14"/>
  <c r="O73" i="14"/>
  <c r="P74" i="14"/>
  <c r="O77" i="14"/>
  <c r="P78" i="14"/>
  <c r="O81" i="14"/>
  <c r="P82" i="14"/>
  <c r="O85" i="14"/>
  <c r="P86" i="14"/>
  <c r="O89" i="14"/>
  <c r="P90" i="14"/>
  <c r="O93" i="14"/>
  <c r="P94" i="14"/>
  <c r="O97" i="14"/>
  <c r="P98" i="14"/>
  <c r="O101" i="14"/>
  <c r="P102" i="14"/>
  <c r="O105" i="14"/>
  <c r="P106" i="14"/>
  <c r="O109" i="14"/>
  <c r="P110" i="14"/>
  <c r="O113" i="14"/>
  <c r="P114" i="14"/>
  <c r="O117" i="14"/>
  <c r="P118" i="14"/>
  <c r="O121" i="14"/>
  <c r="P122" i="14"/>
  <c r="O125" i="14"/>
  <c r="P126" i="14"/>
  <c r="Q127" i="14"/>
  <c r="O129" i="14"/>
  <c r="P130" i="14"/>
  <c r="Q131" i="14"/>
  <c r="O133" i="14"/>
  <c r="P134" i="14"/>
  <c r="Q135" i="14"/>
  <c r="O137" i="14"/>
  <c r="P138" i="14"/>
  <c r="Q139" i="14"/>
  <c r="O141" i="14"/>
  <c r="P142" i="14"/>
  <c r="Q143" i="14"/>
  <c r="O145" i="14"/>
  <c r="P146" i="14"/>
  <c r="Q147" i="14"/>
  <c r="O149" i="14"/>
  <c r="P150" i="14"/>
  <c r="Q151" i="14"/>
  <c r="O153" i="14"/>
  <c r="P154" i="14"/>
  <c r="Q155" i="14"/>
  <c r="O157" i="14"/>
  <c r="P158" i="14"/>
  <c r="Q159" i="14"/>
  <c r="O161" i="14"/>
  <c r="P162" i="14"/>
  <c r="Q163" i="14"/>
  <c r="O165" i="14"/>
  <c r="P166" i="14"/>
  <c r="Q167" i="14"/>
  <c r="O169" i="14"/>
  <c r="E14" i="13"/>
  <c r="T514" i="13"/>
  <c r="T475" i="13"/>
  <c r="T427" i="13"/>
  <c r="T427" i="14" s="1"/>
  <c r="S387" i="13"/>
  <c r="S191" i="13"/>
  <c r="K13" i="14"/>
  <c r="J14" i="14"/>
  <c r="K16" i="14"/>
  <c r="S352" i="14"/>
  <c r="E13" i="13"/>
  <c r="S514" i="13"/>
  <c r="S504" i="13"/>
  <c r="S500" i="13"/>
  <c r="R495" i="13"/>
  <c r="T476" i="13"/>
  <c r="S475" i="13"/>
  <c r="R452" i="13"/>
  <c r="S427" i="13"/>
  <c r="R426" i="13"/>
  <c r="R426" i="14" s="1"/>
  <c r="T380" i="13"/>
  <c r="T352" i="13"/>
  <c r="S347" i="13"/>
  <c r="T250" i="13"/>
  <c r="S247" i="13"/>
  <c r="S187" i="13"/>
  <c r="T66" i="13"/>
  <c r="S65" i="13"/>
  <c r="T15" i="13"/>
  <c r="R415" i="13"/>
  <c r="R159" i="13"/>
  <c r="P15" i="13"/>
  <c r="O15" i="13"/>
  <c r="G6" i="14"/>
  <c r="I8" i="14"/>
  <c r="G10" i="14"/>
  <c r="J11" i="14"/>
  <c r="I12" i="14"/>
  <c r="M12" i="14"/>
  <c r="L13" i="14"/>
  <c r="G14" i="14"/>
  <c r="K14" i="14"/>
  <c r="S15" i="14"/>
  <c r="I15" i="14"/>
  <c r="M15" i="14"/>
  <c r="S42" i="13"/>
  <c r="R53" i="13"/>
  <c r="S54" i="13"/>
  <c r="S58" i="13"/>
  <c r="R61" i="13"/>
  <c r="S74" i="13"/>
  <c r="S82" i="13"/>
  <c r="S86" i="13"/>
  <c r="S94" i="13"/>
  <c r="T139" i="13"/>
  <c r="T147" i="13"/>
  <c r="T155" i="13"/>
  <c r="S158" i="13"/>
  <c r="R161" i="13"/>
  <c r="T163" i="13"/>
  <c r="T171" i="13"/>
  <c r="S174" i="13"/>
  <c r="T179" i="13"/>
  <c r="S194" i="13"/>
  <c r="S206" i="13"/>
  <c r="S218" i="13"/>
  <c r="S222" i="13"/>
  <c r="R225" i="13"/>
  <c r="S226" i="13"/>
  <c r="S230" i="13"/>
  <c r="R233" i="13"/>
  <c r="R237" i="13"/>
  <c r="S238" i="13"/>
  <c r="T239" i="13"/>
  <c r="R241" i="13"/>
  <c r="S242" i="13"/>
  <c r="S246" i="13"/>
  <c r="T247" i="13"/>
  <c r="R253" i="13"/>
  <c r="S254" i="13"/>
  <c r="R257" i="13"/>
  <c r="S258" i="13"/>
  <c r="R261" i="13"/>
  <c r="T263" i="13"/>
  <c r="Q263" i="14"/>
  <c r="R265" i="13"/>
  <c r="S266" i="13"/>
  <c r="R269" i="13"/>
  <c r="S270" i="13"/>
  <c r="T271" i="13"/>
  <c r="R273" i="13"/>
  <c r="R277" i="13"/>
  <c r="R281" i="13"/>
  <c r="S282" i="13"/>
  <c r="S286" i="13"/>
  <c r="R289" i="13"/>
  <c r="S290" i="13"/>
  <c r="T426" i="13"/>
  <c r="R250" i="13"/>
  <c r="R66" i="13"/>
  <c r="K15" i="14"/>
  <c r="E12" i="13"/>
  <c r="R479" i="13"/>
  <c r="R383" i="13"/>
  <c r="S179" i="13"/>
  <c r="T295" i="13"/>
  <c r="J10" i="14"/>
  <c r="G16" i="14"/>
  <c r="E9" i="13"/>
  <c r="E11" i="13"/>
  <c r="S363" i="13"/>
  <c r="S35" i="13"/>
  <c r="S29" i="13"/>
  <c r="I9" i="14"/>
  <c r="K11" i="14"/>
  <c r="I13" i="14"/>
  <c r="F15" i="14"/>
  <c r="J15" i="14"/>
  <c r="N15" i="14"/>
  <c r="I16" i="14"/>
  <c r="M16" i="14"/>
  <c r="S426" i="14"/>
  <c r="S49" i="13"/>
  <c r="S77" i="13"/>
  <c r="S109" i="13"/>
  <c r="S125" i="13"/>
  <c r="S165" i="13"/>
  <c r="S181" i="13"/>
  <c r="S189" i="13"/>
  <c r="S213" i="13"/>
  <c r="S217" i="13"/>
  <c r="S225" i="13"/>
  <c r="R293" i="13"/>
  <c r="S294" i="13"/>
  <c r="R297" i="13"/>
  <c r="S298" i="13"/>
  <c r="S302" i="13"/>
  <c r="T303" i="13"/>
  <c r="R305" i="13"/>
  <c r="S306" i="13"/>
  <c r="R309" i="13"/>
  <c r="R313" i="13"/>
  <c r="S314" i="13"/>
  <c r="R317" i="13"/>
  <c r="S318" i="13"/>
  <c r="T319" i="13"/>
  <c r="R321" i="13"/>
  <c r="R325" i="13"/>
  <c r="S330" i="13"/>
  <c r="S334" i="13"/>
  <c r="R349" i="13"/>
  <c r="R353" i="13"/>
  <c r="R361" i="13"/>
  <c r="T367" i="13"/>
  <c r="T379" i="13"/>
  <c r="R381" i="13"/>
  <c r="R397" i="13"/>
  <c r="T403" i="13"/>
  <c r="S410" i="13"/>
  <c r="R413" i="13"/>
  <c r="T415" i="13"/>
  <c r="T419" i="13"/>
  <c r="T439" i="13"/>
  <c r="S446" i="13"/>
  <c r="R449" i="13"/>
  <c r="S462" i="13"/>
  <c r="R465" i="13"/>
  <c r="S486" i="13"/>
  <c r="R489" i="13"/>
  <c r="R497" i="13"/>
  <c r="R501" i="13"/>
  <c r="S506" i="13"/>
  <c r="R509" i="13"/>
  <c r="Q18" i="14"/>
  <c r="O20" i="14"/>
  <c r="P21" i="14"/>
  <c r="Q22" i="14"/>
  <c r="O24" i="14"/>
  <c r="P25" i="14"/>
  <c r="Q26" i="14"/>
  <c r="O28" i="14"/>
  <c r="P29" i="14"/>
  <c r="Q30" i="14"/>
  <c r="O32" i="14"/>
  <c r="P33" i="14"/>
  <c r="Q34" i="14"/>
  <c r="O36" i="14"/>
  <c r="P37" i="14"/>
  <c r="Q38" i="14"/>
  <c r="O40" i="14"/>
  <c r="P41" i="14"/>
  <c r="Q42" i="14"/>
  <c r="O44" i="14"/>
  <c r="P45" i="14"/>
  <c r="Q46" i="14"/>
  <c r="O48" i="14"/>
  <c r="P49" i="14"/>
  <c r="Q50" i="14"/>
  <c r="O52" i="14"/>
  <c r="P53" i="14"/>
  <c r="Q54" i="14"/>
  <c r="O56" i="14"/>
  <c r="P57" i="14"/>
  <c r="Q58" i="14"/>
  <c r="O60" i="14"/>
  <c r="P61" i="14"/>
  <c r="Q62" i="14"/>
  <c r="O64" i="14"/>
  <c r="P65" i="14"/>
  <c r="Q66" i="14"/>
  <c r="O68" i="14"/>
  <c r="P69" i="14"/>
  <c r="Q70" i="14"/>
  <c r="O72" i="14"/>
  <c r="P73" i="14"/>
  <c r="Q74" i="14"/>
  <c r="O76" i="14"/>
  <c r="P77" i="14"/>
  <c r="Q78" i="14"/>
  <c r="O80" i="14"/>
  <c r="P81" i="14"/>
  <c r="Q82" i="14"/>
  <c r="O84" i="14"/>
  <c r="P85" i="14"/>
  <c r="Q86" i="14"/>
  <c r="O88" i="14"/>
  <c r="P89" i="14"/>
  <c r="Q90" i="14"/>
  <c r="O92" i="14"/>
  <c r="P93" i="14"/>
  <c r="Q94" i="14"/>
  <c r="O96" i="14"/>
  <c r="P97" i="14"/>
  <c r="Q98" i="14"/>
  <c r="O100" i="14"/>
  <c r="P101" i="14"/>
  <c r="Q102" i="14"/>
  <c r="O104" i="14"/>
  <c r="P105" i="14"/>
  <c r="Q106" i="14"/>
  <c r="O108" i="14"/>
  <c r="P109" i="14"/>
  <c r="Q110" i="14"/>
  <c r="O112" i="14"/>
  <c r="P113" i="14"/>
  <c r="Q114" i="14"/>
  <c r="O116" i="14"/>
  <c r="P117" i="14"/>
  <c r="Q118" i="14"/>
  <c r="O120" i="14"/>
  <c r="P121" i="14"/>
  <c r="Q122" i="14"/>
  <c r="O124" i="14"/>
  <c r="P125" i="14"/>
  <c r="Q126" i="14"/>
  <c r="O128" i="14"/>
  <c r="P129" i="14"/>
  <c r="Q130" i="14"/>
  <c r="O132" i="14"/>
  <c r="P133" i="14"/>
  <c r="Q134" i="14"/>
  <c r="O136" i="14"/>
  <c r="P137" i="14"/>
  <c r="Q138" i="14"/>
  <c r="O140" i="14"/>
  <c r="P141" i="14"/>
  <c r="Q142" i="14"/>
  <c r="O144" i="14"/>
  <c r="P145" i="14"/>
  <c r="Q146" i="14"/>
  <c r="O148" i="14"/>
  <c r="P149" i="14"/>
  <c r="Q150" i="14"/>
  <c r="O152" i="14"/>
  <c r="P153" i="14"/>
  <c r="Q154" i="14"/>
  <c r="O156" i="14"/>
  <c r="P157" i="14"/>
  <c r="Q158" i="14"/>
  <c r="O160" i="14"/>
  <c r="P161" i="14"/>
  <c r="Q162" i="14"/>
  <c r="O164" i="14"/>
  <c r="P165" i="14"/>
  <c r="Q166" i="14"/>
  <c r="O168" i="14"/>
  <c r="P169" i="14"/>
  <c r="Q170" i="14"/>
  <c r="O172" i="14"/>
  <c r="P173" i="14"/>
  <c r="Q174" i="14"/>
  <c r="O176" i="14"/>
  <c r="P177" i="14"/>
  <c r="Q178" i="14"/>
  <c r="O180" i="14"/>
  <c r="P181" i="14"/>
  <c r="Q182" i="14"/>
  <c r="O184" i="14"/>
  <c r="P185" i="14"/>
  <c r="Q186" i="14"/>
  <c r="O188" i="14"/>
  <c r="P189" i="14"/>
  <c r="Q190" i="14"/>
  <c r="O192" i="14"/>
  <c r="P193" i="14"/>
  <c r="Q194" i="14"/>
  <c r="O196" i="14"/>
  <c r="P197" i="14"/>
  <c r="Q198" i="14"/>
  <c r="O200" i="14"/>
  <c r="P201" i="14"/>
  <c r="Q202" i="14"/>
  <c r="O204" i="14"/>
  <c r="P205" i="14"/>
  <c r="Q206" i="14"/>
  <c r="O208" i="14"/>
  <c r="P209" i="14"/>
  <c r="Q210" i="14"/>
  <c r="O212" i="14"/>
  <c r="P213" i="14"/>
  <c r="Q214" i="14"/>
  <c r="O216" i="14"/>
  <c r="P217" i="14"/>
  <c r="Q218" i="14"/>
  <c r="O220" i="14"/>
  <c r="P221" i="14"/>
  <c r="Q222" i="14"/>
  <c r="O224" i="14"/>
  <c r="P225" i="14"/>
  <c r="Q226" i="14"/>
  <c r="O228" i="14"/>
  <c r="P229" i="14"/>
  <c r="Q230" i="14"/>
  <c r="O232" i="14"/>
  <c r="P233" i="14"/>
  <c r="Q234" i="14"/>
  <c r="O236" i="14"/>
  <c r="P237" i="14"/>
  <c r="Q238" i="14"/>
  <c r="O240" i="14"/>
  <c r="P241" i="14"/>
  <c r="Q242" i="14"/>
  <c r="O244" i="14"/>
  <c r="P245" i="14"/>
  <c r="Q246" i="14"/>
  <c r="O248" i="14"/>
  <c r="P249" i="14"/>
  <c r="Q250" i="14"/>
  <c r="O252" i="14"/>
  <c r="P253" i="14"/>
  <c r="Q254" i="14"/>
  <c r="O256" i="14"/>
  <c r="P257" i="14"/>
  <c r="Q258" i="14"/>
  <c r="O260" i="14"/>
  <c r="P261" i="14"/>
  <c r="Q262" i="14"/>
  <c r="O264" i="14"/>
  <c r="P265" i="14"/>
  <c r="Q266" i="14"/>
  <c r="O268" i="14"/>
  <c r="P269" i="14"/>
  <c r="Q270" i="14"/>
  <c r="O272" i="14"/>
  <c r="P273" i="14"/>
  <c r="Q274" i="14"/>
  <c r="O276" i="14"/>
  <c r="P277" i="14"/>
  <c r="Q278" i="14"/>
  <c r="O280" i="14"/>
  <c r="P281" i="14"/>
  <c r="Q282" i="14"/>
  <c r="O284" i="14"/>
  <c r="P285" i="14"/>
  <c r="Q286" i="14"/>
  <c r="O288" i="14"/>
  <c r="P289" i="14"/>
  <c r="Q290" i="14"/>
  <c r="O292" i="14"/>
  <c r="P293" i="14"/>
  <c r="Q294" i="14"/>
  <c r="O296" i="14"/>
  <c r="P297" i="14"/>
  <c r="Q298" i="14"/>
  <c r="O300" i="14"/>
  <c r="P301" i="14"/>
  <c r="Q302" i="14"/>
  <c r="O304" i="14"/>
  <c r="P305" i="14"/>
  <c r="Q306" i="14"/>
  <c r="O308" i="14"/>
  <c r="P309" i="14"/>
  <c r="Q310" i="14"/>
  <c r="O312" i="14"/>
  <c r="P313" i="14"/>
  <c r="Q314" i="14"/>
  <c r="O316" i="14"/>
  <c r="P317" i="14"/>
  <c r="Q318" i="14"/>
  <c r="O320" i="14"/>
  <c r="P321" i="14"/>
  <c r="Q322" i="14"/>
  <c r="O324" i="14"/>
  <c r="P325" i="14"/>
  <c r="Q326" i="14"/>
  <c r="O328" i="14"/>
  <c r="P329" i="14"/>
  <c r="Q330" i="14"/>
  <c r="O332" i="14"/>
  <c r="P333" i="14"/>
  <c r="Q334" i="14"/>
  <c r="O336" i="14"/>
  <c r="P337" i="14"/>
  <c r="Q338" i="14"/>
  <c r="O340" i="14"/>
  <c r="P341" i="14"/>
  <c r="Q342" i="14"/>
  <c r="O344" i="14"/>
  <c r="P345" i="14"/>
  <c r="Q346" i="14"/>
  <c r="O348" i="14"/>
  <c r="P349" i="14"/>
  <c r="Q350" i="14"/>
  <c r="O352" i="14"/>
  <c r="P353" i="14"/>
  <c r="Q354" i="14"/>
  <c r="O356" i="14"/>
  <c r="P357" i="14"/>
  <c r="Q358" i="14"/>
  <c r="O360" i="14"/>
  <c r="P361" i="14"/>
  <c r="Q362" i="14"/>
  <c r="O364" i="14"/>
  <c r="P365" i="14"/>
  <c r="Q366" i="14"/>
  <c r="O368" i="14"/>
  <c r="P369" i="14"/>
  <c r="Q370" i="14"/>
  <c r="O372" i="14"/>
  <c r="P373" i="14"/>
  <c r="Q374" i="14"/>
  <c r="O376" i="14"/>
  <c r="P377" i="14"/>
  <c r="Q378" i="14"/>
  <c r="O380" i="14"/>
  <c r="P381" i="14"/>
  <c r="Q382" i="14"/>
  <c r="O384" i="14"/>
  <c r="P385" i="14"/>
  <c r="Q386" i="14"/>
  <c r="O388" i="14"/>
  <c r="P389" i="14"/>
  <c r="Q390" i="14"/>
  <c r="O392" i="14"/>
  <c r="P393" i="14"/>
  <c r="Q394" i="14"/>
  <c r="O396" i="14"/>
  <c r="P397" i="14"/>
  <c r="Q398" i="14"/>
  <c r="O400" i="14"/>
  <c r="P401" i="14"/>
  <c r="Q402" i="14"/>
  <c r="O404" i="14"/>
  <c r="P405" i="14"/>
  <c r="Q406" i="14"/>
  <c r="O408" i="14"/>
  <c r="P409" i="14"/>
  <c r="Q410" i="14"/>
  <c r="O412" i="14"/>
  <c r="P413" i="14"/>
  <c r="Q414" i="14"/>
  <c r="O416" i="14"/>
  <c r="P417" i="14"/>
  <c r="S349" i="13"/>
  <c r="S357" i="13"/>
  <c r="S373" i="13"/>
  <c r="S445" i="13"/>
  <c r="S461" i="13"/>
  <c r="S477" i="13"/>
  <c r="P20" i="14"/>
  <c r="Q21" i="14"/>
  <c r="P24" i="14"/>
  <c r="Q25" i="14"/>
  <c r="P28" i="14"/>
  <c r="Q29" i="14"/>
  <c r="P32" i="14"/>
  <c r="Q33" i="14"/>
  <c r="P36" i="14"/>
  <c r="P170" i="14"/>
  <c r="Q171" i="14"/>
  <c r="O173" i="14"/>
  <c r="P174" i="14"/>
  <c r="Q175" i="14"/>
  <c r="O177" i="14"/>
  <c r="P178" i="14"/>
  <c r="Q179" i="14"/>
  <c r="O181" i="14"/>
  <c r="P182" i="14"/>
  <c r="Q183" i="14"/>
  <c r="O185" i="14"/>
  <c r="P186" i="14"/>
  <c r="Q187" i="14"/>
  <c r="O189" i="14"/>
  <c r="P190" i="14"/>
  <c r="Q191" i="14"/>
  <c r="O193" i="14"/>
  <c r="P194" i="14"/>
  <c r="Q195" i="14"/>
  <c r="O197" i="14"/>
  <c r="P198" i="14"/>
  <c r="Q199" i="14"/>
  <c r="O201" i="14"/>
  <c r="P202" i="14"/>
  <c r="Q203" i="14"/>
  <c r="O205" i="14"/>
  <c r="P206" i="14"/>
  <c r="Q207" i="14"/>
  <c r="O209" i="14"/>
  <c r="P210" i="14"/>
  <c r="Q211" i="14"/>
  <c r="O213" i="14"/>
  <c r="P214" i="14"/>
  <c r="Q215" i="14"/>
  <c r="O217" i="14"/>
  <c r="P218" i="14"/>
  <c r="Q219" i="14"/>
  <c r="O221" i="14"/>
  <c r="P222" i="14"/>
  <c r="Q223" i="14"/>
  <c r="O225" i="14"/>
  <c r="P226" i="14"/>
  <c r="Q227" i="14"/>
  <c r="O229" i="14"/>
  <c r="P230" i="14"/>
  <c r="Q231" i="14"/>
  <c r="O233" i="14"/>
  <c r="P234" i="14"/>
  <c r="Q235" i="14"/>
  <c r="O237" i="14"/>
  <c r="P238" i="14"/>
  <c r="Q239" i="14"/>
  <c r="O241" i="14"/>
  <c r="P242" i="14"/>
  <c r="Q243" i="14"/>
  <c r="O245" i="14"/>
  <c r="P246" i="14"/>
  <c r="Q247" i="14"/>
  <c r="O249" i="14"/>
  <c r="P250" i="14"/>
  <c r="Q251" i="14"/>
  <c r="O253" i="14"/>
  <c r="P254" i="14"/>
  <c r="O257" i="14"/>
  <c r="P258" i="14"/>
  <c r="Q259" i="14"/>
  <c r="O261" i="14"/>
  <c r="P262" i="14"/>
  <c r="O265" i="14"/>
  <c r="P266" i="14"/>
  <c r="Q267" i="14"/>
  <c r="O269" i="14"/>
  <c r="P270" i="14"/>
  <c r="Q271" i="14"/>
  <c r="O273" i="14"/>
  <c r="P274" i="14"/>
  <c r="O277" i="14"/>
  <c r="P278" i="14"/>
  <c r="Q279" i="14"/>
  <c r="O281" i="14"/>
  <c r="P282" i="14"/>
  <c r="Q37" i="14"/>
  <c r="P40" i="14"/>
  <c r="Q41" i="14"/>
  <c r="P44" i="14"/>
  <c r="Q45" i="14"/>
  <c r="P48" i="14"/>
  <c r="Q49" i="14"/>
  <c r="P52" i="14"/>
  <c r="Q53" i="14"/>
  <c r="P56" i="14"/>
  <c r="Q57" i="14"/>
  <c r="P60" i="14"/>
  <c r="Q61" i="14"/>
  <c r="P64" i="14"/>
  <c r="Q65" i="14"/>
  <c r="P68" i="14"/>
  <c r="Q69" i="14"/>
  <c r="P72" i="14"/>
  <c r="Q73" i="14"/>
  <c r="P76" i="14"/>
  <c r="Q77" i="14"/>
  <c r="P80" i="14"/>
  <c r="Q81" i="14"/>
  <c r="P84" i="14"/>
  <c r="Q85" i="14"/>
  <c r="P88" i="14"/>
  <c r="Q89" i="14"/>
  <c r="P92" i="14"/>
  <c r="Q93" i="14"/>
  <c r="P96" i="14"/>
  <c r="Q97" i="14"/>
  <c r="P100" i="14"/>
  <c r="Q101" i="14"/>
  <c r="P104" i="14"/>
  <c r="Q105" i="14"/>
  <c r="P108" i="14"/>
  <c r="Q109" i="14"/>
  <c r="P112" i="14"/>
  <c r="Q113" i="14"/>
  <c r="P116" i="14"/>
  <c r="Q117" i="14"/>
  <c r="P120" i="14"/>
  <c r="Q121" i="14"/>
  <c r="O123" i="14"/>
  <c r="Q125" i="14"/>
  <c r="O127" i="14"/>
  <c r="Q129" i="14"/>
  <c r="O131" i="14"/>
  <c r="P132" i="14"/>
  <c r="Q133" i="14"/>
  <c r="O135" i="14"/>
  <c r="P136" i="14"/>
  <c r="Q137" i="14"/>
  <c r="O139" i="14"/>
  <c r="P140" i="14"/>
  <c r="Q141" i="14"/>
  <c r="O143" i="14"/>
  <c r="P144" i="14"/>
  <c r="Q145" i="14"/>
  <c r="O147" i="14"/>
  <c r="P148" i="14"/>
  <c r="Q149" i="14"/>
  <c r="O151" i="14"/>
  <c r="P152" i="14"/>
  <c r="Q153" i="14"/>
  <c r="O155" i="14"/>
  <c r="P156" i="14"/>
  <c r="Q157" i="14"/>
  <c r="O159" i="14"/>
  <c r="P160" i="14"/>
  <c r="Q161" i="14"/>
  <c r="O163" i="14"/>
  <c r="P164" i="14"/>
  <c r="Q165" i="14"/>
  <c r="O167" i="14"/>
  <c r="P168" i="14"/>
  <c r="Q169" i="14"/>
  <c r="O171" i="14"/>
  <c r="P172" i="14"/>
  <c r="Q173" i="14"/>
  <c r="O175" i="14"/>
  <c r="P176" i="14"/>
  <c r="Q177" i="14"/>
  <c r="O179" i="14"/>
  <c r="P180" i="14"/>
  <c r="Q181" i="14"/>
  <c r="O183" i="14"/>
  <c r="P184" i="14"/>
  <c r="Q185" i="14"/>
  <c r="O187" i="14"/>
  <c r="P188" i="14"/>
  <c r="Q189" i="14"/>
  <c r="O191" i="14"/>
  <c r="P192" i="14"/>
  <c r="Q193" i="14"/>
  <c r="O195" i="14"/>
  <c r="P196" i="14"/>
  <c r="Q197" i="14"/>
  <c r="O199" i="14"/>
  <c r="P200" i="14"/>
  <c r="Q201" i="14"/>
  <c r="O203" i="14"/>
  <c r="P204" i="14"/>
  <c r="Q205" i="14"/>
  <c r="O207" i="14"/>
  <c r="P208" i="14"/>
  <c r="Q209" i="14"/>
  <c r="O211" i="14"/>
  <c r="P212" i="14"/>
  <c r="Q213" i="14"/>
  <c r="O215" i="14"/>
  <c r="P216" i="14"/>
  <c r="Q217" i="14"/>
  <c r="O219" i="14"/>
  <c r="P220" i="14"/>
  <c r="Q221" i="14"/>
  <c r="O223" i="14"/>
  <c r="P224" i="14"/>
  <c r="Q225" i="14"/>
  <c r="O227" i="14"/>
  <c r="P228" i="14"/>
  <c r="Q229" i="14"/>
  <c r="O231" i="14"/>
  <c r="P232" i="14"/>
  <c r="Q233" i="14"/>
  <c r="O235" i="14"/>
  <c r="P236" i="14"/>
  <c r="Q237" i="14"/>
  <c r="O239" i="14"/>
  <c r="P240" i="14"/>
  <c r="Q241" i="14"/>
  <c r="O243" i="14"/>
  <c r="P244" i="14"/>
  <c r="O247" i="14"/>
  <c r="P248" i="14"/>
  <c r="Q249" i="14"/>
  <c r="O251" i="14"/>
  <c r="P252" i="14"/>
  <c r="Q253" i="14"/>
  <c r="O255" i="14"/>
  <c r="P256" i="14"/>
  <c r="Q257" i="14"/>
  <c r="O259" i="14"/>
  <c r="P260" i="14"/>
  <c r="O263" i="14"/>
  <c r="P264" i="14"/>
  <c r="Q265" i="14"/>
  <c r="O267" i="14"/>
  <c r="P268" i="14"/>
  <c r="Q269" i="14"/>
  <c r="O271" i="14"/>
  <c r="P272" i="14"/>
  <c r="Q273" i="14"/>
  <c r="O275" i="14"/>
  <c r="P276" i="14"/>
  <c r="O279" i="14"/>
  <c r="P280" i="14"/>
  <c r="Q281" i="14"/>
  <c r="O283" i="14"/>
  <c r="P284" i="14"/>
  <c r="Q285" i="14"/>
  <c r="O287" i="14"/>
  <c r="P288" i="14"/>
  <c r="Q289" i="14"/>
  <c r="O291" i="14"/>
  <c r="P292" i="14"/>
  <c r="Q283" i="14"/>
  <c r="O285" i="14"/>
  <c r="P286" i="14"/>
  <c r="Q287" i="14"/>
  <c r="O289" i="14"/>
  <c r="P290" i="14"/>
  <c r="O293" i="14"/>
  <c r="P294" i="14"/>
  <c r="Q295" i="14"/>
  <c r="O297" i="14"/>
  <c r="P298" i="14"/>
  <c r="Q299" i="14"/>
  <c r="O301" i="14"/>
  <c r="P302" i="14"/>
  <c r="Q303" i="14"/>
  <c r="O305" i="14"/>
  <c r="P306" i="14"/>
  <c r="O309" i="14"/>
  <c r="P310" i="14"/>
  <c r="Q311" i="14"/>
  <c r="O313" i="14"/>
  <c r="P314" i="14"/>
  <c r="Q315" i="14"/>
  <c r="O317" i="14"/>
  <c r="P318" i="14"/>
  <c r="Q319" i="14"/>
  <c r="O321" i="14"/>
  <c r="P322" i="14"/>
  <c r="O325" i="14"/>
  <c r="P326" i="14"/>
  <c r="Q327" i="14"/>
  <c r="O329" i="14"/>
  <c r="P330" i="14"/>
  <c r="Q331" i="14"/>
  <c r="O333" i="14"/>
  <c r="P334" i="14"/>
  <c r="Q335" i="14"/>
  <c r="O337" i="14"/>
  <c r="P338" i="14"/>
  <c r="O341" i="14"/>
  <c r="P342" i="14"/>
  <c r="Q343" i="14"/>
  <c r="O345" i="14"/>
  <c r="P346" i="14"/>
  <c r="Q347" i="14"/>
  <c r="O349" i="14"/>
  <c r="P350" i="14"/>
  <c r="Q351" i="14"/>
  <c r="O353" i="14"/>
  <c r="P354" i="14"/>
  <c r="O357" i="14"/>
  <c r="P358" i="14"/>
  <c r="Q359" i="14"/>
  <c r="O361" i="14"/>
  <c r="P362" i="14"/>
  <c r="Q363" i="14"/>
  <c r="O365" i="14"/>
  <c r="P366" i="14"/>
  <c r="Q367" i="14"/>
  <c r="O369" i="14"/>
  <c r="P370" i="14"/>
  <c r="O373" i="14"/>
  <c r="P374" i="14"/>
  <c r="Q375" i="14"/>
  <c r="O377" i="14"/>
  <c r="P378" i="14"/>
  <c r="Q379" i="14"/>
  <c r="O381" i="14"/>
  <c r="P382" i="14"/>
  <c r="Q383" i="14"/>
  <c r="O385" i="14"/>
  <c r="P386" i="14"/>
  <c r="Q387" i="14"/>
  <c r="O389" i="14"/>
  <c r="P390" i="14"/>
  <c r="Q391" i="14"/>
  <c r="O393" i="14"/>
  <c r="P394" i="14"/>
  <c r="Q395" i="14"/>
  <c r="O397" i="14"/>
  <c r="P398" i="14"/>
  <c r="Q399" i="14"/>
  <c r="O401" i="14"/>
  <c r="P402" i="14"/>
  <c r="Q403" i="14"/>
  <c r="O405" i="14"/>
  <c r="P406" i="14"/>
  <c r="Q407" i="14"/>
  <c r="O409" i="14"/>
  <c r="P410" i="14"/>
  <c r="Q411" i="14"/>
  <c r="O413" i="14"/>
  <c r="P414" i="14"/>
  <c r="Q415" i="14"/>
  <c r="O417" i="14"/>
  <c r="P418" i="14"/>
  <c r="Q419" i="14"/>
  <c r="O421" i="14"/>
  <c r="P422" i="14"/>
  <c r="Q423" i="14"/>
  <c r="O425" i="14"/>
  <c r="P426" i="14"/>
  <c r="Q427" i="14"/>
  <c r="O429" i="14"/>
  <c r="P430" i="14"/>
  <c r="Q431" i="14"/>
  <c r="O433" i="14"/>
  <c r="P434" i="14"/>
  <c r="Q435" i="14"/>
  <c r="O437" i="14"/>
  <c r="P438" i="14"/>
  <c r="Q439" i="14"/>
  <c r="O441" i="14"/>
  <c r="P442" i="14"/>
  <c r="Q443" i="14"/>
  <c r="O445" i="14"/>
  <c r="P446" i="14"/>
  <c r="Q447" i="14"/>
  <c r="O449" i="14"/>
  <c r="P450" i="14"/>
  <c r="Q451" i="14"/>
  <c r="O453" i="14"/>
  <c r="P454" i="14"/>
  <c r="Q455" i="14"/>
  <c r="O457" i="14"/>
  <c r="P458" i="14"/>
  <c r="Q459" i="14"/>
  <c r="O461" i="14"/>
  <c r="P462" i="14"/>
  <c r="Q463" i="14"/>
  <c r="O465" i="14"/>
  <c r="P466" i="14"/>
  <c r="Q467" i="14"/>
  <c r="O469" i="14"/>
  <c r="P470" i="14"/>
  <c r="Q471" i="14"/>
  <c r="O473" i="14"/>
  <c r="P474" i="14"/>
  <c r="Q475" i="14"/>
  <c r="O477" i="14"/>
  <c r="P478" i="14"/>
  <c r="Q479" i="14"/>
  <c r="O481" i="14"/>
  <c r="P482" i="14"/>
  <c r="Q483" i="14"/>
  <c r="O485" i="14"/>
  <c r="P486" i="14"/>
  <c r="Q487" i="14"/>
  <c r="O489" i="14"/>
  <c r="P490" i="14"/>
  <c r="Q491" i="14"/>
  <c r="O493" i="14"/>
  <c r="P494" i="14"/>
  <c r="Q495" i="14"/>
  <c r="O497" i="14"/>
  <c r="P498" i="14"/>
  <c r="Q499" i="14"/>
  <c r="O501" i="14"/>
  <c r="P502" i="14"/>
  <c r="Q503" i="14"/>
  <c r="O505" i="14"/>
  <c r="P506" i="14"/>
  <c r="Q507" i="14"/>
  <c r="O509" i="14"/>
  <c r="P510" i="14"/>
  <c r="Q511" i="14"/>
  <c r="O513" i="14"/>
  <c r="P514" i="14"/>
  <c r="P295" i="14"/>
  <c r="Q296" i="14"/>
  <c r="O298" i="14"/>
  <c r="P299" i="14"/>
  <c r="Q300" i="14"/>
  <c r="O302" i="14"/>
  <c r="P303" i="14"/>
  <c r="Q304" i="14"/>
  <c r="O306" i="14"/>
  <c r="P307" i="14"/>
  <c r="Q308" i="14"/>
  <c r="O310" i="14"/>
  <c r="P311" i="14"/>
  <c r="Q312" i="14"/>
  <c r="O314" i="14"/>
  <c r="P315" i="14"/>
  <c r="Q316" i="14"/>
  <c r="O318" i="14"/>
  <c r="P319" i="14"/>
  <c r="Q320" i="14"/>
  <c r="O322" i="14"/>
  <c r="P323" i="14"/>
  <c r="Q324" i="14"/>
  <c r="O326" i="14"/>
  <c r="P327" i="14"/>
  <c r="Q328" i="14"/>
  <c r="O330" i="14"/>
  <c r="P331" i="14"/>
  <c r="Q332" i="14"/>
  <c r="O334" i="14"/>
  <c r="P335" i="14"/>
  <c r="Q336" i="14"/>
  <c r="O338" i="14"/>
  <c r="P339" i="14"/>
  <c r="Q340" i="14"/>
  <c r="O342" i="14"/>
  <c r="P343" i="14"/>
  <c r="Q344" i="14"/>
  <c r="O346" i="14"/>
  <c r="P347" i="14"/>
  <c r="Q348" i="14"/>
  <c r="O350" i="14"/>
  <c r="P351" i="14"/>
  <c r="Q352" i="14"/>
  <c r="O354" i="14"/>
  <c r="P355" i="14"/>
  <c r="Q356" i="14"/>
  <c r="O358" i="14"/>
  <c r="P359" i="14"/>
  <c r="Q360" i="14"/>
  <c r="O362" i="14"/>
  <c r="P363" i="14"/>
  <c r="Q364" i="14"/>
  <c r="O366" i="14"/>
  <c r="P367" i="14"/>
  <c r="Q368" i="14"/>
  <c r="O370" i="14"/>
  <c r="P371" i="14"/>
  <c r="Q372" i="14"/>
  <c r="O374" i="14"/>
  <c r="P375" i="14"/>
  <c r="Q376" i="14"/>
  <c r="O378" i="14"/>
  <c r="P379" i="14"/>
  <c r="Q380" i="14"/>
  <c r="O382" i="14"/>
  <c r="P383" i="14"/>
  <c r="Q384" i="14"/>
  <c r="O386" i="14"/>
  <c r="P387" i="14"/>
  <c r="Q388" i="14"/>
  <c r="O390" i="14"/>
  <c r="P391" i="14"/>
  <c r="Q392" i="14"/>
  <c r="O394" i="14"/>
  <c r="P395" i="14"/>
  <c r="Q396" i="14"/>
  <c r="O398" i="14"/>
  <c r="P399" i="14"/>
  <c r="Q400" i="14"/>
  <c r="O402" i="14"/>
  <c r="P403" i="14"/>
  <c r="Q404" i="14"/>
  <c r="O406" i="14"/>
  <c r="P407" i="14"/>
  <c r="Q408" i="14"/>
  <c r="O410" i="14"/>
  <c r="P411" i="14"/>
  <c r="Q412" i="14"/>
  <c r="O414" i="14"/>
  <c r="P415" i="14"/>
  <c r="Q416" i="14"/>
  <c r="O418" i="14"/>
  <c r="P419" i="14"/>
  <c r="Q420" i="14"/>
  <c r="O422" i="14"/>
  <c r="P423" i="14"/>
  <c r="Q424" i="14"/>
  <c r="O426" i="14"/>
  <c r="P427" i="14"/>
  <c r="Q428" i="14"/>
  <c r="O430" i="14"/>
  <c r="P431" i="14"/>
  <c r="Q432" i="14"/>
  <c r="O434" i="14"/>
  <c r="P435" i="14"/>
  <c r="Q436" i="14"/>
  <c r="O438" i="14"/>
  <c r="P439" i="14"/>
  <c r="Q440" i="14"/>
  <c r="O442" i="14"/>
  <c r="P443" i="14"/>
  <c r="Q444" i="14"/>
  <c r="O446" i="14"/>
  <c r="P447" i="14"/>
  <c r="Q448" i="14"/>
  <c r="O450" i="14"/>
  <c r="P451" i="14"/>
  <c r="Q452" i="14"/>
  <c r="O454" i="14"/>
  <c r="P455" i="14"/>
  <c r="Q456" i="14"/>
  <c r="O458" i="14"/>
  <c r="P459" i="14"/>
  <c r="Q460" i="14"/>
  <c r="O462" i="14"/>
  <c r="P463" i="14"/>
  <c r="Q464" i="14"/>
  <c r="O466" i="14"/>
  <c r="P467" i="14"/>
  <c r="Q468" i="14"/>
  <c r="O470" i="14"/>
  <c r="P471" i="14"/>
  <c r="Q472" i="14"/>
  <c r="O474" i="14"/>
  <c r="P475" i="14"/>
  <c r="Q476" i="14"/>
  <c r="O478" i="14"/>
  <c r="P479" i="14"/>
  <c r="Q480" i="14"/>
  <c r="O482" i="14"/>
  <c r="P483" i="14"/>
  <c r="Q484" i="14"/>
  <c r="O486" i="14"/>
  <c r="P487" i="14"/>
  <c r="Q488" i="14"/>
  <c r="O490" i="14"/>
  <c r="P491" i="14"/>
  <c r="Q492" i="14"/>
  <c r="O494" i="14"/>
  <c r="P495" i="14"/>
  <c r="Q496" i="14"/>
  <c r="O498" i="14"/>
  <c r="P499" i="14"/>
  <c r="Q500" i="14"/>
  <c r="O502" i="14"/>
  <c r="P503" i="14"/>
  <c r="Q504" i="14"/>
  <c r="O506" i="14"/>
  <c r="P507" i="14"/>
  <c r="Q508" i="14"/>
  <c r="O510" i="14"/>
  <c r="P511" i="14"/>
  <c r="Q512" i="14"/>
  <c r="O514" i="14"/>
  <c r="O295" i="14"/>
  <c r="P296" i="14"/>
  <c r="Q297" i="14"/>
  <c r="O299" i="14"/>
  <c r="P300" i="14"/>
  <c r="Q301" i="14"/>
  <c r="O303" i="14"/>
  <c r="P304" i="14"/>
  <c r="Q305" i="14"/>
  <c r="O307" i="14"/>
  <c r="P308" i="14"/>
  <c r="O311" i="14"/>
  <c r="P312" i="14"/>
  <c r="Q313" i="14"/>
  <c r="O315" i="14"/>
  <c r="P316" i="14"/>
  <c r="Q317" i="14"/>
  <c r="O319" i="14"/>
  <c r="P320" i="14"/>
  <c r="Q321" i="14"/>
  <c r="O323" i="14"/>
  <c r="P324" i="14"/>
  <c r="O327" i="14"/>
  <c r="P328" i="14"/>
  <c r="Q329" i="14"/>
  <c r="O331" i="14"/>
  <c r="P332" i="14"/>
  <c r="Q333" i="14"/>
  <c r="O335" i="14"/>
  <c r="P336" i="14"/>
  <c r="Q337" i="14"/>
  <c r="O339" i="14"/>
  <c r="P340" i="14"/>
  <c r="O343" i="14"/>
  <c r="P344" i="14"/>
  <c r="Q345" i="14"/>
  <c r="O347" i="14"/>
  <c r="P348" i="14"/>
  <c r="Q349" i="14"/>
  <c r="O351" i="14"/>
  <c r="P352" i="14"/>
  <c r="Q353" i="14"/>
  <c r="O355" i="14"/>
  <c r="P356" i="14"/>
  <c r="O359" i="14"/>
  <c r="P360" i="14"/>
  <c r="Q361" i="14"/>
  <c r="O363" i="14"/>
  <c r="P364" i="14"/>
  <c r="Q365" i="14"/>
  <c r="O367" i="14"/>
  <c r="P368" i="14"/>
  <c r="Q369" i="14"/>
  <c r="O371" i="14"/>
  <c r="P372" i="14"/>
  <c r="O375" i="14"/>
  <c r="P376" i="14"/>
  <c r="Q377" i="14"/>
  <c r="O379" i="14"/>
  <c r="P380" i="14"/>
  <c r="Q381" i="14"/>
  <c r="O383" i="14"/>
  <c r="P384" i="14"/>
  <c r="Q385" i="14"/>
  <c r="P388" i="14"/>
  <c r="Q389" i="14"/>
  <c r="O391" i="14"/>
  <c r="Q393" i="14"/>
  <c r="O395" i="14"/>
  <c r="P396" i="14"/>
  <c r="Q397" i="14"/>
  <c r="O399" i="14"/>
  <c r="Q401" i="14"/>
  <c r="O403" i="14"/>
  <c r="P404" i="14"/>
  <c r="Q405" i="14"/>
  <c r="O407" i="14"/>
  <c r="Q409" i="14"/>
  <c r="O411" i="14"/>
  <c r="P412" i="14"/>
  <c r="Q413" i="14"/>
  <c r="Q418" i="14"/>
  <c r="O420" i="14"/>
  <c r="P421" i="14"/>
  <c r="Q422" i="14"/>
  <c r="O424" i="14"/>
  <c r="P425" i="14"/>
  <c r="Q426" i="14"/>
  <c r="O428" i="14"/>
  <c r="P429" i="14"/>
  <c r="Q430" i="14"/>
  <c r="O432" i="14"/>
  <c r="P433" i="14"/>
  <c r="Q434" i="14"/>
  <c r="O436" i="14"/>
  <c r="P437" i="14"/>
  <c r="Q438" i="14"/>
  <c r="O440" i="14"/>
  <c r="P441" i="14"/>
  <c r="Q442" i="14"/>
  <c r="O444" i="14"/>
  <c r="P445" i="14"/>
  <c r="Q446" i="14"/>
  <c r="O448" i="14"/>
  <c r="P449" i="14"/>
  <c r="Q450" i="14"/>
  <c r="O452" i="14"/>
  <c r="P453" i="14"/>
  <c r="Q454" i="14"/>
  <c r="O456" i="14"/>
  <c r="P457" i="14"/>
  <c r="Q458" i="14"/>
  <c r="O460" i="14"/>
  <c r="P461" i="14"/>
  <c r="Q462" i="14"/>
  <c r="O464" i="14"/>
  <c r="P465" i="14"/>
  <c r="Q466" i="14"/>
  <c r="O468" i="14"/>
  <c r="P469" i="14"/>
  <c r="Q470" i="14"/>
  <c r="O472" i="14"/>
  <c r="P473" i="14"/>
  <c r="Q474" i="14"/>
  <c r="O476" i="14"/>
  <c r="P477" i="14"/>
  <c r="Q478" i="14"/>
  <c r="O480" i="14"/>
  <c r="P481" i="14"/>
  <c r="Q482" i="14"/>
  <c r="O484" i="14"/>
  <c r="P485" i="14"/>
  <c r="Q486" i="14"/>
  <c r="O488" i="14"/>
  <c r="P489" i="14"/>
  <c r="Q490" i="14"/>
  <c r="O492" i="14"/>
  <c r="P493" i="14"/>
  <c r="Q494" i="14"/>
  <c r="O496" i="14"/>
  <c r="P497" i="14"/>
  <c r="Q498" i="14"/>
  <c r="O500" i="14"/>
  <c r="P501" i="14"/>
  <c r="Q502" i="14"/>
  <c r="O504" i="14"/>
  <c r="P505" i="14"/>
  <c r="Q506" i="14"/>
  <c r="O508" i="14"/>
  <c r="P509" i="14"/>
  <c r="Q510" i="14"/>
  <c r="O512" i="14"/>
  <c r="P513" i="14"/>
  <c r="Q514" i="14"/>
  <c r="O415" i="14"/>
  <c r="Q417" i="14"/>
  <c r="O419" i="14"/>
  <c r="P420" i="14"/>
  <c r="Q421" i="14"/>
  <c r="O423" i="14"/>
  <c r="Q425" i="14"/>
  <c r="O427" i="14"/>
  <c r="P428" i="14"/>
  <c r="Q429" i="14"/>
  <c r="O431" i="14"/>
  <c r="P432" i="14"/>
  <c r="Q433" i="14"/>
  <c r="O435" i="14"/>
  <c r="P436" i="14"/>
  <c r="Q437" i="14"/>
  <c r="O439" i="14"/>
  <c r="P440" i="14"/>
  <c r="O443" i="14"/>
  <c r="P444" i="14"/>
  <c r="Q445" i="14"/>
  <c r="O447" i="14"/>
  <c r="P448" i="14"/>
  <c r="O451" i="14"/>
  <c r="P452" i="14"/>
  <c r="Q453" i="14"/>
  <c r="O455" i="14"/>
  <c r="P456" i="14"/>
  <c r="Q457" i="14"/>
  <c r="O459" i="14"/>
  <c r="P460" i="14"/>
  <c r="Q461" i="14"/>
  <c r="O463" i="14"/>
  <c r="P464" i="14"/>
  <c r="Q465" i="14"/>
  <c r="O467" i="14"/>
  <c r="P468" i="14"/>
  <c r="Q469" i="14"/>
  <c r="O471" i="14"/>
  <c r="P472" i="14"/>
  <c r="Q473" i="14"/>
  <c r="O475" i="14"/>
  <c r="P476" i="14"/>
  <c r="Q477" i="14"/>
  <c r="O479" i="14"/>
  <c r="P480" i="14"/>
  <c r="Q481" i="14"/>
  <c r="O483" i="14"/>
  <c r="P484" i="14"/>
  <c r="Q485" i="14"/>
  <c r="O487" i="14"/>
  <c r="P488" i="14"/>
  <c r="Q489" i="14"/>
  <c r="O491" i="14"/>
  <c r="P492" i="14"/>
  <c r="Q493" i="14"/>
  <c r="O495" i="14"/>
  <c r="P496" i="14"/>
  <c r="Q497" i="14"/>
  <c r="O499" i="14"/>
  <c r="P500" i="14"/>
  <c r="Q501" i="14"/>
  <c r="O503" i="14"/>
  <c r="P504" i="14"/>
  <c r="Q505" i="14"/>
  <c r="O507" i="14"/>
  <c r="P508" i="14"/>
  <c r="Q509" i="14"/>
  <c r="O511" i="14"/>
  <c r="P512" i="14"/>
  <c r="Q513" i="14"/>
  <c r="O18" i="14"/>
  <c r="T66" i="15"/>
  <c r="R66" i="15"/>
  <c r="T258" i="15"/>
  <c r="R258" i="15"/>
  <c r="S334" i="15"/>
  <c r="T334" i="15"/>
  <c r="S372" i="15"/>
  <c r="R372" i="15"/>
  <c r="T386" i="15"/>
  <c r="R386" i="15"/>
  <c r="T19" i="15"/>
  <c r="S19" i="15"/>
  <c r="T23" i="15"/>
  <c r="S23" i="15"/>
  <c r="T27" i="15"/>
  <c r="S27" i="15"/>
  <c r="T31" i="15"/>
  <c r="S31" i="15"/>
  <c r="T35" i="15"/>
  <c r="S35" i="15"/>
  <c r="T39" i="15"/>
  <c r="S39" i="15"/>
  <c r="T43" i="15"/>
  <c r="S43" i="15"/>
  <c r="T47" i="15"/>
  <c r="S47" i="15"/>
  <c r="T51" i="15"/>
  <c r="S51" i="15"/>
  <c r="T55" i="15"/>
  <c r="S55" i="15"/>
  <c r="T59" i="15"/>
  <c r="S59" i="15"/>
  <c r="T63" i="15"/>
  <c r="S63" i="15"/>
  <c r="S66" i="15"/>
  <c r="S66" i="14" s="1"/>
  <c r="T70" i="15"/>
  <c r="T74" i="15"/>
  <c r="T78" i="15"/>
  <c r="T82" i="15"/>
  <c r="T86" i="15"/>
  <c r="T90" i="15"/>
  <c r="T94" i="15"/>
  <c r="T98" i="15"/>
  <c r="T102" i="15"/>
  <c r="T106" i="15"/>
  <c r="T110" i="15"/>
  <c r="T114" i="15"/>
  <c r="T118" i="15"/>
  <c r="S149" i="15"/>
  <c r="S153" i="15"/>
  <c r="S157" i="15"/>
  <c r="S165" i="15"/>
  <c r="S165" i="14" s="1"/>
  <c r="S237" i="15"/>
  <c r="S241" i="15"/>
  <c r="R252" i="15"/>
  <c r="R266" i="15"/>
  <c r="S276" i="15"/>
  <c r="R276" i="15"/>
  <c r="T286" i="15"/>
  <c r="T290" i="15"/>
  <c r="R290" i="15"/>
  <c r="R300" i="15"/>
  <c r="R314" i="15"/>
  <c r="R324" i="15"/>
  <c r="R338" i="15"/>
  <c r="S366" i="15"/>
  <c r="T366" i="15"/>
  <c r="S380" i="15"/>
  <c r="S380" i="14" s="1"/>
  <c r="R380" i="15"/>
  <c r="S387" i="15"/>
  <c r="R390" i="15"/>
  <c r="T420" i="15"/>
  <c r="S477" i="15"/>
  <c r="S489" i="15"/>
  <c r="S493" i="15"/>
  <c r="P8" i="15"/>
  <c r="P12" i="15"/>
  <c r="P15" i="15"/>
  <c r="T15" i="15"/>
  <c r="S250" i="15"/>
  <c r="S250" i="14" s="1"/>
  <c r="R250" i="15"/>
  <c r="S270" i="15"/>
  <c r="T270" i="15"/>
  <c r="S308" i="15"/>
  <c r="R308" i="15"/>
  <c r="T322" i="15"/>
  <c r="R322" i="15"/>
  <c r="T68" i="15"/>
  <c r="T72" i="15"/>
  <c r="T76" i="15"/>
  <c r="T80" i="15"/>
  <c r="T84" i="15"/>
  <c r="T88" i="15"/>
  <c r="T92" i="15"/>
  <c r="T96" i="15"/>
  <c r="T100" i="15"/>
  <c r="T104" i="15"/>
  <c r="T108" i="15"/>
  <c r="T112" i="15"/>
  <c r="T116" i="15"/>
  <c r="T120" i="15"/>
  <c r="S213" i="15"/>
  <c r="S217" i="15"/>
  <c r="S221" i="15"/>
  <c r="S225" i="15"/>
  <c r="S225" i="14" s="1"/>
  <c r="S239" i="15"/>
  <c r="T250" i="15"/>
  <c r="R260" i="15"/>
  <c r="R274" i="15"/>
  <c r="S302" i="15"/>
  <c r="S302" i="14" s="1"/>
  <c r="T302" i="15"/>
  <c r="R316" i="15"/>
  <c r="R330" i="15"/>
  <c r="S340" i="15"/>
  <c r="R340" i="15"/>
  <c r="T350" i="15"/>
  <c r="T354" i="15"/>
  <c r="R354" i="15"/>
  <c r="R364" i="15"/>
  <c r="R378" i="15"/>
  <c r="T388" i="15"/>
  <c r="T392" i="15"/>
  <c r="R418" i="15"/>
  <c r="Q16" i="15"/>
  <c r="S125" i="15"/>
  <c r="S169" i="15"/>
  <c r="S173" i="15"/>
  <c r="S235" i="15"/>
  <c r="T306" i="15"/>
  <c r="T370" i="15"/>
  <c r="R388" i="15"/>
  <c r="R422" i="15"/>
  <c r="S433" i="15"/>
  <c r="S441" i="15"/>
  <c r="S497" i="15"/>
  <c r="S505" i="15"/>
  <c r="S137" i="15"/>
  <c r="S141" i="15"/>
  <c r="S201" i="15"/>
  <c r="S205" i="15"/>
  <c r="S227" i="15"/>
  <c r="S243" i="15"/>
  <c r="T274" i="15"/>
  <c r="T338" i="15"/>
  <c r="S465" i="15"/>
  <c r="S473" i="15"/>
  <c r="G15" i="14"/>
  <c r="P9" i="15"/>
  <c r="P13" i="15"/>
  <c r="Q15" i="15"/>
  <c r="E16" i="15"/>
  <c r="T22" i="15"/>
  <c r="T24" i="15"/>
  <c r="T30" i="15"/>
  <c r="T32" i="15"/>
  <c r="T38" i="15"/>
  <c r="T40" i="15"/>
  <c r="T46" i="15"/>
  <c r="T48" i="15"/>
  <c r="T54" i="15"/>
  <c r="T56" i="15"/>
  <c r="T62" i="15"/>
  <c r="T64" i="15"/>
  <c r="S71" i="15"/>
  <c r="R74" i="15"/>
  <c r="S79" i="15"/>
  <c r="R82" i="15"/>
  <c r="S87" i="15"/>
  <c r="R90" i="15"/>
  <c r="S95" i="15"/>
  <c r="R98" i="15"/>
  <c r="S103" i="15"/>
  <c r="R106" i="15"/>
  <c r="S111" i="15"/>
  <c r="R114" i="15"/>
  <c r="S119" i="15"/>
  <c r="S129" i="15"/>
  <c r="S161" i="15"/>
  <c r="S193" i="15"/>
  <c r="R246" i="15"/>
  <c r="R248" i="15"/>
  <c r="R262" i="15"/>
  <c r="R264" i="15"/>
  <c r="T266" i="15"/>
  <c r="R278" i="15"/>
  <c r="R280" i="15"/>
  <c r="T282" i="15"/>
  <c r="R294" i="15"/>
  <c r="R296" i="15"/>
  <c r="T298" i="15"/>
  <c r="R310" i="15"/>
  <c r="R312" i="15"/>
  <c r="T314" i="15"/>
  <c r="R326" i="15"/>
  <c r="R328" i="15"/>
  <c r="T330" i="15"/>
  <c r="R342" i="15"/>
  <c r="R344" i="15"/>
  <c r="T346" i="15"/>
  <c r="R358" i="15"/>
  <c r="R360" i="15"/>
  <c r="T362" i="15"/>
  <c r="R374" i="15"/>
  <c r="R376" i="15"/>
  <c r="T378" i="15"/>
  <c r="T387" i="15"/>
  <c r="R392" i="15"/>
  <c r="R394" i="15"/>
  <c r="R396" i="15"/>
  <c r="R398" i="15"/>
  <c r="T400" i="15"/>
  <c r="S402" i="15"/>
  <c r="S404" i="15"/>
  <c r="S406" i="15"/>
  <c r="T412" i="15"/>
  <c r="R424" i="15"/>
  <c r="R428" i="15"/>
  <c r="R19" i="15"/>
  <c r="R23" i="15"/>
  <c r="R27" i="15"/>
  <c r="R31" i="15"/>
  <c r="R35" i="15"/>
  <c r="R39" i="15"/>
  <c r="R43" i="15"/>
  <c r="R47" i="15"/>
  <c r="R51" i="15"/>
  <c r="R55" i="15"/>
  <c r="R59" i="15"/>
  <c r="R63" i="15"/>
  <c r="R67" i="15"/>
  <c r="R71" i="15"/>
  <c r="R75" i="15"/>
  <c r="R79" i="15"/>
  <c r="R83" i="15"/>
  <c r="R87" i="15"/>
  <c r="R91" i="15"/>
  <c r="R95" i="15"/>
  <c r="R99" i="15"/>
  <c r="R103" i="15"/>
  <c r="R107" i="15"/>
  <c r="R111" i="15"/>
  <c r="R115" i="15"/>
  <c r="R119" i="15"/>
  <c r="S124" i="15"/>
  <c r="P124" i="14"/>
  <c r="S128" i="15"/>
  <c r="P128" i="14"/>
  <c r="T245" i="15"/>
  <c r="Q245" i="14"/>
  <c r="T261" i="15"/>
  <c r="Q261" i="14"/>
  <c r="T277" i="15"/>
  <c r="Q277" i="14"/>
  <c r="T293" i="15"/>
  <c r="Q293" i="14"/>
  <c r="T309" i="15"/>
  <c r="Q309" i="14"/>
  <c r="T325" i="15"/>
  <c r="Q325" i="14"/>
  <c r="T341" i="15"/>
  <c r="Q341" i="14"/>
  <c r="T357" i="15"/>
  <c r="Q357" i="14"/>
  <c r="T373" i="15"/>
  <c r="Q373" i="14"/>
  <c r="R387" i="15"/>
  <c r="O387" i="14"/>
  <c r="S392" i="15"/>
  <c r="P392" i="14"/>
  <c r="S400" i="15"/>
  <c r="S400" i="14" s="1"/>
  <c r="P400" i="14"/>
  <c r="S408" i="15"/>
  <c r="P408" i="14"/>
  <c r="S416" i="15"/>
  <c r="P416" i="14"/>
  <c r="S424" i="15"/>
  <c r="P424" i="14"/>
  <c r="H15" i="14"/>
  <c r="O19" i="14"/>
  <c r="O23" i="14"/>
  <c r="O27" i="14"/>
  <c r="O31" i="14"/>
  <c r="O35" i="14"/>
  <c r="O39" i="14"/>
  <c r="O43" i="14"/>
  <c r="O47" i="14"/>
  <c r="O51" i="14"/>
  <c r="O55" i="14"/>
  <c r="O59" i="14"/>
  <c r="O63" i="14"/>
  <c r="O67" i="14"/>
  <c r="O71" i="14"/>
  <c r="O75" i="14"/>
  <c r="O79" i="14"/>
  <c r="O83" i="14"/>
  <c r="O87" i="14"/>
  <c r="O91" i="14"/>
  <c r="O95" i="14"/>
  <c r="O99" i="14"/>
  <c r="O103" i="14"/>
  <c r="O107" i="14"/>
  <c r="O111" i="14"/>
  <c r="O115" i="14"/>
  <c r="O119" i="14"/>
  <c r="P10" i="15"/>
  <c r="P14" i="15"/>
  <c r="T246" i="15"/>
  <c r="T262" i="15"/>
  <c r="T278" i="15"/>
  <c r="T294" i="15"/>
  <c r="T310" i="15"/>
  <c r="T326" i="15"/>
  <c r="T342" i="15"/>
  <c r="T358" i="15"/>
  <c r="T374" i="15"/>
  <c r="T404" i="15"/>
  <c r="R416" i="15"/>
  <c r="R420" i="15"/>
  <c r="S437" i="15"/>
  <c r="S453" i="15"/>
  <c r="S469" i="15"/>
  <c r="S485" i="15"/>
  <c r="S501" i="15"/>
  <c r="G9" i="14"/>
  <c r="G13" i="14"/>
  <c r="P11" i="15"/>
  <c r="T18" i="15"/>
  <c r="T20" i="15"/>
  <c r="T26" i="15"/>
  <c r="T28" i="15"/>
  <c r="T34" i="15"/>
  <c r="T36" i="15"/>
  <c r="T42" i="15"/>
  <c r="T44" i="15"/>
  <c r="T50" i="15"/>
  <c r="T52" i="15"/>
  <c r="T58" i="15"/>
  <c r="T60" i="15"/>
  <c r="S67" i="15"/>
  <c r="R70" i="15"/>
  <c r="S75" i="15"/>
  <c r="R78" i="15"/>
  <c r="S83" i="15"/>
  <c r="R86" i="15"/>
  <c r="S91" i="15"/>
  <c r="R94" i="15"/>
  <c r="S99" i="15"/>
  <c r="R102" i="15"/>
  <c r="S107" i="15"/>
  <c r="R110" i="15"/>
  <c r="S115" i="15"/>
  <c r="R118" i="15"/>
  <c r="S145" i="15"/>
  <c r="S177" i="15"/>
  <c r="S209" i="15"/>
  <c r="R254" i="15"/>
  <c r="R256" i="15"/>
  <c r="R270" i="15"/>
  <c r="R272" i="15"/>
  <c r="R286" i="15"/>
  <c r="R288" i="15"/>
  <c r="R302" i="15"/>
  <c r="R304" i="15"/>
  <c r="R318" i="15"/>
  <c r="R320" i="15"/>
  <c r="R334" i="15"/>
  <c r="R336" i="15"/>
  <c r="R350" i="15"/>
  <c r="R352" i="15"/>
  <c r="R366" i="15"/>
  <c r="R368" i="15"/>
  <c r="R382" i="15"/>
  <c r="R384" i="15"/>
  <c r="S388" i="15"/>
  <c r="S390" i="15"/>
  <c r="T396" i="15"/>
  <c r="R408" i="15"/>
  <c r="R410" i="15"/>
  <c r="R412" i="15"/>
  <c r="R414" i="15"/>
  <c r="T416" i="15"/>
  <c r="S418" i="15"/>
  <c r="S420" i="15"/>
  <c r="S422" i="15"/>
  <c r="T428" i="15"/>
  <c r="S18" i="15"/>
  <c r="S22" i="15"/>
  <c r="S26" i="15"/>
  <c r="S30" i="15"/>
  <c r="S34" i="15"/>
  <c r="S38" i="15"/>
  <c r="S42" i="15"/>
  <c r="S46" i="15"/>
  <c r="S50" i="15"/>
  <c r="S54" i="15"/>
  <c r="S58" i="15"/>
  <c r="S62" i="15"/>
  <c r="S70" i="15"/>
  <c r="S74" i="15"/>
  <c r="S78" i="15"/>
  <c r="S82" i="15"/>
  <c r="S86" i="15"/>
  <c r="S90" i="15"/>
  <c r="S94" i="15"/>
  <c r="S98" i="15"/>
  <c r="S102" i="15"/>
  <c r="S106" i="15"/>
  <c r="S110" i="15"/>
  <c r="S114" i="15"/>
  <c r="S118" i="15"/>
  <c r="T259" i="15"/>
  <c r="T275" i="15"/>
  <c r="Q275" i="14"/>
  <c r="T291" i="15"/>
  <c r="Q291" i="14"/>
  <c r="T307" i="15"/>
  <c r="Q307" i="14"/>
  <c r="T323" i="15"/>
  <c r="Q323" i="14"/>
  <c r="T339" i="15"/>
  <c r="Q339" i="14"/>
  <c r="T355" i="15"/>
  <c r="Q355" i="14"/>
  <c r="T371" i="15"/>
  <c r="Q371" i="14"/>
  <c r="G8" i="14"/>
  <c r="E13" i="14"/>
  <c r="E12" i="14"/>
  <c r="E9" i="14"/>
  <c r="E11" i="14"/>
  <c r="P6" i="15"/>
  <c r="S252" i="15"/>
  <c r="S274" i="15"/>
  <c r="S282" i="15"/>
  <c r="S284" i="15"/>
  <c r="S306" i="15"/>
  <c r="S314" i="15"/>
  <c r="S316" i="15"/>
  <c r="S338" i="15"/>
  <c r="S346" i="15"/>
  <c r="S348" i="15"/>
  <c r="S370" i="15"/>
  <c r="S378" i="15"/>
  <c r="O6" i="15"/>
  <c r="S258" i="15"/>
  <c r="S266" i="15"/>
  <c r="S268" i="15"/>
  <c r="S290" i="15"/>
  <c r="S298" i="15"/>
  <c r="S300" i="15"/>
  <c r="S322" i="15"/>
  <c r="S330" i="15"/>
  <c r="S332" i="15"/>
  <c r="S354" i="15"/>
  <c r="S362" i="15"/>
  <c r="S364" i="15"/>
  <c r="S386" i="15"/>
  <c r="Q8" i="15"/>
  <c r="Q10" i="15"/>
  <c r="O11" i="15"/>
  <c r="O15" i="15"/>
  <c r="O16" i="15"/>
  <c r="O9" i="15"/>
  <c r="Q12" i="15"/>
  <c r="O13" i="15"/>
  <c r="Q14" i="15"/>
  <c r="O8" i="15"/>
  <c r="Q9" i="15"/>
  <c r="O10" i="15"/>
  <c r="Q11" i="15"/>
  <c r="O12" i="15"/>
  <c r="Q13" i="15"/>
  <c r="O14" i="15"/>
  <c r="R131" i="15"/>
  <c r="T131" i="15"/>
  <c r="R136" i="15"/>
  <c r="T136" i="15"/>
  <c r="S136" i="15"/>
  <c r="R144" i="15"/>
  <c r="T144" i="15"/>
  <c r="S144" i="15"/>
  <c r="R155" i="15"/>
  <c r="T155" i="15"/>
  <c r="R163" i="15"/>
  <c r="T163" i="15"/>
  <c r="R171" i="15"/>
  <c r="T171" i="15"/>
  <c r="R179" i="15"/>
  <c r="T179" i="15"/>
  <c r="R187" i="15"/>
  <c r="T187" i="15"/>
  <c r="R195" i="15"/>
  <c r="T195" i="15"/>
  <c r="R203" i="15"/>
  <c r="T203" i="15"/>
  <c r="R211" i="15"/>
  <c r="T211" i="15"/>
  <c r="R219" i="15"/>
  <c r="T219" i="15"/>
  <c r="R232" i="15"/>
  <c r="T232" i="15"/>
  <c r="S232" i="15"/>
  <c r="S247" i="15"/>
  <c r="R247" i="15"/>
  <c r="R247" i="14" s="1"/>
  <c r="S253" i="15"/>
  <c r="R253" i="15"/>
  <c r="T253" i="15"/>
  <c r="S265" i="15"/>
  <c r="R265" i="15"/>
  <c r="S279" i="15"/>
  <c r="R279" i="15"/>
  <c r="S285" i="15"/>
  <c r="R285" i="15"/>
  <c r="T285" i="15"/>
  <c r="S297" i="15"/>
  <c r="R297" i="15"/>
  <c r="R297" i="14" s="1"/>
  <c r="S311" i="15"/>
  <c r="R311" i="15"/>
  <c r="S317" i="15"/>
  <c r="R317" i="15"/>
  <c r="T317" i="15"/>
  <c r="S329" i="15"/>
  <c r="R329" i="15"/>
  <c r="S343" i="15"/>
  <c r="R343" i="15"/>
  <c r="R343" i="14" s="1"/>
  <c r="S349" i="15"/>
  <c r="R349" i="15"/>
  <c r="T349" i="15"/>
  <c r="S361" i="15"/>
  <c r="R361" i="15"/>
  <c r="S375" i="15"/>
  <c r="R375" i="15"/>
  <c r="S381" i="15"/>
  <c r="R381" i="15"/>
  <c r="T381" i="15"/>
  <c r="R399" i="15"/>
  <c r="S399" i="15"/>
  <c r="T399" i="15"/>
  <c r="R415" i="15"/>
  <c r="S415" i="15"/>
  <c r="T415" i="15"/>
  <c r="T432" i="15"/>
  <c r="R432" i="15"/>
  <c r="S432" i="15"/>
  <c r="T448" i="15"/>
  <c r="R448" i="15"/>
  <c r="S448" i="15"/>
  <c r="S448" i="14" s="1"/>
  <c r="T464" i="15"/>
  <c r="R464" i="15"/>
  <c r="S464" i="15"/>
  <c r="T480" i="15"/>
  <c r="R480" i="15"/>
  <c r="S480" i="15"/>
  <c r="T496" i="15"/>
  <c r="R496" i="15"/>
  <c r="R496" i="14" s="1"/>
  <c r="S496" i="15"/>
  <c r="T512" i="15"/>
  <c r="R512" i="15"/>
  <c r="S512" i="15"/>
  <c r="E6" i="15"/>
  <c r="E9" i="15"/>
  <c r="E10" i="15"/>
  <c r="E11" i="15"/>
  <c r="E12" i="15"/>
  <c r="E13" i="15"/>
  <c r="R21" i="15"/>
  <c r="R29" i="15"/>
  <c r="R41" i="15"/>
  <c r="R49" i="15"/>
  <c r="R57" i="15"/>
  <c r="R65" i="15"/>
  <c r="R65" i="14" s="1"/>
  <c r="R73" i="15"/>
  <c r="R85" i="15"/>
  <c r="R89" i="15"/>
  <c r="R93" i="15"/>
  <c r="R101" i="15"/>
  <c r="R109" i="15"/>
  <c r="R117" i="15"/>
  <c r="R123" i="15"/>
  <c r="T123" i="15"/>
  <c r="R127" i="15"/>
  <c r="T127" i="15"/>
  <c r="R134" i="15"/>
  <c r="T134" i="15"/>
  <c r="S134" i="15"/>
  <c r="R142" i="15"/>
  <c r="T142" i="15"/>
  <c r="S142" i="15"/>
  <c r="R150" i="15"/>
  <c r="T150" i="15"/>
  <c r="S150" i="15"/>
  <c r="R158" i="15"/>
  <c r="T158" i="15"/>
  <c r="S158" i="15"/>
  <c r="R166" i="15"/>
  <c r="T166" i="15"/>
  <c r="S166" i="15"/>
  <c r="R174" i="15"/>
  <c r="T174" i="15"/>
  <c r="S174" i="15"/>
  <c r="R182" i="15"/>
  <c r="T182" i="15"/>
  <c r="S182" i="15"/>
  <c r="R190" i="15"/>
  <c r="T190" i="15"/>
  <c r="S190" i="15"/>
  <c r="R198" i="15"/>
  <c r="T198" i="15"/>
  <c r="S198" i="15"/>
  <c r="R206" i="15"/>
  <c r="T206" i="15"/>
  <c r="S206" i="15"/>
  <c r="R214" i="15"/>
  <c r="T214" i="15"/>
  <c r="S214" i="15"/>
  <c r="R222" i="15"/>
  <c r="T222" i="15"/>
  <c r="S222" i="15"/>
  <c r="R238" i="15"/>
  <c r="T238" i="15"/>
  <c r="S238" i="15"/>
  <c r="T247" i="15"/>
  <c r="S267" i="15"/>
  <c r="R267" i="15"/>
  <c r="R267" i="14" s="1"/>
  <c r="T267" i="15"/>
  <c r="T279" i="15"/>
  <c r="S299" i="15"/>
  <c r="R299" i="15"/>
  <c r="T299" i="15"/>
  <c r="T311" i="15"/>
  <c r="S331" i="15"/>
  <c r="R331" i="15"/>
  <c r="T331" i="15"/>
  <c r="T343" i="15"/>
  <c r="S363" i="15"/>
  <c r="R363" i="15"/>
  <c r="R363" i="14" s="1"/>
  <c r="T363" i="15"/>
  <c r="T375" i="15"/>
  <c r="R389" i="15"/>
  <c r="S389" i="15"/>
  <c r="T389" i="15"/>
  <c r="R405" i="15"/>
  <c r="S405" i="15"/>
  <c r="T405" i="15"/>
  <c r="R421" i="15"/>
  <c r="S421" i="15"/>
  <c r="T421" i="15"/>
  <c r="R429" i="15"/>
  <c r="S429" i="15"/>
  <c r="T429" i="15"/>
  <c r="T429" i="14" s="1"/>
  <c r="R15" i="15"/>
  <c r="R20" i="15"/>
  <c r="S21" i="15"/>
  <c r="R24" i="15"/>
  <c r="S25" i="15"/>
  <c r="R28" i="15"/>
  <c r="S29" i="15"/>
  <c r="R32" i="15"/>
  <c r="S33" i="15"/>
  <c r="R36" i="15"/>
  <c r="S37" i="15"/>
  <c r="R40" i="15"/>
  <c r="S41" i="15"/>
  <c r="R44" i="15"/>
  <c r="S45" i="15"/>
  <c r="R48" i="15"/>
  <c r="S49" i="15"/>
  <c r="R52" i="15"/>
  <c r="S53" i="15"/>
  <c r="R56" i="15"/>
  <c r="S57" i="15"/>
  <c r="R60" i="15"/>
  <c r="S61" i="15"/>
  <c r="R64" i="15"/>
  <c r="S65" i="15"/>
  <c r="R68" i="15"/>
  <c r="S69" i="15"/>
  <c r="R72" i="15"/>
  <c r="S73" i="15"/>
  <c r="R76" i="15"/>
  <c r="S77" i="15"/>
  <c r="R80" i="15"/>
  <c r="S81" i="15"/>
  <c r="R84" i="15"/>
  <c r="S85" i="15"/>
  <c r="R88" i="15"/>
  <c r="S89" i="15"/>
  <c r="R92" i="15"/>
  <c r="S93" i="15"/>
  <c r="R96" i="15"/>
  <c r="S97" i="15"/>
  <c r="R100" i="15"/>
  <c r="S101" i="15"/>
  <c r="R104" i="15"/>
  <c r="S105" i="15"/>
  <c r="R108" i="15"/>
  <c r="S109" i="15"/>
  <c r="R112" i="15"/>
  <c r="S113" i="15"/>
  <c r="R116" i="15"/>
  <c r="S117" i="15"/>
  <c r="R120" i="15"/>
  <c r="S121" i="15"/>
  <c r="S123" i="15"/>
  <c r="S127" i="15"/>
  <c r="R132" i="15"/>
  <c r="T132" i="15"/>
  <c r="S132" i="15"/>
  <c r="R135" i="15"/>
  <c r="T135" i="15"/>
  <c r="R140" i="15"/>
  <c r="T140" i="15"/>
  <c r="S140" i="15"/>
  <c r="R143" i="15"/>
  <c r="T143" i="15"/>
  <c r="R148" i="15"/>
  <c r="T148" i="15"/>
  <c r="S148" i="15"/>
  <c r="R151" i="15"/>
  <c r="T151" i="15"/>
  <c r="R156" i="15"/>
  <c r="T156" i="15"/>
  <c r="S156" i="15"/>
  <c r="R159" i="15"/>
  <c r="T159" i="15"/>
  <c r="R164" i="15"/>
  <c r="T164" i="15"/>
  <c r="S164" i="15"/>
  <c r="R167" i="15"/>
  <c r="T167" i="15"/>
  <c r="R172" i="15"/>
  <c r="T172" i="15"/>
  <c r="S172" i="15"/>
  <c r="S172" i="14" s="1"/>
  <c r="R175" i="15"/>
  <c r="T175" i="15"/>
  <c r="R180" i="15"/>
  <c r="T180" i="15"/>
  <c r="S180" i="15"/>
  <c r="R183" i="15"/>
  <c r="R183" i="14" s="1"/>
  <c r="T183" i="15"/>
  <c r="R188" i="15"/>
  <c r="T188" i="15"/>
  <c r="S188" i="15"/>
  <c r="R191" i="15"/>
  <c r="R191" i="14" s="1"/>
  <c r="T191" i="15"/>
  <c r="R196" i="15"/>
  <c r="T196" i="15"/>
  <c r="S196" i="15"/>
  <c r="R199" i="15"/>
  <c r="T199" i="15"/>
  <c r="R204" i="15"/>
  <c r="T204" i="15"/>
  <c r="S204" i="15"/>
  <c r="R207" i="15"/>
  <c r="T207" i="15"/>
  <c r="R212" i="15"/>
  <c r="T212" i="15"/>
  <c r="S212" i="15"/>
  <c r="R215" i="15"/>
  <c r="T215" i="15"/>
  <c r="R220" i="15"/>
  <c r="T220" i="15"/>
  <c r="S220" i="15"/>
  <c r="S220" i="14" s="1"/>
  <c r="R223" i="15"/>
  <c r="T223" i="15"/>
  <c r="R228" i="15"/>
  <c r="T228" i="15"/>
  <c r="S228" i="15"/>
  <c r="R236" i="15"/>
  <c r="T236" i="15"/>
  <c r="S236" i="15"/>
  <c r="R244" i="15"/>
  <c r="T244" i="15"/>
  <c r="S244" i="15"/>
  <c r="R139" i="15"/>
  <c r="T139" i="15"/>
  <c r="R147" i="15"/>
  <c r="T147" i="15"/>
  <c r="R152" i="15"/>
  <c r="T152" i="15"/>
  <c r="S152" i="15"/>
  <c r="R160" i="15"/>
  <c r="T160" i="15"/>
  <c r="S160" i="15"/>
  <c r="R168" i="15"/>
  <c r="T168" i="15"/>
  <c r="S168" i="15"/>
  <c r="R176" i="15"/>
  <c r="T176" i="15"/>
  <c r="S176" i="15"/>
  <c r="R184" i="15"/>
  <c r="T184" i="15"/>
  <c r="S184" i="15"/>
  <c r="R192" i="15"/>
  <c r="T192" i="15"/>
  <c r="S192" i="15"/>
  <c r="R200" i="15"/>
  <c r="T200" i="15"/>
  <c r="S200" i="15"/>
  <c r="R208" i="15"/>
  <c r="T208" i="15"/>
  <c r="S208" i="15"/>
  <c r="R216" i="15"/>
  <c r="T216" i="15"/>
  <c r="S216" i="15"/>
  <c r="R224" i="15"/>
  <c r="T224" i="15"/>
  <c r="S224" i="15"/>
  <c r="R240" i="15"/>
  <c r="T240" i="15"/>
  <c r="S240" i="15"/>
  <c r="S249" i="15"/>
  <c r="R249" i="15"/>
  <c r="S263" i="15"/>
  <c r="R263" i="15"/>
  <c r="R263" i="14" s="1"/>
  <c r="S269" i="15"/>
  <c r="R269" i="15"/>
  <c r="T269" i="15"/>
  <c r="S281" i="15"/>
  <c r="R281" i="15"/>
  <c r="S295" i="15"/>
  <c r="R295" i="15"/>
  <c r="R295" i="14" s="1"/>
  <c r="S301" i="15"/>
  <c r="R301" i="15"/>
  <c r="T301" i="15"/>
  <c r="S313" i="15"/>
  <c r="R313" i="15"/>
  <c r="R313" i="14" s="1"/>
  <c r="S327" i="15"/>
  <c r="R327" i="15"/>
  <c r="S333" i="15"/>
  <c r="R333" i="15"/>
  <c r="T333" i="15"/>
  <c r="S345" i="15"/>
  <c r="R345" i="15"/>
  <c r="S359" i="15"/>
  <c r="R359" i="15"/>
  <c r="S365" i="15"/>
  <c r="R365" i="15"/>
  <c r="T365" i="15"/>
  <c r="S377" i="15"/>
  <c r="R377" i="15"/>
  <c r="R391" i="15"/>
  <c r="S391" i="15"/>
  <c r="T391" i="15"/>
  <c r="R407" i="15"/>
  <c r="S407" i="15"/>
  <c r="T407" i="15"/>
  <c r="R423" i="15"/>
  <c r="S423" i="15"/>
  <c r="T423" i="15"/>
  <c r="T435" i="15"/>
  <c r="R435" i="15"/>
  <c r="S435" i="15"/>
  <c r="T451" i="15"/>
  <c r="R451" i="15"/>
  <c r="S451" i="15"/>
  <c r="T467" i="15"/>
  <c r="R467" i="15"/>
  <c r="S467" i="15"/>
  <c r="T483" i="15"/>
  <c r="R483" i="15"/>
  <c r="S483" i="15"/>
  <c r="T499" i="15"/>
  <c r="R499" i="15"/>
  <c r="S499" i="15"/>
  <c r="E8" i="15"/>
  <c r="E14" i="15"/>
  <c r="R25" i="15"/>
  <c r="R33" i="15"/>
  <c r="R37" i="15"/>
  <c r="R45" i="15"/>
  <c r="R53" i="15"/>
  <c r="R61" i="15"/>
  <c r="R69" i="15"/>
  <c r="R77" i="15"/>
  <c r="R81" i="15"/>
  <c r="R97" i="15"/>
  <c r="R105" i="15"/>
  <c r="R113" i="15"/>
  <c r="R121" i="15"/>
  <c r="R125" i="15"/>
  <c r="T125" i="15"/>
  <c r="R129" i="15"/>
  <c r="T129" i="15"/>
  <c r="S131" i="15"/>
  <c r="R137" i="15"/>
  <c r="T137" i="15"/>
  <c r="S139" i="15"/>
  <c r="R145" i="15"/>
  <c r="T145" i="15"/>
  <c r="S147" i="15"/>
  <c r="R153" i="15"/>
  <c r="T153" i="15"/>
  <c r="S155" i="15"/>
  <c r="R161" i="15"/>
  <c r="T161" i="15"/>
  <c r="S163" i="15"/>
  <c r="R169" i="15"/>
  <c r="T169" i="15"/>
  <c r="S171" i="15"/>
  <c r="R177" i="15"/>
  <c r="T177" i="15"/>
  <c r="S179" i="15"/>
  <c r="R185" i="15"/>
  <c r="T185" i="15"/>
  <c r="S187" i="15"/>
  <c r="R193" i="15"/>
  <c r="T193" i="15"/>
  <c r="S195" i="15"/>
  <c r="R201" i="15"/>
  <c r="T201" i="15"/>
  <c r="S203" i="15"/>
  <c r="R209" i="15"/>
  <c r="T209" i="15"/>
  <c r="S211" i="15"/>
  <c r="R217" i="15"/>
  <c r="T217" i="15"/>
  <c r="S219" i="15"/>
  <c r="R230" i="15"/>
  <c r="T230" i="15"/>
  <c r="S230" i="15"/>
  <c r="S251" i="15"/>
  <c r="R251" i="15"/>
  <c r="T251" i="15"/>
  <c r="T263" i="15"/>
  <c r="T265" i="15"/>
  <c r="S283" i="15"/>
  <c r="R283" i="15"/>
  <c r="T283" i="15"/>
  <c r="T295" i="15"/>
  <c r="T297" i="15"/>
  <c r="S315" i="15"/>
  <c r="R315" i="15"/>
  <c r="T315" i="15"/>
  <c r="T327" i="15"/>
  <c r="T329" i="15"/>
  <c r="S347" i="15"/>
  <c r="R347" i="15"/>
  <c r="T347" i="15"/>
  <c r="T359" i="15"/>
  <c r="T361" i="15"/>
  <c r="S379" i="15"/>
  <c r="R379" i="15"/>
  <c r="T379" i="15"/>
  <c r="T379" i="14" s="1"/>
  <c r="R397" i="15"/>
  <c r="S397" i="15"/>
  <c r="T397" i="15"/>
  <c r="R413" i="15"/>
  <c r="S413" i="15"/>
  <c r="T413" i="15"/>
  <c r="P16" i="15"/>
  <c r="S20" i="15"/>
  <c r="S24" i="15"/>
  <c r="S28" i="15"/>
  <c r="S32" i="15"/>
  <c r="S36" i="15"/>
  <c r="S40" i="15"/>
  <c r="S44" i="15"/>
  <c r="S48" i="15"/>
  <c r="S52" i="15"/>
  <c r="S56" i="15"/>
  <c r="S60" i="15"/>
  <c r="S64" i="15"/>
  <c r="S68" i="15"/>
  <c r="S72" i="15"/>
  <c r="S76" i="15"/>
  <c r="S80" i="15"/>
  <c r="S84" i="15"/>
  <c r="S88" i="15"/>
  <c r="S92" i="15"/>
  <c r="S96" i="15"/>
  <c r="S100" i="15"/>
  <c r="S104" i="15"/>
  <c r="S108" i="15"/>
  <c r="S112" i="15"/>
  <c r="S116" i="15"/>
  <c r="S120" i="15"/>
  <c r="R122" i="15"/>
  <c r="T122" i="15"/>
  <c r="R124" i="15"/>
  <c r="T124" i="15"/>
  <c r="R126" i="15"/>
  <c r="T126" i="15"/>
  <c r="R128" i="15"/>
  <c r="T128" i="15"/>
  <c r="R130" i="15"/>
  <c r="T130" i="15"/>
  <c r="S130" i="15"/>
  <c r="R133" i="15"/>
  <c r="T133" i="15"/>
  <c r="S135" i="15"/>
  <c r="R138" i="15"/>
  <c r="T138" i="15"/>
  <c r="S138" i="15"/>
  <c r="R141" i="15"/>
  <c r="T141" i="15"/>
  <c r="S143" i="15"/>
  <c r="R146" i="15"/>
  <c r="T146" i="15"/>
  <c r="S146" i="15"/>
  <c r="R149" i="15"/>
  <c r="T149" i="15"/>
  <c r="S151" i="15"/>
  <c r="R154" i="15"/>
  <c r="T154" i="15"/>
  <c r="S154" i="15"/>
  <c r="R157" i="15"/>
  <c r="T157" i="15"/>
  <c r="S159" i="15"/>
  <c r="R162" i="15"/>
  <c r="T162" i="15"/>
  <c r="S162" i="15"/>
  <c r="R165" i="15"/>
  <c r="T165" i="15"/>
  <c r="S167" i="15"/>
  <c r="R170" i="15"/>
  <c r="T170" i="15"/>
  <c r="S170" i="15"/>
  <c r="R173" i="15"/>
  <c r="T173" i="15"/>
  <c r="S175" i="15"/>
  <c r="R178" i="15"/>
  <c r="T178" i="15"/>
  <c r="S178" i="15"/>
  <c r="R181" i="15"/>
  <c r="T181" i="15"/>
  <c r="S183" i="15"/>
  <c r="R186" i="15"/>
  <c r="T186" i="15"/>
  <c r="S186" i="15"/>
  <c r="R189" i="15"/>
  <c r="T189" i="15"/>
  <c r="S191" i="15"/>
  <c r="R194" i="15"/>
  <c r="T194" i="15"/>
  <c r="S194" i="15"/>
  <c r="R197" i="15"/>
  <c r="T197" i="15"/>
  <c r="S199" i="15"/>
  <c r="R202" i="15"/>
  <c r="T202" i="15"/>
  <c r="S202" i="15"/>
  <c r="R205" i="15"/>
  <c r="T205" i="15"/>
  <c r="S207" i="15"/>
  <c r="R210" i="15"/>
  <c r="T210" i="15"/>
  <c r="S210" i="15"/>
  <c r="R213" i="15"/>
  <c r="T213" i="15"/>
  <c r="S215" i="15"/>
  <c r="R218" i="15"/>
  <c r="T218" i="15"/>
  <c r="S218" i="15"/>
  <c r="R221" i="15"/>
  <c r="T221" i="15"/>
  <c r="S223" i="15"/>
  <c r="R226" i="15"/>
  <c r="T226" i="15"/>
  <c r="S226" i="15"/>
  <c r="R234" i="15"/>
  <c r="T234" i="15"/>
  <c r="S234" i="15"/>
  <c r="R242" i="15"/>
  <c r="T242" i="15"/>
  <c r="S242" i="15"/>
  <c r="S255" i="15"/>
  <c r="R255" i="15"/>
  <c r="S257" i="15"/>
  <c r="R257" i="15"/>
  <c r="S271" i="15"/>
  <c r="R271" i="15"/>
  <c r="R271" i="14" s="1"/>
  <c r="S273" i="15"/>
  <c r="R273" i="15"/>
  <c r="S287" i="15"/>
  <c r="R287" i="15"/>
  <c r="S289" i="15"/>
  <c r="R289" i="15"/>
  <c r="S303" i="15"/>
  <c r="R303" i="15"/>
  <c r="R303" i="14" s="1"/>
  <c r="S305" i="15"/>
  <c r="R305" i="15"/>
  <c r="S319" i="15"/>
  <c r="R319" i="15"/>
  <c r="R319" i="14" s="1"/>
  <c r="S321" i="15"/>
  <c r="R321" i="15"/>
  <c r="S335" i="15"/>
  <c r="R335" i="15"/>
  <c r="S337" i="15"/>
  <c r="R337" i="15"/>
  <c r="S351" i="15"/>
  <c r="R351" i="15"/>
  <c r="S353" i="15"/>
  <c r="R353" i="15"/>
  <c r="S367" i="15"/>
  <c r="R367" i="15"/>
  <c r="S369" i="15"/>
  <c r="R369" i="15"/>
  <c r="S383" i="15"/>
  <c r="R383" i="15"/>
  <c r="S385" i="15"/>
  <c r="R385" i="15"/>
  <c r="T440" i="15"/>
  <c r="R440" i="15"/>
  <c r="S440" i="15"/>
  <c r="T443" i="15"/>
  <c r="R443" i="15"/>
  <c r="S443" i="15"/>
  <c r="T456" i="15"/>
  <c r="R456" i="15"/>
  <c r="R456" i="14" s="1"/>
  <c r="S456" i="15"/>
  <c r="T459" i="15"/>
  <c r="R459" i="15"/>
  <c r="S459" i="15"/>
  <c r="T472" i="15"/>
  <c r="R472" i="15"/>
  <c r="R472" i="14" s="1"/>
  <c r="S472" i="15"/>
  <c r="T475" i="15"/>
  <c r="R475" i="15"/>
  <c r="R475" i="14" s="1"/>
  <c r="S475" i="15"/>
  <c r="T488" i="15"/>
  <c r="R488" i="15"/>
  <c r="S488" i="15"/>
  <c r="T491" i="15"/>
  <c r="R491" i="15"/>
  <c r="R491" i="14" s="1"/>
  <c r="S491" i="15"/>
  <c r="T504" i="15"/>
  <c r="R504" i="15"/>
  <c r="S504" i="15"/>
  <c r="T507" i="15"/>
  <c r="R507" i="15"/>
  <c r="R507" i="14" s="1"/>
  <c r="S507" i="15"/>
  <c r="R225" i="15"/>
  <c r="T225" i="15"/>
  <c r="R227" i="15"/>
  <c r="T227" i="15"/>
  <c r="R229" i="15"/>
  <c r="T229" i="15"/>
  <c r="R231" i="15"/>
  <c r="T231" i="15"/>
  <c r="R233" i="15"/>
  <c r="T233" i="15"/>
  <c r="R235" i="15"/>
  <c r="T235" i="15"/>
  <c r="R237" i="15"/>
  <c r="T237" i="15"/>
  <c r="R239" i="15"/>
  <c r="R239" i="14" s="1"/>
  <c r="T239" i="15"/>
  <c r="R241" i="15"/>
  <c r="T241" i="15"/>
  <c r="R243" i="15"/>
  <c r="R243" i="14" s="1"/>
  <c r="T243" i="15"/>
  <c r="S245" i="15"/>
  <c r="R245" i="15"/>
  <c r="T255" i="15"/>
  <c r="T257" i="15"/>
  <c r="S259" i="15"/>
  <c r="R259" i="15"/>
  <c r="R259" i="14" s="1"/>
  <c r="S261" i="15"/>
  <c r="R261" i="15"/>
  <c r="T271" i="15"/>
  <c r="T273" i="15"/>
  <c r="S275" i="15"/>
  <c r="R275" i="15"/>
  <c r="S277" i="15"/>
  <c r="R277" i="15"/>
  <c r="T287" i="15"/>
  <c r="T289" i="15"/>
  <c r="S291" i="15"/>
  <c r="R291" i="15"/>
  <c r="R291" i="14" s="1"/>
  <c r="S293" i="15"/>
  <c r="R293" i="15"/>
  <c r="T303" i="15"/>
  <c r="T305" i="15"/>
  <c r="S307" i="15"/>
  <c r="R307" i="15"/>
  <c r="S309" i="15"/>
  <c r="R309" i="15"/>
  <c r="T319" i="15"/>
  <c r="T319" i="14" s="1"/>
  <c r="T321" i="15"/>
  <c r="S323" i="15"/>
  <c r="R323" i="15"/>
  <c r="R323" i="14" s="1"/>
  <c r="S325" i="15"/>
  <c r="R325" i="15"/>
  <c r="T335" i="15"/>
  <c r="T337" i="15"/>
  <c r="S339" i="15"/>
  <c r="R339" i="15"/>
  <c r="S341" i="15"/>
  <c r="R341" i="15"/>
  <c r="T351" i="15"/>
  <c r="T353" i="15"/>
  <c r="S355" i="15"/>
  <c r="R355" i="15"/>
  <c r="S357" i="15"/>
  <c r="R357" i="15"/>
  <c r="T367" i="15"/>
  <c r="T369" i="15"/>
  <c r="S371" i="15"/>
  <c r="R371" i="15"/>
  <c r="S373" i="15"/>
  <c r="R373" i="15"/>
  <c r="T383" i="15"/>
  <c r="T383" i="14" s="1"/>
  <c r="T385" i="15"/>
  <c r="T248" i="15"/>
  <c r="T252" i="15"/>
  <c r="T256" i="15"/>
  <c r="T260" i="15"/>
  <c r="T264" i="15"/>
  <c r="T268" i="15"/>
  <c r="T272" i="15"/>
  <c r="T276" i="15"/>
  <c r="T280" i="15"/>
  <c r="T284" i="15"/>
  <c r="T288" i="15"/>
  <c r="T292" i="15"/>
  <c r="T296" i="15"/>
  <c r="T300" i="15"/>
  <c r="T304" i="15"/>
  <c r="T308" i="15"/>
  <c r="T312" i="15"/>
  <c r="T316" i="15"/>
  <c r="T320" i="15"/>
  <c r="T324" i="15"/>
  <c r="T328" i="15"/>
  <c r="T332" i="15"/>
  <c r="T336" i="15"/>
  <c r="T340" i="15"/>
  <c r="T344" i="15"/>
  <c r="T348" i="15"/>
  <c r="T352" i="15"/>
  <c r="T356" i="15"/>
  <c r="T360" i="15"/>
  <c r="T364" i="15"/>
  <c r="T368" i="15"/>
  <c r="T372" i="15"/>
  <c r="T376" i="15"/>
  <c r="T380" i="15"/>
  <c r="T384" i="15"/>
  <c r="R401" i="15"/>
  <c r="S401" i="15"/>
  <c r="R403" i="15"/>
  <c r="S403" i="15"/>
  <c r="R417" i="15"/>
  <c r="S417" i="15"/>
  <c r="R419" i="15"/>
  <c r="S419" i="15"/>
  <c r="T436" i="15"/>
  <c r="R436" i="15"/>
  <c r="S436" i="15"/>
  <c r="T439" i="15"/>
  <c r="R439" i="15"/>
  <c r="R439" i="14" s="1"/>
  <c r="S439" i="15"/>
  <c r="T452" i="15"/>
  <c r="R452" i="15"/>
  <c r="S452" i="15"/>
  <c r="T455" i="15"/>
  <c r="R455" i="15"/>
  <c r="S455" i="15"/>
  <c r="T468" i="15"/>
  <c r="R468" i="15"/>
  <c r="R468" i="14" s="1"/>
  <c r="S468" i="15"/>
  <c r="T471" i="15"/>
  <c r="R471" i="15"/>
  <c r="S471" i="15"/>
  <c r="T484" i="15"/>
  <c r="R484" i="15"/>
  <c r="S484" i="15"/>
  <c r="T487" i="15"/>
  <c r="R487" i="15"/>
  <c r="S487" i="15"/>
  <c r="T500" i="15"/>
  <c r="R500" i="15"/>
  <c r="R500" i="14" s="1"/>
  <c r="S500" i="15"/>
  <c r="T503" i="15"/>
  <c r="R503" i="15"/>
  <c r="S503" i="15"/>
  <c r="R393" i="15"/>
  <c r="S393" i="15"/>
  <c r="R395" i="15"/>
  <c r="S395" i="15"/>
  <c r="R409" i="15"/>
  <c r="S409" i="15"/>
  <c r="R411" i="15"/>
  <c r="R411" i="14" s="1"/>
  <c r="S411" i="15"/>
  <c r="R425" i="15"/>
  <c r="S425" i="15"/>
  <c r="R427" i="15"/>
  <c r="R427" i="14" s="1"/>
  <c r="S427" i="15"/>
  <c r="T431" i="15"/>
  <c r="R431" i="15"/>
  <c r="S431" i="15"/>
  <c r="T444" i="15"/>
  <c r="R444" i="15"/>
  <c r="S444" i="15"/>
  <c r="T447" i="15"/>
  <c r="R447" i="15"/>
  <c r="S447" i="15"/>
  <c r="T460" i="15"/>
  <c r="R460" i="15"/>
  <c r="S460" i="15"/>
  <c r="T463" i="15"/>
  <c r="R463" i="15"/>
  <c r="R463" i="14" s="1"/>
  <c r="S463" i="15"/>
  <c r="T476" i="15"/>
  <c r="R476" i="15"/>
  <c r="S476" i="15"/>
  <c r="S476" i="14" s="1"/>
  <c r="T479" i="15"/>
  <c r="T479" i="14" s="1"/>
  <c r="R479" i="15"/>
  <c r="S479" i="15"/>
  <c r="T492" i="15"/>
  <c r="R492" i="15"/>
  <c r="S492" i="15"/>
  <c r="T495" i="15"/>
  <c r="R495" i="15"/>
  <c r="S495" i="15"/>
  <c r="S495" i="14" s="1"/>
  <c r="T508" i="15"/>
  <c r="R508" i="15"/>
  <c r="R508" i="14" s="1"/>
  <c r="S508" i="15"/>
  <c r="T511" i="15"/>
  <c r="R511" i="15"/>
  <c r="S511" i="15"/>
  <c r="T430" i="15"/>
  <c r="R430" i="15"/>
  <c r="S430" i="15"/>
  <c r="T433" i="15"/>
  <c r="R433" i="15"/>
  <c r="T438" i="15"/>
  <c r="R438" i="15"/>
  <c r="S438" i="15"/>
  <c r="T441" i="15"/>
  <c r="R441" i="15"/>
  <c r="T446" i="15"/>
  <c r="R446" i="15"/>
  <c r="S446" i="15"/>
  <c r="T449" i="15"/>
  <c r="R449" i="15"/>
  <c r="T454" i="15"/>
  <c r="R454" i="15"/>
  <c r="S454" i="15"/>
  <c r="T457" i="15"/>
  <c r="R457" i="15"/>
  <c r="T462" i="15"/>
  <c r="R462" i="15"/>
  <c r="S462" i="15"/>
  <c r="T465" i="15"/>
  <c r="R465" i="15"/>
  <c r="T470" i="15"/>
  <c r="R470" i="15"/>
  <c r="S470" i="15"/>
  <c r="T473" i="15"/>
  <c r="R473" i="15"/>
  <c r="T478" i="15"/>
  <c r="R478" i="15"/>
  <c r="S478" i="15"/>
  <c r="T481" i="15"/>
  <c r="R481" i="15"/>
  <c r="R481" i="14" s="1"/>
  <c r="T486" i="15"/>
  <c r="R486" i="15"/>
  <c r="S486" i="15"/>
  <c r="T489" i="15"/>
  <c r="R489" i="15"/>
  <c r="T494" i="15"/>
  <c r="R494" i="15"/>
  <c r="S494" i="15"/>
  <c r="T497" i="15"/>
  <c r="R497" i="15"/>
  <c r="R497" i="14" s="1"/>
  <c r="T502" i="15"/>
  <c r="R502" i="15"/>
  <c r="S502" i="15"/>
  <c r="T505" i="15"/>
  <c r="R505" i="15"/>
  <c r="T510" i="15"/>
  <c r="R510" i="15"/>
  <c r="S510" i="15"/>
  <c r="T513" i="15"/>
  <c r="R513" i="15"/>
  <c r="T390" i="15"/>
  <c r="T394" i="15"/>
  <c r="T398" i="15"/>
  <c r="T402" i="15"/>
  <c r="T406" i="15"/>
  <c r="T410" i="15"/>
  <c r="T414" i="15"/>
  <c r="T418" i="15"/>
  <c r="T422" i="15"/>
  <c r="T426" i="15"/>
  <c r="T434" i="15"/>
  <c r="R434" i="15"/>
  <c r="S434" i="15"/>
  <c r="T437" i="15"/>
  <c r="R437" i="15"/>
  <c r="T442" i="15"/>
  <c r="R442" i="15"/>
  <c r="S442" i="15"/>
  <c r="T445" i="15"/>
  <c r="R445" i="15"/>
  <c r="T450" i="15"/>
  <c r="R450" i="15"/>
  <c r="S450" i="15"/>
  <c r="T453" i="15"/>
  <c r="R453" i="15"/>
  <c r="T458" i="15"/>
  <c r="R458" i="15"/>
  <c r="S458" i="15"/>
  <c r="T461" i="15"/>
  <c r="R461" i="15"/>
  <c r="T466" i="15"/>
  <c r="R466" i="15"/>
  <c r="S466" i="15"/>
  <c r="T469" i="15"/>
  <c r="R469" i="15"/>
  <c r="T474" i="15"/>
  <c r="R474" i="15"/>
  <c r="S474" i="15"/>
  <c r="T477" i="15"/>
  <c r="R477" i="15"/>
  <c r="T482" i="15"/>
  <c r="R482" i="15"/>
  <c r="S482" i="15"/>
  <c r="T485" i="15"/>
  <c r="R485" i="15"/>
  <c r="T490" i="15"/>
  <c r="R490" i="15"/>
  <c r="S490" i="15"/>
  <c r="T493" i="15"/>
  <c r="R493" i="15"/>
  <c r="T498" i="15"/>
  <c r="R498" i="15"/>
  <c r="S498" i="15"/>
  <c r="T501" i="15"/>
  <c r="R501" i="15"/>
  <c r="R501" i="14" s="1"/>
  <c r="T506" i="15"/>
  <c r="R506" i="15"/>
  <c r="S506" i="15"/>
  <c r="T509" i="15"/>
  <c r="R509" i="15"/>
  <c r="T514" i="15"/>
  <c r="R514" i="15"/>
  <c r="R514" i="14" s="1"/>
  <c r="S514" i="15"/>
  <c r="E6" i="14"/>
  <c r="P16" i="13"/>
  <c r="P14" i="13"/>
  <c r="P13" i="13"/>
  <c r="T496" i="13"/>
  <c r="T492" i="13"/>
  <c r="T480" i="13"/>
  <c r="T468" i="13"/>
  <c r="R454" i="13"/>
  <c r="R450" i="13"/>
  <c r="T450" i="13"/>
  <c r="T491" i="13"/>
  <c r="T471" i="13"/>
  <c r="S452" i="13"/>
  <c r="R446" i="13"/>
  <c r="R442" i="13"/>
  <c r="T442" i="13"/>
  <c r="R436" i="13"/>
  <c r="T436" i="13"/>
  <c r="T432" i="13"/>
  <c r="T428" i="13"/>
  <c r="R428" i="13"/>
  <c r="R424" i="13"/>
  <c r="T424" i="13"/>
  <c r="R420" i="13"/>
  <c r="T416" i="13"/>
  <c r="R416" i="13"/>
  <c r="T412" i="13"/>
  <c r="R412" i="13"/>
  <c r="T408" i="13"/>
  <c r="R404" i="13"/>
  <c r="R404" i="14" s="1"/>
  <c r="T404" i="13"/>
  <c r="T400" i="13"/>
  <c r="R400" i="13"/>
  <c r="R396" i="13"/>
  <c r="T392" i="13"/>
  <c r="R388" i="13"/>
  <c r="T384" i="13"/>
  <c r="R384" i="13"/>
  <c r="T218" i="13"/>
  <c r="T210" i="13"/>
  <c r="T178" i="13"/>
  <c r="T466" i="13"/>
  <c r="T463" i="13"/>
  <c r="T440" i="13"/>
  <c r="R440" i="13"/>
  <c r="T493" i="13"/>
  <c r="T485" i="13"/>
  <c r="T477" i="13"/>
  <c r="R462" i="13"/>
  <c r="R458" i="13"/>
  <c r="S444" i="13"/>
  <c r="R438" i="13"/>
  <c r="T430" i="13"/>
  <c r="R430" i="13"/>
  <c r="R422" i="13"/>
  <c r="T422" i="13"/>
  <c r="R418" i="13"/>
  <c r="R414" i="13"/>
  <c r="R410" i="13"/>
  <c r="R406" i="13"/>
  <c r="T406" i="13"/>
  <c r="T402" i="13"/>
  <c r="R402" i="13"/>
  <c r="R402" i="14" s="1"/>
  <c r="T394" i="13"/>
  <c r="R390" i="13"/>
  <c r="T390" i="13"/>
  <c r="T386" i="13"/>
  <c r="R386" i="13"/>
  <c r="T238" i="13"/>
  <c r="T206" i="13"/>
  <c r="T142" i="13"/>
  <c r="T360" i="13"/>
  <c r="T356" i="13"/>
  <c r="H14" i="13"/>
  <c r="H14" i="14" s="1"/>
  <c r="H16" i="13"/>
  <c r="H16" i="14" s="1"/>
  <c r="T344" i="13"/>
  <c r="T340" i="13"/>
  <c r="T332" i="13"/>
  <c r="T326" i="13"/>
  <c r="T302" i="13"/>
  <c r="T300" i="13"/>
  <c r="T294" i="13"/>
  <c r="T292" i="13"/>
  <c r="T288" i="13"/>
  <c r="T286" i="13"/>
  <c r="T282" i="13"/>
  <c r="T254" i="13"/>
  <c r="T244" i="13"/>
  <c r="R244" i="13"/>
  <c r="R232" i="13"/>
  <c r="R224" i="13"/>
  <c r="R212" i="13"/>
  <c r="T208" i="13"/>
  <c r="R208" i="13"/>
  <c r="T204" i="13"/>
  <c r="R196" i="13"/>
  <c r="R184" i="13"/>
  <c r="T180" i="13"/>
  <c r="R176" i="13"/>
  <c r="T172" i="13"/>
  <c r="R164" i="13"/>
  <c r="T148" i="13"/>
  <c r="R148" i="13"/>
  <c r="R144" i="13"/>
  <c r="R136" i="13"/>
  <c r="T67" i="13"/>
  <c r="R67" i="13"/>
  <c r="R62" i="13"/>
  <c r="T68" i="13"/>
  <c r="S64" i="13"/>
  <c r="T455" i="13"/>
  <c r="T451" i="13"/>
  <c r="R378" i="13"/>
  <c r="R376" i="13"/>
  <c r="R370" i="13"/>
  <c r="R368" i="13"/>
  <c r="R366" i="13"/>
  <c r="R364" i="13"/>
  <c r="R362" i="13"/>
  <c r="R362" i="14" s="1"/>
  <c r="R360" i="13"/>
  <c r="R350" i="13"/>
  <c r="R348" i="13"/>
  <c r="R346" i="13"/>
  <c r="R344" i="13"/>
  <c r="R342" i="13"/>
  <c r="R340" i="13"/>
  <c r="R336" i="13"/>
  <c r="R334" i="13"/>
  <c r="R332" i="13"/>
  <c r="R330" i="13"/>
  <c r="R328" i="13"/>
  <c r="R324" i="13"/>
  <c r="R320" i="13"/>
  <c r="R318" i="13"/>
  <c r="R316" i="13"/>
  <c r="R312" i="13"/>
  <c r="R308" i="13"/>
  <c r="R304" i="13"/>
  <c r="R302" i="13"/>
  <c r="R300" i="13"/>
  <c r="R296" i="13"/>
  <c r="R292" i="13"/>
  <c r="R288" i="13"/>
  <c r="R286" i="13"/>
  <c r="R284" i="13"/>
  <c r="R280" i="13"/>
  <c r="R276" i="13"/>
  <c r="R272" i="13"/>
  <c r="R270" i="13"/>
  <c r="R268" i="13"/>
  <c r="R264" i="13"/>
  <c r="R260" i="13"/>
  <c r="R256" i="13"/>
  <c r="R254" i="13"/>
  <c r="R252" i="13"/>
  <c r="T246" i="13"/>
  <c r="R246" i="13"/>
  <c r="R242" i="13"/>
  <c r="R238" i="13"/>
  <c r="R234" i="13"/>
  <c r="R226" i="13"/>
  <c r="T222" i="13"/>
  <c r="R222" i="13"/>
  <c r="R218" i="13"/>
  <c r="T214" i="13"/>
  <c r="R210" i="13"/>
  <c r="R202" i="13"/>
  <c r="R194" i="13"/>
  <c r="T190" i="13"/>
  <c r="R190" i="13"/>
  <c r="R186" i="13"/>
  <c r="T182" i="13"/>
  <c r="R178" i="13"/>
  <c r="R174" i="13"/>
  <c r="T170" i="13"/>
  <c r="R170" i="13"/>
  <c r="R166" i="13"/>
  <c r="R162" i="13"/>
  <c r="T158" i="13"/>
  <c r="R158" i="13"/>
  <c r="R154" i="13"/>
  <c r="T150" i="13"/>
  <c r="R146" i="13"/>
  <c r="R142" i="13"/>
  <c r="R138" i="13"/>
  <c r="T130" i="13"/>
  <c r="T54" i="13"/>
  <c r="T51" i="13"/>
  <c r="R51" i="13"/>
  <c r="T48" i="13"/>
  <c r="R46" i="13"/>
  <c r="T378" i="13"/>
  <c r="T376" i="13"/>
  <c r="T366" i="13"/>
  <c r="T364" i="13"/>
  <c r="L14" i="13"/>
  <c r="L16" i="13"/>
  <c r="L16" i="14" s="1"/>
  <c r="N16" i="13"/>
  <c r="N16" i="14" s="1"/>
  <c r="T342" i="13"/>
  <c r="T330" i="13"/>
  <c r="T328" i="13"/>
  <c r="T320" i="13"/>
  <c r="T314" i="13"/>
  <c r="T304" i="13"/>
  <c r="T266" i="13"/>
  <c r="T256" i="13"/>
  <c r="T232" i="13"/>
  <c r="T224" i="13"/>
  <c r="T220" i="13"/>
  <c r="T216" i="13"/>
  <c r="R216" i="13"/>
  <c r="T212" i="13"/>
  <c r="R200" i="13"/>
  <c r="T196" i="13"/>
  <c r="T188" i="13"/>
  <c r="R188" i="13"/>
  <c r="R180" i="13"/>
  <c r="T176" i="13"/>
  <c r="R168" i="13"/>
  <c r="T164" i="13"/>
  <c r="R160" i="13"/>
  <c r="T156" i="13"/>
  <c r="R152" i="13"/>
  <c r="T140" i="13"/>
  <c r="T64" i="13"/>
  <c r="T62" i="13"/>
  <c r="T122" i="13"/>
  <c r="T58" i="13"/>
  <c r="R52" i="13"/>
  <c r="S48" i="13"/>
  <c r="R42" i="13"/>
  <c r="R26" i="13"/>
  <c r="R135" i="13"/>
  <c r="T135" i="13"/>
  <c r="R133" i="13"/>
  <c r="T133" i="13"/>
  <c r="R131" i="13"/>
  <c r="T131" i="13"/>
  <c r="R129" i="13"/>
  <c r="R127" i="13"/>
  <c r="T127" i="13"/>
  <c r="R123" i="13"/>
  <c r="T123" i="13"/>
  <c r="R121" i="13"/>
  <c r="T74" i="13"/>
  <c r="R74" i="13"/>
  <c r="R71" i="13"/>
  <c r="R58" i="13"/>
  <c r="R55" i="13"/>
  <c r="T55" i="13"/>
  <c r="R38" i="13"/>
  <c r="L11" i="13"/>
  <c r="L11" i="14" s="1"/>
  <c r="L9" i="13"/>
  <c r="L9" i="14" s="1"/>
  <c r="N9" i="13"/>
  <c r="N9" i="14" s="1"/>
  <c r="F9" i="13"/>
  <c r="F9" i="14" s="1"/>
  <c r="R22" i="13"/>
  <c r="S60" i="13"/>
  <c r="L12" i="13"/>
  <c r="L12" i="14" s="1"/>
  <c r="L6" i="13"/>
  <c r="L6" i="14" s="1"/>
  <c r="F6" i="13"/>
  <c r="F6" i="14" s="1"/>
  <c r="F12" i="13"/>
  <c r="O6" i="13"/>
  <c r="R132" i="13"/>
  <c r="R130" i="13"/>
  <c r="R128" i="13"/>
  <c r="R126" i="13"/>
  <c r="R124" i="13"/>
  <c r="R122" i="13"/>
  <c r="R120" i="13"/>
  <c r="R75" i="13"/>
  <c r="T75" i="13"/>
  <c r="R72" i="13"/>
  <c r="S68" i="13"/>
  <c r="T59" i="13"/>
  <c r="R59" i="13"/>
  <c r="S57" i="13"/>
  <c r="R56" i="13"/>
  <c r="S52" i="13"/>
  <c r="K10" i="13"/>
  <c r="K10" i="14" s="1"/>
  <c r="I10" i="13"/>
  <c r="I10" i="14" s="1"/>
  <c r="J6" i="13"/>
  <c r="J6" i="14" s="1"/>
  <c r="J12" i="13"/>
  <c r="J12" i="14" s="1"/>
  <c r="M10" i="13"/>
  <c r="P10" i="13" s="1"/>
  <c r="T134" i="13"/>
  <c r="T132" i="13"/>
  <c r="R119" i="13"/>
  <c r="T118" i="13"/>
  <c r="T117" i="13"/>
  <c r="R116" i="13"/>
  <c r="T116" i="13"/>
  <c r="R115" i="13"/>
  <c r="T115" i="13"/>
  <c r="R114" i="13"/>
  <c r="R113" i="13"/>
  <c r="R112" i="13"/>
  <c r="R111" i="13"/>
  <c r="R110" i="13"/>
  <c r="T109" i="13"/>
  <c r="R107" i="13"/>
  <c r="T107" i="13"/>
  <c r="R106" i="13"/>
  <c r="T106" i="13"/>
  <c r="R104" i="13"/>
  <c r="R103" i="13"/>
  <c r="T103" i="13"/>
  <c r="R101" i="13"/>
  <c r="T101" i="13"/>
  <c r="R100" i="13"/>
  <c r="T100" i="13"/>
  <c r="R99" i="13"/>
  <c r="T99" i="13"/>
  <c r="R98" i="13"/>
  <c r="R97" i="13"/>
  <c r="R96" i="13"/>
  <c r="R95" i="13"/>
  <c r="T95" i="13"/>
  <c r="R92" i="13"/>
  <c r="T92" i="13"/>
  <c r="R91" i="13"/>
  <c r="R89" i="13"/>
  <c r="R87" i="13"/>
  <c r="T86" i="13"/>
  <c r="R85" i="13"/>
  <c r="T85" i="13"/>
  <c r="R83" i="13"/>
  <c r="T83" i="13"/>
  <c r="R82" i="13"/>
  <c r="R81" i="13"/>
  <c r="R79" i="13"/>
  <c r="T79" i="13"/>
  <c r="R78" i="13"/>
  <c r="R77" i="13"/>
  <c r="T76" i="13"/>
  <c r="R63" i="13"/>
  <c r="T63" i="13"/>
  <c r="R60" i="13"/>
  <c r="T60" i="13"/>
  <c r="S56" i="13"/>
  <c r="T47" i="13"/>
  <c r="R47" i="13"/>
  <c r="H10" i="13"/>
  <c r="S22" i="13"/>
  <c r="M8" i="13"/>
  <c r="P8" i="13" s="1"/>
  <c r="H8" i="13"/>
  <c r="Q8" i="13" s="1"/>
  <c r="P6" i="13"/>
  <c r="R44" i="13"/>
  <c r="T40" i="13"/>
  <c r="R36" i="13"/>
  <c r="T36" i="13"/>
  <c r="R32" i="13"/>
  <c r="R28" i="13"/>
  <c r="K9" i="13"/>
  <c r="K9" i="14" s="1"/>
  <c r="F13" i="13"/>
  <c r="R20" i="13"/>
  <c r="M11" i="13"/>
  <c r="P11" i="13" s="1"/>
  <c r="P9" i="13"/>
  <c r="I11" i="13"/>
  <c r="I11" i="14" s="1"/>
  <c r="I6" i="13"/>
  <c r="I6" i="14" s="1"/>
  <c r="R45" i="13"/>
  <c r="R43" i="13"/>
  <c r="R41" i="13"/>
  <c r="R39" i="13"/>
  <c r="R37" i="13"/>
  <c r="R33" i="13"/>
  <c r="R31" i="13"/>
  <c r="F11" i="13"/>
  <c r="F11" i="14" s="1"/>
  <c r="R27" i="13"/>
  <c r="F10" i="13"/>
  <c r="O10" i="13" s="1"/>
  <c r="R21" i="13"/>
  <c r="F8" i="13"/>
  <c r="R19" i="13"/>
  <c r="G12" i="13"/>
  <c r="T460" i="13"/>
  <c r="T444" i="13"/>
  <c r="R504" i="13"/>
  <c r="R492" i="13"/>
  <c r="T487" i="13"/>
  <c r="S487" i="13"/>
  <c r="T484" i="13"/>
  <c r="R484" i="13"/>
  <c r="R459" i="13"/>
  <c r="S456" i="13"/>
  <c r="S449" i="13"/>
  <c r="T449" i="13"/>
  <c r="R421" i="13"/>
  <c r="T417" i="13"/>
  <c r="T417" i="14" s="1"/>
  <c r="S407" i="13"/>
  <c r="T399" i="13"/>
  <c r="T395" i="13"/>
  <c r="S395" i="13"/>
  <c r="R392" i="13"/>
  <c r="R389" i="13"/>
  <c r="T385" i="13"/>
  <c r="R382" i="13"/>
  <c r="S381" i="13"/>
  <c r="S371" i="13"/>
  <c r="T363" i="13"/>
  <c r="T359" i="13"/>
  <c r="S359" i="13"/>
  <c r="R356" i="13"/>
  <c r="R511" i="13"/>
  <c r="S508" i="13"/>
  <c r="T507" i="13"/>
  <c r="S507" i="13"/>
  <c r="R503" i="13"/>
  <c r="T501" i="13"/>
  <c r="R499" i="13"/>
  <c r="S496" i="13"/>
  <c r="S494" i="13"/>
  <c r="R483" i="13"/>
  <c r="T482" i="13"/>
  <c r="R477" i="13"/>
  <c r="R473" i="13"/>
  <c r="T469" i="13"/>
  <c r="R467" i="13"/>
  <c r="R464" i="13"/>
  <c r="T464" i="13"/>
  <c r="S459" i="13"/>
  <c r="T447" i="13"/>
  <c r="S447" i="13"/>
  <c r="R444" i="13"/>
  <c r="R441" i="13"/>
  <c r="T441" i="13"/>
  <c r="T437" i="13"/>
  <c r="R435" i="13"/>
  <c r="R432" i="13"/>
  <c r="R423" i="13"/>
  <c r="S420" i="13"/>
  <c r="S413" i="13"/>
  <c r="T398" i="13"/>
  <c r="R391" i="13"/>
  <c r="T391" i="13"/>
  <c r="S388" i="13"/>
  <c r="S377" i="13"/>
  <c r="T368" i="13"/>
  <c r="R355" i="13"/>
  <c r="T350" i="13"/>
  <c r="T510" i="13"/>
  <c r="T502" i="13"/>
  <c r="T498" i="13"/>
  <c r="R488" i="13"/>
  <c r="S483" i="13"/>
  <c r="T478" i="13"/>
  <c r="T474" i="13"/>
  <c r="R466" i="13"/>
  <c r="S465" i="13"/>
  <c r="T465" i="13"/>
  <c r="R443" i="13"/>
  <c r="T434" i="13"/>
  <c r="R434" i="13"/>
  <c r="S433" i="13"/>
  <c r="S423" i="13"/>
  <c r="T411" i="13"/>
  <c r="S411" i="13"/>
  <c r="R408" i="13"/>
  <c r="R405" i="13"/>
  <c r="S391" i="13"/>
  <c r="T382" i="13"/>
  <c r="T375" i="13"/>
  <c r="S375" i="13"/>
  <c r="T372" i="13"/>
  <c r="R372" i="13"/>
  <c r="R369" i="13"/>
  <c r="S355" i="13"/>
  <c r="T511" i="13"/>
  <c r="R510" i="13"/>
  <c r="T508" i="13"/>
  <c r="T503" i="13"/>
  <c r="R502" i="13"/>
  <c r="T499" i="13"/>
  <c r="R498" i="13"/>
  <c r="T490" i="13"/>
  <c r="T488" i="13"/>
  <c r="R480" i="13"/>
  <c r="R478" i="13"/>
  <c r="R474" i="13"/>
  <c r="T467" i="13"/>
  <c r="S463" i="13"/>
  <c r="R460" i="13"/>
  <c r="R457" i="13"/>
  <c r="T457" i="13"/>
  <c r="R451" i="13"/>
  <c r="R448" i="13"/>
  <c r="T448" i="13"/>
  <c r="S443" i="13"/>
  <c r="T435" i="13"/>
  <c r="T431" i="13"/>
  <c r="S431" i="13"/>
  <c r="T414" i="13"/>
  <c r="R407" i="13"/>
  <c r="R398" i="13"/>
  <c r="S397" i="13"/>
  <c r="T397" i="13"/>
  <c r="R371" i="13"/>
  <c r="T370" i="13"/>
  <c r="T362" i="13"/>
  <c r="S361" i="13"/>
  <c r="T361" i="13"/>
  <c r="T343" i="13"/>
  <c r="S327" i="13"/>
  <c r="S245" i="13"/>
  <c r="T237" i="13"/>
  <c r="S237" i="13"/>
  <c r="T230" i="13"/>
  <c r="S208" i="13"/>
  <c r="T199" i="13"/>
  <c r="R199" i="13"/>
  <c r="S188" i="13"/>
  <c r="T175" i="13"/>
  <c r="S160" i="13"/>
  <c r="T143" i="13"/>
  <c r="S128" i="13"/>
  <c r="T111" i="13"/>
  <c r="S96" i="13"/>
  <c r="S510" i="13"/>
  <c r="R506" i="13"/>
  <c r="T506" i="13"/>
  <c r="R505" i="13"/>
  <c r="S490" i="13"/>
  <c r="R486" i="13"/>
  <c r="T486" i="13"/>
  <c r="R485" i="13"/>
  <c r="S466" i="13"/>
  <c r="R461" i="13"/>
  <c r="S450" i="13"/>
  <c r="R445" i="13"/>
  <c r="S434" i="13"/>
  <c r="R429" i="13"/>
  <c r="R425" i="13"/>
  <c r="S414" i="13"/>
  <c r="T410" i="13"/>
  <c r="R409" i="13"/>
  <c r="S398" i="13"/>
  <c r="T396" i="13"/>
  <c r="R394" i="13"/>
  <c r="R393" i="13"/>
  <c r="S382" i="13"/>
  <c r="S378" i="13"/>
  <c r="R374" i="13"/>
  <c r="T374" i="13"/>
  <c r="R373" i="13"/>
  <c r="S362" i="13"/>
  <c r="R358" i="13"/>
  <c r="T358" i="13"/>
  <c r="R357" i="13"/>
  <c r="S342" i="13"/>
  <c r="T339" i="13"/>
  <c r="S336" i="13"/>
  <c r="T335" i="13"/>
  <c r="R331" i="13"/>
  <c r="T331" i="13"/>
  <c r="T325" i="13"/>
  <c r="S325" i="13"/>
  <c r="T321" i="13"/>
  <c r="S321" i="13"/>
  <c r="S320" i="13"/>
  <c r="T317" i="13"/>
  <c r="S317" i="13"/>
  <c r="T315" i="13"/>
  <c r="T313" i="13"/>
  <c r="S313" i="13"/>
  <c r="S312" i="13"/>
  <c r="T309" i="13"/>
  <c r="S309" i="13"/>
  <c r="T307" i="13"/>
  <c r="T305" i="13"/>
  <c r="S305" i="13"/>
  <c r="S304" i="13"/>
  <c r="T301" i="13"/>
  <c r="S301" i="13"/>
  <c r="T297" i="13"/>
  <c r="S297" i="13"/>
  <c r="S296" i="13"/>
  <c r="T293" i="13"/>
  <c r="S293" i="13"/>
  <c r="T289" i="13"/>
  <c r="S289" i="13"/>
  <c r="S288" i="13"/>
  <c r="T285" i="13"/>
  <c r="S285" i="13"/>
  <c r="T283" i="13"/>
  <c r="T281" i="13"/>
  <c r="S281" i="13"/>
  <c r="S280" i="13"/>
  <c r="T277" i="13"/>
  <c r="S277" i="13"/>
  <c r="T275" i="13"/>
  <c r="T273" i="13"/>
  <c r="S273" i="13"/>
  <c r="S272" i="13"/>
  <c r="T269" i="13"/>
  <c r="S269" i="13"/>
  <c r="T265" i="13"/>
  <c r="S265" i="13"/>
  <c r="S264" i="13"/>
  <c r="T261" i="13"/>
  <c r="S261" i="13"/>
  <c r="T257" i="13"/>
  <c r="S257" i="13"/>
  <c r="S256" i="13"/>
  <c r="T253" i="13"/>
  <c r="S253" i="13"/>
  <c r="T251" i="13"/>
  <c r="S243" i="13"/>
  <c r="T226" i="13"/>
  <c r="S224" i="13"/>
  <c r="S223" i="13"/>
  <c r="T213" i="13"/>
  <c r="R213" i="13"/>
  <c r="S212" i="13"/>
  <c r="T203" i="13"/>
  <c r="T202" i="13"/>
  <c r="R185" i="13"/>
  <c r="R172" i="13"/>
  <c r="S168" i="13"/>
  <c r="T167" i="13"/>
  <c r="S167" i="13"/>
  <c r="T157" i="13"/>
  <c r="R153" i="13"/>
  <c r="T153" i="13"/>
  <c r="R140" i="13"/>
  <c r="S136" i="13"/>
  <c r="S135" i="13"/>
  <c r="T125" i="13"/>
  <c r="T108" i="13"/>
  <c r="R108" i="13"/>
  <c r="S104" i="13"/>
  <c r="S103" i="13"/>
  <c r="T78" i="13"/>
  <c r="S470" i="13"/>
  <c r="S454" i="13"/>
  <c r="S438" i="13"/>
  <c r="S418" i="13"/>
  <c r="S402" i="13"/>
  <c r="S386" i="13"/>
  <c r="S366" i="13"/>
  <c r="T353" i="13"/>
  <c r="S351" i="13"/>
  <c r="T351" i="13"/>
  <c r="T349" i="13"/>
  <c r="S346" i="13"/>
  <c r="S341" i="13"/>
  <c r="T336" i="13"/>
  <c r="T324" i="13"/>
  <c r="R322" i="13"/>
  <c r="T322" i="13"/>
  <c r="T318" i="13"/>
  <c r="T316" i="13"/>
  <c r="R314" i="13"/>
  <c r="T312" i="13"/>
  <c r="T310" i="13"/>
  <c r="T308" i="13"/>
  <c r="R306" i="13"/>
  <c r="T306" i="13"/>
  <c r="R298" i="13"/>
  <c r="T298" i="13"/>
  <c r="T296" i="13"/>
  <c r="R290" i="13"/>
  <c r="T290" i="13"/>
  <c r="T284" i="13"/>
  <c r="R282" i="13"/>
  <c r="T280" i="13"/>
  <c r="T278" i="13"/>
  <c r="T276" i="13"/>
  <c r="R274" i="13"/>
  <c r="T274" i="13"/>
  <c r="T272" i="13"/>
  <c r="T270" i="13"/>
  <c r="T268" i="13"/>
  <c r="R266" i="13"/>
  <c r="T264" i="13"/>
  <c r="T262" i="13"/>
  <c r="T260" i="13"/>
  <c r="R258" i="13"/>
  <c r="T258" i="13"/>
  <c r="T252" i="13"/>
  <c r="T248" i="13"/>
  <c r="T240" i="13"/>
  <c r="R236" i="13"/>
  <c r="T236" i="13"/>
  <c r="T235" i="13"/>
  <c r="R235" i="13"/>
  <c r="R228" i="13"/>
  <c r="T228" i="13"/>
  <c r="T227" i="13"/>
  <c r="R227" i="13"/>
  <c r="R221" i="13"/>
  <c r="R220" i="13"/>
  <c r="T195" i="13"/>
  <c r="S195" i="13"/>
  <c r="S176" i="13"/>
  <c r="T159" i="13"/>
  <c r="S144" i="13"/>
  <c r="T112" i="13"/>
  <c r="S112" i="13"/>
  <c r="R86" i="13"/>
  <c r="S71" i="13"/>
  <c r="R513" i="13"/>
  <c r="S502" i="13"/>
  <c r="S498" i="13"/>
  <c r="T494" i="13"/>
  <c r="R493" i="13"/>
  <c r="T489" i="13"/>
  <c r="S482" i="13"/>
  <c r="S478" i="13"/>
  <c r="S474" i="13"/>
  <c r="T472" i="13"/>
  <c r="T470" i="13"/>
  <c r="R469" i="13"/>
  <c r="S458" i="13"/>
  <c r="T456" i="13"/>
  <c r="R453" i="13"/>
  <c r="S442" i="13"/>
  <c r="T438" i="13"/>
  <c r="R437" i="13"/>
  <c r="T433" i="13"/>
  <c r="S422" i="13"/>
  <c r="T420" i="13"/>
  <c r="T418" i="13"/>
  <c r="R417" i="13"/>
  <c r="T413" i="13"/>
  <c r="S406" i="13"/>
  <c r="R401" i="13"/>
  <c r="S390" i="13"/>
  <c r="T388" i="13"/>
  <c r="R385" i="13"/>
  <c r="T381" i="13"/>
  <c r="T377" i="13"/>
  <c r="T377" i="14" s="1"/>
  <c r="S370" i="13"/>
  <c r="R365" i="13"/>
  <c r="S354" i="13"/>
  <c r="S350" i="13"/>
  <c r="T348" i="13"/>
  <c r="T346" i="13"/>
  <c r="R345" i="13"/>
  <c r="T341" i="13"/>
  <c r="R341" i="13"/>
  <c r="R338" i="13"/>
  <c r="R337" i="13"/>
  <c r="T334" i="13"/>
  <c r="S329" i="13"/>
  <c r="R327" i="13"/>
  <c r="T229" i="13"/>
  <c r="R229" i="13"/>
  <c r="T221" i="13"/>
  <c r="S210" i="13"/>
  <c r="R205" i="13"/>
  <c r="T205" i="13"/>
  <c r="R204" i="13"/>
  <c r="R198" i="13"/>
  <c r="T197" i="13"/>
  <c r="T184" i="13"/>
  <c r="S184" i="13"/>
  <c r="T183" i="13"/>
  <c r="S183" i="13"/>
  <c r="T173" i="13"/>
  <c r="R169" i="13"/>
  <c r="R156" i="13"/>
  <c r="T152" i="13"/>
  <c r="S152" i="13"/>
  <c r="T151" i="13"/>
  <c r="S151" i="13"/>
  <c r="T141" i="13"/>
  <c r="R137" i="13"/>
  <c r="T124" i="13"/>
  <c r="S120" i="13"/>
  <c r="T119" i="13"/>
  <c r="S119" i="13"/>
  <c r="R105" i="13"/>
  <c r="T105" i="13"/>
  <c r="T219" i="13"/>
  <c r="T211" i="13"/>
  <c r="S207" i="13"/>
  <c r="S177" i="13"/>
  <c r="S161" i="13"/>
  <c r="S145" i="13"/>
  <c r="S129" i="13"/>
  <c r="S113" i="13"/>
  <c r="S97" i="13"/>
  <c r="S95" i="13"/>
  <c r="T93" i="13"/>
  <c r="T84" i="13"/>
  <c r="T338" i="13"/>
  <c r="S331" i="13"/>
  <c r="T329" i="13"/>
  <c r="T327" i="13"/>
  <c r="R326" i="13"/>
  <c r="S319" i="13"/>
  <c r="S311" i="13"/>
  <c r="R310" i="13"/>
  <c r="S303" i="13"/>
  <c r="S295" i="13"/>
  <c r="R294" i="13"/>
  <c r="S287" i="13"/>
  <c r="S279" i="13"/>
  <c r="R278" i="13"/>
  <c r="S271" i="13"/>
  <c r="S263" i="13"/>
  <c r="R262" i="13"/>
  <c r="S255" i="13"/>
  <c r="S249" i="13"/>
  <c r="R248" i="13"/>
  <c r="T243" i="13"/>
  <c r="T241" i="13"/>
  <c r="S241" i="13"/>
  <c r="R240" i="13"/>
  <c r="R219" i="13"/>
  <c r="R211" i="13"/>
  <c r="T192" i="13"/>
  <c r="T191" i="13"/>
  <c r="S190" i="13"/>
  <c r="S171" i="13"/>
  <c r="S155" i="13"/>
  <c r="S139" i="13"/>
  <c r="S123" i="13"/>
  <c r="S107" i="13"/>
  <c r="S69" i="13"/>
  <c r="T37" i="13"/>
  <c r="S37" i="13"/>
  <c r="T234" i="13"/>
  <c r="S227" i="13"/>
  <c r="T225" i="13"/>
  <c r="R223" i="13"/>
  <c r="T223" i="13"/>
  <c r="S211" i="13"/>
  <c r="T209" i="13"/>
  <c r="R207" i="13"/>
  <c r="T207" i="13"/>
  <c r="R206" i="13"/>
  <c r="R201" i="13"/>
  <c r="S198" i="13"/>
  <c r="R193" i="13"/>
  <c r="R192" i="13"/>
  <c r="R189" i="13"/>
  <c r="T189" i="13"/>
  <c r="S182" i="13"/>
  <c r="S166" i="13"/>
  <c r="T162" i="13"/>
  <c r="T154" i="13"/>
  <c r="S150" i="13"/>
  <c r="T146" i="13"/>
  <c r="T138" i="13"/>
  <c r="S134" i="13"/>
  <c r="S118" i="13"/>
  <c r="T114" i="13"/>
  <c r="S102" i="13"/>
  <c r="T98" i="13"/>
  <c r="T88" i="13"/>
  <c r="S72" i="13"/>
  <c r="T70" i="13"/>
  <c r="S70" i="13"/>
  <c r="S51" i="13"/>
  <c r="S43" i="13"/>
  <c r="S26" i="13"/>
  <c r="S235" i="13"/>
  <c r="T233" i="13"/>
  <c r="T231" i="13"/>
  <c r="R230" i="13"/>
  <c r="S219" i="13"/>
  <c r="T217" i="13"/>
  <c r="T215" i="13"/>
  <c r="R214" i="13"/>
  <c r="R203" i="13"/>
  <c r="T201" i="13"/>
  <c r="T194" i="13"/>
  <c r="T186" i="13"/>
  <c r="T91" i="13"/>
  <c r="T90" i="13"/>
  <c r="R90" i="13"/>
  <c r="S75" i="13"/>
  <c r="S202" i="13"/>
  <c r="T200" i="13"/>
  <c r="R197" i="13"/>
  <c r="T193" i="13"/>
  <c r="S186" i="13"/>
  <c r="R182" i="13"/>
  <c r="R181" i="13"/>
  <c r="T177" i="13"/>
  <c r="S170" i="13"/>
  <c r="T166" i="13"/>
  <c r="R165" i="13"/>
  <c r="T161" i="13"/>
  <c r="S154" i="13"/>
  <c r="R150" i="13"/>
  <c r="R149" i="13"/>
  <c r="T145" i="13"/>
  <c r="S138" i="13"/>
  <c r="R134" i="13"/>
  <c r="T129" i="13"/>
  <c r="S122" i="13"/>
  <c r="R118" i="13"/>
  <c r="R117" i="13"/>
  <c r="T113" i="13"/>
  <c r="S106" i="13"/>
  <c r="R102" i="13"/>
  <c r="T102" i="13"/>
  <c r="T97" i="13"/>
  <c r="T21" i="13"/>
  <c r="S19" i="13"/>
  <c r="S178" i="13"/>
  <c r="T174" i="13"/>
  <c r="R173" i="13"/>
  <c r="S162" i="13"/>
  <c r="R157" i="13"/>
  <c r="S146" i="13"/>
  <c r="R141" i="13"/>
  <c r="S130" i="13"/>
  <c r="T126" i="13"/>
  <c r="R125" i="13"/>
  <c r="S114" i="13"/>
  <c r="T110" i="13"/>
  <c r="R109" i="13"/>
  <c r="S98" i="13"/>
  <c r="T82" i="13"/>
  <c r="T80" i="13"/>
  <c r="T50" i="13"/>
  <c r="S50" i="13"/>
  <c r="R40" i="13"/>
  <c r="R94" i="13"/>
  <c r="R93" i="13"/>
  <c r="T89" i="13"/>
  <c r="T81" i="13"/>
  <c r="S78" i="13"/>
  <c r="T77" i="13"/>
  <c r="R73" i="13"/>
  <c r="T73" i="13"/>
  <c r="S41" i="13"/>
  <c r="T33" i="13"/>
  <c r="S32" i="13"/>
  <c r="S30" i="13"/>
  <c r="R29" i="13"/>
  <c r="S25" i="13"/>
  <c r="S90" i="13"/>
  <c r="R88" i="13"/>
  <c r="S85" i="13"/>
  <c r="R80" i="13"/>
  <c r="R76" i="13"/>
  <c r="R69" i="13"/>
  <c r="T61" i="13"/>
  <c r="T53" i="13"/>
  <c r="T45" i="13"/>
  <c r="T39" i="13"/>
  <c r="T30" i="13"/>
  <c r="T25" i="13"/>
  <c r="S24" i="13"/>
  <c r="S23" i="13"/>
  <c r="T87" i="13"/>
  <c r="R84" i="13"/>
  <c r="S73" i="13"/>
  <c r="T69" i="13"/>
  <c r="R68" i="13"/>
  <c r="R64" i="13"/>
  <c r="S53" i="13"/>
  <c r="R49" i="13"/>
  <c r="T49" i="13"/>
  <c r="R48" i="13"/>
  <c r="R35" i="13"/>
  <c r="R34" i="13"/>
  <c r="R30" i="13"/>
  <c r="R25" i="13"/>
  <c r="R24" i="13"/>
  <c r="S61" i="13"/>
  <c r="T57" i="13"/>
  <c r="S45" i="13"/>
  <c r="T41" i="13"/>
  <c r="T32" i="13"/>
  <c r="T28" i="13"/>
  <c r="S20" i="13"/>
  <c r="T35" i="13"/>
  <c r="S28" i="13"/>
  <c r="T24" i="13"/>
  <c r="R23" i="13"/>
  <c r="E6" i="13"/>
  <c r="AD516" i="1"/>
  <c r="AD513" i="1"/>
  <c r="AD509" i="1"/>
  <c r="AD505" i="1"/>
  <c r="AD498" i="1"/>
  <c r="AD494" i="1"/>
  <c r="AD490" i="1"/>
  <c r="AD487" i="1"/>
  <c r="AD483" i="1"/>
  <c r="AD479" i="1"/>
  <c r="AD476" i="1"/>
  <c r="AD472" i="1"/>
  <c r="AD468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8" i="1"/>
  <c r="AD416" i="1"/>
  <c r="AD414" i="1"/>
  <c r="AD412" i="1"/>
  <c r="AD410" i="1"/>
  <c r="AD408" i="1"/>
  <c r="AD406" i="1"/>
  <c r="AD404" i="1"/>
  <c r="AD402" i="1"/>
  <c r="AD400" i="1"/>
  <c r="AD398" i="1"/>
  <c r="AD396" i="1"/>
  <c r="AD394" i="1"/>
  <c r="AD392" i="1"/>
  <c r="AD390" i="1"/>
  <c r="AD388" i="1"/>
  <c r="AD386" i="1"/>
  <c r="AD384" i="1"/>
  <c r="AD382" i="1"/>
  <c r="AD380" i="1"/>
  <c r="AD378" i="1"/>
  <c r="AD376" i="1"/>
  <c r="AD374" i="1"/>
  <c r="AD372" i="1"/>
  <c r="AD370" i="1"/>
  <c r="AD368" i="1"/>
  <c r="AD366" i="1"/>
  <c r="AD364" i="1"/>
  <c r="AD362" i="1"/>
  <c r="AD360" i="1"/>
  <c r="AD358" i="1"/>
  <c r="AD356" i="1"/>
  <c r="AD354" i="1"/>
  <c r="AD352" i="1"/>
  <c r="AD350" i="1"/>
  <c r="AD348" i="1"/>
  <c r="AD346" i="1"/>
  <c r="AD344" i="1"/>
  <c r="AD342" i="1"/>
  <c r="AD340" i="1"/>
  <c r="AD338" i="1"/>
  <c r="AD336" i="1"/>
  <c r="AD334" i="1"/>
  <c r="AD332" i="1"/>
  <c r="AD330" i="1"/>
  <c r="AD328" i="1"/>
  <c r="AD326" i="1"/>
  <c r="AD324" i="1"/>
  <c r="AD322" i="1"/>
  <c r="AD320" i="1"/>
  <c r="AD318" i="1"/>
  <c r="AD316" i="1"/>
  <c r="AD314" i="1"/>
  <c r="AD312" i="1"/>
  <c r="AD310" i="1"/>
  <c r="AD308" i="1"/>
  <c r="AD306" i="1"/>
  <c r="AD304" i="1"/>
  <c r="Z302" i="1"/>
  <c r="AD301" i="1"/>
  <c r="Z298" i="1"/>
  <c r="AD297" i="1"/>
  <c r="Z294" i="1"/>
  <c r="AD293" i="1"/>
  <c r="Z290" i="1"/>
  <c r="AD289" i="1"/>
  <c r="Z286" i="1"/>
  <c r="AD284" i="1"/>
  <c r="W284" i="1"/>
  <c r="Z282" i="1"/>
  <c r="AD280" i="1"/>
  <c r="W280" i="1"/>
  <c r="Z278" i="1"/>
  <c r="AD276" i="1"/>
  <c r="W276" i="1"/>
  <c r="Z274" i="1"/>
  <c r="AD244" i="1"/>
  <c r="W244" i="1"/>
  <c r="Z243" i="1"/>
  <c r="AE243" i="1"/>
  <c r="AD240" i="1"/>
  <c r="W240" i="1"/>
  <c r="Z239" i="1"/>
  <c r="AE239" i="1"/>
  <c r="AD236" i="1"/>
  <c r="W236" i="1"/>
  <c r="Z235" i="1"/>
  <c r="AE235" i="1"/>
  <c r="AD232" i="1"/>
  <c r="W232" i="1"/>
  <c r="Z231" i="1"/>
  <c r="AE231" i="1"/>
  <c r="AD228" i="1"/>
  <c r="W228" i="1"/>
  <c r="Z227" i="1"/>
  <c r="AE227" i="1"/>
  <c r="AD224" i="1"/>
  <c r="W224" i="1"/>
  <c r="Z223" i="1"/>
  <c r="AE223" i="1"/>
  <c r="AD220" i="1"/>
  <c r="W220" i="1"/>
  <c r="Z219" i="1"/>
  <c r="AE219" i="1"/>
  <c r="AD216" i="1"/>
  <c r="W216" i="1"/>
  <c r="Z215" i="1"/>
  <c r="AE215" i="1"/>
  <c r="AD212" i="1"/>
  <c r="W212" i="1"/>
  <c r="Z211" i="1"/>
  <c r="AE211" i="1"/>
  <c r="AD208" i="1"/>
  <c r="W208" i="1"/>
  <c r="Z207" i="1"/>
  <c r="AE207" i="1"/>
  <c r="AD204" i="1"/>
  <c r="W204" i="1"/>
  <c r="Z203" i="1"/>
  <c r="AE203" i="1"/>
  <c r="AD200" i="1"/>
  <c r="W200" i="1"/>
  <c r="Z199" i="1"/>
  <c r="AE199" i="1"/>
  <c r="AD196" i="1"/>
  <c r="W196" i="1"/>
  <c r="AD192" i="1"/>
  <c r="W192" i="1"/>
  <c r="AD188" i="1"/>
  <c r="W188" i="1"/>
  <c r="AD184" i="1"/>
  <c r="W184" i="1"/>
  <c r="AD180" i="1"/>
  <c r="W180" i="1"/>
  <c r="AD176" i="1"/>
  <c r="W176" i="1"/>
  <c r="AD172" i="1"/>
  <c r="W172" i="1"/>
  <c r="AD283" i="1"/>
  <c r="W283" i="1"/>
  <c r="AD515" i="1"/>
  <c r="AD511" i="1"/>
  <c r="AD508" i="1"/>
  <c r="AD504" i="1"/>
  <c r="AD500" i="1"/>
  <c r="AD497" i="1"/>
  <c r="AD493" i="1"/>
  <c r="AD489" i="1"/>
  <c r="AD485" i="1"/>
  <c r="AD482" i="1"/>
  <c r="AD478" i="1"/>
  <c r="AD474" i="1"/>
  <c r="AD471" i="1"/>
  <c r="AD467" i="1"/>
  <c r="AC514" i="1"/>
  <c r="AC510" i="1"/>
  <c r="AC507" i="1"/>
  <c r="AC506" i="1"/>
  <c r="AC503" i="1"/>
  <c r="AC499" i="1"/>
  <c r="AC495" i="1"/>
  <c r="AC492" i="1"/>
  <c r="AC491" i="1"/>
  <c r="AC488" i="1"/>
  <c r="AC484" i="1"/>
  <c r="AC480" i="1"/>
  <c r="AC473" i="1"/>
  <c r="AC469" i="1"/>
  <c r="AC465" i="1"/>
  <c r="Z420" i="1"/>
  <c r="Z418" i="1"/>
  <c r="Z416" i="1"/>
  <c r="Z414" i="1"/>
  <c r="Z412" i="1"/>
  <c r="Z410" i="1"/>
  <c r="Z408" i="1"/>
  <c r="Z406" i="1"/>
  <c r="Z404" i="1"/>
  <c r="Z402" i="1"/>
  <c r="Z400" i="1"/>
  <c r="Z398" i="1"/>
  <c r="Z396" i="1"/>
  <c r="Z394" i="1"/>
  <c r="Z392" i="1"/>
  <c r="Z390" i="1"/>
  <c r="Z388" i="1"/>
  <c r="Z386" i="1"/>
  <c r="Z384" i="1"/>
  <c r="Z382" i="1"/>
  <c r="Z380" i="1"/>
  <c r="Z378" i="1"/>
  <c r="Z376" i="1"/>
  <c r="Z374" i="1"/>
  <c r="Z372" i="1"/>
  <c r="Z370" i="1"/>
  <c r="Z368" i="1"/>
  <c r="Z366" i="1"/>
  <c r="Z364" i="1"/>
  <c r="Z362" i="1"/>
  <c r="Z360" i="1"/>
  <c r="Z358" i="1"/>
  <c r="Z356" i="1"/>
  <c r="Z354" i="1"/>
  <c r="Z352" i="1"/>
  <c r="Z350" i="1"/>
  <c r="Z348" i="1"/>
  <c r="Z346" i="1"/>
  <c r="Z344" i="1"/>
  <c r="Z342" i="1"/>
  <c r="Z340" i="1"/>
  <c r="Z338" i="1"/>
  <c r="Z336" i="1"/>
  <c r="Z334" i="1"/>
  <c r="Z332" i="1"/>
  <c r="Z330" i="1"/>
  <c r="Z328" i="1"/>
  <c r="Z326" i="1"/>
  <c r="Z324" i="1"/>
  <c r="Z322" i="1"/>
  <c r="Z320" i="1"/>
  <c r="Z318" i="1"/>
  <c r="Z316" i="1"/>
  <c r="Z314" i="1"/>
  <c r="Z312" i="1"/>
  <c r="Z310" i="1"/>
  <c r="Z308" i="1"/>
  <c r="Z306" i="1"/>
  <c r="Z304" i="1"/>
  <c r="W302" i="1"/>
  <c r="Z301" i="1"/>
  <c r="AD300" i="1"/>
  <c r="W298" i="1"/>
  <c r="Z297" i="1"/>
  <c r="AD296" i="1"/>
  <c r="W294" i="1"/>
  <c r="Z293" i="1"/>
  <c r="AD292" i="1"/>
  <c r="W290" i="1"/>
  <c r="Z289" i="1"/>
  <c r="AD288" i="1"/>
  <c r="AD285" i="1"/>
  <c r="W285" i="1"/>
  <c r="Z283" i="1"/>
  <c r="AD281" i="1"/>
  <c r="W281" i="1"/>
  <c r="Z279" i="1"/>
  <c r="AD277" i="1"/>
  <c r="W277" i="1"/>
  <c r="Z275" i="1"/>
  <c r="AD273" i="1"/>
  <c r="W273" i="1"/>
  <c r="AD271" i="1"/>
  <c r="AD269" i="1"/>
  <c r="W269" i="1"/>
  <c r="AD267" i="1"/>
  <c r="AD265" i="1"/>
  <c r="W265" i="1"/>
  <c r="AD263" i="1"/>
  <c r="AD261" i="1"/>
  <c r="W261" i="1"/>
  <c r="AD257" i="1"/>
  <c r="W257" i="1"/>
  <c r="AD253" i="1"/>
  <c r="W253" i="1"/>
  <c r="AD249" i="1"/>
  <c r="W249" i="1"/>
  <c r="AD245" i="1"/>
  <c r="W245" i="1"/>
  <c r="AD279" i="1"/>
  <c r="W279" i="1"/>
  <c r="AD275" i="1"/>
  <c r="W275" i="1"/>
  <c r="AD168" i="1"/>
  <c r="W168" i="1"/>
  <c r="AD517" i="1"/>
  <c r="AD512" i="1"/>
  <c r="AD502" i="1"/>
  <c r="AD501" i="1"/>
  <c r="AD496" i="1"/>
  <c r="AD486" i="1"/>
  <c r="AD481" i="1"/>
  <c r="AD477" i="1"/>
  <c r="AD475" i="1"/>
  <c r="AD470" i="1"/>
  <c r="AD466" i="1"/>
  <c r="AD464" i="1"/>
  <c r="AD419" i="1"/>
  <c r="W418" i="1"/>
  <c r="AD417" i="1"/>
  <c r="W416" i="1"/>
  <c r="AD415" i="1"/>
  <c r="W414" i="1"/>
  <c r="AD413" i="1"/>
  <c r="W412" i="1"/>
  <c r="AF412" i="1" s="1"/>
  <c r="AD411" i="1"/>
  <c r="W410" i="1"/>
  <c r="AD409" i="1"/>
  <c r="W408" i="1"/>
  <c r="AD407" i="1"/>
  <c r="W406" i="1"/>
  <c r="AD405" i="1"/>
  <c r="W404" i="1"/>
  <c r="AD403" i="1"/>
  <c r="W402" i="1"/>
  <c r="AD401" i="1"/>
  <c r="W400" i="1"/>
  <c r="AD399" i="1"/>
  <c r="W398" i="1"/>
  <c r="AD397" i="1"/>
  <c r="W396" i="1"/>
  <c r="AF396" i="1" s="1"/>
  <c r="AD395" i="1"/>
  <c r="W394" i="1"/>
  <c r="AD393" i="1"/>
  <c r="W392" i="1"/>
  <c r="AD391" i="1"/>
  <c r="W390" i="1"/>
  <c r="AD389" i="1"/>
  <c r="W388" i="1"/>
  <c r="AD387" i="1"/>
  <c r="W386" i="1"/>
  <c r="AD385" i="1"/>
  <c r="W384" i="1"/>
  <c r="AD383" i="1"/>
  <c r="W382" i="1"/>
  <c r="AD381" i="1"/>
  <c r="W380" i="1"/>
  <c r="AD379" i="1"/>
  <c r="W378" i="1"/>
  <c r="AD377" i="1"/>
  <c r="W376" i="1"/>
  <c r="AD375" i="1"/>
  <c r="W374" i="1"/>
  <c r="AD373" i="1"/>
  <c r="W372" i="1"/>
  <c r="AD371" i="1"/>
  <c r="W370" i="1"/>
  <c r="AD369" i="1"/>
  <c r="W368" i="1"/>
  <c r="AD367" i="1"/>
  <c r="W366" i="1"/>
  <c r="AD365" i="1"/>
  <c r="W364" i="1"/>
  <c r="AD363" i="1"/>
  <c r="W362" i="1"/>
  <c r="AD361" i="1"/>
  <c r="W360" i="1"/>
  <c r="AD359" i="1"/>
  <c r="W358" i="1"/>
  <c r="AD357" i="1"/>
  <c r="W356" i="1"/>
  <c r="AD355" i="1"/>
  <c r="W354" i="1"/>
  <c r="AD353" i="1"/>
  <c r="W352" i="1"/>
  <c r="AD351" i="1"/>
  <c r="W350" i="1"/>
  <c r="AD349" i="1"/>
  <c r="W348" i="1"/>
  <c r="AD347" i="1"/>
  <c r="W346" i="1"/>
  <c r="AD345" i="1"/>
  <c r="W344" i="1"/>
  <c r="AD343" i="1"/>
  <c r="W342" i="1"/>
  <c r="AD341" i="1"/>
  <c r="W340" i="1"/>
  <c r="AD339" i="1"/>
  <c r="W338" i="1"/>
  <c r="AD337" i="1"/>
  <c r="W336" i="1"/>
  <c r="AD335" i="1"/>
  <c r="W334" i="1"/>
  <c r="AD333" i="1"/>
  <c r="W332" i="1"/>
  <c r="AD331" i="1"/>
  <c r="W330" i="1"/>
  <c r="AD329" i="1"/>
  <c r="W328" i="1"/>
  <c r="AD327" i="1"/>
  <c r="W326" i="1"/>
  <c r="AD325" i="1"/>
  <c r="W324" i="1"/>
  <c r="AD323" i="1"/>
  <c r="W322" i="1"/>
  <c r="AD321" i="1"/>
  <c r="W320" i="1"/>
  <c r="AD319" i="1"/>
  <c r="W318" i="1"/>
  <c r="AD317" i="1"/>
  <c r="W316" i="1"/>
  <c r="AD315" i="1"/>
  <c r="W314" i="1"/>
  <c r="AD313" i="1"/>
  <c r="W312" i="1"/>
  <c r="AD311" i="1"/>
  <c r="W310" i="1"/>
  <c r="AD309" i="1"/>
  <c r="W308" i="1"/>
  <c r="AD307" i="1"/>
  <c r="W306" i="1"/>
  <c r="AD305" i="1"/>
  <c r="W304" i="1"/>
  <c r="AD303" i="1"/>
  <c r="W301" i="1"/>
  <c r="Z300" i="1"/>
  <c r="AD299" i="1"/>
  <c r="W297" i="1"/>
  <c r="Z296" i="1"/>
  <c r="AD295" i="1"/>
  <c r="W293" i="1"/>
  <c r="Z292" i="1"/>
  <c r="AD291" i="1"/>
  <c r="W289" i="1"/>
  <c r="Z288" i="1"/>
  <c r="AD287" i="1"/>
  <c r="AD286" i="1"/>
  <c r="W286" i="1"/>
  <c r="Z284" i="1"/>
  <c r="AD282" i="1"/>
  <c r="W282" i="1"/>
  <c r="Z280" i="1"/>
  <c r="AD278" i="1"/>
  <c r="W278" i="1"/>
  <c r="Z276" i="1"/>
  <c r="AD274" i="1"/>
  <c r="W274" i="1"/>
  <c r="Z273" i="1"/>
  <c r="AE273" i="1"/>
  <c r="W270" i="1"/>
  <c r="Z269" i="1"/>
  <c r="AE269" i="1"/>
  <c r="W266" i="1"/>
  <c r="Z265" i="1"/>
  <c r="AE265" i="1"/>
  <c r="W262" i="1"/>
  <c r="Z261" i="1"/>
  <c r="AE261" i="1"/>
  <c r="AD164" i="1"/>
  <c r="W164" i="1"/>
  <c r="AE272" i="1"/>
  <c r="AE268" i="1"/>
  <c r="AE264" i="1"/>
  <c r="AD260" i="1"/>
  <c r="AD256" i="1"/>
  <c r="AD252" i="1"/>
  <c r="AD248" i="1"/>
  <c r="AD241" i="1"/>
  <c r="W241" i="1"/>
  <c r="Z240" i="1"/>
  <c r="AE240" i="1"/>
  <c r="AD237" i="1"/>
  <c r="W237" i="1"/>
  <c r="Z236" i="1"/>
  <c r="AE236" i="1"/>
  <c r="AD233" i="1"/>
  <c r="W233" i="1"/>
  <c r="Z232" i="1"/>
  <c r="AE232" i="1"/>
  <c r="AD229" i="1"/>
  <c r="W229" i="1"/>
  <c r="Z228" i="1"/>
  <c r="AE228" i="1"/>
  <c r="AD225" i="1"/>
  <c r="W225" i="1"/>
  <c r="Z224" i="1"/>
  <c r="AE224" i="1"/>
  <c r="AD221" i="1"/>
  <c r="W221" i="1"/>
  <c r="Z220" i="1"/>
  <c r="AE220" i="1"/>
  <c r="AD217" i="1"/>
  <c r="W217" i="1"/>
  <c r="Z216" i="1"/>
  <c r="AE216" i="1"/>
  <c r="AD213" i="1"/>
  <c r="W213" i="1"/>
  <c r="Z212" i="1"/>
  <c r="AE212" i="1"/>
  <c r="AD209" i="1"/>
  <c r="W209" i="1"/>
  <c r="Z208" i="1"/>
  <c r="AE208" i="1"/>
  <c r="AD205" i="1"/>
  <c r="W205" i="1"/>
  <c r="Z204" i="1"/>
  <c r="AE204" i="1"/>
  <c r="AD201" i="1"/>
  <c r="W201" i="1"/>
  <c r="Z200" i="1"/>
  <c r="AE200" i="1"/>
  <c r="AD197" i="1"/>
  <c r="W197" i="1"/>
  <c r="Z196" i="1"/>
  <c r="AE196" i="1"/>
  <c r="AC195" i="1"/>
  <c r="AE195" i="1"/>
  <c r="AC191" i="1"/>
  <c r="AE191" i="1"/>
  <c r="AC187" i="1"/>
  <c r="AE187" i="1"/>
  <c r="AC183" i="1"/>
  <c r="AE183" i="1"/>
  <c r="AC179" i="1"/>
  <c r="AE179" i="1"/>
  <c r="AC175" i="1"/>
  <c r="AE175" i="1"/>
  <c r="AC171" i="1"/>
  <c r="AE171" i="1"/>
  <c r="AC167" i="1"/>
  <c r="AE167" i="1"/>
  <c r="AC163" i="1"/>
  <c r="AE163" i="1"/>
  <c r="W115" i="1"/>
  <c r="AE115" i="1"/>
  <c r="W111" i="1"/>
  <c r="AE111" i="1"/>
  <c r="W107" i="1"/>
  <c r="AE107" i="1"/>
  <c r="AD242" i="1"/>
  <c r="W242" i="1"/>
  <c r="Z241" i="1"/>
  <c r="AE241" i="1"/>
  <c r="AD238" i="1"/>
  <c r="W238" i="1"/>
  <c r="Z237" i="1"/>
  <c r="AE237" i="1"/>
  <c r="AD234" i="1"/>
  <c r="W234" i="1"/>
  <c r="Z233" i="1"/>
  <c r="AE233" i="1"/>
  <c r="AD230" i="1"/>
  <c r="W230" i="1"/>
  <c r="Z229" i="1"/>
  <c r="AE229" i="1"/>
  <c r="AD226" i="1"/>
  <c r="W226" i="1"/>
  <c r="Z225" i="1"/>
  <c r="AE225" i="1"/>
  <c r="AD222" i="1"/>
  <c r="W222" i="1"/>
  <c r="Z221" i="1"/>
  <c r="AE221" i="1"/>
  <c r="AD218" i="1"/>
  <c r="W218" i="1"/>
  <c r="Z217" i="1"/>
  <c r="AE217" i="1"/>
  <c r="AD214" i="1"/>
  <c r="W214" i="1"/>
  <c r="Z213" i="1"/>
  <c r="AE213" i="1"/>
  <c r="AD210" i="1"/>
  <c r="W210" i="1"/>
  <c r="Z209" i="1"/>
  <c r="AE209" i="1"/>
  <c r="AD206" i="1"/>
  <c r="W206" i="1"/>
  <c r="Z205" i="1"/>
  <c r="AE205" i="1"/>
  <c r="AD202" i="1"/>
  <c r="W202" i="1"/>
  <c r="Z201" i="1"/>
  <c r="AE201" i="1"/>
  <c r="AD198" i="1"/>
  <c r="W198" i="1"/>
  <c r="Z197" i="1"/>
  <c r="AE197" i="1"/>
  <c r="AD194" i="1"/>
  <c r="W194" i="1"/>
  <c r="AD190" i="1"/>
  <c r="W190" i="1"/>
  <c r="AD186" i="1"/>
  <c r="W186" i="1"/>
  <c r="AD182" i="1"/>
  <c r="W182" i="1"/>
  <c r="AD178" i="1"/>
  <c r="W178" i="1"/>
  <c r="AD174" i="1"/>
  <c r="W174" i="1"/>
  <c r="AD170" i="1"/>
  <c r="W170" i="1"/>
  <c r="AD166" i="1"/>
  <c r="W166" i="1"/>
  <c r="AD142" i="1"/>
  <c r="W142" i="1"/>
  <c r="AD138" i="1"/>
  <c r="W138" i="1"/>
  <c r="AD134" i="1"/>
  <c r="W134" i="1"/>
  <c r="AD130" i="1"/>
  <c r="W130" i="1"/>
  <c r="AD126" i="1"/>
  <c r="W126" i="1"/>
  <c r="AD122" i="1"/>
  <c r="W122" i="1"/>
  <c r="Z121" i="1"/>
  <c r="AE121" i="1"/>
  <c r="AD118" i="1"/>
  <c r="Z118" i="1"/>
  <c r="W260" i="1"/>
  <c r="AD258" i="1"/>
  <c r="W256" i="1"/>
  <c r="AF256" i="1" s="1"/>
  <c r="AD254" i="1"/>
  <c r="W252" i="1"/>
  <c r="AD250" i="1"/>
  <c r="W248" i="1"/>
  <c r="AD246" i="1"/>
  <c r="AD243" i="1"/>
  <c r="W243" i="1"/>
  <c r="Z242" i="1"/>
  <c r="AE242" i="1"/>
  <c r="AD239" i="1"/>
  <c r="W239" i="1"/>
  <c r="Z238" i="1"/>
  <c r="AE238" i="1"/>
  <c r="AD235" i="1"/>
  <c r="W235" i="1"/>
  <c r="Z234" i="1"/>
  <c r="AE234" i="1"/>
  <c r="AD231" i="1"/>
  <c r="W231" i="1"/>
  <c r="Z230" i="1"/>
  <c r="AE230" i="1"/>
  <c r="AD227" i="1"/>
  <c r="W227" i="1"/>
  <c r="Z226" i="1"/>
  <c r="AE226" i="1"/>
  <c r="AD223" i="1"/>
  <c r="W223" i="1"/>
  <c r="Z222" i="1"/>
  <c r="AE222" i="1"/>
  <c r="AD219" i="1"/>
  <c r="W219" i="1"/>
  <c r="Z218" i="1"/>
  <c r="AE218" i="1"/>
  <c r="AD215" i="1"/>
  <c r="W215" i="1"/>
  <c r="Z214" i="1"/>
  <c r="AE214" i="1"/>
  <c r="AD211" i="1"/>
  <c r="W211" i="1"/>
  <c r="Z210" i="1"/>
  <c r="AE210" i="1"/>
  <c r="AD207" i="1"/>
  <c r="W207" i="1"/>
  <c r="Z206" i="1"/>
  <c r="AE206" i="1"/>
  <c r="AD203" i="1"/>
  <c r="W203" i="1"/>
  <c r="Z202" i="1"/>
  <c r="AE202" i="1"/>
  <c r="AD199" i="1"/>
  <c r="W199" i="1"/>
  <c r="Z198" i="1"/>
  <c r="AE198" i="1"/>
  <c r="AC193" i="1"/>
  <c r="AE193" i="1"/>
  <c r="AC189" i="1"/>
  <c r="AE189" i="1"/>
  <c r="AC185" i="1"/>
  <c r="AE185" i="1"/>
  <c r="AC181" i="1"/>
  <c r="AE181" i="1"/>
  <c r="AC177" i="1"/>
  <c r="AE177" i="1"/>
  <c r="AC173" i="1"/>
  <c r="AE173" i="1"/>
  <c r="AC169" i="1"/>
  <c r="AE169" i="1"/>
  <c r="AC165" i="1"/>
  <c r="AE165" i="1"/>
  <c r="Z194" i="1"/>
  <c r="Z192" i="1"/>
  <c r="Z190" i="1"/>
  <c r="Z188" i="1"/>
  <c r="Z186" i="1"/>
  <c r="Z184" i="1"/>
  <c r="Z182" i="1"/>
  <c r="Z180" i="1"/>
  <c r="Z178" i="1"/>
  <c r="Z176" i="1"/>
  <c r="Z174" i="1"/>
  <c r="Z172" i="1"/>
  <c r="Z170" i="1"/>
  <c r="Z168" i="1"/>
  <c r="Z166" i="1"/>
  <c r="Z164" i="1"/>
  <c r="AD163" i="1"/>
  <c r="W163" i="1"/>
  <c r="AD162" i="1"/>
  <c r="W162" i="1"/>
  <c r="AD161" i="1"/>
  <c r="W161" i="1"/>
  <c r="AD160" i="1"/>
  <c r="W160" i="1"/>
  <c r="AD159" i="1"/>
  <c r="W159" i="1"/>
  <c r="AD158" i="1"/>
  <c r="W158" i="1"/>
  <c r="AD157" i="1"/>
  <c r="W157" i="1"/>
  <c r="AD156" i="1"/>
  <c r="W156" i="1"/>
  <c r="AD155" i="1"/>
  <c r="W155" i="1"/>
  <c r="AD154" i="1"/>
  <c r="W154" i="1"/>
  <c r="AD153" i="1"/>
  <c r="W153" i="1"/>
  <c r="AD152" i="1"/>
  <c r="W152" i="1"/>
  <c r="AD151" i="1"/>
  <c r="W151" i="1"/>
  <c r="AD150" i="1"/>
  <c r="W150" i="1"/>
  <c r="AD149" i="1"/>
  <c r="W149" i="1"/>
  <c r="AD148" i="1"/>
  <c r="W148" i="1"/>
  <c r="AD147" i="1"/>
  <c r="W147" i="1"/>
  <c r="AD146" i="1"/>
  <c r="W146" i="1"/>
  <c r="AD145" i="1"/>
  <c r="W145" i="1"/>
  <c r="AD144" i="1"/>
  <c r="W144" i="1"/>
  <c r="AD143" i="1"/>
  <c r="W143" i="1"/>
  <c r="Z141" i="1"/>
  <c r="AD139" i="1"/>
  <c r="W139" i="1"/>
  <c r="Z137" i="1"/>
  <c r="AD135" i="1"/>
  <c r="W135" i="1"/>
  <c r="Z133" i="1"/>
  <c r="AD131" i="1"/>
  <c r="W131" i="1"/>
  <c r="Z129" i="1"/>
  <c r="AD127" i="1"/>
  <c r="W127" i="1"/>
  <c r="Z125" i="1"/>
  <c r="AD123" i="1"/>
  <c r="W123" i="1"/>
  <c r="AD114" i="1"/>
  <c r="Z114" i="1"/>
  <c r="AD110" i="1"/>
  <c r="Z110" i="1"/>
  <c r="AD106" i="1"/>
  <c r="Z106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D140" i="1"/>
  <c r="W140" i="1"/>
  <c r="AD136" i="1"/>
  <c r="W136" i="1"/>
  <c r="AD132" i="1"/>
  <c r="W132" i="1"/>
  <c r="AD128" i="1"/>
  <c r="W128" i="1"/>
  <c r="AD124" i="1"/>
  <c r="W124" i="1"/>
  <c r="Z195" i="1"/>
  <c r="Z193" i="1"/>
  <c r="Z191" i="1"/>
  <c r="Z189" i="1"/>
  <c r="Z187" i="1"/>
  <c r="Z185" i="1"/>
  <c r="Z183" i="1"/>
  <c r="Z181" i="1"/>
  <c r="Z179" i="1"/>
  <c r="Z177" i="1"/>
  <c r="Z175" i="1"/>
  <c r="Z173" i="1"/>
  <c r="Z171" i="1"/>
  <c r="Z169" i="1"/>
  <c r="Z167" i="1"/>
  <c r="Z165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AD141" i="1"/>
  <c r="W141" i="1"/>
  <c r="Z139" i="1"/>
  <c r="AD137" i="1"/>
  <c r="W137" i="1"/>
  <c r="Z135" i="1"/>
  <c r="AD133" i="1"/>
  <c r="W133" i="1"/>
  <c r="Z131" i="1"/>
  <c r="AD129" i="1"/>
  <c r="W129" i="1"/>
  <c r="Z127" i="1"/>
  <c r="AD125" i="1"/>
  <c r="W125" i="1"/>
  <c r="Z123" i="1"/>
  <c r="AD121" i="1"/>
  <c r="W121" i="1"/>
  <c r="W119" i="1"/>
  <c r="AE119" i="1"/>
  <c r="AC118" i="1"/>
  <c r="W118" i="1"/>
  <c r="AE118" i="1"/>
  <c r="AC114" i="1"/>
  <c r="W114" i="1"/>
  <c r="AE114" i="1"/>
  <c r="Z111" i="1"/>
  <c r="AC110" i="1"/>
  <c r="W110" i="1"/>
  <c r="AE110" i="1"/>
  <c r="Z107" i="1"/>
  <c r="AC106" i="1"/>
  <c r="W106" i="1"/>
  <c r="AE106" i="1"/>
  <c r="Z84" i="1"/>
  <c r="AE84" i="1"/>
  <c r="W117" i="1"/>
  <c r="AE117" i="1"/>
  <c r="W113" i="1"/>
  <c r="AE113" i="1"/>
  <c r="W109" i="1"/>
  <c r="AE109" i="1"/>
  <c r="W105" i="1"/>
  <c r="AE105" i="1"/>
  <c r="AD75" i="1"/>
  <c r="W75" i="1"/>
  <c r="AD71" i="1"/>
  <c r="W71" i="1"/>
  <c r="AD67" i="1"/>
  <c r="W67" i="1"/>
  <c r="AE32" i="1"/>
  <c r="AC116" i="1"/>
  <c r="W116" i="1"/>
  <c r="AE116" i="1"/>
  <c r="AC112" i="1"/>
  <c r="W112" i="1"/>
  <c r="AE112" i="1"/>
  <c r="W108" i="1"/>
  <c r="AE108" i="1"/>
  <c r="W104" i="1"/>
  <c r="AE104" i="1"/>
  <c r="W103" i="1"/>
  <c r="AE103" i="1"/>
  <c r="W102" i="1"/>
  <c r="AE102" i="1"/>
  <c r="W101" i="1"/>
  <c r="AE101" i="1"/>
  <c r="W100" i="1"/>
  <c r="AE100" i="1"/>
  <c r="W99" i="1"/>
  <c r="AE99" i="1"/>
  <c r="W98" i="1"/>
  <c r="AE98" i="1"/>
  <c r="W97" i="1"/>
  <c r="AE97" i="1"/>
  <c r="W96" i="1"/>
  <c r="AE96" i="1"/>
  <c r="W95" i="1"/>
  <c r="AE95" i="1"/>
  <c r="W94" i="1"/>
  <c r="AE94" i="1"/>
  <c r="W93" i="1"/>
  <c r="AE93" i="1"/>
  <c r="W92" i="1"/>
  <c r="AE92" i="1"/>
  <c r="W91" i="1"/>
  <c r="AE91" i="1"/>
  <c r="W90" i="1"/>
  <c r="AE90" i="1"/>
  <c r="W89" i="1"/>
  <c r="AE89" i="1"/>
  <c r="W88" i="1"/>
  <c r="AE88" i="1"/>
  <c r="W87" i="1"/>
  <c r="AE87" i="1"/>
  <c r="W86" i="1"/>
  <c r="AE86" i="1"/>
  <c r="W85" i="1"/>
  <c r="AE85" i="1"/>
  <c r="W82" i="1"/>
  <c r="AE81" i="1"/>
  <c r="AE77" i="1"/>
  <c r="AD76" i="1"/>
  <c r="W76" i="1"/>
  <c r="AE73" i="1"/>
  <c r="AD72" i="1"/>
  <c r="W72" i="1"/>
  <c r="AE69" i="1"/>
  <c r="AD68" i="1"/>
  <c r="W68" i="1"/>
  <c r="AE65" i="1"/>
  <c r="AE28" i="1"/>
  <c r="AE80" i="1"/>
  <c r="AE78" i="1"/>
  <c r="AD77" i="1"/>
  <c r="W77" i="1"/>
  <c r="AE74" i="1"/>
  <c r="AD73" i="1"/>
  <c r="W73" i="1"/>
  <c r="AE70" i="1"/>
  <c r="AD69" i="1"/>
  <c r="W69" i="1"/>
  <c r="AE66" i="1"/>
  <c r="AD65" i="1"/>
  <c r="W65" i="1"/>
  <c r="AE24" i="1"/>
  <c r="AD78" i="1"/>
  <c r="W78" i="1"/>
  <c r="AD74" i="1"/>
  <c r="W74" i="1"/>
  <c r="AD70" i="1"/>
  <c r="W70" i="1"/>
  <c r="AD66" i="1"/>
  <c r="W66" i="1"/>
  <c r="Z64" i="1"/>
  <c r="AE64" i="1"/>
  <c r="AE36" i="1"/>
  <c r="AD63" i="1"/>
  <c r="W63" i="1"/>
  <c r="AD61" i="1"/>
  <c r="W61" i="1"/>
  <c r="AD59" i="1"/>
  <c r="W59" i="1"/>
  <c r="AD57" i="1"/>
  <c r="W57" i="1"/>
  <c r="AD55" i="1"/>
  <c r="W55" i="1"/>
  <c r="AD53" i="1"/>
  <c r="W53" i="1"/>
  <c r="AD51" i="1"/>
  <c r="W51" i="1"/>
  <c r="Z49" i="1"/>
  <c r="Z48" i="1"/>
  <c r="Z47" i="1"/>
  <c r="Z46" i="1"/>
  <c r="Z45" i="1"/>
  <c r="Z44" i="1"/>
  <c r="Z43" i="1"/>
  <c r="Z42" i="1"/>
  <c r="Z41" i="1"/>
  <c r="Z40" i="1"/>
  <c r="Z39" i="1"/>
  <c r="AE37" i="1"/>
  <c r="AD36" i="1"/>
  <c r="AE33" i="1"/>
  <c r="AD32" i="1"/>
  <c r="AE29" i="1"/>
  <c r="AD28" i="1"/>
  <c r="AE25" i="1"/>
  <c r="AD24" i="1"/>
  <c r="Z22" i="1"/>
  <c r="AD22" i="1"/>
  <c r="AE62" i="1"/>
  <c r="AE60" i="1"/>
  <c r="AE58" i="1"/>
  <c r="AE56" i="1"/>
  <c r="AE54" i="1"/>
  <c r="AE52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D37" i="1"/>
  <c r="AE34" i="1"/>
  <c r="AD33" i="1"/>
  <c r="AE30" i="1"/>
  <c r="AD29" i="1"/>
  <c r="AE26" i="1"/>
  <c r="AD25" i="1"/>
  <c r="AE22" i="1"/>
  <c r="AD49" i="1"/>
  <c r="W49" i="1"/>
  <c r="AD48" i="1"/>
  <c r="W48" i="1"/>
  <c r="AD47" i="1"/>
  <c r="W47" i="1"/>
  <c r="AD46" i="1"/>
  <c r="W46" i="1"/>
  <c r="AD45" i="1"/>
  <c r="W45" i="1"/>
  <c r="AD44" i="1"/>
  <c r="W44" i="1"/>
  <c r="AD43" i="1"/>
  <c r="W43" i="1"/>
  <c r="AD42" i="1"/>
  <c r="W42" i="1"/>
  <c r="AD41" i="1"/>
  <c r="W41" i="1"/>
  <c r="AD40" i="1"/>
  <c r="W40" i="1"/>
  <c r="AD39" i="1"/>
  <c r="W39" i="1"/>
  <c r="AE35" i="1"/>
  <c r="AE31" i="1"/>
  <c r="AE27" i="1"/>
  <c r="AE23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O340" i="1"/>
  <c r="K340" i="1"/>
  <c r="H337" i="1"/>
  <c r="P337" i="1"/>
  <c r="O324" i="1"/>
  <c r="K324" i="1"/>
  <c r="H321" i="1"/>
  <c r="P321" i="1"/>
  <c r="O308" i="1"/>
  <c r="K308" i="1"/>
  <c r="H305" i="1"/>
  <c r="P305" i="1"/>
  <c r="O292" i="1"/>
  <c r="K292" i="1"/>
  <c r="H289" i="1"/>
  <c r="P289" i="1"/>
  <c r="O247" i="1"/>
  <c r="H247" i="1"/>
  <c r="O231" i="1"/>
  <c r="H231" i="1"/>
  <c r="O215" i="1"/>
  <c r="H215" i="1"/>
  <c r="O199" i="1"/>
  <c r="H199" i="1"/>
  <c r="O128" i="1"/>
  <c r="H128" i="1"/>
  <c r="K127" i="1"/>
  <c r="P127" i="1"/>
  <c r="O124" i="1"/>
  <c r="H124" i="1"/>
  <c r="K123" i="1"/>
  <c r="P123" i="1"/>
  <c r="O120" i="1"/>
  <c r="H120" i="1"/>
  <c r="K119" i="1"/>
  <c r="P119" i="1"/>
  <c r="O116" i="1"/>
  <c r="H116" i="1"/>
  <c r="K99" i="1"/>
  <c r="P99" i="1"/>
  <c r="K471" i="1"/>
  <c r="K469" i="1"/>
  <c r="K467" i="1"/>
  <c r="K465" i="1"/>
  <c r="K463" i="1"/>
  <c r="K461" i="1"/>
  <c r="K459" i="1"/>
  <c r="K457" i="1"/>
  <c r="K455" i="1"/>
  <c r="K453" i="1"/>
  <c r="K451" i="1"/>
  <c r="K449" i="1"/>
  <c r="K447" i="1"/>
  <c r="K445" i="1"/>
  <c r="K443" i="1"/>
  <c r="K441" i="1"/>
  <c r="K439" i="1"/>
  <c r="K437" i="1"/>
  <c r="K435" i="1"/>
  <c r="K433" i="1"/>
  <c r="K431" i="1"/>
  <c r="K429" i="1"/>
  <c r="K427" i="1"/>
  <c r="K425" i="1"/>
  <c r="K423" i="1"/>
  <c r="K421" i="1"/>
  <c r="K419" i="1"/>
  <c r="K417" i="1"/>
  <c r="K415" i="1"/>
  <c r="K413" i="1"/>
  <c r="K411" i="1"/>
  <c r="K409" i="1"/>
  <c r="K407" i="1"/>
  <c r="K405" i="1"/>
  <c r="K403" i="1"/>
  <c r="K401" i="1"/>
  <c r="K399" i="1"/>
  <c r="K397" i="1"/>
  <c r="K395" i="1"/>
  <c r="K393" i="1"/>
  <c r="K391" i="1"/>
  <c r="K389" i="1"/>
  <c r="K387" i="1"/>
  <c r="K385" i="1"/>
  <c r="K383" i="1"/>
  <c r="K381" i="1"/>
  <c r="K379" i="1"/>
  <c r="K377" i="1"/>
  <c r="K375" i="1"/>
  <c r="K373" i="1"/>
  <c r="K371" i="1"/>
  <c r="K369" i="1"/>
  <c r="O368" i="1"/>
  <c r="K365" i="1"/>
  <c r="O364" i="1"/>
  <c r="K361" i="1"/>
  <c r="O360" i="1"/>
  <c r="K357" i="1"/>
  <c r="O356" i="1"/>
  <c r="K353" i="1"/>
  <c r="O352" i="1"/>
  <c r="K349" i="1"/>
  <c r="O336" i="1"/>
  <c r="K336" i="1"/>
  <c r="H333" i="1"/>
  <c r="P333" i="1"/>
  <c r="O320" i="1"/>
  <c r="K320" i="1"/>
  <c r="H317" i="1"/>
  <c r="P317" i="1"/>
  <c r="O304" i="1"/>
  <c r="K304" i="1"/>
  <c r="H301" i="1"/>
  <c r="P301" i="1"/>
  <c r="O288" i="1"/>
  <c r="K288" i="1"/>
  <c r="H285" i="1"/>
  <c r="P285" i="1"/>
  <c r="O235" i="1"/>
  <c r="H235" i="1"/>
  <c r="O219" i="1"/>
  <c r="H219" i="1"/>
  <c r="O203" i="1"/>
  <c r="H203" i="1"/>
  <c r="H471" i="1"/>
  <c r="P470" i="1"/>
  <c r="H469" i="1"/>
  <c r="P468" i="1"/>
  <c r="H467" i="1"/>
  <c r="P466" i="1"/>
  <c r="H465" i="1"/>
  <c r="P464" i="1"/>
  <c r="H463" i="1"/>
  <c r="Q463" i="1" s="1"/>
  <c r="P462" i="1"/>
  <c r="H461" i="1"/>
  <c r="P460" i="1"/>
  <c r="H459" i="1"/>
  <c r="P458" i="1"/>
  <c r="H457" i="1"/>
  <c r="P456" i="1"/>
  <c r="H455" i="1"/>
  <c r="Q455" i="1" s="1"/>
  <c r="P454" i="1"/>
  <c r="H453" i="1"/>
  <c r="P452" i="1"/>
  <c r="H451" i="1"/>
  <c r="P450" i="1"/>
  <c r="H449" i="1"/>
  <c r="P448" i="1"/>
  <c r="H447" i="1"/>
  <c r="P446" i="1"/>
  <c r="H445" i="1"/>
  <c r="P444" i="1"/>
  <c r="H443" i="1"/>
  <c r="P442" i="1"/>
  <c r="H441" i="1"/>
  <c r="P440" i="1"/>
  <c r="H439" i="1"/>
  <c r="P438" i="1"/>
  <c r="H437" i="1"/>
  <c r="P436" i="1"/>
  <c r="H435" i="1"/>
  <c r="P434" i="1"/>
  <c r="H433" i="1"/>
  <c r="P432" i="1"/>
  <c r="H431" i="1"/>
  <c r="P430" i="1"/>
  <c r="H429" i="1"/>
  <c r="P428" i="1"/>
  <c r="H427" i="1"/>
  <c r="P426" i="1"/>
  <c r="H425" i="1"/>
  <c r="P424" i="1"/>
  <c r="H423" i="1"/>
  <c r="P422" i="1"/>
  <c r="H421" i="1"/>
  <c r="P420" i="1"/>
  <c r="H419" i="1"/>
  <c r="P418" i="1"/>
  <c r="H417" i="1"/>
  <c r="P416" i="1"/>
  <c r="H415" i="1"/>
  <c r="Q415" i="1" s="1"/>
  <c r="P414" i="1"/>
  <c r="H413" i="1"/>
  <c r="P412" i="1"/>
  <c r="H411" i="1"/>
  <c r="P410" i="1"/>
  <c r="H409" i="1"/>
  <c r="P408" i="1"/>
  <c r="H407" i="1"/>
  <c r="Q407" i="1" s="1"/>
  <c r="P406" i="1"/>
  <c r="H405" i="1"/>
  <c r="P404" i="1"/>
  <c r="H403" i="1"/>
  <c r="P402" i="1"/>
  <c r="H401" i="1"/>
  <c r="P400" i="1"/>
  <c r="H399" i="1"/>
  <c r="P398" i="1"/>
  <c r="H397" i="1"/>
  <c r="P396" i="1"/>
  <c r="H395" i="1"/>
  <c r="P394" i="1"/>
  <c r="H393" i="1"/>
  <c r="P392" i="1"/>
  <c r="H391" i="1"/>
  <c r="Q391" i="1" s="1"/>
  <c r="P390" i="1"/>
  <c r="H389" i="1"/>
  <c r="P388" i="1"/>
  <c r="H387" i="1"/>
  <c r="P386" i="1"/>
  <c r="H385" i="1"/>
  <c r="P384" i="1"/>
  <c r="H383" i="1"/>
  <c r="P382" i="1"/>
  <c r="H381" i="1"/>
  <c r="P380" i="1"/>
  <c r="H379" i="1"/>
  <c r="P378" i="1"/>
  <c r="H377" i="1"/>
  <c r="P376" i="1"/>
  <c r="H375" i="1"/>
  <c r="P374" i="1"/>
  <c r="H373" i="1"/>
  <c r="P372" i="1"/>
  <c r="H371" i="1"/>
  <c r="P370" i="1"/>
  <c r="H369" i="1"/>
  <c r="H365" i="1"/>
  <c r="H361" i="1"/>
  <c r="H357" i="1"/>
  <c r="H353" i="1"/>
  <c r="H345" i="1"/>
  <c r="P345" i="1"/>
  <c r="O332" i="1"/>
  <c r="K332" i="1"/>
  <c r="H329" i="1"/>
  <c r="P329" i="1"/>
  <c r="O316" i="1"/>
  <c r="K316" i="1"/>
  <c r="H313" i="1"/>
  <c r="P313" i="1"/>
  <c r="O300" i="1"/>
  <c r="K300" i="1"/>
  <c r="H297" i="1"/>
  <c r="P297" i="1"/>
  <c r="O284" i="1"/>
  <c r="K284" i="1"/>
  <c r="H281" i="1"/>
  <c r="P281" i="1"/>
  <c r="O239" i="1"/>
  <c r="H239" i="1"/>
  <c r="O223" i="1"/>
  <c r="H223" i="1"/>
  <c r="O207" i="1"/>
  <c r="H207" i="1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6" i="1"/>
  <c r="K374" i="1"/>
  <c r="K372" i="1"/>
  <c r="K370" i="1"/>
  <c r="K367" i="1"/>
  <c r="O366" i="1"/>
  <c r="K363" i="1"/>
  <c r="O362" i="1"/>
  <c r="K359" i="1"/>
  <c r="O358" i="1"/>
  <c r="K355" i="1"/>
  <c r="O354" i="1"/>
  <c r="K351" i="1"/>
  <c r="O350" i="1"/>
  <c r="O344" i="1"/>
  <c r="K344" i="1"/>
  <c r="H341" i="1"/>
  <c r="P341" i="1"/>
  <c r="O328" i="1"/>
  <c r="K328" i="1"/>
  <c r="H325" i="1"/>
  <c r="P325" i="1"/>
  <c r="O312" i="1"/>
  <c r="K312" i="1"/>
  <c r="H309" i="1"/>
  <c r="P309" i="1"/>
  <c r="O296" i="1"/>
  <c r="K296" i="1"/>
  <c r="H293" i="1"/>
  <c r="P293" i="1"/>
  <c r="O280" i="1"/>
  <c r="K280" i="1"/>
  <c r="O243" i="1"/>
  <c r="H243" i="1"/>
  <c r="O227" i="1"/>
  <c r="H227" i="1"/>
  <c r="O211" i="1"/>
  <c r="H211" i="1"/>
  <c r="N348" i="1"/>
  <c r="N344" i="1"/>
  <c r="H344" i="1"/>
  <c r="P344" i="1"/>
  <c r="N340" i="1"/>
  <c r="H340" i="1"/>
  <c r="P340" i="1"/>
  <c r="N336" i="1"/>
  <c r="H336" i="1"/>
  <c r="P336" i="1"/>
  <c r="N332" i="1"/>
  <c r="H332" i="1"/>
  <c r="P332" i="1"/>
  <c r="N328" i="1"/>
  <c r="H328" i="1"/>
  <c r="P328" i="1"/>
  <c r="N324" i="1"/>
  <c r="H324" i="1"/>
  <c r="P324" i="1"/>
  <c r="N320" i="1"/>
  <c r="H320" i="1"/>
  <c r="P320" i="1"/>
  <c r="N316" i="1"/>
  <c r="H316" i="1"/>
  <c r="P316" i="1"/>
  <c r="N312" i="1"/>
  <c r="H312" i="1"/>
  <c r="P312" i="1"/>
  <c r="N308" i="1"/>
  <c r="H308" i="1"/>
  <c r="P308" i="1"/>
  <c r="N304" i="1"/>
  <c r="H304" i="1"/>
  <c r="P304" i="1"/>
  <c r="N300" i="1"/>
  <c r="H300" i="1"/>
  <c r="P300" i="1"/>
  <c r="N296" i="1"/>
  <c r="H296" i="1"/>
  <c r="P296" i="1"/>
  <c r="N292" i="1"/>
  <c r="H292" i="1"/>
  <c r="P292" i="1"/>
  <c r="N288" i="1"/>
  <c r="H288" i="1"/>
  <c r="P288" i="1"/>
  <c r="N284" i="1"/>
  <c r="H284" i="1"/>
  <c r="P284" i="1"/>
  <c r="N280" i="1"/>
  <c r="H280" i="1"/>
  <c r="P280" i="1"/>
  <c r="N246" i="1"/>
  <c r="P246" i="1"/>
  <c r="N242" i="1"/>
  <c r="P242" i="1"/>
  <c r="N238" i="1"/>
  <c r="P238" i="1"/>
  <c r="N234" i="1"/>
  <c r="P234" i="1"/>
  <c r="N230" i="1"/>
  <c r="P230" i="1"/>
  <c r="N226" i="1"/>
  <c r="P226" i="1"/>
  <c r="N222" i="1"/>
  <c r="P222" i="1"/>
  <c r="N218" i="1"/>
  <c r="P218" i="1"/>
  <c r="N214" i="1"/>
  <c r="P214" i="1"/>
  <c r="N210" i="1"/>
  <c r="P210" i="1"/>
  <c r="H347" i="1"/>
  <c r="P347" i="1"/>
  <c r="H343" i="1"/>
  <c r="P343" i="1"/>
  <c r="H339" i="1"/>
  <c r="P339" i="1"/>
  <c r="H335" i="1"/>
  <c r="P335" i="1"/>
  <c r="H331" i="1"/>
  <c r="P331" i="1"/>
  <c r="H327" i="1"/>
  <c r="P327" i="1"/>
  <c r="H323" i="1"/>
  <c r="P323" i="1"/>
  <c r="H319" i="1"/>
  <c r="P319" i="1"/>
  <c r="H315" i="1"/>
  <c r="P315" i="1"/>
  <c r="H311" i="1"/>
  <c r="P311" i="1"/>
  <c r="H307" i="1"/>
  <c r="P307" i="1"/>
  <c r="H303" i="1"/>
  <c r="P303" i="1"/>
  <c r="H299" i="1"/>
  <c r="P299" i="1"/>
  <c r="H295" i="1"/>
  <c r="P295" i="1"/>
  <c r="H291" i="1"/>
  <c r="P291" i="1"/>
  <c r="H287" i="1"/>
  <c r="P287" i="1"/>
  <c r="H283" i="1"/>
  <c r="P283" i="1"/>
  <c r="H279" i="1"/>
  <c r="P279" i="1"/>
  <c r="H278" i="1"/>
  <c r="P278" i="1"/>
  <c r="H277" i="1"/>
  <c r="P277" i="1"/>
  <c r="H276" i="1"/>
  <c r="P276" i="1"/>
  <c r="H275" i="1"/>
  <c r="P275" i="1"/>
  <c r="H274" i="1"/>
  <c r="P274" i="1"/>
  <c r="H273" i="1"/>
  <c r="P273" i="1"/>
  <c r="H272" i="1"/>
  <c r="P272" i="1"/>
  <c r="H271" i="1"/>
  <c r="P271" i="1"/>
  <c r="H270" i="1"/>
  <c r="P270" i="1"/>
  <c r="H269" i="1"/>
  <c r="P269" i="1"/>
  <c r="H268" i="1"/>
  <c r="P268" i="1"/>
  <c r="H267" i="1"/>
  <c r="P267" i="1"/>
  <c r="H266" i="1"/>
  <c r="P266" i="1"/>
  <c r="H265" i="1"/>
  <c r="P265" i="1"/>
  <c r="H264" i="1"/>
  <c r="P264" i="1"/>
  <c r="H263" i="1"/>
  <c r="P263" i="1"/>
  <c r="H262" i="1"/>
  <c r="P262" i="1"/>
  <c r="H261" i="1"/>
  <c r="P261" i="1"/>
  <c r="H260" i="1"/>
  <c r="P260" i="1"/>
  <c r="H259" i="1"/>
  <c r="P259" i="1"/>
  <c r="H258" i="1"/>
  <c r="P258" i="1"/>
  <c r="H257" i="1"/>
  <c r="P257" i="1"/>
  <c r="H256" i="1"/>
  <c r="P256" i="1"/>
  <c r="H255" i="1"/>
  <c r="P255" i="1"/>
  <c r="H254" i="1"/>
  <c r="P254" i="1"/>
  <c r="H253" i="1"/>
  <c r="P253" i="1"/>
  <c r="H252" i="1"/>
  <c r="P252" i="1"/>
  <c r="H251" i="1"/>
  <c r="P251" i="1"/>
  <c r="H250" i="1"/>
  <c r="P250" i="1"/>
  <c r="O245" i="1"/>
  <c r="H245" i="1"/>
  <c r="O241" i="1"/>
  <c r="H241" i="1"/>
  <c r="O237" i="1"/>
  <c r="H237" i="1"/>
  <c r="O233" i="1"/>
  <c r="H233" i="1"/>
  <c r="O229" i="1"/>
  <c r="H229" i="1"/>
  <c r="O225" i="1"/>
  <c r="H225" i="1"/>
  <c r="O221" i="1"/>
  <c r="H221" i="1"/>
  <c r="O217" i="1"/>
  <c r="H217" i="1"/>
  <c r="O213" i="1"/>
  <c r="H213" i="1"/>
  <c r="O209" i="1"/>
  <c r="H209" i="1"/>
  <c r="N206" i="1"/>
  <c r="O205" i="1"/>
  <c r="H205" i="1"/>
  <c r="N202" i="1"/>
  <c r="O201" i="1"/>
  <c r="H201" i="1"/>
  <c r="N198" i="1"/>
  <c r="O197" i="1"/>
  <c r="H197" i="1"/>
  <c r="O349" i="1"/>
  <c r="N346" i="1"/>
  <c r="H346" i="1"/>
  <c r="P346" i="1"/>
  <c r="N342" i="1"/>
  <c r="H342" i="1"/>
  <c r="P342" i="1"/>
  <c r="N338" i="1"/>
  <c r="H338" i="1"/>
  <c r="P338" i="1"/>
  <c r="N334" i="1"/>
  <c r="H334" i="1"/>
  <c r="P334" i="1"/>
  <c r="N330" i="1"/>
  <c r="H330" i="1"/>
  <c r="P330" i="1"/>
  <c r="N326" i="1"/>
  <c r="H326" i="1"/>
  <c r="P326" i="1"/>
  <c r="N322" i="1"/>
  <c r="H322" i="1"/>
  <c r="P322" i="1"/>
  <c r="N318" i="1"/>
  <c r="H318" i="1"/>
  <c r="P318" i="1"/>
  <c r="N314" i="1"/>
  <c r="H314" i="1"/>
  <c r="P314" i="1"/>
  <c r="N310" i="1"/>
  <c r="H310" i="1"/>
  <c r="P310" i="1"/>
  <c r="N306" i="1"/>
  <c r="H306" i="1"/>
  <c r="P306" i="1"/>
  <c r="N302" i="1"/>
  <c r="H302" i="1"/>
  <c r="P302" i="1"/>
  <c r="N298" i="1"/>
  <c r="H298" i="1"/>
  <c r="P298" i="1"/>
  <c r="N294" i="1"/>
  <c r="H294" i="1"/>
  <c r="P294" i="1"/>
  <c r="N290" i="1"/>
  <c r="H290" i="1"/>
  <c r="P290" i="1"/>
  <c r="N286" i="1"/>
  <c r="H286" i="1"/>
  <c r="P286" i="1"/>
  <c r="N282" i="1"/>
  <c r="H282" i="1"/>
  <c r="P282" i="1"/>
  <c r="N248" i="1"/>
  <c r="P248" i="1"/>
  <c r="N244" i="1"/>
  <c r="P244" i="1"/>
  <c r="N240" i="1"/>
  <c r="P240" i="1"/>
  <c r="N236" i="1"/>
  <c r="P236" i="1"/>
  <c r="N232" i="1"/>
  <c r="P232" i="1"/>
  <c r="N228" i="1"/>
  <c r="P228" i="1"/>
  <c r="N224" i="1"/>
  <c r="P224" i="1"/>
  <c r="N220" i="1"/>
  <c r="P220" i="1"/>
  <c r="N216" i="1"/>
  <c r="P216" i="1"/>
  <c r="N212" i="1"/>
  <c r="P212" i="1"/>
  <c r="K249" i="1"/>
  <c r="K247" i="1"/>
  <c r="K245" i="1"/>
  <c r="K243" i="1"/>
  <c r="K241" i="1"/>
  <c r="K239" i="1"/>
  <c r="K237" i="1"/>
  <c r="K235" i="1"/>
  <c r="K233" i="1"/>
  <c r="K231" i="1"/>
  <c r="K229" i="1"/>
  <c r="K227" i="1"/>
  <c r="K225" i="1"/>
  <c r="K223" i="1"/>
  <c r="K221" i="1"/>
  <c r="K219" i="1"/>
  <c r="K217" i="1"/>
  <c r="K215" i="1"/>
  <c r="K213" i="1"/>
  <c r="K211" i="1"/>
  <c r="K209" i="1"/>
  <c r="K207" i="1"/>
  <c r="K205" i="1"/>
  <c r="K203" i="1"/>
  <c r="K201" i="1"/>
  <c r="K199" i="1"/>
  <c r="K197" i="1"/>
  <c r="O194" i="1"/>
  <c r="N193" i="1"/>
  <c r="O191" i="1"/>
  <c r="H191" i="1"/>
  <c r="O187" i="1"/>
  <c r="H187" i="1"/>
  <c r="O183" i="1"/>
  <c r="H183" i="1"/>
  <c r="O179" i="1"/>
  <c r="H179" i="1"/>
  <c r="O175" i="1"/>
  <c r="H175" i="1"/>
  <c r="O171" i="1"/>
  <c r="H171" i="1"/>
  <c r="O167" i="1"/>
  <c r="H167" i="1"/>
  <c r="O163" i="1"/>
  <c r="H163" i="1"/>
  <c r="O159" i="1"/>
  <c r="H159" i="1"/>
  <c r="O155" i="1"/>
  <c r="H155" i="1"/>
  <c r="O151" i="1"/>
  <c r="H151" i="1"/>
  <c r="O147" i="1"/>
  <c r="H147" i="1"/>
  <c r="O143" i="1"/>
  <c r="H143" i="1"/>
  <c r="O139" i="1"/>
  <c r="H139" i="1"/>
  <c r="O135" i="1"/>
  <c r="H135" i="1"/>
  <c r="O131" i="1"/>
  <c r="H131" i="1"/>
  <c r="K103" i="1"/>
  <c r="P103" i="1"/>
  <c r="K107" i="1"/>
  <c r="P107" i="1"/>
  <c r="K248" i="1"/>
  <c r="K246" i="1"/>
  <c r="K244" i="1"/>
  <c r="K242" i="1"/>
  <c r="K240" i="1"/>
  <c r="K238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6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K111" i="1"/>
  <c r="P111" i="1"/>
  <c r="K95" i="1"/>
  <c r="P95" i="1"/>
  <c r="N69" i="1"/>
  <c r="O69" i="1"/>
  <c r="N65" i="1"/>
  <c r="O65" i="1"/>
  <c r="O190" i="1"/>
  <c r="H188" i="1"/>
  <c r="O186" i="1"/>
  <c r="H184" i="1"/>
  <c r="O182" i="1"/>
  <c r="H180" i="1"/>
  <c r="O178" i="1"/>
  <c r="H176" i="1"/>
  <c r="O174" i="1"/>
  <c r="H172" i="1"/>
  <c r="O170" i="1"/>
  <c r="H168" i="1"/>
  <c r="O166" i="1"/>
  <c r="H164" i="1"/>
  <c r="Q164" i="1" s="1"/>
  <c r="O162" i="1"/>
  <c r="H160" i="1"/>
  <c r="O158" i="1"/>
  <c r="H156" i="1"/>
  <c r="O154" i="1"/>
  <c r="H152" i="1"/>
  <c r="O150" i="1"/>
  <c r="H148" i="1"/>
  <c r="O146" i="1"/>
  <c r="H144" i="1"/>
  <c r="O142" i="1"/>
  <c r="H140" i="1"/>
  <c r="O138" i="1"/>
  <c r="H136" i="1"/>
  <c r="O134" i="1"/>
  <c r="H132" i="1"/>
  <c r="O130" i="1"/>
  <c r="O129" i="1"/>
  <c r="H129" i="1"/>
  <c r="K128" i="1"/>
  <c r="P128" i="1"/>
  <c r="O125" i="1"/>
  <c r="H125" i="1"/>
  <c r="K124" i="1"/>
  <c r="P124" i="1"/>
  <c r="O121" i="1"/>
  <c r="H121" i="1"/>
  <c r="K120" i="1"/>
  <c r="P120" i="1"/>
  <c r="O117" i="1"/>
  <c r="H117" i="1"/>
  <c r="P114" i="1"/>
  <c r="O113" i="1"/>
  <c r="H113" i="1"/>
  <c r="O126" i="1"/>
  <c r="H126" i="1"/>
  <c r="K125" i="1"/>
  <c r="P125" i="1"/>
  <c r="O122" i="1"/>
  <c r="H122" i="1"/>
  <c r="K121" i="1"/>
  <c r="P121" i="1"/>
  <c r="O118" i="1"/>
  <c r="H118" i="1"/>
  <c r="P115" i="1"/>
  <c r="O114" i="1"/>
  <c r="H114" i="1"/>
  <c r="P32" i="1"/>
  <c r="O127" i="1"/>
  <c r="H127" i="1"/>
  <c r="K126" i="1"/>
  <c r="P126" i="1"/>
  <c r="O123" i="1"/>
  <c r="H123" i="1"/>
  <c r="K122" i="1"/>
  <c r="P122" i="1"/>
  <c r="O119" i="1"/>
  <c r="H119" i="1"/>
  <c r="K118" i="1"/>
  <c r="P118" i="1"/>
  <c r="O115" i="1"/>
  <c r="H115" i="1"/>
  <c r="O111" i="1"/>
  <c r="H111" i="1"/>
  <c r="O107" i="1"/>
  <c r="H107" i="1"/>
  <c r="O103" i="1"/>
  <c r="H103" i="1"/>
  <c r="O99" i="1"/>
  <c r="H99" i="1"/>
  <c r="P112" i="1"/>
  <c r="H112" i="1"/>
  <c r="O110" i="1"/>
  <c r="H108" i="1"/>
  <c r="O106" i="1"/>
  <c r="H104" i="1"/>
  <c r="O102" i="1"/>
  <c r="H100" i="1"/>
  <c r="O98" i="1"/>
  <c r="H96" i="1"/>
  <c r="N68" i="1"/>
  <c r="O68" i="1"/>
  <c r="N64" i="1"/>
  <c r="O64" i="1"/>
  <c r="K59" i="1"/>
  <c r="K51" i="1"/>
  <c r="P28" i="1"/>
  <c r="N67" i="1"/>
  <c r="O67" i="1"/>
  <c r="P24" i="1"/>
  <c r="N71" i="1"/>
  <c r="O71" i="1"/>
  <c r="N70" i="1"/>
  <c r="O70" i="1"/>
  <c r="N66" i="1"/>
  <c r="O66" i="1"/>
  <c r="K63" i="1"/>
  <c r="P36" i="1"/>
  <c r="H64" i="1"/>
  <c r="H62" i="1"/>
  <c r="H60" i="1"/>
  <c r="H58" i="1"/>
  <c r="H56" i="1"/>
  <c r="H54" i="1"/>
  <c r="H52" i="1"/>
  <c r="K50" i="1"/>
  <c r="K49" i="1"/>
  <c r="K48" i="1"/>
  <c r="K47" i="1"/>
  <c r="K46" i="1"/>
  <c r="K45" i="1"/>
  <c r="K44" i="1"/>
  <c r="K43" i="1"/>
  <c r="K42" i="1"/>
  <c r="K41" i="1"/>
  <c r="K40" i="1"/>
  <c r="K39" i="1"/>
  <c r="P37" i="1"/>
  <c r="P33" i="1"/>
  <c r="P29" i="1"/>
  <c r="O28" i="1"/>
  <c r="P25" i="1"/>
  <c r="O24" i="1"/>
  <c r="K22" i="1"/>
  <c r="O22" i="1"/>
  <c r="P63" i="1"/>
  <c r="P61" i="1"/>
  <c r="P59" i="1"/>
  <c r="P57" i="1"/>
  <c r="P55" i="1"/>
  <c r="P53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O37" i="1"/>
  <c r="P34" i="1"/>
  <c r="O33" i="1"/>
  <c r="P30" i="1"/>
  <c r="O29" i="1"/>
  <c r="P26" i="1"/>
  <c r="O25" i="1"/>
  <c r="P22" i="1"/>
  <c r="O63" i="1"/>
  <c r="H63" i="1"/>
  <c r="O61" i="1"/>
  <c r="H61" i="1"/>
  <c r="O59" i="1"/>
  <c r="H59" i="1"/>
  <c r="O57" i="1"/>
  <c r="H57" i="1"/>
  <c r="O55" i="1"/>
  <c r="H55" i="1"/>
  <c r="O53" i="1"/>
  <c r="H53" i="1"/>
  <c r="Q53" i="1" s="1"/>
  <c r="O51" i="1"/>
  <c r="O50" i="1"/>
  <c r="H50" i="1"/>
  <c r="O49" i="1"/>
  <c r="H49" i="1"/>
  <c r="O48" i="1"/>
  <c r="H48" i="1"/>
  <c r="O47" i="1"/>
  <c r="H47" i="1"/>
  <c r="O46" i="1"/>
  <c r="H46" i="1"/>
  <c r="O45" i="1"/>
  <c r="H45" i="1"/>
  <c r="O44" i="1"/>
  <c r="H44" i="1"/>
  <c r="O43" i="1"/>
  <c r="H43" i="1"/>
  <c r="O42" i="1"/>
  <c r="H42" i="1"/>
  <c r="O41" i="1"/>
  <c r="H41" i="1"/>
  <c r="O40" i="1"/>
  <c r="H40" i="1"/>
  <c r="O39" i="1"/>
  <c r="H39" i="1"/>
  <c r="O38" i="1"/>
  <c r="P35" i="1"/>
  <c r="O34" i="1"/>
  <c r="P31" i="1"/>
  <c r="O30" i="1"/>
  <c r="P27" i="1"/>
  <c r="O26" i="1"/>
  <c r="P2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AB16" i="1"/>
  <c r="AA11" i="1"/>
  <c r="J500" i="11"/>
  <c r="I500" i="11"/>
  <c r="H500" i="11"/>
  <c r="G500" i="11"/>
  <c r="F500" i="11"/>
  <c r="E500" i="11"/>
  <c r="D500" i="11"/>
  <c r="U11" i="1"/>
  <c r="E500" i="10"/>
  <c r="I500" i="10"/>
  <c r="G500" i="10"/>
  <c r="F500" i="10"/>
  <c r="J500" i="10"/>
  <c r="H500" i="10"/>
  <c r="D500" i="10"/>
  <c r="AB19" i="1"/>
  <c r="AC18" i="1"/>
  <c r="AB18" i="1"/>
  <c r="AA18" i="1"/>
  <c r="Z18" i="1"/>
  <c r="Y18" i="1"/>
  <c r="X18" i="1"/>
  <c r="W18" i="1"/>
  <c r="V18" i="1"/>
  <c r="U18" i="1"/>
  <c r="I18" i="1"/>
  <c r="J18" i="1"/>
  <c r="K18" i="1"/>
  <c r="L18" i="1"/>
  <c r="M18" i="1"/>
  <c r="N18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21" i="1"/>
  <c r="R400" i="14" l="1"/>
  <c r="R406" i="14"/>
  <c r="S236" i="14"/>
  <c r="S308" i="14"/>
  <c r="AF128" i="1"/>
  <c r="AI128" i="1" s="1"/>
  <c r="AF477" i="1"/>
  <c r="Q260" i="1"/>
  <c r="Q272" i="1"/>
  <c r="T272" i="1" s="1"/>
  <c r="Q481" i="1"/>
  <c r="S84" i="14"/>
  <c r="S392" i="14"/>
  <c r="R346" i="14"/>
  <c r="R370" i="14"/>
  <c r="S200" i="14"/>
  <c r="S394" i="14"/>
  <c r="S148" i="14"/>
  <c r="S232" i="14"/>
  <c r="S360" i="14"/>
  <c r="S492" i="14"/>
  <c r="S40" i="14"/>
  <c r="S368" i="14"/>
  <c r="AF509" i="1"/>
  <c r="AI509" i="1" s="1"/>
  <c r="AF369" i="1"/>
  <c r="AI369" i="1" s="1"/>
  <c r="AF448" i="1"/>
  <c r="AF258" i="1"/>
  <c r="AI258" i="1" s="1"/>
  <c r="Q214" i="1"/>
  <c r="T214" i="1" s="1"/>
  <c r="Q230" i="1"/>
  <c r="T230" i="1" s="1"/>
  <c r="Q357" i="1"/>
  <c r="T357" i="1" s="1"/>
  <c r="Q56" i="1"/>
  <c r="T56" i="1" s="1"/>
  <c r="Q104" i="1"/>
  <c r="Q303" i="1"/>
  <c r="T303" i="1" s="1"/>
  <c r="Q74" i="1"/>
  <c r="T74" i="1" s="1"/>
  <c r="Q102" i="1"/>
  <c r="T102" i="1" s="1"/>
  <c r="S248" i="14"/>
  <c r="R54" i="14"/>
  <c r="R30" i="14"/>
  <c r="R46" i="14"/>
  <c r="AF279" i="1"/>
  <c r="AI279" i="1" s="1"/>
  <c r="AF445" i="1"/>
  <c r="AI445" i="1" s="1"/>
  <c r="AF109" i="1"/>
  <c r="AI109" i="1" s="1"/>
  <c r="AF496" i="1"/>
  <c r="AI496" i="1" s="1"/>
  <c r="Q349" i="1"/>
  <c r="T349" i="1" s="1"/>
  <c r="Q130" i="1"/>
  <c r="T130" i="1" s="1"/>
  <c r="Q399" i="1"/>
  <c r="T399" i="1" s="1"/>
  <c r="Q423" i="1"/>
  <c r="T423" i="1" s="1"/>
  <c r="Q431" i="1"/>
  <c r="T431" i="1" s="1"/>
  <c r="Q439" i="1"/>
  <c r="T439" i="1" s="1"/>
  <c r="Q447" i="1"/>
  <c r="T447" i="1" s="1"/>
  <c r="AF485" i="1"/>
  <c r="AI485" i="1" s="1"/>
  <c r="AF423" i="1"/>
  <c r="AI423" i="1" s="1"/>
  <c r="AF58" i="1"/>
  <c r="AI58" i="1" s="1"/>
  <c r="AF247" i="1"/>
  <c r="AI247" i="1" s="1"/>
  <c r="AF500" i="1"/>
  <c r="AI500" i="1" s="1"/>
  <c r="AF385" i="1"/>
  <c r="AI385" i="1" s="1"/>
  <c r="Q40" i="1"/>
  <c r="T40" i="1" s="1"/>
  <c r="Q255" i="1"/>
  <c r="T255" i="1" s="1"/>
  <c r="Q311" i="1"/>
  <c r="T311" i="1" s="1"/>
  <c r="Q392" i="1"/>
  <c r="T392" i="1" s="1"/>
  <c r="Q321" i="1"/>
  <c r="T321" i="1" s="1"/>
  <c r="Q173" i="1"/>
  <c r="T173" i="1" s="1"/>
  <c r="Q473" i="1"/>
  <c r="T473" i="1" s="1"/>
  <c r="Q485" i="1"/>
  <c r="T485" i="1" s="1"/>
  <c r="Q178" i="1"/>
  <c r="T178" i="1" s="1"/>
  <c r="Q174" i="1"/>
  <c r="T174" i="1" s="1"/>
  <c r="Q216" i="1"/>
  <c r="T216" i="1" s="1"/>
  <c r="Q232" i="1"/>
  <c r="T232" i="1" s="1"/>
  <c r="Q248" i="1"/>
  <c r="T248" i="1" s="1"/>
  <c r="Q250" i="1"/>
  <c r="T250" i="1" s="1"/>
  <c r="Q264" i="1"/>
  <c r="T264" i="1" s="1"/>
  <c r="Q274" i="1"/>
  <c r="T274" i="1" s="1"/>
  <c r="Q375" i="1"/>
  <c r="T375" i="1" s="1"/>
  <c r="Q383" i="1"/>
  <c r="Q471" i="1"/>
  <c r="T471" i="1" s="1"/>
  <c r="Q333" i="1"/>
  <c r="T333" i="1" s="1"/>
  <c r="Q82" i="1"/>
  <c r="T82" i="1" s="1"/>
  <c r="Q475" i="1"/>
  <c r="T475" i="1" s="1"/>
  <c r="Q483" i="1"/>
  <c r="T483" i="1" s="1"/>
  <c r="Q313" i="1"/>
  <c r="T313" i="1" s="1"/>
  <c r="Q114" i="1"/>
  <c r="T114" i="1" s="1"/>
  <c r="Q129" i="1"/>
  <c r="T129" i="1" s="1"/>
  <c r="Q143" i="1"/>
  <c r="T143" i="1" s="1"/>
  <c r="Q151" i="1"/>
  <c r="T151" i="1" s="1"/>
  <c r="Q183" i="1"/>
  <c r="T183" i="1" s="1"/>
  <c r="Q495" i="1"/>
  <c r="T495" i="1" s="1"/>
  <c r="R23" i="1"/>
  <c r="Q147" i="1"/>
  <c r="T147" i="1" s="1"/>
  <c r="Q137" i="1"/>
  <c r="T137" i="1" s="1"/>
  <c r="Q75" i="1"/>
  <c r="T75" i="1" s="1"/>
  <c r="Q91" i="1"/>
  <c r="T91" i="1" s="1"/>
  <c r="Q189" i="1"/>
  <c r="T189" i="1" s="1"/>
  <c r="Q266" i="1"/>
  <c r="T266" i="1" s="1"/>
  <c r="Q70" i="1"/>
  <c r="T70" i="1" s="1"/>
  <c r="Q476" i="1"/>
  <c r="T476" i="1" s="1"/>
  <c r="Q484" i="1"/>
  <c r="Q97" i="1"/>
  <c r="T97" i="1" s="1"/>
  <c r="Q162" i="1"/>
  <c r="T162" i="1" s="1"/>
  <c r="Q372" i="1"/>
  <c r="T372" i="1" s="1"/>
  <c r="Q386" i="1"/>
  <c r="R79" i="1"/>
  <c r="Q348" i="1"/>
  <c r="T348" i="1" s="1"/>
  <c r="Q388" i="1"/>
  <c r="T388" i="1" s="1"/>
  <c r="Q364" i="1"/>
  <c r="T364" i="1" s="1"/>
  <c r="R483" i="1"/>
  <c r="S122" i="14"/>
  <c r="S342" i="14"/>
  <c r="T83" i="14"/>
  <c r="T109" i="14"/>
  <c r="T67" i="14"/>
  <c r="R62" i="14"/>
  <c r="S461" i="14"/>
  <c r="T419" i="14"/>
  <c r="T408" i="14"/>
  <c r="R22" i="14"/>
  <c r="T87" i="14"/>
  <c r="T61" i="14"/>
  <c r="T119" i="14"/>
  <c r="T424" i="14"/>
  <c r="T89" i="14"/>
  <c r="R306" i="14"/>
  <c r="T111" i="14"/>
  <c r="R298" i="14"/>
  <c r="T45" i="14"/>
  <c r="T97" i="14"/>
  <c r="T113" i="14"/>
  <c r="R282" i="14"/>
  <c r="T103" i="14"/>
  <c r="S396" i="14"/>
  <c r="R38" i="14"/>
  <c r="T69" i="14"/>
  <c r="S288" i="14"/>
  <c r="R268" i="14"/>
  <c r="S336" i="14"/>
  <c r="R34" i="14"/>
  <c r="T81" i="14"/>
  <c r="T281" i="14"/>
  <c r="S312" i="14"/>
  <c r="T382" i="14"/>
  <c r="R50" i="14"/>
  <c r="R58" i="14"/>
  <c r="R26" i="14"/>
  <c r="R42" i="14"/>
  <c r="T73" i="14"/>
  <c r="T21" i="14"/>
  <c r="T37" i="14"/>
  <c r="T105" i="14"/>
  <c r="S272" i="14"/>
  <c r="S414" i="14"/>
  <c r="T79" i="14"/>
  <c r="R16" i="15"/>
  <c r="S384" i="14"/>
  <c r="T25" i="14"/>
  <c r="T53" i="14"/>
  <c r="T77" i="14"/>
  <c r="S256" i="14"/>
  <c r="S280" i="14"/>
  <c r="S304" i="14"/>
  <c r="T95" i="14"/>
  <c r="T115" i="14"/>
  <c r="S181" i="14"/>
  <c r="S328" i="14"/>
  <c r="T41" i="14"/>
  <c r="T93" i="14"/>
  <c r="R332" i="14"/>
  <c r="T57" i="14"/>
  <c r="T99" i="14"/>
  <c r="S376" i="14"/>
  <c r="S356" i="14"/>
  <c r="T345" i="14"/>
  <c r="S324" i="14"/>
  <c r="S260" i="14"/>
  <c r="S457" i="14"/>
  <c r="S229" i="14"/>
  <c r="S246" i="14"/>
  <c r="S412" i="14"/>
  <c r="T33" i="14"/>
  <c r="T313" i="14"/>
  <c r="S320" i="14"/>
  <c r="T85" i="14"/>
  <c r="T107" i="14"/>
  <c r="T117" i="14"/>
  <c r="S344" i="14"/>
  <c r="T49" i="14"/>
  <c r="T91" i="14"/>
  <c r="T101" i="14"/>
  <c r="T75" i="14"/>
  <c r="S185" i="14"/>
  <c r="S264" i="14"/>
  <c r="T254" i="14"/>
  <c r="S286" i="14"/>
  <c r="S296" i="14"/>
  <c r="S398" i="14"/>
  <c r="T411" i="14"/>
  <c r="R284" i="14"/>
  <c r="R35" i="1"/>
  <c r="Q44" i="1"/>
  <c r="T44" i="1" s="1"/>
  <c r="Q179" i="1"/>
  <c r="T179" i="1" s="1"/>
  <c r="Q83" i="1"/>
  <c r="T83" i="1" s="1"/>
  <c r="Q261" i="1"/>
  <c r="T261" i="1" s="1"/>
  <c r="Q271" i="1"/>
  <c r="T271" i="1" s="1"/>
  <c r="Q277" i="1"/>
  <c r="T277" i="1" s="1"/>
  <c r="Q424" i="1"/>
  <c r="T424" i="1" s="1"/>
  <c r="Q176" i="1"/>
  <c r="T176" i="1" s="1"/>
  <c r="Q254" i="1"/>
  <c r="T254" i="1" s="1"/>
  <c r="Q146" i="1"/>
  <c r="T146" i="1" s="1"/>
  <c r="R377" i="1"/>
  <c r="R173" i="1"/>
  <c r="Q132" i="1"/>
  <c r="T132" i="1" s="1"/>
  <c r="Q440" i="1"/>
  <c r="T440" i="1" s="1"/>
  <c r="Q200" i="1"/>
  <c r="T200" i="1" s="1"/>
  <c r="Q26" i="1"/>
  <c r="T26" i="1" s="1"/>
  <c r="Q34" i="1"/>
  <c r="T34" i="1" s="1"/>
  <c r="Q112" i="1"/>
  <c r="T112" i="1" s="1"/>
  <c r="Q479" i="1"/>
  <c r="Q64" i="1"/>
  <c r="T64" i="1" s="1"/>
  <c r="Q111" i="1"/>
  <c r="T111" i="1" s="1"/>
  <c r="Q136" i="1"/>
  <c r="T136" i="1" s="1"/>
  <c r="Q152" i="1"/>
  <c r="T152" i="1" s="1"/>
  <c r="Q168" i="1"/>
  <c r="T168" i="1" s="1"/>
  <c r="Q258" i="1"/>
  <c r="T258" i="1" s="1"/>
  <c r="Q262" i="1"/>
  <c r="T262" i="1" s="1"/>
  <c r="Q278" i="1"/>
  <c r="T278" i="1" s="1"/>
  <c r="Q315" i="1"/>
  <c r="T315" i="1" s="1"/>
  <c r="Q301" i="1"/>
  <c r="T301" i="1" s="1"/>
  <c r="Q512" i="1"/>
  <c r="T512" i="1" s="1"/>
  <c r="Q186" i="1"/>
  <c r="T186" i="1" s="1"/>
  <c r="Q110" i="1"/>
  <c r="T110" i="1" s="1"/>
  <c r="Q79" i="1"/>
  <c r="T79" i="1" s="1"/>
  <c r="Q87" i="1"/>
  <c r="T87" i="1" s="1"/>
  <c r="Q368" i="1"/>
  <c r="T368" i="1" s="1"/>
  <c r="Q142" i="1"/>
  <c r="T142" i="1" s="1"/>
  <c r="Q52" i="1"/>
  <c r="T52" i="1" s="1"/>
  <c r="Q60" i="1"/>
  <c r="T60" i="1" s="1"/>
  <c r="Q100" i="1"/>
  <c r="T100" i="1" s="1"/>
  <c r="Q156" i="1"/>
  <c r="T156" i="1" s="1"/>
  <c r="Q180" i="1"/>
  <c r="T180" i="1" s="1"/>
  <c r="Q253" i="1"/>
  <c r="Q257" i="1"/>
  <c r="T257" i="1" s="1"/>
  <c r="Q263" i="1"/>
  <c r="T263" i="1" s="1"/>
  <c r="Q267" i="1"/>
  <c r="T267" i="1" s="1"/>
  <c r="Q269" i="1"/>
  <c r="T269" i="1" s="1"/>
  <c r="Q273" i="1"/>
  <c r="T273" i="1" s="1"/>
  <c r="Q275" i="1"/>
  <c r="T275" i="1" s="1"/>
  <c r="Q335" i="1"/>
  <c r="T335" i="1" s="1"/>
  <c r="Q325" i="1"/>
  <c r="T325" i="1" s="1"/>
  <c r="Q341" i="1"/>
  <c r="T341" i="1" s="1"/>
  <c r="Q190" i="1"/>
  <c r="T190" i="1" s="1"/>
  <c r="Q157" i="1"/>
  <c r="T157" i="1" s="1"/>
  <c r="Q350" i="1"/>
  <c r="T350" i="1" s="1"/>
  <c r="Q187" i="1"/>
  <c r="T187" i="1" s="1"/>
  <c r="Q297" i="1"/>
  <c r="T297" i="1" s="1"/>
  <c r="Q489" i="1"/>
  <c r="T489" i="1" s="1"/>
  <c r="Q192" i="1"/>
  <c r="T192" i="1" s="1"/>
  <c r="Q170" i="1"/>
  <c r="T170" i="1" s="1"/>
  <c r="Q62" i="1"/>
  <c r="T62" i="1" s="1"/>
  <c r="Q116" i="1"/>
  <c r="T116" i="1" s="1"/>
  <c r="Q101" i="1"/>
  <c r="T101" i="1" s="1"/>
  <c r="Q153" i="1"/>
  <c r="T153" i="1" s="1"/>
  <c r="Q185" i="1"/>
  <c r="T185" i="1" s="1"/>
  <c r="Q181" i="1"/>
  <c r="T181" i="1" s="1"/>
  <c r="Q503" i="1"/>
  <c r="Q77" i="1"/>
  <c r="T77" i="1" s="1"/>
  <c r="Q85" i="1"/>
  <c r="T85" i="1" s="1"/>
  <c r="Q89" i="1"/>
  <c r="T89" i="1" s="1"/>
  <c r="Q93" i="1"/>
  <c r="T93" i="1" s="1"/>
  <c r="Q106" i="1"/>
  <c r="T106" i="1" s="1"/>
  <c r="Q360" i="1"/>
  <c r="T360" i="1" s="1"/>
  <c r="R104" i="1"/>
  <c r="Q208" i="1"/>
  <c r="T208" i="1" s="1"/>
  <c r="Q240" i="1"/>
  <c r="T240" i="1" s="1"/>
  <c r="Q404" i="1"/>
  <c r="T404" i="1" s="1"/>
  <c r="Q436" i="1"/>
  <c r="T436" i="1" s="1"/>
  <c r="Q452" i="1"/>
  <c r="T452" i="1" s="1"/>
  <c r="Q468" i="1"/>
  <c r="T468" i="1" s="1"/>
  <c r="Q98" i="1"/>
  <c r="T98" i="1" s="1"/>
  <c r="Q474" i="1"/>
  <c r="T474" i="1" s="1"/>
  <c r="Q478" i="1"/>
  <c r="Q482" i="1"/>
  <c r="Q486" i="1"/>
  <c r="T486" i="1" s="1"/>
  <c r="Q158" i="1"/>
  <c r="T158" i="1" s="1"/>
  <c r="Q94" i="1"/>
  <c r="T94" i="1" s="1"/>
  <c r="Q67" i="1"/>
  <c r="T67" i="1" s="1"/>
  <c r="Q376" i="1"/>
  <c r="T376" i="1" s="1"/>
  <c r="Q358" i="1"/>
  <c r="T358" i="1" s="1"/>
  <c r="R30" i="1"/>
  <c r="S197" i="14"/>
  <c r="R32" i="1"/>
  <c r="S449" i="14"/>
  <c r="S410" i="14"/>
  <c r="S292" i="14"/>
  <c r="S374" i="14"/>
  <c r="S262" i="14"/>
  <c r="S126" i="14"/>
  <c r="T403" i="14"/>
  <c r="S294" i="14"/>
  <c r="S513" i="14"/>
  <c r="S133" i="14"/>
  <c r="R60" i="1"/>
  <c r="S310" i="14"/>
  <c r="AF413" i="1"/>
  <c r="AI413" i="1" s="1"/>
  <c r="AF46" i="1"/>
  <c r="AI46" i="1" s="1"/>
  <c r="AF22" i="1"/>
  <c r="AI22" i="1" s="1"/>
  <c r="AF72" i="1"/>
  <c r="AI72" i="1" s="1"/>
  <c r="AF113" i="1"/>
  <c r="AI113" i="1" s="1"/>
  <c r="AF125" i="1"/>
  <c r="AI125" i="1" s="1"/>
  <c r="AF300" i="1"/>
  <c r="AI300" i="1" s="1"/>
  <c r="AF54" i="1"/>
  <c r="AI54" i="1" s="1"/>
  <c r="AF60" i="1"/>
  <c r="AI60" i="1" s="1"/>
  <c r="AF494" i="1"/>
  <c r="AI494" i="1" s="1"/>
  <c r="AF340" i="1"/>
  <c r="AI340" i="1" s="1"/>
  <c r="AF348" i="1"/>
  <c r="AI348" i="1" s="1"/>
  <c r="AF372" i="1"/>
  <c r="AI372" i="1" s="1"/>
  <c r="AF380" i="1"/>
  <c r="AI380" i="1" s="1"/>
  <c r="AF388" i="1"/>
  <c r="AI388" i="1" s="1"/>
  <c r="AF404" i="1"/>
  <c r="AI404" i="1" s="1"/>
  <c r="AF335" i="1"/>
  <c r="AI335" i="1" s="1"/>
  <c r="AF250" i="1"/>
  <c r="AI250" i="1" s="1"/>
  <c r="AF515" i="1"/>
  <c r="AI515" i="1" s="1"/>
  <c r="AF446" i="1"/>
  <c r="AI446" i="1" s="1"/>
  <c r="AF303" i="1"/>
  <c r="AI303" i="1" s="1"/>
  <c r="AF454" i="1"/>
  <c r="AI454" i="1" s="1"/>
  <c r="AF73" i="1"/>
  <c r="AI73" i="1" s="1"/>
  <c r="AF357" i="1"/>
  <c r="AI357" i="1" s="1"/>
  <c r="AF327" i="1"/>
  <c r="AI327" i="1" s="1"/>
  <c r="AF449" i="1"/>
  <c r="AI449" i="1" s="1"/>
  <c r="AF474" i="1"/>
  <c r="AI474" i="1" s="1"/>
  <c r="AF472" i="1"/>
  <c r="AI472" i="1" s="1"/>
  <c r="AF419" i="1"/>
  <c r="AI419" i="1" s="1"/>
  <c r="AF478" i="1"/>
  <c r="AF421" i="1"/>
  <c r="AI421" i="1" s="1"/>
  <c r="AF428" i="1"/>
  <c r="AI428" i="1" s="1"/>
  <c r="AF81" i="1"/>
  <c r="AI81" i="1" s="1"/>
  <c r="AF422" i="1"/>
  <c r="AI422" i="1" s="1"/>
  <c r="AF373" i="1"/>
  <c r="AI373" i="1" s="1"/>
  <c r="AF433" i="1"/>
  <c r="AI433" i="1" s="1"/>
  <c r="AF453" i="1"/>
  <c r="AI453" i="1" s="1"/>
  <c r="AF313" i="1"/>
  <c r="AI313" i="1" s="1"/>
  <c r="AF329" i="1"/>
  <c r="AI329" i="1" s="1"/>
  <c r="AF271" i="1"/>
  <c r="AI271" i="1" s="1"/>
  <c r="AF441" i="1"/>
  <c r="AI441" i="1" s="1"/>
  <c r="AF319" i="1"/>
  <c r="AI319" i="1" s="1"/>
  <c r="AF387" i="1"/>
  <c r="AI387" i="1" s="1"/>
  <c r="AF426" i="1"/>
  <c r="AI426" i="1" s="1"/>
  <c r="AF439" i="1"/>
  <c r="AI439" i="1" s="1"/>
  <c r="S278" i="14"/>
  <c r="Q354" i="1"/>
  <c r="T354" i="1" s="1"/>
  <c r="Q23" i="1"/>
  <c r="T23" i="1" s="1"/>
  <c r="Q31" i="1"/>
  <c r="T31" i="1" s="1"/>
  <c r="Q58" i="1"/>
  <c r="T58" i="1" s="1"/>
  <c r="Q139" i="1"/>
  <c r="T139" i="1" s="1"/>
  <c r="Q155" i="1"/>
  <c r="T155" i="1" s="1"/>
  <c r="Q329" i="1"/>
  <c r="T329" i="1" s="1"/>
  <c r="Q149" i="1"/>
  <c r="T149" i="1" s="1"/>
  <c r="Q145" i="1"/>
  <c r="T145" i="1" s="1"/>
  <c r="Q54" i="1"/>
  <c r="T54" i="1" s="1"/>
  <c r="Q133" i="1"/>
  <c r="T133" i="1" s="1"/>
  <c r="Q113" i="1"/>
  <c r="T113" i="1" s="1"/>
  <c r="Q144" i="1"/>
  <c r="T144" i="1" s="1"/>
  <c r="Q184" i="1"/>
  <c r="T184" i="1" s="1"/>
  <c r="Q270" i="1"/>
  <c r="T270" i="1" s="1"/>
  <c r="Q283" i="1"/>
  <c r="T283" i="1" s="1"/>
  <c r="Q299" i="1"/>
  <c r="T299" i="1" s="1"/>
  <c r="Q339" i="1"/>
  <c r="T339" i="1" s="1"/>
  <c r="Q188" i="1"/>
  <c r="T188" i="1" s="1"/>
  <c r="Q251" i="1"/>
  <c r="T251" i="1" s="1"/>
  <c r="Q259" i="1"/>
  <c r="T259" i="1" s="1"/>
  <c r="Q265" i="1"/>
  <c r="T265" i="1" s="1"/>
  <c r="Q295" i="1"/>
  <c r="T295" i="1" s="1"/>
  <c r="Q327" i="1"/>
  <c r="T327" i="1" s="1"/>
  <c r="Q337" i="1"/>
  <c r="T337" i="1" s="1"/>
  <c r="Q491" i="1"/>
  <c r="T491" i="1" s="1"/>
  <c r="Q117" i="1"/>
  <c r="T117" i="1" s="1"/>
  <c r="Q135" i="1"/>
  <c r="T135" i="1" s="1"/>
  <c r="Q175" i="1"/>
  <c r="T175" i="1" s="1"/>
  <c r="Q305" i="1"/>
  <c r="T305" i="1" s="1"/>
  <c r="Q169" i="1"/>
  <c r="T169" i="1" s="1"/>
  <c r="Q165" i="1"/>
  <c r="T165" i="1" s="1"/>
  <c r="Q154" i="1"/>
  <c r="T154" i="1" s="1"/>
  <c r="Q138" i="1"/>
  <c r="T138" i="1" s="1"/>
  <c r="Q28" i="1"/>
  <c r="T28" i="1" s="1"/>
  <c r="Q36" i="1"/>
  <c r="T36" i="1" s="1"/>
  <c r="Q57" i="1"/>
  <c r="T57" i="1" s="1"/>
  <c r="Q61" i="1"/>
  <c r="T61" i="1" s="1"/>
  <c r="Q317" i="1"/>
  <c r="T317" i="1" s="1"/>
  <c r="Q105" i="1"/>
  <c r="T105" i="1" s="1"/>
  <c r="Q507" i="1"/>
  <c r="T507" i="1" s="1"/>
  <c r="Q515" i="1"/>
  <c r="T515" i="1" s="1"/>
  <c r="Q72" i="1"/>
  <c r="T72" i="1" s="1"/>
  <c r="Q80" i="1"/>
  <c r="T80" i="1" s="1"/>
  <c r="Q118" i="1"/>
  <c r="T118" i="1" s="1"/>
  <c r="Q122" i="1"/>
  <c r="T122" i="1" s="1"/>
  <c r="Q126" i="1"/>
  <c r="T126" i="1" s="1"/>
  <c r="Q374" i="1"/>
  <c r="T374" i="1" s="1"/>
  <c r="Q356" i="1"/>
  <c r="T356" i="1" s="1"/>
  <c r="R408" i="1"/>
  <c r="R260" i="1"/>
  <c r="R92" i="1"/>
  <c r="R76" i="1"/>
  <c r="R52" i="1"/>
  <c r="Q159" i="1"/>
  <c r="T159" i="1" s="1"/>
  <c r="Q167" i="1"/>
  <c r="T167" i="1" s="1"/>
  <c r="Q191" i="1"/>
  <c r="T191" i="1" s="1"/>
  <c r="Q353" i="1"/>
  <c r="T353" i="1" s="1"/>
  <c r="Q369" i="1"/>
  <c r="T369" i="1" s="1"/>
  <c r="Q377" i="1"/>
  <c r="T377" i="1" s="1"/>
  <c r="Q385" i="1"/>
  <c r="T385" i="1" s="1"/>
  <c r="Q401" i="1"/>
  <c r="T401" i="1" s="1"/>
  <c r="Q409" i="1"/>
  <c r="T409" i="1" s="1"/>
  <c r="Q425" i="1"/>
  <c r="T425" i="1" s="1"/>
  <c r="Q433" i="1"/>
  <c r="T433" i="1" s="1"/>
  <c r="Q441" i="1"/>
  <c r="T441" i="1" s="1"/>
  <c r="Q449" i="1"/>
  <c r="T449" i="1" s="1"/>
  <c r="Q457" i="1"/>
  <c r="T457" i="1" s="1"/>
  <c r="Q465" i="1"/>
  <c r="T465" i="1" s="1"/>
  <c r="Q177" i="1"/>
  <c r="T177" i="1" s="1"/>
  <c r="Q90" i="1"/>
  <c r="T90" i="1" s="1"/>
  <c r="Q150" i="1"/>
  <c r="T150" i="1" s="1"/>
  <c r="Q422" i="1"/>
  <c r="T422" i="1" s="1"/>
  <c r="Q25" i="1"/>
  <c r="T25" i="1" s="1"/>
  <c r="Q33" i="1"/>
  <c r="T33" i="1" s="1"/>
  <c r="Q96" i="1"/>
  <c r="T96" i="1" s="1"/>
  <c r="Q171" i="1"/>
  <c r="T171" i="1" s="1"/>
  <c r="Q492" i="1"/>
  <c r="T492" i="1" s="1"/>
  <c r="Q508" i="1"/>
  <c r="T508" i="1" s="1"/>
  <c r="Q516" i="1"/>
  <c r="T516" i="1" s="1"/>
  <c r="Q195" i="1"/>
  <c r="T195" i="1" s="1"/>
  <c r="Q430" i="1"/>
  <c r="Q182" i="1"/>
  <c r="T182" i="1" s="1"/>
  <c r="R145" i="14"/>
  <c r="S274" i="14"/>
  <c r="S46" i="14"/>
  <c r="AF84" i="1"/>
  <c r="AI84" i="1" s="1"/>
  <c r="AF420" i="1"/>
  <c r="AI420" i="1" s="1"/>
  <c r="AF251" i="1"/>
  <c r="AI251" i="1" s="1"/>
  <c r="AF296" i="1"/>
  <c r="AI296" i="1" s="1"/>
  <c r="AF488" i="1"/>
  <c r="AI488" i="1" s="1"/>
  <c r="AF499" i="1"/>
  <c r="AI499" i="1" s="1"/>
  <c r="AF479" i="1"/>
  <c r="AF505" i="1"/>
  <c r="AI505" i="1" s="1"/>
  <c r="AF456" i="1"/>
  <c r="AI456" i="1" s="1"/>
  <c r="AF259" i="1"/>
  <c r="AI259" i="1" s="1"/>
  <c r="AF468" i="1"/>
  <c r="AI468" i="1" s="1"/>
  <c r="AF460" i="1"/>
  <c r="AI460" i="1" s="1"/>
  <c r="AF429" i="1"/>
  <c r="AF345" i="1"/>
  <c r="AI345" i="1" s="1"/>
  <c r="AF437" i="1"/>
  <c r="AI437" i="1" s="1"/>
  <c r="AF487" i="1"/>
  <c r="AI487" i="1" s="1"/>
  <c r="AF383" i="1"/>
  <c r="S34" i="14"/>
  <c r="S326" i="14"/>
  <c r="S233" i="14"/>
  <c r="S142" i="14"/>
  <c r="S110" i="14"/>
  <c r="AF356" i="1"/>
  <c r="AI356" i="1" s="1"/>
  <c r="AF75" i="1"/>
  <c r="AI75" i="1" s="1"/>
  <c r="AF281" i="1"/>
  <c r="AI281" i="1" s="1"/>
  <c r="AF465" i="1"/>
  <c r="AI465" i="1" s="1"/>
  <c r="AF495" i="1"/>
  <c r="AI495" i="1" s="1"/>
  <c r="AF507" i="1"/>
  <c r="AI507" i="1" s="1"/>
  <c r="AF349" i="1"/>
  <c r="AI349" i="1" s="1"/>
  <c r="AF438" i="1"/>
  <c r="AI438" i="1" s="1"/>
  <c r="AF491" i="1"/>
  <c r="AI491" i="1" s="1"/>
  <c r="AF514" i="1"/>
  <c r="AI514" i="1" s="1"/>
  <c r="AF430" i="1"/>
  <c r="AF287" i="1"/>
  <c r="AI287" i="1" s="1"/>
  <c r="AF91" i="1"/>
  <c r="AI91" i="1" s="1"/>
  <c r="AF459" i="1"/>
  <c r="AI459" i="1" s="1"/>
  <c r="AF70" i="1"/>
  <c r="AI70" i="1" s="1"/>
  <c r="AF78" i="1"/>
  <c r="AI78" i="1" s="1"/>
  <c r="AF292" i="1"/>
  <c r="AI292" i="1" s="1"/>
  <c r="AF506" i="1"/>
  <c r="AI506" i="1" s="1"/>
  <c r="AF457" i="1"/>
  <c r="AI457" i="1" s="1"/>
  <c r="AF99" i="1"/>
  <c r="AI99" i="1" s="1"/>
  <c r="AF484" i="1"/>
  <c r="AF407" i="1"/>
  <c r="AI407" i="1" s="1"/>
  <c r="AF62" i="1"/>
  <c r="AI62" i="1" s="1"/>
  <c r="AF462" i="1"/>
  <c r="AI462" i="1" s="1"/>
  <c r="AF341" i="1"/>
  <c r="AI341" i="1" s="1"/>
  <c r="AF55" i="1"/>
  <c r="AI55" i="1" s="1"/>
  <c r="AF82" i="1"/>
  <c r="AI82" i="1" s="1"/>
  <c r="AF100" i="1"/>
  <c r="AI100" i="1" s="1"/>
  <c r="AF104" i="1"/>
  <c r="AI104" i="1" s="1"/>
  <c r="AF122" i="1"/>
  <c r="AI122" i="1" s="1"/>
  <c r="AF138" i="1"/>
  <c r="AI138" i="1" s="1"/>
  <c r="AF262" i="1"/>
  <c r="AI262" i="1" s="1"/>
  <c r="AF411" i="1"/>
  <c r="AI411" i="1" s="1"/>
  <c r="AF355" i="1"/>
  <c r="AF305" i="1"/>
  <c r="AI305" i="1" s="1"/>
  <c r="AF444" i="1"/>
  <c r="AI444" i="1" s="1"/>
  <c r="AF23" i="1"/>
  <c r="AI23" i="1" s="1"/>
  <c r="AF27" i="1"/>
  <c r="AI27" i="1" s="1"/>
  <c r="AF31" i="1"/>
  <c r="AI31" i="1" s="1"/>
  <c r="AF35" i="1"/>
  <c r="AI35" i="1" s="1"/>
  <c r="AF65" i="1"/>
  <c r="AI65" i="1" s="1"/>
  <c r="AF270" i="1"/>
  <c r="AI270" i="1" s="1"/>
  <c r="AF337" i="1"/>
  <c r="AI337" i="1" s="1"/>
  <c r="AF395" i="1"/>
  <c r="AI395" i="1" s="1"/>
  <c r="AF371" i="1"/>
  <c r="AI371" i="1" s="1"/>
  <c r="AF399" i="1"/>
  <c r="AI399" i="1" s="1"/>
  <c r="AF475" i="1"/>
  <c r="AI475" i="1" s="1"/>
  <c r="AF440" i="1"/>
  <c r="AI440" i="1" s="1"/>
  <c r="AF483" i="1"/>
  <c r="AI483" i="1" s="1"/>
  <c r="AF504" i="1"/>
  <c r="AI504" i="1" s="1"/>
  <c r="AF311" i="1"/>
  <c r="AI311" i="1" s="1"/>
  <c r="AF391" i="1"/>
  <c r="AI391" i="1" s="1"/>
  <c r="AF295" i="1"/>
  <c r="AI295" i="1" s="1"/>
  <c r="AF343" i="1"/>
  <c r="AI343" i="1" s="1"/>
  <c r="AF469" i="1"/>
  <c r="AI469" i="1" s="1"/>
  <c r="AF267" i="1"/>
  <c r="AI267" i="1" s="1"/>
  <c r="AF381" i="1"/>
  <c r="AI381" i="1" s="1"/>
  <c r="AF447" i="1"/>
  <c r="AI447" i="1" s="1"/>
  <c r="S409" i="14"/>
  <c r="S234" i="14"/>
  <c r="S215" i="14"/>
  <c r="S121" i="14"/>
  <c r="S214" i="14"/>
  <c r="S322" i="14"/>
  <c r="S338" i="14"/>
  <c r="S38" i="14"/>
  <c r="S437" i="14"/>
  <c r="S201" i="14"/>
  <c r="S173" i="14"/>
  <c r="S493" i="14"/>
  <c r="S430" i="14"/>
  <c r="S385" i="14"/>
  <c r="R377" i="14"/>
  <c r="S345" i="14"/>
  <c r="S117" i="14"/>
  <c r="S62" i="14"/>
  <c r="AF425" i="1"/>
  <c r="AI425" i="1" s="1"/>
  <c r="AF137" i="1"/>
  <c r="AI137" i="1" s="1"/>
  <c r="AF142" i="1"/>
  <c r="AI142" i="1" s="1"/>
  <c r="AF316" i="1"/>
  <c r="AI316" i="1" s="1"/>
  <c r="AF351" i="1"/>
  <c r="AI351" i="1" s="1"/>
  <c r="AF375" i="1"/>
  <c r="AI375" i="1" s="1"/>
  <c r="AF443" i="1"/>
  <c r="AI443" i="1" s="1"/>
  <c r="AF397" i="1"/>
  <c r="AI397" i="1" s="1"/>
  <c r="AF424" i="1"/>
  <c r="AI424" i="1" s="1"/>
  <c r="AF455" i="1"/>
  <c r="AI455" i="1" s="1"/>
  <c r="AF405" i="1"/>
  <c r="AI405" i="1" s="1"/>
  <c r="AF401" i="1"/>
  <c r="AI401" i="1" s="1"/>
  <c r="AF129" i="1"/>
  <c r="AI129" i="1" s="1"/>
  <c r="AF130" i="1"/>
  <c r="AI130" i="1" s="1"/>
  <c r="AF442" i="1"/>
  <c r="AI442" i="1" s="1"/>
  <c r="AF458" i="1"/>
  <c r="AI458" i="1" s="1"/>
  <c r="AF365" i="1"/>
  <c r="AI365" i="1" s="1"/>
  <c r="AF333" i="1"/>
  <c r="AI333" i="1" s="1"/>
  <c r="AF50" i="1"/>
  <c r="AI50" i="1" s="1"/>
  <c r="AF512" i="1"/>
  <c r="AI512" i="1" s="1"/>
  <c r="AF80" i="1"/>
  <c r="AI80" i="1" s="1"/>
  <c r="AF486" i="1"/>
  <c r="AI486" i="1" s="1"/>
  <c r="AF497" i="1"/>
  <c r="AI497" i="1" s="1"/>
  <c r="AF409" i="1"/>
  <c r="AI409" i="1" s="1"/>
  <c r="AF282" i="1"/>
  <c r="AI282" i="1" s="1"/>
  <c r="AF471" i="1"/>
  <c r="AI471" i="1" s="1"/>
  <c r="AF67" i="1"/>
  <c r="AI67" i="1" s="1"/>
  <c r="AF434" i="1"/>
  <c r="AI434" i="1" s="1"/>
  <c r="AF481" i="1"/>
  <c r="AI481" i="1" s="1"/>
  <c r="AF339" i="1"/>
  <c r="AI339" i="1" s="1"/>
  <c r="AF124" i="1"/>
  <c r="AI124" i="1" s="1"/>
  <c r="AF132" i="1"/>
  <c r="AI132" i="1" s="1"/>
  <c r="AF140" i="1"/>
  <c r="AI140" i="1" s="1"/>
  <c r="AF135" i="1"/>
  <c r="AI135" i="1" s="1"/>
  <c r="AF166" i="1"/>
  <c r="AI166" i="1" s="1"/>
  <c r="AF174" i="1"/>
  <c r="AI174" i="1" s="1"/>
  <c r="AF182" i="1"/>
  <c r="AI182" i="1" s="1"/>
  <c r="AF190" i="1"/>
  <c r="AI190" i="1" s="1"/>
  <c r="AF245" i="1"/>
  <c r="AI245" i="1" s="1"/>
  <c r="AF277" i="1"/>
  <c r="AI277" i="1" s="1"/>
  <c r="AF510" i="1"/>
  <c r="AI510" i="1" s="1"/>
  <c r="AF120" i="1"/>
  <c r="AI120" i="1" s="1"/>
  <c r="AF299" i="1"/>
  <c r="AI299" i="1" s="1"/>
  <c r="AF389" i="1"/>
  <c r="AI389" i="1" s="1"/>
  <c r="AF466" i="1"/>
  <c r="AI466" i="1" s="1"/>
  <c r="AF63" i="1"/>
  <c r="AI63" i="1" s="1"/>
  <c r="AF68" i="1"/>
  <c r="AF89" i="1"/>
  <c r="AI89" i="1" s="1"/>
  <c r="AF480" i="1"/>
  <c r="AI480" i="1" s="1"/>
  <c r="AF492" i="1"/>
  <c r="AI492" i="1" s="1"/>
  <c r="AF56" i="1"/>
  <c r="AI56" i="1" s="1"/>
  <c r="AF502" i="1"/>
  <c r="AI502" i="1" s="1"/>
  <c r="AF435" i="1"/>
  <c r="AI435" i="1" s="1"/>
  <c r="AF379" i="1"/>
  <c r="AI379" i="1" s="1"/>
  <c r="AF42" i="1"/>
  <c r="AI42" i="1" s="1"/>
  <c r="AF268" i="1"/>
  <c r="AI268" i="1" s="1"/>
  <c r="AF79" i="1"/>
  <c r="AI79" i="1" s="1"/>
  <c r="AF417" i="1"/>
  <c r="AI417" i="1" s="1"/>
  <c r="AF325" i="1"/>
  <c r="AI325" i="1" s="1"/>
  <c r="AF115" i="1"/>
  <c r="AI115" i="1" s="1"/>
  <c r="AF306" i="1"/>
  <c r="AI306" i="1" s="1"/>
  <c r="AF314" i="1"/>
  <c r="AI314" i="1" s="1"/>
  <c r="AF326" i="1"/>
  <c r="AI326" i="1" s="1"/>
  <c r="AF330" i="1"/>
  <c r="AI330" i="1" s="1"/>
  <c r="AF334" i="1"/>
  <c r="AI334" i="1" s="1"/>
  <c r="AF346" i="1"/>
  <c r="AI346" i="1" s="1"/>
  <c r="AF366" i="1"/>
  <c r="AI366" i="1" s="1"/>
  <c r="AF390" i="1"/>
  <c r="AI390" i="1" s="1"/>
  <c r="AF394" i="1"/>
  <c r="AI394" i="1" s="1"/>
  <c r="AF398" i="1"/>
  <c r="AI398" i="1" s="1"/>
  <c r="AF402" i="1"/>
  <c r="AI402" i="1" s="1"/>
  <c r="AF406" i="1"/>
  <c r="AI406" i="1" s="1"/>
  <c r="AF410" i="1"/>
  <c r="AI410" i="1" s="1"/>
  <c r="AF414" i="1"/>
  <c r="AI414" i="1" s="1"/>
  <c r="AF283" i="1"/>
  <c r="AI283" i="1" s="1"/>
  <c r="AF367" i="1"/>
  <c r="AI367" i="1" s="1"/>
  <c r="AF393" i="1"/>
  <c r="AI393" i="1" s="1"/>
  <c r="AF482" i="1"/>
  <c r="AF26" i="1"/>
  <c r="AI26" i="1" s="1"/>
  <c r="AF34" i="1"/>
  <c r="AI34" i="1" s="1"/>
  <c r="AF167" i="1"/>
  <c r="AI167" i="1" s="1"/>
  <c r="AF315" i="1"/>
  <c r="AI315" i="1" s="1"/>
  <c r="AF403" i="1"/>
  <c r="AI403" i="1" s="1"/>
  <c r="AF476" i="1"/>
  <c r="AI476" i="1" s="1"/>
  <c r="AF508" i="1"/>
  <c r="AI508" i="1" s="1"/>
  <c r="AF377" i="1"/>
  <c r="AI377" i="1" s="1"/>
  <c r="AF323" i="1"/>
  <c r="AI323" i="1" s="1"/>
  <c r="AF415" i="1"/>
  <c r="AI415" i="1" s="1"/>
  <c r="AF25" i="1"/>
  <c r="AI25" i="1" s="1"/>
  <c r="AF33" i="1"/>
  <c r="AI33" i="1" s="1"/>
  <c r="AF86" i="1"/>
  <c r="AI86" i="1" s="1"/>
  <c r="AF90" i="1"/>
  <c r="AI90" i="1" s="1"/>
  <c r="AF92" i="1"/>
  <c r="AI92" i="1" s="1"/>
  <c r="AF96" i="1"/>
  <c r="AI96" i="1" s="1"/>
  <c r="AF102" i="1"/>
  <c r="AI102" i="1" s="1"/>
  <c r="AF288" i="1"/>
  <c r="AI288" i="1" s="1"/>
  <c r="AF308" i="1"/>
  <c r="AI308" i="1" s="1"/>
  <c r="AF324" i="1"/>
  <c r="AI324" i="1" s="1"/>
  <c r="AF332" i="1"/>
  <c r="AI332" i="1" s="1"/>
  <c r="AF364" i="1"/>
  <c r="AI364" i="1" s="1"/>
  <c r="AF257" i="1"/>
  <c r="AI257" i="1" s="1"/>
  <c r="AF285" i="1"/>
  <c r="AI285" i="1" s="1"/>
  <c r="AF244" i="1"/>
  <c r="AI244" i="1" s="1"/>
  <c r="AF291" i="1"/>
  <c r="AI291" i="1" s="1"/>
  <c r="AF361" i="1"/>
  <c r="AI361" i="1" s="1"/>
  <c r="AF490" i="1"/>
  <c r="AI490" i="1" s="1"/>
  <c r="AF489" i="1"/>
  <c r="AI489" i="1" s="1"/>
  <c r="AF501" i="1"/>
  <c r="AI501" i="1" s="1"/>
  <c r="AF517" i="1"/>
  <c r="AF467" i="1"/>
  <c r="AI467" i="1" s="1"/>
  <c r="AF246" i="1"/>
  <c r="AI246" i="1" s="1"/>
  <c r="AF363" i="1"/>
  <c r="AI363" i="1" s="1"/>
  <c r="AF432" i="1"/>
  <c r="AI432" i="1" s="1"/>
  <c r="AF493" i="1"/>
  <c r="AI493" i="1" s="1"/>
  <c r="AF307" i="1"/>
  <c r="AI307" i="1" s="1"/>
  <c r="AF317" i="1"/>
  <c r="AI317" i="1" s="1"/>
  <c r="AF452" i="1"/>
  <c r="AI452" i="1" s="1"/>
  <c r="AF498" i="1"/>
  <c r="AF451" i="1"/>
  <c r="AI451" i="1" s="1"/>
  <c r="AF85" i="1"/>
  <c r="AI85" i="1" s="1"/>
  <c r="AF87" i="1"/>
  <c r="AI87" i="1" s="1"/>
  <c r="AF108" i="1"/>
  <c r="AI108" i="1" s="1"/>
  <c r="AF266" i="1"/>
  <c r="AI266" i="1" s="1"/>
  <c r="AF310" i="1"/>
  <c r="AI310" i="1" s="1"/>
  <c r="AF318" i="1"/>
  <c r="AI318" i="1" s="1"/>
  <c r="AF358" i="1"/>
  <c r="AI358" i="1" s="1"/>
  <c r="AF370" i="1"/>
  <c r="AI370" i="1" s="1"/>
  <c r="AF378" i="1"/>
  <c r="AI378" i="1" s="1"/>
  <c r="AF418" i="1"/>
  <c r="AI418" i="1" s="1"/>
  <c r="AF275" i="1"/>
  <c r="AI275" i="1" s="1"/>
  <c r="AF253" i="1"/>
  <c r="AF431" i="1"/>
  <c r="AI431" i="1" s="1"/>
  <c r="AF52" i="1"/>
  <c r="AI52" i="1" s="1"/>
  <c r="AF353" i="1"/>
  <c r="AI353" i="1" s="1"/>
  <c r="AF461" i="1"/>
  <c r="AI461" i="1" s="1"/>
  <c r="AF450" i="1"/>
  <c r="AI450" i="1" s="1"/>
  <c r="AF427" i="1"/>
  <c r="AI427" i="1" s="1"/>
  <c r="AF516" i="1"/>
  <c r="AI516" i="1" s="1"/>
  <c r="S425" i="14"/>
  <c r="S419" i="14"/>
  <c r="S275" i="14"/>
  <c r="S467" i="14"/>
  <c r="R139" i="14"/>
  <c r="S89" i="14"/>
  <c r="S405" i="14"/>
  <c r="S267" i="14"/>
  <c r="R329" i="14"/>
  <c r="S99" i="14"/>
  <c r="S141" i="14"/>
  <c r="S169" i="14"/>
  <c r="S489" i="14"/>
  <c r="R494" i="14"/>
  <c r="S484" i="14"/>
  <c r="S343" i="14"/>
  <c r="S505" i="14"/>
  <c r="AF309" i="1"/>
  <c r="AI309" i="1" s="1"/>
  <c r="AF263" i="1"/>
  <c r="AI263" i="1" s="1"/>
  <c r="AF321" i="1"/>
  <c r="AI321" i="1" s="1"/>
  <c r="AF64" i="1"/>
  <c r="AI64" i="1" s="1"/>
  <c r="AF359" i="1"/>
  <c r="AI359" i="1" s="1"/>
  <c r="AF464" i="1"/>
  <c r="AI464" i="1" s="1"/>
  <c r="AF347" i="1"/>
  <c r="AI347" i="1" s="1"/>
  <c r="Q65" i="1"/>
  <c r="T65" i="1" s="1"/>
  <c r="Q378" i="1"/>
  <c r="T378" i="1" s="1"/>
  <c r="Q394" i="1"/>
  <c r="T394" i="1" s="1"/>
  <c r="Q402" i="1"/>
  <c r="T402" i="1" s="1"/>
  <c r="Q410" i="1"/>
  <c r="T410" i="1" s="1"/>
  <c r="Q418" i="1"/>
  <c r="T418" i="1" s="1"/>
  <c r="Q426" i="1"/>
  <c r="T426" i="1" s="1"/>
  <c r="Q434" i="1"/>
  <c r="T434" i="1" s="1"/>
  <c r="Q442" i="1"/>
  <c r="T442" i="1" s="1"/>
  <c r="Q450" i="1"/>
  <c r="T450" i="1" s="1"/>
  <c r="Q458" i="1"/>
  <c r="T458" i="1" s="1"/>
  <c r="Q466" i="1"/>
  <c r="T466" i="1" s="1"/>
  <c r="Q68" i="1"/>
  <c r="Q390" i="1"/>
  <c r="T390" i="1" s="1"/>
  <c r="Q499" i="1"/>
  <c r="T499" i="1" s="1"/>
  <c r="Q134" i="1"/>
  <c r="T134" i="1" s="1"/>
  <c r="Q76" i="1"/>
  <c r="T76" i="1" s="1"/>
  <c r="Q86" i="1"/>
  <c r="T86" i="1" s="1"/>
  <c r="Q193" i="1"/>
  <c r="T193" i="1" s="1"/>
  <c r="Q400" i="1"/>
  <c r="T400" i="1" s="1"/>
  <c r="Q432" i="1"/>
  <c r="T432" i="1" s="1"/>
  <c r="Q78" i="1"/>
  <c r="T78" i="1" s="1"/>
  <c r="Q66" i="1"/>
  <c r="T66" i="1" s="1"/>
  <c r="Q71" i="1"/>
  <c r="T71" i="1" s="1"/>
  <c r="Q69" i="1"/>
  <c r="Q380" i="1"/>
  <c r="T380" i="1" s="1"/>
  <c r="Q444" i="1"/>
  <c r="T444" i="1" s="1"/>
  <c r="Q497" i="1"/>
  <c r="T497" i="1" s="1"/>
  <c r="Q366" i="1"/>
  <c r="T366" i="1" s="1"/>
  <c r="S417" i="14"/>
  <c r="S353" i="14"/>
  <c r="S365" i="14"/>
  <c r="S101" i="14"/>
  <c r="S93" i="14"/>
  <c r="S21" i="14"/>
  <c r="S469" i="14"/>
  <c r="S149" i="14"/>
  <c r="T513" i="14"/>
  <c r="R395" i="14"/>
  <c r="R471" i="14"/>
  <c r="R339" i="14"/>
  <c r="R307" i="14"/>
  <c r="S475" i="14"/>
  <c r="S116" i="14"/>
  <c r="S36" i="14"/>
  <c r="S228" i="14"/>
  <c r="S196" i="14"/>
  <c r="S389" i="14"/>
  <c r="S13" i="13"/>
  <c r="S509" i="14"/>
  <c r="R348" i="14"/>
  <c r="S350" i="14"/>
  <c r="R356" i="14"/>
  <c r="S382" i="14"/>
  <c r="T395" i="14"/>
  <c r="S445" i="14"/>
  <c r="S189" i="14"/>
  <c r="AF254" i="1"/>
  <c r="AI254" i="1" s="1"/>
  <c r="AF29" i="1"/>
  <c r="AI29" i="1" s="1"/>
  <c r="AF37" i="1"/>
  <c r="AI37" i="1" s="1"/>
  <c r="AF51" i="1"/>
  <c r="AI51" i="1" s="1"/>
  <c r="AF136" i="1"/>
  <c r="AI136" i="1" s="1"/>
  <c r="AF134" i="1"/>
  <c r="AI134" i="1" s="1"/>
  <c r="AF274" i="1"/>
  <c r="AI274" i="1" s="1"/>
  <c r="AF290" i="1"/>
  <c r="AI290" i="1" s="1"/>
  <c r="AF83" i="1"/>
  <c r="AI83" i="1" s="1"/>
  <c r="AF272" i="1"/>
  <c r="AI272" i="1" s="1"/>
  <c r="AF28" i="1"/>
  <c r="AI28" i="1" s="1"/>
  <c r="AF36" i="1"/>
  <c r="AI36" i="1" s="1"/>
  <c r="AF74" i="1"/>
  <c r="AI74" i="1" s="1"/>
  <c r="AF93" i="1"/>
  <c r="AI93" i="1" s="1"/>
  <c r="AF473" i="1"/>
  <c r="AI473" i="1" s="1"/>
  <c r="AF503" i="1"/>
  <c r="AF436" i="1"/>
  <c r="AI436" i="1" s="1"/>
  <c r="AF331" i="1"/>
  <c r="AI331" i="1" s="1"/>
  <c r="AF117" i="1"/>
  <c r="AI117" i="1" s="1"/>
  <c r="AF30" i="1"/>
  <c r="AI30" i="1" s="1"/>
  <c r="AF94" i="1"/>
  <c r="AI94" i="1" s="1"/>
  <c r="AF141" i="1"/>
  <c r="AI141" i="1" s="1"/>
  <c r="AF126" i="1"/>
  <c r="AI126" i="1" s="1"/>
  <c r="AF301" i="1"/>
  <c r="AI301" i="1" s="1"/>
  <c r="AF322" i="1"/>
  <c r="AI322" i="1" s="1"/>
  <c r="AF338" i="1"/>
  <c r="AI338" i="1" s="1"/>
  <c r="AF342" i="1"/>
  <c r="AI342" i="1" s="1"/>
  <c r="AF350" i="1"/>
  <c r="AI350" i="1" s="1"/>
  <c r="AF354" i="1"/>
  <c r="AI354" i="1" s="1"/>
  <c r="AF362" i="1"/>
  <c r="AI362" i="1" s="1"/>
  <c r="AF374" i="1"/>
  <c r="AI374" i="1" s="1"/>
  <c r="AF382" i="1"/>
  <c r="AI382" i="1" s="1"/>
  <c r="AF386" i="1"/>
  <c r="AF298" i="1"/>
  <c r="AI298" i="1" s="1"/>
  <c r="AF264" i="1"/>
  <c r="AI264" i="1" s="1"/>
  <c r="AF38" i="1"/>
  <c r="AI38" i="1" s="1"/>
  <c r="AF88" i="1"/>
  <c r="AI88" i="1" s="1"/>
  <c r="AF98" i="1"/>
  <c r="AI98" i="1" s="1"/>
  <c r="AF255" i="1"/>
  <c r="AI255" i="1" s="1"/>
  <c r="AF24" i="1"/>
  <c r="AI24" i="1" s="1"/>
  <c r="AF32" i="1"/>
  <c r="AI32" i="1" s="1"/>
  <c r="AF66" i="1"/>
  <c r="AI66" i="1" s="1"/>
  <c r="AF77" i="1"/>
  <c r="AI77" i="1" s="1"/>
  <c r="AF95" i="1"/>
  <c r="AI95" i="1" s="1"/>
  <c r="AF97" i="1"/>
  <c r="AI97" i="1" s="1"/>
  <c r="AF101" i="1"/>
  <c r="AI101" i="1" s="1"/>
  <c r="AF103" i="1"/>
  <c r="AI103" i="1" s="1"/>
  <c r="AF105" i="1"/>
  <c r="AI105" i="1" s="1"/>
  <c r="AF133" i="1"/>
  <c r="AI133" i="1" s="1"/>
  <c r="AF171" i="1"/>
  <c r="AI171" i="1" s="1"/>
  <c r="AF187" i="1"/>
  <c r="AI187" i="1" s="1"/>
  <c r="AF252" i="1"/>
  <c r="AI252" i="1" s="1"/>
  <c r="AF260" i="1"/>
  <c r="AI260" i="1" s="1"/>
  <c r="AF297" i="1"/>
  <c r="AI297" i="1" s="1"/>
  <c r="AF175" i="1"/>
  <c r="AI175" i="1" s="1"/>
  <c r="AF69" i="1"/>
  <c r="AF179" i="1"/>
  <c r="AI179" i="1" s="1"/>
  <c r="AF273" i="1"/>
  <c r="AI273" i="1" s="1"/>
  <c r="AF76" i="1"/>
  <c r="AI76" i="1" s="1"/>
  <c r="AF71" i="1"/>
  <c r="AI71" i="1" s="1"/>
  <c r="AF248" i="1"/>
  <c r="AI248" i="1" s="1"/>
  <c r="AF293" i="1"/>
  <c r="AI293" i="1" s="1"/>
  <c r="AF304" i="1"/>
  <c r="AI304" i="1" s="1"/>
  <c r="AF312" i="1"/>
  <c r="AI312" i="1" s="1"/>
  <c r="AF320" i="1"/>
  <c r="AI320" i="1" s="1"/>
  <c r="AF328" i="1"/>
  <c r="AI328" i="1" s="1"/>
  <c r="AF336" i="1"/>
  <c r="AI336" i="1" s="1"/>
  <c r="AF344" i="1"/>
  <c r="AI344" i="1" s="1"/>
  <c r="AF352" i="1"/>
  <c r="AI352" i="1" s="1"/>
  <c r="AF360" i="1"/>
  <c r="AI360" i="1" s="1"/>
  <c r="AF368" i="1"/>
  <c r="AI368" i="1" s="1"/>
  <c r="AF376" i="1"/>
  <c r="AI376" i="1" s="1"/>
  <c r="AF384" i="1"/>
  <c r="AI384" i="1" s="1"/>
  <c r="AF392" i="1"/>
  <c r="AI392" i="1" s="1"/>
  <c r="AF400" i="1"/>
  <c r="AI400" i="1" s="1"/>
  <c r="AF408" i="1"/>
  <c r="AI408" i="1" s="1"/>
  <c r="AF416" i="1"/>
  <c r="AI416" i="1" s="1"/>
  <c r="AF168" i="1"/>
  <c r="AI168" i="1" s="1"/>
  <c r="AF249" i="1"/>
  <c r="AI249" i="1" s="1"/>
  <c r="AF196" i="1"/>
  <c r="AI196" i="1" s="1"/>
  <c r="AF200" i="1"/>
  <c r="AI200" i="1" s="1"/>
  <c r="AF204" i="1"/>
  <c r="AI204" i="1" s="1"/>
  <c r="AF208" i="1"/>
  <c r="AI208" i="1" s="1"/>
  <c r="AF212" i="1"/>
  <c r="AI212" i="1" s="1"/>
  <c r="AF216" i="1"/>
  <c r="AI216" i="1" s="1"/>
  <c r="AF220" i="1"/>
  <c r="AI220" i="1" s="1"/>
  <c r="AF224" i="1"/>
  <c r="AI224" i="1" s="1"/>
  <c r="AF228" i="1"/>
  <c r="AI228" i="1" s="1"/>
  <c r="AF232" i="1"/>
  <c r="AI232" i="1" s="1"/>
  <c r="AF236" i="1"/>
  <c r="AI236" i="1" s="1"/>
  <c r="AF240" i="1"/>
  <c r="AI240" i="1" s="1"/>
  <c r="AF195" i="1"/>
  <c r="AI195" i="1" s="1"/>
  <c r="AF261" i="1"/>
  <c r="AI261" i="1" s="1"/>
  <c r="AF121" i="1"/>
  <c r="AI121" i="1" s="1"/>
  <c r="AF127" i="1"/>
  <c r="AI127" i="1" s="1"/>
  <c r="AF143" i="1"/>
  <c r="AI143" i="1" s="1"/>
  <c r="AF145" i="1"/>
  <c r="AI145" i="1" s="1"/>
  <c r="AF147" i="1"/>
  <c r="AI147" i="1" s="1"/>
  <c r="AF149" i="1"/>
  <c r="AI149" i="1" s="1"/>
  <c r="AF151" i="1"/>
  <c r="AI151" i="1" s="1"/>
  <c r="AF153" i="1"/>
  <c r="AI153" i="1" s="1"/>
  <c r="AF155" i="1"/>
  <c r="AI155" i="1" s="1"/>
  <c r="AF157" i="1"/>
  <c r="AI157" i="1" s="1"/>
  <c r="AF159" i="1"/>
  <c r="AI159" i="1" s="1"/>
  <c r="AF161" i="1"/>
  <c r="AI161" i="1" s="1"/>
  <c r="AF199" i="1"/>
  <c r="AI199" i="1" s="1"/>
  <c r="AF203" i="1"/>
  <c r="AI203" i="1" s="1"/>
  <c r="AF207" i="1"/>
  <c r="AI207" i="1" s="1"/>
  <c r="AF211" i="1"/>
  <c r="AI211" i="1" s="1"/>
  <c r="AF215" i="1"/>
  <c r="AI215" i="1" s="1"/>
  <c r="AF219" i="1"/>
  <c r="AI219" i="1" s="1"/>
  <c r="AF223" i="1"/>
  <c r="AI223" i="1" s="1"/>
  <c r="AF227" i="1"/>
  <c r="AI227" i="1" s="1"/>
  <c r="AF231" i="1"/>
  <c r="AI231" i="1" s="1"/>
  <c r="AF235" i="1"/>
  <c r="AI235" i="1" s="1"/>
  <c r="AF239" i="1"/>
  <c r="AI239" i="1" s="1"/>
  <c r="AF243" i="1"/>
  <c r="AI243" i="1" s="1"/>
  <c r="AF170" i="1"/>
  <c r="AI170" i="1" s="1"/>
  <c r="AF178" i="1"/>
  <c r="AI178" i="1" s="1"/>
  <c r="AF186" i="1"/>
  <c r="AI186" i="1" s="1"/>
  <c r="AF194" i="1"/>
  <c r="AI194" i="1" s="1"/>
  <c r="AF183" i="1"/>
  <c r="AI183" i="1" s="1"/>
  <c r="AF286" i="1"/>
  <c r="AI286" i="1" s="1"/>
  <c r="AF289" i="1"/>
  <c r="AI289" i="1" s="1"/>
  <c r="AF302" i="1"/>
  <c r="AI302" i="1" s="1"/>
  <c r="AF53" i="1"/>
  <c r="AI53" i="1" s="1"/>
  <c r="AF57" i="1"/>
  <c r="AI57" i="1" s="1"/>
  <c r="AF61" i="1"/>
  <c r="AI61" i="1" s="1"/>
  <c r="AF116" i="1"/>
  <c r="AI116" i="1" s="1"/>
  <c r="AF119" i="1"/>
  <c r="AI119" i="1" s="1"/>
  <c r="AF165" i="1"/>
  <c r="AI165" i="1" s="1"/>
  <c r="AF173" i="1"/>
  <c r="AI173" i="1" s="1"/>
  <c r="AF181" i="1"/>
  <c r="AI181" i="1" s="1"/>
  <c r="AF189" i="1"/>
  <c r="AI189" i="1" s="1"/>
  <c r="AF146" i="1"/>
  <c r="AI146" i="1" s="1"/>
  <c r="AF150" i="1"/>
  <c r="AI150" i="1" s="1"/>
  <c r="AF154" i="1"/>
  <c r="AI154" i="1" s="1"/>
  <c r="AF158" i="1"/>
  <c r="AI158" i="1" s="1"/>
  <c r="AF162" i="1"/>
  <c r="AI162" i="1" s="1"/>
  <c r="AF40" i="1"/>
  <c r="AI40" i="1" s="1"/>
  <c r="AF44" i="1"/>
  <c r="AI44" i="1" s="1"/>
  <c r="AF48" i="1"/>
  <c r="AI48" i="1" s="1"/>
  <c r="AF59" i="1"/>
  <c r="AI59" i="1" s="1"/>
  <c r="AF106" i="1"/>
  <c r="AI106" i="1" s="1"/>
  <c r="AF110" i="1"/>
  <c r="AI110" i="1" s="1"/>
  <c r="AF114" i="1"/>
  <c r="AI114" i="1" s="1"/>
  <c r="AF169" i="1"/>
  <c r="AI169" i="1" s="1"/>
  <c r="AF177" i="1"/>
  <c r="AI177" i="1" s="1"/>
  <c r="AF185" i="1"/>
  <c r="AI185" i="1" s="1"/>
  <c r="AF193" i="1"/>
  <c r="AI193" i="1" s="1"/>
  <c r="AF163" i="1"/>
  <c r="AI163" i="1" s="1"/>
  <c r="AF191" i="1"/>
  <c r="AI191" i="1" s="1"/>
  <c r="Q30" i="1"/>
  <c r="T30" i="1" s="1"/>
  <c r="Q38" i="1"/>
  <c r="T38" i="1" s="1"/>
  <c r="Q59" i="1"/>
  <c r="T59" i="1" s="1"/>
  <c r="Q493" i="1"/>
  <c r="T493" i="1" s="1"/>
  <c r="Q352" i="1"/>
  <c r="T352" i="1" s="1"/>
  <c r="Q194" i="1"/>
  <c r="T194" i="1" s="1"/>
  <c r="Q472" i="1"/>
  <c r="T472" i="1" s="1"/>
  <c r="Q477" i="1"/>
  <c r="T477" i="1" s="1"/>
  <c r="Q488" i="1"/>
  <c r="T488" i="1" s="1"/>
  <c r="Q487" i="1"/>
  <c r="T487" i="1" s="1"/>
  <c r="Q201" i="1"/>
  <c r="T201" i="1" s="1"/>
  <c r="Q95" i="1"/>
  <c r="T95" i="1" s="1"/>
  <c r="Q140" i="1"/>
  <c r="T140" i="1" s="1"/>
  <c r="Q279" i="1"/>
  <c r="T279" i="1" s="1"/>
  <c r="Q343" i="1"/>
  <c r="T343" i="1" s="1"/>
  <c r="Q500" i="1"/>
  <c r="T500" i="1" s="1"/>
  <c r="Q84" i="1"/>
  <c r="T84" i="1" s="1"/>
  <c r="Q27" i="1"/>
  <c r="T27" i="1" s="1"/>
  <c r="Q35" i="1"/>
  <c r="T35" i="1" s="1"/>
  <c r="Q291" i="1"/>
  <c r="T291" i="1" s="1"/>
  <c r="Q502" i="1"/>
  <c r="T502" i="1" s="1"/>
  <c r="Q141" i="1"/>
  <c r="T141" i="1" s="1"/>
  <c r="Q88" i="1"/>
  <c r="T88" i="1" s="1"/>
  <c r="Q163" i="1"/>
  <c r="T163" i="1" s="1"/>
  <c r="Q249" i="1"/>
  <c r="T249" i="1" s="1"/>
  <c r="Q290" i="1"/>
  <c r="T290" i="1" s="1"/>
  <c r="Q306" i="1"/>
  <c r="T306" i="1" s="1"/>
  <c r="Q322" i="1"/>
  <c r="T322" i="1" s="1"/>
  <c r="Q338" i="1"/>
  <c r="T338" i="1" s="1"/>
  <c r="Q252" i="1"/>
  <c r="T252" i="1" s="1"/>
  <c r="Q256" i="1"/>
  <c r="T256" i="1" s="1"/>
  <c r="Q268" i="1"/>
  <c r="T268" i="1" s="1"/>
  <c r="Q276" i="1"/>
  <c r="T276" i="1" s="1"/>
  <c r="Q307" i="1"/>
  <c r="T307" i="1" s="1"/>
  <c r="Q323" i="1"/>
  <c r="T323" i="1" s="1"/>
  <c r="Q347" i="1"/>
  <c r="T347" i="1" s="1"/>
  <c r="Q355" i="1"/>
  <c r="Q345" i="1"/>
  <c r="T345" i="1" s="1"/>
  <c r="Q501" i="1"/>
  <c r="T501" i="1" s="1"/>
  <c r="Q509" i="1"/>
  <c r="T509" i="1" s="1"/>
  <c r="Q511" i="1"/>
  <c r="T511" i="1" s="1"/>
  <c r="R108" i="1"/>
  <c r="Q103" i="1"/>
  <c r="T103" i="1" s="1"/>
  <c r="Q160" i="1"/>
  <c r="T160" i="1" s="1"/>
  <c r="Q285" i="1"/>
  <c r="T285" i="1" s="1"/>
  <c r="Q109" i="1"/>
  <c r="T109" i="1" s="1"/>
  <c r="Q234" i="1"/>
  <c r="T234" i="1" s="1"/>
  <c r="Q166" i="1"/>
  <c r="T166" i="1" s="1"/>
  <c r="Q48" i="1"/>
  <c r="T48" i="1" s="1"/>
  <c r="Q22" i="1"/>
  <c r="T22" i="1" s="1"/>
  <c r="Q51" i="1"/>
  <c r="T51" i="1" s="1"/>
  <c r="Q108" i="1"/>
  <c r="T108" i="1" s="1"/>
  <c r="Q115" i="1"/>
  <c r="T115" i="1" s="1"/>
  <c r="Q148" i="1"/>
  <c r="T148" i="1" s="1"/>
  <c r="Q172" i="1"/>
  <c r="T172" i="1" s="1"/>
  <c r="Q204" i="1"/>
  <c r="T204" i="1" s="1"/>
  <c r="Q220" i="1"/>
  <c r="T220" i="1" s="1"/>
  <c r="Q236" i="1"/>
  <c r="T236" i="1" s="1"/>
  <c r="Q408" i="1"/>
  <c r="T408" i="1" s="1"/>
  <c r="Q456" i="1"/>
  <c r="T456" i="1" s="1"/>
  <c r="Q464" i="1"/>
  <c r="T464" i="1" s="1"/>
  <c r="Q393" i="1"/>
  <c r="T393" i="1" s="1"/>
  <c r="Q417" i="1"/>
  <c r="T417" i="1" s="1"/>
  <c r="Q289" i="1"/>
  <c r="T289" i="1" s="1"/>
  <c r="Q498" i="1"/>
  <c r="Q514" i="1"/>
  <c r="T514" i="1" s="1"/>
  <c r="Q161" i="1"/>
  <c r="T161" i="1" s="1"/>
  <c r="Q73" i="1"/>
  <c r="T73" i="1" s="1"/>
  <c r="Q81" i="1"/>
  <c r="T81" i="1" s="1"/>
  <c r="Q370" i="1"/>
  <c r="T370" i="1" s="1"/>
  <c r="Q212" i="1"/>
  <c r="T212" i="1" s="1"/>
  <c r="Q244" i="1"/>
  <c r="T244" i="1" s="1"/>
  <c r="Q359" i="1"/>
  <c r="T359" i="1" s="1"/>
  <c r="Q412" i="1"/>
  <c r="T412" i="1" s="1"/>
  <c r="Q398" i="1"/>
  <c r="T398" i="1" s="1"/>
  <c r="Q406" i="1"/>
  <c r="T406" i="1" s="1"/>
  <c r="Q438" i="1"/>
  <c r="T438" i="1" s="1"/>
  <c r="Q462" i="1"/>
  <c r="T462" i="1" s="1"/>
  <c r="Q470" i="1"/>
  <c r="T470" i="1" s="1"/>
  <c r="Q92" i="1"/>
  <c r="T92" i="1" s="1"/>
  <c r="Q219" i="1"/>
  <c r="T219" i="1" s="1"/>
  <c r="Q496" i="1"/>
  <c r="T496" i="1" s="1"/>
  <c r="Q504" i="1"/>
  <c r="T504" i="1" s="1"/>
  <c r="Q416" i="1"/>
  <c r="T416" i="1" s="1"/>
  <c r="Q29" i="1"/>
  <c r="T29" i="1" s="1"/>
  <c r="Q37" i="1"/>
  <c r="T37" i="1" s="1"/>
  <c r="Q42" i="1"/>
  <c r="T42" i="1" s="1"/>
  <c r="Q46" i="1"/>
  <c r="T46" i="1" s="1"/>
  <c r="Q50" i="1"/>
  <c r="T50" i="1" s="1"/>
  <c r="Q99" i="1"/>
  <c r="T99" i="1" s="1"/>
  <c r="Q107" i="1"/>
  <c r="T107" i="1" s="1"/>
  <c r="Q119" i="1"/>
  <c r="T119" i="1" s="1"/>
  <c r="Q123" i="1"/>
  <c r="T123" i="1" s="1"/>
  <c r="Q127" i="1"/>
  <c r="T127" i="1" s="1"/>
  <c r="Q202" i="1"/>
  <c r="T202" i="1" s="1"/>
  <c r="Q209" i="1"/>
  <c r="T209" i="1" s="1"/>
  <c r="Q217" i="1"/>
  <c r="T217" i="1" s="1"/>
  <c r="Q225" i="1"/>
  <c r="T225" i="1" s="1"/>
  <c r="Q233" i="1"/>
  <c r="T233" i="1" s="1"/>
  <c r="Q241" i="1"/>
  <c r="T241" i="1" s="1"/>
  <c r="Q287" i="1"/>
  <c r="T287" i="1" s="1"/>
  <c r="Q319" i="1"/>
  <c r="T319" i="1" s="1"/>
  <c r="Q210" i="1"/>
  <c r="T210" i="1" s="1"/>
  <c r="Q218" i="1"/>
  <c r="T218" i="1" s="1"/>
  <c r="Q226" i="1"/>
  <c r="T226" i="1" s="1"/>
  <c r="Q284" i="1"/>
  <c r="T284" i="1" s="1"/>
  <c r="Q300" i="1"/>
  <c r="T300" i="1" s="1"/>
  <c r="Q316" i="1"/>
  <c r="T316" i="1" s="1"/>
  <c r="Q332" i="1"/>
  <c r="T332" i="1" s="1"/>
  <c r="Q211" i="1"/>
  <c r="T211" i="1" s="1"/>
  <c r="Q243" i="1"/>
  <c r="T243" i="1" s="1"/>
  <c r="Q505" i="1"/>
  <c r="T505" i="1" s="1"/>
  <c r="Q513" i="1"/>
  <c r="T513" i="1" s="1"/>
  <c r="Q517" i="1"/>
  <c r="Q55" i="1"/>
  <c r="T55" i="1" s="1"/>
  <c r="Q63" i="1"/>
  <c r="T63" i="1" s="1"/>
  <c r="Q131" i="1"/>
  <c r="T131" i="1" s="1"/>
  <c r="Q242" i="1"/>
  <c r="T242" i="1" s="1"/>
  <c r="Q490" i="1"/>
  <c r="T490" i="1" s="1"/>
  <c r="Q494" i="1"/>
  <c r="T494" i="1" s="1"/>
  <c r="Q506" i="1"/>
  <c r="T506" i="1" s="1"/>
  <c r="Q510" i="1"/>
  <c r="T510" i="1" s="1"/>
  <c r="Q384" i="1"/>
  <c r="T384" i="1" s="1"/>
  <c r="Q448" i="1"/>
  <c r="T448" i="1" s="1"/>
  <c r="Q420" i="1"/>
  <c r="T420" i="1" s="1"/>
  <c r="R88" i="1"/>
  <c r="R84" i="1"/>
  <c r="R72" i="1"/>
  <c r="Q331" i="1"/>
  <c r="T331" i="1" s="1"/>
  <c r="Q293" i="1"/>
  <c r="T293" i="1" s="1"/>
  <c r="Q309" i="1"/>
  <c r="T309" i="1" s="1"/>
  <c r="Q281" i="1"/>
  <c r="T281" i="1" s="1"/>
  <c r="Q446" i="1"/>
  <c r="T446" i="1" s="1"/>
  <c r="R385" i="1"/>
  <c r="R75" i="1"/>
  <c r="R27" i="1"/>
  <c r="Q24" i="1"/>
  <c r="T24" i="1" s="1"/>
  <c r="Q32" i="1"/>
  <c r="T32" i="1" s="1"/>
  <c r="Q198" i="1"/>
  <c r="T198" i="1" s="1"/>
  <c r="Q246" i="1"/>
  <c r="T246" i="1" s="1"/>
  <c r="Q282" i="1"/>
  <c r="T282" i="1" s="1"/>
  <c r="Q298" i="1"/>
  <c r="T298" i="1" s="1"/>
  <c r="Q314" i="1"/>
  <c r="T314" i="1" s="1"/>
  <c r="Q330" i="1"/>
  <c r="T330" i="1" s="1"/>
  <c r="Q346" i="1"/>
  <c r="T346" i="1" s="1"/>
  <c r="Q396" i="1"/>
  <c r="T396" i="1" s="1"/>
  <c r="Q428" i="1"/>
  <c r="T428" i="1" s="1"/>
  <c r="Q460" i="1"/>
  <c r="T460" i="1" s="1"/>
  <c r="Q224" i="1"/>
  <c r="T224" i="1" s="1"/>
  <c r="T318" i="14"/>
  <c r="R40" i="1"/>
  <c r="R44" i="1"/>
  <c r="R48" i="1"/>
  <c r="R24" i="1"/>
  <c r="R71" i="1"/>
  <c r="R67" i="1"/>
  <c r="R99" i="1"/>
  <c r="R107" i="1"/>
  <c r="R115" i="1"/>
  <c r="R119" i="1"/>
  <c r="R123" i="1"/>
  <c r="R127" i="1"/>
  <c r="AH511" i="1"/>
  <c r="AG511" i="1"/>
  <c r="AI511" i="1"/>
  <c r="S511" i="1"/>
  <c r="R511" i="1"/>
  <c r="AH507" i="1"/>
  <c r="AG507" i="1"/>
  <c r="S507" i="1"/>
  <c r="R507" i="1"/>
  <c r="AH499" i="1"/>
  <c r="AG499" i="1"/>
  <c r="S499" i="1"/>
  <c r="R499" i="1"/>
  <c r="AH491" i="1"/>
  <c r="S491" i="1"/>
  <c r="AG491" i="1"/>
  <c r="R491" i="1"/>
  <c r="AH487" i="1"/>
  <c r="AG487" i="1"/>
  <c r="S487" i="1"/>
  <c r="R487" i="1"/>
  <c r="AH479" i="1"/>
  <c r="AG479" i="1"/>
  <c r="R479" i="1"/>
  <c r="AI479" i="1"/>
  <c r="S479" i="1"/>
  <c r="AW479" i="1" s="1"/>
  <c r="T479" i="1"/>
  <c r="AH471" i="1"/>
  <c r="AG471" i="1"/>
  <c r="S471" i="1"/>
  <c r="R471" i="1"/>
  <c r="AH467" i="1"/>
  <c r="S467" i="1"/>
  <c r="AG467" i="1"/>
  <c r="R467" i="1"/>
  <c r="AH459" i="1"/>
  <c r="AG459" i="1"/>
  <c r="S459" i="1"/>
  <c r="R459" i="1"/>
  <c r="AH455" i="1"/>
  <c r="S455" i="1"/>
  <c r="AG455" i="1"/>
  <c r="R455" i="1"/>
  <c r="AH447" i="1"/>
  <c r="AG447" i="1"/>
  <c r="S447" i="1"/>
  <c r="R447" i="1"/>
  <c r="AH439" i="1"/>
  <c r="AG439" i="1"/>
  <c r="S439" i="1"/>
  <c r="R439" i="1"/>
  <c r="AH431" i="1"/>
  <c r="AG431" i="1"/>
  <c r="S431" i="1"/>
  <c r="R431" i="1"/>
  <c r="AH427" i="1"/>
  <c r="AG427" i="1"/>
  <c r="S427" i="1"/>
  <c r="R427" i="1"/>
  <c r="AH419" i="1"/>
  <c r="AG419" i="1"/>
  <c r="S419" i="1"/>
  <c r="R419" i="1"/>
  <c r="AG411" i="1"/>
  <c r="AH411" i="1"/>
  <c r="S411" i="1"/>
  <c r="R411" i="1"/>
  <c r="AG407" i="1"/>
  <c r="AH407" i="1"/>
  <c r="S407" i="1"/>
  <c r="R407" i="1"/>
  <c r="AG399" i="1"/>
  <c r="S399" i="1"/>
  <c r="AH399" i="1"/>
  <c r="R399" i="1"/>
  <c r="AG391" i="1"/>
  <c r="AH391" i="1"/>
  <c r="S391" i="1"/>
  <c r="R391" i="1"/>
  <c r="AG387" i="1"/>
  <c r="AH387" i="1"/>
  <c r="S387" i="1"/>
  <c r="R387" i="1"/>
  <c r="AG379" i="1"/>
  <c r="AH379" i="1"/>
  <c r="S379" i="1"/>
  <c r="R379" i="1"/>
  <c r="AG371" i="1"/>
  <c r="AH371" i="1"/>
  <c r="S371" i="1"/>
  <c r="AG367" i="1"/>
  <c r="AH367" i="1"/>
  <c r="S367" i="1"/>
  <c r="AG359" i="1"/>
  <c r="AH359" i="1"/>
  <c r="S359" i="1"/>
  <c r="AG355" i="1"/>
  <c r="AI355" i="1"/>
  <c r="AH355" i="1"/>
  <c r="S355" i="1"/>
  <c r="T355" i="1"/>
  <c r="R355" i="1"/>
  <c r="AG351" i="1"/>
  <c r="AH351" i="1"/>
  <c r="S351" i="1"/>
  <c r="AG347" i="1"/>
  <c r="S347" i="1"/>
  <c r="AH347" i="1"/>
  <c r="R347" i="1"/>
  <c r="AG343" i="1"/>
  <c r="AH343" i="1"/>
  <c r="S343" i="1"/>
  <c r="R343" i="1"/>
  <c r="AG339" i="1"/>
  <c r="AH339" i="1"/>
  <c r="S339" i="1"/>
  <c r="R339" i="1"/>
  <c r="AG335" i="1"/>
  <c r="S335" i="1"/>
  <c r="AH335" i="1"/>
  <c r="R335" i="1"/>
  <c r="AG331" i="1"/>
  <c r="S331" i="1"/>
  <c r="AH331" i="1"/>
  <c r="R331" i="1"/>
  <c r="AG327" i="1"/>
  <c r="AH327" i="1"/>
  <c r="S327" i="1"/>
  <c r="R327" i="1"/>
  <c r="AG323" i="1"/>
  <c r="AH323" i="1"/>
  <c r="S323" i="1"/>
  <c r="R323" i="1"/>
  <c r="AG319" i="1"/>
  <c r="AH319" i="1"/>
  <c r="S319" i="1"/>
  <c r="R319" i="1"/>
  <c r="AG315" i="1"/>
  <c r="AH315" i="1"/>
  <c r="S315" i="1"/>
  <c r="R315" i="1"/>
  <c r="AG311" i="1"/>
  <c r="S311" i="1"/>
  <c r="AH311" i="1"/>
  <c r="R311" i="1"/>
  <c r="AG307" i="1"/>
  <c r="AH307" i="1"/>
  <c r="S307" i="1"/>
  <c r="R307" i="1"/>
  <c r="AG303" i="1"/>
  <c r="AH303" i="1"/>
  <c r="S303" i="1"/>
  <c r="R303" i="1"/>
  <c r="AG299" i="1"/>
  <c r="AH299" i="1"/>
  <c r="S299" i="1"/>
  <c r="R299" i="1"/>
  <c r="AG295" i="1"/>
  <c r="S295" i="1"/>
  <c r="AH295" i="1"/>
  <c r="R295" i="1"/>
  <c r="AG291" i="1"/>
  <c r="AH291" i="1"/>
  <c r="S291" i="1"/>
  <c r="R291" i="1"/>
  <c r="AG287" i="1"/>
  <c r="S287" i="1"/>
  <c r="AH287" i="1"/>
  <c r="R287" i="1"/>
  <c r="AG283" i="1"/>
  <c r="S283" i="1"/>
  <c r="AH283" i="1"/>
  <c r="R283" i="1"/>
  <c r="AG279" i="1"/>
  <c r="S279" i="1"/>
  <c r="AH279" i="1"/>
  <c r="R279" i="1"/>
  <c r="AG275" i="1"/>
  <c r="AH275" i="1"/>
  <c r="S275" i="1"/>
  <c r="R275" i="1"/>
  <c r="AG271" i="1"/>
  <c r="AH271" i="1"/>
  <c r="S271" i="1"/>
  <c r="R271" i="1"/>
  <c r="AG267" i="1"/>
  <c r="S267" i="1"/>
  <c r="AH267" i="1"/>
  <c r="R267" i="1"/>
  <c r="AH263" i="1"/>
  <c r="AG263" i="1"/>
  <c r="S263" i="1"/>
  <c r="AG259" i="1"/>
  <c r="AH259" i="1"/>
  <c r="S259" i="1"/>
  <c r="R259" i="1"/>
  <c r="AG255" i="1"/>
  <c r="S255" i="1"/>
  <c r="AH255" i="1"/>
  <c r="R255" i="1"/>
  <c r="AH251" i="1"/>
  <c r="AG251" i="1"/>
  <c r="S251" i="1"/>
  <c r="R251" i="1"/>
  <c r="AG247" i="1"/>
  <c r="S247" i="1"/>
  <c r="AH247" i="1"/>
  <c r="S243" i="1"/>
  <c r="AG243" i="1"/>
  <c r="AH243" i="1"/>
  <c r="AG239" i="1"/>
  <c r="AH239" i="1"/>
  <c r="S239" i="1"/>
  <c r="AH235" i="1"/>
  <c r="AG235" i="1"/>
  <c r="S235" i="1"/>
  <c r="S231" i="1"/>
  <c r="AH231" i="1"/>
  <c r="AG231" i="1"/>
  <c r="AH227" i="1"/>
  <c r="S227" i="1"/>
  <c r="AG227" i="1"/>
  <c r="AG223" i="1"/>
  <c r="AH223" i="1"/>
  <c r="S223" i="1"/>
  <c r="AH219" i="1"/>
  <c r="AG219" i="1"/>
  <c r="S219" i="1"/>
  <c r="S215" i="1"/>
  <c r="AH215" i="1"/>
  <c r="AG215" i="1"/>
  <c r="AH211" i="1"/>
  <c r="AG211" i="1"/>
  <c r="S211" i="1"/>
  <c r="AG207" i="1"/>
  <c r="S207" i="1"/>
  <c r="AH207" i="1"/>
  <c r="AH203" i="1"/>
  <c r="AG203" i="1"/>
  <c r="S203" i="1"/>
  <c r="AH199" i="1"/>
  <c r="S199" i="1"/>
  <c r="AG199" i="1"/>
  <c r="AG195" i="1"/>
  <c r="S195" i="1"/>
  <c r="AH195" i="1"/>
  <c r="AG191" i="1"/>
  <c r="S191" i="1"/>
  <c r="AH191" i="1"/>
  <c r="AH187" i="1"/>
  <c r="AG187" i="1"/>
  <c r="S187" i="1"/>
  <c r="AG183" i="1"/>
  <c r="AH183" i="1"/>
  <c r="S183" i="1"/>
  <c r="AG179" i="1"/>
  <c r="S179" i="1"/>
  <c r="AH179" i="1"/>
  <c r="AG175" i="1"/>
  <c r="S175" i="1"/>
  <c r="AH175" i="1"/>
  <c r="AG171" i="1"/>
  <c r="S171" i="1"/>
  <c r="AH171" i="1"/>
  <c r="AG167" i="1"/>
  <c r="S167" i="1"/>
  <c r="AH167" i="1"/>
  <c r="AG163" i="1"/>
  <c r="S163" i="1"/>
  <c r="AH163" i="1"/>
  <c r="AG159" i="1"/>
  <c r="AH159" i="1"/>
  <c r="S159" i="1"/>
  <c r="AG155" i="1"/>
  <c r="AH155" i="1"/>
  <c r="S155" i="1"/>
  <c r="AG151" i="1"/>
  <c r="AH151" i="1"/>
  <c r="S151" i="1"/>
  <c r="AG147" i="1"/>
  <c r="AH147" i="1"/>
  <c r="S147" i="1"/>
  <c r="AG143" i="1"/>
  <c r="AH143" i="1"/>
  <c r="S143" i="1"/>
  <c r="AG139" i="1"/>
  <c r="S139" i="1"/>
  <c r="AH139" i="1"/>
  <c r="AG135" i="1"/>
  <c r="S135" i="1"/>
  <c r="AH135" i="1"/>
  <c r="AG514" i="1"/>
  <c r="AH514" i="1"/>
  <c r="S514" i="1"/>
  <c r="R514" i="1"/>
  <c r="AG510" i="1"/>
  <c r="S510" i="1"/>
  <c r="AH510" i="1"/>
  <c r="R510" i="1"/>
  <c r="AG506" i="1"/>
  <c r="AH506" i="1"/>
  <c r="S506" i="1"/>
  <c r="AG502" i="1"/>
  <c r="AH502" i="1"/>
  <c r="S502" i="1"/>
  <c r="R502" i="1"/>
  <c r="AG498" i="1"/>
  <c r="AI498" i="1"/>
  <c r="AH498" i="1"/>
  <c r="R498" i="1"/>
  <c r="S498" i="1"/>
  <c r="T498" i="1"/>
  <c r="AG494" i="1"/>
  <c r="AH494" i="1"/>
  <c r="S494" i="1"/>
  <c r="R494" i="1"/>
  <c r="AG490" i="1"/>
  <c r="AH490" i="1"/>
  <c r="S490" i="1"/>
  <c r="R490" i="1"/>
  <c r="AG486" i="1"/>
  <c r="AH486" i="1"/>
  <c r="R486" i="1"/>
  <c r="S486" i="1"/>
  <c r="AG482" i="1"/>
  <c r="AI482" i="1"/>
  <c r="T482" i="1"/>
  <c r="R482" i="1"/>
  <c r="S482" i="1"/>
  <c r="AH482" i="1"/>
  <c r="AG478" i="1"/>
  <c r="AH478" i="1"/>
  <c r="R478" i="1"/>
  <c r="S478" i="1"/>
  <c r="AI478" i="1"/>
  <c r="T478" i="1"/>
  <c r="AG474" i="1"/>
  <c r="AH474" i="1"/>
  <c r="S474" i="1"/>
  <c r="R474" i="1"/>
  <c r="AG470" i="1"/>
  <c r="AH470" i="1"/>
  <c r="AI470" i="1"/>
  <c r="S470" i="1"/>
  <c r="AG466" i="1"/>
  <c r="AH466" i="1"/>
  <c r="S466" i="1"/>
  <c r="AG462" i="1"/>
  <c r="AH462" i="1"/>
  <c r="S462" i="1"/>
  <c r="AG458" i="1"/>
  <c r="AH458" i="1"/>
  <c r="S458" i="1"/>
  <c r="AG454" i="1"/>
  <c r="AH454" i="1"/>
  <c r="S454" i="1"/>
  <c r="AG450" i="1"/>
  <c r="S450" i="1"/>
  <c r="AH450" i="1"/>
  <c r="AG446" i="1"/>
  <c r="AH446" i="1"/>
  <c r="S446" i="1"/>
  <c r="AG442" i="1"/>
  <c r="S442" i="1"/>
  <c r="AH442" i="1"/>
  <c r="AG438" i="1"/>
  <c r="AH438" i="1"/>
  <c r="S438" i="1"/>
  <c r="AG434" i="1"/>
  <c r="S434" i="1"/>
  <c r="AH434" i="1"/>
  <c r="AG430" i="1"/>
  <c r="AI430" i="1"/>
  <c r="AH430" i="1"/>
  <c r="T430" i="1"/>
  <c r="R430" i="1"/>
  <c r="S430" i="1"/>
  <c r="AG426" i="1"/>
  <c r="AH426" i="1"/>
  <c r="S426" i="1"/>
  <c r="AG422" i="1"/>
  <c r="AH422" i="1"/>
  <c r="S422" i="1"/>
  <c r="AG418" i="1"/>
  <c r="AH418" i="1"/>
  <c r="S418" i="1"/>
  <c r="AH414" i="1"/>
  <c r="AG414" i="1"/>
  <c r="S414" i="1"/>
  <c r="AG410" i="1"/>
  <c r="AH410" i="1"/>
  <c r="S410" i="1"/>
  <c r="AG406" i="1"/>
  <c r="AH406" i="1"/>
  <c r="S406" i="1"/>
  <c r="AG402" i="1"/>
  <c r="AH402" i="1"/>
  <c r="S402" i="1"/>
  <c r="AH398" i="1"/>
  <c r="AG398" i="1"/>
  <c r="S398" i="1"/>
  <c r="AG394" i="1"/>
  <c r="S394" i="1"/>
  <c r="AH394" i="1"/>
  <c r="S390" i="1"/>
  <c r="AH390" i="1"/>
  <c r="AG390" i="1"/>
  <c r="AG386" i="1"/>
  <c r="AH386" i="1"/>
  <c r="S386" i="1"/>
  <c r="T386" i="1"/>
  <c r="AI386" i="1"/>
  <c r="R386" i="1"/>
  <c r="AH382" i="1"/>
  <c r="S382" i="1"/>
  <c r="AG382" i="1"/>
  <c r="AH378" i="1"/>
  <c r="S378" i="1"/>
  <c r="AG378" i="1"/>
  <c r="AH374" i="1"/>
  <c r="S374" i="1"/>
  <c r="AG374" i="1"/>
  <c r="AG370" i="1"/>
  <c r="AH370" i="1"/>
  <c r="S370" i="1"/>
  <c r="AH366" i="1"/>
  <c r="AG366" i="1"/>
  <c r="S366" i="1"/>
  <c r="AH362" i="1"/>
  <c r="AG362" i="1"/>
  <c r="S362" i="1"/>
  <c r="T362" i="1"/>
  <c r="AG358" i="1"/>
  <c r="AH358" i="1"/>
  <c r="S358" i="1"/>
  <c r="AG354" i="1"/>
  <c r="AH354" i="1"/>
  <c r="S354" i="1"/>
  <c r="AH350" i="1"/>
  <c r="S350" i="1"/>
  <c r="AG350" i="1"/>
  <c r="AG346" i="1"/>
  <c r="S346" i="1"/>
  <c r="AH346" i="1"/>
  <c r="R346" i="1"/>
  <c r="AG342" i="1"/>
  <c r="S342" i="1"/>
  <c r="AH342" i="1"/>
  <c r="AH338" i="1"/>
  <c r="AG338" i="1"/>
  <c r="S338" i="1"/>
  <c r="R338" i="1"/>
  <c r="AG334" i="1"/>
  <c r="AH334" i="1"/>
  <c r="S334" i="1"/>
  <c r="R334" i="1"/>
  <c r="AH330" i="1"/>
  <c r="S330" i="1"/>
  <c r="AG330" i="1"/>
  <c r="R330" i="1"/>
  <c r="AG326" i="1"/>
  <c r="S326" i="1"/>
  <c r="AH326" i="1"/>
  <c r="R326" i="1"/>
  <c r="AH322" i="1"/>
  <c r="AG322" i="1"/>
  <c r="S322" i="1"/>
  <c r="R322" i="1"/>
  <c r="AG318" i="1"/>
  <c r="S318" i="1"/>
  <c r="AH318" i="1"/>
  <c r="R318" i="1"/>
  <c r="AH314" i="1"/>
  <c r="S314" i="1"/>
  <c r="AG314" i="1"/>
  <c r="R314" i="1"/>
  <c r="AH310" i="1"/>
  <c r="AG310" i="1"/>
  <c r="S310" i="1"/>
  <c r="R310" i="1"/>
  <c r="AG306" i="1"/>
  <c r="AH306" i="1"/>
  <c r="S306" i="1"/>
  <c r="R306" i="1"/>
  <c r="AG302" i="1"/>
  <c r="S302" i="1"/>
  <c r="AH302" i="1"/>
  <c r="R302" i="1"/>
  <c r="AH298" i="1"/>
  <c r="S298" i="1"/>
  <c r="AG298" i="1"/>
  <c r="R298" i="1"/>
  <c r="AG294" i="1"/>
  <c r="AH294" i="1"/>
  <c r="S294" i="1"/>
  <c r="R294" i="1"/>
  <c r="AH290" i="1"/>
  <c r="AG290" i="1"/>
  <c r="S290" i="1"/>
  <c r="R290" i="1"/>
  <c r="AG286" i="1"/>
  <c r="AH286" i="1"/>
  <c r="S286" i="1"/>
  <c r="R286" i="1"/>
  <c r="AH282" i="1"/>
  <c r="AG282" i="1"/>
  <c r="S282" i="1"/>
  <c r="R282" i="1"/>
  <c r="AH278" i="1"/>
  <c r="S278" i="1"/>
  <c r="AG278" i="1"/>
  <c r="R278" i="1"/>
  <c r="S274" i="1"/>
  <c r="AH274" i="1"/>
  <c r="AG274" i="1"/>
  <c r="R274" i="1"/>
  <c r="AG270" i="1"/>
  <c r="AH270" i="1"/>
  <c r="R270" i="1"/>
  <c r="S270" i="1"/>
  <c r="AH266" i="1"/>
  <c r="AG266" i="1"/>
  <c r="S266" i="1"/>
  <c r="R266" i="1"/>
  <c r="AH262" i="1"/>
  <c r="AG262" i="1"/>
  <c r="S262" i="1"/>
  <c r="R262" i="1"/>
  <c r="AH258" i="1"/>
  <c r="S258" i="1"/>
  <c r="AG258" i="1"/>
  <c r="R258" i="1"/>
  <c r="AH254" i="1"/>
  <c r="S254" i="1"/>
  <c r="AG254" i="1"/>
  <c r="R254" i="1"/>
  <c r="AH250" i="1"/>
  <c r="S250" i="1"/>
  <c r="AG250" i="1"/>
  <c r="R250" i="1"/>
  <c r="AH246" i="1"/>
  <c r="AG246" i="1"/>
  <c r="S246" i="1"/>
  <c r="R246" i="1"/>
  <c r="AH242" i="1"/>
  <c r="AG242" i="1"/>
  <c r="S242" i="1"/>
  <c r="AH238" i="1"/>
  <c r="S238" i="1"/>
  <c r="AG238" i="1"/>
  <c r="AH234" i="1"/>
  <c r="AG234" i="1"/>
  <c r="S234" i="1"/>
  <c r="R234" i="1"/>
  <c r="AH230" i="1"/>
  <c r="AG230" i="1"/>
  <c r="S230" i="1"/>
  <c r="R230" i="1"/>
  <c r="AH226" i="1"/>
  <c r="S226" i="1"/>
  <c r="AG226" i="1"/>
  <c r="AH222" i="1"/>
  <c r="S222" i="1"/>
  <c r="AG222" i="1"/>
  <c r="AH218" i="1"/>
  <c r="AG218" i="1"/>
  <c r="S218" i="1"/>
  <c r="R218" i="1"/>
  <c r="AH214" i="1"/>
  <c r="AG214" i="1"/>
  <c r="S214" i="1"/>
  <c r="R214" i="1"/>
  <c r="AH210" i="1"/>
  <c r="S210" i="1"/>
  <c r="AG210" i="1"/>
  <c r="AH206" i="1"/>
  <c r="AG206" i="1"/>
  <c r="S206" i="1"/>
  <c r="AH202" i="1"/>
  <c r="AG202" i="1"/>
  <c r="S202" i="1"/>
  <c r="R202" i="1"/>
  <c r="AH198" i="1"/>
  <c r="AG198" i="1"/>
  <c r="S198" i="1"/>
  <c r="R198" i="1"/>
  <c r="AH194" i="1"/>
  <c r="S194" i="1"/>
  <c r="AG194" i="1"/>
  <c r="AH190" i="1"/>
  <c r="S190" i="1"/>
  <c r="AG190" i="1"/>
  <c r="AH186" i="1"/>
  <c r="S186" i="1"/>
  <c r="AG186" i="1"/>
  <c r="AH182" i="1"/>
  <c r="AG182" i="1"/>
  <c r="S182" i="1"/>
  <c r="S178" i="1"/>
  <c r="AH178" i="1"/>
  <c r="AG178" i="1"/>
  <c r="S174" i="1"/>
  <c r="AG174" i="1"/>
  <c r="AH174" i="1"/>
  <c r="AG170" i="1"/>
  <c r="S170" i="1"/>
  <c r="AH170" i="1"/>
  <c r="AH166" i="1"/>
  <c r="AG166" i="1"/>
  <c r="S166" i="1"/>
  <c r="AH162" i="1"/>
  <c r="AG162" i="1"/>
  <c r="S162" i="1"/>
  <c r="AH158" i="1"/>
  <c r="S158" i="1"/>
  <c r="AG158" i="1"/>
  <c r="AG154" i="1"/>
  <c r="S154" i="1"/>
  <c r="AH154" i="1"/>
  <c r="AH150" i="1"/>
  <c r="AG150" i="1"/>
  <c r="S150" i="1"/>
  <c r="AH146" i="1"/>
  <c r="S146" i="1"/>
  <c r="AG146" i="1"/>
  <c r="AG142" i="1"/>
  <c r="S142" i="1"/>
  <c r="AH142" i="1"/>
  <c r="AG138" i="1"/>
  <c r="AH138" i="1"/>
  <c r="S138" i="1"/>
  <c r="AH134" i="1"/>
  <c r="S134" i="1"/>
  <c r="AG134" i="1"/>
  <c r="AH130" i="1"/>
  <c r="S130" i="1"/>
  <c r="AG130" i="1"/>
  <c r="S126" i="1"/>
  <c r="AH126" i="1"/>
  <c r="AG126" i="1"/>
  <c r="AG122" i="1"/>
  <c r="AH122" i="1"/>
  <c r="S122" i="1"/>
  <c r="AH118" i="1"/>
  <c r="S118" i="1"/>
  <c r="AG118" i="1"/>
  <c r="AH114" i="1"/>
  <c r="S114" i="1"/>
  <c r="AG114" i="1"/>
  <c r="S110" i="1"/>
  <c r="AG110" i="1"/>
  <c r="AH110" i="1"/>
  <c r="S106" i="1"/>
  <c r="AG106" i="1"/>
  <c r="AH106" i="1"/>
  <c r="S102" i="1"/>
  <c r="AH102" i="1"/>
  <c r="AG102" i="1"/>
  <c r="S98" i="1"/>
  <c r="AH98" i="1"/>
  <c r="AG98" i="1"/>
  <c r="S94" i="1"/>
  <c r="AH94" i="1"/>
  <c r="AG94" i="1"/>
  <c r="R94" i="1"/>
  <c r="AG90" i="1"/>
  <c r="AH90" i="1"/>
  <c r="S90" i="1"/>
  <c r="R90" i="1"/>
  <c r="AH86" i="1"/>
  <c r="AG86" i="1"/>
  <c r="S86" i="1"/>
  <c r="R86" i="1"/>
  <c r="S82" i="1"/>
  <c r="AH82" i="1"/>
  <c r="AG82" i="1"/>
  <c r="R82" i="1"/>
  <c r="S78" i="1"/>
  <c r="AG78" i="1"/>
  <c r="AH78" i="1"/>
  <c r="R78" i="1"/>
  <c r="AG74" i="1"/>
  <c r="S74" i="1"/>
  <c r="AH74" i="1"/>
  <c r="R74" i="1"/>
  <c r="AH70" i="1"/>
  <c r="AG70" i="1"/>
  <c r="S70" i="1"/>
  <c r="S66" i="1"/>
  <c r="AH66" i="1"/>
  <c r="AG66" i="1"/>
  <c r="S62" i="1"/>
  <c r="AH62" i="1"/>
  <c r="AG62" i="1"/>
  <c r="R62" i="1"/>
  <c r="AG58" i="1"/>
  <c r="S58" i="1"/>
  <c r="AH58" i="1"/>
  <c r="R58" i="1"/>
  <c r="AH54" i="1"/>
  <c r="AG54" i="1"/>
  <c r="S54" i="1"/>
  <c r="R54" i="1"/>
  <c r="S50" i="1"/>
  <c r="AH50" i="1"/>
  <c r="AG50" i="1"/>
  <c r="S46" i="1"/>
  <c r="AG46" i="1"/>
  <c r="AH46" i="1"/>
  <c r="AG42" i="1"/>
  <c r="AH42" i="1"/>
  <c r="S42" i="1"/>
  <c r="AH38" i="1"/>
  <c r="AG38" i="1"/>
  <c r="S38" i="1"/>
  <c r="S34" i="1"/>
  <c r="AH34" i="1"/>
  <c r="AG34" i="1"/>
  <c r="S30" i="1"/>
  <c r="AG30" i="1"/>
  <c r="AH30" i="1"/>
  <c r="AG26" i="1"/>
  <c r="S26" i="1"/>
  <c r="AH26" i="1"/>
  <c r="AH22" i="1"/>
  <c r="AG22" i="1"/>
  <c r="S22" i="1"/>
  <c r="R263" i="1"/>
  <c r="R342" i="1"/>
  <c r="AH515" i="1"/>
  <c r="AG515" i="1"/>
  <c r="S515" i="1"/>
  <c r="R515" i="1"/>
  <c r="AH503" i="1"/>
  <c r="AG503" i="1"/>
  <c r="AI503" i="1"/>
  <c r="S503" i="1"/>
  <c r="T503" i="1"/>
  <c r="R503" i="1"/>
  <c r="AH495" i="1"/>
  <c r="AG495" i="1"/>
  <c r="S495" i="1"/>
  <c r="R495" i="1"/>
  <c r="AH483" i="1"/>
  <c r="AG483" i="1"/>
  <c r="S483" i="1"/>
  <c r="AH475" i="1"/>
  <c r="AG475" i="1"/>
  <c r="S475" i="1"/>
  <c r="R475" i="1"/>
  <c r="AH463" i="1"/>
  <c r="AG463" i="1"/>
  <c r="AI463" i="1"/>
  <c r="S463" i="1"/>
  <c r="R463" i="1"/>
  <c r="AH451" i="1"/>
  <c r="AG451" i="1"/>
  <c r="S451" i="1"/>
  <c r="R451" i="1"/>
  <c r="AH443" i="1"/>
  <c r="AG443" i="1"/>
  <c r="S443" i="1"/>
  <c r="R443" i="1"/>
  <c r="AH435" i="1"/>
  <c r="AG435" i="1"/>
  <c r="S435" i="1"/>
  <c r="R435" i="1"/>
  <c r="AH423" i="1"/>
  <c r="S423" i="1"/>
  <c r="AG423" i="1"/>
  <c r="R423" i="1"/>
  <c r="AH415" i="1"/>
  <c r="AG415" i="1"/>
  <c r="S415" i="1"/>
  <c r="R415" i="1"/>
  <c r="AG403" i="1"/>
  <c r="AH403" i="1"/>
  <c r="S403" i="1"/>
  <c r="R403" i="1"/>
  <c r="AG395" i="1"/>
  <c r="AH395" i="1"/>
  <c r="S395" i="1"/>
  <c r="R395" i="1"/>
  <c r="AG383" i="1"/>
  <c r="AI383" i="1"/>
  <c r="T383" i="1"/>
  <c r="AH383" i="1"/>
  <c r="R383" i="1"/>
  <c r="S383" i="1"/>
  <c r="AG375" i="1"/>
  <c r="AH375" i="1"/>
  <c r="S375" i="1"/>
  <c r="R375" i="1"/>
  <c r="AG363" i="1"/>
  <c r="AH363" i="1"/>
  <c r="S363" i="1"/>
  <c r="S517" i="1"/>
  <c r="AI517" i="1"/>
  <c r="T517" i="1"/>
  <c r="AG517" i="1"/>
  <c r="AH517" i="1"/>
  <c r="R517" i="1"/>
  <c r="AG513" i="1"/>
  <c r="AI513" i="1"/>
  <c r="AH513" i="1"/>
  <c r="S513" i="1"/>
  <c r="R513" i="1"/>
  <c r="AH509" i="1"/>
  <c r="AG509" i="1"/>
  <c r="S509" i="1"/>
  <c r="R509" i="1"/>
  <c r="AH501" i="1"/>
  <c r="S501" i="1"/>
  <c r="AG501" i="1"/>
  <c r="R501" i="1"/>
  <c r="AG497" i="1"/>
  <c r="AH497" i="1"/>
  <c r="S497" i="1"/>
  <c r="R497" i="1"/>
  <c r="AH485" i="1"/>
  <c r="AG485" i="1"/>
  <c r="S485" i="1"/>
  <c r="R485" i="1"/>
  <c r="AH477" i="1"/>
  <c r="AI477" i="1"/>
  <c r="AG477" i="1"/>
  <c r="S477" i="1"/>
  <c r="R477" i="1"/>
  <c r="AH473" i="1"/>
  <c r="AG473" i="1"/>
  <c r="S473" i="1"/>
  <c r="R473" i="1"/>
  <c r="AG469" i="1"/>
  <c r="AH469" i="1"/>
  <c r="S469" i="1"/>
  <c r="R469" i="1"/>
  <c r="AG465" i="1"/>
  <c r="AH465" i="1"/>
  <c r="S465" i="1"/>
  <c r="R465" i="1"/>
  <c r="AH461" i="1"/>
  <c r="S461" i="1"/>
  <c r="AG461" i="1"/>
  <c r="R461" i="1"/>
  <c r="AG457" i="1"/>
  <c r="R457" i="1"/>
  <c r="AH457" i="1"/>
  <c r="S457" i="1"/>
  <c r="AG453" i="1"/>
  <c r="AH453" i="1"/>
  <c r="S453" i="1"/>
  <c r="R453" i="1"/>
  <c r="AG449" i="1"/>
  <c r="AH449" i="1"/>
  <c r="S449" i="1"/>
  <c r="R449" i="1"/>
  <c r="AH445" i="1"/>
  <c r="AG445" i="1"/>
  <c r="S445" i="1"/>
  <c r="R445" i="1"/>
  <c r="AH441" i="1"/>
  <c r="AG441" i="1"/>
  <c r="S441" i="1"/>
  <c r="R441" i="1"/>
  <c r="AG437" i="1"/>
  <c r="S437" i="1"/>
  <c r="AH437" i="1"/>
  <c r="R437" i="1"/>
  <c r="AG433" i="1"/>
  <c r="AH433" i="1"/>
  <c r="S433" i="1"/>
  <c r="R433" i="1"/>
  <c r="AH429" i="1"/>
  <c r="AI429" i="1"/>
  <c r="S429" i="1"/>
  <c r="AG429" i="1"/>
  <c r="T429" i="1"/>
  <c r="R429" i="1"/>
  <c r="AG425" i="1"/>
  <c r="R425" i="1"/>
  <c r="S425" i="1"/>
  <c r="AH425" i="1"/>
  <c r="AH421" i="1"/>
  <c r="AG421" i="1"/>
  <c r="S421" i="1"/>
  <c r="R421" i="1"/>
  <c r="AG417" i="1"/>
  <c r="AH417" i="1"/>
  <c r="S417" i="1"/>
  <c r="R417" i="1"/>
  <c r="AH413" i="1"/>
  <c r="AG413" i="1"/>
  <c r="S413" i="1"/>
  <c r="R413" i="1"/>
  <c r="AG409" i="1"/>
  <c r="AH409" i="1"/>
  <c r="R409" i="1"/>
  <c r="S409" i="1"/>
  <c r="AH405" i="1"/>
  <c r="AG405" i="1"/>
  <c r="S405" i="1"/>
  <c r="R405" i="1"/>
  <c r="AH401" i="1"/>
  <c r="AG401" i="1"/>
  <c r="S401" i="1"/>
  <c r="R401" i="1"/>
  <c r="AG397" i="1"/>
  <c r="S397" i="1"/>
  <c r="AH397" i="1"/>
  <c r="R397" i="1"/>
  <c r="AG393" i="1"/>
  <c r="AH393" i="1"/>
  <c r="R393" i="1"/>
  <c r="S393" i="1"/>
  <c r="AH389" i="1"/>
  <c r="AG389" i="1"/>
  <c r="S389" i="1"/>
  <c r="R389" i="1"/>
  <c r="AH385" i="1"/>
  <c r="AG385" i="1"/>
  <c r="S385" i="1"/>
  <c r="AH381" i="1"/>
  <c r="S381" i="1"/>
  <c r="AG381" i="1"/>
  <c r="AG377" i="1"/>
  <c r="S377" i="1"/>
  <c r="AH377" i="1"/>
  <c r="AH373" i="1"/>
  <c r="AG373" i="1"/>
  <c r="S373" i="1"/>
  <c r="R373" i="1"/>
  <c r="AH369" i="1"/>
  <c r="S369" i="1"/>
  <c r="AG369" i="1"/>
  <c r="R369" i="1"/>
  <c r="AG365" i="1"/>
  <c r="S365" i="1"/>
  <c r="AH365" i="1"/>
  <c r="R365" i="1"/>
  <c r="AG361" i="1"/>
  <c r="S361" i="1"/>
  <c r="AH361" i="1"/>
  <c r="R361" i="1"/>
  <c r="AH357" i="1"/>
  <c r="AG357" i="1"/>
  <c r="S357" i="1"/>
  <c r="R357" i="1"/>
  <c r="AG353" i="1"/>
  <c r="AH353" i="1"/>
  <c r="S353" i="1"/>
  <c r="R353" i="1"/>
  <c r="AH349" i="1"/>
  <c r="AG349" i="1"/>
  <c r="S349" i="1"/>
  <c r="AG345" i="1"/>
  <c r="S345" i="1"/>
  <c r="AH345" i="1"/>
  <c r="R345" i="1"/>
  <c r="AH341" i="1"/>
  <c r="AG341" i="1"/>
  <c r="R341" i="1"/>
  <c r="S341" i="1"/>
  <c r="AH337" i="1"/>
  <c r="S337" i="1"/>
  <c r="AG337" i="1"/>
  <c r="R337" i="1"/>
  <c r="AG333" i="1"/>
  <c r="AH333" i="1"/>
  <c r="S333" i="1"/>
  <c r="R333" i="1"/>
  <c r="AH329" i="1"/>
  <c r="AG329" i="1"/>
  <c r="S329" i="1"/>
  <c r="R329" i="1"/>
  <c r="AG325" i="1"/>
  <c r="S325" i="1"/>
  <c r="AH325" i="1"/>
  <c r="R325" i="1"/>
  <c r="AH321" i="1"/>
  <c r="R321" i="1"/>
  <c r="S321" i="1"/>
  <c r="AG321" i="1"/>
  <c r="AH317" i="1"/>
  <c r="S317" i="1"/>
  <c r="R317" i="1"/>
  <c r="AG317" i="1"/>
  <c r="AG313" i="1"/>
  <c r="AH313" i="1"/>
  <c r="R313" i="1"/>
  <c r="S313" i="1"/>
  <c r="AG309" i="1"/>
  <c r="R309" i="1"/>
  <c r="AH309" i="1"/>
  <c r="S309" i="1"/>
  <c r="AH305" i="1"/>
  <c r="R305" i="1"/>
  <c r="S305" i="1"/>
  <c r="AG305" i="1"/>
  <c r="AG301" i="1"/>
  <c r="S301" i="1"/>
  <c r="R301" i="1"/>
  <c r="AH301" i="1"/>
  <c r="AH297" i="1"/>
  <c r="AG297" i="1"/>
  <c r="R297" i="1"/>
  <c r="S297" i="1"/>
  <c r="AG293" i="1"/>
  <c r="AH293" i="1"/>
  <c r="R293" i="1"/>
  <c r="S293" i="1"/>
  <c r="AH289" i="1"/>
  <c r="AG289" i="1"/>
  <c r="R289" i="1"/>
  <c r="S289" i="1"/>
  <c r="S285" i="1"/>
  <c r="AG285" i="1"/>
  <c r="AH285" i="1"/>
  <c r="R285" i="1"/>
  <c r="AH281" i="1"/>
  <c r="AG281" i="1"/>
  <c r="R281" i="1"/>
  <c r="S281" i="1"/>
  <c r="AG277" i="1"/>
  <c r="AH277" i="1"/>
  <c r="R277" i="1"/>
  <c r="S277" i="1"/>
  <c r="AH273" i="1"/>
  <c r="AG273" i="1"/>
  <c r="S273" i="1"/>
  <c r="R273" i="1"/>
  <c r="S269" i="1"/>
  <c r="AG269" i="1"/>
  <c r="AH269" i="1"/>
  <c r="R269" i="1"/>
  <c r="AG265" i="1"/>
  <c r="S265" i="1"/>
  <c r="AH265" i="1"/>
  <c r="R265" i="1"/>
  <c r="AG261" i="1"/>
  <c r="S261" i="1"/>
  <c r="AH261" i="1"/>
  <c r="R261" i="1"/>
  <c r="AG257" i="1"/>
  <c r="AH257" i="1"/>
  <c r="S257" i="1"/>
  <c r="R257" i="1"/>
  <c r="AG253" i="1"/>
  <c r="AH253" i="1"/>
  <c r="R253" i="1"/>
  <c r="AI253" i="1"/>
  <c r="S253" i="1"/>
  <c r="T253" i="1"/>
  <c r="AG249" i="1"/>
  <c r="S249" i="1"/>
  <c r="AH249" i="1"/>
  <c r="AG245" i="1"/>
  <c r="S245" i="1"/>
  <c r="AH245" i="1"/>
  <c r="AG241" i="1"/>
  <c r="S241" i="1"/>
  <c r="AH241" i="1"/>
  <c r="AG237" i="1"/>
  <c r="AH237" i="1"/>
  <c r="S237" i="1"/>
  <c r="AG233" i="1"/>
  <c r="S233" i="1"/>
  <c r="AH233" i="1"/>
  <c r="AG229" i="1"/>
  <c r="S229" i="1"/>
  <c r="AH229" i="1"/>
  <c r="AG225" i="1"/>
  <c r="S225" i="1"/>
  <c r="AH225" i="1"/>
  <c r="AG221" i="1"/>
  <c r="AH221" i="1"/>
  <c r="S221" i="1"/>
  <c r="AG217" i="1"/>
  <c r="S217" i="1"/>
  <c r="AH217" i="1"/>
  <c r="AG213" i="1"/>
  <c r="S213" i="1"/>
  <c r="AH213" i="1"/>
  <c r="AG209" i="1"/>
  <c r="S209" i="1"/>
  <c r="AH209" i="1"/>
  <c r="AG205" i="1"/>
  <c r="AH205" i="1"/>
  <c r="S205" i="1"/>
  <c r="AG201" i="1"/>
  <c r="S201" i="1"/>
  <c r="AH201" i="1"/>
  <c r="AG197" i="1"/>
  <c r="S197" i="1"/>
  <c r="AH197" i="1"/>
  <c r="AG193" i="1"/>
  <c r="S193" i="1"/>
  <c r="AH193" i="1"/>
  <c r="R193" i="1"/>
  <c r="AG189" i="1"/>
  <c r="AH189" i="1"/>
  <c r="S189" i="1"/>
  <c r="R189" i="1"/>
  <c r="AG185" i="1"/>
  <c r="AH185" i="1"/>
  <c r="S185" i="1"/>
  <c r="AG181" i="1"/>
  <c r="AH181" i="1"/>
  <c r="S181" i="1"/>
  <c r="AG177" i="1"/>
  <c r="AH177" i="1"/>
  <c r="S177" i="1"/>
  <c r="R177" i="1"/>
  <c r="AH173" i="1"/>
  <c r="AG173" i="1"/>
  <c r="S173" i="1"/>
  <c r="S169" i="1"/>
  <c r="AH169" i="1"/>
  <c r="AG169" i="1"/>
  <c r="S165" i="1"/>
  <c r="AH165" i="1"/>
  <c r="AG165" i="1"/>
  <c r="AG161" i="1"/>
  <c r="AH161" i="1"/>
  <c r="S161" i="1"/>
  <c r="R161" i="1"/>
  <c r="AH157" i="1"/>
  <c r="AG157" i="1"/>
  <c r="S157" i="1"/>
  <c r="R157" i="1"/>
  <c r="AH153" i="1"/>
  <c r="AG153" i="1"/>
  <c r="S153" i="1"/>
  <c r="S149" i="1"/>
  <c r="AG149" i="1"/>
  <c r="AH149" i="1"/>
  <c r="AG145" i="1"/>
  <c r="S145" i="1"/>
  <c r="AH145" i="1"/>
  <c r="R145" i="1"/>
  <c r="S141" i="1"/>
  <c r="AH141" i="1"/>
  <c r="AG141" i="1"/>
  <c r="R141" i="1"/>
  <c r="S137" i="1"/>
  <c r="AH137" i="1"/>
  <c r="AG137" i="1"/>
  <c r="S133" i="1"/>
  <c r="AH133" i="1"/>
  <c r="AG133" i="1"/>
  <c r="S129" i="1"/>
  <c r="AG129" i="1"/>
  <c r="AH129" i="1"/>
  <c r="S125" i="1"/>
  <c r="AH125" i="1"/>
  <c r="AG125" i="1"/>
  <c r="S121" i="1"/>
  <c r="AH121" i="1"/>
  <c r="AG121" i="1"/>
  <c r="S117" i="1"/>
  <c r="AG117" i="1"/>
  <c r="AH117" i="1"/>
  <c r="S113" i="1"/>
  <c r="AG113" i="1"/>
  <c r="AH113" i="1"/>
  <c r="AH109" i="1"/>
  <c r="AG109" i="1"/>
  <c r="S109" i="1"/>
  <c r="R109" i="1"/>
  <c r="AH105" i="1"/>
  <c r="S105" i="1"/>
  <c r="AG105" i="1"/>
  <c r="AH101" i="1"/>
  <c r="AG101" i="1"/>
  <c r="S101" i="1"/>
  <c r="AG97" i="1"/>
  <c r="S97" i="1"/>
  <c r="AH97" i="1"/>
  <c r="R97" i="1"/>
  <c r="AH93" i="1"/>
  <c r="S93" i="1"/>
  <c r="AG93" i="1"/>
  <c r="R93" i="1"/>
  <c r="AH89" i="1"/>
  <c r="S89" i="1"/>
  <c r="AG89" i="1"/>
  <c r="R89" i="1"/>
  <c r="AG85" i="1"/>
  <c r="S85" i="1"/>
  <c r="AH85" i="1"/>
  <c r="R85" i="1"/>
  <c r="AG81" i="1"/>
  <c r="AH81" i="1"/>
  <c r="S81" i="1"/>
  <c r="R81" i="1"/>
  <c r="AH77" i="1"/>
  <c r="AG77" i="1"/>
  <c r="S77" i="1"/>
  <c r="R77" i="1"/>
  <c r="S73" i="1"/>
  <c r="AH73" i="1"/>
  <c r="AG73" i="1"/>
  <c r="R73" i="1"/>
  <c r="AI69" i="1"/>
  <c r="S69" i="1"/>
  <c r="R69" i="1"/>
  <c r="T69" i="1"/>
  <c r="AG69" i="1"/>
  <c r="AH69" i="1"/>
  <c r="AG65" i="1"/>
  <c r="AH65" i="1"/>
  <c r="S65" i="1"/>
  <c r="AH61" i="1"/>
  <c r="S61" i="1"/>
  <c r="AG61" i="1"/>
  <c r="AH57" i="1"/>
  <c r="S57" i="1"/>
  <c r="AG57" i="1"/>
  <c r="AG53" i="1"/>
  <c r="S53" i="1"/>
  <c r="AH53" i="1"/>
  <c r="AG49" i="1"/>
  <c r="AH49" i="1"/>
  <c r="S49" i="1"/>
  <c r="AH45" i="1"/>
  <c r="S45" i="1"/>
  <c r="AG45" i="1"/>
  <c r="AH41" i="1"/>
  <c r="S41" i="1"/>
  <c r="AG41" i="1"/>
  <c r="S37" i="1"/>
  <c r="AH37" i="1"/>
  <c r="AG37" i="1"/>
  <c r="AG33" i="1"/>
  <c r="S33" i="1"/>
  <c r="AH33" i="1"/>
  <c r="AH29" i="1"/>
  <c r="S29" i="1"/>
  <c r="AG29" i="1"/>
  <c r="AH25" i="1"/>
  <c r="S25" i="1"/>
  <c r="AG25" i="1"/>
  <c r="R38" i="1"/>
  <c r="R42" i="1"/>
  <c r="R46" i="1"/>
  <c r="R50" i="1"/>
  <c r="R66" i="1"/>
  <c r="R102" i="1"/>
  <c r="R110" i="1"/>
  <c r="R113" i="1"/>
  <c r="R130" i="1"/>
  <c r="R138" i="1"/>
  <c r="R146" i="1"/>
  <c r="R154" i="1"/>
  <c r="R162" i="1"/>
  <c r="R170" i="1"/>
  <c r="R178" i="1"/>
  <c r="R186" i="1"/>
  <c r="R249" i="1"/>
  <c r="R506" i="1"/>
  <c r="R371" i="1"/>
  <c r="AH505" i="1"/>
  <c r="S505" i="1"/>
  <c r="AG505" i="1"/>
  <c r="R505" i="1"/>
  <c r="AH493" i="1"/>
  <c r="AG493" i="1"/>
  <c r="S493" i="1"/>
  <c r="R493" i="1"/>
  <c r="AH489" i="1"/>
  <c r="S489" i="1"/>
  <c r="AG489" i="1"/>
  <c r="R489" i="1"/>
  <c r="AG481" i="1"/>
  <c r="AH481" i="1"/>
  <c r="R481" i="1"/>
  <c r="S481" i="1"/>
  <c r="AH516" i="1"/>
  <c r="AG516" i="1"/>
  <c r="S516" i="1"/>
  <c r="R516" i="1"/>
  <c r="AH512" i="1"/>
  <c r="S512" i="1"/>
  <c r="AG512" i="1"/>
  <c r="R512" i="1"/>
  <c r="AH508" i="1"/>
  <c r="AG508" i="1"/>
  <c r="S508" i="1"/>
  <c r="R508" i="1"/>
  <c r="AG504" i="1"/>
  <c r="AH504" i="1"/>
  <c r="S504" i="1"/>
  <c r="R504" i="1"/>
  <c r="AH500" i="1"/>
  <c r="AG500" i="1"/>
  <c r="S500" i="1"/>
  <c r="R500" i="1"/>
  <c r="AH496" i="1"/>
  <c r="AG496" i="1"/>
  <c r="S496" i="1"/>
  <c r="R496" i="1"/>
  <c r="AH492" i="1"/>
  <c r="AG492" i="1"/>
  <c r="R492" i="1"/>
  <c r="S492" i="1"/>
  <c r="AG488" i="1"/>
  <c r="S488" i="1"/>
  <c r="AH488" i="1"/>
  <c r="R488" i="1"/>
  <c r="AI484" i="1"/>
  <c r="AH484" i="1"/>
  <c r="AG484" i="1"/>
  <c r="T484" i="1"/>
  <c r="R484" i="1"/>
  <c r="S484" i="1"/>
  <c r="AH480" i="1"/>
  <c r="AG480" i="1"/>
  <c r="S480" i="1"/>
  <c r="R480" i="1"/>
  <c r="AG476" i="1"/>
  <c r="AH476" i="1"/>
  <c r="S476" i="1"/>
  <c r="R476" i="1"/>
  <c r="AG472" i="1"/>
  <c r="R472" i="1"/>
  <c r="S472" i="1"/>
  <c r="AH472" i="1"/>
  <c r="AH468" i="1"/>
  <c r="AG468" i="1"/>
  <c r="S468" i="1"/>
  <c r="R468" i="1"/>
  <c r="AG464" i="1"/>
  <c r="AH464" i="1"/>
  <c r="R464" i="1"/>
  <c r="S464" i="1"/>
  <c r="AH460" i="1"/>
  <c r="S460" i="1"/>
  <c r="AG460" i="1"/>
  <c r="R460" i="1"/>
  <c r="AG456" i="1"/>
  <c r="AH456" i="1"/>
  <c r="R456" i="1"/>
  <c r="S456" i="1"/>
  <c r="AH452" i="1"/>
  <c r="AG452" i="1"/>
  <c r="S452" i="1"/>
  <c r="R452" i="1"/>
  <c r="AI448" i="1"/>
  <c r="AG448" i="1"/>
  <c r="AH448" i="1"/>
  <c r="S448" i="1"/>
  <c r="R448" i="1"/>
  <c r="AG444" i="1"/>
  <c r="S444" i="1"/>
  <c r="AH444" i="1"/>
  <c r="R444" i="1"/>
  <c r="AG440" i="1"/>
  <c r="AH440" i="1"/>
  <c r="S440" i="1"/>
  <c r="R440" i="1"/>
  <c r="AH436" i="1"/>
  <c r="AG436" i="1"/>
  <c r="S436" i="1"/>
  <c r="R436" i="1"/>
  <c r="AG432" i="1"/>
  <c r="AH432" i="1"/>
  <c r="S432" i="1"/>
  <c r="R432" i="1"/>
  <c r="AH428" i="1"/>
  <c r="S428" i="1"/>
  <c r="AG428" i="1"/>
  <c r="R428" i="1"/>
  <c r="AG424" i="1"/>
  <c r="AH424" i="1"/>
  <c r="S424" i="1"/>
  <c r="R424" i="1"/>
  <c r="AH420" i="1"/>
  <c r="S420" i="1"/>
  <c r="AG420" i="1"/>
  <c r="R420" i="1"/>
  <c r="AH416" i="1"/>
  <c r="S416" i="1"/>
  <c r="AG416" i="1"/>
  <c r="R416" i="1"/>
  <c r="AH412" i="1"/>
  <c r="AI412" i="1"/>
  <c r="AG412" i="1"/>
  <c r="S412" i="1"/>
  <c r="R412" i="1"/>
  <c r="AH408" i="1"/>
  <c r="AG408" i="1"/>
  <c r="S408" i="1"/>
  <c r="AH404" i="1"/>
  <c r="S404" i="1"/>
  <c r="AG404" i="1"/>
  <c r="R404" i="1"/>
  <c r="AH400" i="1"/>
  <c r="AG400" i="1"/>
  <c r="S400" i="1"/>
  <c r="R400" i="1"/>
  <c r="AH396" i="1"/>
  <c r="AI396" i="1"/>
  <c r="S396" i="1"/>
  <c r="AG396" i="1"/>
  <c r="R396" i="1"/>
  <c r="AH392" i="1"/>
  <c r="AG392" i="1"/>
  <c r="S392" i="1"/>
  <c r="R392" i="1"/>
  <c r="AH388" i="1"/>
  <c r="AG388" i="1"/>
  <c r="S388" i="1"/>
  <c r="R388" i="1"/>
  <c r="AH384" i="1"/>
  <c r="AG384" i="1"/>
  <c r="S384" i="1"/>
  <c r="R384" i="1"/>
  <c r="AH380" i="1"/>
  <c r="AG380" i="1"/>
  <c r="S380" i="1"/>
  <c r="R380" i="1"/>
  <c r="AH376" i="1"/>
  <c r="AG376" i="1"/>
  <c r="S376" i="1"/>
  <c r="R376" i="1"/>
  <c r="AH372" i="1"/>
  <c r="AG372" i="1"/>
  <c r="S372" i="1"/>
  <c r="R372" i="1"/>
  <c r="AH368" i="1"/>
  <c r="AG368" i="1"/>
  <c r="S368" i="1"/>
  <c r="AH364" i="1"/>
  <c r="S364" i="1"/>
  <c r="AG364" i="1"/>
  <c r="AH360" i="1"/>
  <c r="AG360" i="1"/>
  <c r="S360" i="1"/>
  <c r="AH356" i="1"/>
  <c r="S356" i="1"/>
  <c r="AG356" i="1"/>
  <c r="AH352" i="1"/>
  <c r="AG352" i="1"/>
  <c r="S352" i="1"/>
  <c r="AH348" i="1"/>
  <c r="AG348" i="1"/>
  <c r="S348" i="1"/>
  <c r="AH344" i="1"/>
  <c r="AG344" i="1"/>
  <c r="S344" i="1"/>
  <c r="AH340" i="1"/>
  <c r="AG340" i="1"/>
  <c r="S340" i="1"/>
  <c r="AH336" i="1"/>
  <c r="S336" i="1"/>
  <c r="AG336" i="1"/>
  <c r="AH332" i="1"/>
  <c r="AG332" i="1"/>
  <c r="S332" i="1"/>
  <c r="AH328" i="1"/>
  <c r="AG328" i="1"/>
  <c r="S328" i="1"/>
  <c r="AH324" i="1"/>
  <c r="S324" i="1"/>
  <c r="AG324" i="1"/>
  <c r="AH320" i="1"/>
  <c r="AG320" i="1"/>
  <c r="S320" i="1"/>
  <c r="AH316" i="1"/>
  <c r="AG316" i="1"/>
  <c r="S316" i="1"/>
  <c r="AH312" i="1"/>
  <c r="AG312" i="1"/>
  <c r="S312" i="1"/>
  <c r="AH308" i="1"/>
  <c r="AG308" i="1"/>
  <c r="S308" i="1"/>
  <c r="AH304" i="1"/>
  <c r="AG304" i="1"/>
  <c r="S304" i="1"/>
  <c r="AH300" i="1"/>
  <c r="AG300" i="1"/>
  <c r="S300" i="1"/>
  <c r="AH296" i="1"/>
  <c r="AG296" i="1"/>
  <c r="S296" i="1"/>
  <c r="AH292" i="1"/>
  <c r="S292" i="1"/>
  <c r="AG292" i="1"/>
  <c r="AH288" i="1"/>
  <c r="AG288" i="1"/>
  <c r="S288" i="1"/>
  <c r="AH284" i="1"/>
  <c r="AG284" i="1"/>
  <c r="S284" i="1"/>
  <c r="AH280" i="1"/>
  <c r="S280" i="1"/>
  <c r="AG280" i="1"/>
  <c r="AH276" i="1"/>
  <c r="S276" i="1"/>
  <c r="AG276" i="1"/>
  <c r="R276" i="1"/>
  <c r="AH272" i="1"/>
  <c r="S272" i="1"/>
  <c r="AG272" i="1"/>
  <c r="R272" i="1"/>
  <c r="AH268" i="1"/>
  <c r="AG268" i="1"/>
  <c r="S268" i="1"/>
  <c r="R268" i="1"/>
  <c r="AG264" i="1"/>
  <c r="S264" i="1"/>
  <c r="AH264" i="1"/>
  <c r="R264" i="1"/>
  <c r="AH260" i="1"/>
  <c r="S260" i="1"/>
  <c r="AG260" i="1"/>
  <c r="AI256" i="1"/>
  <c r="AH256" i="1"/>
  <c r="AG256" i="1"/>
  <c r="S256" i="1"/>
  <c r="R256" i="1"/>
  <c r="AG252" i="1"/>
  <c r="S252" i="1"/>
  <c r="AH252" i="1"/>
  <c r="R252" i="1"/>
  <c r="AG248" i="1"/>
  <c r="S248" i="1"/>
  <c r="AH248" i="1"/>
  <c r="AH244" i="1"/>
  <c r="AG244" i="1"/>
  <c r="S244" i="1"/>
  <c r="AG240" i="1"/>
  <c r="AH240" i="1"/>
  <c r="S240" i="1"/>
  <c r="R240" i="1"/>
  <c r="S236" i="1"/>
  <c r="AG236" i="1"/>
  <c r="AH236" i="1"/>
  <c r="R236" i="1"/>
  <c r="AG232" i="1"/>
  <c r="AH232" i="1"/>
  <c r="S232" i="1"/>
  <c r="AH228" i="1"/>
  <c r="AG228" i="1"/>
  <c r="S228" i="1"/>
  <c r="AG224" i="1"/>
  <c r="AH224" i="1"/>
  <c r="S224" i="1"/>
  <c r="R224" i="1"/>
  <c r="S220" i="1"/>
  <c r="AH220" i="1"/>
  <c r="AG220" i="1"/>
  <c r="R220" i="1"/>
  <c r="AG216" i="1"/>
  <c r="AH216" i="1"/>
  <c r="S216" i="1"/>
  <c r="AH212" i="1"/>
  <c r="AG212" i="1"/>
  <c r="S212" i="1"/>
  <c r="AH208" i="1"/>
  <c r="AG208" i="1"/>
  <c r="S208" i="1"/>
  <c r="R208" i="1"/>
  <c r="AH204" i="1"/>
  <c r="S204" i="1"/>
  <c r="AG204" i="1"/>
  <c r="AG200" i="1"/>
  <c r="S200" i="1"/>
  <c r="AH200" i="1"/>
  <c r="AH196" i="1"/>
  <c r="S196" i="1"/>
  <c r="AG196" i="1"/>
  <c r="AH192" i="1"/>
  <c r="AG192" i="1"/>
  <c r="S192" i="1"/>
  <c r="R192" i="1"/>
  <c r="AG188" i="1"/>
  <c r="AH188" i="1"/>
  <c r="S188" i="1"/>
  <c r="R188" i="1"/>
  <c r="AG184" i="1"/>
  <c r="S184" i="1"/>
  <c r="AH184" i="1"/>
  <c r="R184" i="1"/>
  <c r="AH180" i="1"/>
  <c r="AG180" i="1"/>
  <c r="S180" i="1"/>
  <c r="R180" i="1"/>
  <c r="AH176" i="1"/>
  <c r="R176" i="1"/>
  <c r="S176" i="1"/>
  <c r="AG176" i="1"/>
  <c r="AH172" i="1"/>
  <c r="AG172" i="1"/>
  <c r="S172" i="1"/>
  <c r="R172" i="1"/>
  <c r="AH168" i="1"/>
  <c r="AG168" i="1"/>
  <c r="S168" i="1"/>
  <c r="R168" i="1"/>
  <c r="AH164" i="1"/>
  <c r="S164" i="1"/>
  <c r="AG164" i="1"/>
  <c r="R164" i="1"/>
  <c r="AH160" i="1"/>
  <c r="R160" i="1"/>
  <c r="S160" i="1"/>
  <c r="AG160" i="1"/>
  <c r="AH156" i="1"/>
  <c r="S156" i="1"/>
  <c r="AG156" i="1"/>
  <c r="R156" i="1"/>
  <c r="AH152" i="1"/>
  <c r="S152" i="1"/>
  <c r="AG152" i="1"/>
  <c r="R152" i="1"/>
  <c r="AH148" i="1"/>
  <c r="S148" i="1"/>
  <c r="AG148" i="1"/>
  <c r="R148" i="1"/>
  <c r="AH144" i="1"/>
  <c r="S144" i="1"/>
  <c r="R144" i="1"/>
  <c r="AG144" i="1"/>
  <c r="AH140" i="1"/>
  <c r="S140" i="1"/>
  <c r="AG140" i="1"/>
  <c r="R140" i="1"/>
  <c r="AH136" i="1"/>
  <c r="AG136" i="1"/>
  <c r="S136" i="1"/>
  <c r="R136" i="1"/>
  <c r="AH132" i="1"/>
  <c r="AG132" i="1"/>
  <c r="S132" i="1"/>
  <c r="R132" i="1"/>
  <c r="AH128" i="1"/>
  <c r="S128" i="1"/>
  <c r="AG128" i="1"/>
  <c r="R196" i="1"/>
  <c r="R228" i="1"/>
  <c r="R363" i="1"/>
  <c r="R382" i="1"/>
  <c r="R414" i="1"/>
  <c r="R446" i="1"/>
  <c r="R204" i="1"/>
  <c r="R381" i="1"/>
  <c r="R197" i="1"/>
  <c r="R227" i="1"/>
  <c r="R280" i="1"/>
  <c r="R296" i="1"/>
  <c r="R312" i="1"/>
  <c r="R328" i="1"/>
  <c r="R344" i="1"/>
  <c r="R354" i="1"/>
  <c r="R207" i="1"/>
  <c r="R239" i="1"/>
  <c r="R284" i="1"/>
  <c r="R300" i="1"/>
  <c r="R316" i="1"/>
  <c r="R332" i="1"/>
  <c r="S254" i="14"/>
  <c r="R53" i="1"/>
  <c r="R57" i="1"/>
  <c r="R61" i="1"/>
  <c r="R25" i="1"/>
  <c r="R33" i="1"/>
  <c r="R114" i="1"/>
  <c r="R117" i="1"/>
  <c r="R121" i="1"/>
  <c r="R125" i="1"/>
  <c r="R129" i="1"/>
  <c r="R65" i="1"/>
  <c r="R135" i="1"/>
  <c r="R143" i="1"/>
  <c r="R151" i="1"/>
  <c r="R159" i="1"/>
  <c r="R167" i="1"/>
  <c r="R175" i="1"/>
  <c r="R183" i="1"/>
  <c r="R191" i="1"/>
  <c r="R201" i="1"/>
  <c r="R213" i="1"/>
  <c r="R221" i="1"/>
  <c r="R229" i="1"/>
  <c r="R237" i="1"/>
  <c r="R245" i="1"/>
  <c r="R358" i="1"/>
  <c r="R203" i="1"/>
  <c r="R235" i="1"/>
  <c r="R288" i="1"/>
  <c r="R304" i="1"/>
  <c r="R320" i="1"/>
  <c r="R336" i="1"/>
  <c r="R356" i="1"/>
  <c r="R364" i="1"/>
  <c r="R199" i="1"/>
  <c r="R231" i="1"/>
  <c r="R348" i="1"/>
  <c r="R390" i="1"/>
  <c r="R422" i="1"/>
  <c r="R454" i="1"/>
  <c r="R101" i="1"/>
  <c r="R153" i="1"/>
  <c r="R185" i="1"/>
  <c r="R226" i="1"/>
  <c r="R418" i="1"/>
  <c r="R450" i="1"/>
  <c r="R105" i="1"/>
  <c r="R149" i="1"/>
  <c r="R181" i="1"/>
  <c r="R206" i="1"/>
  <c r="R222" i="1"/>
  <c r="R238" i="1"/>
  <c r="R351" i="1"/>
  <c r="R367" i="1"/>
  <c r="R394" i="1"/>
  <c r="R426" i="1"/>
  <c r="R458" i="1"/>
  <c r="AH124" i="1"/>
  <c r="S124" i="1"/>
  <c r="AG124" i="1"/>
  <c r="AH120" i="1"/>
  <c r="AG120" i="1"/>
  <c r="S120" i="1"/>
  <c r="AH116" i="1"/>
  <c r="AG116" i="1"/>
  <c r="S116" i="1"/>
  <c r="AH112" i="1"/>
  <c r="S112" i="1"/>
  <c r="R112" i="1"/>
  <c r="AG112" i="1"/>
  <c r="AH108" i="1"/>
  <c r="S108" i="1"/>
  <c r="AG108" i="1"/>
  <c r="AH104" i="1"/>
  <c r="AG104" i="1"/>
  <c r="S104" i="1"/>
  <c r="AH100" i="1"/>
  <c r="AG100" i="1"/>
  <c r="S100" i="1"/>
  <c r="AH96" i="1"/>
  <c r="R96" i="1"/>
  <c r="AG96" i="1"/>
  <c r="S96" i="1"/>
  <c r="AH92" i="1"/>
  <c r="AG92" i="1"/>
  <c r="S92" i="1"/>
  <c r="AH88" i="1"/>
  <c r="AG88" i="1"/>
  <c r="S88" i="1"/>
  <c r="AH84" i="1"/>
  <c r="AG84" i="1"/>
  <c r="S84" i="1"/>
  <c r="AH80" i="1"/>
  <c r="R80" i="1"/>
  <c r="S80" i="1"/>
  <c r="AG80" i="1"/>
  <c r="AH76" i="1"/>
  <c r="S76" i="1"/>
  <c r="AG76" i="1"/>
  <c r="AH72" i="1"/>
  <c r="S72" i="1"/>
  <c r="AG72" i="1"/>
  <c r="AH68" i="1"/>
  <c r="R68" i="1"/>
  <c r="AI68" i="1"/>
  <c r="AG68" i="1"/>
  <c r="S68" i="1"/>
  <c r="AW68" i="1" s="1"/>
  <c r="T68" i="1"/>
  <c r="AH64" i="1"/>
  <c r="S64" i="1"/>
  <c r="AG64" i="1"/>
  <c r="AH60" i="1"/>
  <c r="S60" i="1"/>
  <c r="AG60" i="1"/>
  <c r="AH56" i="1"/>
  <c r="S56" i="1"/>
  <c r="AG56" i="1"/>
  <c r="AH52" i="1"/>
  <c r="S52" i="1"/>
  <c r="AG52" i="1"/>
  <c r="AH48" i="1"/>
  <c r="S48" i="1"/>
  <c r="AG48" i="1"/>
  <c r="AH44" i="1"/>
  <c r="S44" i="1"/>
  <c r="AG44" i="1"/>
  <c r="AH40" i="1"/>
  <c r="S40" i="1"/>
  <c r="AG40" i="1"/>
  <c r="AH36" i="1"/>
  <c r="S36" i="1"/>
  <c r="AG36" i="1"/>
  <c r="AH32" i="1"/>
  <c r="S32" i="1"/>
  <c r="AG32" i="1"/>
  <c r="AH28" i="1"/>
  <c r="S28" i="1"/>
  <c r="AG28" i="1"/>
  <c r="AH24" i="1"/>
  <c r="S24" i="1"/>
  <c r="AG24" i="1"/>
  <c r="R51" i="1"/>
  <c r="R55" i="1"/>
  <c r="R59" i="1"/>
  <c r="R63" i="1"/>
  <c r="R29" i="1"/>
  <c r="R37" i="1"/>
  <c r="R64" i="1"/>
  <c r="T104" i="1"/>
  <c r="T164" i="1"/>
  <c r="R131" i="1"/>
  <c r="R139" i="1"/>
  <c r="R147" i="1"/>
  <c r="R155" i="1"/>
  <c r="R163" i="1"/>
  <c r="R171" i="1"/>
  <c r="R179" i="1"/>
  <c r="R187" i="1"/>
  <c r="R194" i="1"/>
  <c r="R349" i="1"/>
  <c r="R209" i="1"/>
  <c r="R217" i="1"/>
  <c r="R225" i="1"/>
  <c r="R233" i="1"/>
  <c r="R241" i="1"/>
  <c r="R350" i="1"/>
  <c r="R366" i="1"/>
  <c r="T391" i="1"/>
  <c r="T407" i="1"/>
  <c r="T415" i="1"/>
  <c r="T455" i="1"/>
  <c r="T463" i="1"/>
  <c r="R219" i="1"/>
  <c r="R352" i="1"/>
  <c r="R360" i="1"/>
  <c r="R368" i="1"/>
  <c r="R116" i="1"/>
  <c r="R120" i="1"/>
  <c r="R124" i="1"/>
  <c r="R128" i="1"/>
  <c r="R215" i="1"/>
  <c r="R247" i="1"/>
  <c r="R292" i="1"/>
  <c r="R308" i="1"/>
  <c r="R324" i="1"/>
  <c r="R340" i="1"/>
  <c r="T480" i="1"/>
  <c r="R292" i="14"/>
  <c r="R210" i="1"/>
  <c r="R242" i="1"/>
  <c r="R370" i="1"/>
  <c r="R195" i="1"/>
  <c r="R398" i="1"/>
  <c r="R462" i="1"/>
  <c r="R36" i="1"/>
  <c r="AG131" i="1"/>
  <c r="AH131" i="1"/>
  <c r="S131" i="1"/>
  <c r="AG127" i="1"/>
  <c r="AH127" i="1"/>
  <c r="S127" i="1"/>
  <c r="AG123" i="1"/>
  <c r="S123" i="1"/>
  <c r="AH123" i="1"/>
  <c r="AG119" i="1"/>
  <c r="S119" i="1"/>
  <c r="AH119" i="1"/>
  <c r="AG115" i="1"/>
  <c r="S115" i="1"/>
  <c r="AH115" i="1"/>
  <c r="AG111" i="1"/>
  <c r="AH111" i="1"/>
  <c r="S111" i="1"/>
  <c r="AG107" i="1"/>
  <c r="AH107" i="1"/>
  <c r="S107" i="1"/>
  <c r="AG103" i="1"/>
  <c r="S103" i="1"/>
  <c r="AH103" i="1"/>
  <c r="AG99" i="1"/>
  <c r="S99" i="1"/>
  <c r="AH99" i="1"/>
  <c r="AG95" i="1"/>
  <c r="S95" i="1"/>
  <c r="AH95" i="1"/>
  <c r="AG91" i="1"/>
  <c r="S91" i="1"/>
  <c r="AH91" i="1"/>
  <c r="AG87" i="1"/>
  <c r="S87" i="1"/>
  <c r="AH87" i="1"/>
  <c r="AG83" i="1"/>
  <c r="S83" i="1"/>
  <c r="AH83" i="1"/>
  <c r="AG79" i="1"/>
  <c r="AH79" i="1"/>
  <c r="S79" i="1"/>
  <c r="AG75" i="1"/>
  <c r="AH75" i="1"/>
  <c r="S75" i="1"/>
  <c r="AG71" i="1"/>
  <c r="S71" i="1"/>
  <c r="AH71" i="1"/>
  <c r="AG67" i="1"/>
  <c r="S67" i="1"/>
  <c r="AH67" i="1"/>
  <c r="AG63" i="1"/>
  <c r="AH63" i="1"/>
  <c r="S63" i="1"/>
  <c r="AG59" i="1"/>
  <c r="AH59" i="1"/>
  <c r="S59" i="1"/>
  <c r="AG55" i="1"/>
  <c r="S55" i="1"/>
  <c r="AH55" i="1"/>
  <c r="AG51" i="1"/>
  <c r="S51" i="1"/>
  <c r="AH51" i="1"/>
  <c r="AG47" i="1"/>
  <c r="AH47" i="1"/>
  <c r="S47" i="1"/>
  <c r="AG43" i="1"/>
  <c r="AH43" i="1"/>
  <c r="S43" i="1"/>
  <c r="AG39" i="1"/>
  <c r="S39" i="1"/>
  <c r="AH39" i="1"/>
  <c r="AG35" i="1"/>
  <c r="S35" i="1"/>
  <c r="AH35" i="1"/>
  <c r="AG31" i="1"/>
  <c r="AH31" i="1"/>
  <c r="S31" i="1"/>
  <c r="AG27" i="1"/>
  <c r="AH27" i="1"/>
  <c r="S27" i="1"/>
  <c r="AG23" i="1"/>
  <c r="S23" i="1"/>
  <c r="AH23" i="1"/>
  <c r="R26" i="1"/>
  <c r="R34" i="1"/>
  <c r="R39" i="1"/>
  <c r="R41" i="1"/>
  <c r="R43" i="1"/>
  <c r="R45" i="1"/>
  <c r="R47" i="1"/>
  <c r="R49" i="1"/>
  <c r="T53" i="1"/>
  <c r="R22" i="1"/>
  <c r="R28" i="1"/>
  <c r="R70" i="1"/>
  <c r="R98" i="1"/>
  <c r="R106" i="1"/>
  <c r="R103" i="1"/>
  <c r="R111" i="1"/>
  <c r="R118" i="1"/>
  <c r="R122" i="1"/>
  <c r="R126" i="1"/>
  <c r="R134" i="1"/>
  <c r="R142" i="1"/>
  <c r="R150" i="1"/>
  <c r="R158" i="1"/>
  <c r="R166" i="1"/>
  <c r="R174" i="1"/>
  <c r="R182" i="1"/>
  <c r="R190" i="1"/>
  <c r="R205" i="1"/>
  <c r="T260" i="1"/>
  <c r="R211" i="1"/>
  <c r="R243" i="1"/>
  <c r="R362" i="1"/>
  <c r="R223" i="1"/>
  <c r="T481" i="1"/>
  <c r="S16" i="13"/>
  <c r="T461" i="14"/>
  <c r="T495" i="14"/>
  <c r="S468" i="14"/>
  <c r="R419" i="14"/>
  <c r="R403" i="14"/>
  <c r="R277" i="14"/>
  <c r="R289" i="14"/>
  <c r="S242" i="14"/>
  <c r="S92" i="14"/>
  <c r="S76" i="14"/>
  <c r="S44" i="14"/>
  <c r="S333" i="14"/>
  <c r="T147" i="14"/>
  <c r="S421" i="14"/>
  <c r="T311" i="14"/>
  <c r="R311" i="14"/>
  <c r="R187" i="14"/>
  <c r="S316" i="14"/>
  <c r="S485" i="14"/>
  <c r="R387" i="14"/>
  <c r="S473" i="14"/>
  <c r="S441" i="14"/>
  <c r="S340" i="14"/>
  <c r="S239" i="14"/>
  <c r="S153" i="14"/>
  <c r="R66" i="14"/>
  <c r="S318" i="14"/>
  <c r="R374" i="1"/>
  <c r="R406" i="1"/>
  <c r="R438" i="1"/>
  <c r="R470" i="1"/>
  <c r="R137" i="1"/>
  <c r="R169" i="1"/>
  <c r="R212" i="1"/>
  <c r="R244" i="1"/>
  <c r="R402" i="1"/>
  <c r="R434" i="1"/>
  <c r="R466" i="1"/>
  <c r="R133" i="1"/>
  <c r="R165" i="1"/>
  <c r="R200" i="1"/>
  <c r="R216" i="1"/>
  <c r="R232" i="1"/>
  <c r="R248" i="1"/>
  <c r="R359" i="1"/>
  <c r="R378" i="1"/>
  <c r="R410" i="1"/>
  <c r="R442" i="1"/>
  <c r="R83" i="1"/>
  <c r="R87" i="1"/>
  <c r="R91" i="1"/>
  <c r="R95" i="1"/>
  <c r="R31" i="1"/>
  <c r="R56" i="1"/>
  <c r="R100" i="1"/>
  <c r="Q196" i="1"/>
  <c r="T196" i="1" s="1"/>
  <c r="Q206" i="1"/>
  <c r="T206" i="1" s="1"/>
  <c r="Q222" i="1"/>
  <c r="T222" i="1" s="1"/>
  <c r="Q238" i="1"/>
  <c r="T238" i="1" s="1"/>
  <c r="Q351" i="1"/>
  <c r="T351" i="1" s="1"/>
  <c r="Q367" i="1"/>
  <c r="T367" i="1" s="1"/>
  <c r="Q382" i="1"/>
  <c r="T382" i="1" s="1"/>
  <c r="Q414" i="1"/>
  <c r="T414" i="1" s="1"/>
  <c r="Q454" i="1"/>
  <c r="T454" i="1" s="1"/>
  <c r="Q228" i="1"/>
  <c r="T228" i="1" s="1"/>
  <c r="Q363" i="1"/>
  <c r="T363" i="1" s="1"/>
  <c r="R237" i="14"/>
  <c r="S369" i="14"/>
  <c r="S337" i="14"/>
  <c r="R315" i="14"/>
  <c r="T263" i="14"/>
  <c r="R269" i="14"/>
  <c r="S8" i="13"/>
  <c r="S514" i="14"/>
  <c r="T500" i="14"/>
  <c r="R261" i="14"/>
  <c r="R383" i="14"/>
  <c r="S194" i="14"/>
  <c r="S203" i="14"/>
  <c r="S453" i="14"/>
  <c r="S205" i="14"/>
  <c r="S221" i="14"/>
  <c r="S27" i="14"/>
  <c r="R447" i="14"/>
  <c r="S401" i="14"/>
  <c r="R225" i="14"/>
  <c r="S159" i="14"/>
  <c r="S127" i="14"/>
  <c r="T163" i="14"/>
  <c r="S82" i="14"/>
  <c r="S91" i="14"/>
  <c r="S137" i="14"/>
  <c r="T505" i="14"/>
  <c r="S393" i="14"/>
  <c r="R333" i="14"/>
  <c r="S240" i="14"/>
  <c r="R215" i="14"/>
  <c r="S105" i="14"/>
  <c r="S81" i="14"/>
  <c r="S33" i="14"/>
  <c r="T187" i="14"/>
  <c r="S54" i="14"/>
  <c r="S209" i="14"/>
  <c r="S501" i="14"/>
  <c r="S193" i="14"/>
  <c r="S497" i="14"/>
  <c r="S157" i="14"/>
  <c r="O16" i="13"/>
  <c r="R16" i="13" s="1"/>
  <c r="S11" i="13"/>
  <c r="S460" i="14"/>
  <c r="S323" i="14"/>
  <c r="S259" i="14"/>
  <c r="S472" i="14"/>
  <c r="R209" i="14"/>
  <c r="S499" i="14"/>
  <c r="R249" i="14"/>
  <c r="R147" i="14"/>
  <c r="S204" i="14"/>
  <c r="S332" i="14"/>
  <c r="S348" i="14"/>
  <c r="T498" i="14"/>
  <c r="S482" i="14"/>
  <c r="R469" i="14"/>
  <c r="T466" i="14"/>
  <c r="R458" i="14"/>
  <c r="S450" i="14"/>
  <c r="T445" i="14"/>
  <c r="T434" i="14"/>
  <c r="T414" i="14"/>
  <c r="T481" i="14"/>
  <c r="R473" i="14"/>
  <c r="T470" i="14"/>
  <c r="R462" i="14"/>
  <c r="T449" i="14"/>
  <c r="R430" i="14"/>
  <c r="T511" i="14"/>
  <c r="R492" i="14"/>
  <c r="S431" i="14"/>
  <c r="R503" i="14"/>
  <c r="S452" i="14"/>
  <c r="T436" i="14"/>
  <c r="R417" i="14"/>
  <c r="T372" i="14"/>
  <c r="T356" i="14"/>
  <c r="T340" i="14"/>
  <c r="T324" i="14"/>
  <c r="T308" i="14"/>
  <c r="T276" i="14"/>
  <c r="T260" i="14"/>
  <c r="T385" i="14"/>
  <c r="R357" i="14"/>
  <c r="T353" i="14"/>
  <c r="R293" i="14"/>
  <c r="T289" i="14"/>
  <c r="R275" i="14"/>
  <c r="T243" i="14"/>
  <c r="T235" i="14"/>
  <c r="T227" i="14"/>
  <c r="S507" i="14"/>
  <c r="R367" i="14"/>
  <c r="R287" i="14"/>
  <c r="S226" i="14"/>
  <c r="S451" i="14"/>
  <c r="R359" i="14"/>
  <c r="R281" i="14"/>
  <c r="S164" i="14"/>
  <c r="S206" i="14"/>
  <c r="R179" i="14"/>
  <c r="S290" i="14"/>
  <c r="S252" i="14"/>
  <c r="S58" i="14"/>
  <c r="R70" i="14"/>
  <c r="S408" i="14"/>
  <c r="T373" i="14"/>
  <c r="S124" i="14"/>
  <c r="S87" i="14"/>
  <c r="R450" i="14"/>
  <c r="R433" i="14"/>
  <c r="T430" i="14"/>
  <c r="T492" i="14"/>
  <c r="R431" i="14"/>
  <c r="T384" i="14"/>
  <c r="T287" i="14"/>
  <c r="R231" i="14"/>
  <c r="S488" i="14"/>
  <c r="T178" i="14"/>
  <c r="R184" i="14"/>
  <c r="R166" i="14"/>
  <c r="S335" i="14"/>
  <c r="S283" i="14"/>
  <c r="R10" i="13"/>
  <c r="S479" i="14"/>
  <c r="S379" i="14"/>
  <c r="S180" i="14"/>
  <c r="R175" i="14"/>
  <c r="R143" i="14"/>
  <c r="R512" i="14"/>
  <c r="R155" i="14"/>
  <c r="S111" i="14"/>
  <c r="S79" i="14"/>
  <c r="Q15" i="14"/>
  <c r="R354" i="14"/>
  <c r="P15" i="14"/>
  <c r="S387" i="14"/>
  <c r="S55" i="14"/>
  <c r="S31" i="14"/>
  <c r="S383" i="14"/>
  <c r="S65" i="14"/>
  <c r="S83" i="14"/>
  <c r="S10" i="13"/>
  <c r="R470" i="14"/>
  <c r="S503" i="14"/>
  <c r="S471" i="14"/>
  <c r="S439" i="14"/>
  <c r="S175" i="14"/>
  <c r="S143" i="14"/>
  <c r="S163" i="14"/>
  <c r="S131" i="14"/>
  <c r="S435" i="14"/>
  <c r="S429" i="14"/>
  <c r="T512" i="14"/>
  <c r="S480" i="14"/>
  <c r="S399" i="14"/>
  <c r="T416" i="14"/>
  <c r="S276" i="14"/>
  <c r="S443" i="14"/>
  <c r="R440" i="14"/>
  <c r="R351" i="14"/>
  <c r="R335" i="14"/>
  <c r="R255" i="14"/>
  <c r="R242" i="14"/>
  <c r="T221" i="14"/>
  <c r="T205" i="14"/>
  <c r="T189" i="14"/>
  <c r="S178" i="14"/>
  <c r="T173" i="14"/>
  <c r="S162" i="14"/>
  <c r="R154" i="14"/>
  <c r="R138" i="14"/>
  <c r="S130" i="14"/>
  <c r="R128" i="14"/>
  <c r="S100" i="14"/>
  <c r="S68" i="14"/>
  <c r="S315" i="14"/>
  <c r="R283" i="14"/>
  <c r="T230" i="14"/>
  <c r="R217" i="14"/>
  <c r="R185" i="14"/>
  <c r="S171" i="14"/>
  <c r="R121" i="14"/>
  <c r="R81" i="14"/>
  <c r="R53" i="14"/>
  <c r="R435" i="14"/>
  <c r="T391" i="14"/>
  <c r="T333" i="14"/>
  <c r="S327" i="14"/>
  <c r="S269" i="14"/>
  <c r="T216" i="14"/>
  <c r="R208" i="14"/>
  <c r="S192" i="14"/>
  <c r="T184" i="14"/>
  <c r="T139" i="14"/>
  <c r="R244" i="14"/>
  <c r="R223" i="14"/>
  <c r="R180" i="14"/>
  <c r="R159" i="14"/>
  <c r="T151" i="14"/>
  <c r="S132" i="14"/>
  <c r="S123" i="14"/>
  <c r="R116" i="14"/>
  <c r="R100" i="14"/>
  <c r="R92" i="14"/>
  <c r="R68" i="14"/>
  <c r="R60" i="14"/>
  <c r="R52" i="14"/>
  <c r="R36" i="14"/>
  <c r="R429" i="14"/>
  <c r="T238" i="14"/>
  <c r="R190" i="14"/>
  <c r="T166" i="14"/>
  <c r="T134" i="14"/>
  <c r="R41" i="14"/>
  <c r="S496" i="14"/>
  <c r="T464" i="14"/>
  <c r="S432" i="14"/>
  <c r="R399" i="14"/>
  <c r="R375" i="14"/>
  <c r="T349" i="14"/>
  <c r="S285" i="14"/>
  <c r="R232" i="14"/>
  <c r="R211" i="14"/>
  <c r="R195" i="14"/>
  <c r="R163" i="14"/>
  <c r="R136" i="14"/>
  <c r="S364" i="14"/>
  <c r="S330" i="14"/>
  <c r="S346" i="14"/>
  <c r="S78" i="14"/>
  <c r="R350" i="14"/>
  <c r="R86" i="14"/>
  <c r="T262" i="14"/>
  <c r="S424" i="14"/>
  <c r="R43" i="14"/>
  <c r="T266" i="14"/>
  <c r="R246" i="14"/>
  <c r="S103" i="14"/>
  <c r="P9" i="14"/>
  <c r="S59" i="14"/>
  <c r="R490" i="14"/>
  <c r="T477" i="14"/>
  <c r="R437" i="14"/>
  <c r="T502" i="14"/>
  <c r="S454" i="14"/>
  <c r="R460" i="14"/>
  <c r="R504" i="14"/>
  <c r="R218" i="14"/>
  <c r="R170" i="14"/>
  <c r="R124" i="14"/>
  <c r="R413" i="14"/>
  <c r="T193" i="14"/>
  <c r="R153" i="14"/>
  <c r="R499" i="14"/>
  <c r="R423" i="14"/>
  <c r="R301" i="14"/>
  <c r="T152" i="14"/>
  <c r="R212" i="14"/>
  <c r="T172" i="14"/>
  <c r="R158" i="14"/>
  <c r="S415" i="14"/>
  <c r="R317" i="14"/>
  <c r="S306" i="14"/>
  <c r="T339" i="14"/>
  <c r="T309" i="14"/>
  <c r="R107" i="14"/>
  <c r="R59" i="14"/>
  <c r="R358" i="14"/>
  <c r="R312" i="14"/>
  <c r="S506" i="14"/>
  <c r="T490" i="14"/>
  <c r="R482" i="14"/>
  <c r="R461" i="14"/>
  <c r="S486" i="14"/>
  <c r="T447" i="14"/>
  <c r="R401" i="14"/>
  <c r="R325" i="14"/>
  <c r="T141" i="14"/>
  <c r="T251" i="14"/>
  <c r="T161" i="14"/>
  <c r="S139" i="14"/>
  <c r="T140" i="14"/>
  <c r="R28" i="14"/>
  <c r="R299" i="14"/>
  <c r="T123" i="14"/>
  <c r="T275" i="14"/>
  <c r="S26" i="14"/>
  <c r="R286" i="14"/>
  <c r="R91" i="14"/>
  <c r="R27" i="14"/>
  <c r="R394" i="14"/>
  <c r="T330" i="14"/>
  <c r="M10" i="14"/>
  <c r="T437" i="14"/>
  <c r="T410" i="14"/>
  <c r="T394" i="14"/>
  <c r="S510" i="14"/>
  <c r="R486" i="14"/>
  <c r="R454" i="14"/>
  <c r="S446" i="14"/>
  <c r="T441" i="14"/>
  <c r="T503" i="14"/>
  <c r="R484" i="14"/>
  <c r="T471" i="14"/>
  <c r="S455" i="14"/>
  <c r="R452" i="14"/>
  <c r="S403" i="14"/>
  <c r="T368" i="14"/>
  <c r="T352" i="14"/>
  <c r="T336" i="14"/>
  <c r="T304" i="14"/>
  <c r="T288" i="14"/>
  <c r="T272" i="14"/>
  <c r="S371" i="14"/>
  <c r="T351" i="14"/>
  <c r="S339" i="14"/>
  <c r="S307" i="14"/>
  <c r="S293" i="14"/>
  <c r="T255" i="14"/>
  <c r="T504" i="14"/>
  <c r="T472" i="14"/>
  <c r="R443" i="14"/>
  <c r="T440" i="14"/>
  <c r="S367" i="14"/>
  <c r="S287" i="14"/>
  <c r="R221" i="14"/>
  <c r="T210" i="14"/>
  <c r="R205" i="14"/>
  <c r="S199" i="14"/>
  <c r="R189" i="14"/>
  <c r="S183" i="14"/>
  <c r="T162" i="14"/>
  <c r="S135" i="14"/>
  <c r="S112" i="14"/>
  <c r="S80" i="14"/>
  <c r="T347" i="14"/>
  <c r="T327" i="14"/>
  <c r="T297" i="14"/>
  <c r="R251" i="14"/>
  <c r="R230" i="14"/>
  <c r="S179" i="14"/>
  <c r="S147" i="14"/>
  <c r="R129" i="14"/>
  <c r="R77" i="14"/>
  <c r="R45" i="14"/>
  <c r="T365" i="14"/>
  <c r="S359" i="14"/>
  <c r="S281" i="14"/>
  <c r="T224" i="14"/>
  <c r="S168" i="14"/>
  <c r="T228" i="14"/>
  <c r="S188" i="14"/>
  <c r="T164" i="14"/>
  <c r="R151" i="14"/>
  <c r="T143" i="14"/>
  <c r="S97" i="14"/>
  <c r="S57" i="14"/>
  <c r="S41" i="14"/>
  <c r="R15" i="14"/>
  <c r="R389" i="14"/>
  <c r="S363" i="14"/>
  <c r="S299" i="14"/>
  <c r="R29" i="14"/>
  <c r="S512" i="14"/>
  <c r="R415" i="14"/>
  <c r="T381" i="14"/>
  <c r="S375" i="14"/>
  <c r="S297" i="14"/>
  <c r="R279" i="14"/>
  <c r="T219" i="14"/>
  <c r="T203" i="14"/>
  <c r="T171" i="14"/>
  <c r="T155" i="14"/>
  <c r="R144" i="14"/>
  <c r="S115" i="14"/>
  <c r="S67" i="14"/>
  <c r="S511" i="14"/>
  <c r="T452" i="14"/>
  <c r="T165" i="14"/>
  <c r="T149" i="14"/>
  <c r="S251" i="14"/>
  <c r="R171" i="14"/>
  <c r="S270" i="14"/>
  <c r="S63" i="14"/>
  <c r="S47" i="14"/>
  <c r="S39" i="14"/>
  <c r="S9" i="13"/>
  <c r="T231" i="14"/>
  <c r="S210" i="14"/>
  <c r="T329" i="14"/>
  <c r="S249" i="14"/>
  <c r="R495" i="14"/>
  <c r="S357" i="14"/>
  <c r="T194" i="14"/>
  <c r="S151" i="14"/>
  <c r="T146" i="14"/>
  <c r="T126" i="14"/>
  <c r="S211" i="14"/>
  <c r="S49" i="14"/>
  <c r="R93" i="14"/>
  <c r="S268" i="14"/>
  <c r="S284" i="14"/>
  <c r="S74" i="14"/>
  <c r="T422" i="14"/>
  <c r="R476" i="14"/>
  <c r="S500" i="14"/>
  <c r="R487" i="14"/>
  <c r="R455" i="14"/>
  <c r="S436" i="14"/>
  <c r="T337" i="14"/>
  <c r="R245" i="14"/>
  <c r="S491" i="14"/>
  <c r="T475" i="14"/>
  <c r="R321" i="14"/>
  <c r="R305" i="14"/>
  <c r="R273" i="14"/>
  <c r="T181" i="14"/>
  <c r="S108" i="14"/>
  <c r="R347" i="14"/>
  <c r="S187" i="14"/>
  <c r="S244" i="14"/>
  <c r="T279" i="14"/>
  <c r="S222" i="14"/>
  <c r="R57" i="14"/>
  <c r="S464" i="14"/>
  <c r="S349" i="14"/>
  <c r="R253" i="14"/>
  <c r="S300" i="14"/>
  <c r="S266" i="14"/>
  <c r="S416" i="14"/>
  <c r="T357" i="14"/>
  <c r="T387" i="14"/>
  <c r="S243" i="14"/>
  <c r="T370" i="14"/>
  <c r="S213" i="14"/>
  <c r="S366" i="14"/>
  <c r="R300" i="14"/>
  <c r="S241" i="14"/>
  <c r="T110" i="14"/>
  <c r="R386" i="14"/>
  <c r="M11" i="14"/>
  <c r="T129" i="14"/>
  <c r="T215" i="14"/>
  <c r="T183" i="14"/>
  <c r="R294" i="14"/>
  <c r="R465" i="14"/>
  <c r="T439" i="14"/>
  <c r="S271" i="14"/>
  <c r="R157" i="14"/>
  <c r="R379" i="14"/>
  <c r="R161" i="14"/>
  <c r="T192" i="14"/>
  <c r="S156" i="14"/>
  <c r="S113" i="14"/>
  <c r="S25" i="14"/>
  <c r="R198" i="14"/>
  <c r="R134" i="14"/>
  <c r="R349" i="14"/>
  <c r="S217" i="14"/>
  <c r="S372" i="14"/>
  <c r="T453" i="14"/>
  <c r="S462" i="14"/>
  <c r="S427" i="14"/>
  <c r="T367" i="14"/>
  <c r="T303" i="14"/>
  <c r="S291" i="14"/>
  <c r="R241" i="14"/>
  <c r="R233" i="14"/>
  <c r="S440" i="14"/>
  <c r="S88" i="14"/>
  <c r="S347" i="14"/>
  <c r="R177" i="14"/>
  <c r="S216" i="14"/>
  <c r="R167" i="14"/>
  <c r="S140" i="14"/>
  <c r="S29" i="14"/>
  <c r="R285" i="14"/>
  <c r="T179" i="14"/>
  <c r="S314" i="14"/>
  <c r="S114" i="14"/>
  <c r="S30" i="14"/>
  <c r="T428" i="14"/>
  <c r="R408" i="14"/>
  <c r="R384" i="14"/>
  <c r="R352" i="14"/>
  <c r="R320" i="14"/>
  <c r="R288" i="14"/>
  <c r="R256" i="14"/>
  <c r="S145" i="14"/>
  <c r="S107" i="14"/>
  <c r="S75" i="14"/>
  <c r="T58" i="14"/>
  <c r="R416" i="14"/>
  <c r="T342" i="14"/>
  <c r="T278" i="14"/>
  <c r="P10" i="14"/>
  <c r="R111" i="14"/>
  <c r="R95" i="14"/>
  <c r="R79" i="14"/>
  <c r="R63" i="14"/>
  <c r="R47" i="14"/>
  <c r="R31" i="14"/>
  <c r="R428" i="14"/>
  <c r="S404" i="14"/>
  <c r="R396" i="14"/>
  <c r="T378" i="14"/>
  <c r="R360" i="14"/>
  <c r="R342" i="14"/>
  <c r="T314" i="14"/>
  <c r="R296" i="14"/>
  <c r="R278" i="14"/>
  <c r="R248" i="14"/>
  <c r="S129" i="14"/>
  <c r="R106" i="14"/>
  <c r="R90" i="14"/>
  <c r="R74" i="14"/>
  <c r="T40" i="14"/>
  <c r="P13" i="14"/>
  <c r="S227" i="14"/>
  <c r="S433" i="14"/>
  <c r="S125" i="14"/>
  <c r="R308" i="14"/>
  <c r="R250" i="14"/>
  <c r="S477" i="14"/>
  <c r="R380" i="14"/>
  <c r="R338" i="14"/>
  <c r="S237" i="14"/>
  <c r="T63" i="14"/>
  <c r="T47" i="14"/>
  <c r="S334" i="14"/>
  <c r="T66" i="14"/>
  <c r="M8" i="14"/>
  <c r="R441" i="14"/>
  <c r="T468" i="14"/>
  <c r="T292" i="14"/>
  <c r="R371" i="14"/>
  <c r="T239" i="14"/>
  <c r="T491" i="14"/>
  <c r="R186" i="14"/>
  <c r="T157" i="14"/>
  <c r="S146" i="14"/>
  <c r="S52" i="14"/>
  <c r="S20" i="14"/>
  <c r="S224" i="14"/>
  <c r="S160" i="14"/>
  <c r="T204" i="14"/>
  <c r="R108" i="14"/>
  <c r="R44" i="14"/>
  <c r="S174" i="14"/>
  <c r="R101" i="14"/>
  <c r="R480" i="14"/>
  <c r="S265" i="14"/>
  <c r="O13" i="13"/>
  <c r="R13" i="13" s="1"/>
  <c r="F13" i="14"/>
  <c r="O12" i="13"/>
  <c r="R12" i="13" s="1"/>
  <c r="F12" i="14"/>
  <c r="T501" i="14"/>
  <c r="R493" i="14"/>
  <c r="S474" i="14"/>
  <c r="T469" i="14"/>
  <c r="S442" i="14"/>
  <c r="T426" i="14"/>
  <c r="T494" i="14"/>
  <c r="S478" i="14"/>
  <c r="S508" i="14"/>
  <c r="T460" i="14"/>
  <c r="S444" i="14"/>
  <c r="S487" i="14"/>
  <c r="T320" i="14"/>
  <c r="T256" i="14"/>
  <c r="S325" i="14"/>
  <c r="S261" i="14"/>
  <c r="R235" i="14"/>
  <c r="R227" i="14"/>
  <c r="S456" i="14"/>
  <c r="S351" i="14"/>
  <c r="S319" i="14"/>
  <c r="S303" i="14"/>
  <c r="S255" i="14"/>
  <c r="T226" i="14"/>
  <c r="R173" i="14"/>
  <c r="S167" i="14"/>
  <c r="R141" i="14"/>
  <c r="T130" i="14"/>
  <c r="T122" i="14"/>
  <c r="S96" i="14"/>
  <c r="S64" i="14"/>
  <c r="S48" i="14"/>
  <c r="S32" i="14"/>
  <c r="T397" i="14"/>
  <c r="T201" i="14"/>
  <c r="R193" i="14"/>
  <c r="R113" i="14"/>
  <c r="T499" i="14"/>
  <c r="R451" i="14"/>
  <c r="T435" i="14"/>
  <c r="S391" i="14"/>
  <c r="S301" i="14"/>
  <c r="R216" i="14"/>
  <c r="R152" i="14"/>
  <c r="T207" i="14"/>
  <c r="R204" i="14"/>
  <c r="T196" i="14"/>
  <c r="S14" i="13"/>
  <c r="S98" i="14"/>
  <c r="T24" i="14"/>
  <c r="O8" i="13"/>
  <c r="R8" i="13" s="1"/>
  <c r="F8" i="14"/>
  <c r="T398" i="14"/>
  <c r="R505" i="14"/>
  <c r="T438" i="14"/>
  <c r="S463" i="14"/>
  <c r="T321" i="14"/>
  <c r="T257" i="14"/>
  <c r="R202" i="14"/>
  <c r="T359" i="14"/>
  <c r="R25" i="14"/>
  <c r="S377" i="14"/>
  <c r="R176" i="14"/>
  <c r="R148" i="14"/>
  <c r="R84" i="14"/>
  <c r="R76" i="14"/>
  <c r="R20" i="14"/>
  <c r="R331" i="14"/>
  <c r="R222" i="14"/>
  <c r="R73" i="14"/>
  <c r="Q10" i="13"/>
  <c r="Q10" i="14" s="1"/>
  <c r="H10" i="14"/>
  <c r="T392" i="14"/>
  <c r="T108" i="14"/>
  <c r="T92" i="14"/>
  <c r="T76" i="14"/>
  <c r="T322" i="14"/>
  <c r="R276" i="14"/>
  <c r="T78" i="14"/>
  <c r="S23" i="14"/>
  <c r="T334" i="14"/>
  <c r="T175" i="14"/>
  <c r="R140" i="14"/>
  <c r="T142" i="14"/>
  <c r="R123" i="14"/>
  <c r="R432" i="14"/>
  <c r="S317" i="14"/>
  <c r="S247" i="14"/>
  <c r="S378" i="14"/>
  <c r="T307" i="14"/>
  <c r="T396" i="14"/>
  <c r="R318" i="14"/>
  <c r="R254" i="14"/>
  <c r="R102" i="14"/>
  <c r="T36" i="14"/>
  <c r="T404" i="14"/>
  <c r="T326" i="14"/>
  <c r="T341" i="14"/>
  <c r="T277" i="14"/>
  <c r="R75" i="14"/>
  <c r="R424" i="14"/>
  <c r="S119" i="14"/>
  <c r="T54" i="14"/>
  <c r="T388" i="14"/>
  <c r="R330" i="14"/>
  <c r="T88" i="14"/>
  <c r="R290" i="14"/>
  <c r="T106" i="14"/>
  <c r="P12" i="13"/>
  <c r="P12" i="14" s="1"/>
  <c r="T514" i="14"/>
  <c r="R506" i="14"/>
  <c r="S498" i="14"/>
  <c r="T493" i="14"/>
  <c r="R485" i="14"/>
  <c r="T482" i="14"/>
  <c r="R474" i="14"/>
  <c r="S466" i="14"/>
  <c r="R453" i="14"/>
  <c r="T450" i="14"/>
  <c r="R442" i="14"/>
  <c r="S434" i="14"/>
  <c r="T406" i="14"/>
  <c r="T390" i="14"/>
  <c r="R510" i="14"/>
  <c r="S502" i="14"/>
  <c r="R489" i="14"/>
  <c r="T486" i="14"/>
  <c r="R478" i="14"/>
  <c r="S470" i="14"/>
  <c r="T465" i="14"/>
  <c r="R457" i="14"/>
  <c r="R446" i="14"/>
  <c r="S438" i="14"/>
  <c r="T433" i="14"/>
  <c r="T463" i="14"/>
  <c r="S447" i="14"/>
  <c r="R444" i="14"/>
  <c r="T431" i="14"/>
  <c r="R425" i="14"/>
  <c r="R409" i="14"/>
  <c r="R393" i="14"/>
  <c r="T484" i="14"/>
  <c r="T380" i="14"/>
  <c r="T364" i="14"/>
  <c r="T348" i="14"/>
  <c r="T332" i="14"/>
  <c r="T316" i="14"/>
  <c r="T300" i="14"/>
  <c r="T284" i="14"/>
  <c r="T268" i="14"/>
  <c r="T252" i="14"/>
  <c r="R373" i="14"/>
  <c r="R355" i="14"/>
  <c r="R341" i="14"/>
  <c r="R309" i="14"/>
  <c r="T305" i="14"/>
  <c r="T273" i="14"/>
  <c r="T241" i="14"/>
  <c r="T237" i="14"/>
  <c r="T233" i="14"/>
  <c r="T229" i="14"/>
  <c r="T225" i="14"/>
  <c r="T507" i="14"/>
  <c r="R488" i="14"/>
  <c r="S459" i="14"/>
  <c r="R385" i="14"/>
  <c r="R369" i="14"/>
  <c r="R353" i="14"/>
  <c r="R337" i="14"/>
  <c r="R257" i="14"/>
  <c r="T234" i="14"/>
  <c r="R226" i="14"/>
  <c r="S218" i="14"/>
  <c r="T213" i="14"/>
  <c r="R210" i="14"/>
  <c r="S202" i="14"/>
  <c r="T197" i="14"/>
  <c r="R194" i="14"/>
  <c r="S186" i="14"/>
  <c r="R178" i="14"/>
  <c r="S170" i="14"/>
  <c r="R162" i="14"/>
  <c r="S154" i="14"/>
  <c r="R146" i="14"/>
  <c r="S138" i="14"/>
  <c r="T133" i="14"/>
  <c r="R130" i="14"/>
  <c r="R126" i="14"/>
  <c r="R122" i="14"/>
  <c r="S60" i="14"/>
  <c r="S28" i="14"/>
  <c r="T413" i="14"/>
  <c r="S397" i="14"/>
  <c r="T315" i="14"/>
  <c r="T295" i="14"/>
  <c r="T265" i="14"/>
  <c r="S219" i="14"/>
  <c r="T209" i="14"/>
  <c r="R201" i="14"/>
  <c r="T177" i="14"/>
  <c r="R169" i="14"/>
  <c r="S155" i="14"/>
  <c r="T145" i="14"/>
  <c r="R137" i="14"/>
  <c r="T125" i="14"/>
  <c r="R105" i="14"/>
  <c r="R69" i="14"/>
  <c r="R37" i="14"/>
  <c r="S483" i="14"/>
  <c r="R467" i="14"/>
  <c r="T451" i="14"/>
  <c r="S407" i="14"/>
  <c r="R391" i="14"/>
  <c r="R365" i="14"/>
  <c r="R345" i="14"/>
  <c r="S313" i="14"/>
  <c r="T269" i="14"/>
  <c r="S263" i="14"/>
  <c r="T240" i="14"/>
  <c r="R224" i="14"/>
  <c r="S208" i="14"/>
  <c r="T200" i="14"/>
  <c r="R192" i="14"/>
  <c r="S176" i="14"/>
  <c r="R160" i="14"/>
  <c r="T236" i="14"/>
  <c r="R228" i="14"/>
  <c r="T220" i="14"/>
  <c r="S212" i="14"/>
  <c r="R207" i="14"/>
  <c r="T199" i="14"/>
  <c r="R196" i="14"/>
  <c r="T188" i="14"/>
  <c r="T167" i="14"/>
  <c r="R164" i="14"/>
  <c r="T156" i="14"/>
  <c r="T135" i="14"/>
  <c r="R132" i="14"/>
  <c r="R120" i="14"/>
  <c r="R112" i="14"/>
  <c r="R104" i="14"/>
  <c r="R96" i="14"/>
  <c r="R88" i="14"/>
  <c r="R80" i="14"/>
  <c r="R72" i="14"/>
  <c r="R64" i="14"/>
  <c r="R56" i="14"/>
  <c r="R48" i="14"/>
  <c r="R40" i="14"/>
  <c r="R32" i="14"/>
  <c r="R24" i="14"/>
  <c r="R405" i="14"/>
  <c r="T375" i="14"/>
  <c r="T343" i="14"/>
  <c r="T247" i="14"/>
  <c r="T214" i="14"/>
  <c r="R206" i="14"/>
  <c r="S190" i="14"/>
  <c r="T182" i="14"/>
  <c r="R174" i="14"/>
  <c r="S158" i="14"/>
  <c r="T150" i="14"/>
  <c r="R142" i="14"/>
  <c r="T127" i="14"/>
  <c r="R117" i="14"/>
  <c r="R89" i="14"/>
  <c r="R21" i="14"/>
  <c r="T496" i="14"/>
  <c r="R448" i="14"/>
  <c r="T432" i="14"/>
  <c r="T399" i="14"/>
  <c r="R381" i="14"/>
  <c r="R361" i="14"/>
  <c r="S329" i="14"/>
  <c r="T285" i="14"/>
  <c r="S279" i="14"/>
  <c r="R219" i="14"/>
  <c r="R203" i="14"/>
  <c r="S136" i="14"/>
  <c r="R131" i="14"/>
  <c r="Q8" i="14"/>
  <c r="S354" i="14"/>
  <c r="S370" i="14"/>
  <c r="S282" i="14"/>
  <c r="G12" i="14"/>
  <c r="S106" i="14"/>
  <c r="S90" i="14"/>
  <c r="S22" i="14"/>
  <c r="S420" i="14"/>
  <c r="R412" i="14"/>
  <c r="S390" i="14"/>
  <c r="R368" i="14"/>
  <c r="R336" i="14"/>
  <c r="R304" i="14"/>
  <c r="R272" i="14"/>
  <c r="T50" i="14"/>
  <c r="T374" i="14"/>
  <c r="T310" i="14"/>
  <c r="T246" i="14"/>
  <c r="R119" i="14"/>
  <c r="R103" i="14"/>
  <c r="R87" i="14"/>
  <c r="R71" i="14"/>
  <c r="R55" i="14"/>
  <c r="R39" i="14"/>
  <c r="R23" i="14"/>
  <c r="T412" i="14"/>
  <c r="T400" i="14"/>
  <c r="R392" i="14"/>
  <c r="R374" i="14"/>
  <c r="T346" i="14"/>
  <c r="R328" i="14"/>
  <c r="R310" i="14"/>
  <c r="T282" i="14"/>
  <c r="R264" i="14"/>
  <c r="R114" i="14"/>
  <c r="R98" i="14"/>
  <c r="R82" i="14"/>
  <c r="T64" i="14"/>
  <c r="T48" i="14"/>
  <c r="T32" i="14"/>
  <c r="T338" i="14"/>
  <c r="R422" i="14"/>
  <c r="S235" i="14"/>
  <c r="R378" i="14"/>
  <c r="T350" i="14"/>
  <c r="R316" i="14"/>
  <c r="R260" i="14"/>
  <c r="T116" i="14"/>
  <c r="T100" i="14"/>
  <c r="T84" i="14"/>
  <c r="T68" i="14"/>
  <c r="P8" i="14"/>
  <c r="T420" i="14"/>
  <c r="R324" i="14"/>
  <c r="T290" i="14"/>
  <c r="R266" i="14"/>
  <c r="T118" i="14"/>
  <c r="T102" i="14"/>
  <c r="T86" i="14"/>
  <c r="T70" i="14"/>
  <c r="S51" i="14"/>
  <c r="S43" i="14"/>
  <c r="S35" i="14"/>
  <c r="S19" i="14"/>
  <c r="R372" i="14"/>
  <c r="R258" i="14"/>
  <c r="R172" i="14"/>
  <c r="T132" i="14"/>
  <c r="S73" i="14"/>
  <c r="S331" i="14"/>
  <c r="R238" i="14"/>
  <c r="T206" i="14"/>
  <c r="S182" i="14"/>
  <c r="T174" i="14"/>
  <c r="S150" i="14"/>
  <c r="T480" i="14"/>
  <c r="T253" i="14"/>
  <c r="T131" i="14"/>
  <c r="S362" i="14"/>
  <c r="S94" i="14"/>
  <c r="S42" i="14"/>
  <c r="S422" i="14"/>
  <c r="R414" i="14"/>
  <c r="R382" i="14"/>
  <c r="R118" i="14"/>
  <c r="S402" i="14"/>
  <c r="R376" i="14"/>
  <c r="S71" i="14"/>
  <c r="S465" i="14"/>
  <c r="T306" i="14"/>
  <c r="R274" i="14"/>
  <c r="T90" i="14"/>
  <c r="T74" i="14"/>
  <c r="T55" i="14"/>
  <c r="T39" i="14"/>
  <c r="T386" i="14"/>
  <c r="O14" i="13"/>
  <c r="R14" i="13" s="1"/>
  <c r="L14" i="14"/>
  <c r="R509" i="14"/>
  <c r="T506" i="14"/>
  <c r="R498" i="14"/>
  <c r="S490" i="14"/>
  <c r="T485" i="14"/>
  <c r="R477" i="14"/>
  <c r="T474" i="14"/>
  <c r="R466" i="14"/>
  <c r="S458" i="14"/>
  <c r="R445" i="14"/>
  <c r="T442" i="14"/>
  <c r="R434" i="14"/>
  <c r="T418" i="14"/>
  <c r="T402" i="14"/>
  <c r="R513" i="14"/>
  <c r="T510" i="14"/>
  <c r="R502" i="14"/>
  <c r="S494" i="14"/>
  <c r="T489" i="14"/>
  <c r="T478" i="14"/>
  <c r="T457" i="14"/>
  <c r="R449" i="14"/>
  <c r="R438" i="14"/>
  <c r="R511" i="14"/>
  <c r="T508" i="14"/>
  <c r="R479" i="14"/>
  <c r="T476" i="14"/>
  <c r="T444" i="14"/>
  <c r="S411" i="14"/>
  <c r="S395" i="14"/>
  <c r="T487" i="14"/>
  <c r="T455" i="14"/>
  <c r="R436" i="14"/>
  <c r="T376" i="14"/>
  <c r="T360" i="14"/>
  <c r="T344" i="14"/>
  <c r="T328" i="14"/>
  <c r="T312" i="14"/>
  <c r="T296" i="14"/>
  <c r="T280" i="14"/>
  <c r="T264" i="14"/>
  <c r="T248" i="14"/>
  <c r="S373" i="14"/>
  <c r="S355" i="14"/>
  <c r="S341" i="14"/>
  <c r="T335" i="14"/>
  <c r="S309" i="14"/>
  <c r="S277" i="14"/>
  <c r="T271" i="14"/>
  <c r="S245" i="14"/>
  <c r="R229" i="14"/>
  <c r="S504" i="14"/>
  <c r="T488" i="14"/>
  <c r="R459" i="14"/>
  <c r="T456" i="14"/>
  <c r="S321" i="14"/>
  <c r="S305" i="14"/>
  <c r="S289" i="14"/>
  <c r="S273" i="14"/>
  <c r="S257" i="14"/>
  <c r="R234" i="14"/>
  <c r="S223" i="14"/>
  <c r="T218" i="14"/>
  <c r="R213" i="14"/>
  <c r="S207" i="14"/>
  <c r="T202" i="14"/>
  <c r="R197" i="14"/>
  <c r="S191" i="14"/>
  <c r="T186" i="14"/>
  <c r="R181" i="14"/>
  <c r="T170" i="14"/>
  <c r="R165" i="14"/>
  <c r="T154" i="14"/>
  <c r="R149" i="14"/>
  <c r="T138" i="14"/>
  <c r="R133" i="14"/>
  <c r="T124" i="14"/>
  <c r="S120" i="14"/>
  <c r="S104" i="14"/>
  <c r="S72" i="14"/>
  <c r="S56" i="14"/>
  <c r="S24" i="14"/>
  <c r="S413" i="14"/>
  <c r="R397" i="14"/>
  <c r="T361" i="14"/>
  <c r="T283" i="14"/>
  <c r="S230" i="14"/>
  <c r="T217" i="14"/>
  <c r="S195" i="14"/>
  <c r="T153" i="14"/>
  <c r="R125" i="14"/>
  <c r="R97" i="14"/>
  <c r="R61" i="14"/>
  <c r="R33" i="14"/>
  <c r="R483" i="14"/>
  <c r="T467" i="14"/>
  <c r="S423" i="14"/>
  <c r="R407" i="14"/>
  <c r="R327" i="14"/>
  <c r="T301" i="14"/>
  <c r="S295" i="14"/>
  <c r="R240" i="14"/>
  <c r="T208" i="14"/>
  <c r="R200" i="14"/>
  <c r="S184" i="14"/>
  <c r="T176" i="14"/>
  <c r="R168" i="14"/>
  <c r="S152" i="14"/>
  <c r="T244" i="14"/>
  <c r="R236" i="14"/>
  <c r="T223" i="14"/>
  <c r="R220" i="14"/>
  <c r="T212" i="14"/>
  <c r="R199" i="14"/>
  <c r="T191" i="14"/>
  <c r="R188" i="14"/>
  <c r="T180" i="14"/>
  <c r="T159" i="14"/>
  <c r="R156" i="14"/>
  <c r="T148" i="14"/>
  <c r="R135" i="14"/>
  <c r="S109" i="14"/>
  <c r="S85" i="14"/>
  <c r="S77" i="14"/>
  <c r="S69" i="14"/>
  <c r="S61" i="14"/>
  <c r="S53" i="14"/>
  <c r="S45" i="14"/>
  <c r="S37" i="14"/>
  <c r="R421" i="14"/>
  <c r="T363" i="14"/>
  <c r="T331" i="14"/>
  <c r="S238" i="14"/>
  <c r="T222" i="14"/>
  <c r="R214" i="14"/>
  <c r="S198" i="14"/>
  <c r="T190" i="14"/>
  <c r="R182" i="14"/>
  <c r="S166" i="14"/>
  <c r="T158" i="14"/>
  <c r="R150" i="14"/>
  <c r="S134" i="14"/>
  <c r="R127" i="14"/>
  <c r="R109" i="14"/>
  <c r="R85" i="14"/>
  <c r="R49" i="14"/>
  <c r="R464" i="14"/>
  <c r="T448" i="14"/>
  <c r="T415" i="14"/>
  <c r="S381" i="14"/>
  <c r="S361" i="14"/>
  <c r="T317" i="14"/>
  <c r="S311" i="14"/>
  <c r="R265" i="14"/>
  <c r="S253" i="14"/>
  <c r="T232" i="14"/>
  <c r="T211" i="14"/>
  <c r="T195" i="14"/>
  <c r="S144" i="14"/>
  <c r="O10" i="14"/>
  <c r="O15" i="14"/>
  <c r="S386" i="14"/>
  <c r="S298" i="14"/>
  <c r="S258" i="14"/>
  <c r="S118" i="14"/>
  <c r="S102" i="14"/>
  <c r="S86" i="14"/>
  <c r="S70" i="14"/>
  <c r="S50" i="14"/>
  <c r="S418" i="14"/>
  <c r="R410" i="14"/>
  <c r="S388" i="14"/>
  <c r="R366" i="14"/>
  <c r="R334" i="14"/>
  <c r="R302" i="14"/>
  <c r="R270" i="14"/>
  <c r="S177" i="14"/>
  <c r="R110" i="14"/>
  <c r="R94" i="14"/>
  <c r="R78" i="14"/>
  <c r="T60" i="14"/>
  <c r="T28" i="14"/>
  <c r="P11" i="14"/>
  <c r="R420" i="14"/>
  <c r="T358" i="14"/>
  <c r="T294" i="14"/>
  <c r="P14" i="14"/>
  <c r="T325" i="14"/>
  <c r="T293" i="14"/>
  <c r="T261" i="14"/>
  <c r="S128" i="14"/>
  <c r="R115" i="14"/>
  <c r="R99" i="14"/>
  <c r="R83" i="14"/>
  <c r="R67" i="14"/>
  <c r="R51" i="14"/>
  <c r="R35" i="14"/>
  <c r="R19" i="14"/>
  <c r="S406" i="14"/>
  <c r="R398" i="14"/>
  <c r="T362" i="14"/>
  <c r="R344" i="14"/>
  <c r="R326" i="14"/>
  <c r="T298" i="14"/>
  <c r="R280" i="14"/>
  <c r="R262" i="14"/>
  <c r="S161" i="14"/>
  <c r="S95" i="14"/>
  <c r="T62" i="14"/>
  <c r="T30" i="14"/>
  <c r="T274" i="14"/>
  <c r="R388" i="14"/>
  <c r="R418" i="14"/>
  <c r="R364" i="14"/>
  <c r="R340" i="14"/>
  <c r="T302" i="14"/>
  <c r="T250" i="14"/>
  <c r="T112" i="14"/>
  <c r="T80" i="14"/>
  <c r="R322" i="14"/>
  <c r="T270" i="14"/>
  <c r="T15" i="14"/>
  <c r="R390" i="14"/>
  <c r="T366" i="14"/>
  <c r="R314" i="14"/>
  <c r="T286" i="14"/>
  <c r="R252" i="14"/>
  <c r="T114" i="14"/>
  <c r="T98" i="14"/>
  <c r="T82" i="14"/>
  <c r="T59" i="14"/>
  <c r="T51" i="14"/>
  <c r="T35" i="14"/>
  <c r="T258" i="14"/>
  <c r="H8" i="14"/>
  <c r="F10" i="14"/>
  <c r="T16" i="15"/>
  <c r="R6" i="15"/>
  <c r="O6" i="14"/>
  <c r="P6" i="14"/>
  <c r="S16" i="15"/>
  <c r="S16" i="14" s="1"/>
  <c r="P16" i="14"/>
  <c r="S12" i="15"/>
  <c r="T12" i="15"/>
  <c r="R12" i="15"/>
  <c r="S6" i="15"/>
  <c r="T6" i="15"/>
  <c r="S14" i="15"/>
  <c r="T14" i="15"/>
  <c r="R14" i="15"/>
  <c r="S11" i="15"/>
  <c r="T11" i="15"/>
  <c r="R11" i="15"/>
  <c r="S8" i="15"/>
  <c r="S8" i="14" s="1"/>
  <c r="T8" i="15"/>
  <c r="R8" i="15"/>
  <c r="S10" i="15"/>
  <c r="T10" i="15"/>
  <c r="R10" i="15"/>
  <c r="S13" i="15"/>
  <c r="T13" i="15"/>
  <c r="R13" i="15"/>
  <c r="R13" i="14" s="1"/>
  <c r="S9" i="15"/>
  <c r="T9" i="15"/>
  <c r="R9" i="15"/>
  <c r="O9" i="13"/>
  <c r="R9" i="13" s="1"/>
  <c r="O11" i="13"/>
  <c r="R11" i="13" s="1"/>
  <c r="Q16" i="13"/>
  <c r="Q16" i="14" s="1"/>
  <c r="T52" i="13"/>
  <c r="T52" i="14" s="1"/>
  <c r="T458" i="13"/>
  <c r="T458" i="14" s="1"/>
  <c r="N14" i="13"/>
  <c r="K6" i="13"/>
  <c r="K6" i="14" s="1"/>
  <c r="K12" i="13"/>
  <c r="K12" i="14" s="1"/>
  <c r="T72" i="13"/>
  <c r="T72" i="14" s="1"/>
  <c r="N11" i="13"/>
  <c r="T34" i="13"/>
  <c r="T34" i="14" s="1"/>
  <c r="T454" i="13"/>
  <c r="T454" i="14" s="1"/>
  <c r="H13" i="13"/>
  <c r="T56" i="13"/>
  <c r="T56" i="14" s="1"/>
  <c r="H6" i="13"/>
  <c r="H6" i="14" s="1"/>
  <c r="H12" i="13"/>
  <c r="H12" i="14" s="1"/>
  <c r="Q6" i="13"/>
  <c r="Q6" i="14" s="1"/>
  <c r="N6" i="13"/>
  <c r="N6" i="14" s="1"/>
  <c r="N12" i="13"/>
  <c r="N12" i="14" s="1"/>
  <c r="H9" i="13"/>
  <c r="T22" i="13"/>
  <c r="T22" i="14" s="1"/>
  <c r="T38" i="13"/>
  <c r="T38" i="14" s="1"/>
  <c r="T42" i="13"/>
  <c r="T42" i="14" s="1"/>
  <c r="T46" i="13"/>
  <c r="T46" i="14" s="1"/>
  <c r="T462" i="13"/>
  <c r="T462" i="14" s="1"/>
  <c r="T446" i="13"/>
  <c r="T446" i="14" s="1"/>
  <c r="T10" i="13"/>
  <c r="T23" i="13"/>
  <c r="T23" i="14" s="1"/>
  <c r="T20" i="13"/>
  <c r="T20" i="14" s="1"/>
  <c r="T43" i="13"/>
  <c r="T43" i="14" s="1"/>
  <c r="T121" i="13"/>
  <c r="T121" i="14" s="1"/>
  <c r="T354" i="13"/>
  <c r="T354" i="14" s="1"/>
  <c r="T389" i="13"/>
  <c r="T389" i="14" s="1"/>
  <c r="T421" i="13"/>
  <c r="T421" i="14" s="1"/>
  <c r="S6" i="13"/>
  <c r="S18" i="13"/>
  <c r="S18" i="14" s="1"/>
  <c r="T8" i="13"/>
  <c r="R18" i="13"/>
  <c r="R18" i="14" s="1"/>
  <c r="R6" i="13"/>
  <c r="T26" i="13"/>
  <c r="T26" i="14" s="1"/>
  <c r="T137" i="13"/>
  <c r="T137" i="14" s="1"/>
  <c r="T242" i="13"/>
  <c r="T242" i="14" s="1"/>
  <c r="T44" i="13"/>
  <c r="T44" i="14" s="1"/>
  <c r="T136" i="13"/>
  <c r="T136" i="14" s="1"/>
  <c r="T185" i="13"/>
  <c r="T185" i="14" s="1"/>
  <c r="T267" i="13"/>
  <c r="T267" i="14" s="1"/>
  <c r="T299" i="13"/>
  <c r="T299" i="14" s="1"/>
  <c r="T96" i="13"/>
  <c r="T96" i="14" s="1"/>
  <c r="T128" i="13"/>
  <c r="T128" i="14" s="1"/>
  <c r="T160" i="13"/>
  <c r="T160" i="14" s="1"/>
  <c r="T245" i="13"/>
  <c r="T245" i="14" s="1"/>
  <c r="T405" i="13"/>
  <c r="T405" i="14" s="1"/>
  <c r="T423" i="13"/>
  <c r="T423" i="14" s="1"/>
  <c r="T473" i="13"/>
  <c r="T473" i="14" s="1"/>
  <c r="T16" i="13"/>
  <c r="T19" i="13"/>
  <c r="T19" i="14" s="1"/>
  <c r="T144" i="13"/>
  <c r="T144" i="14" s="1"/>
  <c r="T104" i="13"/>
  <c r="T104" i="14" s="1"/>
  <c r="T355" i="13"/>
  <c r="T355" i="14" s="1"/>
  <c r="T31" i="13"/>
  <c r="T31" i="14" s="1"/>
  <c r="T29" i="13"/>
  <c r="T29" i="14" s="1"/>
  <c r="T27" i="13"/>
  <c r="T27" i="14" s="1"/>
  <c r="T94" i="13"/>
  <c r="T94" i="14" s="1"/>
  <c r="T198" i="13"/>
  <c r="T198" i="14" s="1"/>
  <c r="T249" i="13"/>
  <c r="T249" i="14" s="1"/>
  <c r="T120" i="13"/>
  <c r="T120" i="14" s="1"/>
  <c r="T169" i="13"/>
  <c r="T169" i="14" s="1"/>
  <c r="T71" i="13"/>
  <c r="T71" i="14" s="1"/>
  <c r="T168" i="13"/>
  <c r="T168" i="14" s="1"/>
  <c r="T259" i="13"/>
  <c r="T259" i="14" s="1"/>
  <c r="T291" i="13"/>
  <c r="T291" i="14" s="1"/>
  <c r="T323" i="13"/>
  <c r="T323" i="14" s="1"/>
  <c r="T371" i="13"/>
  <c r="T371" i="14" s="1"/>
  <c r="T407" i="13"/>
  <c r="T407" i="14" s="1"/>
  <c r="T369" i="13"/>
  <c r="T369" i="14" s="1"/>
  <c r="T443" i="13"/>
  <c r="T443" i="14" s="1"/>
  <c r="T483" i="13"/>
  <c r="T483" i="14" s="1"/>
  <c r="T497" i="13"/>
  <c r="T497" i="14" s="1"/>
  <c r="T509" i="13"/>
  <c r="T509" i="14" s="1"/>
  <c r="T459" i="13"/>
  <c r="T459" i="14" s="1"/>
  <c r="AF180" i="1"/>
  <c r="AI180" i="1" s="1"/>
  <c r="AF284" i="1"/>
  <c r="AI284" i="1" s="1"/>
  <c r="AF112" i="1"/>
  <c r="AI112" i="1" s="1"/>
  <c r="AF118" i="1"/>
  <c r="AI118" i="1" s="1"/>
  <c r="AF131" i="1"/>
  <c r="AI131" i="1" s="1"/>
  <c r="AF107" i="1"/>
  <c r="AI107" i="1" s="1"/>
  <c r="AF294" i="1"/>
  <c r="AI294" i="1" s="1"/>
  <c r="AF280" i="1"/>
  <c r="AI280" i="1" s="1"/>
  <c r="AF198" i="1"/>
  <c r="AI198" i="1" s="1"/>
  <c r="AF202" i="1"/>
  <c r="AI202" i="1" s="1"/>
  <c r="AF206" i="1"/>
  <c r="AI206" i="1" s="1"/>
  <c r="AF210" i="1"/>
  <c r="AI210" i="1" s="1"/>
  <c r="AF214" i="1"/>
  <c r="AI214" i="1" s="1"/>
  <c r="AF218" i="1"/>
  <c r="AI218" i="1" s="1"/>
  <c r="AF222" i="1"/>
  <c r="AI222" i="1" s="1"/>
  <c r="AF226" i="1"/>
  <c r="AI226" i="1" s="1"/>
  <c r="AF230" i="1"/>
  <c r="AI230" i="1" s="1"/>
  <c r="AF234" i="1"/>
  <c r="AI234" i="1" s="1"/>
  <c r="AF238" i="1"/>
  <c r="AI238" i="1" s="1"/>
  <c r="AF242" i="1"/>
  <c r="AI242" i="1" s="1"/>
  <c r="AF197" i="1"/>
  <c r="AI197" i="1" s="1"/>
  <c r="AF201" i="1"/>
  <c r="AI201" i="1" s="1"/>
  <c r="AF205" i="1"/>
  <c r="AI205" i="1" s="1"/>
  <c r="AF209" i="1"/>
  <c r="AI209" i="1" s="1"/>
  <c r="AF213" i="1"/>
  <c r="AI213" i="1" s="1"/>
  <c r="AF217" i="1"/>
  <c r="AI217" i="1" s="1"/>
  <c r="AF221" i="1"/>
  <c r="AI221" i="1" s="1"/>
  <c r="AF225" i="1"/>
  <c r="AI225" i="1" s="1"/>
  <c r="AF229" i="1"/>
  <c r="AI229" i="1" s="1"/>
  <c r="AF233" i="1"/>
  <c r="AI233" i="1" s="1"/>
  <c r="AF237" i="1"/>
  <c r="AI237" i="1" s="1"/>
  <c r="AF241" i="1"/>
  <c r="AI241" i="1" s="1"/>
  <c r="AF269" i="1"/>
  <c r="AI269" i="1" s="1"/>
  <c r="AF176" i="1"/>
  <c r="AI176" i="1" s="1"/>
  <c r="AF184" i="1"/>
  <c r="AI184" i="1" s="1"/>
  <c r="AF192" i="1"/>
  <c r="AI192" i="1" s="1"/>
  <c r="AF276" i="1"/>
  <c r="AI276" i="1" s="1"/>
  <c r="AF144" i="1"/>
  <c r="AI144" i="1" s="1"/>
  <c r="AF148" i="1"/>
  <c r="AI148" i="1" s="1"/>
  <c r="AF152" i="1"/>
  <c r="AI152" i="1" s="1"/>
  <c r="AF156" i="1"/>
  <c r="AI156" i="1" s="1"/>
  <c r="AF160" i="1"/>
  <c r="AI160" i="1" s="1"/>
  <c r="AF172" i="1"/>
  <c r="AI172" i="1" s="1"/>
  <c r="AF188" i="1"/>
  <c r="AI188" i="1" s="1"/>
  <c r="AF39" i="1"/>
  <c r="AI39" i="1" s="1"/>
  <c r="AF41" i="1"/>
  <c r="AI41" i="1" s="1"/>
  <c r="AF43" i="1"/>
  <c r="AI43" i="1" s="1"/>
  <c r="AF45" i="1"/>
  <c r="AI45" i="1" s="1"/>
  <c r="AF47" i="1"/>
  <c r="AI47" i="1" s="1"/>
  <c r="AF49" i="1"/>
  <c r="AI49" i="1" s="1"/>
  <c r="AF123" i="1"/>
  <c r="AI123" i="1" s="1"/>
  <c r="AF139" i="1"/>
  <c r="AI139" i="1" s="1"/>
  <c r="AF111" i="1"/>
  <c r="AI111" i="1" s="1"/>
  <c r="AF164" i="1"/>
  <c r="AI164" i="1" s="1"/>
  <c r="AF278" i="1"/>
  <c r="AI278" i="1" s="1"/>
  <c r="AF265" i="1"/>
  <c r="AI265" i="1" s="1"/>
  <c r="Q223" i="1"/>
  <c r="T223" i="1" s="1"/>
  <c r="Q120" i="1"/>
  <c r="T120" i="1" s="1"/>
  <c r="Q124" i="1"/>
  <c r="T124" i="1" s="1"/>
  <c r="Q128" i="1"/>
  <c r="T128" i="1" s="1"/>
  <c r="Q215" i="1"/>
  <c r="T215" i="1" s="1"/>
  <c r="Q247" i="1"/>
  <c r="T247" i="1" s="1"/>
  <c r="Q39" i="1"/>
  <c r="T39" i="1" s="1"/>
  <c r="Q41" i="1"/>
  <c r="T41" i="1" s="1"/>
  <c r="Q43" i="1"/>
  <c r="T43" i="1" s="1"/>
  <c r="Q45" i="1"/>
  <c r="T45" i="1" s="1"/>
  <c r="Q47" i="1"/>
  <c r="T47" i="1" s="1"/>
  <c r="Q49" i="1"/>
  <c r="T49" i="1" s="1"/>
  <c r="Q121" i="1"/>
  <c r="T121" i="1" s="1"/>
  <c r="Q125" i="1"/>
  <c r="T125" i="1" s="1"/>
  <c r="Q286" i="1"/>
  <c r="T286" i="1" s="1"/>
  <c r="Q302" i="1"/>
  <c r="T302" i="1" s="1"/>
  <c r="Q318" i="1"/>
  <c r="T318" i="1" s="1"/>
  <c r="Q334" i="1"/>
  <c r="T334" i="1" s="1"/>
  <c r="Q205" i="1"/>
  <c r="T205" i="1" s="1"/>
  <c r="Q280" i="1"/>
  <c r="T280" i="1" s="1"/>
  <c r="Q296" i="1"/>
  <c r="T296" i="1" s="1"/>
  <c r="Q312" i="1"/>
  <c r="T312" i="1" s="1"/>
  <c r="Q328" i="1"/>
  <c r="T328" i="1" s="1"/>
  <c r="Q344" i="1"/>
  <c r="T344" i="1" s="1"/>
  <c r="Q361" i="1"/>
  <c r="T361" i="1" s="1"/>
  <c r="Q371" i="1"/>
  <c r="T371" i="1" s="1"/>
  <c r="Q379" i="1"/>
  <c r="T379" i="1" s="1"/>
  <c r="Q387" i="1"/>
  <c r="T387" i="1" s="1"/>
  <c r="Q395" i="1"/>
  <c r="T395" i="1" s="1"/>
  <c r="Q403" i="1"/>
  <c r="T403" i="1" s="1"/>
  <c r="Q411" i="1"/>
  <c r="T411" i="1" s="1"/>
  <c r="Q419" i="1"/>
  <c r="T419" i="1" s="1"/>
  <c r="Q427" i="1"/>
  <c r="T427" i="1" s="1"/>
  <c r="Q435" i="1"/>
  <c r="T435" i="1" s="1"/>
  <c r="Q443" i="1"/>
  <c r="T443" i="1" s="1"/>
  <c r="Q451" i="1"/>
  <c r="T451" i="1" s="1"/>
  <c r="Q459" i="1"/>
  <c r="T459" i="1" s="1"/>
  <c r="Q467" i="1"/>
  <c r="T467" i="1" s="1"/>
  <c r="Q213" i="1"/>
  <c r="T213" i="1" s="1"/>
  <c r="Q221" i="1"/>
  <c r="T221" i="1" s="1"/>
  <c r="Q229" i="1"/>
  <c r="T229" i="1" s="1"/>
  <c r="Q237" i="1"/>
  <c r="T237" i="1" s="1"/>
  <c r="Q245" i="1"/>
  <c r="T245" i="1" s="1"/>
  <c r="Q292" i="1"/>
  <c r="T292" i="1" s="1"/>
  <c r="Q308" i="1"/>
  <c r="T308" i="1" s="1"/>
  <c r="Q324" i="1"/>
  <c r="T324" i="1" s="1"/>
  <c r="Q340" i="1"/>
  <c r="T340" i="1" s="1"/>
  <c r="Q227" i="1"/>
  <c r="T227" i="1" s="1"/>
  <c r="Q207" i="1"/>
  <c r="T207" i="1" s="1"/>
  <c r="Q239" i="1"/>
  <c r="T239" i="1" s="1"/>
  <c r="Q365" i="1"/>
  <c r="T365" i="1" s="1"/>
  <c r="Q203" i="1"/>
  <c r="T203" i="1" s="1"/>
  <c r="Q235" i="1"/>
  <c r="T235" i="1" s="1"/>
  <c r="Q199" i="1"/>
  <c r="T199" i="1" s="1"/>
  <c r="Q231" i="1"/>
  <c r="T231" i="1" s="1"/>
  <c r="Q294" i="1"/>
  <c r="T294" i="1" s="1"/>
  <c r="Q310" i="1"/>
  <c r="T310" i="1" s="1"/>
  <c r="Q326" i="1"/>
  <c r="T326" i="1" s="1"/>
  <c r="Q342" i="1"/>
  <c r="T342" i="1" s="1"/>
  <c r="Q197" i="1"/>
  <c r="T197" i="1" s="1"/>
  <c r="Q288" i="1"/>
  <c r="T288" i="1" s="1"/>
  <c r="Q304" i="1"/>
  <c r="T304" i="1" s="1"/>
  <c r="Q320" i="1"/>
  <c r="T320" i="1" s="1"/>
  <c r="Q336" i="1"/>
  <c r="T336" i="1" s="1"/>
  <c r="Q373" i="1"/>
  <c r="T373" i="1" s="1"/>
  <c r="Q381" i="1"/>
  <c r="T381" i="1" s="1"/>
  <c r="Q389" i="1"/>
  <c r="T389" i="1" s="1"/>
  <c r="Q397" i="1"/>
  <c r="T397" i="1" s="1"/>
  <c r="Q405" i="1"/>
  <c r="T405" i="1" s="1"/>
  <c r="Q413" i="1"/>
  <c r="T413" i="1" s="1"/>
  <c r="Q421" i="1"/>
  <c r="T421" i="1" s="1"/>
  <c r="Q429" i="1"/>
  <c r="Q437" i="1"/>
  <c r="T437" i="1" s="1"/>
  <c r="Q445" i="1"/>
  <c r="T445" i="1" s="1"/>
  <c r="Q453" i="1"/>
  <c r="T453" i="1" s="1"/>
  <c r="Q461" i="1"/>
  <c r="T461" i="1" s="1"/>
  <c r="Q469" i="1"/>
  <c r="T469" i="1" s="1"/>
  <c r="AE21" i="1"/>
  <c r="AH21" i="1" s="1"/>
  <c r="AP500" i="1"/>
  <c r="AP484" i="1"/>
  <c r="AP368" i="1"/>
  <c r="AP336" i="1"/>
  <c r="AP324" i="1"/>
  <c r="AP308" i="1"/>
  <c r="AP292" i="1"/>
  <c r="AP280" i="1"/>
  <c r="AP264" i="1"/>
  <c r="AP248" i="1"/>
  <c r="AP232" i="1"/>
  <c r="AP220" i="1"/>
  <c r="AP204" i="1"/>
  <c r="AP176" i="1"/>
  <c r="AP160" i="1"/>
  <c r="AP144" i="1"/>
  <c r="AP132" i="1"/>
  <c r="AP116" i="1"/>
  <c r="AP432" i="1"/>
  <c r="AP416" i="1"/>
  <c r="AP372" i="1"/>
  <c r="AP344" i="1"/>
  <c r="AP316" i="1"/>
  <c r="AP284" i="1"/>
  <c r="AP268" i="1"/>
  <c r="AP256" i="1"/>
  <c r="AP240" i="1"/>
  <c r="AP180" i="1"/>
  <c r="AP168" i="1"/>
  <c r="AP152" i="1"/>
  <c r="AS287" i="1"/>
  <c r="AS183" i="1"/>
  <c r="AP496" i="1"/>
  <c r="AP480" i="1"/>
  <c r="AP452" i="1"/>
  <c r="AP436" i="1"/>
  <c r="AP400" i="1"/>
  <c r="AP356" i="1"/>
  <c r="AP348" i="1"/>
  <c r="AP340" i="1"/>
  <c r="AP332" i="1"/>
  <c r="AP320" i="1"/>
  <c r="AP312" i="1"/>
  <c r="AP304" i="1"/>
  <c r="AP296" i="1"/>
  <c r="AP288" i="1"/>
  <c r="AP272" i="1"/>
  <c r="AP244" i="1"/>
  <c r="AP236" i="1"/>
  <c r="AP228" i="1"/>
  <c r="AP216" i="1"/>
  <c r="AP192" i="1"/>
  <c r="AP172" i="1"/>
  <c r="AP156" i="1"/>
  <c r="AP148" i="1"/>
  <c r="AP120" i="1"/>
  <c r="AP18" i="1"/>
  <c r="U16" i="1"/>
  <c r="U13" i="1"/>
  <c r="V19" i="1"/>
  <c r="AM506" i="1"/>
  <c r="AM490" i="1"/>
  <c r="AM474" i="1"/>
  <c r="AM462" i="1"/>
  <c r="AM446" i="1"/>
  <c r="AM430" i="1"/>
  <c r="AM418" i="1"/>
  <c r="AM402" i="1"/>
  <c r="AM386" i="1"/>
  <c r="AM374" i="1"/>
  <c r="AM358" i="1"/>
  <c r="AM342" i="1"/>
  <c r="AM330" i="1"/>
  <c r="AM314" i="1"/>
  <c r="AM282" i="1"/>
  <c r="AM270" i="1"/>
  <c r="AM254" i="1"/>
  <c r="AM238" i="1"/>
  <c r="AM222" i="1"/>
  <c r="AM210" i="1"/>
  <c r="AM194" i="1"/>
  <c r="AM178" i="1"/>
  <c r="AT163" i="1"/>
  <c r="AM510" i="1"/>
  <c r="AM494" i="1"/>
  <c r="AM482" i="1"/>
  <c r="AM450" i="1"/>
  <c r="AM438" i="1"/>
  <c r="AM422" i="1"/>
  <c r="AM406" i="1"/>
  <c r="AM394" i="1"/>
  <c r="AM378" i="1"/>
  <c r="AM362" i="1"/>
  <c r="AM350" i="1"/>
  <c r="AM334" i="1"/>
  <c r="AM318" i="1"/>
  <c r="AM306" i="1"/>
  <c r="AM290" i="1"/>
  <c r="AM274" i="1"/>
  <c r="AM258" i="1"/>
  <c r="AM246" i="1"/>
  <c r="AM230" i="1"/>
  <c r="AM214" i="1"/>
  <c r="AM202" i="1"/>
  <c r="AM186" i="1"/>
  <c r="AM166" i="1"/>
  <c r="AM154" i="1"/>
  <c r="AM134" i="1"/>
  <c r="AM122" i="1"/>
  <c r="AM102" i="1"/>
  <c r="AM94" i="1"/>
  <c r="AM82" i="1"/>
  <c r="AM62" i="1"/>
  <c r="AM42" i="1"/>
  <c r="AM30" i="1"/>
  <c r="AM22" i="1"/>
  <c r="I11" i="1"/>
  <c r="AM514" i="1"/>
  <c r="AM502" i="1"/>
  <c r="AM498" i="1"/>
  <c r="AM486" i="1"/>
  <c r="AM478" i="1"/>
  <c r="AM470" i="1"/>
  <c r="AM458" i="1"/>
  <c r="AM454" i="1"/>
  <c r="AM442" i="1"/>
  <c r="AM414" i="1"/>
  <c r="AM410" i="1"/>
  <c r="AM390" i="1"/>
  <c r="AM382" i="1"/>
  <c r="AM370" i="1"/>
  <c r="AM366" i="1"/>
  <c r="AM354" i="1"/>
  <c r="AM346" i="1"/>
  <c r="AM338" i="1"/>
  <c r="AM326" i="1"/>
  <c r="AM322" i="1"/>
  <c r="AM310" i="1"/>
  <c r="AM302" i="1"/>
  <c r="AM294" i="1"/>
  <c r="AM286" i="1"/>
  <c r="AM278" i="1"/>
  <c r="AM262" i="1"/>
  <c r="AM250" i="1"/>
  <c r="AM242" i="1"/>
  <c r="AM234" i="1"/>
  <c r="AM226" i="1"/>
  <c r="AM218" i="1"/>
  <c r="AM206" i="1"/>
  <c r="AM198" i="1"/>
  <c r="AM190" i="1"/>
  <c r="AM182" i="1"/>
  <c r="AM170" i="1"/>
  <c r="AM162" i="1"/>
  <c r="AM158" i="1"/>
  <c r="AM150" i="1"/>
  <c r="AM146" i="1"/>
  <c r="AM138" i="1"/>
  <c r="AM130" i="1"/>
  <c r="AM126" i="1"/>
  <c r="AM118" i="1"/>
  <c r="AM106" i="1"/>
  <c r="AM90" i="1"/>
  <c r="AM86" i="1"/>
  <c r="AM78" i="1"/>
  <c r="AM70" i="1"/>
  <c r="AM58" i="1"/>
  <c r="AM54" i="1"/>
  <c r="AM38" i="1"/>
  <c r="AM34" i="1"/>
  <c r="AM26" i="1"/>
  <c r="K21" i="1"/>
  <c r="AM50" i="1"/>
  <c r="AM46" i="1"/>
  <c r="AP188" i="1"/>
  <c r="AP184" i="1"/>
  <c r="AP128" i="1"/>
  <c r="AA19" i="1"/>
  <c r="AT251" i="1"/>
  <c r="AT119" i="1"/>
  <c r="AJ440" i="1"/>
  <c r="AM114" i="1"/>
  <c r="AP124" i="1"/>
  <c r="AT403" i="1"/>
  <c r="AT173" i="1"/>
  <c r="AM320" i="1"/>
  <c r="AM316" i="1"/>
  <c r="AM308" i="1"/>
  <c r="AM300" i="1"/>
  <c r="AM292" i="1"/>
  <c r="AM284" i="1"/>
  <c r="AM280" i="1"/>
  <c r="AM272" i="1"/>
  <c r="AM268" i="1"/>
  <c r="AM264" i="1"/>
  <c r="AM260" i="1"/>
  <c r="AM256" i="1"/>
  <c r="AM252" i="1"/>
  <c r="AM248" i="1"/>
  <c r="AM240" i="1"/>
  <c r="AM236" i="1"/>
  <c r="AM232" i="1"/>
  <c r="AM224" i="1"/>
  <c r="AM216" i="1"/>
  <c r="AM212" i="1"/>
  <c r="AM204" i="1"/>
  <c r="AM200" i="1"/>
  <c r="AM196" i="1"/>
  <c r="AM188" i="1"/>
  <c r="AM184" i="1"/>
  <c r="AM180" i="1"/>
  <c r="AM176" i="1"/>
  <c r="AM172" i="1"/>
  <c r="AM168" i="1"/>
  <c r="AM164" i="1"/>
  <c r="AM160" i="1"/>
  <c r="AM156" i="1"/>
  <c r="AM152" i="1"/>
  <c r="AM148" i="1"/>
  <c r="AM144" i="1"/>
  <c r="AM140" i="1"/>
  <c r="AM136" i="1"/>
  <c r="AM132" i="1"/>
  <c r="AM128" i="1"/>
  <c r="AM124" i="1"/>
  <c r="AM120" i="1"/>
  <c r="AM116" i="1"/>
  <c r="AM112" i="1"/>
  <c r="AM108" i="1"/>
  <c r="AM104" i="1"/>
  <c r="AM96" i="1"/>
  <c r="AM92" i="1"/>
  <c r="AM88" i="1"/>
  <c r="AM84" i="1"/>
  <c r="AM80" i="1"/>
  <c r="AM76" i="1"/>
  <c r="AM72" i="1"/>
  <c r="AM64" i="1"/>
  <c r="AM60" i="1"/>
  <c r="AM56" i="1"/>
  <c r="AM48" i="1"/>
  <c r="AM44" i="1"/>
  <c r="AM40" i="1"/>
  <c r="AM36" i="1"/>
  <c r="AM32" i="1"/>
  <c r="AM28" i="1"/>
  <c r="AM24" i="1"/>
  <c r="AP106" i="1"/>
  <c r="AP102" i="1"/>
  <c r="AP94" i="1"/>
  <c r="AP90" i="1"/>
  <c r="AP82" i="1"/>
  <c r="AP78" i="1"/>
  <c r="AP74" i="1"/>
  <c r="AP70" i="1"/>
  <c r="AP62" i="1"/>
  <c r="AP58" i="1"/>
  <c r="AP54" i="1"/>
  <c r="AP50" i="1"/>
  <c r="AP42" i="1"/>
  <c r="AP38" i="1"/>
  <c r="AP34" i="1"/>
  <c r="AP30" i="1"/>
  <c r="AP26" i="1"/>
  <c r="AP22" i="1"/>
  <c r="AJ516" i="1"/>
  <c r="AJ512" i="1"/>
  <c r="AJ508" i="1"/>
  <c r="AJ504" i="1"/>
  <c r="AJ500" i="1"/>
  <c r="AJ496" i="1"/>
  <c r="AJ492" i="1"/>
  <c r="AJ488" i="1"/>
  <c r="AJ484" i="1"/>
  <c r="AJ480" i="1"/>
  <c r="AJ476" i="1"/>
  <c r="AJ472" i="1"/>
  <c r="AJ468" i="1"/>
  <c r="AJ464" i="1"/>
  <c r="AJ460" i="1"/>
  <c r="AJ456" i="1"/>
  <c r="AJ452" i="1"/>
  <c r="AJ448" i="1"/>
  <c r="AJ444" i="1"/>
  <c r="AM21" i="1"/>
  <c r="Z21" i="1"/>
  <c r="AM466" i="1"/>
  <c r="AM434" i="1"/>
  <c r="AM426" i="1"/>
  <c r="AM398" i="1"/>
  <c r="AM298" i="1"/>
  <c r="AM266" i="1"/>
  <c r="AM174" i="1"/>
  <c r="AM142" i="1"/>
  <c r="AM110" i="1"/>
  <c r="AM98" i="1"/>
  <c r="AM74" i="1"/>
  <c r="AM66" i="1"/>
  <c r="AN24" i="1"/>
  <c r="AN28" i="1"/>
  <c r="AN32" i="1"/>
  <c r="AN36" i="1"/>
  <c r="AN40" i="1"/>
  <c r="AN44" i="1"/>
  <c r="AN48" i="1"/>
  <c r="AN52" i="1"/>
  <c r="AN56" i="1"/>
  <c r="AN60" i="1"/>
  <c r="AN64" i="1"/>
  <c r="AN68" i="1"/>
  <c r="AN72" i="1"/>
  <c r="AN76" i="1"/>
  <c r="AN80" i="1"/>
  <c r="AN84" i="1"/>
  <c r="AN88" i="1"/>
  <c r="AN92" i="1"/>
  <c r="AN96" i="1"/>
  <c r="AN100" i="1"/>
  <c r="AN104" i="1"/>
  <c r="AN108" i="1"/>
  <c r="AN112" i="1"/>
  <c r="AN116" i="1"/>
  <c r="AN120" i="1"/>
  <c r="AN124" i="1"/>
  <c r="AN128" i="1"/>
  <c r="AN132" i="1"/>
  <c r="AN136" i="1"/>
  <c r="AN140" i="1"/>
  <c r="AN144" i="1"/>
  <c r="AN148" i="1"/>
  <c r="AN152" i="1"/>
  <c r="AN156" i="1"/>
  <c r="AN160" i="1"/>
  <c r="AN164" i="1"/>
  <c r="AN168" i="1"/>
  <c r="AN172" i="1"/>
  <c r="AN176" i="1"/>
  <c r="AN180" i="1"/>
  <c r="AN184" i="1"/>
  <c r="AN188" i="1"/>
  <c r="AN192" i="1"/>
  <c r="AN196" i="1"/>
  <c r="AN200" i="1"/>
  <c r="AN204" i="1"/>
  <c r="AN208" i="1"/>
  <c r="AN212" i="1"/>
  <c r="AN216" i="1"/>
  <c r="AN220" i="1"/>
  <c r="AN224" i="1"/>
  <c r="AN228" i="1"/>
  <c r="AN232" i="1"/>
  <c r="AN236" i="1"/>
  <c r="AN240" i="1"/>
  <c r="AN244" i="1"/>
  <c r="AN248" i="1"/>
  <c r="AN252" i="1"/>
  <c r="AN256" i="1"/>
  <c r="AN260" i="1"/>
  <c r="AN264" i="1"/>
  <c r="AN268" i="1"/>
  <c r="AN272" i="1"/>
  <c r="AN276" i="1"/>
  <c r="AN280" i="1"/>
  <c r="AN284" i="1"/>
  <c r="AN288" i="1"/>
  <c r="AN292" i="1"/>
  <c r="AN296" i="1"/>
  <c r="AN300" i="1"/>
  <c r="AN304" i="1"/>
  <c r="AN308" i="1"/>
  <c r="AN312" i="1"/>
  <c r="AN316" i="1"/>
  <c r="AN320" i="1"/>
  <c r="AN324" i="1"/>
  <c r="AN328" i="1"/>
  <c r="AN332" i="1"/>
  <c r="AN336" i="1"/>
  <c r="AN340" i="1"/>
  <c r="AN344" i="1"/>
  <c r="AN348" i="1"/>
  <c r="AN352" i="1"/>
  <c r="AN356" i="1"/>
  <c r="AN360" i="1"/>
  <c r="AN364" i="1"/>
  <c r="AN368" i="1"/>
  <c r="AN372" i="1"/>
  <c r="AN376" i="1"/>
  <c r="AN380" i="1"/>
  <c r="AN384" i="1"/>
  <c r="AN388" i="1"/>
  <c r="AN392" i="1"/>
  <c r="AN396" i="1"/>
  <c r="AN400" i="1"/>
  <c r="AN404" i="1"/>
  <c r="AN408" i="1"/>
  <c r="AN412" i="1"/>
  <c r="AN416" i="1"/>
  <c r="AN420" i="1"/>
  <c r="AN424" i="1"/>
  <c r="AN428" i="1"/>
  <c r="AN432" i="1"/>
  <c r="AN436" i="1"/>
  <c r="AN440" i="1"/>
  <c r="AN444" i="1"/>
  <c r="AN448" i="1"/>
  <c r="AN452" i="1"/>
  <c r="AN456" i="1"/>
  <c r="AN460" i="1"/>
  <c r="AN464" i="1"/>
  <c r="AN468" i="1"/>
  <c r="AN472" i="1"/>
  <c r="AN476" i="1"/>
  <c r="AN480" i="1"/>
  <c r="AN484" i="1"/>
  <c r="AN488" i="1"/>
  <c r="AN492" i="1"/>
  <c r="AN496" i="1"/>
  <c r="AN500" i="1"/>
  <c r="AN504" i="1"/>
  <c r="AN508" i="1"/>
  <c r="AN512" i="1"/>
  <c r="AN516" i="1"/>
  <c r="AP516" i="1"/>
  <c r="AP512" i="1"/>
  <c r="AP508" i="1"/>
  <c r="AP504" i="1"/>
  <c r="AP492" i="1"/>
  <c r="AP488" i="1"/>
  <c r="AP476" i="1"/>
  <c r="AP472" i="1"/>
  <c r="AP468" i="1"/>
  <c r="AP464" i="1"/>
  <c r="AP460" i="1"/>
  <c r="AP456" i="1"/>
  <c r="AP448" i="1"/>
  <c r="AP444" i="1"/>
  <c r="AP440" i="1"/>
  <c r="AP428" i="1"/>
  <c r="AP424" i="1"/>
  <c r="AP420" i="1"/>
  <c r="AP412" i="1"/>
  <c r="AP408" i="1"/>
  <c r="AP404" i="1"/>
  <c r="AP396" i="1"/>
  <c r="AP392" i="1"/>
  <c r="AP388" i="1"/>
  <c r="AP384" i="1"/>
  <c r="AP380" i="1"/>
  <c r="AP376" i="1"/>
  <c r="AP364" i="1"/>
  <c r="AP360" i="1"/>
  <c r="AP352" i="1"/>
  <c r="AP328" i="1"/>
  <c r="AP300" i="1"/>
  <c r="AP276" i="1"/>
  <c r="AP260" i="1"/>
  <c r="AP252" i="1"/>
  <c r="AP224" i="1"/>
  <c r="AP212" i="1"/>
  <c r="AP208" i="1"/>
  <c r="AP200" i="1"/>
  <c r="AP196" i="1"/>
  <c r="AP164" i="1"/>
  <c r="AP140" i="1"/>
  <c r="AP136" i="1"/>
  <c r="AP112" i="1"/>
  <c r="AM18" i="1"/>
  <c r="AQ18" i="1"/>
  <c r="Y19" i="1"/>
  <c r="AS88" i="1"/>
  <c r="AK516" i="1"/>
  <c r="AK512" i="1"/>
  <c r="AK508" i="1"/>
  <c r="AK504" i="1"/>
  <c r="AK500" i="1"/>
  <c r="AK496" i="1"/>
  <c r="AK492" i="1"/>
  <c r="AK488" i="1"/>
  <c r="AK484" i="1"/>
  <c r="AK480" i="1"/>
  <c r="AK476" i="1"/>
  <c r="AK472" i="1"/>
  <c r="AK468" i="1"/>
  <c r="AK464" i="1"/>
  <c r="AK460" i="1"/>
  <c r="AK456" i="1"/>
  <c r="AK452" i="1"/>
  <c r="AK448" i="1"/>
  <c r="AK444" i="1"/>
  <c r="AK440" i="1"/>
  <c r="AK436" i="1"/>
  <c r="AK432" i="1"/>
  <c r="AK428" i="1"/>
  <c r="AK424" i="1"/>
  <c r="AK420" i="1"/>
  <c r="AK416" i="1"/>
  <c r="AK412" i="1"/>
  <c r="AK408" i="1"/>
  <c r="AK404" i="1"/>
  <c r="AK400" i="1"/>
  <c r="AK396" i="1"/>
  <c r="AK392" i="1"/>
  <c r="AK388" i="1"/>
  <c r="AK384" i="1"/>
  <c r="AK380" i="1"/>
  <c r="AK376" i="1"/>
  <c r="AK372" i="1"/>
  <c r="AK368" i="1"/>
  <c r="AK364" i="1"/>
  <c r="AK360" i="1"/>
  <c r="V17" i="1"/>
  <c r="AK356" i="1"/>
  <c r="AK352" i="1"/>
  <c r="AK348" i="1"/>
  <c r="AK344" i="1"/>
  <c r="AK340" i="1"/>
  <c r="AK336" i="1"/>
  <c r="AK332" i="1"/>
  <c r="AT309" i="1"/>
  <c r="AT267" i="1"/>
  <c r="AT147" i="1"/>
  <c r="AT93" i="1"/>
  <c r="AJ22" i="1"/>
  <c r="AJ514" i="1"/>
  <c r="AJ510" i="1"/>
  <c r="AJ506" i="1"/>
  <c r="AJ502" i="1"/>
  <c r="AJ498" i="1"/>
  <c r="AJ494" i="1"/>
  <c r="AJ490" i="1"/>
  <c r="AJ486" i="1"/>
  <c r="AJ482" i="1"/>
  <c r="AJ478" i="1"/>
  <c r="AJ474" i="1"/>
  <c r="AJ470" i="1"/>
  <c r="AJ466" i="1"/>
  <c r="AJ462" i="1"/>
  <c r="AJ458" i="1"/>
  <c r="AJ454" i="1"/>
  <c r="AJ450" i="1"/>
  <c r="AJ446" i="1"/>
  <c r="AJ442" i="1"/>
  <c r="AJ438" i="1"/>
  <c r="AJ434" i="1"/>
  <c r="AJ430" i="1"/>
  <c r="AJ426" i="1"/>
  <c r="AJ422" i="1"/>
  <c r="AJ418" i="1"/>
  <c r="AJ414" i="1"/>
  <c r="AJ410" i="1"/>
  <c r="AJ406" i="1"/>
  <c r="AJ402" i="1"/>
  <c r="AJ398" i="1"/>
  <c r="AJ394" i="1"/>
  <c r="AJ390" i="1"/>
  <c r="AJ386" i="1"/>
  <c r="AJ382" i="1"/>
  <c r="AJ378" i="1"/>
  <c r="AJ374" i="1"/>
  <c r="AJ370" i="1"/>
  <c r="AJ366" i="1"/>
  <c r="AJ362" i="1"/>
  <c r="AJ358" i="1"/>
  <c r="AJ354" i="1"/>
  <c r="AJ350" i="1"/>
  <c r="AJ346" i="1"/>
  <c r="AJ342" i="1"/>
  <c r="AJ338" i="1"/>
  <c r="AJ334" i="1"/>
  <c r="AJ330" i="1"/>
  <c r="AJ326" i="1"/>
  <c r="AJ322" i="1"/>
  <c r="AJ318" i="1"/>
  <c r="AJ314" i="1"/>
  <c r="AJ310" i="1"/>
  <c r="AJ306" i="1"/>
  <c r="AJ302" i="1"/>
  <c r="AJ298" i="1"/>
  <c r="AJ294" i="1"/>
  <c r="AJ290" i="1"/>
  <c r="AJ286" i="1"/>
  <c r="AJ282" i="1"/>
  <c r="AJ278" i="1"/>
  <c r="AJ274" i="1"/>
  <c r="AJ270" i="1"/>
  <c r="AJ266" i="1"/>
  <c r="AJ262" i="1"/>
  <c r="AJ258" i="1"/>
  <c r="AJ254" i="1"/>
  <c r="AJ250" i="1"/>
  <c r="AJ246" i="1"/>
  <c r="AJ242" i="1"/>
  <c r="AJ238" i="1"/>
  <c r="AJ234" i="1"/>
  <c r="AJ230" i="1"/>
  <c r="AJ226" i="1"/>
  <c r="AJ222" i="1"/>
  <c r="AJ218" i="1"/>
  <c r="AJ214" i="1"/>
  <c r="AJ210" i="1"/>
  <c r="AJ206" i="1"/>
  <c r="AJ202" i="1"/>
  <c r="AJ198" i="1"/>
  <c r="AJ194" i="1"/>
  <c r="AJ190" i="1"/>
  <c r="AJ186" i="1"/>
  <c r="AJ182" i="1"/>
  <c r="AJ178" i="1"/>
  <c r="AJ174" i="1"/>
  <c r="AJ170" i="1"/>
  <c r="AJ166" i="1"/>
  <c r="AJ162" i="1"/>
  <c r="AJ158" i="1"/>
  <c r="AJ154" i="1"/>
  <c r="AJ150" i="1"/>
  <c r="AJ146" i="1"/>
  <c r="AJ142" i="1"/>
  <c r="AJ138" i="1"/>
  <c r="AJ134" i="1"/>
  <c r="AJ130" i="1"/>
  <c r="AJ126" i="1"/>
  <c r="AJ122" i="1"/>
  <c r="AJ118" i="1"/>
  <c r="AJ114" i="1"/>
  <c r="AJ110" i="1"/>
  <c r="AJ106" i="1"/>
  <c r="AJ102" i="1"/>
  <c r="AJ98" i="1"/>
  <c r="AJ94" i="1"/>
  <c r="AJ90" i="1"/>
  <c r="AJ86" i="1"/>
  <c r="U12" i="1"/>
  <c r="AJ82" i="1"/>
  <c r="AJ78" i="1"/>
  <c r="AJ74" i="1"/>
  <c r="AJ70" i="1"/>
  <c r="AJ66" i="1"/>
  <c r="AJ62" i="1"/>
  <c r="AJ58" i="1"/>
  <c r="AJ54" i="1"/>
  <c r="AJ50" i="1"/>
  <c r="AJ46" i="1"/>
  <c r="AJ42" i="1"/>
  <c r="AJ38" i="1"/>
  <c r="AJ34" i="1"/>
  <c r="AJ30" i="1"/>
  <c r="AJ26" i="1"/>
  <c r="AN18" i="1"/>
  <c r="AR18" i="1"/>
  <c r="AT431" i="1"/>
  <c r="AT343" i="1"/>
  <c r="AT291" i="1"/>
  <c r="AO18" i="1"/>
  <c r="AT165" i="1"/>
  <c r="AT43" i="1"/>
  <c r="AT49" i="1"/>
  <c r="AJ517" i="1"/>
  <c r="AJ513" i="1"/>
  <c r="AJ509" i="1"/>
  <c r="AJ505" i="1"/>
  <c r="AJ501" i="1"/>
  <c r="AJ497" i="1"/>
  <c r="AJ493" i="1"/>
  <c r="AJ489" i="1"/>
  <c r="AJ485" i="1"/>
  <c r="AJ481" i="1"/>
  <c r="AJ477" i="1"/>
  <c r="AJ473" i="1"/>
  <c r="AJ469" i="1"/>
  <c r="AJ465" i="1"/>
  <c r="AJ461" i="1"/>
  <c r="AJ457" i="1"/>
  <c r="AJ453" i="1"/>
  <c r="AJ449" i="1"/>
  <c r="AJ445" i="1"/>
  <c r="AJ441" i="1"/>
  <c r="AJ437" i="1"/>
  <c r="AJ433" i="1"/>
  <c r="AJ429" i="1"/>
  <c r="AJ425" i="1"/>
  <c r="AJ421" i="1"/>
  <c r="AJ417" i="1"/>
  <c r="AJ413" i="1"/>
  <c r="AJ409" i="1"/>
  <c r="AJ405" i="1"/>
  <c r="AJ401" i="1"/>
  <c r="AJ397" i="1"/>
  <c r="AJ393" i="1"/>
  <c r="AJ389" i="1"/>
  <c r="AJ385" i="1"/>
  <c r="AJ381" i="1"/>
  <c r="AJ377" i="1"/>
  <c r="AJ373" i="1"/>
  <c r="AJ369" i="1"/>
  <c r="AJ365" i="1"/>
  <c r="AJ361" i="1"/>
  <c r="AJ357" i="1"/>
  <c r="AJ353" i="1"/>
  <c r="AJ349" i="1"/>
  <c r="AJ345" i="1"/>
  <c r="AJ341" i="1"/>
  <c r="AJ337" i="1"/>
  <c r="AJ333" i="1"/>
  <c r="AJ329" i="1"/>
  <c r="AJ325" i="1"/>
  <c r="AJ321" i="1"/>
  <c r="AJ317" i="1"/>
  <c r="AJ313" i="1"/>
  <c r="AJ309" i="1"/>
  <c r="AJ305" i="1"/>
  <c r="AJ301" i="1"/>
  <c r="AJ297" i="1"/>
  <c r="AJ293" i="1"/>
  <c r="AJ289" i="1"/>
  <c r="AJ285" i="1"/>
  <c r="AJ281" i="1"/>
  <c r="AJ277" i="1"/>
  <c r="AJ273" i="1"/>
  <c r="AJ269" i="1"/>
  <c r="AJ265" i="1"/>
  <c r="AJ261" i="1"/>
  <c r="AJ257" i="1"/>
  <c r="AJ253" i="1"/>
  <c r="AJ249" i="1"/>
  <c r="AJ245" i="1"/>
  <c r="AJ241" i="1"/>
  <c r="AJ237" i="1"/>
  <c r="AJ233" i="1"/>
  <c r="AJ229" i="1"/>
  <c r="AJ225" i="1"/>
  <c r="AJ221" i="1"/>
  <c r="AJ217" i="1"/>
  <c r="AJ213" i="1"/>
  <c r="AJ209" i="1"/>
  <c r="AJ205" i="1"/>
  <c r="AJ201" i="1"/>
  <c r="AJ197" i="1"/>
  <c r="AJ193" i="1"/>
  <c r="AJ189" i="1"/>
  <c r="AJ185" i="1"/>
  <c r="AJ181" i="1"/>
  <c r="AJ177" i="1"/>
  <c r="AJ173" i="1"/>
  <c r="AJ169" i="1"/>
  <c r="AJ165" i="1"/>
  <c r="AJ161" i="1"/>
  <c r="AJ157" i="1"/>
  <c r="AJ153" i="1"/>
  <c r="AJ149" i="1"/>
  <c r="AJ145" i="1"/>
  <c r="AJ141" i="1"/>
  <c r="AJ137" i="1"/>
  <c r="AJ133" i="1"/>
  <c r="AJ129" i="1"/>
  <c r="AJ125" i="1"/>
  <c r="AJ121" i="1"/>
  <c r="AJ117" i="1"/>
  <c r="AJ113" i="1"/>
  <c r="AJ109" i="1"/>
  <c r="AJ105" i="1"/>
  <c r="AJ101" i="1"/>
  <c r="AJ97" i="1"/>
  <c r="AJ93" i="1"/>
  <c r="AJ89" i="1"/>
  <c r="AJ85" i="1"/>
  <c r="AJ81" i="1"/>
  <c r="AJ77" i="1"/>
  <c r="AJ73" i="1"/>
  <c r="AJ69" i="1"/>
  <c r="AJ65" i="1"/>
  <c r="AJ61" i="1"/>
  <c r="AJ57" i="1"/>
  <c r="AJ53" i="1"/>
  <c r="AJ49" i="1"/>
  <c r="AJ45" i="1"/>
  <c r="AJ41" i="1"/>
  <c r="AJ37" i="1"/>
  <c r="AJ33" i="1"/>
  <c r="AJ29" i="1"/>
  <c r="AJ25" i="1"/>
  <c r="AK517" i="1"/>
  <c r="AK513" i="1"/>
  <c r="AK509" i="1"/>
  <c r="AK505" i="1"/>
  <c r="AK501" i="1"/>
  <c r="AK497" i="1"/>
  <c r="AK493" i="1"/>
  <c r="AK489" i="1"/>
  <c r="AK485" i="1"/>
  <c r="AK481" i="1"/>
  <c r="AK477" i="1"/>
  <c r="AK473" i="1"/>
  <c r="AK469" i="1"/>
  <c r="AK465" i="1"/>
  <c r="AK461" i="1"/>
  <c r="AK457" i="1"/>
  <c r="AK453" i="1"/>
  <c r="AK449" i="1"/>
  <c r="AK445" i="1"/>
  <c r="AK441" i="1"/>
  <c r="AK437" i="1"/>
  <c r="AK433" i="1"/>
  <c r="AK429" i="1"/>
  <c r="AK425" i="1"/>
  <c r="AK421" i="1"/>
  <c r="AK417" i="1"/>
  <c r="AK413" i="1"/>
  <c r="AK409" i="1"/>
  <c r="AK405" i="1"/>
  <c r="AK401" i="1"/>
  <c r="AK397" i="1"/>
  <c r="AK393" i="1"/>
  <c r="AK389" i="1"/>
  <c r="AK385" i="1"/>
  <c r="AK381" i="1"/>
  <c r="AK377" i="1"/>
  <c r="AK373" i="1"/>
  <c r="AK369" i="1"/>
  <c r="AK365" i="1"/>
  <c r="AK361" i="1"/>
  <c r="AK357" i="1"/>
  <c r="AK353" i="1"/>
  <c r="AK349" i="1"/>
  <c r="AK345" i="1"/>
  <c r="AK341" i="1"/>
  <c r="AK337" i="1"/>
  <c r="AK333" i="1"/>
  <c r="AK329" i="1"/>
  <c r="AK325" i="1"/>
  <c r="AK321" i="1"/>
  <c r="AK317" i="1"/>
  <c r="AK313" i="1"/>
  <c r="AK309" i="1"/>
  <c r="AK305" i="1"/>
  <c r="AK301" i="1"/>
  <c r="AK297" i="1"/>
  <c r="AK293" i="1"/>
  <c r="AK289" i="1"/>
  <c r="AK285" i="1"/>
  <c r="AK281" i="1"/>
  <c r="AK277" i="1"/>
  <c r="AK273" i="1"/>
  <c r="AK269" i="1"/>
  <c r="AK265" i="1"/>
  <c r="AK261" i="1"/>
  <c r="AK257" i="1"/>
  <c r="AK253" i="1"/>
  <c r="AK249" i="1"/>
  <c r="AK245" i="1"/>
  <c r="AK241" i="1"/>
  <c r="AK237" i="1"/>
  <c r="AK233" i="1"/>
  <c r="AK229" i="1"/>
  <c r="AK225" i="1"/>
  <c r="AK221" i="1"/>
  <c r="AK217" i="1"/>
  <c r="AK213" i="1"/>
  <c r="AK209" i="1"/>
  <c r="AK205" i="1"/>
  <c r="AK201" i="1"/>
  <c r="AK197" i="1"/>
  <c r="AK193" i="1"/>
  <c r="AK189" i="1"/>
  <c r="AK185" i="1"/>
  <c r="AK181" i="1"/>
  <c r="AK177" i="1"/>
  <c r="AK173" i="1"/>
  <c r="AK169" i="1"/>
  <c r="AK165" i="1"/>
  <c r="AK161" i="1"/>
  <c r="AK157" i="1"/>
  <c r="AK153" i="1"/>
  <c r="AK149" i="1"/>
  <c r="AK145" i="1"/>
  <c r="AK141" i="1"/>
  <c r="AK137" i="1"/>
  <c r="AK133" i="1"/>
  <c r="AK129" i="1"/>
  <c r="AK125" i="1"/>
  <c r="AK121" i="1"/>
  <c r="AK117" i="1"/>
  <c r="AK113" i="1"/>
  <c r="AK109" i="1"/>
  <c r="AK105" i="1"/>
  <c r="AK101" i="1"/>
  <c r="AK97" i="1"/>
  <c r="AK93" i="1"/>
  <c r="AK89" i="1"/>
  <c r="AK85" i="1"/>
  <c r="AK81" i="1"/>
  <c r="AK77" i="1"/>
  <c r="AK73" i="1"/>
  <c r="AK69" i="1"/>
  <c r="AK65" i="1"/>
  <c r="AK61" i="1"/>
  <c r="AK57" i="1"/>
  <c r="AK53" i="1"/>
  <c r="AK49" i="1"/>
  <c r="AK45" i="1"/>
  <c r="AK41" i="1"/>
  <c r="AK37" i="1"/>
  <c r="AK33" i="1"/>
  <c r="AK29" i="1"/>
  <c r="AK25" i="1"/>
  <c r="AK21" i="1"/>
  <c r="AT235" i="1"/>
  <c r="AM516" i="1"/>
  <c r="AM512" i="1"/>
  <c r="AM508" i="1"/>
  <c r="AM504" i="1"/>
  <c r="AM500" i="1"/>
  <c r="AM496" i="1"/>
  <c r="AM492" i="1"/>
  <c r="AM488" i="1"/>
  <c r="AM484" i="1"/>
  <c r="AM480" i="1"/>
  <c r="AM476" i="1"/>
  <c r="AM472" i="1"/>
  <c r="AM468" i="1"/>
  <c r="AM464" i="1"/>
  <c r="AM460" i="1"/>
  <c r="AM456" i="1"/>
  <c r="AM452" i="1"/>
  <c r="AM448" i="1"/>
  <c r="AM444" i="1"/>
  <c r="AM440" i="1"/>
  <c r="AM436" i="1"/>
  <c r="AM432" i="1"/>
  <c r="AM428" i="1"/>
  <c r="AM424" i="1"/>
  <c r="AM420" i="1"/>
  <c r="AM416" i="1"/>
  <c r="AM412" i="1"/>
  <c r="AM408" i="1"/>
  <c r="AM404" i="1"/>
  <c r="AM400" i="1"/>
  <c r="AM396" i="1"/>
  <c r="AM392" i="1"/>
  <c r="AM388" i="1"/>
  <c r="AM384" i="1"/>
  <c r="AM380" i="1"/>
  <c r="AM376" i="1"/>
  <c r="AM372" i="1"/>
  <c r="AM368" i="1"/>
  <c r="AM364" i="1"/>
  <c r="AM360" i="1"/>
  <c r="AM356" i="1"/>
  <c r="AM352" i="1"/>
  <c r="AM348" i="1"/>
  <c r="AM344" i="1"/>
  <c r="AM340" i="1"/>
  <c r="AM336" i="1"/>
  <c r="AM332" i="1"/>
  <c r="AM328" i="1"/>
  <c r="AM324" i="1"/>
  <c r="AM312" i="1"/>
  <c r="AM304" i="1"/>
  <c r="AM296" i="1"/>
  <c r="AM288" i="1"/>
  <c r="AM276" i="1"/>
  <c r="AM244" i="1"/>
  <c r="AM228" i="1"/>
  <c r="AM220" i="1"/>
  <c r="AM208" i="1"/>
  <c r="AM192" i="1"/>
  <c r="AM100" i="1"/>
  <c r="AM68" i="1"/>
  <c r="AM52" i="1"/>
  <c r="AN22" i="1"/>
  <c r="AN26" i="1"/>
  <c r="AN30" i="1"/>
  <c r="AN34" i="1"/>
  <c r="AN38" i="1"/>
  <c r="AN42" i="1"/>
  <c r="AN46" i="1"/>
  <c r="AN50" i="1"/>
  <c r="AN54" i="1"/>
  <c r="AN58" i="1"/>
  <c r="AN62" i="1"/>
  <c r="AN66" i="1"/>
  <c r="AN70" i="1"/>
  <c r="AN74" i="1"/>
  <c r="AN78" i="1"/>
  <c r="AN82" i="1"/>
  <c r="AN86" i="1"/>
  <c r="AN90" i="1"/>
  <c r="AN94" i="1"/>
  <c r="AN98" i="1"/>
  <c r="AN102" i="1"/>
  <c r="AN106" i="1"/>
  <c r="AN110" i="1"/>
  <c r="AN114" i="1"/>
  <c r="AN118" i="1"/>
  <c r="AN122" i="1"/>
  <c r="AN126" i="1"/>
  <c r="AN130" i="1"/>
  <c r="AN134" i="1"/>
  <c r="AN138" i="1"/>
  <c r="AN142" i="1"/>
  <c r="AN146" i="1"/>
  <c r="AN150" i="1"/>
  <c r="AN154" i="1"/>
  <c r="AN158" i="1"/>
  <c r="AN162" i="1"/>
  <c r="AN166" i="1"/>
  <c r="AN170" i="1"/>
  <c r="AN174" i="1"/>
  <c r="AN178" i="1"/>
  <c r="AN182" i="1"/>
  <c r="AN186" i="1"/>
  <c r="AN190" i="1"/>
  <c r="AN194" i="1"/>
  <c r="AN198" i="1"/>
  <c r="AN202" i="1"/>
  <c r="AN206" i="1"/>
  <c r="AN210" i="1"/>
  <c r="AN214" i="1"/>
  <c r="AN218" i="1"/>
  <c r="AN222" i="1"/>
  <c r="AN226" i="1"/>
  <c r="AN230" i="1"/>
  <c r="AN234" i="1"/>
  <c r="AN238" i="1"/>
  <c r="AN242" i="1"/>
  <c r="AN246" i="1"/>
  <c r="AN250" i="1"/>
  <c r="AN254" i="1"/>
  <c r="AN258" i="1"/>
  <c r="AN262" i="1"/>
  <c r="AN266" i="1"/>
  <c r="AN270" i="1"/>
  <c r="AN274" i="1"/>
  <c r="AN278" i="1"/>
  <c r="AN282" i="1"/>
  <c r="AN286" i="1"/>
  <c r="AN290" i="1"/>
  <c r="AN294" i="1"/>
  <c r="AN298" i="1"/>
  <c r="AN302" i="1"/>
  <c r="AN306" i="1"/>
  <c r="AN310" i="1"/>
  <c r="AN314" i="1"/>
  <c r="AN318" i="1"/>
  <c r="AN322" i="1"/>
  <c r="AN326" i="1"/>
  <c r="AN330" i="1"/>
  <c r="AN334" i="1"/>
  <c r="AN338" i="1"/>
  <c r="AN342" i="1"/>
  <c r="AN346" i="1"/>
  <c r="AN350" i="1"/>
  <c r="AN354" i="1"/>
  <c r="AN358" i="1"/>
  <c r="AN362" i="1"/>
  <c r="AN366" i="1"/>
  <c r="AN370" i="1"/>
  <c r="AN374" i="1"/>
  <c r="AN378" i="1"/>
  <c r="AN382" i="1"/>
  <c r="AN386" i="1"/>
  <c r="AN390" i="1"/>
  <c r="AN394" i="1"/>
  <c r="AN398" i="1"/>
  <c r="AN402" i="1"/>
  <c r="AN406" i="1"/>
  <c r="AN410" i="1"/>
  <c r="AN414" i="1"/>
  <c r="AN418" i="1"/>
  <c r="AN422" i="1"/>
  <c r="AN426" i="1"/>
  <c r="AN430" i="1"/>
  <c r="AN434" i="1"/>
  <c r="AN438" i="1"/>
  <c r="AN442" i="1"/>
  <c r="AN446" i="1"/>
  <c r="AN450" i="1"/>
  <c r="AN454" i="1"/>
  <c r="AN458" i="1"/>
  <c r="AN462" i="1"/>
  <c r="AN466" i="1"/>
  <c r="AN470" i="1"/>
  <c r="AN474" i="1"/>
  <c r="AN478" i="1"/>
  <c r="AN482" i="1"/>
  <c r="AN486" i="1"/>
  <c r="AN490" i="1"/>
  <c r="AN494" i="1"/>
  <c r="AN498" i="1"/>
  <c r="AN502" i="1"/>
  <c r="AN506" i="1"/>
  <c r="AN510" i="1"/>
  <c r="AN514" i="1"/>
  <c r="AP21" i="1"/>
  <c r="AP514" i="1"/>
  <c r="AP510" i="1"/>
  <c r="AP506" i="1"/>
  <c r="AP502" i="1"/>
  <c r="AP498" i="1"/>
  <c r="AP494" i="1"/>
  <c r="AP490" i="1"/>
  <c r="AP486" i="1"/>
  <c r="AP482" i="1"/>
  <c r="AP478" i="1"/>
  <c r="AP474" i="1"/>
  <c r="AP470" i="1"/>
  <c r="AP466" i="1"/>
  <c r="AP462" i="1"/>
  <c r="AP458" i="1"/>
  <c r="AP454" i="1"/>
  <c r="AP450" i="1"/>
  <c r="AP446" i="1"/>
  <c r="AP442" i="1"/>
  <c r="AP438" i="1"/>
  <c r="AP434" i="1"/>
  <c r="AP430" i="1"/>
  <c r="AP426" i="1"/>
  <c r="AP422" i="1"/>
  <c r="AP418" i="1"/>
  <c r="AP414" i="1"/>
  <c r="AP410" i="1"/>
  <c r="AP406" i="1"/>
  <c r="AP402" i="1"/>
  <c r="AP398" i="1"/>
  <c r="AP394" i="1"/>
  <c r="AP390" i="1"/>
  <c r="AP386" i="1"/>
  <c r="AP382" i="1"/>
  <c r="AP378" i="1"/>
  <c r="AP374" i="1"/>
  <c r="AP370" i="1"/>
  <c r="AP366" i="1"/>
  <c r="AP362" i="1"/>
  <c r="AP358" i="1"/>
  <c r="AP354" i="1"/>
  <c r="AP350" i="1"/>
  <c r="AP346" i="1"/>
  <c r="AP342" i="1"/>
  <c r="AP338" i="1"/>
  <c r="AP334" i="1"/>
  <c r="AP330" i="1"/>
  <c r="AP326" i="1"/>
  <c r="AP322" i="1"/>
  <c r="AP318" i="1"/>
  <c r="AP314" i="1"/>
  <c r="AP310" i="1"/>
  <c r="AP306" i="1"/>
  <c r="AP302" i="1"/>
  <c r="AP298" i="1"/>
  <c r="AP294" i="1"/>
  <c r="AP290" i="1"/>
  <c r="AP286" i="1"/>
  <c r="AP282" i="1"/>
  <c r="AP278" i="1"/>
  <c r="AP274" i="1"/>
  <c r="AP270" i="1"/>
  <c r="AP266" i="1"/>
  <c r="AP262" i="1"/>
  <c r="AP258" i="1"/>
  <c r="AP254" i="1"/>
  <c r="AP250" i="1"/>
  <c r="AP246" i="1"/>
  <c r="AP242" i="1"/>
  <c r="AP238" i="1"/>
  <c r="AP234" i="1"/>
  <c r="AP230" i="1"/>
  <c r="AP226" i="1"/>
  <c r="AP222" i="1"/>
  <c r="AP218" i="1"/>
  <c r="AP214" i="1"/>
  <c r="AP210" i="1"/>
  <c r="AP206" i="1"/>
  <c r="AP202" i="1"/>
  <c r="AP198" i="1"/>
  <c r="AP194" i="1"/>
  <c r="AP190" i="1"/>
  <c r="AP186" i="1"/>
  <c r="AP182" i="1"/>
  <c r="AP178" i="1"/>
  <c r="AP174" i="1"/>
  <c r="AP170" i="1"/>
  <c r="AP166" i="1"/>
  <c r="AP162" i="1"/>
  <c r="AP158" i="1"/>
  <c r="AP154" i="1"/>
  <c r="AP150" i="1"/>
  <c r="AP146" i="1"/>
  <c r="AP142" i="1"/>
  <c r="AP138" i="1"/>
  <c r="AP134" i="1"/>
  <c r="AP130" i="1"/>
  <c r="AP126" i="1"/>
  <c r="AP122" i="1"/>
  <c r="AP118" i="1"/>
  <c r="AP114" i="1"/>
  <c r="AP110" i="1"/>
  <c r="AP98" i="1"/>
  <c r="AP86" i="1"/>
  <c r="AP66" i="1"/>
  <c r="AP46" i="1"/>
  <c r="AQ24" i="1"/>
  <c r="AQ28" i="1"/>
  <c r="AB14" i="1"/>
  <c r="AQ32" i="1"/>
  <c r="AQ36" i="1"/>
  <c r="AQ40" i="1"/>
  <c r="AQ44" i="1"/>
  <c r="AQ48" i="1"/>
  <c r="AQ52" i="1"/>
  <c r="AQ56" i="1"/>
  <c r="AQ60" i="1"/>
  <c r="AQ64" i="1"/>
  <c r="AQ68" i="1"/>
  <c r="AQ72" i="1"/>
  <c r="AQ76" i="1"/>
  <c r="AQ80" i="1"/>
  <c r="AQ84" i="1"/>
  <c r="AQ88" i="1"/>
  <c r="AQ92" i="1"/>
  <c r="AQ96" i="1"/>
  <c r="AQ100" i="1"/>
  <c r="AQ104" i="1"/>
  <c r="AQ108" i="1"/>
  <c r="AQ112" i="1"/>
  <c r="AQ116" i="1"/>
  <c r="AQ120" i="1"/>
  <c r="AQ124" i="1"/>
  <c r="AQ128" i="1"/>
  <c r="AQ132" i="1"/>
  <c r="AQ136" i="1"/>
  <c r="AQ140" i="1"/>
  <c r="AQ144" i="1"/>
  <c r="AQ148" i="1"/>
  <c r="AQ152" i="1"/>
  <c r="AQ156" i="1"/>
  <c r="AQ160" i="1"/>
  <c r="AQ164" i="1"/>
  <c r="AQ168" i="1"/>
  <c r="AQ172" i="1"/>
  <c r="AQ176" i="1"/>
  <c r="AQ180" i="1"/>
  <c r="AQ184" i="1"/>
  <c r="AQ188" i="1"/>
  <c r="AQ192" i="1"/>
  <c r="AQ196" i="1"/>
  <c r="AQ200" i="1"/>
  <c r="AQ204" i="1"/>
  <c r="AQ208" i="1"/>
  <c r="AQ212" i="1"/>
  <c r="AQ216" i="1"/>
  <c r="AQ220" i="1"/>
  <c r="AQ224" i="1"/>
  <c r="AQ228" i="1"/>
  <c r="AQ232" i="1"/>
  <c r="AQ236" i="1"/>
  <c r="AQ240" i="1"/>
  <c r="AQ244" i="1"/>
  <c r="AQ248" i="1"/>
  <c r="AQ252" i="1"/>
  <c r="AQ256" i="1"/>
  <c r="AQ260" i="1"/>
  <c r="AQ264" i="1"/>
  <c r="AQ268" i="1"/>
  <c r="AQ272" i="1"/>
  <c r="AQ276" i="1"/>
  <c r="AQ280" i="1"/>
  <c r="AQ284" i="1"/>
  <c r="AQ288" i="1"/>
  <c r="AQ292" i="1"/>
  <c r="AQ296" i="1"/>
  <c r="AQ300" i="1"/>
  <c r="AQ304" i="1"/>
  <c r="AQ308" i="1"/>
  <c r="AQ312" i="1"/>
  <c r="AQ316" i="1"/>
  <c r="AQ320" i="1"/>
  <c r="AQ324" i="1"/>
  <c r="AQ328" i="1"/>
  <c r="AQ332" i="1"/>
  <c r="AQ336" i="1"/>
  <c r="AQ340" i="1"/>
  <c r="AQ344" i="1"/>
  <c r="AQ348" i="1"/>
  <c r="AQ352" i="1"/>
  <c r="AQ356" i="1"/>
  <c r="AQ360" i="1"/>
  <c r="AQ364" i="1"/>
  <c r="AQ368" i="1"/>
  <c r="AQ372" i="1"/>
  <c r="AQ376" i="1"/>
  <c r="AQ380" i="1"/>
  <c r="AQ384" i="1"/>
  <c r="AQ388" i="1"/>
  <c r="AQ392" i="1"/>
  <c r="AQ396" i="1"/>
  <c r="AQ400" i="1"/>
  <c r="AQ404" i="1"/>
  <c r="AQ408" i="1"/>
  <c r="AQ412" i="1"/>
  <c r="AQ416" i="1"/>
  <c r="AQ420" i="1"/>
  <c r="AQ424" i="1"/>
  <c r="AQ428" i="1"/>
  <c r="AQ432" i="1"/>
  <c r="AQ436" i="1"/>
  <c r="AQ440" i="1"/>
  <c r="AQ444" i="1"/>
  <c r="AQ448" i="1"/>
  <c r="AQ452" i="1"/>
  <c r="AQ456" i="1"/>
  <c r="AQ460" i="1"/>
  <c r="AQ464" i="1"/>
  <c r="AQ468" i="1"/>
  <c r="AQ472" i="1"/>
  <c r="AQ476" i="1"/>
  <c r="AQ480" i="1"/>
  <c r="AQ484" i="1"/>
  <c r="AQ488" i="1"/>
  <c r="AQ492" i="1"/>
  <c r="AQ496" i="1"/>
  <c r="AQ500" i="1"/>
  <c r="AQ504" i="1"/>
  <c r="AQ508" i="1"/>
  <c r="AQ512" i="1"/>
  <c r="AQ516" i="1"/>
  <c r="AJ21" i="1"/>
  <c r="W21" i="1"/>
  <c r="AJ515" i="1"/>
  <c r="AJ511" i="1"/>
  <c r="AJ507" i="1"/>
  <c r="AJ503" i="1"/>
  <c r="AJ499" i="1"/>
  <c r="AJ495" i="1"/>
  <c r="AJ491" i="1"/>
  <c r="AJ487" i="1"/>
  <c r="AJ483" i="1"/>
  <c r="AJ479" i="1"/>
  <c r="AJ475" i="1"/>
  <c r="AJ471" i="1"/>
  <c r="AJ467" i="1"/>
  <c r="AJ463" i="1"/>
  <c r="AJ459" i="1"/>
  <c r="AJ455" i="1"/>
  <c r="AJ451" i="1"/>
  <c r="AJ447" i="1"/>
  <c r="AJ443" i="1"/>
  <c r="AJ439" i="1"/>
  <c r="AJ435" i="1"/>
  <c r="AJ431" i="1"/>
  <c r="AJ427" i="1"/>
  <c r="AJ423" i="1"/>
  <c r="AJ419" i="1"/>
  <c r="AJ415" i="1"/>
  <c r="AJ411" i="1"/>
  <c r="AJ407" i="1"/>
  <c r="AJ403" i="1"/>
  <c r="AJ399" i="1"/>
  <c r="AJ395" i="1"/>
  <c r="AJ391" i="1"/>
  <c r="AJ387" i="1"/>
  <c r="AJ383" i="1"/>
  <c r="AJ379" i="1"/>
  <c r="AJ375" i="1"/>
  <c r="AJ371" i="1"/>
  <c r="AJ367" i="1"/>
  <c r="AJ363" i="1"/>
  <c r="AJ359" i="1"/>
  <c r="AJ355" i="1"/>
  <c r="AJ351" i="1"/>
  <c r="AJ347" i="1"/>
  <c r="AJ343" i="1"/>
  <c r="AJ339" i="1"/>
  <c r="AJ335" i="1"/>
  <c r="AJ331" i="1"/>
  <c r="AJ327" i="1"/>
  <c r="AJ323" i="1"/>
  <c r="AJ319" i="1"/>
  <c r="AJ315" i="1"/>
  <c r="AJ311" i="1"/>
  <c r="AJ307" i="1"/>
  <c r="AJ303" i="1"/>
  <c r="AJ299" i="1"/>
  <c r="AJ295" i="1"/>
  <c r="AJ291" i="1"/>
  <c r="AJ287" i="1"/>
  <c r="AJ283" i="1"/>
  <c r="AJ279" i="1"/>
  <c r="AJ275" i="1"/>
  <c r="AJ271" i="1"/>
  <c r="AJ267" i="1"/>
  <c r="AJ263" i="1"/>
  <c r="AJ259" i="1"/>
  <c r="AJ255" i="1"/>
  <c r="AJ251" i="1"/>
  <c r="AJ247" i="1"/>
  <c r="AJ243" i="1"/>
  <c r="AJ239" i="1"/>
  <c r="AJ235" i="1"/>
  <c r="AJ231" i="1"/>
  <c r="AJ227" i="1"/>
  <c r="AJ223" i="1"/>
  <c r="AJ219" i="1"/>
  <c r="AJ215" i="1"/>
  <c r="AJ211" i="1"/>
  <c r="AJ207" i="1"/>
  <c r="AJ203" i="1"/>
  <c r="AJ199" i="1"/>
  <c r="AJ195" i="1"/>
  <c r="AJ191" i="1"/>
  <c r="AJ187" i="1"/>
  <c r="AJ183" i="1"/>
  <c r="AJ179" i="1"/>
  <c r="AJ175" i="1"/>
  <c r="AJ171" i="1"/>
  <c r="AJ167" i="1"/>
  <c r="AJ163" i="1"/>
  <c r="AJ159" i="1"/>
  <c r="AJ155" i="1"/>
  <c r="AJ151" i="1"/>
  <c r="AJ147" i="1"/>
  <c r="AJ143" i="1"/>
  <c r="AJ139" i="1"/>
  <c r="AJ135" i="1"/>
  <c r="AJ131" i="1"/>
  <c r="AJ127" i="1"/>
  <c r="AJ123" i="1"/>
  <c r="AJ119" i="1"/>
  <c r="AJ115" i="1"/>
  <c r="AJ111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K515" i="1"/>
  <c r="AK511" i="1"/>
  <c r="AK507" i="1"/>
  <c r="AK503" i="1"/>
  <c r="AK499" i="1"/>
  <c r="AK495" i="1"/>
  <c r="AK491" i="1"/>
  <c r="AK487" i="1"/>
  <c r="AK483" i="1"/>
  <c r="AK479" i="1"/>
  <c r="AK475" i="1"/>
  <c r="AK471" i="1"/>
  <c r="AK467" i="1"/>
  <c r="AK463" i="1"/>
  <c r="AK459" i="1"/>
  <c r="AK455" i="1"/>
  <c r="AK451" i="1"/>
  <c r="AK447" i="1"/>
  <c r="AK443" i="1"/>
  <c r="AK439" i="1"/>
  <c r="AK435" i="1"/>
  <c r="AK431" i="1"/>
  <c r="AK427" i="1"/>
  <c r="AK423" i="1"/>
  <c r="AK419" i="1"/>
  <c r="AK415" i="1"/>
  <c r="AK411" i="1"/>
  <c r="AK407" i="1"/>
  <c r="AK403" i="1"/>
  <c r="AK399" i="1"/>
  <c r="AK395" i="1"/>
  <c r="AK391" i="1"/>
  <c r="AK387" i="1"/>
  <c r="AK383" i="1"/>
  <c r="AK379" i="1"/>
  <c r="AK375" i="1"/>
  <c r="AK371" i="1"/>
  <c r="AK367" i="1"/>
  <c r="AK363" i="1"/>
  <c r="AK359" i="1"/>
  <c r="AK355" i="1"/>
  <c r="AK351" i="1"/>
  <c r="AK347" i="1"/>
  <c r="AK343" i="1"/>
  <c r="AK339" i="1"/>
  <c r="AK335" i="1"/>
  <c r="AK331" i="1"/>
  <c r="AK327" i="1"/>
  <c r="AK323" i="1"/>
  <c r="AK319" i="1"/>
  <c r="AK315" i="1"/>
  <c r="AK311" i="1"/>
  <c r="AK307" i="1"/>
  <c r="AK303" i="1"/>
  <c r="AK299" i="1"/>
  <c r="AK295" i="1"/>
  <c r="AK291" i="1"/>
  <c r="AK287" i="1"/>
  <c r="AK283" i="1"/>
  <c r="AK279" i="1"/>
  <c r="AK275" i="1"/>
  <c r="AK271" i="1"/>
  <c r="AK267" i="1"/>
  <c r="AK263" i="1"/>
  <c r="AK259" i="1"/>
  <c r="AK255" i="1"/>
  <c r="AK251" i="1"/>
  <c r="AK247" i="1"/>
  <c r="AK243" i="1"/>
  <c r="AK239" i="1"/>
  <c r="AK235" i="1"/>
  <c r="AK231" i="1"/>
  <c r="AK227" i="1"/>
  <c r="AK223" i="1"/>
  <c r="AK219" i="1"/>
  <c r="AK215" i="1"/>
  <c r="AK211" i="1"/>
  <c r="AK207" i="1"/>
  <c r="AK203" i="1"/>
  <c r="AK199" i="1"/>
  <c r="AK195" i="1"/>
  <c r="AK191" i="1"/>
  <c r="AK187" i="1"/>
  <c r="AK183" i="1"/>
  <c r="AK179" i="1"/>
  <c r="AK175" i="1"/>
  <c r="AK171" i="1"/>
  <c r="AK167" i="1"/>
  <c r="AK163" i="1"/>
  <c r="AK159" i="1"/>
  <c r="AK155" i="1"/>
  <c r="AK151" i="1"/>
  <c r="AK147" i="1"/>
  <c r="AK143" i="1"/>
  <c r="AK139" i="1"/>
  <c r="AK135" i="1"/>
  <c r="AK131" i="1"/>
  <c r="AK127" i="1"/>
  <c r="AK123" i="1"/>
  <c r="AK119" i="1"/>
  <c r="AK115" i="1"/>
  <c r="AK111" i="1"/>
  <c r="AK107" i="1"/>
  <c r="AK103" i="1"/>
  <c r="AK99" i="1"/>
  <c r="AK95" i="1"/>
  <c r="AK91" i="1"/>
  <c r="AK87" i="1"/>
  <c r="AK83" i="1"/>
  <c r="AK79" i="1"/>
  <c r="AK75" i="1"/>
  <c r="AK71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P108" i="1"/>
  <c r="AP104" i="1"/>
  <c r="AP100" i="1"/>
  <c r="AP96" i="1"/>
  <c r="AP92" i="1"/>
  <c r="AP88" i="1"/>
  <c r="AP84" i="1"/>
  <c r="AP80" i="1"/>
  <c r="AP76" i="1"/>
  <c r="AP72" i="1"/>
  <c r="AP68" i="1"/>
  <c r="AP64" i="1"/>
  <c r="AP60" i="1"/>
  <c r="AP56" i="1"/>
  <c r="AP52" i="1"/>
  <c r="AP48" i="1"/>
  <c r="AP44" i="1"/>
  <c r="AP40" i="1"/>
  <c r="AP36" i="1"/>
  <c r="AP32" i="1"/>
  <c r="AP28" i="1"/>
  <c r="AP24" i="1"/>
  <c r="AB11" i="1"/>
  <c r="AQ22" i="1"/>
  <c r="AQ26" i="1"/>
  <c r="AQ30" i="1"/>
  <c r="AQ34" i="1"/>
  <c r="AQ38" i="1"/>
  <c r="AQ42" i="1"/>
  <c r="AQ46" i="1"/>
  <c r="AQ50" i="1"/>
  <c r="AQ54" i="1"/>
  <c r="AQ58" i="1"/>
  <c r="AQ62" i="1"/>
  <c r="AQ66" i="1"/>
  <c r="AQ70" i="1"/>
  <c r="AQ74" i="1"/>
  <c r="AQ78" i="1"/>
  <c r="AQ82" i="1"/>
  <c r="AQ86" i="1"/>
  <c r="AQ90" i="1"/>
  <c r="AQ94" i="1"/>
  <c r="AQ98" i="1"/>
  <c r="AQ102" i="1"/>
  <c r="AQ106" i="1"/>
  <c r="AQ110" i="1"/>
  <c r="AQ114" i="1"/>
  <c r="AQ118" i="1"/>
  <c r="AQ122" i="1"/>
  <c r="AQ126" i="1"/>
  <c r="AQ130" i="1"/>
  <c r="AQ134" i="1"/>
  <c r="AQ138" i="1"/>
  <c r="AQ142" i="1"/>
  <c r="AQ146" i="1"/>
  <c r="AQ150" i="1"/>
  <c r="AQ154" i="1"/>
  <c r="AQ158" i="1"/>
  <c r="AQ162" i="1"/>
  <c r="AQ166" i="1"/>
  <c r="AQ170" i="1"/>
  <c r="AQ174" i="1"/>
  <c r="AQ178" i="1"/>
  <c r="AQ182" i="1"/>
  <c r="AQ186" i="1"/>
  <c r="AQ190" i="1"/>
  <c r="AQ194" i="1"/>
  <c r="AQ198" i="1"/>
  <c r="AQ202" i="1"/>
  <c r="AQ206" i="1"/>
  <c r="AQ210" i="1"/>
  <c r="AQ214" i="1"/>
  <c r="AQ218" i="1"/>
  <c r="AQ222" i="1"/>
  <c r="AQ226" i="1"/>
  <c r="AQ230" i="1"/>
  <c r="AQ234" i="1"/>
  <c r="AQ238" i="1"/>
  <c r="AQ242" i="1"/>
  <c r="AQ246" i="1"/>
  <c r="AQ250" i="1"/>
  <c r="AQ254" i="1"/>
  <c r="AQ258" i="1"/>
  <c r="AQ262" i="1"/>
  <c r="AQ266" i="1"/>
  <c r="AQ270" i="1"/>
  <c r="AQ274" i="1"/>
  <c r="AQ278" i="1"/>
  <c r="AQ282" i="1"/>
  <c r="AQ286" i="1"/>
  <c r="AQ290" i="1"/>
  <c r="AQ294" i="1"/>
  <c r="AQ298" i="1"/>
  <c r="AQ302" i="1"/>
  <c r="AQ306" i="1"/>
  <c r="AQ310" i="1"/>
  <c r="AQ314" i="1"/>
  <c r="AQ318" i="1"/>
  <c r="AQ322" i="1"/>
  <c r="AQ326" i="1"/>
  <c r="AQ330" i="1"/>
  <c r="AQ334" i="1"/>
  <c r="AQ338" i="1"/>
  <c r="AQ342" i="1"/>
  <c r="AQ346" i="1"/>
  <c r="AQ350" i="1"/>
  <c r="AQ354" i="1"/>
  <c r="AQ358" i="1"/>
  <c r="AQ362" i="1"/>
  <c r="AQ366" i="1"/>
  <c r="AQ370" i="1"/>
  <c r="AQ374" i="1"/>
  <c r="AQ378" i="1"/>
  <c r="AQ382" i="1"/>
  <c r="AQ386" i="1"/>
  <c r="AQ390" i="1"/>
  <c r="AQ394" i="1"/>
  <c r="AQ398" i="1"/>
  <c r="AQ402" i="1"/>
  <c r="AQ406" i="1"/>
  <c r="AQ410" i="1"/>
  <c r="AQ414" i="1"/>
  <c r="AQ418" i="1"/>
  <c r="AQ422" i="1"/>
  <c r="AQ426" i="1"/>
  <c r="AQ430" i="1"/>
  <c r="AQ434" i="1"/>
  <c r="AQ438" i="1"/>
  <c r="AQ442" i="1"/>
  <c r="AQ446" i="1"/>
  <c r="AQ450" i="1"/>
  <c r="AQ454" i="1"/>
  <c r="AQ458" i="1"/>
  <c r="AQ462" i="1"/>
  <c r="AQ466" i="1"/>
  <c r="AQ470" i="1"/>
  <c r="AQ474" i="1"/>
  <c r="AQ478" i="1"/>
  <c r="AQ482" i="1"/>
  <c r="AQ486" i="1"/>
  <c r="AQ490" i="1"/>
  <c r="AQ494" i="1"/>
  <c r="AQ498" i="1"/>
  <c r="AQ502" i="1"/>
  <c r="AQ506" i="1"/>
  <c r="AQ510" i="1"/>
  <c r="AQ514" i="1"/>
  <c r="AK328" i="1"/>
  <c r="AK324" i="1"/>
  <c r="AK320" i="1"/>
  <c r="AK316" i="1"/>
  <c r="AK312" i="1"/>
  <c r="AK308" i="1"/>
  <c r="AK304" i="1"/>
  <c r="AK300" i="1"/>
  <c r="AK296" i="1"/>
  <c r="AK292" i="1"/>
  <c r="AK288" i="1"/>
  <c r="AK284" i="1"/>
  <c r="AK280" i="1"/>
  <c r="AK276" i="1"/>
  <c r="AK272" i="1"/>
  <c r="AK268" i="1"/>
  <c r="AK264" i="1"/>
  <c r="AK260" i="1"/>
  <c r="AK256" i="1"/>
  <c r="AK252" i="1"/>
  <c r="AK248" i="1"/>
  <c r="AK244" i="1"/>
  <c r="AK240" i="1"/>
  <c r="AK236" i="1"/>
  <c r="AK232" i="1"/>
  <c r="AK228" i="1"/>
  <c r="AK224" i="1"/>
  <c r="AK220" i="1"/>
  <c r="AK216" i="1"/>
  <c r="AK212" i="1"/>
  <c r="AK208" i="1"/>
  <c r="AK204" i="1"/>
  <c r="AK200" i="1"/>
  <c r="AK196" i="1"/>
  <c r="AK192" i="1"/>
  <c r="AK188" i="1"/>
  <c r="AK184" i="1"/>
  <c r="AK180" i="1"/>
  <c r="AK176" i="1"/>
  <c r="AK172" i="1"/>
  <c r="AK168" i="1"/>
  <c r="AK164" i="1"/>
  <c r="AK160" i="1"/>
  <c r="AK156" i="1"/>
  <c r="AK152" i="1"/>
  <c r="AK148" i="1"/>
  <c r="AK144" i="1"/>
  <c r="AK140" i="1"/>
  <c r="AK136" i="1"/>
  <c r="AK132" i="1"/>
  <c r="AK128" i="1"/>
  <c r="AK124" i="1"/>
  <c r="AK120" i="1"/>
  <c r="AK116" i="1"/>
  <c r="AK112" i="1"/>
  <c r="AK108" i="1"/>
  <c r="AK104" i="1"/>
  <c r="AK100" i="1"/>
  <c r="AK96" i="1"/>
  <c r="AK92" i="1"/>
  <c r="AK88" i="1"/>
  <c r="AK84" i="1"/>
  <c r="AK80" i="1"/>
  <c r="AK76" i="1"/>
  <c r="AK72" i="1"/>
  <c r="AK68" i="1"/>
  <c r="AK64" i="1"/>
  <c r="AK60" i="1"/>
  <c r="AK56" i="1"/>
  <c r="AK52" i="1"/>
  <c r="AK48" i="1"/>
  <c r="AK44" i="1"/>
  <c r="AK40" i="1"/>
  <c r="AK36" i="1"/>
  <c r="AK32" i="1"/>
  <c r="AK28" i="1"/>
  <c r="V9" i="1"/>
  <c r="F501" i="11" s="1"/>
  <c r="AK24" i="1"/>
  <c r="AO501" i="1"/>
  <c r="AM517" i="1"/>
  <c r="AO513" i="1"/>
  <c r="AM513" i="1"/>
  <c r="AM509" i="1"/>
  <c r="AM505" i="1"/>
  <c r="AM501" i="1"/>
  <c r="AM497" i="1"/>
  <c r="AM493" i="1"/>
  <c r="AM489" i="1"/>
  <c r="AM485" i="1"/>
  <c r="AM481" i="1"/>
  <c r="AM477" i="1"/>
  <c r="AM473" i="1"/>
  <c r="AM469" i="1"/>
  <c r="AM465" i="1"/>
  <c r="AM461" i="1"/>
  <c r="AM457" i="1"/>
  <c r="AM453" i="1"/>
  <c r="AM449" i="1"/>
  <c r="AM445" i="1"/>
  <c r="AM441" i="1"/>
  <c r="AM437" i="1"/>
  <c r="AM433" i="1"/>
  <c r="AM429" i="1"/>
  <c r="AM425" i="1"/>
  <c r="AM421" i="1"/>
  <c r="AM417" i="1"/>
  <c r="AM413" i="1"/>
  <c r="AM409" i="1"/>
  <c r="AM405" i="1"/>
  <c r="AM401" i="1"/>
  <c r="AM397" i="1"/>
  <c r="AM393" i="1"/>
  <c r="AM389" i="1"/>
  <c r="AM385" i="1"/>
  <c r="AM381" i="1"/>
  <c r="AM377" i="1"/>
  <c r="AM373" i="1"/>
  <c r="AM369" i="1"/>
  <c r="AM365" i="1"/>
  <c r="AM361" i="1"/>
  <c r="AM357" i="1"/>
  <c r="AM353" i="1"/>
  <c r="AM349" i="1"/>
  <c r="AM345" i="1"/>
  <c r="AM341" i="1"/>
  <c r="AM337" i="1"/>
  <c r="AM333" i="1"/>
  <c r="AM329" i="1"/>
  <c r="AM325" i="1"/>
  <c r="AM321" i="1"/>
  <c r="AM317" i="1"/>
  <c r="AM313" i="1"/>
  <c r="AM309" i="1"/>
  <c r="AM305" i="1"/>
  <c r="AM301" i="1"/>
  <c r="AM297" i="1"/>
  <c r="AM293" i="1"/>
  <c r="AM289" i="1"/>
  <c r="AM285" i="1"/>
  <c r="AM281" i="1"/>
  <c r="AM277" i="1"/>
  <c r="AM273" i="1"/>
  <c r="AM269" i="1"/>
  <c r="AM265" i="1"/>
  <c r="AM261" i="1"/>
  <c r="AM257" i="1"/>
  <c r="AM253" i="1"/>
  <c r="AM249" i="1"/>
  <c r="AM245" i="1"/>
  <c r="AM241" i="1"/>
  <c r="AM237" i="1"/>
  <c r="AM233" i="1"/>
  <c r="AM229" i="1"/>
  <c r="AM225" i="1"/>
  <c r="AM221" i="1"/>
  <c r="AM217" i="1"/>
  <c r="AM213" i="1"/>
  <c r="AM209" i="1"/>
  <c r="AM205" i="1"/>
  <c r="AM201" i="1"/>
  <c r="AM197" i="1"/>
  <c r="AM193" i="1"/>
  <c r="AM189" i="1"/>
  <c r="AM185" i="1"/>
  <c r="AM181" i="1"/>
  <c r="AM177" i="1"/>
  <c r="AM173" i="1"/>
  <c r="AM169" i="1"/>
  <c r="AM165" i="1"/>
  <c r="AM161" i="1"/>
  <c r="AM157" i="1"/>
  <c r="AM153" i="1"/>
  <c r="AM149" i="1"/>
  <c r="AM145" i="1"/>
  <c r="AM141" i="1"/>
  <c r="AM137" i="1"/>
  <c r="AM133" i="1"/>
  <c r="AM129" i="1"/>
  <c r="AM125" i="1"/>
  <c r="AM121" i="1"/>
  <c r="AM117" i="1"/>
  <c r="AM113" i="1"/>
  <c r="AM109" i="1"/>
  <c r="AM105" i="1"/>
  <c r="AM101" i="1"/>
  <c r="AM97" i="1"/>
  <c r="AM93" i="1"/>
  <c r="AM89" i="1"/>
  <c r="AM85" i="1"/>
  <c r="AM81" i="1"/>
  <c r="AM77" i="1"/>
  <c r="AM73" i="1"/>
  <c r="AM69" i="1"/>
  <c r="AM65" i="1"/>
  <c r="AM61" i="1"/>
  <c r="AM57" i="1"/>
  <c r="AM53" i="1"/>
  <c r="AM49" i="1"/>
  <c r="AM45" i="1"/>
  <c r="AM41" i="1"/>
  <c r="AM37" i="1"/>
  <c r="AM33" i="1"/>
  <c r="AM29" i="1"/>
  <c r="AM25" i="1"/>
  <c r="AN21" i="1"/>
  <c r="AN25" i="1"/>
  <c r="AN29" i="1"/>
  <c r="AN33" i="1"/>
  <c r="AN37" i="1"/>
  <c r="AN41" i="1"/>
  <c r="AN45" i="1"/>
  <c r="AN49" i="1"/>
  <c r="AN53" i="1"/>
  <c r="AN57" i="1"/>
  <c r="AN61" i="1"/>
  <c r="AN65" i="1"/>
  <c r="AN69" i="1"/>
  <c r="AN73" i="1"/>
  <c r="AN77" i="1"/>
  <c r="AN81" i="1"/>
  <c r="AN85" i="1"/>
  <c r="AN89" i="1"/>
  <c r="AN93" i="1"/>
  <c r="AN97" i="1"/>
  <c r="AN101" i="1"/>
  <c r="AN105" i="1"/>
  <c r="AN109" i="1"/>
  <c r="AN113" i="1"/>
  <c r="AN117" i="1"/>
  <c r="AN121" i="1"/>
  <c r="AN125" i="1"/>
  <c r="AN129" i="1"/>
  <c r="AN133" i="1"/>
  <c r="AN137" i="1"/>
  <c r="AN141" i="1"/>
  <c r="AN145" i="1"/>
  <c r="AN149" i="1"/>
  <c r="AN153" i="1"/>
  <c r="AN157" i="1"/>
  <c r="AN161" i="1"/>
  <c r="AN165" i="1"/>
  <c r="AN169" i="1"/>
  <c r="AN173" i="1"/>
  <c r="AN177" i="1"/>
  <c r="AN181" i="1"/>
  <c r="AN185" i="1"/>
  <c r="AN189" i="1"/>
  <c r="AN193" i="1"/>
  <c r="AN197" i="1"/>
  <c r="AN201" i="1"/>
  <c r="AN205" i="1"/>
  <c r="AN209" i="1"/>
  <c r="AN213" i="1"/>
  <c r="AN217" i="1"/>
  <c r="AN221" i="1"/>
  <c r="AN225" i="1"/>
  <c r="AN229" i="1"/>
  <c r="AN233" i="1"/>
  <c r="AN237" i="1"/>
  <c r="AN241" i="1"/>
  <c r="AN245" i="1"/>
  <c r="AN249" i="1"/>
  <c r="AN253" i="1"/>
  <c r="AN257" i="1"/>
  <c r="AN261" i="1"/>
  <c r="AN265" i="1"/>
  <c r="AN269" i="1"/>
  <c r="AN273" i="1"/>
  <c r="AN277" i="1"/>
  <c r="AN281" i="1"/>
  <c r="AN285" i="1"/>
  <c r="AN289" i="1"/>
  <c r="AN293" i="1"/>
  <c r="AN297" i="1"/>
  <c r="AN301" i="1"/>
  <c r="AN305" i="1"/>
  <c r="AN309" i="1"/>
  <c r="AN313" i="1"/>
  <c r="AN317" i="1"/>
  <c r="AN321" i="1"/>
  <c r="AN325" i="1"/>
  <c r="AN329" i="1"/>
  <c r="AN333" i="1"/>
  <c r="AN337" i="1"/>
  <c r="AN341" i="1"/>
  <c r="AN345" i="1"/>
  <c r="AN349" i="1"/>
  <c r="AN353" i="1"/>
  <c r="AN357" i="1"/>
  <c r="AN361" i="1"/>
  <c r="AN365" i="1"/>
  <c r="AN369" i="1"/>
  <c r="AN373" i="1"/>
  <c r="AN377" i="1"/>
  <c r="AN381" i="1"/>
  <c r="AN385" i="1"/>
  <c r="AN389" i="1"/>
  <c r="AN393" i="1"/>
  <c r="AN397" i="1"/>
  <c r="AN401" i="1"/>
  <c r="AN405" i="1"/>
  <c r="AN409" i="1"/>
  <c r="AN413" i="1"/>
  <c r="AN417" i="1"/>
  <c r="AN421" i="1"/>
  <c r="AN425" i="1"/>
  <c r="AN429" i="1"/>
  <c r="AN433" i="1"/>
  <c r="AN437" i="1"/>
  <c r="AN441" i="1"/>
  <c r="AN445" i="1"/>
  <c r="AN449" i="1"/>
  <c r="AN453" i="1"/>
  <c r="AN457" i="1"/>
  <c r="AN461" i="1"/>
  <c r="AN465" i="1"/>
  <c r="AN469" i="1"/>
  <c r="AN473" i="1"/>
  <c r="AN477" i="1"/>
  <c r="AN481" i="1"/>
  <c r="AN485" i="1"/>
  <c r="AN489" i="1"/>
  <c r="AN493" i="1"/>
  <c r="AN497" i="1"/>
  <c r="AN501" i="1"/>
  <c r="AN505" i="1"/>
  <c r="AN509" i="1"/>
  <c r="AN513" i="1"/>
  <c r="AN517" i="1"/>
  <c r="AP515" i="1"/>
  <c r="AP511" i="1"/>
  <c r="AP507" i="1"/>
  <c r="AP503" i="1"/>
  <c r="AP499" i="1"/>
  <c r="AP495" i="1"/>
  <c r="AP491" i="1"/>
  <c r="AP487" i="1"/>
  <c r="AP483" i="1"/>
  <c r="AP479" i="1"/>
  <c r="AP475" i="1"/>
  <c r="AP471" i="1"/>
  <c r="AP467" i="1"/>
  <c r="AP463" i="1"/>
  <c r="AP459" i="1"/>
  <c r="AP455" i="1"/>
  <c r="AP451" i="1"/>
  <c r="AP447" i="1"/>
  <c r="AP443" i="1"/>
  <c r="AP439" i="1"/>
  <c r="AP435" i="1"/>
  <c r="AP431" i="1"/>
  <c r="AP427" i="1"/>
  <c r="AP423" i="1"/>
  <c r="AP419" i="1"/>
  <c r="AP415" i="1"/>
  <c r="AP411" i="1"/>
  <c r="AP407" i="1"/>
  <c r="AP403" i="1"/>
  <c r="AP399" i="1"/>
  <c r="AP395" i="1"/>
  <c r="AP391" i="1"/>
  <c r="AP387" i="1"/>
  <c r="AP383" i="1"/>
  <c r="AP379" i="1"/>
  <c r="AP375" i="1"/>
  <c r="AP371" i="1"/>
  <c r="AP367" i="1"/>
  <c r="AP363" i="1"/>
  <c r="AP359" i="1"/>
  <c r="AP355" i="1"/>
  <c r="AP351" i="1"/>
  <c r="AP347" i="1"/>
  <c r="AP343" i="1"/>
  <c r="AP339" i="1"/>
  <c r="AP335" i="1"/>
  <c r="AP331" i="1"/>
  <c r="AP327" i="1"/>
  <c r="AP323" i="1"/>
  <c r="AP319" i="1"/>
  <c r="AP315" i="1"/>
  <c r="AP311" i="1"/>
  <c r="AP307" i="1"/>
  <c r="AP303" i="1"/>
  <c r="AP299" i="1"/>
  <c r="AP295" i="1"/>
  <c r="AP291" i="1"/>
  <c r="AP287" i="1"/>
  <c r="AP283" i="1"/>
  <c r="AP279" i="1"/>
  <c r="AP275" i="1"/>
  <c r="AP271" i="1"/>
  <c r="AP267" i="1"/>
  <c r="AP263" i="1"/>
  <c r="AP259" i="1"/>
  <c r="AP255" i="1"/>
  <c r="AP251" i="1"/>
  <c r="AP247" i="1"/>
  <c r="AP243" i="1"/>
  <c r="AP239" i="1"/>
  <c r="AP235" i="1"/>
  <c r="AP231" i="1"/>
  <c r="AP227" i="1"/>
  <c r="AP223" i="1"/>
  <c r="AP219" i="1"/>
  <c r="AP215" i="1"/>
  <c r="AP211" i="1"/>
  <c r="AP207" i="1"/>
  <c r="AP203" i="1"/>
  <c r="AP199" i="1"/>
  <c r="AP195" i="1"/>
  <c r="AP191" i="1"/>
  <c r="AP187" i="1"/>
  <c r="AP183" i="1"/>
  <c r="AP179" i="1"/>
  <c r="AP175" i="1"/>
  <c r="AP171" i="1"/>
  <c r="AP167" i="1"/>
  <c r="AP163" i="1"/>
  <c r="AP159" i="1"/>
  <c r="AP155" i="1"/>
  <c r="AP151" i="1"/>
  <c r="AP147" i="1"/>
  <c r="AP143" i="1"/>
  <c r="AP139" i="1"/>
  <c r="AP135" i="1"/>
  <c r="AP131" i="1"/>
  <c r="AP127" i="1"/>
  <c r="AP123" i="1"/>
  <c r="AP119" i="1"/>
  <c r="AP115" i="1"/>
  <c r="AP111" i="1"/>
  <c r="AP107" i="1"/>
  <c r="AP103" i="1"/>
  <c r="AP99" i="1"/>
  <c r="AP95" i="1"/>
  <c r="AP91" i="1"/>
  <c r="AP87" i="1"/>
  <c r="AP83" i="1"/>
  <c r="AP79" i="1"/>
  <c r="AP75" i="1"/>
  <c r="AP71" i="1"/>
  <c r="AP67" i="1"/>
  <c r="AP63" i="1"/>
  <c r="AP59" i="1"/>
  <c r="AP55" i="1"/>
  <c r="AP51" i="1"/>
  <c r="AP47" i="1"/>
  <c r="AP43" i="1"/>
  <c r="AP39" i="1"/>
  <c r="AP35" i="1"/>
  <c r="AP31" i="1"/>
  <c r="AP27" i="1"/>
  <c r="AP23" i="1"/>
  <c r="AQ23" i="1"/>
  <c r="AQ27" i="1"/>
  <c r="AQ31" i="1"/>
  <c r="AQ35" i="1"/>
  <c r="AQ39" i="1"/>
  <c r="AQ43" i="1"/>
  <c r="AQ47" i="1"/>
  <c r="AQ51" i="1"/>
  <c r="AQ55" i="1"/>
  <c r="AQ59" i="1"/>
  <c r="AQ63" i="1"/>
  <c r="AQ67" i="1"/>
  <c r="AQ71" i="1"/>
  <c r="AQ75" i="1"/>
  <c r="AQ79" i="1"/>
  <c r="AQ83" i="1"/>
  <c r="AQ87" i="1"/>
  <c r="AQ91" i="1"/>
  <c r="AQ95" i="1"/>
  <c r="AQ99" i="1"/>
  <c r="AQ103" i="1"/>
  <c r="AQ107" i="1"/>
  <c r="AQ111" i="1"/>
  <c r="AQ115" i="1"/>
  <c r="AQ119" i="1"/>
  <c r="AQ123" i="1"/>
  <c r="AQ127" i="1"/>
  <c r="AQ131" i="1"/>
  <c r="AQ135" i="1"/>
  <c r="AQ139" i="1"/>
  <c r="AQ143" i="1"/>
  <c r="AQ147" i="1"/>
  <c r="AQ151" i="1"/>
  <c r="AQ155" i="1"/>
  <c r="AQ159" i="1"/>
  <c r="AQ163" i="1"/>
  <c r="AQ167" i="1"/>
  <c r="AQ171" i="1"/>
  <c r="AQ175" i="1"/>
  <c r="AQ179" i="1"/>
  <c r="AQ183" i="1"/>
  <c r="AQ187" i="1"/>
  <c r="AQ191" i="1"/>
  <c r="AQ195" i="1"/>
  <c r="AQ199" i="1"/>
  <c r="AQ203" i="1"/>
  <c r="AQ207" i="1"/>
  <c r="AQ211" i="1"/>
  <c r="AQ215" i="1"/>
  <c r="AQ219" i="1"/>
  <c r="AQ223" i="1"/>
  <c r="AQ227" i="1"/>
  <c r="AQ231" i="1"/>
  <c r="AQ235" i="1"/>
  <c r="AQ239" i="1"/>
  <c r="AQ243" i="1"/>
  <c r="AQ247" i="1"/>
  <c r="AQ251" i="1"/>
  <c r="AQ255" i="1"/>
  <c r="AQ259" i="1"/>
  <c r="AQ263" i="1"/>
  <c r="AQ267" i="1"/>
  <c r="AQ271" i="1"/>
  <c r="AQ275" i="1"/>
  <c r="AQ279" i="1"/>
  <c r="AQ283" i="1"/>
  <c r="AQ287" i="1"/>
  <c r="AQ291" i="1"/>
  <c r="AQ295" i="1"/>
  <c r="AQ299" i="1"/>
  <c r="AQ303" i="1"/>
  <c r="AQ307" i="1"/>
  <c r="AQ311" i="1"/>
  <c r="AQ315" i="1"/>
  <c r="AQ319" i="1"/>
  <c r="AQ323" i="1"/>
  <c r="AQ327" i="1"/>
  <c r="AQ331" i="1"/>
  <c r="AQ335" i="1"/>
  <c r="AQ339" i="1"/>
  <c r="AQ343" i="1"/>
  <c r="AQ347" i="1"/>
  <c r="AQ351" i="1"/>
  <c r="AQ355" i="1"/>
  <c r="AQ359" i="1"/>
  <c r="AQ363" i="1"/>
  <c r="AQ367" i="1"/>
  <c r="AQ371" i="1"/>
  <c r="AQ375" i="1"/>
  <c r="AQ379" i="1"/>
  <c r="AQ383" i="1"/>
  <c r="AQ387" i="1"/>
  <c r="AQ391" i="1"/>
  <c r="AQ395" i="1"/>
  <c r="AQ399" i="1"/>
  <c r="AQ403" i="1"/>
  <c r="AQ407" i="1"/>
  <c r="AQ411" i="1"/>
  <c r="AQ415" i="1"/>
  <c r="AQ419" i="1"/>
  <c r="AQ423" i="1"/>
  <c r="AQ427" i="1"/>
  <c r="AQ431" i="1"/>
  <c r="AQ435" i="1"/>
  <c r="AQ439" i="1"/>
  <c r="AQ443" i="1"/>
  <c r="AQ447" i="1"/>
  <c r="AQ451" i="1"/>
  <c r="AQ455" i="1"/>
  <c r="AQ459" i="1"/>
  <c r="AQ463" i="1"/>
  <c r="AQ467" i="1"/>
  <c r="AQ471" i="1"/>
  <c r="AQ475" i="1"/>
  <c r="AQ479" i="1"/>
  <c r="AQ483" i="1"/>
  <c r="AQ487" i="1"/>
  <c r="AQ491" i="1"/>
  <c r="AQ495" i="1"/>
  <c r="AQ499" i="1"/>
  <c r="AQ503" i="1"/>
  <c r="AQ507" i="1"/>
  <c r="AQ511" i="1"/>
  <c r="AQ515" i="1"/>
  <c r="AJ436" i="1"/>
  <c r="AJ432" i="1"/>
  <c r="AJ428" i="1"/>
  <c r="AJ424" i="1"/>
  <c r="AJ420" i="1"/>
  <c r="AJ416" i="1"/>
  <c r="AJ412" i="1"/>
  <c r="AJ408" i="1"/>
  <c r="AJ404" i="1"/>
  <c r="AJ400" i="1"/>
  <c r="AJ396" i="1"/>
  <c r="AJ392" i="1"/>
  <c r="AJ388" i="1"/>
  <c r="AJ384" i="1"/>
  <c r="AJ380" i="1"/>
  <c r="AJ376" i="1"/>
  <c r="AJ372" i="1"/>
  <c r="AJ368" i="1"/>
  <c r="AJ364" i="1"/>
  <c r="AJ360" i="1"/>
  <c r="AJ356" i="1"/>
  <c r="AJ352" i="1"/>
  <c r="AJ348" i="1"/>
  <c r="AJ344" i="1"/>
  <c r="AJ340" i="1"/>
  <c r="AJ336" i="1"/>
  <c r="AJ332" i="1"/>
  <c r="AJ328" i="1"/>
  <c r="AJ324" i="1"/>
  <c r="AJ320" i="1"/>
  <c r="AJ316" i="1"/>
  <c r="AJ312" i="1"/>
  <c r="AJ308" i="1"/>
  <c r="AJ304" i="1"/>
  <c r="AJ300" i="1"/>
  <c r="AJ296" i="1"/>
  <c r="AJ292" i="1"/>
  <c r="AJ288" i="1"/>
  <c r="AJ284" i="1"/>
  <c r="AJ280" i="1"/>
  <c r="AJ276" i="1"/>
  <c r="AJ272" i="1"/>
  <c r="AJ268" i="1"/>
  <c r="AJ264" i="1"/>
  <c r="AJ260" i="1"/>
  <c r="AJ256" i="1"/>
  <c r="AJ252" i="1"/>
  <c r="AJ248" i="1"/>
  <c r="AJ244" i="1"/>
  <c r="AJ240" i="1"/>
  <c r="AJ236" i="1"/>
  <c r="AJ232" i="1"/>
  <c r="AJ228" i="1"/>
  <c r="AJ224" i="1"/>
  <c r="AJ220" i="1"/>
  <c r="AJ216" i="1"/>
  <c r="AJ212" i="1"/>
  <c r="AJ208" i="1"/>
  <c r="AJ204" i="1"/>
  <c r="AJ200" i="1"/>
  <c r="AJ196" i="1"/>
  <c r="AJ192" i="1"/>
  <c r="AJ188" i="1"/>
  <c r="AJ184" i="1"/>
  <c r="AJ180" i="1"/>
  <c r="AJ176" i="1"/>
  <c r="AJ172" i="1"/>
  <c r="AJ168" i="1"/>
  <c r="AJ164" i="1"/>
  <c r="AJ160" i="1"/>
  <c r="AJ156" i="1"/>
  <c r="AJ152" i="1"/>
  <c r="AJ148" i="1"/>
  <c r="AJ144" i="1"/>
  <c r="AJ140" i="1"/>
  <c r="AJ136" i="1"/>
  <c r="AJ132" i="1"/>
  <c r="AJ128" i="1"/>
  <c r="AJ124" i="1"/>
  <c r="AJ120" i="1"/>
  <c r="AJ116" i="1"/>
  <c r="AJ112" i="1"/>
  <c r="AJ108" i="1"/>
  <c r="AJ104" i="1"/>
  <c r="AJ100" i="1"/>
  <c r="AJ96" i="1"/>
  <c r="AJ92" i="1"/>
  <c r="AJ88" i="1"/>
  <c r="AJ84" i="1"/>
  <c r="AJ80" i="1"/>
  <c r="AJ76" i="1"/>
  <c r="AJ72" i="1"/>
  <c r="AJ68" i="1"/>
  <c r="AJ64" i="1"/>
  <c r="AJ60" i="1"/>
  <c r="AJ56" i="1"/>
  <c r="AJ52" i="1"/>
  <c r="AJ48" i="1"/>
  <c r="AJ44" i="1"/>
  <c r="AJ40" i="1"/>
  <c r="AJ36" i="1"/>
  <c r="AJ32" i="1"/>
  <c r="AJ28" i="1"/>
  <c r="AJ24" i="1"/>
  <c r="AK514" i="1"/>
  <c r="AK510" i="1"/>
  <c r="AK506" i="1"/>
  <c r="AK502" i="1"/>
  <c r="AK498" i="1"/>
  <c r="AK494" i="1"/>
  <c r="AK490" i="1"/>
  <c r="AK486" i="1"/>
  <c r="AK482" i="1"/>
  <c r="AK478" i="1"/>
  <c r="AK474" i="1"/>
  <c r="AK470" i="1"/>
  <c r="AK466" i="1"/>
  <c r="AK462" i="1"/>
  <c r="AK458" i="1"/>
  <c r="AK454" i="1"/>
  <c r="AK450" i="1"/>
  <c r="AK446" i="1"/>
  <c r="AK442" i="1"/>
  <c r="AK438" i="1"/>
  <c r="AK434" i="1"/>
  <c r="AK430" i="1"/>
  <c r="AK426" i="1"/>
  <c r="AK422" i="1"/>
  <c r="AK418" i="1"/>
  <c r="AK414" i="1"/>
  <c r="AK410" i="1"/>
  <c r="AK406" i="1"/>
  <c r="AK402" i="1"/>
  <c r="AK398" i="1"/>
  <c r="AK394" i="1"/>
  <c r="AK390" i="1"/>
  <c r="AK386" i="1"/>
  <c r="AK382" i="1"/>
  <c r="AK378" i="1"/>
  <c r="AK374" i="1"/>
  <c r="AK370" i="1"/>
  <c r="AK366" i="1"/>
  <c r="AK362" i="1"/>
  <c r="AK358" i="1"/>
  <c r="AK354" i="1"/>
  <c r="AK350" i="1"/>
  <c r="AK346" i="1"/>
  <c r="AK342" i="1"/>
  <c r="AK338" i="1"/>
  <c r="AK334" i="1"/>
  <c r="AK330" i="1"/>
  <c r="AK326" i="1"/>
  <c r="AK322" i="1"/>
  <c r="AK318" i="1"/>
  <c r="AK314" i="1"/>
  <c r="AK310" i="1"/>
  <c r="AK306" i="1"/>
  <c r="AK302" i="1"/>
  <c r="AK298" i="1"/>
  <c r="AK294" i="1"/>
  <c r="AK290" i="1"/>
  <c r="AK286" i="1"/>
  <c r="AK282" i="1"/>
  <c r="AK278" i="1"/>
  <c r="AK274" i="1"/>
  <c r="AK270" i="1"/>
  <c r="AK266" i="1"/>
  <c r="AK262" i="1"/>
  <c r="AK258" i="1"/>
  <c r="AK254" i="1"/>
  <c r="AK250" i="1"/>
  <c r="AK246" i="1"/>
  <c r="AK242" i="1"/>
  <c r="AK238" i="1"/>
  <c r="AK234" i="1"/>
  <c r="AK230" i="1"/>
  <c r="AK226" i="1"/>
  <c r="AK222" i="1"/>
  <c r="AK218" i="1"/>
  <c r="AK214" i="1"/>
  <c r="AK210" i="1"/>
  <c r="AK206" i="1"/>
  <c r="AK202" i="1"/>
  <c r="AK198" i="1"/>
  <c r="AK194" i="1"/>
  <c r="AK190" i="1"/>
  <c r="AK186" i="1"/>
  <c r="AK182" i="1"/>
  <c r="AK178" i="1"/>
  <c r="AK174" i="1"/>
  <c r="AK170" i="1"/>
  <c r="AK166" i="1"/>
  <c r="AK162" i="1"/>
  <c r="AK158" i="1"/>
  <c r="AK154" i="1"/>
  <c r="AK150" i="1"/>
  <c r="AK146" i="1"/>
  <c r="AK142" i="1"/>
  <c r="AK138" i="1"/>
  <c r="AK134" i="1"/>
  <c r="AK130" i="1"/>
  <c r="AK126" i="1"/>
  <c r="AK122" i="1"/>
  <c r="AK118" i="1"/>
  <c r="AK114" i="1"/>
  <c r="AK110" i="1"/>
  <c r="AK106" i="1"/>
  <c r="AK102" i="1"/>
  <c r="AK98" i="1"/>
  <c r="AK94" i="1"/>
  <c r="AK90" i="1"/>
  <c r="AK86" i="1"/>
  <c r="AK82" i="1"/>
  <c r="AK78" i="1"/>
  <c r="AK74" i="1"/>
  <c r="AK70" i="1"/>
  <c r="AK66" i="1"/>
  <c r="AK62" i="1"/>
  <c r="AK58" i="1"/>
  <c r="AK54" i="1"/>
  <c r="AK50" i="1"/>
  <c r="AK46" i="1"/>
  <c r="AK42" i="1"/>
  <c r="AK38" i="1"/>
  <c r="AK34" i="1"/>
  <c r="AK30" i="1"/>
  <c r="AK26" i="1"/>
  <c r="AK22" i="1"/>
  <c r="AM515" i="1"/>
  <c r="AM511" i="1"/>
  <c r="AM507" i="1"/>
  <c r="AM503" i="1"/>
  <c r="AM499" i="1"/>
  <c r="AM495" i="1"/>
  <c r="AM491" i="1"/>
  <c r="AM487" i="1"/>
  <c r="AM483" i="1"/>
  <c r="AM479" i="1"/>
  <c r="AM475" i="1"/>
  <c r="AM471" i="1"/>
  <c r="AM467" i="1"/>
  <c r="AM463" i="1"/>
  <c r="AM459" i="1"/>
  <c r="AM455" i="1"/>
  <c r="AM451" i="1"/>
  <c r="AM447" i="1"/>
  <c r="AM443" i="1"/>
  <c r="AM439" i="1"/>
  <c r="AM435" i="1"/>
  <c r="AM431" i="1"/>
  <c r="AM427" i="1"/>
  <c r="AM423" i="1"/>
  <c r="AM419" i="1"/>
  <c r="AM415" i="1"/>
  <c r="AM411" i="1"/>
  <c r="AM407" i="1"/>
  <c r="AM403" i="1"/>
  <c r="AM399" i="1"/>
  <c r="AM395" i="1"/>
  <c r="AM391" i="1"/>
  <c r="AM387" i="1"/>
  <c r="AM383" i="1"/>
  <c r="AM379" i="1"/>
  <c r="AM375" i="1"/>
  <c r="AM371" i="1"/>
  <c r="AM367" i="1"/>
  <c r="AM363" i="1"/>
  <c r="AM359" i="1"/>
  <c r="AM355" i="1"/>
  <c r="AM351" i="1"/>
  <c r="AM347" i="1"/>
  <c r="AM343" i="1"/>
  <c r="AM339" i="1"/>
  <c r="AM335" i="1"/>
  <c r="AM331" i="1"/>
  <c r="AM327" i="1"/>
  <c r="AM323" i="1"/>
  <c r="AM319" i="1"/>
  <c r="AM315" i="1"/>
  <c r="AM311" i="1"/>
  <c r="AM307" i="1"/>
  <c r="AM303" i="1"/>
  <c r="AM299" i="1"/>
  <c r="AM295" i="1"/>
  <c r="AM291" i="1"/>
  <c r="AM287" i="1"/>
  <c r="AM283" i="1"/>
  <c r="AM279" i="1"/>
  <c r="AM275" i="1"/>
  <c r="AM271" i="1"/>
  <c r="AM267" i="1"/>
  <c r="AM263" i="1"/>
  <c r="AM259" i="1"/>
  <c r="AM255" i="1"/>
  <c r="AM251" i="1"/>
  <c r="AM247" i="1"/>
  <c r="AM243" i="1"/>
  <c r="AM239" i="1"/>
  <c r="AM235" i="1"/>
  <c r="AM231" i="1"/>
  <c r="AM227" i="1"/>
  <c r="AM223" i="1"/>
  <c r="AM219" i="1"/>
  <c r="AM215" i="1"/>
  <c r="AM211" i="1"/>
  <c r="AM207" i="1"/>
  <c r="AM203" i="1"/>
  <c r="AM199" i="1"/>
  <c r="AM195" i="1"/>
  <c r="AM191" i="1"/>
  <c r="AM187" i="1"/>
  <c r="AM183" i="1"/>
  <c r="AM179" i="1"/>
  <c r="AM175" i="1"/>
  <c r="AM171" i="1"/>
  <c r="AM167" i="1"/>
  <c r="AM163" i="1"/>
  <c r="AM159" i="1"/>
  <c r="AM155" i="1"/>
  <c r="AM151" i="1"/>
  <c r="AM147" i="1"/>
  <c r="AM143" i="1"/>
  <c r="AM139" i="1"/>
  <c r="AM135" i="1"/>
  <c r="AM131" i="1"/>
  <c r="AM127" i="1"/>
  <c r="AM123" i="1"/>
  <c r="AM119" i="1"/>
  <c r="AM115" i="1"/>
  <c r="AM111" i="1"/>
  <c r="AM107" i="1"/>
  <c r="AM103" i="1"/>
  <c r="AM99" i="1"/>
  <c r="AM95" i="1"/>
  <c r="AM91" i="1"/>
  <c r="AM87" i="1"/>
  <c r="AM83" i="1"/>
  <c r="AM79" i="1"/>
  <c r="AM75" i="1"/>
  <c r="AM71" i="1"/>
  <c r="AM67" i="1"/>
  <c r="AM63" i="1"/>
  <c r="AM59" i="1"/>
  <c r="AM55" i="1"/>
  <c r="AM51" i="1"/>
  <c r="AM47" i="1"/>
  <c r="AM43" i="1"/>
  <c r="AM39" i="1"/>
  <c r="AM35" i="1"/>
  <c r="AM31" i="1"/>
  <c r="AM27" i="1"/>
  <c r="AM23" i="1"/>
  <c r="AN23" i="1"/>
  <c r="AN27" i="1"/>
  <c r="AN31" i="1"/>
  <c r="AN35" i="1"/>
  <c r="AN39" i="1"/>
  <c r="AN43" i="1"/>
  <c r="AN47" i="1"/>
  <c r="AN51" i="1"/>
  <c r="AN55" i="1"/>
  <c r="AN59" i="1"/>
  <c r="AN63" i="1"/>
  <c r="AN67" i="1"/>
  <c r="AN71" i="1"/>
  <c r="AN75" i="1"/>
  <c r="AN79" i="1"/>
  <c r="AN83" i="1"/>
  <c r="AN87" i="1"/>
  <c r="AN91" i="1"/>
  <c r="AN95" i="1"/>
  <c r="AN99" i="1"/>
  <c r="AN103" i="1"/>
  <c r="AN107" i="1"/>
  <c r="AN111" i="1"/>
  <c r="AN115" i="1"/>
  <c r="AN119" i="1"/>
  <c r="AN123" i="1"/>
  <c r="AN127" i="1"/>
  <c r="AN131" i="1"/>
  <c r="AN135" i="1"/>
  <c r="AN139" i="1"/>
  <c r="AN143" i="1"/>
  <c r="AN147" i="1"/>
  <c r="AN151" i="1"/>
  <c r="AN155" i="1"/>
  <c r="AN159" i="1"/>
  <c r="AN163" i="1"/>
  <c r="AN167" i="1"/>
  <c r="AN171" i="1"/>
  <c r="AN175" i="1"/>
  <c r="AN179" i="1"/>
  <c r="AN183" i="1"/>
  <c r="AN187" i="1"/>
  <c r="AN191" i="1"/>
  <c r="AN195" i="1"/>
  <c r="AN199" i="1"/>
  <c r="AN203" i="1"/>
  <c r="AN207" i="1"/>
  <c r="AN211" i="1"/>
  <c r="AN215" i="1"/>
  <c r="AN219" i="1"/>
  <c r="AN223" i="1"/>
  <c r="AN227" i="1"/>
  <c r="AN231" i="1"/>
  <c r="AN235" i="1"/>
  <c r="AN239" i="1"/>
  <c r="AN243" i="1"/>
  <c r="AN247" i="1"/>
  <c r="AN251" i="1"/>
  <c r="AN255" i="1"/>
  <c r="AN259" i="1"/>
  <c r="AN263" i="1"/>
  <c r="AN267" i="1"/>
  <c r="AN271" i="1"/>
  <c r="AN275" i="1"/>
  <c r="AN279" i="1"/>
  <c r="AN283" i="1"/>
  <c r="AN287" i="1"/>
  <c r="AN291" i="1"/>
  <c r="AN295" i="1"/>
  <c r="AN299" i="1"/>
  <c r="AN303" i="1"/>
  <c r="AN307" i="1"/>
  <c r="AN311" i="1"/>
  <c r="AN315" i="1"/>
  <c r="AN319" i="1"/>
  <c r="AN323" i="1"/>
  <c r="AN327" i="1"/>
  <c r="AN331" i="1"/>
  <c r="AN335" i="1"/>
  <c r="AN339" i="1"/>
  <c r="AN343" i="1"/>
  <c r="AN347" i="1"/>
  <c r="AN351" i="1"/>
  <c r="AN355" i="1"/>
  <c r="AN359" i="1"/>
  <c r="AN363" i="1"/>
  <c r="AN367" i="1"/>
  <c r="AN371" i="1"/>
  <c r="AN375" i="1"/>
  <c r="AN379" i="1"/>
  <c r="AN383" i="1"/>
  <c r="AN387" i="1"/>
  <c r="AN391" i="1"/>
  <c r="AN395" i="1"/>
  <c r="AN399" i="1"/>
  <c r="AN403" i="1"/>
  <c r="AN407" i="1"/>
  <c r="AN411" i="1"/>
  <c r="AN415" i="1"/>
  <c r="AN419" i="1"/>
  <c r="AN423" i="1"/>
  <c r="AN427" i="1"/>
  <c r="AN431" i="1"/>
  <c r="AN435" i="1"/>
  <c r="AN439" i="1"/>
  <c r="AN443" i="1"/>
  <c r="AN447" i="1"/>
  <c r="AN451" i="1"/>
  <c r="AN455" i="1"/>
  <c r="AN459" i="1"/>
  <c r="AN463" i="1"/>
  <c r="AN467" i="1"/>
  <c r="AN471" i="1"/>
  <c r="AN475" i="1"/>
  <c r="AN479" i="1"/>
  <c r="AN483" i="1"/>
  <c r="AN487" i="1"/>
  <c r="AN491" i="1"/>
  <c r="AN495" i="1"/>
  <c r="AN499" i="1"/>
  <c r="AN503" i="1"/>
  <c r="AN507" i="1"/>
  <c r="AN511" i="1"/>
  <c r="AN515" i="1"/>
  <c r="AP517" i="1"/>
  <c r="AP513" i="1"/>
  <c r="AP509" i="1"/>
  <c r="AP505" i="1"/>
  <c r="AP501" i="1"/>
  <c r="AP497" i="1"/>
  <c r="AP493" i="1"/>
  <c r="AP489" i="1"/>
  <c r="AP485" i="1"/>
  <c r="AP481" i="1"/>
  <c r="AP477" i="1"/>
  <c r="AP473" i="1"/>
  <c r="AP469" i="1"/>
  <c r="AP465" i="1"/>
  <c r="AP461" i="1"/>
  <c r="AP457" i="1"/>
  <c r="AP453" i="1"/>
  <c r="AP449" i="1"/>
  <c r="AP445" i="1"/>
  <c r="AP441" i="1"/>
  <c r="AP437" i="1"/>
  <c r="AP433" i="1"/>
  <c r="AP429" i="1"/>
  <c r="AP425" i="1"/>
  <c r="AP421" i="1"/>
  <c r="AP417" i="1"/>
  <c r="AP413" i="1"/>
  <c r="AP409" i="1"/>
  <c r="AP405" i="1"/>
  <c r="AP401" i="1"/>
  <c r="AP397" i="1"/>
  <c r="AP393" i="1"/>
  <c r="AP389" i="1"/>
  <c r="AP385" i="1"/>
  <c r="AP381" i="1"/>
  <c r="AP377" i="1"/>
  <c r="AP373" i="1"/>
  <c r="AP369" i="1"/>
  <c r="AP365" i="1"/>
  <c r="AP361" i="1"/>
  <c r="AP357" i="1"/>
  <c r="AP353" i="1"/>
  <c r="AP349" i="1"/>
  <c r="AP345" i="1"/>
  <c r="AP341" i="1"/>
  <c r="AP337" i="1"/>
  <c r="AP333" i="1"/>
  <c r="AP329" i="1"/>
  <c r="AP325" i="1"/>
  <c r="AP321" i="1"/>
  <c r="AP317" i="1"/>
  <c r="AP313" i="1"/>
  <c r="AP309" i="1"/>
  <c r="AP305" i="1"/>
  <c r="AP301" i="1"/>
  <c r="AP297" i="1"/>
  <c r="AP293" i="1"/>
  <c r="AP289" i="1"/>
  <c r="AP285" i="1"/>
  <c r="AP281" i="1"/>
  <c r="AP277" i="1"/>
  <c r="AP273" i="1"/>
  <c r="AP269" i="1"/>
  <c r="AP265" i="1"/>
  <c r="AP261" i="1"/>
  <c r="AP257" i="1"/>
  <c r="AP253" i="1"/>
  <c r="AP249" i="1"/>
  <c r="AP245" i="1"/>
  <c r="AP241" i="1"/>
  <c r="AP237" i="1"/>
  <c r="AP233" i="1"/>
  <c r="AP229" i="1"/>
  <c r="AP225" i="1"/>
  <c r="AP221" i="1"/>
  <c r="AP217" i="1"/>
  <c r="AP213" i="1"/>
  <c r="AP209" i="1"/>
  <c r="AP205" i="1"/>
  <c r="AP201" i="1"/>
  <c r="AP197" i="1"/>
  <c r="AP193" i="1"/>
  <c r="AP189" i="1"/>
  <c r="AP185" i="1"/>
  <c r="AP181" i="1"/>
  <c r="AP177" i="1"/>
  <c r="AP173" i="1"/>
  <c r="AP169" i="1"/>
  <c r="AP165" i="1"/>
  <c r="AP161" i="1"/>
  <c r="AP157" i="1"/>
  <c r="AP153" i="1"/>
  <c r="AP149" i="1"/>
  <c r="AP145" i="1"/>
  <c r="AP141" i="1"/>
  <c r="AP137" i="1"/>
  <c r="AP133" i="1"/>
  <c r="AP129" i="1"/>
  <c r="AP125" i="1"/>
  <c r="AP121" i="1"/>
  <c r="AP117" i="1"/>
  <c r="AP113" i="1"/>
  <c r="AP109" i="1"/>
  <c r="AP105" i="1"/>
  <c r="AP101" i="1"/>
  <c r="AP97" i="1"/>
  <c r="AP93" i="1"/>
  <c r="AP89" i="1"/>
  <c r="AP85" i="1"/>
  <c r="AP81" i="1"/>
  <c r="AP77" i="1"/>
  <c r="AP73" i="1"/>
  <c r="AP69" i="1"/>
  <c r="AP65" i="1"/>
  <c r="AP61" i="1"/>
  <c r="AP57" i="1"/>
  <c r="AP53" i="1"/>
  <c r="AA14" i="1"/>
  <c r="AP49" i="1"/>
  <c r="AP45" i="1"/>
  <c r="AP41" i="1"/>
  <c r="AP37" i="1"/>
  <c r="AA16" i="1"/>
  <c r="AP33" i="1"/>
  <c r="AP29" i="1"/>
  <c r="AP25" i="1"/>
  <c r="AQ21" i="1"/>
  <c r="AQ25" i="1"/>
  <c r="AQ29" i="1"/>
  <c r="AQ33" i="1"/>
  <c r="AQ37" i="1"/>
  <c r="AQ41" i="1"/>
  <c r="AQ45" i="1"/>
  <c r="AQ49" i="1"/>
  <c r="AQ53" i="1"/>
  <c r="AQ57" i="1"/>
  <c r="AQ61" i="1"/>
  <c r="AQ65" i="1"/>
  <c r="AQ69" i="1"/>
  <c r="AQ73" i="1"/>
  <c r="AQ77" i="1"/>
  <c r="AQ81" i="1"/>
  <c r="AQ85" i="1"/>
  <c r="AQ89" i="1"/>
  <c r="AQ93" i="1"/>
  <c r="AQ97" i="1"/>
  <c r="AQ101" i="1"/>
  <c r="AQ105" i="1"/>
  <c r="AQ109" i="1"/>
  <c r="AQ113" i="1"/>
  <c r="AQ117" i="1"/>
  <c r="AQ121" i="1"/>
  <c r="AQ125" i="1"/>
  <c r="AQ129" i="1"/>
  <c r="AQ133" i="1"/>
  <c r="AQ137" i="1"/>
  <c r="AQ141" i="1"/>
  <c r="AQ145" i="1"/>
  <c r="AQ149" i="1"/>
  <c r="AQ153" i="1"/>
  <c r="AQ157" i="1"/>
  <c r="AQ161" i="1"/>
  <c r="AQ165" i="1"/>
  <c r="AQ169" i="1"/>
  <c r="AQ173" i="1"/>
  <c r="AQ177" i="1"/>
  <c r="AQ181" i="1"/>
  <c r="AQ185" i="1"/>
  <c r="AQ189" i="1"/>
  <c r="AQ193" i="1"/>
  <c r="AQ197" i="1"/>
  <c r="AQ201" i="1"/>
  <c r="AQ205" i="1"/>
  <c r="AQ209" i="1"/>
  <c r="AQ213" i="1"/>
  <c r="AQ217" i="1"/>
  <c r="AQ221" i="1"/>
  <c r="AQ225" i="1"/>
  <c r="AQ229" i="1"/>
  <c r="AQ233" i="1"/>
  <c r="AQ237" i="1"/>
  <c r="AQ241" i="1"/>
  <c r="AQ245" i="1"/>
  <c r="AQ249" i="1"/>
  <c r="AQ253" i="1"/>
  <c r="AQ257" i="1"/>
  <c r="AQ261" i="1"/>
  <c r="AQ265" i="1"/>
  <c r="AQ269" i="1"/>
  <c r="AQ273" i="1"/>
  <c r="AQ277" i="1"/>
  <c r="AQ281" i="1"/>
  <c r="AQ285" i="1"/>
  <c r="AQ289" i="1"/>
  <c r="AQ293" i="1"/>
  <c r="AQ297" i="1"/>
  <c r="AQ301" i="1"/>
  <c r="AQ305" i="1"/>
  <c r="AQ309" i="1"/>
  <c r="AQ313" i="1"/>
  <c r="AQ317" i="1"/>
  <c r="AQ321" i="1"/>
  <c r="AQ325" i="1"/>
  <c r="AQ329" i="1"/>
  <c r="AQ333" i="1"/>
  <c r="AQ337" i="1"/>
  <c r="AQ341" i="1"/>
  <c r="AQ345" i="1"/>
  <c r="AQ349" i="1"/>
  <c r="AQ353" i="1"/>
  <c r="AQ357" i="1"/>
  <c r="AQ361" i="1"/>
  <c r="AQ365" i="1"/>
  <c r="AQ369" i="1"/>
  <c r="AQ373" i="1"/>
  <c r="AQ377" i="1"/>
  <c r="AQ381" i="1"/>
  <c r="AQ385" i="1"/>
  <c r="AQ389" i="1"/>
  <c r="AQ393" i="1"/>
  <c r="AQ397" i="1"/>
  <c r="AQ401" i="1"/>
  <c r="AQ405" i="1"/>
  <c r="AQ409" i="1"/>
  <c r="AQ413" i="1"/>
  <c r="AQ417" i="1"/>
  <c r="AQ421" i="1"/>
  <c r="AQ425" i="1"/>
  <c r="AQ429" i="1"/>
  <c r="AQ433" i="1"/>
  <c r="AQ437" i="1"/>
  <c r="AQ441" i="1"/>
  <c r="AQ445" i="1"/>
  <c r="AQ449" i="1"/>
  <c r="AQ453" i="1"/>
  <c r="AQ457" i="1"/>
  <c r="AQ461" i="1"/>
  <c r="AQ465" i="1"/>
  <c r="AQ469" i="1"/>
  <c r="AQ473" i="1"/>
  <c r="AQ477" i="1"/>
  <c r="AQ481" i="1"/>
  <c r="AQ485" i="1"/>
  <c r="AQ489" i="1"/>
  <c r="AQ493" i="1"/>
  <c r="AQ497" i="1"/>
  <c r="AQ501" i="1"/>
  <c r="AQ505" i="1"/>
  <c r="AQ509" i="1"/>
  <c r="AQ513" i="1"/>
  <c r="AQ517" i="1"/>
  <c r="AA12" i="1"/>
  <c r="Y13" i="1"/>
  <c r="Y9" i="1"/>
  <c r="H501" i="11" s="1"/>
  <c r="Y16" i="1"/>
  <c r="Y12" i="1"/>
  <c r="Y17" i="1"/>
  <c r="X15" i="1"/>
  <c r="X12" i="1"/>
  <c r="X16" i="1"/>
  <c r="X11" i="1"/>
  <c r="AD18" i="1"/>
  <c r="AC21" i="1"/>
  <c r="AA9" i="1"/>
  <c r="I501" i="11" s="1"/>
  <c r="AA15" i="1"/>
  <c r="AB13" i="1"/>
  <c r="AB15" i="1"/>
  <c r="AA17" i="1"/>
  <c r="AB9" i="1"/>
  <c r="J501" i="11" s="1"/>
  <c r="AB12" i="1"/>
  <c r="AA13" i="1"/>
  <c r="AB17" i="1"/>
  <c r="AD21" i="1"/>
  <c r="AG21" i="1" s="1"/>
  <c r="Y14" i="1"/>
  <c r="X17" i="1"/>
  <c r="AF18" i="1"/>
  <c r="X14" i="1"/>
  <c r="Y15" i="1"/>
  <c r="AE18" i="1"/>
  <c r="Y11" i="1"/>
  <c r="X13" i="1"/>
  <c r="X19" i="1"/>
  <c r="X9" i="1"/>
  <c r="G501" i="11" s="1"/>
  <c r="V13" i="1"/>
  <c r="V11" i="1"/>
  <c r="V16" i="1"/>
  <c r="V15" i="1"/>
  <c r="V14" i="1"/>
  <c r="V12" i="1"/>
  <c r="U15" i="1"/>
  <c r="U19" i="1"/>
  <c r="U14" i="1"/>
  <c r="U9" i="1"/>
  <c r="E501" i="11" s="1"/>
  <c r="U17" i="1"/>
  <c r="AS271" i="1"/>
  <c r="AT417" i="1"/>
  <c r="AO95" i="1"/>
  <c r="AO87" i="1"/>
  <c r="AO59" i="1"/>
  <c r="AO43" i="1"/>
  <c r="AO27" i="1"/>
  <c r="M11" i="1"/>
  <c r="AL497" i="1"/>
  <c r="AL485" i="1"/>
  <c r="AL385" i="1"/>
  <c r="AL351" i="1"/>
  <c r="AR325" i="1"/>
  <c r="AL321" i="1"/>
  <c r="AR305" i="1"/>
  <c r="AL305" i="1"/>
  <c r="AR293" i="1"/>
  <c r="AR281" i="1"/>
  <c r="AR273" i="1"/>
  <c r="AO272" i="1"/>
  <c r="AS139" i="1"/>
  <c r="AT123" i="1"/>
  <c r="AT69" i="1"/>
  <c r="M16" i="1"/>
  <c r="AQ16" i="1" s="1"/>
  <c r="L11" i="1"/>
  <c r="AP11" i="1" s="1"/>
  <c r="AT383" i="1"/>
  <c r="J11" i="1"/>
  <c r="L14" i="1"/>
  <c r="AO303" i="1"/>
  <c r="AR127" i="1"/>
  <c r="AR107" i="1"/>
  <c r="AR93" i="1"/>
  <c r="AL87" i="1"/>
  <c r="AL79" i="1"/>
  <c r="AR77" i="1"/>
  <c r="AR45" i="1"/>
  <c r="AR37" i="1"/>
  <c r="L13" i="1"/>
  <c r="AO351" i="1"/>
  <c r="AO481" i="1"/>
  <c r="AL453" i="1"/>
  <c r="AL445" i="1"/>
  <c r="AL441" i="1"/>
  <c r="AL417" i="1"/>
  <c r="AT355" i="1"/>
  <c r="AO33" i="1"/>
  <c r="AR32" i="1"/>
  <c r="L19" i="1"/>
  <c r="AL143" i="1"/>
  <c r="H21" i="1"/>
  <c r="N21" i="1"/>
  <c r="I19" i="1"/>
  <c r="AL477" i="1"/>
  <c r="AL469" i="1"/>
  <c r="AL465" i="1"/>
  <c r="AL463" i="1"/>
  <c r="AO335" i="1"/>
  <c r="M13" i="1"/>
  <c r="AO271" i="1"/>
  <c r="I12" i="1"/>
  <c r="AR249" i="1"/>
  <c r="AR241" i="1"/>
  <c r="AR155" i="1"/>
  <c r="AL517" i="1"/>
  <c r="AL509" i="1"/>
  <c r="AL501" i="1"/>
  <c r="AO415" i="1"/>
  <c r="AL337" i="1"/>
  <c r="AO239" i="1"/>
  <c r="AR188" i="1"/>
  <c r="AR139" i="1"/>
  <c r="AL119" i="1"/>
  <c r="AR53" i="1"/>
  <c r="AL513" i="1"/>
  <c r="AL511" i="1"/>
  <c r="AL493" i="1"/>
  <c r="AL449" i="1"/>
  <c r="M19" i="1"/>
  <c r="AQ19" i="1" s="1"/>
  <c r="AL481" i="1"/>
  <c r="AL461" i="1"/>
  <c r="AL401" i="1"/>
  <c r="AL359" i="1"/>
  <c r="AL303" i="1"/>
  <c r="AO55" i="1"/>
  <c r="AL487" i="1"/>
  <c r="M9" i="1"/>
  <c r="AO393" i="1"/>
  <c r="AR377" i="1"/>
  <c r="AR345" i="1"/>
  <c r="AR337" i="1"/>
  <c r="AR313" i="1"/>
  <c r="AO103" i="1"/>
  <c r="AO23" i="1"/>
  <c r="AR199" i="1"/>
  <c r="AR159" i="1"/>
  <c r="M12" i="1"/>
  <c r="AL55" i="1"/>
  <c r="AR186" i="1"/>
  <c r="AR151" i="1"/>
  <c r="AR143" i="1"/>
  <c r="AR119" i="1"/>
  <c r="AL111" i="1"/>
  <c r="M14" i="1"/>
  <c r="L16" i="1"/>
  <c r="O21" i="1"/>
  <c r="R21" i="1" s="1"/>
  <c r="AS383" i="1"/>
  <c r="L15" i="1"/>
  <c r="AL431" i="1"/>
  <c r="AL429" i="1"/>
  <c r="AR413" i="1"/>
  <c r="AL413" i="1"/>
  <c r="AL397" i="1"/>
  <c r="AL381" i="1"/>
  <c r="AL373" i="1"/>
  <c r="AL357" i="1"/>
  <c r="AO297" i="1"/>
  <c r="AR261" i="1"/>
  <c r="AL231" i="1"/>
  <c r="AR229" i="1"/>
  <c r="L17" i="1"/>
  <c r="AS479" i="1"/>
  <c r="I13" i="1"/>
  <c r="L12" i="1"/>
  <c r="L9" i="1"/>
  <c r="AT517" i="1"/>
  <c r="AR505" i="1"/>
  <c r="AR477" i="1"/>
  <c r="AR469" i="1"/>
  <c r="AL437" i="1"/>
  <c r="AL421" i="1"/>
  <c r="AR405" i="1"/>
  <c r="AL405" i="1"/>
  <c r="AL389" i="1"/>
  <c r="I9" i="1"/>
  <c r="AL369" i="1"/>
  <c r="AL353" i="1"/>
  <c r="AL271" i="1"/>
  <c r="AL255" i="1"/>
  <c r="AL239" i="1"/>
  <c r="AL341" i="1"/>
  <c r="AL333" i="1"/>
  <c r="AL325" i="1"/>
  <c r="AR219" i="1"/>
  <c r="AR217" i="1"/>
  <c r="AL213" i="1"/>
  <c r="AR211" i="1"/>
  <c r="AR209" i="1"/>
  <c r="AL199" i="1"/>
  <c r="AR197" i="1"/>
  <c r="AL197" i="1"/>
  <c r="AR187" i="1"/>
  <c r="AR185" i="1"/>
  <c r="AL181" i="1"/>
  <c r="AL175" i="1"/>
  <c r="AR171" i="1"/>
  <c r="AR169" i="1"/>
  <c r="AR167" i="1"/>
  <c r="AL165" i="1"/>
  <c r="J15" i="1"/>
  <c r="J9" i="1"/>
  <c r="AR128" i="1"/>
  <c r="AR30" i="1"/>
  <c r="AR137" i="1"/>
  <c r="AR105" i="1"/>
  <c r="AR103" i="1"/>
  <c r="AO99" i="1"/>
  <c r="AR91" i="1"/>
  <c r="AO83" i="1"/>
  <c r="AR75" i="1"/>
  <c r="AL73" i="1"/>
  <c r="AO69" i="1"/>
  <c r="AR63" i="1"/>
  <c r="AL57" i="1"/>
  <c r="AR55" i="1"/>
  <c r="AO51" i="1"/>
  <c r="AR47" i="1"/>
  <c r="AL33" i="1"/>
  <c r="AR31" i="1"/>
  <c r="AL31" i="1"/>
  <c r="AL25" i="1"/>
  <c r="AR23" i="1"/>
  <c r="AR157" i="1"/>
  <c r="AR149" i="1"/>
  <c r="AL149" i="1"/>
  <c r="AL133" i="1"/>
  <c r="AR125" i="1"/>
  <c r="AR117" i="1"/>
  <c r="AL117" i="1"/>
  <c r="AL101" i="1"/>
  <c r="AL97" i="1"/>
  <c r="AR95" i="1"/>
  <c r="AL85" i="1"/>
  <c r="AL81" i="1"/>
  <c r="AO75" i="1"/>
  <c r="AL69" i="1"/>
  <c r="AR67" i="1"/>
  <c r="AO63" i="1"/>
  <c r="AL53" i="1"/>
  <c r="AR51" i="1"/>
  <c r="AL45" i="1"/>
  <c r="AL37" i="1"/>
  <c r="AR35" i="1"/>
  <c r="AO31" i="1"/>
  <c r="AR27" i="1"/>
  <c r="M17" i="1"/>
  <c r="AO207" i="1"/>
  <c r="AL289" i="1"/>
  <c r="AL281" i="1"/>
  <c r="AL277" i="1"/>
  <c r="AL273" i="1"/>
  <c r="AL265" i="1"/>
  <c r="AL261" i="1"/>
  <c r="AL257" i="1"/>
  <c r="AL249" i="1"/>
  <c r="AL245" i="1"/>
  <c r="AL241" i="1"/>
  <c r="AL233" i="1"/>
  <c r="AL229" i="1"/>
  <c r="AL207" i="1"/>
  <c r="AO199" i="1"/>
  <c r="AO181" i="1"/>
  <c r="AO179" i="1"/>
  <c r="AO173" i="1"/>
  <c r="AO171" i="1"/>
  <c r="AO165" i="1"/>
  <c r="AO163" i="1"/>
  <c r="AO157" i="1"/>
  <c r="AO149" i="1"/>
  <c r="AO141" i="1"/>
  <c r="AO133" i="1"/>
  <c r="AO125" i="1"/>
  <c r="AO117" i="1"/>
  <c r="AO155" i="1"/>
  <c r="AO147" i="1"/>
  <c r="AO139" i="1"/>
  <c r="AO131" i="1"/>
  <c r="AO123" i="1"/>
  <c r="P21" i="1"/>
  <c r="S21" i="1" s="1"/>
  <c r="M15" i="1"/>
  <c r="J19" i="1"/>
  <c r="J17" i="1"/>
  <c r="J16" i="1"/>
  <c r="I15" i="1"/>
  <c r="I14" i="1"/>
  <c r="J13" i="1"/>
  <c r="J14" i="1"/>
  <c r="I17" i="1"/>
  <c r="J12" i="1"/>
  <c r="I16" i="1"/>
  <c r="E9" i="1"/>
  <c r="R16" i="14" l="1"/>
  <c r="J501" i="10"/>
  <c r="J502" i="10" s="1"/>
  <c r="I501" i="10"/>
  <c r="I502" i="10" s="1"/>
  <c r="H501" i="10"/>
  <c r="H502" i="10" s="1"/>
  <c r="G501" i="10"/>
  <c r="G502" i="10" s="1"/>
  <c r="AW482" i="1"/>
  <c r="S13" i="14"/>
  <c r="S10" i="14"/>
  <c r="AW383" i="1"/>
  <c r="AW498" i="1"/>
  <c r="AW69" i="1"/>
  <c r="AW355" i="1"/>
  <c r="AV484" i="1"/>
  <c r="AX503" i="1"/>
  <c r="AV21" i="1"/>
  <c r="AW253" i="1"/>
  <c r="AW478" i="1"/>
  <c r="AV386" i="1"/>
  <c r="AX517" i="1"/>
  <c r="AW430" i="1"/>
  <c r="D501" i="11"/>
  <c r="D502" i="11" s="1"/>
  <c r="S11" i="14"/>
  <c r="S14" i="14"/>
  <c r="O16" i="14"/>
  <c r="O12" i="14"/>
  <c r="O8" i="14"/>
  <c r="S9" i="14"/>
  <c r="R10" i="14"/>
  <c r="R9" i="14"/>
  <c r="R12" i="14"/>
  <c r="O13" i="14"/>
  <c r="Q11" i="13"/>
  <c r="N11" i="14"/>
  <c r="Q14" i="13"/>
  <c r="N14" i="14"/>
  <c r="T8" i="14"/>
  <c r="O11" i="14"/>
  <c r="Q13" i="13"/>
  <c r="H13" i="14"/>
  <c r="T10" i="14"/>
  <c r="R14" i="14"/>
  <c r="S12" i="13"/>
  <c r="S12" i="14" s="1"/>
  <c r="Q9" i="13"/>
  <c r="H9" i="14"/>
  <c r="R11" i="14"/>
  <c r="T16" i="14"/>
  <c r="R8" i="14"/>
  <c r="O14" i="14"/>
  <c r="O9" i="14"/>
  <c r="R6" i="14"/>
  <c r="S6" i="14"/>
  <c r="Q12" i="13"/>
  <c r="T6" i="13"/>
  <c r="T6" i="14" s="1"/>
  <c r="T18" i="13"/>
  <c r="T18" i="14" s="1"/>
  <c r="AL295" i="1"/>
  <c r="AL77" i="1"/>
  <c r="AL189" i="1"/>
  <c r="AL221" i="1"/>
  <c r="AL237" i="1"/>
  <c r="AL253" i="1"/>
  <c r="AL269" i="1"/>
  <c r="AL109" i="1"/>
  <c r="AL125" i="1"/>
  <c r="AL141" i="1"/>
  <c r="AL157" i="1"/>
  <c r="AL93" i="1"/>
  <c r="AL173" i="1"/>
  <c r="AL473" i="1"/>
  <c r="AL489" i="1"/>
  <c r="AL505" i="1"/>
  <c r="AL61" i="1"/>
  <c r="AL205" i="1"/>
  <c r="AL301" i="1"/>
  <c r="AL361" i="1"/>
  <c r="AL377" i="1"/>
  <c r="AL425" i="1"/>
  <c r="AP19" i="1"/>
  <c r="AV183" i="1"/>
  <c r="AT83" i="1"/>
  <c r="AL457" i="1"/>
  <c r="AL393" i="1"/>
  <c r="AL409" i="1"/>
  <c r="AT289" i="1"/>
  <c r="AE19" i="1"/>
  <c r="W17" i="1"/>
  <c r="K19" i="1"/>
  <c r="AW343" i="1"/>
  <c r="AL63" i="1"/>
  <c r="AL89" i="1"/>
  <c r="AL105" i="1"/>
  <c r="AL121" i="1"/>
  <c r="AL137" i="1"/>
  <c r="AL153" i="1"/>
  <c r="AL169" i="1"/>
  <c r="AL287" i="1"/>
  <c r="AL383" i="1"/>
  <c r="AL297" i="1"/>
  <c r="AS131" i="1"/>
  <c r="AL127" i="1"/>
  <c r="AW173" i="1"/>
  <c r="AT39" i="1"/>
  <c r="AV40" i="1"/>
  <c r="AL335" i="1"/>
  <c r="AL407" i="1"/>
  <c r="AL439" i="1"/>
  <c r="AL41" i="1"/>
  <c r="AL183" i="1"/>
  <c r="AL201" i="1"/>
  <c r="AL217" i="1"/>
  <c r="AL329" i="1"/>
  <c r="AL151" i="1"/>
  <c r="AL95" i="1"/>
  <c r="AW484" i="1"/>
  <c r="AL311" i="1"/>
  <c r="AL495" i="1"/>
  <c r="AO391" i="1"/>
  <c r="AO504" i="1"/>
  <c r="AL49" i="1"/>
  <c r="AL65" i="1"/>
  <c r="AL193" i="1"/>
  <c r="AL209" i="1"/>
  <c r="AT503" i="1"/>
  <c r="AX426" i="1"/>
  <c r="AO21" i="1"/>
  <c r="AL113" i="1"/>
  <c r="AL129" i="1"/>
  <c r="AL145" i="1"/>
  <c r="AL161" i="1"/>
  <c r="AL177" i="1"/>
  <c r="AV271" i="1"/>
  <c r="AW403" i="1"/>
  <c r="AU442" i="1"/>
  <c r="AR184" i="1"/>
  <c r="AL391" i="1"/>
  <c r="AL71" i="1"/>
  <c r="AL319" i="1"/>
  <c r="AL471" i="1"/>
  <c r="AW163" i="1"/>
  <c r="AO430" i="1"/>
  <c r="AO162" i="1"/>
  <c r="AR28" i="1"/>
  <c r="AO412" i="1"/>
  <c r="AT427" i="1"/>
  <c r="AV39" i="1"/>
  <c r="AW467" i="1"/>
  <c r="AT337" i="1"/>
  <c r="AL23" i="1"/>
  <c r="AL343" i="1"/>
  <c r="AL503" i="1"/>
  <c r="AL215" i="1"/>
  <c r="AL415" i="1"/>
  <c r="AL39" i="1"/>
  <c r="AR126" i="1"/>
  <c r="AR210" i="1"/>
  <c r="AL447" i="1"/>
  <c r="AL159" i="1"/>
  <c r="AR124" i="1"/>
  <c r="AR111" i="1"/>
  <c r="AP16" i="1"/>
  <c r="AR69" i="1"/>
  <c r="AR81" i="1"/>
  <c r="AR101" i="1"/>
  <c r="AR189" i="1"/>
  <c r="AR277" i="1"/>
  <c r="AR425" i="1"/>
  <c r="AR433" i="1"/>
  <c r="AR493" i="1"/>
  <c r="AO35" i="1"/>
  <c r="AO107" i="1"/>
  <c r="AS335" i="1"/>
  <c r="AT225" i="1"/>
  <c r="AT187" i="1"/>
  <c r="AT177" i="1"/>
  <c r="AS503" i="1"/>
  <c r="AL191" i="1"/>
  <c r="AL263" i="1"/>
  <c r="AL103" i="1"/>
  <c r="AL367" i="1"/>
  <c r="AR507" i="1"/>
  <c r="AR475" i="1"/>
  <c r="AR443" i="1"/>
  <c r="AR411" i="1"/>
  <c r="AR379" i="1"/>
  <c r="AR49" i="1"/>
  <c r="AS43" i="1"/>
  <c r="AV131" i="1"/>
  <c r="AO512" i="1"/>
  <c r="AV68" i="1"/>
  <c r="AL225" i="1"/>
  <c r="AW213" i="1"/>
  <c r="AT213" i="1"/>
  <c r="AW181" i="1"/>
  <c r="AT181" i="1"/>
  <c r="AW321" i="1"/>
  <c r="AT321" i="1"/>
  <c r="AP15" i="1"/>
  <c r="AR21" i="1"/>
  <c r="AR417" i="1"/>
  <c r="AO255" i="1"/>
  <c r="AV51" i="1"/>
  <c r="AS471" i="1"/>
  <c r="AL167" i="1"/>
  <c r="AL247" i="1"/>
  <c r="AL375" i="1"/>
  <c r="AL455" i="1"/>
  <c r="AR502" i="1"/>
  <c r="Q21" i="1"/>
  <c r="T21" i="1" s="1"/>
  <c r="AW63" i="1"/>
  <c r="AT63" i="1"/>
  <c r="AW417" i="1"/>
  <c r="AO511" i="1"/>
  <c r="AO479" i="1"/>
  <c r="AO499" i="1"/>
  <c r="AO467" i="1"/>
  <c r="AO435" i="1"/>
  <c r="AO403" i="1"/>
  <c r="AO371" i="1"/>
  <c r="AO339" i="1"/>
  <c r="AO275" i="1"/>
  <c r="AO243" i="1"/>
  <c r="AO455" i="1"/>
  <c r="AO327" i="1"/>
  <c r="AO263" i="1"/>
  <c r="AO24" i="1"/>
  <c r="AM14" i="1"/>
  <c r="AD16" i="1"/>
  <c r="AR495" i="1"/>
  <c r="AR463" i="1"/>
  <c r="AT386" i="1"/>
  <c r="AR39" i="1"/>
  <c r="AW505" i="1"/>
  <c r="AT453" i="1"/>
  <c r="AT359" i="1"/>
  <c r="AW205" i="1"/>
  <c r="AW85" i="1"/>
  <c r="AS63" i="1"/>
  <c r="AV95" i="1"/>
  <c r="AX482" i="1"/>
  <c r="AT501" i="1"/>
  <c r="AV103" i="1"/>
  <c r="AS103" i="1"/>
  <c r="AL365" i="1"/>
  <c r="AR141" i="1"/>
  <c r="AW139" i="1"/>
  <c r="AT227" i="1"/>
  <c r="AL47" i="1"/>
  <c r="AW509" i="1"/>
  <c r="AT509" i="1"/>
  <c r="AW295" i="1"/>
  <c r="AT295" i="1"/>
  <c r="AW199" i="1"/>
  <c r="AT199" i="1"/>
  <c r="AW51" i="1"/>
  <c r="AT51" i="1"/>
  <c r="AW149" i="1"/>
  <c r="AT149" i="1"/>
  <c r="AW249" i="1"/>
  <c r="AT249" i="1"/>
  <c r="AW293" i="1"/>
  <c r="AT293" i="1"/>
  <c r="AL327" i="1"/>
  <c r="AR215" i="1"/>
  <c r="AR84" i="1"/>
  <c r="AO517" i="1"/>
  <c r="AL124" i="1"/>
  <c r="AL140" i="1"/>
  <c r="AL156" i="1"/>
  <c r="AL188" i="1"/>
  <c r="AL204" i="1"/>
  <c r="AL220" i="1"/>
  <c r="AL252" i="1"/>
  <c r="AL268" i="1"/>
  <c r="AL284" i="1"/>
  <c r="AR183" i="1"/>
  <c r="AO85" i="1"/>
  <c r="AO193" i="1"/>
  <c r="AO201" i="1"/>
  <c r="AO321" i="1"/>
  <c r="AO337" i="1"/>
  <c r="AO433" i="1"/>
  <c r="AO457" i="1"/>
  <c r="AO469" i="1"/>
  <c r="AO477" i="1"/>
  <c r="AO497" i="1"/>
  <c r="AT473" i="1"/>
  <c r="AS379" i="1"/>
  <c r="AW151" i="1"/>
  <c r="AT229" i="1"/>
  <c r="AT461" i="1"/>
  <c r="AW325" i="1"/>
  <c r="AW107" i="1"/>
  <c r="AV27" i="1"/>
  <c r="AS27" i="1"/>
  <c r="AW167" i="1"/>
  <c r="AT167" i="1"/>
  <c r="AW179" i="1"/>
  <c r="AT179" i="1"/>
  <c r="AR347" i="1"/>
  <c r="AR315" i="1"/>
  <c r="AQ15" i="1"/>
  <c r="AR121" i="1"/>
  <c r="AR177" i="1"/>
  <c r="AR297" i="1"/>
  <c r="AR389" i="1"/>
  <c r="AO231" i="1"/>
  <c r="AT514" i="1"/>
  <c r="AW469" i="1"/>
  <c r="AV179" i="1"/>
  <c r="AS179" i="1"/>
  <c r="AR79" i="1"/>
  <c r="AL223" i="1"/>
  <c r="AW489" i="1"/>
  <c r="AT489" i="1"/>
  <c r="AW389" i="1"/>
  <c r="AT389" i="1"/>
  <c r="AL279" i="1"/>
  <c r="AL399" i="1"/>
  <c r="AL479" i="1"/>
  <c r="AW435" i="1"/>
  <c r="AT435" i="1"/>
  <c r="AT263" i="1"/>
  <c r="AW363" i="1"/>
  <c r="AT363" i="1"/>
  <c r="AL135" i="1"/>
  <c r="AW261" i="1"/>
  <c r="AT261" i="1"/>
  <c r="AW385" i="1"/>
  <c r="AT385" i="1"/>
  <c r="AW243" i="1"/>
  <c r="AT243" i="1"/>
  <c r="AW73" i="1"/>
  <c r="AT73" i="1"/>
  <c r="AW93" i="1"/>
  <c r="AO509" i="1"/>
  <c r="AO241" i="1"/>
  <c r="AO121" i="1"/>
  <c r="AM16" i="1"/>
  <c r="AO257" i="1"/>
  <c r="AO289" i="1"/>
  <c r="AO313" i="1"/>
  <c r="AO369" i="1"/>
  <c r="AO409" i="1"/>
  <c r="AR498" i="1"/>
  <c r="AR438" i="1"/>
  <c r="AR410" i="1"/>
  <c r="AR402" i="1"/>
  <c r="AR382" i="1"/>
  <c r="AR374" i="1"/>
  <c r="AR358" i="1"/>
  <c r="AR306" i="1"/>
  <c r="AR298" i="1"/>
  <c r="AR166" i="1"/>
  <c r="AR158" i="1"/>
  <c r="AR130" i="1"/>
  <c r="AL27" i="1"/>
  <c r="AL91" i="1"/>
  <c r="AL123" i="1"/>
  <c r="AL187" i="1"/>
  <c r="AL219" i="1"/>
  <c r="AL315" i="1"/>
  <c r="AL347" i="1"/>
  <c r="AL379" i="1"/>
  <c r="AL443" i="1"/>
  <c r="AL475" i="1"/>
  <c r="AL507" i="1"/>
  <c r="AT479" i="1"/>
  <c r="W9" i="1"/>
  <c r="AT483" i="1"/>
  <c r="AT397" i="1"/>
  <c r="AW97" i="1"/>
  <c r="AW71" i="1"/>
  <c r="AR484" i="1"/>
  <c r="AR296" i="1"/>
  <c r="AR288" i="1"/>
  <c r="AR216" i="1"/>
  <c r="AR192" i="1"/>
  <c r="AR180" i="1"/>
  <c r="AR104" i="1"/>
  <c r="AR96" i="1"/>
  <c r="AR76" i="1"/>
  <c r="AR56" i="1"/>
  <c r="AR36" i="1"/>
  <c r="AR138" i="1"/>
  <c r="AR234" i="1"/>
  <c r="AO494" i="1"/>
  <c r="AT478" i="1"/>
  <c r="AT297" i="1"/>
  <c r="AT279" i="1"/>
  <c r="AT115" i="1"/>
  <c r="AT215" i="1"/>
  <c r="AT35" i="1"/>
  <c r="AO454" i="1"/>
  <c r="AT430" i="1"/>
  <c r="AO354" i="1"/>
  <c r="AO334" i="1"/>
  <c r="AO326" i="1"/>
  <c r="AO318" i="1"/>
  <c r="AO290" i="1"/>
  <c r="AO282" i="1"/>
  <c r="AO258" i="1"/>
  <c r="AO250" i="1"/>
  <c r="AO234" i="1"/>
  <c r="AO226" i="1"/>
  <c r="AO218" i="1"/>
  <c r="AO210" i="1"/>
  <c r="AO94" i="1"/>
  <c r="AO54" i="1"/>
  <c r="AO22" i="1"/>
  <c r="AO328" i="1"/>
  <c r="AO448" i="1"/>
  <c r="AW387" i="1"/>
  <c r="AO204" i="1"/>
  <c r="AW369" i="1"/>
  <c r="AW131" i="1"/>
  <c r="AW49" i="1"/>
  <c r="AW281" i="1"/>
  <c r="AW414" i="1"/>
  <c r="AL30" i="1"/>
  <c r="AL42" i="1"/>
  <c r="AL74" i="1"/>
  <c r="AL86" i="1"/>
  <c r="AL114" i="1"/>
  <c r="AL122" i="1"/>
  <c r="AL134" i="1"/>
  <c r="AL162" i="1"/>
  <c r="AL170" i="1"/>
  <c r="AL182" i="1"/>
  <c r="AL194" i="1"/>
  <c r="AL214" i="1"/>
  <c r="AL234" i="1"/>
  <c r="AL242" i="1"/>
  <c r="AL250" i="1"/>
  <c r="AL290" i="1"/>
  <c r="AL298" i="1"/>
  <c r="AL322" i="1"/>
  <c r="AL334" i="1"/>
  <c r="AL338" i="1"/>
  <c r="AL382" i="1"/>
  <c r="AL418" i="1"/>
  <c r="AL430" i="1"/>
  <c r="AL486" i="1"/>
  <c r="AL498" i="1"/>
  <c r="AW221" i="1"/>
  <c r="AW401" i="1"/>
  <c r="AL448" i="1"/>
  <c r="AL456" i="1"/>
  <c r="AL464" i="1"/>
  <c r="AL472" i="1"/>
  <c r="AL480" i="1"/>
  <c r="AL488" i="1"/>
  <c r="AL496" i="1"/>
  <c r="AL504" i="1"/>
  <c r="AL512" i="1"/>
  <c r="AW373" i="1"/>
  <c r="AW191" i="1"/>
  <c r="AW235" i="1"/>
  <c r="AT429" i="1"/>
  <c r="AV195" i="1"/>
  <c r="AW61" i="1"/>
  <c r="AV31" i="1"/>
  <c r="AO212" i="1"/>
  <c r="AV517" i="1"/>
  <c r="AW353" i="1"/>
  <c r="AW103" i="1"/>
  <c r="AV84" i="1"/>
  <c r="AX498" i="1"/>
  <c r="AW517" i="1"/>
  <c r="AW393" i="1"/>
  <c r="AR136" i="1"/>
  <c r="AR164" i="1"/>
  <c r="AR212" i="1"/>
  <c r="AR252" i="1"/>
  <c r="AR276" i="1"/>
  <c r="AR328" i="1"/>
  <c r="AO420" i="1"/>
  <c r="AO380" i="1"/>
  <c r="AO352" i="1"/>
  <c r="AO264" i="1"/>
  <c r="AO256" i="1"/>
  <c r="AO196" i="1"/>
  <c r="AO180" i="1"/>
  <c r="AO80" i="1"/>
  <c r="AO110" i="1"/>
  <c r="AO174" i="1"/>
  <c r="AO298" i="1"/>
  <c r="AO426" i="1"/>
  <c r="AO466" i="1"/>
  <c r="AW119" i="1"/>
  <c r="AW451" i="1"/>
  <c r="AW335" i="1"/>
  <c r="AW143" i="1"/>
  <c r="AW299" i="1"/>
  <c r="AW265" i="1"/>
  <c r="AW386" i="1"/>
  <c r="AX478" i="1"/>
  <c r="AW189" i="1"/>
  <c r="AW317" i="1"/>
  <c r="AX429" i="1"/>
  <c r="AW157" i="1"/>
  <c r="AW21" i="1"/>
  <c r="AT21" i="1"/>
  <c r="AS343" i="1"/>
  <c r="AR87" i="1"/>
  <c r="AW209" i="1"/>
  <c r="AT209" i="1"/>
  <c r="AW219" i="1"/>
  <c r="AT219" i="1"/>
  <c r="AT41" i="1"/>
  <c r="AW41" i="1"/>
  <c r="AT59" i="1"/>
  <c r="AW59" i="1"/>
  <c r="AW101" i="1"/>
  <c r="AT101" i="1"/>
  <c r="AW24" i="1"/>
  <c r="AT24" i="1"/>
  <c r="AR73" i="1"/>
  <c r="AV50" i="1"/>
  <c r="AS50" i="1"/>
  <c r="AS114" i="1"/>
  <c r="AV162" i="1"/>
  <c r="AS162" i="1"/>
  <c r="AS47" i="1"/>
  <c r="AW33" i="1"/>
  <c r="AT33" i="1"/>
  <c r="AV279" i="1"/>
  <c r="AS279" i="1"/>
  <c r="AV72" i="1"/>
  <c r="AS72" i="1"/>
  <c r="AR283" i="1"/>
  <c r="AR251" i="1"/>
  <c r="AR181" i="1"/>
  <c r="AU94" i="1"/>
  <c r="AV307" i="1"/>
  <c r="AS307" i="1"/>
  <c r="AV243" i="1"/>
  <c r="AS243" i="1"/>
  <c r="AT27" i="1"/>
  <c r="AW27" i="1"/>
  <c r="AV23" i="1"/>
  <c r="AS23" i="1"/>
  <c r="AV155" i="1"/>
  <c r="AS155" i="1"/>
  <c r="AW123" i="1"/>
  <c r="AO445" i="1"/>
  <c r="AO413" i="1"/>
  <c r="AO381" i="1"/>
  <c r="AO349" i="1"/>
  <c r="AO317" i="1"/>
  <c r="AO285" i="1"/>
  <c r="AO253" i="1"/>
  <c r="AO307" i="1"/>
  <c r="AO211" i="1"/>
  <c r="AO237" i="1"/>
  <c r="AO191" i="1"/>
  <c r="AW50" i="1"/>
  <c r="AT50" i="1"/>
  <c r="AW106" i="1"/>
  <c r="AT106" i="1"/>
  <c r="AV206" i="1"/>
  <c r="AS206" i="1"/>
  <c r="AV310" i="1"/>
  <c r="AS310" i="1"/>
  <c r="AO88" i="1"/>
  <c r="AO152" i="1"/>
  <c r="AO120" i="1"/>
  <c r="AO76" i="1"/>
  <c r="G502" i="11"/>
  <c r="AM9" i="1"/>
  <c r="AV422" i="1"/>
  <c r="AS422" i="1"/>
  <c r="AV502" i="1"/>
  <c r="AS502" i="1"/>
  <c r="AO159" i="1"/>
  <c r="AO105" i="1"/>
  <c r="AW56" i="1"/>
  <c r="AT56" i="1"/>
  <c r="AW124" i="1"/>
  <c r="AT124" i="1"/>
  <c r="AV214" i="1"/>
  <c r="AS214" i="1"/>
  <c r="AV71" i="1"/>
  <c r="AS71" i="1"/>
  <c r="AD13" i="1"/>
  <c r="AM13" i="1"/>
  <c r="AO153" i="1"/>
  <c r="AO81" i="1"/>
  <c r="AV308" i="1"/>
  <c r="AS308" i="1"/>
  <c r="AV404" i="1"/>
  <c r="AS404" i="1"/>
  <c r="AV93" i="1"/>
  <c r="AS93" i="1"/>
  <c r="AO164" i="1"/>
  <c r="AO132" i="1"/>
  <c r="AO61" i="1"/>
  <c r="AV151" i="1"/>
  <c r="AS151" i="1"/>
  <c r="AV140" i="1"/>
  <c r="AS140" i="1"/>
  <c r="AV108" i="1"/>
  <c r="AS108" i="1"/>
  <c r="AV276" i="1"/>
  <c r="AS276" i="1"/>
  <c r="AV420" i="1"/>
  <c r="AS420" i="1"/>
  <c r="AV96" i="1"/>
  <c r="AS96" i="1"/>
  <c r="AV486" i="1"/>
  <c r="AS486" i="1"/>
  <c r="AW58" i="1"/>
  <c r="AT58" i="1"/>
  <c r="AR431" i="1"/>
  <c r="AR399" i="1"/>
  <c r="AR367" i="1"/>
  <c r="AR335" i="1"/>
  <c r="AR303" i="1"/>
  <c r="AR271" i="1"/>
  <c r="AR239" i="1"/>
  <c r="AX142" i="1"/>
  <c r="AU142" i="1"/>
  <c r="AO177" i="1"/>
  <c r="AV432" i="1"/>
  <c r="AS432" i="1"/>
  <c r="AV460" i="1"/>
  <c r="AS460" i="1"/>
  <c r="AV492" i="1"/>
  <c r="AS492" i="1"/>
  <c r="AV512" i="1"/>
  <c r="AS512" i="1"/>
  <c r="AV319" i="1"/>
  <c r="AS319" i="1"/>
  <c r="AD11" i="1"/>
  <c r="AM11" i="1"/>
  <c r="AV405" i="1"/>
  <c r="AS405" i="1"/>
  <c r="AV457" i="1"/>
  <c r="AS457" i="1"/>
  <c r="AL293" i="1"/>
  <c r="AL309" i="1"/>
  <c r="AL317" i="1"/>
  <c r="AL349" i="1"/>
  <c r="AL345" i="1"/>
  <c r="AT449" i="1"/>
  <c r="AT465" i="1"/>
  <c r="AT481" i="1"/>
  <c r="AW497" i="1"/>
  <c r="AT497" i="1"/>
  <c r="AT513" i="1"/>
  <c r="AV507" i="1"/>
  <c r="AS507" i="1"/>
  <c r="AT421" i="1"/>
  <c r="AW441" i="1"/>
  <c r="AT441" i="1"/>
  <c r="AT113" i="1"/>
  <c r="AW91" i="1"/>
  <c r="AT91" i="1"/>
  <c r="AT411" i="1"/>
  <c r="AT255" i="1"/>
  <c r="AT345" i="1"/>
  <c r="AW433" i="1"/>
  <c r="AT433" i="1"/>
  <c r="AT245" i="1"/>
  <c r="AW301" i="1"/>
  <c r="AT301" i="1"/>
  <c r="AT339" i="1"/>
  <c r="AW443" i="1"/>
  <c r="AT443" i="1"/>
  <c r="AT491" i="1"/>
  <c r="AW183" i="1"/>
  <c r="AT183" i="1"/>
  <c r="AT195" i="1"/>
  <c r="AW217" i="1"/>
  <c r="AT217" i="1"/>
  <c r="AT394" i="1"/>
  <c r="AW75" i="1"/>
  <c r="AT75" i="1"/>
  <c r="AR441" i="1"/>
  <c r="AR85" i="1"/>
  <c r="AT327" i="1"/>
  <c r="AW117" i="1"/>
  <c r="AT117" i="1"/>
  <c r="AS219" i="1"/>
  <c r="AW313" i="1"/>
  <c r="AT313" i="1"/>
  <c r="AT55" i="1"/>
  <c r="AV76" i="1"/>
  <c r="AS76" i="1"/>
  <c r="AS92" i="1"/>
  <c r="AW141" i="1"/>
  <c r="AT141" i="1"/>
  <c r="AT155" i="1"/>
  <c r="AW185" i="1"/>
  <c r="AT185" i="1"/>
  <c r="AT223" i="1"/>
  <c r="AW233" i="1"/>
  <c r="AT233" i="1"/>
  <c r="AT259" i="1"/>
  <c r="AW277" i="1"/>
  <c r="AT277" i="1"/>
  <c r="AT285" i="1"/>
  <c r="AW315" i="1"/>
  <c r="AT315" i="1"/>
  <c r="AT323" i="1"/>
  <c r="AW347" i="1"/>
  <c r="AT347" i="1"/>
  <c r="AT377" i="1"/>
  <c r="AW83" i="1"/>
  <c r="AR74" i="1"/>
  <c r="AV94" i="1"/>
  <c r="AS94" i="1"/>
  <c r="AV126" i="1"/>
  <c r="AS126" i="1"/>
  <c r="AV158" i="1"/>
  <c r="AS158" i="1"/>
  <c r="AV306" i="1"/>
  <c r="AS306" i="1"/>
  <c r="AV450" i="1"/>
  <c r="AS450" i="1"/>
  <c r="AV45" i="1"/>
  <c r="AS45" i="1"/>
  <c r="AW95" i="1"/>
  <c r="AT95" i="1"/>
  <c r="J502" i="11"/>
  <c r="AQ9" i="1"/>
  <c r="AX501" i="1"/>
  <c r="AU501" i="1"/>
  <c r="AP12" i="1"/>
  <c r="AV357" i="1"/>
  <c r="AS357" i="1"/>
  <c r="AW39" i="1"/>
  <c r="AS242" i="1"/>
  <c r="AV97" i="1"/>
  <c r="AS97" i="1"/>
  <c r="H502" i="11"/>
  <c r="AN9" i="1"/>
  <c r="AW178" i="1"/>
  <c r="AT178" i="1"/>
  <c r="AU458" i="1"/>
  <c r="AR257" i="1"/>
  <c r="AR381" i="1"/>
  <c r="AR501" i="1"/>
  <c r="AV367" i="1"/>
  <c r="AS367" i="1"/>
  <c r="AV395" i="1"/>
  <c r="AS395" i="1"/>
  <c r="AL28" i="1"/>
  <c r="AL76" i="1"/>
  <c r="AL300" i="1"/>
  <c r="AL364" i="1"/>
  <c r="AL412" i="1"/>
  <c r="AV268" i="1"/>
  <c r="AS268" i="1"/>
  <c r="AV296" i="1"/>
  <c r="AS296" i="1"/>
  <c r="AV332" i="1"/>
  <c r="AS332" i="1"/>
  <c r="AV360" i="1"/>
  <c r="AS360" i="1"/>
  <c r="AV416" i="1"/>
  <c r="AS416" i="1"/>
  <c r="AV211" i="1"/>
  <c r="AS211" i="1"/>
  <c r="AV459" i="1"/>
  <c r="AS459" i="1"/>
  <c r="AV237" i="1"/>
  <c r="AS237" i="1"/>
  <c r="AO273" i="1"/>
  <c r="AV293" i="1"/>
  <c r="AS293" i="1"/>
  <c r="AV329" i="1"/>
  <c r="AS329" i="1"/>
  <c r="AR510" i="1"/>
  <c r="AR250" i="1"/>
  <c r="AR206" i="1"/>
  <c r="AR150" i="1"/>
  <c r="AR62" i="1"/>
  <c r="AL59" i="1"/>
  <c r="AW247" i="1"/>
  <c r="AT247" i="1"/>
  <c r="AW455" i="1"/>
  <c r="AT455" i="1"/>
  <c r="AO502" i="1"/>
  <c r="AW486" i="1"/>
  <c r="AT486" i="1"/>
  <c r="AW462" i="1"/>
  <c r="AT462" i="1"/>
  <c r="AO274" i="1"/>
  <c r="AW166" i="1"/>
  <c r="AT166" i="1"/>
  <c r="AW269" i="1"/>
  <c r="AT269" i="1"/>
  <c r="AV383" i="1"/>
  <c r="AV138" i="1"/>
  <c r="AS138" i="1"/>
  <c r="AV198" i="1"/>
  <c r="AS198" i="1"/>
  <c r="AV222" i="1"/>
  <c r="AS222" i="1"/>
  <c r="AV270" i="1"/>
  <c r="AS270" i="1"/>
  <c r="AL310" i="1"/>
  <c r="AV398" i="1"/>
  <c r="AS398" i="1"/>
  <c r="AL462" i="1"/>
  <c r="AL506" i="1"/>
  <c r="AR200" i="1"/>
  <c r="AO116" i="1"/>
  <c r="AU482" i="1"/>
  <c r="E502" i="11"/>
  <c r="W12" i="1"/>
  <c r="AO503" i="1"/>
  <c r="AO471" i="1"/>
  <c r="AO437" i="1"/>
  <c r="AO405" i="1"/>
  <c r="AO373" i="1"/>
  <c r="AO341" i="1"/>
  <c r="AO309" i="1"/>
  <c r="AO277" i="1"/>
  <c r="AO245" i="1"/>
  <c r="AO491" i="1"/>
  <c r="AO459" i="1"/>
  <c r="AO427" i="1"/>
  <c r="AO395" i="1"/>
  <c r="AO363" i="1"/>
  <c r="AO331" i="1"/>
  <c r="AO299" i="1"/>
  <c r="AO267" i="1"/>
  <c r="AO235" i="1"/>
  <c r="AO203" i="1"/>
  <c r="AO215" i="1"/>
  <c r="AO439" i="1"/>
  <c r="AO375" i="1"/>
  <c r="AO311" i="1"/>
  <c r="AO247" i="1"/>
  <c r="AW30" i="1"/>
  <c r="AT30" i="1"/>
  <c r="AW70" i="1"/>
  <c r="AT70" i="1"/>
  <c r="AV182" i="1"/>
  <c r="AS182" i="1"/>
  <c r="AV262" i="1"/>
  <c r="AS262" i="1"/>
  <c r="AV326" i="1"/>
  <c r="AS326" i="1"/>
  <c r="AO72" i="1"/>
  <c r="AO176" i="1"/>
  <c r="AO144" i="1"/>
  <c r="AO112" i="1"/>
  <c r="AO60" i="1"/>
  <c r="AV374" i="1"/>
  <c r="AS374" i="1"/>
  <c r="AV438" i="1"/>
  <c r="AS438" i="1"/>
  <c r="AW169" i="1"/>
  <c r="AT169" i="1"/>
  <c r="AO156" i="1"/>
  <c r="AO84" i="1"/>
  <c r="AT68" i="1"/>
  <c r="AW148" i="1"/>
  <c r="AT148" i="1"/>
  <c r="AV180" i="1"/>
  <c r="AS180" i="1"/>
  <c r="AV32" i="1"/>
  <c r="AS32" i="1"/>
  <c r="AN11" i="1"/>
  <c r="AW153" i="1"/>
  <c r="AT153" i="1"/>
  <c r="AS68" i="1"/>
  <c r="AV340" i="1"/>
  <c r="AS340" i="1"/>
  <c r="AV246" i="1"/>
  <c r="AS246" i="1"/>
  <c r="AV148" i="1"/>
  <c r="AS148" i="1"/>
  <c r="AV167" i="1"/>
  <c r="AS167" i="1"/>
  <c r="AV135" i="1"/>
  <c r="AS135" i="1"/>
  <c r="AW90" i="1"/>
  <c r="AT90" i="1"/>
  <c r="AV436" i="1"/>
  <c r="AS436" i="1"/>
  <c r="AW121" i="1"/>
  <c r="AT121" i="1"/>
  <c r="AN14" i="1"/>
  <c r="AO140" i="1"/>
  <c r="AO108" i="1"/>
  <c r="AV292" i="1"/>
  <c r="AS292" i="1"/>
  <c r="AV452" i="1"/>
  <c r="AS452" i="1"/>
  <c r="AV73" i="1"/>
  <c r="AS73" i="1"/>
  <c r="AO486" i="1"/>
  <c r="AO58" i="1"/>
  <c r="AR487" i="1"/>
  <c r="AR455" i="1"/>
  <c r="AR423" i="1"/>
  <c r="AR391" i="1"/>
  <c r="AR359" i="1"/>
  <c r="AR327" i="1"/>
  <c r="AR295" i="1"/>
  <c r="AR263" i="1"/>
  <c r="AR231" i="1"/>
  <c r="AW78" i="1"/>
  <c r="AT78" i="1"/>
  <c r="AR499" i="1"/>
  <c r="AR467" i="1"/>
  <c r="AR435" i="1"/>
  <c r="AR403" i="1"/>
  <c r="AR371" i="1"/>
  <c r="AR339" i="1"/>
  <c r="AR307" i="1"/>
  <c r="AR275" i="1"/>
  <c r="AR243" i="1"/>
  <c r="AR182" i="1"/>
  <c r="AR33" i="1"/>
  <c r="AR57" i="1"/>
  <c r="AR42" i="1"/>
  <c r="AV102" i="1"/>
  <c r="AS102" i="1"/>
  <c r="AV134" i="1"/>
  <c r="AS134" i="1"/>
  <c r="AV166" i="1"/>
  <c r="AS166" i="1"/>
  <c r="AV370" i="1"/>
  <c r="AS370" i="1"/>
  <c r="AS498" i="1"/>
  <c r="AQ17" i="1"/>
  <c r="AP13" i="1"/>
  <c r="AW159" i="1"/>
  <c r="AT159" i="1"/>
  <c r="AQ13" i="1"/>
  <c r="AR58" i="1"/>
  <c r="AO161" i="1"/>
  <c r="AV440" i="1"/>
  <c r="AS440" i="1"/>
  <c r="AV464" i="1"/>
  <c r="AS464" i="1"/>
  <c r="AV496" i="1"/>
  <c r="AS496" i="1"/>
  <c r="AV516" i="1"/>
  <c r="AS516" i="1"/>
  <c r="AV127" i="1"/>
  <c r="AS127" i="1"/>
  <c r="AV417" i="1"/>
  <c r="AS417" i="1"/>
  <c r="AV477" i="1"/>
  <c r="AS477" i="1"/>
  <c r="AS484" i="1"/>
  <c r="AX106" i="1"/>
  <c r="AU106" i="1"/>
  <c r="AX126" i="1"/>
  <c r="AU126" i="1"/>
  <c r="AV365" i="1"/>
  <c r="AS365" i="1"/>
  <c r="AV473" i="1"/>
  <c r="AS473" i="1"/>
  <c r="AO468" i="1"/>
  <c r="AO361" i="1"/>
  <c r="AV209" i="1"/>
  <c r="AS209" i="1"/>
  <c r="AO53" i="1"/>
  <c r="AO189" i="1"/>
  <c r="AO461" i="1"/>
  <c r="AV509" i="1"/>
  <c r="AS509" i="1"/>
  <c r="AO145" i="1"/>
  <c r="AO113" i="1"/>
  <c r="AO41" i="1"/>
  <c r="AV217" i="1"/>
  <c r="AS217" i="1"/>
  <c r="AO25" i="1"/>
  <c r="AV89" i="1"/>
  <c r="AS89" i="1"/>
  <c r="AO249" i="1"/>
  <c r="AV281" i="1"/>
  <c r="AS281" i="1"/>
  <c r="AO305" i="1"/>
  <c r="AV345" i="1"/>
  <c r="AS345" i="1"/>
  <c r="AO401" i="1"/>
  <c r="AO441" i="1"/>
  <c r="AO284" i="1"/>
  <c r="AW154" i="1"/>
  <c r="AT154" i="1"/>
  <c r="AW422" i="1"/>
  <c r="AT422" i="1"/>
  <c r="AW246" i="1"/>
  <c r="AT246" i="1"/>
  <c r="AO478" i="1"/>
  <c r="AW194" i="1"/>
  <c r="AT194" i="1"/>
  <c r="AW274" i="1"/>
  <c r="AT274" i="1"/>
  <c r="AW338" i="1"/>
  <c r="AT338" i="1"/>
  <c r="AW390" i="1"/>
  <c r="AT390" i="1"/>
  <c r="AW438" i="1"/>
  <c r="AT438" i="1"/>
  <c r="AW494" i="1"/>
  <c r="AT494" i="1"/>
  <c r="AW374" i="1"/>
  <c r="AT374" i="1"/>
  <c r="AO350" i="1"/>
  <c r="AO126" i="1"/>
  <c r="AW218" i="1"/>
  <c r="AT218" i="1"/>
  <c r="AW322" i="1"/>
  <c r="AT322" i="1"/>
  <c r="AW378" i="1"/>
  <c r="AT378" i="1"/>
  <c r="AW442" i="1"/>
  <c r="AT442" i="1"/>
  <c r="AW302" i="1"/>
  <c r="AT302" i="1"/>
  <c r="AW186" i="1"/>
  <c r="AT186" i="1"/>
  <c r="AO382" i="1"/>
  <c r="AW82" i="1"/>
  <c r="AT82" i="1"/>
  <c r="AW282" i="1"/>
  <c r="AT282" i="1"/>
  <c r="AT498" i="1"/>
  <c r="AW62" i="1"/>
  <c r="AT62" i="1"/>
  <c r="AO314" i="1"/>
  <c r="AW138" i="1"/>
  <c r="AT138" i="1"/>
  <c r="AX442" i="1"/>
  <c r="AV508" i="1"/>
  <c r="AS508" i="1"/>
  <c r="AR191" i="1"/>
  <c r="AR131" i="1"/>
  <c r="AR175" i="1"/>
  <c r="AR83" i="1"/>
  <c r="AV361" i="1"/>
  <c r="AS361" i="1"/>
  <c r="AV397" i="1"/>
  <c r="AS397" i="1"/>
  <c r="AV481" i="1"/>
  <c r="AS481" i="1"/>
  <c r="AC11" i="1"/>
  <c r="AR203" i="1"/>
  <c r="AV205" i="1"/>
  <c r="AS205" i="1"/>
  <c r="AW48" i="1"/>
  <c r="AT48" i="1"/>
  <c r="AW72" i="1"/>
  <c r="AT72" i="1"/>
  <c r="AW92" i="1"/>
  <c r="AT92" i="1"/>
  <c r="AW108" i="1"/>
  <c r="AT108" i="1"/>
  <c r="AW132" i="1"/>
  <c r="AT132" i="1"/>
  <c r="AW152" i="1"/>
  <c r="AT152" i="1"/>
  <c r="AW172" i="1"/>
  <c r="AT172" i="1"/>
  <c r="AW196" i="1"/>
  <c r="AT196" i="1"/>
  <c r="AW204" i="1"/>
  <c r="AT204" i="1"/>
  <c r="AW228" i="1"/>
  <c r="AT228" i="1"/>
  <c r="AW248" i="1"/>
  <c r="AT248" i="1"/>
  <c r="AW264" i="1"/>
  <c r="AT264" i="1"/>
  <c r="AW288" i="1"/>
  <c r="AT288" i="1"/>
  <c r="AW308" i="1"/>
  <c r="AT308" i="1"/>
  <c r="AW324" i="1"/>
  <c r="AT324" i="1"/>
  <c r="AW344" i="1"/>
  <c r="AT344" i="1"/>
  <c r="AW360" i="1"/>
  <c r="AT360" i="1"/>
  <c r="AW380" i="1"/>
  <c r="AT380" i="1"/>
  <c r="AW400" i="1"/>
  <c r="AT400" i="1"/>
  <c r="AW420" i="1"/>
  <c r="AT420" i="1"/>
  <c r="AW444" i="1"/>
  <c r="AT444" i="1"/>
  <c r="AW464" i="1"/>
  <c r="AT464" i="1"/>
  <c r="AW480" i="1"/>
  <c r="AT480" i="1"/>
  <c r="AW496" i="1"/>
  <c r="AT496" i="1"/>
  <c r="AW512" i="1"/>
  <c r="AT512" i="1"/>
  <c r="AW202" i="1"/>
  <c r="AT202" i="1"/>
  <c r="AW142" i="1"/>
  <c r="AT142" i="1"/>
  <c r="AR254" i="1"/>
  <c r="AP14" i="1"/>
  <c r="AR61" i="1"/>
  <c r="AR113" i="1"/>
  <c r="AR133" i="1"/>
  <c r="AR161" i="1"/>
  <c r="AR201" i="1"/>
  <c r="AR221" i="1"/>
  <c r="AR269" i="1"/>
  <c r="AR289" i="1"/>
  <c r="AR309" i="1"/>
  <c r="AR329" i="1"/>
  <c r="AR349" i="1"/>
  <c r="AR357" i="1"/>
  <c r="AR365" i="1"/>
  <c r="AR373" i="1"/>
  <c r="AR409" i="1"/>
  <c r="AR445" i="1"/>
  <c r="AR453" i="1"/>
  <c r="AR461" i="1"/>
  <c r="AV469" i="1"/>
  <c r="AS469" i="1"/>
  <c r="AR513" i="1"/>
  <c r="AO47" i="1"/>
  <c r="AO67" i="1"/>
  <c r="AV87" i="1"/>
  <c r="AS87" i="1"/>
  <c r="AV187" i="1"/>
  <c r="AS187" i="1"/>
  <c r="AV199" i="1"/>
  <c r="AS199" i="1"/>
  <c r="AV247" i="1"/>
  <c r="AS247" i="1"/>
  <c r="AV295" i="1"/>
  <c r="AS295" i="1"/>
  <c r="AO319" i="1"/>
  <c r="AV327" i="1"/>
  <c r="AS327" i="1"/>
  <c r="AV387" i="1"/>
  <c r="AS387" i="1"/>
  <c r="AV423" i="1"/>
  <c r="AS423" i="1"/>
  <c r="AO431" i="1"/>
  <c r="AV463" i="1"/>
  <c r="AS463" i="1"/>
  <c r="AV487" i="1"/>
  <c r="AS487" i="1"/>
  <c r="AR68" i="1"/>
  <c r="AL32" i="1"/>
  <c r="AL48" i="1"/>
  <c r="AL64" i="1"/>
  <c r="AL80" i="1"/>
  <c r="AL96" i="1"/>
  <c r="AL112" i="1"/>
  <c r="AL128" i="1"/>
  <c r="AL144" i="1"/>
  <c r="AL160" i="1"/>
  <c r="AL176" i="1"/>
  <c r="AL192" i="1"/>
  <c r="AL208" i="1"/>
  <c r="AL224" i="1"/>
  <c r="AL240" i="1"/>
  <c r="AL256" i="1"/>
  <c r="AL272" i="1"/>
  <c r="AL288" i="1"/>
  <c r="AL304" i="1"/>
  <c r="AL320" i="1"/>
  <c r="AL336" i="1"/>
  <c r="AL352" i="1"/>
  <c r="AL368" i="1"/>
  <c r="AL384" i="1"/>
  <c r="AL400" i="1"/>
  <c r="AL416" i="1"/>
  <c r="AL432" i="1"/>
  <c r="AS36" i="1"/>
  <c r="AV204" i="1"/>
  <c r="AS204" i="1"/>
  <c r="AV216" i="1"/>
  <c r="AS216" i="1"/>
  <c r="AV224" i="1"/>
  <c r="AS224" i="1"/>
  <c r="AV232" i="1"/>
  <c r="AS232" i="1"/>
  <c r="AV240" i="1"/>
  <c r="AS240" i="1"/>
  <c r="AV280" i="1"/>
  <c r="AS280" i="1"/>
  <c r="AV288" i="1"/>
  <c r="AS288" i="1"/>
  <c r="AV316" i="1"/>
  <c r="AS316" i="1"/>
  <c r="AV344" i="1"/>
  <c r="AS344" i="1"/>
  <c r="AV352" i="1"/>
  <c r="AS352" i="1"/>
  <c r="AV392" i="1"/>
  <c r="AS392" i="1"/>
  <c r="AV400" i="1"/>
  <c r="AS400" i="1"/>
  <c r="AV428" i="1"/>
  <c r="AS428" i="1"/>
  <c r="AV67" i="1"/>
  <c r="AS67" i="1"/>
  <c r="AV223" i="1"/>
  <c r="AS223" i="1"/>
  <c r="AV255" i="1"/>
  <c r="AS255" i="1"/>
  <c r="AV299" i="1"/>
  <c r="AS299" i="1"/>
  <c r="AV339" i="1"/>
  <c r="AS339" i="1"/>
  <c r="AV443" i="1"/>
  <c r="AS443" i="1"/>
  <c r="AV451" i="1"/>
  <c r="AS451" i="1"/>
  <c r="AV475" i="1"/>
  <c r="AS475" i="1"/>
  <c r="AV515" i="1"/>
  <c r="AS515" i="1"/>
  <c r="AO29" i="1"/>
  <c r="AV49" i="1"/>
  <c r="AS49" i="1"/>
  <c r="AS69" i="1"/>
  <c r="AV101" i="1"/>
  <c r="AS101" i="1"/>
  <c r="AO109" i="1"/>
  <c r="AV117" i="1"/>
  <c r="AS117" i="1"/>
  <c r="AV125" i="1"/>
  <c r="AS125" i="1"/>
  <c r="AV133" i="1"/>
  <c r="AS133" i="1"/>
  <c r="AV141" i="1"/>
  <c r="AS141" i="1"/>
  <c r="AV161" i="1"/>
  <c r="AS161" i="1"/>
  <c r="AV169" i="1"/>
  <c r="AS169" i="1"/>
  <c r="AV177" i="1"/>
  <c r="AS177" i="1"/>
  <c r="AO185" i="1"/>
  <c r="AV213" i="1"/>
  <c r="AS213" i="1"/>
  <c r="AO221" i="1"/>
  <c r="AV285" i="1"/>
  <c r="AS285" i="1"/>
  <c r="AV349" i="1"/>
  <c r="AS349" i="1"/>
  <c r="AO385" i="1"/>
  <c r="AO425" i="1"/>
  <c r="AO449" i="1"/>
  <c r="AO489" i="1"/>
  <c r="AR478" i="1"/>
  <c r="AR470" i="1"/>
  <c r="AR462" i="1"/>
  <c r="AR454" i="1"/>
  <c r="AR446" i="1"/>
  <c r="AR426" i="1"/>
  <c r="AR390" i="1"/>
  <c r="AR346" i="1"/>
  <c r="AR338" i="1"/>
  <c r="AR330" i="1"/>
  <c r="AR278" i="1"/>
  <c r="AR258" i="1"/>
  <c r="AR230" i="1"/>
  <c r="AR222" i="1"/>
  <c r="AR214" i="1"/>
  <c r="AR194" i="1"/>
  <c r="AR118" i="1"/>
  <c r="AR110" i="1"/>
  <c r="AR102" i="1"/>
  <c r="AR90" i="1"/>
  <c r="AR70" i="1"/>
  <c r="AR50" i="1"/>
  <c r="AR38" i="1"/>
  <c r="AW423" i="1"/>
  <c r="AT423" i="1"/>
  <c r="AR22" i="1"/>
  <c r="AO392" i="1"/>
  <c r="AL35" i="1"/>
  <c r="AL67" i="1"/>
  <c r="AL99" i="1"/>
  <c r="AL131" i="1"/>
  <c r="AL163" i="1"/>
  <c r="AL195" i="1"/>
  <c r="AL227" i="1"/>
  <c r="AL259" i="1"/>
  <c r="AL291" i="1"/>
  <c r="AL323" i="1"/>
  <c r="AL355" i="1"/>
  <c r="W19" i="1"/>
  <c r="AL387" i="1"/>
  <c r="AL419" i="1"/>
  <c r="AL451" i="1"/>
  <c r="AL483" i="1"/>
  <c r="AL515" i="1"/>
  <c r="AW239" i="1"/>
  <c r="AT239" i="1"/>
  <c r="AW307" i="1"/>
  <c r="AT307" i="1"/>
  <c r="AW319" i="1"/>
  <c r="AT319" i="1"/>
  <c r="AW371" i="1"/>
  <c r="AT371" i="1"/>
  <c r="AW399" i="1"/>
  <c r="AT399" i="1"/>
  <c r="AW447" i="1"/>
  <c r="AT447" i="1"/>
  <c r="AW511" i="1"/>
  <c r="AT511" i="1"/>
  <c r="AW483" i="1"/>
  <c r="AW473" i="1"/>
  <c r="AW453" i="1"/>
  <c r="AW427" i="1"/>
  <c r="AW397" i="1"/>
  <c r="AV379" i="1"/>
  <c r="AW359" i="1"/>
  <c r="AV335" i="1"/>
  <c r="AW289" i="1"/>
  <c r="AW259" i="1"/>
  <c r="AW225" i="1"/>
  <c r="AT211" i="1"/>
  <c r="AT197" i="1"/>
  <c r="AW187" i="1"/>
  <c r="AW177" i="1"/>
  <c r="AT145" i="1"/>
  <c r="AT135" i="1"/>
  <c r="AT79" i="1"/>
  <c r="AV63" i="1"/>
  <c r="AR432" i="1"/>
  <c r="AR348" i="1"/>
  <c r="AR320" i="1"/>
  <c r="AR312" i="1"/>
  <c r="AR304" i="1"/>
  <c r="AR268" i="1"/>
  <c r="AR248" i="1"/>
  <c r="AR240" i="1"/>
  <c r="AR232" i="1"/>
  <c r="AR160" i="1"/>
  <c r="AR152" i="1"/>
  <c r="AR144" i="1"/>
  <c r="AR132" i="1"/>
  <c r="AR120" i="1"/>
  <c r="AR64" i="1"/>
  <c r="AR46" i="1"/>
  <c r="AR86" i="1"/>
  <c r="AR322" i="1"/>
  <c r="AR418" i="1"/>
  <c r="AR430" i="1"/>
  <c r="AR442" i="1"/>
  <c r="AO446" i="1"/>
  <c r="AO438" i="1"/>
  <c r="AO418" i="1"/>
  <c r="AO410" i="1"/>
  <c r="AO402" i="1"/>
  <c r="AO394" i="1"/>
  <c r="AO386" i="1"/>
  <c r="AO378" i="1"/>
  <c r="AO370" i="1"/>
  <c r="AO362" i="1"/>
  <c r="AO342" i="1"/>
  <c r="AO306" i="1"/>
  <c r="AO198" i="1"/>
  <c r="AO190" i="1"/>
  <c r="AO182" i="1"/>
  <c r="AO154" i="1"/>
  <c r="AO146" i="1"/>
  <c r="AO134" i="1"/>
  <c r="AW126" i="1"/>
  <c r="AT126" i="1"/>
  <c r="AO118" i="1"/>
  <c r="AW110" i="1"/>
  <c r="AT110" i="1"/>
  <c r="AO102" i="1"/>
  <c r="AO82" i="1"/>
  <c r="AO70" i="1"/>
  <c r="AO62" i="1"/>
  <c r="AO52" i="1"/>
  <c r="AO100" i="1"/>
  <c r="AO208" i="1"/>
  <c r="AO228" i="1"/>
  <c r="AO276" i="1"/>
  <c r="AO296" i="1"/>
  <c r="AO312" i="1"/>
  <c r="AO360" i="1"/>
  <c r="AO372" i="1"/>
  <c r="AO432" i="1"/>
  <c r="AO440" i="1"/>
  <c r="AO472" i="1"/>
  <c r="AO484" i="1"/>
  <c r="AO516" i="1"/>
  <c r="AT419" i="1"/>
  <c r="AT311" i="1"/>
  <c r="AT303" i="1"/>
  <c r="AO280" i="1"/>
  <c r="AO188" i="1"/>
  <c r="AW65" i="1"/>
  <c r="AT65" i="1"/>
  <c r="AW349" i="1"/>
  <c r="AT349" i="1"/>
  <c r="AV471" i="1"/>
  <c r="AW411" i="1"/>
  <c r="AT357" i="1"/>
  <c r="AW323" i="1"/>
  <c r="AW297" i="1"/>
  <c r="AW279" i="1"/>
  <c r="AW263" i="1"/>
  <c r="AW245" i="1"/>
  <c r="AW229" i="1"/>
  <c r="AS191" i="1"/>
  <c r="AT137" i="1"/>
  <c r="AT127" i="1"/>
  <c r="AW115" i="1"/>
  <c r="AT53" i="1"/>
  <c r="AS35" i="1"/>
  <c r="AT23" i="1"/>
  <c r="AR340" i="1"/>
  <c r="AS478" i="1"/>
  <c r="AW461" i="1"/>
  <c r="AT395" i="1"/>
  <c r="AT333" i="1"/>
  <c r="AT287" i="1"/>
  <c r="AT275" i="1"/>
  <c r="AS259" i="1"/>
  <c r="AW223" i="1"/>
  <c r="AW195" i="1"/>
  <c r="AW165" i="1"/>
  <c r="AT133" i="1"/>
  <c r="AS100" i="1"/>
  <c r="AS91" i="1"/>
  <c r="AS79" i="1"/>
  <c r="AV34" i="1"/>
  <c r="AS34" i="1"/>
  <c r="AV478" i="1"/>
  <c r="AV498" i="1"/>
  <c r="AX479" i="1"/>
  <c r="AV253" i="1"/>
  <c r="AW514" i="1"/>
  <c r="AO324" i="1"/>
  <c r="AO240" i="1"/>
  <c r="AL433" i="1"/>
  <c r="AL26" i="1"/>
  <c r="AV30" i="1"/>
  <c r="AS30" i="1"/>
  <c r="AL38" i="1"/>
  <c r="AL50" i="1"/>
  <c r="AV54" i="1"/>
  <c r="AS54" i="1"/>
  <c r="AL62" i="1"/>
  <c r="AL70" i="1"/>
  <c r="AL82" i="1"/>
  <c r="AL94" i="1"/>
  <c r="AL102" i="1"/>
  <c r="AV106" i="1"/>
  <c r="AS106" i="1"/>
  <c r="AV130" i="1"/>
  <c r="AS130" i="1"/>
  <c r="AL142" i="1"/>
  <c r="AL150" i="1"/>
  <c r="AV154" i="1"/>
  <c r="AS154" i="1"/>
  <c r="AL178" i="1"/>
  <c r="AL190" i="1"/>
  <c r="AL202" i="1"/>
  <c r="AL210" i="1"/>
  <c r="AL222" i="1"/>
  <c r="AL230" i="1"/>
  <c r="AV254" i="1"/>
  <c r="AS254" i="1"/>
  <c r="AL262" i="1"/>
  <c r="AV266" i="1"/>
  <c r="AS266" i="1"/>
  <c r="AL274" i="1"/>
  <c r="AL286" i="1"/>
  <c r="AV302" i="1"/>
  <c r="AS302" i="1"/>
  <c r="AL318" i="1"/>
  <c r="AL330" i="1"/>
  <c r="AL346" i="1"/>
  <c r="AV350" i="1"/>
  <c r="AS350" i="1"/>
  <c r="AL358" i="1"/>
  <c r="AV362" i="1"/>
  <c r="AS362" i="1"/>
  <c r="AL370" i="1"/>
  <c r="AL378" i="1"/>
  <c r="AL390" i="1"/>
  <c r="AV394" i="1"/>
  <c r="AS394" i="1"/>
  <c r="AL402" i="1"/>
  <c r="AL414" i="1"/>
  <c r="AL426" i="1"/>
  <c r="AL438" i="1"/>
  <c r="AV442" i="1"/>
  <c r="AS442" i="1"/>
  <c r="AL450" i="1"/>
  <c r="AL458" i="1"/>
  <c r="AV466" i="1"/>
  <c r="AS466" i="1"/>
  <c r="AL482" i="1"/>
  <c r="AL494" i="1"/>
  <c r="AV510" i="1"/>
  <c r="AS510" i="1"/>
  <c r="AL22" i="1"/>
  <c r="W11" i="1"/>
  <c r="AW501" i="1"/>
  <c r="AT425" i="1"/>
  <c r="AV376" i="1"/>
  <c r="AS376" i="1"/>
  <c r="AS235" i="1"/>
  <c r="AT201" i="1"/>
  <c r="AT125" i="1"/>
  <c r="AV43" i="1"/>
  <c r="AO202" i="1"/>
  <c r="AW491" i="1"/>
  <c r="AT475" i="1"/>
  <c r="AV456" i="1"/>
  <c r="AS456" i="1"/>
  <c r="AT409" i="1"/>
  <c r="AT379" i="1"/>
  <c r="AW337" i="1"/>
  <c r="AW227" i="1"/>
  <c r="AW215" i="1"/>
  <c r="AV146" i="1"/>
  <c r="AS146" i="1"/>
  <c r="AT102" i="1"/>
  <c r="AV92" i="1"/>
  <c r="AW35" i="1"/>
  <c r="AR360" i="1"/>
  <c r="AR376" i="1"/>
  <c r="AR384" i="1"/>
  <c r="AR392" i="1"/>
  <c r="AR404" i="1"/>
  <c r="AR412" i="1"/>
  <c r="AR424" i="1"/>
  <c r="AR440" i="1"/>
  <c r="AR448" i="1"/>
  <c r="AR460" i="1"/>
  <c r="AR468" i="1"/>
  <c r="AR476" i="1"/>
  <c r="AR492" i="1"/>
  <c r="AR508" i="1"/>
  <c r="AR516" i="1"/>
  <c r="AO508" i="1"/>
  <c r="AO476" i="1"/>
  <c r="AO344" i="1"/>
  <c r="AO336" i="1"/>
  <c r="AO316" i="1"/>
  <c r="AO292" i="1"/>
  <c r="AW284" i="1"/>
  <c r="AT284" i="1"/>
  <c r="AO232" i="1"/>
  <c r="AO64" i="1"/>
  <c r="AR59" i="1"/>
  <c r="AT495" i="1"/>
  <c r="AL185" i="1"/>
  <c r="AL313" i="1"/>
  <c r="AV429" i="1"/>
  <c r="AS359" i="1"/>
  <c r="AS207" i="1"/>
  <c r="AS128" i="1"/>
  <c r="AS46" i="1"/>
  <c r="AV242" i="1"/>
  <c r="AV513" i="1"/>
  <c r="AS513" i="1"/>
  <c r="AV437" i="1"/>
  <c r="AS437" i="1"/>
  <c r="AV468" i="1"/>
  <c r="AS468" i="1"/>
  <c r="AV185" i="1"/>
  <c r="AS185" i="1"/>
  <c r="AV225" i="1"/>
  <c r="AS225" i="1"/>
  <c r="AV53" i="1"/>
  <c r="AS53" i="1"/>
  <c r="AV189" i="1"/>
  <c r="AS189" i="1"/>
  <c r="AV461" i="1"/>
  <c r="AS461" i="1"/>
  <c r="AO57" i="1"/>
  <c r="AV233" i="1"/>
  <c r="AS233" i="1"/>
  <c r="AO37" i="1"/>
  <c r="AU426" i="1"/>
  <c r="AO404" i="1"/>
  <c r="AW122" i="1"/>
  <c r="AT122" i="1"/>
  <c r="AW306" i="1"/>
  <c r="AT306" i="1"/>
  <c r="AW74" i="1"/>
  <c r="AT74" i="1"/>
  <c r="AW174" i="1"/>
  <c r="AT174" i="1"/>
  <c r="AW238" i="1"/>
  <c r="AT238" i="1"/>
  <c r="AW330" i="1"/>
  <c r="AT330" i="1"/>
  <c r="AW370" i="1"/>
  <c r="AT370" i="1"/>
  <c r="AW426" i="1"/>
  <c r="AT426" i="1"/>
  <c r="AW506" i="1"/>
  <c r="AT506" i="1"/>
  <c r="AW34" i="1"/>
  <c r="AT34" i="1"/>
  <c r="AW350" i="1"/>
  <c r="AT350" i="1"/>
  <c r="AW190" i="1"/>
  <c r="AT190" i="1"/>
  <c r="AW290" i="1"/>
  <c r="AT290" i="1"/>
  <c r="AW358" i="1"/>
  <c r="AT358" i="1"/>
  <c r="AW434" i="1"/>
  <c r="AT434" i="1"/>
  <c r="AW270" i="1"/>
  <c r="AT270" i="1"/>
  <c r="AW214" i="1"/>
  <c r="AT214" i="1"/>
  <c r="AO474" i="1"/>
  <c r="AW250" i="1"/>
  <c r="AT250" i="1"/>
  <c r="AW502" i="1"/>
  <c r="AT502" i="1"/>
  <c r="AW510" i="1"/>
  <c r="AT510" i="1"/>
  <c r="AX54" i="1"/>
  <c r="AU54" i="1"/>
  <c r="AR207" i="1"/>
  <c r="AR147" i="1"/>
  <c r="AR195" i="1"/>
  <c r="AX188" i="1"/>
  <c r="AU188" i="1"/>
  <c r="AV393" i="1"/>
  <c r="AS393" i="1"/>
  <c r="AV265" i="1"/>
  <c r="AS265" i="1"/>
  <c r="AW44" i="1"/>
  <c r="AT44" i="1"/>
  <c r="AW88" i="1"/>
  <c r="AT88" i="1"/>
  <c r="AW144" i="1"/>
  <c r="AT144" i="1"/>
  <c r="AW224" i="1"/>
  <c r="AT224" i="1"/>
  <c r="AW280" i="1"/>
  <c r="AT280" i="1"/>
  <c r="AW336" i="1"/>
  <c r="AT336" i="1"/>
  <c r="AW376" i="1"/>
  <c r="AT376" i="1"/>
  <c r="AW416" i="1"/>
  <c r="AT416" i="1"/>
  <c r="AW460" i="1"/>
  <c r="AT460" i="1"/>
  <c r="AW492" i="1"/>
  <c r="AT492" i="1"/>
  <c r="AW470" i="1"/>
  <c r="AT470" i="1"/>
  <c r="AW254" i="1"/>
  <c r="AT254" i="1"/>
  <c r="AV149" i="1"/>
  <c r="AS149" i="1"/>
  <c r="AR317" i="1"/>
  <c r="AR397" i="1"/>
  <c r="AV347" i="1"/>
  <c r="AS347" i="1"/>
  <c r="AV375" i="1"/>
  <c r="AS375" i="1"/>
  <c r="AL60" i="1"/>
  <c r="AL108" i="1"/>
  <c r="AL172" i="1"/>
  <c r="AL332" i="1"/>
  <c r="AL380" i="1"/>
  <c r="AL428" i="1"/>
  <c r="AV44" i="1"/>
  <c r="AS44" i="1"/>
  <c r="AV248" i="1"/>
  <c r="AS248" i="1"/>
  <c r="AV368" i="1"/>
  <c r="AS368" i="1"/>
  <c r="AV408" i="1"/>
  <c r="AS408" i="1"/>
  <c r="AV75" i="1"/>
  <c r="AS75" i="1"/>
  <c r="AV231" i="1"/>
  <c r="AS231" i="1"/>
  <c r="AV263" i="1"/>
  <c r="AS263" i="1"/>
  <c r="AV363" i="1"/>
  <c r="AS363" i="1"/>
  <c r="AV415" i="1"/>
  <c r="AS415" i="1"/>
  <c r="AV483" i="1"/>
  <c r="AS483" i="1"/>
  <c r="F502" i="11"/>
  <c r="AR314" i="1"/>
  <c r="AR290" i="1"/>
  <c r="AR242" i="1"/>
  <c r="AR82" i="1"/>
  <c r="AL155" i="1"/>
  <c r="AL283" i="1"/>
  <c r="AW424" i="1"/>
  <c r="AT424" i="1"/>
  <c r="AW388" i="1"/>
  <c r="AT388" i="1"/>
  <c r="AR280" i="1"/>
  <c r="AO470" i="1"/>
  <c r="AW266" i="1"/>
  <c r="AT266" i="1"/>
  <c r="AO38" i="1"/>
  <c r="AO408" i="1"/>
  <c r="AW291" i="1"/>
  <c r="AV62" i="1"/>
  <c r="AS62" i="1"/>
  <c r="AV58" i="1"/>
  <c r="AS58" i="1"/>
  <c r="AV186" i="1"/>
  <c r="AS186" i="1"/>
  <c r="AV314" i="1"/>
  <c r="AS314" i="1"/>
  <c r="AV366" i="1"/>
  <c r="AS366" i="1"/>
  <c r="AL406" i="1"/>
  <c r="AV446" i="1"/>
  <c r="AS446" i="1"/>
  <c r="AL474" i="1"/>
  <c r="AV490" i="1"/>
  <c r="AS490" i="1"/>
  <c r="AW339" i="1"/>
  <c r="AV152" i="1"/>
  <c r="AS152" i="1"/>
  <c r="AV82" i="1"/>
  <c r="AS82" i="1"/>
  <c r="AO444" i="1"/>
  <c r="AV503" i="1"/>
  <c r="AW32" i="1"/>
  <c r="AT32" i="1"/>
  <c r="AW22" i="1"/>
  <c r="AT22" i="1"/>
  <c r="AO495" i="1"/>
  <c r="AO463" i="1"/>
  <c r="AO429" i="1"/>
  <c r="AO397" i="1"/>
  <c r="AO365" i="1"/>
  <c r="AO333" i="1"/>
  <c r="AO301" i="1"/>
  <c r="AO269" i="1"/>
  <c r="AO515" i="1"/>
  <c r="AO483" i="1"/>
  <c r="AO451" i="1"/>
  <c r="AO419" i="1"/>
  <c r="AO387" i="1"/>
  <c r="AO355" i="1"/>
  <c r="AO323" i="1"/>
  <c r="AO291" i="1"/>
  <c r="AO259" i="1"/>
  <c r="AO227" i="1"/>
  <c r="AO195" i="1"/>
  <c r="AO205" i="1"/>
  <c r="AO423" i="1"/>
  <c r="AO359" i="1"/>
  <c r="AO295" i="1"/>
  <c r="AO223" i="1"/>
  <c r="AW38" i="1"/>
  <c r="AT38" i="1"/>
  <c r="AW86" i="1"/>
  <c r="AT86" i="1"/>
  <c r="AV194" i="1"/>
  <c r="AS194" i="1"/>
  <c r="AV278" i="1"/>
  <c r="AS278" i="1"/>
  <c r="AV342" i="1"/>
  <c r="AS342" i="1"/>
  <c r="AO56" i="1"/>
  <c r="AO168" i="1"/>
  <c r="AO136" i="1"/>
  <c r="AO104" i="1"/>
  <c r="AO44" i="1"/>
  <c r="AV390" i="1"/>
  <c r="AS390" i="1"/>
  <c r="AV454" i="1"/>
  <c r="AS454" i="1"/>
  <c r="AO169" i="1"/>
  <c r="AO124" i="1"/>
  <c r="AO46" i="1"/>
  <c r="AW84" i="1"/>
  <c r="AT84" i="1"/>
  <c r="AW156" i="1"/>
  <c r="AT156" i="1"/>
  <c r="AV99" i="1"/>
  <c r="AS99" i="1"/>
  <c r="AV29" i="1"/>
  <c r="AS29" i="1"/>
  <c r="AV175" i="1"/>
  <c r="AS175" i="1"/>
  <c r="AV143" i="1"/>
  <c r="AS143" i="1"/>
  <c r="AV244" i="1"/>
  <c r="AS244" i="1"/>
  <c r="AV372" i="1"/>
  <c r="AS372" i="1"/>
  <c r="AO148" i="1"/>
  <c r="AO167" i="1"/>
  <c r="AO135" i="1"/>
  <c r="AO90" i="1"/>
  <c r="AW365" i="1"/>
  <c r="AT365" i="1"/>
  <c r="AV172" i="1"/>
  <c r="AS172" i="1"/>
  <c r="AV111" i="1"/>
  <c r="AS111" i="1"/>
  <c r="AO78" i="1"/>
  <c r="AV324" i="1"/>
  <c r="AS324" i="1"/>
  <c r="AW161" i="1"/>
  <c r="AT161" i="1"/>
  <c r="AW45" i="1"/>
  <c r="AT45" i="1"/>
  <c r="AV119" i="1"/>
  <c r="AS119" i="1"/>
  <c r="AR511" i="1"/>
  <c r="AR479" i="1"/>
  <c r="AR447" i="1"/>
  <c r="AR415" i="1"/>
  <c r="AU383" i="1"/>
  <c r="AR383" i="1"/>
  <c r="AR351" i="1"/>
  <c r="AR319" i="1"/>
  <c r="AR287" i="1"/>
  <c r="AR255" i="1"/>
  <c r="AS21" i="1"/>
  <c r="AR491" i="1"/>
  <c r="AR459" i="1"/>
  <c r="AR427" i="1"/>
  <c r="AR395" i="1"/>
  <c r="AR363" i="1"/>
  <c r="AR331" i="1"/>
  <c r="AR299" i="1"/>
  <c r="AR267" i="1"/>
  <c r="AR235" i="1"/>
  <c r="AW182" i="1"/>
  <c r="AT182" i="1"/>
  <c r="AU450" i="1"/>
  <c r="AR41" i="1"/>
  <c r="AV78" i="1"/>
  <c r="AS78" i="1"/>
  <c r="AV110" i="1"/>
  <c r="AS110" i="1"/>
  <c r="AV142" i="1"/>
  <c r="AS142" i="1"/>
  <c r="AV174" i="1"/>
  <c r="AS174" i="1"/>
  <c r="AS386" i="1"/>
  <c r="AW87" i="1"/>
  <c r="AT87" i="1"/>
  <c r="AQ12" i="1"/>
  <c r="AW47" i="1"/>
  <c r="AT47" i="1"/>
  <c r="AW175" i="1"/>
  <c r="AT175" i="1"/>
  <c r="AR26" i="1"/>
  <c r="AO367" i="1"/>
  <c r="AV444" i="1"/>
  <c r="AS444" i="1"/>
  <c r="AV472" i="1"/>
  <c r="AS472" i="1"/>
  <c r="AV500" i="1"/>
  <c r="AS500" i="1"/>
  <c r="AV431" i="1"/>
  <c r="AS431" i="1"/>
  <c r="AV115" i="1"/>
  <c r="AS115" i="1"/>
  <c r="AV377" i="1"/>
  <c r="AS377" i="1"/>
  <c r="AV433" i="1"/>
  <c r="AS433" i="1"/>
  <c r="AV489" i="1"/>
  <c r="AS489" i="1"/>
  <c r="AV389" i="1"/>
  <c r="AS389" i="1"/>
  <c r="AV485" i="1"/>
  <c r="AS485" i="1"/>
  <c r="AV497" i="1"/>
  <c r="AS497" i="1"/>
  <c r="AO329" i="1"/>
  <c r="AV197" i="1"/>
  <c r="AS197" i="1"/>
  <c r="AV77" i="1"/>
  <c r="AS77" i="1"/>
  <c r="AV229" i="1"/>
  <c r="AS229" i="1"/>
  <c r="AV493" i="1"/>
  <c r="AS493" i="1"/>
  <c r="AO465" i="1"/>
  <c r="AO137" i="1"/>
  <c r="AO101" i="1"/>
  <c r="AV337" i="1"/>
  <c r="AS337" i="1"/>
  <c r="AV193" i="1"/>
  <c r="AS193" i="1"/>
  <c r="AM12" i="1"/>
  <c r="AO89" i="1"/>
  <c r="AV249" i="1"/>
  <c r="AS249" i="1"/>
  <c r="AO281" i="1"/>
  <c r="AV305" i="1"/>
  <c r="AS305" i="1"/>
  <c r="AO345" i="1"/>
  <c r="AV401" i="1"/>
  <c r="AS401" i="1"/>
  <c r="AV441" i="1"/>
  <c r="AS441" i="1"/>
  <c r="AO262" i="1"/>
  <c r="AW198" i="1"/>
  <c r="AT198" i="1"/>
  <c r="AW454" i="1"/>
  <c r="AT454" i="1"/>
  <c r="AW242" i="1"/>
  <c r="AT242" i="1"/>
  <c r="AW118" i="1"/>
  <c r="AT118" i="1"/>
  <c r="AW206" i="1"/>
  <c r="AT206" i="1"/>
  <c r="AW286" i="1"/>
  <c r="AT286" i="1"/>
  <c r="AW346" i="1"/>
  <c r="AT346" i="1"/>
  <c r="AW406" i="1"/>
  <c r="AT406" i="1"/>
  <c r="AW450" i="1"/>
  <c r="AT450" i="1"/>
  <c r="AW230" i="1"/>
  <c r="AT230" i="1"/>
  <c r="AO358" i="1"/>
  <c r="AW134" i="1"/>
  <c r="AT134" i="1"/>
  <c r="AW258" i="1"/>
  <c r="AT258" i="1"/>
  <c r="AW334" i="1"/>
  <c r="AT334" i="1"/>
  <c r="AW402" i="1"/>
  <c r="AT402" i="1"/>
  <c r="AW458" i="1"/>
  <c r="AT458" i="1"/>
  <c r="AW310" i="1"/>
  <c r="AT310" i="1"/>
  <c r="AW54" i="1"/>
  <c r="AT54" i="1"/>
  <c r="AO166" i="1"/>
  <c r="AW130" i="1"/>
  <c r="AT130" i="1"/>
  <c r="AW318" i="1"/>
  <c r="AT318" i="1"/>
  <c r="AW366" i="1"/>
  <c r="AT366" i="1"/>
  <c r="AN13" i="1"/>
  <c r="AW314" i="1"/>
  <c r="AT314" i="1"/>
  <c r="AO138" i="1"/>
  <c r="AR179" i="1"/>
  <c r="AR115" i="1"/>
  <c r="AR135" i="1"/>
  <c r="AR71" i="1"/>
  <c r="AV373" i="1"/>
  <c r="AS373" i="1"/>
  <c r="AS429" i="1"/>
  <c r="AS517" i="1"/>
  <c r="AV453" i="1"/>
  <c r="AS453" i="1"/>
  <c r="AV201" i="1"/>
  <c r="AS201" i="1"/>
  <c r="AW28" i="1"/>
  <c r="AT28" i="1"/>
  <c r="AW52" i="1"/>
  <c r="AT52" i="1"/>
  <c r="AW76" i="1"/>
  <c r="AT76" i="1"/>
  <c r="AW96" i="1"/>
  <c r="AT96" i="1"/>
  <c r="AW112" i="1"/>
  <c r="AT112" i="1"/>
  <c r="AW136" i="1"/>
  <c r="AT136" i="1"/>
  <c r="AW160" i="1"/>
  <c r="AT160" i="1"/>
  <c r="AW176" i="1"/>
  <c r="AT176" i="1"/>
  <c r="AW208" i="1"/>
  <c r="AT208" i="1"/>
  <c r="AW232" i="1"/>
  <c r="AT232" i="1"/>
  <c r="AW252" i="1"/>
  <c r="AT252" i="1"/>
  <c r="AW268" i="1"/>
  <c r="AT268" i="1"/>
  <c r="AW292" i="1"/>
  <c r="AT292" i="1"/>
  <c r="AW312" i="1"/>
  <c r="AT312" i="1"/>
  <c r="AW328" i="1"/>
  <c r="AT328" i="1"/>
  <c r="AW348" i="1"/>
  <c r="AT348" i="1"/>
  <c r="AW364" i="1"/>
  <c r="AT364" i="1"/>
  <c r="AW384" i="1"/>
  <c r="AT384" i="1"/>
  <c r="AW408" i="1"/>
  <c r="AT408" i="1"/>
  <c r="AW428" i="1"/>
  <c r="AT428" i="1"/>
  <c r="AW448" i="1"/>
  <c r="AT448" i="1"/>
  <c r="AW468" i="1"/>
  <c r="AT468" i="1"/>
  <c r="AT484" i="1"/>
  <c r="AW500" i="1"/>
  <c r="AT500" i="1"/>
  <c r="AW516" i="1"/>
  <c r="AT516" i="1"/>
  <c r="AW372" i="1"/>
  <c r="AT372" i="1"/>
  <c r="AW326" i="1"/>
  <c r="AT326" i="1"/>
  <c r="AW94" i="1"/>
  <c r="AT94" i="1"/>
  <c r="W13" i="1"/>
  <c r="AR29" i="1"/>
  <c r="AR97" i="1"/>
  <c r="AR145" i="1"/>
  <c r="AR153" i="1"/>
  <c r="AR173" i="1"/>
  <c r="AR193" i="1"/>
  <c r="AR213" i="1"/>
  <c r="AR233" i="1"/>
  <c r="AR253" i="1"/>
  <c r="AR301" i="1"/>
  <c r="AR321" i="1"/>
  <c r="AR341" i="1"/>
  <c r="AR385" i="1"/>
  <c r="AR393" i="1"/>
  <c r="AR401" i="1"/>
  <c r="AR421" i="1"/>
  <c r="AR429" i="1"/>
  <c r="AR437" i="1"/>
  <c r="AR481" i="1"/>
  <c r="AR489" i="1"/>
  <c r="AR497" i="1"/>
  <c r="AO39" i="1"/>
  <c r="AV59" i="1"/>
  <c r="AS59" i="1"/>
  <c r="AO79" i="1"/>
  <c r="AO151" i="1"/>
  <c r="AV163" i="1"/>
  <c r="AS163" i="1"/>
  <c r="AV227" i="1"/>
  <c r="AS227" i="1"/>
  <c r="AV275" i="1"/>
  <c r="AS275" i="1"/>
  <c r="AO287" i="1"/>
  <c r="AV311" i="1"/>
  <c r="AS311" i="1"/>
  <c r="AV351" i="1"/>
  <c r="AS351" i="1"/>
  <c r="AV371" i="1"/>
  <c r="AS371" i="1"/>
  <c r="AO399" i="1"/>
  <c r="AV455" i="1"/>
  <c r="AS455" i="1"/>
  <c r="AV499" i="1"/>
  <c r="AS499" i="1"/>
  <c r="AV511" i="1"/>
  <c r="AS511" i="1"/>
  <c r="AR60" i="1"/>
  <c r="AL36" i="1"/>
  <c r="AL52" i="1"/>
  <c r="AL68" i="1"/>
  <c r="AL84" i="1"/>
  <c r="AL100" i="1"/>
  <c r="AL116" i="1"/>
  <c r="AL132" i="1"/>
  <c r="AL148" i="1"/>
  <c r="AL164" i="1"/>
  <c r="AL180" i="1"/>
  <c r="AL196" i="1"/>
  <c r="AL212" i="1"/>
  <c r="AL228" i="1"/>
  <c r="AL244" i="1"/>
  <c r="AL260" i="1"/>
  <c r="AL276" i="1"/>
  <c r="AL292" i="1"/>
  <c r="AL308" i="1"/>
  <c r="AL324" i="1"/>
  <c r="AL340" i="1"/>
  <c r="AL356" i="1"/>
  <c r="AL372" i="1"/>
  <c r="AL388" i="1"/>
  <c r="AL404" i="1"/>
  <c r="AL420" i="1"/>
  <c r="AL436" i="1"/>
  <c r="AV28" i="1"/>
  <c r="AS28" i="1"/>
  <c r="AV60" i="1"/>
  <c r="AS60" i="1"/>
  <c r="AV196" i="1"/>
  <c r="AS196" i="1"/>
  <c r="AV264" i="1"/>
  <c r="AS264" i="1"/>
  <c r="AV272" i="1"/>
  <c r="AS272" i="1"/>
  <c r="AV300" i="1"/>
  <c r="AS300" i="1"/>
  <c r="AV328" i="1"/>
  <c r="AS328" i="1"/>
  <c r="AV336" i="1"/>
  <c r="AS336" i="1"/>
  <c r="AV364" i="1"/>
  <c r="AS364" i="1"/>
  <c r="AV384" i="1"/>
  <c r="AS384" i="1"/>
  <c r="AV412" i="1"/>
  <c r="AS412" i="1"/>
  <c r="AR43" i="1"/>
  <c r="AV107" i="1"/>
  <c r="AS107" i="1"/>
  <c r="AV147" i="1"/>
  <c r="AS147" i="1"/>
  <c r="AV215" i="1"/>
  <c r="AS215" i="1"/>
  <c r="AV267" i="1"/>
  <c r="AS267" i="1"/>
  <c r="AV291" i="1"/>
  <c r="AS291" i="1"/>
  <c r="AV315" i="1"/>
  <c r="AS315" i="1"/>
  <c r="AV411" i="1"/>
  <c r="AS411" i="1"/>
  <c r="AV41" i="1"/>
  <c r="AS41" i="1"/>
  <c r="AV81" i="1"/>
  <c r="AS81" i="1"/>
  <c r="AO197" i="1"/>
  <c r="AO233" i="1"/>
  <c r="AV241" i="1"/>
  <c r="AS241" i="1"/>
  <c r="AV261" i="1"/>
  <c r="AS261" i="1"/>
  <c r="AV269" i="1"/>
  <c r="AS269" i="1"/>
  <c r="AV277" i="1"/>
  <c r="AS277" i="1"/>
  <c r="AV297" i="1"/>
  <c r="AS297" i="1"/>
  <c r="AV317" i="1"/>
  <c r="AS317" i="1"/>
  <c r="AV325" i="1"/>
  <c r="AS325" i="1"/>
  <c r="AV333" i="1"/>
  <c r="AS333" i="1"/>
  <c r="AV341" i="1"/>
  <c r="AS341" i="1"/>
  <c r="AO377" i="1"/>
  <c r="AO417" i="1"/>
  <c r="AO473" i="1"/>
  <c r="AR48" i="1"/>
  <c r="AR514" i="1"/>
  <c r="AR494" i="1"/>
  <c r="AR486" i="1"/>
  <c r="AR434" i="1"/>
  <c r="AR414" i="1"/>
  <c r="AR406" i="1"/>
  <c r="AR378" i="1"/>
  <c r="AR370" i="1"/>
  <c r="AR362" i="1"/>
  <c r="AR318" i="1"/>
  <c r="AR310" i="1"/>
  <c r="AR302" i="1"/>
  <c r="AR294" i="1"/>
  <c r="AR266" i="1"/>
  <c r="AR246" i="1"/>
  <c r="AR238" i="1"/>
  <c r="AR202" i="1"/>
  <c r="AR170" i="1"/>
  <c r="AR162" i="1"/>
  <c r="AR154" i="1"/>
  <c r="AR134" i="1"/>
  <c r="AR78" i="1"/>
  <c r="AR506" i="1"/>
  <c r="AW391" i="1"/>
  <c r="AT391" i="1"/>
  <c r="AO488" i="1"/>
  <c r="AO364" i="1"/>
  <c r="AL43" i="1"/>
  <c r="AL75" i="1"/>
  <c r="AL107" i="1"/>
  <c r="AL139" i="1"/>
  <c r="AL171" i="1"/>
  <c r="AL203" i="1"/>
  <c r="AL235" i="1"/>
  <c r="AL267" i="1"/>
  <c r="AL299" i="1"/>
  <c r="AL331" i="1"/>
  <c r="AL363" i="1"/>
  <c r="AL395" i="1"/>
  <c r="AL427" i="1"/>
  <c r="AL459" i="1"/>
  <c r="AL491" i="1"/>
  <c r="AW351" i="1"/>
  <c r="AT351" i="1"/>
  <c r="AW439" i="1"/>
  <c r="AT439" i="1"/>
  <c r="AT485" i="1"/>
  <c r="AT437" i="1"/>
  <c r="AT405" i="1"/>
  <c r="AS391" i="1"/>
  <c r="AT375" i="1"/>
  <c r="AT341" i="1"/>
  <c r="AS303" i="1"/>
  <c r="AT283" i="1"/>
  <c r="AT231" i="1"/>
  <c r="AV221" i="1"/>
  <c r="AS221" i="1"/>
  <c r="AW211" i="1"/>
  <c r="AW197" i="1"/>
  <c r="AS171" i="1"/>
  <c r="AV156" i="1"/>
  <c r="AS156" i="1"/>
  <c r="AW145" i="1"/>
  <c r="AW135" i="1"/>
  <c r="AW79" i="1"/>
  <c r="AT67" i="1"/>
  <c r="AV56" i="1"/>
  <c r="AS56" i="1"/>
  <c r="AV47" i="1"/>
  <c r="AR480" i="1"/>
  <c r="AR452" i="1"/>
  <c r="AR368" i="1"/>
  <c r="AR356" i="1"/>
  <c r="AR336" i="1"/>
  <c r="AR292" i="1"/>
  <c r="AR284" i="1"/>
  <c r="AR256" i="1"/>
  <c r="AR220" i="1"/>
  <c r="AR176" i="1"/>
  <c r="AR168" i="1"/>
  <c r="AR108" i="1"/>
  <c r="AR100" i="1"/>
  <c r="AR92" i="1"/>
  <c r="AR80" i="1"/>
  <c r="AR72" i="1"/>
  <c r="AR52" i="1"/>
  <c r="AR40" i="1"/>
  <c r="AQ14" i="1"/>
  <c r="AR198" i="1"/>
  <c r="AR270" i="1"/>
  <c r="AR354" i="1"/>
  <c r="AO506" i="1"/>
  <c r="AO498" i="1"/>
  <c r="AO490" i="1"/>
  <c r="AO482" i="1"/>
  <c r="AW474" i="1"/>
  <c r="AT474" i="1"/>
  <c r="AW466" i="1"/>
  <c r="AT466" i="1"/>
  <c r="AO458" i="1"/>
  <c r="AO450" i="1"/>
  <c r="AO330" i="1"/>
  <c r="AO322" i="1"/>
  <c r="AO294" i="1"/>
  <c r="AO286" i="1"/>
  <c r="AO278" i="1"/>
  <c r="AO270" i="1"/>
  <c r="AW262" i="1"/>
  <c r="AT262" i="1"/>
  <c r="AO254" i="1"/>
  <c r="AO246" i="1"/>
  <c r="AO238" i="1"/>
  <c r="AO230" i="1"/>
  <c r="AO222" i="1"/>
  <c r="AO214" i="1"/>
  <c r="AO206" i="1"/>
  <c r="AO170" i="1"/>
  <c r="AO50" i="1"/>
  <c r="AO42" i="1"/>
  <c r="AO34" i="1"/>
  <c r="AW26" i="1"/>
  <c r="AT26" i="1"/>
  <c r="AO388" i="1"/>
  <c r="AO464" i="1"/>
  <c r="AW419" i="1"/>
  <c r="AW311" i="1"/>
  <c r="AW303" i="1"/>
  <c r="AL29" i="1"/>
  <c r="AL285" i="1"/>
  <c r="AO248" i="1"/>
  <c r="AW57" i="1"/>
  <c r="AT57" i="1"/>
  <c r="AW81" i="1"/>
  <c r="AT81" i="1"/>
  <c r="AW237" i="1"/>
  <c r="AT237" i="1"/>
  <c r="AW381" i="1"/>
  <c r="AT381" i="1"/>
  <c r="AS495" i="1"/>
  <c r="AT477" i="1"/>
  <c r="AT457" i="1"/>
  <c r="AS403" i="1"/>
  <c r="AW357" i="1"/>
  <c r="AT331" i="1"/>
  <c r="AT273" i="1"/>
  <c r="AT257" i="1"/>
  <c r="AT241" i="1"/>
  <c r="AV200" i="1"/>
  <c r="AS200" i="1"/>
  <c r="AV191" i="1"/>
  <c r="AV160" i="1"/>
  <c r="AS160" i="1"/>
  <c r="AW147" i="1"/>
  <c r="AW137" i="1"/>
  <c r="AW127" i="1"/>
  <c r="AT109" i="1"/>
  <c r="AT99" i="1"/>
  <c r="AT89" i="1"/>
  <c r="AT77" i="1"/>
  <c r="AV64" i="1"/>
  <c r="AS64" i="1"/>
  <c r="AW53" i="1"/>
  <c r="AW43" i="1"/>
  <c r="AV35" i="1"/>
  <c r="AW23" i="1"/>
  <c r="AT294" i="1"/>
  <c r="AT471" i="1"/>
  <c r="AW395" i="1"/>
  <c r="AW377" i="1"/>
  <c r="AW333" i="1"/>
  <c r="AW309" i="1"/>
  <c r="AW287" i="1"/>
  <c r="AW275" i="1"/>
  <c r="AV259" i="1"/>
  <c r="AV238" i="1"/>
  <c r="AS238" i="1"/>
  <c r="AV218" i="1"/>
  <c r="AS218" i="1"/>
  <c r="AT171" i="1"/>
  <c r="AV144" i="1"/>
  <c r="AS144" i="1"/>
  <c r="AW133" i="1"/>
  <c r="AV100" i="1"/>
  <c r="AV91" i="1"/>
  <c r="AV79" i="1"/>
  <c r="AT29" i="1"/>
  <c r="AX430" i="1"/>
  <c r="AV479" i="1"/>
  <c r="AX253" i="1"/>
  <c r="AO376" i="1"/>
  <c r="AO452" i="1"/>
  <c r="AO36" i="1"/>
  <c r="AV42" i="1"/>
  <c r="AS42" i="1"/>
  <c r="AL58" i="1"/>
  <c r="AV74" i="1"/>
  <c r="AS74" i="1"/>
  <c r="AL90" i="1"/>
  <c r="AL110" i="1"/>
  <c r="AL118" i="1"/>
  <c r="AV122" i="1"/>
  <c r="AS122" i="1"/>
  <c r="AL130" i="1"/>
  <c r="AL138" i="1"/>
  <c r="AL158" i="1"/>
  <c r="AL166" i="1"/>
  <c r="AV170" i="1"/>
  <c r="AS170" i="1"/>
  <c r="AL186" i="1"/>
  <c r="AL198" i="1"/>
  <c r="AL218" i="1"/>
  <c r="AL238" i="1"/>
  <c r="AL246" i="1"/>
  <c r="AV250" i="1"/>
  <c r="AS250" i="1"/>
  <c r="AL258" i="1"/>
  <c r="AL270" i="1"/>
  <c r="AL282" i="1"/>
  <c r="AL294" i="1"/>
  <c r="AV298" i="1"/>
  <c r="AS298" i="1"/>
  <c r="AL306" i="1"/>
  <c r="AL314" i="1"/>
  <c r="AV322" i="1"/>
  <c r="AS322" i="1"/>
  <c r="AV334" i="1"/>
  <c r="AS334" i="1"/>
  <c r="AL342" i="1"/>
  <c r="AV354" i="1"/>
  <c r="AS354" i="1"/>
  <c r="AL366" i="1"/>
  <c r="AV382" i="1"/>
  <c r="AS382" i="1"/>
  <c r="AL398" i="1"/>
  <c r="AL410" i="1"/>
  <c r="AV418" i="1"/>
  <c r="AS418" i="1"/>
  <c r="AS430" i="1"/>
  <c r="AL446" i="1"/>
  <c r="AV462" i="1"/>
  <c r="AS462" i="1"/>
  <c r="AL470" i="1"/>
  <c r="AV474" i="1"/>
  <c r="AS474" i="1"/>
  <c r="AL490" i="1"/>
  <c r="AL502" i="1"/>
  <c r="AV506" i="1"/>
  <c r="AS506" i="1"/>
  <c r="AL514" i="1"/>
  <c r="AT493" i="1"/>
  <c r="AW425" i="1"/>
  <c r="AT361" i="1"/>
  <c r="AW345" i="1"/>
  <c r="AV235" i="1"/>
  <c r="AW201" i="1"/>
  <c r="AW125" i="1"/>
  <c r="AS48" i="1"/>
  <c r="AT37" i="1"/>
  <c r="AO368" i="1"/>
  <c r="AL423" i="1"/>
  <c r="AX484" i="1"/>
  <c r="AW475" i="1"/>
  <c r="AW409" i="1"/>
  <c r="AW379" i="1"/>
  <c r="AT329" i="1"/>
  <c r="AT305" i="1"/>
  <c r="AT193" i="1"/>
  <c r="AV176" i="1"/>
  <c r="AS176" i="1"/>
  <c r="AW102" i="1"/>
  <c r="AT31" i="1"/>
  <c r="AN19" i="1"/>
  <c r="AR112" i="1"/>
  <c r="AR140" i="1"/>
  <c r="AR196" i="1"/>
  <c r="AR208" i="1"/>
  <c r="AR224" i="1"/>
  <c r="AR260" i="1"/>
  <c r="AR300" i="1"/>
  <c r="AR352" i="1"/>
  <c r="AR388" i="1"/>
  <c r="AR420" i="1"/>
  <c r="AR464" i="1"/>
  <c r="AO496" i="1"/>
  <c r="AO460" i="1"/>
  <c r="AO424" i="1"/>
  <c r="AO416" i="1"/>
  <c r="AW404" i="1"/>
  <c r="AT404" i="1"/>
  <c r="AO396" i="1"/>
  <c r="AO384" i="1"/>
  <c r="AO332" i="1"/>
  <c r="AO300" i="1"/>
  <c r="AO268" i="1"/>
  <c r="AO260" i="1"/>
  <c r="AO252" i="1"/>
  <c r="AW216" i="1"/>
  <c r="AT216" i="1"/>
  <c r="AO184" i="1"/>
  <c r="AO48" i="1"/>
  <c r="AO66" i="1"/>
  <c r="AO98" i="1"/>
  <c r="AO142" i="1"/>
  <c r="AO266" i="1"/>
  <c r="AO398" i="1"/>
  <c r="AO434" i="1"/>
  <c r="AW495" i="1"/>
  <c r="AL444" i="1"/>
  <c r="AL452" i="1"/>
  <c r="AL460" i="1"/>
  <c r="AL468" i="1"/>
  <c r="AL476" i="1"/>
  <c r="AL484" i="1"/>
  <c r="AL492" i="1"/>
  <c r="AL500" i="1"/>
  <c r="AL508" i="1"/>
  <c r="AL516" i="1"/>
  <c r="AS419" i="1"/>
  <c r="AX383" i="1"/>
  <c r="AV359" i="1"/>
  <c r="AV207" i="1"/>
  <c r="AV128" i="1"/>
  <c r="AV114" i="1"/>
  <c r="AW55" i="1"/>
  <c r="AV46" i="1"/>
  <c r="AV465" i="1"/>
  <c r="AS465" i="1"/>
  <c r="AW64" i="1"/>
  <c r="AT64" i="1"/>
  <c r="AW104" i="1"/>
  <c r="AT104" i="1"/>
  <c r="AW128" i="1"/>
  <c r="AT128" i="1"/>
  <c r="AW168" i="1"/>
  <c r="AT168" i="1"/>
  <c r="AW192" i="1"/>
  <c r="AT192" i="1"/>
  <c r="AW200" i="1"/>
  <c r="AT200" i="1"/>
  <c r="AW244" i="1"/>
  <c r="AT244" i="1"/>
  <c r="AW260" i="1"/>
  <c r="AT260" i="1"/>
  <c r="AW304" i="1"/>
  <c r="AT304" i="1"/>
  <c r="AW320" i="1"/>
  <c r="AT320" i="1"/>
  <c r="AW356" i="1"/>
  <c r="AT356" i="1"/>
  <c r="AW396" i="1"/>
  <c r="AT396" i="1"/>
  <c r="AW440" i="1"/>
  <c r="AT440" i="1"/>
  <c r="AW476" i="1"/>
  <c r="AT476" i="1"/>
  <c r="AW508" i="1"/>
  <c r="AT508" i="1"/>
  <c r="AV25" i="1"/>
  <c r="AS25" i="1"/>
  <c r="AR237" i="1"/>
  <c r="AR485" i="1"/>
  <c r="AV55" i="1"/>
  <c r="AS55" i="1"/>
  <c r="AS355" i="1"/>
  <c r="AL44" i="1"/>
  <c r="AL92" i="1"/>
  <c r="AL236" i="1"/>
  <c r="AL316" i="1"/>
  <c r="AL348" i="1"/>
  <c r="AL396" i="1"/>
  <c r="AV304" i="1"/>
  <c r="AS304" i="1"/>
  <c r="AV380" i="1"/>
  <c r="AS380" i="1"/>
  <c r="AV407" i="1"/>
  <c r="AS407" i="1"/>
  <c r="AV57" i="1"/>
  <c r="AS57" i="1"/>
  <c r="AV245" i="1"/>
  <c r="AS245" i="1"/>
  <c r="AO265" i="1"/>
  <c r="AV301" i="1"/>
  <c r="AS301" i="1"/>
  <c r="AR490" i="1"/>
  <c r="AR366" i="1"/>
  <c r="AW459" i="1"/>
  <c r="AT459" i="1"/>
  <c r="AL251" i="1"/>
  <c r="AL411" i="1"/>
  <c r="AW407" i="1"/>
  <c r="AT407" i="1"/>
  <c r="AL21" i="1"/>
  <c r="W15" i="1"/>
  <c r="AV104" i="1"/>
  <c r="AS104" i="1"/>
  <c r="AR400" i="1"/>
  <c r="AR332" i="1"/>
  <c r="AR204" i="1"/>
  <c r="AR172" i="1"/>
  <c r="AO242" i="1"/>
  <c r="AW46" i="1"/>
  <c r="AT46" i="1"/>
  <c r="AO30" i="1"/>
  <c r="AV480" i="1"/>
  <c r="AS480" i="1"/>
  <c r="AV139" i="1"/>
  <c r="AV208" i="1"/>
  <c r="AS208" i="1"/>
  <c r="AV90" i="1"/>
  <c r="AS90" i="1"/>
  <c r="AV258" i="1"/>
  <c r="AS258" i="1"/>
  <c r="AL278" i="1"/>
  <c r="AV282" i="1"/>
  <c r="AS282" i="1"/>
  <c r="AV346" i="1"/>
  <c r="AS346" i="1"/>
  <c r="AV410" i="1"/>
  <c r="AS410" i="1"/>
  <c r="AX355" i="1"/>
  <c r="AV112" i="1"/>
  <c r="AS112" i="1"/>
  <c r="AV136" i="1"/>
  <c r="AS136" i="1"/>
  <c r="AW456" i="1"/>
  <c r="AT456" i="1"/>
  <c r="AW296" i="1"/>
  <c r="AT296" i="1"/>
  <c r="AO74" i="1"/>
  <c r="AV343" i="1"/>
  <c r="AW40" i="1"/>
  <c r="AT40" i="1"/>
  <c r="W14" i="1"/>
  <c r="AO487" i="1"/>
  <c r="AO453" i="1"/>
  <c r="AO421" i="1"/>
  <c r="AO389" i="1"/>
  <c r="AO357" i="1"/>
  <c r="AO325" i="1"/>
  <c r="AO293" i="1"/>
  <c r="AO261" i="1"/>
  <c r="AO507" i="1"/>
  <c r="AO475" i="1"/>
  <c r="AO443" i="1"/>
  <c r="AO411" i="1"/>
  <c r="AO379" i="1"/>
  <c r="AO347" i="1"/>
  <c r="AO315" i="1"/>
  <c r="AO283" i="1"/>
  <c r="AO251" i="1"/>
  <c r="AO219" i="1"/>
  <c r="AO187" i="1"/>
  <c r="AO183" i="1"/>
  <c r="AO407" i="1"/>
  <c r="AO343" i="1"/>
  <c r="AO279" i="1"/>
  <c r="AO213" i="1"/>
  <c r="AW42" i="1"/>
  <c r="AT42" i="1"/>
  <c r="AW98" i="1"/>
  <c r="AT98" i="1"/>
  <c r="AV202" i="1"/>
  <c r="AS202" i="1"/>
  <c r="AV294" i="1"/>
  <c r="AS294" i="1"/>
  <c r="AV358" i="1"/>
  <c r="AS358" i="1"/>
  <c r="AO40" i="1"/>
  <c r="AO160" i="1"/>
  <c r="AO128" i="1"/>
  <c r="AO92" i="1"/>
  <c r="AO28" i="1"/>
  <c r="AV406" i="1"/>
  <c r="AS406" i="1"/>
  <c r="AV470" i="1"/>
  <c r="AS470" i="1"/>
  <c r="AV159" i="1"/>
  <c r="AS159" i="1"/>
  <c r="AW105" i="1"/>
  <c r="AT105" i="1"/>
  <c r="AO45" i="1"/>
  <c r="AW116" i="1"/>
  <c r="AT116" i="1"/>
  <c r="AW180" i="1"/>
  <c r="AT180" i="1"/>
  <c r="AV80" i="1"/>
  <c r="AS80" i="1"/>
  <c r="AM19" i="1"/>
  <c r="AO175" i="1"/>
  <c r="AO143" i="1"/>
  <c r="AV260" i="1"/>
  <c r="AS260" i="1"/>
  <c r="AV388" i="1"/>
  <c r="AS388" i="1"/>
  <c r="AN15" i="1"/>
  <c r="AO93" i="1"/>
  <c r="AV164" i="1"/>
  <c r="AS164" i="1"/>
  <c r="AV132" i="1"/>
  <c r="AS132" i="1"/>
  <c r="AO65" i="1"/>
  <c r="AV226" i="1"/>
  <c r="AS226" i="1"/>
  <c r="AM17" i="1"/>
  <c r="AO172" i="1"/>
  <c r="AO111" i="1"/>
  <c r="AV212" i="1"/>
  <c r="AS212" i="1"/>
  <c r="AV356" i="1"/>
  <c r="AS356" i="1"/>
  <c r="AW129" i="1"/>
  <c r="AT129" i="1"/>
  <c r="AO119" i="1"/>
  <c r="AR503" i="1"/>
  <c r="AR471" i="1"/>
  <c r="AR439" i="1"/>
  <c r="AR407" i="1"/>
  <c r="AR375" i="1"/>
  <c r="AR343" i="1"/>
  <c r="AR311" i="1"/>
  <c r="AR279" i="1"/>
  <c r="AR247" i="1"/>
  <c r="AX43" i="1"/>
  <c r="AU43" i="1"/>
  <c r="AR515" i="1"/>
  <c r="AR483" i="1"/>
  <c r="AR451" i="1"/>
  <c r="AR419" i="1"/>
  <c r="AR387" i="1"/>
  <c r="AC19" i="1"/>
  <c r="AR355" i="1"/>
  <c r="AR323" i="1"/>
  <c r="AR291" i="1"/>
  <c r="AR259" i="1"/>
  <c r="AR227" i="1"/>
  <c r="AR65" i="1"/>
  <c r="AR25" i="1"/>
  <c r="AV86" i="1"/>
  <c r="AS86" i="1"/>
  <c r="AV118" i="1"/>
  <c r="AS118" i="1"/>
  <c r="AV150" i="1"/>
  <c r="AS150" i="1"/>
  <c r="AV290" i="1"/>
  <c r="AS290" i="1"/>
  <c r="AV434" i="1"/>
  <c r="AS434" i="1"/>
  <c r="AV61" i="1"/>
  <c r="AS61" i="1"/>
  <c r="AW111" i="1"/>
  <c r="AT111" i="1"/>
  <c r="AR24" i="1"/>
  <c r="AP17" i="1"/>
  <c r="AV24" i="1"/>
  <c r="AS24" i="1"/>
  <c r="I502" i="11"/>
  <c r="AP9" i="1"/>
  <c r="AO49" i="1"/>
  <c r="AV448" i="1"/>
  <c r="AS448" i="1"/>
  <c r="AV476" i="1"/>
  <c r="AS476" i="1"/>
  <c r="AV504" i="1"/>
  <c r="AS504" i="1"/>
  <c r="AV399" i="1"/>
  <c r="AS399" i="1"/>
  <c r="AV385" i="1"/>
  <c r="AS385" i="1"/>
  <c r="AV449" i="1"/>
  <c r="AS449" i="1"/>
  <c r="AV501" i="1"/>
  <c r="AS501" i="1"/>
  <c r="AV413" i="1"/>
  <c r="AS413" i="1"/>
  <c r="AV505" i="1"/>
  <c r="AS505" i="1"/>
  <c r="AV273" i="1"/>
  <c r="AS273" i="1"/>
  <c r="AV425" i="1"/>
  <c r="AS425" i="1"/>
  <c r="AV85" i="1"/>
  <c r="AS85" i="1"/>
  <c r="AO77" i="1"/>
  <c r="AO229" i="1"/>
  <c r="AO493" i="1"/>
  <c r="AO353" i="1"/>
  <c r="AO129" i="1"/>
  <c r="AO97" i="1"/>
  <c r="AV321" i="1"/>
  <c r="AS321" i="1"/>
  <c r="AV109" i="1"/>
  <c r="AS109" i="1"/>
  <c r="AV37" i="1"/>
  <c r="AS37" i="1"/>
  <c r="AM15" i="1"/>
  <c r="AV257" i="1"/>
  <c r="AS257" i="1"/>
  <c r="AV289" i="1"/>
  <c r="AS289" i="1"/>
  <c r="AV313" i="1"/>
  <c r="AS313" i="1"/>
  <c r="AV369" i="1"/>
  <c r="AS369" i="1"/>
  <c r="AV409" i="1"/>
  <c r="AS409" i="1"/>
  <c r="AO216" i="1"/>
  <c r="AW340" i="1"/>
  <c r="AT340" i="1"/>
  <c r="AT482" i="1"/>
  <c r="AW114" i="1"/>
  <c r="AT114" i="1"/>
  <c r="AW146" i="1"/>
  <c r="AT146" i="1"/>
  <c r="AW234" i="1"/>
  <c r="AT234" i="1"/>
  <c r="AW298" i="1"/>
  <c r="AT298" i="1"/>
  <c r="AW354" i="1"/>
  <c r="AT354" i="1"/>
  <c r="AW418" i="1"/>
  <c r="AT418" i="1"/>
  <c r="AW490" i="1"/>
  <c r="AT490" i="1"/>
  <c r="AW222" i="1"/>
  <c r="AT222" i="1"/>
  <c r="AE17" i="1"/>
  <c r="AN17" i="1"/>
  <c r="AO462" i="1"/>
  <c r="AW150" i="1"/>
  <c r="AT150" i="1"/>
  <c r="AW278" i="1"/>
  <c r="AT278" i="1"/>
  <c r="AW342" i="1"/>
  <c r="AT342" i="1"/>
  <c r="AW410" i="1"/>
  <c r="AT410" i="1"/>
  <c r="AW158" i="1"/>
  <c r="AT158" i="1"/>
  <c r="AW226" i="1"/>
  <c r="AT226" i="1"/>
  <c r="AN12" i="1"/>
  <c r="AN16" i="1"/>
  <c r="AW170" i="1"/>
  <c r="AT170" i="1"/>
  <c r="AW362" i="1"/>
  <c r="AT362" i="1"/>
  <c r="AW210" i="1"/>
  <c r="AT210" i="1"/>
  <c r="AO510" i="1"/>
  <c r="AW162" i="1"/>
  <c r="AT162" i="1"/>
  <c r="AR223" i="1"/>
  <c r="AR163" i="1"/>
  <c r="AR99" i="1"/>
  <c r="AR123" i="1"/>
  <c r="AV381" i="1"/>
  <c r="AS381" i="1"/>
  <c r="AV445" i="1"/>
  <c r="AS445" i="1"/>
  <c r="AV421" i="1"/>
  <c r="AS421" i="1"/>
  <c r="AV153" i="1"/>
  <c r="AS153" i="1"/>
  <c r="AW36" i="1"/>
  <c r="AT36" i="1"/>
  <c r="AW60" i="1"/>
  <c r="AT60" i="1"/>
  <c r="AW80" i="1"/>
  <c r="AT80" i="1"/>
  <c r="AW100" i="1"/>
  <c r="AT100" i="1"/>
  <c r="AW120" i="1"/>
  <c r="AT120" i="1"/>
  <c r="AW140" i="1"/>
  <c r="AT140" i="1"/>
  <c r="AW164" i="1"/>
  <c r="AT164" i="1"/>
  <c r="AW184" i="1"/>
  <c r="AT184" i="1"/>
  <c r="AR436" i="1"/>
  <c r="AW220" i="1"/>
  <c r="AT220" i="1"/>
  <c r="AW236" i="1"/>
  <c r="AT236" i="1"/>
  <c r="AW256" i="1"/>
  <c r="AT256" i="1"/>
  <c r="AW276" i="1"/>
  <c r="AT276" i="1"/>
  <c r="AW300" i="1"/>
  <c r="AT300" i="1"/>
  <c r="AW316" i="1"/>
  <c r="AT316" i="1"/>
  <c r="AW332" i="1"/>
  <c r="AT332" i="1"/>
  <c r="AW352" i="1"/>
  <c r="AT352" i="1"/>
  <c r="AW368" i="1"/>
  <c r="AT368" i="1"/>
  <c r="AW392" i="1"/>
  <c r="AT392" i="1"/>
  <c r="AW412" i="1"/>
  <c r="AT412" i="1"/>
  <c r="AW432" i="1"/>
  <c r="AT432" i="1"/>
  <c r="AW452" i="1"/>
  <c r="AT452" i="1"/>
  <c r="AW472" i="1"/>
  <c r="AT472" i="1"/>
  <c r="AW488" i="1"/>
  <c r="AT488" i="1"/>
  <c r="AW504" i="1"/>
  <c r="AT504" i="1"/>
  <c r="AW240" i="1"/>
  <c r="AT240" i="1"/>
  <c r="AR372" i="1"/>
  <c r="AW272" i="1"/>
  <c r="AT272" i="1"/>
  <c r="AR94" i="1"/>
  <c r="AR89" i="1"/>
  <c r="AR109" i="1"/>
  <c r="AR129" i="1"/>
  <c r="AR165" i="1"/>
  <c r="AR205" i="1"/>
  <c r="AR225" i="1"/>
  <c r="AR245" i="1"/>
  <c r="AR265" i="1"/>
  <c r="AR285" i="1"/>
  <c r="AR333" i="1"/>
  <c r="AR353" i="1"/>
  <c r="AR361" i="1"/>
  <c r="AR369" i="1"/>
  <c r="AR449" i="1"/>
  <c r="AR457" i="1"/>
  <c r="AR465" i="1"/>
  <c r="AR473" i="1"/>
  <c r="AR509" i="1"/>
  <c r="AR517" i="1"/>
  <c r="AO71" i="1"/>
  <c r="AO91" i="1"/>
  <c r="AO115" i="1"/>
  <c r="AO127" i="1"/>
  <c r="AV203" i="1"/>
  <c r="AS203" i="1"/>
  <c r="AV323" i="1"/>
  <c r="AS323" i="1"/>
  <c r="AV331" i="1"/>
  <c r="AS331" i="1"/>
  <c r="AO383" i="1"/>
  <c r="AV427" i="1"/>
  <c r="AS427" i="1"/>
  <c r="AV435" i="1"/>
  <c r="AS435" i="1"/>
  <c r="AO447" i="1"/>
  <c r="AV467" i="1"/>
  <c r="AS467" i="1"/>
  <c r="AV491" i="1"/>
  <c r="AS491" i="1"/>
  <c r="AR88" i="1"/>
  <c r="AL24" i="1"/>
  <c r="W16" i="1"/>
  <c r="AL40" i="1"/>
  <c r="AL56" i="1"/>
  <c r="AL72" i="1"/>
  <c r="AL88" i="1"/>
  <c r="AL104" i="1"/>
  <c r="AL120" i="1"/>
  <c r="AL136" i="1"/>
  <c r="AL152" i="1"/>
  <c r="AL168" i="1"/>
  <c r="AL184" i="1"/>
  <c r="AL200" i="1"/>
  <c r="AL216" i="1"/>
  <c r="AL232" i="1"/>
  <c r="AL248" i="1"/>
  <c r="AL264" i="1"/>
  <c r="AL280" i="1"/>
  <c r="AL296" i="1"/>
  <c r="AL312" i="1"/>
  <c r="AL328" i="1"/>
  <c r="AL344" i="1"/>
  <c r="AL360" i="1"/>
  <c r="AL376" i="1"/>
  <c r="AL392" i="1"/>
  <c r="AL408" i="1"/>
  <c r="AL424" i="1"/>
  <c r="AL440" i="1"/>
  <c r="AV52" i="1"/>
  <c r="AS52" i="1"/>
  <c r="AV188" i="1"/>
  <c r="AS188" i="1"/>
  <c r="AV220" i="1"/>
  <c r="AS220" i="1"/>
  <c r="AV228" i="1"/>
  <c r="AS228" i="1"/>
  <c r="AV236" i="1"/>
  <c r="AS236" i="1"/>
  <c r="AV256" i="1"/>
  <c r="AS256" i="1"/>
  <c r="AV284" i="1"/>
  <c r="AS284" i="1"/>
  <c r="AV312" i="1"/>
  <c r="AS312" i="1"/>
  <c r="AV320" i="1"/>
  <c r="AS320" i="1"/>
  <c r="AV348" i="1"/>
  <c r="AS348" i="1"/>
  <c r="AV396" i="1"/>
  <c r="AS396" i="1"/>
  <c r="AV424" i="1"/>
  <c r="AS424" i="1"/>
  <c r="AV83" i="1"/>
  <c r="AS83" i="1"/>
  <c r="AV123" i="1"/>
  <c r="AS123" i="1"/>
  <c r="AV239" i="1"/>
  <c r="AS239" i="1"/>
  <c r="AV251" i="1"/>
  <c r="AS251" i="1"/>
  <c r="AV283" i="1"/>
  <c r="AS283" i="1"/>
  <c r="AV439" i="1"/>
  <c r="AS439" i="1"/>
  <c r="AV447" i="1"/>
  <c r="AS447" i="1"/>
  <c r="AV33" i="1"/>
  <c r="AS33" i="1"/>
  <c r="AV65" i="1"/>
  <c r="AS65" i="1"/>
  <c r="AO73" i="1"/>
  <c r="AV105" i="1"/>
  <c r="AS105" i="1"/>
  <c r="AV113" i="1"/>
  <c r="AS113" i="1"/>
  <c r="AV121" i="1"/>
  <c r="AS121" i="1"/>
  <c r="AV129" i="1"/>
  <c r="AS129" i="1"/>
  <c r="AV137" i="1"/>
  <c r="AS137" i="1"/>
  <c r="AV145" i="1"/>
  <c r="AS145" i="1"/>
  <c r="AV157" i="1"/>
  <c r="AS157" i="1"/>
  <c r="AV165" i="1"/>
  <c r="AS165" i="1"/>
  <c r="AV173" i="1"/>
  <c r="AS173" i="1"/>
  <c r="AV181" i="1"/>
  <c r="AS181" i="1"/>
  <c r="AO209" i="1"/>
  <c r="AO217" i="1"/>
  <c r="AO225" i="1"/>
  <c r="AS253" i="1"/>
  <c r="AV309" i="1"/>
  <c r="AS309" i="1"/>
  <c r="AV353" i="1"/>
  <c r="AS353" i="1"/>
  <c r="AO485" i="1"/>
  <c r="AO505" i="1"/>
  <c r="AR44" i="1"/>
  <c r="AR474" i="1"/>
  <c r="AR466" i="1"/>
  <c r="AR458" i="1"/>
  <c r="AR450" i="1"/>
  <c r="AR422" i="1"/>
  <c r="AR394" i="1"/>
  <c r="AR350" i="1"/>
  <c r="AR342" i="1"/>
  <c r="AR334" i="1"/>
  <c r="AR326" i="1"/>
  <c r="AR282" i="1"/>
  <c r="AR274" i="1"/>
  <c r="AR226" i="1"/>
  <c r="AR218" i="1"/>
  <c r="AR190" i="1"/>
  <c r="AR178" i="1"/>
  <c r="AR142" i="1"/>
  <c r="AR122" i="1"/>
  <c r="AR114" i="1"/>
  <c r="AR106" i="1"/>
  <c r="AR54" i="1"/>
  <c r="AR34" i="1"/>
  <c r="AQ11" i="1"/>
  <c r="AR482" i="1"/>
  <c r="AR262" i="1"/>
  <c r="AW445" i="1"/>
  <c r="AT445" i="1"/>
  <c r="AO308" i="1"/>
  <c r="AW207" i="1"/>
  <c r="AT207" i="1"/>
  <c r="AL51" i="1"/>
  <c r="AL83" i="1"/>
  <c r="AL115" i="1"/>
  <c r="AL147" i="1"/>
  <c r="AL179" i="1"/>
  <c r="AL211" i="1"/>
  <c r="AL243" i="1"/>
  <c r="AL275" i="1"/>
  <c r="AL307" i="1"/>
  <c r="AL339" i="1"/>
  <c r="AL371" i="1"/>
  <c r="AL403" i="1"/>
  <c r="AL435" i="1"/>
  <c r="AL467" i="1"/>
  <c r="AL499" i="1"/>
  <c r="AW203" i="1"/>
  <c r="AT203" i="1"/>
  <c r="AW271" i="1"/>
  <c r="AT271" i="1"/>
  <c r="AW367" i="1"/>
  <c r="AT367" i="1"/>
  <c r="AW415" i="1"/>
  <c r="AT415" i="1"/>
  <c r="AW463" i="1"/>
  <c r="AT463" i="1"/>
  <c r="AW487" i="1"/>
  <c r="AT487" i="1"/>
  <c r="AW499" i="1"/>
  <c r="AT499" i="1"/>
  <c r="AW507" i="1"/>
  <c r="AT507" i="1"/>
  <c r="AW515" i="1"/>
  <c r="AT515" i="1"/>
  <c r="AT505" i="1"/>
  <c r="AW485" i="1"/>
  <c r="AW481" i="1"/>
  <c r="AW465" i="1"/>
  <c r="AW437" i="1"/>
  <c r="AW405" i="1"/>
  <c r="AV391" i="1"/>
  <c r="AW375" i="1"/>
  <c r="AW341" i="1"/>
  <c r="AW327" i="1"/>
  <c r="AV303" i="1"/>
  <c r="AW283" i="1"/>
  <c r="AW267" i="1"/>
  <c r="AW251" i="1"/>
  <c r="AW231" i="1"/>
  <c r="AT205" i="1"/>
  <c r="AV192" i="1"/>
  <c r="AS192" i="1"/>
  <c r="AV171" i="1"/>
  <c r="AT151" i="1"/>
  <c r="AT139" i="1"/>
  <c r="AV124" i="1"/>
  <c r="AS124" i="1"/>
  <c r="AW113" i="1"/>
  <c r="AT97" i="1"/>
  <c r="AT85" i="1"/>
  <c r="AT71" i="1"/>
  <c r="AW67" i="1"/>
  <c r="AS51" i="1"/>
  <c r="AR500" i="1"/>
  <c r="AW436" i="1"/>
  <c r="AT436" i="1"/>
  <c r="AR416" i="1"/>
  <c r="AR344" i="1"/>
  <c r="AR324" i="1"/>
  <c r="AR316" i="1"/>
  <c r="AR308" i="1"/>
  <c r="AR272" i="1"/>
  <c r="AR264" i="1"/>
  <c r="AR244" i="1"/>
  <c r="AR236" i="1"/>
  <c r="AR228" i="1"/>
  <c r="AR156" i="1"/>
  <c r="AR148" i="1"/>
  <c r="AR116" i="1"/>
  <c r="AR66" i="1"/>
  <c r="AR98" i="1"/>
  <c r="AR146" i="1"/>
  <c r="AR174" i="1"/>
  <c r="AR286" i="1"/>
  <c r="AR386" i="1"/>
  <c r="AR398" i="1"/>
  <c r="AO514" i="1"/>
  <c r="AW446" i="1"/>
  <c r="AT446" i="1"/>
  <c r="AO442" i="1"/>
  <c r="AO422" i="1"/>
  <c r="AO414" i="1"/>
  <c r="AO406" i="1"/>
  <c r="AW398" i="1"/>
  <c r="AT398" i="1"/>
  <c r="AO390" i="1"/>
  <c r="AW382" i="1"/>
  <c r="AT382" i="1"/>
  <c r="AO374" i="1"/>
  <c r="AO366" i="1"/>
  <c r="AO346" i="1"/>
  <c r="AO310" i="1"/>
  <c r="AO302" i="1"/>
  <c r="AO194" i="1"/>
  <c r="AO186" i="1"/>
  <c r="AO178" i="1"/>
  <c r="AO158" i="1"/>
  <c r="AO150" i="1"/>
  <c r="AO130" i="1"/>
  <c r="AO122" i="1"/>
  <c r="AO114" i="1"/>
  <c r="AO106" i="1"/>
  <c r="AO86" i="1"/>
  <c r="AW66" i="1"/>
  <c r="AT66" i="1"/>
  <c r="AO68" i="1"/>
  <c r="AO192" i="1"/>
  <c r="AO220" i="1"/>
  <c r="AO244" i="1"/>
  <c r="AO288" i="1"/>
  <c r="AO304" i="1"/>
  <c r="AO428" i="1"/>
  <c r="AO436" i="1"/>
  <c r="AO456" i="1"/>
  <c r="AO492" i="1"/>
  <c r="AO500" i="1"/>
  <c r="AT451" i="1"/>
  <c r="AT387" i="1"/>
  <c r="AT335" i="1"/>
  <c r="AS40" i="1"/>
  <c r="AW431" i="1"/>
  <c r="AW25" i="1"/>
  <c r="AT25" i="1"/>
  <c r="AO224" i="1"/>
  <c r="AT253" i="1"/>
  <c r="AW413" i="1"/>
  <c r="AT413" i="1"/>
  <c r="AV495" i="1"/>
  <c r="AW477" i="1"/>
  <c r="AW457" i="1"/>
  <c r="AW421" i="1"/>
  <c r="AV403" i="1"/>
  <c r="AT369" i="1"/>
  <c r="AW331" i="1"/>
  <c r="AV287" i="1"/>
  <c r="AW273" i="1"/>
  <c r="AW257" i="1"/>
  <c r="AW241" i="1"/>
  <c r="AV219" i="1"/>
  <c r="AS195" i="1"/>
  <c r="AV184" i="1"/>
  <c r="AS184" i="1"/>
  <c r="AT143" i="1"/>
  <c r="AT131" i="1"/>
  <c r="AV120" i="1"/>
  <c r="AS120" i="1"/>
  <c r="AW109" i="1"/>
  <c r="AW99" i="1"/>
  <c r="AW89" i="1"/>
  <c r="AW77" i="1"/>
  <c r="AT61" i="1"/>
  <c r="AS39" i="1"/>
  <c r="AS31" i="1"/>
  <c r="AT467" i="1"/>
  <c r="AO338" i="1"/>
  <c r="AW294" i="1"/>
  <c r="AV488" i="1"/>
  <c r="AS488" i="1"/>
  <c r="AW471" i="1"/>
  <c r="AW449" i="1"/>
  <c r="AX386" i="1"/>
  <c r="AT353" i="1"/>
  <c r="AT325" i="1"/>
  <c r="AT299" i="1"/>
  <c r="AT281" i="1"/>
  <c r="AT265" i="1"/>
  <c r="AV252" i="1"/>
  <c r="AS252" i="1"/>
  <c r="AV230" i="1"/>
  <c r="AS230" i="1"/>
  <c r="AW212" i="1"/>
  <c r="AT212" i="1"/>
  <c r="AW171" i="1"/>
  <c r="AW155" i="1"/>
  <c r="AT103" i="1"/>
  <c r="AS95" i="1"/>
  <c r="AS84" i="1"/>
  <c r="AV69" i="1"/>
  <c r="AW29" i="1"/>
  <c r="AV430" i="1"/>
  <c r="AW503" i="1"/>
  <c r="AW394" i="1"/>
  <c r="AR496" i="1"/>
  <c r="AO26" i="1"/>
  <c r="AT414" i="1"/>
  <c r="AV26" i="1"/>
  <c r="AS26" i="1"/>
  <c r="AL34" i="1"/>
  <c r="AV38" i="1"/>
  <c r="AS38" i="1"/>
  <c r="AL46" i="1"/>
  <c r="AL54" i="1"/>
  <c r="AL66" i="1"/>
  <c r="AV70" i="1"/>
  <c r="AS70" i="1"/>
  <c r="AL78" i="1"/>
  <c r="AL98" i="1"/>
  <c r="AL106" i="1"/>
  <c r="AL126" i="1"/>
  <c r="AL146" i="1"/>
  <c r="AL154" i="1"/>
  <c r="AL174" i="1"/>
  <c r="AV178" i="1"/>
  <c r="AS178" i="1"/>
  <c r="AV190" i="1"/>
  <c r="AS190" i="1"/>
  <c r="AL206" i="1"/>
  <c r="AV210" i="1"/>
  <c r="AS210" i="1"/>
  <c r="AL226" i="1"/>
  <c r="AV234" i="1"/>
  <c r="AS234" i="1"/>
  <c r="AL254" i="1"/>
  <c r="AL266" i="1"/>
  <c r="AV274" i="1"/>
  <c r="AS274" i="1"/>
  <c r="AV286" i="1"/>
  <c r="AS286" i="1"/>
  <c r="AL302" i="1"/>
  <c r="AV318" i="1"/>
  <c r="AS318" i="1"/>
  <c r="AL326" i="1"/>
  <c r="AV330" i="1"/>
  <c r="AS330" i="1"/>
  <c r="AV338" i="1"/>
  <c r="AS338" i="1"/>
  <c r="AL350" i="1"/>
  <c r="AL354" i="1"/>
  <c r="AL362" i="1"/>
  <c r="AL374" i="1"/>
  <c r="AV378" i="1"/>
  <c r="AS378" i="1"/>
  <c r="AL386" i="1"/>
  <c r="AL394" i="1"/>
  <c r="AV402" i="1"/>
  <c r="AS402" i="1"/>
  <c r="AV414" i="1"/>
  <c r="AS414" i="1"/>
  <c r="AL422" i="1"/>
  <c r="AV426" i="1"/>
  <c r="AS426" i="1"/>
  <c r="AL434" i="1"/>
  <c r="AL442" i="1"/>
  <c r="AL454" i="1"/>
  <c r="AV458" i="1"/>
  <c r="AS458" i="1"/>
  <c r="AL466" i="1"/>
  <c r="AL478" i="1"/>
  <c r="AS482" i="1"/>
  <c r="AV494" i="1"/>
  <c r="AS494" i="1"/>
  <c r="AL510" i="1"/>
  <c r="AV514" i="1"/>
  <c r="AS514" i="1"/>
  <c r="AV22" i="1"/>
  <c r="AS22" i="1"/>
  <c r="AW493" i="1"/>
  <c r="AT393" i="1"/>
  <c r="AW361" i="1"/>
  <c r="AT221" i="1"/>
  <c r="AT189" i="1"/>
  <c r="AV116" i="1"/>
  <c r="AS116" i="1"/>
  <c r="AV66" i="1"/>
  <c r="AS66" i="1"/>
  <c r="AV48" i="1"/>
  <c r="AW37" i="1"/>
  <c r="AT317" i="1"/>
  <c r="AW513" i="1"/>
  <c r="AV482" i="1"/>
  <c r="AT469" i="1"/>
  <c r="AT401" i="1"/>
  <c r="AV355" i="1"/>
  <c r="AW329" i="1"/>
  <c r="AW305" i="1"/>
  <c r="AW285" i="1"/>
  <c r="AW255" i="1"/>
  <c r="AW193" i="1"/>
  <c r="AV168" i="1"/>
  <c r="AS168" i="1"/>
  <c r="AV98" i="1"/>
  <c r="AS98" i="1"/>
  <c r="AV88" i="1"/>
  <c r="AX68" i="1"/>
  <c r="AW31" i="1"/>
  <c r="AV36" i="1"/>
  <c r="AR364" i="1"/>
  <c r="AR380" i="1"/>
  <c r="AR396" i="1"/>
  <c r="AR408" i="1"/>
  <c r="AR428" i="1"/>
  <c r="AR444" i="1"/>
  <c r="AR456" i="1"/>
  <c r="AR472" i="1"/>
  <c r="AR488" i="1"/>
  <c r="AR504" i="1"/>
  <c r="AR512" i="1"/>
  <c r="AO480" i="1"/>
  <c r="AO400" i="1"/>
  <c r="AO356" i="1"/>
  <c r="AO348" i="1"/>
  <c r="AO340" i="1"/>
  <c r="AO320" i="1"/>
  <c r="AO236" i="1"/>
  <c r="AO200" i="1"/>
  <c r="AW188" i="1"/>
  <c r="AT188" i="1"/>
  <c r="AO96" i="1"/>
  <c r="AO32" i="1"/>
  <c r="AV419" i="1"/>
  <c r="AT373" i="1"/>
  <c r="AT191" i="1"/>
  <c r="AT157" i="1"/>
  <c r="AT107" i="1"/>
  <c r="AX69" i="1"/>
  <c r="AW429" i="1"/>
  <c r="AE13" i="1"/>
  <c r="AE16" i="1"/>
  <c r="AD12" i="1"/>
  <c r="AD17" i="1"/>
  <c r="AC17" i="1"/>
  <c r="AC12" i="1"/>
  <c r="AE14" i="1"/>
  <c r="AE11" i="1"/>
  <c r="AE15" i="1"/>
  <c r="AC9" i="1"/>
  <c r="AF21" i="1"/>
  <c r="AI21" i="1" s="1"/>
  <c r="AC15" i="1"/>
  <c r="AD15" i="1"/>
  <c r="AC13" i="1"/>
  <c r="AC14" i="1"/>
  <c r="AE12" i="1"/>
  <c r="AC16" i="1"/>
  <c r="Z15" i="1"/>
  <c r="Z9" i="1"/>
  <c r="Z16" i="1"/>
  <c r="AD14" i="1"/>
  <c r="Z19" i="1"/>
  <c r="Z14" i="1"/>
  <c r="Z12" i="1"/>
  <c r="Z11" i="1"/>
  <c r="AD9" i="1"/>
  <c r="AD19" i="1"/>
  <c r="Z17" i="1"/>
  <c r="Z13" i="1"/>
  <c r="AE9" i="1"/>
  <c r="AH9" i="1" s="1"/>
  <c r="H11" i="1"/>
  <c r="N11" i="1"/>
  <c r="N17" i="1"/>
  <c r="N13" i="1"/>
  <c r="D501" i="10"/>
  <c r="D502" i="10" s="1"/>
  <c r="N19" i="1"/>
  <c r="N15" i="1"/>
  <c r="O9" i="1"/>
  <c r="R9" i="1" s="1"/>
  <c r="K9" i="1"/>
  <c r="N14" i="1"/>
  <c r="N16" i="1"/>
  <c r="N12" i="1"/>
  <c r="N9" i="1"/>
  <c r="P9" i="1"/>
  <c r="S9" i="1" s="1"/>
  <c r="K11" i="1"/>
  <c r="K14" i="1"/>
  <c r="K16" i="1"/>
  <c r="K13" i="1"/>
  <c r="K15" i="1"/>
  <c r="K17" i="1"/>
  <c r="K12" i="1"/>
  <c r="AG9" i="1" l="1"/>
  <c r="AV9" i="1" s="1"/>
  <c r="AS9" i="1"/>
  <c r="Q13" i="14"/>
  <c r="T13" i="13"/>
  <c r="T13" i="14" s="1"/>
  <c r="T12" i="13"/>
  <c r="T12" i="14" s="1"/>
  <c r="Q12" i="14"/>
  <c r="T14" i="13"/>
  <c r="T14" i="14" s="1"/>
  <c r="Q14" i="14"/>
  <c r="T9" i="13"/>
  <c r="T9" i="14" s="1"/>
  <c r="Q9" i="14"/>
  <c r="T11" i="13"/>
  <c r="T11" i="14" s="1"/>
  <c r="Q11" i="14"/>
  <c r="AX392" i="1"/>
  <c r="AX107" i="1"/>
  <c r="AX450" i="1"/>
  <c r="AX458" i="1"/>
  <c r="AX505" i="1"/>
  <c r="AU95" i="1"/>
  <c r="AX95" i="1"/>
  <c r="AU517" i="1"/>
  <c r="AX385" i="1"/>
  <c r="AU489" i="1"/>
  <c r="AU79" i="1"/>
  <c r="AU24" i="1"/>
  <c r="AU313" i="1"/>
  <c r="AX94" i="1"/>
  <c r="AU68" i="1"/>
  <c r="AX446" i="1"/>
  <c r="AU286" i="1"/>
  <c r="AU59" i="1"/>
  <c r="AU481" i="1"/>
  <c r="AU428" i="1"/>
  <c r="AX232" i="1"/>
  <c r="AU392" i="1"/>
  <c r="AX286" i="1"/>
  <c r="AU505" i="1"/>
  <c r="AX59" i="1"/>
  <c r="AX481" i="1"/>
  <c r="AX428" i="1"/>
  <c r="AX489" i="1"/>
  <c r="AU87" i="1"/>
  <c r="AX185" i="1"/>
  <c r="AU100" i="1"/>
  <c r="AU190" i="1"/>
  <c r="AU503" i="1"/>
  <c r="AX165" i="1"/>
  <c r="AU434" i="1"/>
  <c r="AU484" i="1"/>
  <c r="AU514" i="1"/>
  <c r="AX100" i="1"/>
  <c r="AU225" i="1"/>
  <c r="AX281" i="1"/>
  <c r="AX208" i="1"/>
  <c r="AX488" i="1"/>
  <c r="AU50" i="1"/>
  <c r="AU34" i="1"/>
  <c r="AX79" i="1"/>
  <c r="AO17" i="1"/>
  <c r="AR16" i="1"/>
  <c r="AU232" i="1"/>
  <c r="AU107" i="1"/>
  <c r="AX50" i="1"/>
  <c r="AX34" i="1"/>
  <c r="AU485" i="1"/>
  <c r="AU386" i="1"/>
  <c r="AU456" i="1"/>
  <c r="AX485" i="1"/>
  <c r="AU66" i="1"/>
  <c r="AU29" i="1"/>
  <c r="AX342" i="1"/>
  <c r="AX98" i="1"/>
  <c r="AU210" i="1"/>
  <c r="AX225" i="1"/>
  <c r="AX66" i="1"/>
  <c r="AX292" i="1"/>
  <c r="AX480" i="1"/>
  <c r="AU384" i="1"/>
  <c r="AX29" i="1"/>
  <c r="AU504" i="1"/>
  <c r="AU39" i="1"/>
  <c r="AX127" i="1"/>
  <c r="AU385" i="1"/>
  <c r="AX504" i="1"/>
  <c r="AU185" i="1"/>
  <c r="AX39" i="1"/>
  <c r="AU173" i="1"/>
  <c r="AX424" i="1"/>
  <c r="AX500" i="1"/>
  <c r="AX55" i="1"/>
  <c r="AX87" i="1"/>
  <c r="AX47" i="1"/>
  <c r="AU460" i="1"/>
  <c r="AU360" i="1"/>
  <c r="AX414" i="1"/>
  <c r="AU125" i="1"/>
  <c r="AX204" i="1"/>
  <c r="AU238" i="1"/>
  <c r="AU158" i="1"/>
  <c r="AU449" i="1"/>
  <c r="AU171" i="1"/>
  <c r="AX151" i="1"/>
  <c r="AX394" i="1"/>
  <c r="AU448" i="1"/>
  <c r="AU297" i="1"/>
  <c r="AU406" i="1"/>
  <c r="AX82" i="1"/>
  <c r="AX368" i="1"/>
  <c r="AU398" i="1"/>
  <c r="AU32" i="1"/>
  <c r="AX422" i="1"/>
  <c r="AU199" i="1"/>
  <c r="AU300" i="1"/>
  <c r="AX212" i="1"/>
  <c r="AU308" i="1"/>
  <c r="AX102" i="1"/>
  <c r="AU197" i="1"/>
  <c r="AX139" i="1"/>
  <c r="AU198" i="1"/>
  <c r="AX305" i="1"/>
  <c r="AU332" i="1"/>
  <c r="AX366" i="1"/>
  <c r="AX228" i="1"/>
  <c r="AX362" i="1"/>
  <c r="AU350" i="1"/>
  <c r="AX230" i="1"/>
  <c r="AX300" i="1"/>
  <c r="AX244" i="1"/>
  <c r="AX23" i="1"/>
  <c r="AX308" i="1"/>
  <c r="AX416" i="1"/>
  <c r="AX370" i="1"/>
  <c r="AX352" i="1"/>
  <c r="AX473" i="1"/>
  <c r="AX155" i="1"/>
  <c r="AU330" i="1"/>
  <c r="AU83" i="1"/>
  <c r="AF19" i="1"/>
  <c r="AO19" i="1"/>
  <c r="AX251" i="1"/>
  <c r="AU251" i="1"/>
  <c r="AX26" i="1"/>
  <c r="AU26" i="1"/>
  <c r="AX427" i="1"/>
  <c r="AU427" i="1"/>
  <c r="AX58" i="1"/>
  <c r="AU58" i="1"/>
  <c r="AX215" i="1"/>
  <c r="AU215" i="1"/>
  <c r="AX135" i="1"/>
  <c r="AU135" i="1"/>
  <c r="AX307" i="1"/>
  <c r="AU307" i="1"/>
  <c r="AX316" i="1"/>
  <c r="AU316" i="1"/>
  <c r="AX31" i="1"/>
  <c r="AX353" i="1"/>
  <c r="AU353" i="1"/>
  <c r="AX229" i="1"/>
  <c r="AU229" i="1"/>
  <c r="AU233" i="1"/>
  <c r="AX278" i="1"/>
  <c r="AU278" i="1"/>
  <c r="AX273" i="1"/>
  <c r="AU273" i="1"/>
  <c r="AX113" i="1"/>
  <c r="AX172" i="1"/>
  <c r="AU172" i="1"/>
  <c r="AX261" i="1"/>
  <c r="AU261" i="1"/>
  <c r="AX389" i="1"/>
  <c r="AU389" i="1"/>
  <c r="AX364" i="1"/>
  <c r="AU364" i="1"/>
  <c r="AX71" i="1"/>
  <c r="AU71" i="1"/>
  <c r="AX137" i="1"/>
  <c r="AU137" i="1"/>
  <c r="AX329" i="1"/>
  <c r="AU329" i="1"/>
  <c r="AX201" i="1"/>
  <c r="AU201" i="1"/>
  <c r="AX470" i="1"/>
  <c r="AU470" i="1"/>
  <c r="AX124" i="1"/>
  <c r="AU124" i="1"/>
  <c r="AX44" i="1"/>
  <c r="AU44" i="1"/>
  <c r="AX56" i="1"/>
  <c r="AU56" i="1"/>
  <c r="AX359" i="1"/>
  <c r="AU359" i="1"/>
  <c r="AX227" i="1"/>
  <c r="AU227" i="1"/>
  <c r="AU202" i="1"/>
  <c r="AX180" i="1"/>
  <c r="AU180" i="1"/>
  <c r="AU452" i="1"/>
  <c r="AX110" i="1"/>
  <c r="AU110" i="1"/>
  <c r="AX361" i="1"/>
  <c r="AU361" i="1"/>
  <c r="AX240" i="1"/>
  <c r="AX502" i="1"/>
  <c r="AU502" i="1"/>
  <c r="AX140" i="1"/>
  <c r="AU140" i="1"/>
  <c r="AX144" i="1"/>
  <c r="AU144" i="1"/>
  <c r="AX418" i="1"/>
  <c r="AX285" i="1"/>
  <c r="AU285" i="1"/>
  <c r="AX413" i="1"/>
  <c r="AU413" i="1"/>
  <c r="AU400" i="1"/>
  <c r="AX469" i="1"/>
  <c r="AO12" i="1"/>
  <c r="AU355" i="1"/>
  <c r="AO9" i="1"/>
  <c r="AX279" i="1"/>
  <c r="AU279" i="1"/>
  <c r="AX283" i="1"/>
  <c r="AU283" i="1"/>
  <c r="AX475" i="1"/>
  <c r="AU475" i="1"/>
  <c r="AR13" i="1"/>
  <c r="AX331" i="1"/>
  <c r="AU331" i="1"/>
  <c r="AX459" i="1"/>
  <c r="AU459" i="1"/>
  <c r="AX21" i="1"/>
  <c r="AU21" i="1"/>
  <c r="AX507" i="1"/>
  <c r="AU507" i="1"/>
  <c r="AX379" i="1"/>
  <c r="AU379" i="1"/>
  <c r="AX111" i="1"/>
  <c r="AU111" i="1"/>
  <c r="AX311" i="1"/>
  <c r="AU311" i="1"/>
  <c r="AX471" i="1"/>
  <c r="AU471" i="1"/>
  <c r="AX455" i="1"/>
  <c r="AU455" i="1"/>
  <c r="AX339" i="1"/>
  <c r="AU339" i="1"/>
  <c r="AX467" i="1"/>
  <c r="AU467" i="1"/>
  <c r="AX398" i="1"/>
  <c r="AX248" i="1"/>
  <c r="AX328" i="1"/>
  <c r="AU328" i="1"/>
  <c r="AX32" i="1"/>
  <c r="AU356" i="1"/>
  <c r="AU312" i="1"/>
  <c r="AX280" i="1"/>
  <c r="AU280" i="1"/>
  <c r="AX123" i="1"/>
  <c r="AU123" i="1"/>
  <c r="AX163" i="1"/>
  <c r="AU163" i="1"/>
  <c r="AU440" i="1"/>
  <c r="AX490" i="1"/>
  <c r="AU490" i="1"/>
  <c r="AX350" i="1"/>
  <c r="AX97" i="1"/>
  <c r="AU97" i="1"/>
  <c r="AX233" i="1"/>
  <c r="AU461" i="1"/>
  <c r="AU224" i="1"/>
  <c r="AX116" i="1"/>
  <c r="AU116" i="1"/>
  <c r="AX310" i="1"/>
  <c r="AU310" i="1"/>
  <c r="AX454" i="1"/>
  <c r="AU454" i="1"/>
  <c r="AU209" i="1"/>
  <c r="AU129" i="1"/>
  <c r="AX27" i="1"/>
  <c r="AU27" i="1"/>
  <c r="AX114" i="1"/>
  <c r="AU114" i="1"/>
  <c r="AX434" i="1"/>
  <c r="AR19" i="1"/>
  <c r="AU103" i="1"/>
  <c r="AX119" i="1"/>
  <c r="AU119" i="1"/>
  <c r="AX143" i="1"/>
  <c r="AU143" i="1"/>
  <c r="AX128" i="1"/>
  <c r="AU128" i="1"/>
  <c r="AX183" i="1"/>
  <c r="AU183" i="1"/>
  <c r="AX219" i="1"/>
  <c r="AU219" i="1"/>
  <c r="AX199" i="1"/>
  <c r="AU396" i="1"/>
  <c r="AU67" i="1"/>
  <c r="AU260" i="1"/>
  <c r="AX492" i="1"/>
  <c r="AU492" i="1"/>
  <c r="AX75" i="1"/>
  <c r="AU75" i="1"/>
  <c r="AX388" i="1"/>
  <c r="AU388" i="1"/>
  <c r="AX268" i="1"/>
  <c r="AU268" i="1"/>
  <c r="AX234" i="1"/>
  <c r="AU234" i="1"/>
  <c r="AU52" i="1"/>
  <c r="AX360" i="1"/>
  <c r="AU320" i="1"/>
  <c r="AU51" i="1"/>
  <c r="AX179" i="1"/>
  <c r="AU179" i="1"/>
  <c r="AU436" i="1"/>
  <c r="AX206" i="1"/>
  <c r="AU206" i="1"/>
  <c r="AU70" i="1"/>
  <c r="AX174" i="1"/>
  <c r="AU174" i="1"/>
  <c r="AX262" i="1"/>
  <c r="AU262" i="1"/>
  <c r="AX134" i="1"/>
  <c r="AU134" i="1"/>
  <c r="AU302" i="1"/>
  <c r="AX425" i="1"/>
  <c r="AU425" i="1"/>
  <c r="AU266" i="1"/>
  <c r="AX226" i="1"/>
  <c r="AU226" i="1"/>
  <c r="AX384" i="1"/>
  <c r="AU513" i="1"/>
  <c r="AX197" i="1"/>
  <c r="AX125" i="1"/>
  <c r="AX146" i="1"/>
  <c r="AX255" i="1"/>
  <c r="AU255" i="1"/>
  <c r="AX319" i="1"/>
  <c r="AU319" i="1"/>
  <c r="AX447" i="1"/>
  <c r="AU447" i="1"/>
  <c r="AX78" i="1"/>
  <c r="AU78" i="1"/>
  <c r="AX167" i="1"/>
  <c r="AU167" i="1"/>
  <c r="AX387" i="1"/>
  <c r="AU387" i="1"/>
  <c r="AX451" i="1"/>
  <c r="AU451" i="1"/>
  <c r="AX515" i="1"/>
  <c r="AU515" i="1"/>
  <c r="AX301" i="1"/>
  <c r="AU301" i="1"/>
  <c r="AX365" i="1"/>
  <c r="AU365" i="1"/>
  <c r="AU429" i="1"/>
  <c r="AU444" i="1"/>
  <c r="AU184" i="1"/>
  <c r="AU276" i="1"/>
  <c r="AX207" i="1"/>
  <c r="AU207" i="1"/>
  <c r="AX456" i="1"/>
  <c r="AX190" i="1"/>
  <c r="AX346" i="1"/>
  <c r="AX238" i="1"/>
  <c r="AX158" i="1"/>
  <c r="AX37" i="1"/>
  <c r="AU37" i="1"/>
  <c r="AX449" i="1"/>
  <c r="AX202" i="1"/>
  <c r="AX170" i="1"/>
  <c r="AU476" i="1"/>
  <c r="AU270" i="1"/>
  <c r="AU336" i="1"/>
  <c r="AX171" i="1"/>
  <c r="AX452" i="1"/>
  <c r="AX131" i="1"/>
  <c r="AU131" i="1"/>
  <c r="AX472" i="1"/>
  <c r="AU472" i="1"/>
  <c r="AX334" i="1"/>
  <c r="AU334" i="1"/>
  <c r="AX382" i="1"/>
  <c r="AU382" i="1"/>
  <c r="AX198" i="1"/>
  <c r="AX154" i="1"/>
  <c r="AX441" i="1"/>
  <c r="AU441" i="1"/>
  <c r="AU377" i="1"/>
  <c r="AX494" i="1"/>
  <c r="AU494" i="1"/>
  <c r="AX509" i="1"/>
  <c r="AU509" i="1"/>
  <c r="AX189" i="1"/>
  <c r="AU189" i="1"/>
  <c r="AX161" i="1"/>
  <c r="AU161" i="1"/>
  <c r="AU151" i="1"/>
  <c r="AU294" i="1"/>
  <c r="AU390" i="1"/>
  <c r="AX369" i="1"/>
  <c r="AU369" i="1"/>
  <c r="AX241" i="1"/>
  <c r="AU241" i="1"/>
  <c r="AX121" i="1"/>
  <c r="AU121" i="1"/>
  <c r="AU178" i="1"/>
  <c r="AX466" i="1"/>
  <c r="AU466" i="1"/>
  <c r="AX182" i="1"/>
  <c r="AU182" i="1"/>
  <c r="AX277" i="1"/>
  <c r="AU277" i="1"/>
  <c r="AX341" i="1"/>
  <c r="AU341" i="1"/>
  <c r="AX405" i="1"/>
  <c r="AU405" i="1"/>
  <c r="AX200" i="1"/>
  <c r="AU200" i="1"/>
  <c r="AX330" i="1"/>
  <c r="AX332" i="1"/>
  <c r="AU214" i="1"/>
  <c r="AU53" i="1"/>
  <c r="AX448" i="1"/>
  <c r="AX210" i="1"/>
  <c r="AX271" i="1"/>
  <c r="AU271" i="1"/>
  <c r="AX335" i="1"/>
  <c r="AU335" i="1"/>
  <c r="AX399" i="1"/>
  <c r="AU399" i="1"/>
  <c r="AX132" i="1"/>
  <c r="AU132" i="1"/>
  <c r="AX153" i="1"/>
  <c r="AU153" i="1"/>
  <c r="AX105" i="1"/>
  <c r="AU105" i="1"/>
  <c r="AX120" i="1"/>
  <c r="AU120" i="1"/>
  <c r="AX88" i="1"/>
  <c r="AU88" i="1"/>
  <c r="AX237" i="1"/>
  <c r="AU237" i="1"/>
  <c r="AX297" i="1"/>
  <c r="AX406" i="1"/>
  <c r="AX173" i="1"/>
  <c r="AX83" i="1"/>
  <c r="AX181" i="1"/>
  <c r="AU181" i="1"/>
  <c r="AX400" i="1"/>
  <c r="AU366" i="1"/>
  <c r="AU246" i="1"/>
  <c r="AX443" i="1"/>
  <c r="AU443" i="1"/>
  <c r="AX299" i="1"/>
  <c r="AU299" i="1"/>
  <c r="AX247" i="1"/>
  <c r="AU247" i="1"/>
  <c r="AX391" i="1"/>
  <c r="AU391" i="1"/>
  <c r="AX511" i="1"/>
  <c r="AU511" i="1"/>
  <c r="AU248" i="1"/>
  <c r="AX194" i="1"/>
  <c r="AU194" i="1"/>
  <c r="AX306" i="1"/>
  <c r="AU306" i="1"/>
  <c r="AX510" i="1"/>
  <c r="AU510" i="1"/>
  <c r="AX48" i="1"/>
  <c r="AX45" i="1"/>
  <c r="AU45" i="1"/>
  <c r="AX213" i="1"/>
  <c r="AU213" i="1"/>
  <c r="AX325" i="1"/>
  <c r="AU325" i="1"/>
  <c r="AX453" i="1"/>
  <c r="AU453" i="1"/>
  <c r="AX412" i="1"/>
  <c r="AU412" i="1"/>
  <c r="AX296" i="1"/>
  <c r="AU296" i="1"/>
  <c r="AX36" i="1"/>
  <c r="AU36" i="1"/>
  <c r="AX252" i="1"/>
  <c r="AU252" i="1"/>
  <c r="AX217" i="1"/>
  <c r="AX138" i="1"/>
  <c r="AU138" i="1"/>
  <c r="AX345" i="1"/>
  <c r="AU345" i="1"/>
  <c r="AX512" i="1"/>
  <c r="AU512" i="1"/>
  <c r="AX122" i="1"/>
  <c r="AU122" i="1"/>
  <c r="AU146" i="1"/>
  <c r="AX136" i="1"/>
  <c r="AU136" i="1"/>
  <c r="AX223" i="1"/>
  <c r="AU223" i="1"/>
  <c r="AX205" i="1"/>
  <c r="AU205" i="1"/>
  <c r="AX291" i="1"/>
  <c r="AU291" i="1"/>
  <c r="AX495" i="1"/>
  <c r="AU495" i="1"/>
  <c r="AX340" i="1"/>
  <c r="AU346" i="1"/>
  <c r="AU170" i="1"/>
  <c r="AX22" i="1"/>
  <c r="AU22" i="1"/>
  <c r="AX250" i="1"/>
  <c r="AU250" i="1"/>
  <c r="AX149" i="1"/>
  <c r="AX417" i="1"/>
  <c r="AU417" i="1"/>
  <c r="AW9" i="1"/>
  <c r="AT9" i="1"/>
  <c r="AX28" i="1"/>
  <c r="AU28" i="1"/>
  <c r="AX40" i="1"/>
  <c r="AU40" i="1"/>
  <c r="AX343" i="1"/>
  <c r="AU343" i="1"/>
  <c r="AX315" i="1"/>
  <c r="AU315" i="1"/>
  <c r="AX235" i="1"/>
  <c r="AU235" i="1"/>
  <c r="AX363" i="1"/>
  <c r="AU363" i="1"/>
  <c r="AX491" i="1"/>
  <c r="AU491" i="1"/>
  <c r="AR9" i="1"/>
  <c r="AX463" i="1"/>
  <c r="AU463" i="1"/>
  <c r="AR12" i="1"/>
  <c r="AX65" i="1"/>
  <c r="AU65" i="1"/>
  <c r="AX375" i="1"/>
  <c r="AU375" i="1"/>
  <c r="AX263" i="1"/>
  <c r="AU263" i="1"/>
  <c r="AX243" i="1"/>
  <c r="AU243" i="1"/>
  <c r="AX371" i="1"/>
  <c r="AU371" i="1"/>
  <c r="AX499" i="1"/>
  <c r="AU499" i="1"/>
  <c r="AX264" i="1"/>
  <c r="AU264" i="1"/>
  <c r="AX348" i="1"/>
  <c r="AU348" i="1"/>
  <c r="AU272" i="1"/>
  <c r="AX356" i="1"/>
  <c r="AX312" i="1"/>
  <c r="AX265" i="1"/>
  <c r="AU265" i="1"/>
  <c r="AU508" i="1"/>
  <c r="AX440" i="1"/>
  <c r="AX298" i="1"/>
  <c r="AU298" i="1"/>
  <c r="AX216" i="1"/>
  <c r="AU216" i="1"/>
  <c r="AU430" i="1"/>
  <c r="AX493" i="1"/>
  <c r="AU493" i="1"/>
  <c r="AX77" i="1"/>
  <c r="AU77" i="1"/>
  <c r="AX258" i="1"/>
  <c r="AU258" i="1"/>
  <c r="AX461" i="1"/>
  <c r="AX224" i="1"/>
  <c r="AU222" i="1"/>
  <c r="AX374" i="1"/>
  <c r="AU374" i="1"/>
  <c r="AX209" i="1"/>
  <c r="AX129" i="1"/>
  <c r="AX290" i="1"/>
  <c r="AU290" i="1"/>
  <c r="AU498" i="1"/>
  <c r="AX103" i="1"/>
  <c r="AX93" i="1"/>
  <c r="AU93" i="1"/>
  <c r="AX293" i="1"/>
  <c r="AU293" i="1"/>
  <c r="AX357" i="1"/>
  <c r="AU357" i="1"/>
  <c r="AX421" i="1"/>
  <c r="AU421" i="1"/>
  <c r="AX236" i="1"/>
  <c r="AU236" i="1"/>
  <c r="AX396" i="1"/>
  <c r="AX67" i="1"/>
  <c r="AX260" i="1"/>
  <c r="AX196" i="1"/>
  <c r="AU196" i="1"/>
  <c r="AU64" i="1"/>
  <c r="AX52" i="1"/>
  <c r="AX320" i="1"/>
  <c r="AX51" i="1"/>
  <c r="AU516" i="1"/>
  <c r="AX436" i="1"/>
  <c r="AX318" i="1"/>
  <c r="AU318" i="1"/>
  <c r="AX70" i="1"/>
  <c r="AX166" i="1"/>
  <c r="AU166" i="1"/>
  <c r="AX242" i="1"/>
  <c r="AU242" i="1"/>
  <c r="AX101" i="1"/>
  <c r="AU101" i="1"/>
  <c r="AX465" i="1"/>
  <c r="AU465" i="1"/>
  <c r="AX302" i="1"/>
  <c r="AU221" i="1"/>
  <c r="AX266" i="1"/>
  <c r="AX288" i="1"/>
  <c r="AU288" i="1"/>
  <c r="AU432" i="1"/>
  <c r="AX513" i="1"/>
  <c r="AX321" i="1"/>
  <c r="AU321" i="1"/>
  <c r="AU157" i="1"/>
  <c r="AU109" i="1"/>
  <c r="AX322" i="1"/>
  <c r="AU322" i="1"/>
  <c r="AU133" i="1"/>
  <c r="AX90" i="1"/>
  <c r="AU90" i="1"/>
  <c r="AX46" i="1"/>
  <c r="AU46" i="1"/>
  <c r="AX169" i="1"/>
  <c r="AU169" i="1"/>
  <c r="AX104" i="1"/>
  <c r="AU104" i="1"/>
  <c r="AX168" i="1"/>
  <c r="AU168" i="1"/>
  <c r="AX295" i="1"/>
  <c r="AU295" i="1"/>
  <c r="AX423" i="1"/>
  <c r="AU423" i="1"/>
  <c r="AX195" i="1"/>
  <c r="AU195" i="1"/>
  <c r="AX259" i="1"/>
  <c r="AU259" i="1"/>
  <c r="AX323" i="1"/>
  <c r="AU323" i="1"/>
  <c r="AX444" i="1"/>
  <c r="AX184" i="1"/>
  <c r="AX276" i="1"/>
  <c r="AU254" i="1"/>
  <c r="AU150" i="1"/>
  <c r="AU496" i="1"/>
  <c r="AL11" i="1"/>
  <c r="AU324" i="1"/>
  <c r="AX476" i="1"/>
  <c r="AX270" i="1"/>
  <c r="AX192" i="1"/>
  <c r="AU192" i="1"/>
  <c r="AR11" i="1"/>
  <c r="AX336" i="1"/>
  <c r="AU63" i="1"/>
  <c r="AU186" i="1"/>
  <c r="AU378" i="1"/>
  <c r="AX274" i="1"/>
  <c r="AU274" i="1"/>
  <c r="AX249" i="1"/>
  <c r="AU249" i="1"/>
  <c r="AX468" i="1"/>
  <c r="AU468" i="1"/>
  <c r="AX377" i="1"/>
  <c r="AX477" i="1"/>
  <c r="AU477" i="1"/>
  <c r="AU118" i="1"/>
  <c r="AX294" i="1"/>
  <c r="AX390" i="1"/>
  <c r="AX42" i="1"/>
  <c r="AU42" i="1"/>
  <c r="AX193" i="1"/>
  <c r="AU193" i="1"/>
  <c r="AU69" i="1"/>
  <c r="AX57" i="1"/>
  <c r="AU57" i="1"/>
  <c r="AX178" i="1"/>
  <c r="AX486" i="1"/>
  <c r="AU486" i="1"/>
  <c r="AX108" i="1"/>
  <c r="AU108" i="1"/>
  <c r="AX84" i="1"/>
  <c r="AU84" i="1"/>
  <c r="AX112" i="1"/>
  <c r="AU112" i="1"/>
  <c r="AX176" i="1"/>
  <c r="AU176" i="1"/>
  <c r="AU380" i="1"/>
  <c r="AX214" i="1"/>
  <c r="AX53" i="1"/>
  <c r="AU304" i="1"/>
  <c r="AU117" i="1"/>
  <c r="AU35" i="1"/>
  <c r="AU253" i="1"/>
  <c r="AX317" i="1"/>
  <c r="AU317" i="1"/>
  <c r="AX381" i="1"/>
  <c r="AU381" i="1"/>
  <c r="AX445" i="1"/>
  <c r="AU445" i="1"/>
  <c r="AU289" i="1"/>
  <c r="AU141" i="1"/>
  <c r="AU354" i="1"/>
  <c r="AX246" i="1"/>
  <c r="AX73" i="1"/>
  <c r="AU73" i="1"/>
  <c r="AF11" i="1"/>
  <c r="AO11" i="1"/>
  <c r="AR15" i="1"/>
  <c r="AX347" i="1"/>
  <c r="AU347" i="1"/>
  <c r="AX41" i="1"/>
  <c r="AU41" i="1"/>
  <c r="AX435" i="1"/>
  <c r="AU435" i="1"/>
  <c r="AX344" i="1"/>
  <c r="AX91" i="1"/>
  <c r="AU91" i="1"/>
  <c r="AX256" i="1"/>
  <c r="AU256" i="1"/>
  <c r="AX314" i="1"/>
  <c r="AU314" i="1"/>
  <c r="AU154" i="1"/>
  <c r="AX393" i="1"/>
  <c r="AX282" i="1"/>
  <c r="AU282" i="1"/>
  <c r="AX156" i="1"/>
  <c r="AU156" i="1"/>
  <c r="AX60" i="1"/>
  <c r="AU60" i="1"/>
  <c r="AX72" i="1"/>
  <c r="AU72" i="1"/>
  <c r="AX74" i="1"/>
  <c r="AU74" i="1"/>
  <c r="AX349" i="1"/>
  <c r="AU349" i="1"/>
  <c r="AF13" i="1"/>
  <c r="AO13" i="1"/>
  <c r="AX203" i="1"/>
  <c r="AU203" i="1"/>
  <c r="AO14" i="1"/>
  <c r="AF16" i="1"/>
  <c r="AO16" i="1"/>
  <c r="AF15" i="1"/>
  <c r="AO15" i="1"/>
  <c r="AX407" i="1"/>
  <c r="AU407" i="1"/>
  <c r="AX411" i="1"/>
  <c r="AU411" i="1"/>
  <c r="AR14" i="1"/>
  <c r="AX267" i="1"/>
  <c r="AU267" i="1"/>
  <c r="AX395" i="1"/>
  <c r="AU395" i="1"/>
  <c r="AX49" i="1"/>
  <c r="AU49" i="1"/>
  <c r="AR17" i="1"/>
  <c r="AX25" i="1"/>
  <c r="AU25" i="1"/>
  <c r="AX487" i="1"/>
  <c r="AU487" i="1"/>
  <c r="AX439" i="1"/>
  <c r="AU439" i="1"/>
  <c r="AX327" i="1"/>
  <c r="AU327" i="1"/>
  <c r="AX275" i="1"/>
  <c r="AU275" i="1"/>
  <c r="AX403" i="1"/>
  <c r="AU403" i="1"/>
  <c r="AU479" i="1"/>
  <c r="AX376" i="1"/>
  <c r="AU376" i="1"/>
  <c r="AU424" i="1"/>
  <c r="AX506" i="1"/>
  <c r="AU506" i="1"/>
  <c r="AX372" i="1"/>
  <c r="AU372" i="1"/>
  <c r="AU228" i="1"/>
  <c r="AX272" i="1"/>
  <c r="AX457" i="1"/>
  <c r="AU457" i="1"/>
  <c r="AU31" i="1"/>
  <c r="AX508" i="1"/>
  <c r="AX99" i="1"/>
  <c r="AU99" i="1"/>
  <c r="AU500" i="1"/>
  <c r="AX86" i="1"/>
  <c r="AU86" i="1"/>
  <c r="AU362" i="1"/>
  <c r="AX462" i="1"/>
  <c r="AU462" i="1"/>
  <c r="AX130" i="1"/>
  <c r="AU130" i="1"/>
  <c r="AX162" i="1"/>
  <c r="AU162" i="1"/>
  <c r="AX433" i="1"/>
  <c r="AU433" i="1"/>
  <c r="AX38" i="1"/>
  <c r="AU38" i="1"/>
  <c r="AU281" i="1"/>
  <c r="AU48" i="1"/>
  <c r="AU446" i="1"/>
  <c r="AX222" i="1"/>
  <c r="AU422" i="1"/>
  <c r="AX497" i="1"/>
  <c r="AU497" i="1"/>
  <c r="AX337" i="1"/>
  <c r="AU337" i="1"/>
  <c r="AU165" i="1"/>
  <c r="AU113" i="1"/>
  <c r="AU55" i="1"/>
  <c r="AX175" i="1"/>
  <c r="AU175" i="1"/>
  <c r="AX92" i="1"/>
  <c r="AU92" i="1"/>
  <c r="AX160" i="1"/>
  <c r="AU160" i="1"/>
  <c r="AX187" i="1"/>
  <c r="AU187" i="1"/>
  <c r="AU47" i="1"/>
  <c r="AU230" i="1"/>
  <c r="AU344" i="1"/>
  <c r="AU292" i="1"/>
  <c r="AU244" i="1"/>
  <c r="AU212" i="1"/>
  <c r="AU480" i="1"/>
  <c r="AU23" i="1"/>
  <c r="AX460" i="1"/>
  <c r="AX64" i="1"/>
  <c r="AX408" i="1"/>
  <c r="AU408" i="1"/>
  <c r="AX80" i="1"/>
  <c r="AU80" i="1"/>
  <c r="AU416" i="1"/>
  <c r="AU217" i="1"/>
  <c r="AX115" i="1"/>
  <c r="AU115" i="1"/>
  <c r="AX516" i="1"/>
  <c r="AU102" i="1"/>
  <c r="AU414" i="1"/>
  <c r="AX358" i="1"/>
  <c r="AU358" i="1"/>
  <c r="AU370" i="1"/>
  <c r="AX89" i="1"/>
  <c r="AU89" i="1"/>
  <c r="AX409" i="1"/>
  <c r="AU409" i="1"/>
  <c r="AX85" i="1"/>
  <c r="AU85" i="1"/>
  <c r="AX221" i="1"/>
  <c r="AX464" i="1"/>
  <c r="AU464" i="1"/>
  <c r="AX326" i="1"/>
  <c r="AU326" i="1"/>
  <c r="AX432" i="1"/>
  <c r="AX257" i="1"/>
  <c r="AU257" i="1"/>
  <c r="AX157" i="1"/>
  <c r="AX109" i="1"/>
  <c r="AX62" i="1"/>
  <c r="AU62" i="1"/>
  <c r="AX402" i="1"/>
  <c r="AU402" i="1"/>
  <c r="AX514" i="1"/>
  <c r="AX133" i="1"/>
  <c r="AX287" i="1"/>
  <c r="AU287" i="1"/>
  <c r="AX351" i="1"/>
  <c r="AU351" i="1"/>
  <c r="AX415" i="1"/>
  <c r="AU415" i="1"/>
  <c r="AX148" i="1"/>
  <c r="AU148" i="1"/>
  <c r="AX419" i="1"/>
  <c r="AU419" i="1"/>
  <c r="AX483" i="1"/>
  <c r="AU483" i="1"/>
  <c r="AX269" i="1"/>
  <c r="AU269" i="1"/>
  <c r="AX333" i="1"/>
  <c r="AU333" i="1"/>
  <c r="AX397" i="1"/>
  <c r="AU397" i="1"/>
  <c r="AU352" i="1"/>
  <c r="AU204" i="1"/>
  <c r="AU208" i="1"/>
  <c r="AU340" i="1"/>
  <c r="AU488" i="1"/>
  <c r="AX147" i="1"/>
  <c r="AU147" i="1"/>
  <c r="AX254" i="1"/>
  <c r="AX150" i="1"/>
  <c r="AX474" i="1"/>
  <c r="AU474" i="1"/>
  <c r="AX404" i="1"/>
  <c r="AU404" i="1"/>
  <c r="AX313" i="1"/>
  <c r="AX496" i="1"/>
  <c r="AX324" i="1"/>
  <c r="AX218" i="1"/>
  <c r="AU218" i="1"/>
  <c r="AX220" i="1"/>
  <c r="AU220" i="1"/>
  <c r="AU139" i="1"/>
  <c r="AX96" i="1"/>
  <c r="AU96" i="1"/>
  <c r="AX420" i="1"/>
  <c r="AU420" i="1"/>
  <c r="AX63" i="1"/>
  <c r="AX186" i="1"/>
  <c r="AU478" i="1"/>
  <c r="AX284" i="1"/>
  <c r="AU284" i="1"/>
  <c r="AX378" i="1"/>
  <c r="AX410" i="1"/>
  <c r="AU410" i="1"/>
  <c r="AX401" i="1"/>
  <c r="AU401" i="1"/>
  <c r="AX145" i="1"/>
  <c r="AU145" i="1"/>
  <c r="AU473" i="1"/>
  <c r="AU393" i="1"/>
  <c r="AX118" i="1"/>
  <c r="AU240" i="1"/>
  <c r="AU342" i="1"/>
  <c r="AX438" i="1"/>
  <c r="AU438" i="1"/>
  <c r="AU305" i="1"/>
  <c r="AU149" i="1"/>
  <c r="AU98" i="1"/>
  <c r="AX338" i="1"/>
  <c r="AU338" i="1"/>
  <c r="AX33" i="1"/>
  <c r="AU33" i="1"/>
  <c r="AX30" i="1"/>
  <c r="AU30" i="1"/>
  <c r="AX231" i="1"/>
  <c r="AU231" i="1"/>
  <c r="AX245" i="1"/>
  <c r="AU245" i="1"/>
  <c r="AX309" i="1"/>
  <c r="AU309" i="1"/>
  <c r="AX373" i="1"/>
  <c r="AU373" i="1"/>
  <c r="AX437" i="1"/>
  <c r="AU437" i="1"/>
  <c r="AU155" i="1"/>
  <c r="AX380" i="1"/>
  <c r="AU394" i="1"/>
  <c r="AU418" i="1"/>
  <c r="AX177" i="1"/>
  <c r="AU177" i="1"/>
  <c r="AX304" i="1"/>
  <c r="AX117" i="1"/>
  <c r="AX35" i="1"/>
  <c r="AX239" i="1"/>
  <c r="AU239" i="1"/>
  <c r="AX303" i="1"/>
  <c r="AU303" i="1"/>
  <c r="AX367" i="1"/>
  <c r="AU367" i="1"/>
  <c r="AX431" i="1"/>
  <c r="AU431" i="1"/>
  <c r="AX61" i="1"/>
  <c r="AU61" i="1"/>
  <c r="AX164" i="1"/>
  <c r="AU164" i="1"/>
  <c r="AX81" i="1"/>
  <c r="AU81" i="1"/>
  <c r="AX159" i="1"/>
  <c r="AU159" i="1"/>
  <c r="AX76" i="1"/>
  <c r="AU76" i="1"/>
  <c r="AX152" i="1"/>
  <c r="AU152" i="1"/>
  <c r="AX191" i="1"/>
  <c r="AU191" i="1"/>
  <c r="AX211" i="1"/>
  <c r="AU211" i="1"/>
  <c r="AX289" i="1"/>
  <c r="AX141" i="1"/>
  <c r="AX354" i="1"/>
  <c r="AU82" i="1"/>
  <c r="AU469" i="1"/>
  <c r="AU368" i="1"/>
  <c r="AU127" i="1"/>
  <c r="Q11" i="1"/>
  <c r="AF17" i="1"/>
  <c r="AF12" i="1"/>
  <c r="AF14" i="1"/>
  <c r="AX24" i="1"/>
  <c r="AF9" i="1"/>
  <c r="AI9" i="1" s="1"/>
  <c r="Q9" i="1"/>
  <c r="T9" i="1" s="1"/>
  <c r="AX9" i="1" l="1"/>
  <c r="AU9" i="1"/>
  <c r="AU11" i="1"/>
  <c r="F9" i="1" l="1"/>
  <c r="E501" i="10" s="1"/>
  <c r="G9" i="1"/>
  <c r="F501" i="10" s="1"/>
  <c r="H9" i="1"/>
  <c r="AL9" i="1" s="1"/>
  <c r="F502" i="10" l="1"/>
  <c r="AK9" i="1"/>
  <c r="E502" i="10"/>
  <c r="AJ9" i="1"/>
  <c r="G15" i="1" l="1"/>
  <c r="F14" i="1"/>
  <c r="H15" i="1"/>
  <c r="G12" i="1"/>
  <c r="H12" i="1"/>
  <c r="H13" i="1"/>
  <c r="F13" i="1"/>
  <c r="H18" i="1"/>
  <c r="G13" i="1"/>
  <c r="G16" i="1"/>
  <c r="G11" i="1"/>
  <c r="H19" i="1"/>
  <c r="G17" i="1"/>
  <c r="F19" i="1"/>
  <c r="F12" i="1"/>
  <c r="H14" i="1"/>
  <c r="G14" i="1"/>
  <c r="F17" i="1"/>
  <c r="F16" i="1"/>
  <c r="G19" i="1"/>
  <c r="H16" i="1"/>
  <c r="F11" i="1"/>
  <c r="G18" i="1"/>
  <c r="H17" i="1"/>
  <c r="F18" i="1"/>
  <c r="F15" i="1"/>
  <c r="E16" i="1"/>
  <c r="E12" i="1"/>
  <c r="E13" i="1"/>
  <c r="E17" i="1"/>
  <c r="E15" i="1"/>
  <c r="E11" i="1"/>
  <c r="E14" i="1"/>
  <c r="E18" i="1"/>
  <c r="E19" i="1"/>
  <c r="AH12" i="1" l="1"/>
  <c r="AG12" i="1"/>
  <c r="AI12" i="1"/>
  <c r="AH15" i="1"/>
  <c r="AG15" i="1"/>
  <c r="AI15" i="1"/>
  <c r="AG16" i="1"/>
  <c r="AH16" i="1"/>
  <c r="AI16" i="1"/>
  <c r="AH11" i="1"/>
  <c r="AG11" i="1"/>
  <c r="AI11" i="1"/>
  <c r="T11" i="1"/>
  <c r="AG18" i="1"/>
  <c r="AH18" i="1"/>
  <c r="AI18" i="1"/>
  <c r="AG17" i="1"/>
  <c r="AH17" i="1"/>
  <c r="AI17" i="1"/>
  <c r="AH19" i="1"/>
  <c r="AG19" i="1"/>
  <c r="AI19" i="1"/>
  <c r="AH14" i="1"/>
  <c r="AG14" i="1"/>
  <c r="AI14" i="1"/>
  <c r="AH13" i="1"/>
  <c r="AG13" i="1"/>
  <c r="AI13" i="1"/>
  <c r="P19" i="1"/>
  <c r="AT19" i="1" s="1"/>
  <c r="AK19" i="1"/>
  <c r="Q14" i="1"/>
  <c r="AL14" i="1"/>
  <c r="Q19" i="1"/>
  <c r="AL19" i="1"/>
  <c r="Q18" i="1"/>
  <c r="AU18" i="1" s="1"/>
  <c r="AL18" i="1"/>
  <c r="P12" i="1"/>
  <c r="AT12" i="1" s="1"/>
  <c r="AK12" i="1"/>
  <c r="P18" i="1"/>
  <c r="AT18" i="1" s="1"/>
  <c r="AK18" i="1"/>
  <c r="O16" i="1"/>
  <c r="AJ16" i="1"/>
  <c r="O12" i="1"/>
  <c r="AJ12" i="1"/>
  <c r="P11" i="1"/>
  <c r="AT11" i="1" s="1"/>
  <c r="AK11" i="1"/>
  <c r="O13" i="1"/>
  <c r="AJ13" i="1"/>
  <c r="Q15" i="1"/>
  <c r="AL15" i="1"/>
  <c r="Q17" i="1"/>
  <c r="AL17" i="1"/>
  <c r="O15" i="1"/>
  <c r="AJ15" i="1"/>
  <c r="O11" i="1"/>
  <c r="AJ11" i="1"/>
  <c r="O17" i="1"/>
  <c r="AJ17" i="1"/>
  <c r="O19" i="1"/>
  <c r="AJ19" i="1"/>
  <c r="P16" i="1"/>
  <c r="AT16" i="1" s="1"/>
  <c r="AK16" i="1"/>
  <c r="Q13" i="1"/>
  <c r="AL13" i="1"/>
  <c r="O14" i="1"/>
  <c r="AJ14" i="1"/>
  <c r="O18" i="1"/>
  <c r="AS18" i="1" s="1"/>
  <c r="AJ18" i="1"/>
  <c r="Q16" i="1"/>
  <c r="AL16" i="1"/>
  <c r="P14" i="1"/>
  <c r="AT14" i="1" s="1"/>
  <c r="AK14" i="1"/>
  <c r="P17" i="1"/>
  <c r="AT17" i="1" s="1"/>
  <c r="AK17" i="1"/>
  <c r="P13" i="1"/>
  <c r="AT13" i="1" s="1"/>
  <c r="AK13" i="1"/>
  <c r="Q12" i="1"/>
  <c r="AL12" i="1"/>
  <c r="P15" i="1"/>
  <c r="AT15" i="1" s="1"/>
  <c r="AK15" i="1"/>
  <c r="R18" i="1"/>
  <c r="S18" i="1"/>
  <c r="T18" i="1"/>
  <c r="S13" i="1" l="1"/>
  <c r="AW13" i="1" s="1"/>
  <c r="S14" i="1"/>
  <c r="AW14" i="1" s="1"/>
  <c r="S19" i="1"/>
  <c r="S17" i="1"/>
  <c r="AW17" i="1" s="1"/>
  <c r="S11" i="1"/>
  <c r="AW11" i="1" s="1"/>
  <c r="S16" i="1"/>
  <c r="AW16" i="1" s="1"/>
  <c r="S15" i="1"/>
  <c r="AW15" i="1" s="1"/>
  <c r="S12" i="1"/>
  <c r="AW12" i="1" s="1"/>
  <c r="AU13" i="1"/>
  <c r="T13" i="1"/>
  <c r="AX13" i="1" s="1"/>
  <c r="AS11" i="1"/>
  <c r="R11" i="1"/>
  <c r="AV11" i="1" s="1"/>
  <c r="AU17" i="1"/>
  <c r="T17" i="1"/>
  <c r="AX17" i="1" s="1"/>
  <c r="AS13" i="1"/>
  <c r="R13" i="1"/>
  <c r="AV13" i="1" s="1"/>
  <c r="AS12" i="1"/>
  <c r="R12" i="1"/>
  <c r="AV12" i="1" s="1"/>
  <c r="AU14" i="1"/>
  <c r="T14" i="1"/>
  <c r="AX14" i="1" s="1"/>
  <c r="AU12" i="1"/>
  <c r="T12" i="1"/>
  <c r="AX12" i="1" s="1"/>
  <c r="AU16" i="1"/>
  <c r="T16" i="1"/>
  <c r="AX16" i="1" s="1"/>
  <c r="AS14" i="1"/>
  <c r="R14" i="1"/>
  <c r="AV14" i="1" s="1"/>
  <c r="AS17" i="1"/>
  <c r="R17" i="1"/>
  <c r="AV17" i="1" s="1"/>
  <c r="AS15" i="1"/>
  <c r="R15" i="1"/>
  <c r="AV15" i="1" s="1"/>
  <c r="AU15" i="1"/>
  <c r="T15" i="1"/>
  <c r="AX15" i="1" s="1"/>
  <c r="AS16" i="1"/>
  <c r="R16" i="1"/>
  <c r="AV16" i="1" s="1"/>
  <c r="AU19" i="1"/>
  <c r="T19" i="1"/>
  <c r="AX19" i="1" s="1"/>
  <c r="AS19" i="1"/>
  <c r="R19" i="1"/>
  <c r="AV19" i="1" s="1"/>
  <c r="AW19" i="1"/>
  <c r="AX11" i="1"/>
  <c r="AV18" i="1"/>
  <c r="AW18" i="1"/>
  <c r="AX18" i="1"/>
</calcChain>
</file>

<file path=xl/sharedStrings.xml><?xml version="1.0" encoding="utf-8"?>
<sst xmlns="http://schemas.openxmlformats.org/spreadsheetml/2006/main" count="3927" uniqueCount="547">
  <si>
    <t>Revenue</t>
  </si>
  <si>
    <t>Levy</t>
  </si>
  <si>
    <t>Aid</t>
  </si>
  <si>
    <t>ADM</t>
  </si>
  <si>
    <t>MN STATE ACADEMIES</t>
  </si>
  <si>
    <t>WATERVILLE-ELYSIAN-MORRISTOWN</t>
  </si>
  <si>
    <t>YELLOW MEDICINE EAST</t>
  </si>
  <si>
    <t>FILLMORE CENTRAL</t>
  </si>
  <si>
    <t>WEST CENTRAL AREA</t>
  </si>
  <si>
    <t>G.F.W.</t>
  </si>
  <si>
    <t>A.C.G.C.</t>
  </si>
  <si>
    <t>BIRD ISLAND-OLIVIA-LAKE LILLIAN</t>
  </si>
  <si>
    <t>HOWARD LAKE-WAVERLY-WINSTED</t>
  </si>
  <si>
    <t>CLINTON-GRACEVILLE-BEARDSLEY</t>
  </si>
  <si>
    <t>PLAINVIEW-ELGIN-MILLVILLE</t>
  </si>
  <si>
    <t>TRI-CITY UNITED</t>
  </si>
  <si>
    <t>NEW REFERENDUM GROWTH</t>
  </si>
  <si>
    <t>CFL V DST EST</t>
  </si>
  <si>
    <t>CITY ACADEMY</t>
  </si>
  <si>
    <t>BLUFFVIEW MONTESSORI</t>
  </si>
  <si>
    <t>NEW HEIGHTS SCHOOL, INC.</t>
  </si>
  <si>
    <t>MINNESOTA NEW COUNTRY SCHOOL</t>
  </si>
  <si>
    <t>PACT CHARTER SCHOOL</t>
  </si>
  <si>
    <t>NEW VISIONS CHARTER SCHOOL</t>
  </si>
  <si>
    <t>COMMUNITY OF PEACE ACADEMY</t>
  </si>
  <si>
    <t>WORLD LEARNER CHARTER SCHOOL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</si>
  <si>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</si>
  <si>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</si>
  <si>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</si>
  <si>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</si>
  <si>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</si>
  <si>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</si>
  <si>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</si>
  <si>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</si>
  <si>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</si>
  <si>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</si>
  <si>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LAKES AREA CHARTER SCHOOL</t>
  </si>
  <si>
    <t>NORTH LAKES ACADEMY</t>
  </si>
  <si>
    <t>LACRESCENT MONTESSORI ACADEMY</t>
  </si>
  <si>
    <t>NERSTRAND CHARTER SCHOOL</t>
  </si>
  <si>
    <t>EL COLEGIO CHARTER SCHOOL</t>
  </si>
  <si>
    <t>RIVERBEND ACADEMY</t>
  </si>
  <si>
    <t>AURORA CHARTER SCHOOL</t>
  </si>
  <si>
    <t>EXCELL ACADEMY CHARTER</t>
  </si>
  <si>
    <t>HOPE COMMUNITY ACADEMY</t>
  </si>
  <si>
    <t>AVALON SCHOOL</t>
  </si>
  <si>
    <t>PILLAGER AREA CHARTER SCHOOL</t>
  </si>
  <si>
    <t>BLUESKY CHARTER SCHOOL</t>
  </si>
  <si>
    <t>RIDGEWAY COMMUNITY SCHOOL</t>
  </si>
  <si>
    <t>NORTH SHORE COMMUNITY SCHOOL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</si>
  <si>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</si>
  <si>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</si>
  <si>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</si>
  <si>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</si>
  <si>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</si>
  <si>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</si>
  <si>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</si>
  <si>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PARTNERSHIP ACADEMY, INC.</t>
  </si>
  <si>
    <t>NOVA CLASSICAL ACADEMY</t>
  </si>
  <si>
    <t>GREAT EXPECTATIONS</t>
  </si>
  <si>
    <t>MINNESOTA INTERNSHIP CENTER</t>
  </si>
  <si>
    <t>GREAT RIVER SCHOOL</t>
  </si>
  <si>
    <t>TREKNORTH HIGH SCHOOL</t>
  </si>
  <si>
    <t>VOYAGEURS EXPEDITIONARY</t>
  </si>
  <si>
    <t>SOBRIETY HIGH</t>
  </si>
  <si>
    <t>FRASER ACADEMY</t>
  </si>
  <si>
    <t>KALEIDOSCOPE CHARTER SCHOOL</t>
  </si>
  <si>
    <t>RIVER HEIGHTS CHARTER SCHOOL</t>
  </si>
  <si>
    <t>ST. CROIX PREPARATORY ACADEMY</t>
  </si>
  <si>
    <t>BEACON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</si>
  <si>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</si>
  <si>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</si>
  <si>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</si>
  <si>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</si>
  <si>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</si>
  <si>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</si>
  <si>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</si>
  <si>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</si>
  <si>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</si>
  <si>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</si>
  <si>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GREEN ISLE COMMUNITY SCHOOL</t>
  </si>
  <si>
    <t>BIRCH GROVE COMMUNITY SCHOOL</t>
  </si>
  <si>
    <t>MINNESOTA ONLINE HIGH SCHOOL</t>
  </si>
  <si>
    <t>EDVISIONS OFF CAMPUS SCHOOL</t>
  </si>
  <si>
    <t>DUGSI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</si>
  <si>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</si>
  <si>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</si>
  <si>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</si>
  <si>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</si>
  <si>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</si>
  <si>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</si>
  <si>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EAST RANGE ACADEMY OF TECH &amp;SCIENCE</t>
  </si>
  <si>
    <t>INTERNATIONAL SPANISH LANGUAGE ACAD</t>
  </si>
  <si>
    <t>GLACIAL HILLS ELEMENTARY</t>
  </si>
  <si>
    <t>HIAWATHA LEADERSHIP ACADEMY</t>
  </si>
  <si>
    <t>NOBLE ACADEMY</t>
  </si>
  <si>
    <t>CLARKFIELD CHARTER SCHOOL</t>
  </si>
  <si>
    <t>DUNWOODY ACADEMY</t>
  </si>
  <si>
    <t>PINE GROVE LEADERSHIP ACADEMY</t>
  </si>
  <si>
    <t>MINISINAAKWAANG LEADERSHIP ACADEMY</t>
  </si>
  <si>
    <t>LINCOLN INTERNATIONAL SCHOOL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</si>
  <si>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</si>
  <si>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</si>
  <si>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</si>
  <si>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</si>
  <si>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</si>
  <si>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</si>
  <si>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</si>
  <si>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MICHAEL FROME ACADEMY</t>
  </si>
  <si>
    <t>COLOGNE ACADEMY</t>
  </si>
  <si>
    <t>BRIGHT WATER ELEMENTARY</t>
  </si>
  <si>
    <t>KIPP MINNESOTA CHARTER SCHOOL</t>
  </si>
  <si>
    <t>BEST ACADEMY</t>
  </si>
  <si>
    <t>CANNON RIVER STEM SCHOOL</t>
  </si>
  <si>
    <t>ACADEMY OF NORTH MINNEAPOLIS</t>
  </si>
  <si>
    <t>DISCOVERY WOODS MONTESSORI SCHOOL</t>
  </si>
  <si>
    <t>PARNASSUS</t>
  </si>
  <si>
    <t>STEP ACADEMY</t>
  </si>
  <si>
    <t>MINNESOTA SCHOOL OF SCIENCE</t>
  </si>
  <si>
    <t>MINNEAPOLIS COLLEGE PREPARATORY</t>
  </si>
  <si>
    <t>ROCHESTER STEM ACADEMY</t>
  </si>
  <si>
    <t>HENNEPIN ELEMENTARY SCHOOL</t>
  </si>
  <si>
    <t>NASHA SHKOLA CHARTER SCHOOL</t>
  </si>
  <si>
    <t>THE MASTERY SCHOOL</t>
  </si>
  <si>
    <t>CFL V CHT EST</t>
  </si>
  <si>
    <t>Equity</t>
  </si>
  <si>
    <t>FARIBAULT</t>
  </si>
  <si>
    <t>Total</t>
  </si>
  <si>
    <t>Refer-</t>
  </si>
  <si>
    <t>endum</t>
  </si>
  <si>
    <t>MPLS &amp; ST PAUL</t>
  </si>
  <si>
    <t>OTHER METRO, INNER</t>
  </si>
  <si>
    <t>OTHER METRO, OUTER</t>
  </si>
  <si>
    <t>NONMET&gt;=2K</t>
  </si>
  <si>
    <t>NONMET 1K-2K</t>
  </si>
  <si>
    <t>NONMET &lt; 1K</t>
  </si>
  <si>
    <t>CHARTER</t>
  </si>
  <si>
    <t>COOPERATIVES</t>
  </si>
  <si>
    <t>NONCHARTER FUDGE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</si>
  <si>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</si>
  <si>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</si>
  <si>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</si>
  <si>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</si>
  <si>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</si>
  <si>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</si>
  <si>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</si>
  <si>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</si>
  <si>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</si>
  <si>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</si>
  <si>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</si>
  <si>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</si>
  <si>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</si>
  <si>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</si>
  <si>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</si>
  <si>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</si>
  <si>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</si>
  <si>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</si>
  <si>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</si>
  <si>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</si>
  <si>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</si>
  <si>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</si>
  <si>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</si>
  <si>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</si>
  <si>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</si>
  <si>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</si>
  <si>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</si>
  <si>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</si>
  <si>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</si>
  <si>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</si>
  <si>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</si>
  <si>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</si>
  <si>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</si>
  <si>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</si>
  <si>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</si>
  <si>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</si>
  <si>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</si>
  <si>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</si>
  <si>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</si>
  <si>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</si>
  <si>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</si>
  <si>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</si>
  <si>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</si>
  <si>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</si>
  <si>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</si>
  <si>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</si>
  <si>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</si>
  <si>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</si>
  <si>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</si>
  <si>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</si>
  <si>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</si>
  <si>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</si>
  <si>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</si>
  <si>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</si>
  <si>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</si>
  <si>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</si>
  <si>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</si>
  <si>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</si>
  <si>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</si>
  <si>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</si>
  <si>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</si>
  <si>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</si>
  <si>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</si>
  <si>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</si>
  <si>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</si>
  <si>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</si>
  <si>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</si>
  <si>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</si>
  <si>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</si>
  <si>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</si>
  <si>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</si>
  <si>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</si>
  <si>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</si>
  <si>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</si>
  <si>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</si>
  <si>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</si>
  <si>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</si>
  <si>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</si>
  <si>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</si>
  <si>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</si>
  <si>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</si>
  <si>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</si>
  <si>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</si>
  <si>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</si>
  <si>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</si>
  <si>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</si>
  <si>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</si>
  <si>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</si>
  <si>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</si>
  <si>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</si>
  <si>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</si>
  <si>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</si>
  <si>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</si>
  <si>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</si>
  <si>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</si>
  <si>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</si>
  <si>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</si>
  <si>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</si>
  <si>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</si>
  <si>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</si>
  <si>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</si>
  <si>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</si>
  <si>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</si>
  <si>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</si>
  <si>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</si>
  <si>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</si>
  <si>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</si>
  <si>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</si>
  <si>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</si>
  <si>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</si>
  <si>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</si>
  <si>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</si>
  <si>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</si>
  <si>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</si>
  <si>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DAWSON</t>
  </si>
  <si>
    <t>LAKE SUPERIOR</t>
  </si>
  <si>
    <t>LAKE OF THE WOOD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</si>
  <si>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</si>
  <si>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</si>
  <si>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</si>
  <si>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</si>
  <si>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</si>
  <si>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</si>
  <si>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</si>
  <si>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</si>
  <si>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</si>
  <si>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</si>
  <si>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</si>
  <si>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MARSHALL CTY CENTRAL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</si>
  <si>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</si>
  <si>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</si>
  <si>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</si>
  <si>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</si>
  <si>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</si>
  <si>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</si>
  <si>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</si>
  <si>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</si>
  <si>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</si>
  <si>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</si>
  <si>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</si>
  <si>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</si>
  <si>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</si>
  <si>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</si>
  <si>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</si>
  <si>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</si>
  <si>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</si>
  <si>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</si>
  <si>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</si>
  <si>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</si>
  <si>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</si>
  <si>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</si>
  <si>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ELLSWORTH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</si>
  <si>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</si>
  <si>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</si>
  <si>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</si>
  <si>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</si>
  <si>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</si>
  <si>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</si>
  <si>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</si>
  <si>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</si>
  <si>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</si>
  <si>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</si>
  <si>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</si>
  <si>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</si>
  <si>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</si>
  <si>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</si>
  <si>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</si>
  <si>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</si>
  <si>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</si>
  <si>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</si>
  <si>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</si>
  <si>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</si>
  <si>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</si>
  <si>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</si>
  <si>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</si>
  <si>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</si>
  <si>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MOUNDS VIEW</t>
  </si>
  <si>
    <t>NORTH ST. PAUL-M</t>
  </si>
  <si>
    <t>ROSEVILLE</t>
  </si>
  <si>
    <t>WHITE BEAR LAKE</t>
  </si>
  <si>
    <t>ST. PAUL</t>
  </si>
  <si>
    <t>RED LAKE FALLS</t>
  </si>
  <si>
    <t>MILROY</t>
  </si>
  <si>
    <t>WABASSO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</si>
  <si>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</si>
  <si>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</si>
  <si>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</si>
  <si>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</si>
  <si>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</si>
  <si>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</si>
  <si>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</si>
  <si>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</si>
  <si>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</si>
  <si>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</si>
  <si>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</si>
  <si>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</si>
  <si>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</si>
  <si>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</si>
  <si>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</si>
  <si>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</si>
  <si>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</si>
  <si>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</si>
  <si>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</si>
  <si>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</si>
  <si>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</si>
  <si>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</si>
  <si>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</si>
  <si>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</si>
  <si>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</si>
  <si>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</si>
  <si>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</si>
  <si>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</si>
  <si>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</si>
  <si>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</si>
  <si>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</si>
  <si>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ROCORI</t>
  </si>
  <si>
    <t>BLOOMING PRAIRIE</t>
  </si>
  <si>
    <t>OWATONNA</t>
  </si>
  <si>
    <t>MEDFORD</t>
  </si>
  <si>
    <t>HANCOCK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</si>
  <si>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</si>
  <si>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</si>
  <si>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</si>
  <si>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</si>
  <si>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</si>
  <si>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</si>
  <si>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</si>
  <si>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</si>
  <si>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</si>
  <si>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</si>
  <si>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</si>
  <si>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</si>
  <si>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</si>
  <si>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</si>
  <si>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</si>
  <si>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</si>
  <si>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</si>
  <si>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</si>
  <si>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</si>
  <si>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</si>
  <si>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</si>
  <si>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</si>
  <si>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</si>
  <si>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</si>
  <si>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</si>
  <si>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</si>
  <si>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</si>
  <si>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</si>
  <si>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</si>
  <si>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</si>
  <si>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</si>
  <si>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</si>
  <si>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</si>
  <si>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</si>
  <si>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</si>
  <si>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</si>
  <si>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</si>
  <si>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</si>
  <si>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</si>
  <si>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</si>
  <si>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</si>
  <si>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</si>
  <si>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</si>
  <si>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</si>
  <si>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</si>
  <si>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</si>
  <si>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</si>
  <si>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</si>
  <si>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</si>
  <si>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</si>
  <si>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</si>
  <si>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</si>
  <si>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</si>
  <si>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</si>
  <si>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</si>
  <si>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</si>
  <si>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</si>
  <si>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</si>
  <si>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</si>
  <si>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</si>
  <si>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</si>
  <si>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NORMAN COUNTY EAST</t>
  </si>
  <si>
    <t>SIBLEY EAST</t>
  </si>
  <si>
    <t>CLEARBROOK-GONVICK</t>
  </si>
  <si>
    <t>TRI-COUNTY</t>
  </si>
  <si>
    <t>BELGRADE-BROOTEN-ELR</t>
  </si>
  <si>
    <t>LESUEUR-HENDERSO</t>
  </si>
  <si>
    <t>MARTIN COUNTY</t>
  </si>
  <si>
    <t>NORMAN CTY WEST</t>
  </si>
  <si>
    <t>GRANADA HUNTLEY-</t>
  </si>
  <si>
    <t>EAST CENTRAL</t>
  </si>
  <si>
    <t>WIN-E-MAC</t>
  </si>
  <si>
    <t>GREENBUSH-MIDDLE RIV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</si>
  <si>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</si>
  <si>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</si>
  <si>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</si>
  <si>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</si>
  <si>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</si>
  <si>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</si>
  <si>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</si>
  <si>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</si>
  <si>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</si>
  <si>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</si>
  <si>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</si>
  <si>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</si>
  <si>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</si>
  <si>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</si>
  <si>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</si>
  <si>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LAKE PARK-AUDUBON</t>
  </si>
  <si>
    <t>RENVILLE CTY WEST</t>
  </si>
  <si>
    <t>JACKSON COUNTY CENTRAL</t>
  </si>
  <si>
    <t>REDWOOD AREA SCHOOLS</t>
  </si>
  <si>
    <t>WESTBROOK-WALNUT GROVE</t>
  </si>
  <si>
    <t>RTR</t>
  </si>
  <si>
    <t>ORTONVILLE</t>
  </si>
  <si>
    <t>TRACY-BALATON</t>
  </si>
  <si>
    <t>CORNERSTONE MONTESSORI ELEMENTARY</t>
  </si>
  <si>
    <t>DIST</t>
  </si>
  <si>
    <t>TYPE</t>
  </si>
  <si>
    <t>NAME</t>
  </si>
  <si>
    <t>OSHKI OGIMAAG</t>
  </si>
  <si>
    <t>NEW SPIRIT SCHOOLS</t>
  </si>
  <si>
    <t>ODYSSEY CHARTER SCHOOL</t>
  </si>
  <si>
    <t>COON RAPIDS LEARNING CENTER</t>
  </si>
  <si>
    <t>HMONG ACADEMY</t>
  </si>
  <si>
    <t>LIBERTY HIGH SCHOOL</t>
  </si>
  <si>
    <t>ADAM ABDULLE ACADEMY</t>
  </si>
  <si>
    <t>MN STATE ACADEMIES TRANSFER</t>
  </si>
  <si>
    <t>MORRIS AREA PUBLIC SCHOOLS</t>
  </si>
  <si>
    <t>RED LAKE COUNTY CENTRAL PUBLIC SCHOOLS</t>
  </si>
  <si>
    <t>ROUND LAKE-BREWSTER PUBLIC SCHOOLS</t>
  </si>
  <si>
    <t>BRANDON-EVANSVILLE PUBLIC SCHOOLS</t>
  </si>
  <si>
    <t>CEDAR RIVERSIDE COMMUNITY SCHO</t>
  </si>
  <si>
    <t>METRO DEAF CHARTER SCHOOL</t>
  </si>
  <si>
    <t>MINNESOTA TRANSITIONS CHARTER</t>
  </si>
  <si>
    <t>JENNINGS EXPERIENTIAL HIGH SCH</t>
  </si>
  <si>
    <t>HARVEST PREP SCHOOL/SEED ACADE</t>
  </si>
  <si>
    <t>CONCORDIA CREATIVE LEARNING AC</t>
  </si>
  <si>
    <t>LAFAYETTE PUBLIC CHARTER SCHOO</t>
  </si>
  <si>
    <t>FOUR DIRECTIONS CHARTER SCHOOL</t>
  </si>
  <si>
    <t>ROCHESTER OFF-CAMPUS CHARTER H</t>
  </si>
  <si>
    <t>SCHOOLCRAFT LEARNING COMMUNITY</t>
  </si>
  <si>
    <t>CROSSLAKE COMMUNITY CHARTER SC</t>
  </si>
  <si>
    <t>RIVERWAY LEARNING COMMUNITY CH</t>
  </si>
  <si>
    <t>ACADEMIA CESAR CHAVEZ CHARTER</t>
  </si>
  <si>
    <t>AGRICULTURAL FOOD SCIENCE ACAD</t>
  </si>
  <si>
    <t>TWIN CITIES INTERNATIONAL ELEM</t>
  </si>
  <si>
    <t>MN INTERNATIONAL MIDDLE CHARTE</t>
  </si>
  <si>
    <t>FRIENDSHIP ACDMY OF FINE ARTS</t>
  </si>
  <si>
    <t>COVENANT ACADEMY OF MN. CHTR.</t>
  </si>
  <si>
    <t>HARBOR CITY INTERNATIONAL CHAR</t>
  </si>
  <si>
    <t>WOODSON INSTITUTE FOR EXCELLEN</t>
  </si>
  <si>
    <t>TRIO WOLF CREEK DISTANCE LEARN</t>
  </si>
  <si>
    <t>GENERAL JOHN VESSEY JR LEADERS</t>
  </si>
  <si>
    <t>MAIN STREET SCHOOL PERFORMING</t>
  </si>
  <si>
    <t>AUGSBURG ACADEMY FOR HEALTH CA</t>
  </si>
  <si>
    <t>ST PAUL CONSERVATORY PERFORMIN</t>
  </si>
  <si>
    <t>MINNEAPOLIS ACADEMY CHARTER SC</t>
  </si>
  <si>
    <t>LAKES INTERNATIONAL LANGUAGE A</t>
  </si>
  <si>
    <t>UBAH MEDICAL ACADEMY CHARTER S</t>
  </si>
  <si>
    <t>EAGLE RIDGE ACADEMY CHARTER SC</t>
  </si>
  <si>
    <t>DAKOTA AREA COMMUNITY CHARTER</t>
  </si>
  <si>
    <t>SWAN RIVER MONTESSORI CHARTER</t>
  </si>
  <si>
    <t>NEW MILLENNIUM ACADEMY CHARTER</t>
  </si>
  <si>
    <t>NORTHERN LIGHTS COMMUNITY SCHO</t>
  </si>
  <si>
    <t>TWIN CITIES GERMAN IMMERSION C</t>
  </si>
  <si>
    <t>NAYTAUWAUSH COMMUNITY SCHOOL</t>
  </si>
  <si>
    <t>ELLIOT PARK COMMUNITY SCHOOL</t>
  </si>
  <si>
    <t>RIVERS EDGE ACADEMY</t>
  </si>
  <si>
    <t>COLLEGE PREP ELEMENTARY</t>
  </si>
  <si>
    <t>VERMILION COUNTRY SCHOOL</t>
  </si>
  <si>
    <t>UPPER MISSISSIPPI ACADEMY</t>
  </si>
  <si>
    <t>ARCH ACADEMY</t>
  </si>
  <si>
    <t>WEST SIDE SUMMIT</t>
  </si>
  <si>
    <t>PRODEO ACADEMY</t>
  </si>
  <si>
    <t>WEST CONCORD PUBLIC CHARTER SCHOOL</t>
  </si>
  <si>
    <t>VENTURE ACADEMY</t>
  </si>
  <si>
    <t>COOPERATIVE &amp; INTERMED DISTRICTS</t>
  </si>
  <si>
    <t>AADM16N</t>
  </si>
  <si>
    <t>FY 2016 as of February Forecast</t>
  </si>
  <si>
    <t>EQREV16N</t>
  </si>
  <si>
    <t>REFREV16N</t>
  </si>
  <si>
    <t>LOCREV16N</t>
  </si>
  <si>
    <t>EQLVY16N</t>
  </si>
  <si>
    <t>RFLVYN16N</t>
  </si>
  <si>
    <t>LOCLVY16N</t>
  </si>
  <si>
    <t>FY 2016</t>
  </si>
  <si>
    <t>Impacted</t>
  </si>
  <si>
    <t>Pupil</t>
  </si>
  <si>
    <t>Location</t>
  </si>
  <si>
    <t xml:space="preserve"> Equity</t>
  </si>
  <si>
    <t xml:space="preserve">Change </t>
  </si>
  <si>
    <t xml:space="preserve">TOTAL </t>
  </si>
  <si>
    <t>FY 2016 Tax Bill - HF 2547 ($ in 000)</t>
  </si>
  <si>
    <t>FY 2016 as of February Forecast - Max Revenue</t>
  </si>
  <si>
    <t>Levy /</t>
  </si>
  <si>
    <t>Aid /</t>
  </si>
  <si>
    <t>FY 2016 as of 2014 Tax Bill - Max Revenue</t>
  </si>
  <si>
    <t>APU</t>
  </si>
  <si>
    <t>FY 2016 as of 2014Tax Bill Changes from February Forecast - Max Revenue</t>
  </si>
  <si>
    <t>Local</t>
  </si>
  <si>
    <t>Optional</t>
  </si>
  <si>
    <t>Revenue /</t>
  </si>
  <si>
    <t xml:space="preserve"> APU</t>
  </si>
  <si>
    <t>n/a</t>
  </si>
  <si>
    <t>line left blank intentionally</t>
  </si>
  <si>
    <t>End of worksheet</t>
  </si>
  <si>
    <t>Column left blank intentionally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</si>
</sst>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ourier"/>
      <family val="3"/>
    </font>
    <font>
      <sz val="9"/>
      <color theme="1"/>
      <name val="Arial Narrow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ourier"/>
      <family val="3"/>
    </font>
    <font>
      <sz val="11"/>
      <color theme="1"/>
      <name val="Arial Narrow"/>
      <family val="2"/>
    </font>
    <font>
      <sz val="8"/>
      <name val="Courier"/>
      <family val="3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 Narrow"/>
      <family val="2"/>
    </font>
    <font>
      <b/>
      <sz val="15"/>
      <color theme="3"/>
      <name val="Calibri"/>
      <family val="2"/>
      <scheme val="minor"/>
    </font>
    <font>
      <b/>
      <sz val="9"/>
      <color theme="0"/>
      <name val="Arial"/>
      <family val="2"/>
    </font>
    <font>
      <sz val="10"/>
      <color theme="0"/>
      <name val="Arial Narrow"/>
      <family val="2"/>
    </font>
    <font>
      <b/>
      <sz val="15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4"/>
      <color theme="0"/>
      <name val="Arial Narrow"/>
      <family val="2"/>
    </font>
    <font>
      <b/>
      <sz val="14"/>
      <color theme="0"/>
      <name val="Calibri"/>
      <family val="2"/>
      <scheme val="minor"/>
    </font>
    <font>
      <b/>
      <sz val="14"/>
      <color theme="0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" fillId="0" borderId="0"/>
    <xf numFmtId="0" fontId="7" fillId="0" borderId="0"/>
    <xf numFmtId="0" fontId="3" fillId="0" borderId="0"/>
    <xf numFmtId="0" fontId="6" fillId="0" borderId="0"/>
    <xf numFmtId="0" fontId="3" fillId="0" borderId="0"/>
    <xf numFmtId="0" fontId="8" fillId="0" borderId="0"/>
    <xf numFmtId="9" fontId="6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11" fillId="0" borderId="0"/>
    <xf numFmtId="0" fontId="16" fillId="0" borderId="38" applyNumberFormat="0" applyFill="0" applyAlignment="0" applyProtection="0"/>
  </cellStyleXfs>
  <cellXfs count="14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/>
    <xf numFmtId="3" fontId="0" fillId="0" borderId="0" xfId="0" applyNumberFormat="1" applyBorder="1"/>
    <xf numFmtId="0" fontId="0" fillId="0" borderId="5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/>
    <xf numFmtId="0" fontId="4" fillId="0" borderId="0" xfId="0" applyFont="1" applyFill="1"/>
    <xf numFmtId="0" fontId="4" fillId="0" borderId="0" xfId="0" applyFont="1" applyFill="1" applyBorder="1"/>
    <xf numFmtId="1" fontId="0" fillId="0" borderId="0" xfId="0" applyNumberFormat="1"/>
    <xf numFmtId="0" fontId="10" fillId="0" borderId="0" xfId="0" applyFont="1"/>
    <xf numFmtId="1" fontId="0" fillId="0" borderId="0" xfId="1" applyNumberFormat="1" applyFont="1" applyAlignment="1">
      <alignment horizontal="right"/>
    </xf>
    <xf numFmtId="0" fontId="0" fillId="0" borderId="0" xfId="0" applyAlignment="1"/>
    <xf numFmtId="0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left"/>
      <protection locked="0"/>
    </xf>
    <xf numFmtId="1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left"/>
      <protection locked="0"/>
    </xf>
    <xf numFmtId="1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0" fontId="11" fillId="0" borderId="0" xfId="21" applyNumberFormat="1" applyAlignment="1" applyProtection="1">
      <alignment horizontal="right"/>
      <protection locked="0"/>
    </xf>
    <xf numFmtId="3" fontId="11" fillId="0" borderId="0" xfId="21" applyNumberFormat="1" applyAlignment="1" applyProtection="1">
      <alignment horizontal="right"/>
      <protection locked="0"/>
    </xf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3" fontId="0" fillId="0" borderId="16" xfId="0" applyNumberFormat="1" applyBorder="1"/>
    <xf numFmtId="3" fontId="0" fillId="0" borderId="17" xfId="0" applyNumberFormat="1" applyBorder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6" xfId="0" applyFont="1" applyBorder="1" applyAlignment="1">
      <alignment horizontal="right"/>
    </xf>
    <xf numFmtId="0" fontId="15" fillId="0" borderId="7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0" xfId="0" applyFont="1"/>
    <xf numFmtId="0" fontId="15" fillId="0" borderId="4" xfId="0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0" fontId="15" fillId="0" borderId="16" xfId="0" applyFont="1" applyBorder="1" applyAlignment="1">
      <alignment horizontal="right"/>
    </xf>
    <xf numFmtId="0" fontId="15" fillId="0" borderId="13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5" fillId="0" borderId="1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14" xfId="0" applyFont="1" applyBorder="1" applyAlignment="1">
      <alignment horizontal="right"/>
    </xf>
    <xf numFmtId="0" fontId="15" fillId="0" borderId="11" xfId="0" applyFont="1" applyBorder="1" applyAlignment="1">
      <alignment horizontal="right"/>
    </xf>
    <xf numFmtId="3" fontId="15" fillId="0" borderId="4" xfId="0" applyNumberFormat="1" applyFont="1" applyBorder="1"/>
    <xf numFmtId="3" fontId="15" fillId="0" borderId="0" xfId="0" applyNumberFormat="1" applyFont="1" applyBorder="1"/>
    <xf numFmtId="3" fontId="15" fillId="0" borderId="16" xfId="0" applyNumberFormat="1" applyFont="1" applyBorder="1"/>
    <xf numFmtId="3" fontId="15" fillId="0" borderId="13" xfId="0" applyNumberFormat="1" applyFont="1" applyBorder="1"/>
    <xf numFmtId="3" fontId="15" fillId="0" borderId="5" xfId="0" applyNumberFormat="1" applyFont="1" applyBorder="1"/>
    <xf numFmtId="0" fontId="15" fillId="0" borderId="0" xfId="0" applyFont="1" applyBorder="1"/>
    <xf numFmtId="0" fontId="15" fillId="0" borderId="5" xfId="0" applyFont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15" fillId="0" borderId="18" xfId="0" applyFont="1" applyBorder="1"/>
    <xf numFmtId="0" fontId="15" fillId="0" borderId="19" xfId="0" applyFont="1" applyBorder="1"/>
    <xf numFmtId="3" fontId="15" fillId="0" borderId="20" xfId="0" applyNumberFormat="1" applyFont="1" applyBorder="1"/>
    <xf numFmtId="3" fontId="15" fillId="0" borderId="19" xfId="0" applyNumberFormat="1" applyFont="1" applyBorder="1"/>
    <xf numFmtId="3" fontId="15" fillId="0" borderId="21" xfId="0" applyNumberFormat="1" applyFont="1" applyBorder="1"/>
    <xf numFmtId="3" fontId="15" fillId="0" borderId="18" xfId="0" applyNumberFormat="1" applyFont="1" applyBorder="1"/>
    <xf numFmtId="3" fontId="15" fillId="0" borderId="22" xfId="0" applyNumberFormat="1" applyFont="1" applyBorder="1"/>
    <xf numFmtId="1" fontId="15" fillId="0" borderId="23" xfId="0" applyNumberFormat="1" applyFont="1" applyBorder="1"/>
    <xf numFmtId="0" fontId="15" fillId="0" borderId="24" xfId="0" applyFont="1" applyBorder="1"/>
    <xf numFmtId="0" fontId="15" fillId="0" borderId="24" xfId="0" applyFont="1" applyBorder="1" applyAlignment="1"/>
    <xf numFmtId="3" fontId="15" fillId="0" borderId="23" xfId="0" applyNumberFormat="1" applyFont="1" applyBorder="1"/>
    <xf numFmtId="3" fontId="15" fillId="0" borderId="24" xfId="0" applyNumberFormat="1" applyFont="1" applyBorder="1"/>
    <xf numFmtId="3" fontId="15" fillId="0" borderId="25" xfId="0" applyNumberFormat="1" applyFont="1" applyBorder="1"/>
    <xf numFmtId="3" fontId="15" fillId="0" borderId="26" xfId="0" applyNumberFormat="1" applyFont="1" applyBorder="1"/>
    <xf numFmtId="3" fontId="15" fillId="0" borderId="27" xfId="0" applyNumberFormat="1" applyFont="1" applyBorder="1"/>
    <xf numFmtId="1" fontId="15" fillId="0" borderId="28" xfId="1" applyNumberFormat="1" applyFont="1" applyBorder="1" applyAlignment="1">
      <alignment horizontal="right"/>
    </xf>
    <xf numFmtId="0" fontId="15" fillId="0" borderId="29" xfId="0" applyFont="1" applyBorder="1" applyAlignment="1">
      <alignment horizontal="right"/>
    </xf>
    <xf numFmtId="0" fontId="15" fillId="0" borderId="29" xfId="0" applyFont="1" applyBorder="1" applyAlignment="1"/>
    <xf numFmtId="3" fontId="15" fillId="0" borderId="28" xfId="0" applyNumberFormat="1" applyFont="1" applyBorder="1"/>
    <xf numFmtId="3" fontId="15" fillId="0" borderId="29" xfId="0" applyNumberFormat="1" applyFont="1" applyBorder="1"/>
    <xf numFmtId="3" fontId="15" fillId="0" borderId="30" xfId="0" applyNumberFormat="1" applyFont="1" applyBorder="1"/>
    <xf numFmtId="3" fontId="15" fillId="0" borderId="31" xfId="0" applyNumberFormat="1" applyFont="1" applyBorder="1"/>
    <xf numFmtId="3" fontId="15" fillId="0" borderId="32" xfId="0" applyNumberFormat="1" applyFont="1" applyBorder="1"/>
    <xf numFmtId="1" fontId="15" fillId="0" borderId="28" xfId="0" applyNumberFormat="1" applyFont="1" applyBorder="1"/>
    <xf numFmtId="0" fontId="15" fillId="0" borderId="29" xfId="0" applyFont="1" applyBorder="1"/>
    <xf numFmtId="1" fontId="15" fillId="0" borderId="33" xfId="0" applyNumberFormat="1" applyFont="1" applyBorder="1"/>
    <xf numFmtId="0" fontId="15" fillId="0" borderId="34" xfId="0" applyFont="1" applyBorder="1"/>
    <xf numFmtId="0" fontId="15" fillId="0" borderId="34" xfId="0" applyFont="1" applyBorder="1" applyAlignment="1"/>
    <xf numFmtId="3" fontId="15" fillId="0" borderId="33" xfId="0" applyNumberFormat="1" applyFont="1" applyBorder="1"/>
    <xf numFmtId="3" fontId="15" fillId="0" borderId="34" xfId="0" applyNumberFormat="1" applyFont="1" applyBorder="1"/>
    <xf numFmtId="3" fontId="15" fillId="0" borderId="35" xfId="0" applyNumberFormat="1" applyFont="1" applyBorder="1"/>
    <xf numFmtId="3" fontId="15" fillId="0" borderId="36" xfId="0" applyNumberFormat="1" applyFont="1" applyBorder="1"/>
    <xf numFmtId="3" fontId="15" fillId="0" borderId="37" xfId="0" applyNumberFormat="1" applyFont="1" applyBorder="1"/>
    <xf numFmtId="0" fontId="12" fillId="0" borderId="0" xfId="0" applyFont="1" applyBorder="1"/>
    <xf numFmtId="0" fontId="17" fillId="0" borderId="0" xfId="0" applyFont="1" applyAlignment="1">
      <alignment horizontal="right"/>
    </xf>
    <xf numFmtId="0" fontId="14" fillId="0" borderId="2" xfId="0" applyFont="1" applyBorder="1" applyAlignment="1"/>
    <xf numFmtId="0" fontId="12" fillId="0" borderId="10" xfId="0" applyFont="1" applyBorder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8" fillId="0" borderId="15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9" fillId="0" borderId="1" xfId="22" applyFont="1" applyBorder="1" applyAlignment="1"/>
    <xf numFmtId="0" fontId="19" fillId="0" borderId="2" xfId="22" applyFont="1" applyBorder="1" applyAlignment="1"/>
    <xf numFmtId="0" fontId="20" fillId="0" borderId="2" xfId="22" applyFont="1" applyBorder="1" applyAlignment="1"/>
    <xf numFmtId="0" fontId="20" fillId="0" borderId="3" xfId="22" applyFont="1" applyBorder="1" applyAlignment="1"/>
    <xf numFmtId="0" fontId="18" fillId="0" borderId="0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0" fontId="21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18" fillId="0" borderId="18" xfId="0" applyFont="1" applyBorder="1"/>
    <xf numFmtId="0" fontId="18" fillId="0" borderId="23" xfId="0" applyFont="1" applyBorder="1"/>
    <xf numFmtId="0" fontId="18" fillId="0" borderId="28" xfId="0" applyFont="1" applyBorder="1"/>
    <xf numFmtId="0" fontId="18" fillId="0" borderId="33" xfId="0" applyFont="1" applyBorder="1"/>
    <xf numFmtId="0" fontId="23" fillId="0" borderId="2" xfId="0" applyFont="1" applyBorder="1" applyAlignment="1"/>
    <xf numFmtId="0" fontId="23" fillId="0" borderId="3" xfId="0" applyFont="1" applyBorder="1" applyAlignment="1"/>
    <xf numFmtId="0" fontId="2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4" fillId="0" borderId="0" xfId="0" applyFont="1" applyBorder="1"/>
  </cellXfs>
  <cellStyles count="23">
    <cellStyle name="Comma" xfId="1" builtinId="3"/>
    <cellStyle name="Comma 2" xfId="4"/>
    <cellStyle name="Comma 3" xfId="5"/>
    <cellStyle name="Comma 3 2" xfId="6"/>
    <cellStyle name="Comma 4" xfId="7"/>
    <cellStyle name="Heading 1" xfId="22" builtinId="16"/>
    <cellStyle name="Normal" xfId="0" builtinId="0"/>
    <cellStyle name="Normal 10" xfId="18"/>
    <cellStyle name="Normal 11" xfId="19"/>
    <cellStyle name="Normal 12" xfId="20"/>
    <cellStyle name="Normal 13" xfId="21"/>
    <cellStyle name="Normal 2" xfId="2"/>
    <cellStyle name="Normal 2 2" xfId="8"/>
    <cellStyle name="Normal 3" xfId="9"/>
    <cellStyle name="Normal 3 2" xfId="10"/>
    <cellStyle name="Normal 4" xfId="11"/>
    <cellStyle name="Normal 5" xfId="12"/>
    <cellStyle name="Normal 6" xfId="13"/>
    <cellStyle name="Normal 7" xfId="14"/>
    <cellStyle name="Normal 8" xfId="15"/>
    <cellStyle name="Normal 9" xfId="16"/>
    <cellStyle name="Percent 2" xfId="3"/>
    <cellStyle name="Percent 2 2" xfId="17"/>
  </cellStyles>
  <dxfs count="0"/>
  <tableStyles count="0" defaultTableStyle="TableStyleMedium2" defaultPivotStyle="PivotStyleLight16"/>
  <colors>
    <mruColors>
      <color rgb="FF00863D"/>
      <color rgb="FF006C31"/>
      <color rgb="FF0092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omm\Local%20Settings\Temporary%20Internet%20Files\Content.Outlook\6RXUHVM1\Grad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Inputs"/>
      <sheetName val="Outputs"/>
    </sheetNames>
    <sheetDataSet>
      <sheetData sheetId="0">
        <row r="1">
          <cell r="A1">
            <v>833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7"/>
  <sheetViews>
    <sheetView zoomScaleNormal="100" workbookViewId="0">
      <pane xSplit="3" ySplit="1" topLeftCell="D2" activePane="bottomRight" state="frozen"/>
      <selection activeCell="A19" sqref="A19"/>
      <selection pane="topRight" activeCell="D19" sqref="D19"/>
      <selection pane="bottomLeft" activeCell="A26" sqref="A26"/>
      <selection pane="bottomRight" activeCell="C42" sqref="C42"/>
    </sheetView>
  </sheetViews>
  <sheetFormatPr defaultColWidth="9.140625" defaultRowHeight="13.5" x14ac:dyDescent="0.25"/>
  <cols>
    <col min="1" max="1" width="6.140625" style="18" customWidth="1"/>
    <col min="2" max="2" width="3.140625" style="18" customWidth="1"/>
    <col min="3" max="3" width="28.5703125" style="18" customWidth="1"/>
    <col min="4" max="4" width="3" style="18" bestFit="1" customWidth="1"/>
    <col min="5" max="16384" width="9.140625" style="18"/>
  </cols>
  <sheetData>
    <row r="1" spans="1:4" x14ac:dyDescent="0.25">
      <c r="A1" s="19" t="s">
        <v>130</v>
      </c>
      <c r="B1" s="19"/>
      <c r="D1" s="19">
        <v>1</v>
      </c>
    </row>
    <row r="2" spans="1:4" x14ac:dyDescent="0.25">
      <c r="A2" s="19" t="s">
        <v>131</v>
      </c>
      <c r="B2" s="19"/>
      <c r="D2" s="19">
        <v>2</v>
      </c>
    </row>
    <row r="3" spans="1:4" x14ac:dyDescent="0.25">
      <c r="A3" s="19" t="s">
        <v>132</v>
      </c>
      <c r="B3" s="19"/>
      <c r="D3" s="19">
        <v>3</v>
      </c>
    </row>
    <row r="4" spans="1:4" x14ac:dyDescent="0.25">
      <c r="A4" s="19" t="s">
        <v>133</v>
      </c>
      <c r="B4" s="19"/>
      <c r="D4" s="19">
        <v>4</v>
      </c>
    </row>
    <row r="5" spans="1:4" x14ac:dyDescent="0.25">
      <c r="A5" s="19" t="s">
        <v>134</v>
      </c>
      <c r="B5" s="19"/>
      <c r="D5" s="19">
        <v>5</v>
      </c>
    </row>
    <row r="6" spans="1:4" x14ac:dyDescent="0.25">
      <c r="A6" s="19" t="s">
        <v>135</v>
      </c>
      <c r="B6" s="19"/>
      <c r="D6" s="19">
        <v>6</v>
      </c>
    </row>
    <row r="7" spans="1:4" x14ac:dyDescent="0.25">
      <c r="A7" s="19" t="s">
        <v>136</v>
      </c>
      <c r="B7" s="19"/>
      <c r="D7" s="19">
        <v>7</v>
      </c>
    </row>
    <row r="8" spans="1:4" x14ac:dyDescent="0.25">
      <c r="A8" s="19" t="s">
        <v>137</v>
      </c>
      <c r="B8" s="19"/>
      <c r="D8" s="19">
        <v>8</v>
      </c>
    </row>
    <row r="9" spans="1:4" x14ac:dyDescent="0.25">
      <c r="A9" s="19" t="s">
        <v>138</v>
      </c>
      <c r="B9" s="19"/>
      <c r="D9" s="19">
        <v>9</v>
      </c>
    </row>
    <row r="10" spans="1:4" x14ac:dyDescent="0.25">
      <c r="A10" s="19"/>
      <c r="B10" s="19"/>
      <c r="C10" s="19"/>
      <c r="D10" s="19"/>
    </row>
    <row r="11" spans="1:4" ht="15" x14ac:dyDescent="0.25">
      <c r="A11" s="20">
        <v>1</v>
      </c>
      <c r="B11">
        <v>1</v>
      </c>
      <c r="C11" s="23" t="s">
        <v>139</v>
      </c>
      <c r="D11" s="23">
        <v>5</v>
      </c>
    </row>
    <row r="12" spans="1:4" ht="15" x14ac:dyDescent="0.25">
      <c r="A12" s="22">
        <v>1.2</v>
      </c>
      <c r="B12" s="1">
        <v>3</v>
      </c>
      <c r="C12" s="23" t="s">
        <v>140</v>
      </c>
      <c r="D12" s="23">
        <v>1</v>
      </c>
    </row>
    <row r="13" spans="1:4" ht="15" x14ac:dyDescent="0.25">
      <c r="A13" s="20">
        <v>2</v>
      </c>
      <c r="B13">
        <v>1</v>
      </c>
      <c r="C13" s="23" t="s">
        <v>141</v>
      </c>
      <c r="D13" s="23">
        <v>6</v>
      </c>
    </row>
    <row r="14" spans="1:4" ht="15" x14ac:dyDescent="0.25">
      <c r="A14" s="20">
        <v>4</v>
      </c>
      <c r="B14">
        <v>1</v>
      </c>
      <c r="C14" s="23" t="s">
        <v>142</v>
      </c>
      <c r="D14" s="23">
        <v>6</v>
      </c>
    </row>
    <row r="15" spans="1:4" ht="15" x14ac:dyDescent="0.25">
      <c r="A15" s="20">
        <v>6</v>
      </c>
      <c r="B15">
        <v>3</v>
      </c>
      <c r="C15" s="23" t="s">
        <v>143</v>
      </c>
      <c r="D15" s="23">
        <v>2</v>
      </c>
    </row>
    <row r="16" spans="1:4" ht="15" x14ac:dyDescent="0.25">
      <c r="A16" s="20">
        <v>11</v>
      </c>
      <c r="B16">
        <v>1</v>
      </c>
      <c r="C16" s="23" t="s">
        <v>144</v>
      </c>
      <c r="D16" s="23">
        <v>3</v>
      </c>
    </row>
    <row r="17" spans="1:4" ht="15" x14ac:dyDescent="0.25">
      <c r="A17" s="20">
        <v>12</v>
      </c>
      <c r="B17">
        <v>1</v>
      </c>
      <c r="C17" s="23" t="s">
        <v>145</v>
      </c>
      <c r="D17" s="23">
        <v>3</v>
      </c>
    </row>
    <row r="18" spans="1:4" ht="15" x14ac:dyDescent="0.25">
      <c r="A18" s="20">
        <v>13</v>
      </c>
      <c r="B18">
        <v>1</v>
      </c>
      <c r="C18" s="23" t="s">
        <v>146</v>
      </c>
      <c r="D18" s="23">
        <v>2</v>
      </c>
    </row>
    <row r="19" spans="1:4" ht="15" x14ac:dyDescent="0.25">
      <c r="A19" s="20">
        <v>14</v>
      </c>
      <c r="B19">
        <v>1</v>
      </c>
      <c r="C19" s="23" t="s">
        <v>147</v>
      </c>
      <c r="D19" s="23">
        <v>3</v>
      </c>
    </row>
    <row r="20" spans="1:4" ht="15" x14ac:dyDescent="0.25">
      <c r="A20" s="20">
        <v>15</v>
      </c>
      <c r="B20">
        <v>1</v>
      </c>
      <c r="C20" s="23" t="s">
        <v>148</v>
      </c>
      <c r="D20" s="23">
        <v>3</v>
      </c>
    </row>
    <row r="21" spans="1:4" ht="15" x14ac:dyDescent="0.25">
      <c r="A21" s="20">
        <v>16</v>
      </c>
      <c r="B21">
        <v>1</v>
      </c>
      <c r="C21" s="23" t="s">
        <v>149</v>
      </c>
      <c r="D21" s="23">
        <v>3</v>
      </c>
    </row>
    <row r="22" spans="1:4" ht="15" x14ac:dyDescent="0.25">
      <c r="A22" s="20">
        <v>22</v>
      </c>
      <c r="B22">
        <v>1</v>
      </c>
      <c r="C22" s="23" t="s">
        <v>150</v>
      </c>
      <c r="D22" s="23">
        <v>4</v>
      </c>
    </row>
    <row r="23" spans="1:4" ht="15" x14ac:dyDescent="0.25">
      <c r="A23" s="20">
        <v>23</v>
      </c>
      <c r="B23">
        <v>1</v>
      </c>
      <c r="C23" s="23" t="s">
        <v>151</v>
      </c>
      <c r="D23" s="23">
        <v>6</v>
      </c>
    </row>
    <row r="24" spans="1:4" ht="15" x14ac:dyDescent="0.25">
      <c r="A24" s="20">
        <v>25</v>
      </c>
      <c r="B24">
        <v>1</v>
      </c>
      <c r="C24" s="23" t="s">
        <v>152</v>
      </c>
      <c r="D24" s="23">
        <v>6</v>
      </c>
    </row>
    <row r="25" spans="1:4" ht="15" x14ac:dyDescent="0.25">
      <c r="A25" s="20">
        <v>31</v>
      </c>
      <c r="B25">
        <v>1</v>
      </c>
      <c r="C25" s="23" t="s">
        <v>153</v>
      </c>
      <c r="D25" s="23">
        <v>4</v>
      </c>
    </row>
    <row r="26" spans="1:4" ht="15" x14ac:dyDescent="0.25">
      <c r="A26" s="20">
        <v>32</v>
      </c>
      <c r="B26">
        <v>1</v>
      </c>
      <c r="C26" s="23" t="s">
        <v>154</v>
      </c>
      <c r="D26" s="23">
        <v>6</v>
      </c>
    </row>
    <row r="27" spans="1:4" ht="15" x14ac:dyDescent="0.25">
      <c r="A27" s="20">
        <v>36</v>
      </c>
      <c r="B27">
        <v>1</v>
      </c>
      <c r="C27" s="23" t="s">
        <v>155</v>
      </c>
      <c r="D27" s="23">
        <v>6</v>
      </c>
    </row>
    <row r="28" spans="1:4" ht="15" x14ac:dyDescent="0.25">
      <c r="A28" s="20">
        <v>38</v>
      </c>
      <c r="B28">
        <v>1</v>
      </c>
      <c r="C28" s="23" t="s">
        <v>156</v>
      </c>
      <c r="D28" s="23">
        <v>5</v>
      </c>
    </row>
    <row r="29" spans="1:4" ht="15" x14ac:dyDescent="0.25">
      <c r="A29" s="20">
        <v>47</v>
      </c>
      <c r="B29">
        <v>1</v>
      </c>
      <c r="C29" s="23" t="s">
        <v>157</v>
      </c>
      <c r="D29" s="23">
        <v>4</v>
      </c>
    </row>
    <row r="30" spans="1:4" ht="15" x14ac:dyDescent="0.25">
      <c r="A30" s="20">
        <v>51</v>
      </c>
      <c r="B30">
        <v>1</v>
      </c>
      <c r="C30" s="23" t="s">
        <v>158</v>
      </c>
      <c r="D30" s="23">
        <v>5</v>
      </c>
    </row>
    <row r="31" spans="1:4" ht="15" x14ac:dyDescent="0.25">
      <c r="A31" s="20">
        <v>75</v>
      </c>
      <c r="B31">
        <v>1</v>
      </c>
      <c r="C31" s="23" t="s">
        <v>159</v>
      </c>
      <c r="D31" s="23">
        <v>6</v>
      </c>
    </row>
    <row r="32" spans="1:4" ht="15" x14ac:dyDescent="0.25">
      <c r="A32" s="20">
        <v>77</v>
      </c>
      <c r="B32">
        <v>1</v>
      </c>
      <c r="C32" s="23" t="s">
        <v>160</v>
      </c>
      <c r="D32" s="23">
        <v>4</v>
      </c>
    </row>
    <row r="33" spans="1:4" ht="15" x14ac:dyDescent="0.25">
      <c r="A33" s="20">
        <v>81</v>
      </c>
      <c r="B33">
        <v>1</v>
      </c>
      <c r="C33" s="23" t="s">
        <v>161</v>
      </c>
      <c r="D33" s="23">
        <v>6</v>
      </c>
    </row>
    <row r="34" spans="1:4" ht="15" x14ac:dyDescent="0.25">
      <c r="A34" s="20">
        <v>84</v>
      </c>
      <c r="B34">
        <v>1</v>
      </c>
      <c r="C34" s="23" t="s">
        <v>162</v>
      </c>
      <c r="D34" s="23">
        <v>6</v>
      </c>
    </row>
    <row r="35" spans="1:4" ht="15" x14ac:dyDescent="0.25">
      <c r="A35" s="20">
        <v>85</v>
      </c>
      <c r="B35">
        <v>1</v>
      </c>
      <c r="C35" s="23" t="s">
        <v>163</v>
      </c>
      <c r="D35" s="23">
        <v>6</v>
      </c>
    </row>
    <row r="36" spans="1:4" ht="15" x14ac:dyDescent="0.25">
      <c r="A36" s="20">
        <v>88</v>
      </c>
      <c r="B36">
        <v>1</v>
      </c>
      <c r="C36" s="23" t="s">
        <v>164</v>
      </c>
      <c r="D36" s="23">
        <v>4</v>
      </c>
    </row>
    <row r="37" spans="1:4" ht="15" x14ac:dyDescent="0.25">
      <c r="A37" s="20">
        <v>91</v>
      </c>
      <c r="B37">
        <v>1</v>
      </c>
      <c r="C37" s="23" t="s">
        <v>165</v>
      </c>
      <c r="D37" s="23">
        <v>6</v>
      </c>
    </row>
    <row r="38" spans="1:4" ht="15" x14ac:dyDescent="0.25">
      <c r="A38" s="20">
        <v>93</v>
      </c>
      <c r="B38">
        <v>1</v>
      </c>
      <c r="C38" s="23" t="s">
        <v>166</v>
      </c>
      <c r="D38" s="23">
        <v>6</v>
      </c>
    </row>
    <row r="39" spans="1:4" ht="15" x14ac:dyDescent="0.25">
      <c r="A39" s="20">
        <v>94</v>
      </c>
      <c r="B39">
        <v>1</v>
      </c>
      <c r="C39" s="23" t="s">
        <v>167</v>
      </c>
      <c r="D39" s="23">
        <v>4</v>
      </c>
    </row>
    <row r="40" spans="1:4" ht="15" x14ac:dyDescent="0.25">
      <c r="A40" s="20">
        <v>95</v>
      </c>
      <c r="B40">
        <v>1</v>
      </c>
      <c r="C40" s="23" t="s">
        <v>168</v>
      </c>
      <c r="D40" s="23">
        <v>6</v>
      </c>
    </row>
    <row r="41" spans="1:4" ht="15" x14ac:dyDescent="0.25">
      <c r="A41" s="20">
        <v>97</v>
      </c>
      <c r="B41">
        <v>1</v>
      </c>
      <c r="C41" s="23" t="s">
        <v>169</v>
      </c>
      <c r="D41" s="23">
        <v>6</v>
      </c>
    </row>
    <row r="42" spans="1:4" ht="15" x14ac:dyDescent="0.25">
      <c r="A42" s="20">
        <v>99</v>
      </c>
      <c r="B42">
        <v>1</v>
      </c>
      <c r="C42" s="23" t="s">
        <v>170</v>
      </c>
      <c r="D42" s="23">
        <v>5</v>
      </c>
    </row>
    <row r="43" spans="1:4" ht="15" x14ac:dyDescent="0.25">
      <c r="A43" s="20">
        <v>100</v>
      </c>
      <c r="B43">
        <v>1</v>
      </c>
      <c r="C43" s="23" t="s">
        <v>171</v>
      </c>
      <c r="D43" s="23">
        <v>6</v>
      </c>
    </row>
    <row r="44" spans="1:4" ht="15" x14ac:dyDescent="0.25">
      <c r="A44" s="20">
        <v>108</v>
      </c>
      <c r="B44">
        <v>1</v>
      </c>
      <c r="C44" s="23" t="s">
        <v>172</v>
      </c>
      <c r="D44" s="23">
        <v>3</v>
      </c>
    </row>
    <row r="45" spans="1:4" ht="15" x14ac:dyDescent="0.25">
      <c r="A45" s="20">
        <v>110</v>
      </c>
      <c r="B45">
        <v>1</v>
      </c>
      <c r="C45" s="23" t="s">
        <v>173</v>
      </c>
      <c r="D45" s="23">
        <v>3</v>
      </c>
    </row>
    <row r="46" spans="1:4" ht="15" x14ac:dyDescent="0.25">
      <c r="A46" s="20">
        <v>111</v>
      </c>
      <c r="B46">
        <v>1</v>
      </c>
      <c r="C46" s="23" t="s">
        <v>174</v>
      </c>
      <c r="D46" s="23">
        <v>3</v>
      </c>
    </row>
    <row r="47" spans="1:4" ht="15" x14ac:dyDescent="0.25">
      <c r="A47" s="20">
        <v>112</v>
      </c>
      <c r="B47">
        <v>1</v>
      </c>
      <c r="C47" s="23" t="s">
        <v>175</v>
      </c>
      <c r="D47" s="23">
        <v>3</v>
      </c>
    </row>
    <row r="48" spans="1:4" ht="15" x14ac:dyDescent="0.25">
      <c r="A48" s="20">
        <v>113</v>
      </c>
      <c r="B48">
        <v>1</v>
      </c>
      <c r="C48" s="23" t="s">
        <v>176</v>
      </c>
      <c r="D48" s="23">
        <v>6</v>
      </c>
    </row>
    <row r="49" spans="1:4" ht="15" x14ac:dyDescent="0.25">
      <c r="A49" s="20">
        <v>115</v>
      </c>
      <c r="B49">
        <v>1</v>
      </c>
      <c r="C49" s="23" t="s">
        <v>177</v>
      </c>
      <c r="D49" s="23">
        <v>5</v>
      </c>
    </row>
    <row r="50" spans="1:4" ht="15" x14ac:dyDescent="0.25">
      <c r="A50" s="20">
        <v>116</v>
      </c>
      <c r="B50">
        <v>1</v>
      </c>
      <c r="C50" s="23" t="s">
        <v>178</v>
      </c>
      <c r="D50" s="23">
        <v>6</v>
      </c>
    </row>
    <row r="51" spans="1:4" ht="15" x14ac:dyDescent="0.25">
      <c r="A51" s="20">
        <v>118</v>
      </c>
      <c r="B51">
        <v>1</v>
      </c>
      <c r="C51" s="23" t="s">
        <v>179</v>
      </c>
      <c r="D51" s="23">
        <v>6</v>
      </c>
    </row>
    <row r="52" spans="1:4" ht="15" x14ac:dyDescent="0.25">
      <c r="A52" s="20">
        <v>129</v>
      </c>
      <c r="B52">
        <v>1</v>
      </c>
      <c r="C52" s="23" t="s">
        <v>180</v>
      </c>
      <c r="D52" s="23">
        <v>5</v>
      </c>
    </row>
    <row r="53" spans="1:4" ht="15" x14ac:dyDescent="0.25">
      <c r="A53" s="20">
        <v>138</v>
      </c>
      <c r="B53">
        <v>1</v>
      </c>
      <c r="C53" s="23" t="s">
        <v>181</v>
      </c>
      <c r="D53" s="23">
        <v>4</v>
      </c>
    </row>
    <row r="54" spans="1:4" ht="15" x14ac:dyDescent="0.25">
      <c r="A54" s="20">
        <v>139</v>
      </c>
      <c r="B54">
        <v>1</v>
      </c>
      <c r="C54" s="23" t="s">
        <v>182</v>
      </c>
      <c r="D54" s="23">
        <v>6</v>
      </c>
    </row>
    <row r="55" spans="1:4" ht="15" x14ac:dyDescent="0.25">
      <c r="A55" s="20">
        <v>146</v>
      </c>
      <c r="B55">
        <v>1</v>
      </c>
      <c r="C55" s="23" t="s">
        <v>183</v>
      </c>
      <c r="D55" s="23">
        <v>6</v>
      </c>
    </row>
    <row r="56" spans="1:4" ht="15" x14ac:dyDescent="0.25">
      <c r="A56" s="20">
        <v>150</v>
      </c>
      <c r="B56">
        <v>1</v>
      </c>
      <c r="C56" s="23" t="s">
        <v>184</v>
      </c>
      <c r="D56" s="23">
        <v>6</v>
      </c>
    </row>
    <row r="57" spans="1:4" ht="15" x14ac:dyDescent="0.25">
      <c r="A57" s="20">
        <v>152</v>
      </c>
      <c r="B57">
        <v>1</v>
      </c>
      <c r="C57" s="23" t="s">
        <v>185</v>
      </c>
      <c r="D57" s="23">
        <v>4</v>
      </c>
    </row>
    <row r="58" spans="1:4" ht="15" x14ac:dyDescent="0.25">
      <c r="A58" s="20">
        <v>160</v>
      </c>
      <c r="B58">
        <v>70</v>
      </c>
      <c r="C58" s="23" t="s">
        <v>4</v>
      </c>
      <c r="D58" s="23">
        <v>24</v>
      </c>
    </row>
    <row r="59" spans="1:4" ht="15" x14ac:dyDescent="0.25">
      <c r="A59" s="20">
        <v>160</v>
      </c>
      <c r="B59">
        <v>90</v>
      </c>
      <c r="C59" s="23" t="s">
        <v>466</v>
      </c>
      <c r="D59" s="23">
        <v>24</v>
      </c>
    </row>
    <row r="60" spans="1:4" ht="15" x14ac:dyDescent="0.25">
      <c r="A60" s="20">
        <v>162</v>
      </c>
      <c r="B60">
        <v>1</v>
      </c>
      <c r="C60" s="23" t="s">
        <v>186</v>
      </c>
      <c r="D60" s="23">
        <v>6</v>
      </c>
    </row>
    <row r="61" spans="1:4" ht="15" x14ac:dyDescent="0.25">
      <c r="A61" s="20">
        <v>166</v>
      </c>
      <c r="B61">
        <v>1</v>
      </c>
      <c r="C61" s="23" t="s">
        <v>187</v>
      </c>
      <c r="D61" s="23">
        <v>6</v>
      </c>
    </row>
    <row r="62" spans="1:4" ht="15" x14ac:dyDescent="0.25">
      <c r="A62" s="20">
        <v>173</v>
      </c>
      <c r="B62">
        <v>1</v>
      </c>
      <c r="C62" s="23" t="s">
        <v>188</v>
      </c>
      <c r="D62" s="23">
        <v>6</v>
      </c>
    </row>
    <row r="63" spans="1:4" ht="15" x14ac:dyDescent="0.25">
      <c r="A63" s="20">
        <v>177</v>
      </c>
      <c r="B63">
        <v>1</v>
      </c>
      <c r="C63" s="23" t="s">
        <v>189</v>
      </c>
      <c r="D63" s="23">
        <v>6</v>
      </c>
    </row>
    <row r="64" spans="1:4" ht="15" x14ac:dyDescent="0.25">
      <c r="A64" s="20">
        <v>181</v>
      </c>
      <c r="B64">
        <v>1</v>
      </c>
      <c r="C64" s="23" t="s">
        <v>190</v>
      </c>
      <c r="D64" s="23">
        <v>4</v>
      </c>
    </row>
    <row r="65" spans="1:4" ht="15" x14ac:dyDescent="0.25">
      <c r="A65" s="20">
        <v>182</v>
      </c>
      <c r="B65">
        <v>1</v>
      </c>
      <c r="C65" s="23" t="s">
        <v>191</v>
      </c>
      <c r="D65" s="23">
        <v>5</v>
      </c>
    </row>
    <row r="66" spans="1:4" ht="15" x14ac:dyDescent="0.25">
      <c r="A66" s="20">
        <v>186</v>
      </c>
      <c r="B66">
        <v>1</v>
      </c>
      <c r="C66" s="23" t="s">
        <v>192</v>
      </c>
      <c r="D66" s="23">
        <v>5</v>
      </c>
    </row>
    <row r="67" spans="1:4" ht="15" x14ac:dyDescent="0.25">
      <c r="A67" s="20">
        <v>191</v>
      </c>
      <c r="B67">
        <v>1</v>
      </c>
      <c r="C67" s="23" t="s">
        <v>193</v>
      </c>
      <c r="D67" s="23">
        <v>3</v>
      </c>
    </row>
    <row r="68" spans="1:4" ht="15" x14ac:dyDescent="0.25">
      <c r="A68" s="20">
        <v>192</v>
      </c>
      <c r="B68">
        <v>1</v>
      </c>
      <c r="C68" s="23" t="s">
        <v>194</v>
      </c>
      <c r="D68" s="23">
        <v>3</v>
      </c>
    </row>
    <row r="69" spans="1:4" ht="15" x14ac:dyDescent="0.25">
      <c r="A69" s="20">
        <v>194</v>
      </c>
      <c r="B69">
        <v>1</v>
      </c>
      <c r="C69" s="23" t="s">
        <v>195</v>
      </c>
      <c r="D69" s="23">
        <v>3</v>
      </c>
    </row>
    <row r="70" spans="1:4" ht="15" x14ac:dyDescent="0.25">
      <c r="A70" s="20">
        <v>195</v>
      </c>
      <c r="B70">
        <v>1</v>
      </c>
      <c r="C70" s="23" t="s">
        <v>196</v>
      </c>
      <c r="D70" s="23">
        <v>3</v>
      </c>
    </row>
    <row r="71" spans="1:4" ht="15" x14ac:dyDescent="0.25">
      <c r="A71" s="20">
        <v>196</v>
      </c>
      <c r="B71">
        <v>1</v>
      </c>
      <c r="C71" s="23" t="s">
        <v>197</v>
      </c>
      <c r="D71" s="23">
        <v>3</v>
      </c>
    </row>
    <row r="72" spans="1:4" ht="15" x14ac:dyDescent="0.25">
      <c r="A72" s="20">
        <v>197</v>
      </c>
      <c r="B72">
        <v>1</v>
      </c>
      <c r="C72" s="23" t="s">
        <v>198</v>
      </c>
      <c r="D72" s="23">
        <v>2</v>
      </c>
    </row>
    <row r="73" spans="1:4" ht="15" x14ac:dyDescent="0.25">
      <c r="A73" s="20">
        <v>199</v>
      </c>
      <c r="B73">
        <v>1</v>
      </c>
      <c r="C73" s="23" t="s">
        <v>199</v>
      </c>
      <c r="D73" s="23">
        <v>3</v>
      </c>
    </row>
    <row r="74" spans="1:4" ht="15" x14ac:dyDescent="0.25">
      <c r="A74" s="20">
        <v>200</v>
      </c>
      <c r="B74">
        <v>1</v>
      </c>
      <c r="C74" s="23" t="s">
        <v>200</v>
      </c>
      <c r="D74" s="23">
        <v>3</v>
      </c>
    </row>
    <row r="75" spans="1:4" ht="15" x14ac:dyDescent="0.25">
      <c r="A75" s="20">
        <v>203</v>
      </c>
      <c r="B75">
        <v>1</v>
      </c>
      <c r="C75" s="23" t="s">
        <v>201</v>
      </c>
      <c r="D75" s="23">
        <v>6</v>
      </c>
    </row>
    <row r="76" spans="1:4" ht="15" x14ac:dyDescent="0.25">
      <c r="A76" s="20">
        <v>204</v>
      </c>
      <c r="B76">
        <v>1</v>
      </c>
      <c r="C76" s="23" t="s">
        <v>202</v>
      </c>
      <c r="D76" s="23">
        <v>4</v>
      </c>
    </row>
    <row r="77" spans="1:4" ht="15" x14ac:dyDescent="0.25">
      <c r="A77" s="20">
        <v>206</v>
      </c>
      <c r="B77">
        <v>1</v>
      </c>
      <c r="C77" s="23" t="s">
        <v>203</v>
      </c>
      <c r="D77" s="23">
        <v>4</v>
      </c>
    </row>
    <row r="78" spans="1:4" ht="15" x14ac:dyDescent="0.25">
      <c r="A78" s="20">
        <v>213</v>
      </c>
      <c r="B78">
        <v>1</v>
      </c>
      <c r="C78" s="23" t="s">
        <v>204</v>
      </c>
      <c r="D78" s="23">
        <v>6</v>
      </c>
    </row>
    <row r="79" spans="1:4" ht="15" x14ac:dyDescent="0.25">
      <c r="A79" s="20">
        <v>227</v>
      </c>
      <c r="B79">
        <v>1</v>
      </c>
      <c r="C79" s="23" t="s">
        <v>205</v>
      </c>
      <c r="D79" s="23">
        <v>6</v>
      </c>
    </row>
    <row r="80" spans="1:4" ht="15" x14ac:dyDescent="0.25">
      <c r="A80" s="20">
        <v>229</v>
      </c>
      <c r="B80">
        <v>1</v>
      </c>
      <c r="C80" s="23" t="s">
        <v>206</v>
      </c>
      <c r="D80" s="23">
        <v>6</v>
      </c>
    </row>
    <row r="81" spans="1:4" ht="15" x14ac:dyDescent="0.25">
      <c r="A81" s="20">
        <v>238</v>
      </c>
      <c r="B81">
        <v>1</v>
      </c>
      <c r="C81" s="23" t="s">
        <v>207</v>
      </c>
      <c r="D81" s="23">
        <v>6</v>
      </c>
    </row>
    <row r="82" spans="1:4" ht="15" x14ac:dyDescent="0.25">
      <c r="A82" s="20">
        <v>239</v>
      </c>
      <c r="B82">
        <v>1</v>
      </c>
      <c r="C82" s="23" t="s">
        <v>208</v>
      </c>
      <c r="D82" s="23">
        <v>6</v>
      </c>
    </row>
    <row r="83" spans="1:4" ht="15" x14ac:dyDescent="0.25">
      <c r="A83" s="20">
        <v>241</v>
      </c>
      <c r="B83">
        <v>1</v>
      </c>
      <c r="C83" s="23" t="s">
        <v>209</v>
      </c>
      <c r="D83" s="23">
        <v>4</v>
      </c>
    </row>
    <row r="84" spans="1:4" ht="15" x14ac:dyDescent="0.25">
      <c r="A84" s="20">
        <v>242</v>
      </c>
      <c r="B84">
        <v>1</v>
      </c>
      <c r="C84" s="23" t="s">
        <v>210</v>
      </c>
      <c r="D84" s="23">
        <v>6</v>
      </c>
    </row>
    <row r="85" spans="1:4" ht="15" x14ac:dyDescent="0.25">
      <c r="A85" s="20">
        <v>252</v>
      </c>
      <c r="B85">
        <v>1</v>
      </c>
      <c r="C85" s="23" t="s">
        <v>211</v>
      </c>
      <c r="D85" s="23">
        <v>5</v>
      </c>
    </row>
    <row r="86" spans="1:4" ht="15" x14ac:dyDescent="0.25">
      <c r="A86" s="20">
        <v>253</v>
      </c>
      <c r="B86">
        <v>1</v>
      </c>
      <c r="C86" s="23" t="s">
        <v>212</v>
      </c>
      <c r="D86" s="23">
        <v>6</v>
      </c>
    </row>
    <row r="87" spans="1:4" ht="15" x14ac:dyDescent="0.25">
      <c r="A87" s="20">
        <v>255</v>
      </c>
      <c r="B87">
        <v>1</v>
      </c>
      <c r="C87" s="23" t="s">
        <v>213</v>
      </c>
      <c r="D87" s="23">
        <v>5</v>
      </c>
    </row>
    <row r="88" spans="1:4" ht="15" x14ac:dyDescent="0.25">
      <c r="A88" s="20">
        <v>256</v>
      </c>
      <c r="B88">
        <v>1</v>
      </c>
      <c r="C88" s="23" t="s">
        <v>214</v>
      </c>
      <c r="D88" s="23">
        <v>4</v>
      </c>
    </row>
    <row r="89" spans="1:4" ht="15" x14ac:dyDescent="0.25">
      <c r="A89" s="20">
        <v>261</v>
      </c>
      <c r="B89">
        <v>1</v>
      </c>
      <c r="C89" s="23" t="s">
        <v>215</v>
      </c>
      <c r="D89" s="23">
        <v>6</v>
      </c>
    </row>
    <row r="90" spans="1:4" ht="15" x14ac:dyDescent="0.25">
      <c r="A90" s="20">
        <v>264</v>
      </c>
      <c r="B90">
        <v>1</v>
      </c>
      <c r="C90" s="23" t="s">
        <v>216</v>
      </c>
      <c r="D90" s="23">
        <v>6</v>
      </c>
    </row>
    <row r="91" spans="1:4" ht="15" x14ac:dyDescent="0.25">
      <c r="A91" s="20">
        <v>270</v>
      </c>
      <c r="B91">
        <v>1</v>
      </c>
      <c r="C91" s="23" t="s">
        <v>217</v>
      </c>
      <c r="D91" s="23">
        <v>2</v>
      </c>
    </row>
    <row r="92" spans="1:4" ht="15" x14ac:dyDescent="0.25">
      <c r="A92" s="20">
        <v>271</v>
      </c>
      <c r="B92">
        <v>1</v>
      </c>
      <c r="C92" s="23" t="s">
        <v>218</v>
      </c>
      <c r="D92" s="23">
        <v>3</v>
      </c>
    </row>
    <row r="93" spans="1:4" ht="15" x14ac:dyDescent="0.25">
      <c r="A93" s="20">
        <v>272</v>
      </c>
      <c r="B93">
        <v>1</v>
      </c>
      <c r="C93" s="23" t="s">
        <v>219</v>
      </c>
      <c r="D93" s="23">
        <v>3</v>
      </c>
    </row>
    <row r="94" spans="1:4" ht="15" x14ac:dyDescent="0.25">
      <c r="A94" s="20">
        <v>273</v>
      </c>
      <c r="B94">
        <v>1</v>
      </c>
      <c r="C94" s="23" t="s">
        <v>220</v>
      </c>
      <c r="D94" s="23">
        <v>2</v>
      </c>
    </row>
    <row r="95" spans="1:4" ht="15" x14ac:dyDescent="0.25">
      <c r="A95" s="20">
        <v>276</v>
      </c>
      <c r="B95">
        <v>1</v>
      </c>
      <c r="C95" s="23" t="s">
        <v>221</v>
      </c>
      <c r="D95" s="23">
        <v>3</v>
      </c>
    </row>
    <row r="96" spans="1:4" ht="15" x14ac:dyDescent="0.25">
      <c r="A96" s="20">
        <v>277</v>
      </c>
      <c r="B96">
        <v>1</v>
      </c>
      <c r="C96" s="23" t="s">
        <v>222</v>
      </c>
      <c r="D96" s="23">
        <v>3</v>
      </c>
    </row>
    <row r="97" spans="1:4" ht="15" x14ac:dyDescent="0.25">
      <c r="A97" s="20">
        <v>278</v>
      </c>
      <c r="B97">
        <v>1</v>
      </c>
      <c r="C97" s="23" t="s">
        <v>223</v>
      </c>
      <c r="D97" s="23">
        <v>3</v>
      </c>
    </row>
    <row r="98" spans="1:4" ht="15" x14ac:dyDescent="0.25">
      <c r="A98" s="20">
        <v>279</v>
      </c>
      <c r="B98">
        <v>1</v>
      </c>
      <c r="C98" s="23" t="s">
        <v>224</v>
      </c>
      <c r="D98" s="23">
        <v>3</v>
      </c>
    </row>
    <row r="99" spans="1:4" ht="15" x14ac:dyDescent="0.25">
      <c r="A99" s="20">
        <v>280</v>
      </c>
      <c r="B99">
        <v>1</v>
      </c>
      <c r="C99" s="23" t="s">
        <v>225</v>
      </c>
      <c r="D99" s="23">
        <v>2</v>
      </c>
    </row>
    <row r="100" spans="1:4" ht="15" x14ac:dyDescent="0.25">
      <c r="A100" s="20">
        <v>281</v>
      </c>
      <c r="B100">
        <v>1</v>
      </c>
      <c r="C100" s="23" t="s">
        <v>226</v>
      </c>
      <c r="D100" s="23">
        <v>2</v>
      </c>
    </row>
    <row r="101" spans="1:4" ht="15" x14ac:dyDescent="0.25">
      <c r="A101" s="20">
        <v>282</v>
      </c>
      <c r="B101">
        <v>1</v>
      </c>
      <c r="C101" s="23" t="s">
        <v>227</v>
      </c>
      <c r="D101" s="23">
        <v>2</v>
      </c>
    </row>
    <row r="102" spans="1:4" ht="15" x14ac:dyDescent="0.25">
      <c r="A102" s="20">
        <v>283</v>
      </c>
      <c r="B102">
        <v>1</v>
      </c>
      <c r="C102" s="23" t="s">
        <v>228</v>
      </c>
      <c r="D102" s="23">
        <v>2</v>
      </c>
    </row>
    <row r="103" spans="1:4" ht="15" x14ac:dyDescent="0.25">
      <c r="A103" s="20">
        <v>284</v>
      </c>
      <c r="B103">
        <v>1</v>
      </c>
      <c r="C103" s="23" t="s">
        <v>229</v>
      </c>
      <c r="D103" s="23">
        <v>3</v>
      </c>
    </row>
    <row r="104" spans="1:4" ht="15" x14ac:dyDescent="0.25">
      <c r="A104" s="20">
        <v>286</v>
      </c>
      <c r="B104">
        <v>1</v>
      </c>
      <c r="C104" s="23" t="s">
        <v>230</v>
      </c>
      <c r="D104" s="23">
        <v>2</v>
      </c>
    </row>
    <row r="105" spans="1:4" ht="15" x14ac:dyDescent="0.25">
      <c r="A105" s="20">
        <v>294</v>
      </c>
      <c r="B105">
        <v>1</v>
      </c>
      <c r="C105" s="23" t="s">
        <v>231</v>
      </c>
      <c r="D105" s="23">
        <v>5</v>
      </c>
    </row>
    <row r="106" spans="1:4" ht="15" x14ac:dyDescent="0.25">
      <c r="A106" s="20">
        <v>297</v>
      </c>
      <c r="B106">
        <v>1</v>
      </c>
      <c r="C106" s="23" t="s">
        <v>232</v>
      </c>
      <c r="D106" s="23">
        <v>6</v>
      </c>
    </row>
    <row r="107" spans="1:4" ht="15" x14ac:dyDescent="0.25">
      <c r="A107" s="20">
        <v>299</v>
      </c>
      <c r="B107">
        <v>1</v>
      </c>
      <c r="C107" s="23" t="s">
        <v>233</v>
      </c>
      <c r="D107" s="23">
        <v>6</v>
      </c>
    </row>
    <row r="108" spans="1:4" ht="15" x14ac:dyDescent="0.25">
      <c r="A108" s="20">
        <v>300</v>
      </c>
      <c r="B108">
        <v>1</v>
      </c>
      <c r="C108" s="23" t="s">
        <v>234</v>
      </c>
      <c r="D108" s="23">
        <v>5</v>
      </c>
    </row>
    <row r="109" spans="1:4" ht="15" x14ac:dyDescent="0.25">
      <c r="A109" s="20">
        <v>306</v>
      </c>
      <c r="B109">
        <v>1</v>
      </c>
      <c r="C109" s="23" t="s">
        <v>235</v>
      </c>
      <c r="D109" s="23">
        <v>6</v>
      </c>
    </row>
    <row r="110" spans="1:4" ht="15" x14ac:dyDescent="0.25">
      <c r="A110" s="20">
        <v>308</v>
      </c>
      <c r="B110">
        <v>1</v>
      </c>
      <c r="C110" s="23" t="s">
        <v>236</v>
      </c>
      <c r="D110" s="23">
        <v>6</v>
      </c>
    </row>
    <row r="111" spans="1:4" ht="15" x14ac:dyDescent="0.25">
      <c r="A111" s="20">
        <v>309</v>
      </c>
      <c r="B111">
        <v>1</v>
      </c>
      <c r="C111" s="23" t="s">
        <v>237</v>
      </c>
      <c r="D111" s="23">
        <v>5</v>
      </c>
    </row>
    <row r="112" spans="1:4" ht="15" x14ac:dyDescent="0.25">
      <c r="A112" s="20">
        <v>314</v>
      </c>
      <c r="B112">
        <v>1</v>
      </c>
      <c r="C112" s="23" t="s">
        <v>238</v>
      </c>
      <c r="D112" s="23">
        <v>6</v>
      </c>
    </row>
    <row r="113" spans="1:4" ht="15" x14ac:dyDescent="0.25">
      <c r="A113" s="20">
        <v>316</v>
      </c>
      <c r="B113">
        <v>1</v>
      </c>
      <c r="C113" s="23" t="s">
        <v>239</v>
      </c>
      <c r="D113" s="23">
        <v>5</v>
      </c>
    </row>
    <row r="114" spans="1:4" ht="15" x14ac:dyDescent="0.25">
      <c r="A114" s="20">
        <v>317</v>
      </c>
      <c r="B114">
        <v>1</v>
      </c>
      <c r="C114" s="23" t="s">
        <v>240</v>
      </c>
      <c r="D114" s="23">
        <v>6</v>
      </c>
    </row>
    <row r="115" spans="1:4" ht="15" x14ac:dyDescent="0.25">
      <c r="A115" s="20">
        <v>318</v>
      </c>
      <c r="B115">
        <v>1</v>
      </c>
      <c r="C115" s="23" t="s">
        <v>241</v>
      </c>
      <c r="D115" s="23">
        <v>4</v>
      </c>
    </row>
    <row r="116" spans="1:4" ht="15" x14ac:dyDescent="0.25">
      <c r="A116" s="20">
        <v>319</v>
      </c>
      <c r="B116">
        <v>1</v>
      </c>
      <c r="C116" s="23" t="s">
        <v>242</v>
      </c>
      <c r="D116" s="23">
        <v>6</v>
      </c>
    </row>
    <row r="117" spans="1:4" ht="15" x14ac:dyDescent="0.25">
      <c r="A117" s="20">
        <v>323</v>
      </c>
      <c r="B117">
        <v>2</v>
      </c>
      <c r="C117" s="23" t="s">
        <v>243</v>
      </c>
      <c r="D117" s="23">
        <v>6</v>
      </c>
    </row>
    <row r="118" spans="1:4" ht="15" x14ac:dyDescent="0.25">
      <c r="A118" s="20">
        <v>330</v>
      </c>
      <c r="B118">
        <v>1</v>
      </c>
      <c r="C118" s="23" t="s">
        <v>244</v>
      </c>
      <c r="D118" s="23">
        <v>6</v>
      </c>
    </row>
    <row r="119" spans="1:4" ht="15" x14ac:dyDescent="0.25">
      <c r="A119" s="20">
        <v>332</v>
      </c>
      <c r="B119">
        <v>1</v>
      </c>
      <c r="C119" s="23" t="s">
        <v>245</v>
      </c>
      <c r="D119" s="23">
        <v>5</v>
      </c>
    </row>
    <row r="120" spans="1:4" ht="15" x14ac:dyDescent="0.25">
      <c r="A120" s="20">
        <v>333</v>
      </c>
      <c r="B120">
        <v>1</v>
      </c>
      <c r="C120" s="23" t="s">
        <v>246</v>
      </c>
      <c r="D120" s="23">
        <v>6</v>
      </c>
    </row>
    <row r="121" spans="1:4" ht="15" x14ac:dyDescent="0.25">
      <c r="A121" s="20">
        <v>345</v>
      </c>
      <c r="B121">
        <v>1</v>
      </c>
      <c r="C121" s="23" t="s">
        <v>247</v>
      </c>
      <c r="D121" s="23">
        <v>5</v>
      </c>
    </row>
    <row r="122" spans="1:4" ht="15" x14ac:dyDescent="0.25">
      <c r="A122" s="20">
        <v>347</v>
      </c>
      <c r="B122">
        <v>1</v>
      </c>
      <c r="C122" s="23" t="s">
        <v>248</v>
      </c>
      <c r="D122" s="23">
        <v>4</v>
      </c>
    </row>
    <row r="123" spans="1:4" ht="15" x14ac:dyDescent="0.25">
      <c r="A123" s="20">
        <v>356</v>
      </c>
      <c r="B123">
        <v>1</v>
      </c>
      <c r="C123" s="23" t="s">
        <v>249</v>
      </c>
      <c r="D123" s="23">
        <v>6</v>
      </c>
    </row>
    <row r="124" spans="1:4" ht="15" x14ac:dyDescent="0.25">
      <c r="A124" s="20">
        <v>361</v>
      </c>
      <c r="B124">
        <v>1</v>
      </c>
      <c r="C124" s="23" t="s">
        <v>250</v>
      </c>
      <c r="D124" s="23">
        <v>5</v>
      </c>
    </row>
    <row r="125" spans="1:4" ht="15" x14ac:dyDescent="0.25">
      <c r="A125" s="20">
        <v>362</v>
      </c>
      <c r="B125">
        <v>1</v>
      </c>
      <c r="C125" s="23" t="s">
        <v>251</v>
      </c>
      <c r="D125" s="23">
        <v>6</v>
      </c>
    </row>
    <row r="126" spans="1:4" ht="15" x14ac:dyDescent="0.25">
      <c r="A126" s="20">
        <v>363</v>
      </c>
      <c r="B126">
        <v>1</v>
      </c>
      <c r="C126" s="23" t="s">
        <v>252</v>
      </c>
      <c r="D126" s="23">
        <v>6</v>
      </c>
    </row>
    <row r="127" spans="1:4" ht="15" x14ac:dyDescent="0.25">
      <c r="A127" s="20">
        <v>378</v>
      </c>
      <c r="B127">
        <v>1</v>
      </c>
      <c r="C127" s="23" t="s">
        <v>253</v>
      </c>
      <c r="D127" s="23">
        <v>6</v>
      </c>
    </row>
    <row r="128" spans="1:4" ht="15" x14ac:dyDescent="0.25">
      <c r="A128" s="20">
        <v>381</v>
      </c>
      <c r="B128">
        <v>1</v>
      </c>
      <c r="C128" s="23" t="s">
        <v>254</v>
      </c>
      <c r="D128" s="23">
        <v>5</v>
      </c>
    </row>
    <row r="129" spans="1:4" ht="15" x14ac:dyDescent="0.25">
      <c r="A129" s="20">
        <v>390</v>
      </c>
      <c r="B129">
        <v>1</v>
      </c>
      <c r="C129" s="23" t="s">
        <v>255</v>
      </c>
      <c r="D129" s="23">
        <v>6</v>
      </c>
    </row>
    <row r="130" spans="1:4" ht="15" x14ac:dyDescent="0.25">
      <c r="A130" s="20">
        <v>391</v>
      </c>
      <c r="B130">
        <v>1</v>
      </c>
      <c r="C130" s="23" t="s">
        <v>256</v>
      </c>
      <c r="D130" s="23">
        <v>6</v>
      </c>
    </row>
    <row r="131" spans="1:4" ht="15" x14ac:dyDescent="0.25">
      <c r="A131" s="20">
        <v>402</v>
      </c>
      <c r="B131">
        <v>1</v>
      </c>
      <c r="C131" s="23" t="s">
        <v>257</v>
      </c>
      <c r="D131" s="23">
        <v>6</v>
      </c>
    </row>
    <row r="132" spans="1:4" ht="15" x14ac:dyDescent="0.25">
      <c r="A132" s="20">
        <v>403</v>
      </c>
      <c r="B132">
        <v>1</v>
      </c>
      <c r="C132" s="23" t="s">
        <v>258</v>
      </c>
      <c r="D132" s="23">
        <v>6</v>
      </c>
    </row>
    <row r="133" spans="1:4" ht="15" x14ac:dyDescent="0.25">
      <c r="A133" s="20">
        <v>404</v>
      </c>
      <c r="B133">
        <v>1</v>
      </c>
      <c r="C133" s="23" t="s">
        <v>259</v>
      </c>
      <c r="D133" s="23">
        <v>6</v>
      </c>
    </row>
    <row r="134" spans="1:4" ht="15" x14ac:dyDescent="0.25">
      <c r="A134" s="20">
        <v>413</v>
      </c>
      <c r="B134">
        <v>1</v>
      </c>
      <c r="C134" s="23" t="s">
        <v>260</v>
      </c>
      <c r="D134" s="23">
        <v>4</v>
      </c>
    </row>
    <row r="135" spans="1:4" ht="15" x14ac:dyDescent="0.25">
      <c r="A135" s="20">
        <v>414</v>
      </c>
      <c r="B135">
        <v>1</v>
      </c>
      <c r="C135" s="23" t="s">
        <v>261</v>
      </c>
      <c r="D135" s="23">
        <v>6</v>
      </c>
    </row>
    <row r="136" spans="1:4" ht="15" x14ac:dyDescent="0.25">
      <c r="A136" s="20">
        <v>415</v>
      </c>
      <c r="B136">
        <v>1</v>
      </c>
      <c r="C136" s="23" t="s">
        <v>262</v>
      </c>
      <c r="D136" s="23">
        <v>6</v>
      </c>
    </row>
    <row r="137" spans="1:4" ht="15" x14ac:dyDescent="0.25">
      <c r="A137" s="20">
        <v>423</v>
      </c>
      <c r="B137">
        <v>1</v>
      </c>
      <c r="C137" s="23" t="s">
        <v>263</v>
      </c>
      <c r="D137" s="23">
        <v>4</v>
      </c>
    </row>
    <row r="138" spans="1:4" ht="15" x14ac:dyDescent="0.25">
      <c r="A138" s="20">
        <v>424</v>
      </c>
      <c r="B138">
        <v>1</v>
      </c>
      <c r="C138" s="23" t="s">
        <v>264</v>
      </c>
      <c r="D138" s="23">
        <v>6</v>
      </c>
    </row>
    <row r="139" spans="1:4" ht="15" x14ac:dyDescent="0.25">
      <c r="A139" s="20">
        <v>432</v>
      </c>
      <c r="B139">
        <v>1</v>
      </c>
      <c r="C139" s="23" t="s">
        <v>265</v>
      </c>
      <c r="D139" s="23">
        <v>6</v>
      </c>
    </row>
    <row r="140" spans="1:4" ht="15" x14ac:dyDescent="0.25">
      <c r="A140" s="20">
        <v>435</v>
      </c>
      <c r="B140">
        <v>1</v>
      </c>
      <c r="C140" s="23" t="s">
        <v>266</v>
      </c>
      <c r="D140" s="23">
        <v>6</v>
      </c>
    </row>
    <row r="141" spans="1:4" ht="15" x14ac:dyDescent="0.25">
      <c r="A141" s="20">
        <v>441</v>
      </c>
      <c r="B141">
        <v>1</v>
      </c>
      <c r="C141" s="23" t="s">
        <v>267</v>
      </c>
      <c r="D141" s="23">
        <v>6</v>
      </c>
    </row>
    <row r="142" spans="1:4" ht="15" x14ac:dyDescent="0.25">
      <c r="A142" s="20">
        <v>447</v>
      </c>
      <c r="B142">
        <v>1</v>
      </c>
      <c r="C142" s="23" t="s">
        <v>268</v>
      </c>
      <c r="D142" s="23">
        <v>6</v>
      </c>
    </row>
    <row r="143" spans="1:4" ht="15" x14ac:dyDescent="0.25">
      <c r="A143" s="20">
        <v>458</v>
      </c>
      <c r="B143">
        <v>1</v>
      </c>
      <c r="C143" s="23" t="s">
        <v>269</v>
      </c>
      <c r="D143" s="23">
        <v>6</v>
      </c>
    </row>
    <row r="144" spans="1:4" ht="15" x14ac:dyDescent="0.25">
      <c r="A144" s="20">
        <v>463</v>
      </c>
      <c r="B144">
        <v>1</v>
      </c>
      <c r="C144" s="23" t="s">
        <v>270</v>
      </c>
      <c r="D144" s="23">
        <v>6</v>
      </c>
    </row>
    <row r="145" spans="1:4" ht="15" x14ac:dyDescent="0.25">
      <c r="A145" s="20">
        <v>465</v>
      </c>
      <c r="B145">
        <v>1</v>
      </c>
      <c r="C145" s="23" t="s">
        <v>271</v>
      </c>
      <c r="D145" s="23">
        <v>5</v>
      </c>
    </row>
    <row r="146" spans="1:4" ht="15" x14ac:dyDescent="0.25">
      <c r="A146" s="20">
        <v>466</v>
      </c>
      <c r="B146">
        <v>1</v>
      </c>
      <c r="C146" s="23" t="s">
        <v>272</v>
      </c>
      <c r="D146" s="23">
        <v>4</v>
      </c>
    </row>
    <row r="147" spans="1:4" ht="15" x14ac:dyDescent="0.25">
      <c r="A147" s="20">
        <v>473</v>
      </c>
      <c r="B147">
        <v>1</v>
      </c>
      <c r="C147" s="23" t="s">
        <v>273</v>
      </c>
      <c r="D147" s="23">
        <v>6</v>
      </c>
    </row>
    <row r="148" spans="1:4" ht="15" x14ac:dyDescent="0.25">
      <c r="A148" s="20">
        <v>477</v>
      </c>
      <c r="B148">
        <v>1</v>
      </c>
      <c r="C148" s="23" t="s">
        <v>274</v>
      </c>
      <c r="D148" s="23">
        <v>4</v>
      </c>
    </row>
    <row r="149" spans="1:4" ht="15" x14ac:dyDescent="0.25">
      <c r="A149" s="20">
        <v>480</v>
      </c>
      <c r="B149">
        <v>1</v>
      </c>
      <c r="C149" s="23" t="s">
        <v>275</v>
      </c>
      <c r="D149" s="23">
        <v>6</v>
      </c>
    </row>
    <row r="150" spans="1:4" ht="15" x14ac:dyDescent="0.25">
      <c r="A150" s="20">
        <v>482</v>
      </c>
      <c r="B150">
        <v>1</v>
      </c>
      <c r="C150" s="23" t="s">
        <v>276</v>
      </c>
      <c r="D150" s="23">
        <v>4</v>
      </c>
    </row>
    <row r="151" spans="1:4" ht="15" x14ac:dyDescent="0.25">
      <c r="A151" s="20">
        <v>484</v>
      </c>
      <c r="B151">
        <v>1</v>
      </c>
      <c r="C151" s="23" t="s">
        <v>277</v>
      </c>
      <c r="D151" s="23">
        <v>5</v>
      </c>
    </row>
    <row r="152" spans="1:4" ht="15" x14ac:dyDescent="0.25">
      <c r="A152" s="20">
        <v>485</v>
      </c>
      <c r="B152">
        <v>1</v>
      </c>
      <c r="C152" s="23" t="s">
        <v>278</v>
      </c>
      <c r="D152" s="23">
        <v>6</v>
      </c>
    </row>
    <row r="153" spans="1:4" ht="15" x14ac:dyDescent="0.25">
      <c r="A153" s="20">
        <v>486</v>
      </c>
      <c r="B153">
        <v>1</v>
      </c>
      <c r="C153" s="23" t="s">
        <v>279</v>
      </c>
      <c r="D153" s="23">
        <v>6</v>
      </c>
    </row>
    <row r="154" spans="1:4" ht="15" x14ac:dyDescent="0.25">
      <c r="A154" s="20">
        <v>487</v>
      </c>
      <c r="B154">
        <v>1</v>
      </c>
      <c r="C154" s="23" t="s">
        <v>280</v>
      </c>
      <c r="D154" s="23">
        <v>6</v>
      </c>
    </row>
    <row r="155" spans="1:4" ht="15" x14ac:dyDescent="0.25">
      <c r="A155" s="20">
        <v>492</v>
      </c>
      <c r="B155">
        <v>1</v>
      </c>
      <c r="C155" s="23" t="s">
        <v>281</v>
      </c>
      <c r="D155" s="23">
        <v>4</v>
      </c>
    </row>
    <row r="156" spans="1:4" ht="15" x14ac:dyDescent="0.25">
      <c r="A156" s="20">
        <v>495</v>
      </c>
      <c r="B156">
        <v>1</v>
      </c>
      <c r="C156" s="23" t="s">
        <v>282</v>
      </c>
      <c r="D156" s="23">
        <v>6</v>
      </c>
    </row>
    <row r="157" spans="1:4" ht="15" x14ac:dyDescent="0.25">
      <c r="A157" s="20">
        <v>497</v>
      </c>
      <c r="B157">
        <v>1</v>
      </c>
      <c r="C157" s="23" t="s">
        <v>283</v>
      </c>
      <c r="D157" s="23">
        <v>6</v>
      </c>
    </row>
    <row r="158" spans="1:4" ht="15" x14ac:dyDescent="0.25">
      <c r="A158" s="20">
        <v>499</v>
      </c>
      <c r="B158">
        <v>1</v>
      </c>
      <c r="C158" s="23" t="s">
        <v>284</v>
      </c>
      <c r="D158" s="23">
        <v>6</v>
      </c>
    </row>
    <row r="159" spans="1:4" ht="15" x14ac:dyDescent="0.25">
      <c r="A159" s="20">
        <v>500</v>
      </c>
      <c r="B159">
        <v>1</v>
      </c>
      <c r="C159" s="23" t="s">
        <v>285</v>
      </c>
      <c r="D159" s="23">
        <v>6</v>
      </c>
    </row>
    <row r="160" spans="1:4" ht="15" x14ac:dyDescent="0.25">
      <c r="A160" s="20">
        <v>505</v>
      </c>
      <c r="B160">
        <v>1</v>
      </c>
      <c r="C160" s="23" t="s">
        <v>286</v>
      </c>
      <c r="D160" s="23">
        <v>6</v>
      </c>
    </row>
    <row r="161" spans="1:4" ht="15" x14ac:dyDescent="0.25">
      <c r="A161" s="20">
        <v>507</v>
      </c>
      <c r="B161">
        <v>1</v>
      </c>
      <c r="C161" s="23" t="s">
        <v>287</v>
      </c>
      <c r="D161" s="23">
        <v>6</v>
      </c>
    </row>
    <row r="162" spans="1:4" ht="15" x14ac:dyDescent="0.25">
      <c r="A162" s="20">
        <v>508</v>
      </c>
      <c r="B162">
        <v>1</v>
      </c>
      <c r="C162" s="23" t="s">
        <v>288</v>
      </c>
      <c r="D162" s="23">
        <v>5</v>
      </c>
    </row>
    <row r="163" spans="1:4" ht="15" x14ac:dyDescent="0.25">
      <c r="A163" s="20">
        <v>511</v>
      </c>
      <c r="B163">
        <v>1</v>
      </c>
      <c r="C163" s="23" t="s">
        <v>289</v>
      </c>
      <c r="D163" s="23">
        <v>6</v>
      </c>
    </row>
    <row r="164" spans="1:4" ht="15" x14ac:dyDescent="0.25">
      <c r="A164" s="20">
        <v>514</v>
      </c>
      <c r="B164">
        <v>1</v>
      </c>
      <c r="C164" s="23" t="s">
        <v>290</v>
      </c>
      <c r="D164" s="23">
        <v>6</v>
      </c>
    </row>
    <row r="165" spans="1:4" ht="15" x14ac:dyDescent="0.25">
      <c r="A165" s="20">
        <v>518</v>
      </c>
      <c r="B165">
        <v>1</v>
      </c>
      <c r="C165" s="23" t="s">
        <v>291</v>
      </c>
      <c r="D165" s="23">
        <v>4</v>
      </c>
    </row>
    <row r="166" spans="1:4" ht="15" x14ac:dyDescent="0.25">
      <c r="A166" s="20">
        <v>531</v>
      </c>
      <c r="B166">
        <v>1</v>
      </c>
      <c r="C166" s="23" t="s">
        <v>292</v>
      </c>
      <c r="D166" s="23">
        <v>5</v>
      </c>
    </row>
    <row r="167" spans="1:4" ht="15" x14ac:dyDescent="0.25">
      <c r="A167" s="20">
        <v>533</v>
      </c>
      <c r="B167">
        <v>1</v>
      </c>
      <c r="C167" s="23" t="s">
        <v>293</v>
      </c>
      <c r="D167" s="23">
        <v>5</v>
      </c>
    </row>
    <row r="168" spans="1:4" ht="15" x14ac:dyDescent="0.25">
      <c r="A168" s="20">
        <v>534</v>
      </c>
      <c r="B168">
        <v>1</v>
      </c>
      <c r="C168" s="23" t="s">
        <v>294</v>
      </c>
      <c r="D168" s="23">
        <v>5</v>
      </c>
    </row>
    <row r="169" spans="1:4" ht="15" x14ac:dyDescent="0.25">
      <c r="A169" s="20">
        <v>535</v>
      </c>
      <c r="B169">
        <v>1</v>
      </c>
      <c r="C169" s="23" t="s">
        <v>295</v>
      </c>
      <c r="D169" s="23">
        <v>4</v>
      </c>
    </row>
    <row r="170" spans="1:4" ht="15" x14ac:dyDescent="0.25">
      <c r="A170" s="20">
        <v>542</v>
      </c>
      <c r="B170">
        <v>1</v>
      </c>
      <c r="C170" s="23" t="s">
        <v>296</v>
      </c>
      <c r="D170" s="23">
        <v>6</v>
      </c>
    </row>
    <row r="171" spans="1:4" ht="15" x14ac:dyDescent="0.25">
      <c r="A171" s="20">
        <v>544</v>
      </c>
      <c r="B171">
        <v>1</v>
      </c>
      <c r="C171" s="23" t="s">
        <v>297</v>
      </c>
      <c r="D171" s="23">
        <v>4</v>
      </c>
    </row>
    <row r="172" spans="1:4" ht="15" x14ac:dyDescent="0.25">
      <c r="A172" s="20">
        <v>545</v>
      </c>
      <c r="B172">
        <v>1</v>
      </c>
      <c r="C172" s="23" t="s">
        <v>298</v>
      </c>
      <c r="D172" s="23">
        <v>6</v>
      </c>
    </row>
    <row r="173" spans="1:4" ht="15" x14ac:dyDescent="0.25">
      <c r="A173" s="20">
        <v>547</v>
      </c>
      <c r="B173">
        <v>1</v>
      </c>
      <c r="C173" s="23" t="s">
        <v>299</v>
      </c>
      <c r="D173" s="23">
        <v>6</v>
      </c>
    </row>
    <row r="174" spans="1:4" ht="15" x14ac:dyDescent="0.25">
      <c r="A174" s="20">
        <v>548</v>
      </c>
      <c r="B174">
        <v>1</v>
      </c>
      <c r="C174" s="23" t="s">
        <v>300</v>
      </c>
      <c r="D174" s="23">
        <v>6</v>
      </c>
    </row>
    <row r="175" spans="1:4" ht="15" x14ac:dyDescent="0.25">
      <c r="A175" s="20">
        <v>549</v>
      </c>
      <c r="B175">
        <v>1</v>
      </c>
      <c r="C175" s="23" t="s">
        <v>301</v>
      </c>
      <c r="D175" s="23">
        <v>5</v>
      </c>
    </row>
    <row r="176" spans="1:4" ht="15" x14ac:dyDescent="0.25">
      <c r="A176" s="20">
        <v>550</v>
      </c>
      <c r="B176">
        <v>1</v>
      </c>
      <c r="C176" s="23" t="s">
        <v>302</v>
      </c>
      <c r="D176" s="23">
        <v>6</v>
      </c>
    </row>
    <row r="177" spans="1:4" ht="15" x14ac:dyDescent="0.25">
      <c r="A177" s="20">
        <v>553</v>
      </c>
      <c r="B177">
        <v>1</v>
      </c>
      <c r="C177" s="23" t="s">
        <v>303</v>
      </c>
      <c r="D177" s="23">
        <v>6</v>
      </c>
    </row>
    <row r="178" spans="1:4" ht="15" x14ac:dyDescent="0.25">
      <c r="A178" s="20">
        <v>561</v>
      </c>
      <c r="B178">
        <v>1</v>
      </c>
      <c r="C178" s="23" t="s">
        <v>304</v>
      </c>
      <c r="D178" s="23">
        <v>6</v>
      </c>
    </row>
    <row r="179" spans="1:4" ht="15" x14ac:dyDescent="0.25">
      <c r="A179" s="20">
        <v>564</v>
      </c>
      <c r="B179">
        <v>1</v>
      </c>
      <c r="C179" s="23" t="s">
        <v>305</v>
      </c>
      <c r="D179" s="23">
        <v>5</v>
      </c>
    </row>
    <row r="180" spans="1:4" ht="15" x14ac:dyDescent="0.25">
      <c r="A180" s="20">
        <v>577</v>
      </c>
      <c r="B180">
        <v>1</v>
      </c>
      <c r="C180" s="23" t="s">
        <v>306</v>
      </c>
      <c r="D180" s="23">
        <v>6</v>
      </c>
    </row>
    <row r="181" spans="1:4" ht="15" x14ac:dyDescent="0.25">
      <c r="A181" s="20">
        <v>578</v>
      </c>
      <c r="B181">
        <v>1</v>
      </c>
      <c r="C181" s="23" t="s">
        <v>307</v>
      </c>
      <c r="D181" s="23">
        <v>5</v>
      </c>
    </row>
    <row r="182" spans="1:4" ht="15" x14ac:dyDescent="0.25">
      <c r="A182" s="20">
        <v>581</v>
      </c>
      <c r="B182">
        <v>1</v>
      </c>
      <c r="C182" s="23" t="s">
        <v>308</v>
      </c>
      <c r="D182" s="23">
        <v>6</v>
      </c>
    </row>
    <row r="183" spans="1:4" ht="15" x14ac:dyDescent="0.25">
      <c r="A183" s="20">
        <v>592</v>
      </c>
      <c r="B183">
        <v>1</v>
      </c>
      <c r="C183" s="23" t="s">
        <v>309</v>
      </c>
      <c r="D183" s="23">
        <v>6</v>
      </c>
    </row>
    <row r="184" spans="1:4" ht="15" x14ac:dyDescent="0.25">
      <c r="A184" s="20">
        <v>593</v>
      </c>
      <c r="B184">
        <v>1</v>
      </c>
      <c r="C184" s="23" t="s">
        <v>310</v>
      </c>
      <c r="D184" s="23">
        <v>5</v>
      </c>
    </row>
    <row r="185" spans="1:4" ht="15" x14ac:dyDescent="0.25">
      <c r="A185" s="20">
        <v>595</v>
      </c>
      <c r="B185">
        <v>1</v>
      </c>
      <c r="C185" s="23" t="s">
        <v>311</v>
      </c>
      <c r="D185" s="23">
        <v>5</v>
      </c>
    </row>
    <row r="186" spans="1:4" ht="15" x14ac:dyDescent="0.25">
      <c r="A186" s="20">
        <v>599</v>
      </c>
      <c r="B186">
        <v>1</v>
      </c>
      <c r="C186" s="23" t="s">
        <v>312</v>
      </c>
      <c r="D186" s="23">
        <v>6</v>
      </c>
    </row>
    <row r="187" spans="1:4" ht="15" x14ac:dyDescent="0.25">
      <c r="A187" s="20">
        <v>600</v>
      </c>
      <c r="B187">
        <v>1</v>
      </c>
      <c r="C187" s="23" t="s">
        <v>313</v>
      </c>
      <c r="D187" s="23">
        <v>6</v>
      </c>
    </row>
    <row r="188" spans="1:4" ht="15" x14ac:dyDescent="0.25">
      <c r="A188" s="20">
        <v>601</v>
      </c>
      <c r="B188">
        <v>1</v>
      </c>
      <c r="C188" s="23" t="s">
        <v>314</v>
      </c>
      <c r="D188" s="23">
        <v>6</v>
      </c>
    </row>
    <row r="189" spans="1:4" ht="15" x14ac:dyDescent="0.25">
      <c r="A189" s="20">
        <v>621</v>
      </c>
      <c r="B189">
        <v>1</v>
      </c>
      <c r="C189" s="23" t="s">
        <v>315</v>
      </c>
      <c r="D189" s="23">
        <v>3</v>
      </c>
    </row>
    <row r="190" spans="1:4" ht="15" x14ac:dyDescent="0.25">
      <c r="A190" s="20">
        <v>622</v>
      </c>
      <c r="B190">
        <v>1</v>
      </c>
      <c r="C190" s="23" t="s">
        <v>316</v>
      </c>
      <c r="D190" s="23">
        <v>2</v>
      </c>
    </row>
    <row r="191" spans="1:4" ht="15" x14ac:dyDescent="0.25">
      <c r="A191" s="20">
        <v>623</v>
      </c>
      <c r="B191">
        <v>1</v>
      </c>
      <c r="C191" s="23" t="s">
        <v>317</v>
      </c>
      <c r="D191" s="23">
        <v>2</v>
      </c>
    </row>
    <row r="192" spans="1:4" ht="15" x14ac:dyDescent="0.25">
      <c r="A192" s="20">
        <v>624</v>
      </c>
      <c r="B192">
        <v>1</v>
      </c>
      <c r="C192" s="23" t="s">
        <v>318</v>
      </c>
      <c r="D192" s="23">
        <v>3</v>
      </c>
    </row>
    <row r="193" spans="1:4" ht="15" x14ac:dyDescent="0.25">
      <c r="A193" s="20">
        <v>625</v>
      </c>
      <c r="B193">
        <v>1</v>
      </c>
      <c r="C193" s="23" t="s">
        <v>319</v>
      </c>
      <c r="D193" s="23">
        <v>1</v>
      </c>
    </row>
    <row r="194" spans="1:4" ht="15" x14ac:dyDescent="0.25">
      <c r="A194" s="20">
        <v>630</v>
      </c>
      <c r="B194">
        <v>1</v>
      </c>
      <c r="C194" s="23" t="s">
        <v>320</v>
      </c>
      <c r="D194" s="23">
        <v>6</v>
      </c>
    </row>
    <row r="195" spans="1:4" ht="15" x14ac:dyDescent="0.25">
      <c r="A195" s="20">
        <v>635</v>
      </c>
      <c r="B195">
        <v>1</v>
      </c>
      <c r="C195" s="23" t="s">
        <v>321</v>
      </c>
      <c r="D195" s="23">
        <v>6</v>
      </c>
    </row>
    <row r="196" spans="1:4" ht="15" x14ac:dyDescent="0.25">
      <c r="A196" s="20">
        <v>640</v>
      </c>
      <c r="B196">
        <v>1</v>
      </c>
      <c r="C196" s="23" t="s">
        <v>322</v>
      </c>
      <c r="D196" s="23">
        <v>6</v>
      </c>
    </row>
    <row r="197" spans="1:4" ht="15" x14ac:dyDescent="0.25">
      <c r="A197" s="20">
        <v>656</v>
      </c>
      <c r="B197">
        <v>1</v>
      </c>
      <c r="C197" s="23" t="s">
        <v>126</v>
      </c>
      <c r="D197" s="23">
        <v>4</v>
      </c>
    </row>
    <row r="198" spans="1:4" ht="15" x14ac:dyDescent="0.25">
      <c r="A198" s="20">
        <v>659</v>
      </c>
      <c r="B198">
        <v>1</v>
      </c>
      <c r="C198" s="23" t="s">
        <v>323</v>
      </c>
      <c r="D198" s="23">
        <v>3</v>
      </c>
    </row>
    <row r="199" spans="1:4" ht="15" x14ac:dyDescent="0.25">
      <c r="A199" s="20">
        <v>671</v>
      </c>
      <c r="B199">
        <v>1</v>
      </c>
      <c r="C199" s="23" t="s">
        <v>324</v>
      </c>
      <c r="D199" s="23">
        <v>6</v>
      </c>
    </row>
    <row r="200" spans="1:4" ht="15" x14ac:dyDescent="0.25">
      <c r="A200" s="20">
        <v>676</v>
      </c>
      <c r="B200">
        <v>1</v>
      </c>
      <c r="C200" s="23" t="s">
        <v>325</v>
      </c>
      <c r="D200" s="23">
        <v>6</v>
      </c>
    </row>
    <row r="201" spans="1:4" ht="15" x14ac:dyDescent="0.25">
      <c r="A201" s="20">
        <v>682</v>
      </c>
      <c r="B201">
        <v>1</v>
      </c>
      <c r="C201" s="23" t="s">
        <v>326</v>
      </c>
      <c r="D201" s="23">
        <v>5</v>
      </c>
    </row>
    <row r="202" spans="1:4" ht="15" x14ac:dyDescent="0.25">
      <c r="A202" s="20">
        <v>690</v>
      </c>
      <c r="B202">
        <v>1</v>
      </c>
      <c r="C202" s="23" t="s">
        <v>327</v>
      </c>
      <c r="D202" s="23">
        <v>5</v>
      </c>
    </row>
    <row r="203" spans="1:4" ht="15" x14ac:dyDescent="0.25">
      <c r="A203" s="20">
        <v>695</v>
      </c>
      <c r="B203">
        <v>1</v>
      </c>
      <c r="C203" s="23" t="s">
        <v>328</v>
      </c>
      <c r="D203" s="23">
        <v>6</v>
      </c>
    </row>
    <row r="204" spans="1:4" ht="15" x14ac:dyDescent="0.25">
      <c r="A204" s="20">
        <v>696</v>
      </c>
      <c r="B204">
        <v>1</v>
      </c>
      <c r="C204" s="23" t="s">
        <v>329</v>
      </c>
      <c r="D204" s="23">
        <v>6</v>
      </c>
    </row>
    <row r="205" spans="1:4" ht="15" x14ac:dyDescent="0.25">
      <c r="A205" s="20">
        <v>698</v>
      </c>
      <c r="B205">
        <v>1</v>
      </c>
      <c r="C205" s="23" t="s">
        <v>330</v>
      </c>
      <c r="D205" s="23">
        <v>6</v>
      </c>
    </row>
    <row r="206" spans="1:4" ht="15" x14ac:dyDescent="0.25">
      <c r="A206" s="20">
        <v>700</v>
      </c>
      <c r="B206">
        <v>1</v>
      </c>
      <c r="C206" s="23" t="s">
        <v>331</v>
      </c>
      <c r="D206" s="23">
        <v>4</v>
      </c>
    </row>
    <row r="207" spans="1:4" ht="15" x14ac:dyDescent="0.25">
      <c r="A207" s="20">
        <v>701</v>
      </c>
      <c r="B207">
        <v>1</v>
      </c>
      <c r="C207" s="23" t="s">
        <v>332</v>
      </c>
      <c r="D207" s="23">
        <v>4</v>
      </c>
    </row>
    <row r="208" spans="1:4" ht="15" x14ac:dyDescent="0.25">
      <c r="A208" s="20">
        <v>704</v>
      </c>
      <c r="B208">
        <v>1</v>
      </c>
      <c r="C208" s="23" t="s">
        <v>333</v>
      </c>
      <c r="D208" s="23">
        <v>5</v>
      </c>
    </row>
    <row r="209" spans="1:4" ht="15" x14ac:dyDescent="0.25">
      <c r="A209" s="20">
        <v>706</v>
      </c>
      <c r="B209">
        <v>1</v>
      </c>
      <c r="C209" s="23" t="s">
        <v>334</v>
      </c>
      <c r="D209" s="23">
        <v>5</v>
      </c>
    </row>
    <row r="210" spans="1:4" ht="15" x14ac:dyDescent="0.25">
      <c r="A210" s="20">
        <v>707</v>
      </c>
      <c r="B210">
        <v>1</v>
      </c>
      <c r="C210" s="23" t="s">
        <v>335</v>
      </c>
      <c r="D210" s="23">
        <v>6</v>
      </c>
    </row>
    <row r="211" spans="1:4" ht="15" x14ac:dyDescent="0.25">
      <c r="A211" s="20">
        <v>709</v>
      </c>
      <c r="B211">
        <v>1</v>
      </c>
      <c r="C211" s="23" t="s">
        <v>336</v>
      </c>
      <c r="D211" s="23">
        <v>4</v>
      </c>
    </row>
    <row r="212" spans="1:4" ht="15" x14ac:dyDescent="0.25">
      <c r="A212" s="20">
        <v>712</v>
      </c>
      <c r="B212">
        <v>1</v>
      </c>
      <c r="C212" s="23" t="s">
        <v>337</v>
      </c>
      <c r="D212" s="23">
        <v>6</v>
      </c>
    </row>
    <row r="213" spans="1:4" ht="15" x14ac:dyDescent="0.25">
      <c r="A213" s="20">
        <v>716</v>
      </c>
      <c r="B213">
        <v>1</v>
      </c>
      <c r="C213" s="23" t="s">
        <v>338</v>
      </c>
      <c r="D213" s="23">
        <v>3</v>
      </c>
    </row>
    <row r="214" spans="1:4" ht="15" x14ac:dyDescent="0.25">
      <c r="A214" s="20">
        <v>717</v>
      </c>
      <c r="B214">
        <v>1</v>
      </c>
      <c r="C214" s="23" t="s">
        <v>339</v>
      </c>
      <c r="D214" s="23">
        <v>3</v>
      </c>
    </row>
    <row r="215" spans="1:4" ht="15" x14ac:dyDescent="0.25">
      <c r="A215" s="20">
        <v>719</v>
      </c>
      <c r="B215">
        <v>1</v>
      </c>
      <c r="C215" s="23" t="s">
        <v>340</v>
      </c>
      <c r="D215" s="23">
        <v>3</v>
      </c>
    </row>
    <row r="216" spans="1:4" ht="15" x14ac:dyDescent="0.25">
      <c r="A216" s="20">
        <v>720</v>
      </c>
      <c r="B216">
        <v>1</v>
      </c>
      <c r="C216" s="23" t="s">
        <v>341</v>
      </c>
      <c r="D216" s="23">
        <v>3</v>
      </c>
    </row>
    <row r="217" spans="1:4" ht="15" x14ac:dyDescent="0.25">
      <c r="A217" s="20">
        <v>721</v>
      </c>
      <c r="B217">
        <v>1</v>
      </c>
      <c r="C217" s="23" t="s">
        <v>342</v>
      </c>
      <c r="D217" s="23">
        <v>3</v>
      </c>
    </row>
    <row r="218" spans="1:4" ht="15" x14ac:dyDescent="0.25">
      <c r="A218" s="20">
        <v>726</v>
      </c>
      <c r="B218">
        <v>1</v>
      </c>
      <c r="C218" s="23" t="s">
        <v>343</v>
      </c>
      <c r="D218" s="23">
        <v>4</v>
      </c>
    </row>
    <row r="219" spans="1:4" ht="15" x14ac:dyDescent="0.25">
      <c r="A219" s="20">
        <v>727</v>
      </c>
      <c r="B219">
        <v>1</v>
      </c>
      <c r="C219" s="23" t="s">
        <v>344</v>
      </c>
      <c r="D219" s="23">
        <v>4</v>
      </c>
    </row>
    <row r="220" spans="1:4" ht="15" x14ac:dyDescent="0.25">
      <c r="A220" s="20">
        <v>728</v>
      </c>
      <c r="B220">
        <v>1</v>
      </c>
      <c r="C220" s="23" t="s">
        <v>345</v>
      </c>
      <c r="D220" s="23">
        <v>4</v>
      </c>
    </row>
    <row r="221" spans="1:4" ht="15" x14ac:dyDescent="0.25">
      <c r="A221" s="20">
        <v>738</v>
      </c>
      <c r="B221">
        <v>1</v>
      </c>
      <c r="C221" s="23" t="s">
        <v>346</v>
      </c>
      <c r="D221" s="23">
        <v>5</v>
      </c>
    </row>
    <row r="222" spans="1:4" ht="15" x14ac:dyDescent="0.25">
      <c r="A222" s="20">
        <v>739</v>
      </c>
      <c r="B222">
        <v>1</v>
      </c>
      <c r="C222" s="23" t="s">
        <v>347</v>
      </c>
      <c r="D222" s="23">
        <v>6</v>
      </c>
    </row>
    <row r="223" spans="1:4" ht="15" x14ac:dyDescent="0.25">
      <c r="A223" s="20">
        <v>740</v>
      </c>
      <c r="B223">
        <v>1</v>
      </c>
      <c r="C223" s="23" t="s">
        <v>348</v>
      </c>
      <c r="D223" s="23">
        <v>5</v>
      </c>
    </row>
    <row r="224" spans="1:4" ht="15" x14ac:dyDescent="0.25">
      <c r="A224" s="20">
        <v>741</v>
      </c>
      <c r="B224">
        <v>1</v>
      </c>
      <c r="C224" s="23" t="s">
        <v>349</v>
      </c>
      <c r="D224" s="23">
        <v>5</v>
      </c>
    </row>
    <row r="225" spans="1:4" ht="15" x14ac:dyDescent="0.25">
      <c r="A225" s="20">
        <v>742</v>
      </c>
      <c r="B225">
        <v>1</v>
      </c>
      <c r="C225" s="23" t="s">
        <v>350</v>
      </c>
      <c r="D225" s="23">
        <v>4</v>
      </c>
    </row>
    <row r="226" spans="1:4" ht="15" x14ac:dyDescent="0.25">
      <c r="A226" s="20">
        <v>743</v>
      </c>
      <c r="B226">
        <v>1</v>
      </c>
      <c r="C226" s="23" t="s">
        <v>351</v>
      </c>
      <c r="D226" s="23">
        <v>5</v>
      </c>
    </row>
    <row r="227" spans="1:4" ht="15" x14ac:dyDescent="0.25">
      <c r="A227" s="20">
        <v>745</v>
      </c>
      <c r="B227">
        <v>1</v>
      </c>
      <c r="C227" s="23" t="s">
        <v>352</v>
      </c>
      <c r="D227" s="23">
        <v>5</v>
      </c>
    </row>
    <row r="228" spans="1:4" ht="15" x14ac:dyDescent="0.25">
      <c r="A228" s="20">
        <v>748</v>
      </c>
      <c r="B228">
        <v>1</v>
      </c>
      <c r="C228" s="23" t="s">
        <v>353</v>
      </c>
      <c r="D228" s="23">
        <v>4</v>
      </c>
    </row>
    <row r="229" spans="1:4" ht="15" x14ac:dyDescent="0.25">
      <c r="A229" s="20">
        <v>750</v>
      </c>
      <c r="B229">
        <v>1</v>
      </c>
      <c r="C229" s="23" t="s">
        <v>354</v>
      </c>
      <c r="D229" s="23">
        <v>4</v>
      </c>
    </row>
    <row r="230" spans="1:4" ht="15" x14ac:dyDescent="0.25">
      <c r="A230" s="20">
        <v>756</v>
      </c>
      <c r="B230">
        <v>1</v>
      </c>
      <c r="C230" s="23" t="s">
        <v>355</v>
      </c>
      <c r="D230" s="23">
        <v>6</v>
      </c>
    </row>
    <row r="231" spans="1:4" ht="15" x14ac:dyDescent="0.25">
      <c r="A231" s="20">
        <v>761</v>
      </c>
      <c r="B231">
        <v>1</v>
      </c>
      <c r="C231" s="23" t="s">
        <v>356</v>
      </c>
      <c r="D231" s="23">
        <v>4</v>
      </c>
    </row>
    <row r="232" spans="1:4" ht="15" x14ac:dyDescent="0.25">
      <c r="A232" s="20">
        <v>763</v>
      </c>
      <c r="B232">
        <v>1</v>
      </c>
      <c r="C232" s="23" t="s">
        <v>357</v>
      </c>
      <c r="D232" s="23">
        <v>6</v>
      </c>
    </row>
    <row r="233" spans="1:4" ht="15" x14ac:dyDescent="0.25">
      <c r="A233" s="20">
        <v>768</v>
      </c>
      <c r="B233">
        <v>1</v>
      </c>
      <c r="C233" s="23" t="s">
        <v>358</v>
      </c>
      <c r="D233" s="23">
        <v>6</v>
      </c>
    </row>
    <row r="234" spans="1:4" ht="15" x14ac:dyDescent="0.25">
      <c r="A234" s="20">
        <v>771</v>
      </c>
      <c r="B234">
        <v>1</v>
      </c>
      <c r="C234" s="23" t="s">
        <v>359</v>
      </c>
      <c r="D234" s="23">
        <v>6</v>
      </c>
    </row>
    <row r="235" spans="1:4" ht="15" x14ac:dyDescent="0.25">
      <c r="A235" s="20">
        <v>775</v>
      </c>
      <c r="B235">
        <v>1</v>
      </c>
      <c r="C235" s="23" t="s">
        <v>360</v>
      </c>
      <c r="D235" s="23">
        <v>6</v>
      </c>
    </row>
    <row r="236" spans="1:4" ht="15" x14ac:dyDescent="0.25">
      <c r="A236" s="20">
        <v>777</v>
      </c>
      <c r="B236">
        <v>1</v>
      </c>
      <c r="C236" s="23" t="s">
        <v>361</v>
      </c>
      <c r="D236" s="23">
        <v>6</v>
      </c>
    </row>
    <row r="237" spans="1:4" ht="15" x14ac:dyDescent="0.25">
      <c r="A237" s="20">
        <v>786</v>
      </c>
      <c r="B237">
        <v>1</v>
      </c>
      <c r="C237" s="23" t="s">
        <v>362</v>
      </c>
      <c r="D237" s="23">
        <v>6</v>
      </c>
    </row>
    <row r="238" spans="1:4" ht="15" x14ac:dyDescent="0.25">
      <c r="A238" s="20">
        <v>787</v>
      </c>
      <c r="B238">
        <v>1</v>
      </c>
      <c r="C238" s="23" t="s">
        <v>363</v>
      </c>
      <c r="D238" s="23">
        <v>6</v>
      </c>
    </row>
    <row r="239" spans="1:4" ht="15" x14ac:dyDescent="0.25">
      <c r="A239" s="20">
        <v>801</v>
      </c>
      <c r="B239">
        <v>1</v>
      </c>
      <c r="C239" s="23" t="s">
        <v>364</v>
      </c>
      <c r="D239" s="23">
        <v>6</v>
      </c>
    </row>
    <row r="240" spans="1:4" ht="15" x14ac:dyDescent="0.25">
      <c r="A240" s="20">
        <v>803</v>
      </c>
      <c r="B240">
        <v>1</v>
      </c>
      <c r="C240" s="23" t="s">
        <v>365</v>
      </c>
      <c r="D240" s="23">
        <v>6</v>
      </c>
    </row>
    <row r="241" spans="1:4" ht="15" x14ac:dyDescent="0.25">
      <c r="A241" s="20">
        <v>811</v>
      </c>
      <c r="B241">
        <v>1</v>
      </c>
      <c r="C241" s="23" t="s">
        <v>366</v>
      </c>
      <c r="D241" s="23">
        <v>6</v>
      </c>
    </row>
    <row r="242" spans="1:4" ht="15" x14ac:dyDescent="0.25">
      <c r="A242" s="20">
        <v>813</v>
      </c>
      <c r="B242">
        <v>1</v>
      </c>
      <c r="C242" s="23" t="s">
        <v>367</v>
      </c>
      <c r="D242" s="23">
        <v>5</v>
      </c>
    </row>
    <row r="243" spans="1:4" ht="15" x14ac:dyDescent="0.25">
      <c r="A243" s="20">
        <v>815</v>
      </c>
      <c r="B243">
        <v>2</v>
      </c>
      <c r="C243" s="23" t="s">
        <v>368</v>
      </c>
      <c r="D243" s="23">
        <v>6</v>
      </c>
    </row>
    <row r="244" spans="1:4" ht="15" x14ac:dyDescent="0.25">
      <c r="A244" s="20">
        <v>818</v>
      </c>
      <c r="B244">
        <v>1</v>
      </c>
      <c r="C244" s="23" t="s">
        <v>369</v>
      </c>
      <c r="D244" s="23">
        <v>6</v>
      </c>
    </row>
    <row r="245" spans="1:4" ht="15" x14ac:dyDescent="0.25">
      <c r="A245" s="20">
        <v>820</v>
      </c>
      <c r="B245">
        <v>1</v>
      </c>
      <c r="C245" s="23" t="s">
        <v>370</v>
      </c>
      <c r="D245" s="23">
        <v>6</v>
      </c>
    </row>
    <row r="246" spans="1:4" ht="15" x14ac:dyDescent="0.25">
      <c r="A246" s="20">
        <v>821</v>
      </c>
      <c r="B246">
        <v>1</v>
      </c>
      <c r="C246" s="23" t="s">
        <v>371</v>
      </c>
      <c r="D246" s="23">
        <v>6</v>
      </c>
    </row>
    <row r="247" spans="1:4" ht="15" x14ac:dyDescent="0.25">
      <c r="A247" s="20">
        <v>829</v>
      </c>
      <c r="B247">
        <v>1</v>
      </c>
      <c r="C247" s="23" t="s">
        <v>372</v>
      </c>
      <c r="D247" s="23">
        <v>5</v>
      </c>
    </row>
    <row r="248" spans="1:4" ht="15" x14ac:dyDescent="0.25">
      <c r="A248" s="20">
        <v>831</v>
      </c>
      <c r="B248">
        <v>1</v>
      </c>
      <c r="C248" s="23" t="s">
        <v>373</v>
      </c>
      <c r="D248" s="23">
        <v>3</v>
      </c>
    </row>
    <row r="249" spans="1:4" ht="15" x14ac:dyDescent="0.25">
      <c r="A249" s="20">
        <v>832</v>
      </c>
      <c r="B249">
        <v>1</v>
      </c>
      <c r="C249" s="23" t="s">
        <v>374</v>
      </c>
      <c r="D249" s="23">
        <v>3</v>
      </c>
    </row>
    <row r="250" spans="1:4" ht="15" x14ac:dyDescent="0.25">
      <c r="A250" s="20">
        <v>833</v>
      </c>
      <c r="B250">
        <v>1</v>
      </c>
      <c r="C250" s="23" t="s">
        <v>375</v>
      </c>
      <c r="D250" s="23">
        <v>2</v>
      </c>
    </row>
    <row r="251" spans="1:4" ht="15" x14ac:dyDescent="0.25">
      <c r="A251" s="20">
        <v>834</v>
      </c>
      <c r="B251">
        <v>1</v>
      </c>
      <c r="C251" s="23" t="s">
        <v>376</v>
      </c>
      <c r="D251" s="23">
        <v>3</v>
      </c>
    </row>
    <row r="252" spans="1:4" ht="15" x14ac:dyDescent="0.25">
      <c r="A252" s="20">
        <v>836</v>
      </c>
      <c r="B252">
        <v>1</v>
      </c>
      <c r="C252" s="23" t="s">
        <v>377</v>
      </c>
      <c r="D252" s="23">
        <v>6</v>
      </c>
    </row>
    <row r="253" spans="1:4" ht="15" x14ac:dyDescent="0.25">
      <c r="A253" s="20">
        <v>837</v>
      </c>
      <c r="B253">
        <v>1</v>
      </c>
      <c r="C253" s="23" t="s">
        <v>378</v>
      </c>
      <c r="D253" s="23">
        <v>6</v>
      </c>
    </row>
    <row r="254" spans="1:4" ht="15" x14ac:dyDescent="0.25">
      <c r="A254" s="20">
        <v>840</v>
      </c>
      <c r="B254">
        <v>1</v>
      </c>
      <c r="C254" s="23" t="s">
        <v>379</v>
      </c>
      <c r="D254" s="23">
        <v>5</v>
      </c>
    </row>
    <row r="255" spans="1:4" ht="15" x14ac:dyDescent="0.25">
      <c r="A255" s="20">
        <v>846</v>
      </c>
      <c r="B255">
        <v>1</v>
      </c>
      <c r="C255" s="23" t="s">
        <v>380</v>
      </c>
      <c r="D255" s="23">
        <v>6</v>
      </c>
    </row>
    <row r="256" spans="1:4" ht="15" x14ac:dyDescent="0.25">
      <c r="A256" s="20">
        <v>850</v>
      </c>
      <c r="B256">
        <v>1</v>
      </c>
      <c r="C256" s="23" t="s">
        <v>381</v>
      </c>
      <c r="D256" s="23">
        <v>6</v>
      </c>
    </row>
    <row r="257" spans="1:4" ht="15" x14ac:dyDescent="0.25">
      <c r="A257" s="20">
        <v>852</v>
      </c>
      <c r="B257">
        <v>1</v>
      </c>
      <c r="C257" s="23" t="s">
        <v>382</v>
      </c>
      <c r="D257" s="23">
        <v>6</v>
      </c>
    </row>
    <row r="258" spans="1:4" ht="15" x14ac:dyDescent="0.25">
      <c r="A258" s="20">
        <v>857</v>
      </c>
      <c r="B258">
        <v>1</v>
      </c>
      <c r="C258" s="23" t="s">
        <v>383</v>
      </c>
      <c r="D258" s="23">
        <v>6</v>
      </c>
    </row>
    <row r="259" spans="1:4" ht="15" x14ac:dyDescent="0.25">
      <c r="A259" s="20">
        <v>858</v>
      </c>
      <c r="B259">
        <v>1</v>
      </c>
      <c r="C259" s="23" t="s">
        <v>384</v>
      </c>
      <c r="D259" s="23">
        <v>6</v>
      </c>
    </row>
    <row r="260" spans="1:4" ht="15" x14ac:dyDescent="0.25">
      <c r="A260" s="20">
        <v>861</v>
      </c>
      <c r="B260">
        <v>1</v>
      </c>
      <c r="C260" s="23" t="s">
        <v>385</v>
      </c>
      <c r="D260" s="23">
        <v>4</v>
      </c>
    </row>
    <row r="261" spans="1:4" ht="15" x14ac:dyDescent="0.25">
      <c r="A261" s="20">
        <v>876</v>
      </c>
      <c r="B261">
        <v>1</v>
      </c>
      <c r="C261" s="23" t="s">
        <v>386</v>
      </c>
      <c r="D261" s="23">
        <v>5</v>
      </c>
    </row>
    <row r="262" spans="1:4" ht="15" x14ac:dyDescent="0.25">
      <c r="A262" s="20">
        <v>877</v>
      </c>
      <c r="B262">
        <v>1</v>
      </c>
      <c r="C262" s="23" t="s">
        <v>387</v>
      </c>
      <c r="D262" s="23">
        <v>4</v>
      </c>
    </row>
    <row r="263" spans="1:4" ht="15" x14ac:dyDescent="0.25">
      <c r="A263" s="20">
        <v>879</v>
      </c>
      <c r="B263">
        <v>1</v>
      </c>
      <c r="C263" s="23" t="s">
        <v>388</v>
      </c>
      <c r="D263" s="23">
        <v>4</v>
      </c>
    </row>
    <row r="264" spans="1:4" ht="15" x14ac:dyDescent="0.25">
      <c r="A264" s="20">
        <v>881</v>
      </c>
      <c r="B264">
        <v>1</v>
      </c>
      <c r="C264" s="23" t="s">
        <v>389</v>
      </c>
      <c r="D264" s="23">
        <v>5</v>
      </c>
    </row>
    <row r="265" spans="1:4" ht="15" x14ac:dyDescent="0.25">
      <c r="A265" s="20">
        <v>882</v>
      </c>
      <c r="B265">
        <v>1</v>
      </c>
      <c r="C265" s="23" t="s">
        <v>390</v>
      </c>
      <c r="D265" s="23">
        <v>4</v>
      </c>
    </row>
    <row r="266" spans="1:4" ht="15" x14ac:dyDescent="0.25">
      <c r="A266" s="20">
        <v>883</v>
      </c>
      <c r="B266">
        <v>1</v>
      </c>
      <c r="C266" s="23" t="s">
        <v>391</v>
      </c>
      <c r="D266" s="23">
        <v>5</v>
      </c>
    </row>
    <row r="267" spans="1:4" ht="15" x14ac:dyDescent="0.25">
      <c r="A267" s="20">
        <v>885</v>
      </c>
      <c r="B267">
        <v>1</v>
      </c>
      <c r="C267" s="23" t="s">
        <v>392</v>
      </c>
      <c r="D267" s="23">
        <v>4</v>
      </c>
    </row>
    <row r="268" spans="1:4" ht="15" x14ac:dyDescent="0.25">
      <c r="A268" s="20">
        <v>891</v>
      </c>
      <c r="B268">
        <v>1</v>
      </c>
      <c r="C268" s="23" t="s">
        <v>393</v>
      </c>
      <c r="D268" s="23">
        <v>6</v>
      </c>
    </row>
    <row r="269" spans="1:4" ht="15" x14ac:dyDescent="0.25">
      <c r="A269" s="20">
        <v>911</v>
      </c>
      <c r="B269">
        <v>1</v>
      </c>
      <c r="C269" s="23" t="s">
        <v>394</v>
      </c>
      <c r="D269" s="23">
        <v>4</v>
      </c>
    </row>
    <row r="270" spans="1:4" ht="15" x14ac:dyDescent="0.25">
      <c r="A270" s="20">
        <v>912</v>
      </c>
      <c r="B270">
        <v>1</v>
      </c>
      <c r="C270" s="23" t="s">
        <v>395</v>
      </c>
      <c r="D270" s="23">
        <v>5</v>
      </c>
    </row>
    <row r="271" spans="1:4" ht="15" x14ac:dyDescent="0.25">
      <c r="A271" s="20">
        <v>914</v>
      </c>
      <c r="B271">
        <v>1</v>
      </c>
      <c r="C271" s="23" t="s">
        <v>396</v>
      </c>
      <c r="D271" s="23">
        <v>6</v>
      </c>
    </row>
    <row r="272" spans="1:4" ht="15" x14ac:dyDescent="0.25">
      <c r="A272" s="20">
        <v>2071</v>
      </c>
      <c r="B272">
        <v>1</v>
      </c>
      <c r="C272" s="23" t="s">
        <v>397</v>
      </c>
      <c r="D272" s="23">
        <v>6</v>
      </c>
    </row>
    <row r="273" spans="1:4" ht="15" x14ac:dyDescent="0.25">
      <c r="A273" s="20">
        <v>2125</v>
      </c>
      <c r="B273">
        <v>1</v>
      </c>
      <c r="C273" s="23" t="s">
        <v>398</v>
      </c>
      <c r="D273" s="23">
        <v>5</v>
      </c>
    </row>
    <row r="274" spans="1:4" ht="15" x14ac:dyDescent="0.25">
      <c r="A274" s="20">
        <v>2134</v>
      </c>
      <c r="B274">
        <v>1</v>
      </c>
      <c r="C274" s="23" t="s">
        <v>399</v>
      </c>
      <c r="D274" s="23">
        <v>6</v>
      </c>
    </row>
    <row r="275" spans="1:4" ht="15" x14ac:dyDescent="0.25">
      <c r="A275" s="20">
        <v>2135</v>
      </c>
      <c r="B275">
        <v>1</v>
      </c>
      <c r="C275" s="23" t="s">
        <v>400</v>
      </c>
      <c r="D275" s="23">
        <v>5</v>
      </c>
    </row>
    <row r="276" spans="1:4" ht="15" x14ac:dyDescent="0.25">
      <c r="A276" s="20">
        <v>2137</v>
      </c>
      <c r="B276">
        <v>1</v>
      </c>
      <c r="C276" s="23" t="s">
        <v>401</v>
      </c>
      <c r="D276" s="23">
        <v>6</v>
      </c>
    </row>
    <row r="277" spans="1:4" ht="15" x14ac:dyDescent="0.25">
      <c r="A277" s="20">
        <v>2142</v>
      </c>
      <c r="B277">
        <v>1</v>
      </c>
      <c r="C277" s="23" t="s">
        <v>402</v>
      </c>
      <c r="D277" s="23">
        <v>5</v>
      </c>
    </row>
    <row r="278" spans="1:4" ht="15" x14ac:dyDescent="0.25">
      <c r="A278" s="20">
        <v>2143</v>
      </c>
      <c r="B278">
        <v>1</v>
      </c>
      <c r="C278" s="23" t="s">
        <v>5</v>
      </c>
      <c r="D278" s="23">
        <v>6</v>
      </c>
    </row>
    <row r="279" spans="1:4" ht="15" x14ac:dyDescent="0.25">
      <c r="A279" s="20">
        <v>2144</v>
      </c>
      <c r="B279">
        <v>1</v>
      </c>
      <c r="C279" s="23" t="s">
        <v>403</v>
      </c>
      <c r="D279" s="23">
        <v>4</v>
      </c>
    </row>
    <row r="280" spans="1:4" ht="15" x14ac:dyDescent="0.25">
      <c r="A280" s="20">
        <v>2149</v>
      </c>
      <c r="B280">
        <v>1</v>
      </c>
      <c r="C280" s="23" t="s">
        <v>404</v>
      </c>
      <c r="D280" s="23">
        <v>5</v>
      </c>
    </row>
    <row r="281" spans="1:4" ht="15" x14ac:dyDescent="0.25">
      <c r="A281" s="20">
        <v>2154</v>
      </c>
      <c r="B281">
        <v>1</v>
      </c>
      <c r="C281" s="23" t="s">
        <v>405</v>
      </c>
      <c r="D281" s="23">
        <v>5</v>
      </c>
    </row>
    <row r="282" spans="1:4" ht="15" x14ac:dyDescent="0.25">
      <c r="A282" s="20">
        <v>2155</v>
      </c>
      <c r="B282">
        <v>1</v>
      </c>
      <c r="C282" s="23" t="s">
        <v>406</v>
      </c>
      <c r="D282" s="23">
        <v>5</v>
      </c>
    </row>
    <row r="283" spans="1:4" ht="15" x14ac:dyDescent="0.25">
      <c r="A283" s="20">
        <v>2159</v>
      </c>
      <c r="B283">
        <v>1</v>
      </c>
      <c r="C283" s="23" t="s">
        <v>407</v>
      </c>
      <c r="D283" s="23">
        <v>6</v>
      </c>
    </row>
    <row r="284" spans="1:4" ht="15" x14ac:dyDescent="0.25">
      <c r="A284" s="20">
        <v>2164</v>
      </c>
      <c r="B284">
        <v>1</v>
      </c>
      <c r="C284" s="23" t="s">
        <v>408</v>
      </c>
      <c r="D284" s="23">
        <v>5</v>
      </c>
    </row>
    <row r="285" spans="1:4" ht="15" x14ac:dyDescent="0.25">
      <c r="A285" s="20">
        <v>2165</v>
      </c>
      <c r="B285">
        <v>1</v>
      </c>
      <c r="C285" s="23" t="s">
        <v>409</v>
      </c>
      <c r="D285" s="23">
        <v>5</v>
      </c>
    </row>
    <row r="286" spans="1:4" ht="15" x14ac:dyDescent="0.25">
      <c r="A286" s="20">
        <v>2167</v>
      </c>
      <c r="B286">
        <v>1</v>
      </c>
      <c r="C286" s="23" t="s">
        <v>410</v>
      </c>
      <c r="D286" s="23">
        <v>6</v>
      </c>
    </row>
    <row r="287" spans="1:4" ht="15" x14ac:dyDescent="0.25">
      <c r="A287" s="20">
        <v>2168</v>
      </c>
      <c r="B287">
        <v>1</v>
      </c>
      <c r="C287" s="23" t="s">
        <v>411</v>
      </c>
      <c r="D287" s="23">
        <v>6</v>
      </c>
    </row>
    <row r="288" spans="1:4" ht="15" x14ac:dyDescent="0.25">
      <c r="A288" s="20">
        <v>2169</v>
      </c>
      <c r="B288">
        <v>1</v>
      </c>
      <c r="C288" s="23" t="s">
        <v>412</v>
      </c>
      <c r="D288" s="23">
        <v>6</v>
      </c>
    </row>
    <row r="289" spans="1:4" ht="15" x14ac:dyDescent="0.25">
      <c r="A289" s="20">
        <v>2170</v>
      </c>
      <c r="B289">
        <v>1</v>
      </c>
      <c r="C289" s="23" t="s">
        <v>413</v>
      </c>
      <c r="D289" s="23">
        <v>5</v>
      </c>
    </row>
    <row r="290" spans="1:4" ht="15" x14ac:dyDescent="0.25">
      <c r="A290" s="20">
        <v>2171</v>
      </c>
      <c r="B290">
        <v>1</v>
      </c>
      <c r="C290" s="23" t="s">
        <v>414</v>
      </c>
      <c r="D290" s="23">
        <v>6</v>
      </c>
    </row>
    <row r="291" spans="1:4" ht="15" x14ac:dyDescent="0.25">
      <c r="A291" s="20">
        <v>2172</v>
      </c>
      <c r="B291">
        <v>1</v>
      </c>
      <c r="C291" s="23" t="s">
        <v>415</v>
      </c>
      <c r="D291" s="23">
        <v>6</v>
      </c>
    </row>
    <row r="292" spans="1:4" ht="15" x14ac:dyDescent="0.25">
      <c r="A292" s="20">
        <v>2174</v>
      </c>
      <c r="B292">
        <v>1</v>
      </c>
      <c r="C292" s="23" t="s">
        <v>416</v>
      </c>
      <c r="D292" s="23">
        <v>6</v>
      </c>
    </row>
    <row r="293" spans="1:4" ht="15" x14ac:dyDescent="0.25">
      <c r="A293" s="20">
        <v>2176</v>
      </c>
      <c r="B293">
        <v>1</v>
      </c>
      <c r="C293" s="23" t="s">
        <v>417</v>
      </c>
      <c r="D293" s="23">
        <v>6</v>
      </c>
    </row>
    <row r="294" spans="1:4" ht="15" x14ac:dyDescent="0.25">
      <c r="A294" s="20">
        <v>2180</v>
      </c>
      <c r="B294">
        <v>1</v>
      </c>
      <c r="C294" s="23" t="s">
        <v>418</v>
      </c>
      <c r="D294" s="23">
        <v>6</v>
      </c>
    </row>
    <row r="295" spans="1:4" ht="15" x14ac:dyDescent="0.25">
      <c r="A295" s="20">
        <v>2184</v>
      </c>
      <c r="B295">
        <v>1</v>
      </c>
      <c r="C295" s="23" t="s">
        <v>419</v>
      </c>
      <c r="D295" s="23">
        <v>5</v>
      </c>
    </row>
    <row r="296" spans="1:4" ht="15" x14ac:dyDescent="0.25">
      <c r="A296" s="20">
        <v>2190</v>
      </c>
      <c r="B296">
        <v>1</v>
      </c>
      <c r="C296" s="23" t="s">
        <v>6</v>
      </c>
      <c r="D296" s="23">
        <v>6</v>
      </c>
    </row>
    <row r="297" spans="1:4" ht="15" x14ac:dyDescent="0.25">
      <c r="A297" s="20">
        <v>2198</v>
      </c>
      <c r="B297">
        <v>1</v>
      </c>
      <c r="C297" s="23" t="s">
        <v>7</v>
      </c>
      <c r="D297" s="23">
        <v>6</v>
      </c>
    </row>
    <row r="298" spans="1:4" ht="15" x14ac:dyDescent="0.25">
      <c r="A298" s="20">
        <v>2215</v>
      </c>
      <c r="B298">
        <v>1</v>
      </c>
      <c r="C298" s="23" t="s">
        <v>420</v>
      </c>
      <c r="D298" s="23">
        <v>6</v>
      </c>
    </row>
    <row r="299" spans="1:4" ht="15" x14ac:dyDescent="0.25">
      <c r="A299" s="20">
        <v>2310</v>
      </c>
      <c r="B299">
        <v>1</v>
      </c>
      <c r="C299" s="23" t="s">
        <v>421</v>
      </c>
      <c r="D299" s="23">
        <v>5</v>
      </c>
    </row>
    <row r="300" spans="1:4" ht="15" x14ac:dyDescent="0.25">
      <c r="A300" s="20">
        <v>2311</v>
      </c>
      <c r="B300">
        <v>1</v>
      </c>
      <c r="C300" s="23" t="s">
        <v>422</v>
      </c>
      <c r="D300" s="23">
        <v>6</v>
      </c>
    </row>
    <row r="301" spans="1:4" ht="15" x14ac:dyDescent="0.25">
      <c r="A301" s="20">
        <v>2342</v>
      </c>
      <c r="B301">
        <v>1</v>
      </c>
      <c r="C301" s="23" t="s">
        <v>8</v>
      </c>
      <c r="D301" s="23">
        <v>6</v>
      </c>
    </row>
    <row r="302" spans="1:4" ht="15" x14ac:dyDescent="0.25">
      <c r="A302" s="20">
        <v>2358</v>
      </c>
      <c r="B302">
        <v>1</v>
      </c>
      <c r="C302" s="23" t="s">
        <v>423</v>
      </c>
      <c r="D302" s="23">
        <v>6</v>
      </c>
    </row>
    <row r="303" spans="1:4" ht="15" x14ac:dyDescent="0.25">
      <c r="A303" s="20">
        <v>2364</v>
      </c>
      <c r="B303">
        <v>1</v>
      </c>
      <c r="C303" s="23" t="s">
        <v>424</v>
      </c>
      <c r="D303" s="23">
        <v>6</v>
      </c>
    </row>
    <row r="304" spans="1:4" ht="15" x14ac:dyDescent="0.25">
      <c r="A304" s="20">
        <v>2365</v>
      </c>
      <c r="B304">
        <v>1</v>
      </c>
      <c r="C304" s="23" t="s">
        <v>9</v>
      </c>
      <c r="D304" s="23">
        <v>6</v>
      </c>
    </row>
    <row r="305" spans="1:4" ht="15" x14ac:dyDescent="0.25">
      <c r="A305" s="20">
        <v>2396</v>
      </c>
      <c r="B305">
        <v>1</v>
      </c>
      <c r="C305" s="23" t="s">
        <v>10</v>
      </c>
      <c r="D305" s="23">
        <v>6</v>
      </c>
    </row>
    <row r="306" spans="1:4" ht="15" x14ac:dyDescent="0.25">
      <c r="A306" s="20">
        <v>2397</v>
      </c>
      <c r="B306">
        <v>1</v>
      </c>
      <c r="C306" s="23" t="s">
        <v>425</v>
      </c>
      <c r="D306" s="23">
        <v>5</v>
      </c>
    </row>
    <row r="307" spans="1:4" ht="15" x14ac:dyDescent="0.25">
      <c r="A307" s="20">
        <v>2448</v>
      </c>
      <c r="B307">
        <v>1</v>
      </c>
      <c r="C307" s="23" t="s">
        <v>426</v>
      </c>
      <c r="D307" s="23">
        <v>6</v>
      </c>
    </row>
    <row r="308" spans="1:4" ht="15" x14ac:dyDescent="0.25">
      <c r="A308" s="20">
        <v>2527</v>
      </c>
      <c r="B308">
        <v>1</v>
      </c>
      <c r="C308" s="23" t="s">
        <v>427</v>
      </c>
      <c r="D308" s="23">
        <v>6</v>
      </c>
    </row>
    <row r="309" spans="1:4" ht="15" x14ac:dyDescent="0.25">
      <c r="A309" s="20">
        <v>2534</v>
      </c>
      <c r="B309">
        <v>1</v>
      </c>
      <c r="C309" s="23" t="s">
        <v>11</v>
      </c>
      <c r="D309" s="23">
        <v>6</v>
      </c>
    </row>
    <row r="310" spans="1:4" ht="15" x14ac:dyDescent="0.25">
      <c r="A310" s="20">
        <v>2536</v>
      </c>
      <c r="B310">
        <v>1</v>
      </c>
      <c r="C310" s="23" t="s">
        <v>428</v>
      </c>
      <c r="D310" s="23">
        <v>6</v>
      </c>
    </row>
    <row r="311" spans="1:4" ht="15" x14ac:dyDescent="0.25">
      <c r="A311" s="20">
        <v>2580</v>
      </c>
      <c r="B311">
        <v>1</v>
      </c>
      <c r="C311" s="23" t="s">
        <v>429</v>
      </c>
      <c r="D311" s="23">
        <v>6</v>
      </c>
    </row>
    <row r="312" spans="1:4" ht="15" x14ac:dyDescent="0.25">
      <c r="A312" s="20">
        <v>2609</v>
      </c>
      <c r="B312">
        <v>1</v>
      </c>
      <c r="C312" s="23" t="s">
        <v>430</v>
      </c>
      <c r="D312" s="23">
        <v>6</v>
      </c>
    </row>
    <row r="313" spans="1:4" ht="15" x14ac:dyDescent="0.25">
      <c r="A313" s="20">
        <v>2683</v>
      </c>
      <c r="B313">
        <v>1</v>
      </c>
      <c r="C313" s="23" t="s">
        <v>431</v>
      </c>
      <c r="D313" s="23">
        <v>6</v>
      </c>
    </row>
    <row r="314" spans="1:4" ht="15" x14ac:dyDescent="0.25">
      <c r="A314" s="20">
        <v>2687</v>
      </c>
      <c r="B314">
        <v>1</v>
      </c>
      <c r="C314" s="23" t="s">
        <v>12</v>
      </c>
      <c r="D314" s="23">
        <v>5</v>
      </c>
    </row>
    <row r="315" spans="1:4" ht="15" x14ac:dyDescent="0.25">
      <c r="A315" s="20">
        <v>2689</v>
      </c>
      <c r="B315">
        <v>1</v>
      </c>
      <c r="C315" s="23" t="s">
        <v>432</v>
      </c>
      <c r="D315" s="23">
        <v>5</v>
      </c>
    </row>
    <row r="316" spans="1:4" ht="15" x14ac:dyDescent="0.25">
      <c r="A316" s="20">
        <v>2711</v>
      </c>
      <c r="B316">
        <v>1</v>
      </c>
      <c r="C316" s="23" t="s">
        <v>433</v>
      </c>
      <c r="D316" s="23">
        <v>6</v>
      </c>
    </row>
    <row r="317" spans="1:4" ht="15" x14ac:dyDescent="0.25">
      <c r="A317" s="20">
        <v>2752</v>
      </c>
      <c r="B317">
        <v>1</v>
      </c>
      <c r="C317" s="23" t="s">
        <v>434</v>
      </c>
      <c r="D317" s="23">
        <v>5</v>
      </c>
    </row>
    <row r="318" spans="1:4" ht="15" x14ac:dyDescent="0.25">
      <c r="A318" s="20">
        <v>2753</v>
      </c>
      <c r="B318">
        <v>1</v>
      </c>
      <c r="C318" s="23" t="s">
        <v>435</v>
      </c>
      <c r="D318" s="23">
        <v>5</v>
      </c>
    </row>
    <row r="319" spans="1:4" ht="15" x14ac:dyDescent="0.25">
      <c r="A319" s="20">
        <v>2754</v>
      </c>
      <c r="B319">
        <v>1</v>
      </c>
      <c r="C319" s="23" t="s">
        <v>436</v>
      </c>
      <c r="D319" s="23">
        <v>6</v>
      </c>
    </row>
    <row r="320" spans="1:4" ht="15" x14ac:dyDescent="0.25">
      <c r="A320" s="20">
        <v>2759</v>
      </c>
      <c r="B320">
        <v>1</v>
      </c>
      <c r="C320" s="23" t="s">
        <v>437</v>
      </c>
      <c r="D320" s="23">
        <v>6</v>
      </c>
    </row>
    <row r="321" spans="1:4" ht="15" x14ac:dyDescent="0.25">
      <c r="A321" s="20">
        <v>2769</v>
      </c>
      <c r="B321">
        <v>1</v>
      </c>
      <c r="C321" s="23" t="s">
        <v>467</v>
      </c>
      <c r="D321" s="23">
        <v>6</v>
      </c>
    </row>
    <row r="322" spans="1:4" ht="15" x14ac:dyDescent="0.25">
      <c r="A322" s="20">
        <v>2805</v>
      </c>
      <c r="B322">
        <v>1</v>
      </c>
      <c r="C322" s="23" t="s">
        <v>438</v>
      </c>
      <c r="D322" s="23">
        <v>5</v>
      </c>
    </row>
    <row r="323" spans="1:4" ht="15" x14ac:dyDescent="0.25">
      <c r="A323" s="20">
        <v>2835</v>
      </c>
      <c r="B323">
        <v>1</v>
      </c>
      <c r="C323" s="23" t="s">
        <v>439</v>
      </c>
      <c r="D323" s="23">
        <v>6</v>
      </c>
    </row>
    <row r="324" spans="1:4" ht="15" x14ac:dyDescent="0.25">
      <c r="A324" s="20">
        <v>2853</v>
      </c>
      <c r="B324">
        <v>1</v>
      </c>
      <c r="C324" s="23" t="s">
        <v>440</v>
      </c>
      <c r="D324" s="23">
        <v>6</v>
      </c>
    </row>
    <row r="325" spans="1:4" ht="15" x14ac:dyDescent="0.25">
      <c r="A325" s="20">
        <v>2854</v>
      </c>
      <c r="B325">
        <v>1</v>
      </c>
      <c r="C325" s="23" t="s">
        <v>441</v>
      </c>
      <c r="D325" s="23">
        <v>6</v>
      </c>
    </row>
    <row r="326" spans="1:4" ht="15" x14ac:dyDescent="0.25">
      <c r="A326" s="20">
        <v>2856</v>
      </c>
      <c r="B326">
        <v>1</v>
      </c>
      <c r="C326" s="23" t="s">
        <v>442</v>
      </c>
      <c r="D326" s="23">
        <v>6</v>
      </c>
    </row>
    <row r="327" spans="1:4" ht="15" x14ac:dyDescent="0.25">
      <c r="A327" s="20">
        <v>2859</v>
      </c>
      <c r="B327">
        <v>1</v>
      </c>
      <c r="C327" s="23" t="s">
        <v>443</v>
      </c>
      <c r="D327" s="23">
        <v>5</v>
      </c>
    </row>
    <row r="328" spans="1:4" ht="15" x14ac:dyDescent="0.25">
      <c r="A328" s="20">
        <v>2860</v>
      </c>
      <c r="B328">
        <v>1</v>
      </c>
      <c r="C328" s="23" t="s">
        <v>444</v>
      </c>
      <c r="D328" s="23">
        <v>5</v>
      </c>
    </row>
    <row r="329" spans="1:4" ht="15" x14ac:dyDescent="0.25">
      <c r="A329" s="20">
        <v>2884</v>
      </c>
      <c r="B329">
        <v>1</v>
      </c>
      <c r="C329" s="23" t="s">
        <v>445</v>
      </c>
      <c r="D329" s="23">
        <v>6</v>
      </c>
    </row>
    <row r="330" spans="1:4" ht="15" x14ac:dyDescent="0.25">
      <c r="A330" s="20">
        <v>2886</v>
      </c>
      <c r="B330">
        <v>1</v>
      </c>
      <c r="C330" s="23" t="s">
        <v>446</v>
      </c>
      <c r="D330" s="23">
        <v>6</v>
      </c>
    </row>
    <row r="331" spans="1:4" ht="15" x14ac:dyDescent="0.25">
      <c r="A331" s="20">
        <v>2888</v>
      </c>
      <c r="B331">
        <v>1</v>
      </c>
      <c r="C331" s="23" t="s">
        <v>13</v>
      </c>
      <c r="D331" s="23">
        <v>6</v>
      </c>
    </row>
    <row r="332" spans="1:4" ht="15" x14ac:dyDescent="0.25">
      <c r="A332" s="20">
        <v>2889</v>
      </c>
      <c r="B332">
        <v>1</v>
      </c>
      <c r="C332" s="23" t="s">
        <v>447</v>
      </c>
      <c r="D332" s="23">
        <v>6</v>
      </c>
    </row>
    <row r="333" spans="1:4" ht="15" x14ac:dyDescent="0.25">
      <c r="A333" s="20">
        <v>2890</v>
      </c>
      <c r="B333">
        <v>1</v>
      </c>
      <c r="C333" s="23" t="s">
        <v>448</v>
      </c>
      <c r="D333" s="23">
        <v>6</v>
      </c>
    </row>
    <row r="334" spans="1:4" ht="15" x14ac:dyDescent="0.25">
      <c r="A334" s="20">
        <v>2895</v>
      </c>
      <c r="B334">
        <v>1</v>
      </c>
      <c r="C334" s="23" t="s">
        <v>449</v>
      </c>
      <c r="D334" s="23">
        <v>5</v>
      </c>
    </row>
    <row r="335" spans="1:4" ht="15" x14ac:dyDescent="0.25">
      <c r="A335" s="20">
        <v>2897</v>
      </c>
      <c r="B335">
        <v>1</v>
      </c>
      <c r="C335" s="23" t="s">
        <v>450</v>
      </c>
      <c r="D335" s="23">
        <v>5</v>
      </c>
    </row>
    <row r="336" spans="1:4" ht="15" x14ac:dyDescent="0.25">
      <c r="A336" s="20">
        <v>2898</v>
      </c>
      <c r="B336">
        <v>1</v>
      </c>
      <c r="C336" s="23" t="s">
        <v>451</v>
      </c>
      <c r="D336" s="23">
        <v>6</v>
      </c>
    </row>
    <row r="337" spans="1:4" ht="15" x14ac:dyDescent="0.25">
      <c r="A337" s="20">
        <v>2899</v>
      </c>
      <c r="B337">
        <v>1</v>
      </c>
      <c r="C337" s="23" t="s">
        <v>14</v>
      </c>
      <c r="D337" s="23">
        <v>5</v>
      </c>
    </row>
    <row r="338" spans="1:4" ht="15" x14ac:dyDescent="0.25">
      <c r="A338" s="20">
        <v>2902</v>
      </c>
      <c r="B338">
        <v>1</v>
      </c>
      <c r="C338" s="23" t="s">
        <v>452</v>
      </c>
      <c r="D338" s="23">
        <v>6</v>
      </c>
    </row>
    <row r="339" spans="1:4" ht="15" x14ac:dyDescent="0.25">
      <c r="A339" s="20">
        <v>2903</v>
      </c>
      <c r="B339">
        <v>1</v>
      </c>
      <c r="C339" s="23" t="s">
        <v>453</v>
      </c>
      <c r="D339" s="23">
        <v>6</v>
      </c>
    </row>
    <row r="340" spans="1:4" ht="15" x14ac:dyDescent="0.25">
      <c r="A340" s="20">
        <v>2904</v>
      </c>
      <c r="B340">
        <v>1</v>
      </c>
      <c r="C340" s="23" t="s">
        <v>454</v>
      </c>
      <c r="D340" s="23">
        <v>6</v>
      </c>
    </row>
    <row r="341" spans="1:4" ht="15" x14ac:dyDescent="0.25">
      <c r="A341" s="20">
        <v>2905</v>
      </c>
      <c r="B341">
        <v>1</v>
      </c>
      <c r="C341" s="23" t="s">
        <v>15</v>
      </c>
      <c r="D341" s="23">
        <v>5</v>
      </c>
    </row>
    <row r="342" spans="1:4" ht="15" x14ac:dyDescent="0.25">
      <c r="A342" s="20">
        <v>2906</v>
      </c>
      <c r="B342">
        <v>1</v>
      </c>
      <c r="C342" s="23" t="s">
        <v>468</v>
      </c>
      <c r="D342" s="23">
        <v>6</v>
      </c>
    </row>
    <row r="343" spans="1:4" ht="15" x14ac:dyDescent="0.25">
      <c r="A343" s="20">
        <v>2907</v>
      </c>
      <c r="B343">
        <v>1</v>
      </c>
      <c r="C343" s="23" t="s">
        <v>469</v>
      </c>
      <c r="D343" s="23">
        <v>6</v>
      </c>
    </row>
    <row r="344" spans="1:4" ht="15" x14ac:dyDescent="0.25">
      <c r="A344" s="20">
        <v>2908</v>
      </c>
      <c r="B344">
        <v>1</v>
      </c>
      <c r="C344" s="23" t="s">
        <v>470</v>
      </c>
      <c r="D344" s="23">
        <v>6</v>
      </c>
    </row>
    <row r="345" spans="1:4" ht="15" x14ac:dyDescent="0.25">
      <c r="A345" s="20">
        <v>3000</v>
      </c>
      <c r="B345">
        <v>1</v>
      </c>
      <c r="C345" s="23" t="s">
        <v>16</v>
      </c>
      <c r="D345" s="23">
        <v>9</v>
      </c>
    </row>
    <row r="346" spans="1:4" ht="15" x14ac:dyDescent="0.25">
      <c r="A346" s="20">
        <v>3999</v>
      </c>
      <c r="B346">
        <v>1</v>
      </c>
      <c r="C346" s="23" t="s">
        <v>17</v>
      </c>
      <c r="D346" s="23">
        <v>9</v>
      </c>
    </row>
    <row r="347" spans="1:4" ht="15" x14ac:dyDescent="0.25">
      <c r="A347" s="20">
        <v>4000</v>
      </c>
      <c r="B347">
        <v>7</v>
      </c>
      <c r="C347" s="23" t="s">
        <v>18</v>
      </c>
      <c r="D347" s="23">
        <v>7</v>
      </c>
    </row>
    <row r="348" spans="1:4" ht="15" x14ac:dyDescent="0.25">
      <c r="A348" s="20">
        <v>4001</v>
      </c>
      <c r="B348">
        <v>7</v>
      </c>
      <c r="C348" s="23" t="s">
        <v>19</v>
      </c>
      <c r="D348" s="23">
        <v>7</v>
      </c>
    </row>
    <row r="349" spans="1:4" ht="15" x14ac:dyDescent="0.25">
      <c r="A349" s="20">
        <v>4003</v>
      </c>
      <c r="B349">
        <v>7</v>
      </c>
      <c r="C349" s="23" t="s">
        <v>20</v>
      </c>
      <c r="D349" s="23">
        <v>7</v>
      </c>
    </row>
    <row r="350" spans="1:4" ht="15" x14ac:dyDescent="0.25">
      <c r="A350" s="20">
        <v>4004</v>
      </c>
      <c r="B350">
        <v>7</v>
      </c>
      <c r="C350" s="23" t="s">
        <v>471</v>
      </c>
      <c r="D350" s="23">
        <v>7</v>
      </c>
    </row>
    <row r="351" spans="1:4" ht="15" x14ac:dyDescent="0.25">
      <c r="A351" s="20">
        <v>4005</v>
      </c>
      <c r="B351">
        <v>7</v>
      </c>
      <c r="C351" s="23" t="s">
        <v>472</v>
      </c>
      <c r="D351" s="23">
        <v>7</v>
      </c>
    </row>
    <row r="352" spans="1:4" ht="15" x14ac:dyDescent="0.25">
      <c r="A352" s="20">
        <v>4007</v>
      </c>
      <c r="B352">
        <v>7</v>
      </c>
      <c r="C352" s="23" t="s">
        <v>21</v>
      </c>
      <c r="D352" s="23">
        <v>7</v>
      </c>
    </row>
    <row r="353" spans="1:4" ht="15" x14ac:dyDescent="0.25">
      <c r="A353" s="20">
        <v>4008</v>
      </c>
      <c r="B353">
        <v>7</v>
      </c>
      <c r="C353" s="23" t="s">
        <v>22</v>
      </c>
      <c r="D353" s="23">
        <v>7</v>
      </c>
    </row>
    <row r="354" spans="1:4" ht="15" x14ac:dyDescent="0.25">
      <c r="A354" s="20">
        <v>4011</v>
      </c>
      <c r="B354">
        <v>7</v>
      </c>
      <c r="C354" s="23" t="s">
        <v>23</v>
      </c>
      <c r="D354" s="23">
        <v>7</v>
      </c>
    </row>
    <row r="355" spans="1:4" ht="15" x14ac:dyDescent="0.25">
      <c r="A355" s="20">
        <v>4015</v>
      </c>
      <c r="B355">
        <v>7</v>
      </c>
      <c r="C355" s="23" t="s">
        <v>24</v>
      </c>
      <c r="D355" s="23">
        <v>7</v>
      </c>
    </row>
    <row r="356" spans="1:4" ht="15" x14ac:dyDescent="0.25">
      <c r="A356" s="20">
        <v>4016</v>
      </c>
      <c r="B356">
        <v>7</v>
      </c>
      <c r="C356" s="23" t="s">
        <v>25</v>
      </c>
      <c r="D356" s="23">
        <v>7</v>
      </c>
    </row>
    <row r="357" spans="1:4" ht="15" x14ac:dyDescent="0.25">
      <c r="A357" s="20">
        <v>4017</v>
      </c>
      <c r="B357">
        <v>7</v>
      </c>
      <c r="C357" s="23" t="s">
        <v>473</v>
      </c>
      <c r="D357" s="23">
        <v>7</v>
      </c>
    </row>
    <row r="358" spans="1:4" ht="15" x14ac:dyDescent="0.25">
      <c r="A358" s="20">
        <v>4018</v>
      </c>
      <c r="B358">
        <v>7</v>
      </c>
      <c r="C358" s="23" t="s">
        <v>26</v>
      </c>
      <c r="D358" s="23">
        <v>7</v>
      </c>
    </row>
    <row r="359" spans="1:4" ht="15" x14ac:dyDescent="0.25">
      <c r="A359" s="20">
        <v>4020</v>
      </c>
      <c r="B359">
        <v>7</v>
      </c>
      <c r="C359" s="23" t="s">
        <v>27</v>
      </c>
      <c r="D359" s="23">
        <v>7</v>
      </c>
    </row>
    <row r="360" spans="1:4" ht="15" x14ac:dyDescent="0.25">
      <c r="A360" s="20">
        <v>4025</v>
      </c>
      <c r="B360">
        <v>7</v>
      </c>
      <c r="C360" s="23" t="s">
        <v>28</v>
      </c>
      <c r="D360" s="23">
        <v>7</v>
      </c>
    </row>
    <row r="361" spans="1:4" ht="15" x14ac:dyDescent="0.25">
      <c r="A361" s="20">
        <v>4026</v>
      </c>
      <c r="B361">
        <v>7</v>
      </c>
      <c r="C361" s="23" t="s">
        <v>29</v>
      </c>
      <c r="D361" s="23">
        <v>7</v>
      </c>
    </row>
    <row r="362" spans="1:4" ht="15" x14ac:dyDescent="0.25">
      <c r="A362" s="20">
        <v>4027</v>
      </c>
      <c r="B362">
        <v>7</v>
      </c>
      <c r="C362" s="23" t="s">
        <v>30</v>
      </c>
      <c r="D362" s="23">
        <v>7</v>
      </c>
    </row>
    <row r="363" spans="1:4" ht="15" x14ac:dyDescent="0.25">
      <c r="A363" s="20">
        <v>4029</v>
      </c>
      <c r="B363">
        <v>7</v>
      </c>
      <c r="C363" s="23" t="s">
        <v>460</v>
      </c>
      <c r="D363" s="23">
        <v>7</v>
      </c>
    </row>
    <row r="364" spans="1:4" ht="15" x14ac:dyDescent="0.25">
      <c r="A364" s="20">
        <v>4030</v>
      </c>
      <c r="B364">
        <v>7</v>
      </c>
      <c r="C364" s="23" t="s">
        <v>461</v>
      </c>
      <c r="D364" s="23">
        <v>7</v>
      </c>
    </row>
    <row r="365" spans="1:4" ht="15" x14ac:dyDescent="0.25">
      <c r="A365" s="20">
        <v>4031</v>
      </c>
      <c r="B365">
        <v>7</v>
      </c>
      <c r="C365" s="23" t="s">
        <v>474</v>
      </c>
      <c r="D365" s="23">
        <v>7</v>
      </c>
    </row>
    <row r="366" spans="1:4" ht="15" x14ac:dyDescent="0.25">
      <c r="A366" s="20">
        <v>4032</v>
      </c>
      <c r="B366">
        <v>7</v>
      </c>
      <c r="C366" s="23" t="s">
        <v>475</v>
      </c>
      <c r="D366" s="23">
        <v>7</v>
      </c>
    </row>
    <row r="367" spans="1:4" ht="15" x14ac:dyDescent="0.25">
      <c r="A367" s="20">
        <v>4035</v>
      </c>
      <c r="B367">
        <v>7</v>
      </c>
      <c r="C367" s="23" t="s">
        <v>476</v>
      </c>
      <c r="D367" s="23">
        <v>7</v>
      </c>
    </row>
    <row r="368" spans="1:4" ht="15" x14ac:dyDescent="0.25">
      <c r="A368" s="20">
        <v>4036</v>
      </c>
      <c r="B368">
        <v>7</v>
      </c>
      <c r="C368" s="23" t="s">
        <v>31</v>
      </c>
      <c r="D368" s="23">
        <v>7</v>
      </c>
    </row>
    <row r="369" spans="1:4" ht="15" x14ac:dyDescent="0.25">
      <c r="A369" s="20">
        <v>4038</v>
      </c>
      <c r="B369">
        <v>7</v>
      </c>
      <c r="C369" s="23" t="s">
        <v>32</v>
      </c>
      <c r="D369" s="23">
        <v>7</v>
      </c>
    </row>
    <row r="370" spans="1:4" ht="15" x14ac:dyDescent="0.25">
      <c r="A370" s="20">
        <v>4039</v>
      </c>
      <c r="B370">
        <v>7</v>
      </c>
      <c r="C370" s="23" t="s">
        <v>33</v>
      </c>
      <c r="D370" s="23">
        <v>7</v>
      </c>
    </row>
    <row r="371" spans="1:4" ht="15" x14ac:dyDescent="0.25">
      <c r="A371" s="20">
        <v>4042</v>
      </c>
      <c r="B371">
        <v>7</v>
      </c>
      <c r="C371" s="23" t="s">
        <v>34</v>
      </c>
      <c r="D371" s="23">
        <v>7</v>
      </c>
    </row>
    <row r="372" spans="1:4" ht="15" x14ac:dyDescent="0.25">
      <c r="A372" s="20">
        <v>4043</v>
      </c>
      <c r="B372">
        <v>7</v>
      </c>
      <c r="C372" s="23" t="s">
        <v>35</v>
      </c>
      <c r="D372" s="23">
        <v>7</v>
      </c>
    </row>
    <row r="373" spans="1:4" ht="15" x14ac:dyDescent="0.25">
      <c r="A373" s="20">
        <v>4045</v>
      </c>
      <c r="B373">
        <v>7</v>
      </c>
      <c r="C373" s="23" t="s">
        <v>36</v>
      </c>
      <c r="D373" s="23">
        <v>7</v>
      </c>
    </row>
    <row r="374" spans="1:4" ht="15" x14ac:dyDescent="0.25">
      <c r="A374" s="20">
        <v>4049</v>
      </c>
      <c r="B374">
        <v>7</v>
      </c>
      <c r="C374" s="23" t="s">
        <v>462</v>
      </c>
      <c r="D374" s="23">
        <v>7</v>
      </c>
    </row>
    <row r="375" spans="1:4" ht="15" x14ac:dyDescent="0.25">
      <c r="A375" s="20">
        <v>4050</v>
      </c>
      <c r="B375">
        <v>7</v>
      </c>
      <c r="C375" s="23" t="s">
        <v>477</v>
      </c>
      <c r="D375" s="23">
        <v>7</v>
      </c>
    </row>
    <row r="376" spans="1:4" ht="15" x14ac:dyDescent="0.25">
      <c r="A376" s="20">
        <v>4052</v>
      </c>
      <c r="B376">
        <v>7</v>
      </c>
      <c r="C376" s="23" t="s">
        <v>478</v>
      </c>
      <c r="D376" s="23">
        <v>7</v>
      </c>
    </row>
    <row r="377" spans="1:4" ht="15" x14ac:dyDescent="0.25">
      <c r="A377" s="20">
        <v>4053</v>
      </c>
      <c r="B377">
        <v>7</v>
      </c>
      <c r="C377" s="23" t="s">
        <v>37</v>
      </c>
      <c r="D377" s="23">
        <v>7</v>
      </c>
    </row>
    <row r="378" spans="1:4" ht="15" x14ac:dyDescent="0.25">
      <c r="A378" s="20">
        <v>4054</v>
      </c>
      <c r="B378">
        <v>7</v>
      </c>
      <c r="C378" s="23" t="s">
        <v>38</v>
      </c>
      <c r="D378" s="23">
        <v>7</v>
      </c>
    </row>
    <row r="379" spans="1:4" ht="15" x14ac:dyDescent="0.25">
      <c r="A379" s="20">
        <v>4055</v>
      </c>
      <c r="B379">
        <v>7</v>
      </c>
      <c r="C379" s="23" t="s">
        <v>39</v>
      </c>
      <c r="D379" s="23">
        <v>7</v>
      </c>
    </row>
    <row r="380" spans="1:4" ht="15" x14ac:dyDescent="0.25">
      <c r="A380" s="20">
        <v>4056</v>
      </c>
      <c r="B380">
        <v>7</v>
      </c>
      <c r="C380" s="23" t="s">
        <v>479</v>
      </c>
      <c r="D380" s="23">
        <v>7</v>
      </c>
    </row>
    <row r="381" spans="1:4" ht="15" x14ac:dyDescent="0.25">
      <c r="A381" s="20">
        <v>4057</v>
      </c>
      <c r="B381">
        <v>7</v>
      </c>
      <c r="C381" s="23" t="s">
        <v>40</v>
      </c>
      <c r="D381" s="23">
        <v>7</v>
      </c>
    </row>
    <row r="382" spans="1:4" ht="15" x14ac:dyDescent="0.25">
      <c r="A382" s="20">
        <v>4058</v>
      </c>
      <c r="B382">
        <v>7</v>
      </c>
      <c r="C382" s="23" t="s">
        <v>480</v>
      </c>
      <c r="D382" s="23">
        <v>7</v>
      </c>
    </row>
    <row r="383" spans="1:4" ht="15" x14ac:dyDescent="0.25">
      <c r="A383" s="20">
        <v>4059</v>
      </c>
      <c r="B383">
        <v>7</v>
      </c>
      <c r="C383" s="23" t="s">
        <v>481</v>
      </c>
      <c r="D383" s="23">
        <v>7</v>
      </c>
    </row>
    <row r="384" spans="1:4" ht="15" x14ac:dyDescent="0.25">
      <c r="A384" s="20">
        <v>4064</v>
      </c>
      <c r="B384">
        <v>7</v>
      </c>
      <c r="C384" s="23" t="s">
        <v>482</v>
      </c>
      <c r="D384" s="23">
        <v>7</v>
      </c>
    </row>
    <row r="385" spans="1:4" ht="15" x14ac:dyDescent="0.25">
      <c r="A385" s="20">
        <v>4066</v>
      </c>
      <c r="B385">
        <v>7</v>
      </c>
      <c r="C385" s="23" t="s">
        <v>41</v>
      </c>
      <c r="D385" s="23">
        <v>7</v>
      </c>
    </row>
    <row r="386" spans="1:4" ht="15" x14ac:dyDescent="0.25">
      <c r="A386" s="20">
        <v>4067</v>
      </c>
      <c r="B386">
        <v>7</v>
      </c>
      <c r="C386" s="23" t="s">
        <v>42</v>
      </c>
      <c r="D386" s="23">
        <v>7</v>
      </c>
    </row>
    <row r="387" spans="1:4" ht="15" x14ac:dyDescent="0.25">
      <c r="A387" s="20">
        <v>4068</v>
      </c>
      <c r="B387">
        <v>7</v>
      </c>
      <c r="C387" s="23" t="s">
        <v>43</v>
      </c>
      <c r="D387" s="23">
        <v>7</v>
      </c>
    </row>
    <row r="388" spans="1:4" ht="15" x14ac:dyDescent="0.25">
      <c r="A388" s="20">
        <v>4070</v>
      </c>
      <c r="B388">
        <v>7</v>
      </c>
      <c r="C388" s="23" t="s">
        <v>44</v>
      </c>
      <c r="D388" s="23">
        <v>7</v>
      </c>
    </row>
    <row r="389" spans="1:4" ht="15" x14ac:dyDescent="0.25">
      <c r="A389" s="20">
        <v>4073</v>
      </c>
      <c r="B389">
        <v>7</v>
      </c>
      <c r="C389" s="23" t="s">
        <v>483</v>
      </c>
      <c r="D389" s="23">
        <v>7</v>
      </c>
    </row>
    <row r="390" spans="1:4" ht="15" x14ac:dyDescent="0.25">
      <c r="A390" s="20">
        <v>4074</v>
      </c>
      <c r="B390">
        <v>7</v>
      </c>
      <c r="C390" s="23" t="s">
        <v>484</v>
      </c>
      <c r="D390" s="23">
        <v>7</v>
      </c>
    </row>
    <row r="391" spans="1:4" ht="15" x14ac:dyDescent="0.25">
      <c r="A391" s="20">
        <v>4075</v>
      </c>
      <c r="B391">
        <v>7</v>
      </c>
      <c r="C391" s="23" t="s">
        <v>45</v>
      </c>
      <c r="D391" s="23">
        <v>7</v>
      </c>
    </row>
    <row r="392" spans="1:4" ht="15" x14ac:dyDescent="0.25">
      <c r="A392" s="20">
        <v>4077</v>
      </c>
      <c r="B392">
        <v>7</v>
      </c>
      <c r="C392" s="23" t="s">
        <v>485</v>
      </c>
      <c r="D392" s="23">
        <v>7</v>
      </c>
    </row>
    <row r="393" spans="1:4" ht="15" x14ac:dyDescent="0.25">
      <c r="A393" s="20">
        <v>4078</v>
      </c>
      <c r="B393">
        <v>7</v>
      </c>
      <c r="C393" s="23" t="s">
        <v>486</v>
      </c>
      <c r="D393" s="23">
        <v>7</v>
      </c>
    </row>
    <row r="394" spans="1:4" ht="15" x14ac:dyDescent="0.25">
      <c r="A394" s="20">
        <v>4079</v>
      </c>
      <c r="B394">
        <v>7</v>
      </c>
      <c r="C394" s="23" t="s">
        <v>487</v>
      </c>
      <c r="D394" s="23">
        <v>7</v>
      </c>
    </row>
    <row r="395" spans="1:4" ht="15" x14ac:dyDescent="0.25">
      <c r="A395" s="20">
        <v>4080</v>
      </c>
      <c r="B395">
        <v>7</v>
      </c>
      <c r="C395" s="23" t="s">
        <v>46</v>
      </c>
      <c r="D395" s="23">
        <v>7</v>
      </c>
    </row>
    <row r="396" spans="1:4" ht="15" x14ac:dyDescent="0.25">
      <c r="A396" s="20">
        <v>4081</v>
      </c>
      <c r="B396">
        <v>7</v>
      </c>
      <c r="C396" s="23" t="s">
        <v>488</v>
      </c>
      <c r="D396" s="23">
        <v>7</v>
      </c>
    </row>
    <row r="397" spans="1:4" ht="15" x14ac:dyDescent="0.25">
      <c r="A397" s="20">
        <v>4082</v>
      </c>
      <c r="B397">
        <v>7</v>
      </c>
      <c r="C397" s="23" t="s">
        <v>47</v>
      </c>
      <c r="D397" s="23">
        <v>7</v>
      </c>
    </row>
    <row r="398" spans="1:4" ht="15" x14ac:dyDescent="0.25">
      <c r="A398" s="20">
        <v>4083</v>
      </c>
      <c r="B398">
        <v>7</v>
      </c>
      <c r="C398" s="23" t="s">
        <v>48</v>
      </c>
      <c r="D398" s="23">
        <v>7</v>
      </c>
    </row>
    <row r="399" spans="1:4" ht="15" x14ac:dyDescent="0.25">
      <c r="A399" s="20">
        <v>4084</v>
      </c>
      <c r="B399">
        <v>7</v>
      </c>
      <c r="C399" s="23" t="s">
        <v>49</v>
      </c>
      <c r="D399" s="23">
        <v>7</v>
      </c>
    </row>
    <row r="400" spans="1:4" ht="15" x14ac:dyDescent="0.25">
      <c r="A400" s="20">
        <v>4085</v>
      </c>
      <c r="B400">
        <v>7</v>
      </c>
      <c r="C400" s="23" t="s">
        <v>489</v>
      </c>
      <c r="D400" s="23">
        <v>7</v>
      </c>
    </row>
    <row r="401" spans="1:4" ht="15" x14ac:dyDescent="0.25">
      <c r="A401" s="20">
        <v>4086</v>
      </c>
      <c r="B401">
        <v>7</v>
      </c>
      <c r="C401" s="23" t="s">
        <v>490</v>
      </c>
      <c r="D401" s="23">
        <v>7</v>
      </c>
    </row>
    <row r="402" spans="1:4" ht="15" x14ac:dyDescent="0.25">
      <c r="A402" s="20">
        <v>4087</v>
      </c>
      <c r="B402">
        <v>7</v>
      </c>
      <c r="C402" s="23" t="s">
        <v>50</v>
      </c>
      <c r="D402" s="23">
        <v>7</v>
      </c>
    </row>
    <row r="403" spans="1:4" ht="15" x14ac:dyDescent="0.25">
      <c r="A403" s="20">
        <v>4088</v>
      </c>
      <c r="B403">
        <v>7</v>
      </c>
      <c r="C403" s="23" t="s">
        <v>51</v>
      </c>
      <c r="D403" s="23">
        <v>7</v>
      </c>
    </row>
    <row r="404" spans="1:4" ht="15" x14ac:dyDescent="0.25">
      <c r="A404" s="20">
        <v>4089</v>
      </c>
      <c r="B404">
        <v>7</v>
      </c>
      <c r="C404" s="23" t="s">
        <v>52</v>
      </c>
      <c r="D404" s="23">
        <v>7</v>
      </c>
    </row>
    <row r="405" spans="1:4" ht="15" x14ac:dyDescent="0.25">
      <c r="A405" s="20">
        <v>4090</v>
      </c>
      <c r="B405">
        <v>7</v>
      </c>
      <c r="C405" s="23" t="s">
        <v>53</v>
      </c>
      <c r="D405" s="23">
        <v>7</v>
      </c>
    </row>
    <row r="406" spans="1:4" ht="15" x14ac:dyDescent="0.25">
      <c r="A406" s="20">
        <v>4091</v>
      </c>
      <c r="B406">
        <v>7</v>
      </c>
      <c r="C406" s="23" t="s">
        <v>54</v>
      </c>
      <c r="D406" s="23">
        <v>7</v>
      </c>
    </row>
    <row r="407" spans="1:4" ht="15" x14ac:dyDescent="0.25">
      <c r="A407" s="20">
        <v>4092</v>
      </c>
      <c r="B407">
        <v>7</v>
      </c>
      <c r="C407" s="23" t="s">
        <v>55</v>
      </c>
      <c r="D407" s="23">
        <v>7</v>
      </c>
    </row>
    <row r="408" spans="1:4" ht="15" x14ac:dyDescent="0.25">
      <c r="A408" s="20">
        <v>4093</v>
      </c>
      <c r="B408">
        <v>7</v>
      </c>
      <c r="C408" s="23" t="s">
        <v>56</v>
      </c>
      <c r="D408" s="23">
        <v>7</v>
      </c>
    </row>
    <row r="409" spans="1:4" ht="15" x14ac:dyDescent="0.25">
      <c r="A409" s="20">
        <v>4095</v>
      </c>
      <c r="B409">
        <v>7</v>
      </c>
      <c r="C409" s="23" t="s">
        <v>491</v>
      </c>
      <c r="D409" s="23">
        <v>7</v>
      </c>
    </row>
    <row r="410" spans="1:4" ht="15" x14ac:dyDescent="0.25">
      <c r="A410" s="20">
        <v>4097</v>
      </c>
      <c r="B410">
        <v>7</v>
      </c>
      <c r="C410" s="23" t="s">
        <v>57</v>
      </c>
      <c r="D410" s="23">
        <v>7</v>
      </c>
    </row>
    <row r="411" spans="1:4" ht="15" x14ac:dyDescent="0.25">
      <c r="A411" s="20">
        <v>4098</v>
      </c>
      <c r="B411">
        <v>7</v>
      </c>
      <c r="C411" s="23" t="s">
        <v>58</v>
      </c>
      <c r="D411" s="23">
        <v>7</v>
      </c>
    </row>
    <row r="412" spans="1:4" ht="15" x14ac:dyDescent="0.25">
      <c r="A412" s="20">
        <v>4100</v>
      </c>
      <c r="B412">
        <v>7</v>
      </c>
      <c r="C412" s="23" t="s">
        <v>59</v>
      </c>
      <c r="D412" s="23">
        <v>7</v>
      </c>
    </row>
    <row r="413" spans="1:4" ht="15" x14ac:dyDescent="0.25">
      <c r="A413" s="20">
        <v>4102</v>
      </c>
      <c r="B413">
        <v>7</v>
      </c>
      <c r="C413" s="23" t="s">
        <v>60</v>
      </c>
      <c r="D413" s="23">
        <v>7</v>
      </c>
    </row>
    <row r="414" spans="1:4" ht="15" x14ac:dyDescent="0.25">
      <c r="A414" s="20">
        <v>4103</v>
      </c>
      <c r="B414">
        <v>7</v>
      </c>
      <c r="C414" s="23" t="s">
        <v>463</v>
      </c>
      <c r="D414" s="23">
        <v>7</v>
      </c>
    </row>
    <row r="415" spans="1:4" ht="15" x14ac:dyDescent="0.25">
      <c r="A415" s="20">
        <v>4104</v>
      </c>
      <c r="B415">
        <v>7</v>
      </c>
      <c r="C415" s="23" t="s">
        <v>464</v>
      </c>
      <c r="D415" s="23">
        <v>7</v>
      </c>
    </row>
    <row r="416" spans="1:4" ht="15" x14ac:dyDescent="0.25">
      <c r="A416" s="20">
        <v>4105</v>
      </c>
      <c r="B416">
        <v>7</v>
      </c>
      <c r="C416" s="23" t="s">
        <v>61</v>
      </c>
      <c r="D416" s="23">
        <v>7</v>
      </c>
    </row>
    <row r="417" spans="1:4" ht="15" x14ac:dyDescent="0.25">
      <c r="A417" s="20">
        <v>4106</v>
      </c>
      <c r="B417">
        <v>7</v>
      </c>
      <c r="C417" s="23" t="s">
        <v>62</v>
      </c>
      <c r="D417" s="23">
        <v>7</v>
      </c>
    </row>
    <row r="418" spans="1:4" ht="15" x14ac:dyDescent="0.25">
      <c r="A418" s="20">
        <v>4107</v>
      </c>
      <c r="B418">
        <v>7</v>
      </c>
      <c r="C418" s="23" t="s">
        <v>63</v>
      </c>
      <c r="D418" s="23">
        <v>7</v>
      </c>
    </row>
    <row r="419" spans="1:4" ht="15" x14ac:dyDescent="0.25">
      <c r="A419" s="20">
        <v>4108</v>
      </c>
      <c r="B419">
        <v>7</v>
      </c>
      <c r="C419" s="23" t="s">
        <v>492</v>
      </c>
      <c r="D419" s="23">
        <v>7</v>
      </c>
    </row>
    <row r="420" spans="1:4" ht="15" x14ac:dyDescent="0.25">
      <c r="A420" s="20">
        <v>4109</v>
      </c>
      <c r="B420">
        <v>7</v>
      </c>
      <c r="C420" s="23" t="s">
        <v>64</v>
      </c>
      <c r="D420" s="23">
        <v>7</v>
      </c>
    </row>
    <row r="421" spans="1:4" ht="15" x14ac:dyDescent="0.25">
      <c r="A421" s="20">
        <v>4110</v>
      </c>
      <c r="B421">
        <v>7</v>
      </c>
      <c r="C421" s="23" t="s">
        <v>493</v>
      </c>
      <c r="D421" s="23">
        <v>7</v>
      </c>
    </row>
    <row r="422" spans="1:4" ht="15" x14ac:dyDescent="0.25">
      <c r="A422" s="20">
        <v>4111</v>
      </c>
      <c r="B422">
        <v>7</v>
      </c>
      <c r="C422" s="23" t="s">
        <v>494</v>
      </c>
      <c r="D422" s="23">
        <v>7</v>
      </c>
    </row>
    <row r="423" spans="1:4" ht="15" x14ac:dyDescent="0.25">
      <c r="A423" s="20">
        <v>4112</v>
      </c>
      <c r="B423">
        <v>7</v>
      </c>
      <c r="C423" s="23" t="s">
        <v>495</v>
      </c>
      <c r="D423" s="23">
        <v>7</v>
      </c>
    </row>
    <row r="424" spans="1:4" ht="15" x14ac:dyDescent="0.25">
      <c r="A424" s="20">
        <v>4113</v>
      </c>
      <c r="B424">
        <v>7</v>
      </c>
      <c r="C424" s="23" t="s">
        <v>65</v>
      </c>
      <c r="D424" s="23">
        <v>7</v>
      </c>
    </row>
    <row r="425" spans="1:4" ht="15" x14ac:dyDescent="0.25">
      <c r="A425" s="20">
        <v>4115</v>
      </c>
      <c r="B425">
        <v>7</v>
      </c>
      <c r="C425" s="23" t="s">
        <v>496</v>
      </c>
      <c r="D425" s="23">
        <v>7</v>
      </c>
    </row>
    <row r="426" spans="1:4" ht="15" x14ac:dyDescent="0.25">
      <c r="A426" s="20">
        <v>4116</v>
      </c>
      <c r="B426">
        <v>7</v>
      </c>
      <c r="C426" s="23" t="s">
        <v>497</v>
      </c>
      <c r="D426" s="23">
        <v>7</v>
      </c>
    </row>
    <row r="427" spans="1:4" ht="15" x14ac:dyDescent="0.25">
      <c r="A427" s="20">
        <v>4118</v>
      </c>
      <c r="B427">
        <v>7</v>
      </c>
      <c r="C427" s="23" t="s">
        <v>66</v>
      </c>
      <c r="D427" s="23">
        <v>7</v>
      </c>
    </row>
    <row r="428" spans="1:4" ht="15" x14ac:dyDescent="0.25">
      <c r="A428" s="20">
        <v>4119</v>
      </c>
      <c r="B428">
        <v>7</v>
      </c>
      <c r="C428" s="23" t="s">
        <v>67</v>
      </c>
      <c r="D428" s="23">
        <v>7</v>
      </c>
    </row>
    <row r="429" spans="1:4" ht="15" x14ac:dyDescent="0.25">
      <c r="A429" s="20">
        <v>4120</v>
      </c>
      <c r="B429">
        <v>7</v>
      </c>
      <c r="C429" s="23" t="s">
        <v>68</v>
      </c>
      <c r="D429" s="23">
        <v>7</v>
      </c>
    </row>
    <row r="430" spans="1:4" ht="15" x14ac:dyDescent="0.25">
      <c r="A430" s="20">
        <v>4121</v>
      </c>
      <c r="B430">
        <v>7</v>
      </c>
      <c r="C430" s="23" t="s">
        <v>498</v>
      </c>
      <c r="D430" s="23">
        <v>7</v>
      </c>
    </row>
    <row r="431" spans="1:4" ht="15" x14ac:dyDescent="0.25">
      <c r="A431" s="20">
        <v>4122</v>
      </c>
      <c r="B431">
        <v>7</v>
      </c>
      <c r="C431" s="23" t="s">
        <v>499</v>
      </c>
      <c r="D431" s="23">
        <v>7</v>
      </c>
    </row>
    <row r="432" spans="1:4" ht="15" x14ac:dyDescent="0.25">
      <c r="A432" s="20">
        <v>4123</v>
      </c>
      <c r="B432">
        <v>7</v>
      </c>
      <c r="C432" s="23" t="s">
        <v>500</v>
      </c>
      <c r="D432" s="23">
        <v>7</v>
      </c>
    </row>
    <row r="433" spans="1:4" ht="15" x14ac:dyDescent="0.25">
      <c r="A433" s="20">
        <v>4124</v>
      </c>
      <c r="B433">
        <v>7</v>
      </c>
      <c r="C433" s="23" t="s">
        <v>69</v>
      </c>
      <c r="D433" s="23">
        <v>7</v>
      </c>
    </row>
    <row r="434" spans="1:4" ht="15" x14ac:dyDescent="0.25">
      <c r="A434" s="20">
        <v>4126</v>
      </c>
      <c r="B434">
        <v>7</v>
      </c>
      <c r="C434" s="23" t="s">
        <v>70</v>
      </c>
      <c r="D434" s="23">
        <v>7</v>
      </c>
    </row>
    <row r="435" spans="1:4" ht="15" x14ac:dyDescent="0.25">
      <c r="A435" s="20">
        <v>4127</v>
      </c>
      <c r="B435">
        <v>7</v>
      </c>
      <c r="C435" s="23" t="s">
        <v>71</v>
      </c>
      <c r="D435" s="23">
        <v>7</v>
      </c>
    </row>
    <row r="436" spans="1:4" ht="15" x14ac:dyDescent="0.25">
      <c r="A436" s="20">
        <v>4131</v>
      </c>
      <c r="B436">
        <v>7</v>
      </c>
      <c r="C436" s="23" t="s">
        <v>72</v>
      </c>
      <c r="D436" s="23">
        <v>7</v>
      </c>
    </row>
    <row r="437" spans="1:4" ht="15" x14ac:dyDescent="0.25">
      <c r="A437" s="20">
        <v>4132</v>
      </c>
      <c r="B437">
        <v>7</v>
      </c>
      <c r="C437" s="23" t="s">
        <v>73</v>
      </c>
      <c r="D437" s="23">
        <v>7</v>
      </c>
    </row>
    <row r="438" spans="1:4" ht="15" x14ac:dyDescent="0.25">
      <c r="A438" s="20">
        <v>4133</v>
      </c>
      <c r="B438">
        <v>7</v>
      </c>
      <c r="C438" s="23" t="s">
        <v>74</v>
      </c>
      <c r="D438" s="23">
        <v>7</v>
      </c>
    </row>
    <row r="439" spans="1:4" ht="15" x14ac:dyDescent="0.25">
      <c r="A439" s="20">
        <v>4135</v>
      </c>
      <c r="B439">
        <v>7</v>
      </c>
      <c r="C439" s="23" t="s">
        <v>465</v>
      </c>
      <c r="D439" s="23">
        <v>7</v>
      </c>
    </row>
    <row r="440" spans="1:4" ht="15" x14ac:dyDescent="0.25">
      <c r="A440" s="20">
        <v>4137</v>
      </c>
      <c r="B440">
        <v>7</v>
      </c>
      <c r="C440" s="23" t="s">
        <v>501</v>
      </c>
      <c r="D440" s="23">
        <v>7</v>
      </c>
    </row>
    <row r="441" spans="1:4" ht="15" x14ac:dyDescent="0.25">
      <c r="A441" s="20">
        <v>4138</v>
      </c>
      <c r="B441">
        <v>7</v>
      </c>
      <c r="C441" s="23" t="s">
        <v>75</v>
      </c>
      <c r="D441" s="23">
        <v>7</v>
      </c>
    </row>
    <row r="442" spans="1:4" ht="15" x14ac:dyDescent="0.25">
      <c r="A442" s="20">
        <v>4139</v>
      </c>
      <c r="B442">
        <v>7</v>
      </c>
      <c r="C442" s="23" t="s">
        <v>76</v>
      </c>
      <c r="D442" s="23">
        <v>7</v>
      </c>
    </row>
    <row r="443" spans="1:4" ht="15" x14ac:dyDescent="0.25">
      <c r="A443" s="20">
        <v>4140</v>
      </c>
      <c r="B443">
        <v>7</v>
      </c>
      <c r="C443" s="23" t="s">
        <v>77</v>
      </c>
      <c r="D443" s="23">
        <v>7</v>
      </c>
    </row>
    <row r="444" spans="1:4" ht="15" x14ac:dyDescent="0.25">
      <c r="A444" s="20">
        <v>4141</v>
      </c>
      <c r="B444">
        <v>7</v>
      </c>
      <c r="C444" s="23" t="s">
        <v>78</v>
      </c>
      <c r="D444" s="23">
        <v>7</v>
      </c>
    </row>
    <row r="445" spans="1:4" ht="15" x14ac:dyDescent="0.25">
      <c r="A445" s="20">
        <v>4142</v>
      </c>
      <c r="B445">
        <v>7</v>
      </c>
      <c r="C445" s="23" t="s">
        <v>79</v>
      </c>
      <c r="D445" s="23">
        <v>7</v>
      </c>
    </row>
    <row r="446" spans="1:4" ht="15" x14ac:dyDescent="0.25">
      <c r="A446" s="20">
        <v>4143</v>
      </c>
      <c r="B446">
        <v>7</v>
      </c>
      <c r="C446" s="23" t="s">
        <v>502</v>
      </c>
      <c r="D446" s="23">
        <v>7</v>
      </c>
    </row>
    <row r="447" spans="1:4" ht="15" x14ac:dyDescent="0.25">
      <c r="A447" s="20">
        <v>4144</v>
      </c>
      <c r="B447">
        <v>7</v>
      </c>
      <c r="C447" s="23" t="s">
        <v>80</v>
      </c>
      <c r="D447" s="23">
        <v>7</v>
      </c>
    </row>
    <row r="448" spans="1:4" ht="15" x14ac:dyDescent="0.25">
      <c r="A448" s="20">
        <v>4145</v>
      </c>
      <c r="B448">
        <v>7</v>
      </c>
      <c r="C448" s="23" t="s">
        <v>81</v>
      </c>
      <c r="D448" s="23">
        <v>7</v>
      </c>
    </row>
    <row r="449" spans="1:4" ht="15" x14ac:dyDescent="0.25">
      <c r="A449" s="20">
        <v>4146</v>
      </c>
      <c r="B449">
        <v>7</v>
      </c>
      <c r="C449" s="23" t="s">
        <v>503</v>
      </c>
      <c r="D449" s="23">
        <v>7</v>
      </c>
    </row>
    <row r="450" spans="1:4" ht="15" x14ac:dyDescent="0.25">
      <c r="A450" s="20">
        <v>4150</v>
      </c>
      <c r="B450">
        <v>7</v>
      </c>
      <c r="C450" s="23" t="s">
        <v>82</v>
      </c>
      <c r="D450" s="23">
        <v>7</v>
      </c>
    </row>
    <row r="451" spans="1:4" ht="15" x14ac:dyDescent="0.25">
      <c r="A451" s="20">
        <v>4151</v>
      </c>
      <c r="B451">
        <v>7</v>
      </c>
      <c r="C451" s="23" t="s">
        <v>83</v>
      </c>
      <c r="D451" s="23">
        <v>7</v>
      </c>
    </row>
    <row r="452" spans="1:4" ht="15" x14ac:dyDescent="0.25">
      <c r="A452" s="20">
        <v>4152</v>
      </c>
      <c r="B452">
        <v>7</v>
      </c>
      <c r="C452" s="23" t="s">
        <v>504</v>
      </c>
      <c r="D452" s="23">
        <v>7</v>
      </c>
    </row>
    <row r="453" spans="1:4" ht="15" x14ac:dyDescent="0.25">
      <c r="A453" s="20">
        <v>4153</v>
      </c>
      <c r="B453">
        <v>7</v>
      </c>
      <c r="C453" s="23" t="s">
        <v>84</v>
      </c>
      <c r="D453" s="23">
        <v>7</v>
      </c>
    </row>
    <row r="454" spans="1:4" ht="15" x14ac:dyDescent="0.25">
      <c r="A454" s="20">
        <v>4155</v>
      </c>
      <c r="B454">
        <v>7</v>
      </c>
      <c r="C454" s="23" t="s">
        <v>505</v>
      </c>
      <c r="D454" s="23">
        <v>7</v>
      </c>
    </row>
    <row r="455" spans="1:4" ht="15" x14ac:dyDescent="0.25">
      <c r="A455" s="20">
        <v>4159</v>
      </c>
      <c r="B455">
        <v>7</v>
      </c>
      <c r="C455" s="23" t="s">
        <v>85</v>
      </c>
      <c r="D455" s="23">
        <v>7</v>
      </c>
    </row>
    <row r="456" spans="1:4" ht="15" x14ac:dyDescent="0.25">
      <c r="A456" s="20">
        <v>4160</v>
      </c>
      <c r="B456">
        <v>7</v>
      </c>
      <c r="C456" s="23" t="s">
        <v>86</v>
      </c>
      <c r="D456" s="23">
        <v>7</v>
      </c>
    </row>
    <row r="457" spans="1:4" ht="15" x14ac:dyDescent="0.25">
      <c r="A457" s="20">
        <v>4161</v>
      </c>
      <c r="B457">
        <v>7</v>
      </c>
      <c r="C457" s="23" t="s">
        <v>87</v>
      </c>
      <c r="D457" s="23">
        <v>7</v>
      </c>
    </row>
    <row r="458" spans="1:4" ht="15" x14ac:dyDescent="0.25">
      <c r="A458" s="20">
        <v>4162</v>
      </c>
      <c r="B458">
        <v>7</v>
      </c>
      <c r="C458" s="23" t="s">
        <v>88</v>
      </c>
      <c r="D458" s="23">
        <v>7</v>
      </c>
    </row>
    <row r="459" spans="1:4" ht="15" x14ac:dyDescent="0.25">
      <c r="A459" s="20">
        <v>4163</v>
      </c>
      <c r="B459">
        <v>7</v>
      </c>
      <c r="C459" s="23" t="s">
        <v>89</v>
      </c>
      <c r="D459" s="23">
        <v>7</v>
      </c>
    </row>
    <row r="460" spans="1:4" ht="15" x14ac:dyDescent="0.25">
      <c r="A460" s="20">
        <v>4164</v>
      </c>
      <c r="B460">
        <v>7</v>
      </c>
      <c r="C460" s="23" t="s">
        <v>90</v>
      </c>
      <c r="D460" s="23">
        <v>7</v>
      </c>
    </row>
    <row r="461" spans="1:4" ht="15" x14ac:dyDescent="0.25">
      <c r="A461" s="20">
        <v>4166</v>
      </c>
      <c r="B461">
        <v>7</v>
      </c>
      <c r="C461" s="23" t="s">
        <v>91</v>
      </c>
      <c r="D461" s="23">
        <v>7</v>
      </c>
    </row>
    <row r="462" spans="1:4" ht="15" x14ac:dyDescent="0.25">
      <c r="A462" s="20">
        <v>4167</v>
      </c>
      <c r="B462">
        <v>7</v>
      </c>
      <c r="C462" s="23" t="s">
        <v>92</v>
      </c>
      <c r="D462" s="23">
        <v>7</v>
      </c>
    </row>
    <row r="463" spans="1:4" ht="15" x14ac:dyDescent="0.25">
      <c r="A463" s="20">
        <v>4168</v>
      </c>
      <c r="B463">
        <v>7</v>
      </c>
      <c r="C463" s="23" t="s">
        <v>93</v>
      </c>
      <c r="D463" s="23">
        <v>7</v>
      </c>
    </row>
    <row r="464" spans="1:4" ht="15" x14ac:dyDescent="0.25">
      <c r="A464" s="20">
        <v>4169</v>
      </c>
      <c r="B464">
        <v>7</v>
      </c>
      <c r="C464" s="23" t="s">
        <v>506</v>
      </c>
      <c r="D464" s="23">
        <v>7</v>
      </c>
    </row>
    <row r="465" spans="1:4" ht="15" x14ac:dyDescent="0.25">
      <c r="A465" s="20">
        <v>4170</v>
      </c>
      <c r="B465">
        <v>7</v>
      </c>
      <c r="C465" s="23" t="s">
        <v>94</v>
      </c>
      <c r="D465" s="23">
        <v>7</v>
      </c>
    </row>
    <row r="466" spans="1:4" ht="15" x14ac:dyDescent="0.25">
      <c r="A466" s="20">
        <v>4171</v>
      </c>
      <c r="B466">
        <v>7</v>
      </c>
      <c r="C466" s="23" t="s">
        <v>95</v>
      </c>
      <c r="D466" s="23">
        <v>7</v>
      </c>
    </row>
    <row r="467" spans="1:4" ht="15" x14ac:dyDescent="0.25">
      <c r="A467" s="20">
        <v>4172</v>
      </c>
      <c r="B467">
        <v>7</v>
      </c>
      <c r="C467" s="23" t="s">
        <v>96</v>
      </c>
      <c r="D467" s="23">
        <v>7</v>
      </c>
    </row>
    <row r="468" spans="1:4" ht="15" x14ac:dyDescent="0.25">
      <c r="A468" s="20">
        <v>4173</v>
      </c>
      <c r="B468">
        <v>7</v>
      </c>
      <c r="C468" s="23" t="s">
        <v>97</v>
      </c>
      <c r="D468" s="23">
        <v>7</v>
      </c>
    </row>
    <row r="469" spans="1:4" ht="15" x14ac:dyDescent="0.25">
      <c r="A469" s="20">
        <v>4174</v>
      </c>
      <c r="B469">
        <v>7</v>
      </c>
      <c r="C469" s="23" t="s">
        <v>98</v>
      </c>
      <c r="D469" s="23">
        <v>7</v>
      </c>
    </row>
    <row r="470" spans="1:4" ht="15" x14ac:dyDescent="0.25">
      <c r="A470" s="20">
        <v>4177</v>
      </c>
      <c r="B470">
        <v>7</v>
      </c>
      <c r="C470" s="23" t="s">
        <v>99</v>
      </c>
      <c r="D470" s="23">
        <v>7</v>
      </c>
    </row>
    <row r="471" spans="1:4" ht="15" x14ac:dyDescent="0.25">
      <c r="A471" s="20">
        <v>4178</v>
      </c>
      <c r="B471">
        <v>7</v>
      </c>
      <c r="C471" s="23" t="s">
        <v>100</v>
      </c>
      <c r="D471" s="23">
        <v>7</v>
      </c>
    </row>
    <row r="472" spans="1:4" ht="15" x14ac:dyDescent="0.25">
      <c r="A472" s="20">
        <v>4180</v>
      </c>
      <c r="B472">
        <v>7</v>
      </c>
      <c r="C472" s="23" t="s">
        <v>101</v>
      </c>
      <c r="D472" s="23">
        <v>7</v>
      </c>
    </row>
    <row r="473" spans="1:4" ht="15" x14ac:dyDescent="0.25">
      <c r="A473" s="20">
        <v>4181</v>
      </c>
      <c r="B473">
        <v>7</v>
      </c>
      <c r="C473" s="23" t="s">
        <v>102</v>
      </c>
      <c r="D473" s="23">
        <v>7</v>
      </c>
    </row>
    <row r="474" spans="1:4" ht="15" x14ac:dyDescent="0.25">
      <c r="A474" s="20">
        <v>4182</v>
      </c>
      <c r="B474">
        <v>7</v>
      </c>
      <c r="C474" s="23" t="s">
        <v>103</v>
      </c>
      <c r="D474" s="23">
        <v>7</v>
      </c>
    </row>
    <row r="475" spans="1:4" ht="15" x14ac:dyDescent="0.25">
      <c r="A475" s="20">
        <v>4183</v>
      </c>
      <c r="B475">
        <v>7</v>
      </c>
      <c r="C475" s="23" t="s">
        <v>104</v>
      </c>
      <c r="D475" s="23">
        <v>7</v>
      </c>
    </row>
    <row r="476" spans="1:4" ht="15" x14ac:dyDescent="0.25">
      <c r="A476" s="20">
        <v>4184</v>
      </c>
      <c r="B476">
        <v>7</v>
      </c>
      <c r="C476" s="23" t="s">
        <v>105</v>
      </c>
      <c r="D476" s="23">
        <v>7</v>
      </c>
    </row>
    <row r="477" spans="1:4" ht="15" x14ac:dyDescent="0.25">
      <c r="A477" s="20">
        <v>4185</v>
      </c>
      <c r="B477">
        <v>7</v>
      </c>
      <c r="C477" s="23" t="s">
        <v>106</v>
      </c>
      <c r="D477" s="23">
        <v>7</v>
      </c>
    </row>
    <row r="478" spans="1:4" ht="15" x14ac:dyDescent="0.25">
      <c r="A478" s="20">
        <v>4186</v>
      </c>
      <c r="B478">
        <v>7</v>
      </c>
      <c r="C478" s="23" t="s">
        <v>107</v>
      </c>
      <c r="D478" s="23">
        <v>7</v>
      </c>
    </row>
    <row r="479" spans="1:4" ht="15" x14ac:dyDescent="0.25">
      <c r="A479" s="20">
        <v>4187</v>
      </c>
      <c r="B479">
        <v>7</v>
      </c>
      <c r="C479" s="23" t="s">
        <v>108</v>
      </c>
      <c r="D479" s="23">
        <v>7</v>
      </c>
    </row>
    <row r="480" spans="1:4" ht="15" x14ac:dyDescent="0.25">
      <c r="A480" s="20">
        <v>4188</v>
      </c>
      <c r="B480">
        <v>7</v>
      </c>
      <c r="C480" s="23" t="s">
        <v>109</v>
      </c>
      <c r="D480" s="23">
        <v>7</v>
      </c>
    </row>
    <row r="481" spans="1:4" ht="15" x14ac:dyDescent="0.25">
      <c r="A481" s="20">
        <v>4189</v>
      </c>
      <c r="B481">
        <v>7</v>
      </c>
      <c r="C481" s="23" t="s">
        <v>110</v>
      </c>
      <c r="D481" s="23">
        <v>7</v>
      </c>
    </row>
    <row r="482" spans="1:4" ht="15" x14ac:dyDescent="0.25">
      <c r="A482" s="20">
        <v>4190</v>
      </c>
      <c r="B482">
        <v>7</v>
      </c>
      <c r="C482" s="23" t="s">
        <v>507</v>
      </c>
      <c r="D482" s="23">
        <v>7</v>
      </c>
    </row>
    <row r="483" spans="1:4" ht="15" x14ac:dyDescent="0.25">
      <c r="A483" s="20">
        <v>4191</v>
      </c>
      <c r="B483">
        <v>7</v>
      </c>
      <c r="C483" s="23" t="s">
        <v>111</v>
      </c>
      <c r="D483" s="23">
        <v>7</v>
      </c>
    </row>
    <row r="484" spans="1:4" ht="15" x14ac:dyDescent="0.25">
      <c r="A484" s="20">
        <v>4192</v>
      </c>
      <c r="B484">
        <v>7</v>
      </c>
      <c r="C484" s="23" t="s">
        <v>112</v>
      </c>
      <c r="D484" s="23">
        <v>7</v>
      </c>
    </row>
    <row r="485" spans="1:4" ht="15" x14ac:dyDescent="0.25">
      <c r="A485" s="20">
        <v>4193</v>
      </c>
      <c r="B485">
        <v>7</v>
      </c>
      <c r="C485" s="23" t="s">
        <v>508</v>
      </c>
      <c r="D485" s="23">
        <v>7</v>
      </c>
    </row>
    <row r="486" spans="1:4" ht="15" x14ac:dyDescent="0.25">
      <c r="A486" s="20">
        <v>4194</v>
      </c>
      <c r="B486">
        <v>7</v>
      </c>
      <c r="C486" s="23" t="s">
        <v>113</v>
      </c>
      <c r="D486" s="23">
        <v>7</v>
      </c>
    </row>
    <row r="487" spans="1:4" ht="15" x14ac:dyDescent="0.25">
      <c r="A487" s="20">
        <v>4195</v>
      </c>
      <c r="B487">
        <v>7</v>
      </c>
      <c r="C487" s="23" t="s">
        <v>459</v>
      </c>
      <c r="D487" s="23">
        <v>7</v>
      </c>
    </row>
    <row r="488" spans="1:4" ht="15" x14ac:dyDescent="0.25">
      <c r="A488" s="20">
        <v>4197</v>
      </c>
      <c r="B488">
        <v>7</v>
      </c>
      <c r="C488" s="23" t="s">
        <v>114</v>
      </c>
      <c r="D488" s="23">
        <v>7</v>
      </c>
    </row>
    <row r="489" spans="1:4" ht="15" x14ac:dyDescent="0.25">
      <c r="A489" s="20">
        <v>4198</v>
      </c>
      <c r="B489">
        <v>7</v>
      </c>
      <c r="C489" s="23" t="s">
        <v>115</v>
      </c>
      <c r="D489" s="23">
        <v>7</v>
      </c>
    </row>
    <row r="490" spans="1:4" ht="15" x14ac:dyDescent="0.25">
      <c r="A490" s="20">
        <v>4199</v>
      </c>
      <c r="B490">
        <v>7</v>
      </c>
      <c r="C490" s="23" t="s">
        <v>116</v>
      </c>
      <c r="D490" s="23">
        <v>7</v>
      </c>
    </row>
    <row r="491" spans="1:4" ht="15" x14ac:dyDescent="0.25">
      <c r="A491" s="20">
        <v>4200</v>
      </c>
      <c r="B491">
        <v>7</v>
      </c>
      <c r="C491" s="23" t="s">
        <v>117</v>
      </c>
      <c r="D491" s="23">
        <v>7</v>
      </c>
    </row>
    <row r="492" spans="1:4" ht="15" x14ac:dyDescent="0.25">
      <c r="A492" s="20">
        <v>4201</v>
      </c>
      <c r="B492">
        <v>7</v>
      </c>
      <c r="C492" s="23" t="s">
        <v>455</v>
      </c>
      <c r="D492" s="23">
        <v>7</v>
      </c>
    </row>
    <row r="493" spans="1:4" ht="15" x14ac:dyDescent="0.25">
      <c r="A493" s="20">
        <v>4202</v>
      </c>
      <c r="B493">
        <v>7</v>
      </c>
      <c r="C493" s="23" t="s">
        <v>118</v>
      </c>
      <c r="D493" s="23">
        <v>7</v>
      </c>
    </row>
    <row r="494" spans="1:4" ht="15" x14ac:dyDescent="0.25">
      <c r="A494" s="20">
        <v>4203</v>
      </c>
      <c r="B494">
        <v>7</v>
      </c>
      <c r="C494" s="23" t="s">
        <v>119</v>
      </c>
      <c r="D494" s="23">
        <v>7</v>
      </c>
    </row>
    <row r="495" spans="1:4" ht="15" x14ac:dyDescent="0.25">
      <c r="A495" s="20">
        <v>4204</v>
      </c>
      <c r="B495">
        <v>7</v>
      </c>
      <c r="C495" s="23" t="s">
        <v>120</v>
      </c>
      <c r="D495" s="23">
        <v>7</v>
      </c>
    </row>
    <row r="496" spans="1:4" ht="15" x14ac:dyDescent="0.25">
      <c r="A496" s="20">
        <v>4205</v>
      </c>
      <c r="B496">
        <v>7</v>
      </c>
      <c r="C496" s="23" t="s">
        <v>121</v>
      </c>
      <c r="D496" s="23">
        <v>7</v>
      </c>
    </row>
    <row r="497" spans="1:4" ht="15" x14ac:dyDescent="0.25">
      <c r="A497" s="20">
        <v>4207</v>
      </c>
      <c r="B497">
        <v>7</v>
      </c>
      <c r="C497" s="23" t="s">
        <v>509</v>
      </c>
      <c r="D497" s="23">
        <v>7</v>
      </c>
    </row>
    <row r="498" spans="1:4" ht="15" x14ac:dyDescent="0.25">
      <c r="A498" s="20">
        <v>4208</v>
      </c>
      <c r="B498">
        <v>7</v>
      </c>
      <c r="C498" s="23" t="s">
        <v>122</v>
      </c>
      <c r="D498" s="23">
        <v>7</v>
      </c>
    </row>
    <row r="499" spans="1:4" ht="15" x14ac:dyDescent="0.25">
      <c r="A499" s="20">
        <v>4209</v>
      </c>
      <c r="B499">
        <v>7</v>
      </c>
      <c r="C499" s="23" t="s">
        <v>123</v>
      </c>
      <c r="D499" s="23">
        <v>7</v>
      </c>
    </row>
    <row r="500" spans="1:4" ht="15" x14ac:dyDescent="0.25">
      <c r="A500" s="20">
        <v>4210</v>
      </c>
      <c r="B500">
        <v>7</v>
      </c>
      <c r="C500" s="23" t="s">
        <v>510</v>
      </c>
      <c r="D500" s="23">
        <v>7</v>
      </c>
    </row>
    <row r="501" spans="1:4" ht="15" x14ac:dyDescent="0.25">
      <c r="A501" s="20">
        <v>4211</v>
      </c>
      <c r="B501">
        <v>7</v>
      </c>
      <c r="C501" s="23" t="s">
        <v>511</v>
      </c>
      <c r="D501" s="23">
        <v>7</v>
      </c>
    </row>
    <row r="502" spans="1:4" ht="15" x14ac:dyDescent="0.25">
      <c r="A502" s="20">
        <v>4212</v>
      </c>
      <c r="B502">
        <v>7</v>
      </c>
      <c r="C502" s="23" t="s">
        <v>512</v>
      </c>
      <c r="D502" s="23">
        <v>7</v>
      </c>
    </row>
    <row r="503" spans="1:4" ht="15" x14ac:dyDescent="0.25">
      <c r="A503" s="20">
        <v>4213</v>
      </c>
      <c r="B503">
        <v>7</v>
      </c>
      <c r="C503" s="23" t="s">
        <v>513</v>
      </c>
      <c r="D503" s="23">
        <v>7</v>
      </c>
    </row>
    <row r="504" spans="1:4" ht="15" x14ac:dyDescent="0.25">
      <c r="A504" s="20">
        <v>4214</v>
      </c>
      <c r="B504">
        <v>7</v>
      </c>
      <c r="C504" s="23" t="s">
        <v>514</v>
      </c>
      <c r="D504" s="23">
        <v>7</v>
      </c>
    </row>
    <row r="505" spans="1:4" ht="15" x14ac:dyDescent="0.25">
      <c r="A505" s="20">
        <v>4218</v>
      </c>
      <c r="B505">
        <v>7</v>
      </c>
      <c r="C505" s="23" t="s">
        <v>515</v>
      </c>
      <c r="D505" s="23">
        <v>7</v>
      </c>
    </row>
    <row r="506" spans="1:4" ht="15" x14ac:dyDescent="0.25">
      <c r="A506" s="20">
        <v>4999</v>
      </c>
      <c r="B506">
        <v>7</v>
      </c>
      <c r="C506" s="23" t="s">
        <v>124</v>
      </c>
      <c r="D506" s="23">
        <v>7</v>
      </c>
    </row>
    <row r="507" spans="1:4" ht="15" x14ac:dyDescent="0.25">
      <c r="A507" s="20">
        <v>6000</v>
      </c>
      <c r="B507">
        <v>62</v>
      </c>
      <c r="C507" s="23" t="s">
        <v>516</v>
      </c>
      <c r="D507" s="23">
        <v>24</v>
      </c>
    </row>
  </sheetData>
  <printOptions gridLines="1"/>
  <pageMargins left="0.7" right="0.7" top="0.75" bottom="0.85" header="0.3" footer="0.3"/>
  <pageSetup scale="94" fitToHeight="15" orientation="landscape" r:id="rId1"/>
  <headerFooter>
    <oddHeader>&amp;LMDE 
Education Finance Division&amp;C               FY 2015 E-12 EDUCATION REVENUE PER ADM:  GOVERNOR VS CURRENT LAW&amp;R4/24/2013</oddHeader>
    <oddFooter>&amp;L&amp;10Note:  100% of the levy portion and 31% of the aid portion of Integration Revenue for Minneapolis, St. Paul, and
            Duluth school districts is recognized one year earlier than what is shown on this report.
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19"/>
  <sheetViews>
    <sheetView zoomScaleNormal="100" workbookViewId="0">
      <pane xSplit="5" ySplit="17" topLeftCell="F18" activePane="bottomRight" state="frozen"/>
      <selection pane="topRight" activeCell="F1" sqref="F1"/>
      <selection pane="bottomLeft" activeCell="A18" sqref="A18"/>
      <selection pane="bottomRight"/>
    </sheetView>
  </sheetViews>
  <sheetFormatPr defaultColWidth="0" defaultRowHeight="16.5" zeroHeight="1" x14ac:dyDescent="0.3"/>
  <cols>
    <col min="1" max="1" width="5.85546875" style="21" bestFit="1" customWidth="1"/>
    <col min="2" max="2" width="3.5703125" style="21" hidden="1" customWidth="1"/>
    <col min="3" max="3" width="21.85546875" style="21" customWidth="1"/>
    <col min="4" max="4" width="3.5703125" style="21" hidden="1" customWidth="1"/>
    <col min="5" max="5" width="6.85546875" style="21" bestFit="1" customWidth="1"/>
    <col min="6" max="6" width="9.5703125" style="21" bestFit="1" customWidth="1"/>
    <col min="7" max="8" width="8.7109375" style="21" bestFit="1" customWidth="1"/>
    <col min="9" max="10" width="9.5703125" style="21" bestFit="1" customWidth="1"/>
    <col min="11" max="11" width="8.7109375" style="21" bestFit="1" customWidth="1"/>
    <col min="12" max="14" width="9.5703125" style="21" bestFit="1" customWidth="1"/>
    <col min="15" max="15" width="10.85546875" style="21" bestFit="1" customWidth="1"/>
    <col min="16" max="17" width="9.5703125" style="21" bestFit="1" customWidth="1"/>
    <col min="18" max="18" width="8.140625" style="21" bestFit="1" customWidth="1"/>
    <col min="19" max="19" width="5.28515625" style="21" bestFit="1" customWidth="1"/>
    <col min="20" max="20" width="4.85546875" style="21" bestFit="1" customWidth="1"/>
    <col min="21" max="23" width="9.140625" style="21" customWidth="1"/>
    <col min="24" max="16384" width="9.140625" style="21" hidden="1"/>
  </cols>
  <sheetData>
    <row r="1" spans="1:23" s="122" customFormat="1" ht="20.25" thickBot="1" x14ac:dyDescent="0.35">
      <c r="A1" s="120" t="s">
        <v>543</v>
      </c>
      <c r="B1" s="59"/>
      <c r="C1" s="120" t="s">
        <v>543</v>
      </c>
      <c r="D1" s="59"/>
      <c r="E1" s="120" t="s">
        <v>543</v>
      </c>
      <c r="F1" s="129" t="s">
        <v>533</v>
      </c>
      <c r="G1" s="121"/>
      <c r="H1" s="121"/>
      <c r="I1" s="121"/>
      <c r="J1" s="121"/>
      <c r="K1" s="121"/>
      <c r="L1" s="121"/>
      <c r="M1" s="123" t="s">
        <v>543</v>
      </c>
      <c r="N1" s="123" t="s">
        <v>543</v>
      </c>
      <c r="O1" s="123" t="s">
        <v>543</v>
      </c>
      <c r="P1" s="123" t="s">
        <v>543</v>
      </c>
      <c r="Q1" s="123" t="s">
        <v>543</v>
      </c>
      <c r="R1" s="123" t="s">
        <v>543</v>
      </c>
      <c r="S1" s="123" t="s">
        <v>543</v>
      </c>
      <c r="T1" s="124" t="s">
        <v>543</v>
      </c>
      <c r="U1" s="148" t="s">
        <v>546</v>
      </c>
      <c r="V1" s="148" t="s">
        <v>546</v>
      </c>
      <c r="W1" s="148" t="s">
        <v>546</v>
      </c>
    </row>
    <row r="2" spans="1:23" s="66" customFormat="1" ht="12.75" x14ac:dyDescent="0.2">
      <c r="A2" s="120" t="s">
        <v>543</v>
      </c>
      <c r="B2" s="120" t="s">
        <v>543</v>
      </c>
      <c r="C2" s="120" t="s">
        <v>543</v>
      </c>
      <c r="D2" s="60"/>
      <c r="E2" s="61"/>
      <c r="F2" s="128" t="s">
        <v>543</v>
      </c>
      <c r="G2" s="126" t="s">
        <v>543</v>
      </c>
      <c r="H2" s="127" t="s">
        <v>543</v>
      </c>
      <c r="I2" s="64" t="s">
        <v>528</v>
      </c>
      <c r="J2" s="62" t="s">
        <v>528</v>
      </c>
      <c r="K2" s="63" t="s">
        <v>528</v>
      </c>
      <c r="L2" s="64" t="s">
        <v>128</v>
      </c>
      <c r="M2" s="68" t="s">
        <v>128</v>
      </c>
      <c r="N2" s="69" t="s">
        <v>128</v>
      </c>
      <c r="O2" s="70" t="s">
        <v>127</v>
      </c>
      <c r="P2" s="68" t="s">
        <v>127</v>
      </c>
      <c r="Q2" s="69" t="s">
        <v>127</v>
      </c>
      <c r="R2" s="68" t="s">
        <v>127</v>
      </c>
      <c r="S2" s="68" t="s">
        <v>127</v>
      </c>
      <c r="T2" s="71" t="s">
        <v>127</v>
      </c>
    </row>
    <row r="3" spans="1:23" s="66" customFormat="1" ht="12.75" x14ac:dyDescent="0.2">
      <c r="A3" s="120" t="s">
        <v>543</v>
      </c>
      <c r="B3" s="120" t="s">
        <v>543</v>
      </c>
      <c r="C3" s="120" t="s">
        <v>543</v>
      </c>
      <c r="D3" s="60"/>
      <c r="E3" s="67" t="s">
        <v>525</v>
      </c>
      <c r="F3" s="67" t="s">
        <v>125</v>
      </c>
      <c r="G3" s="68" t="s">
        <v>125</v>
      </c>
      <c r="H3" s="69" t="s">
        <v>125</v>
      </c>
      <c r="I3" s="70" t="s">
        <v>125</v>
      </c>
      <c r="J3" s="68" t="s">
        <v>529</v>
      </c>
      <c r="K3" s="69" t="s">
        <v>125</v>
      </c>
      <c r="L3" s="70" t="s">
        <v>129</v>
      </c>
      <c r="M3" s="68" t="s">
        <v>129</v>
      </c>
      <c r="N3" s="69" t="s">
        <v>129</v>
      </c>
      <c r="O3" s="70" t="s">
        <v>526</v>
      </c>
      <c r="P3" s="68" t="s">
        <v>526</v>
      </c>
      <c r="Q3" s="69" t="s">
        <v>526</v>
      </c>
      <c r="R3" s="68" t="s">
        <v>541</v>
      </c>
      <c r="S3" s="68" t="s">
        <v>534</v>
      </c>
      <c r="T3" s="71" t="s">
        <v>535</v>
      </c>
    </row>
    <row r="4" spans="1:23" s="66" customFormat="1" ht="13.5" thickBot="1" x14ac:dyDescent="0.25">
      <c r="A4" s="120" t="s">
        <v>543</v>
      </c>
      <c r="B4" s="120" t="s">
        <v>543</v>
      </c>
      <c r="C4" s="120" t="s">
        <v>543</v>
      </c>
      <c r="D4" s="60"/>
      <c r="E4" s="72" t="s">
        <v>3</v>
      </c>
      <c r="F4" s="72" t="s">
        <v>0</v>
      </c>
      <c r="G4" s="73" t="s">
        <v>1</v>
      </c>
      <c r="H4" s="74" t="s">
        <v>2</v>
      </c>
      <c r="I4" s="75" t="s">
        <v>0</v>
      </c>
      <c r="J4" s="73" t="s">
        <v>1</v>
      </c>
      <c r="K4" s="74" t="s">
        <v>2</v>
      </c>
      <c r="L4" s="75" t="s">
        <v>0</v>
      </c>
      <c r="M4" s="73" t="s">
        <v>1</v>
      </c>
      <c r="N4" s="74" t="s">
        <v>2</v>
      </c>
      <c r="O4" s="75" t="s">
        <v>0</v>
      </c>
      <c r="P4" s="73" t="s">
        <v>1</v>
      </c>
      <c r="Q4" s="74" t="s">
        <v>2</v>
      </c>
      <c r="R4" s="73" t="s">
        <v>542</v>
      </c>
      <c r="S4" s="73" t="s">
        <v>537</v>
      </c>
      <c r="T4" s="76" t="s">
        <v>537</v>
      </c>
    </row>
    <row r="5" spans="1:23" s="66" customFormat="1" ht="12.75" x14ac:dyDescent="0.2">
      <c r="A5" s="120" t="s">
        <v>544</v>
      </c>
      <c r="B5" s="120" t="s">
        <v>543</v>
      </c>
      <c r="C5" s="120"/>
      <c r="E5" s="77"/>
      <c r="F5" s="77"/>
      <c r="G5" s="78"/>
      <c r="H5" s="79"/>
      <c r="I5" s="80"/>
      <c r="J5" s="78"/>
      <c r="K5" s="79"/>
      <c r="L5" s="80"/>
      <c r="M5" s="78"/>
      <c r="N5" s="79"/>
      <c r="O5" s="80"/>
      <c r="P5" s="78"/>
      <c r="Q5" s="79"/>
      <c r="R5" s="78"/>
      <c r="S5" s="78"/>
      <c r="T5" s="81"/>
    </row>
    <row r="6" spans="1:23" s="66" customFormat="1" ht="12.75" x14ac:dyDescent="0.2">
      <c r="A6" s="120" t="s">
        <v>543</v>
      </c>
      <c r="B6" s="87"/>
      <c r="C6" s="86" t="s">
        <v>531</v>
      </c>
      <c r="D6" s="87"/>
      <c r="E6" s="88">
        <f>SUM(E18:E514)</f>
        <v>921112</v>
      </c>
      <c r="F6" s="88">
        <f>SUM(F18:F514)</f>
        <v>106775552</v>
      </c>
      <c r="G6" s="89">
        <f>SUM(G18:G514)</f>
        <v>78879395</v>
      </c>
      <c r="H6" s="90">
        <f>SUM(H18:H514)</f>
        <v>27896157</v>
      </c>
      <c r="I6" s="91">
        <f t="shared" ref="I6:Q6" si="0">SUM(I18:I514)</f>
        <v>245125421</v>
      </c>
      <c r="J6" s="89">
        <f t="shared" si="0"/>
        <v>207462464</v>
      </c>
      <c r="K6" s="90">
        <f t="shared" si="0"/>
        <v>37662957</v>
      </c>
      <c r="L6" s="91">
        <f t="shared" si="0"/>
        <v>781257518</v>
      </c>
      <c r="M6" s="89">
        <f t="shared" si="0"/>
        <v>597059968</v>
      </c>
      <c r="N6" s="90">
        <f t="shared" si="0"/>
        <v>184197550</v>
      </c>
      <c r="O6" s="91">
        <f>SUM(O18:O514)</f>
        <v>1133158491</v>
      </c>
      <c r="P6" s="89">
        <f t="shared" si="0"/>
        <v>883401827</v>
      </c>
      <c r="Q6" s="90">
        <f t="shared" si="0"/>
        <v>249756664</v>
      </c>
      <c r="R6" s="89">
        <f>+IF($E6=0, 0, O6/$E6)</f>
        <v>1230.2070660245442</v>
      </c>
      <c r="S6" s="89">
        <f>+IF($E6=0, 0, P6/$E6)</f>
        <v>959.06016532191529</v>
      </c>
      <c r="T6" s="92">
        <f>+IF($E6=0, 0, Q6/$E6)</f>
        <v>271.14690070262901</v>
      </c>
    </row>
    <row r="7" spans="1:23" s="66" customFormat="1" ht="13.5" thickBot="1" x14ac:dyDescent="0.25">
      <c r="A7" s="120" t="s">
        <v>544</v>
      </c>
      <c r="C7" s="120"/>
      <c r="E7" s="77"/>
      <c r="F7" s="77"/>
      <c r="G7" s="78"/>
      <c r="H7" s="79"/>
      <c r="I7" s="80"/>
      <c r="J7" s="78"/>
      <c r="K7" s="79"/>
      <c r="L7" s="80"/>
      <c r="M7" s="78"/>
      <c r="N7" s="79"/>
      <c r="O7" s="80"/>
      <c r="P7" s="78"/>
      <c r="Q7" s="79"/>
      <c r="R7" s="78"/>
      <c r="S7" s="78"/>
      <c r="T7" s="81"/>
    </row>
    <row r="8" spans="1:23" s="66" customFormat="1" ht="12.75" x14ac:dyDescent="0.2">
      <c r="A8" s="139" t="s">
        <v>543</v>
      </c>
      <c r="B8" s="94"/>
      <c r="C8" s="94" t="s">
        <v>130</v>
      </c>
      <c r="D8" s="94">
        <v>1</v>
      </c>
      <c r="E8" s="96">
        <f t="shared" ref="E8:N16" si="1">SUMIF($D$18:$D$514,$D8,E$18:E$514)</f>
        <v>80335</v>
      </c>
      <c r="F8" s="96">
        <f t="shared" si="1"/>
        <v>4016730</v>
      </c>
      <c r="G8" s="97">
        <f t="shared" si="1"/>
        <v>3409709</v>
      </c>
      <c r="H8" s="98">
        <f t="shared" si="1"/>
        <v>607021</v>
      </c>
      <c r="I8" s="99">
        <f t="shared" si="1"/>
        <v>34061870</v>
      </c>
      <c r="J8" s="97">
        <f t="shared" si="1"/>
        <v>28914332</v>
      </c>
      <c r="K8" s="98">
        <f t="shared" si="1"/>
        <v>5147538</v>
      </c>
      <c r="L8" s="99">
        <f t="shared" si="1"/>
        <v>82021892</v>
      </c>
      <c r="M8" s="97">
        <f t="shared" si="1"/>
        <v>67568650</v>
      </c>
      <c r="N8" s="98">
        <f t="shared" si="1"/>
        <v>14453242</v>
      </c>
      <c r="O8" s="99">
        <f>+F8+I8+L8</f>
        <v>120100492</v>
      </c>
      <c r="P8" s="97">
        <f>+G8+J8+M8</f>
        <v>99892691</v>
      </c>
      <c r="Q8" s="98">
        <f t="shared" ref="Q8:Q16" si="2">+H8+K8+N8</f>
        <v>20207801</v>
      </c>
      <c r="R8" s="97">
        <f t="shared" ref="R8:T14" si="3">+IF($E8=0, 0, O8/$E8)</f>
        <v>1494.9958548577831</v>
      </c>
      <c r="S8" s="97">
        <f t="shared" si="3"/>
        <v>1243.4516835750296</v>
      </c>
      <c r="T8" s="100">
        <f t="shared" si="3"/>
        <v>251.54417128275347</v>
      </c>
    </row>
    <row r="9" spans="1:23" s="66" customFormat="1" ht="12.75" x14ac:dyDescent="0.2">
      <c r="A9" s="140" t="s">
        <v>543</v>
      </c>
      <c r="B9" s="110"/>
      <c r="C9" s="110" t="s">
        <v>131</v>
      </c>
      <c r="D9" s="110">
        <v>2</v>
      </c>
      <c r="E9" s="104">
        <f t="shared" si="1"/>
        <v>95296</v>
      </c>
      <c r="F9" s="104">
        <f t="shared" si="1"/>
        <v>10087609</v>
      </c>
      <c r="G9" s="105">
        <f t="shared" si="1"/>
        <v>9084281</v>
      </c>
      <c r="H9" s="106">
        <f t="shared" si="1"/>
        <v>1003328</v>
      </c>
      <c r="I9" s="107">
        <f t="shared" si="1"/>
        <v>40405271</v>
      </c>
      <c r="J9" s="105">
        <f t="shared" si="1"/>
        <v>37193191</v>
      </c>
      <c r="K9" s="106">
        <f t="shared" si="1"/>
        <v>3212080</v>
      </c>
      <c r="L9" s="107">
        <f t="shared" si="1"/>
        <v>106269709</v>
      </c>
      <c r="M9" s="105">
        <f t="shared" si="1"/>
        <v>94440497</v>
      </c>
      <c r="N9" s="106">
        <f t="shared" si="1"/>
        <v>11829212</v>
      </c>
      <c r="O9" s="107">
        <f t="shared" ref="O9:P16" si="4">+F9+I9+L9</f>
        <v>156762589</v>
      </c>
      <c r="P9" s="105">
        <f t="shared" si="4"/>
        <v>140717969</v>
      </c>
      <c r="Q9" s="106">
        <f t="shared" si="2"/>
        <v>16044620</v>
      </c>
      <c r="R9" s="105">
        <f t="shared" si="3"/>
        <v>1645.007020231699</v>
      </c>
      <c r="S9" s="105">
        <f t="shared" si="3"/>
        <v>1476.6408768468771</v>
      </c>
      <c r="T9" s="108">
        <f t="shared" si="3"/>
        <v>168.36614338482204</v>
      </c>
    </row>
    <row r="10" spans="1:23" s="66" customFormat="1" ht="12.75" x14ac:dyDescent="0.2">
      <c r="A10" s="140" t="s">
        <v>543</v>
      </c>
      <c r="B10" s="110"/>
      <c r="C10" s="110" t="s">
        <v>132</v>
      </c>
      <c r="D10" s="110">
        <v>3</v>
      </c>
      <c r="E10" s="104">
        <f t="shared" si="1"/>
        <v>286862</v>
      </c>
      <c r="F10" s="104">
        <f t="shared" si="1"/>
        <v>32447767</v>
      </c>
      <c r="G10" s="105">
        <f t="shared" si="1"/>
        <v>28447251</v>
      </c>
      <c r="H10" s="106">
        <f t="shared" si="1"/>
        <v>4000516</v>
      </c>
      <c r="I10" s="107">
        <f t="shared" si="1"/>
        <v>121629744</v>
      </c>
      <c r="J10" s="105">
        <f t="shared" si="1"/>
        <v>108437428</v>
      </c>
      <c r="K10" s="106">
        <f t="shared" si="1"/>
        <v>13192316</v>
      </c>
      <c r="L10" s="107">
        <f t="shared" si="1"/>
        <v>284810801</v>
      </c>
      <c r="M10" s="105">
        <f t="shared" si="1"/>
        <v>241082865</v>
      </c>
      <c r="N10" s="106">
        <f t="shared" si="1"/>
        <v>43727936</v>
      </c>
      <c r="O10" s="107">
        <f t="shared" si="4"/>
        <v>438888312</v>
      </c>
      <c r="P10" s="105">
        <f t="shared" si="4"/>
        <v>377967544</v>
      </c>
      <c r="Q10" s="106">
        <f t="shared" si="2"/>
        <v>60920768</v>
      </c>
      <c r="R10" s="105">
        <f t="shared" si="3"/>
        <v>1529.9632297062699</v>
      </c>
      <c r="S10" s="105">
        <f t="shared" si="3"/>
        <v>1317.5936303867365</v>
      </c>
      <c r="T10" s="108">
        <f t="shared" si="3"/>
        <v>212.36959931953342</v>
      </c>
    </row>
    <row r="11" spans="1:23" s="66" customFormat="1" ht="12.75" x14ac:dyDescent="0.2">
      <c r="A11" s="140" t="s">
        <v>543</v>
      </c>
      <c r="B11" s="110"/>
      <c r="C11" s="110" t="s">
        <v>133</v>
      </c>
      <c r="D11" s="110">
        <v>4</v>
      </c>
      <c r="E11" s="104">
        <f t="shared" si="1"/>
        <v>199708</v>
      </c>
      <c r="F11" s="104">
        <f t="shared" si="1"/>
        <v>26041447</v>
      </c>
      <c r="G11" s="105">
        <f t="shared" si="1"/>
        <v>20430567</v>
      </c>
      <c r="H11" s="106">
        <f t="shared" si="1"/>
        <v>5610880</v>
      </c>
      <c r="I11" s="107">
        <f t="shared" si="1"/>
        <v>47481818</v>
      </c>
      <c r="J11" s="105">
        <f t="shared" si="1"/>
        <v>37095969</v>
      </c>
      <c r="K11" s="106">
        <f t="shared" si="1"/>
        <v>10385849</v>
      </c>
      <c r="L11" s="107">
        <f t="shared" si="1"/>
        <v>103221608</v>
      </c>
      <c r="M11" s="105">
        <f t="shared" si="1"/>
        <v>63908894</v>
      </c>
      <c r="N11" s="106">
        <f t="shared" si="1"/>
        <v>39312714</v>
      </c>
      <c r="O11" s="107">
        <f t="shared" si="4"/>
        <v>176744873</v>
      </c>
      <c r="P11" s="105">
        <f t="shared" si="4"/>
        <v>121435430</v>
      </c>
      <c r="Q11" s="106">
        <f t="shared" si="2"/>
        <v>55309443</v>
      </c>
      <c r="R11" s="105">
        <f t="shared" si="3"/>
        <v>885.01648907404808</v>
      </c>
      <c r="S11" s="105">
        <f t="shared" si="3"/>
        <v>608.06492479019369</v>
      </c>
      <c r="T11" s="108">
        <f t="shared" si="3"/>
        <v>276.95156428385445</v>
      </c>
    </row>
    <row r="12" spans="1:23" s="66" customFormat="1" ht="12.75" x14ac:dyDescent="0.2">
      <c r="A12" s="140" t="s">
        <v>543</v>
      </c>
      <c r="B12" s="110"/>
      <c r="C12" s="110" t="s">
        <v>134</v>
      </c>
      <c r="D12" s="110">
        <v>5</v>
      </c>
      <c r="E12" s="104">
        <f t="shared" si="1"/>
        <v>101624</v>
      </c>
      <c r="F12" s="104">
        <f t="shared" si="1"/>
        <v>13061574</v>
      </c>
      <c r="G12" s="105">
        <f t="shared" si="1"/>
        <v>9109814</v>
      </c>
      <c r="H12" s="106">
        <f t="shared" si="1"/>
        <v>3951760</v>
      </c>
      <c r="I12" s="107">
        <f t="shared" si="1"/>
        <v>3608303</v>
      </c>
      <c r="J12" s="105">
        <f t="shared" si="1"/>
        <v>2797224</v>
      </c>
      <c r="K12" s="106">
        <f t="shared" si="1"/>
        <v>811079</v>
      </c>
      <c r="L12" s="107">
        <f t="shared" si="1"/>
        <v>64769230</v>
      </c>
      <c r="M12" s="105">
        <f t="shared" si="1"/>
        <v>36354812</v>
      </c>
      <c r="N12" s="106">
        <f t="shared" si="1"/>
        <v>28414418</v>
      </c>
      <c r="O12" s="107">
        <f t="shared" si="4"/>
        <v>81439107</v>
      </c>
      <c r="P12" s="105">
        <f t="shared" si="4"/>
        <v>48261850</v>
      </c>
      <c r="Q12" s="106">
        <f t="shared" si="2"/>
        <v>33177257</v>
      </c>
      <c r="R12" s="105">
        <f t="shared" si="3"/>
        <v>801.37671219396998</v>
      </c>
      <c r="S12" s="105">
        <f t="shared" si="3"/>
        <v>474.90602613555853</v>
      </c>
      <c r="T12" s="108">
        <f t="shared" si="3"/>
        <v>326.47068605841139</v>
      </c>
    </row>
    <row r="13" spans="1:23" s="66" customFormat="1" ht="12.75" x14ac:dyDescent="0.2">
      <c r="A13" s="140" t="s">
        <v>543</v>
      </c>
      <c r="B13" s="110"/>
      <c r="C13" s="110" t="s">
        <v>135</v>
      </c>
      <c r="D13" s="110">
        <v>6</v>
      </c>
      <c r="E13" s="104">
        <f t="shared" si="1"/>
        <v>92857</v>
      </c>
      <c r="F13" s="104">
        <f t="shared" si="1"/>
        <v>10778201</v>
      </c>
      <c r="G13" s="105">
        <f t="shared" si="1"/>
        <v>7006886</v>
      </c>
      <c r="H13" s="106">
        <f t="shared" si="1"/>
        <v>3771315</v>
      </c>
      <c r="I13" s="107">
        <f t="shared" si="1"/>
        <v>177444</v>
      </c>
      <c r="J13" s="105">
        <f t="shared" si="1"/>
        <v>136479</v>
      </c>
      <c r="K13" s="106">
        <f t="shared" si="1"/>
        <v>40965</v>
      </c>
      <c r="L13" s="107">
        <f t="shared" si="1"/>
        <v>85404065</v>
      </c>
      <c r="M13" s="105">
        <f t="shared" si="1"/>
        <v>53507252</v>
      </c>
      <c r="N13" s="106">
        <f t="shared" si="1"/>
        <v>31896813</v>
      </c>
      <c r="O13" s="107">
        <f t="shared" si="4"/>
        <v>96359710</v>
      </c>
      <c r="P13" s="105">
        <f t="shared" si="4"/>
        <v>60650617</v>
      </c>
      <c r="Q13" s="106">
        <f t="shared" si="2"/>
        <v>35709093</v>
      </c>
      <c r="R13" s="105">
        <f t="shared" si="3"/>
        <v>1037.7215503408468</v>
      </c>
      <c r="S13" s="105">
        <f t="shared" si="3"/>
        <v>653.16149563307022</v>
      </c>
      <c r="T13" s="108">
        <f t="shared" si="3"/>
        <v>384.56005470777649</v>
      </c>
    </row>
    <row r="14" spans="1:23" s="66" customFormat="1" ht="12.75" x14ac:dyDescent="0.2">
      <c r="A14" s="140" t="s">
        <v>543</v>
      </c>
      <c r="B14" s="110"/>
      <c r="C14" s="110" t="s">
        <v>136</v>
      </c>
      <c r="D14" s="110">
        <v>7</v>
      </c>
      <c r="E14" s="104">
        <f t="shared" si="1"/>
        <v>55972</v>
      </c>
      <c r="F14" s="104">
        <f t="shared" si="1"/>
        <v>6487360</v>
      </c>
      <c r="G14" s="105">
        <f t="shared" si="1"/>
        <v>0</v>
      </c>
      <c r="H14" s="106">
        <f t="shared" si="1"/>
        <v>6487360</v>
      </c>
      <c r="I14" s="107">
        <f t="shared" si="1"/>
        <v>0</v>
      </c>
      <c r="J14" s="105">
        <f t="shared" si="1"/>
        <v>0</v>
      </c>
      <c r="K14" s="106">
        <f t="shared" si="1"/>
        <v>0</v>
      </c>
      <c r="L14" s="107">
        <f t="shared" si="1"/>
        <v>0</v>
      </c>
      <c r="M14" s="105">
        <f t="shared" si="1"/>
        <v>0</v>
      </c>
      <c r="N14" s="106">
        <f t="shared" si="1"/>
        <v>0</v>
      </c>
      <c r="O14" s="107">
        <f t="shared" si="4"/>
        <v>6487360</v>
      </c>
      <c r="P14" s="105">
        <f t="shared" si="4"/>
        <v>0</v>
      </c>
      <c r="Q14" s="106">
        <f t="shared" si="2"/>
        <v>6487360</v>
      </c>
      <c r="R14" s="105">
        <f t="shared" si="3"/>
        <v>115.90366611877367</v>
      </c>
      <c r="S14" s="105">
        <f t="shared" si="3"/>
        <v>0</v>
      </c>
      <c r="T14" s="108">
        <f t="shared" si="3"/>
        <v>115.90366611877367</v>
      </c>
    </row>
    <row r="15" spans="1:23" s="66" customFormat="1" ht="12.75" x14ac:dyDescent="0.2">
      <c r="A15" s="140" t="s">
        <v>543</v>
      </c>
      <c r="B15" s="110"/>
      <c r="C15" s="110" t="s">
        <v>137</v>
      </c>
      <c r="D15" s="110">
        <v>8</v>
      </c>
      <c r="E15" s="104">
        <f t="shared" si="1"/>
        <v>0</v>
      </c>
      <c r="F15" s="104">
        <f t="shared" si="1"/>
        <v>0</v>
      </c>
      <c r="G15" s="105">
        <f t="shared" si="1"/>
        <v>0</v>
      </c>
      <c r="H15" s="106">
        <f t="shared" si="1"/>
        <v>0</v>
      </c>
      <c r="I15" s="107">
        <f t="shared" si="1"/>
        <v>0</v>
      </c>
      <c r="J15" s="105">
        <f t="shared" si="1"/>
        <v>0</v>
      </c>
      <c r="K15" s="106">
        <f t="shared" si="1"/>
        <v>0</v>
      </c>
      <c r="L15" s="107">
        <f t="shared" si="1"/>
        <v>0</v>
      </c>
      <c r="M15" s="105">
        <f t="shared" si="1"/>
        <v>0</v>
      </c>
      <c r="N15" s="106">
        <f t="shared" si="1"/>
        <v>0</v>
      </c>
      <c r="O15" s="107">
        <f t="shared" si="4"/>
        <v>0</v>
      </c>
      <c r="P15" s="105">
        <f t="shared" si="4"/>
        <v>0</v>
      </c>
      <c r="Q15" s="106">
        <f t="shared" si="2"/>
        <v>0</v>
      </c>
      <c r="R15" s="105">
        <f t="shared" ref="R15:T15" si="5">+IF($E15=0, 0, O15/$E15*1000)</f>
        <v>0</v>
      </c>
      <c r="S15" s="105">
        <f t="shared" si="5"/>
        <v>0</v>
      </c>
      <c r="T15" s="108">
        <f t="shared" si="5"/>
        <v>0</v>
      </c>
    </row>
    <row r="16" spans="1:23" s="66" customFormat="1" ht="13.5" thickBot="1" x14ac:dyDescent="0.25">
      <c r="A16" s="141" t="s">
        <v>543</v>
      </c>
      <c r="B16" s="112"/>
      <c r="C16" s="112" t="s">
        <v>138</v>
      </c>
      <c r="D16" s="112">
        <v>9</v>
      </c>
      <c r="E16" s="114">
        <f t="shared" si="1"/>
        <v>8458</v>
      </c>
      <c r="F16" s="114">
        <f t="shared" si="1"/>
        <v>3854864</v>
      </c>
      <c r="G16" s="115">
        <f t="shared" si="1"/>
        <v>1390887</v>
      </c>
      <c r="H16" s="116">
        <f t="shared" si="1"/>
        <v>2463977</v>
      </c>
      <c r="I16" s="117">
        <f t="shared" si="1"/>
        <v>-2239029</v>
      </c>
      <c r="J16" s="115">
        <f t="shared" si="1"/>
        <v>-7112159</v>
      </c>
      <c r="K16" s="116">
        <f t="shared" si="1"/>
        <v>4873130</v>
      </c>
      <c r="L16" s="117">
        <f t="shared" si="1"/>
        <v>54760213</v>
      </c>
      <c r="M16" s="115">
        <f t="shared" si="1"/>
        <v>40196998</v>
      </c>
      <c r="N16" s="116">
        <f t="shared" si="1"/>
        <v>14563215</v>
      </c>
      <c r="O16" s="117">
        <f t="shared" si="4"/>
        <v>56376048</v>
      </c>
      <c r="P16" s="115">
        <f t="shared" si="4"/>
        <v>34475726</v>
      </c>
      <c r="Q16" s="116">
        <f t="shared" si="2"/>
        <v>21900322</v>
      </c>
      <c r="R16" s="115">
        <f>+IF($E16=0, 0, O16/$E16)</f>
        <v>6665.4112083234804</v>
      </c>
      <c r="S16" s="115">
        <f>+IF($E16=0, 0, P16/$E16)</f>
        <v>4076.108536296997</v>
      </c>
      <c r="T16" s="118">
        <f>+IF($E16=0, 0, Q16/$E16)</f>
        <v>2589.3026720264838</v>
      </c>
    </row>
    <row r="17" spans="1:20" s="66" customFormat="1" ht="13.5" thickBot="1" x14ac:dyDescent="0.25">
      <c r="A17" s="120" t="s">
        <v>544</v>
      </c>
      <c r="E17" s="77"/>
      <c r="F17" s="77"/>
      <c r="G17" s="78"/>
      <c r="H17" s="79"/>
      <c r="I17" s="80"/>
      <c r="J17" s="78"/>
      <c r="K17" s="79"/>
      <c r="L17" s="80"/>
      <c r="M17" s="78"/>
      <c r="N17" s="79"/>
      <c r="O17" s="80"/>
      <c r="P17" s="78"/>
      <c r="Q17" s="79"/>
      <c r="R17" s="82"/>
      <c r="S17" s="82"/>
      <c r="T17" s="83"/>
    </row>
    <row r="18" spans="1:20" s="66" customFormat="1" ht="12.75" x14ac:dyDescent="0.2">
      <c r="A18" s="93">
        <v>1</v>
      </c>
      <c r="B18" s="94">
        <v>1</v>
      </c>
      <c r="C18" s="95" t="s">
        <v>139</v>
      </c>
      <c r="D18" s="95">
        <v>5</v>
      </c>
      <c r="E18" s="96">
        <f>+SUMIF('GE16FEB14 Unfudged'!$A$2:$A$498, $A18, 'GE16FEB14 Unfudged'!$D$2:$D$498)</f>
        <v>1285</v>
      </c>
      <c r="F18" s="96">
        <v>185040</v>
      </c>
      <c r="G18" s="97">
        <v>185040</v>
      </c>
      <c r="H18" s="98">
        <v>0</v>
      </c>
      <c r="I18" s="99">
        <v>0</v>
      </c>
      <c r="J18" s="97">
        <v>0</v>
      </c>
      <c r="K18" s="98">
        <v>0</v>
      </c>
      <c r="L18" s="99">
        <v>385500</v>
      </c>
      <c r="M18" s="97">
        <v>260672</v>
      </c>
      <c r="N18" s="98">
        <v>124828</v>
      </c>
      <c r="O18" s="99">
        <f>+F18+I18+L18</f>
        <v>570540</v>
      </c>
      <c r="P18" s="97">
        <f t="shared" ref="O18:Q33" si="6">+G18+J18+M18</f>
        <v>445712</v>
      </c>
      <c r="Q18" s="98">
        <f t="shared" si="6"/>
        <v>124828</v>
      </c>
      <c r="R18" s="97">
        <f>+IF($E18=0, 0, O18/$E18)</f>
        <v>444</v>
      </c>
      <c r="S18" s="97">
        <f>+IF($E18=0, 0, P18/$E18)</f>
        <v>346.85758754863815</v>
      </c>
      <c r="T18" s="100">
        <f>+IF($E18=0, 0, Q18/$E18)</f>
        <v>97.142412451361864</v>
      </c>
    </row>
    <row r="19" spans="1:20" s="66" customFormat="1" ht="12.75" x14ac:dyDescent="0.2">
      <c r="A19" s="101">
        <v>1.2</v>
      </c>
      <c r="B19" s="102">
        <v>3</v>
      </c>
      <c r="C19" s="103" t="s">
        <v>140</v>
      </c>
      <c r="D19" s="103">
        <v>1</v>
      </c>
      <c r="E19" s="104">
        <f>+SUMIF('GE16FEB14 Unfudged'!$A$2:$A$498, $A19, 'GE16FEB14 Unfudged'!$D$2:$D$498)</f>
        <v>39607</v>
      </c>
      <c r="F19" s="104">
        <v>1980330</v>
      </c>
      <c r="G19" s="105">
        <v>1980330</v>
      </c>
      <c r="H19" s="106">
        <v>0</v>
      </c>
      <c r="I19" s="107">
        <v>16793198</v>
      </c>
      <c r="J19" s="105">
        <v>16793198</v>
      </c>
      <c r="K19" s="106">
        <v>0</v>
      </c>
      <c r="L19" s="107">
        <v>55978780</v>
      </c>
      <c r="M19" s="105">
        <v>52894542</v>
      </c>
      <c r="N19" s="106">
        <v>3084238</v>
      </c>
      <c r="O19" s="107">
        <f t="shared" si="6"/>
        <v>74752308</v>
      </c>
      <c r="P19" s="105">
        <f t="shared" si="6"/>
        <v>71668070</v>
      </c>
      <c r="Q19" s="106">
        <f t="shared" si="6"/>
        <v>3084238</v>
      </c>
      <c r="R19" s="105">
        <f t="shared" ref="R19:T82" si="7">+IF($E19=0, 0, O19/$E19)</f>
        <v>1887.3509228166738</v>
      </c>
      <c r="S19" s="105">
        <f t="shared" si="7"/>
        <v>1809.4798899184489</v>
      </c>
      <c r="T19" s="108">
        <f t="shared" si="7"/>
        <v>77.871032898225067</v>
      </c>
    </row>
    <row r="20" spans="1:20" s="66" customFormat="1" ht="12.75" x14ac:dyDescent="0.2">
      <c r="A20" s="109">
        <v>2</v>
      </c>
      <c r="B20" s="110">
        <v>1</v>
      </c>
      <c r="C20" s="103" t="s">
        <v>141</v>
      </c>
      <c r="D20" s="103">
        <v>6</v>
      </c>
      <c r="E20" s="104">
        <f>+SUMIF('GE16FEB14 Unfudged'!$A$2:$A$498, $A20, 'GE16FEB14 Unfudged'!$D$2:$D$498)</f>
        <v>284</v>
      </c>
      <c r="F20" s="104">
        <v>40889</v>
      </c>
      <c r="G20" s="105">
        <v>22793</v>
      </c>
      <c r="H20" s="106">
        <v>18096</v>
      </c>
      <c r="I20" s="107">
        <v>0</v>
      </c>
      <c r="J20" s="105">
        <v>0</v>
      </c>
      <c r="K20" s="106">
        <v>0</v>
      </c>
      <c r="L20" s="107">
        <v>85185</v>
      </c>
      <c r="M20" s="105">
        <v>27520</v>
      </c>
      <c r="N20" s="106">
        <v>57665</v>
      </c>
      <c r="O20" s="107">
        <f t="shared" si="6"/>
        <v>126074</v>
      </c>
      <c r="P20" s="105">
        <f t="shared" si="6"/>
        <v>50313</v>
      </c>
      <c r="Q20" s="106">
        <f t="shared" si="6"/>
        <v>75761</v>
      </c>
      <c r="R20" s="105">
        <f t="shared" si="7"/>
        <v>443.92253521126759</v>
      </c>
      <c r="S20" s="105">
        <f t="shared" si="7"/>
        <v>177.15845070422534</v>
      </c>
      <c r="T20" s="108">
        <f t="shared" si="7"/>
        <v>266.76408450704224</v>
      </c>
    </row>
    <row r="21" spans="1:20" s="66" customFormat="1" ht="12.75" x14ac:dyDescent="0.2">
      <c r="A21" s="109">
        <v>4</v>
      </c>
      <c r="B21" s="110">
        <v>1</v>
      </c>
      <c r="C21" s="103" t="s">
        <v>142</v>
      </c>
      <c r="D21" s="103">
        <v>6</v>
      </c>
      <c r="E21" s="104">
        <f>+SUMIF('GE16FEB14 Unfudged'!$A$2:$A$498, $A21, 'GE16FEB14 Unfudged'!$D$2:$D$498)</f>
        <v>434</v>
      </c>
      <c r="F21" s="104">
        <v>62554</v>
      </c>
      <c r="G21" s="105">
        <v>62554</v>
      </c>
      <c r="H21" s="106">
        <v>0</v>
      </c>
      <c r="I21" s="107">
        <v>0</v>
      </c>
      <c r="J21" s="105">
        <v>0</v>
      </c>
      <c r="K21" s="106">
        <v>0</v>
      </c>
      <c r="L21" s="107">
        <v>130320</v>
      </c>
      <c r="M21" s="105">
        <v>77314</v>
      </c>
      <c r="N21" s="106">
        <v>53006</v>
      </c>
      <c r="O21" s="107">
        <f t="shared" si="6"/>
        <v>192874</v>
      </c>
      <c r="P21" s="105">
        <f t="shared" si="6"/>
        <v>139868</v>
      </c>
      <c r="Q21" s="106">
        <f t="shared" si="6"/>
        <v>53006</v>
      </c>
      <c r="R21" s="105">
        <f t="shared" si="7"/>
        <v>444.41013824884794</v>
      </c>
      <c r="S21" s="105">
        <f t="shared" si="7"/>
        <v>322.27649769585253</v>
      </c>
      <c r="T21" s="108">
        <f t="shared" si="7"/>
        <v>122.13364055299539</v>
      </c>
    </row>
    <row r="22" spans="1:20" s="66" customFormat="1" ht="12.75" x14ac:dyDescent="0.2">
      <c r="A22" s="109">
        <v>6</v>
      </c>
      <c r="B22" s="110">
        <v>3</v>
      </c>
      <c r="C22" s="103" t="s">
        <v>143</v>
      </c>
      <c r="D22" s="103">
        <v>2</v>
      </c>
      <c r="E22" s="104">
        <f>+SUMIF('GE16FEB14 Unfudged'!$A$2:$A$498, $A22, 'GE16FEB14 Unfudged'!$D$2:$D$498)</f>
        <v>3736</v>
      </c>
      <c r="F22" s="104">
        <v>557934</v>
      </c>
      <c r="G22" s="105">
        <v>396251</v>
      </c>
      <c r="H22" s="106">
        <v>161683</v>
      </c>
      <c r="I22" s="107">
        <v>1584234</v>
      </c>
      <c r="J22" s="105">
        <v>1125142</v>
      </c>
      <c r="K22" s="106">
        <v>459092</v>
      </c>
      <c r="L22" s="107">
        <v>2005625</v>
      </c>
      <c r="M22" s="105">
        <v>1089699</v>
      </c>
      <c r="N22" s="106">
        <v>915926</v>
      </c>
      <c r="O22" s="107">
        <f t="shared" si="6"/>
        <v>4147793</v>
      </c>
      <c r="P22" s="105">
        <f t="shared" si="6"/>
        <v>2611092</v>
      </c>
      <c r="Q22" s="106">
        <f t="shared" si="6"/>
        <v>1536701</v>
      </c>
      <c r="R22" s="105">
        <f t="shared" si="7"/>
        <v>1110.2229657387579</v>
      </c>
      <c r="S22" s="105">
        <f t="shared" si="7"/>
        <v>698.90042826552462</v>
      </c>
      <c r="T22" s="108">
        <f t="shared" si="7"/>
        <v>411.32253747323341</v>
      </c>
    </row>
    <row r="23" spans="1:20" s="66" customFormat="1" ht="12.75" x14ac:dyDescent="0.2">
      <c r="A23" s="109">
        <v>11</v>
      </c>
      <c r="B23" s="110">
        <v>1</v>
      </c>
      <c r="C23" s="103" t="s">
        <v>144</v>
      </c>
      <c r="D23" s="103">
        <v>3</v>
      </c>
      <c r="E23" s="104">
        <f>+SUMIF('GE16FEB14 Unfudged'!$A$2:$A$498, $A23, 'GE16FEB14 Unfudged'!$D$2:$D$498)</f>
        <v>39798</v>
      </c>
      <c r="F23" s="104">
        <v>4558334</v>
      </c>
      <c r="G23" s="105">
        <v>3244342</v>
      </c>
      <c r="H23" s="106">
        <v>1313992</v>
      </c>
      <c r="I23" s="107">
        <v>16874267</v>
      </c>
      <c r="J23" s="105">
        <v>12010067</v>
      </c>
      <c r="K23" s="106">
        <v>4864200</v>
      </c>
      <c r="L23" s="107">
        <v>39397832</v>
      </c>
      <c r="M23" s="105">
        <v>27106091</v>
      </c>
      <c r="N23" s="106">
        <v>12291741</v>
      </c>
      <c r="O23" s="107">
        <f t="shared" si="6"/>
        <v>60830433</v>
      </c>
      <c r="P23" s="105">
        <f t="shared" si="6"/>
        <v>42360500</v>
      </c>
      <c r="Q23" s="106">
        <f t="shared" si="6"/>
        <v>18469933</v>
      </c>
      <c r="R23" s="105">
        <f t="shared" si="7"/>
        <v>1528.4796472184532</v>
      </c>
      <c r="S23" s="105">
        <f t="shared" si="7"/>
        <v>1064.3876576712398</v>
      </c>
      <c r="T23" s="108">
        <f t="shared" si="7"/>
        <v>464.09198954721342</v>
      </c>
    </row>
    <row r="24" spans="1:20" s="66" customFormat="1" ht="12.75" x14ac:dyDescent="0.2">
      <c r="A24" s="109">
        <v>12</v>
      </c>
      <c r="B24" s="110">
        <v>1</v>
      </c>
      <c r="C24" s="103" t="s">
        <v>145</v>
      </c>
      <c r="D24" s="103">
        <v>3</v>
      </c>
      <c r="E24" s="104">
        <f>+SUMIF('GE16FEB14 Unfudged'!$A$2:$A$498, $A24, 'GE16FEB14 Unfudged'!$D$2:$D$498)</f>
        <v>6971</v>
      </c>
      <c r="F24" s="104">
        <v>1079123</v>
      </c>
      <c r="G24" s="105">
        <v>838445</v>
      </c>
      <c r="H24" s="106">
        <v>240678</v>
      </c>
      <c r="I24" s="107">
        <v>2955789</v>
      </c>
      <c r="J24" s="105">
        <v>2296557</v>
      </c>
      <c r="K24" s="106">
        <v>659232</v>
      </c>
      <c r="L24" s="107">
        <v>3244954</v>
      </c>
      <c r="M24" s="105">
        <v>1838023</v>
      </c>
      <c r="N24" s="106">
        <v>1406931</v>
      </c>
      <c r="O24" s="107">
        <f t="shared" si="6"/>
        <v>7279866</v>
      </c>
      <c r="P24" s="105">
        <f t="shared" si="6"/>
        <v>4973025</v>
      </c>
      <c r="Q24" s="106">
        <f t="shared" si="6"/>
        <v>2306841</v>
      </c>
      <c r="R24" s="105">
        <f t="shared" si="7"/>
        <v>1044.3072729880935</v>
      </c>
      <c r="S24" s="105">
        <f t="shared" si="7"/>
        <v>713.38760579543828</v>
      </c>
      <c r="T24" s="108">
        <f t="shared" si="7"/>
        <v>330.91966719265531</v>
      </c>
    </row>
    <row r="25" spans="1:20" s="66" customFormat="1" ht="12.75" x14ac:dyDescent="0.2">
      <c r="A25" s="109">
        <v>13</v>
      </c>
      <c r="B25" s="110">
        <v>1</v>
      </c>
      <c r="C25" s="103" t="s">
        <v>146</v>
      </c>
      <c r="D25" s="103">
        <v>2</v>
      </c>
      <c r="E25" s="104">
        <f>+SUMIF('GE16FEB14 Unfudged'!$A$2:$A$498, $A25, 'GE16FEB14 Unfudged'!$D$2:$D$498)</f>
        <v>3362</v>
      </c>
      <c r="F25" s="104">
        <v>483364</v>
      </c>
      <c r="G25" s="105">
        <v>360094</v>
      </c>
      <c r="H25" s="106">
        <v>123270</v>
      </c>
      <c r="I25" s="107">
        <v>1425361</v>
      </c>
      <c r="J25" s="105">
        <v>1061860</v>
      </c>
      <c r="K25" s="106">
        <v>363501</v>
      </c>
      <c r="L25" s="107">
        <v>2047040</v>
      </c>
      <c r="M25" s="105">
        <v>1209102</v>
      </c>
      <c r="N25" s="106">
        <v>837938</v>
      </c>
      <c r="O25" s="107">
        <f t="shared" si="6"/>
        <v>3955765</v>
      </c>
      <c r="P25" s="105">
        <f t="shared" si="6"/>
        <v>2631056</v>
      </c>
      <c r="Q25" s="106">
        <f t="shared" si="6"/>
        <v>1324709</v>
      </c>
      <c r="R25" s="105">
        <f t="shared" si="7"/>
        <v>1176.6106484235574</v>
      </c>
      <c r="S25" s="105">
        <f t="shared" si="7"/>
        <v>782.58655562165382</v>
      </c>
      <c r="T25" s="108">
        <f t="shared" si="7"/>
        <v>394.02409280190363</v>
      </c>
    </row>
    <row r="26" spans="1:20" s="66" customFormat="1" ht="12.75" x14ac:dyDescent="0.2">
      <c r="A26" s="109">
        <v>14</v>
      </c>
      <c r="B26" s="110">
        <v>1</v>
      </c>
      <c r="C26" s="103" t="s">
        <v>147</v>
      </c>
      <c r="D26" s="103">
        <v>3</v>
      </c>
      <c r="E26" s="104">
        <f>+SUMIF('GE16FEB14 Unfudged'!$A$2:$A$498, $A26, 'GE16FEB14 Unfudged'!$D$2:$D$498)</f>
        <v>3199</v>
      </c>
      <c r="F26" s="104">
        <v>491056</v>
      </c>
      <c r="G26" s="105">
        <v>338747</v>
      </c>
      <c r="H26" s="106">
        <v>152309</v>
      </c>
      <c r="I26" s="107">
        <v>1356206</v>
      </c>
      <c r="J26" s="105">
        <v>935555</v>
      </c>
      <c r="K26" s="106">
        <v>420651</v>
      </c>
      <c r="L26" s="107">
        <v>1542013</v>
      </c>
      <c r="M26" s="105">
        <v>785411</v>
      </c>
      <c r="N26" s="106">
        <v>756602</v>
      </c>
      <c r="O26" s="107">
        <f t="shared" si="6"/>
        <v>3389275</v>
      </c>
      <c r="P26" s="105">
        <f t="shared" si="6"/>
        <v>2059713</v>
      </c>
      <c r="Q26" s="106">
        <f t="shared" si="6"/>
        <v>1329562</v>
      </c>
      <c r="R26" s="105">
        <f t="shared" si="7"/>
        <v>1059.4795248515161</v>
      </c>
      <c r="S26" s="105">
        <f t="shared" si="7"/>
        <v>643.86151922475779</v>
      </c>
      <c r="T26" s="108">
        <f t="shared" si="7"/>
        <v>415.61800562675836</v>
      </c>
    </row>
    <row r="27" spans="1:20" s="66" customFormat="1" ht="12.75" x14ac:dyDescent="0.2">
      <c r="A27" s="109">
        <v>15</v>
      </c>
      <c r="B27" s="110">
        <v>1</v>
      </c>
      <c r="C27" s="103" t="s">
        <v>148</v>
      </c>
      <c r="D27" s="103">
        <v>3</v>
      </c>
      <c r="E27" s="104">
        <f>+SUMIF('GE16FEB14 Unfudged'!$A$2:$A$498, $A27, 'GE16FEB14 Unfudged'!$D$2:$D$498)</f>
        <v>4887</v>
      </c>
      <c r="F27" s="104">
        <v>818573</v>
      </c>
      <c r="G27" s="105">
        <v>601361</v>
      </c>
      <c r="H27" s="106">
        <v>217212</v>
      </c>
      <c r="I27" s="107">
        <v>2072088</v>
      </c>
      <c r="J27" s="105">
        <v>1522250</v>
      </c>
      <c r="K27" s="106">
        <v>549838</v>
      </c>
      <c r="L27" s="107">
        <v>1466100</v>
      </c>
      <c r="M27" s="105">
        <v>624207</v>
      </c>
      <c r="N27" s="106">
        <v>841893</v>
      </c>
      <c r="O27" s="107">
        <f t="shared" si="6"/>
        <v>4356761</v>
      </c>
      <c r="P27" s="105">
        <f t="shared" si="6"/>
        <v>2747818</v>
      </c>
      <c r="Q27" s="106">
        <f t="shared" si="6"/>
        <v>1608943</v>
      </c>
      <c r="R27" s="105">
        <f t="shared" si="7"/>
        <v>891.50010231225701</v>
      </c>
      <c r="S27" s="105">
        <f t="shared" si="7"/>
        <v>562.27092285655817</v>
      </c>
      <c r="T27" s="108">
        <f t="shared" si="7"/>
        <v>329.22917945569878</v>
      </c>
    </row>
    <row r="28" spans="1:20" s="66" customFormat="1" ht="12.75" x14ac:dyDescent="0.2">
      <c r="A28" s="109">
        <v>16</v>
      </c>
      <c r="B28" s="110">
        <v>1</v>
      </c>
      <c r="C28" s="103" t="s">
        <v>149</v>
      </c>
      <c r="D28" s="103">
        <v>3</v>
      </c>
      <c r="E28" s="104">
        <f>+SUMIF('GE16FEB14 Unfudged'!$A$2:$A$498, $A28, 'GE16FEB14 Unfudged'!$D$2:$D$498)</f>
        <v>5870</v>
      </c>
      <c r="F28" s="104">
        <v>922757</v>
      </c>
      <c r="G28" s="105">
        <v>898386</v>
      </c>
      <c r="H28" s="106">
        <v>24371</v>
      </c>
      <c r="I28" s="107">
        <v>2488689</v>
      </c>
      <c r="J28" s="105">
        <v>2422960</v>
      </c>
      <c r="K28" s="106">
        <v>65729</v>
      </c>
      <c r="L28" s="107">
        <v>2547619</v>
      </c>
      <c r="M28" s="105">
        <v>1759524</v>
      </c>
      <c r="N28" s="106">
        <v>788095</v>
      </c>
      <c r="O28" s="107">
        <f t="shared" si="6"/>
        <v>5959065</v>
      </c>
      <c r="P28" s="105">
        <f t="shared" si="6"/>
        <v>5080870</v>
      </c>
      <c r="Q28" s="106">
        <f t="shared" si="6"/>
        <v>878195</v>
      </c>
      <c r="R28" s="105">
        <f t="shared" si="7"/>
        <v>1015.1729131175468</v>
      </c>
      <c r="S28" s="105">
        <f t="shared" si="7"/>
        <v>865.56558773424194</v>
      </c>
      <c r="T28" s="108">
        <f t="shared" si="7"/>
        <v>149.60732538330495</v>
      </c>
    </row>
    <row r="29" spans="1:20" s="66" customFormat="1" ht="12.75" x14ac:dyDescent="0.2">
      <c r="A29" s="109">
        <v>22</v>
      </c>
      <c r="B29" s="110">
        <v>1</v>
      </c>
      <c r="C29" s="103" t="s">
        <v>150</v>
      </c>
      <c r="D29" s="103">
        <v>4</v>
      </c>
      <c r="E29" s="104">
        <f>+SUMIF('GE16FEB14 Unfudged'!$A$2:$A$498, $A29, 'GE16FEB14 Unfudged'!$D$2:$D$498)</f>
        <v>3112</v>
      </c>
      <c r="F29" s="104">
        <v>448128</v>
      </c>
      <c r="G29" s="105">
        <v>396125</v>
      </c>
      <c r="H29" s="106">
        <v>52003</v>
      </c>
      <c r="I29" s="107">
        <v>659744</v>
      </c>
      <c r="J29" s="105">
        <v>583184</v>
      </c>
      <c r="K29" s="106">
        <v>76560</v>
      </c>
      <c r="L29" s="107">
        <v>933600</v>
      </c>
      <c r="M29" s="105">
        <v>478276</v>
      </c>
      <c r="N29" s="106">
        <v>455324</v>
      </c>
      <c r="O29" s="107">
        <f t="shared" si="6"/>
        <v>2041472</v>
      </c>
      <c r="P29" s="105">
        <f t="shared" si="6"/>
        <v>1457585</v>
      </c>
      <c r="Q29" s="106">
        <f t="shared" si="6"/>
        <v>583887</v>
      </c>
      <c r="R29" s="105">
        <f t="shared" si="7"/>
        <v>656</v>
      </c>
      <c r="S29" s="105">
        <f t="shared" si="7"/>
        <v>468.37564267352184</v>
      </c>
      <c r="T29" s="108">
        <f t="shared" si="7"/>
        <v>187.62435732647816</v>
      </c>
    </row>
    <row r="30" spans="1:20" s="66" customFormat="1" ht="12.75" x14ac:dyDescent="0.2">
      <c r="A30" s="109">
        <v>23</v>
      </c>
      <c r="B30" s="110">
        <v>1</v>
      </c>
      <c r="C30" s="103" t="s">
        <v>151</v>
      </c>
      <c r="D30" s="103">
        <v>6</v>
      </c>
      <c r="E30" s="104">
        <f>+SUMIF('GE16FEB14 Unfudged'!$A$2:$A$498, $A30, 'GE16FEB14 Unfudged'!$D$2:$D$498)</f>
        <v>977</v>
      </c>
      <c r="F30" s="104">
        <v>116506</v>
      </c>
      <c r="G30" s="105">
        <v>78340</v>
      </c>
      <c r="H30" s="106">
        <v>38166</v>
      </c>
      <c r="I30" s="107">
        <v>0</v>
      </c>
      <c r="J30" s="105">
        <v>0</v>
      </c>
      <c r="K30" s="106">
        <v>0</v>
      </c>
      <c r="L30" s="107">
        <v>819877</v>
      </c>
      <c r="M30" s="105">
        <v>493836</v>
      </c>
      <c r="N30" s="106">
        <v>326041</v>
      </c>
      <c r="O30" s="107">
        <f t="shared" si="6"/>
        <v>936383</v>
      </c>
      <c r="P30" s="105">
        <f t="shared" si="6"/>
        <v>572176</v>
      </c>
      <c r="Q30" s="106">
        <f t="shared" si="6"/>
        <v>364207</v>
      </c>
      <c r="R30" s="105">
        <f t="shared" si="7"/>
        <v>958.42681678607983</v>
      </c>
      <c r="S30" s="105">
        <f t="shared" si="7"/>
        <v>585.64585465711366</v>
      </c>
      <c r="T30" s="108">
        <f t="shared" si="7"/>
        <v>372.78096212896622</v>
      </c>
    </row>
    <row r="31" spans="1:20" s="66" customFormat="1" ht="12.75" x14ac:dyDescent="0.2">
      <c r="A31" s="109">
        <v>25</v>
      </c>
      <c r="B31" s="110">
        <v>1</v>
      </c>
      <c r="C31" s="103" t="s">
        <v>152</v>
      </c>
      <c r="D31" s="103">
        <v>6</v>
      </c>
      <c r="E31" s="104">
        <f>+SUMIF('GE16FEB14 Unfudged'!$A$2:$A$498, $A31, 'GE16FEB14 Unfudged'!$D$2:$D$498)</f>
        <v>79</v>
      </c>
      <c r="F31" s="104">
        <v>11347</v>
      </c>
      <c r="G31" s="105">
        <v>0</v>
      </c>
      <c r="H31" s="106">
        <v>11347</v>
      </c>
      <c r="I31" s="107">
        <v>0</v>
      </c>
      <c r="J31" s="105">
        <v>0</v>
      </c>
      <c r="K31" s="106">
        <v>0</v>
      </c>
      <c r="L31" s="107">
        <v>23640</v>
      </c>
      <c r="M31" s="105">
        <v>0</v>
      </c>
      <c r="N31" s="106">
        <v>23640</v>
      </c>
      <c r="O31" s="107">
        <f t="shared" si="6"/>
        <v>34987</v>
      </c>
      <c r="P31" s="105">
        <f t="shared" si="6"/>
        <v>0</v>
      </c>
      <c r="Q31" s="106">
        <f t="shared" si="6"/>
        <v>34987</v>
      </c>
      <c r="R31" s="105">
        <f t="shared" si="7"/>
        <v>442.87341772151899</v>
      </c>
      <c r="S31" s="105">
        <f t="shared" si="7"/>
        <v>0</v>
      </c>
      <c r="T31" s="108">
        <f t="shared" si="7"/>
        <v>442.87341772151899</v>
      </c>
    </row>
    <row r="32" spans="1:20" s="66" customFormat="1" ht="12.75" x14ac:dyDescent="0.2">
      <c r="A32" s="109">
        <v>31</v>
      </c>
      <c r="B32" s="110">
        <v>1</v>
      </c>
      <c r="C32" s="103" t="s">
        <v>153</v>
      </c>
      <c r="D32" s="103">
        <v>4</v>
      </c>
      <c r="E32" s="104">
        <f>+SUMIF('GE16FEB14 Unfudged'!$A$2:$A$498, $A32, 'GE16FEB14 Unfudged'!$D$2:$D$498)</f>
        <v>5578</v>
      </c>
      <c r="F32" s="104">
        <v>790067</v>
      </c>
      <c r="G32" s="105">
        <v>573047</v>
      </c>
      <c r="H32" s="106">
        <v>217020</v>
      </c>
      <c r="I32" s="107">
        <v>1182536</v>
      </c>
      <c r="J32" s="105">
        <v>857710</v>
      </c>
      <c r="K32" s="106">
        <v>324826</v>
      </c>
      <c r="L32" s="107">
        <v>1960555</v>
      </c>
      <c r="M32" s="105">
        <v>911696</v>
      </c>
      <c r="N32" s="106">
        <v>1048859</v>
      </c>
      <c r="O32" s="107">
        <f t="shared" si="6"/>
        <v>3933158</v>
      </c>
      <c r="P32" s="105">
        <f t="shared" si="6"/>
        <v>2342453</v>
      </c>
      <c r="Q32" s="106">
        <f t="shared" si="6"/>
        <v>1590705</v>
      </c>
      <c r="R32" s="105">
        <f t="shared" si="7"/>
        <v>705.11975618501253</v>
      </c>
      <c r="S32" s="105">
        <f t="shared" si="7"/>
        <v>419.94496235209755</v>
      </c>
      <c r="T32" s="108">
        <f t="shared" si="7"/>
        <v>285.17479383291504</v>
      </c>
    </row>
    <row r="33" spans="1:20" s="66" customFormat="1" ht="12.75" x14ac:dyDescent="0.2">
      <c r="A33" s="109">
        <v>32</v>
      </c>
      <c r="B33" s="110">
        <v>1</v>
      </c>
      <c r="C33" s="103" t="s">
        <v>154</v>
      </c>
      <c r="D33" s="103">
        <v>6</v>
      </c>
      <c r="E33" s="104">
        <f>+SUMIF('GE16FEB14 Unfudged'!$A$2:$A$498, $A33, 'GE16FEB14 Unfudged'!$D$2:$D$498)</f>
        <v>540</v>
      </c>
      <c r="F33" s="104">
        <v>77768</v>
      </c>
      <c r="G33" s="105">
        <v>50535</v>
      </c>
      <c r="H33" s="106">
        <v>27233</v>
      </c>
      <c r="I33" s="107">
        <v>0</v>
      </c>
      <c r="J33" s="105">
        <v>0</v>
      </c>
      <c r="K33" s="106">
        <v>0</v>
      </c>
      <c r="L33" s="107">
        <v>162015</v>
      </c>
      <c r="M33" s="105">
        <v>61015</v>
      </c>
      <c r="N33" s="106">
        <v>101000</v>
      </c>
      <c r="O33" s="107">
        <f t="shared" si="6"/>
        <v>239783</v>
      </c>
      <c r="P33" s="105">
        <f t="shared" si="6"/>
        <v>111550</v>
      </c>
      <c r="Q33" s="106">
        <f t="shared" si="6"/>
        <v>128233</v>
      </c>
      <c r="R33" s="105">
        <f t="shared" si="7"/>
        <v>444.0425925925926</v>
      </c>
      <c r="S33" s="105">
        <f t="shared" si="7"/>
        <v>206.57407407407408</v>
      </c>
      <c r="T33" s="108">
        <f t="shared" si="7"/>
        <v>237.46851851851852</v>
      </c>
    </row>
    <row r="34" spans="1:20" s="66" customFormat="1" ht="12.75" x14ac:dyDescent="0.2">
      <c r="A34" s="109">
        <v>36</v>
      </c>
      <c r="B34" s="110">
        <v>1</v>
      </c>
      <c r="C34" s="103" t="s">
        <v>155</v>
      </c>
      <c r="D34" s="103">
        <v>6</v>
      </c>
      <c r="E34" s="104">
        <f>+SUMIF('GE16FEB14 Unfudged'!$A$2:$A$498, $A34, 'GE16FEB14 Unfudged'!$D$2:$D$498)</f>
        <v>281</v>
      </c>
      <c r="F34" s="104">
        <v>40435</v>
      </c>
      <c r="G34" s="105">
        <v>20427</v>
      </c>
      <c r="H34" s="106">
        <v>20008</v>
      </c>
      <c r="I34" s="107">
        <v>0</v>
      </c>
      <c r="J34" s="105">
        <v>0</v>
      </c>
      <c r="K34" s="106">
        <v>0</v>
      </c>
      <c r="L34" s="107">
        <v>84240</v>
      </c>
      <c r="M34" s="105">
        <v>24663</v>
      </c>
      <c r="N34" s="106">
        <v>59577</v>
      </c>
      <c r="O34" s="107">
        <f t="shared" ref="O34:Q97" si="8">+F34+I34+L34</f>
        <v>124675</v>
      </c>
      <c r="P34" s="105">
        <f t="shared" si="8"/>
        <v>45090</v>
      </c>
      <c r="Q34" s="106">
        <f t="shared" si="8"/>
        <v>79585</v>
      </c>
      <c r="R34" s="105">
        <f t="shared" si="7"/>
        <v>443.6832740213523</v>
      </c>
      <c r="S34" s="105">
        <f t="shared" si="7"/>
        <v>160.46263345195729</v>
      </c>
      <c r="T34" s="108">
        <f t="shared" si="7"/>
        <v>283.22064056939502</v>
      </c>
    </row>
    <row r="35" spans="1:20" s="66" customFormat="1" ht="12.75" x14ac:dyDescent="0.2">
      <c r="A35" s="109">
        <v>38</v>
      </c>
      <c r="B35" s="110">
        <v>1</v>
      </c>
      <c r="C35" s="103" t="s">
        <v>156</v>
      </c>
      <c r="D35" s="103">
        <v>5</v>
      </c>
      <c r="E35" s="104">
        <f>+SUMIF('GE16FEB14 Unfudged'!$A$2:$A$498, $A35, 'GE16FEB14 Unfudged'!$D$2:$D$498)</f>
        <v>1572</v>
      </c>
      <c r="F35" s="104">
        <v>140199</v>
      </c>
      <c r="G35" s="105">
        <v>87</v>
      </c>
      <c r="H35" s="106">
        <v>140112</v>
      </c>
      <c r="I35" s="107">
        <v>0</v>
      </c>
      <c r="J35" s="105">
        <v>0</v>
      </c>
      <c r="K35" s="106">
        <v>0</v>
      </c>
      <c r="L35" s="107">
        <v>2352515</v>
      </c>
      <c r="M35" s="105">
        <v>71978</v>
      </c>
      <c r="N35" s="106">
        <v>2280537</v>
      </c>
      <c r="O35" s="107">
        <f t="shared" si="8"/>
        <v>2492714</v>
      </c>
      <c r="P35" s="105">
        <f t="shared" si="8"/>
        <v>72065</v>
      </c>
      <c r="Q35" s="106">
        <f t="shared" si="8"/>
        <v>2420649</v>
      </c>
      <c r="R35" s="105">
        <f t="shared" si="7"/>
        <v>1585.6959287531806</v>
      </c>
      <c r="S35" s="105">
        <f t="shared" si="7"/>
        <v>45.842875318066156</v>
      </c>
      <c r="T35" s="108">
        <f t="shared" si="7"/>
        <v>1539.8530534351146</v>
      </c>
    </row>
    <row r="36" spans="1:20" s="66" customFormat="1" ht="12.75" x14ac:dyDescent="0.2">
      <c r="A36" s="109">
        <v>47</v>
      </c>
      <c r="B36" s="110">
        <v>1</v>
      </c>
      <c r="C36" s="103" t="s">
        <v>157</v>
      </c>
      <c r="D36" s="103">
        <v>4</v>
      </c>
      <c r="E36" s="104">
        <f>+SUMIF('GE16FEB14 Unfudged'!$A$2:$A$498, $A36, 'GE16FEB14 Unfudged'!$D$2:$D$498)</f>
        <v>4346</v>
      </c>
      <c r="F36" s="104">
        <v>625882</v>
      </c>
      <c r="G36" s="105">
        <v>404296</v>
      </c>
      <c r="H36" s="106">
        <v>221586</v>
      </c>
      <c r="I36" s="107">
        <v>921437</v>
      </c>
      <c r="J36" s="105">
        <v>595213</v>
      </c>
      <c r="K36" s="106">
        <v>326224</v>
      </c>
      <c r="L36" s="107">
        <v>1303920</v>
      </c>
      <c r="M36" s="105">
        <v>488141</v>
      </c>
      <c r="N36" s="106">
        <v>815779</v>
      </c>
      <c r="O36" s="107">
        <f t="shared" si="8"/>
        <v>2851239</v>
      </c>
      <c r="P36" s="105">
        <f t="shared" si="8"/>
        <v>1487650</v>
      </c>
      <c r="Q36" s="106">
        <f t="shared" si="8"/>
        <v>1363589</v>
      </c>
      <c r="R36" s="105">
        <f t="shared" si="7"/>
        <v>656.06051541647491</v>
      </c>
      <c r="S36" s="105">
        <f t="shared" si="7"/>
        <v>342.30326737229638</v>
      </c>
      <c r="T36" s="108">
        <f t="shared" si="7"/>
        <v>313.75724804417854</v>
      </c>
    </row>
    <row r="37" spans="1:20" s="66" customFormat="1" ht="12.75" x14ac:dyDescent="0.2">
      <c r="A37" s="109">
        <v>51</v>
      </c>
      <c r="B37" s="110">
        <v>1</v>
      </c>
      <c r="C37" s="103" t="s">
        <v>158</v>
      </c>
      <c r="D37" s="103">
        <v>5</v>
      </c>
      <c r="E37" s="104">
        <f>+SUMIF('GE16FEB14 Unfudged'!$A$2:$A$498, $A37, 'GE16FEB14 Unfudged'!$D$2:$D$498)</f>
        <v>1945</v>
      </c>
      <c r="F37" s="104">
        <v>280030</v>
      </c>
      <c r="G37" s="105">
        <v>138866</v>
      </c>
      <c r="H37" s="106">
        <v>141164</v>
      </c>
      <c r="I37" s="107">
        <v>0</v>
      </c>
      <c r="J37" s="105">
        <v>0</v>
      </c>
      <c r="K37" s="106">
        <v>0</v>
      </c>
      <c r="L37" s="107">
        <v>583395</v>
      </c>
      <c r="M37" s="105">
        <v>167664</v>
      </c>
      <c r="N37" s="106">
        <v>415731</v>
      </c>
      <c r="O37" s="107">
        <f t="shared" si="8"/>
        <v>863425</v>
      </c>
      <c r="P37" s="105">
        <f t="shared" si="8"/>
        <v>306530</v>
      </c>
      <c r="Q37" s="106">
        <f t="shared" si="8"/>
        <v>556895</v>
      </c>
      <c r="R37" s="105">
        <f t="shared" si="7"/>
        <v>443.92030848329051</v>
      </c>
      <c r="S37" s="105">
        <f t="shared" si="7"/>
        <v>157.59897172236504</v>
      </c>
      <c r="T37" s="108">
        <f t="shared" si="7"/>
        <v>286.32133676092548</v>
      </c>
    </row>
    <row r="38" spans="1:20" s="66" customFormat="1" ht="12.75" x14ac:dyDescent="0.2">
      <c r="A38" s="109">
        <v>75</v>
      </c>
      <c r="B38" s="110">
        <v>1</v>
      </c>
      <c r="C38" s="103" t="s">
        <v>159</v>
      </c>
      <c r="D38" s="103">
        <v>6</v>
      </c>
      <c r="E38" s="104">
        <f>+SUMIF('GE16FEB14 Unfudged'!$A$2:$A$498, $A38, 'GE16FEB14 Unfudged'!$D$2:$D$498)</f>
        <v>696</v>
      </c>
      <c r="F38" s="104">
        <v>90433</v>
      </c>
      <c r="G38" s="105">
        <v>73680</v>
      </c>
      <c r="H38" s="106">
        <v>16753</v>
      </c>
      <c r="I38" s="107">
        <v>0</v>
      </c>
      <c r="J38" s="105">
        <v>0</v>
      </c>
      <c r="K38" s="106">
        <v>0</v>
      </c>
      <c r="L38" s="107">
        <v>423732</v>
      </c>
      <c r="M38" s="105">
        <v>273665</v>
      </c>
      <c r="N38" s="106">
        <v>150067</v>
      </c>
      <c r="O38" s="107">
        <f t="shared" si="8"/>
        <v>514165</v>
      </c>
      <c r="P38" s="105">
        <f t="shared" si="8"/>
        <v>347345</v>
      </c>
      <c r="Q38" s="106">
        <f t="shared" si="8"/>
        <v>166820</v>
      </c>
      <c r="R38" s="105">
        <f t="shared" si="7"/>
        <v>738.74281609195407</v>
      </c>
      <c r="S38" s="105">
        <f t="shared" si="7"/>
        <v>499.05890804597703</v>
      </c>
      <c r="T38" s="108">
        <f t="shared" si="7"/>
        <v>239.68390804597701</v>
      </c>
    </row>
    <row r="39" spans="1:20" s="66" customFormat="1" ht="12.75" x14ac:dyDescent="0.2">
      <c r="A39" s="109">
        <v>77</v>
      </c>
      <c r="B39" s="110">
        <v>1</v>
      </c>
      <c r="C39" s="103" t="s">
        <v>160</v>
      </c>
      <c r="D39" s="103">
        <v>4</v>
      </c>
      <c r="E39" s="104">
        <f>+SUMIF('GE16FEB14 Unfudged'!$A$2:$A$498, $A39, 'GE16FEB14 Unfudged'!$D$2:$D$498)</f>
        <v>8602</v>
      </c>
      <c r="F39" s="104">
        <v>1143257</v>
      </c>
      <c r="G39" s="105">
        <v>1143257</v>
      </c>
      <c r="H39" s="106">
        <v>0</v>
      </c>
      <c r="I39" s="107">
        <v>1823539</v>
      </c>
      <c r="J39" s="105">
        <v>1823539</v>
      </c>
      <c r="K39" s="106">
        <v>0</v>
      </c>
      <c r="L39" s="107">
        <v>4660777</v>
      </c>
      <c r="M39" s="105">
        <v>3619421</v>
      </c>
      <c r="N39" s="106">
        <v>1041356</v>
      </c>
      <c r="O39" s="107">
        <f t="shared" si="8"/>
        <v>7627573</v>
      </c>
      <c r="P39" s="105">
        <f t="shared" si="8"/>
        <v>6586217</v>
      </c>
      <c r="Q39" s="106">
        <f t="shared" si="8"/>
        <v>1041356</v>
      </c>
      <c r="R39" s="105">
        <f t="shared" si="7"/>
        <v>886.7208788653802</v>
      </c>
      <c r="S39" s="105">
        <f t="shared" si="7"/>
        <v>765.66112531969304</v>
      </c>
      <c r="T39" s="108">
        <f t="shared" si="7"/>
        <v>121.05975354568704</v>
      </c>
    </row>
    <row r="40" spans="1:20" s="66" customFormat="1" ht="12.75" x14ac:dyDescent="0.2">
      <c r="A40" s="109">
        <v>81</v>
      </c>
      <c r="B40" s="110">
        <v>1</v>
      </c>
      <c r="C40" s="103" t="s">
        <v>161</v>
      </c>
      <c r="D40" s="103">
        <v>6</v>
      </c>
      <c r="E40" s="104">
        <f>+SUMIF('GE16FEB14 Unfudged'!$A$2:$A$498, $A40, 'GE16FEB14 Unfudged'!$D$2:$D$498)</f>
        <v>162</v>
      </c>
      <c r="F40" s="104">
        <v>12770</v>
      </c>
      <c r="G40" s="105">
        <v>5721</v>
      </c>
      <c r="H40" s="106">
        <v>7049</v>
      </c>
      <c r="I40" s="107">
        <v>0</v>
      </c>
      <c r="J40" s="105">
        <v>0</v>
      </c>
      <c r="K40" s="106">
        <v>0</v>
      </c>
      <c r="L40" s="107">
        <v>280102</v>
      </c>
      <c r="M40" s="105">
        <v>168388</v>
      </c>
      <c r="N40" s="106">
        <v>111714</v>
      </c>
      <c r="O40" s="107">
        <f t="shared" si="8"/>
        <v>292872</v>
      </c>
      <c r="P40" s="105">
        <f t="shared" si="8"/>
        <v>174109</v>
      </c>
      <c r="Q40" s="106">
        <f t="shared" si="8"/>
        <v>118763</v>
      </c>
      <c r="R40" s="105">
        <f t="shared" si="7"/>
        <v>1807.851851851852</v>
      </c>
      <c r="S40" s="105">
        <f t="shared" si="7"/>
        <v>1074.7469135802469</v>
      </c>
      <c r="T40" s="108">
        <f t="shared" si="7"/>
        <v>733.10493827160496</v>
      </c>
    </row>
    <row r="41" spans="1:20" s="66" customFormat="1" ht="12.75" x14ac:dyDescent="0.2">
      <c r="A41" s="109">
        <v>84</v>
      </c>
      <c r="B41" s="110">
        <v>1</v>
      </c>
      <c r="C41" s="103" t="s">
        <v>162</v>
      </c>
      <c r="D41" s="103">
        <v>6</v>
      </c>
      <c r="E41" s="104">
        <f>+SUMIF('GE16FEB14 Unfudged'!$A$2:$A$498, $A41, 'GE16FEB14 Unfudged'!$D$2:$D$498)</f>
        <v>596</v>
      </c>
      <c r="F41" s="104">
        <v>85832</v>
      </c>
      <c r="G41" s="105">
        <v>69879</v>
      </c>
      <c r="H41" s="106">
        <v>15953</v>
      </c>
      <c r="I41" s="107">
        <v>0</v>
      </c>
      <c r="J41" s="105">
        <v>0</v>
      </c>
      <c r="K41" s="106">
        <v>0</v>
      </c>
      <c r="L41" s="107">
        <v>178815</v>
      </c>
      <c r="M41" s="105">
        <v>84370</v>
      </c>
      <c r="N41" s="106">
        <v>94445</v>
      </c>
      <c r="O41" s="107">
        <f t="shared" si="8"/>
        <v>264647</v>
      </c>
      <c r="P41" s="105">
        <f t="shared" si="8"/>
        <v>154249</v>
      </c>
      <c r="Q41" s="106">
        <f t="shared" si="8"/>
        <v>110398</v>
      </c>
      <c r="R41" s="105">
        <f t="shared" si="7"/>
        <v>444.03859060402687</v>
      </c>
      <c r="S41" s="105">
        <f t="shared" si="7"/>
        <v>258.80704697986579</v>
      </c>
      <c r="T41" s="108">
        <f t="shared" si="7"/>
        <v>185.23154362416108</v>
      </c>
    </row>
    <row r="42" spans="1:20" s="66" customFormat="1" ht="12.75" x14ac:dyDescent="0.2">
      <c r="A42" s="109">
        <v>85</v>
      </c>
      <c r="B42" s="110">
        <v>1</v>
      </c>
      <c r="C42" s="103" t="s">
        <v>163</v>
      </c>
      <c r="D42" s="103">
        <v>6</v>
      </c>
      <c r="E42" s="104">
        <f>+SUMIF('GE16FEB14 Unfudged'!$A$2:$A$498, $A42, 'GE16FEB14 Unfudged'!$D$2:$D$498)</f>
        <v>601</v>
      </c>
      <c r="F42" s="104">
        <v>75337</v>
      </c>
      <c r="G42" s="105">
        <v>36736</v>
      </c>
      <c r="H42" s="106">
        <v>38601</v>
      </c>
      <c r="I42" s="107">
        <v>0</v>
      </c>
      <c r="J42" s="105">
        <v>0</v>
      </c>
      <c r="K42" s="106">
        <v>0</v>
      </c>
      <c r="L42" s="107">
        <v>425781</v>
      </c>
      <c r="M42" s="105">
        <v>170639</v>
      </c>
      <c r="N42" s="106">
        <v>255142</v>
      </c>
      <c r="O42" s="107">
        <f t="shared" si="8"/>
        <v>501118</v>
      </c>
      <c r="P42" s="105">
        <f t="shared" si="8"/>
        <v>207375</v>
      </c>
      <c r="Q42" s="106">
        <f t="shared" si="8"/>
        <v>293743</v>
      </c>
      <c r="R42" s="105">
        <f t="shared" si="7"/>
        <v>833.80698835274541</v>
      </c>
      <c r="S42" s="105">
        <f t="shared" si="7"/>
        <v>345.04991680532447</v>
      </c>
      <c r="T42" s="108">
        <f t="shared" si="7"/>
        <v>488.75707154742099</v>
      </c>
    </row>
    <row r="43" spans="1:20" s="66" customFormat="1" ht="12.75" x14ac:dyDescent="0.2">
      <c r="A43" s="109">
        <v>88</v>
      </c>
      <c r="B43" s="110">
        <v>1</v>
      </c>
      <c r="C43" s="103" t="s">
        <v>164</v>
      </c>
      <c r="D43" s="103">
        <v>4</v>
      </c>
      <c r="E43" s="104">
        <f>+SUMIF('GE16FEB14 Unfudged'!$A$2:$A$498, $A43, 'GE16FEB14 Unfudged'!$D$2:$D$498)</f>
        <v>2169</v>
      </c>
      <c r="F43" s="104">
        <v>193659</v>
      </c>
      <c r="G43" s="105">
        <v>193520</v>
      </c>
      <c r="H43" s="106">
        <v>139</v>
      </c>
      <c r="I43" s="107">
        <v>0</v>
      </c>
      <c r="J43" s="105">
        <v>0</v>
      </c>
      <c r="K43" s="106">
        <v>0</v>
      </c>
      <c r="L43" s="107">
        <v>3238604</v>
      </c>
      <c r="M43" s="105">
        <v>2964054</v>
      </c>
      <c r="N43" s="106">
        <v>274550</v>
      </c>
      <c r="O43" s="107">
        <f t="shared" si="8"/>
        <v>3432263</v>
      </c>
      <c r="P43" s="105">
        <f t="shared" si="8"/>
        <v>3157574</v>
      </c>
      <c r="Q43" s="106">
        <f t="shared" si="8"/>
        <v>274689</v>
      </c>
      <c r="R43" s="105">
        <f t="shared" si="7"/>
        <v>1582.4172429691102</v>
      </c>
      <c r="S43" s="105">
        <f t="shared" si="7"/>
        <v>1455.7740894421393</v>
      </c>
      <c r="T43" s="108">
        <f t="shared" si="7"/>
        <v>126.64315352697095</v>
      </c>
    </row>
    <row r="44" spans="1:20" s="66" customFormat="1" ht="12.75" x14ac:dyDescent="0.2">
      <c r="A44" s="109">
        <v>91</v>
      </c>
      <c r="B44" s="110">
        <v>1</v>
      </c>
      <c r="C44" s="103" t="s">
        <v>165</v>
      </c>
      <c r="D44" s="103">
        <v>6</v>
      </c>
      <c r="E44" s="104">
        <f>+SUMIF('GE16FEB14 Unfudged'!$A$2:$A$498, $A44, 'GE16FEB14 Unfudged'!$D$2:$D$498)</f>
        <v>877</v>
      </c>
      <c r="F44" s="104">
        <v>126259</v>
      </c>
      <c r="G44" s="105">
        <v>67941</v>
      </c>
      <c r="H44" s="106">
        <v>58318</v>
      </c>
      <c r="I44" s="107">
        <v>0</v>
      </c>
      <c r="J44" s="105">
        <v>0</v>
      </c>
      <c r="K44" s="106">
        <v>0</v>
      </c>
      <c r="L44" s="107">
        <v>263040</v>
      </c>
      <c r="M44" s="105">
        <v>82031</v>
      </c>
      <c r="N44" s="106">
        <v>181009</v>
      </c>
      <c r="O44" s="107">
        <f t="shared" si="8"/>
        <v>389299</v>
      </c>
      <c r="P44" s="105">
        <f t="shared" si="8"/>
        <v>149972</v>
      </c>
      <c r="Q44" s="106">
        <f t="shared" si="8"/>
        <v>239327</v>
      </c>
      <c r="R44" s="105">
        <f t="shared" si="7"/>
        <v>443.89851767388825</v>
      </c>
      <c r="S44" s="105">
        <f t="shared" si="7"/>
        <v>171.00570125427595</v>
      </c>
      <c r="T44" s="108">
        <f t="shared" si="7"/>
        <v>272.8928164196123</v>
      </c>
    </row>
    <row r="45" spans="1:20" s="66" customFormat="1" ht="12.75" x14ac:dyDescent="0.2">
      <c r="A45" s="109">
        <v>93</v>
      </c>
      <c r="B45" s="110">
        <v>1</v>
      </c>
      <c r="C45" s="103" t="s">
        <v>166</v>
      </c>
      <c r="D45" s="103">
        <v>6</v>
      </c>
      <c r="E45" s="104">
        <f>+SUMIF('GE16FEB14 Unfudged'!$A$2:$A$498, $A45, 'GE16FEB14 Unfudged'!$D$2:$D$498)</f>
        <v>479</v>
      </c>
      <c r="F45" s="104">
        <v>39338</v>
      </c>
      <c r="G45" s="105">
        <v>35101</v>
      </c>
      <c r="H45" s="106">
        <v>4237</v>
      </c>
      <c r="I45" s="107">
        <v>0</v>
      </c>
      <c r="J45" s="105">
        <v>0</v>
      </c>
      <c r="K45" s="106">
        <v>0</v>
      </c>
      <c r="L45" s="107">
        <v>790848</v>
      </c>
      <c r="M45" s="105">
        <v>697685</v>
      </c>
      <c r="N45" s="106">
        <v>93163</v>
      </c>
      <c r="O45" s="107">
        <f t="shared" si="8"/>
        <v>830186</v>
      </c>
      <c r="P45" s="105">
        <f t="shared" si="8"/>
        <v>732786</v>
      </c>
      <c r="Q45" s="106">
        <f t="shared" si="8"/>
        <v>97400</v>
      </c>
      <c r="R45" s="105">
        <f t="shared" si="7"/>
        <v>1733.1649269311065</v>
      </c>
      <c r="S45" s="105">
        <f t="shared" si="7"/>
        <v>1529.8246346555325</v>
      </c>
      <c r="T45" s="108">
        <f t="shared" si="7"/>
        <v>203.34029227557411</v>
      </c>
    </row>
    <row r="46" spans="1:20" s="66" customFormat="1" ht="12.75" x14ac:dyDescent="0.2">
      <c r="A46" s="109">
        <v>94</v>
      </c>
      <c r="B46" s="110">
        <v>1</v>
      </c>
      <c r="C46" s="103" t="s">
        <v>167</v>
      </c>
      <c r="D46" s="103">
        <v>4</v>
      </c>
      <c r="E46" s="104">
        <f>+SUMIF('GE16FEB14 Unfudged'!$A$2:$A$498, $A46, 'GE16FEB14 Unfudged'!$D$2:$D$498)</f>
        <v>2887</v>
      </c>
      <c r="F46" s="104">
        <v>415757</v>
      </c>
      <c r="G46" s="105">
        <v>265051</v>
      </c>
      <c r="H46" s="106">
        <v>150706</v>
      </c>
      <c r="I46" s="107">
        <v>612086</v>
      </c>
      <c r="J46" s="105">
        <v>390213</v>
      </c>
      <c r="K46" s="106">
        <v>221873</v>
      </c>
      <c r="L46" s="107">
        <v>866160</v>
      </c>
      <c r="M46" s="105">
        <v>320018</v>
      </c>
      <c r="N46" s="106">
        <v>546142</v>
      </c>
      <c r="O46" s="107">
        <f t="shared" si="8"/>
        <v>1894003</v>
      </c>
      <c r="P46" s="105">
        <f t="shared" si="8"/>
        <v>975282</v>
      </c>
      <c r="Q46" s="106">
        <f t="shared" si="8"/>
        <v>918721</v>
      </c>
      <c r="R46" s="105">
        <f t="shared" si="7"/>
        <v>656.04537582265323</v>
      </c>
      <c r="S46" s="105">
        <f t="shared" si="7"/>
        <v>337.81849670938692</v>
      </c>
      <c r="T46" s="108">
        <f t="shared" si="7"/>
        <v>318.22687911326636</v>
      </c>
    </row>
    <row r="47" spans="1:20" s="66" customFormat="1" ht="12.75" x14ac:dyDescent="0.2">
      <c r="A47" s="109">
        <v>95</v>
      </c>
      <c r="B47" s="110">
        <v>1</v>
      </c>
      <c r="C47" s="103" t="s">
        <v>168</v>
      </c>
      <c r="D47" s="103">
        <v>6</v>
      </c>
      <c r="E47" s="104">
        <f>+SUMIF('GE16FEB14 Unfudged'!$A$2:$A$498, $A47, 'GE16FEB14 Unfudged'!$D$2:$D$498)</f>
        <v>349</v>
      </c>
      <c r="F47" s="104">
        <v>50256</v>
      </c>
      <c r="G47" s="105">
        <v>36993</v>
      </c>
      <c r="H47" s="106">
        <v>13263</v>
      </c>
      <c r="I47" s="107">
        <v>0</v>
      </c>
      <c r="J47" s="105">
        <v>0</v>
      </c>
      <c r="K47" s="106">
        <v>0</v>
      </c>
      <c r="L47" s="107">
        <v>104700</v>
      </c>
      <c r="M47" s="105">
        <v>44665</v>
      </c>
      <c r="N47" s="106">
        <v>60035</v>
      </c>
      <c r="O47" s="107">
        <f t="shared" si="8"/>
        <v>154956</v>
      </c>
      <c r="P47" s="105">
        <f t="shared" si="8"/>
        <v>81658</v>
      </c>
      <c r="Q47" s="106">
        <f t="shared" si="8"/>
        <v>73298</v>
      </c>
      <c r="R47" s="105">
        <f t="shared" si="7"/>
        <v>444</v>
      </c>
      <c r="S47" s="105">
        <f t="shared" si="7"/>
        <v>233.97707736389685</v>
      </c>
      <c r="T47" s="108">
        <f t="shared" si="7"/>
        <v>210.02292263610315</v>
      </c>
    </row>
    <row r="48" spans="1:20" s="66" customFormat="1" ht="12.75" x14ac:dyDescent="0.2">
      <c r="A48" s="109">
        <v>97</v>
      </c>
      <c r="B48" s="110">
        <v>1</v>
      </c>
      <c r="C48" s="103" t="s">
        <v>169</v>
      </c>
      <c r="D48" s="103">
        <v>6</v>
      </c>
      <c r="E48" s="104">
        <f>+SUMIF('GE16FEB14 Unfudged'!$A$2:$A$498, $A48, 'GE16FEB14 Unfudged'!$D$2:$D$498)</f>
        <v>689</v>
      </c>
      <c r="F48" s="104">
        <v>94526</v>
      </c>
      <c r="G48" s="105">
        <v>74829</v>
      </c>
      <c r="H48" s="106">
        <v>19697</v>
      </c>
      <c r="I48" s="107">
        <v>0</v>
      </c>
      <c r="J48" s="105">
        <v>0</v>
      </c>
      <c r="K48" s="106">
        <v>0</v>
      </c>
      <c r="L48" s="107">
        <v>307625</v>
      </c>
      <c r="M48" s="105">
        <v>174764</v>
      </c>
      <c r="N48" s="106">
        <v>132861</v>
      </c>
      <c r="O48" s="107">
        <f t="shared" si="8"/>
        <v>402151</v>
      </c>
      <c r="P48" s="105">
        <f t="shared" si="8"/>
        <v>249593</v>
      </c>
      <c r="Q48" s="106">
        <f t="shared" si="8"/>
        <v>152558</v>
      </c>
      <c r="R48" s="105">
        <f t="shared" si="7"/>
        <v>583.67343976777943</v>
      </c>
      <c r="S48" s="105">
        <f t="shared" si="7"/>
        <v>362.25399129172712</v>
      </c>
      <c r="T48" s="108">
        <f t="shared" si="7"/>
        <v>221.41944847605225</v>
      </c>
    </row>
    <row r="49" spans="1:20" s="66" customFormat="1" ht="12.75" x14ac:dyDescent="0.2">
      <c r="A49" s="109">
        <v>99</v>
      </c>
      <c r="B49" s="110">
        <v>1</v>
      </c>
      <c r="C49" s="103" t="s">
        <v>170</v>
      </c>
      <c r="D49" s="103">
        <v>5</v>
      </c>
      <c r="E49" s="104">
        <f>+SUMIF('GE16FEB14 Unfudged'!$A$2:$A$498, $A49, 'GE16FEB14 Unfudged'!$D$2:$D$498)</f>
        <v>1309</v>
      </c>
      <c r="F49" s="104">
        <v>187528</v>
      </c>
      <c r="G49" s="105">
        <v>127226</v>
      </c>
      <c r="H49" s="106">
        <v>60302</v>
      </c>
      <c r="I49" s="107">
        <v>0</v>
      </c>
      <c r="J49" s="105">
        <v>0</v>
      </c>
      <c r="K49" s="106">
        <v>0</v>
      </c>
      <c r="L49" s="107">
        <v>413123</v>
      </c>
      <c r="M49" s="105">
        <v>168277</v>
      </c>
      <c r="N49" s="106">
        <v>244846</v>
      </c>
      <c r="O49" s="107">
        <f t="shared" si="8"/>
        <v>600651</v>
      </c>
      <c r="P49" s="105">
        <f t="shared" si="8"/>
        <v>295503</v>
      </c>
      <c r="Q49" s="106">
        <f t="shared" si="8"/>
        <v>305148</v>
      </c>
      <c r="R49" s="105">
        <f t="shared" si="7"/>
        <v>458.86249045072577</v>
      </c>
      <c r="S49" s="105">
        <f t="shared" si="7"/>
        <v>225.74713521772344</v>
      </c>
      <c r="T49" s="108">
        <f t="shared" si="7"/>
        <v>233.1153552330023</v>
      </c>
    </row>
    <row r="50" spans="1:20" s="66" customFormat="1" ht="12.75" x14ac:dyDescent="0.2">
      <c r="A50" s="109">
        <v>100</v>
      </c>
      <c r="B50" s="110">
        <v>1</v>
      </c>
      <c r="C50" s="103" t="s">
        <v>171</v>
      </c>
      <c r="D50" s="103">
        <v>6</v>
      </c>
      <c r="E50" s="104">
        <f>+SUMIF('GE16FEB14 Unfudged'!$A$2:$A$498, $A50, 'GE16FEB14 Unfudged'!$D$2:$D$498)</f>
        <v>326</v>
      </c>
      <c r="F50" s="104">
        <v>43337</v>
      </c>
      <c r="G50" s="105">
        <v>43337</v>
      </c>
      <c r="H50" s="106">
        <v>0</v>
      </c>
      <c r="I50" s="107">
        <v>0</v>
      </c>
      <c r="J50" s="105">
        <v>0</v>
      </c>
      <c r="K50" s="106">
        <v>0</v>
      </c>
      <c r="L50" s="107">
        <v>175101</v>
      </c>
      <c r="M50" s="105">
        <v>150831</v>
      </c>
      <c r="N50" s="106">
        <v>24270</v>
      </c>
      <c r="O50" s="107">
        <f t="shared" si="8"/>
        <v>218438</v>
      </c>
      <c r="P50" s="105">
        <f t="shared" si="8"/>
        <v>194168</v>
      </c>
      <c r="Q50" s="106">
        <f t="shared" si="8"/>
        <v>24270</v>
      </c>
      <c r="R50" s="105">
        <f t="shared" si="7"/>
        <v>670.05521472392638</v>
      </c>
      <c r="S50" s="105">
        <f t="shared" si="7"/>
        <v>595.60736196319021</v>
      </c>
      <c r="T50" s="108">
        <f t="shared" si="7"/>
        <v>74.447852760736197</v>
      </c>
    </row>
    <row r="51" spans="1:20" s="66" customFormat="1" ht="12.75" x14ac:dyDescent="0.2">
      <c r="A51" s="109">
        <v>108</v>
      </c>
      <c r="B51" s="110">
        <v>1</v>
      </c>
      <c r="C51" s="103" t="s">
        <v>172</v>
      </c>
      <c r="D51" s="103">
        <v>3</v>
      </c>
      <c r="E51" s="104">
        <f>+SUMIF('GE16FEB14 Unfudged'!$A$2:$A$498, $A51, 'GE16FEB14 Unfudged'!$D$2:$D$498)</f>
        <v>1113</v>
      </c>
      <c r="F51" s="104">
        <v>186428</v>
      </c>
      <c r="G51" s="105">
        <v>149836</v>
      </c>
      <c r="H51" s="106">
        <v>36592</v>
      </c>
      <c r="I51" s="107">
        <v>471912</v>
      </c>
      <c r="J51" s="105">
        <v>379287</v>
      </c>
      <c r="K51" s="106">
        <v>92625</v>
      </c>
      <c r="L51" s="107">
        <v>333900</v>
      </c>
      <c r="M51" s="105">
        <v>155529</v>
      </c>
      <c r="N51" s="106">
        <v>178371</v>
      </c>
      <c r="O51" s="107">
        <f t="shared" si="8"/>
        <v>992240</v>
      </c>
      <c r="P51" s="105">
        <f t="shared" si="8"/>
        <v>684652</v>
      </c>
      <c r="Q51" s="106">
        <f t="shared" si="8"/>
        <v>307588</v>
      </c>
      <c r="R51" s="105">
        <f t="shared" si="7"/>
        <v>891.50044923629832</v>
      </c>
      <c r="S51" s="105">
        <f t="shared" si="7"/>
        <v>615.14106019766393</v>
      </c>
      <c r="T51" s="108">
        <f t="shared" si="7"/>
        <v>276.35938903863433</v>
      </c>
    </row>
    <row r="52" spans="1:20" s="66" customFormat="1" ht="12.75" x14ac:dyDescent="0.2">
      <c r="A52" s="109">
        <v>110</v>
      </c>
      <c r="B52" s="110">
        <v>1</v>
      </c>
      <c r="C52" s="103" t="s">
        <v>173</v>
      </c>
      <c r="D52" s="103">
        <v>3</v>
      </c>
      <c r="E52" s="104">
        <f>+SUMIF('GE16FEB14 Unfudged'!$A$2:$A$498, $A52, 'GE16FEB14 Unfudged'!$D$2:$D$498)</f>
        <v>4173</v>
      </c>
      <c r="F52" s="104">
        <v>695111</v>
      </c>
      <c r="G52" s="105">
        <v>563675</v>
      </c>
      <c r="H52" s="106">
        <v>131436</v>
      </c>
      <c r="I52" s="107">
        <v>1769140</v>
      </c>
      <c r="J52" s="105">
        <v>1434620</v>
      </c>
      <c r="K52" s="106">
        <v>334520</v>
      </c>
      <c r="L52" s="107">
        <v>1301027</v>
      </c>
      <c r="M52" s="105">
        <v>628233</v>
      </c>
      <c r="N52" s="106">
        <v>672794</v>
      </c>
      <c r="O52" s="107">
        <f t="shared" si="8"/>
        <v>3765278</v>
      </c>
      <c r="P52" s="105">
        <f t="shared" si="8"/>
        <v>2626528</v>
      </c>
      <c r="Q52" s="106">
        <f t="shared" si="8"/>
        <v>1138750</v>
      </c>
      <c r="R52" s="105">
        <f t="shared" si="7"/>
        <v>902.29523124850232</v>
      </c>
      <c r="S52" s="105">
        <f t="shared" si="7"/>
        <v>629.41001677450276</v>
      </c>
      <c r="T52" s="108">
        <f t="shared" si="7"/>
        <v>272.8852144739995</v>
      </c>
    </row>
    <row r="53" spans="1:20" s="66" customFormat="1" ht="12.75" x14ac:dyDescent="0.2">
      <c r="A53" s="109">
        <v>111</v>
      </c>
      <c r="B53" s="110">
        <v>1</v>
      </c>
      <c r="C53" s="103" t="s">
        <v>174</v>
      </c>
      <c r="D53" s="103">
        <v>3</v>
      </c>
      <c r="E53" s="104">
        <f>+SUMIF('GE16FEB14 Unfudged'!$A$2:$A$498, $A53, 'GE16FEB14 Unfudged'!$D$2:$D$498)</f>
        <v>1853</v>
      </c>
      <c r="F53" s="104">
        <v>308959</v>
      </c>
      <c r="G53" s="105">
        <v>240244</v>
      </c>
      <c r="H53" s="106">
        <v>68715</v>
      </c>
      <c r="I53" s="107">
        <v>785672</v>
      </c>
      <c r="J53" s="105">
        <v>610932</v>
      </c>
      <c r="K53" s="106">
        <v>174740</v>
      </c>
      <c r="L53" s="107">
        <v>574374</v>
      </c>
      <c r="M53" s="105">
        <v>264881</v>
      </c>
      <c r="N53" s="106">
        <v>309493</v>
      </c>
      <c r="O53" s="107">
        <f t="shared" si="8"/>
        <v>1669005</v>
      </c>
      <c r="P53" s="105">
        <f t="shared" si="8"/>
        <v>1116057</v>
      </c>
      <c r="Q53" s="106">
        <f t="shared" si="8"/>
        <v>552948</v>
      </c>
      <c r="R53" s="105">
        <f t="shared" si="7"/>
        <v>900.7042633567188</v>
      </c>
      <c r="S53" s="105">
        <f t="shared" si="7"/>
        <v>602.29735563950351</v>
      </c>
      <c r="T53" s="108">
        <f t="shared" si="7"/>
        <v>298.40690771721535</v>
      </c>
    </row>
    <row r="54" spans="1:20" s="66" customFormat="1" ht="12.75" x14ac:dyDescent="0.2">
      <c r="A54" s="109">
        <v>112</v>
      </c>
      <c r="B54" s="110">
        <v>1</v>
      </c>
      <c r="C54" s="103" t="s">
        <v>175</v>
      </c>
      <c r="D54" s="103">
        <v>3</v>
      </c>
      <c r="E54" s="104">
        <f>+SUMIF('GE16FEB14 Unfudged'!$A$2:$A$498, $A54, 'GE16FEB14 Unfudged'!$D$2:$D$498)</f>
        <v>10033</v>
      </c>
      <c r="F54" s="104">
        <v>1275834</v>
      </c>
      <c r="G54" s="105">
        <v>1260515</v>
      </c>
      <c r="H54" s="106">
        <v>15319</v>
      </c>
      <c r="I54" s="107">
        <v>4253928</v>
      </c>
      <c r="J54" s="105">
        <v>4202851</v>
      </c>
      <c r="K54" s="106">
        <v>51077</v>
      </c>
      <c r="L54" s="107">
        <v>8281516</v>
      </c>
      <c r="M54" s="105">
        <v>6939650</v>
      </c>
      <c r="N54" s="106">
        <v>1341866</v>
      </c>
      <c r="O54" s="107">
        <f t="shared" si="8"/>
        <v>13811278</v>
      </c>
      <c r="P54" s="105">
        <f t="shared" si="8"/>
        <v>12403016</v>
      </c>
      <c r="Q54" s="106">
        <f t="shared" si="8"/>
        <v>1408262</v>
      </c>
      <c r="R54" s="105">
        <f t="shared" si="7"/>
        <v>1376.5850692714043</v>
      </c>
      <c r="S54" s="105">
        <f t="shared" si="7"/>
        <v>1236.2220671783116</v>
      </c>
      <c r="T54" s="108">
        <f t="shared" si="7"/>
        <v>140.3630020930928</v>
      </c>
    </row>
    <row r="55" spans="1:20" s="66" customFormat="1" ht="12.75" x14ac:dyDescent="0.2">
      <c r="A55" s="109">
        <v>113</v>
      </c>
      <c r="B55" s="110">
        <v>1</v>
      </c>
      <c r="C55" s="103" t="s">
        <v>176</v>
      </c>
      <c r="D55" s="103">
        <v>6</v>
      </c>
      <c r="E55" s="104">
        <f>+SUMIF('GE16FEB14 Unfudged'!$A$2:$A$498, $A55, 'GE16FEB14 Unfudged'!$D$2:$D$498)</f>
        <v>841</v>
      </c>
      <c r="F55" s="104">
        <v>121162</v>
      </c>
      <c r="G55" s="105">
        <v>121162</v>
      </c>
      <c r="H55" s="106">
        <v>0</v>
      </c>
      <c r="I55" s="107">
        <v>0</v>
      </c>
      <c r="J55" s="105">
        <v>0</v>
      </c>
      <c r="K55" s="106">
        <v>0</v>
      </c>
      <c r="L55" s="107">
        <v>252420</v>
      </c>
      <c r="M55" s="105">
        <v>232302</v>
      </c>
      <c r="N55" s="106">
        <v>20118</v>
      </c>
      <c r="O55" s="107">
        <f t="shared" si="8"/>
        <v>373582</v>
      </c>
      <c r="P55" s="105">
        <f t="shared" si="8"/>
        <v>353464</v>
      </c>
      <c r="Q55" s="106">
        <f t="shared" si="8"/>
        <v>20118</v>
      </c>
      <c r="R55" s="105">
        <f t="shared" si="7"/>
        <v>444.21165279429249</v>
      </c>
      <c r="S55" s="105">
        <f t="shared" si="7"/>
        <v>420.29013079667061</v>
      </c>
      <c r="T55" s="108">
        <f t="shared" si="7"/>
        <v>23.92152199762188</v>
      </c>
    </row>
    <row r="56" spans="1:20" s="66" customFormat="1" ht="12.75" x14ac:dyDescent="0.2">
      <c r="A56" s="109">
        <v>115</v>
      </c>
      <c r="B56" s="110">
        <v>1</v>
      </c>
      <c r="C56" s="103" t="s">
        <v>177</v>
      </c>
      <c r="D56" s="103">
        <v>5</v>
      </c>
      <c r="E56" s="104">
        <f>+SUMIF('GE16FEB14 Unfudged'!$A$2:$A$498, $A56, 'GE16FEB14 Unfudged'!$D$2:$D$498)</f>
        <v>1215</v>
      </c>
      <c r="F56" s="104">
        <v>174982</v>
      </c>
      <c r="G56" s="105">
        <v>123678</v>
      </c>
      <c r="H56" s="106">
        <v>51304</v>
      </c>
      <c r="I56" s="107">
        <v>0</v>
      </c>
      <c r="J56" s="105">
        <v>0</v>
      </c>
      <c r="K56" s="106">
        <v>0</v>
      </c>
      <c r="L56" s="107">
        <v>364545</v>
      </c>
      <c r="M56" s="105">
        <v>149327</v>
      </c>
      <c r="N56" s="106">
        <v>215218</v>
      </c>
      <c r="O56" s="107">
        <f t="shared" si="8"/>
        <v>539527</v>
      </c>
      <c r="P56" s="105">
        <f t="shared" si="8"/>
        <v>273005</v>
      </c>
      <c r="Q56" s="106">
        <f t="shared" si="8"/>
        <v>266522</v>
      </c>
      <c r="R56" s="105">
        <f t="shared" si="7"/>
        <v>444.05514403292182</v>
      </c>
      <c r="S56" s="105">
        <f t="shared" si="7"/>
        <v>224.6954732510288</v>
      </c>
      <c r="T56" s="108">
        <f t="shared" si="7"/>
        <v>219.35967078189302</v>
      </c>
    </row>
    <row r="57" spans="1:20" s="66" customFormat="1" ht="12.75" x14ac:dyDescent="0.2">
      <c r="A57" s="109">
        <v>116</v>
      </c>
      <c r="B57" s="110">
        <v>1</v>
      </c>
      <c r="C57" s="103" t="s">
        <v>178</v>
      </c>
      <c r="D57" s="103">
        <v>6</v>
      </c>
      <c r="E57" s="104">
        <f>+SUMIF('GE16FEB14 Unfudged'!$A$2:$A$498, $A57, 'GE16FEB14 Unfudged'!$D$2:$D$498)</f>
        <v>1073</v>
      </c>
      <c r="F57" s="104">
        <v>154512</v>
      </c>
      <c r="G57" s="105">
        <v>131954</v>
      </c>
      <c r="H57" s="106">
        <v>22558</v>
      </c>
      <c r="I57" s="107">
        <v>0</v>
      </c>
      <c r="J57" s="105">
        <v>0</v>
      </c>
      <c r="K57" s="106">
        <v>0</v>
      </c>
      <c r="L57" s="107">
        <v>321900</v>
      </c>
      <c r="M57" s="105">
        <v>159319</v>
      </c>
      <c r="N57" s="106">
        <v>162581</v>
      </c>
      <c r="O57" s="107">
        <f t="shared" si="8"/>
        <v>476412</v>
      </c>
      <c r="P57" s="105">
        <f t="shared" si="8"/>
        <v>291273</v>
      </c>
      <c r="Q57" s="106">
        <f t="shared" si="8"/>
        <v>185139</v>
      </c>
      <c r="R57" s="105">
        <f t="shared" si="7"/>
        <v>444</v>
      </c>
      <c r="S57" s="105">
        <f t="shared" si="7"/>
        <v>271.45666356011185</v>
      </c>
      <c r="T57" s="108">
        <f t="shared" si="7"/>
        <v>172.54333643988815</v>
      </c>
    </row>
    <row r="58" spans="1:20" s="66" customFormat="1" ht="12.75" x14ac:dyDescent="0.2">
      <c r="A58" s="109">
        <v>118</v>
      </c>
      <c r="B58" s="110">
        <v>1</v>
      </c>
      <c r="C58" s="103" t="s">
        <v>179</v>
      </c>
      <c r="D58" s="103">
        <v>6</v>
      </c>
      <c r="E58" s="104">
        <f>+SUMIF('GE16FEB14 Unfudged'!$A$2:$A$498, $A58, 'GE16FEB14 Unfudged'!$D$2:$D$498)</f>
        <v>336</v>
      </c>
      <c r="F58" s="104">
        <v>40946</v>
      </c>
      <c r="G58" s="105">
        <v>40946</v>
      </c>
      <c r="H58" s="106">
        <v>0</v>
      </c>
      <c r="I58" s="107">
        <v>0</v>
      </c>
      <c r="J58" s="105">
        <v>0</v>
      </c>
      <c r="K58" s="106">
        <v>0</v>
      </c>
      <c r="L58" s="107">
        <v>263215</v>
      </c>
      <c r="M58" s="105">
        <v>263215</v>
      </c>
      <c r="N58" s="106">
        <v>0</v>
      </c>
      <c r="O58" s="107">
        <f t="shared" si="8"/>
        <v>304161</v>
      </c>
      <c r="P58" s="105">
        <f t="shared" si="8"/>
        <v>304161</v>
      </c>
      <c r="Q58" s="106">
        <f t="shared" si="8"/>
        <v>0</v>
      </c>
      <c r="R58" s="105">
        <f t="shared" si="7"/>
        <v>905.24107142857144</v>
      </c>
      <c r="S58" s="105">
        <f t="shared" si="7"/>
        <v>905.24107142857144</v>
      </c>
      <c r="T58" s="108">
        <f t="shared" si="7"/>
        <v>0</v>
      </c>
    </row>
    <row r="59" spans="1:20" s="66" customFormat="1" ht="12.75" x14ac:dyDescent="0.2">
      <c r="A59" s="109">
        <v>129</v>
      </c>
      <c r="B59" s="110">
        <v>1</v>
      </c>
      <c r="C59" s="103" t="s">
        <v>180</v>
      </c>
      <c r="D59" s="103">
        <v>5</v>
      </c>
      <c r="E59" s="104">
        <f>+SUMIF('GE16FEB14 Unfudged'!$A$2:$A$498, $A59, 'GE16FEB14 Unfudged'!$D$2:$D$498)</f>
        <v>1501</v>
      </c>
      <c r="F59" s="104">
        <v>173917</v>
      </c>
      <c r="G59" s="105">
        <v>85669</v>
      </c>
      <c r="H59" s="106">
        <v>88248</v>
      </c>
      <c r="I59" s="107">
        <v>0</v>
      </c>
      <c r="J59" s="105">
        <v>0</v>
      </c>
      <c r="K59" s="106">
        <v>0</v>
      </c>
      <c r="L59" s="107">
        <v>1371705</v>
      </c>
      <c r="M59" s="105">
        <v>668686</v>
      </c>
      <c r="N59" s="106">
        <v>703019</v>
      </c>
      <c r="O59" s="107">
        <f t="shared" si="8"/>
        <v>1545622</v>
      </c>
      <c r="P59" s="105">
        <f t="shared" si="8"/>
        <v>754355</v>
      </c>
      <c r="Q59" s="106">
        <f t="shared" si="8"/>
        <v>791267</v>
      </c>
      <c r="R59" s="105">
        <f t="shared" si="7"/>
        <v>1029.728181212525</v>
      </c>
      <c r="S59" s="105">
        <f t="shared" si="7"/>
        <v>502.56828780812793</v>
      </c>
      <c r="T59" s="108">
        <f t="shared" si="7"/>
        <v>527.15989340439705</v>
      </c>
    </row>
    <row r="60" spans="1:20" s="66" customFormat="1" ht="12.75" x14ac:dyDescent="0.2">
      <c r="A60" s="109">
        <v>138</v>
      </c>
      <c r="B60" s="110">
        <v>1</v>
      </c>
      <c r="C60" s="103" t="s">
        <v>181</v>
      </c>
      <c r="D60" s="103">
        <v>4</v>
      </c>
      <c r="E60" s="104">
        <f>+SUMIF('GE16FEB14 Unfudged'!$A$2:$A$498, $A60, 'GE16FEB14 Unfudged'!$D$2:$D$498)</f>
        <v>3045</v>
      </c>
      <c r="F60" s="104">
        <v>438437</v>
      </c>
      <c r="G60" s="105">
        <v>304974</v>
      </c>
      <c r="H60" s="106">
        <v>133463</v>
      </c>
      <c r="I60" s="107">
        <v>645476</v>
      </c>
      <c r="J60" s="105">
        <v>448990</v>
      </c>
      <c r="K60" s="106">
        <v>196486</v>
      </c>
      <c r="L60" s="107">
        <v>913410</v>
      </c>
      <c r="M60" s="105">
        <v>368222</v>
      </c>
      <c r="N60" s="106">
        <v>545188</v>
      </c>
      <c r="O60" s="107">
        <f t="shared" si="8"/>
        <v>1997323</v>
      </c>
      <c r="P60" s="105">
        <f t="shared" si="8"/>
        <v>1122186</v>
      </c>
      <c r="Q60" s="106">
        <f t="shared" si="8"/>
        <v>875137</v>
      </c>
      <c r="R60" s="105">
        <f t="shared" si="7"/>
        <v>655.9353037766831</v>
      </c>
      <c r="S60" s="105">
        <f t="shared" si="7"/>
        <v>368.53399014778324</v>
      </c>
      <c r="T60" s="108">
        <f t="shared" si="7"/>
        <v>287.40131362889986</v>
      </c>
    </row>
    <row r="61" spans="1:20" s="66" customFormat="1" ht="12.75" x14ac:dyDescent="0.2">
      <c r="A61" s="109">
        <v>139</v>
      </c>
      <c r="B61" s="110">
        <v>1</v>
      </c>
      <c r="C61" s="103" t="s">
        <v>182</v>
      </c>
      <c r="D61" s="103">
        <v>6</v>
      </c>
      <c r="E61" s="104">
        <f>+SUMIF('GE16FEB14 Unfudged'!$A$2:$A$498, $A61, 'GE16FEB14 Unfudged'!$D$2:$D$498)</f>
        <v>997</v>
      </c>
      <c r="F61" s="104">
        <v>143539</v>
      </c>
      <c r="G61" s="105">
        <v>96422</v>
      </c>
      <c r="H61" s="106">
        <v>47117</v>
      </c>
      <c r="I61" s="107">
        <v>0</v>
      </c>
      <c r="J61" s="105">
        <v>0</v>
      </c>
      <c r="K61" s="106">
        <v>0</v>
      </c>
      <c r="L61" s="107">
        <v>299040</v>
      </c>
      <c r="M61" s="105">
        <v>116419</v>
      </c>
      <c r="N61" s="106">
        <v>182621</v>
      </c>
      <c r="O61" s="107">
        <f t="shared" si="8"/>
        <v>442579</v>
      </c>
      <c r="P61" s="105">
        <f t="shared" si="8"/>
        <v>212841</v>
      </c>
      <c r="Q61" s="106">
        <f t="shared" si="8"/>
        <v>229738</v>
      </c>
      <c r="R61" s="105">
        <f t="shared" si="7"/>
        <v>443.91073219658978</v>
      </c>
      <c r="S61" s="105">
        <f t="shared" si="7"/>
        <v>213.48144433299899</v>
      </c>
      <c r="T61" s="108">
        <f t="shared" si="7"/>
        <v>230.42928786359076</v>
      </c>
    </row>
    <row r="62" spans="1:20" s="66" customFormat="1" ht="12.75" x14ac:dyDescent="0.2">
      <c r="A62" s="109">
        <v>146</v>
      </c>
      <c r="B62" s="110">
        <v>1</v>
      </c>
      <c r="C62" s="103" t="s">
        <v>183</v>
      </c>
      <c r="D62" s="103">
        <v>6</v>
      </c>
      <c r="E62" s="104">
        <f>+SUMIF('GE16FEB14 Unfudged'!$A$2:$A$498, $A62, 'GE16FEB14 Unfudged'!$D$2:$D$498)</f>
        <v>912</v>
      </c>
      <c r="F62" s="104">
        <v>101385</v>
      </c>
      <c r="G62" s="105">
        <v>55418</v>
      </c>
      <c r="H62" s="106">
        <v>45967</v>
      </c>
      <c r="I62" s="107">
        <v>0</v>
      </c>
      <c r="J62" s="105">
        <v>0</v>
      </c>
      <c r="K62" s="106">
        <v>0</v>
      </c>
      <c r="L62" s="107">
        <v>925685</v>
      </c>
      <c r="M62" s="105">
        <v>539663</v>
      </c>
      <c r="N62" s="106">
        <v>386022</v>
      </c>
      <c r="O62" s="107">
        <f t="shared" si="8"/>
        <v>1027070</v>
      </c>
      <c r="P62" s="105">
        <f t="shared" si="8"/>
        <v>595081</v>
      </c>
      <c r="Q62" s="106">
        <f t="shared" si="8"/>
        <v>431989</v>
      </c>
      <c r="R62" s="105">
        <f t="shared" si="7"/>
        <v>1126.1732456140351</v>
      </c>
      <c r="S62" s="105">
        <f t="shared" si="7"/>
        <v>652.50109649122805</v>
      </c>
      <c r="T62" s="108">
        <f t="shared" si="7"/>
        <v>473.67214912280701</v>
      </c>
    </row>
    <row r="63" spans="1:20" s="66" customFormat="1" ht="12.75" x14ac:dyDescent="0.2">
      <c r="A63" s="109">
        <v>150</v>
      </c>
      <c r="B63" s="110">
        <v>1</v>
      </c>
      <c r="C63" s="103" t="s">
        <v>184</v>
      </c>
      <c r="D63" s="103">
        <v>6</v>
      </c>
      <c r="E63" s="104">
        <f>+SUMIF('GE16FEB14 Unfudged'!$A$2:$A$498, $A63, 'GE16FEB14 Unfudged'!$D$2:$D$498)</f>
        <v>970</v>
      </c>
      <c r="F63" s="104">
        <v>130325</v>
      </c>
      <c r="G63" s="105">
        <v>73866</v>
      </c>
      <c r="H63" s="106">
        <v>56459</v>
      </c>
      <c r="I63" s="107">
        <v>0</v>
      </c>
      <c r="J63" s="105">
        <v>0</v>
      </c>
      <c r="K63" s="106">
        <v>0</v>
      </c>
      <c r="L63" s="107">
        <v>495049</v>
      </c>
      <c r="M63" s="105">
        <v>211239</v>
      </c>
      <c r="N63" s="106">
        <v>283810</v>
      </c>
      <c r="O63" s="107">
        <f t="shared" si="8"/>
        <v>625374</v>
      </c>
      <c r="P63" s="105">
        <f t="shared" si="8"/>
        <v>285105</v>
      </c>
      <c r="Q63" s="106">
        <f t="shared" si="8"/>
        <v>340269</v>
      </c>
      <c r="R63" s="105">
        <f t="shared" si="7"/>
        <v>644.71546391752577</v>
      </c>
      <c r="S63" s="105">
        <f t="shared" si="7"/>
        <v>293.92268041237111</v>
      </c>
      <c r="T63" s="108">
        <f t="shared" si="7"/>
        <v>350.79278350515466</v>
      </c>
    </row>
    <row r="64" spans="1:20" s="66" customFormat="1" ht="12.75" x14ac:dyDescent="0.2">
      <c r="A64" s="109">
        <v>152</v>
      </c>
      <c r="B64" s="110">
        <v>1</v>
      </c>
      <c r="C64" s="103" t="s">
        <v>185</v>
      </c>
      <c r="D64" s="103">
        <v>4</v>
      </c>
      <c r="E64" s="104">
        <f>+SUMIF('GE16FEB14 Unfudged'!$A$2:$A$498, $A64, 'GE16FEB14 Unfudged'!$D$2:$D$498)</f>
        <v>6224</v>
      </c>
      <c r="F64" s="104">
        <v>771418</v>
      </c>
      <c r="G64" s="105">
        <v>584216</v>
      </c>
      <c r="H64" s="106">
        <v>187202</v>
      </c>
      <c r="I64" s="107">
        <v>1319499</v>
      </c>
      <c r="J64" s="105">
        <v>999293</v>
      </c>
      <c r="K64" s="106">
        <v>320206</v>
      </c>
      <c r="L64" s="107">
        <v>4590361</v>
      </c>
      <c r="M64" s="105">
        <v>2881847</v>
      </c>
      <c r="N64" s="106">
        <v>1708514</v>
      </c>
      <c r="O64" s="107">
        <f t="shared" si="8"/>
        <v>6681278</v>
      </c>
      <c r="P64" s="105">
        <f t="shared" si="8"/>
        <v>4465356</v>
      </c>
      <c r="Q64" s="106">
        <f t="shared" si="8"/>
        <v>2215922</v>
      </c>
      <c r="R64" s="105">
        <f t="shared" si="7"/>
        <v>1073.4701156812339</v>
      </c>
      <c r="S64" s="105">
        <f t="shared" si="7"/>
        <v>717.44151670951157</v>
      </c>
      <c r="T64" s="108">
        <f t="shared" si="7"/>
        <v>356.02859897172237</v>
      </c>
    </row>
    <row r="65" spans="1:20" s="66" customFormat="1" ht="12.75" x14ac:dyDescent="0.2">
      <c r="A65" s="109">
        <v>160</v>
      </c>
      <c r="B65" s="110">
        <v>70</v>
      </c>
      <c r="C65" s="103" t="s">
        <v>4</v>
      </c>
      <c r="D65" s="103">
        <v>24</v>
      </c>
      <c r="E65" s="104">
        <f>+SUMIF('GE16FEB14 Unfudged'!$A$2:$A$498, $A65, 'GE16FEB14 Unfudged'!$D$2:$D$498)</f>
        <v>0</v>
      </c>
      <c r="F65" s="104">
        <v>0</v>
      </c>
      <c r="G65" s="105">
        <v>0</v>
      </c>
      <c r="H65" s="106">
        <v>0</v>
      </c>
      <c r="I65" s="107">
        <v>0</v>
      </c>
      <c r="J65" s="105">
        <v>0</v>
      </c>
      <c r="K65" s="106">
        <v>0</v>
      </c>
      <c r="L65" s="107">
        <v>0</v>
      </c>
      <c r="M65" s="105">
        <v>0</v>
      </c>
      <c r="N65" s="106">
        <v>0</v>
      </c>
      <c r="O65" s="107">
        <f t="shared" si="8"/>
        <v>0</v>
      </c>
      <c r="P65" s="105">
        <f t="shared" si="8"/>
        <v>0</v>
      </c>
      <c r="Q65" s="106">
        <f t="shared" si="8"/>
        <v>0</v>
      </c>
      <c r="R65" s="105">
        <f t="shared" si="7"/>
        <v>0</v>
      </c>
      <c r="S65" s="105">
        <f t="shared" si="7"/>
        <v>0</v>
      </c>
      <c r="T65" s="108">
        <f t="shared" si="7"/>
        <v>0</v>
      </c>
    </row>
    <row r="66" spans="1:20" s="66" customFormat="1" ht="12.75" x14ac:dyDescent="0.2">
      <c r="A66" s="109">
        <v>160</v>
      </c>
      <c r="B66" s="110">
        <v>1</v>
      </c>
      <c r="C66" s="103" t="s">
        <v>466</v>
      </c>
      <c r="D66" s="103">
        <v>24</v>
      </c>
      <c r="E66" s="104">
        <f>+SUMIF('GE16FEB14 Unfudged'!$A$2:$A$498, $A66, 'GE16FEB14 Unfudged'!$D$2:$D$498)</f>
        <v>0</v>
      </c>
      <c r="F66" s="104">
        <v>0</v>
      </c>
      <c r="G66" s="105">
        <v>0</v>
      </c>
      <c r="H66" s="106">
        <v>0</v>
      </c>
      <c r="I66" s="107">
        <v>0</v>
      </c>
      <c r="J66" s="105">
        <v>0</v>
      </c>
      <c r="K66" s="106">
        <v>0</v>
      </c>
      <c r="L66" s="107">
        <v>0</v>
      </c>
      <c r="M66" s="105">
        <v>0</v>
      </c>
      <c r="N66" s="106">
        <v>0</v>
      </c>
      <c r="O66" s="107">
        <f t="shared" si="8"/>
        <v>0</v>
      </c>
      <c r="P66" s="105">
        <f t="shared" si="8"/>
        <v>0</v>
      </c>
      <c r="Q66" s="106">
        <f t="shared" si="8"/>
        <v>0</v>
      </c>
      <c r="R66" s="105">
        <f t="shared" si="7"/>
        <v>0</v>
      </c>
      <c r="S66" s="105">
        <f t="shared" si="7"/>
        <v>0</v>
      </c>
      <c r="T66" s="108">
        <f t="shared" si="7"/>
        <v>0</v>
      </c>
    </row>
    <row r="67" spans="1:20" s="66" customFormat="1" ht="12.75" x14ac:dyDescent="0.2">
      <c r="A67" s="109">
        <v>162</v>
      </c>
      <c r="B67" s="110">
        <v>1</v>
      </c>
      <c r="C67" s="103" t="s">
        <v>186</v>
      </c>
      <c r="D67" s="103">
        <v>6</v>
      </c>
      <c r="E67" s="104">
        <f>+SUMIF('GE16FEB14 Unfudged'!$A$2:$A$498, $A67, 'GE16FEB14 Unfudged'!$D$2:$D$498)</f>
        <v>1049</v>
      </c>
      <c r="F67" s="104">
        <v>151093</v>
      </c>
      <c r="G67" s="105">
        <v>76930</v>
      </c>
      <c r="H67" s="106">
        <v>74163</v>
      </c>
      <c r="I67" s="107">
        <v>0</v>
      </c>
      <c r="J67" s="105">
        <v>0</v>
      </c>
      <c r="K67" s="106">
        <v>0</v>
      </c>
      <c r="L67" s="107">
        <v>314775</v>
      </c>
      <c r="M67" s="105">
        <v>92883</v>
      </c>
      <c r="N67" s="106">
        <v>221892</v>
      </c>
      <c r="O67" s="107">
        <f t="shared" si="8"/>
        <v>465868</v>
      </c>
      <c r="P67" s="105">
        <f t="shared" si="8"/>
        <v>169813</v>
      </c>
      <c r="Q67" s="106">
        <f t="shared" si="8"/>
        <v>296055</v>
      </c>
      <c r="R67" s="105">
        <f t="shared" si="7"/>
        <v>444.10676835081028</v>
      </c>
      <c r="S67" s="105">
        <f t="shared" si="7"/>
        <v>161.88083889418493</v>
      </c>
      <c r="T67" s="108">
        <f t="shared" si="7"/>
        <v>282.22592945662535</v>
      </c>
    </row>
    <row r="68" spans="1:20" s="66" customFormat="1" ht="12.75" x14ac:dyDescent="0.2">
      <c r="A68" s="109">
        <v>166</v>
      </c>
      <c r="B68" s="110">
        <v>1</v>
      </c>
      <c r="C68" s="103" t="s">
        <v>187</v>
      </c>
      <c r="D68" s="103">
        <v>6</v>
      </c>
      <c r="E68" s="104">
        <f>+SUMIF('GE16FEB14 Unfudged'!$A$2:$A$498, $A68, 'GE16FEB14 Unfudged'!$D$2:$D$498)</f>
        <v>495</v>
      </c>
      <c r="F68" s="104">
        <v>58595</v>
      </c>
      <c r="G68" s="105">
        <v>58595</v>
      </c>
      <c r="H68" s="106">
        <v>0</v>
      </c>
      <c r="I68" s="107">
        <v>0</v>
      </c>
      <c r="J68" s="105">
        <v>0</v>
      </c>
      <c r="K68" s="106">
        <v>0</v>
      </c>
      <c r="L68" s="107">
        <v>426569</v>
      </c>
      <c r="M68" s="105">
        <v>426569</v>
      </c>
      <c r="N68" s="106">
        <v>0</v>
      </c>
      <c r="O68" s="107">
        <f t="shared" si="8"/>
        <v>485164</v>
      </c>
      <c r="P68" s="105">
        <f t="shared" si="8"/>
        <v>485164</v>
      </c>
      <c r="Q68" s="106">
        <f t="shared" si="8"/>
        <v>0</v>
      </c>
      <c r="R68" s="105">
        <f t="shared" si="7"/>
        <v>980.12929292929289</v>
      </c>
      <c r="S68" s="105">
        <f t="shared" si="7"/>
        <v>980.12929292929289</v>
      </c>
      <c r="T68" s="108">
        <f t="shared" si="7"/>
        <v>0</v>
      </c>
    </row>
    <row r="69" spans="1:20" s="66" customFormat="1" ht="12.75" x14ac:dyDescent="0.2">
      <c r="A69" s="109">
        <v>173</v>
      </c>
      <c r="B69" s="110">
        <v>1</v>
      </c>
      <c r="C69" s="103" t="s">
        <v>188</v>
      </c>
      <c r="D69" s="103">
        <v>6</v>
      </c>
      <c r="E69" s="104">
        <f>+SUMIF('GE16FEB14 Unfudged'!$A$2:$A$498, $A69, 'GE16FEB14 Unfudged'!$D$2:$D$498)</f>
        <v>528</v>
      </c>
      <c r="F69" s="104">
        <v>41035</v>
      </c>
      <c r="G69" s="105">
        <v>16743</v>
      </c>
      <c r="H69" s="106">
        <v>24292</v>
      </c>
      <c r="I69" s="107">
        <v>0</v>
      </c>
      <c r="J69" s="105">
        <v>0</v>
      </c>
      <c r="K69" s="106">
        <v>0</v>
      </c>
      <c r="L69" s="107">
        <v>921074</v>
      </c>
      <c r="M69" s="105">
        <v>553351</v>
      </c>
      <c r="N69" s="106">
        <v>367723</v>
      </c>
      <c r="O69" s="107">
        <f t="shared" si="8"/>
        <v>962109</v>
      </c>
      <c r="P69" s="105">
        <f t="shared" si="8"/>
        <v>570094</v>
      </c>
      <c r="Q69" s="106">
        <f t="shared" si="8"/>
        <v>392015</v>
      </c>
      <c r="R69" s="105">
        <f t="shared" si="7"/>
        <v>1822.1761363636363</v>
      </c>
      <c r="S69" s="105">
        <f t="shared" si="7"/>
        <v>1079.7234848484848</v>
      </c>
      <c r="T69" s="108">
        <f t="shared" si="7"/>
        <v>742.4526515151515</v>
      </c>
    </row>
    <row r="70" spans="1:20" s="66" customFormat="1" ht="12.75" x14ac:dyDescent="0.2">
      <c r="A70" s="109">
        <v>177</v>
      </c>
      <c r="B70" s="110">
        <v>1</v>
      </c>
      <c r="C70" s="103" t="s">
        <v>189</v>
      </c>
      <c r="D70" s="103">
        <v>6</v>
      </c>
      <c r="E70" s="104">
        <f>+SUMIF('GE16FEB14 Unfudged'!$A$2:$A$498, $A70, 'GE16FEB14 Unfudged'!$D$2:$D$498)</f>
        <v>1112</v>
      </c>
      <c r="F70" s="104">
        <v>109826</v>
      </c>
      <c r="G70" s="105">
        <v>66958</v>
      </c>
      <c r="H70" s="106">
        <v>42868</v>
      </c>
      <c r="I70" s="107">
        <v>0</v>
      </c>
      <c r="J70" s="105">
        <v>0</v>
      </c>
      <c r="K70" s="106">
        <v>0</v>
      </c>
      <c r="L70" s="107">
        <v>1430108</v>
      </c>
      <c r="M70" s="105">
        <v>1014796</v>
      </c>
      <c r="N70" s="106">
        <v>415312</v>
      </c>
      <c r="O70" s="107">
        <f t="shared" si="8"/>
        <v>1539934</v>
      </c>
      <c r="P70" s="105">
        <f t="shared" si="8"/>
        <v>1081754</v>
      </c>
      <c r="Q70" s="106">
        <f t="shared" si="8"/>
        <v>458180</v>
      </c>
      <c r="R70" s="105">
        <f t="shared" si="7"/>
        <v>1384.8327338129495</v>
      </c>
      <c r="S70" s="105">
        <f t="shared" si="7"/>
        <v>972.80035971223026</v>
      </c>
      <c r="T70" s="108">
        <f t="shared" si="7"/>
        <v>412.03237410071944</v>
      </c>
    </row>
    <row r="71" spans="1:20" s="66" customFormat="1" ht="12.75" x14ac:dyDescent="0.2">
      <c r="A71" s="109">
        <v>181</v>
      </c>
      <c r="B71" s="110">
        <v>1</v>
      </c>
      <c r="C71" s="103" t="s">
        <v>190</v>
      </c>
      <c r="D71" s="103">
        <v>4</v>
      </c>
      <c r="E71" s="104">
        <f>+SUMIF('GE16FEB14 Unfudged'!$A$2:$A$498, $A71, 'GE16FEB14 Unfudged'!$D$2:$D$498)</f>
        <v>6773</v>
      </c>
      <c r="F71" s="104">
        <v>975370</v>
      </c>
      <c r="G71" s="105">
        <v>946135</v>
      </c>
      <c r="H71" s="106">
        <v>29235</v>
      </c>
      <c r="I71" s="107">
        <v>1435961</v>
      </c>
      <c r="J71" s="105">
        <v>1392921</v>
      </c>
      <c r="K71" s="106">
        <v>43040</v>
      </c>
      <c r="L71" s="107">
        <v>2032020</v>
      </c>
      <c r="M71" s="105">
        <v>1142350</v>
      </c>
      <c r="N71" s="106">
        <v>889670</v>
      </c>
      <c r="O71" s="107">
        <f t="shared" si="8"/>
        <v>4443351</v>
      </c>
      <c r="P71" s="105">
        <f t="shared" si="8"/>
        <v>3481406</v>
      </c>
      <c r="Q71" s="106">
        <f t="shared" si="8"/>
        <v>961945</v>
      </c>
      <c r="R71" s="105">
        <f t="shared" si="7"/>
        <v>656.03883065111472</v>
      </c>
      <c r="S71" s="105">
        <f t="shared" si="7"/>
        <v>514.01240218514693</v>
      </c>
      <c r="T71" s="108">
        <f t="shared" si="7"/>
        <v>142.02642846596783</v>
      </c>
    </row>
    <row r="72" spans="1:20" s="66" customFormat="1" ht="12.75" x14ac:dyDescent="0.2">
      <c r="A72" s="109">
        <v>182</v>
      </c>
      <c r="B72" s="110">
        <v>1</v>
      </c>
      <c r="C72" s="103" t="s">
        <v>191</v>
      </c>
      <c r="D72" s="103">
        <v>5</v>
      </c>
      <c r="E72" s="104">
        <f>+SUMIF('GE16FEB14 Unfudged'!$A$2:$A$498, $A72, 'GE16FEB14 Unfudged'!$D$2:$D$498)</f>
        <v>1204</v>
      </c>
      <c r="F72" s="104">
        <v>162522</v>
      </c>
      <c r="G72" s="105">
        <v>162522</v>
      </c>
      <c r="H72" s="106">
        <v>0</v>
      </c>
      <c r="I72" s="107">
        <v>0</v>
      </c>
      <c r="J72" s="105">
        <v>0</v>
      </c>
      <c r="K72" s="106">
        <v>0</v>
      </c>
      <c r="L72" s="107">
        <v>596576</v>
      </c>
      <c r="M72" s="105">
        <v>484363</v>
      </c>
      <c r="N72" s="106">
        <v>112213</v>
      </c>
      <c r="O72" s="107">
        <f t="shared" si="8"/>
        <v>759098</v>
      </c>
      <c r="P72" s="105">
        <f t="shared" si="8"/>
        <v>646885</v>
      </c>
      <c r="Q72" s="106">
        <f t="shared" si="8"/>
        <v>112213</v>
      </c>
      <c r="R72" s="105">
        <f t="shared" si="7"/>
        <v>630.48006644518273</v>
      </c>
      <c r="S72" s="105">
        <f t="shared" si="7"/>
        <v>537.27990033222591</v>
      </c>
      <c r="T72" s="108">
        <f t="shared" si="7"/>
        <v>93.200166112956808</v>
      </c>
    </row>
    <row r="73" spans="1:20" s="66" customFormat="1" ht="12.75" x14ac:dyDescent="0.2">
      <c r="A73" s="109">
        <v>186</v>
      </c>
      <c r="B73" s="110">
        <v>1</v>
      </c>
      <c r="C73" s="103" t="s">
        <v>192</v>
      </c>
      <c r="D73" s="103">
        <v>5</v>
      </c>
      <c r="E73" s="104">
        <f>+SUMIF('GE16FEB14 Unfudged'!$A$2:$A$498, $A73, 'GE16FEB14 Unfudged'!$D$2:$D$498)</f>
        <v>1766</v>
      </c>
      <c r="F73" s="104">
        <v>254333</v>
      </c>
      <c r="G73" s="105">
        <v>254333</v>
      </c>
      <c r="H73" s="106">
        <v>0</v>
      </c>
      <c r="I73" s="107">
        <v>0</v>
      </c>
      <c r="J73" s="105">
        <v>0</v>
      </c>
      <c r="K73" s="106">
        <v>0</v>
      </c>
      <c r="L73" s="107">
        <v>529860</v>
      </c>
      <c r="M73" s="105">
        <v>422909</v>
      </c>
      <c r="N73" s="106">
        <v>106951</v>
      </c>
      <c r="O73" s="107">
        <f t="shared" si="8"/>
        <v>784193</v>
      </c>
      <c r="P73" s="105">
        <f t="shared" si="8"/>
        <v>677242</v>
      </c>
      <c r="Q73" s="106">
        <f t="shared" si="8"/>
        <v>106951</v>
      </c>
      <c r="R73" s="105">
        <f t="shared" si="7"/>
        <v>444.05039637599094</v>
      </c>
      <c r="S73" s="105">
        <f t="shared" si="7"/>
        <v>383.48924122310308</v>
      </c>
      <c r="T73" s="108">
        <f t="shared" si="7"/>
        <v>60.561155152887885</v>
      </c>
    </row>
    <row r="74" spans="1:20" s="66" customFormat="1" ht="12.75" x14ac:dyDescent="0.2">
      <c r="A74" s="109">
        <v>191</v>
      </c>
      <c r="B74" s="110">
        <v>1</v>
      </c>
      <c r="C74" s="103" t="s">
        <v>193</v>
      </c>
      <c r="D74" s="103">
        <v>3</v>
      </c>
      <c r="E74" s="104">
        <f>+SUMIF('GE16FEB14 Unfudged'!$A$2:$A$498, $A74, 'GE16FEB14 Unfudged'!$D$2:$D$498)</f>
        <v>10337</v>
      </c>
      <c r="F74" s="104">
        <v>969093</v>
      </c>
      <c r="G74" s="105">
        <v>960711</v>
      </c>
      <c r="H74" s="106">
        <v>8382</v>
      </c>
      <c r="I74" s="107">
        <v>4382888</v>
      </c>
      <c r="J74" s="105">
        <v>4344981</v>
      </c>
      <c r="K74" s="106">
        <v>37907</v>
      </c>
      <c r="L74" s="107">
        <v>13032373</v>
      </c>
      <c r="M74" s="105">
        <v>11671832</v>
      </c>
      <c r="N74" s="106">
        <v>1360541</v>
      </c>
      <c r="O74" s="107">
        <f t="shared" si="8"/>
        <v>18384354</v>
      </c>
      <c r="P74" s="105">
        <f t="shared" si="8"/>
        <v>16977524</v>
      </c>
      <c r="Q74" s="106">
        <f t="shared" si="8"/>
        <v>1406830</v>
      </c>
      <c r="R74" s="105">
        <f t="shared" si="7"/>
        <v>1778.4999516300668</v>
      </c>
      <c r="S74" s="105">
        <f t="shared" si="7"/>
        <v>1642.4034052433008</v>
      </c>
      <c r="T74" s="108">
        <f t="shared" si="7"/>
        <v>136.09654638676599</v>
      </c>
    </row>
    <row r="75" spans="1:20" s="66" customFormat="1" ht="12.75" x14ac:dyDescent="0.2">
      <c r="A75" s="109">
        <v>192</v>
      </c>
      <c r="B75" s="110">
        <v>1</v>
      </c>
      <c r="C75" s="103" t="s">
        <v>194</v>
      </c>
      <c r="D75" s="103">
        <v>3</v>
      </c>
      <c r="E75" s="104">
        <f>+SUMIF('GE16FEB14 Unfudged'!$A$2:$A$498, $A75, 'GE16FEB14 Unfudged'!$D$2:$D$498)</f>
        <v>7149</v>
      </c>
      <c r="F75" s="104">
        <v>1190533</v>
      </c>
      <c r="G75" s="105">
        <v>707441</v>
      </c>
      <c r="H75" s="106">
        <v>483092</v>
      </c>
      <c r="I75" s="107">
        <v>3031346</v>
      </c>
      <c r="J75" s="105">
        <v>1801294</v>
      </c>
      <c r="K75" s="106">
        <v>1230052</v>
      </c>
      <c r="L75" s="107">
        <v>2235903</v>
      </c>
      <c r="M75" s="105">
        <v>792755</v>
      </c>
      <c r="N75" s="106">
        <v>1443148</v>
      </c>
      <c r="O75" s="107">
        <f t="shared" si="8"/>
        <v>6457782</v>
      </c>
      <c r="P75" s="105">
        <f t="shared" si="8"/>
        <v>3301490</v>
      </c>
      <c r="Q75" s="106">
        <f t="shared" si="8"/>
        <v>3156292</v>
      </c>
      <c r="R75" s="105">
        <f t="shared" si="7"/>
        <v>903.31263113722196</v>
      </c>
      <c r="S75" s="105">
        <f t="shared" si="7"/>
        <v>461.81144215974263</v>
      </c>
      <c r="T75" s="108">
        <f t="shared" si="7"/>
        <v>441.50118897747939</v>
      </c>
    </row>
    <row r="76" spans="1:20" s="66" customFormat="1" ht="12.75" x14ac:dyDescent="0.2">
      <c r="A76" s="109">
        <v>194</v>
      </c>
      <c r="B76" s="110">
        <v>1</v>
      </c>
      <c r="C76" s="103" t="s">
        <v>195</v>
      </c>
      <c r="D76" s="103">
        <v>3</v>
      </c>
      <c r="E76" s="104">
        <f>+SUMIF('GE16FEB14 Unfudged'!$A$2:$A$498, $A76, 'GE16FEB14 Unfudged'!$D$2:$D$498)</f>
        <v>11382</v>
      </c>
      <c r="F76" s="104">
        <v>1208380</v>
      </c>
      <c r="G76" s="105">
        <v>1113583</v>
      </c>
      <c r="H76" s="106">
        <v>94797</v>
      </c>
      <c r="I76" s="107">
        <v>4826053</v>
      </c>
      <c r="J76" s="105">
        <v>4447453</v>
      </c>
      <c r="K76" s="106">
        <v>378600</v>
      </c>
      <c r="L76" s="107">
        <v>12509379</v>
      </c>
      <c r="M76" s="105">
        <v>10507676</v>
      </c>
      <c r="N76" s="106">
        <v>2001703</v>
      </c>
      <c r="O76" s="107">
        <f t="shared" si="8"/>
        <v>18543812</v>
      </c>
      <c r="P76" s="105">
        <f t="shared" si="8"/>
        <v>16068712</v>
      </c>
      <c r="Q76" s="106">
        <f t="shared" si="8"/>
        <v>2475100</v>
      </c>
      <c r="R76" s="105">
        <f t="shared" si="7"/>
        <v>1629.2226322263223</v>
      </c>
      <c r="S76" s="105">
        <f t="shared" si="7"/>
        <v>1411.7652433667195</v>
      </c>
      <c r="T76" s="108">
        <f t="shared" si="7"/>
        <v>217.45738885960287</v>
      </c>
    </row>
    <row r="77" spans="1:20" s="66" customFormat="1" ht="12.75" x14ac:dyDescent="0.2">
      <c r="A77" s="109">
        <v>195</v>
      </c>
      <c r="B77" s="110">
        <v>1</v>
      </c>
      <c r="C77" s="103" t="s">
        <v>196</v>
      </c>
      <c r="D77" s="103">
        <v>3</v>
      </c>
      <c r="E77" s="104">
        <f>+SUMIF('GE16FEB14 Unfudged'!$A$2:$A$498, $A77, 'GE16FEB14 Unfudged'!$D$2:$D$498)</f>
        <v>651</v>
      </c>
      <c r="F77" s="104">
        <v>109076</v>
      </c>
      <c r="G77" s="105">
        <v>109076</v>
      </c>
      <c r="H77" s="106">
        <v>0</v>
      </c>
      <c r="I77" s="107">
        <v>276109</v>
      </c>
      <c r="J77" s="105">
        <v>276109</v>
      </c>
      <c r="K77" s="106">
        <v>0</v>
      </c>
      <c r="L77" s="107">
        <v>195360</v>
      </c>
      <c r="M77" s="105">
        <v>68966</v>
      </c>
      <c r="N77" s="106">
        <v>126394</v>
      </c>
      <c r="O77" s="107">
        <f t="shared" si="8"/>
        <v>580545</v>
      </c>
      <c r="P77" s="105">
        <f t="shared" si="8"/>
        <v>454151</v>
      </c>
      <c r="Q77" s="106">
        <f t="shared" si="8"/>
        <v>126394</v>
      </c>
      <c r="R77" s="105">
        <f t="shared" si="7"/>
        <v>891.77419354838707</v>
      </c>
      <c r="S77" s="105">
        <f t="shared" si="7"/>
        <v>697.62058371735793</v>
      </c>
      <c r="T77" s="108">
        <f t="shared" si="7"/>
        <v>194.15360983102917</v>
      </c>
    </row>
    <row r="78" spans="1:20" s="66" customFormat="1" ht="12.75" x14ac:dyDescent="0.2">
      <c r="A78" s="109">
        <v>196</v>
      </c>
      <c r="B78" s="110">
        <v>1</v>
      </c>
      <c r="C78" s="103" t="s">
        <v>197</v>
      </c>
      <c r="D78" s="103">
        <v>3</v>
      </c>
      <c r="E78" s="104">
        <f>+SUMIF('GE16FEB14 Unfudged'!$A$2:$A$498, $A78, 'GE16FEB14 Unfudged'!$D$2:$D$498)</f>
        <v>29138</v>
      </c>
      <c r="F78" s="104">
        <v>3160820</v>
      </c>
      <c r="G78" s="105">
        <v>2816235</v>
      </c>
      <c r="H78" s="106">
        <v>344585</v>
      </c>
      <c r="I78" s="107">
        <v>12354682</v>
      </c>
      <c r="J78" s="105">
        <v>11007805</v>
      </c>
      <c r="K78" s="106">
        <v>1346877</v>
      </c>
      <c r="L78" s="107">
        <v>31146327</v>
      </c>
      <c r="M78" s="105">
        <v>25457387</v>
      </c>
      <c r="N78" s="106">
        <v>5688940</v>
      </c>
      <c r="O78" s="107">
        <f t="shared" si="8"/>
        <v>46661829</v>
      </c>
      <c r="P78" s="105">
        <f t="shared" si="8"/>
        <v>39281427</v>
      </c>
      <c r="Q78" s="106">
        <f t="shared" si="8"/>
        <v>7380402</v>
      </c>
      <c r="R78" s="105">
        <f t="shared" si="7"/>
        <v>1601.4080925252249</v>
      </c>
      <c r="S78" s="105">
        <f t="shared" si="7"/>
        <v>1348.1167890726886</v>
      </c>
      <c r="T78" s="108">
        <f t="shared" si="7"/>
        <v>253.2913034525362</v>
      </c>
    </row>
    <row r="79" spans="1:20" s="66" customFormat="1" ht="12.75" x14ac:dyDescent="0.2">
      <c r="A79" s="109">
        <v>197</v>
      </c>
      <c r="B79" s="110">
        <v>1</v>
      </c>
      <c r="C79" s="103" t="s">
        <v>198</v>
      </c>
      <c r="D79" s="103">
        <v>2</v>
      </c>
      <c r="E79" s="104">
        <f>+SUMIF('GE16FEB14 Unfudged'!$A$2:$A$498, $A79, 'GE16FEB14 Unfudged'!$D$2:$D$498)</f>
        <v>5165</v>
      </c>
      <c r="F79" s="104">
        <v>443384</v>
      </c>
      <c r="G79" s="105">
        <v>443384</v>
      </c>
      <c r="H79" s="106">
        <v>0</v>
      </c>
      <c r="I79" s="107">
        <v>2190130</v>
      </c>
      <c r="J79" s="105">
        <v>2190130</v>
      </c>
      <c r="K79" s="106">
        <v>0</v>
      </c>
      <c r="L79" s="107">
        <v>7044727</v>
      </c>
      <c r="M79" s="105">
        <v>7043675</v>
      </c>
      <c r="N79" s="106">
        <v>1052</v>
      </c>
      <c r="O79" s="107">
        <f t="shared" si="8"/>
        <v>9678241</v>
      </c>
      <c r="P79" s="105">
        <f t="shared" si="8"/>
        <v>9677189</v>
      </c>
      <c r="Q79" s="106">
        <f t="shared" si="8"/>
        <v>1052</v>
      </c>
      <c r="R79" s="105">
        <f t="shared" si="7"/>
        <v>1873.8123910939012</v>
      </c>
      <c r="S79" s="105">
        <f t="shared" si="7"/>
        <v>1873.6087124878993</v>
      </c>
      <c r="T79" s="108">
        <f t="shared" si="7"/>
        <v>0.2036786060019361</v>
      </c>
    </row>
    <row r="80" spans="1:20" s="66" customFormat="1" ht="12.75" x14ac:dyDescent="0.2">
      <c r="A80" s="109">
        <v>199</v>
      </c>
      <c r="B80" s="110">
        <v>1</v>
      </c>
      <c r="C80" s="103" t="s">
        <v>199</v>
      </c>
      <c r="D80" s="103">
        <v>3</v>
      </c>
      <c r="E80" s="104">
        <f>+SUMIF('GE16FEB14 Unfudged'!$A$2:$A$498, $A80, 'GE16FEB14 Unfudged'!$D$2:$D$498)</f>
        <v>4200</v>
      </c>
      <c r="F80" s="104">
        <v>618418</v>
      </c>
      <c r="G80" s="105">
        <v>617040</v>
      </c>
      <c r="H80" s="106">
        <v>1378</v>
      </c>
      <c r="I80" s="107">
        <v>1780885</v>
      </c>
      <c r="J80" s="105">
        <v>1776918</v>
      </c>
      <c r="K80" s="106">
        <v>3967</v>
      </c>
      <c r="L80" s="107">
        <v>2368871</v>
      </c>
      <c r="M80" s="105">
        <v>1834977</v>
      </c>
      <c r="N80" s="106">
        <v>533894</v>
      </c>
      <c r="O80" s="107">
        <f t="shared" si="8"/>
        <v>4768174</v>
      </c>
      <c r="P80" s="105">
        <f t="shared" si="8"/>
        <v>4228935</v>
      </c>
      <c r="Q80" s="106">
        <f t="shared" si="8"/>
        <v>539239</v>
      </c>
      <c r="R80" s="105">
        <f t="shared" si="7"/>
        <v>1135.2795238095239</v>
      </c>
      <c r="S80" s="105">
        <f t="shared" si="7"/>
        <v>1006.8892857142857</v>
      </c>
      <c r="T80" s="108">
        <f t="shared" si="7"/>
        <v>128.39023809523809</v>
      </c>
    </row>
    <row r="81" spans="1:20" s="66" customFormat="1" ht="12.75" x14ac:dyDescent="0.2">
      <c r="A81" s="109">
        <v>200</v>
      </c>
      <c r="B81" s="110">
        <v>1</v>
      </c>
      <c r="C81" s="103" t="s">
        <v>200</v>
      </c>
      <c r="D81" s="103">
        <v>3</v>
      </c>
      <c r="E81" s="104">
        <f>+SUMIF('GE16FEB14 Unfudged'!$A$2:$A$498, $A81, 'GE16FEB14 Unfudged'!$D$2:$D$498)</f>
        <v>4896</v>
      </c>
      <c r="F81" s="104">
        <v>468940</v>
      </c>
      <c r="G81" s="105">
        <v>426879</v>
      </c>
      <c r="H81" s="106">
        <v>42061</v>
      </c>
      <c r="I81" s="107">
        <v>2075904</v>
      </c>
      <c r="J81" s="105">
        <v>1889707</v>
      </c>
      <c r="K81" s="106">
        <v>186197</v>
      </c>
      <c r="L81" s="107">
        <v>6043133</v>
      </c>
      <c r="M81" s="105">
        <v>5147212</v>
      </c>
      <c r="N81" s="106">
        <v>895921</v>
      </c>
      <c r="O81" s="107">
        <f t="shared" si="8"/>
        <v>8587977</v>
      </c>
      <c r="P81" s="105">
        <f t="shared" si="8"/>
        <v>7463798</v>
      </c>
      <c r="Q81" s="106">
        <f t="shared" si="8"/>
        <v>1124179</v>
      </c>
      <c r="R81" s="105">
        <f t="shared" si="7"/>
        <v>1754.0802696078431</v>
      </c>
      <c r="S81" s="105">
        <f t="shared" si="7"/>
        <v>1524.4685457516339</v>
      </c>
      <c r="T81" s="108">
        <f t="shared" si="7"/>
        <v>229.61172385620915</v>
      </c>
    </row>
    <row r="82" spans="1:20" s="66" customFormat="1" ht="12.75" x14ac:dyDescent="0.2">
      <c r="A82" s="109">
        <v>203</v>
      </c>
      <c r="B82" s="110">
        <v>1</v>
      </c>
      <c r="C82" s="103" t="s">
        <v>201</v>
      </c>
      <c r="D82" s="103">
        <v>6</v>
      </c>
      <c r="E82" s="104">
        <f>+SUMIF('GE16FEB14 Unfudged'!$A$2:$A$498, $A82, 'GE16FEB14 Unfudged'!$D$2:$D$498)</f>
        <v>798</v>
      </c>
      <c r="F82" s="104">
        <v>86860</v>
      </c>
      <c r="G82" s="105">
        <v>52387</v>
      </c>
      <c r="H82" s="106">
        <v>34473</v>
      </c>
      <c r="I82" s="107">
        <v>0</v>
      </c>
      <c r="J82" s="105">
        <v>0</v>
      </c>
      <c r="K82" s="106">
        <v>0</v>
      </c>
      <c r="L82" s="107">
        <v>850763</v>
      </c>
      <c r="M82" s="105">
        <v>549412</v>
      </c>
      <c r="N82" s="106">
        <v>301351</v>
      </c>
      <c r="O82" s="107">
        <f t="shared" si="8"/>
        <v>937623</v>
      </c>
      <c r="P82" s="105">
        <f t="shared" si="8"/>
        <v>601799</v>
      </c>
      <c r="Q82" s="106">
        <f t="shared" si="8"/>
        <v>335824</v>
      </c>
      <c r="R82" s="105">
        <f t="shared" si="7"/>
        <v>1174.9661654135339</v>
      </c>
      <c r="S82" s="105">
        <f t="shared" si="7"/>
        <v>754.13408521303256</v>
      </c>
      <c r="T82" s="108">
        <f t="shared" si="7"/>
        <v>420.83208020050125</v>
      </c>
    </row>
    <row r="83" spans="1:20" s="66" customFormat="1" ht="12.75" x14ac:dyDescent="0.2">
      <c r="A83" s="109">
        <v>204</v>
      </c>
      <c r="B83" s="110">
        <v>1</v>
      </c>
      <c r="C83" s="103" t="s">
        <v>202</v>
      </c>
      <c r="D83" s="103">
        <v>4</v>
      </c>
      <c r="E83" s="104">
        <f>+SUMIF('GE16FEB14 Unfudged'!$A$2:$A$498, $A83, 'GE16FEB14 Unfudged'!$D$2:$D$498)</f>
        <v>2270</v>
      </c>
      <c r="F83" s="104">
        <v>326909</v>
      </c>
      <c r="G83" s="105">
        <v>171628</v>
      </c>
      <c r="H83" s="106">
        <v>155281</v>
      </c>
      <c r="I83" s="107">
        <v>481282</v>
      </c>
      <c r="J83" s="105">
        <v>252674</v>
      </c>
      <c r="K83" s="106">
        <v>228608</v>
      </c>
      <c r="L83" s="107">
        <v>681060</v>
      </c>
      <c r="M83" s="105">
        <v>207221</v>
      </c>
      <c r="N83" s="106">
        <v>473839</v>
      </c>
      <c r="O83" s="107">
        <f t="shared" si="8"/>
        <v>1489251</v>
      </c>
      <c r="P83" s="105">
        <f t="shared" si="8"/>
        <v>631523</v>
      </c>
      <c r="Q83" s="106">
        <f t="shared" si="8"/>
        <v>857728</v>
      </c>
      <c r="R83" s="105">
        <f t="shared" ref="R83:T146" si="9">+IF($E83=0, 0, O83/$E83)</f>
        <v>656.0577092511013</v>
      </c>
      <c r="S83" s="105">
        <f t="shared" si="9"/>
        <v>278.20396475770923</v>
      </c>
      <c r="T83" s="108">
        <f t="shared" si="9"/>
        <v>377.85374449339207</v>
      </c>
    </row>
    <row r="84" spans="1:20" s="66" customFormat="1" ht="12.75" x14ac:dyDescent="0.2">
      <c r="A84" s="109">
        <v>206</v>
      </c>
      <c r="B84" s="110">
        <v>1</v>
      </c>
      <c r="C84" s="103" t="s">
        <v>203</v>
      </c>
      <c r="D84" s="103">
        <v>4</v>
      </c>
      <c r="E84" s="104">
        <f>+SUMIF('GE16FEB14 Unfudged'!$A$2:$A$498, $A84, 'GE16FEB14 Unfudged'!$D$2:$D$498)</f>
        <v>4192</v>
      </c>
      <c r="F84" s="104">
        <v>603613</v>
      </c>
      <c r="G84" s="105">
        <v>603613</v>
      </c>
      <c r="H84" s="106">
        <v>0</v>
      </c>
      <c r="I84" s="107">
        <v>888651</v>
      </c>
      <c r="J84" s="105">
        <v>888651</v>
      </c>
      <c r="K84" s="106">
        <v>0</v>
      </c>
      <c r="L84" s="107">
        <v>1257525</v>
      </c>
      <c r="M84" s="105">
        <v>871552</v>
      </c>
      <c r="N84" s="106">
        <v>385973</v>
      </c>
      <c r="O84" s="107">
        <f t="shared" si="8"/>
        <v>2749789</v>
      </c>
      <c r="P84" s="105">
        <f t="shared" si="8"/>
        <v>2363816</v>
      </c>
      <c r="Q84" s="106">
        <f t="shared" si="8"/>
        <v>385973</v>
      </c>
      <c r="R84" s="105">
        <f t="shared" si="9"/>
        <v>655.96111641221376</v>
      </c>
      <c r="S84" s="105">
        <f t="shared" si="9"/>
        <v>563.88740458015263</v>
      </c>
      <c r="T84" s="108">
        <f t="shared" si="9"/>
        <v>92.073711832061065</v>
      </c>
    </row>
    <row r="85" spans="1:20" s="66" customFormat="1" ht="12.75" x14ac:dyDescent="0.2">
      <c r="A85" s="109">
        <v>213</v>
      </c>
      <c r="B85" s="110">
        <v>1</v>
      </c>
      <c r="C85" s="103" t="s">
        <v>204</v>
      </c>
      <c r="D85" s="103">
        <v>6</v>
      </c>
      <c r="E85" s="104">
        <f>+SUMIF('GE16FEB14 Unfudged'!$A$2:$A$498, $A85, 'GE16FEB14 Unfudged'!$D$2:$D$498)</f>
        <v>927</v>
      </c>
      <c r="F85" s="104">
        <v>133430</v>
      </c>
      <c r="G85" s="105">
        <v>75037</v>
      </c>
      <c r="H85" s="106">
        <v>58393</v>
      </c>
      <c r="I85" s="107">
        <v>0</v>
      </c>
      <c r="J85" s="105">
        <v>0</v>
      </c>
      <c r="K85" s="106">
        <v>0</v>
      </c>
      <c r="L85" s="107">
        <v>277980</v>
      </c>
      <c r="M85" s="105">
        <v>90599</v>
      </c>
      <c r="N85" s="106">
        <v>187381</v>
      </c>
      <c r="O85" s="107">
        <f t="shared" si="8"/>
        <v>411410</v>
      </c>
      <c r="P85" s="105">
        <f t="shared" si="8"/>
        <v>165636</v>
      </c>
      <c r="Q85" s="106">
        <f t="shared" si="8"/>
        <v>245774</v>
      </c>
      <c r="R85" s="105">
        <f t="shared" si="9"/>
        <v>443.8079827400216</v>
      </c>
      <c r="S85" s="105">
        <f t="shared" si="9"/>
        <v>178.67961165048544</v>
      </c>
      <c r="T85" s="108">
        <f t="shared" si="9"/>
        <v>265.12837108953613</v>
      </c>
    </row>
    <row r="86" spans="1:20" s="66" customFormat="1" ht="12.75" x14ac:dyDescent="0.2">
      <c r="A86" s="109">
        <v>227</v>
      </c>
      <c r="B86" s="110">
        <v>1</v>
      </c>
      <c r="C86" s="103" t="s">
        <v>205</v>
      </c>
      <c r="D86" s="103">
        <v>6</v>
      </c>
      <c r="E86" s="104">
        <f>+SUMIF('GE16FEB14 Unfudged'!$A$2:$A$498, $A86, 'GE16FEB14 Unfudged'!$D$2:$D$498)</f>
        <v>994</v>
      </c>
      <c r="F86" s="104">
        <v>128174</v>
      </c>
      <c r="G86" s="105">
        <v>84525</v>
      </c>
      <c r="H86" s="106">
        <v>43649</v>
      </c>
      <c r="I86" s="107">
        <v>0</v>
      </c>
      <c r="J86" s="105">
        <v>0</v>
      </c>
      <c r="K86" s="106">
        <v>0</v>
      </c>
      <c r="L86" s="107">
        <v>625935</v>
      </c>
      <c r="M86" s="105">
        <v>330059</v>
      </c>
      <c r="N86" s="106">
        <v>295876</v>
      </c>
      <c r="O86" s="107">
        <f t="shared" si="8"/>
        <v>754109</v>
      </c>
      <c r="P86" s="105">
        <f t="shared" si="8"/>
        <v>414584</v>
      </c>
      <c r="Q86" s="106">
        <f t="shared" si="8"/>
        <v>339525</v>
      </c>
      <c r="R86" s="105">
        <f t="shared" si="9"/>
        <v>758.66096579476857</v>
      </c>
      <c r="S86" s="105">
        <f t="shared" si="9"/>
        <v>417.08651911468814</v>
      </c>
      <c r="T86" s="108">
        <f t="shared" si="9"/>
        <v>341.57444668008048</v>
      </c>
    </row>
    <row r="87" spans="1:20" s="66" customFormat="1" ht="12.75" x14ac:dyDescent="0.2">
      <c r="A87" s="109">
        <v>229</v>
      </c>
      <c r="B87" s="110">
        <v>1</v>
      </c>
      <c r="C87" s="103" t="s">
        <v>206</v>
      </c>
      <c r="D87" s="103">
        <v>6</v>
      </c>
      <c r="E87" s="104">
        <f>+SUMIF('GE16FEB14 Unfudged'!$A$2:$A$498, $A87, 'GE16FEB14 Unfudged'!$D$2:$D$498)</f>
        <v>342</v>
      </c>
      <c r="F87" s="104">
        <v>49248</v>
      </c>
      <c r="G87" s="105">
        <v>49248</v>
      </c>
      <c r="H87" s="106">
        <v>0</v>
      </c>
      <c r="I87" s="107">
        <v>0</v>
      </c>
      <c r="J87" s="105">
        <v>0</v>
      </c>
      <c r="K87" s="106">
        <v>0</v>
      </c>
      <c r="L87" s="107">
        <v>102600</v>
      </c>
      <c r="M87" s="105">
        <v>57812</v>
      </c>
      <c r="N87" s="106">
        <v>44788</v>
      </c>
      <c r="O87" s="107">
        <f t="shared" si="8"/>
        <v>151848</v>
      </c>
      <c r="P87" s="105">
        <f t="shared" si="8"/>
        <v>107060</v>
      </c>
      <c r="Q87" s="106">
        <f t="shared" si="8"/>
        <v>44788</v>
      </c>
      <c r="R87" s="105">
        <f t="shared" si="9"/>
        <v>444</v>
      </c>
      <c r="S87" s="105">
        <f t="shared" si="9"/>
        <v>313.04093567251459</v>
      </c>
      <c r="T87" s="108">
        <f t="shared" si="9"/>
        <v>130.95906432748538</v>
      </c>
    </row>
    <row r="88" spans="1:20" s="66" customFormat="1" ht="12.75" x14ac:dyDescent="0.2">
      <c r="A88" s="109">
        <v>238</v>
      </c>
      <c r="B88" s="110">
        <v>1</v>
      </c>
      <c r="C88" s="103" t="s">
        <v>207</v>
      </c>
      <c r="D88" s="103">
        <v>6</v>
      </c>
      <c r="E88" s="104">
        <f>+SUMIF('GE16FEB14 Unfudged'!$A$2:$A$498, $A88, 'GE16FEB14 Unfudged'!$D$2:$D$498)</f>
        <v>258</v>
      </c>
      <c r="F88" s="104">
        <v>22815</v>
      </c>
      <c r="G88" s="105">
        <v>13449</v>
      </c>
      <c r="H88" s="106">
        <v>9366</v>
      </c>
      <c r="I88" s="107">
        <v>0</v>
      </c>
      <c r="J88" s="105">
        <v>0</v>
      </c>
      <c r="K88" s="106">
        <v>0</v>
      </c>
      <c r="L88" s="107">
        <v>390817</v>
      </c>
      <c r="M88" s="105">
        <v>291060</v>
      </c>
      <c r="N88" s="106">
        <v>99757</v>
      </c>
      <c r="O88" s="107">
        <f t="shared" si="8"/>
        <v>413632</v>
      </c>
      <c r="P88" s="105">
        <f t="shared" si="8"/>
        <v>304509</v>
      </c>
      <c r="Q88" s="106">
        <f t="shared" si="8"/>
        <v>109123</v>
      </c>
      <c r="R88" s="105">
        <f t="shared" si="9"/>
        <v>1603.2248062015503</v>
      </c>
      <c r="S88" s="105">
        <f t="shared" si="9"/>
        <v>1180.2674418604652</v>
      </c>
      <c r="T88" s="108">
        <f t="shared" si="9"/>
        <v>422.95736434108528</v>
      </c>
    </row>
    <row r="89" spans="1:20" s="66" customFormat="1" ht="12.75" x14ac:dyDescent="0.2">
      <c r="A89" s="109">
        <v>239</v>
      </c>
      <c r="B89" s="110">
        <v>1</v>
      </c>
      <c r="C89" s="103" t="s">
        <v>208</v>
      </c>
      <c r="D89" s="103">
        <v>6</v>
      </c>
      <c r="E89" s="104">
        <f>+SUMIF('GE16FEB14 Unfudged'!$A$2:$A$498, $A89, 'GE16FEB14 Unfudged'!$D$2:$D$498)</f>
        <v>731</v>
      </c>
      <c r="F89" s="104">
        <v>79628</v>
      </c>
      <c r="G89" s="105">
        <v>49189</v>
      </c>
      <c r="H89" s="106">
        <v>30439</v>
      </c>
      <c r="I89" s="107">
        <v>0</v>
      </c>
      <c r="J89" s="105">
        <v>0</v>
      </c>
      <c r="K89" s="106">
        <v>0</v>
      </c>
      <c r="L89" s="107">
        <v>777783</v>
      </c>
      <c r="M89" s="105">
        <v>508524</v>
      </c>
      <c r="N89" s="106">
        <v>269259</v>
      </c>
      <c r="O89" s="107">
        <f t="shared" si="8"/>
        <v>857411</v>
      </c>
      <c r="P89" s="105">
        <f t="shared" si="8"/>
        <v>557713</v>
      </c>
      <c r="Q89" s="106">
        <f t="shared" si="8"/>
        <v>299698</v>
      </c>
      <c r="R89" s="105">
        <f t="shared" si="9"/>
        <v>1172.9288645690835</v>
      </c>
      <c r="S89" s="105">
        <f t="shared" si="9"/>
        <v>762.94528043775654</v>
      </c>
      <c r="T89" s="108">
        <f t="shared" si="9"/>
        <v>409.98358413132695</v>
      </c>
    </row>
    <row r="90" spans="1:20" s="66" customFormat="1" ht="12.75" x14ac:dyDescent="0.2">
      <c r="A90" s="109">
        <v>241</v>
      </c>
      <c r="B90" s="110">
        <v>1</v>
      </c>
      <c r="C90" s="103" t="s">
        <v>209</v>
      </c>
      <c r="D90" s="103">
        <v>4</v>
      </c>
      <c r="E90" s="104">
        <f>+SUMIF('GE16FEB14 Unfudged'!$A$2:$A$498, $A90, 'GE16FEB14 Unfudged'!$D$2:$D$498)</f>
        <v>3578</v>
      </c>
      <c r="F90" s="104">
        <v>404543</v>
      </c>
      <c r="G90" s="105">
        <v>254602</v>
      </c>
      <c r="H90" s="106">
        <v>149941</v>
      </c>
      <c r="I90" s="107">
        <v>758536</v>
      </c>
      <c r="J90" s="105">
        <v>477390</v>
      </c>
      <c r="K90" s="106">
        <v>281146</v>
      </c>
      <c r="L90" s="107">
        <v>3487763</v>
      </c>
      <c r="M90" s="105">
        <v>2195842</v>
      </c>
      <c r="N90" s="106">
        <v>1291921</v>
      </c>
      <c r="O90" s="107">
        <f t="shared" si="8"/>
        <v>4650842</v>
      </c>
      <c r="P90" s="105">
        <f t="shared" si="8"/>
        <v>2927834</v>
      </c>
      <c r="Q90" s="106">
        <f t="shared" si="8"/>
        <v>1723008</v>
      </c>
      <c r="R90" s="105">
        <f t="shared" si="9"/>
        <v>1299.8440469536054</v>
      </c>
      <c r="S90" s="105">
        <f t="shared" si="9"/>
        <v>818.28787031861373</v>
      </c>
      <c r="T90" s="108">
        <f t="shared" si="9"/>
        <v>481.55617663499163</v>
      </c>
    </row>
    <row r="91" spans="1:20" s="66" customFormat="1" ht="12.75" x14ac:dyDescent="0.2">
      <c r="A91" s="109">
        <v>242</v>
      </c>
      <c r="B91" s="110">
        <v>1</v>
      </c>
      <c r="C91" s="103" t="s">
        <v>210</v>
      </c>
      <c r="D91" s="103">
        <v>6</v>
      </c>
      <c r="E91" s="104">
        <f>+SUMIF('GE16FEB14 Unfudged'!$A$2:$A$498, $A91, 'GE16FEB14 Unfudged'!$D$2:$D$498)</f>
        <v>541</v>
      </c>
      <c r="F91" s="104">
        <v>62262</v>
      </c>
      <c r="G91" s="105">
        <v>35686</v>
      </c>
      <c r="H91" s="106">
        <v>26576</v>
      </c>
      <c r="I91" s="107">
        <v>0</v>
      </c>
      <c r="J91" s="105">
        <v>0</v>
      </c>
      <c r="K91" s="106">
        <v>0</v>
      </c>
      <c r="L91" s="107">
        <v>502991</v>
      </c>
      <c r="M91" s="105">
        <v>197738</v>
      </c>
      <c r="N91" s="106">
        <v>305253</v>
      </c>
      <c r="O91" s="107">
        <f t="shared" si="8"/>
        <v>565253</v>
      </c>
      <c r="P91" s="105">
        <f t="shared" si="8"/>
        <v>233424</v>
      </c>
      <c r="Q91" s="106">
        <f t="shared" si="8"/>
        <v>331829</v>
      </c>
      <c r="R91" s="105">
        <f t="shared" si="9"/>
        <v>1044.829944547135</v>
      </c>
      <c r="S91" s="105">
        <f t="shared" si="9"/>
        <v>431.4676524953789</v>
      </c>
      <c r="T91" s="108">
        <f t="shared" si="9"/>
        <v>613.36229205175596</v>
      </c>
    </row>
    <row r="92" spans="1:20" s="66" customFormat="1" ht="12.75" x14ac:dyDescent="0.2">
      <c r="A92" s="109">
        <v>252</v>
      </c>
      <c r="B92" s="110">
        <v>1</v>
      </c>
      <c r="C92" s="103" t="s">
        <v>211</v>
      </c>
      <c r="D92" s="103">
        <v>5</v>
      </c>
      <c r="E92" s="104">
        <f>+SUMIF('GE16FEB14 Unfudged'!$A$2:$A$498, $A92, 'GE16FEB14 Unfudged'!$D$2:$D$498)</f>
        <v>1224</v>
      </c>
      <c r="F92" s="104">
        <v>176221</v>
      </c>
      <c r="G92" s="105">
        <v>176221</v>
      </c>
      <c r="H92" s="106">
        <v>0</v>
      </c>
      <c r="I92" s="107">
        <v>518870</v>
      </c>
      <c r="J92" s="105">
        <v>518870</v>
      </c>
      <c r="K92" s="106">
        <v>0</v>
      </c>
      <c r="L92" s="107">
        <v>367125</v>
      </c>
      <c r="M92" s="105">
        <v>221954</v>
      </c>
      <c r="N92" s="106">
        <v>145171</v>
      </c>
      <c r="O92" s="107">
        <f t="shared" si="8"/>
        <v>1062216</v>
      </c>
      <c r="P92" s="105">
        <f t="shared" si="8"/>
        <v>917045</v>
      </c>
      <c r="Q92" s="106">
        <f t="shared" si="8"/>
        <v>145171</v>
      </c>
      <c r="R92" s="105">
        <f t="shared" si="9"/>
        <v>867.82352941176475</v>
      </c>
      <c r="S92" s="105">
        <f t="shared" si="9"/>
        <v>749.21977124183002</v>
      </c>
      <c r="T92" s="108">
        <f t="shared" si="9"/>
        <v>118.60375816993464</v>
      </c>
    </row>
    <row r="93" spans="1:20" s="66" customFormat="1" ht="12.75" x14ac:dyDescent="0.2">
      <c r="A93" s="109">
        <v>253</v>
      </c>
      <c r="B93" s="110">
        <v>1</v>
      </c>
      <c r="C93" s="103" t="s">
        <v>212</v>
      </c>
      <c r="D93" s="103">
        <v>6</v>
      </c>
      <c r="E93" s="104">
        <f>+SUMIF('GE16FEB14 Unfudged'!$A$2:$A$498, $A93, 'GE16FEB14 Unfudged'!$D$2:$D$498)</f>
        <v>708</v>
      </c>
      <c r="F93" s="104">
        <v>95717</v>
      </c>
      <c r="G93" s="105">
        <v>55480</v>
      </c>
      <c r="H93" s="106">
        <v>40237</v>
      </c>
      <c r="I93" s="107">
        <v>0</v>
      </c>
      <c r="J93" s="105">
        <v>0</v>
      </c>
      <c r="K93" s="106">
        <v>0</v>
      </c>
      <c r="L93" s="107">
        <v>349093</v>
      </c>
      <c r="M93" s="105">
        <v>150567</v>
      </c>
      <c r="N93" s="106">
        <v>198526</v>
      </c>
      <c r="O93" s="107">
        <f t="shared" si="8"/>
        <v>444810</v>
      </c>
      <c r="P93" s="105">
        <f t="shared" si="8"/>
        <v>206047</v>
      </c>
      <c r="Q93" s="106">
        <f t="shared" si="8"/>
        <v>238763</v>
      </c>
      <c r="R93" s="105">
        <f t="shared" si="9"/>
        <v>628.26271186440681</v>
      </c>
      <c r="S93" s="105">
        <f t="shared" si="9"/>
        <v>291.02683615819211</v>
      </c>
      <c r="T93" s="108">
        <f t="shared" si="9"/>
        <v>337.2358757062147</v>
      </c>
    </row>
    <row r="94" spans="1:20" s="66" customFormat="1" ht="12.75" x14ac:dyDescent="0.2">
      <c r="A94" s="109">
        <v>255</v>
      </c>
      <c r="B94" s="110">
        <v>1</v>
      </c>
      <c r="C94" s="103" t="s">
        <v>213</v>
      </c>
      <c r="D94" s="103">
        <v>5</v>
      </c>
      <c r="E94" s="104">
        <f>+SUMIF('GE16FEB14 Unfudged'!$A$2:$A$498, $A94, 'GE16FEB14 Unfudged'!$D$2:$D$498)</f>
        <v>1363</v>
      </c>
      <c r="F94" s="104">
        <v>170327</v>
      </c>
      <c r="G94" s="105">
        <v>116238</v>
      </c>
      <c r="H94" s="106">
        <v>54089</v>
      </c>
      <c r="I94" s="107">
        <v>0</v>
      </c>
      <c r="J94" s="105">
        <v>0</v>
      </c>
      <c r="K94" s="106">
        <v>0</v>
      </c>
      <c r="L94" s="107">
        <v>973441</v>
      </c>
      <c r="M94" s="105">
        <v>547020</v>
      </c>
      <c r="N94" s="106">
        <v>426421</v>
      </c>
      <c r="O94" s="107">
        <f t="shared" si="8"/>
        <v>1143768</v>
      </c>
      <c r="P94" s="105">
        <f t="shared" si="8"/>
        <v>663258</v>
      </c>
      <c r="Q94" s="106">
        <f t="shared" si="8"/>
        <v>480510</v>
      </c>
      <c r="R94" s="105">
        <f t="shared" si="9"/>
        <v>839.15480557593548</v>
      </c>
      <c r="S94" s="105">
        <f t="shared" si="9"/>
        <v>486.61628760088041</v>
      </c>
      <c r="T94" s="108">
        <f t="shared" si="9"/>
        <v>352.53851797505502</v>
      </c>
    </row>
    <row r="95" spans="1:20" s="66" customFormat="1" ht="12.75" x14ac:dyDescent="0.2">
      <c r="A95" s="109">
        <v>256</v>
      </c>
      <c r="B95" s="110">
        <v>1</v>
      </c>
      <c r="C95" s="103" t="s">
        <v>214</v>
      </c>
      <c r="D95" s="103">
        <v>4</v>
      </c>
      <c r="E95" s="104">
        <f>+SUMIF('GE16FEB14 Unfudged'!$A$2:$A$498, $A95, 'GE16FEB14 Unfudged'!$D$2:$D$498)</f>
        <v>2995</v>
      </c>
      <c r="F95" s="104">
        <v>338370</v>
      </c>
      <c r="G95" s="105">
        <v>338370</v>
      </c>
      <c r="H95" s="106">
        <v>0</v>
      </c>
      <c r="I95" s="107">
        <v>635025</v>
      </c>
      <c r="J95" s="105">
        <v>635025</v>
      </c>
      <c r="K95" s="106">
        <v>0</v>
      </c>
      <c r="L95" s="107">
        <v>2926446</v>
      </c>
      <c r="M95" s="105">
        <v>2665338</v>
      </c>
      <c r="N95" s="106">
        <v>261108</v>
      </c>
      <c r="O95" s="107">
        <f t="shared" si="8"/>
        <v>3899841</v>
      </c>
      <c r="P95" s="105">
        <f t="shared" si="8"/>
        <v>3638733</v>
      </c>
      <c r="Q95" s="106">
        <f t="shared" si="8"/>
        <v>261108</v>
      </c>
      <c r="R95" s="105">
        <f t="shared" si="9"/>
        <v>1302.1171953255425</v>
      </c>
      <c r="S95" s="105">
        <f t="shared" si="9"/>
        <v>1214.9358931552588</v>
      </c>
      <c r="T95" s="108">
        <f t="shared" si="9"/>
        <v>87.1813021702838</v>
      </c>
    </row>
    <row r="96" spans="1:20" s="66" customFormat="1" ht="12.75" x14ac:dyDescent="0.2">
      <c r="A96" s="109">
        <v>261</v>
      </c>
      <c r="B96" s="110">
        <v>1</v>
      </c>
      <c r="C96" s="103" t="s">
        <v>215</v>
      </c>
      <c r="D96" s="103">
        <v>6</v>
      </c>
      <c r="E96" s="104">
        <f>+SUMIF('GE16FEB14 Unfudged'!$A$2:$A$498, $A96, 'GE16FEB14 Unfudged'!$D$2:$D$498)</f>
        <v>272</v>
      </c>
      <c r="F96" s="104">
        <v>26362</v>
      </c>
      <c r="G96" s="105">
        <v>19247</v>
      </c>
      <c r="H96" s="106">
        <v>7115</v>
      </c>
      <c r="I96" s="107">
        <v>0</v>
      </c>
      <c r="J96" s="105">
        <v>0</v>
      </c>
      <c r="K96" s="106">
        <v>0</v>
      </c>
      <c r="L96" s="107">
        <v>360933</v>
      </c>
      <c r="M96" s="105">
        <v>280089</v>
      </c>
      <c r="N96" s="106">
        <v>80844</v>
      </c>
      <c r="O96" s="107">
        <f t="shared" si="8"/>
        <v>387295</v>
      </c>
      <c r="P96" s="105">
        <f t="shared" si="8"/>
        <v>299336</v>
      </c>
      <c r="Q96" s="106">
        <f t="shared" si="8"/>
        <v>87959</v>
      </c>
      <c r="R96" s="105">
        <f t="shared" si="9"/>
        <v>1423.8786764705883</v>
      </c>
      <c r="S96" s="105">
        <f t="shared" si="9"/>
        <v>1100.5</v>
      </c>
      <c r="T96" s="108">
        <f t="shared" si="9"/>
        <v>323.37867647058823</v>
      </c>
    </row>
    <row r="97" spans="1:20" s="66" customFormat="1" ht="12.75" x14ac:dyDescent="0.2">
      <c r="A97" s="109">
        <v>264</v>
      </c>
      <c r="B97" s="110">
        <v>1</v>
      </c>
      <c r="C97" s="103" t="s">
        <v>216</v>
      </c>
      <c r="D97" s="103">
        <v>6</v>
      </c>
      <c r="E97" s="104">
        <f>+SUMIF('GE16FEB14 Unfudged'!$A$2:$A$498, $A97, 'GE16FEB14 Unfudged'!$D$2:$D$498)</f>
        <v>119</v>
      </c>
      <c r="F97" s="104">
        <v>5943</v>
      </c>
      <c r="G97" s="105">
        <v>3322</v>
      </c>
      <c r="H97" s="106">
        <v>2621</v>
      </c>
      <c r="I97" s="107">
        <v>0</v>
      </c>
      <c r="J97" s="105">
        <v>0</v>
      </c>
      <c r="K97" s="106">
        <v>0</v>
      </c>
      <c r="L97" s="107">
        <v>449507</v>
      </c>
      <c r="M97" s="105">
        <v>202175</v>
      </c>
      <c r="N97" s="106">
        <v>247332</v>
      </c>
      <c r="O97" s="107">
        <f t="shared" si="8"/>
        <v>455450</v>
      </c>
      <c r="P97" s="105">
        <f t="shared" si="8"/>
        <v>205497</v>
      </c>
      <c r="Q97" s="106">
        <f t="shared" si="8"/>
        <v>249953</v>
      </c>
      <c r="R97" s="105">
        <f t="shared" si="9"/>
        <v>3827.3109243697477</v>
      </c>
      <c r="S97" s="105">
        <f t="shared" si="9"/>
        <v>1726.8655462184875</v>
      </c>
      <c r="T97" s="108">
        <f t="shared" si="9"/>
        <v>2100.4453781512607</v>
      </c>
    </row>
    <row r="98" spans="1:20" s="66" customFormat="1" ht="12.75" x14ac:dyDescent="0.2">
      <c r="A98" s="109">
        <v>270</v>
      </c>
      <c r="B98" s="110">
        <v>1</v>
      </c>
      <c r="C98" s="103" t="s">
        <v>217</v>
      </c>
      <c r="D98" s="103">
        <v>2</v>
      </c>
      <c r="E98" s="104">
        <f>+SUMIF('GE16FEB14 Unfudged'!$A$2:$A$498, $A98, 'GE16FEB14 Unfudged'!$D$2:$D$498)</f>
        <v>7432</v>
      </c>
      <c r="F98" s="104">
        <v>371590</v>
      </c>
      <c r="G98" s="105">
        <v>371590</v>
      </c>
      <c r="H98" s="106">
        <v>0</v>
      </c>
      <c r="I98" s="107">
        <v>3151083</v>
      </c>
      <c r="J98" s="105">
        <v>3151083</v>
      </c>
      <c r="K98" s="106">
        <v>0</v>
      </c>
      <c r="L98" s="107">
        <v>14129487</v>
      </c>
      <c r="M98" s="105">
        <v>14117237</v>
      </c>
      <c r="N98" s="106">
        <v>12250</v>
      </c>
      <c r="O98" s="107">
        <f t="shared" ref="O98:Q161" si="10">+F98+I98+L98</f>
        <v>17652160</v>
      </c>
      <c r="P98" s="105">
        <f t="shared" si="10"/>
        <v>17639910</v>
      </c>
      <c r="Q98" s="106">
        <f t="shared" si="10"/>
        <v>12250</v>
      </c>
      <c r="R98" s="105">
        <f t="shared" si="9"/>
        <v>2375.1560818083963</v>
      </c>
      <c r="S98" s="105">
        <f t="shared" si="9"/>
        <v>2373.50780409042</v>
      </c>
      <c r="T98" s="108">
        <f t="shared" si="9"/>
        <v>1.6482777179763186</v>
      </c>
    </row>
    <row r="99" spans="1:20" s="66" customFormat="1" ht="12.75" x14ac:dyDescent="0.2">
      <c r="A99" s="109">
        <v>271</v>
      </c>
      <c r="B99" s="110">
        <v>1</v>
      </c>
      <c r="C99" s="103" t="s">
        <v>218</v>
      </c>
      <c r="D99" s="103">
        <v>3</v>
      </c>
      <c r="E99" s="104">
        <f>+SUMIF('GE16FEB14 Unfudged'!$A$2:$A$498, $A99, 'GE16FEB14 Unfudged'!$D$2:$D$498)</f>
        <v>11158</v>
      </c>
      <c r="F99" s="104">
        <v>924608</v>
      </c>
      <c r="G99" s="105">
        <v>924608</v>
      </c>
      <c r="H99" s="106">
        <v>0</v>
      </c>
      <c r="I99" s="107">
        <v>4730907</v>
      </c>
      <c r="J99" s="105">
        <v>4730907</v>
      </c>
      <c r="K99" s="106">
        <v>0</v>
      </c>
      <c r="L99" s="107">
        <v>15649149</v>
      </c>
      <c r="M99" s="105">
        <v>15532133</v>
      </c>
      <c r="N99" s="106">
        <v>117016</v>
      </c>
      <c r="O99" s="107">
        <f t="shared" si="10"/>
        <v>21304664</v>
      </c>
      <c r="P99" s="105">
        <f t="shared" si="10"/>
        <v>21187648</v>
      </c>
      <c r="Q99" s="106">
        <f t="shared" si="10"/>
        <v>117016</v>
      </c>
      <c r="R99" s="105">
        <f t="shared" si="9"/>
        <v>1909.3622512995159</v>
      </c>
      <c r="S99" s="105">
        <f t="shared" si="9"/>
        <v>1898.8750672163469</v>
      </c>
      <c r="T99" s="108">
        <f t="shared" si="9"/>
        <v>10.487184083169026</v>
      </c>
    </row>
    <row r="100" spans="1:20" s="66" customFormat="1" ht="12.75" x14ac:dyDescent="0.2">
      <c r="A100" s="109">
        <v>272</v>
      </c>
      <c r="B100" s="110">
        <v>1</v>
      </c>
      <c r="C100" s="103" t="s">
        <v>219</v>
      </c>
      <c r="D100" s="103">
        <v>3</v>
      </c>
      <c r="E100" s="104">
        <f>+SUMIF('GE16FEB14 Unfudged'!$A$2:$A$498, $A100, 'GE16FEB14 Unfudged'!$D$2:$D$498)</f>
        <v>10035</v>
      </c>
      <c r="F100" s="104">
        <v>1232140</v>
      </c>
      <c r="G100" s="105">
        <v>1232140</v>
      </c>
      <c r="H100" s="106">
        <v>0</v>
      </c>
      <c r="I100" s="107">
        <v>4255010</v>
      </c>
      <c r="J100" s="105">
        <v>4255010</v>
      </c>
      <c r="K100" s="106">
        <v>0</v>
      </c>
      <c r="L100" s="107">
        <v>8857043</v>
      </c>
      <c r="M100" s="105">
        <v>8548776</v>
      </c>
      <c r="N100" s="106">
        <v>308267</v>
      </c>
      <c r="O100" s="107">
        <f t="shared" si="10"/>
        <v>14344193</v>
      </c>
      <c r="P100" s="105">
        <f t="shared" si="10"/>
        <v>14035926</v>
      </c>
      <c r="Q100" s="106">
        <f t="shared" si="10"/>
        <v>308267</v>
      </c>
      <c r="R100" s="105">
        <f t="shared" si="9"/>
        <v>1429.4163428001993</v>
      </c>
      <c r="S100" s="105">
        <f t="shared" si="9"/>
        <v>1398.6971599402093</v>
      </c>
      <c r="T100" s="108">
        <f t="shared" si="9"/>
        <v>30.719182859990035</v>
      </c>
    </row>
    <row r="101" spans="1:20" s="66" customFormat="1" ht="12.75" x14ac:dyDescent="0.2">
      <c r="A101" s="109">
        <v>273</v>
      </c>
      <c r="B101" s="110">
        <v>1</v>
      </c>
      <c r="C101" s="103" t="s">
        <v>220</v>
      </c>
      <c r="D101" s="103">
        <v>2</v>
      </c>
      <c r="E101" s="104">
        <f>+SUMIF('GE16FEB14 Unfudged'!$A$2:$A$498, $A101, 'GE16FEB14 Unfudged'!$D$2:$D$498)</f>
        <v>9421</v>
      </c>
      <c r="F101" s="104">
        <v>779106</v>
      </c>
      <c r="G101" s="105">
        <v>779106</v>
      </c>
      <c r="H101" s="106">
        <v>0</v>
      </c>
      <c r="I101" s="107">
        <v>3994419</v>
      </c>
      <c r="J101" s="105">
        <v>3994419</v>
      </c>
      <c r="K101" s="106">
        <v>0</v>
      </c>
      <c r="L101" s="107">
        <v>13233304</v>
      </c>
      <c r="M101" s="105">
        <v>13228832</v>
      </c>
      <c r="N101" s="106">
        <v>4472</v>
      </c>
      <c r="O101" s="107">
        <f t="shared" si="10"/>
        <v>18006829</v>
      </c>
      <c r="P101" s="105">
        <f t="shared" si="10"/>
        <v>18002357</v>
      </c>
      <c r="Q101" s="106">
        <f t="shared" si="10"/>
        <v>4472</v>
      </c>
      <c r="R101" s="105">
        <f t="shared" si="9"/>
        <v>1911.3500689947989</v>
      </c>
      <c r="S101" s="105">
        <f t="shared" si="9"/>
        <v>1910.8753847786859</v>
      </c>
      <c r="T101" s="108">
        <f t="shared" si="9"/>
        <v>0.47468421611293921</v>
      </c>
    </row>
    <row r="102" spans="1:20" s="66" customFormat="1" ht="12.75" x14ac:dyDescent="0.2">
      <c r="A102" s="109">
        <v>276</v>
      </c>
      <c r="B102" s="110">
        <v>1</v>
      </c>
      <c r="C102" s="103" t="s">
        <v>221</v>
      </c>
      <c r="D102" s="103">
        <v>3</v>
      </c>
      <c r="E102" s="104">
        <f>+SUMIF('GE16FEB14 Unfudged'!$A$2:$A$498, $A102, 'GE16FEB14 Unfudged'!$D$2:$D$498)</f>
        <v>10955</v>
      </c>
      <c r="F102" s="104">
        <v>1046863</v>
      </c>
      <c r="G102" s="105">
        <v>1046863</v>
      </c>
      <c r="H102" s="106">
        <v>0</v>
      </c>
      <c r="I102" s="107">
        <v>4644708</v>
      </c>
      <c r="J102" s="105">
        <v>4644708</v>
      </c>
      <c r="K102" s="106">
        <v>0</v>
      </c>
      <c r="L102" s="107">
        <v>13551921</v>
      </c>
      <c r="M102" s="105">
        <v>13279508</v>
      </c>
      <c r="N102" s="106">
        <v>272413</v>
      </c>
      <c r="O102" s="107">
        <f t="shared" si="10"/>
        <v>19243492</v>
      </c>
      <c r="P102" s="105">
        <f t="shared" si="10"/>
        <v>18971079</v>
      </c>
      <c r="Q102" s="106">
        <f t="shared" si="10"/>
        <v>272413</v>
      </c>
      <c r="R102" s="105">
        <f t="shared" si="9"/>
        <v>1756.5944317663168</v>
      </c>
      <c r="S102" s="105">
        <f t="shared" si="9"/>
        <v>1731.727886809676</v>
      </c>
      <c r="T102" s="108">
        <f t="shared" si="9"/>
        <v>24.866544956640805</v>
      </c>
    </row>
    <row r="103" spans="1:20" s="66" customFormat="1" ht="12.75" x14ac:dyDescent="0.2">
      <c r="A103" s="109">
        <v>277</v>
      </c>
      <c r="B103" s="110">
        <v>1</v>
      </c>
      <c r="C103" s="103" t="s">
        <v>222</v>
      </c>
      <c r="D103" s="103">
        <v>3</v>
      </c>
      <c r="E103" s="104">
        <f>+SUMIF('GE16FEB14 Unfudged'!$A$2:$A$498, $A103, 'GE16FEB14 Unfudged'!$D$2:$D$498)</f>
        <v>2416</v>
      </c>
      <c r="F103" s="104">
        <v>205538</v>
      </c>
      <c r="G103" s="105">
        <v>205538</v>
      </c>
      <c r="H103" s="106">
        <v>0</v>
      </c>
      <c r="I103" s="107">
        <v>1024469</v>
      </c>
      <c r="J103" s="105">
        <v>1024469</v>
      </c>
      <c r="K103" s="106">
        <v>0</v>
      </c>
      <c r="L103" s="107">
        <v>3319545</v>
      </c>
      <c r="M103" s="105">
        <v>3282548</v>
      </c>
      <c r="N103" s="106">
        <v>36997</v>
      </c>
      <c r="O103" s="107">
        <f t="shared" si="10"/>
        <v>4549552</v>
      </c>
      <c r="P103" s="105">
        <f t="shared" si="10"/>
        <v>4512555</v>
      </c>
      <c r="Q103" s="106">
        <f t="shared" si="10"/>
        <v>36997</v>
      </c>
      <c r="R103" s="105">
        <f t="shared" si="9"/>
        <v>1883.0927152317881</v>
      </c>
      <c r="S103" s="105">
        <f t="shared" si="9"/>
        <v>1867.7793874172185</v>
      </c>
      <c r="T103" s="108">
        <f t="shared" si="9"/>
        <v>15.313327814569536</v>
      </c>
    </row>
    <row r="104" spans="1:20" s="66" customFormat="1" ht="12.75" x14ac:dyDescent="0.2">
      <c r="A104" s="109">
        <v>278</v>
      </c>
      <c r="B104" s="110">
        <v>1</v>
      </c>
      <c r="C104" s="103" t="s">
        <v>223</v>
      </c>
      <c r="D104" s="103">
        <v>3</v>
      </c>
      <c r="E104" s="104">
        <f>+SUMIF('GE16FEB14 Unfudged'!$A$2:$A$498, $A104, 'GE16FEB14 Unfudged'!$D$2:$D$498)</f>
        <v>2981</v>
      </c>
      <c r="F104" s="104">
        <v>235178</v>
      </c>
      <c r="G104" s="105">
        <v>235178</v>
      </c>
      <c r="H104" s="106">
        <v>0</v>
      </c>
      <c r="I104" s="107">
        <v>1263986</v>
      </c>
      <c r="J104" s="105">
        <v>1263986</v>
      </c>
      <c r="K104" s="106">
        <v>0</v>
      </c>
      <c r="L104" s="107">
        <v>4335533</v>
      </c>
      <c r="M104" s="105">
        <v>4213774</v>
      </c>
      <c r="N104" s="106">
        <v>121759</v>
      </c>
      <c r="O104" s="107">
        <f t="shared" si="10"/>
        <v>5834697</v>
      </c>
      <c r="P104" s="105">
        <f t="shared" si="10"/>
        <v>5712938</v>
      </c>
      <c r="Q104" s="106">
        <f t="shared" si="10"/>
        <v>121759</v>
      </c>
      <c r="R104" s="105">
        <f t="shared" si="9"/>
        <v>1957.2952029520295</v>
      </c>
      <c r="S104" s="105">
        <f t="shared" si="9"/>
        <v>1916.4501845018451</v>
      </c>
      <c r="T104" s="108">
        <f t="shared" si="9"/>
        <v>40.845018450184504</v>
      </c>
    </row>
    <row r="105" spans="1:20" s="66" customFormat="1" ht="12.75" x14ac:dyDescent="0.2">
      <c r="A105" s="109">
        <v>279</v>
      </c>
      <c r="B105" s="110">
        <v>1</v>
      </c>
      <c r="C105" s="103" t="s">
        <v>224</v>
      </c>
      <c r="D105" s="103">
        <v>3</v>
      </c>
      <c r="E105" s="104">
        <f>+SUMIF('GE16FEB14 Unfudged'!$A$2:$A$498, $A105, 'GE16FEB14 Unfudged'!$D$2:$D$498)</f>
        <v>22139</v>
      </c>
      <c r="F105" s="104">
        <v>1106950</v>
      </c>
      <c r="G105" s="105">
        <v>1008653</v>
      </c>
      <c r="H105" s="106">
        <v>98297</v>
      </c>
      <c r="I105" s="107">
        <v>9386936</v>
      </c>
      <c r="J105" s="105">
        <v>8553374</v>
      </c>
      <c r="K105" s="106">
        <v>833562</v>
      </c>
      <c r="L105" s="107">
        <v>35482397</v>
      </c>
      <c r="M105" s="105">
        <v>31443721</v>
      </c>
      <c r="N105" s="106">
        <v>4038676</v>
      </c>
      <c r="O105" s="107">
        <f t="shared" si="10"/>
        <v>45976283</v>
      </c>
      <c r="P105" s="105">
        <f t="shared" si="10"/>
        <v>41005748</v>
      </c>
      <c r="Q105" s="106">
        <f t="shared" si="10"/>
        <v>4970535</v>
      </c>
      <c r="R105" s="105">
        <f t="shared" si="9"/>
        <v>2076.710014002439</v>
      </c>
      <c r="S105" s="105">
        <f t="shared" si="9"/>
        <v>1852.1951307647139</v>
      </c>
      <c r="T105" s="108">
        <f t="shared" si="9"/>
        <v>224.51488323772529</v>
      </c>
    </row>
    <row r="106" spans="1:20" s="66" customFormat="1" ht="12.75" x14ac:dyDescent="0.2">
      <c r="A106" s="109">
        <v>280</v>
      </c>
      <c r="B106" s="110">
        <v>1</v>
      </c>
      <c r="C106" s="103" t="s">
        <v>225</v>
      </c>
      <c r="D106" s="103">
        <v>2</v>
      </c>
      <c r="E106" s="104">
        <f>+SUMIF('GE16FEB14 Unfudged'!$A$2:$A$498, $A106, 'GE16FEB14 Unfudged'!$D$2:$D$498)</f>
        <v>4775</v>
      </c>
      <c r="F106" s="104">
        <v>578816</v>
      </c>
      <c r="G106" s="105">
        <v>578816</v>
      </c>
      <c r="H106" s="106">
        <v>0</v>
      </c>
      <c r="I106" s="107">
        <v>2024600</v>
      </c>
      <c r="J106" s="105">
        <v>2024600</v>
      </c>
      <c r="K106" s="106">
        <v>0</v>
      </c>
      <c r="L106" s="107">
        <v>4311443</v>
      </c>
      <c r="M106" s="105">
        <v>3927598</v>
      </c>
      <c r="N106" s="106">
        <v>383845</v>
      </c>
      <c r="O106" s="107">
        <f t="shared" si="10"/>
        <v>6914859</v>
      </c>
      <c r="P106" s="105">
        <f t="shared" si="10"/>
        <v>6531014</v>
      </c>
      <c r="Q106" s="106">
        <f t="shared" si="10"/>
        <v>383845</v>
      </c>
      <c r="R106" s="105">
        <f t="shared" si="9"/>
        <v>1448.1380104712041</v>
      </c>
      <c r="S106" s="105">
        <f t="shared" si="9"/>
        <v>1367.7516230366491</v>
      </c>
      <c r="T106" s="108">
        <f t="shared" si="9"/>
        <v>80.386387434554976</v>
      </c>
    </row>
    <row r="107" spans="1:20" s="66" customFormat="1" ht="12.75" x14ac:dyDescent="0.2">
      <c r="A107" s="109">
        <v>281</v>
      </c>
      <c r="B107" s="110">
        <v>1</v>
      </c>
      <c r="C107" s="103" t="s">
        <v>226</v>
      </c>
      <c r="D107" s="103">
        <v>2</v>
      </c>
      <c r="E107" s="104">
        <f>+SUMIF('GE16FEB14 Unfudged'!$A$2:$A$498, $A107, 'GE16FEB14 Unfudged'!$D$2:$D$498)</f>
        <v>13184</v>
      </c>
      <c r="F107" s="104">
        <v>1045183</v>
      </c>
      <c r="G107" s="105">
        <v>1031678</v>
      </c>
      <c r="H107" s="106">
        <v>13505</v>
      </c>
      <c r="I107" s="107">
        <v>5589931</v>
      </c>
      <c r="J107" s="105">
        <v>5517707</v>
      </c>
      <c r="K107" s="106">
        <v>72224</v>
      </c>
      <c r="L107" s="107">
        <v>19107018</v>
      </c>
      <c r="M107" s="105">
        <v>17336090</v>
      </c>
      <c r="N107" s="106">
        <v>1770928</v>
      </c>
      <c r="O107" s="107">
        <f t="shared" si="10"/>
        <v>25742132</v>
      </c>
      <c r="P107" s="105">
        <f t="shared" si="10"/>
        <v>23885475</v>
      </c>
      <c r="Q107" s="106">
        <f t="shared" si="10"/>
        <v>1856657</v>
      </c>
      <c r="R107" s="105">
        <f t="shared" si="9"/>
        <v>1952.5282160194174</v>
      </c>
      <c r="S107" s="105">
        <f t="shared" si="9"/>
        <v>1811.7016838592233</v>
      </c>
      <c r="T107" s="108">
        <f t="shared" si="9"/>
        <v>140.82653216019418</v>
      </c>
    </row>
    <row r="108" spans="1:20" s="66" customFormat="1" ht="12.75" x14ac:dyDescent="0.2">
      <c r="A108" s="109">
        <v>282</v>
      </c>
      <c r="B108" s="110">
        <v>1</v>
      </c>
      <c r="C108" s="103" t="s">
        <v>227</v>
      </c>
      <c r="D108" s="103">
        <v>2</v>
      </c>
      <c r="E108" s="104">
        <f>+SUMIF('GE16FEB14 Unfudged'!$A$2:$A$498, $A108, 'GE16FEB14 Unfudged'!$D$2:$D$498)</f>
        <v>1796</v>
      </c>
      <c r="F108" s="104">
        <v>206809</v>
      </c>
      <c r="G108" s="105">
        <v>206809</v>
      </c>
      <c r="H108" s="106">
        <v>0</v>
      </c>
      <c r="I108" s="107">
        <v>761334</v>
      </c>
      <c r="J108" s="105">
        <v>761334</v>
      </c>
      <c r="K108" s="106">
        <v>0</v>
      </c>
      <c r="L108" s="107">
        <v>1762633</v>
      </c>
      <c r="M108" s="105">
        <v>1510371</v>
      </c>
      <c r="N108" s="106">
        <v>252262</v>
      </c>
      <c r="O108" s="107">
        <f t="shared" si="10"/>
        <v>2730776</v>
      </c>
      <c r="P108" s="105">
        <f t="shared" si="10"/>
        <v>2478514</v>
      </c>
      <c r="Q108" s="106">
        <f t="shared" si="10"/>
        <v>252262</v>
      </c>
      <c r="R108" s="105">
        <f t="shared" si="9"/>
        <v>1520.4766146993318</v>
      </c>
      <c r="S108" s="105">
        <f t="shared" si="9"/>
        <v>1380.0189309576838</v>
      </c>
      <c r="T108" s="108">
        <f t="shared" si="9"/>
        <v>140.45768374164811</v>
      </c>
    </row>
    <row r="109" spans="1:20" s="66" customFormat="1" ht="12.75" x14ac:dyDescent="0.2">
      <c r="A109" s="109">
        <v>283</v>
      </c>
      <c r="B109" s="110">
        <v>1</v>
      </c>
      <c r="C109" s="103" t="s">
        <v>228</v>
      </c>
      <c r="D109" s="103">
        <v>2</v>
      </c>
      <c r="E109" s="104">
        <f>+SUMIF('GE16FEB14 Unfudged'!$A$2:$A$498, $A109, 'GE16FEB14 Unfudged'!$D$2:$D$498)</f>
        <v>4703</v>
      </c>
      <c r="F109" s="104">
        <v>235138</v>
      </c>
      <c r="G109" s="105">
        <v>235138</v>
      </c>
      <c r="H109" s="106">
        <v>0</v>
      </c>
      <c r="I109" s="107">
        <v>1993966</v>
      </c>
      <c r="J109" s="105">
        <v>1993966</v>
      </c>
      <c r="K109" s="106">
        <v>0</v>
      </c>
      <c r="L109" s="107">
        <v>9239963</v>
      </c>
      <c r="M109" s="105">
        <v>9239026</v>
      </c>
      <c r="N109" s="106">
        <v>937</v>
      </c>
      <c r="O109" s="107">
        <f t="shared" si="10"/>
        <v>11469067</v>
      </c>
      <c r="P109" s="105">
        <f t="shared" si="10"/>
        <v>11468130</v>
      </c>
      <c r="Q109" s="106">
        <f t="shared" si="10"/>
        <v>937</v>
      </c>
      <c r="R109" s="105">
        <f t="shared" si="9"/>
        <v>2438.6704231341696</v>
      </c>
      <c r="S109" s="105">
        <f t="shared" si="9"/>
        <v>2438.4711886030195</v>
      </c>
      <c r="T109" s="108">
        <f t="shared" si="9"/>
        <v>0.19923453115032957</v>
      </c>
    </row>
    <row r="110" spans="1:20" s="66" customFormat="1" ht="12.75" x14ac:dyDescent="0.2">
      <c r="A110" s="109">
        <v>284</v>
      </c>
      <c r="B110" s="110">
        <v>1</v>
      </c>
      <c r="C110" s="103" t="s">
        <v>229</v>
      </c>
      <c r="D110" s="103">
        <v>3</v>
      </c>
      <c r="E110" s="104">
        <f>+SUMIF('GE16FEB14 Unfudged'!$A$2:$A$498, $A110, 'GE16FEB14 Unfudged'!$D$2:$D$498)</f>
        <v>12528</v>
      </c>
      <c r="F110" s="104">
        <v>1081538</v>
      </c>
      <c r="G110" s="105">
        <v>1081538</v>
      </c>
      <c r="H110" s="106">
        <v>0</v>
      </c>
      <c r="I110" s="107">
        <v>5312042</v>
      </c>
      <c r="J110" s="105">
        <v>5312042</v>
      </c>
      <c r="K110" s="106">
        <v>0</v>
      </c>
      <c r="L110" s="107">
        <v>17006677</v>
      </c>
      <c r="M110" s="105">
        <v>16865189</v>
      </c>
      <c r="N110" s="106">
        <v>141488</v>
      </c>
      <c r="O110" s="107">
        <f t="shared" si="10"/>
        <v>23400257</v>
      </c>
      <c r="P110" s="105">
        <f t="shared" si="10"/>
        <v>23258769</v>
      </c>
      <c r="Q110" s="106">
        <f t="shared" si="10"/>
        <v>141488</v>
      </c>
      <c r="R110" s="105">
        <f t="shared" si="9"/>
        <v>1867.8366060025544</v>
      </c>
      <c r="S110" s="105">
        <f t="shared" si="9"/>
        <v>1856.5428639846743</v>
      </c>
      <c r="T110" s="108">
        <f t="shared" si="9"/>
        <v>11.293742017879948</v>
      </c>
    </row>
    <row r="111" spans="1:20" s="66" customFormat="1" ht="12.75" x14ac:dyDescent="0.2">
      <c r="A111" s="109">
        <v>286</v>
      </c>
      <c r="B111" s="110">
        <v>1</v>
      </c>
      <c r="C111" s="103" t="s">
        <v>230</v>
      </c>
      <c r="D111" s="103">
        <v>2</v>
      </c>
      <c r="E111" s="104">
        <f>+SUMIF('GE16FEB14 Unfudged'!$A$2:$A$498, $A111, 'GE16FEB14 Unfudged'!$D$2:$D$498)</f>
        <v>2474</v>
      </c>
      <c r="F111" s="104">
        <v>414361</v>
      </c>
      <c r="G111" s="105">
        <v>231526</v>
      </c>
      <c r="H111" s="106">
        <v>182835</v>
      </c>
      <c r="I111" s="107">
        <v>1048891</v>
      </c>
      <c r="J111" s="105">
        <v>586073</v>
      </c>
      <c r="K111" s="106">
        <v>462818</v>
      </c>
      <c r="L111" s="107">
        <v>742140</v>
      </c>
      <c r="M111" s="105">
        <v>240323</v>
      </c>
      <c r="N111" s="106">
        <v>501817</v>
      </c>
      <c r="O111" s="107">
        <f t="shared" si="10"/>
        <v>2205392</v>
      </c>
      <c r="P111" s="105">
        <f t="shared" si="10"/>
        <v>1057922</v>
      </c>
      <c r="Q111" s="106">
        <f t="shared" si="10"/>
        <v>1147470</v>
      </c>
      <c r="R111" s="105">
        <f t="shared" si="9"/>
        <v>891.42764753435733</v>
      </c>
      <c r="S111" s="105">
        <f t="shared" si="9"/>
        <v>427.61600646725952</v>
      </c>
      <c r="T111" s="108">
        <f t="shared" si="9"/>
        <v>463.81164106709781</v>
      </c>
    </row>
    <row r="112" spans="1:20" s="66" customFormat="1" ht="12.75" x14ac:dyDescent="0.2">
      <c r="A112" s="109">
        <v>294</v>
      </c>
      <c r="B112" s="110">
        <v>1</v>
      </c>
      <c r="C112" s="103" t="s">
        <v>231</v>
      </c>
      <c r="D112" s="103">
        <v>5</v>
      </c>
      <c r="E112" s="104">
        <f>+SUMIF('GE16FEB14 Unfudged'!$A$2:$A$498, $A112, 'GE16FEB14 Unfudged'!$D$2:$D$498)</f>
        <v>2846</v>
      </c>
      <c r="F112" s="104">
        <v>409824</v>
      </c>
      <c r="G112" s="105">
        <v>269668</v>
      </c>
      <c r="H112" s="106">
        <v>140156</v>
      </c>
      <c r="I112" s="107">
        <v>603352</v>
      </c>
      <c r="J112" s="105">
        <v>397011</v>
      </c>
      <c r="K112" s="106">
        <v>206341</v>
      </c>
      <c r="L112" s="107">
        <v>853800</v>
      </c>
      <c r="M112" s="105">
        <v>325593</v>
      </c>
      <c r="N112" s="106">
        <v>528207</v>
      </c>
      <c r="O112" s="107">
        <f t="shared" si="10"/>
        <v>1866976</v>
      </c>
      <c r="P112" s="105">
        <f t="shared" si="10"/>
        <v>992272</v>
      </c>
      <c r="Q112" s="106">
        <f t="shared" si="10"/>
        <v>874704</v>
      </c>
      <c r="R112" s="105">
        <f t="shared" si="9"/>
        <v>656</v>
      </c>
      <c r="S112" s="105">
        <f t="shared" si="9"/>
        <v>348.65495432185526</v>
      </c>
      <c r="T112" s="108">
        <f t="shared" si="9"/>
        <v>307.34504567814474</v>
      </c>
    </row>
    <row r="113" spans="1:20" s="66" customFormat="1" ht="12.75" x14ac:dyDescent="0.2">
      <c r="A113" s="109">
        <v>297</v>
      </c>
      <c r="B113" s="110">
        <v>6</v>
      </c>
      <c r="C113" s="103" t="s">
        <v>232</v>
      </c>
      <c r="D113" s="103">
        <v>6</v>
      </c>
      <c r="E113" s="104">
        <f>+SUMIF('GE16FEB14 Unfudged'!$A$2:$A$498, $A113, 'GE16FEB14 Unfudged'!$D$2:$D$498)</f>
        <v>370</v>
      </c>
      <c r="F113" s="104">
        <v>33728</v>
      </c>
      <c r="G113" s="105">
        <v>18620</v>
      </c>
      <c r="H113" s="106">
        <v>15108</v>
      </c>
      <c r="I113" s="107">
        <v>0</v>
      </c>
      <c r="J113" s="105">
        <v>0</v>
      </c>
      <c r="K113" s="106">
        <v>0</v>
      </c>
      <c r="L113" s="107">
        <v>537477</v>
      </c>
      <c r="M113" s="105">
        <v>378297</v>
      </c>
      <c r="N113" s="106">
        <v>159180</v>
      </c>
      <c r="O113" s="107">
        <f t="shared" si="10"/>
        <v>571205</v>
      </c>
      <c r="P113" s="105">
        <f t="shared" si="10"/>
        <v>396917</v>
      </c>
      <c r="Q113" s="106">
        <f t="shared" si="10"/>
        <v>174288</v>
      </c>
      <c r="R113" s="105">
        <f t="shared" si="9"/>
        <v>1543.7972972972973</v>
      </c>
      <c r="S113" s="105">
        <f t="shared" si="9"/>
        <v>1072.7486486486487</v>
      </c>
      <c r="T113" s="108">
        <f t="shared" si="9"/>
        <v>471.04864864864862</v>
      </c>
    </row>
    <row r="114" spans="1:20" s="66" customFormat="1" ht="12.75" x14ac:dyDescent="0.2">
      <c r="A114" s="109">
        <v>299</v>
      </c>
      <c r="B114" s="110">
        <v>1</v>
      </c>
      <c r="C114" s="103" t="s">
        <v>233</v>
      </c>
      <c r="D114" s="103">
        <v>6</v>
      </c>
      <c r="E114" s="104">
        <f>+SUMIF('GE16FEB14 Unfudged'!$A$2:$A$498, $A114, 'GE16FEB14 Unfudged'!$D$2:$D$498)</f>
        <v>722</v>
      </c>
      <c r="F114" s="104">
        <v>88226</v>
      </c>
      <c r="G114" s="105">
        <v>76053</v>
      </c>
      <c r="H114" s="106">
        <v>12173</v>
      </c>
      <c r="I114" s="107">
        <v>0</v>
      </c>
      <c r="J114" s="105">
        <v>0</v>
      </c>
      <c r="K114" s="106">
        <v>0</v>
      </c>
      <c r="L114" s="107">
        <v>560658</v>
      </c>
      <c r="M114" s="105">
        <v>406400</v>
      </c>
      <c r="N114" s="106">
        <v>154258</v>
      </c>
      <c r="O114" s="107">
        <f t="shared" si="10"/>
        <v>648884</v>
      </c>
      <c r="P114" s="105">
        <f t="shared" si="10"/>
        <v>482453</v>
      </c>
      <c r="Q114" s="106">
        <f t="shared" si="10"/>
        <v>166431</v>
      </c>
      <c r="R114" s="105">
        <f t="shared" si="9"/>
        <v>898.7313019390582</v>
      </c>
      <c r="S114" s="105">
        <f t="shared" si="9"/>
        <v>668.21745152354572</v>
      </c>
      <c r="T114" s="108">
        <f t="shared" si="9"/>
        <v>230.51385041551248</v>
      </c>
    </row>
    <row r="115" spans="1:20" s="66" customFormat="1" ht="12.75" x14ac:dyDescent="0.2">
      <c r="A115" s="109">
        <v>300</v>
      </c>
      <c r="B115" s="110">
        <v>1</v>
      </c>
      <c r="C115" s="103" t="s">
        <v>234</v>
      </c>
      <c r="D115" s="103">
        <v>5</v>
      </c>
      <c r="E115" s="104">
        <f>+SUMIF('GE16FEB14 Unfudged'!$A$2:$A$498, $A115, 'GE16FEB14 Unfudged'!$D$2:$D$498)</f>
        <v>1340</v>
      </c>
      <c r="F115" s="104">
        <v>174013</v>
      </c>
      <c r="G115" s="105">
        <v>171300</v>
      </c>
      <c r="H115" s="106">
        <v>2713</v>
      </c>
      <c r="I115" s="107">
        <v>0</v>
      </c>
      <c r="J115" s="105">
        <v>0</v>
      </c>
      <c r="K115" s="106">
        <v>0</v>
      </c>
      <c r="L115" s="107">
        <v>813901</v>
      </c>
      <c r="M115" s="105">
        <v>634873</v>
      </c>
      <c r="N115" s="106">
        <v>179028</v>
      </c>
      <c r="O115" s="107">
        <f t="shared" si="10"/>
        <v>987914</v>
      </c>
      <c r="P115" s="105">
        <f t="shared" si="10"/>
        <v>806173</v>
      </c>
      <c r="Q115" s="106">
        <f t="shared" si="10"/>
        <v>181741</v>
      </c>
      <c r="R115" s="105">
        <f t="shared" si="9"/>
        <v>737.24925373134329</v>
      </c>
      <c r="S115" s="105">
        <f t="shared" si="9"/>
        <v>601.62164179104479</v>
      </c>
      <c r="T115" s="108">
        <f t="shared" si="9"/>
        <v>135.62761194029852</v>
      </c>
    </row>
    <row r="116" spans="1:20" s="66" customFormat="1" ht="12.75" x14ac:dyDescent="0.2">
      <c r="A116" s="109">
        <v>306</v>
      </c>
      <c r="B116" s="110">
        <v>1</v>
      </c>
      <c r="C116" s="103" t="s">
        <v>235</v>
      </c>
      <c r="D116" s="103">
        <v>6</v>
      </c>
      <c r="E116" s="104">
        <f>+SUMIF('GE16FEB14 Unfudged'!$A$2:$A$498, $A116, 'GE16FEB14 Unfudged'!$D$2:$D$498)</f>
        <v>278</v>
      </c>
      <c r="F116" s="104">
        <v>40032</v>
      </c>
      <c r="G116" s="105">
        <v>40032</v>
      </c>
      <c r="H116" s="106">
        <v>0</v>
      </c>
      <c r="I116" s="107">
        <v>0</v>
      </c>
      <c r="J116" s="105">
        <v>0</v>
      </c>
      <c r="K116" s="106">
        <v>0</v>
      </c>
      <c r="L116" s="107">
        <v>83400</v>
      </c>
      <c r="M116" s="105">
        <v>56140</v>
      </c>
      <c r="N116" s="106">
        <v>27260</v>
      </c>
      <c r="O116" s="107">
        <f t="shared" si="10"/>
        <v>123432</v>
      </c>
      <c r="P116" s="105">
        <f t="shared" si="10"/>
        <v>96172</v>
      </c>
      <c r="Q116" s="106">
        <f t="shared" si="10"/>
        <v>27260</v>
      </c>
      <c r="R116" s="105">
        <f t="shared" si="9"/>
        <v>444</v>
      </c>
      <c r="S116" s="105">
        <f t="shared" si="9"/>
        <v>345.94244604316549</v>
      </c>
      <c r="T116" s="108">
        <f t="shared" si="9"/>
        <v>98.057553956834539</v>
      </c>
    </row>
    <row r="117" spans="1:20" s="66" customFormat="1" ht="12.75" x14ac:dyDescent="0.2">
      <c r="A117" s="109">
        <v>308</v>
      </c>
      <c r="B117" s="110">
        <v>1</v>
      </c>
      <c r="C117" s="103" t="s">
        <v>236</v>
      </c>
      <c r="D117" s="103">
        <v>6</v>
      </c>
      <c r="E117" s="104">
        <f>+SUMIF('GE16FEB14 Unfudged'!$A$2:$A$498, $A117, 'GE16FEB14 Unfudged'!$D$2:$D$498)</f>
        <v>610</v>
      </c>
      <c r="F117" s="104">
        <v>84411</v>
      </c>
      <c r="G117" s="105">
        <v>84411</v>
      </c>
      <c r="H117" s="106">
        <v>0</v>
      </c>
      <c r="I117" s="107">
        <v>0</v>
      </c>
      <c r="J117" s="105">
        <v>0</v>
      </c>
      <c r="K117" s="106">
        <v>0</v>
      </c>
      <c r="L117" s="107">
        <v>256410</v>
      </c>
      <c r="M117" s="105">
        <v>82763</v>
      </c>
      <c r="N117" s="106">
        <v>173647</v>
      </c>
      <c r="O117" s="107">
        <f t="shared" si="10"/>
        <v>340821</v>
      </c>
      <c r="P117" s="105">
        <f t="shared" si="10"/>
        <v>167174</v>
      </c>
      <c r="Q117" s="106">
        <f t="shared" si="10"/>
        <v>173647</v>
      </c>
      <c r="R117" s="105">
        <f t="shared" si="9"/>
        <v>558.72295081967218</v>
      </c>
      <c r="S117" s="105">
        <f t="shared" si="9"/>
        <v>274.05573770491804</v>
      </c>
      <c r="T117" s="108">
        <f t="shared" si="9"/>
        <v>284.66721311475408</v>
      </c>
    </row>
    <row r="118" spans="1:20" s="66" customFormat="1" ht="12.75" x14ac:dyDescent="0.2">
      <c r="A118" s="109">
        <v>309</v>
      </c>
      <c r="B118" s="110">
        <v>1</v>
      </c>
      <c r="C118" s="103" t="s">
        <v>237</v>
      </c>
      <c r="D118" s="103">
        <v>5</v>
      </c>
      <c r="E118" s="104">
        <f>+SUMIF('GE16FEB14 Unfudged'!$A$2:$A$498, $A118, 'GE16FEB14 Unfudged'!$D$2:$D$498)</f>
        <v>1635</v>
      </c>
      <c r="F118" s="104">
        <v>204757</v>
      </c>
      <c r="G118" s="105">
        <v>204757</v>
      </c>
      <c r="H118" s="106">
        <v>0</v>
      </c>
      <c r="I118" s="107">
        <v>0</v>
      </c>
      <c r="J118" s="105">
        <v>0</v>
      </c>
      <c r="K118" s="106">
        <v>0</v>
      </c>
      <c r="L118" s="107">
        <v>1159073</v>
      </c>
      <c r="M118" s="105">
        <v>969814</v>
      </c>
      <c r="N118" s="106">
        <v>189259</v>
      </c>
      <c r="O118" s="107">
        <f t="shared" si="10"/>
        <v>1363830</v>
      </c>
      <c r="P118" s="105">
        <f t="shared" si="10"/>
        <v>1174571</v>
      </c>
      <c r="Q118" s="106">
        <f t="shared" si="10"/>
        <v>189259</v>
      </c>
      <c r="R118" s="105">
        <f t="shared" si="9"/>
        <v>834.14678899082571</v>
      </c>
      <c r="S118" s="105">
        <f t="shared" si="9"/>
        <v>718.39204892966359</v>
      </c>
      <c r="T118" s="108">
        <f t="shared" si="9"/>
        <v>115.75474006116208</v>
      </c>
    </row>
    <row r="119" spans="1:20" s="66" customFormat="1" ht="12.75" x14ac:dyDescent="0.2">
      <c r="A119" s="109">
        <v>314</v>
      </c>
      <c r="B119" s="110">
        <v>1</v>
      </c>
      <c r="C119" s="103" t="s">
        <v>238</v>
      </c>
      <c r="D119" s="103">
        <v>6</v>
      </c>
      <c r="E119" s="104">
        <f>+SUMIF('GE16FEB14 Unfudged'!$A$2:$A$498, $A119, 'GE16FEB14 Unfudged'!$D$2:$D$498)</f>
        <v>930</v>
      </c>
      <c r="F119" s="104">
        <v>122155</v>
      </c>
      <c r="G119" s="105">
        <v>62098</v>
      </c>
      <c r="H119" s="106">
        <v>60057</v>
      </c>
      <c r="I119" s="107">
        <v>0</v>
      </c>
      <c r="J119" s="105">
        <v>0</v>
      </c>
      <c r="K119" s="106">
        <v>0</v>
      </c>
      <c r="L119" s="107">
        <v>534933</v>
      </c>
      <c r="M119" s="105">
        <v>212315</v>
      </c>
      <c r="N119" s="106">
        <v>322618</v>
      </c>
      <c r="O119" s="107">
        <f t="shared" si="10"/>
        <v>657088</v>
      </c>
      <c r="P119" s="105">
        <f t="shared" si="10"/>
        <v>274413</v>
      </c>
      <c r="Q119" s="106">
        <f t="shared" si="10"/>
        <v>382675</v>
      </c>
      <c r="R119" s="105">
        <f t="shared" si="9"/>
        <v>706.54623655913974</v>
      </c>
      <c r="S119" s="105">
        <f t="shared" si="9"/>
        <v>295.06774193548387</v>
      </c>
      <c r="T119" s="108">
        <f t="shared" si="9"/>
        <v>411.47849462365593</v>
      </c>
    </row>
    <row r="120" spans="1:20" s="66" customFormat="1" ht="12.75" x14ac:dyDescent="0.2">
      <c r="A120" s="109">
        <v>316</v>
      </c>
      <c r="B120" s="110">
        <v>1</v>
      </c>
      <c r="C120" s="103" t="s">
        <v>239</v>
      </c>
      <c r="D120" s="103">
        <v>5</v>
      </c>
      <c r="E120" s="104">
        <f>+SUMIF('GE16FEB14 Unfudged'!$A$2:$A$498, $A120, 'GE16FEB14 Unfudged'!$D$2:$D$498)</f>
        <v>1129</v>
      </c>
      <c r="F120" s="104">
        <v>162533</v>
      </c>
      <c r="G120" s="105">
        <v>139911</v>
      </c>
      <c r="H120" s="106">
        <v>22622</v>
      </c>
      <c r="I120" s="107">
        <v>0</v>
      </c>
      <c r="J120" s="105">
        <v>0</v>
      </c>
      <c r="K120" s="106">
        <v>0</v>
      </c>
      <c r="L120" s="107">
        <v>338610</v>
      </c>
      <c r="M120" s="105">
        <v>168926</v>
      </c>
      <c r="N120" s="106">
        <v>169684</v>
      </c>
      <c r="O120" s="107">
        <f t="shared" si="10"/>
        <v>501143</v>
      </c>
      <c r="P120" s="105">
        <f t="shared" si="10"/>
        <v>308837</v>
      </c>
      <c r="Q120" s="106">
        <f t="shared" si="10"/>
        <v>192306</v>
      </c>
      <c r="R120" s="105">
        <f t="shared" si="9"/>
        <v>443.88219663418954</v>
      </c>
      <c r="S120" s="105">
        <f t="shared" si="9"/>
        <v>273.54915854738709</v>
      </c>
      <c r="T120" s="108">
        <f t="shared" si="9"/>
        <v>170.33303808680247</v>
      </c>
    </row>
    <row r="121" spans="1:20" s="66" customFormat="1" ht="12.75" x14ac:dyDescent="0.2">
      <c r="A121" s="109">
        <v>317</v>
      </c>
      <c r="B121" s="110">
        <v>1</v>
      </c>
      <c r="C121" s="103" t="s">
        <v>240</v>
      </c>
      <c r="D121" s="103">
        <v>6</v>
      </c>
      <c r="E121" s="104">
        <f>+SUMIF('GE16FEB14 Unfudged'!$A$2:$A$498, $A121, 'GE16FEB14 Unfudged'!$D$2:$D$498)</f>
        <v>986</v>
      </c>
      <c r="F121" s="104">
        <v>141984</v>
      </c>
      <c r="G121" s="105">
        <v>99095</v>
      </c>
      <c r="H121" s="106">
        <v>42889</v>
      </c>
      <c r="I121" s="107">
        <v>0</v>
      </c>
      <c r="J121" s="105">
        <v>0</v>
      </c>
      <c r="K121" s="106">
        <v>0</v>
      </c>
      <c r="L121" s="107">
        <v>295800</v>
      </c>
      <c r="M121" s="105">
        <v>119646</v>
      </c>
      <c r="N121" s="106">
        <v>176154</v>
      </c>
      <c r="O121" s="107">
        <f t="shared" si="10"/>
        <v>437784</v>
      </c>
      <c r="P121" s="105">
        <f t="shared" si="10"/>
        <v>218741</v>
      </c>
      <c r="Q121" s="106">
        <f t="shared" si="10"/>
        <v>219043</v>
      </c>
      <c r="R121" s="105">
        <f t="shared" si="9"/>
        <v>444</v>
      </c>
      <c r="S121" s="105">
        <f t="shared" si="9"/>
        <v>221.84685598377283</v>
      </c>
      <c r="T121" s="108">
        <f t="shared" si="9"/>
        <v>222.15314401622717</v>
      </c>
    </row>
    <row r="122" spans="1:20" s="66" customFormat="1" ht="12.75" x14ac:dyDescent="0.2">
      <c r="A122" s="109">
        <v>318</v>
      </c>
      <c r="B122" s="110">
        <v>1</v>
      </c>
      <c r="C122" s="103" t="s">
        <v>241</v>
      </c>
      <c r="D122" s="103">
        <v>4</v>
      </c>
      <c r="E122" s="104">
        <f>+SUMIF('GE16FEB14 Unfudged'!$A$2:$A$498, $A122, 'GE16FEB14 Unfudged'!$D$2:$D$498)</f>
        <v>4379</v>
      </c>
      <c r="F122" s="104">
        <v>630504</v>
      </c>
      <c r="G122" s="105">
        <v>630504</v>
      </c>
      <c r="H122" s="106">
        <v>0</v>
      </c>
      <c r="I122" s="107">
        <v>928242</v>
      </c>
      <c r="J122" s="105">
        <v>928242</v>
      </c>
      <c r="K122" s="106">
        <v>0</v>
      </c>
      <c r="L122" s="107">
        <v>1313550</v>
      </c>
      <c r="M122" s="105">
        <v>906955</v>
      </c>
      <c r="N122" s="106">
        <v>406595</v>
      </c>
      <c r="O122" s="107">
        <f t="shared" si="10"/>
        <v>2872296</v>
      </c>
      <c r="P122" s="105">
        <f t="shared" si="10"/>
        <v>2465701</v>
      </c>
      <c r="Q122" s="106">
        <f t="shared" si="10"/>
        <v>406595</v>
      </c>
      <c r="R122" s="105">
        <f t="shared" si="9"/>
        <v>655.92509705412192</v>
      </c>
      <c r="S122" s="105">
        <f t="shared" si="9"/>
        <v>563.07398949531853</v>
      </c>
      <c r="T122" s="108">
        <f t="shared" si="9"/>
        <v>92.851107558803378</v>
      </c>
    </row>
    <row r="123" spans="1:20" s="66" customFormat="1" ht="12.75" x14ac:dyDescent="0.2">
      <c r="A123" s="109">
        <v>319</v>
      </c>
      <c r="B123" s="110">
        <v>1</v>
      </c>
      <c r="C123" s="103" t="s">
        <v>242</v>
      </c>
      <c r="D123" s="103">
        <v>6</v>
      </c>
      <c r="E123" s="104">
        <f>+SUMIF('GE16FEB14 Unfudged'!$A$2:$A$498, $A123, 'GE16FEB14 Unfudged'!$D$2:$D$498)</f>
        <v>591</v>
      </c>
      <c r="F123" s="104">
        <v>72711</v>
      </c>
      <c r="G123" s="105">
        <v>46369</v>
      </c>
      <c r="H123" s="106">
        <v>26342</v>
      </c>
      <c r="I123" s="107">
        <v>0</v>
      </c>
      <c r="J123" s="105">
        <v>0</v>
      </c>
      <c r="K123" s="106">
        <v>0</v>
      </c>
      <c r="L123" s="107">
        <v>449171</v>
      </c>
      <c r="M123" s="105">
        <v>238869</v>
      </c>
      <c r="N123" s="106">
        <v>210302</v>
      </c>
      <c r="O123" s="107">
        <f t="shared" si="10"/>
        <v>521882</v>
      </c>
      <c r="P123" s="105">
        <f t="shared" si="10"/>
        <v>285238</v>
      </c>
      <c r="Q123" s="106">
        <f t="shared" si="10"/>
        <v>236644</v>
      </c>
      <c r="R123" s="105">
        <f t="shared" si="9"/>
        <v>883.04906937394242</v>
      </c>
      <c r="S123" s="105">
        <f t="shared" si="9"/>
        <v>482.63620981387481</v>
      </c>
      <c r="T123" s="108">
        <f t="shared" si="9"/>
        <v>400.41285956006766</v>
      </c>
    </row>
    <row r="124" spans="1:20" s="66" customFormat="1" ht="12.75" x14ac:dyDescent="0.2">
      <c r="A124" s="109">
        <v>323</v>
      </c>
      <c r="B124" s="110">
        <v>1</v>
      </c>
      <c r="C124" s="103" t="s">
        <v>243</v>
      </c>
      <c r="D124" s="103">
        <v>6</v>
      </c>
      <c r="E124" s="104">
        <f>+SUMIF('GE16FEB14 Unfudged'!$A$2:$A$498, $A124, 'GE16FEB14 Unfudged'!$D$2:$D$498)</f>
        <v>32</v>
      </c>
      <c r="F124" s="104">
        <v>3093</v>
      </c>
      <c r="G124" s="105">
        <v>3093</v>
      </c>
      <c r="H124" s="106">
        <v>0</v>
      </c>
      <c r="I124" s="107">
        <v>0</v>
      </c>
      <c r="J124" s="105">
        <v>0</v>
      </c>
      <c r="K124" s="106">
        <v>0</v>
      </c>
      <c r="L124" s="107">
        <v>43181</v>
      </c>
      <c r="M124" s="105">
        <v>39148</v>
      </c>
      <c r="N124" s="106">
        <v>4033</v>
      </c>
      <c r="O124" s="107">
        <f t="shared" si="10"/>
        <v>46274</v>
      </c>
      <c r="P124" s="105">
        <f t="shared" si="10"/>
        <v>42241</v>
      </c>
      <c r="Q124" s="106">
        <f t="shared" si="10"/>
        <v>4033</v>
      </c>
      <c r="R124" s="105">
        <f t="shared" si="9"/>
        <v>1446.0625</v>
      </c>
      <c r="S124" s="105">
        <f t="shared" si="9"/>
        <v>1320.03125</v>
      </c>
      <c r="T124" s="108">
        <f t="shared" si="9"/>
        <v>126.03125</v>
      </c>
    </row>
    <row r="125" spans="1:20" s="66" customFormat="1" ht="12.75" x14ac:dyDescent="0.2">
      <c r="A125" s="109">
        <v>330</v>
      </c>
      <c r="B125" s="110">
        <v>1</v>
      </c>
      <c r="C125" s="103" t="s">
        <v>244</v>
      </c>
      <c r="D125" s="103">
        <v>6</v>
      </c>
      <c r="E125" s="104">
        <f>+SUMIF('GE16FEB14 Unfudged'!$A$2:$A$498, $A125, 'GE16FEB14 Unfudged'!$D$2:$D$498)</f>
        <v>290</v>
      </c>
      <c r="F125" s="104">
        <v>22142</v>
      </c>
      <c r="G125" s="105">
        <v>14121</v>
      </c>
      <c r="H125" s="106">
        <v>8021</v>
      </c>
      <c r="I125" s="107">
        <v>0</v>
      </c>
      <c r="J125" s="105">
        <v>0</v>
      </c>
      <c r="K125" s="106">
        <v>0</v>
      </c>
      <c r="L125" s="107">
        <v>514921</v>
      </c>
      <c r="M125" s="105">
        <v>411751</v>
      </c>
      <c r="N125" s="106">
        <v>103170</v>
      </c>
      <c r="O125" s="107">
        <f t="shared" si="10"/>
        <v>537063</v>
      </c>
      <c r="P125" s="105">
        <f t="shared" si="10"/>
        <v>425872</v>
      </c>
      <c r="Q125" s="106">
        <f t="shared" si="10"/>
        <v>111191</v>
      </c>
      <c r="R125" s="105">
        <f t="shared" si="9"/>
        <v>1851.9413793103449</v>
      </c>
      <c r="S125" s="105">
        <f t="shared" si="9"/>
        <v>1468.5241379310344</v>
      </c>
      <c r="T125" s="108">
        <f t="shared" si="9"/>
        <v>383.41724137931033</v>
      </c>
    </row>
    <row r="126" spans="1:20" s="66" customFormat="1" ht="12.75" x14ac:dyDescent="0.2">
      <c r="A126" s="109">
        <v>332</v>
      </c>
      <c r="B126" s="110">
        <v>2</v>
      </c>
      <c r="C126" s="103" t="s">
        <v>245</v>
      </c>
      <c r="D126" s="103">
        <v>5</v>
      </c>
      <c r="E126" s="104">
        <f>+SUMIF('GE16FEB14 Unfudged'!$A$2:$A$498, $A126, 'GE16FEB14 Unfudged'!$D$2:$D$498)</f>
        <v>1878</v>
      </c>
      <c r="F126" s="104">
        <v>270374</v>
      </c>
      <c r="G126" s="105">
        <v>145305</v>
      </c>
      <c r="H126" s="106">
        <v>125069</v>
      </c>
      <c r="I126" s="107">
        <v>0</v>
      </c>
      <c r="J126" s="105">
        <v>0</v>
      </c>
      <c r="K126" s="106">
        <v>0</v>
      </c>
      <c r="L126" s="107">
        <v>563280</v>
      </c>
      <c r="M126" s="105">
        <v>175439</v>
      </c>
      <c r="N126" s="106">
        <v>387841</v>
      </c>
      <c r="O126" s="107">
        <f t="shared" si="10"/>
        <v>833654</v>
      </c>
      <c r="P126" s="105">
        <f t="shared" si="10"/>
        <v>320744</v>
      </c>
      <c r="Q126" s="106">
        <f t="shared" si="10"/>
        <v>512910</v>
      </c>
      <c r="R126" s="105">
        <f t="shared" si="9"/>
        <v>443.9052183173589</v>
      </c>
      <c r="S126" s="105">
        <f t="shared" si="9"/>
        <v>170.79020234291801</v>
      </c>
      <c r="T126" s="108">
        <f t="shared" si="9"/>
        <v>273.11501597444089</v>
      </c>
    </row>
    <row r="127" spans="1:20" s="66" customFormat="1" ht="12.75" x14ac:dyDescent="0.2">
      <c r="A127" s="109">
        <v>333</v>
      </c>
      <c r="B127" s="110">
        <v>1</v>
      </c>
      <c r="C127" s="103" t="s">
        <v>246</v>
      </c>
      <c r="D127" s="103">
        <v>6</v>
      </c>
      <c r="E127" s="104">
        <f>+SUMIF('GE16FEB14 Unfudged'!$A$2:$A$498, $A127, 'GE16FEB14 Unfudged'!$D$2:$D$498)</f>
        <v>583</v>
      </c>
      <c r="F127" s="104">
        <v>83981</v>
      </c>
      <c r="G127" s="105">
        <v>33387</v>
      </c>
      <c r="H127" s="106">
        <v>50594</v>
      </c>
      <c r="I127" s="107">
        <v>0</v>
      </c>
      <c r="J127" s="105">
        <v>0</v>
      </c>
      <c r="K127" s="106">
        <v>0</v>
      </c>
      <c r="L127" s="107">
        <v>174960</v>
      </c>
      <c r="M127" s="105">
        <v>40311</v>
      </c>
      <c r="N127" s="106">
        <v>134649</v>
      </c>
      <c r="O127" s="107">
        <f t="shared" si="10"/>
        <v>258941</v>
      </c>
      <c r="P127" s="105">
        <f t="shared" si="10"/>
        <v>73698</v>
      </c>
      <c r="Q127" s="106">
        <f t="shared" si="10"/>
        <v>185243</v>
      </c>
      <c r="R127" s="105">
        <f t="shared" si="9"/>
        <v>444.15265866209262</v>
      </c>
      <c r="S127" s="105">
        <f t="shared" si="9"/>
        <v>126.41166380789022</v>
      </c>
      <c r="T127" s="108">
        <f t="shared" si="9"/>
        <v>317.74099485420243</v>
      </c>
    </row>
    <row r="128" spans="1:20" s="66" customFormat="1" ht="12.75" x14ac:dyDescent="0.2">
      <c r="A128" s="109">
        <v>345</v>
      </c>
      <c r="B128" s="110">
        <v>1</v>
      </c>
      <c r="C128" s="103" t="s">
        <v>247</v>
      </c>
      <c r="D128" s="103">
        <v>5</v>
      </c>
      <c r="E128" s="104">
        <f>+SUMIF('GE16FEB14 Unfudged'!$A$2:$A$498, $A128, 'GE16FEB14 Unfudged'!$D$2:$D$498)</f>
        <v>1454</v>
      </c>
      <c r="F128" s="104">
        <v>188801</v>
      </c>
      <c r="G128" s="105">
        <v>188801</v>
      </c>
      <c r="H128" s="106">
        <v>0</v>
      </c>
      <c r="I128" s="107">
        <v>0</v>
      </c>
      <c r="J128" s="105">
        <v>0</v>
      </c>
      <c r="K128" s="106">
        <v>0</v>
      </c>
      <c r="L128" s="107">
        <v>883600</v>
      </c>
      <c r="M128" s="105">
        <v>759659</v>
      </c>
      <c r="N128" s="106">
        <v>123941</v>
      </c>
      <c r="O128" s="107">
        <f t="shared" si="10"/>
        <v>1072401</v>
      </c>
      <c r="P128" s="105">
        <f t="shared" si="10"/>
        <v>948460</v>
      </c>
      <c r="Q128" s="106">
        <f t="shared" si="10"/>
        <v>123941</v>
      </c>
      <c r="R128" s="105">
        <f t="shared" si="9"/>
        <v>737.55226960110042</v>
      </c>
      <c r="S128" s="105">
        <f t="shared" si="9"/>
        <v>652.31086657496564</v>
      </c>
      <c r="T128" s="108">
        <f t="shared" si="9"/>
        <v>85.241403026134805</v>
      </c>
    </row>
    <row r="129" spans="1:20" s="66" customFormat="1" ht="12.75" x14ac:dyDescent="0.2">
      <c r="A129" s="109">
        <v>347</v>
      </c>
      <c r="B129" s="110">
        <v>1</v>
      </c>
      <c r="C129" s="103" t="s">
        <v>248</v>
      </c>
      <c r="D129" s="103">
        <v>4</v>
      </c>
      <c r="E129" s="104">
        <f>+SUMIF('GE16FEB14 Unfudged'!$A$2:$A$498, $A129, 'GE16FEB14 Unfudged'!$D$2:$D$498)</f>
        <v>4577</v>
      </c>
      <c r="F129" s="104">
        <v>606429</v>
      </c>
      <c r="G129" s="105">
        <v>366831</v>
      </c>
      <c r="H129" s="106">
        <v>239598</v>
      </c>
      <c r="I129" s="107">
        <v>970324</v>
      </c>
      <c r="J129" s="105">
        <v>586952</v>
      </c>
      <c r="K129" s="106">
        <v>383372</v>
      </c>
      <c r="L129" s="107">
        <v>2521698</v>
      </c>
      <c r="M129" s="105">
        <v>1176156</v>
      </c>
      <c r="N129" s="106">
        <v>1345542</v>
      </c>
      <c r="O129" s="107">
        <f t="shared" si="10"/>
        <v>4098451</v>
      </c>
      <c r="P129" s="105">
        <f t="shared" si="10"/>
        <v>2129939</v>
      </c>
      <c r="Q129" s="106">
        <f t="shared" si="10"/>
        <v>1968512</v>
      </c>
      <c r="R129" s="105">
        <f t="shared" si="9"/>
        <v>895.44483285995193</v>
      </c>
      <c r="S129" s="105">
        <f t="shared" si="9"/>
        <v>465.35700240332096</v>
      </c>
      <c r="T129" s="108">
        <f t="shared" si="9"/>
        <v>430.08783045663097</v>
      </c>
    </row>
    <row r="130" spans="1:20" s="66" customFormat="1" ht="12.75" x14ac:dyDescent="0.2">
      <c r="A130" s="109">
        <v>356</v>
      </c>
      <c r="B130" s="110">
        <v>1</v>
      </c>
      <c r="C130" s="103" t="s">
        <v>249</v>
      </c>
      <c r="D130" s="103">
        <v>6</v>
      </c>
      <c r="E130" s="104">
        <f>+SUMIF('GE16FEB14 Unfudged'!$A$2:$A$498, $A130, 'GE16FEB14 Unfudged'!$D$2:$D$498)</f>
        <v>163</v>
      </c>
      <c r="F130" s="104">
        <v>8128</v>
      </c>
      <c r="G130" s="105">
        <v>3132</v>
      </c>
      <c r="H130" s="106">
        <v>4996</v>
      </c>
      <c r="I130" s="107">
        <v>0</v>
      </c>
      <c r="J130" s="105">
        <v>0</v>
      </c>
      <c r="K130" s="106">
        <v>0</v>
      </c>
      <c r="L130" s="107">
        <v>400101</v>
      </c>
      <c r="M130" s="105">
        <v>227102</v>
      </c>
      <c r="N130" s="106">
        <v>172999</v>
      </c>
      <c r="O130" s="107">
        <f t="shared" si="10"/>
        <v>408229</v>
      </c>
      <c r="P130" s="105">
        <f t="shared" si="10"/>
        <v>230234</v>
      </c>
      <c r="Q130" s="106">
        <f t="shared" si="10"/>
        <v>177995</v>
      </c>
      <c r="R130" s="105">
        <f t="shared" si="9"/>
        <v>2504.472392638037</v>
      </c>
      <c r="S130" s="105">
        <f t="shared" si="9"/>
        <v>1412.4785276073619</v>
      </c>
      <c r="T130" s="108">
        <f t="shared" si="9"/>
        <v>1091.9938650306749</v>
      </c>
    </row>
    <row r="131" spans="1:20" s="66" customFormat="1" ht="12.75" x14ac:dyDescent="0.2">
      <c r="A131" s="109">
        <v>361</v>
      </c>
      <c r="B131" s="110">
        <v>1</v>
      </c>
      <c r="C131" s="103" t="s">
        <v>250</v>
      </c>
      <c r="D131" s="103">
        <v>5</v>
      </c>
      <c r="E131" s="104">
        <f>+SUMIF('GE16FEB14 Unfudged'!$A$2:$A$498, $A131, 'GE16FEB14 Unfudged'!$D$2:$D$498)</f>
        <v>1169</v>
      </c>
      <c r="F131" s="104">
        <v>143099</v>
      </c>
      <c r="G131" s="105">
        <v>103191</v>
      </c>
      <c r="H131" s="106">
        <v>39908</v>
      </c>
      <c r="I131" s="107">
        <v>0</v>
      </c>
      <c r="J131" s="105">
        <v>0</v>
      </c>
      <c r="K131" s="106">
        <v>0</v>
      </c>
      <c r="L131" s="107">
        <v>901182</v>
      </c>
      <c r="M131" s="105">
        <v>547082</v>
      </c>
      <c r="N131" s="106">
        <v>354100</v>
      </c>
      <c r="O131" s="107">
        <f t="shared" si="10"/>
        <v>1044281</v>
      </c>
      <c r="P131" s="105">
        <f t="shared" si="10"/>
        <v>650273</v>
      </c>
      <c r="Q131" s="106">
        <f t="shared" si="10"/>
        <v>394008</v>
      </c>
      <c r="R131" s="105">
        <f t="shared" si="9"/>
        <v>893.31137724550899</v>
      </c>
      <c r="S131" s="105">
        <f t="shared" si="9"/>
        <v>556.26432848588536</v>
      </c>
      <c r="T131" s="108">
        <f t="shared" si="9"/>
        <v>337.04704875962364</v>
      </c>
    </row>
    <row r="132" spans="1:20" s="66" customFormat="1" ht="12.75" x14ac:dyDescent="0.2">
      <c r="A132" s="109">
        <v>362</v>
      </c>
      <c r="B132" s="110">
        <v>1</v>
      </c>
      <c r="C132" s="103" t="s">
        <v>251</v>
      </c>
      <c r="D132" s="103">
        <v>6</v>
      </c>
      <c r="E132" s="104">
        <f>+SUMIF('GE16FEB14 Unfudged'!$A$2:$A$498, $A132, 'GE16FEB14 Unfudged'!$D$2:$D$498)</f>
        <v>365</v>
      </c>
      <c r="F132" s="104">
        <v>52546</v>
      </c>
      <c r="G132" s="105">
        <v>26173</v>
      </c>
      <c r="H132" s="106">
        <v>26373</v>
      </c>
      <c r="I132" s="107">
        <v>0</v>
      </c>
      <c r="J132" s="105">
        <v>0</v>
      </c>
      <c r="K132" s="106">
        <v>0</v>
      </c>
      <c r="L132" s="107">
        <v>109470</v>
      </c>
      <c r="M132" s="105">
        <v>31600</v>
      </c>
      <c r="N132" s="106">
        <v>77870</v>
      </c>
      <c r="O132" s="107">
        <f t="shared" si="10"/>
        <v>162016</v>
      </c>
      <c r="P132" s="105">
        <f t="shared" si="10"/>
        <v>57773</v>
      </c>
      <c r="Q132" s="106">
        <f t="shared" si="10"/>
        <v>104243</v>
      </c>
      <c r="R132" s="105">
        <f t="shared" si="9"/>
        <v>443.87945205479451</v>
      </c>
      <c r="S132" s="105">
        <f t="shared" si="9"/>
        <v>158.2821917808219</v>
      </c>
      <c r="T132" s="108">
        <f t="shared" si="9"/>
        <v>285.59726027397261</v>
      </c>
    </row>
    <row r="133" spans="1:20" s="66" customFormat="1" ht="12.75" x14ac:dyDescent="0.2">
      <c r="A133" s="109">
        <v>363</v>
      </c>
      <c r="B133" s="110">
        <v>1</v>
      </c>
      <c r="C133" s="103" t="s">
        <v>252</v>
      </c>
      <c r="D133" s="103">
        <v>6</v>
      </c>
      <c r="E133" s="104">
        <f>+SUMIF('GE16FEB14 Unfudged'!$A$2:$A$498, $A133, 'GE16FEB14 Unfudged'!$D$2:$D$498)</f>
        <v>351</v>
      </c>
      <c r="F133" s="104">
        <v>48854</v>
      </c>
      <c r="G133" s="105">
        <v>23692</v>
      </c>
      <c r="H133" s="106">
        <v>25162</v>
      </c>
      <c r="I133" s="107">
        <v>0</v>
      </c>
      <c r="J133" s="105">
        <v>0</v>
      </c>
      <c r="K133" s="106">
        <v>0</v>
      </c>
      <c r="L133" s="107">
        <v>140975</v>
      </c>
      <c r="M133" s="105">
        <v>745</v>
      </c>
      <c r="N133" s="106">
        <v>140230</v>
      </c>
      <c r="O133" s="107">
        <f t="shared" si="10"/>
        <v>189829</v>
      </c>
      <c r="P133" s="105">
        <f t="shared" si="10"/>
        <v>24437</v>
      </c>
      <c r="Q133" s="106">
        <f t="shared" si="10"/>
        <v>165392</v>
      </c>
      <c r="R133" s="105">
        <f t="shared" si="9"/>
        <v>540.82336182336178</v>
      </c>
      <c r="S133" s="105">
        <f t="shared" si="9"/>
        <v>69.621082621082621</v>
      </c>
      <c r="T133" s="108">
        <f t="shared" si="9"/>
        <v>471.20227920227921</v>
      </c>
    </row>
    <row r="134" spans="1:20" s="66" customFormat="1" ht="12.75" x14ac:dyDescent="0.2">
      <c r="A134" s="109">
        <v>378</v>
      </c>
      <c r="B134" s="110">
        <v>1</v>
      </c>
      <c r="C134" s="103" t="s">
        <v>253</v>
      </c>
      <c r="D134" s="103">
        <v>6</v>
      </c>
      <c r="E134" s="104">
        <f>+SUMIF('GE16FEB14 Unfudged'!$A$2:$A$498, $A134, 'GE16FEB14 Unfudged'!$D$2:$D$498)</f>
        <v>515</v>
      </c>
      <c r="F134" s="104">
        <v>56634</v>
      </c>
      <c r="G134" s="105">
        <v>25945</v>
      </c>
      <c r="H134" s="106">
        <v>30689</v>
      </c>
      <c r="I134" s="107">
        <v>0</v>
      </c>
      <c r="J134" s="105">
        <v>0</v>
      </c>
      <c r="K134" s="106">
        <v>0</v>
      </c>
      <c r="L134" s="107">
        <v>535586</v>
      </c>
      <c r="M134" s="105">
        <v>265821</v>
      </c>
      <c r="N134" s="106">
        <v>269765</v>
      </c>
      <c r="O134" s="107">
        <f t="shared" si="10"/>
        <v>592220</v>
      </c>
      <c r="P134" s="105">
        <f t="shared" si="10"/>
        <v>291766</v>
      </c>
      <c r="Q134" s="106">
        <f t="shared" si="10"/>
        <v>300454</v>
      </c>
      <c r="R134" s="105">
        <f t="shared" si="9"/>
        <v>1149.9417475728155</v>
      </c>
      <c r="S134" s="105">
        <f t="shared" si="9"/>
        <v>566.53592233009704</v>
      </c>
      <c r="T134" s="108">
        <f t="shared" si="9"/>
        <v>583.40582524271849</v>
      </c>
    </row>
    <row r="135" spans="1:20" s="66" customFormat="1" ht="12.75" x14ac:dyDescent="0.2">
      <c r="A135" s="109">
        <v>381</v>
      </c>
      <c r="B135" s="110">
        <v>1</v>
      </c>
      <c r="C135" s="103" t="s">
        <v>254</v>
      </c>
      <c r="D135" s="103">
        <v>5</v>
      </c>
      <c r="E135" s="104">
        <f>+SUMIF('GE16FEB14 Unfudged'!$A$2:$A$498, $A135, 'GE16FEB14 Unfudged'!$D$2:$D$498)</f>
        <v>1515</v>
      </c>
      <c r="F135" s="104">
        <v>218160</v>
      </c>
      <c r="G135" s="105">
        <v>218160</v>
      </c>
      <c r="H135" s="106">
        <v>0</v>
      </c>
      <c r="I135" s="107">
        <v>0</v>
      </c>
      <c r="J135" s="105">
        <v>0</v>
      </c>
      <c r="K135" s="106">
        <v>0</v>
      </c>
      <c r="L135" s="107">
        <v>454500</v>
      </c>
      <c r="M135" s="105">
        <v>317185</v>
      </c>
      <c r="N135" s="106">
        <v>137315</v>
      </c>
      <c r="O135" s="107">
        <f t="shared" si="10"/>
        <v>672660</v>
      </c>
      <c r="P135" s="105">
        <f t="shared" si="10"/>
        <v>535345</v>
      </c>
      <c r="Q135" s="106">
        <f t="shared" si="10"/>
        <v>137315</v>
      </c>
      <c r="R135" s="105">
        <f t="shared" si="9"/>
        <v>444</v>
      </c>
      <c r="S135" s="105">
        <f t="shared" si="9"/>
        <v>353.36303630363034</v>
      </c>
      <c r="T135" s="108">
        <f t="shared" si="9"/>
        <v>90.636963696369634</v>
      </c>
    </row>
    <row r="136" spans="1:20" s="66" customFormat="1" ht="12.75" x14ac:dyDescent="0.2">
      <c r="A136" s="109">
        <v>390</v>
      </c>
      <c r="B136" s="110">
        <v>1</v>
      </c>
      <c r="C136" s="103" t="s">
        <v>255</v>
      </c>
      <c r="D136" s="103">
        <v>6</v>
      </c>
      <c r="E136" s="104">
        <f>+SUMIF('GE16FEB14 Unfudged'!$A$2:$A$498, $A136, 'GE16FEB14 Unfudged'!$D$2:$D$498)</f>
        <v>513</v>
      </c>
      <c r="F136" s="104">
        <v>62981</v>
      </c>
      <c r="G136" s="105">
        <v>50879</v>
      </c>
      <c r="H136" s="106">
        <v>12102</v>
      </c>
      <c r="I136" s="107">
        <v>0</v>
      </c>
      <c r="J136" s="105">
        <v>0</v>
      </c>
      <c r="K136" s="106">
        <v>0</v>
      </c>
      <c r="L136" s="107">
        <v>390946</v>
      </c>
      <c r="M136" s="105">
        <v>263792</v>
      </c>
      <c r="N136" s="106">
        <v>127154</v>
      </c>
      <c r="O136" s="107">
        <f t="shared" si="10"/>
        <v>453927</v>
      </c>
      <c r="P136" s="105">
        <f t="shared" si="10"/>
        <v>314671</v>
      </c>
      <c r="Q136" s="106">
        <f t="shared" si="10"/>
        <v>139256</v>
      </c>
      <c r="R136" s="105">
        <f t="shared" si="9"/>
        <v>884.84795321637432</v>
      </c>
      <c r="S136" s="105">
        <f t="shared" si="9"/>
        <v>613.39376218323582</v>
      </c>
      <c r="T136" s="108">
        <f t="shared" si="9"/>
        <v>271.45419103313839</v>
      </c>
    </row>
    <row r="137" spans="1:20" s="66" customFormat="1" ht="12.75" x14ac:dyDescent="0.2">
      <c r="A137" s="109">
        <v>391</v>
      </c>
      <c r="B137" s="110">
        <v>1</v>
      </c>
      <c r="C137" s="103" t="s">
        <v>256</v>
      </c>
      <c r="D137" s="103">
        <v>6</v>
      </c>
      <c r="E137" s="104">
        <f>+SUMIF('GE16FEB14 Unfudged'!$A$2:$A$498, $A137, 'GE16FEB14 Unfudged'!$D$2:$D$498)</f>
        <v>496</v>
      </c>
      <c r="F137" s="104">
        <v>60385</v>
      </c>
      <c r="G137" s="105">
        <v>60385</v>
      </c>
      <c r="H137" s="106">
        <v>0</v>
      </c>
      <c r="I137" s="107">
        <v>0</v>
      </c>
      <c r="J137" s="105">
        <v>0</v>
      </c>
      <c r="K137" s="106">
        <v>0</v>
      </c>
      <c r="L137" s="107">
        <v>390950</v>
      </c>
      <c r="M137" s="105">
        <v>344902</v>
      </c>
      <c r="N137" s="106">
        <v>46048</v>
      </c>
      <c r="O137" s="107">
        <f t="shared" si="10"/>
        <v>451335</v>
      </c>
      <c r="P137" s="105">
        <f t="shared" si="10"/>
        <v>405287</v>
      </c>
      <c r="Q137" s="106">
        <f t="shared" si="10"/>
        <v>46048</v>
      </c>
      <c r="R137" s="105">
        <f t="shared" si="9"/>
        <v>909.94959677419354</v>
      </c>
      <c r="S137" s="105">
        <f t="shared" si="9"/>
        <v>817.11088709677415</v>
      </c>
      <c r="T137" s="108">
        <f t="shared" si="9"/>
        <v>92.838709677419359</v>
      </c>
    </row>
    <row r="138" spans="1:20" s="66" customFormat="1" ht="12.75" x14ac:dyDescent="0.2">
      <c r="A138" s="109">
        <v>402</v>
      </c>
      <c r="B138" s="110">
        <v>1</v>
      </c>
      <c r="C138" s="103" t="s">
        <v>257</v>
      </c>
      <c r="D138" s="103">
        <v>6</v>
      </c>
      <c r="E138" s="104">
        <f>+SUMIF('GE16FEB14 Unfudged'!$A$2:$A$498, $A138, 'GE16FEB14 Unfudged'!$D$2:$D$498)</f>
        <v>113</v>
      </c>
      <c r="F138" s="104">
        <v>5633</v>
      </c>
      <c r="G138" s="105">
        <v>3437</v>
      </c>
      <c r="H138" s="106">
        <v>2196</v>
      </c>
      <c r="I138" s="107">
        <v>0</v>
      </c>
      <c r="J138" s="105">
        <v>0</v>
      </c>
      <c r="K138" s="106">
        <v>0</v>
      </c>
      <c r="L138" s="107">
        <v>320666</v>
      </c>
      <c r="M138" s="105">
        <v>278615</v>
      </c>
      <c r="N138" s="106">
        <v>42051</v>
      </c>
      <c r="O138" s="107">
        <f t="shared" si="10"/>
        <v>326299</v>
      </c>
      <c r="P138" s="105">
        <f t="shared" si="10"/>
        <v>282052</v>
      </c>
      <c r="Q138" s="106">
        <f t="shared" si="10"/>
        <v>44247</v>
      </c>
      <c r="R138" s="105">
        <f t="shared" si="9"/>
        <v>2887.6017699115046</v>
      </c>
      <c r="S138" s="105">
        <f t="shared" si="9"/>
        <v>2496.0353982300885</v>
      </c>
      <c r="T138" s="108">
        <f t="shared" si="9"/>
        <v>391.56637168141594</v>
      </c>
    </row>
    <row r="139" spans="1:20" s="66" customFormat="1" ht="12.75" x14ac:dyDescent="0.2">
      <c r="A139" s="109">
        <v>403</v>
      </c>
      <c r="B139" s="110">
        <v>1</v>
      </c>
      <c r="C139" s="103" t="s">
        <v>258</v>
      </c>
      <c r="D139" s="103">
        <v>6</v>
      </c>
      <c r="E139" s="104">
        <f>+SUMIF('GE16FEB14 Unfudged'!$A$2:$A$498, $A139, 'GE16FEB14 Unfudged'!$D$2:$D$498)</f>
        <v>176</v>
      </c>
      <c r="F139" s="104">
        <v>12848</v>
      </c>
      <c r="G139" s="105">
        <v>6750</v>
      </c>
      <c r="H139" s="106">
        <v>6098</v>
      </c>
      <c r="I139" s="107">
        <v>0</v>
      </c>
      <c r="J139" s="105">
        <v>0</v>
      </c>
      <c r="K139" s="106">
        <v>0</v>
      </c>
      <c r="L139" s="107">
        <v>323998</v>
      </c>
      <c r="M139" s="105">
        <v>239775</v>
      </c>
      <c r="N139" s="106">
        <v>84223</v>
      </c>
      <c r="O139" s="107">
        <f t="shared" si="10"/>
        <v>336846</v>
      </c>
      <c r="P139" s="105">
        <f t="shared" si="10"/>
        <v>246525</v>
      </c>
      <c r="Q139" s="106">
        <f t="shared" si="10"/>
        <v>90321</v>
      </c>
      <c r="R139" s="105">
        <f t="shared" si="9"/>
        <v>1913.8977272727273</v>
      </c>
      <c r="S139" s="105">
        <f t="shared" si="9"/>
        <v>1400.7102272727273</v>
      </c>
      <c r="T139" s="108">
        <f t="shared" si="9"/>
        <v>513.1875</v>
      </c>
    </row>
    <row r="140" spans="1:20" s="66" customFormat="1" ht="12.75" x14ac:dyDescent="0.2">
      <c r="A140" s="109">
        <v>404</v>
      </c>
      <c r="B140" s="110">
        <v>52</v>
      </c>
      <c r="C140" s="103" t="s">
        <v>259</v>
      </c>
      <c r="D140" s="103">
        <v>6</v>
      </c>
      <c r="E140" s="104">
        <f>+SUMIF('GE16FEB14 Unfudged'!$A$2:$A$498, $A140, 'GE16FEB14 Unfudged'!$D$2:$D$498)</f>
        <v>165</v>
      </c>
      <c r="F140" s="104">
        <v>8230</v>
      </c>
      <c r="G140" s="105">
        <v>5842</v>
      </c>
      <c r="H140" s="106">
        <v>2388</v>
      </c>
      <c r="I140" s="107">
        <v>0</v>
      </c>
      <c r="J140" s="105">
        <v>0</v>
      </c>
      <c r="K140" s="106">
        <v>0</v>
      </c>
      <c r="L140" s="107">
        <v>385725</v>
      </c>
      <c r="M140" s="105">
        <v>313917</v>
      </c>
      <c r="N140" s="106">
        <v>71808</v>
      </c>
      <c r="O140" s="107">
        <f t="shared" si="10"/>
        <v>393955</v>
      </c>
      <c r="P140" s="105">
        <f t="shared" si="10"/>
        <v>319759</v>
      </c>
      <c r="Q140" s="106">
        <f t="shared" si="10"/>
        <v>74196</v>
      </c>
      <c r="R140" s="105">
        <f t="shared" si="9"/>
        <v>2387.6060606060605</v>
      </c>
      <c r="S140" s="105">
        <f t="shared" si="9"/>
        <v>1937.9333333333334</v>
      </c>
      <c r="T140" s="108">
        <f t="shared" si="9"/>
        <v>449.67272727272729</v>
      </c>
    </row>
    <row r="141" spans="1:20" s="66" customFormat="1" ht="12.75" x14ac:dyDescent="0.2">
      <c r="A141" s="109">
        <v>413</v>
      </c>
      <c r="B141" s="110">
        <v>52</v>
      </c>
      <c r="C141" s="103" t="s">
        <v>260</v>
      </c>
      <c r="D141" s="103">
        <v>4</v>
      </c>
      <c r="E141" s="104">
        <f>+SUMIF('GE16FEB14 Unfudged'!$A$2:$A$498, $A141, 'GE16FEB14 Unfudged'!$D$2:$D$498)</f>
        <v>2533</v>
      </c>
      <c r="F141" s="104">
        <v>344021</v>
      </c>
      <c r="G141" s="105">
        <v>273460</v>
      </c>
      <c r="H141" s="106">
        <v>70561</v>
      </c>
      <c r="I141" s="107">
        <v>537038</v>
      </c>
      <c r="J141" s="105">
        <v>426888</v>
      </c>
      <c r="K141" s="106">
        <v>110150</v>
      </c>
      <c r="L141" s="107">
        <v>1212770</v>
      </c>
      <c r="M141" s="105">
        <v>710032</v>
      </c>
      <c r="N141" s="106">
        <v>502738</v>
      </c>
      <c r="O141" s="107">
        <f t="shared" si="10"/>
        <v>2093829</v>
      </c>
      <c r="P141" s="105">
        <f t="shared" si="10"/>
        <v>1410380</v>
      </c>
      <c r="Q141" s="106">
        <f t="shared" si="10"/>
        <v>683449</v>
      </c>
      <c r="R141" s="105">
        <f t="shared" si="9"/>
        <v>826.62021318594554</v>
      </c>
      <c r="S141" s="105">
        <f t="shared" si="9"/>
        <v>556.80221081721277</v>
      </c>
      <c r="T141" s="108">
        <f t="shared" si="9"/>
        <v>269.81800236873272</v>
      </c>
    </row>
    <row r="142" spans="1:20" s="66" customFormat="1" ht="12.75" x14ac:dyDescent="0.2">
      <c r="A142" s="109">
        <v>414</v>
      </c>
      <c r="B142" s="110">
        <v>1</v>
      </c>
      <c r="C142" s="103" t="s">
        <v>261</v>
      </c>
      <c r="D142" s="103">
        <v>6</v>
      </c>
      <c r="E142" s="104">
        <f>+SUMIF('GE16FEB14 Unfudged'!$A$2:$A$498, $A142, 'GE16FEB14 Unfudged'!$D$2:$D$498)</f>
        <v>496</v>
      </c>
      <c r="F142" s="104">
        <v>61929</v>
      </c>
      <c r="G142" s="105">
        <v>30693</v>
      </c>
      <c r="H142" s="106">
        <v>31236</v>
      </c>
      <c r="I142" s="107">
        <v>0</v>
      </c>
      <c r="J142" s="105">
        <v>0</v>
      </c>
      <c r="K142" s="106">
        <v>0</v>
      </c>
      <c r="L142" s="107">
        <v>357129</v>
      </c>
      <c r="M142" s="105">
        <v>145970</v>
      </c>
      <c r="N142" s="106">
        <v>211159</v>
      </c>
      <c r="O142" s="107">
        <f t="shared" si="10"/>
        <v>419058</v>
      </c>
      <c r="P142" s="105">
        <f t="shared" si="10"/>
        <v>176663</v>
      </c>
      <c r="Q142" s="106">
        <f t="shared" si="10"/>
        <v>242395</v>
      </c>
      <c r="R142" s="105">
        <f t="shared" si="9"/>
        <v>844.875</v>
      </c>
      <c r="S142" s="105">
        <f t="shared" si="9"/>
        <v>356.17540322580646</v>
      </c>
      <c r="T142" s="108">
        <f t="shared" si="9"/>
        <v>488.69959677419354</v>
      </c>
    </row>
    <row r="143" spans="1:20" s="66" customFormat="1" ht="12.75" x14ac:dyDescent="0.2">
      <c r="A143" s="109">
        <v>415</v>
      </c>
      <c r="B143" s="110">
        <v>1</v>
      </c>
      <c r="C143" s="103" t="s">
        <v>262</v>
      </c>
      <c r="D143" s="103">
        <v>6</v>
      </c>
      <c r="E143" s="104">
        <f>+SUMIF('GE16FEB14 Unfudged'!$A$2:$A$498, $A143, 'GE16FEB14 Unfudged'!$D$2:$D$498)</f>
        <v>165</v>
      </c>
      <c r="F143" s="104">
        <v>12858</v>
      </c>
      <c r="G143" s="105">
        <v>9554</v>
      </c>
      <c r="H143" s="106">
        <v>3304</v>
      </c>
      <c r="I143" s="107">
        <v>0</v>
      </c>
      <c r="J143" s="105">
        <v>0</v>
      </c>
      <c r="K143" s="106">
        <v>0</v>
      </c>
      <c r="L143" s="107">
        <v>285927</v>
      </c>
      <c r="M143" s="105">
        <v>238352</v>
      </c>
      <c r="N143" s="106">
        <v>47575</v>
      </c>
      <c r="O143" s="107">
        <f t="shared" si="10"/>
        <v>298785</v>
      </c>
      <c r="P143" s="105">
        <f t="shared" si="10"/>
        <v>247906</v>
      </c>
      <c r="Q143" s="106">
        <f t="shared" si="10"/>
        <v>50879</v>
      </c>
      <c r="R143" s="105">
        <f t="shared" si="9"/>
        <v>1810.8181818181818</v>
      </c>
      <c r="S143" s="105">
        <f t="shared" si="9"/>
        <v>1502.4606060606061</v>
      </c>
      <c r="T143" s="108">
        <f t="shared" si="9"/>
        <v>308.35757575757577</v>
      </c>
    </row>
    <row r="144" spans="1:20" s="66" customFormat="1" ht="12.75" x14ac:dyDescent="0.2">
      <c r="A144" s="109">
        <v>423</v>
      </c>
      <c r="B144" s="110">
        <v>1</v>
      </c>
      <c r="C144" s="103" t="s">
        <v>263</v>
      </c>
      <c r="D144" s="103">
        <v>4</v>
      </c>
      <c r="E144" s="104">
        <f>+SUMIF('GE16FEB14 Unfudged'!$A$2:$A$498, $A144, 'GE16FEB14 Unfudged'!$D$2:$D$498)</f>
        <v>3139</v>
      </c>
      <c r="F144" s="104">
        <v>376875</v>
      </c>
      <c r="G144" s="105">
        <v>266183</v>
      </c>
      <c r="H144" s="106">
        <v>110692</v>
      </c>
      <c r="I144" s="107">
        <v>665553</v>
      </c>
      <c r="J144" s="105">
        <v>470073</v>
      </c>
      <c r="K144" s="106">
        <v>195480</v>
      </c>
      <c r="L144" s="107">
        <v>2582062</v>
      </c>
      <c r="M144" s="105">
        <v>1601599</v>
      </c>
      <c r="N144" s="106">
        <v>980463</v>
      </c>
      <c r="O144" s="107">
        <f t="shared" si="10"/>
        <v>3624490</v>
      </c>
      <c r="P144" s="105">
        <f t="shared" si="10"/>
        <v>2337855</v>
      </c>
      <c r="Q144" s="106">
        <f t="shared" si="10"/>
        <v>1286635</v>
      </c>
      <c r="R144" s="105">
        <f t="shared" si="9"/>
        <v>1154.6639057024531</v>
      </c>
      <c r="S144" s="105">
        <f t="shared" si="9"/>
        <v>744.77699904428164</v>
      </c>
      <c r="T144" s="108">
        <f t="shared" si="9"/>
        <v>409.88690665817137</v>
      </c>
    </row>
    <row r="145" spans="1:20" s="66" customFormat="1" ht="12.75" x14ac:dyDescent="0.2">
      <c r="A145" s="109">
        <v>424</v>
      </c>
      <c r="B145" s="110">
        <v>1</v>
      </c>
      <c r="C145" s="103" t="s">
        <v>264</v>
      </c>
      <c r="D145" s="103">
        <v>6</v>
      </c>
      <c r="E145" s="104">
        <f>+SUMIF('GE16FEB14 Unfudged'!$A$2:$A$498, $A145, 'GE16FEB14 Unfudged'!$D$2:$D$498)</f>
        <v>419</v>
      </c>
      <c r="F145" s="104">
        <v>53515</v>
      </c>
      <c r="G145" s="105">
        <v>41161</v>
      </c>
      <c r="H145" s="106">
        <v>12354</v>
      </c>
      <c r="I145" s="107">
        <v>177444</v>
      </c>
      <c r="J145" s="105">
        <v>136479</v>
      </c>
      <c r="K145" s="106">
        <v>40965</v>
      </c>
      <c r="L145" s="107">
        <v>272762</v>
      </c>
      <c r="M145" s="105">
        <v>169191</v>
      </c>
      <c r="N145" s="106">
        <v>103571</v>
      </c>
      <c r="O145" s="107">
        <f t="shared" si="10"/>
        <v>503721</v>
      </c>
      <c r="P145" s="105">
        <f t="shared" si="10"/>
        <v>346831</v>
      </c>
      <c r="Q145" s="106">
        <f t="shared" si="10"/>
        <v>156890</v>
      </c>
      <c r="R145" s="105">
        <f t="shared" si="9"/>
        <v>1202.1980906921242</v>
      </c>
      <c r="S145" s="105">
        <f t="shared" si="9"/>
        <v>827.7589498806683</v>
      </c>
      <c r="T145" s="108">
        <f t="shared" si="9"/>
        <v>374.43914081145584</v>
      </c>
    </row>
    <row r="146" spans="1:20" s="66" customFormat="1" ht="12.75" x14ac:dyDescent="0.2">
      <c r="A146" s="109">
        <v>432</v>
      </c>
      <c r="B146" s="110">
        <v>1</v>
      </c>
      <c r="C146" s="103" t="s">
        <v>265</v>
      </c>
      <c r="D146" s="103">
        <v>6</v>
      </c>
      <c r="E146" s="104">
        <f>+SUMIF('GE16FEB14 Unfudged'!$A$2:$A$498, $A146, 'GE16FEB14 Unfudged'!$D$2:$D$498)</f>
        <v>656</v>
      </c>
      <c r="F146" s="104">
        <v>94493</v>
      </c>
      <c r="G146" s="105">
        <v>27352</v>
      </c>
      <c r="H146" s="106">
        <v>67141</v>
      </c>
      <c r="I146" s="107">
        <v>0</v>
      </c>
      <c r="J146" s="105">
        <v>0</v>
      </c>
      <c r="K146" s="106">
        <v>0</v>
      </c>
      <c r="L146" s="107">
        <v>196860</v>
      </c>
      <c r="M146" s="105">
        <v>33024</v>
      </c>
      <c r="N146" s="106">
        <v>163836</v>
      </c>
      <c r="O146" s="107">
        <f t="shared" si="10"/>
        <v>291353</v>
      </c>
      <c r="P146" s="105">
        <f t="shared" si="10"/>
        <v>60376</v>
      </c>
      <c r="Q146" s="106">
        <f t="shared" si="10"/>
        <v>230977</v>
      </c>
      <c r="R146" s="105">
        <f t="shared" si="9"/>
        <v>444.13567073170731</v>
      </c>
      <c r="S146" s="105">
        <f t="shared" si="9"/>
        <v>92.036585365853654</v>
      </c>
      <c r="T146" s="108">
        <f t="shared" si="9"/>
        <v>352.09908536585368</v>
      </c>
    </row>
    <row r="147" spans="1:20" s="66" customFormat="1" ht="12.75" x14ac:dyDescent="0.2">
      <c r="A147" s="109">
        <v>435</v>
      </c>
      <c r="B147" s="110">
        <v>1</v>
      </c>
      <c r="C147" s="103" t="s">
        <v>266</v>
      </c>
      <c r="D147" s="103">
        <v>6</v>
      </c>
      <c r="E147" s="104">
        <f>+SUMIF('GE16FEB14 Unfudged'!$A$2:$A$498, $A147, 'GE16FEB14 Unfudged'!$D$2:$D$498)</f>
        <v>634</v>
      </c>
      <c r="F147" s="104">
        <v>91325</v>
      </c>
      <c r="G147" s="105">
        <v>40226</v>
      </c>
      <c r="H147" s="106">
        <v>51099</v>
      </c>
      <c r="I147" s="107">
        <v>0</v>
      </c>
      <c r="J147" s="105">
        <v>0</v>
      </c>
      <c r="K147" s="106">
        <v>0</v>
      </c>
      <c r="L147" s="107">
        <v>190260</v>
      </c>
      <c r="M147" s="105">
        <v>48568</v>
      </c>
      <c r="N147" s="106">
        <v>141692</v>
      </c>
      <c r="O147" s="107">
        <f t="shared" si="10"/>
        <v>281585</v>
      </c>
      <c r="P147" s="105">
        <f t="shared" si="10"/>
        <v>88794</v>
      </c>
      <c r="Q147" s="106">
        <f t="shared" si="10"/>
        <v>192791</v>
      </c>
      <c r="R147" s="105">
        <f t="shared" ref="R147:T210" si="11">+IF($E147=0, 0, O147/$E147)</f>
        <v>444.14037854889591</v>
      </c>
      <c r="S147" s="105">
        <f t="shared" si="11"/>
        <v>140.05362776025237</v>
      </c>
      <c r="T147" s="108">
        <f t="shared" si="11"/>
        <v>304.08675078864354</v>
      </c>
    </row>
    <row r="148" spans="1:20" s="66" customFormat="1" ht="12.75" x14ac:dyDescent="0.2">
      <c r="A148" s="109">
        <v>441</v>
      </c>
      <c r="B148" s="110">
        <v>1</v>
      </c>
      <c r="C148" s="103" t="s">
        <v>267</v>
      </c>
      <c r="D148" s="103">
        <v>6</v>
      </c>
      <c r="E148" s="104">
        <f>+SUMIF('GE16FEB14 Unfudged'!$A$2:$A$498, $A148, 'GE16FEB14 Unfudged'!$D$2:$D$498)</f>
        <v>432</v>
      </c>
      <c r="F148" s="104">
        <v>40191</v>
      </c>
      <c r="G148" s="105">
        <v>32017</v>
      </c>
      <c r="H148" s="106">
        <v>8174</v>
      </c>
      <c r="I148" s="107">
        <v>0</v>
      </c>
      <c r="J148" s="105">
        <v>0</v>
      </c>
      <c r="K148" s="106">
        <v>0</v>
      </c>
      <c r="L148" s="107">
        <v>610709</v>
      </c>
      <c r="M148" s="105">
        <v>500463</v>
      </c>
      <c r="N148" s="106">
        <v>110246</v>
      </c>
      <c r="O148" s="107">
        <f t="shared" si="10"/>
        <v>650900</v>
      </c>
      <c r="P148" s="105">
        <f t="shared" si="10"/>
        <v>532480</v>
      </c>
      <c r="Q148" s="106">
        <f t="shared" si="10"/>
        <v>118420</v>
      </c>
      <c r="R148" s="105">
        <f t="shared" si="11"/>
        <v>1506.712962962963</v>
      </c>
      <c r="S148" s="105">
        <f t="shared" si="11"/>
        <v>1232.5925925925926</v>
      </c>
      <c r="T148" s="108">
        <f t="shared" si="11"/>
        <v>274.12037037037038</v>
      </c>
    </row>
    <row r="149" spans="1:20" s="66" customFormat="1" ht="12.75" x14ac:dyDescent="0.2">
      <c r="A149" s="109">
        <v>447</v>
      </c>
      <c r="B149" s="110">
        <v>1</v>
      </c>
      <c r="C149" s="103" t="s">
        <v>268</v>
      </c>
      <c r="D149" s="103">
        <v>6</v>
      </c>
      <c r="E149" s="104">
        <f>+SUMIF('GE16FEB14 Unfudged'!$A$2:$A$498, $A149, 'GE16FEB14 Unfudged'!$D$2:$D$498)</f>
        <v>154</v>
      </c>
      <c r="F149" s="104">
        <v>17782</v>
      </c>
      <c r="G149" s="105">
        <v>8090</v>
      </c>
      <c r="H149" s="106">
        <v>9692</v>
      </c>
      <c r="I149" s="107">
        <v>0</v>
      </c>
      <c r="J149" s="105">
        <v>0</v>
      </c>
      <c r="K149" s="106">
        <v>0</v>
      </c>
      <c r="L149" s="107">
        <v>142048</v>
      </c>
      <c r="M149" s="105">
        <v>64417</v>
      </c>
      <c r="N149" s="106">
        <v>77631</v>
      </c>
      <c r="O149" s="107">
        <f t="shared" si="10"/>
        <v>159830</v>
      </c>
      <c r="P149" s="105">
        <f t="shared" si="10"/>
        <v>72507</v>
      </c>
      <c r="Q149" s="106">
        <f t="shared" si="10"/>
        <v>87323</v>
      </c>
      <c r="R149" s="105">
        <f t="shared" si="11"/>
        <v>1037.8571428571429</v>
      </c>
      <c r="S149" s="105">
        <f t="shared" si="11"/>
        <v>470.8246753246753</v>
      </c>
      <c r="T149" s="108">
        <f t="shared" si="11"/>
        <v>567.03246753246754</v>
      </c>
    </row>
    <row r="150" spans="1:20" s="66" customFormat="1" ht="12.75" x14ac:dyDescent="0.2">
      <c r="A150" s="109">
        <v>458</v>
      </c>
      <c r="B150" s="110">
        <v>1</v>
      </c>
      <c r="C150" s="103" t="s">
        <v>269</v>
      </c>
      <c r="D150" s="103">
        <v>6</v>
      </c>
      <c r="E150" s="104">
        <f>+SUMIF('GE16FEB14 Unfudged'!$A$2:$A$498, $A150, 'GE16FEB14 Unfudged'!$D$2:$D$498)</f>
        <v>215</v>
      </c>
      <c r="F150" s="104">
        <v>10740</v>
      </c>
      <c r="G150" s="105">
        <v>6162</v>
      </c>
      <c r="H150" s="106">
        <v>4578</v>
      </c>
      <c r="I150" s="107">
        <v>0</v>
      </c>
      <c r="J150" s="105">
        <v>0</v>
      </c>
      <c r="K150" s="106">
        <v>0</v>
      </c>
      <c r="L150" s="107">
        <v>505104</v>
      </c>
      <c r="M150" s="105">
        <v>300453</v>
      </c>
      <c r="N150" s="106">
        <v>204651</v>
      </c>
      <c r="O150" s="107">
        <f t="shared" si="10"/>
        <v>515844</v>
      </c>
      <c r="P150" s="105">
        <f t="shared" si="10"/>
        <v>306615</v>
      </c>
      <c r="Q150" s="106">
        <f t="shared" si="10"/>
        <v>209229</v>
      </c>
      <c r="R150" s="105">
        <f t="shared" si="11"/>
        <v>2399.2744186046511</v>
      </c>
      <c r="S150" s="105">
        <f t="shared" si="11"/>
        <v>1426.1162790697674</v>
      </c>
      <c r="T150" s="108">
        <f t="shared" si="11"/>
        <v>973.15813953488373</v>
      </c>
    </row>
    <row r="151" spans="1:20" s="66" customFormat="1" ht="12.75" x14ac:dyDescent="0.2">
      <c r="A151" s="109">
        <v>463</v>
      </c>
      <c r="B151" s="110">
        <v>1</v>
      </c>
      <c r="C151" s="103" t="s">
        <v>270</v>
      </c>
      <c r="D151" s="103">
        <v>6</v>
      </c>
      <c r="E151" s="104">
        <f>+SUMIF('GE16FEB14 Unfudged'!$A$2:$A$498, $A151, 'GE16FEB14 Unfudged'!$D$2:$D$498)</f>
        <v>1016</v>
      </c>
      <c r="F151" s="104">
        <v>121341</v>
      </c>
      <c r="G151" s="105">
        <v>65648</v>
      </c>
      <c r="H151" s="106">
        <v>55693</v>
      </c>
      <c r="I151" s="107">
        <v>0</v>
      </c>
      <c r="J151" s="105">
        <v>0</v>
      </c>
      <c r="K151" s="106">
        <v>0</v>
      </c>
      <c r="L151" s="107">
        <v>850174</v>
      </c>
      <c r="M151" s="105">
        <v>422553</v>
      </c>
      <c r="N151" s="106">
        <v>427621</v>
      </c>
      <c r="O151" s="107">
        <f t="shared" si="10"/>
        <v>971515</v>
      </c>
      <c r="P151" s="105">
        <f t="shared" si="10"/>
        <v>488201</v>
      </c>
      <c r="Q151" s="106">
        <f t="shared" si="10"/>
        <v>483314</v>
      </c>
      <c r="R151" s="105">
        <f t="shared" si="11"/>
        <v>956.21555118110234</v>
      </c>
      <c r="S151" s="105">
        <f t="shared" si="11"/>
        <v>480.51279527559058</v>
      </c>
      <c r="T151" s="108">
        <f t="shared" si="11"/>
        <v>475.70275590551182</v>
      </c>
    </row>
    <row r="152" spans="1:20" s="66" customFormat="1" ht="12.75" x14ac:dyDescent="0.2">
      <c r="A152" s="109">
        <v>465</v>
      </c>
      <c r="B152" s="110">
        <v>1</v>
      </c>
      <c r="C152" s="103" t="s">
        <v>271</v>
      </c>
      <c r="D152" s="103">
        <v>5</v>
      </c>
      <c r="E152" s="104">
        <f>+SUMIF('GE16FEB14 Unfudged'!$A$2:$A$498, $A152, 'GE16FEB14 Unfudged'!$D$2:$D$498)</f>
        <v>1825</v>
      </c>
      <c r="F152" s="104">
        <v>230040</v>
      </c>
      <c r="G152" s="105">
        <v>155149</v>
      </c>
      <c r="H152" s="106">
        <v>74891</v>
      </c>
      <c r="I152" s="107">
        <v>0</v>
      </c>
      <c r="J152" s="105">
        <v>0</v>
      </c>
      <c r="K152" s="106">
        <v>0</v>
      </c>
      <c r="L152" s="107">
        <v>1263631</v>
      </c>
      <c r="M152" s="105">
        <v>696955</v>
      </c>
      <c r="N152" s="106">
        <v>566676</v>
      </c>
      <c r="O152" s="107">
        <f t="shared" si="10"/>
        <v>1493671</v>
      </c>
      <c r="P152" s="105">
        <f t="shared" si="10"/>
        <v>852104</v>
      </c>
      <c r="Q152" s="106">
        <f t="shared" si="10"/>
        <v>641567</v>
      </c>
      <c r="R152" s="105">
        <f t="shared" si="11"/>
        <v>818.44986301369863</v>
      </c>
      <c r="S152" s="105">
        <f t="shared" si="11"/>
        <v>466.906301369863</v>
      </c>
      <c r="T152" s="108">
        <f t="shared" si="11"/>
        <v>351.54356164383563</v>
      </c>
    </row>
    <row r="153" spans="1:20" s="66" customFormat="1" ht="12.75" x14ac:dyDescent="0.2">
      <c r="A153" s="109">
        <v>466</v>
      </c>
      <c r="B153" s="110">
        <v>1</v>
      </c>
      <c r="C153" s="103" t="s">
        <v>272</v>
      </c>
      <c r="D153" s="103">
        <v>4</v>
      </c>
      <c r="E153" s="104">
        <f>+SUMIF('GE16FEB14 Unfudged'!$A$2:$A$498, $A153, 'GE16FEB14 Unfudged'!$D$2:$D$498)</f>
        <v>2387</v>
      </c>
      <c r="F153" s="104">
        <v>342737</v>
      </c>
      <c r="G153" s="105">
        <v>186677</v>
      </c>
      <c r="H153" s="106">
        <v>156060</v>
      </c>
      <c r="I153" s="107">
        <v>505959</v>
      </c>
      <c r="J153" s="105">
        <v>275579</v>
      </c>
      <c r="K153" s="106">
        <v>230380</v>
      </c>
      <c r="L153" s="107">
        <v>736338</v>
      </c>
      <c r="M153" s="105">
        <v>237093</v>
      </c>
      <c r="N153" s="106">
        <v>499245</v>
      </c>
      <c r="O153" s="107">
        <f t="shared" si="10"/>
        <v>1585034</v>
      </c>
      <c r="P153" s="105">
        <f t="shared" si="10"/>
        <v>699349</v>
      </c>
      <c r="Q153" s="106">
        <f t="shared" si="10"/>
        <v>885685</v>
      </c>
      <c r="R153" s="105">
        <f t="shared" si="11"/>
        <v>664.02764976958531</v>
      </c>
      <c r="S153" s="105">
        <f t="shared" si="11"/>
        <v>292.98240469208213</v>
      </c>
      <c r="T153" s="108">
        <f t="shared" si="11"/>
        <v>371.04524507750313</v>
      </c>
    </row>
    <row r="154" spans="1:20" s="66" customFormat="1" ht="12.75" x14ac:dyDescent="0.2">
      <c r="A154" s="109">
        <v>473</v>
      </c>
      <c r="B154" s="110">
        <v>1</v>
      </c>
      <c r="C154" s="103" t="s">
        <v>273</v>
      </c>
      <c r="D154" s="103">
        <v>6</v>
      </c>
      <c r="E154" s="104">
        <f>+SUMIF('GE16FEB14 Unfudged'!$A$2:$A$498, $A154, 'GE16FEB14 Unfudged'!$D$2:$D$498)</f>
        <v>514</v>
      </c>
      <c r="F154" s="104">
        <v>73958</v>
      </c>
      <c r="G154" s="105">
        <v>73958</v>
      </c>
      <c r="H154" s="106">
        <v>0</v>
      </c>
      <c r="I154" s="107">
        <v>0</v>
      </c>
      <c r="J154" s="105">
        <v>0</v>
      </c>
      <c r="K154" s="106">
        <v>0</v>
      </c>
      <c r="L154" s="107">
        <v>154080</v>
      </c>
      <c r="M154" s="105">
        <v>103232</v>
      </c>
      <c r="N154" s="106">
        <v>50848</v>
      </c>
      <c r="O154" s="107">
        <f t="shared" si="10"/>
        <v>228038</v>
      </c>
      <c r="P154" s="105">
        <f t="shared" si="10"/>
        <v>177190</v>
      </c>
      <c r="Q154" s="106">
        <f t="shared" si="10"/>
        <v>50848</v>
      </c>
      <c r="R154" s="105">
        <f t="shared" si="11"/>
        <v>443.6536964980545</v>
      </c>
      <c r="S154" s="105">
        <f t="shared" si="11"/>
        <v>344.72762645914395</v>
      </c>
      <c r="T154" s="108">
        <f t="shared" si="11"/>
        <v>98.92607003891051</v>
      </c>
    </row>
    <row r="155" spans="1:20" s="66" customFormat="1" ht="12.75" x14ac:dyDescent="0.2">
      <c r="A155" s="109">
        <v>477</v>
      </c>
      <c r="B155" s="110">
        <v>1</v>
      </c>
      <c r="C155" s="103" t="s">
        <v>274</v>
      </c>
      <c r="D155" s="103">
        <v>4</v>
      </c>
      <c r="E155" s="104">
        <f>+SUMIF('GE16FEB14 Unfudged'!$A$2:$A$498, $A155, 'GE16FEB14 Unfudged'!$D$2:$D$498)</f>
        <v>3467</v>
      </c>
      <c r="F155" s="104">
        <v>499190</v>
      </c>
      <c r="G155" s="105">
        <v>291435</v>
      </c>
      <c r="H155" s="106">
        <v>207755</v>
      </c>
      <c r="I155" s="107">
        <v>734919</v>
      </c>
      <c r="J155" s="105">
        <v>429057</v>
      </c>
      <c r="K155" s="106">
        <v>305862</v>
      </c>
      <c r="L155" s="107">
        <v>1039980</v>
      </c>
      <c r="M155" s="105">
        <v>351874</v>
      </c>
      <c r="N155" s="106">
        <v>688106</v>
      </c>
      <c r="O155" s="107">
        <f t="shared" si="10"/>
        <v>2274089</v>
      </c>
      <c r="P155" s="105">
        <f t="shared" si="10"/>
        <v>1072366</v>
      </c>
      <c r="Q155" s="106">
        <f t="shared" si="10"/>
        <v>1201723</v>
      </c>
      <c r="R155" s="105">
        <f t="shared" si="11"/>
        <v>655.9241419094318</v>
      </c>
      <c r="S155" s="105">
        <f t="shared" si="11"/>
        <v>309.3066051341217</v>
      </c>
      <c r="T155" s="108">
        <f t="shared" si="11"/>
        <v>346.61753677531004</v>
      </c>
    </row>
    <row r="156" spans="1:20" s="66" customFormat="1" ht="12.75" x14ac:dyDescent="0.2">
      <c r="A156" s="109">
        <v>480</v>
      </c>
      <c r="B156" s="110">
        <v>1</v>
      </c>
      <c r="C156" s="103" t="s">
        <v>275</v>
      </c>
      <c r="D156" s="103">
        <v>6</v>
      </c>
      <c r="E156" s="104">
        <f>+SUMIF('GE16FEB14 Unfudged'!$A$2:$A$498, $A156, 'GE16FEB14 Unfudged'!$D$2:$D$498)</f>
        <v>651</v>
      </c>
      <c r="F156" s="104">
        <v>79628</v>
      </c>
      <c r="G156" s="105">
        <v>61582</v>
      </c>
      <c r="H156" s="106">
        <v>18046</v>
      </c>
      <c r="I156" s="107">
        <v>0</v>
      </c>
      <c r="J156" s="105">
        <v>0</v>
      </c>
      <c r="K156" s="106">
        <v>0</v>
      </c>
      <c r="L156" s="107">
        <v>502340</v>
      </c>
      <c r="M156" s="105">
        <v>326776</v>
      </c>
      <c r="N156" s="106">
        <v>175564</v>
      </c>
      <c r="O156" s="107">
        <f t="shared" si="10"/>
        <v>581968</v>
      </c>
      <c r="P156" s="105">
        <f t="shared" si="10"/>
        <v>388358</v>
      </c>
      <c r="Q156" s="106">
        <f t="shared" si="10"/>
        <v>193610</v>
      </c>
      <c r="R156" s="105">
        <f t="shared" si="11"/>
        <v>893.96006144393243</v>
      </c>
      <c r="S156" s="105">
        <f t="shared" si="11"/>
        <v>596.55606758832562</v>
      </c>
      <c r="T156" s="108">
        <f t="shared" si="11"/>
        <v>297.40399385560676</v>
      </c>
    </row>
    <row r="157" spans="1:20" s="66" customFormat="1" ht="12.75" x14ac:dyDescent="0.2">
      <c r="A157" s="109">
        <v>482</v>
      </c>
      <c r="B157" s="110">
        <v>1</v>
      </c>
      <c r="C157" s="103" t="s">
        <v>276</v>
      </c>
      <c r="D157" s="103">
        <v>4</v>
      </c>
      <c r="E157" s="104">
        <f>+SUMIF('GE16FEB14 Unfudged'!$A$2:$A$498, $A157, 'GE16FEB14 Unfudged'!$D$2:$D$498)</f>
        <v>2615</v>
      </c>
      <c r="F157" s="104">
        <v>324687</v>
      </c>
      <c r="G157" s="105">
        <v>202603</v>
      </c>
      <c r="H157" s="106">
        <v>122084</v>
      </c>
      <c r="I157" s="107">
        <v>554380</v>
      </c>
      <c r="J157" s="105">
        <v>345931</v>
      </c>
      <c r="K157" s="106">
        <v>208449</v>
      </c>
      <c r="L157" s="107">
        <v>1915958</v>
      </c>
      <c r="M157" s="105">
        <v>989727</v>
      </c>
      <c r="N157" s="106">
        <v>926231</v>
      </c>
      <c r="O157" s="107">
        <f t="shared" si="10"/>
        <v>2795025</v>
      </c>
      <c r="P157" s="105">
        <f t="shared" si="10"/>
        <v>1538261</v>
      </c>
      <c r="Q157" s="106">
        <f t="shared" si="10"/>
        <v>1256764</v>
      </c>
      <c r="R157" s="105">
        <f t="shared" si="11"/>
        <v>1068.8432122370937</v>
      </c>
      <c r="S157" s="105">
        <f t="shared" si="11"/>
        <v>588.24512428298283</v>
      </c>
      <c r="T157" s="108">
        <f t="shared" si="11"/>
        <v>480.59808795411089</v>
      </c>
    </row>
    <row r="158" spans="1:20" s="66" customFormat="1" ht="12.75" x14ac:dyDescent="0.2">
      <c r="A158" s="109">
        <v>484</v>
      </c>
      <c r="B158" s="110">
        <v>1</v>
      </c>
      <c r="C158" s="103" t="s">
        <v>277</v>
      </c>
      <c r="D158" s="103">
        <v>5</v>
      </c>
      <c r="E158" s="104">
        <f>+SUMIF('GE16FEB14 Unfudged'!$A$2:$A$498, $A158, 'GE16FEB14 Unfudged'!$D$2:$D$498)</f>
        <v>1234</v>
      </c>
      <c r="F158" s="104">
        <v>168460</v>
      </c>
      <c r="G158" s="105">
        <v>88867</v>
      </c>
      <c r="H158" s="106">
        <v>79593</v>
      </c>
      <c r="I158" s="107">
        <v>0</v>
      </c>
      <c r="J158" s="105">
        <v>0</v>
      </c>
      <c r="K158" s="106">
        <v>0</v>
      </c>
      <c r="L158" s="107">
        <v>570281</v>
      </c>
      <c r="M158" s="105">
        <v>218754</v>
      </c>
      <c r="N158" s="106">
        <v>351527</v>
      </c>
      <c r="O158" s="107">
        <f t="shared" si="10"/>
        <v>738741</v>
      </c>
      <c r="P158" s="105">
        <f t="shared" si="10"/>
        <v>307621</v>
      </c>
      <c r="Q158" s="106">
        <f t="shared" si="10"/>
        <v>431120</v>
      </c>
      <c r="R158" s="105">
        <f t="shared" si="11"/>
        <v>598.65559157212317</v>
      </c>
      <c r="S158" s="105">
        <f t="shared" si="11"/>
        <v>249.28768233387359</v>
      </c>
      <c r="T158" s="108">
        <f t="shared" si="11"/>
        <v>349.36790923824958</v>
      </c>
    </row>
    <row r="159" spans="1:20" s="66" customFormat="1" ht="12.75" x14ac:dyDescent="0.2">
      <c r="A159" s="109">
        <v>485</v>
      </c>
      <c r="B159" s="110">
        <v>1</v>
      </c>
      <c r="C159" s="103" t="s">
        <v>278</v>
      </c>
      <c r="D159" s="103">
        <v>6</v>
      </c>
      <c r="E159" s="104">
        <f>+SUMIF('GE16FEB14 Unfudged'!$A$2:$A$498, $A159, 'GE16FEB14 Unfudged'!$D$2:$D$498)</f>
        <v>941</v>
      </c>
      <c r="F159" s="104">
        <v>135569</v>
      </c>
      <c r="G159" s="105">
        <v>77083</v>
      </c>
      <c r="H159" s="106">
        <v>58486</v>
      </c>
      <c r="I159" s="107">
        <v>0</v>
      </c>
      <c r="J159" s="105">
        <v>0</v>
      </c>
      <c r="K159" s="106">
        <v>0</v>
      </c>
      <c r="L159" s="107">
        <v>282435</v>
      </c>
      <c r="M159" s="105">
        <v>93069</v>
      </c>
      <c r="N159" s="106">
        <v>189366</v>
      </c>
      <c r="O159" s="107">
        <f t="shared" si="10"/>
        <v>418004</v>
      </c>
      <c r="P159" s="105">
        <f t="shared" si="10"/>
        <v>170152</v>
      </c>
      <c r="Q159" s="106">
        <f t="shared" si="10"/>
        <v>247852</v>
      </c>
      <c r="R159" s="105">
        <f t="shared" si="11"/>
        <v>444.21253985122212</v>
      </c>
      <c r="S159" s="105">
        <f t="shared" si="11"/>
        <v>180.82040382571734</v>
      </c>
      <c r="T159" s="108">
        <f t="shared" si="11"/>
        <v>263.39213602550478</v>
      </c>
    </row>
    <row r="160" spans="1:20" s="66" customFormat="1" ht="12.75" x14ac:dyDescent="0.2">
      <c r="A160" s="109">
        <v>486</v>
      </c>
      <c r="B160" s="110">
        <v>1</v>
      </c>
      <c r="C160" s="103" t="s">
        <v>279</v>
      </c>
      <c r="D160" s="103">
        <v>6</v>
      </c>
      <c r="E160" s="104">
        <f>+SUMIF('GE16FEB14 Unfudged'!$A$2:$A$498, $A160, 'GE16FEB14 Unfudged'!$D$2:$D$498)</f>
        <v>358</v>
      </c>
      <c r="F160" s="104">
        <v>42936</v>
      </c>
      <c r="G160" s="105">
        <v>26045</v>
      </c>
      <c r="H160" s="106">
        <v>16891</v>
      </c>
      <c r="I160" s="107">
        <v>0</v>
      </c>
      <c r="J160" s="105">
        <v>0</v>
      </c>
      <c r="K160" s="106">
        <v>0</v>
      </c>
      <c r="L160" s="107">
        <v>293958</v>
      </c>
      <c r="M160" s="105">
        <v>159678</v>
      </c>
      <c r="N160" s="106">
        <v>134280</v>
      </c>
      <c r="O160" s="107">
        <f t="shared" si="10"/>
        <v>336894</v>
      </c>
      <c r="P160" s="105">
        <f t="shared" si="10"/>
        <v>185723</v>
      </c>
      <c r="Q160" s="106">
        <f t="shared" si="10"/>
        <v>151171</v>
      </c>
      <c r="R160" s="105">
        <f t="shared" si="11"/>
        <v>941.04469273743018</v>
      </c>
      <c r="S160" s="105">
        <f t="shared" si="11"/>
        <v>518.7793296089385</v>
      </c>
      <c r="T160" s="108">
        <f t="shared" si="11"/>
        <v>422.26536312849163</v>
      </c>
    </row>
    <row r="161" spans="1:20" s="66" customFormat="1" ht="12.75" x14ac:dyDescent="0.2">
      <c r="A161" s="109">
        <v>487</v>
      </c>
      <c r="B161" s="110">
        <v>1</v>
      </c>
      <c r="C161" s="103" t="s">
        <v>280</v>
      </c>
      <c r="D161" s="103">
        <v>6</v>
      </c>
      <c r="E161" s="104">
        <f>+SUMIF('GE16FEB14 Unfudged'!$A$2:$A$498, $A161, 'GE16FEB14 Unfudged'!$D$2:$D$498)</f>
        <v>364</v>
      </c>
      <c r="F161" s="104">
        <v>43259</v>
      </c>
      <c r="G161" s="105">
        <v>29779</v>
      </c>
      <c r="H161" s="106">
        <v>13480</v>
      </c>
      <c r="I161" s="107">
        <v>0</v>
      </c>
      <c r="J161" s="105">
        <v>0</v>
      </c>
      <c r="K161" s="106">
        <v>0</v>
      </c>
      <c r="L161" s="107">
        <v>309965</v>
      </c>
      <c r="M161" s="105">
        <v>192060</v>
      </c>
      <c r="N161" s="106">
        <v>117905</v>
      </c>
      <c r="O161" s="107">
        <f t="shared" si="10"/>
        <v>353224</v>
      </c>
      <c r="P161" s="105">
        <f t="shared" si="10"/>
        <v>221839</v>
      </c>
      <c r="Q161" s="106">
        <f t="shared" si="10"/>
        <v>131385</v>
      </c>
      <c r="R161" s="105">
        <f t="shared" si="11"/>
        <v>970.39560439560444</v>
      </c>
      <c r="S161" s="105">
        <f t="shared" si="11"/>
        <v>609.44780219780216</v>
      </c>
      <c r="T161" s="108">
        <f t="shared" si="11"/>
        <v>360.94780219780222</v>
      </c>
    </row>
    <row r="162" spans="1:20" s="66" customFormat="1" ht="12.75" x14ac:dyDescent="0.2">
      <c r="A162" s="109">
        <v>492</v>
      </c>
      <c r="B162" s="110">
        <v>1</v>
      </c>
      <c r="C162" s="103" t="s">
        <v>281</v>
      </c>
      <c r="D162" s="103">
        <v>4</v>
      </c>
      <c r="E162" s="104">
        <f>+SUMIF('GE16FEB14 Unfudged'!$A$2:$A$498, $A162, 'GE16FEB14 Unfudged'!$D$2:$D$498)</f>
        <v>5139</v>
      </c>
      <c r="F162" s="104">
        <v>679955</v>
      </c>
      <c r="G162" s="105">
        <v>325142</v>
      </c>
      <c r="H162" s="106">
        <v>354813</v>
      </c>
      <c r="I162" s="107">
        <v>1089383</v>
      </c>
      <c r="J162" s="105">
        <v>520923</v>
      </c>
      <c r="K162" s="106">
        <v>568460</v>
      </c>
      <c r="L162" s="107">
        <v>2850381</v>
      </c>
      <c r="M162" s="105">
        <v>1053059</v>
      </c>
      <c r="N162" s="106">
        <v>1797322</v>
      </c>
      <c r="O162" s="107">
        <f t="shared" ref="O162:Q225" si="12">+F162+I162+L162</f>
        <v>4619719</v>
      </c>
      <c r="P162" s="105">
        <f t="shared" si="12"/>
        <v>1899124</v>
      </c>
      <c r="Q162" s="106">
        <f t="shared" si="12"/>
        <v>2720595</v>
      </c>
      <c r="R162" s="105">
        <f t="shared" si="11"/>
        <v>898.95290912628911</v>
      </c>
      <c r="S162" s="105">
        <f t="shared" si="11"/>
        <v>369.55127456703639</v>
      </c>
      <c r="T162" s="108">
        <f t="shared" si="11"/>
        <v>529.40163455925278</v>
      </c>
    </row>
    <row r="163" spans="1:20" s="66" customFormat="1" ht="12.75" x14ac:dyDescent="0.2">
      <c r="A163" s="109">
        <v>495</v>
      </c>
      <c r="B163" s="110">
        <v>1</v>
      </c>
      <c r="C163" s="103" t="s">
        <v>282</v>
      </c>
      <c r="D163" s="103">
        <v>6</v>
      </c>
      <c r="E163" s="104">
        <f>+SUMIF('GE16FEB14 Unfudged'!$A$2:$A$498, $A163, 'GE16FEB14 Unfudged'!$D$2:$D$498)</f>
        <v>435</v>
      </c>
      <c r="F163" s="104">
        <v>39964</v>
      </c>
      <c r="G163" s="105">
        <v>17900</v>
      </c>
      <c r="H163" s="106">
        <v>22064</v>
      </c>
      <c r="I163" s="107">
        <v>0</v>
      </c>
      <c r="J163" s="105">
        <v>0</v>
      </c>
      <c r="K163" s="106">
        <v>0</v>
      </c>
      <c r="L163" s="107">
        <v>624760</v>
      </c>
      <c r="M163" s="105">
        <v>355249</v>
      </c>
      <c r="N163" s="106">
        <v>269511</v>
      </c>
      <c r="O163" s="107">
        <f t="shared" si="12"/>
        <v>664724</v>
      </c>
      <c r="P163" s="105">
        <f t="shared" si="12"/>
        <v>373149</v>
      </c>
      <c r="Q163" s="106">
        <f t="shared" si="12"/>
        <v>291575</v>
      </c>
      <c r="R163" s="105">
        <f t="shared" si="11"/>
        <v>1528.1011494252873</v>
      </c>
      <c r="S163" s="105">
        <f t="shared" si="11"/>
        <v>857.81379310344823</v>
      </c>
      <c r="T163" s="108">
        <f t="shared" si="11"/>
        <v>670.28735632183907</v>
      </c>
    </row>
    <row r="164" spans="1:20" s="66" customFormat="1" ht="12.75" x14ac:dyDescent="0.2">
      <c r="A164" s="109">
        <v>497</v>
      </c>
      <c r="B164" s="110">
        <v>1</v>
      </c>
      <c r="C164" s="103" t="s">
        <v>283</v>
      </c>
      <c r="D164" s="103">
        <v>6</v>
      </c>
      <c r="E164" s="104">
        <f>+SUMIF('GE16FEB14 Unfudged'!$A$2:$A$498, $A164, 'GE16FEB14 Unfudged'!$D$2:$D$498)</f>
        <v>255</v>
      </c>
      <c r="F164" s="104">
        <v>31604</v>
      </c>
      <c r="G164" s="105">
        <v>15485</v>
      </c>
      <c r="H164" s="106">
        <v>16119</v>
      </c>
      <c r="I164" s="107">
        <v>0</v>
      </c>
      <c r="J164" s="105">
        <v>0</v>
      </c>
      <c r="K164" s="106">
        <v>0</v>
      </c>
      <c r="L164" s="107">
        <v>188430</v>
      </c>
      <c r="M164" s="105">
        <v>76561</v>
      </c>
      <c r="N164" s="106">
        <v>111869</v>
      </c>
      <c r="O164" s="107">
        <f t="shared" si="12"/>
        <v>220034</v>
      </c>
      <c r="P164" s="105">
        <f t="shared" si="12"/>
        <v>92046</v>
      </c>
      <c r="Q164" s="106">
        <f t="shared" si="12"/>
        <v>127988</v>
      </c>
      <c r="R164" s="105">
        <f t="shared" si="11"/>
        <v>862.87843137254902</v>
      </c>
      <c r="S164" s="105">
        <f t="shared" si="11"/>
        <v>360.96470588235292</v>
      </c>
      <c r="T164" s="108">
        <f t="shared" si="11"/>
        <v>501.9137254901961</v>
      </c>
    </row>
    <row r="165" spans="1:20" s="66" customFormat="1" ht="12.75" x14ac:dyDescent="0.2">
      <c r="A165" s="109">
        <v>499</v>
      </c>
      <c r="B165" s="110">
        <v>1</v>
      </c>
      <c r="C165" s="103" t="s">
        <v>284</v>
      </c>
      <c r="D165" s="103">
        <v>6</v>
      </c>
      <c r="E165" s="104">
        <f>+SUMIF('GE16FEB14 Unfudged'!$A$2:$A$498, $A165, 'GE16FEB14 Unfudged'!$D$2:$D$498)</f>
        <v>305</v>
      </c>
      <c r="F165" s="104">
        <v>22623</v>
      </c>
      <c r="G165" s="105">
        <v>12786</v>
      </c>
      <c r="H165" s="106">
        <v>9837</v>
      </c>
      <c r="I165" s="107">
        <v>0</v>
      </c>
      <c r="J165" s="105">
        <v>0</v>
      </c>
      <c r="K165" s="106">
        <v>0</v>
      </c>
      <c r="L165" s="107">
        <v>554661</v>
      </c>
      <c r="M165" s="105">
        <v>394845</v>
      </c>
      <c r="N165" s="106">
        <v>159816</v>
      </c>
      <c r="O165" s="107">
        <f t="shared" si="12"/>
        <v>577284</v>
      </c>
      <c r="P165" s="105">
        <f t="shared" si="12"/>
        <v>407631</v>
      </c>
      <c r="Q165" s="106">
        <f t="shared" si="12"/>
        <v>169653</v>
      </c>
      <c r="R165" s="105">
        <f t="shared" si="11"/>
        <v>1892.7344262295082</v>
      </c>
      <c r="S165" s="105">
        <f t="shared" si="11"/>
        <v>1336.4950819672131</v>
      </c>
      <c r="T165" s="108">
        <f t="shared" si="11"/>
        <v>556.23934426229505</v>
      </c>
    </row>
    <row r="166" spans="1:20" s="66" customFormat="1" ht="12.75" x14ac:dyDescent="0.2">
      <c r="A166" s="109">
        <v>500</v>
      </c>
      <c r="B166" s="110">
        <v>1</v>
      </c>
      <c r="C166" s="103" t="s">
        <v>285</v>
      </c>
      <c r="D166" s="103">
        <v>6</v>
      </c>
      <c r="E166" s="104">
        <f>+SUMIF('GE16FEB14 Unfudged'!$A$2:$A$498, $A166, 'GE16FEB14 Unfudged'!$D$2:$D$498)</f>
        <v>450</v>
      </c>
      <c r="F166" s="104">
        <v>55695</v>
      </c>
      <c r="G166" s="105">
        <v>43760</v>
      </c>
      <c r="H166" s="106">
        <v>11935</v>
      </c>
      <c r="I166" s="107">
        <v>0</v>
      </c>
      <c r="J166" s="105">
        <v>0</v>
      </c>
      <c r="K166" s="106">
        <v>0</v>
      </c>
      <c r="L166" s="107">
        <v>331875</v>
      </c>
      <c r="M166" s="105">
        <v>216208</v>
      </c>
      <c r="N166" s="106">
        <v>115667</v>
      </c>
      <c r="O166" s="107">
        <f t="shared" si="12"/>
        <v>387570</v>
      </c>
      <c r="P166" s="105">
        <f t="shared" si="12"/>
        <v>259968</v>
      </c>
      <c r="Q166" s="106">
        <f t="shared" si="12"/>
        <v>127602</v>
      </c>
      <c r="R166" s="105">
        <f t="shared" si="11"/>
        <v>861.26666666666665</v>
      </c>
      <c r="S166" s="105">
        <f t="shared" si="11"/>
        <v>577.70666666666671</v>
      </c>
      <c r="T166" s="108">
        <f t="shared" si="11"/>
        <v>283.56</v>
      </c>
    </row>
    <row r="167" spans="1:20" s="66" customFormat="1" ht="12.75" x14ac:dyDescent="0.2">
      <c r="A167" s="109">
        <v>505</v>
      </c>
      <c r="B167" s="110">
        <v>1</v>
      </c>
      <c r="C167" s="103" t="s">
        <v>286</v>
      </c>
      <c r="D167" s="103">
        <v>6</v>
      </c>
      <c r="E167" s="104">
        <f>+SUMIF('GE16FEB14 Unfudged'!$A$2:$A$498, $A167, 'GE16FEB14 Unfudged'!$D$2:$D$498)</f>
        <v>322</v>
      </c>
      <c r="F167" s="104">
        <v>34548</v>
      </c>
      <c r="G167" s="105">
        <v>19694</v>
      </c>
      <c r="H167" s="106">
        <v>14854</v>
      </c>
      <c r="I167" s="107">
        <v>0</v>
      </c>
      <c r="J167" s="105">
        <v>0</v>
      </c>
      <c r="K167" s="106">
        <v>0</v>
      </c>
      <c r="L167" s="107">
        <v>353391</v>
      </c>
      <c r="M167" s="105">
        <v>225140</v>
      </c>
      <c r="N167" s="106">
        <v>128251</v>
      </c>
      <c r="O167" s="107">
        <f t="shared" si="12"/>
        <v>387939</v>
      </c>
      <c r="P167" s="105">
        <f t="shared" si="12"/>
        <v>244834</v>
      </c>
      <c r="Q167" s="106">
        <f t="shared" si="12"/>
        <v>143105</v>
      </c>
      <c r="R167" s="105">
        <f t="shared" si="11"/>
        <v>1204.77950310559</v>
      </c>
      <c r="S167" s="105">
        <f t="shared" si="11"/>
        <v>760.3540372670808</v>
      </c>
      <c r="T167" s="108">
        <f t="shared" si="11"/>
        <v>444.4254658385093</v>
      </c>
    </row>
    <row r="168" spans="1:20" s="66" customFormat="1" ht="12.75" x14ac:dyDescent="0.2">
      <c r="A168" s="109">
        <v>507</v>
      </c>
      <c r="B168" s="110">
        <v>1</v>
      </c>
      <c r="C168" s="103" t="s">
        <v>287</v>
      </c>
      <c r="D168" s="103">
        <v>6</v>
      </c>
      <c r="E168" s="104">
        <f>+SUMIF('GE16FEB14 Unfudged'!$A$2:$A$498, $A168, 'GE16FEB14 Unfudged'!$D$2:$D$498)</f>
        <v>387</v>
      </c>
      <c r="F168" s="104">
        <v>33626</v>
      </c>
      <c r="G168" s="105">
        <v>28038</v>
      </c>
      <c r="H168" s="106">
        <v>5588</v>
      </c>
      <c r="I168" s="107">
        <v>0</v>
      </c>
      <c r="J168" s="105">
        <v>0</v>
      </c>
      <c r="K168" s="106">
        <v>0</v>
      </c>
      <c r="L168" s="107">
        <v>596814</v>
      </c>
      <c r="M168" s="105">
        <v>465322</v>
      </c>
      <c r="N168" s="106">
        <v>131492</v>
      </c>
      <c r="O168" s="107">
        <f t="shared" si="12"/>
        <v>630440</v>
      </c>
      <c r="P168" s="105">
        <f t="shared" si="12"/>
        <v>493360</v>
      </c>
      <c r="Q168" s="106">
        <f t="shared" si="12"/>
        <v>137080</v>
      </c>
      <c r="R168" s="105">
        <f t="shared" si="11"/>
        <v>1629.0439276485788</v>
      </c>
      <c r="S168" s="105">
        <f t="shared" si="11"/>
        <v>1274.8320413436693</v>
      </c>
      <c r="T168" s="108">
        <f t="shared" si="11"/>
        <v>354.21188630490957</v>
      </c>
    </row>
    <row r="169" spans="1:20" s="66" customFormat="1" ht="12.75" x14ac:dyDescent="0.2">
      <c r="A169" s="109">
        <v>508</v>
      </c>
      <c r="B169" s="110">
        <v>1</v>
      </c>
      <c r="C169" s="103" t="s">
        <v>288</v>
      </c>
      <c r="D169" s="103">
        <v>5</v>
      </c>
      <c r="E169" s="104">
        <f>+SUMIF('GE16FEB14 Unfudged'!$A$2:$A$498, $A169, 'GE16FEB14 Unfudged'!$D$2:$D$498)</f>
        <v>2102</v>
      </c>
      <c r="F169" s="104">
        <v>243078</v>
      </c>
      <c r="G169" s="105">
        <v>172144</v>
      </c>
      <c r="H169" s="106">
        <v>70934</v>
      </c>
      <c r="I169" s="107">
        <v>0</v>
      </c>
      <c r="J169" s="105">
        <v>0</v>
      </c>
      <c r="K169" s="106">
        <v>0</v>
      </c>
      <c r="L169" s="107">
        <v>1931501</v>
      </c>
      <c r="M169" s="105">
        <v>1277492</v>
      </c>
      <c r="N169" s="106">
        <v>654009</v>
      </c>
      <c r="O169" s="107">
        <f t="shared" si="12"/>
        <v>2174579</v>
      </c>
      <c r="P169" s="105">
        <f t="shared" si="12"/>
        <v>1449636</v>
      </c>
      <c r="Q169" s="106">
        <f t="shared" si="12"/>
        <v>724943</v>
      </c>
      <c r="R169" s="105">
        <f t="shared" si="11"/>
        <v>1034.5285442435775</v>
      </c>
      <c r="S169" s="105">
        <f t="shared" si="11"/>
        <v>689.64605137963849</v>
      </c>
      <c r="T169" s="108">
        <f t="shared" si="11"/>
        <v>344.88249286393909</v>
      </c>
    </row>
    <row r="170" spans="1:20" s="66" customFormat="1" ht="12.75" x14ac:dyDescent="0.2">
      <c r="A170" s="109">
        <v>511</v>
      </c>
      <c r="B170" s="110">
        <v>1</v>
      </c>
      <c r="C170" s="103" t="s">
        <v>289</v>
      </c>
      <c r="D170" s="103">
        <v>6</v>
      </c>
      <c r="E170" s="104">
        <f>+SUMIF('GE16FEB14 Unfudged'!$A$2:$A$498, $A170, 'GE16FEB14 Unfudged'!$D$2:$D$498)</f>
        <v>592</v>
      </c>
      <c r="F170" s="104">
        <v>62483</v>
      </c>
      <c r="G170" s="105">
        <v>27406</v>
      </c>
      <c r="H170" s="106">
        <v>35077</v>
      </c>
      <c r="I170" s="107">
        <v>0</v>
      </c>
      <c r="J170" s="105">
        <v>0</v>
      </c>
      <c r="K170" s="106">
        <v>0</v>
      </c>
      <c r="L170" s="107">
        <v>674339</v>
      </c>
      <c r="M170" s="105">
        <v>337682</v>
      </c>
      <c r="N170" s="106">
        <v>336657</v>
      </c>
      <c r="O170" s="107">
        <f t="shared" si="12"/>
        <v>736822</v>
      </c>
      <c r="P170" s="105">
        <f t="shared" si="12"/>
        <v>365088</v>
      </c>
      <c r="Q170" s="106">
        <f t="shared" si="12"/>
        <v>371734</v>
      </c>
      <c r="R170" s="105">
        <f t="shared" si="11"/>
        <v>1244.6317567567567</v>
      </c>
      <c r="S170" s="105">
        <f t="shared" si="11"/>
        <v>616.70270270270271</v>
      </c>
      <c r="T170" s="108">
        <f t="shared" si="11"/>
        <v>627.92905405405406</v>
      </c>
    </row>
    <row r="171" spans="1:20" s="66" customFormat="1" ht="12.75" x14ac:dyDescent="0.2">
      <c r="A171" s="109">
        <v>514</v>
      </c>
      <c r="B171" s="110">
        <v>1</v>
      </c>
      <c r="C171" s="103" t="s">
        <v>290</v>
      </c>
      <c r="D171" s="103">
        <v>6</v>
      </c>
      <c r="E171" s="104">
        <f>+SUMIF('GE16FEB14 Unfudged'!$A$2:$A$498, $A171, 'GE16FEB14 Unfudged'!$D$2:$D$498)</f>
        <v>153</v>
      </c>
      <c r="F171" s="104">
        <v>11173</v>
      </c>
      <c r="G171" s="105">
        <v>5599</v>
      </c>
      <c r="H171" s="106">
        <v>5574</v>
      </c>
      <c r="I171" s="107">
        <v>0</v>
      </c>
      <c r="J171" s="105">
        <v>0</v>
      </c>
      <c r="K171" s="106">
        <v>0</v>
      </c>
      <c r="L171" s="107">
        <v>281732</v>
      </c>
      <c r="M171" s="105">
        <v>189787</v>
      </c>
      <c r="N171" s="106">
        <v>91945</v>
      </c>
      <c r="O171" s="107">
        <f t="shared" si="12"/>
        <v>292905</v>
      </c>
      <c r="P171" s="105">
        <f t="shared" si="12"/>
        <v>195386</v>
      </c>
      <c r="Q171" s="106">
        <f t="shared" si="12"/>
        <v>97519</v>
      </c>
      <c r="R171" s="105">
        <f t="shared" si="11"/>
        <v>1914.4117647058824</v>
      </c>
      <c r="S171" s="105">
        <f t="shared" si="11"/>
        <v>1277.0326797385621</v>
      </c>
      <c r="T171" s="108">
        <f t="shared" si="11"/>
        <v>637.3790849673203</v>
      </c>
    </row>
    <row r="172" spans="1:20" s="66" customFormat="1" ht="12.75" x14ac:dyDescent="0.2">
      <c r="A172" s="109">
        <v>518</v>
      </c>
      <c r="B172" s="110">
        <v>1</v>
      </c>
      <c r="C172" s="103" t="s">
        <v>291</v>
      </c>
      <c r="D172" s="103">
        <v>4</v>
      </c>
      <c r="E172" s="104">
        <f>+SUMIF('GE16FEB14 Unfudged'!$A$2:$A$498, $A172, 'GE16FEB14 Unfudged'!$D$2:$D$498)</f>
        <v>3153</v>
      </c>
      <c r="F172" s="104">
        <v>370577</v>
      </c>
      <c r="G172" s="105">
        <v>153724</v>
      </c>
      <c r="H172" s="106">
        <v>216853</v>
      </c>
      <c r="I172" s="107">
        <v>668351</v>
      </c>
      <c r="J172" s="105">
        <v>277248</v>
      </c>
      <c r="K172" s="106">
        <v>391103</v>
      </c>
      <c r="L172" s="107">
        <v>2764862</v>
      </c>
      <c r="M172" s="105">
        <v>1098061</v>
      </c>
      <c r="N172" s="106">
        <v>1666801</v>
      </c>
      <c r="O172" s="107">
        <f t="shared" si="12"/>
        <v>3803790</v>
      </c>
      <c r="P172" s="105">
        <f t="shared" si="12"/>
        <v>1529033</v>
      </c>
      <c r="Q172" s="106">
        <f t="shared" si="12"/>
        <v>2274757</v>
      </c>
      <c r="R172" s="105">
        <f t="shared" si="11"/>
        <v>1206.4034253092293</v>
      </c>
      <c r="S172" s="105">
        <f t="shared" si="11"/>
        <v>484.94544877894072</v>
      </c>
      <c r="T172" s="108">
        <f t="shared" si="11"/>
        <v>721.45797653028865</v>
      </c>
    </row>
    <row r="173" spans="1:20" s="66" customFormat="1" ht="12.75" x14ac:dyDescent="0.2">
      <c r="A173" s="109">
        <v>531</v>
      </c>
      <c r="B173" s="110">
        <v>1</v>
      </c>
      <c r="C173" s="103" t="s">
        <v>292</v>
      </c>
      <c r="D173" s="103">
        <v>5</v>
      </c>
      <c r="E173" s="104">
        <f>+SUMIF('GE16FEB14 Unfudged'!$A$2:$A$498, $A173, 'GE16FEB14 Unfudged'!$D$2:$D$498)</f>
        <v>2106</v>
      </c>
      <c r="F173" s="104">
        <v>303250</v>
      </c>
      <c r="G173" s="105">
        <v>209517</v>
      </c>
      <c r="H173" s="106">
        <v>93733</v>
      </c>
      <c r="I173" s="107">
        <v>0</v>
      </c>
      <c r="J173" s="105">
        <v>0</v>
      </c>
      <c r="K173" s="106">
        <v>0</v>
      </c>
      <c r="L173" s="107">
        <v>631770</v>
      </c>
      <c r="M173" s="105">
        <v>252968</v>
      </c>
      <c r="N173" s="106">
        <v>378802</v>
      </c>
      <c r="O173" s="107">
        <f t="shared" si="12"/>
        <v>935020</v>
      </c>
      <c r="P173" s="105">
        <f t="shared" si="12"/>
        <v>462485</v>
      </c>
      <c r="Q173" s="106">
        <f t="shared" si="12"/>
        <v>472535</v>
      </c>
      <c r="R173" s="105">
        <f t="shared" si="11"/>
        <v>443.97910731244065</v>
      </c>
      <c r="S173" s="105">
        <f t="shared" si="11"/>
        <v>219.60351377018043</v>
      </c>
      <c r="T173" s="108">
        <f t="shared" si="11"/>
        <v>224.37559354226022</v>
      </c>
    </row>
    <row r="174" spans="1:20" s="66" customFormat="1" ht="12.75" x14ac:dyDescent="0.2">
      <c r="A174" s="109">
        <v>533</v>
      </c>
      <c r="B174" s="110">
        <v>1</v>
      </c>
      <c r="C174" s="103" t="s">
        <v>293</v>
      </c>
      <c r="D174" s="103">
        <v>5</v>
      </c>
      <c r="E174" s="104">
        <f>+SUMIF('GE16FEB14 Unfudged'!$A$2:$A$498, $A174, 'GE16FEB14 Unfudged'!$D$2:$D$498)</f>
        <v>1287</v>
      </c>
      <c r="F174" s="104">
        <v>185328</v>
      </c>
      <c r="G174" s="105">
        <v>102521</v>
      </c>
      <c r="H174" s="106">
        <v>82807</v>
      </c>
      <c r="I174" s="107">
        <v>0</v>
      </c>
      <c r="J174" s="105">
        <v>0</v>
      </c>
      <c r="K174" s="106">
        <v>0</v>
      </c>
      <c r="L174" s="107">
        <v>386100</v>
      </c>
      <c r="M174" s="105">
        <v>123782</v>
      </c>
      <c r="N174" s="106">
        <v>262318</v>
      </c>
      <c r="O174" s="107">
        <f t="shared" si="12"/>
        <v>571428</v>
      </c>
      <c r="P174" s="105">
        <f t="shared" si="12"/>
        <v>226303</v>
      </c>
      <c r="Q174" s="106">
        <f t="shared" si="12"/>
        <v>345125</v>
      </c>
      <c r="R174" s="105">
        <f t="shared" si="11"/>
        <v>444</v>
      </c>
      <c r="S174" s="105">
        <f t="shared" si="11"/>
        <v>175.83760683760684</v>
      </c>
      <c r="T174" s="108">
        <f t="shared" si="11"/>
        <v>268.16239316239319</v>
      </c>
    </row>
    <row r="175" spans="1:20" s="66" customFormat="1" ht="12.75" x14ac:dyDescent="0.2">
      <c r="A175" s="109">
        <v>534</v>
      </c>
      <c r="B175" s="110">
        <v>1</v>
      </c>
      <c r="C175" s="103" t="s">
        <v>294</v>
      </c>
      <c r="D175" s="103">
        <v>5</v>
      </c>
      <c r="E175" s="104">
        <f>+SUMIF('GE16FEB14 Unfudged'!$A$2:$A$498, $A175, 'GE16FEB14 Unfudged'!$D$2:$D$498)</f>
        <v>2071</v>
      </c>
      <c r="F175" s="104">
        <v>254700</v>
      </c>
      <c r="G175" s="105">
        <v>181509</v>
      </c>
      <c r="H175" s="106">
        <v>73191</v>
      </c>
      <c r="I175" s="107">
        <v>0</v>
      </c>
      <c r="J175" s="105">
        <v>0</v>
      </c>
      <c r="K175" s="106">
        <v>0</v>
      </c>
      <c r="L175" s="107">
        <v>1572210</v>
      </c>
      <c r="M175" s="105">
        <v>934213</v>
      </c>
      <c r="N175" s="106">
        <v>637997</v>
      </c>
      <c r="O175" s="107">
        <f t="shared" si="12"/>
        <v>1826910</v>
      </c>
      <c r="P175" s="105">
        <f t="shared" si="12"/>
        <v>1115722</v>
      </c>
      <c r="Q175" s="106">
        <f t="shared" si="12"/>
        <v>711188</v>
      </c>
      <c r="R175" s="105">
        <f t="shared" si="11"/>
        <v>882.13906325446646</v>
      </c>
      <c r="S175" s="105">
        <f t="shared" si="11"/>
        <v>538.73587638821823</v>
      </c>
      <c r="T175" s="108">
        <f t="shared" si="11"/>
        <v>343.40318686624818</v>
      </c>
    </row>
    <row r="176" spans="1:20" s="66" customFormat="1" ht="12.75" x14ac:dyDescent="0.2">
      <c r="A176" s="109">
        <v>535</v>
      </c>
      <c r="B176" s="110">
        <v>1</v>
      </c>
      <c r="C176" s="103" t="s">
        <v>295</v>
      </c>
      <c r="D176" s="103">
        <v>4</v>
      </c>
      <c r="E176" s="104">
        <f>+SUMIF('GE16FEB14 Unfudged'!$A$2:$A$498, $A176, 'GE16FEB14 Unfudged'!$D$2:$D$498)</f>
        <v>17934</v>
      </c>
      <c r="F176" s="104">
        <v>2538984</v>
      </c>
      <c r="G176" s="105">
        <v>2538984</v>
      </c>
      <c r="H176" s="106">
        <v>0</v>
      </c>
      <c r="I176" s="107">
        <v>3802093</v>
      </c>
      <c r="J176" s="105">
        <v>3802093</v>
      </c>
      <c r="K176" s="106">
        <v>0</v>
      </c>
      <c r="L176" s="107">
        <v>6330664</v>
      </c>
      <c r="M176" s="105">
        <v>4166440</v>
      </c>
      <c r="N176" s="106">
        <v>2164224</v>
      </c>
      <c r="O176" s="107">
        <f t="shared" si="12"/>
        <v>12671741</v>
      </c>
      <c r="P176" s="105">
        <f t="shared" si="12"/>
        <v>10507517</v>
      </c>
      <c r="Q176" s="106">
        <f t="shared" si="12"/>
        <v>2164224</v>
      </c>
      <c r="R176" s="105">
        <f t="shared" si="11"/>
        <v>706.57639121222257</v>
      </c>
      <c r="S176" s="105">
        <f t="shared" si="11"/>
        <v>585.89924166387868</v>
      </c>
      <c r="T176" s="108">
        <f t="shared" si="11"/>
        <v>120.67714954834393</v>
      </c>
    </row>
    <row r="177" spans="1:20" s="66" customFormat="1" ht="12.75" x14ac:dyDescent="0.2">
      <c r="A177" s="109">
        <v>542</v>
      </c>
      <c r="B177" s="110">
        <v>1</v>
      </c>
      <c r="C177" s="103" t="s">
        <v>296</v>
      </c>
      <c r="D177" s="103">
        <v>6</v>
      </c>
      <c r="E177" s="104">
        <f>+SUMIF('GE16FEB14 Unfudged'!$A$2:$A$498, $A177, 'GE16FEB14 Unfudged'!$D$2:$D$498)</f>
        <v>455</v>
      </c>
      <c r="F177" s="104">
        <v>59015</v>
      </c>
      <c r="G177" s="105">
        <v>59015</v>
      </c>
      <c r="H177" s="106">
        <v>0</v>
      </c>
      <c r="I177" s="107">
        <v>0</v>
      </c>
      <c r="J177" s="105">
        <v>0</v>
      </c>
      <c r="K177" s="106">
        <v>0</v>
      </c>
      <c r="L177" s="107">
        <v>277196</v>
      </c>
      <c r="M177" s="105">
        <v>277177</v>
      </c>
      <c r="N177" s="106">
        <v>19</v>
      </c>
      <c r="O177" s="107">
        <f t="shared" si="12"/>
        <v>336211</v>
      </c>
      <c r="P177" s="105">
        <f t="shared" si="12"/>
        <v>336192</v>
      </c>
      <c r="Q177" s="106">
        <f t="shared" si="12"/>
        <v>19</v>
      </c>
      <c r="R177" s="105">
        <f t="shared" si="11"/>
        <v>738.92527472527468</v>
      </c>
      <c r="S177" s="105">
        <f t="shared" si="11"/>
        <v>738.88351648351647</v>
      </c>
      <c r="T177" s="108">
        <f t="shared" si="11"/>
        <v>4.1758241758241756E-2</v>
      </c>
    </row>
    <row r="178" spans="1:20" s="66" customFormat="1" ht="12.75" x14ac:dyDescent="0.2">
      <c r="A178" s="109">
        <v>544</v>
      </c>
      <c r="B178" s="110">
        <v>1</v>
      </c>
      <c r="C178" s="103" t="s">
        <v>297</v>
      </c>
      <c r="D178" s="103">
        <v>4</v>
      </c>
      <c r="E178" s="104">
        <f>+SUMIF('GE16FEB14 Unfudged'!$A$2:$A$498, $A178, 'GE16FEB14 Unfudged'!$D$2:$D$498)</f>
        <v>2423</v>
      </c>
      <c r="F178" s="104">
        <v>348941</v>
      </c>
      <c r="G178" s="105">
        <v>348941</v>
      </c>
      <c r="H178" s="106">
        <v>0</v>
      </c>
      <c r="I178" s="107">
        <v>513718</v>
      </c>
      <c r="J178" s="105">
        <v>513718</v>
      </c>
      <c r="K178" s="106">
        <v>0</v>
      </c>
      <c r="L178" s="107">
        <v>726960</v>
      </c>
      <c r="M178" s="105">
        <v>493137</v>
      </c>
      <c r="N178" s="106">
        <v>233823</v>
      </c>
      <c r="O178" s="107">
        <f t="shared" si="12"/>
        <v>1589619</v>
      </c>
      <c r="P178" s="105">
        <f t="shared" si="12"/>
        <v>1355796</v>
      </c>
      <c r="Q178" s="106">
        <f t="shared" si="12"/>
        <v>233823</v>
      </c>
      <c r="R178" s="105">
        <f t="shared" si="11"/>
        <v>656.05406520841927</v>
      </c>
      <c r="S178" s="105">
        <f t="shared" si="11"/>
        <v>559.55262071811808</v>
      </c>
      <c r="T178" s="108">
        <f t="shared" si="11"/>
        <v>96.501444490301282</v>
      </c>
    </row>
    <row r="179" spans="1:20" s="66" customFormat="1" ht="12.75" x14ac:dyDescent="0.2">
      <c r="A179" s="109">
        <v>545</v>
      </c>
      <c r="B179" s="110">
        <v>1</v>
      </c>
      <c r="C179" s="103" t="s">
        <v>298</v>
      </c>
      <c r="D179" s="103">
        <v>6</v>
      </c>
      <c r="E179" s="104">
        <f>+SUMIF('GE16FEB14 Unfudged'!$A$2:$A$498, $A179, 'GE16FEB14 Unfudged'!$D$2:$D$498)</f>
        <v>420</v>
      </c>
      <c r="F179" s="104">
        <v>42276</v>
      </c>
      <c r="G179" s="105">
        <v>32129</v>
      </c>
      <c r="H179" s="106">
        <v>10147</v>
      </c>
      <c r="I179" s="107">
        <v>0</v>
      </c>
      <c r="J179" s="105">
        <v>0</v>
      </c>
      <c r="K179" s="106">
        <v>0</v>
      </c>
      <c r="L179" s="107">
        <v>523762</v>
      </c>
      <c r="M179" s="105">
        <v>406832</v>
      </c>
      <c r="N179" s="106">
        <v>116930</v>
      </c>
      <c r="O179" s="107">
        <f t="shared" si="12"/>
        <v>566038</v>
      </c>
      <c r="P179" s="105">
        <f t="shared" si="12"/>
        <v>438961</v>
      </c>
      <c r="Q179" s="106">
        <f t="shared" si="12"/>
        <v>127077</v>
      </c>
      <c r="R179" s="105">
        <f t="shared" si="11"/>
        <v>1347.7095238095237</v>
      </c>
      <c r="S179" s="105">
        <f t="shared" si="11"/>
        <v>1045.145238095238</v>
      </c>
      <c r="T179" s="108">
        <f t="shared" si="11"/>
        <v>302.56428571428569</v>
      </c>
    </row>
    <row r="180" spans="1:20" s="66" customFormat="1" ht="12.75" x14ac:dyDescent="0.2">
      <c r="A180" s="109">
        <v>547</v>
      </c>
      <c r="B180" s="110">
        <v>1</v>
      </c>
      <c r="C180" s="103" t="s">
        <v>299</v>
      </c>
      <c r="D180" s="103">
        <v>6</v>
      </c>
      <c r="E180" s="104">
        <f>+SUMIF('GE16FEB14 Unfudged'!$A$2:$A$498, $A180, 'GE16FEB14 Unfudged'!$D$2:$D$498)</f>
        <v>531</v>
      </c>
      <c r="F180" s="104">
        <v>54690</v>
      </c>
      <c r="G180" s="105">
        <v>38579</v>
      </c>
      <c r="H180" s="106">
        <v>16111</v>
      </c>
      <c r="I180" s="107">
        <v>0</v>
      </c>
      <c r="J180" s="105">
        <v>0</v>
      </c>
      <c r="K180" s="106">
        <v>0</v>
      </c>
      <c r="L180" s="107">
        <v>634933</v>
      </c>
      <c r="M180" s="105">
        <v>468738</v>
      </c>
      <c r="N180" s="106">
        <v>166195</v>
      </c>
      <c r="O180" s="107">
        <f t="shared" si="12"/>
        <v>689623</v>
      </c>
      <c r="P180" s="105">
        <f t="shared" si="12"/>
        <v>507317</v>
      </c>
      <c r="Q180" s="106">
        <f t="shared" si="12"/>
        <v>182306</v>
      </c>
      <c r="R180" s="105">
        <f t="shared" si="11"/>
        <v>1298.7250470809793</v>
      </c>
      <c r="S180" s="105">
        <f t="shared" si="11"/>
        <v>955.3992467043314</v>
      </c>
      <c r="T180" s="108">
        <f t="shared" si="11"/>
        <v>343.32580037664786</v>
      </c>
    </row>
    <row r="181" spans="1:20" s="66" customFormat="1" ht="12.75" x14ac:dyDescent="0.2">
      <c r="A181" s="109">
        <v>548</v>
      </c>
      <c r="B181" s="110">
        <v>1</v>
      </c>
      <c r="C181" s="103" t="s">
        <v>300</v>
      </c>
      <c r="D181" s="103">
        <v>6</v>
      </c>
      <c r="E181" s="104">
        <f>+SUMIF('GE16FEB14 Unfudged'!$A$2:$A$498, $A181, 'GE16FEB14 Unfudged'!$D$2:$D$498)</f>
        <v>976</v>
      </c>
      <c r="F181" s="104">
        <v>121359</v>
      </c>
      <c r="G181" s="105">
        <v>119039</v>
      </c>
      <c r="H181" s="106">
        <v>2320</v>
      </c>
      <c r="I181" s="107">
        <v>0</v>
      </c>
      <c r="J181" s="105">
        <v>0</v>
      </c>
      <c r="K181" s="106">
        <v>0</v>
      </c>
      <c r="L181" s="107">
        <v>710578</v>
      </c>
      <c r="M181" s="105">
        <v>576264</v>
      </c>
      <c r="N181" s="106">
        <v>134314</v>
      </c>
      <c r="O181" s="107">
        <f t="shared" si="12"/>
        <v>831937</v>
      </c>
      <c r="P181" s="105">
        <f t="shared" si="12"/>
        <v>695303</v>
      </c>
      <c r="Q181" s="106">
        <f t="shared" si="12"/>
        <v>136634</v>
      </c>
      <c r="R181" s="105">
        <f t="shared" si="11"/>
        <v>852.39446721311481</v>
      </c>
      <c r="S181" s="105">
        <f t="shared" si="11"/>
        <v>712.40061475409834</v>
      </c>
      <c r="T181" s="108">
        <f t="shared" si="11"/>
        <v>139.99385245901638</v>
      </c>
    </row>
    <row r="182" spans="1:20" s="66" customFormat="1" ht="12.75" x14ac:dyDescent="0.2">
      <c r="A182" s="109">
        <v>549</v>
      </c>
      <c r="B182" s="110">
        <v>1</v>
      </c>
      <c r="C182" s="103" t="s">
        <v>301</v>
      </c>
      <c r="D182" s="103">
        <v>5</v>
      </c>
      <c r="E182" s="104">
        <f>+SUMIF('GE16FEB14 Unfudged'!$A$2:$A$498, $A182, 'GE16FEB14 Unfudged'!$D$2:$D$498)</f>
        <v>1369</v>
      </c>
      <c r="F182" s="104">
        <v>197115</v>
      </c>
      <c r="G182" s="105">
        <v>197115</v>
      </c>
      <c r="H182" s="106">
        <v>0</v>
      </c>
      <c r="I182" s="107">
        <v>0</v>
      </c>
      <c r="J182" s="105">
        <v>0</v>
      </c>
      <c r="K182" s="106">
        <v>0</v>
      </c>
      <c r="L182" s="107">
        <v>410655</v>
      </c>
      <c r="M182" s="105">
        <v>374178</v>
      </c>
      <c r="N182" s="106">
        <v>36477</v>
      </c>
      <c r="O182" s="107">
        <f t="shared" si="12"/>
        <v>607770</v>
      </c>
      <c r="P182" s="105">
        <f t="shared" si="12"/>
        <v>571293</v>
      </c>
      <c r="Q182" s="106">
        <f t="shared" si="12"/>
        <v>36477</v>
      </c>
      <c r="R182" s="105">
        <f t="shared" si="11"/>
        <v>443.9517896274653</v>
      </c>
      <c r="S182" s="105">
        <f t="shared" si="11"/>
        <v>417.30679327976623</v>
      </c>
      <c r="T182" s="108">
        <f t="shared" si="11"/>
        <v>26.644996347699049</v>
      </c>
    </row>
    <row r="183" spans="1:20" s="66" customFormat="1" ht="12.75" x14ac:dyDescent="0.2">
      <c r="A183" s="109">
        <v>550</v>
      </c>
      <c r="B183" s="110">
        <v>1</v>
      </c>
      <c r="C183" s="103" t="s">
        <v>302</v>
      </c>
      <c r="D183" s="103">
        <v>6</v>
      </c>
      <c r="E183" s="104">
        <f>+SUMIF('GE16FEB14 Unfudged'!$A$2:$A$498, $A183, 'GE16FEB14 Unfudged'!$D$2:$D$498)</f>
        <v>600</v>
      </c>
      <c r="F183" s="104">
        <v>84391</v>
      </c>
      <c r="G183" s="105">
        <v>84391</v>
      </c>
      <c r="H183" s="106">
        <v>0</v>
      </c>
      <c r="I183" s="107">
        <v>0</v>
      </c>
      <c r="J183" s="105">
        <v>0</v>
      </c>
      <c r="K183" s="106">
        <v>0</v>
      </c>
      <c r="L183" s="107">
        <v>225192</v>
      </c>
      <c r="M183" s="105">
        <v>307</v>
      </c>
      <c r="N183" s="106">
        <v>224885</v>
      </c>
      <c r="O183" s="107">
        <f t="shared" si="12"/>
        <v>309583</v>
      </c>
      <c r="P183" s="105">
        <f t="shared" si="12"/>
        <v>84698</v>
      </c>
      <c r="Q183" s="106">
        <f t="shared" si="12"/>
        <v>224885</v>
      </c>
      <c r="R183" s="105">
        <f t="shared" si="11"/>
        <v>515.97166666666669</v>
      </c>
      <c r="S183" s="105">
        <f t="shared" si="11"/>
        <v>141.16333333333333</v>
      </c>
      <c r="T183" s="108">
        <f t="shared" si="11"/>
        <v>374.80833333333334</v>
      </c>
    </row>
    <row r="184" spans="1:20" s="66" customFormat="1" ht="12.75" x14ac:dyDescent="0.2">
      <c r="A184" s="109">
        <v>553</v>
      </c>
      <c r="B184" s="110">
        <v>1</v>
      </c>
      <c r="C184" s="103" t="s">
        <v>303</v>
      </c>
      <c r="D184" s="103">
        <v>6</v>
      </c>
      <c r="E184" s="104">
        <f>+SUMIF('GE16FEB14 Unfudged'!$A$2:$A$498, $A184, 'GE16FEB14 Unfudged'!$D$2:$D$498)</f>
        <v>791</v>
      </c>
      <c r="F184" s="104">
        <v>107993</v>
      </c>
      <c r="G184" s="105">
        <v>62117</v>
      </c>
      <c r="H184" s="106">
        <v>45876</v>
      </c>
      <c r="I184" s="107">
        <v>0</v>
      </c>
      <c r="J184" s="105">
        <v>0</v>
      </c>
      <c r="K184" s="106">
        <v>0</v>
      </c>
      <c r="L184" s="107">
        <v>365539</v>
      </c>
      <c r="M184" s="105">
        <v>152881</v>
      </c>
      <c r="N184" s="106">
        <v>212658</v>
      </c>
      <c r="O184" s="107">
        <f t="shared" si="12"/>
        <v>473532</v>
      </c>
      <c r="P184" s="105">
        <f t="shared" si="12"/>
        <v>214998</v>
      </c>
      <c r="Q184" s="106">
        <f t="shared" si="12"/>
        <v>258534</v>
      </c>
      <c r="R184" s="105">
        <f t="shared" si="11"/>
        <v>598.64981036662448</v>
      </c>
      <c r="S184" s="105">
        <f t="shared" si="11"/>
        <v>271.80530973451329</v>
      </c>
      <c r="T184" s="108">
        <f t="shared" si="11"/>
        <v>326.84450063211125</v>
      </c>
    </row>
    <row r="185" spans="1:20" s="66" customFormat="1" ht="12.75" x14ac:dyDescent="0.2">
      <c r="A185" s="109">
        <v>561</v>
      </c>
      <c r="B185" s="110">
        <v>1</v>
      </c>
      <c r="C185" s="103" t="s">
        <v>304</v>
      </c>
      <c r="D185" s="103">
        <v>6</v>
      </c>
      <c r="E185" s="104">
        <f>+SUMIF('GE16FEB14 Unfudged'!$A$2:$A$498, $A185, 'GE16FEB14 Unfudged'!$D$2:$D$498)</f>
        <v>224</v>
      </c>
      <c r="F185" s="104">
        <v>11180</v>
      </c>
      <c r="G185" s="105">
        <v>3113</v>
      </c>
      <c r="H185" s="106">
        <v>8067</v>
      </c>
      <c r="I185" s="107">
        <v>0</v>
      </c>
      <c r="J185" s="105">
        <v>0</v>
      </c>
      <c r="K185" s="106">
        <v>0</v>
      </c>
      <c r="L185" s="107">
        <v>639263</v>
      </c>
      <c r="M185" s="105">
        <v>269321</v>
      </c>
      <c r="N185" s="106">
        <v>369942</v>
      </c>
      <c r="O185" s="107">
        <f t="shared" si="12"/>
        <v>650443</v>
      </c>
      <c r="P185" s="105">
        <f t="shared" si="12"/>
        <v>272434</v>
      </c>
      <c r="Q185" s="106">
        <f t="shared" si="12"/>
        <v>378009</v>
      </c>
      <c r="R185" s="105">
        <f t="shared" si="11"/>
        <v>2903.7633928571427</v>
      </c>
      <c r="S185" s="105">
        <f t="shared" si="11"/>
        <v>1216.2232142857142</v>
      </c>
      <c r="T185" s="108">
        <f t="shared" si="11"/>
        <v>1687.5401785714287</v>
      </c>
    </row>
    <row r="186" spans="1:20" s="66" customFormat="1" ht="12.75" x14ac:dyDescent="0.2">
      <c r="A186" s="109">
        <v>564</v>
      </c>
      <c r="B186" s="110">
        <v>1</v>
      </c>
      <c r="C186" s="103" t="s">
        <v>305</v>
      </c>
      <c r="D186" s="103">
        <v>5</v>
      </c>
      <c r="E186" s="104">
        <f>+SUMIF('GE16FEB14 Unfudged'!$A$2:$A$498, $A186, 'GE16FEB14 Unfudged'!$D$2:$D$498)</f>
        <v>2178</v>
      </c>
      <c r="F186" s="104">
        <v>263172</v>
      </c>
      <c r="G186" s="105">
        <v>160144</v>
      </c>
      <c r="H186" s="106">
        <v>103028</v>
      </c>
      <c r="I186" s="107">
        <v>0</v>
      </c>
      <c r="J186" s="105">
        <v>0</v>
      </c>
      <c r="K186" s="106">
        <v>0</v>
      </c>
      <c r="L186" s="107">
        <v>1753347</v>
      </c>
      <c r="M186" s="105">
        <v>938229</v>
      </c>
      <c r="N186" s="106">
        <v>815118</v>
      </c>
      <c r="O186" s="107">
        <f t="shared" si="12"/>
        <v>2016519</v>
      </c>
      <c r="P186" s="105">
        <f t="shared" si="12"/>
        <v>1098373</v>
      </c>
      <c r="Q186" s="106">
        <f t="shared" si="12"/>
        <v>918146</v>
      </c>
      <c r="R186" s="105">
        <f t="shared" si="11"/>
        <v>925.85812672176314</v>
      </c>
      <c r="S186" s="105">
        <f t="shared" si="11"/>
        <v>504.30348943985308</v>
      </c>
      <c r="T186" s="108">
        <f t="shared" si="11"/>
        <v>421.55463728191</v>
      </c>
    </row>
    <row r="187" spans="1:20" s="66" customFormat="1" ht="12.75" x14ac:dyDescent="0.2">
      <c r="A187" s="109">
        <v>577</v>
      </c>
      <c r="B187" s="110">
        <v>1</v>
      </c>
      <c r="C187" s="103" t="s">
        <v>306</v>
      </c>
      <c r="D187" s="103">
        <v>6</v>
      </c>
      <c r="E187" s="104">
        <f>+SUMIF('GE16FEB14 Unfudged'!$A$2:$A$498, $A187, 'GE16FEB14 Unfudged'!$D$2:$D$498)</f>
        <v>457</v>
      </c>
      <c r="F187" s="104">
        <v>65808</v>
      </c>
      <c r="G187" s="105">
        <v>40161</v>
      </c>
      <c r="H187" s="106">
        <v>25647</v>
      </c>
      <c r="I187" s="107">
        <v>0</v>
      </c>
      <c r="J187" s="105">
        <v>0</v>
      </c>
      <c r="K187" s="106">
        <v>0</v>
      </c>
      <c r="L187" s="107">
        <v>137100</v>
      </c>
      <c r="M187" s="105">
        <v>48490</v>
      </c>
      <c r="N187" s="106">
        <v>88610</v>
      </c>
      <c r="O187" s="107">
        <f t="shared" si="12"/>
        <v>202908</v>
      </c>
      <c r="P187" s="105">
        <f t="shared" si="12"/>
        <v>88651</v>
      </c>
      <c r="Q187" s="106">
        <f t="shared" si="12"/>
        <v>114257</v>
      </c>
      <c r="R187" s="105">
        <f t="shared" si="11"/>
        <v>444</v>
      </c>
      <c r="S187" s="105">
        <f t="shared" si="11"/>
        <v>193.98468271334792</v>
      </c>
      <c r="T187" s="108">
        <f t="shared" si="11"/>
        <v>250.01531728665208</v>
      </c>
    </row>
    <row r="188" spans="1:20" s="66" customFormat="1" ht="12.75" x14ac:dyDescent="0.2">
      <c r="A188" s="109">
        <v>578</v>
      </c>
      <c r="B188" s="110">
        <v>1</v>
      </c>
      <c r="C188" s="103" t="s">
        <v>307</v>
      </c>
      <c r="D188" s="103">
        <v>5</v>
      </c>
      <c r="E188" s="104">
        <f>+SUMIF('GE16FEB14 Unfudged'!$A$2:$A$498, $A188, 'GE16FEB14 Unfudged'!$D$2:$D$498)</f>
        <v>1855</v>
      </c>
      <c r="F188" s="104">
        <v>217983</v>
      </c>
      <c r="G188" s="105">
        <v>131710</v>
      </c>
      <c r="H188" s="106">
        <v>86273</v>
      </c>
      <c r="I188" s="107">
        <v>0</v>
      </c>
      <c r="J188" s="105">
        <v>0</v>
      </c>
      <c r="K188" s="106">
        <v>0</v>
      </c>
      <c r="L188" s="107">
        <v>1628977</v>
      </c>
      <c r="M188" s="105">
        <v>929556</v>
      </c>
      <c r="N188" s="106">
        <v>699421</v>
      </c>
      <c r="O188" s="107">
        <f t="shared" si="12"/>
        <v>1846960</v>
      </c>
      <c r="P188" s="105">
        <f t="shared" si="12"/>
        <v>1061266</v>
      </c>
      <c r="Q188" s="106">
        <f t="shared" si="12"/>
        <v>785694</v>
      </c>
      <c r="R188" s="105">
        <f t="shared" si="11"/>
        <v>995.6657681940701</v>
      </c>
      <c r="S188" s="105">
        <f t="shared" si="11"/>
        <v>572.11105121293804</v>
      </c>
      <c r="T188" s="108">
        <f t="shared" si="11"/>
        <v>423.55471698113206</v>
      </c>
    </row>
    <row r="189" spans="1:20" s="66" customFormat="1" ht="12.75" x14ac:dyDescent="0.2">
      <c r="A189" s="109">
        <v>581</v>
      </c>
      <c r="B189" s="110">
        <v>1</v>
      </c>
      <c r="C189" s="103" t="s">
        <v>308</v>
      </c>
      <c r="D189" s="103">
        <v>6</v>
      </c>
      <c r="E189" s="104">
        <f>+SUMIF('GE16FEB14 Unfudged'!$A$2:$A$498, $A189, 'GE16FEB14 Unfudged'!$D$2:$D$498)</f>
        <v>395</v>
      </c>
      <c r="F189" s="104">
        <v>43805</v>
      </c>
      <c r="G189" s="105">
        <v>33692</v>
      </c>
      <c r="H189" s="106">
        <v>10113</v>
      </c>
      <c r="I189" s="107">
        <v>0</v>
      </c>
      <c r="J189" s="105">
        <v>0</v>
      </c>
      <c r="K189" s="106">
        <v>0</v>
      </c>
      <c r="L189" s="107">
        <v>402161</v>
      </c>
      <c r="M189" s="105">
        <v>294657</v>
      </c>
      <c r="N189" s="106">
        <v>107504</v>
      </c>
      <c r="O189" s="107">
        <f t="shared" si="12"/>
        <v>445966</v>
      </c>
      <c r="P189" s="105">
        <f t="shared" si="12"/>
        <v>328349</v>
      </c>
      <c r="Q189" s="106">
        <f t="shared" si="12"/>
        <v>117617</v>
      </c>
      <c r="R189" s="105">
        <f t="shared" si="11"/>
        <v>1129.0278481012658</v>
      </c>
      <c r="S189" s="105">
        <f t="shared" si="11"/>
        <v>831.26329113924055</v>
      </c>
      <c r="T189" s="108">
        <f t="shared" si="11"/>
        <v>297.76455696202532</v>
      </c>
    </row>
    <row r="190" spans="1:20" s="66" customFormat="1" ht="12.75" x14ac:dyDescent="0.2">
      <c r="A190" s="109">
        <v>592</v>
      </c>
      <c r="B190" s="110">
        <v>1</v>
      </c>
      <c r="C190" s="103" t="s">
        <v>309</v>
      </c>
      <c r="D190" s="103">
        <v>6</v>
      </c>
      <c r="E190" s="104">
        <f>+SUMIF('GE16FEB14 Unfudged'!$A$2:$A$498, $A190, 'GE16FEB14 Unfudged'!$D$2:$D$498)</f>
        <v>129</v>
      </c>
      <c r="F190" s="104">
        <v>6425</v>
      </c>
      <c r="G190" s="105">
        <v>2244</v>
      </c>
      <c r="H190" s="106">
        <v>4181</v>
      </c>
      <c r="I190" s="107">
        <v>0</v>
      </c>
      <c r="J190" s="105">
        <v>0</v>
      </c>
      <c r="K190" s="106">
        <v>0</v>
      </c>
      <c r="L190" s="107">
        <v>288966</v>
      </c>
      <c r="M190" s="105">
        <v>145969</v>
      </c>
      <c r="N190" s="106">
        <v>142997</v>
      </c>
      <c r="O190" s="107">
        <f t="shared" si="12"/>
        <v>295391</v>
      </c>
      <c r="P190" s="105">
        <f t="shared" si="12"/>
        <v>148213</v>
      </c>
      <c r="Q190" s="106">
        <f t="shared" si="12"/>
        <v>147178</v>
      </c>
      <c r="R190" s="105">
        <f t="shared" si="11"/>
        <v>2289.8527131782944</v>
      </c>
      <c r="S190" s="105">
        <f t="shared" si="11"/>
        <v>1148.937984496124</v>
      </c>
      <c r="T190" s="108">
        <f t="shared" si="11"/>
        <v>1140.9147286821706</v>
      </c>
    </row>
    <row r="191" spans="1:20" s="66" customFormat="1" ht="12.75" x14ac:dyDescent="0.2">
      <c r="A191" s="109">
        <v>593</v>
      </c>
      <c r="B191" s="110">
        <v>1</v>
      </c>
      <c r="C191" s="103" t="s">
        <v>310</v>
      </c>
      <c r="D191" s="103">
        <v>5</v>
      </c>
      <c r="E191" s="104">
        <f>+SUMIF('GE16FEB14 Unfudged'!$A$2:$A$498, $A191, 'GE16FEB14 Unfudged'!$D$2:$D$498)</f>
        <v>1399</v>
      </c>
      <c r="F191" s="104">
        <v>122434</v>
      </c>
      <c r="G191" s="105">
        <v>60196</v>
      </c>
      <c r="H191" s="106">
        <v>62238</v>
      </c>
      <c r="I191" s="107">
        <v>0</v>
      </c>
      <c r="J191" s="105">
        <v>0</v>
      </c>
      <c r="K191" s="106">
        <v>0</v>
      </c>
      <c r="L191" s="107">
        <v>2144706</v>
      </c>
      <c r="M191" s="105">
        <v>1386302</v>
      </c>
      <c r="N191" s="106">
        <v>758404</v>
      </c>
      <c r="O191" s="107">
        <f t="shared" si="12"/>
        <v>2267140</v>
      </c>
      <c r="P191" s="105">
        <f t="shared" si="12"/>
        <v>1446498</v>
      </c>
      <c r="Q191" s="106">
        <f t="shared" si="12"/>
        <v>820642</v>
      </c>
      <c r="R191" s="105">
        <f t="shared" si="11"/>
        <v>1620.5432451751251</v>
      </c>
      <c r="S191" s="105">
        <f t="shared" si="11"/>
        <v>1033.9513938527521</v>
      </c>
      <c r="T191" s="108">
        <f t="shared" si="11"/>
        <v>586.59185132237315</v>
      </c>
    </row>
    <row r="192" spans="1:20" s="66" customFormat="1" ht="12.75" x14ac:dyDescent="0.2">
      <c r="A192" s="109">
        <v>595</v>
      </c>
      <c r="B192" s="110">
        <v>1</v>
      </c>
      <c r="C192" s="103" t="s">
        <v>311</v>
      </c>
      <c r="D192" s="103">
        <v>5</v>
      </c>
      <c r="E192" s="104">
        <f>+SUMIF('GE16FEB14 Unfudged'!$A$2:$A$498, $A192, 'GE16FEB14 Unfudged'!$D$2:$D$498)</f>
        <v>1820</v>
      </c>
      <c r="F192" s="104">
        <v>230334</v>
      </c>
      <c r="G192" s="105">
        <v>144666</v>
      </c>
      <c r="H192" s="106">
        <v>85668</v>
      </c>
      <c r="I192" s="107">
        <v>0</v>
      </c>
      <c r="J192" s="105">
        <v>0</v>
      </c>
      <c r="K192" s="106">
        <v>0</v>
      </c>
      <c r="L192" s="107">
        <v>1238455</v>
      </c>
      <c r="M192" s="105">
        <v>633650</v>
      </c>
      <c r="N192" s="106">
        <v>604805</v>
      </c>
      <c r="O192" s="107">
        <f t="shared" si="12"/>
        <v>1468789</v>
      </c>
      <c r="P192" s="105">
        <f t="shared" si="12"/>
        <v>778316</v>
      </c>
      <c r="Q192" s="106">
        <f t="shared" si="12"/>
        <v>690473</v>
      </c>
      <c r="R192" s="105">
        <f t="shared" si="11"/>
        <v>807.02692307692303</v>
      </c>
      <c r="S192" s="105">
        <f t="shared" si="11"/>
        <v>427.64615384615382</v>
      </c>
      <c r="T192" s="108">
        <f t="shared" si="11"/>
        <v>379.3807692307692</v>
      </c>
    </row>
    <row r="193" spans="1:20" s="66" customFormat="1" ht="12.75" x14ac:dyDescent="0.2">
      <c r="A193" s="109">
        <v>599</v>
      </c>
      <c r="B193" s="110">
        <v>1</v>
      </c>
      <c r="C193" s="103" t="s">
        <v>312</v>
      </c>
      <c r="D193" s="103">
        <v>6</v>
      </c>
      <c r="E193" s="104">
        <f>+SUMIF('GE16FEB14 Unfudged'!$A$2:$A$498, $A193, 'GE16FEB14 Unfudged'!$D$2:$D$498)</f>
        <v>476</v>
      </c>
      <c r="F193" s="104">
        <v>49104</v>
      </c>
      <c r="G193" s="105">
        <v>32896</v>
      </c>
      <c r="H193" s="106">
        <v>16208</v>
      </c>
      <c r="I193" s="107">
        <v>0</v>
      </c>
      <c r="J193" s="105">
        <v>0</v>
      </c>
      <c r="K193" s="106">
        <v>0</v>
      </c>
      <c r="L193" s="107">
        <v>565441</v>
      </c>
      <c r="M193" s="105">
        <v>405945</v>
      </c>
      <c r="N193" s="106">
        <v>159496</v>
      </c>
      <c r="O193" s="107">
        <f t="shared" si="12"/>
        <v>614545</v>
      </c>
      <c r="P193" s="105">
        <f t="shared" si="12"/>
        <v>438841</v>
      </c>
      <c r="Q193" s="106">
        <f t="shared" si="12"/>
        <v>175704</v>
      </c>
      <c r="R193" s="105">
        <f t="shared" si="11"/>
        <v>1291.0609243697479</v>
      </c>
      <c r="S193" s="105">
        <f t="shared" si="11"/>
        <v>921.93487394957981</v>
      </c>
      <c r="T193" s="108">
        <f t="shared" si="11"/>
        <v>369.12605042016804</v>
      </c>
    </row>
    <row r="194" spans="1:20" s="66" customFormat="1" ht="12.75" x14ac:dyDescent="0.2">
      <c r="A194" s="109">
        <v>600</v>
      </c>
      <c r="B194" s="110">
        <v>1</v>
      </c>
      <c r="C194" s="103" t="s">
        <v>313</v>
      </c>
      <c r="D194" s="103">
        <v>6</v>
      </c>
      <c r="E194" s="104">
        <f>+SUMIF('GE16FEB14 Unfudged'!$A$2:$A$498, $A194, 'GE16FEB14 Unfudged'!$D$2:$D$498)</f>
        <v>270</v>
      </c>
      <c r="F194" s="104">
        <v>31580</v>
      </c>
      <c r="G194" s="105">
        <v>19752</v>
      </c>
      <c r="H194" s="106">
        <v>11828</v>
      </c>
      <c r="I194" s="107">
        <v>0</v>
      </c>
      <c r="J194" s="105">
        <v>0</v>
      </c>
      <c r="K194" s="106">
        <v>0</v>
      </c>
      <c r="L194" s="107">
        <v>238508</v>
      </c>
      <c r="M194" s="105">
        <v>77667</v>
      </c>
      <c r="N194" s="106">
        <v>160841</v>
      </c>
      <c r="O194" s="107">
        <f t="shared" si="12"/>
        <v>270088</v>
      </c>
      <c r="P194" s="105">
        <f t="shared" si="12"/>
        <v>97419</v>
      </c>
      <c r="Q194" s="106">
        <f t="shared" si="12"/>
        <v>172669</v>
      </c>
      <c r="R194" s="105">
        <f t="shared" si="11"/>
        <v>1000.325925925926</v>
      </c>
      <c r="S194" s="105">
        <f t="shared" si="11"/>
        <v>360.81111111111113</v>
      </c>
      <c r="T194" s="108">
        <f t="shared" si="11"/>
        <v>639.51481481481483</v>
      </c>
    </row>
    <row r="195" spans="1:20" s="66" customFormat="1" ht="12.75" x14ac:dyDescent="0.2">
      <c r="A195" s="109">
        <v>601</v>
      </c>
      <c r="B195" s="110">
        <v>1</v>
      </c>
      <c r="C195" s="103" t="s">
        <v>314</v>
      </c>
      <c r="D195" s="103">
        <v>6</v>
      </c>
      <c r="E195" s="104">
        <f>+SUMIF('GE16FEB14 Unfudged'!$A$2:$A$498, $A195, 'GE16FEB14 Unfudged'!$D$2:$D$498)</f>
        <v>682</v>
      </c>
      <c r="F195" s="104">
        <v>71410</v>
      </c>
      <c r="G195" s="105">
        <v>37520</v>
      </c>
      <c r="H195" s="106">
        <v>33890</v>
      </c>
      <c r="I195" s="107">
        <v>0</v>
      </c>
      <c r="J195" s="105">
        <v>0</v>
      </c>
      <c r="K195" s="106">
        <v>0</v>
      </c>
      <c r="L195" s="107">
        <v>790506</v>
      </c>
      <c r="M195" s="105">
        <v>478489</v>
      </c>
      <c r="N195" s="106">
        <v>312017</v>
      </c>
      <c r="O195" s="107">
        <f t="shared" si="12"/>
        <v>861916</v>
      </c>
      <c r="P195" s="105">
        <f t="shared" si="12"/>
        <v>516009</v>
      </c>
      <c r="Q195" s="106">
        <f t="shared" si="12"/>
        <v>345907</v>
      </c>
      <c r="R195" s="105">
        <f t="shared" si="11"/>
        <v>1263.8064516129032</v>
      </c>
      <c r="S195" s="105">
        <f t="shared" si="11"/>
        <v>756.61143695014664</v>
      </c>
      <c r="T195" s="108">
        <f t="shared" si="11"/>
        <v>507.19501466275659</v>
      </c>
    </row>
    <row r="196" spans="1:20" s="66" customFormat="1" ht="12.75" x14ac:dyDescent="0.2">
      <c r="A196" s="109">
        <v>621</v>
      </c>
      <c r="B196" s="110">
        <v>1</v>
      </c>
      <c r="C196" s="103" t="s">
        <v>315</v>
      </c>
      <c r="D196" s="103">
        <v>3</v>
      </c>
      <c r="E196" s="104">
        <f>+SUMIF('GE16FEB14 Unfudged'!$A$2:$A$498, $A196, 'GE16FEB14 Unfudged'!$D$2:$D$498)</f>
        <v>11360</v>
      </c>
      <c r="F196" s="104">
        <v>1160431</v>
      </c>
      <c r="G196" s="105">
        <v>1160431</v>
      </c>
      <c r="H196" s="106">
        <v>0</v>
      </c>
      <c r="I196" s="107">
        <v>4816810</v>
      </c>
      <c r="J196" s="105">
        <v>4816810</v>
      </c>
      <c r="K196" s="106">
        <v>0</v>
      </c>
      <c r="L196" s="107">
        <v>13079910</v>
      </c>
      <c r="M196" s="105">
        <v>12302644</v>
      </c>
      <c r="N196" s="106">
        <v>777266</v>
      </c>
      <c r="O196" s="107">
        <f t="shared" si="12"/>
        <v>19057151</v>
      </c>
      <c r="P196" s="105">
        <f t="shared" si="12"/>
        <v>18279885</v>
      </c>
      <c r="Q196" s="106">
        <f t="shared" si="12"/>
        <v>777266</v>
      </c>
      <c r="R196" s="105">
        <f t="shared" si="11"/>
        <v>1677.5661091549296</v>
      </c>
      <c r="S196" s="105">
        <f t="shared" si="11"/>
        <v>1609.1448063380283</v>
      </c>
      <c r="T196" s="108">
        <f t="shared" si="11"/>
        <v>68.421302816901402</v>
      </c>
    </row>
    <row r="197" spans="1:20" s="66" customFormat="1" ht="12.75" x14ac:dyDescent="0.2">
      <c r="A197" s="109">
        <v>622</v>
      </c>
      <c r="B197" s="110">
        <v>1</v>
      </c>
      <c r="C197" s="103" t="s">
        <v>316</v>
      </c>
      <c r="D197" s="103">
        <v>2</v>
      </c>
      <c r="E197" s="104">
        <f>+SUMIF('GE16FEB14 Unfudged'!$A$2:$A$498, $A197, 'GE16FEB14 Unfudged'!$D$2:$D$498)</f>
        <v>11790</v>
      </c>
      <c r="F197" s="104">
        <v>1803953</v>
      </c>
      <c r="G197" s="105">
        <v>1803953</v>
      </c>
      <c r="H197" s="106">
        <v>0</v>
      </c>
      <c r="I197" s="107">
        <v>4999130</v>
      </c>
      <c r="J197" s="105">
        <v>4999130</v>
      </c>
      <c r="K197" s="106">
        <v>0</v>
      </c>
      <c r="L197" s="107">
        <v>5763973</v>
      </c>
      <c r="M197" s="105">
        <v>4337292</v>
      </c>
      <c r="N197" s="106">
        <v>1426681</v>
      </c>
      <c r="O197" s="107">
        <f t="shared" si="12"/>
        <v>12567056</v>
      </c>
      <c r="P197" s="105">
        <f t="shared" si="12"/>
        <v>11140375</v>
      </c>
      <c r="Q197" s="106">
        <f t="shared" si="12"/>
        <v>1426681</v>
      </c>
      <c r="R197" s="105">
        <f t="shared" si="11"/>
        <v>1065.9080576759966</v>
      </c>
      <c r="S197" s="105">
        <f t="shared" si="11"/>
        <v>944.90033927056822</v>
      </c>
      <c r="T197" s="108">
        <f t="shared" si="11"/>
        <v>121.00771840542834</v>
      </c>
    </row>
    <row r="198" spans="1:20" s="66" customFormat="1" ht="12.75" x14ac:dyDescent="0.2">
      <c r="A198" s="109">
        <v>623</v>
      </c>
      <c r="B198" s="110">
        <v>1</v>
      </c>
      <c r="C198" s="103" t="s">
        <v>317</v>
      </c>
      <c r="D198" s="103">
        <v>2</v>
      </c>
      <c r="E198" s="104">
        <f>+SUMIF('GE16FEB14 Unfudged'!$A$2:$A$498, $A198, 'GE16FEB14 Unfudged'!$D$2:$D$498)</f>
        <v>7887</v>
      </c>
      <c r="F198" s="104">
        <v>831991</v>
      </c>
      <c r="G198" s="105">
        <v>831991</v>
      </c>
      <c r="H198" s="106">
        <v>0</v>
      </c>
      <c r="I198" s="107">
        <v>3344003</v>
      </c>
      <c r="J198" s="105">
        <v>3344003</v>
      </c>
      <c r="K198" s="106">
        <v>0</v>
      </c>
      <c r="L198" s="107">
        <v>8736918</v>
      </c>
      <c r="M198" s="105">
        <v>8256778</v>
      </c>
      <c r="N198" s="106">
        <v>480140</v>
      </c>
      <c r="O198" s="107">
        <f t="shared" si="12"/>
        <v>12912912</v>
      </c>
      <c r="P198" s="105">
        <f t="shared" si="12"/>
        <v>12432772</v>
      </c>
      <c r="Q198" s="106">
        <f t="shared" si="12"/>
        <v>480140</v>
      </c>
      <c r="R198" s="105">
        <f t="shared" si="11"/>
        <v>1637.2400152149105</v>
      </c>
      <c r="S198" s="105">
        <f t="shared" si="11"/>
        <v>1576.3626220362621</v>
      </c>
      <c r="T198" s="108">
        <f t="shared" si="11"/>
        <v>60.877393178648411</v>
      </c>
    </row>
    <row r="199" spans="1:20" s="66" customFormat="1" ht="12.75" x14ac:dyDescent="0.2">
      <c r="A199" s="109">
        <v>624</v>
      </c>
      <c r="B199" s="110">
        <v>1</v>
      </c>
      <c r="C199" s="103" t="s">
        <v>318</v>
      </c>
      <c r="D199" s="103">
        <v>3</v>
      </c>
      <c r="E199" s="104">
        <f>+SUMIF('GE16FEB14 Unfudged'!$A$2:$A$498, $A199, 'GE16FEB14 Unfudged'!$D$2:$D$498)</f>
        <v>8949</v>
      </c>
      <c r="F199" s="104">
        <v>723638</v>
      </c>
      <c r="G199" s="105">
        <v>723638</v>
      </c>
      <c r="H199" s="106">
        <v>0</v>
      </c>
      <c r="I199" s="107">
        <v>3794567</v>
      </c>
      <c r="J199" s="105">
        <v>3794567</v>
      </c>
      <c r="K199" s="106">
        <v>0</v>
      </c>
      <c r="L199" s="107">
        <v>12785990</v>
      </c>
      <c r="M199" s="105">
        <v>11985679</v>
      </c>
      <c r="N199" s="106">
        <v>800311</v>
      </c>
      <c r="O199" s="107">
        <f t="shared" si="12"/>
        <v>17304195</v>
      </c>
      <c r="P199" s="105">
        <f t="shared" si="12"/>
        <v>16503884</v>
      </c>
      <c r="Q199" s="106">
        <f t="shared" si="12"/>
        <v>800311</v>
      </c>
      <c r="R199" s="105">
        <f t="shared" si="11"/>
        <v>1933.6456587328194</v>
      </c>
      <c r="S199" s="105">
        <f t="shared" si="11"/>
        <v>1844.2154430662645</v>
      </c>
      <c r="T199" s="108">
        <f t="shared" si="11"/>
        <v>89.430215666554929</v>
      </c>
    </row>
    <row r="200" spans="1:20" s="66" customFormat="1" ht="12.75" x14ac:dyDescent="0.2">
      <c r="A200" s="109">
        <v>625</v>
      </c>
      <c r="B200" s="110">
        <v>1</v>
      </c>
      <c r="C200" s="103" t="s">
        <v>319</v>
      </c>
      <c r="D200" s="103">
        <v>1</v>
      </c>
      <c r="E200" s="104">
        <f>+SUMIF('GE16FEB14 Unfudged'!$A$2:$A$498, $A200, 'GE16FEB14 Unfudged'!$D$2:$D$498)</f>
        <v>40728</v>
      </c>
      <c r="F200" s="104">
        <v>2036400</v>
      </c>
      <c r="G200" s="105">
        <v>1429379</v>
      </c>
      <c r="H200" s="106">
        <v>607021</v>
      </c>
      <c r="I200" s="107">
        <v>17268672</v>
      </c>
      <c r="J200" s="105">
        <v>12121134</v>
      </c>
      <c r="K200" s="106">
        <v>5147538</v>
      </c>
      <c r="L200" s="107">
        <v>26043112</v>
      </c>
      <c r="M200" s="105">
        <v>14674108</v>
      </c>
      <c r="N200" s="106">
        <v>11369004</v>
      </c>
      <c r="O200" s="107">
        <f t="shared" si="12"/>
        <v>45348184</v>
      </c>
      <c r="P200" s="105">
        <f t="shared" si="12"/>
        <v>28224621</v>
      </c>
      <c r="Q200" s="106">
        <f t="shared" si="12"/>
        <v>17123563</v>
      </c>
      <c r="R200" s="105">
        <f t="shared" si="11"/>
        <v>1113.4399921429974</v>
      </c>
      <c r="S200" s="105">
        <f t="shared" si="11"/>
        <v>693.00287271655861</v>
      </c>
      <c r="T200" s="108">
        <f t="shared" si="11"/>
        <v>420.43711942643881</v>
      </c>
    </row>
    <row r="201" spans="1:20" s="66" customFormat="1" ht="12.75" x14ac:dyDescent="0.2">
      <c r="A201" s="109">
        <v>630</v>
      </c>
      <c r="B201" s="110">
        <v>1</v>
      </c>
      <c r="C201" s="103" t="s">
        <v>320</v>
      </c>
      <c r="D201" s="103">
        <v>6</v>
      </c>
      <c r="E201" s="104">
        <f>+SUMIF('GE16FEB14 Unfudged'!$A$2:$A$498, $A201, 'GE16FEB14 Unfudged'!$D$2:$D$498)</f>
        <v>401</v>
      </c>
      <c r="F201" s="104">
        <v>32458</v>
      </c>
      <c r="G201" s="105">
        <v>12091</v>
      </c>
      <c r="H201" s="106">
        <v>20367</v>
      </c>
      <c r="I201" s="107">
        <v>0</v>
      </c>
      <c r="J201" s="105">
        <v>0</v>
      </c>
      <c r="K201" s="106">
        <v>0</v>
      </c>
      <c r="L201" s="107">
        <v>670456</v>
      </c>
      <c r="M201" s="105">
        <v>334354</v>
      </c>
      <c r="N201" s="106">
        <v>336102</v>
      </c>
      <c r="O201" s="107">
        <f t="shared" si="12"/>
        <v>702914</v>
      </c>
      <c r="P201" s="105">
        <f t="shared" si="12"/>
        <v>346445</v>
      </c>
      <c r="Q201" s="106">
        <f t="shared" si="12"/>
        <v>356469</v>
      </c>
      <c r="R201" s="105">
        <f t="shared" si="11"/>
        <v>1752.9027431421446</v>
      </c>
      <c r="S201" s="105">
        <f t="shared" si="11"/>
        <v>863.95261845386528</v>
      </c>
      <c r="T201" s="108">
        <f t="shared" si="11"/>
        <v>888.95012468827929</v>
      </c>
    </row>
    <row r="202" spans="1:20" s="66" customFormat="1" ht="12.75" x14ac:dyDescent="0.2">
      <c r="A202" s="109">
        <v>635</v>
      </c>
      <c r="B202" s="110">
        <v>1</v>
      </c>
      <c r="C202" s="103" t="s">
        <v>321</v>
      </c>
      <c r="D202" s="103">
        <v>6</v>
      </c>
      <c r="E202" s="104">
        <f>+SUMIF('GE16FEB14 Unfudged'!$A$2:$A$498, $A202, 'GE16FEB14 Unfudged'!$D$2:$D$498)</f>
        <v>56</v>
      </c>
      <c r="F202" s="104">
        <v>2820</v>
      </c>
      <c r="G202" s="105">
        <v>1687</v>
      </c>
      <c r="H202" s="106">
        <v>1133</v>
      </c>
      <c r="I202" s="107">
        <v>0</v>
      </c>
      <c r="J202" s="105">
        <v>0</v>
      </c>
      <c r="K202" s="106">
        <v>0</v>
      </c>
      <c r="L202" s="107">
        <v>195026</v>
      </c>
      <c r="M202" s="105">
        <v>159223</v>
      </c>
      <c r="N202" s="106">
        <v>35803</v>
      </c>
      <c r="O202" s="107">
        <f t="shared" si="12"/>
        <v>197846</v>
      </c>
      <c r="P202" s="105">
        <f t="shared" si="12"/>
        <v>160910</v>
      </c>
      <c r="Q202" s="106">
        <f t="shared" si="12"/>
        <v>36936</v>
      </c>
      <c r="R202" s="105">
        <f t="shared" si="11"/>
        <v>3532.9642857142858</v>
      </c>
      <c r="S202" s="105">
        <f t="shared" si="11"/>
        <v>2873.3928571428573</v>
      </c>
      <c r="T202" s="108">
        <f t="shared" si="11"/>
        <v>659.57142857142856</v>
      </c>
    </row>
    <row r="203" spans="1:20" s="66" customFormat="1" ht="12.75" x14ac:dyDescent="0.2">
      <c r="A203" s="109">
        <v>640</v>
      </c>
      <c r="B203" s="110">
        <v>1</v>
      </c>
      <c r="C203" s="103" t="s">
        <v>322</v>
      </c>
      <c r="D203" s="103">
        <v>6</v>
      </c>
      <c r="E203" s="104">
        <f>+SUMIF('GE16FEB14 Unfudged'!$A$2:$A$498, $A203, 'GE16FEB14 Unfudged'!$D$2:$D$498)</f>
        <v>372</v>
      </c>
      <c r="F203" s="104">
        <v>40518</v>
      </c>
      <c r="G203" s="105">
        <v>23620</v>
      </c>
      <c r="H203" s="106">
        <v>16898</v>
      </c>
      <c r="I203" s="107">
        <v>0</v>
      </c>
      <c r="J203" s="105">
        <v>0</v>
      </c>
      <c r="K203" s="106">
        <v>0</v>
      </c>
      <c r="L203" s="107">
        <v>396933</v>
      </c>
      <c r="M203" s="105">
        <v>251592</v>
      </c>
      <c r="N203" s="106">
        <v>145341</v>
      </c>
      <c r="O203" s="107">
        <f t="shared" si="12"/>
        <v>437451</v>
      </c>
      <c r="P203" s="105">
        <f t="shared" si="12"/>
        <v>275212</v>
      </c>
      <c r="Q203" s="106">
        <f t="shared" si="12"/>
        <v>162239</v>
      </c>
      <c r="R203" s="105">
        <f t="shared" si="11"/>
        <v>1175.9435483870968</v>
      </c>
      <c r="S203" s="105">
        <f t="shared" si="11"/>
        <v>739.81720430107532</v>
      </c>
      <c r="T203" s="108">
        <f t="shared" si="11"/>
        <v>436.1263440860215</v>
      </c>
    </row>
    <row r="204" spans="1:20" s="66" customFormat="1" ht="12.75" x14ac:dyDescent="0.2">
      <c r="A204" s="109">
        <v>656</v>
      </c>
      <c r="B204" s="110">
        <v>1</v>
      </c>
      <c r="C204" s="103" t="s">
        <v>126</v>
      </c>
      <c r="D204" s="103">
        <v>4</v>
      </c>
      <c r="E204" s="104">
        <f>+SUMIF('GE16FEB14 Unfudged'!$A$2:$A$498, $A204, 'GE16FEB14 Unfudged'!$D$2:$D$498)</f>
        <v>4097</v>
      </c>
      <c r="F204" s="104">
        <v>469384</v>
      </c>
      <c r="G204" s="105">
        <v>337402</v>
      </c>
      <c r="H204" s="106">
        <v>131982</v>
      </c>
      <c r="I204" s="107">
        <v>868606</v>
      </c>
      <c r="J204" s="105">
        <v>624369</v>
      </c>
      <c r="K204" s="106">
        <v>244237</v>
      </c>
      <c r="L204" s="107">
        <v>3859972</v>
      </c>
      <c r="M204" s="105">
        <v>2612917</v>
      </c>
      <c r="N204" s="106">
        <v>1247055</v>
      </c>
      <c r="O204" s="107">
        <f t="shared" si="12"/>
        <v>5197962</v>
      </c>
      <c r="P204" s="105">
        <f t="shared" si="12"/>
        <v>3574688</v>
      </c>
      <c r="Q204" s="106">
        <f t="shared" si="12"/>
        <v>1623274</v>
      </c>
      <c r="R204" s="105">
        <f t="shared" si="11"/>
        <v>1268.7239443495241</v>
      </c>
      <c r="S204" s="105">
        <f t="shared" si="11"/>
        <v>872.51354649743712</v>
      </c>
      <c r="T204" s="108">
        <f t="shared" si="11"/>
        <v>396.21039785208688</v>
      </c>
    </row>
    <row r="205" spans="1:20" s="66" customFormat="1" ht="12.75" x14ac:dyDescent="0.2">
      <c r="A205" s="109">
        <v>659</v>
      </c>
      <c r="B205" s="110">
        <v>1</v>
      </c>
      <c r="C205" s="103" t="s">
        <v>323</v>
      </c>
      <c r="D205" s="103">
        <v>3</v>
      </c>
      <c r="E205" s="104">
        <f>+SUMIF('GE16FEB14 Unfudged'!$A$2:$A$498, $A205, 'GE16FEB14 Unfudged'!$D$2:$D$498)</f>
        <v>4029</v>
      </c>
      <c r="F205" s="104">
        <v>376706</v>
      </c>
      <c r="G205" s="105">
        <v>330398</v>
      </c>
      <c r="H205" s="106">
        <v>46308</v>
      </c>
      <c r="I205" s="107">
        <v>1708211</v>
      </c>
      <c r="J205" s="105">
        <v>1498224</v>
      </c>
      <c r="K205" s="106">
        <v>209987</v>
      </c>
      <c r="L205" s="107">
        <v>5646121</v>
      </c>
      <c r="M205" s="105">
        <v>4824021</v>
      </c>
      <c r="N205" s="106">
        <v>822100</v>
      </c>
      <c r="O205" s="107">
        <f t="shared" si="12"/>
        <v>7731038</v>
      </c>
      <c r="P205" s="105">
        <f t="shared" si="12"/>
        <v>6652643</v>
      </c>
      <c r="Q205" s="106">
        <f t="shared" si="12"/>
        <v>1078395</v>
      </c>
      <c r="R205" s="105">
        <f t="shared" si="11"/>
        <v>1918.8478530652767</v>
      </c>
      <c r="S205" s="105">
        <f t="shared" si="11"/>
        <v>1651.1896252171755</v>
      </c>
      <c r="T205" s="108">
        <f t="shared" si="11"/>
        <v>267.65822784810126</v>
      </c>
    </row>
    <row r="206" spans="1:20" s="66" customFormat="1" ht="12.75" x14ac:dyDescent="0.2">
      <c r="A206" s="109">
        <v>671</v>
      </c>
      <c r="B206" s="110">
        <v>1</v>
      </c>
      <c r="C206" s="103" t="s">
        <v>324</v>
      </c>
      <c r="D206" s="103">
        <v>6</v>
      </c>
      <c r="E206" s="104">
        <f>+SUMIF('GE16FEB14 Unfudged'!$A$2:$A$498, $A206, 'GE16FEB14 Unfudged'!$D$2:$D$498)</f>
        <v>369</v>
      </c>
      <c r="F206" s="104">
        <v>30796</v>
      </c>
      <c r="G206" s="105">
        <v>14391</v>
      </c>
      <c r="H206" s="106">
        <v>16405</v>
      </c>
      <c r="I206" s="107">
        <v>0</v>
      </c>
      <c r="J206" s="105">
        <v>0</v>
      </c>
      <c r="K206" s="106">
        <v>0</v>
      </c>
      <c r="L206" s="107">
        <v>596601</v>
      </c>
      <c r="M206" s="105">
        <v>369255</v>
      </c>
      <c r="N206" s="106">
        <v>227346</v>
      </c>
      <c r="O206" s="107">
        <f t="shared" si="12"/>
        <v>627397</v>
      </c>
      <c r="P206" s="105">
        <f t="shared" si="12"/>
        <v>383646</v>
      </c>
      <c r="Q206" s="106">
        <f t="shared" si="12"/>
        <v>243751</v>
      </c>
      <c r="R206" s="105">
        <f t="shared" si="11"/>
        <v>1700.2628726287262</v>
      </c>
      <c r="S206" s="105">
        <f t="shared" si="11"/>
        <v>1039.6910569105692</v>
      </c>
      <c r="T206" s="108">
        <f t="shared" si="11"/>
        <v>660.57181571815715</v>
      </c>
    </row>
    <row r="207" spans="1:20" s="66" customFormat="1" ht="12.75" x14ac:dyDescent="0.2">
      <c r="A207" s="109">
        <v>676</v>
      </c>
      <c r="B207" s="110">
        <v>1</v>
      </c>
      <c r="C207" s="103" t="s">
        <v>325</v>
      </c>
      <c r="D207" s="103">
        <v>6</v>
      </c>
      <c r="E207" s="104">
        <f>+SUMIF('GE16FEB14 Unfudged'!$A$2:$A$498, $A207, 'GE16FEB14 Unfudged'!$D$2:$D$498)</f>
        <v>218</v>
      </c>
      <c r="F207" s="104">
        <v>10878</v>
      </c>
      <c r="G207" s="105">
        <v>3449</v>
      </c>
      <c r="H207" s="106">
        <v>7429</v>
      </c>
      <c r="I207" s="107">
        <v>0</v>
      </c>
      <c r="J207" s="105">
        <v>0</v>
      </c>
      <c r="K207" s="106">
        <v>0</v>
      </c>
      <c r="L207" s="107">
        <v>444883</v>
      </c>
      <c r="M207" s="105">
        <v>199602</v>
      </c>
      <c r="N207" s="106">
        <v>245281</v>
      </c>
      <c r="O207" s="107">
        <f t="shared" si="12"/>
        <v>455761</v>
      </c>
      <c r="P207" s="105">
        <f t="shared" si="12"/>
        <v>203051</v>
      </c>
      <c r="Q207" s="106">
        <f t="shared" si="12"/>
        <v>252710</v>
      </c>
      <c r="R207" s="105">
        <f t="shared" si="11"/>
        <v>2090.6467889908258</v>
      </c>
      <c r="S207" s="105">
        <f t="shared" si="11"/>
        <v>931.4266055045872</v>
      </c>
      <c r="T207" s="108">
        <f t="shared" si="11"/>
        <v>1159.2201834862385</v>
      </c>
    </row>
    <row r="208" spans="1:20" s="66" customFormat="1" ht="12.75" x14ac:dyDescent="0.2">
      <c r="A208" s="109">
        <v>682</v>
      </c>
      <c r="B208" s="110">
        <v>1</v>
      </c>
      <c r="C208" s="103" t="s">
        <v>326</v>
      </c>
      <c r="D208" s="103">
        <v>5</v>
      </c>
      <c r="E208" s="104">
        <f>+SUMIF('GE16FEB14 Unfudged'!$A$2:$A$498, $A208, 'GE16FEB14 Unfudged'!$D$2:$D$498)</f>
        <v>1324</v>
      </c>
      <c r="F208" s="104">
        <v>164166</v>
      </c>
      <c r="G208" s="105">
        <v>71318</v>
      </c>
      <c r="H208" s="106">
        <v>92848</v>
      </c>
      <c r="I208" s="107">
        <v>0</v>
      </c>
      <c r="J208" s="105">
        <v>0</v>
      </c>
      <c r="K208" s="106">
        <v>0</v>
      </c>
      <c r="L208" s="107">
        <v>975684</v>
      </c>
      <c r="M208" s="105">
        <v>351303</v>
      </c>
      <c r="N208" s="106">
        <v>624381</v>
      </c>
      <c r="O208" s="107">
        <f t="shared" si="12"/>
        <v>1139850</v>
      </c>
      <c r="P208" s="105">
        <f t="shared" si="12"/>
        <v>422621</v>
      </c>
      <c r="Q208" s="106">
        <f t="shared" si="12"/>
        <v>717229</v>
      </c>
      <c r="R208" s="105">
        <f t="shared" si="11"/>
        <v>860.91389728096681</v>
      </c>
      <c r="S208" s="105">
        <f t="shared" si="11"/>
        <v>319.2001510574018</v>
      </c>
      <c r="T208" s="108">
        <f t="shared" si="11"/>
        <v>541.71374622356495</v>
      </c>
    </row>
    <row r="209" spans="1:20" s="66" customFormat="1" ht="12.75" x14ac:dyDescent="0.2">
      <c r="A209" s="109">
        <v>690</v>
      </c>
      <c r="B209" s="110">
        <v>1</v>
      </c>
      <c r="C209" s="103" t="s">
        <v>327</v>
      </c>
      <c r="D209" s="103">
        <v>5</v>
      </c>
      <c r="E209" s="104">
        <f>+SUMIF('GE16FEB14 Unfudged'!$A$2:$A$498, $A209, 'GE16FEB14 Unfudged'!$D$2:$D$498)</f>
        <v>1134</v>
      </c>
      <c r="F209" s="104">
        <v>143810</v>
      </c>
      <c r="G209" s="105">
        <v>67929</v>
      </c>
      <c r="H209" s="106">
        <v>75881</v>
      </c>
      <c r="I209" s="107">
        <v>0</v>
      </c>
      <c r="J209" s="105">
        <v>0</v>
      </c>
      <c r="K209" s="106">
        <v>0</v>
      </c>
      <c r="L209" s="107">
        <v>765925</v>
      </c>
      <c r="M209" s="105">
        <v>294211</v>
      </c>
      <c r="N209" s="106">
        <v>471714</v>
      </c>
      <c r="O209" s="107">
        <f t="shared" si="12"/>
        <v>909735</v>
      </c>
      <c r="P209" s="105">
        <f t="shared" si="12"/>
        <v>362140</v>
      </c>
      <c r="Q209" s="106">
        <f t="shared" si="12"/>
        <v>547595</v>
      </c>
      <c r="R209" s="105">
        <f t="shared" si="11"/>
        <v>802.23544973544972</v>
      </c>
      <c r="S209" s="105">
        <f t="shared" si="11"/>
        <v>319.347442680776</v>
      </c>
      <c r="T209" s="108">
        <f t="shared" si="11"/>
        <v>482.88800705467372</v>
      </c>
    </row>
    <row r="210" spans="1:20" s="66" customFormat="1" ht="12.75" x14ac:dyDescent="0.2">
      <c r="A210" s="109">
        <v>695</v>
      </c>
      <c r="B210" s="110">
        <v>1</v>
      </c>
      <c r="C210" s="103" t="s">
        <v>328</v>
      </c>
      <c r="D210" s="103">
        <v>6</v>
      </c>
      <c r="E210" s="104">
        <f>+SUMIF('GE16FEB14 Unfudged'!$A$2:$A$498, $A210, 'GE16FEB14 Unfudged'!$D$2:$D$498)</f>
        <v>809</v>
      </c>
      <c r="F210" s="104">
        <v>91332</v>
      </c>
      <c r="G210" s="105">
        <v>36489</v>
      </c>
      <c r="H210" s="106">
        <v>54843</v>
      </c>
      <c r="I210" s="107">
        <v>0</v>
      </c>
      <c r="J210" s="105">
        <v>0</v>
      </c>
      <c r="K210" s="106">
        <v>0</v>
      </c>
      <c r="L210" s="107">
        <v>790212</v>
      </c>
      <c r="M210" s="105">
        <v>328204</v>
      </c>
      <c r="N210" s="106">
        <v>462008</v>
      </c>
      <c r="O210" s="107">
        <f t="shared" si="12"/>
        <v>881544</v>
      </c>
      <c r="P210" s="105">
        <f t="shared" si="12"/>
        <v>364693</v>
      </c>
      <c r="Q210" s="106">
        <f t="shared" si="12"/>
        <v>516851</v>
      </c>
      <c r="R210" s="105">
        <f t="shared" si="11"/>
        <v>1089.6711990111248</v>
      </c>
      <c r="S210" s="105">
        <f t="shared" si="11"/>
        <v>450.7948084054388</v>
      </c>
      <c r="T210" s="108">
        <f t="shared" si="11"/>
        <v>638.87639060568608</v>
      </c>
    </row>
    <row r="211" spans="1:20" s="66" customFormat="1" ht="12.75" x14ac:dyDescent="0.2">
      <c r="A211" s="109">
        <v>696</v>
      </c>
      <c r="B211" s="110">
        <v>1</v>
      </c>
      <c r="C211" s="103" t="s">
        <v>329</v>
      </c>
      <c r="D211" s="103">
        <v>6</v>
      </c>
      <c r="E211" s="104">
        <f>+SUMIF('GE16FEB14 Unfudged'!$A$2:$A$498, $A211, 'GE16FEB14 Unfudged'!$D$2:$D$498)</f>
        <v>572</v>
      </c>
      <c r="F211" s="104">
        <v>64311</v>
      </c>
      <c r="G211" s="105">
        <v>64311</v>
      </c>
      <c r="H211" s="106">
        <v>0</v>
      </c>
      <c r="I211" s="107">
        <v>0</v>
      </c>
      <c r="J211" s="105">
        <v>0</v>
      </c>
      <c r="K211" s="106">
        <v>0</v>
      </c>
      <c r="L211" s="107">
        <v>563739</v>
      </c>
      <c r="M211" s="105">
        <v>541604</v>
      </c>
      <c r="N211" s="106">
        <v>22135</v>
      </c>
      <c r="O211" s="107">
        <f t="shared" si="12"/>
        <v>628050</v>
      </c>
      <c r="P211" s="105">
        <f t="shared" si="12"/>
        <v>605915</v>
      </c>
      <c r="Q211" s="106">
        <f t="shared" si="12"/>
        <v>22135</v>
      </c>
      <c r="R211" s="105">
        <f t="shared" ref="R211:T274" si="13">+IF($E211=0, 0, O211/$E211)</f>
        <v>1097.9895104895104</v>
      </c>
      <c r="S211" s="105">
        <f t="shared" si="13"/>
        <v>1059.291958041958</v>
      </c>
      <c r="T211" s="108">
        <f t="shared" si="13"/>
        <v>38.697552447552447</v>
      </c>
    </row>
    <row r="212" spans="1:20" s="66" customFormat="1" ht="12.75" x14ac:dyDescent="0.2">
      <c r="A212" s="109">
        <v>698</v>
      </c>
      <c r="B212" s="110">
        <v>1</v>
      </c>
      <c r="C212" s="103" t="s">
        <v>330</v>
      </c>
      <c r="D212" s="103">
        <v>6</v>
      </c>
      <c r="E212" s="104">
        <f>+SUMIF('GE16FEB14 Unfudged'!$A$2:$A$498, $A212, 'GE16FEB14 Unfudged'!$D$2:$D$498)</f>
        <v>267</v>
      </c>
      <c r="F212" s="104">
        <v>38506</v>
      </c>
      <c r="G212" s="105">
        <v>38506</v>
      </c>
      <c r="H212" s="106">
        <v>0</v>
      </c>
      <c r="I212" s="107">
        <v>0</v>
      </c>
      <c r="J212" s="105">
        <v>0</v>
      </c>
      <c r="K212" s="106">
        <v>0</v>
      </c>
      <c r="L212" s="107">
        <v>80220</v>
      </c>
      <c r="M212" s="105">
        <v>71119</v>
      </c>
      <c r="N212" s="106">
        <v>9101</v>
      </c>
      <c r="O212" s="107">
        <f t="shared" si="12"/>
        <v>118726</v>
      </c>
      <c r="P212" s="105">
        <f t="shared" si="12"/>
        <v>109625</v>
      </c>
      <c r="Q212" s="106">
        <f t="shared" si="12"/>
        <v>9101</v>
      </c>
      <c r="R212" s="105">
        <f t="shared" si="13"/>
        <v>444.66666666666669</v>
      </c>
      <c r="S212" s="105">
        <f t="shared" si="13"/>
        <v>410.58052434456931</v>
      </c>
      <c r="T212" s="108">
        <f t="shared" si="13"/>
        <v>34.08614232209738</v>
      </c>
    </row>
    <row r="213" spans="1:20" s="66" customFormat="1" ht="12.75" x14ac:dyDescent="0.2">
      <c r="A213" s="109">
        <v>700</v>
      </c>
      <c r="B213" s="110">
        <v>1</v>
      </c>
      <c r="C213" s="103" t="s">
        <v>331</v>
      </c>
      <c r="D213" s="103">
        <v>4</v>
      </c>
      <c r="E213" s="104">
        <f>+SUMIF('GE16FEB14 Unfudged'!$A$2:$A$498, $A213, 'GE16FEB14 Unfudged'!$D$2:$D$498)</f>
        <v>2155</v>
      </c>
      <c r="F213" s="104">
        <v>310277</v>
      </c>
      <c r="G213" s="105">
        <v>310277</v>
      </c>
      <c r="H213" s="106">
        <v>0</v>
      </c>
      <c r="I213" s="107">
        <v>456796</v>
      </c>
      <c r="J213" s="105">
        <v>456796</v>
      </c>
      <c r="K213" s="106">
        <v>0</v>
      </c>
      <c r="L213" s="107">
        <v>646410</v>
      </c>
      <c r="M213" s="105">
        <v>388040</v>
      </c>
      <c r="N213" s="106">
        <v>258370</v>
      </c>
      <c r="O213" s="107">
        <f t="shared" si="12"/>
        <v>1413483</v>
      </c>
      <c r="P213" s="105">
        <f t="shared" si="12"/>
        <v>1155113</v>
      </c>
      <c r="Q213" s="106">
        <f t="shared" si="12"/>
        <v>258370</v>
      </c>
      <c r="R213" s="105">
        <f t="shared" si="13"/>
        <v>655.90858468677493</v>
      </c>
      <c r="S213" s="105">
        <f t="shared" si="13"/>
        <v>536.01531322505798</v>
      </c>
      <c r="T213" s="108">
        <f t="shared" si="13"/>
        <v>119.89327146171694</v>
      </c>
    </row>
    <row r="214" spans="1:20" s="66" customFormat="1" ht="12.75" x14ac:dyDescent="0.2">
      <c r="A214" s="109">
        <v>701</v>
      </c>
      <c r="B214" s="110">
        <v>1</v>
      </c>
      <c r="C214" s="103" t="s">
        <v>332</v>
      </c>
      <c r="D214" s="103">
        <v>4</v>
      </c>
      <c r="E214" s="104">
        <f>+SUMIF('GE16FEB14 Unfudged'!$A$2:$A$498, $A214, 'GE16FEB14 Unfudged'!$D$2:$D$498)</f>
        <v>2514</v>
      </c>
      <c r="F214" s="104">
        <v>339036</v>
      </c>
      <c r="G214" s="105">
        <v>228009</v>
      </c>
      <c r="H214" s="106">
        <v>111027</v>
      </c>
      <c r="I214" s="107">
        <v>533053</v>
      </c>
      <c r="J214" s="105">
        <v>358490</v>
      </c>
      <c r="K214" s="106">
        <v>174563</v>
      </c>
      <c r="L214" s="107">
        <v>1256823</v>
      </c>
      <c r="M214" s="105">
        <v>631946</v>
      </c>
      <c r="N214" s="106">
        <v>624877</v>
      </c>
      <c r="O214" s="107">
        <f t="shared" si="12"/>
        <v>2128912</v>
      </c>
      <c r="P214" s="105">
        <f t="shared" si="12"/>
        <v>1218445</v>
      </c>
      <c r="Q214" s="106">
        <f t="shared" si="12"/>
        <v>910467</v>
      </c>
      <c r="R214" s="105">
        <f t="shared" si="13"/>
        <v>846.82259347653144</v>
      </c>
      <c r="S214" s="105">
        <f t="shared" si="13"/>
        <v>484.66388225934764</v>
      </c>
      <c r="T214" s="108">
        <f t="shared" si="13"/>
        <v>362.15871121718379</v>
      </c>
    </row>
    <row r="215" spans="1:20" s="66" customFormat="1" ht="12.75" x14ac:dyDescent="0.2">
      <c r="A215" s="109">
        <v>704</v>
      </c>
      <c r="B215" s="110">
        <v>1</v>
      </c>
      <c r="C215" s="103" t="s">
        <v>333</v>
      </c>
      <c r="D215" s="103">
        <v>5</v>
      </c>
      <c r="E215" s="104">
        <f>+SUMIF('GE16FEB14 Unfudged'!$A$2:$A$498, $A215, 'GE16FEB14 Unfudged'!$D$2:$D$498)</f>
        <v>1956</v>
      </c>
      <c r="F215" s="104">
        <v>281664</v>
      </c>
      <c r="G215" s="105">
        <v>263567</v>
      </c>
      <c r="H215" s="106">
        <v>18097</v>
      </c>
      <c r="I215" s="107">
        <v>0</v>
      </c>
      <c r="J215" s="105">
        <v>0</v>
      </c>
      <c r="K215" s="106">
        <v>0</v>
      </c>
      <c r="L215" s="107">
        <v>586800</v>
      </c>
      <c r="M215" s="105">
        <v>318228</v>
      </c>
      <c r="N215" s="106">
        <v>268572</v>
      </c>
      <c r="O215" s="107">
        <f t="shared" si="12"/>
        <v>868464</v>
      </c>
      <c r="P215" s="105">
        <f t="shared" si="12"/>
        <v>581795</v>
      </c>
      <c r="Q215" s="106">
        <f t="shared" si="12"/>
        <v>286669</v>
      </c>
      <c r="R215" s="105">
        <f t="shared" si="13"/>
        <v>444</v>
      </c>
      <c r="S215" s="105">
        <f t="shared" si="13"/>
        <v>297.44120654396727</v>
      </c>
      <c r="T215" s="108">
        <f t="shared" si="13"/>
        <v>146.55879345603273</v>
      </c>
    </row>
    <row r="216" spans="1:20" s="66" customFormat="1" ht="12.75" x14ac:dyDescent="0.2">
      <c r="A216" s="109">
        <v>706</v>
      </c>
      <c r="B216" s="110">
        <v>1</v>
      </c>
      <c r="C216" s="103" t="s">
        <v>334</v>
      </c>
      <c r="D216" s="103">
        <v>5</v>
      </c>
      <c r="E216" s="104">
        <f>+SUMIF('GE16FEB14 Unfudged'!$A$2:$A$498, $A216, 'GE16FEB14 Unfudged'!$D$2:$D$498)</f>
        <v>1932</v>
      </c>
      <c r="F216" s="104">
        <v>242323</v>
      </c>
      <c r="G216" s="105">
        <v>163621</v>
      </c>
      <c r="H216" s="106">
        <v>78702</v>
      </c>
      <c r="I216" s="107">
        <v>0</v>
      </c>
      <c r="J216" s="105">
        <v>0</v>
      </c>
      <c r="K216" s="106">
        <v>0</v>
      </c>
      <c r="L216" s="107">
        <v>1361649</v>
      </c>
      <c r="M216" s="105">
        <v>754881</v>
      </c>
      <c r="N216" s="106">
        <v>606768</v>
      </c>
      <c r="O216" s="107">
        <f t="shared" si="12"/>
        <v>1603972</v>
      </c>
      <c r="P216" s="105">
        <f t="shared" si="12"/>
        <v>918502</v>
      </c>
      <c r="Q216" s="106">
        <f t="shared" si="12"/>
        <v>685470</v>
      </c>
      <c r="R216" s="105">
        <f t="shared" si="13"/>
        <v>830.21325051759834</v>
      </c>
      <c r="S216" s="105">
        <f t="shared" si="13"/>
        <v>475.41511387163558</v>
      </c>
      <c r="T216" s="108">
        <f t="shared" si="13"/>
        <v>354.79813664596276</v>
      </c>
    </row>
    <row r="217" spans="1:20" s="66" customFormat="1" ht="12.75" x14ac:dyDescent="0.2">
      <c r="A217" s="109">
        <v>707</v>
      </c>
      <c r="B217" s="110">
        <v>1</v>
      </c>
      <c r="C217" s="103" t="s">
        <v>335</v>
      </c>
      <c r="D217" s="103">
        <v>6</v>
      </c>
      <c r="E217" s="104">
        <f>+SUMIF('GE16FEB14 Unfudged'!$A$2:$A$498, $A217, 'GE16FEB14 Unfudged'!$D$2:$D$498)</f>
        <v>135</v>
      </c>
      <c r="F217" s="104">
        <v>17475</v>
      </c>
      <c r="G217" s="105">
        <v>36</v>
      </c>
      <c r="H217" s="106">
        <v>17439</v>
      </c>
      <c r="I217" s="107">
        <v>0</v>
      </c>
      <c r="J217" s="105">
        <v>0</v>
      </c>
      <c r="K217" s="106">
        <v>0</v>
      </c>
      <c r="L217" s="107">
        <v>83701</v>
      </c>
      <c r="M217" s="105">
        <v>136</v>
      </c>
      <c r="N217" s="106">
        <v>83565</v>
      </c>
      <c r="O217" s="107">
        <f t="shared" si="12"/>
        <v>101176</v>
      </c>
      <c r="P217" s="105">
        <f t="shared" si="12"/>
        <v>172</v>
      </c>
      <c r="Q217" s="106">
        <f t="shared" si="12"/>
        <v>101004</v>
      </c>
      <c r="R217" s="105">
        <f t="shared" si="13"/>
        <v>749.45185185185187</v>
      </c>
      <c r="S217" s="105">
        <f t="shared" si="13"/>
        <v>1.2740740740740741</v>
      </c>
      <c r="T217" s="108">
        <f t="shared" si="13"/>
        <v>748.17777777777781</v>
      </c>
    </row>
    <row r="218" spans="1:20" s="66" customFormat="1" ht="12.75" x14ac:dyDescent="0.2">
      <c r="A218" s="109">
        <v>709</v>
      </c>
      <c r="B218" s="110">
        <v>1</v>
      </c>
      <c r="C218" s="103" t="s">
        <v>336</v>
      </c>
      <c r="D218" s="103">
        <v>4</v>
      </c>
      <c r="E218" s="104">
        <f>+SUMIF('GE16FEB14 Unfudged'!$A$2:$A$498, $A218, 'GE16FEB14 Unfudged'!$D$2:$D$498)</f>
        <v>9023</v>
      </c>
      <c r="F218" s="104">
        <v>451130</v>
      </c>
      <c r="G218" s="105">
        <v>451130</v>
      </c>
      <c r="H218" s="106">
        <v>0</v>
      </c>
      <c r="I218" s="107">
        <v>1912791</v>
      </c>
      <c r="J218" s="105">
        <v>1912791</v>
      </c>
      <c r="K218" s="106">
        <v>0</v>
      </c>
      <c r="L218" s="107">
        <v>5267213</v>
      </c>
      <c r="M218" s="105">
        <v>4233982</v>
      </c>
      <c r="N218" s="106">
        <v>1033231</v>
      </c>
      <c r="O218" s="107">
        <f t="shared" si="12"/>
        <v>7631134</v>
      </c>
      <c r="P218" s="105">
        <f t="shared" si="12"/>
        <v>6597903</v>
      </c>
      <c r="Q218" s="106">
        <f t="shared" si="12"/>
        <v>1033231</v>
      </c>
      <c r="R218" s="105">
        <f t="shared" si="13"/>
        <v>845.7424359968968</v>
      </c>
      <c r="S218" s="105">
        <f t="shared" si="13"/>
        <v>731.23163027817805</v>
      </c>
      <c r="T218" s="108">
        <f t="shared" si="13"/>
        <v>114.51080571871883</v>
      </c>
    </row>
    <row r="219" spans="1:20" s="66" customFormat="1" ht="12.75" x14ac:dyDescent="0.2">
      <c r="A219" s="109">
        <v>712</v>
      </c>
      <c r="B219" s="110">
        <v>1</v>
      </c>
      <c r="C219" s="103" t="s">
        <v>337</v>
      </c>
      <c r="D219" s="103">
        <v>6</v>
      </c>
      <c r="E219" s="104">
        <f>+SUMIF('GE16FEB14 Unfudged'!$A$2:$A$498, $A219, 'GE16FEB14 Unfudged'!$D$2:$D$498)</f>
        <v>533</v>
      </c>
      <c r="F219" s="104">
        <v>66909</v>
      </c>
      <c r="G219" s="105">
        <v>50533</v>
      </c>
      <c r="H219" s="106">
        <v>16376</v>
      </c>
      <c r="I219" s="107">
        <v>0</v>
      </c>
      <c r="J219" s="105">
        <v>0</v>
      </c>
      <c r="K219" s="106">
        <v>0</v>
      </c>
      <c r="L219" s="107">
        <v>375983</v>
      </c>
      <c r="M219" s="105">
        <v>233150</v>
      </c>
      <c r="N219" s="106">
        <v>142833</v>
      </c>
      <c r="O219" s="107">
        <f t="shared" si="12"/>
        <v>442892</v>
      </c>
      <c r="P219" s="105">
        <f t="shared" si="12"/>
        <v>283683</v>
      </c>
      <c r="Q219" s="106">
        <f t="shared" si="12"/>
        <v>159209</v>
      </c>
      <c r="R219" s="105">
        <f t="shared" si="13"/>
        <v>830.94183864915567</v>
      </c>
      <c r="S219" s="105">
        <f t="shared" si="13"/>
        <v>532.23827392120074</v>
      </c>
      <c r="T219" s="108">
        <f t="shared" si="13"/>
        <v>298.70356472795498</v>
      </c>
    </row>
    <row r="220" spans="1:20" s="66" customFormat="1" ht="12.75" x14ac:dyDescent="0.2">
      <c r="A220" s="109">
        <v>716</v>
      </c>
      <c r="B220" s="110">
        <v>1</v>
      </c>
      <c r="C220" s="103" t="s">
        <v>338</v>
      </c>
      <c r="D220" s="103">
        <v>3</v>
      </c>
      <c r="E220" s="104">
        <f>+SUMIF('GE16FEB14 Unfudged'!$A$2:$A$498, $A220, 'GE16FEB14 Unfudged'!$D$2:$D$498)</f>
        <v>1741</v>
      </c>
      <c r="F220" s="104">
        <v>291627</v>
      </c>
      <c r="G220" s="105">
        <v>200967</v>
      </c>
      <c r="H220" s="106">
        <v>90660</v>
      </c>
      <c r="I220" s="107">
        <v>738205</v>
      </c>
      <c r="J220" s="105">
        <v>508716</v>
      </c>
      <c r="K220" s="106">
        <v>229489</v>
      </c>
      <c r="L220" s="107">
        <v>522315</v>
      </c>
      <c r="M220" s="105">
        <v>208602</v>
      </c>
      <c r="N220" s="106">
        <v>313713</v>
      </c>
      <c r="O220" s="107">
        <f t="shared" si="12"/>
        <v>1552147</v>
      </c>
      <c r="P220" s="105">
        <f t="shared" si="12"/>
        <v>918285</v>
      </c>
      <c r="Q220" s="106">
        <f t="shared" si="12"/>
        <v>633862</v>
      </c>
      <c r="R220" s="105">
        <f t="shared" si="13"/>
        <v>891.52613440551409</v>
      </c>
      <c r="S220" s="105">
        <f t="shared" si="13"/>
        <v>527.44686961516368</v>
      </c>
      <c r="T220" s="108">
        <f t="shared" si="13"/>
        <v>364.07926479035035</v>
      </c>
    </row>
    <row r="221" spans="1:20" s="66" customFormat="1" ht="12.75" x14ac:dyDescent="0.2">
      <c r="A221" s="109">
        <v>717</v>
      </c>
      <c r="B221" s="110">
        <v>1</v>
      </c>
      <c r="C221" s="103" t="s">
        <v>339</v>
      </c>
      <c r="D221" s="103">
        <v>3</v>
      </c>
      <c r="E221" s="104">
        <f>+SUMIF('GE16FEB14 Unfudged'!$A$2:$A$498, $A221, 'GE16FEB14 Unfudged'!$D$2:$D$498)</f>
        <v>1955</v>
      </c>
      <c r="F221" s="104">
        <v>327530</v>
      </c>
      <c r="G221" s="105">
        <v>191491</v>
      </c>
      <c r="H221" s="106">
        <v>136039</v>
      </c>
      <c r="I221" s="107">
        <v>829090</v>
      </c>
      <c r="J221" s="105">
        <v>484728</v>
      </c>
      <c r="K221" s="106">
        <v>344362</v>
      </c>
      <c r="L221" s="107">
        <v>586620</v>
      </c>
      <c r="M221" s="105">
        <v>198765</v>
      </c>
      <c r="N221" s="106">
        <v>387855</v>
      </c>
      <c r="O221" s="107">
        <f t="shared" si="12"/>
        <v>1743240</v>
      </c>
      <c r="P221" s="105">
        <f t="shared" si="12"/>
        <v>874984</v>
      </c>
      <c r="Q221" s="106">
        <f t="shared" si="12"/>
        <v>868256</v>
      </c>
      <c r="R221" s="105">
        <f t="shared" si="13"/>
        <v>891.68286445012791</v>
      </c>
      <c r="S221" s="105">
        <f t="shared" si="13"/>
        <v>447.56214833759589</v>
      </c>
      <c r="T221" s="108">
        <f t="shared" si="13"/>
        <v>444.12071611253197</v>
      </c>
    </row>
    <row r="222" spans="1:20" s="66" customFormat="1" ht="12.75" x14ac:dyDescent="0.2">
      <c r="A222" s="109">
        <v>719</v>
      </c>
      <c r="B222" s="110">
        <v>1</v>
      </c>
      <c r="C222" s="103" t="s">
        <v>340</v>
      </c>
      <c r="D222" s="103">
        <v>3</v>
      </c>
      <c r="E222" s="104">
        <f>+SUMIF('GE16FEB14 Unfudged'!$A$2:$A$498, $A222, 'GE16FEB14 Unfudged'!$D$2:$D$498)</f>
        <v>8089</v>
      </c>
      <c r="F222" s="104">
        <v>1101736</v>
      </c>
      <c r="G222" s="105">
        <v>1094681</v>
      </c>
      <c r="H222" s="106">
        <v>7055</v>
      </c>
      <c r="I222" s="107">
        <v>3429609</v>
      </c>
      <c r="J222" s="105">
        <v>3407646</v>
      </c>
      <c r="K222" s="106">
        <v>21963</v>
      </c>
      <c r="L222" s="107">
        <v>5724049</v>
      </c>
      <c r="M222" s="105">
        <v>4673647</v>
      </c>
      <c r="N222" s="106">
        <v>1050402</v>
      </c>
      <c r="O222" s="107">
        <f t="shared" si="12"/>
        <v>10255394</v>
      </c>
      <c r="P222" s="105">
        <f t="shared" si="12"/>
        <v>9175974</v>
      </c>
      <c r="Q222" s="106">
        <f t="shared" si="12"/>
        <v>1079420</v>
      </c>
      <c r="R222" s="105">
        <f t="shared" si="13"/>
        <v>1267.8197552231425</v>
      </c>
      <c r="S222" s="105">
        <f t="shared" si="13"/>
        <v>1134.3768080108789</v>
      </c>
      <c r="T222" s="108">
        <f t="shared" si="13"/>
        <v>133.44294721226356</v>
      </c>
    </row>
    <row r="223" spans="1:20" s="66" customFormat="1" ht="12.75" x14ac:dyDescent="0.2">
      <c r="A223" s="109">
        <v>720</v>
      </c>
      <c r="B223" s="110">
        <v>1</v>
      </c>
      <c r="C223" s="103" t="s">
        <v>341</v>
      </c>
      <c r="D223" s="103">
        <v>3</v>
      </c>
      <c r="E223" s="104">
        <f>+SUMIF('GE16FEB14 Unfudged'!$A$2:$A$498, $A223, 'GE16FEB14 Unfudged'!$D$2:$D$498)</f>
        <v>8915</v>
      </c>
      <c r="F223" s="104">
        <v>1493263</v>
      </c>
      <c r="G223" s="105">
        <v>1206087</v>
      </c>
      <c r="H223" s="106">
        <v>287176</v>
      </c>
      <c r="I223" s="107">
        <v>3779960</v>
      </c>
      <c r="J223" s="105">
        <v>3053021</v>
      </c>
      <c r="K223" s="106">
        <v>726939</v>
      </c>
      <c r="L223" s="107">
        <v>2674500</v>
      </c>
      <c r="M223" s="105">
        <v>1251909</v>
      </c>
      <c r="N223" s="106">
        <v>1422591</v>
      </c>
      <c r="O223" s="107">
        <f t="shared" si="12"/>
        <v>7947723</v>
      </c>
      <c r="P223" s="105">
        <f t="shared" si="12"/>
        <v>5511017</v>
      </c>
      <c r="Q223" s="106">
        <f t="shared" si="12"/>
        <v>2436706</v>
      </c>
      <c r="R223" s="105">
        <f t="shared" si="13"/>
        <v>891.50005608524953</v>
      </c>
      <c r="S223" s="105">
        <f t="shared" si="13"/>
        <v>618.17352776219855</v>
      </c>
      <c r="T223" s="108">
        <f t="shared" si="13"/>
        <v>273.32652832305104</v>
      </c>
    </row>
    <row r="224" spans="1:20" s="66" customFormat="1" ht="12.75" x14ac:dyDescent="0.2">
      <c r="A224" s="109">
        <v>721</v>
      </c>
      <c r="B224" s="110">
        <v>1</v>
      </c>
      <c r="C224" s="103" t="s">
        <v>342</v>
      </c>
      <c r="D224" s="103">
        <v>3</v>
      </c>
      <c r="E224" s="104">
        <f>+SUMIF('GE16FEB14 Unfudged'!$A$2:$A$498, $A224, 'GE16FEB14 Unfudged'!$D$2:$D$498)</f>
        <v>4328</v>
      </c>
      <c r="F224" s="104">
        <v>683461</v>
      </c>
      <c r="G224" s="105">
        <v>523399</v>
      </c>
      <c r="H224" s="106">
        <v>160062</v>
      </c>
      <c r="I224" s="107">
        <v>1835242</v>
      </c>
      <c r="J224" s="105">
        <v>1405440</v>
      </c>
      <c r="K224" s="106">
        <v>429802</v>
      </c>
      <c r="L224" s="107">
        <v>1839743</v>
      </c>
      <c r="M224" s="105">
        <v>990781</v>
      </c>
      <c r="N224" s="106">
        <v>848962</v>
      </c>
      <c r="O224" s="107">
        <f t="shared" si="12"/>
        <v>4358446</v>
      </c>
      <c r="P224" s="105">
        <f t="shared" si="12"/>
        <v>2919620</v>
      </c>
      <c r="Q224" s="106">
        <f t="shared" si="12"/>
        <v>1438826</v>
      </c>
      <c r="R224" s="105">
        <f t="shared" si="13"/>
        <v>1007.0346580406655</v>
      </c>
      <c r="S224" s="105">
        <f t="shared" si="13"/>
        <v>674.58872458410349</v>
      </c>
      <c r="T224" s="108">
        <f t="shared" si="13"/>
        <v>332.44593345656193</v>
      </c>
    </row>
    <row r="225" spans="1:20" s="66" customFormat="1" ht="12.75" x14ac:dyDescent="0.2">
      <c r="A225" s="109">
        <v>726</v>
      </c>
      <c r="B225" s="110">
        <v>1</v>
      </c>
      <c r="C225" s="103" t="s">
        <v>343</v>
      </c>
      <c r="D225" s="103">
        <v>4</v>
      </c>
      <c r="E225" s="104">
        <f>+SUMIF('GE16FEB14 Unfudged'!$A$2:$A$498, $A225, 'GE16FEB14 Unfudged'!$D$2:$D$498)</f>
        <v>2981</v>
      </c>
      <c r="F225" s="104">
        <v>391572</v>
      </c>
      <c r="G225" s="105">
        <v>367722</v>
      </c>
      <c r="H225" s="106">
        <v>23850</v>
      </c>
      <c r="I225" s="107">
        <v>632014</v>
      </c>
      <c r="J225" s="105">
        <v>593519</v>
      </c>
      <c r="K225" s="106">
        <v>38495</v>
      </c>
      <c r="L225" s="107">
        <v>1717141</v>
      </c>
      <c r="M225" s="105">
        <v>1259419</v>
      </c>
      <c r="N225" s="106">
        <v>457722</v>
      </c>
      <c r="O225" s="107">
        <f t="shared" si="12"/>
        <v>2740727</v>
      </c>
      <c r="P225" s="105">
        <f t="shared" si="12"/>
        <v>2220660</v>
      </c>
      <c r="Q225" s="106">
        <f t="shared" si="12"/>
        <v>520067</v>
      </c>
      <c r="R225" s="105">
        <f t="shared" si="13"/>
        <v>919.39852398523988</v>
      </c>
      <c r="S225" s="105">
        <f t="shared" si="13"/>
        <v>744.93794028849379</v>
      </c>
      <c r="T225" s="108">
        <f t="shared" si="13"/>
        <v>174.46058369674606</v>
      </c>
    </row>
    <row r="226" spans="1:20" s="66" customFormat="1" ht="12.75" x14ac:dyDescent="0.2">
      <c r="A226" s="109">
        <v>727</v>
      </c>
      <c r="B226" s="110">
        <v>1</v>
      </c>
      <c r="C226" s="103" t="s">
        <v>344</v>
      </c>
      <c r="D226" s="103">
        <v>4</v>
      </c>
      <c r="E226" s="104">
        <f>+SUMIF('GE16FEB14 Unfudged'!$A$2:$A$498, $A226, 'GE16FEB14 Unfudged'!$D$2:$D$498)</f>
        <v>3507</v>
      </c>
      <c r="F226" s="104">
        <v>493065</v>
      </c>
      <c r="G226" s="105">
        <v>273937</v>
      </c>
      <c r="H226" s="106">
        <v>219128</v>
      </c>
      <c r="I226" s="107">
        <v>743399</v>
      </c>
      <c r="J226" s="105">
        <v>413017</v>
      </c>
      <c r="K226" s="106">
        <v>330382</v>
      </c>
      <c r="L226" s="107">
        <v>1311223</v>
      </c>
      <c r="M226" s="105">
        <v>482750</v>
      </c>
      <c r="N226" s="106">
        <v>828473</v>
      </c>
      <c r="O226" s="107">
        <f t="shared" ref="O226:Q289" si="14">+F226+I226+L226</f>
        <v>2547687</v>
      </c>
      <c r="P226" s="105">
        <f t="shared" si="14"/>
        <v>1169704</v>
      </c>
      <c r="Q226" s="106">
        <f t="shared" si="14"/>
        <v>1377983</v>
      </c>
      <c r="R226" s="105">
        <f t="shared" si="13"/>
        <v>726.45765611633874</v>
      </c>
      <c r="S226" s="105">
        <f t="shared" si="13"/>
        <v>333.53407470772743</v>
      </c>
      <c r="T226" s="108">
        <f t="shared" si="13"/>
        <v>392.92358140861137</v>
      </c>
    </row>
    <row r="227" spans="1:20" s="66" customFormat="1" ht="12.75" x14ac:dyDescent="0.2">
      <c r="A227" s="109">
        <v>728</v>
      </c>
      <c r="B227" s="110">
        <v>1</v>
      </c>
      <c r="C227" s="103" t="s">
        <v>345</v>
      </c>
      <c r="D227" s="103">
        <v>4</v>
      </c>
      <c r="E227" s="104">
        <f>+SUMIF('GE16FEB14 Unfudged'!$A$2:$A$498, $A227, 'GE16FEB14 Unfudged'!$D$2:$D$498)</f>
        <v>14021</v>
      </c>
      <c r="F227" s="104">
        <v>1987958</v>
      </c>
      <c r="G227" s="105">
        <v>1377203</v>
      </c>
      <c r="H227" s="106">
        <v>610755</v>
      </c>
      <c r="I227" s="107">
        <v>5944734</v>
      </c>
      <c r="J227" s="105">
        <v>4118350</v>
      </c>
      <c r="K227" s="106">
        <v>1826384</v>
      </c>
      <c r="L227" s="107">
        <v>4882534</v>
      </c>
      <c r="M227" s="105">
        <v>2157313</v>
      </c>
      <c r="N227" s="106">
        <v>2725221</v>
      </c>
      <c r="O227" s="107">
        <f t="shared" si="14"/>
        <v>12815226</v>
      </c>
      <c r="P227" s="105">
        <f t="shared" si="14"/>
        <v>7652866</v>
      </c>
      <c r="Q227" s="106">
        <f t="shared" si="14"/>
        <v>5162360</v>
      </c>
      <c r="R227" s="105">
        <f t="shared" si="13"/>
        <v>914.00228229084939</v>
      </c>
      <c r="S227" s="105">
        <f t="shared" si="13"/>
        <v>545.81456386848299</v>
      </c>
      <c r="T227" s="108">
        <f t="shared" si="13"/>
        <v>368.18771842236646</v>
      </c>
    </row>
    <row r="228" spans="1:20" s="66" customFormat="1" ht="12.75" x14ac:dyDescent="0.2">
      <c r="A228" s="109">
        <v>738</v>
      </c>
      <c r="B228" s="110">
        <v>1</v>
      </c>
      <c r="C228" s="103" t="s">
        <v>346</v>
      </c>
      <c r="D228" s="103">
        <v>5</v>
      </c>
      <c r="E228" s="104">
        <f>+SUMIF('GE16FEB14 Unfudged'!$A$2:$A$498, $A228, 'GE16FEB14 Unfudged'!$D$2:$D$498)</f>
        <v>1118</v>
      </c>
      <c r="F228" s="104">
        <v>151837</v>
      </c>
      <c r="G228" s="105">
        <v>90966</v>
      </c>
      <c r="H228" s="106">
        <v>60871</v>
      </c>
      <c r="I228" s="107">
        <v>0</v>
      </c>
      <c r="J228" s="105">
        <v>0</v>
      </c>
      <c r="K228" s="106">
        <v>0</v>
      </c>
      <c r="L228" s="107">
        <v>534398</v>
      </c>
      <c r="M228" s="105">
        <v>235688</v>
      </c>
      <c r="N228" s="106">
        <v>298710</v>
      </c>
      <c r="O228" s="107">
        <f t="shared" si="14"/>
        <v>686235</v>
      </c>
      <c r="P228" s="105">
        <f t="shared" si="14"/>
        <v>326654</v>
      </c>
      <c r="Q228" s="106">
        <f t="shared" si="14"/>
        <v>359581</v>
      </c>
      <c r="R228" s="105">
        <f t="shared" si="13"/>
        <v>613.8059033989266</v>
      </c>
      <c r="S228" s="105">
        <f t="shared" si="13"/>
        <v>292.17710196779962</v>
      </c>
      <c r="T228" s="108">
        <f t="shared" si="13"/>
        <v>321.62880143112699</v>
      </c>
    </row>
    <row r="229" spans="1:20" s="66" customFormat="1" ht="12.75" x14ac:dyDescent="0.2">
      <c r="A229" s="109">
        <v>739</v>
      </c>
      <c r="B229" s="110">
        <v>1</v>
      </c>
      <c r="C229" s="103" t="s">
        <v>347</v>
      </c>
      <c r="D229" s="103">
        <v>6</v>
      </c>
      <c r="E229" s="104">
        <f>+SUMIF('GE16FEB14 Unfudged'!$A$2:$A$498, $A229, 'GE16FEB14 Unfudged'!$D$2:$D$498)</f>
        <v>706</v>
      </c>
      <c r="F229" s="104">
        <v>76409</v>
      </c>
      <c r="G229" s="105">
        <v>58078</v>
      </c>
      <c r="H229" s="106">
        <v>18331</v>
      </c>
      <c r="I229" s="107">
        <v>0</v>
      </c>
      <c r="J229" s="105">
        <v>0</v>
      </c>
      <c r="K229" s="106">
        <v>0</v>
      </c>
      <c r="L229" s="107">
        <v>761968</v>
      </c>
      <c r="M229" s="105">
        <v>565610</v>
      </c>
      <c r="N229" s="106">
        <v>196358</v>
      </c>
      <c r="O229" s="107">
        <f t="shared" si="14"/>
        <v>838377</v>
      </c>
      <c r="P229" s="105">
        <f t="shared" si="14"/>
        <v>623688</v>
      </c>
      <c r="Q229" s="106">
        <f t="shared" si="14"/>
        <v>214689</v>
      </c>
      <c r="R229" s="105">
        <f t="shared" si="13"/>
        <v>1187.5028328611897</v>
      </c>
      <c r="S229" s="105">
        <f t="shared" si="13"/>
        <v>883.41076487252121</v>
      </c>
      <c r="T229" s="108">
        <f t="shared" si="13"/>
        <v>304.09206798866853</v>
      </c>
    </row>
    <row r="230" spans="1:20" s="66" customFormat="1" ht="12.75" x14ac:dyDescent="0.2">
      <c r="A230" s="109">
        <v>740</v>
      </c>
      <c r="B230" s="110">
        <v>1</v>
      </c>
      <c r="C230" s="103" t="s">
        <v>348</v>
      </c>
      <c r="D230" s="103">
        <v>5</v>
      </c>
      <c r="E230" s="104">
        <f>+SUMIF('GE16FEB14 Unfudged'!$A$2:$A$498, $A230, 'GE16FEB14 Unfudged'!$D$2:$D$498)</f>
        <v>1502</v>
      </c>
      <c r="F230" s="104">
        <v>185643</v>
      </c>
      <c r="G230" s="105">
        <v>117452</v>
      </c>
      <c r="H230" s="106">
        <v>68191</v>
      </c>
      <c r="I230" s="107">
        <v>0</v>
      </c>
      <c r="J230" s="105">
        <v>0</v>
      </c>
      <c r="K230" s="106">
        <v>0</v>
      </c>
      <c r="L230" s="107">
        <v>1120415</v>
      </c>
      <c r="M230" s="105">
        <v>588962</v>
      </c>
      <c r="N230" s="106">
        <v>531453</v>
      </c>
      <c r="O230" s="107">
        <f t="shared" si="14"/>
        <v>1306058</v>
      </c>
      <c r="P230" s="105">
        <f t="shared" si="14"/>
        <v>706414</v>
      </c>
      <c r="Q230" s="106">
        <f t="shared" si="14"/>
        <v>599644</v>
      </c>
      <c r="R230" s="105">
        <f t="shared" si="13"/>
        <v>869.54593874833552</v>
      </c>
      <c r="S230" s="105">
        <f t="shared" si="13"/>
        <v>470.31557922769639</v>
      </c>
      <c r="T230" s="108">
        <f t="shared" si="13"/>
        <v>399.23035952063913</v>
      </c>
    </row>
    <row r="231" spans="1:20" s="66" customFormat="1" ht="12.75" x14ac:dyDescent="0.2">
      <c r="A231" s="109">
        <v>741</v>
      </c>
      <c r="B231" s="110">
        <v>1</v>
      </c>
      <c r="C231" s="103" t="s">
        <v>349</v>
      </c>
      <c r="D231" s="103">
        <v>5</v>
      </c>
      <c r="E231" s="104">
        <f>+SUMIF('GE16FEB14 Unfudged'!$A$2:$A$498, $A231, 'GE16FEB14 Unfudged'!$D$2:$D$498)</f>
        <v>1034</v>
      </c>
      <c r="F231" s="104">
        <v>126959</v>
      </c>
      <c r="G231" s="105">
        <v>99049</v>
      </c>
      <c r="H231" s="106">
        <v>27910</v>
      </c>
      <c r="I231" s="107">
        <v>0</v>
      </c>
      <c r="J231" s="105">
        <v>0</v>
      </c>
      <c r="K231" s="106">
        <v>0</v>
      </c>
      <c r="L231" s="107">
        <v>788004</v>
      </c>
      <c r="M231" s="105">
        <v>513546</v>
      </c>
      <c r="N231" s="106">
        <v>274458</v>
      </c>
      <c r="O231" s="107">
        <f t="shared" si="14"/>
        <v>914963</v>
      </c>
      <c r="P231" s="105">
        <f t="shared" si="14"/>
        <v>612595</v>
      </c>
      <c r="Q231" s="106">
        <f t="shared" si="14"/>
        <v>302368</v>
      </c>
      <c r="R231" s="105">
        <f t="shared" si="13"/>
        <v>884.87717601547388</v>
      </c>
      <c r="S231" s="105">
        <f t="shared" si="13"/>
        <v>592.45164410058032</v>
      </c>
      <c r="T231" s="108">
        <f t="shared" si="13"/>
        <v>292.42553191489361</v>
      </c>
    </row>
    <row r="232" spans="1:20" s="66" customFormat="1" ht="12.75" x14ac:dyDescent="0.2">
      <c r="A232" s="109">
        <v>742</v>
      </c>
      <c r="B232" s="110">
        <v>1</v>
      </c>
      <c r="C232" s="103" t="s">
        <v>350</v>
      </c>
      <c r="D232" s="103">
        <v>4</v>
      </c>
      <c r="E232" s="104">
        <f>+SUMIF('GE16FEB14 Unfudged'!$A$2:$A$498, $A232, 'GE16FEB14 Unfudged'!$D$2:$D$498)</f>
        <v>10451</v>
      </c>
      <c r="F232" s="104">
        <v>1436242</v>
      </c>
      <c r="G232" s="105">
        <v>1393369</v>
      </c>
      <c r="H232" s="106">
        <v>42873</v>
      </c>
      <c r="I232" s="107">
        <v>2215570</v>
      </c>
      <c r="J232" s="105">
        <v>2149433</v>
      </c>
      <c r="K232" s="106">
        <v>66137</v>
      </c>
      <c r="L232" s="107">
        <v>4633153</v>
      </c>
      <c r="M232" s="105">
        <v>3215974</v>
      </c>
      <c r="N232" s="106">
        <v>1417179</v>
      </c>
      <c r="O232" s="107">
        <f t="shared" si="14"/>
        <v>8284965</v>
      </c>
      <c r="P232" s="105">
        <f t="shared" si="14"/>
        <v>6758776</v>
      </c>
      <c r="Q232" s="106">
        <f t="shared" si="14"/>
        <v>1526189</v>
      </c>
      <c r="R232" s="105">
        <f t="shared" si="13"/>
        <v>792.74375657831786</v>
      </c>
      <c r="S232" s="105">
        <f t="shared" si="13"/>
        <v>646.71093675246391</v>
      </c>
      <c r="T232" s="108">
        <f t="shared" si="13"/>
        <v>146.03281982585398</v>
      </c>
    </row>
    <row r="233" spans="1:20" s="66" customFormat="1" ht="12.75" x14ac:dyDescent="0.2">
      <c r="A233" s="109">
        <v>743</v>
      </c>
      <c r="B233" s="110">
        <v>1</v>
      </c>
      <c r="C233" s="103" t="s">
        <v>351</v>
      </c>
      <c r="D233" s="103">
        <v>5</v>
      </c>
      <c r="E233" s="104">
        <f>+SUMIF('GE16FEB14 Unfudged'!$A$2:$A$498, $A233, 'GE16FEB14 Unfudged'!$D$2:$D$498)</f>
        <v>886</v>
      </c>
      <c r="F233" s="104">
        <v>84289</v>
      </c>
      <c r="G233" s="105">
        <v>75686</v>
      </c>
      <c r="H233" s="106">
        <v>8603</v>
      </c>
      <c r="I233" s="107">
        <v>0</v>
      </c>
      <c r="J233" s="105">
        <v>0</v>
      </c>
      <c r="K233" s="106">
        <v>0</v>
      </c>
      <c r="L233" s="107">
        <v>1211540</v>
      </c>
      <c r="M233" s="105">
        <v>1042389</v>
      </c>
      <c r="N233" s="106">
        <v>169151</v>
      </c>
      <c r="O233" s="107">
        <f t="shared" si="14"/>
        <v>1295829</v>
      </c>
      <c r="P233" s="105">
        <f t="shared" si="14"/>
        <v>1118075</v>
      </c>
      <c r="Q233" s="106">
        <f t="shared" si="14"/>
        <v>177754</v>
      </c>
      <c r="R233" s="105">
        <f t="shared" si="13"/>
        <v>1462.5609480812641</v>
      </c>
      <c r="S233" s="105">
        <f t="shared" si="13"/>
        <v>1261.9356659142213</v>
      </c>
      <c r="T233" s="108">
        <f t="shared" si="13"/>
        <v>200.62528216704288</v>
      </c>
    </row>
    <row r="234" spans="1:20" s="66" customFormat="1" ht="12.75" x14ac:dyDescent="0.2">
      <c r="A234" s="109">
        <v>745</v>
      </c>
      <c r="B234" s="110">
        <v>1</v>
      </c>
      <c r="C234" s="103" t="s">
        <v>352</v>
      </c>
      <c r="D234" s="103">
        <v>5</v>
      </c>
      <c r="E234" s="104">
        <f>+SUMIF('GE16FEB14 Unfudged'!$A$2:$A$498, $A234, 'GE16FEB14 Unfudged'!$D$2:$D$498)</f>
        <v>1883</v>
      </c>
      <c r="F234" s="104">
        <v>271152</v>
      </c>
      <c r="G234" s="105">
        <v>173564</v>
      </c>
      <c r="H234" s="106">
        <v>97588</v>
      </c>
      <c r="I234" s="107">
        <v>0</v>
      </c>
      <c r="J234" s="105">
        <v>0</v>
      </c>
      <c r="K234" s="106">
        <v>0</v>
      </c>
      <c r="L234" s="107">
        <v>564900</v>
      </c>
      <c r="M234" s="105">
        <v>209559</v>
      </c>
      <c r="N234" s="106">
        <v>355341</v>
      </c>
      <c r="O234" s="107">
        <f t="shared" si="14"/>
        <v>836052</v>
      </c>
      <c r="P234" s="105">
        <f t="shared" si="14"/>
        <v>383123</v>
      </c>
      <c r="Q234" s="106">
        <f t="shared" si="14"/>
        <v>452929</v>
      </c>
      <c r="R234" s="105">
        <f t="shared" si="13"/>
        <v>444</v>
      </c>
      <c r="S234" s="105">
        <f t="shared" si="13"/>
        <v>203.46415294742431</v>
      </c>
      <c r="T234" s="108">
        <f t="shared" si="13"/>
        <v>240.53584705257569</v>
      </c>
    </row>
    <row r="235" spans="1:20" s="66" customFormat="1" ht="12.75" x14ac:dyDescent="0.2">
      <c r="A235" s="109">
        <v>748</v>
      </c>
      <c r="B235" s="110">
        <v>1</v>
      </c>
      <c r="C235" s="103" t="s">
        <v>353</v>
      </c>
      <c r="D235" s="103">
        <v>4</v>
      </c>
      <c r="E235" s="104">
        <f>+SUMIF('GE16FEB14 Unfudged'!$A$2:$A$498, $A235, 'GE16FEB14 Unfudged'!$D$2:$D$498)</f>
        <v>4095</v>
      </c>
      <c r="F235" s="104">
        <v>550192</v>
      </c>
      <c r="G235" s="105">
        <v>337498</v>
      </c>
      <c r="H235" s="106">
        <v>212694</v>
      </c>
      <c r="I235" s="107">
        <v>868098</v>
      </c>
      <c r="J235" s="105">
        <v>532507</v>
      </c>
      <c r="K235" s="106">
        <v>335591</v>
      </c>
      <c r="L235" s="107">
        <v>2089126</v>
      </c>
      <c r="M235" s="105">
        <v>964675</v>
      </c>
      <c r="N235" s="106">
        <v>1124451</v>
      </c>
      <c r="O235" s="107">
        <f t="shared" si="14"/>
        <v>3507416</v>
      </c>
      <c r="P235" s="105">
        <f t="shared" si="14"/>
        <v>1834680</v>
      </c>
      <c r="Q235" s="106">
        <f t="shared" si="14"/>
        <v>1672736</v>
      </c>
      <c r="R235" s="105">
        <f t="shared" si="13"/>
        <v>856.51184371184377</v>
      </c>
      <c r="S235" s="105">
        <f t="shared" si="13"/>
        <v>448.02930402930406</v>
      </c>
      <c r="T235" s="108">
        <f t="shared" si="13"/>
        <v>408.48253968253971</v>
      </c>
    </row>
    <row r="236" spans="1:20" s="66" customFormat="1" ht="12.75" x14ac:dyDescent="0.2">
      <c r="A236" s="109">
        <v>750</v>
      </c>
      <c r="B236" s="110">
        <v>1</v>
      </c>
      <c r="C236" s="103" t="s">
        <v>354</v>
      </c>
      <c r="D236" s="103">
        <v>4</v>
      </c>
      <c r="E236" s="104">
        <f>+SUMIF('GE16FEB14 Unfudged'!$A$2:$A$498, $A236, 'GE16FEB14 Unfudged'!$D$2:$D$498)</f>
        <v>2214</v>
      </c>
      <c r="F236" s="104">
        <v>318166</v>
      </c>
      <c r="G236" s="105">
        <v>271782</v>
      </c>
      <c r="H236" s="106">
        <v>46384</v>
      </c>
      <c r="I236" s="107">
        <v>469453</v>
      </c>
      <c r="J236" s="105">
        <v>401013</v>
      </c>
      <c r="K236" s="106">
        <v>68440</v>
      </c>
      <c r="L236" s="107">
        <v>679754</v>
      </c>
      <c r="M236" s="105">
        <v>342059</v>
      </c>
      <c r="N236" s="106">
        <v>337695</v>
      </c>
      <c r="O236" s="107">
        <f t="shared" si="14"/>
        <v>1467373</v>
      </c>
      <c r="P236" s="105">
        <f t="shared" si="14"/>
        <v>1014854</v>
      </c>
      <c r="Q236" s="106">
        <f t="shared" si="14"/>
        <v>452519</v>
      </c>
      <c r="R236" s="105">
        <f t="shared" si="13"/>
        <v>662.77009936766035</v>
      </c>
      <c r="S236" s="105">
        <f t="shared" si="13"/>
        <v>458.38030713640472</v>
      </c>
      <c r="T236" s="108">
        <f t="shared" si="13"/>
        <v>204.38979223125565</v>
      </c>
    </row>
    <row r="237" spans="1:20" s="66" customFormat="1" ht="12.75" x14ac:dyDescent="0.2">
      <c r="A237" s="109">
        <v>756</v>
      </c>
      <c r="B237" s="110">
        <v>1</v>
      </c>
      <c r="C237" s="103" t="s">
        <v>355</v>
      </c>
      <c r="D237" s="103">
        <v>6</v>
      </c>
      <c r="E237" s="104">
        <f>+SUMIF('GE16FEB14 Unfudged'!$A$2:$A$498, $A237, 'GE16FEB14 Unfudged'!$D$2:$D$498)</f>
        <v>746</v>
      </c>
      <c r="F237" s="104">
        <v>88752</v>
      </c>
      <c r="G237" s="105">
        <v>45070</v>
      </c>
      <c r="H237" s="106">
        <v>43682</v>
      </c>
      <c r="I237" s="107">
        <v>0</v>
      </c>
      <c r="J237" s="105">
        <v>0</v>
      </c>
      <c r="K237" s="106">
        <v>0</v>
      </c>
      <c r="L237" s="107">
        <v>630579</v>
      </c>
      <c r="M237" s="105">
        <v>296997</v>
      </c>
      <c r="N237" s="106">
        <v>333582</v>
      </c>
      <c r="O237" s="107">
        <f t="shared" si="14"/>
        <v>719331</v>
      </c>
      <c r="P237" s="105">
        <f t="shared" si="14"/>
        <v>342067</v>
      </c>
      <c r="Q237" s="106">
        <f t="shared" si="14"/>
        <v>377264</v>
      </c>
      <c r="R237" s="105">
        <f t="shared" si="13"/>
        <v>964.25067024128691</v>
      </c>
      <c r="S237" s="105">
        <f t="shared" si="13"/>
        <v>458.53485254691691</v>
      </c>
      <c r="T237" s="108">
        <f t="shared" si="13"/>
        <v>505.71581769436995</v>
      </c>
    </row>
    <row r="238" spans="1:20" s="66" customFormat="1" ht="12.75" x14ac:dyDescent="0.2">
      <c r="A238" s="109">
        <v>761</v>
      </c>
      <c r="B238" s="110">
        <v>1</v>
      </c>
      <c r="C238" s="103" t="s">
        <v>356</v>
      </c>
      <c r="D238" s="103">
        <v>4</v>
      </c>
      <c r="E238" s="104">
        <f>+SUMIF('GE16FEB14 Unfudged'!$A$2:$A$498, $A238, 'GE16FEB14 Unfudged'!$D$2:$D$498)</f>
        <v>5134</v>
      </c>
      <c r="F238" s="104">
        <v>603163</v>
      </c>
      <c r="G238" s="105">
        <v>414137</v>
      </c>
      <c r="H238" s="106">
        <v>189026</v>
      </c>
      <c r="I238" s="107">
        <v>1088323</v>
      </c>
      <c r="J238" s="105">
        <v>747252</v>
      </c>
      <c r="K238" s="106">
        <v>341071</v>
      </c>
      <c r="L238" s="107">
        <v>4508174</v>
      </c>
      <c r="M238" s="105">
        <v>2840864</v>
      </c>
      <c r="N238" s="106">
        <v>1667310</v>
      </c>
      <c r="O238" s="107">
        <f t="shared" si="14"/>
        <v>6199660</v>
      </c>
      <c r="P238" s="105">
        <f t="shared" si="14"/>
        <v>4002253</v>
      </c>
      <c r="Q238" s="106">
        <f t="shared" si="14"/>
        <v>2197407</v>
      </c>
      <c r="R238" s="105">
        <f t="shared" si="13"/>
        <v>1207.5691468640437</v>
      </c>
      <c r="S238" s="105">
        <f t="shared" si="13"/>
        <v>779.55843396961438</v>
      </c>
      <c r="T238" s="108">
        <f t="shared" si="13"/>
        <v>428.01071289442928</v>
      </c>
    </row>
    <row r="239" spans="1:20" s="66" customFormat="1" ht="12.75" x14ac:dyDescent="0.2">
      <c r="A239" s="109">
        <v>763</v>
      </c>
      <c r="B239" s="110">
        <v>1</v>
      </c>
      <c r="C239" s="103" t="s">
        <v>357</v>
      </c>
      <c r="D239" s="103">
        <v>6</v>
      </c>
      <c r="E239" s="104">
        <f>+SUMIF('GE16FEB14 Unfudged'!$A$2:$A$498, $A239, 'GE16FEB14 Unfudged'!$D$2:$D$498)</f>
        <v>928</v>
      </c>
      <c r="F239" s="104">
        <v>133574</v>
      </c>
      <c r="G239" s="105">
        <v>79629</v>
      </c>
      <c r="H239" s="106">
        <v>53945</v>
      </c>
      <c r="I239" s="107">
        <v>0</v>
      </c>
      <c r="J239" s="105">
        <v>0</v>
      </c>
      <c r="K239" s="106">
        <v>0</v>
      </c>
      <c r="L239" s="107">
        <v>278280</v>
      </c>
      <c r="M239" s="105">
        <v>96144</v>
      </c>
      <c r="N239" s="106">
        <v>182136</v>
      </c>
      <c r="O239" s="107">
        <f t="shared" si="14"/>
        <v>411854</v>
      </c>
      <c r="P239" s="105">
        <f t="shared" si="14"/>
        <v>175773</v>
      </c>
      <c r="Q239" s="106">
        <f t="shared" si="14"/>
        <v>236081</v>
      </c>
      <c r="R239" s="105">
        <f t="shared" si="13"/>
        <v>443.80818965517244</v>
      </c>
      <c r="S239" s="105">
        <f t="shared" si="13"/>
        <v>189.41056034482759</v>
      </c>
      <c r="T239" s="108">
        <f t="shared" si="13"/>
        <v>254.39762931034483</v>
      </c>
    </row>
    <row r="240" spans="1:20" s="66" customFormat="1" ht="12.75" x14ac:dyDescent="0.2">
      <c r="A240" s="109">
        <v>768</v>
      </c>
      <c r="B240" s="110">
        <v>1</v>
      </c>
      <c r="C240" s="103" t="s">
        <v>358</v>
      </c>
      <c r="D240" s="103">
        <v>6</v>
      </c>
      <c r="E240" s="104">
        <f>+SUMIF('GE16FEB14 Unfudged'!$A$2:$A$498, $A240, 'GE16FEB14 Unfudged'!$D$2:$D$498)</f>
        <v>356</v>
      </c>
      <c r="F240" s="104">
        <v>39046</v>
      </c>
      <c r="G240" s="105">
        <v>14374</v>
      </c>
      <c r="H240" s="106">
        <v>24672</v>
      </c>
      <c r="I240" s="107">
        <v>0</v>
      </c>
      <c r="J240" s="105">
        <v>0</v>
      </c>
      <c r="K240" s="106">
        <v>0</v>
      </c>
      <c r="L240" s="107">
        <v>374676</v>
      </c>
      <c r="M240" s="105">
        <v>150377</v>
      </c>
      <c r="N240" s="106">
        <v>224299</v>
      </c>
      <c r="O240" s="107">
        <f t="shared" si="14"/>
        <v>413722</v>
      </c>
      <c r="P240" s="105">
        <f t="shared" si="14"/>
        <v>164751</v>
      </c>
      <c r="Q240" s="106">
        <f t="shared" si="14"/>
        <v>248971</v>
      </c>
      <c r="R240" s="105">
        <f t="shared" si="13"/>
        <v>1162.1404494382023</v>
      </c>
      <c r="S240" s="105">
        <f t="shared" si="13"/>
        <v>462.78370786516854</v>
      </c>
      <c r="T240" s="108">
        <f t="shared" si="13"/>
        <v>699.35674157303367</v>
      </c>
    </row>
    <row r="241" spans="1:20" s="66" customFormat="1" ht="12.75" x14ac:dyDescent="0.2">
      <c r="A241" s="109">
        <v>771</v>
      </c>
      <c r="B241" s="110">
        <v>1</v>
      </c>
      <c r="C241" s="103" t="s">
        <v>359</v>
      </c>
      <c r="D241" s="103">
        <v>6</v>
      </c>
      <c r="E241" s="104">
        <f>+SUMIF('GE16FEB14 Unfudged'!$A$2:$A$498, $A241, 'GE16FEB14 Unfudged'!$D$2:$D$498)</f>
        <v>172</v>
      </c>
      <c r="F241" s="104">
        <v>8580</v>
      </c>
      <c r="G241" s="105">
        <v>4156</v>
      </c>
      <c r="H241" s="106">
        <v>4424</v>
      </c>
      <c r="I241" s="107">
        <v>0</v>
      </c>
      <c r="J241" s="105">
        <v>0</v>
      </c>
      <c r="K241" s="106">
        <v>0</v>
      </c>
      <c r="L241" s="107">
        <v>601002</v>
      </c>
      <c r="M241" s="105">
        <v>453585</v>
      </c>
      <c r="N241" s="106">
        <v>147417</v>
      </c>
      <c r="O241" s="107">
        <f t="shared" si="14"/>
        <v>609582</v>
      </c>
      <c r="P241" s="105">
        <f t="shared" si="14"/>
        <v>457741</v>
      </c>
      <c r="Q241" s="106">
        <f t="shared" si="14"/>
        <v>151841</v>
      </c>
      <c r="R241" s="105">
        <f t="shared" si="13"/>
        <v>3544.0813953488373</v>
      </c>
      <c r="S241" s="105">
        <f t="shared" si="13"/>
        <v>2661.2848837209303</v>
      </c>
      <c r="T241" s="108">
        <f t="shared" si="13"/>
        <v>882.79651162790697</v>
      </c>
    </row>
    <row r="242" spans="1:20" s="66" customFormat="1" ht="12.75" x14ac:dyDescent="0.2">
      <c r="A242" s="109">
        <v>775</v>
      </c>
      <c r="B242" s="110">
        <v>1</v>
      </c>
      <c r="C242" s="103" t="s">
        <v>360</v>
      </c>
      <c r="D242" s="103">
        <v>6</v>
      </c>
      <c r="E242" s="104">
        <f>+SUMIF('GE16FEB14 Unfudged'!$A$2:$A$498, $A242, 'GE16FEB14 Unfudged'!$D$2:$D$498)</f>
        <v>633</v>
      </c>
      <c r="F242" s="104">
        <v>89601</v>
      </c>
      <c r="G242" s="105">
        <v>49874</v>
      </c>
      <c r="H242" s="106">
        <v>39727</v>
      </c>
      <c r="I242" s="107">
        <v>0</v>
      </c>
      <c r="J242" s="105">
        <v>0</v>
      </c>
      <c r="K242" s="106">
        <v>0</v>
      </c>
      <c r="L242" s="107">
        <v>224067</v>
      </c>
      <c r="M242" s="105">
        <v>80271</v>
      </c>
      <c r="N242" s="106">
        <v>143796</v>
      </c>
      <c r="O242" s="107">
        <f t="shared" si="14"/>
        <v>313668</v>
      </c>
      <c r="P242" s="105">
        <f t="shared" si="14"/>
        <v>130145</v>
      </c>
      <c r="Q242" s="106">
        <f t="shared" si="14"/>
        <v>183523</v>
      </c>
      <c r="R242" s="105">
        <f t="shared" si="13"/>
        <v>495.52606635071089</v>
      </c>
      <c r="S242" s="105">
        <f t="shared" si="13"/>
        <v>205.60031595576621</v>
      </c>
      <c r="T242" s="108">
        <f t="shared" si="13"/>
        <v>289.92575039494471</v>
      </c>
    </row>
    <row r="243" spans="1:20" s="66" customFormat="1" ht="12.75" x14ac:dyDescent="0.2">
      <c r="A243" s="109">
        <v>777</v>
      </c>
      <c r="B243" s="110">
        <v>1</v>
      </c>
      <c r="C243" s="103" t="s">
        <v>361</v>
      </c>
      <c r="D243" s="103">
        <v>6</v>
      </c>
      <c r="E243" s="104">
        <f>+SUMIF('GE16FEB14 Unfudged'!$A$2:$A$498, $A243, 'GE16FEB14 Unfudged'!$D$2:$D$498)</f>
        <v>922</v>
      </c>
      <c r="F243" s="104">
        <v>94145</v>
      </c>
      <c r="G243" s="105">
        <v>60716</v>
      </c>
      <c r="H243" s="106">
        <v>33429</v>
      </c>
      <c r="I243" s="107">
        <v>0</v>
      </c>
      <c r="J243" s="105">
        <v>0</v>
      </c>
      <c r="K243" s="106">
        <v>0</v>
      </c>
      <c r="L243" s="107">
        <v>1119735</v>
      </c>
      <c r="M243" s="105">
        <v>795848</v>
      </c>
      <c r="N243" s="106">
        <v>323887</v>
      </c>
      <c r="O243" s="107">
        <f t="shared" si="14"/>
        <v>1213880</v>
      </c>
      <c r="P243" s="105">
        <f t="shared" si="14"/>
        <v>856564</v>
      </c>
      <c r="Q243" s="106">
        <f t="shared" si="14"/>
        <v>357316</v>
      </c>
      <c r="R243" s="105">
        <f t="shared" si="13"/>
        <v>1316.5726681127983</v>
      </c>
      <c r="S243" s="105">
        <f t="shared" si="13"/>
        <v>929.02819956616054</v>
      </c>
      <c r="T243" s="108">
        <f t="shared" si="13"/>
        <v>387.54446854663775</v>
      </c>
    </row>
    <row r="244" spans="1:20" s="66" customFormat="1" ht="12.75" x14ac:dyDescent="0.2">
      <c r="A244" s="109">
        <v>786</v>
      </c>
      <c r="B244" s="110">
        <v>1</v>
      </c>
      <c r="C244" s="103" t="s">
        <v>362</v>
      </c>
      <c r="D244" s="103">
        <v>6</v>
      </c>
      <c r="E244" s="104">
        <f>+SUMIF('GE16FEB14 Unfudged'!$A$2:$A$498, $A244, 'GE16FEB14 Unfudged'!$D$2:$D$498)</f>
        <v>399</v>
      </c>
      <c r="F244" s="104">
        <v>50161</v>
      </c>
      <c r="G244" s="105">
        <v>23044</v>
      </c>
      <c r="H244" s="106">
        <v>27117</v>
      </c>
      <c r="I244" s="107">
        <v>0</v>
      </c>
      <c r="J244" s="105">
        <v>0</v>
      </c>
      <c r="K244" s="106">
        <v>0</v>
      </c>
      <c r="L244" s="107">
        <v>277109</v>
      </c>
      <c r="M244" s="105">
        <v>87676</v>
      </c>
      <c r="N244" s="106">
        <v>189433</v>
      </c>
      <c r="O244" s="107">
        <f t="shared" si="14"/>
        <v>327270</v>
      </c>
      <c r="P244" s="105">
        <f t="shared" si="14"/>
        <v>110720</v>
      </c>
      <c r="Q244" s="106">
        <f t="shared" si="14"/>
        <v>216550</v>
      </c>
      <c r="R244" s="105">
        <f t="shared" si="13"/>
        <v>820.22556390977445</v>
      </c>
      <c r="S244" s="105">
        <f t="shared" si="13"/>
        <v>277.49373433583958</v>
      </c>
      <c r="T244" s="108">
        <f t="shared" si="13"/>
        <v>542.73182957393487</v>
      </c>
    </row>
    <row r="245" spans="1:20" s="66" customFormat="1" ht="12.75" x14ac:dyDescent="0.2">
      <c r="A245" s="109">
        <v>787</v>
      </c>
      <c r="B245" s="110">
        <v>1</v>
      </c>
      <c r="C245" s="103" t="s">
        <v>363</v>
      </c>
      <c r="D245" s="103">
        <v>6</v>
      </c>
      <c r="E245" s="104">
        <f>+SUMIF('GE16FEB14 Unfudged'!$A$2:$A$498, $A245, 'GE16FEB14 Unfudged'!$D$2:$D$498)</f>
        <v>396</v>
      </c>
      <c r="F245" s="104">
        <v>57053</v>
      </c>
      <c r="G245" s="105">
        <v>46004</v>
      </c>
      <c r="H245" s="106">
        <v>11049</v>
      </c>
      <c r="I245" s="107">
        <v>0</v>
      </c>
      <c r="J245" s="105">
        <v>0</v>
      </c>
      <c r="K245" s="106">
        <v>0</v>
      </c>
      <c r="L245" s="107">
        <v>118860</v>
      </c>
      <c r="M245" s="105">
        <v>39722</v>
      </c>
      <c r="N245" s="106">
        <v>79138</v>
      </c>
      <c r="O245" s="107">
        <f t="shared" si="14"/>
        <v>175913</v>
      </c>
      <c r="P245" s="105">
        <f t="shared" si="14"/>
        <v>85726</v>
      </c>
      <c r="Q245" s="106">
        <f t="shared" si="14"/>
        <v>90187</v>
      </c>
      <c r="R245" s="105">
        <f t="shared" si="13"/>
        <v>444.22474747474746</v>
      </c>
      <c r="S245" s="105">
        <f t="shared" si="13"/>
        <v>216.47979797979798</v>
      </c>
      <c r="T245" s="108">
        <f t="shared" si="13"/>
        <v>227.74494949494951</v>
      </c>
    </row>
    <row r="246" spans="1:20" s="66" customFormat="1" ht="12.75" x14ac:dyDescent="0.2">
      <c r="A246" s="109">
        <v>801</v>
      </c>
      <c r="B246" s="110">
        <v>1</v>
      </c>
      <c r="C246" s="103" t="s">
        <v>364</v>
      </c>
      <c r="D246" s="103">
        <v>6</v>
      </c>
      <c r="E246" s="104">
        <f>+SUMIF('GE16FEB14 Unfudged'!$A$2:$A$498, $A246, 'GE16FEB14 Unfudged'!$D$2:$D$498)</f>
        <v>104</v>
      </c>
      <c r="F246" s="104">
        <v>9230</v>
      </c>
      <c r="G246" s="105">
        <v>3654</v>
      </c>
      <c r="H246" s="106">
        <v>5576</v>
      </c>
      <c r="I246" s="107">
        <v>0</v>
      </c>
      <c r="J246" s="105">
        <v>0</v>
      </c>
      <c r="K246" s="106">
        <v>0</v>
      </c>
      <c r="L246" s="107">
        <v>156543</v>
      </c>
      <c r="M246" s="105">
        <v>80049</v>
      </c>
      <c r="N246" s="106">
        <v>76494</v>
      </c>
      <c r="O246" s="107">
        <f t="shared" si="14"/>
        <v>165773</v>
      </c>
      <c r="P246" s="105">
        <f t="shared" si="14"/>
        <v>83703</v>
      </c>
      <c r="Q246" s="106">
        <f t="shared" si="14"/>
        <v>82070</v>
      </c>
      <c r="R246" s="105">
        <f t="shared" si="13"/>
        <v>1593.9711538461538</v>
      </c>
      <c r="S246" s="105">
        <f t="shared" si="13"/>
        <v>804.83653846153845</v>
      </c>
      <c r="T246" s="108">
        <f t="shared" si="13"/>
        <v>789.13461538461536</v>
      </c>
    </row>
    <row r="247" spans="1:20" s="66" customFormat="1" ht="12.75" x14ac:dyDescent="0.2">
      <c r="A247" s="109">
        <v>803</v>
      </c>
      <c r="B247" s="110">
        <v>1</v>
      </c>
      <c r="C247" s="103" t="s">
        <v>365</v>
      </c>
      <c r="D247" s="103">
        <v>6</v>
      </c>
      <c r="E247" s="104">
        <f>+SUMIF('GE16FEB14 Unfudged'!$A$2:$A$498, $A247, 'GE16FEB14 Unfudged'!$D$2:$D$498)</f>
        <v>366</v>
      </c>
      <c r="F247" s="104">
        <v>30973</v>
      </c>
      <c r="G247" s="105">
        <v>15479</v>
      </c>
      <c r="H247" s="106">
        <v>15494</v>
      </c>
      <c r="I247" s="107">
        <v>0</v>
      </c>
      <c r="J247" s="105">
        <v>0</v>
      </c>
      <c r="K247" s="106">
        <v>0</v>
      </c>
      <c r="L247" s="107">
        <v>582776</v>
      </c>
      <c r="M247" s="105">
        <v>383777</v>
      </c>
      <c r="N247" s="106">
        <v>198999</v>
      </c>
      <c r="O247" s="107">
        <f t="shared" si="14"/>
        <v>613749</v>
      </c>
      <c r="P247" s="105">
        <f t="shared" si="14"/>
        <v>399256</v>
      </c>
      <c r="Q247" s="106">
        <f t="shared" si="14"/>
        <v>214493</v>
      </c>
      <c r="R247" s="105">
        <f t="shared" si="13"/>
        <v>1676.9098360655737</v>
      </c>
      <c r="S247" s="105">
        <f t="shared" si="13"/>
        <v>1090.8633879781421</v>
      </c>
      <c r="T247" s="108">
        <f t="shared" si="13"/>
        <v>586.04644808743171</v>
      </c>
    </row>
    <row r="248" spans="1:20" s="66" customFormat="1" ht="12.75" x14ac:dyDescent="0.2">
      <c r="A248" s="109">
        <v>811</v>
      </c>
      <c r="B248" s="110">
        <v>1</v>
      </c>
      <c r="C248" s="103" t="s">
        <v>366</v>
      </c>
      <c r="D248" s="103">
        <v>6</v>
      </c>
      <c r="E248" s="104">
        <f>+SUMIF('GE16FEB14 Unfudged'!$A$2:$A$498, $A248, 'GE16FEB14 Unfudged'!$D$2:$D$498)</f>
        <v>629</v>
      </c>
      <c r="F248" s="104">
        <v>66450</v>
      </c>
      <c r="G248" s="105">
        <v>66450</v>
      </c>
      <c r="H248" s="106">
        <v>0</v>
      </c>
      <c r="I248" s="107">
        <v>0</v>
      </c>
      <c r="J248" s="105">
        <v>0</v>
      </c>
      <c r="K248" s="106">
        <v>0</v>
      </c>
      <c r="L248" s="107">
        <v>715633</v>
      </c>
      <c r="M248" s="105">
        <v>663235</v>
      </c>
      <c r="N248" s="106">
        <v>52398</v>
      </c>
      <c r="O248" s="107">
        <f t="shared" si="14"/>
        <v>782083</v>
      </c>
      <c r="P248" s="105">
        <f t="shared" si="14"/>
        <v>729685</v>
      </c>
      <c r="Q248" s="106">
        <f t="shared" si="14"/>
        <v>52398</v>
      </c>
      <c r="R248" s="105">
        <f t="shared" si="13"/>
        <v>1243.3751987281398</v>
      </c>
      <c r="S248" s="105">
        <f t="shared" si="13"/>
        <v>1160.0715421303657</v>
      </c>
      <c r="T248" s="108">
        <f t="shared" si="13"/>
        <v>83.30365659777425</v>
      </c>
    </row>
    <row r="249" spans="1:20" s="66" customFormat="1" ht="12.75" x14ac:dyDescent="0.2">
      <c r="A249" s="109">
        <v>813</v>
      </c>
      <c r="B249" s="110">
        <v>1</v>
      </c>
      <c r="C249" s="103" t="s">
        <v>367</v>
      </c>
      <c r="D249" s="103">
        <v>5</v>
      </c>
      <c r="E249" s="104">
        <f>+SUMIF('GE16FEB14 Unfudged'!$A$2:$A$498, $A249, 'GE16FEB14 Unfudged'!$D$2:$D$498)</f>
        <v>1314</v>
      </c>
      <c r="F249" s="104">
        <v>147863</v>
      </c>
      <c r="G249" s="105">
        <v>147863</v>
      </c>
      <c r="H249" s="106">
        <v>0</v>
      </c>
      <c r="I249" s="107">
        <v>0</v>
      </c>
      <c r="J249" s="105">
        <v>0</v>
      </c>
      <c r="K249" s="106">
        <v>0</v>
      </c>
      <c r="L249" s="107">
        <v>1297227</v>
      </c>
      <c r="M249" s="105">
        <v>1141834</v>
      </c>
      <c r="N249" s="106">
        <v>155393</v>
      </c>
      <c r="O249" s="107">
        <f t="shared" si="14"/>
        <v>1445090</v>
      </c>
      <c r="P249" s="105">
        <f t="shared" si="14"/>
        <v>1289697</v>
      </c>
      <c r="Q249" s="106">
        <f t="shared" si="14"/>
        <v>155393</v>
      </c>
      <c r="R249" s="105">
        <f t="shared" si="13"/>
        <v>1099.7640791476408</v>
      </c>
      <c r="S249" s="105">
        <f t="shared" si="13"/>
        <v>981.50456621004571</v>
      </c>
      <c r="T249" s="108">
        <f t="shared" si="13"/>
        <v>118.25951293759513</v>
      </c>
    </row>
    <row r="250" spans="1:20" s="66" customFormat="1" ht="12.75" x14ac:dyDescent="0.2">
      <c r="A250" s="109">
        <v>815</v>
      </c>
      <c r="B250" s="110">
        <v>1</v>
      </c>
      <c r="C250" s="103" t="s">
        <v>368</v>
      </c>
      <c r="D250" s="103">
        <v>6</v>
      </c>
      <c r="E250" s="104">
        <f>+SUMIF('GE16FEB14 Unfudged'!$A$2:$A$498, $A250, 'GE16FEB14 Unfudged'!$D$2:$D$498)</f>
        <v>0</v>
      </c>
      <c r="F250" s="104">
        <v>2432</v>
      </c>
      <c r="G250" s="105">
        <v>2432</v>
      </c>
      <c r="H250" s="106">
        <v>0</v>
      </c>
      <c r="I250" s="107">
        <v>0</v>
      </c>
      <c r="J250" s="105">
        <v>0</v>
      </c>
      <c r="K250" s="106">
        <v>0</v>
      </c>
      <c r="L250" s="107">
        <v>0</v>
      </c>
      <c r="M250" s="105">
        <v>0</v>
      </c>
      <c r="N250" s="106">
        <v>0</v>
      </c>
      <c r="O250" s="107">
        <f t="shared" si="14"/>
        <v>2432</v>
      </c>
      <c r="P250" s="105">
        <f t="shared" si="14"/>
        <v>2432</v>
      </c>
      <c r="Q250" s="106">
        <f t="shared" si="14"/>
        <v>0</v>
      </c>
      <c r="R250" s="105">
        <f t="shared" si="13"/>
        <v>0</v>
      </c>
      <c r="S250" s="105">
        <f t="shared" si="13"/>
        <v>0</v>
      </c>
      <c r="T250" s="108">
        <f t="shared" si="13"/>
        <v>0</v>
      </c>
    </row>
    <row r="251" spans="1:20" s="66" customFormat="1" ht="12.75" x14ac:dyDescent="0.2">
      <c r="A251" s="109">
        <v>818</v>
      </c>
      <c r="B251" s="110">
        <v>1</v>
      </c>
      <c r="C251" s="103" t="s">
        <v>369</v>
      </c>
      <c r="D251" s="103">
        <v>6</v>
      </c>
      <c r="E251" s="104">
        <f>+SUMIF('GE16FEB14 Unfudged'!$A$2:$A$498, $A251, 'GE16FEB14 Unfudged'!$D$2:$D$498)</f>
        <v>526</v>
      </c>
      <c r="F251" s="104">
        <v>75773</v>
      </c>
      <c r="G251" s="105">
        <v>37784</v>
      </c>
      <c r="H251" s="106">
        <v>37989</v>
      </c>
      <c r="I251" s="107">
        <v>0</v>
      </c>
      <c r="J251" s="105">
        <v>0</v>
      </c>
      <c r="K251" s="106">
        <v>0</v>
      </c>
      <c r="L251" s="107">
        <v>157860</v>
      </c>
      <c r="M251" s="105">
        <v>45620</v>
      </c>
      <c r="N251" s="106">
        <v>112240</v>
      </c>
      <c r="O251" s="107">
        <f t="shared" si="14"/>
        <v>233633</v>
      </c>
      <c r="P251" s="105">
        <f t="shared" si="14"/>
        <v>83404</v>
      </c>
      <c r="Q251" s="106">
        <f t="shared" si="14"/>
        <v>150229</v>
      </c>
      <c r="R251" s="105">
        <f t="shared" si="13"/>
        <v>444.16920152091257</v>
      </c>
      <c r="S251" s="105">
        <f t="shared" si="13"/>
        <v>158.56273764258555</v>
      </c>
      <c r="T251" s="108">
        <f t="shared" si="13"/>
        <v>285.60646387832702</v>
      </c>
    </row>
    <row r="252" spans="1:20" s="66" customFormat="1" ht="12.75" x14ac:dyDescent="0.2">
      <c r="A252" s="109">
        <v>820</v>
      </c>
      <c r="B252" s="110">
        <v>1</v>
      </c>
      <c r="C252" s="103" t="s">
        <v>370</v>
      </c>
      <c r="D252" s="103">
        <v>6</v>
      </c>
      <c r="E252" s="104">
        <f>+SUMIF('GE16FEB14 Unfudged'!$A$2:$A$498, $A252, 'GE16FEB14 Unfudged'!$D$2:$D$498)</f>
        <v>501</v>
      </c>
      <c r="F252" s="104">
        <v>58705</v>
      </c>
      <c r="G252" s="105">
        <v>25879</v>
      </c>
      <c r="H252" s="106">
        <v>32826</v>
      </c>
      <c r="I252" s="107">
        <v>0</v>
      </c>
      <c r="J252" s="105">
        <v>0</v>
      </c>
      <c r="K252" s="106">
        <v>0</v>
      </c>
      <c r="L252" s="107">
        <v>442742</v>
      </c>
      <c r="M252" s="105">
        <v>188104</v>
      </c>
      <c r="N252" s="106">
        <v>254638</v>
      </c>
      <c r="O252" s="107">
        <f t="shared" si="14"/>
        <v>501447</v>
      </c>
      <c r="P252" s="105">
        <f t="shared" si="14"/>
        <v>213983</v>
      </c>
      <c r="Q252" s="106">
        <f t="shared" si="14"/>
        <v>287464</v>
      </c>
      <c r="R252" s="105">
        <f t="shared" si="13"/>
        <v>1000.8922155688623</v>
      </c>
      <c r="S252" s="105">
        <f t="shared" si="13"/>
        <v>427.1117764471058</v>
      </c>
      <c r="T252" s="108">
        <f t="shared" si="13"/>
        <v>573.78043912175644</v>
      </c>
    </row>
    <row r="253" spans="1:20" s="66" customFormat="1" ht="12.75" x14ac:dyDescent="0.2">
      <c r="A253" s="109">
        <v>821</v>
      </c>
      <c r="B253" s="110">
        <v>1</v>
      </c>
      <c r="C253" s="103" t="s">
        <v>371</v>
      </c>
      <c r="D253" s="103">
        <v>6</v>
      </c>
      <c r="E253" s="104">
        <f>+SUMIF('GE16FEB14 Unfudged'!$A$2:$A$498, $A253, 'GE16FEB14 Unfudged'!$D$2:$D$498)</f>
        <v>1075</v>
      </c>
      <c r="F253" s="104">
        <v>154736</v>
      </c>
      <c r="G253" s="105">
        <v>53141</v>
      </c>
      <c r="H253" s="106">
        <v>101595</v>
      </c>
      <c r="I253" s="107">
        <v>0</v>
      </c>
      <c r="J253" s="105">
        <v>0</v>
      </c>
      <c r="K253" s="106">
        <v>0</v>
      </c>
      <c r="L253" s="107">
        <v>322365</v>
      </c>
      <c r="M253" s="105">
        <v>64161</v>
      </c>
      <c r="N253" s="106">
        <v>258204</v>
      </c>
      <c r="O253" s="107">
        <f t="shared" si="14"/>
        <v>477101</v>
      </c>
      <c r="P253" s="105">
        <f t="shared" si="14"/>
        <v>117302</v>
      </c>
      <c r="Q253" s="106">
        <f t="shared" si="14"/>
        <v>359799</v>
      </c>
      <c r="R253" s="105">
        <f t="shared" si="13"/>
        <v>443.81488372093025</v>
      </c>
      <c r="S253" s="105">
        <f t="shared" si="13"/>
        <v>109.11813953488372</v>
      </c>
      <c r="T253" s="108">
        <f t="shared" si="13"/>
        <v>334.69674418604649</v>
      </c>
    </row>
    <row r="254" spans="1:20" s="66" customFormat="1" ht="12.75" x14ac:dyDescent="0.2">
      <c r="A254" s="109">
        <v>829</v>
      </c>
      <c r="B254" s="110">
        <v>1</v>
      </c>
      <c r="C254" s="103" t="s">
        <v>372</v>
      </c>
      <c r="D254" s="103">
        <v>5</v>
      </c>
      <c r="E254" s="104">
        <f>+SUMIF('GE16FEB14 Unfudged'!$A$2:$A$498, $A254, 'GE16FEB14 Unfudged'!$D$2:$D$498)</f>
        <v>2007</v>
      </c>
      <c r="F254" s="104">
        <v>247728</v>
      </c>
      <c r="G254" s="105">
        <v>162810</v>
      </c>
      <c r="H254" s="106">
        <v>84918</v>
      </c>
      <c r="I254" s="107">
        <v>0</v>
      </c>
      <c r="J254" s="105">
        <v>0</v>
      </c>
      <c r="K254" s="106">
        <v>0</v>
      </c>
      <c r="L254" s="107">
        <v>1501117</v>
      </c>
      <c r="M254" s="105">
        <v>820208</v>
      </c>
      <c r="N254" s="106">
        <v>680909</v>
      </c>
      <c r="O254" s="107">
        <f t="shared" si="14"/>
        <v>1748845</v>
      </c>
      <c r="P254" s="105">
        <f t="shared" si="14"/>
        <v>983018</v>
      </c>
      <c r="Q254" s="106">
        <f t="shared" si="14"/>
        <v>765827</v>
      </c>
      <c r="R254" s="105">
        <f t="shared" si="13"/>
        <v>871.37269556552064</v>
      </c>
      <c r="S254" s="105">
        <f t="shared" si="13"/>
        <v>489.79471848530147</v>
      </c>
      <c r="T254" s="108">
        <f t="shared" si="13"/>
        <v>381.57797708021923</v>
      </c>
    </row>
    <row r="255" spans="1:20" s="66" customFormat="1" ht="12.75" x14ac:dyDescent="0.2">
      <c r="A255" s="109">
        <v>831</v>
      </c>
      <c r="B255" s="110">
        <v>1</v>
      </c>
      <c r="C255" s="103" t="s">
        <v>373</v>
      </c>
      <c r="D255" s="103">
        <v>3</v>
      </c>
      <c r="E255" s="104">
        <f>+SUMIF('GE16FEB14 Unfudged'!$A$2:$A$498, $A255, 'GE16FEB14 Unfudged'!$D$2:$D$498)</f>
        <v>7091</v>
      </c>
      <c r="F255" s="104">
        <v>1117174</v>
      </c>
      <c r="G255" s="105">
        <v>1117174</v>
      </c>
      <c r="H255" s="106">
        <v>0</v>
      </c>
      <c r="I255" s="107">
        <v>3006372</v>
      </c>
      <c r="J255" s="105">
        <v>3006372</v>
      </c>
      <c r="K255" s="106">
        <v>0</v>
      </c>
      <c r="L255" s="107">
        <v>3045370</v>
      </c>
      <c r="M255" s="105">
        <v>2166247</v>
      </c>
      <c r="N255" s="106">
        <v>879123</v>
      </c>
      <c r="O255" s="107">
        <f t="shared" si="14"/>
        <v>7168916</v>
      </c>
      <c r="P255" s="105">
        <f t="shared" si="14"/>
        <v>6289793</v>
      </c>
      <c r="Q255" s="106">
        <f t="shared" si="14"/>
        <v>879123</v>
      </c>
      <c r="R255" s="105">
        <f t="shared" si="13"/>
        <v>1010.9880129741927</v>
      </c>
      <c r="S255" s="105">
        <f t="shared" si="13"/>
        <v>887.01071781131009</v>
      </c>
      <c r="T255" s="108">
        <f t="shared" si="13"/>
        <v>123.97729516288253</v>
      </c>
    </row>
    <row r="256" spans="1:20" s="66" customFormat="1" ht="12.75" x14ac:dyDescent="0.2">
      <c r="A256" s="109">
        <v>832</v>
      </c>
      <c r="B256" s="110">
        <v>1</v>
      </c>
      <c r="C256" s="103" t="s">
        <v>374</v>
      </c>
      <c r="D256" s="103">
        <v>3</v>
      </c>
      <c r="E256" s="104">
        <f>+SUMIF('GE16FEB14 Unfudged'!$A$2:$A$498, $A256, 'GE16FEB14 Unfudged'!$D$2:$D$498)</f>
        <v>3616</v>
      </c>
      <c r="F256" s="104">
        <v>563776</v>
      </c>
      <c r="G256" s="105">
        <v>563776</v>
      </c>
      <c r="H256" s="106">
        <v>0</v>
      </c>
      <c r="I256" s="107">
        <v>1533014</v>
      </c>
      <c r="J256" s="105">
        <v>1533014</v>
      </c>
      <c r="K256" s="106">
        <v>0</v>
      </c>
      <c r="L256" s="107">
        <v>1629696</v>
      </c>
      <c r="M256" s="105">
        <v>1450102</v>
      </c>
      <c r="N256" s="106">
        <v>179594</v>
      </c>
      <c r="O256" s="107">
        <f t="shared" si="14"/>
        <v>3726486</v>
      </c>
      <c r="P256" s="105">
        <f t="shared" si="14"/>
        <v>3546892</v>
      </c>
      <c r="Q256" s="106">
        <f t="shared" si="14"/>
        <v>179594</v>
      </c>
      <c r="R256" s="105">
        <f t="shared" si="13"/>
        <v>1030.5547566371681</v>
      </c>
      <c r="S256" s="105">
        <f t="shared" si="13"/>
        <v>980.88827433628319</v>
      </c>
      <c r="T256" s="108">
        <f t="shared" si="13"/>
        <v>49.666482300884958</v>
      </c>
    </row>
    <row r="257" spans="1:20" s="66" customFormat="1" ht="12.75" x14ac:dyDescent="0.2">
      <c r="A257" s="109">
        <v>833</v>
      </c>
      <c r="B257" s="110">
        <v>1</v>
      </c>
      <c r="C257" s="103" t="s">
        <v>375</v>
      </c>
      <c r="D257" s="103">
        <v>2</v>
      </c>
      <c r="E257" s="104">
        <f>+SUMIF('GE16FEB14 Unfudged'!$A$2:$A$498, $A257, 'GE16FEB14 Unfudged'!$D$2:$D$498)</f>
        <v>19571</v>
      </c>
      <c r="F257" s="104">
        <v>2335980</v>
      </c>
      <c r="G257" s="105">
        <v>1813945</v>
      </c>
      <c r="H257" s="106">
        <v>522035</v>
      </c>
      <c r="I257" s="107">
        <v>8298189</v>
      </c>
      <c r="J257" s="105">
        <v>6443744</v>
      </c>
      <c r="K257" s="106">
        <v>1854445</v>
      </c>
      <c r="L257" s="107">
        <v>18145438</v>
      </c>
      <c r="M257" s="105">
        <v>12904474</v>
      </c>
      <c r="N257" s="106">
        <v>5240964</v>
      </c>
      <c r="O257" s="107">
        <f t="shared" si="14"/>
        <v>28779607</v>
      </c>
      <c r="P257" s="105">
        <f t="shared" si="14"/>
        <v>21162163</v>
      </c>
      <c r="Q257" s="106">
        <f t="shared" si="14"/>
        <v>7617444</v>
      </c>
      <c r="R257" s="105">
        <f t="shared" si="13"/>
        <v>1470.5230698482449</v>
      </c>
      <c r="S257" s="105">
        <f t="shared" si="13"/>
        <v>1081.3020796075828</v>
      </c>
      <c r="T257" s="108">
        <f t="shared" si="13"/>
        <v>389.22099024066222</v>
      </c>
    </row>
    <row r="258" spans="1:20" s="66" customFormat="1" ht="12.75" x14ac:dyDescent="0.2">
      <c r="A258" s="109">
        <v>834</v>
      </c>
      <c r="B258" s="110">
        <v>1</v>
      </c>
      <c r="C258" s="103" t="s">
        <v>376</v>
      </c>
      <c r="D258" s="103">
        <v>3</v>
      </c>
      <c r="E258" s="104">
        <f>+SUMIF('GE16FEB14 Unfudged'!$A$2:$A$498, $A258, 'GE16FEB14 Unfudged'!$D$2:$D$498)</f>
        <v>8927</v>
      </c>
      <c r="F258" s="104">
        <v>714175</v>
      </c>
      <c r="G258" s="105">
        <v>714175</v>
      </c>
      <c r="H258" s="106">
        <v>0</v>
      </c>
      <c r="I258" s="107">
        <v>3785048</v>
      </c>
      <c r="J258" s="105">
        <v>3785048</v>
      </c>
      <c r="K258" s="106">
        <v>0</v>
      </c>
      <c r="L258" s="107">
        <v>12853541</v>
      </c>
      <c r="M258" s="105">
        <v>12282465</v>
      </c>
      <c r="N258" s="106">
        <v>571076</v>
      </c>
      <c r="O258" s="107">
        <f t="shared" si="14"/>
        <v>17352764</v>
      </c>
      <c r="P258" s="105">
        <f t="shared" si="14"/>
        <v>16781688</v>
      </c>
      <c r="Q258" s="106">
        <f t="shared" si="14"/>
        <v>571076</v>
      </c>
      <c r="R258" s="105">
        <f t="shared" si="13"/>
        <v>1943.8516858967178</v>
      </c>
      <c r="S258" s="105">
        <f t="shared" si="13"/>
        <v>1879.8799148650162</v>
      </c>
      <c r="T258" s="108">
        <f t="shared" si="13"/>
        <v>63.971771031701579</v>
      </c>
    </row>
    <row r="259" spans="1:20" s="66" customFormat="1" ht="12.75" x14ac:dyDescent="0.2">
      <c r="A259" s="109">
        <v>836</v>
      </c>
      <c r="B259" s="110">
        <v>1</v>
      </c>
      <c r="C259" s="103" t="s">
        <v>377</v>
      </c>
      <c r="D259" s="103">
        <v>6</v>
      </c>
      <c r="E259" s="104">
        <f>+SUMIF('GE16FEB14 Unfudged'!$A$2:$A$498, $A259, 'GE16FEB14 Unfudged'!$D$2:$D$498)</f>
        <v>207</v>
      </c>
      <c r="F259" s="104">
        <v>14827</v>
      </c>
      <c r="G259" s="105">
        <v>5509</v>
      </c>
      <c r="H259" s="106">
        <v>9318</v>
      </c>
      <c r="I259" s="107">
        <v>0</v>
      </c>
      <c r="J259" s="105">
        <v>0</v>
      </c>
      <c r="K259" s="106">
        <v>0</v>
      </c>
      <c r="L259" s="107">
        <v>388525</v>
      </c>
      <c r="M259" s="105">
        <v>212303</v>
      </c>
      <c r="N259" s="106">
        <v>176222</v>
      </c>
      <c r="O259" s="107">
        <f t="shared" si="14"/>
        <v>403352</v>
      </c>
      <c r="P259" s="105">
        <f t="shared" si="14"/>
        <v>217812</v>
      </c>
      <c r="Q259" s="106">
        <f t="shared" si="14"/>
        <v>185540</v>
      </c>
      <c r="R259" s="105">
        <f t="shared" si="13"/>
        <v>1948.5603864734298</v>
      </c>
      <c r="S259" s="105">
        <f t="shared" si="13"/>
        <v>1052.231884057971</v>
      </c>
      <c r="T259" s="108">
        <f t="shared" si="13"/>
        <v>896.32850241545896</v>
      </c>
    </row>
    <row r="260" spans="1:20" s="66" customFormat="1" ht="12.75" x14ac:dyDescent="0.2">
      <c r="A260" s="109">
        <v>837</v>
      </c>
      <c r="B260" s="110">
        <v>2</v>
      </c>
      <c r="C260" s="103" t="s">
        <v>378</v>
      </c>
      <c r="D260" s="103">
        <v>6</v>
      </c>
      <c r="E260" s="104">
        <f>+SUMIF('GE16FEB14 Unfudged'!$A$2:$A$498, $A260, 'GE16FEB14 Unfudged'!$D$2:$D$498)</f>
        <v>510</v>
      </c>
      <c r="F260" s="104">
        <v>49174</v>
      </c>
      <c r="G260" s="105">
        <v>27175</v>
      </c>
      <c r="H260" s="106">
        <v>21999</v>
      </c>
      <c r="I260" s="107">
        <v>0</v>
      </c>
      <c r="J260" s="105">
        <v>0</v>
      </c>
      <c r="K260" s="106">
        <v>0</v>
      </c>
      <c r="L260" s="107">
        <v>682646</v>
      </c>
      <c r="M260" s="105">
        <v>465359</v>
      </c>
      <c r="N260" s="106">
        <v>217287</v>
      </c>
      <c r="O260" s="107">
        <f t="shared" si="14"/>
        <v>731820</v>
      </c>
      <c r="P260" s="105">
        <f t="shared" si="14"/>
        <v>492534</v>
      </c>
      <c r="Q260" s="106">
        <f t="shared" si="14"/>
        <v>239286</v>
      </c>
      <c r="R260" s="105">
        <f t="shared" si="13"/>
        <v>1434.9411764705883</v>
      </c>
      <c r="S260" s="105">
        <f t="shared" si="13"/>
        <v>965.75294117647059</v>
      </c>
      <c r="T260" s="108">
        <f t="shared" si="13"/>
        <v>469.18823529411765</v>
      </c>
    </row>
    <row r="261" spans="1:20" s="66" customFormat="1" ht="12.75" x14ac:dyDescent="0.2">
      <c r="A261" s="109">
        <v>840</v>
      </c>
      <c r="B261" s="110">
        <v>1</v>
      </c>
      <c r="C261" s="103" t="s">
        <v>379</v>
      </c>
      <c r="D261" s="103">
        <v>5</v>
      </c>
      <c r="E261" s="104">
        <f>+SUMIF('GE16FEB14 Unfudged'!$A$2:$A$498, $A261, 'GE16FEB14 Unfudged'!$D$2:$D$498)</f>
        <v>1043</v>
      </c>
      <c r="F261" s="104">
        <v>119357</v>
      </c>
      <c r="G261" s="105">
        <v>54565</v>
      </c>
      <c r="H261" s="106">
        <v>64792</v>
      </c>
      <c r="I261" s="107">
        <v>0</v>
      </c>
      <c r="J261" s="105">
        <v>0</v>
      </c>
      <c r="K261" s="106">
        <v>0</v>
      </c>
      <c r="L261" s="107">
        <v>985468</v>
      </c>
      <c r="M261" s="105">
        <v>457233</v>
      </c>
      <c r="N261" s="106">
        <v>528235</v>
      </c>
      <c r="O261" s="107">
        <f t="shared" si="14"/>
        <v>1104825</v>
      </c>
      <c r="P261" s="105">
        <f t="shared" si="14"/>
        <v>511798</v>
      </c>
      <c r="Q261" s="106">
        <f t="shared" si="14"/>
        <v>593027</v>
      </c>
      <c r="R261" s="105">
        <f t="shared" si="13"/>
        <v>1059.2761265580057</v>
      </c>
      <c r="S261" s="105">
        <f t="shared" si="13"/>
        <v>490.69798657718121</v>
      </c>
      <c r="T261" s="108">
        <f t="shared" si="13"/>
        <v>568.57813998082452</v>
      </c>
    </row>
    <row r="262" spans="1:20" s="66" customFormat="1" ht="12.75" x14ac:dyDescent="0.2">
      <c r="A262" s="109">
        <v>846</v>
      </c>
      <c r="B262" s="110">
        <v>1</v>
      </c>
      <c r="C262" s="103" t="s">
        <v>380</v>
      </c>
      <c r="D262" s="103">
        <v>6</v>
      </c>
      <c r="E262" s="104">
        <f>+SUMIF('GE16FEB14 Unfudged'!$A$2:$A$498, $A262, 'GE16FEB14 Unfudged'!$D$2:$D$498)</f>
        <v>748</v>
      </c>
      <c r="F262" s="104">
        <v>75372</v>
      </c>
      <c r="G262" s="105">
        <v>41781</v>
      </c>
      <c r="H262" s="106">
        <v>33591</v>
      </c>
      <c r="I262" s="107">
        <v>0</v>
      </c>
      <c r="J262" s="105">
        <v>0</v>
      </c>
      <c r="K262" s="106">
        <v>0</v>
      </c>
      <c r="L262" s="107">
        <v>929801</v>
      </c>
      <c r="M262" s="105">
        <v>615065</v>
      </c>
      <c r="N262" s="106">
        <v>314736</v>
      </c>
      <c r="O262" s="107">
        <f t="shared" si="14"/>
        <v>1005173</v>
      </c>
      <c r="P262" s="105">
        <f t="shared" si="14"/>
        <v>656846</v>
      </c>
      <c r="Q262" s="106">
        <f t="shared" si="14"/>
        <v>348327</v>
      </c>
      <c r="R262" s="105">
        <f t="shared" si="13"/>
        <v>1343.8141711229946</v>
      </c>
      <c r="S262" s="105">
        <f t="shared" si="13"/>
        <v>878.13636363636363</v>
      </c>
      <c r="T262" s="108">
        <f t="shared" si="13"/>
        <v>465.67780748663102</v>
      </c>
    </row>
    <row r="263" spans="1:20" s="66" customFormat="1" ht="12.75" x14ac:dyDescent="0.2">
      <c r="A263" s="109">
        <v>850</v>
      </c>
      <c r="B263" s="110">
        <v>1</v>
      </c>
      <c r="C263" s="103" t="s">
        <v>381</v>
      </c>
      <c r="D263" s="103">
        <v>6</v>
      </c>
      <c r="E263" s="104">
        <f>+SUMIF('GE16FEB14 Unfudged'!$A$2:$A$498, $A263, 'GE16FEB14 Unfudged'!$D$2:$D$498)</f>
        <v>291</v>
      </c>
      <c r="F263" s="104">
        <v>21860</v>
      </c>
      <c r="G263" s="105">
        <v>9552</v>
      </c>
      <c r="H263" s="106">
        <v>12308</v>
      </c>
      <c r="I263" s="107">
        <v>0</v>
      </c>
      <c r="J263" s="105">
        <v>0</v>
      </c>
      <c r="K263" s="106">
        <v>0</v>
      </c>
      <c r="L263" s="107">
        <v>524504</v>
      </c>
      <c r="M263" s="105">
        <v>313702</v>
      </c>
      <c r="N263" s="106">
        <v>210802</v>
      </c>
      <c r="O263" s="107">
        <f t="shared" si="14"/>
        <v>546364</v>
      </c>
      <c r="P263" s="105">
        <f t="shared" si="14"/>
        <v>323254</v>
      </c>
      <c r="Q263" s="106">
        <f t="shared" si="14"/>
        <v>223110</v>
      </c>
      <c r="R263" s="105">
        <f t="shared" si="13"/>
        <v>1877.5395189003436</v>
      </c>
      <c r="S263" s="105">
        <f t="shared" si="13"/>
        <v>1110.8384879725086</v>
      </c>
      <c r="T263" s="108">
        <f t="shared" si="13"/>
        <v>766.70103092783506</v>
      </c>
    </row>
    <row r="264" spans="1:20" s="66" customFormat="1" ht="12.75" x14ac:dyDescent="0.2">
      <c r="A264" s="109">
        <v>852</v>
      </c>
      <c r="B264" s="110">
        <v>1</v>
      </c>
      <c r="C264" s="103" t="s">
        <v>382</v>
      </c>
      <c r="D264" s="103">
        <v>6</v>
      </c>
      <c r="E264" s="104">
        <f>+SUMIF('GE16FEB14 Unfudged'!$A$2:$A$498, $A264, 'GE16FEB14 Unfudged'!$D$2:$D$498)</f>
        <v>125</v>
      </c>
      <c r="F264" s="104">
        <v>6250</v>
      </c>
      <c r="G264" s="105">
        <v>4039</v>
      </c>
      <c r="H264" s="106">
        <v>2211</v>
      </c>
      <c r="I264" s="107">
        <v>0</v>
      </c>
      <c r="J264" s="105">
        <v>0</v>
      </c>
      <c r="K264" s="106">
        <v>0</v>
      </c>
      <c r="L264" s="107">
        <v>436151</v>
      </c>
      <c r="M264" s="105">
        <v>238468</v>
      </c>
      <c r="N264" s="106">
        <v>197683</v>
      </c>
      <c r="O264" s="107">
        <f t="shared" si="14"/>
        <v>442401</v>
      </c>
      <c r="P264" s="105">
        <f t="shared" si="14"/>
        <v>242507</v>
      </c>
      <c r="Q264" s="106">
        <f t="shared" si="14"/>
        <v>199894</v>
      </c>
      <c r="R264" s="105">
        <f t="shared" si="13"/>
        <v>3539.2080000000001</v>
      </c>
      <c r="S264" s="105">
        <f t="shared" si="13"/>
        <v>1940.056</v>
      </c>
      <c r="T264" s="108">
        <f t="shared" si="13"/>
        <v>1599.152</v>
      </c>
    </row>
    <row r="265" spans="1:20" s="66" customFormat="1" ht="12.75" x14ac:dyDescent="0.2">
      <c r="A265" s="109">
        <v>857</v>
      </c>
      <c r="B265" s="110">
        <v>1</v>
      </c>
      <c r="C265" s="103" t="s">
        <v>383</v>
      </c>
      <c r="D265" s="103">
        <v>6</v>
      </c>
      <c r="E265" s="104">
        <f>+SUMIF('GE16FEB14 Unfudged'!$A$2:$A$498, $A265, 'GE16FEB14 Unfudged'!$D$2:$D$498)</f>
        <v>833</v>
      </c>
      <c r="F265" s="104">
        <v>101191</v>
      </c>
      <c r="G265" s="105">
        <v>63257</v>
      </c>
      <c r="H265" s="106">
        <v>37934</v>
      </c>
      <c r="I265" s="107">
        <v>0</v>
      </c>
      <c r="J265" s="105">
        <v>0</v>
      </c>
      <c r="K265" s="106">
        <v>0</v>
      </c>
      <c r="L265" s="107">
        <v>657737</v>
      </c>
      <c r="M265" s="105">
        <v>354872</v>
      </c>
      <c r="N265" s="106">
        <v>302865</v>
      </c>
      <c r="O265" s="107">
        <f t="shared" si="14"/>
        <v>758928</v>
      </c>
      <c r="P265" s="105">
        <f t="shared" si="14"/>
        <v>418129</v>
      </c>
      <c r="Q265" s="106">
        <f t="shared" si="14"/>
        <v>340799</v>
      </c>
      <c r="R265" s="105">
        <f t="shared" si="13"/>
        <v>911.07803121248503</v>
      </c>
      <c r="S265" s="105">
        <f t="shared" si="13"/>
        <v>501.95558223289316</v>
      </c>
      <c r="T265" s="108">
        <f t="shared" si="13"/>
        <v>409.12244897959181</v>
      </c>
    </row>
    <row r="266" spans="1:20" s="66" customFormat="1" ht="12.75" x14ac:dyDescent="0.2">
      <c r="A266" s="109">
        <v>858</v>
      </c>
      <c r="B266" s="110">
        <v>1</v>
      </c>
      <c r="C266" s="103" t="s">
        <v>384</v>
      </c>
      <c r="D266" s="103">
        <v>6</v>
      </c>
      <c r="E266" s="104">
        <f>+SUMIF('GE16FEB14 Unfudged'!$A$2:$A$498, $A266, 'GE16FEB14 Unfudged'!$D$2:$D$498)</f>
        <v>1073</v>
      </c>
      <c r="F266" s="104">
        <v>152911</v>
      </c>
      <c r="G266" s="105">
        <v>87052</v>
      </c>
      <c r="H266" s="106">
        <v>65859</v>
      </c>
      <c r="I266" s="107">
        <v>0</v>
      </c>
      <c r="J266" s="105">
        <v>0</v>
      </c>
      <c r="K266" s="106">
        <v>0</v>
      </c>
      <c r="L266" s="107">
        <v>357515</v>
      </c>
      <c r="M266" s="105">
        <v>126467</v>
      </c>
      <c r="N266" s="106">
        <v>231048</v>
      </c>
      <c r="O266" s="107">
        <f t="shared" si="14"/>
        <v>510426</v>
      </c>
      <c r="P266" s="105">
        <f t="shared" si="14"/>
        <v>213519</v>
      </c>
      <c r="Q266" s="106">
        <f t="shared" si="14"/>
        <v>296907</v>
      </c>
      <c r="R266" s="105">
        <f t="shared" si="13"/>
        <v>475.69990680335508</v>
      </c>
      <c r="S266" s="105">
        <f t="shared" si="13"/>
        <v>198.99254426840633</v>
      </c>
      <c r="T266" s="108">
        <f t="shared" si="13"/>
        <v>276.70736253494874</v>
      </c>
    </row>
    <row r="267" spans="1:20" s="66" customFormat="1" ht="12.75" x14ac:dyDescent="0.2">
      <c r="A267" s="109">
        <v>861</v>
      </c>
      <c r="B267" s="110">
        <v>1</v>
      </c>
      <c r="C267" s="103" t="s">
        <v>385</v>
      </c>
      <c r="D267" s="103">
        <v>4</v>
      </c>
      <c r="E267" s="104">
        <f>+SUMIF('GE16FEB14 Unfudged'!$A$2:$A$498, $A267, 'GE16FEB14 Unfudged'!$D$2:$D$498)</f>
        <v>3203</v>
      </c>
      <c r="F267" s="104">
        <v>237323</v>
      </c>
      <c r="G267" s="105">
        <v>237323</v>
      </c>
      <c r="H267" s="106">
        <v>0</v>
      </c>
      <c r="I267" s="107">
        <v>679015</v>
      </c>
      <c r="J267" s="105">
        <v>679015</v>
      </c>
      <c r="K267" s="106">
        <v>0</v>
      </c>
      <c r="L267" s="107">
        <v>5844492</v>
      </c>
      <c r="M267" s="105">
        <v>5535175</v>
      </c>
      <c r="N267" s="106">
        <v>309317</v>
      </c>
      <c r="O267" s="107">
        <f t="shared" si="14"/>
        <v>6760830</v>
      </c>
      <c r="P267" s="105">
        <f t="shared" si="14"/>
        <v>6451513</v>
      </c>
      <c r="Q267" s="106">
        <f t="shared" si="14"/>
        <v>309317</v>
      </c>
      <c r="R267" s="105">
        <f t="shared" si="13"/>
        <v>2110.7805182641273</v>
      </c>
      <c r="S267" s="105">
        <f t="shared" si="13"/>
        <v>2014.2094911020918</v>
      </c>
      <c r="T267" s="108">
        <f t="shared" si="13"/>
        <v>96.571027162035591</v>
      </c>
    </row>
    <row r="268" spans="1:20" s="66" customFormat="1" ht="12.75" x14ac:dyDescent="0.2">
      <c r="A268" s="109">
        <v>876</v>
      </c>
      <c r="B268" s="110">
        <v>1</v>
      </c>
      <c r="C268" s="103" t="s">
        <v>386</v>
      </c>
      <c r="D268" s="103">
        <v>5</v>
      </c>
      <c r="E268" s="104">
        <f>+SUMIF('GE16FEB14 Unfudged'!$A$2:$A$498, $A268, 'GE16FEB14 Unfudged'!$D$2:$D$498)</f>
        <v>1760</v>
      </c>
      <c r="F268" s="104">
        <v>220101</v>
      </c>
      <c r="G268" s="105">
        <v>220101</v>
      </c>
      <c r="H268" s="106">
        <v>0</v>
      </c>
      <c r="I268" s="107">
        <v>0</v>
      </c>
      <c r="J268" s="105">
        <v>0</v>
      </c>
      <c r="K268" s="106">
        <v>0</v>
      </c>
      <c r="L268" s="107">
        <v>1255885</v>
      </c>
      <c r="M268" s="105">
        <v>1050219</v>
      </c>
      <c r="N268" s="106">
        <v>205666</v>
      </c>
      <c r="O268" s="107">
        <f t="shared" si="14"/>
        <v>1475986</v>
      </c>
      <c r="P268" s="105">
        <f t="shared" si="14"/>
        <v>1270320</v>
      </c>
      <c r="Q268" s="106">
        <f t="shared" si="14"/>
        <v>205666</v>
      </c>
      <c r="R268" s="105">
        <f t="shared" si="13"/>
        <v>838.62840909090914</v>
      </c>
      <c r="S268" s="105">
        <f t="shared" si="13"/>
        <v>721.77272727272725</v>
      </c>
      <c r="T268" s="108">
        <f t="shared" si="13"/>
        <v>116.85568181818182</v>
      </c>
    </row>
    <row r="269" spans="1:20" s="66" customFormat="1" ht="12.75" x14ac:dyDescent="0.2">
      <c r="A269" s="109">
        <v>877</v>
      </c>
      <c r="B269" s="110">
        <v>1</v>
      </c>
      <c r="C269" s="103" t="s">
        <v>387</v>
      </c>
      <c r="D269" s="103">
        <v>4</v>
      </c>
      <c r="E269" s="104">
        <f>+SUMIF('GE16FEB14 Unfudged'!$A$2:$A$498, $A269, 'GE16FEB14 Unfudged'!$D$2:$D$498)</f>
        <v>6265</v>
      </c>
      <c r="F269" s="104">
        <v>902131</v>
      </c>
      <c r="G269" s="105">
        <v>607778</v>
      </c>
      <c r="H269" s="106">
        <v>294353</v>
      </c>
      <c r="I269" s="107">
        <v>2656275</v>
      </c>
      <c r="J269" s="105">
        <v>1789570</v>
      </c>
      <c r="K269" s="106">
        <v>866705</v>
      </c>
      <c r="L269" s="107">
        <v>1879440</v>
      </c>
      <c r="M269" s="105">
        <v>733824</v>
      </c>
      <c r="N269" s="106">
        <v>1145616</v>
      </c>
      <c r="O269" s="107">
        <f t="shared" si="14"/>
        <v>5437846</v>
      </c>
      <c r="P269" s="105">
        <f t="shared" si="14"/>
        <v>3131172</v>
      </c>
      <c r="Q269" s="106">
        <f t="shared" si="14"/>
        <v>2306674</v>
      </c>
      <c r="R269" s="105">
        <f t="shared" si="13"/>
        <v>867.97222665602555</v>
      </c>
      <c r="S269" s="105">
        <f t="shared" si="13"/>
        <v>499.78802873104547</v>
      </c>
      <c r="T269" s="108">
        <f t="shared" si="13"/>
        <v>368.18419792498003</v>
      </c>
    </row>
    <row r="270" spans="1:20" s="66" customFormat="1" ht="12.75" x14ac:dyDescent="0.2">
      <c r="A270" s="109">
        <v>879</v>
      </c>
      <c r="B270" s="110">
        <v>1</v>
      </c>
      <c r="C270" s="103" t="s">
        <v>388</v>
      </c>
      <c r="D270" s="103">
        <v>4</v>
      </c>
      <c r="E270" s="104">
        <f>+SUMIF('GE16FEB14 Unfudged'!$A$2:$A$498, $A270, 'GE16FEB14 Unfudged'!$D$2:$D$498)</f>
        <v>2551</v>
      </c>
      <c r="F270" s="104">
        <v>326224</v>
      </c>
      <c r="G270" s="105">
        <v>287592</v>
      </c>
      <c r="H270" s="106">
        <v>38632</v>
      </c>
      <c r="I270" s="107">
        <v>1081794</v>
      </c>
      <c r="J270" s="105">
        <v>953686</v>
      </c>
      <c r="K270" s="106">
        <v>128108</v>
      </c>
      <c r="L270" s="107">
        <v>1663589</v>
      </c>
      <c r="M270" s="105">
        <v>1182871</v>
      </c>
      <c r="N270" s="106">
        <v>480718</v>
      </c>
      <c r="O270" s="107">
        <f t="shared" si="14"/>
        <v>3071607</v>
      </c>
      <c r="P270" s="105">
        <f t="shared" si="14"/>
        <v>2424149</v>
      </c>
      <c r="Q270" s="106">
        <f t="shared" si="14"/>
        <v>647458</v>
      </c>
      <c r="R270" s="105">
        <f t="shared" si="13"/>
        <v>1204.0795766366132</v>
      </c>
      <c r="S270" s="105">
        <f t="shared" si="13"/>
        <v>950.27401019208151</v>
      </c>
      <c r="T270" s="108">
        <f t="shared" si="13"/>
        <v>253.80556644453156</v>
      </c>
    </row>
    <row r="271" spans="1:20" s="66" customFormat="1" ht="12.75" x14ac:dyDescent="0.2">
      <c r="A271" s="109">
        <v>881</v>
      </c>
      <c r="B271" s="110">
        <v>1</v>
      </c>
      <c r="C271" s="103" t="s">
        <v>389</v>
      </c>
      <c r="D271" s="103">
        <v>5</v>
      </c>
      <c r="E271" s="104">
        <f>+SUMIF('GE16FEB14 Unfudged'!$A$2:$A$498, $A271, 'GE16FEB14 Unfudged'!$D$2:$D$498)</f>
        <v>958</v>
      </c>
      <c r="F271" s="104">
        <v>120499</v>
      </c>
      <c r="G271" s="105">
        <v>96527</v>
      </c>
      <c r="H271" s="106">
        <v>23972</v>
      </c>
      <c r="I271" s="107">
        <v>0</v>
      </c>
      <c r="J271" s="105">
        <v>0</v>
      </c>
      <c r="K271" s="106">
        <v>0</v>
      </c>
      <c r="L271" s="107">
        <v>666719</v>
      </c>
      <c r="M271" s="105">
        <v>437326</v>
      </c>
      <c r="N271" s="106">
        <v>229393</v>
      </c>
      <c r="O271" s="107">
        <f t="shared" si="14"/>
        <v>787218</v>
      </c>
      <c r="P271" s="105">
        <f t="shared" si="14"/>
        <v>533853</v>
      </c>
      <c r="Q271" s="106">
        <f t="shared" si="14"/>
        <v>253365</v>
      </c>
      <c r="R271" s="105">
        <f t="shared" si="13"/>
        <v>821.73068893528182</v>
      </c>
      <c r="S271" s="105">
        <f t="shared" si="13"/>
        <v>557.2578288100209</v>
      </c>
      <c r="T271" s="108">
        <f t="shared" si="13"/>
        <v>264.47286012526098</v>
      </c>
    </row>
    <row r="272" spans="1:20" s="66" customFormat="1" ht="12.75" x14ac:dyDescent="0.2">
      <c r="A272" s="109">
        <v>882</v>
      </c>
      <c r="B272" s="110">
        <v>1</v>
      </c>
      <c r="C272" s="103" t="s">
        <v>390</v>
      </c>
      <c r="D272" s="103">
        <v>4</v>
      </c>
      <c r="E272" s="104">
        <f>+SUMIF('GE16FEB14 Unfudged'!$A$2:$A$498, $A272, 'GE16FEB14 Unfudged'!$D$2:$D$498)</f>
        <v>4422</v>
      </c>
      <c r="F272" s="104">
        <v>538855</v>
      </c>
      <c r="G272" s="105">
        <v>455456</v>
      </c>
      <c r="H272" s="106">
        <v>83399</v>
      </c>
      <c r="I272" s="107">
        <v>937379</v>
      </c>
      <c r="J272" s="105">
        <v>792300</v>
      </c>
      <c r="K272" s="106">
        <v>145079</v>
      </c>
      <c r="L272" s="107">
        <v>3460919</v>
      </c>
      <c r="M272" s="105">
        <v>2469421</v>
      </c>
      <c r="N272" s="106">
        <v>991498</v>
      </c>
      <c r="O272" s="107">
        <f t="shared" si="14"/>
        <v>4937153</v>
      </c>
      <c r="P272" s="105">
        <f t="shared" si="14"/>
        <v>3717177</v>
      </c>
      <c r="Q272" s="106">
        <f t="shared" si="14"/>
        <v>1219976</v>
      </c>
      <c r="R272" s="105">
        <f t="shared" si="13"/>
        <v>1116.4977385798281</v>
      </c>
      <c r="S272" s="105">
        <f t="shared" si="13"/>
        <v>840.60990502035281</v>
      </c>
      <c r="T272" s="108">
        <f t="shared" si="13"/>
        <v>275.88783355947533</v>
      </c>
    </row>
    <row r="273" spans="1:20" s="66" customFormat="1" ht="12.75" x14ac:dyDescent="0.2">
      <c r="A273" s="109">
        <v>883</v>
      </c>
      <c r="B273" s="110">
        <v>1</v>
      </c>
      <c r="C273" s="103" t="s">
        <v>391</v>
      </c>
      <c r="D273" s="103">
        <v>5</v>
      </c>
      <c r="E273" s="104">
        <f>+SUMIF('GE16FEB14 Unfudged'!$A$2:$A$498, $A273, 'GE16FEB14 Unfudged'!$D$2:$D$498)</f>
        <v>1793</v>
      </c>
      <c r="F273" s="104">
        <v>258134</v>
      </c>
      <c r="G273" s="105">
        <v>221889</v>
      </c>
      <c r="H273" s="106">
        <v>36245</v>
      </c>
      <c r="I273" s="107">
        <v>760062</v>
      </c>
      <c r="J273" s="105">
        <v>653341</v>
      </c>
      <c r="K273" s="106">
        <v>106721</v>
      </c>
      <c r="L273" s="107">
        <v>537780</v>
      </c>
      <c r="M273" s="105">
        <v>267906</v>
      </c>
      <c r="N273" s="106">
        <v>269874</v>
      </c>
      <c r="O273" s="107">
        <f t="shared" si="14"/>
        <v>1555976</v>
      </c>
      <c r="P273" s="105">
        <f t="shared" si="14"/>
        <v>1143136</v>
      </c>
      <c r="Q273" s="106">
        <f t="shared" si="14"/>
        <v>412840</v>
      </c>
      <c r="R273" s="105">
        <f t="shared" si="13"/>
        <v>867.80591187953155</v>
      </c>
      <c r="S273" s="105">
        <f t="shared" si="13"/>
        <v>637.55493586168438</v>
      </c>
      <c r="T273" s="108">
        <f t="shared" si="13"/>
        <v>230.25097601784719</v>
      </c>
    </row>
    <row r="274" spans="1:20" s="66" customFormat="1" ht="12.75" x14ac:dyDescent="0.2">
      <c r="A274" s="109">
        <v>885</v>
      </c>
      <c r="B274" s="110">
        <v>1</v>
      </c>
      <c r="C274" s="103" t="s">
        <v>392</v>
      </c>
      <c r="D274" s="103">
        <v>4</v>
      </c>
      <c r="E274" s="104">
        <f>+SUMIF('GE16FEB14 Unfudged'!$A$2:$A$498, $A274, 'GE16FEB14 Unfudged'!$D$2:$D$498)</f>
        <v>6299</v>
      </c>
      <c r="F274" s="104">
        <v>852182</v>
      </c>
      <c r="G274" s="105">
        <v>450621</v>
      </c>
      <c r="H274" s="106">
        <v>401561</v>
      </c>
      <c r="I274" s="107">
        <v>1335430</v>
      </c>
      <c r="J274" s="105">
        <v>706155</v>
      </c>
      <c r="K274" s="106">
        <v>629275</v>
      </c>
      <c r="L274" s="107">
        <v>3087301</v>
      </c>
      <c r="M274" s="105">
        <v>1212367</v>
      </c>
      <c r="N274" s="106">
        <v>1874934</v>
      </c>
      <c r="O274" s="107">
        <f t="shared" si="14"/>
        <v>5274913</v>
      </c>
      <c r="P274" s="105">
        <f t="shared" si="14"/>
        <v>2369143</v>
      </c>
      <c r="Q274" s="106">
        <f t="shared" si="14"/>
        <v>2905770</v>
      </c>
      <c r="R274" s="105">
        <f t="shared" si="13"/>
        <v>837.42070169868236</v>
      </c>
      <c r="S274" s="105">
        <f t="shared" si="13"/>
        <v>376.11414510239723</v>
      </c>
      <c r="T274" s="108">
        <f t="shared" si="13"/>
        <v>461.30655659628513</v>
      </c>
    </row>
    <row r="275" spans="1:20" s="66" customFormat="1" ht="12.75" x14ac:dyDescent="0.2">
      <c r="A275" s="109">
        <v>891</v>
      </c>
      <c r="B275" s="110">
        <v>1</v>
      </c>
      <c r="C275" s="103" t="s">
        <v>393</v>
      </c>
      <c r="D275" s="103">
        <v>6</v>
      </c>
      <c r="E275" s="104">
        <f>+SUMIF('GE16FEB14 Unfudged'!$A$2:$A$498, $A275, 'GE16FEB14 Unfudged'!$D$2:$D$498)</f>
        <v>536</v>
      </c>
      <c r="F275" s="104">
        <v>66213</v>
      </c>
      <c r="G275" s="105">
        <v>35907</v>
      </c>
      <c r="H275" s="106">
        <v>30306</v>
      </c>
      <c r="I275" s="107">
        <v>0</v>
      </c>
      <c r="J275" s="105">
        <v>0</v>
      </c>
      <c r="K275" s="106">
        <v>0</v>
      </c>
      <c r="L275" s="107">
        <v>401474</v>
      </c>
      <c r="M275" s="105">
        <v>181024</v>
      </c>
      <c r="N275" s="106">
        <v>220450</v>
      </c>
      <c r="O275" s="107">
        <f t="shared" si="14"/>
        <v>467687</v>
      </c>
      <c r="P275" s="105">
        <f t="shared" si="14"/>
        <v>216931</v>
      </c>
      <c r="Q275" s="106">
        <f t="shared" si="14"/>
        <v>250756</v>
      </c>
      <c r="R275" s="105">
        <f t="shared" ref="R275:T338" si="15">+IF($E275=0, 0, O275/$E275)</f>
        <v>872.55037313432831</v>
      </c>
      <c r="S275" s="105">
        <f t="shared" si="15"/>
        <v>404.72201492537312</v>
      </c>
      <c r="T275" s="108">
        <f t="shared" si="15"/>
        <v>467.82835820895525</v>
      </c>
    </row>
    <row r="276" spans="1:20" s="66" customFormat="1" ht="12.75" x14ac:dyDescent="0.2">
      <c r="A276" s="109">
        <v>911</v>
      </c>
      <c r="B276" s="110">
        <v>1</v>
      </c>
      <c r="C276" s="103" t="s">
        <v>394</v>
      </c>
      <c r="D276" s="103">
        <v>4</v>
      </c>
      <c r="E276" s="104">
        <f>+SUMIF('GE16FEB14 Unfudged'!$A$2:$A$498, $A276, 'GE16FEB14 Unfudged'!$D$2:$D$498)</f>
        <v>5663</v>
      </c>
      <c r="F276" s="104">
        <v>815480</v>
      </c>
      <c r="G276" s="105">
        <v>471033</v>
      </c>
      <c r="H276" s="106">
        <v>344447</v>
      </c>
      <c r="I276" s="107">
        <v>1200567</v>
      </c>
      <c r="J276" s="105">
        <v>693464</v>
      </c>
      <c r="K276" s="106">
        <v>507103</v>
      </c>
      <c r="L276" s="107">
        <v>1698915</v>
      </c>
      <c r="M276" s="105">
        <v>568718</v>
      </c>
      <c r="N276" s="106">
        <v>1130197</v>
      </c>
      <c r="O276" s="107">
        <f t="shared" si="14"/>
        <v>3714962</v>
      </c>
      <c r="P276" s="105">
        <f t="shared" si="14"/>
        <v>1733215</v>
      </c>
      <c r="Q276" s="106">
        <f t="shared" si="14"/>
        <v>1981747</v>
      </c>
      <c r="R276" s="105">
        <f t="shared" si="15"/>
        <v>656.00600388486669</v>
      </c>
      <c r="S276" s="105">
        <f t="shared" si="15"/>
        <v>306.05950909411973</v>
      </c>
      <c r="T276" s="108">
        <f t="shared" si="15"/>
        <v>349.94649479074695</v>
      </c>
    </row>
    <row r="277" spans="1:20" s="66" customFormat="1" ht="12.75" x14ac:dyDescent="0.2">
      <c r="A277" s="109">
        <v>912</v>
      </c>
      <c r="B277" s="110">
        <v>1</v>
      </c>
      <c r="C277" s="103" t="s">
        <v>395</v>
      </c>
      <c r="D277" s="103">
        <v>5</v>
      </c>
      <c r="E277" s="104">
        <f>+SUMIF('GE16FEB14 Unfudged'!$A$2:$A$498, $A277, 'GE16FEB14 Unfudged'!$D$2:$D$498)</f>
        <v>1935</v>
      </c>
      <c r="F277" s="104">
        <v>278597</v>
      </c>
      <c r="G277" s="105">
        <v>129996</v>
      </c>
      <c r="H277" s="106">
        <v>148601</v>
      </c>
      <c r="I277" s="107">
        <v>0</v>
      </c>
      <c r="J277" s="105">
        <v>0</v>
      </c>
      <c r="K277" s="106">
        <v>0</v>
      </c>
      <c r="L277" s="107">
        <v>580410</v>
      </c>
      <c r="M277" s="105">
        <v>156956</v>
      </c>
      <c r="N277" s="106">
        <v>423454</v>
      </c>
      <c r="O277" s="107">
        <f t="shared" si="14"/>
        <v>859007</v>
      </c>
      <c r="P277" s="105">
        <f t="shared" si="14"/>
        <v>286952</v>
      </c>
      <c r="Q277" s="106">
        <f t="shared" si="14"/>
        <v>572055</v>
      </c>
      <c r="R277" s="105">
        <f t="shared" si="15"/>
        <v>443.93126614987079</v>
      </c>
      <c r="S277" s="105">
        <f t="shared" si="15"/>
        <v>148.29560723514211</v>
      </c>
      <c r="T277" s="108">
        <f t="shared" si="15"/>
        <v>295.63565891472871</v>
      </c>
    </row>
    <row r="278" spans="1:20" s="66" customFormat="1" ht="12.75" x14ac:dyDescent="0.2">
      <c r="A278" s="109">
        <v>914</v>
      </c>
      <c r="B278" s="110">
        <v>1</v>
      </c>
      <c r="C278" s="103" t="s">
        <v>396</v>
      </c>
      <c r="D278" s="103">
        <v>6</v>
      </c>
      <c r="E278" s="104">
        <f>+SUMIF('GE16FEB14 Unfudged'!$A$2:$A$498, $A278, 'GE16FEB14 Unfudged'!$D$2:$D$498)</f>
        <v>341</v>
      </c>
      <c r="F278" s="104">
        <v>17070</v>
      </c>
      <c r="G278" s="105">
        <v>7889</v>
      </c>
      <c r="H278" s="106">
        <v>9181</v>
      </c>
      <c r="I278" s="107">
        <v>0</v>
      </c>
      <c r="J278" s="105">
        <v>0</v>
      </c>
      <c r="K278" s="106">
        <v>0</v>
      </c>
      <c r="L278" s="107">
        <v>751145</v>
      </c>
      <c r="M278" s="105">
        <v>499656</v>
      </c>
      <c r="N278" s="106">
        <v>251489</v>
      </c>
      <c r="O278" s="107">
        <f t="shared" si="14"/>
        <v>768215</v>
      </c>
      <c r="P278" s="105">
        <f t="shared" si="14"/>
        <v>507545</v>
      </c>
      <c r="Q278" s="106">
        <f t="shared" si="14"/>
        <v>260670</v>
      </c>
      <c r="R278" s="105">
        <f t="shared" si="15"/>
        <v>2252.8299120234606</v>
      </c>
      <c r="S278" s="105">
        <f t="shared" si="15"/>
        <v>1488.4017595307919</v>
      </c>
      <c r="T278" s="108">
        <f t="shared" si="15"/>
        <v>764.42815249266857</v>
      </c>
    </row>
    <row r="279" spans="1:20" s="66" customFormat="1" ht="12.75" x14ac:dyDescent="0.2">
      <c r="A279" s="109">
        <v>2071</v>
      </c>
      <c r="B279" s="110">
        <v>1</v>
      </c>
      <c r="C279" s="103" t="s">
        <v>397</v>
      </c>
      <c r="D279" s="103">
        <v>6</v>
      </c>
      <c r="E279" s="104">
        <f>+SUMIF('GE16FEB14 Unfudged'!$A$2:$A$498, $A279, 'GE16FEB14 Unfudged'!$D$2:$D$498)</f>
        <v>962</v>
      </c>
      <c r="F279" s="104">
        <v>117718</v>
      </c>
      <c r="G279" s="105">
        <v>83027</v>
      </c>
      <c r="H279" s="106">
        <v>34691</v>
      </c>
      <c r="I279" s="107">
        <v>0</v>
      </c>
      <c r="J279" s="105">
        <v>0</v>
      </c>
      <c r="K279" s="106">
        <v>0</v>
      </c>
      <c r="L279" s="107">
        <v>741827</v>
      </c>
      <c r="M279" s="105">
        <v>440846</v>
      </c>
      <c r="N279" s="106">
        <v>300981</v>
      </c>
      <c r="O279" s="107">
        <f t="shared" si="14"/>
        <v>859545</v>
      </c>
      <c r="P279" s="105">
        <f t="shared" si="14"/>
        <v>523873</v>
      </c>
      <c r="Q279" s="106">
        <f t="shared" si="14"/>
        <v>335672</v>
      </c>
      <c r="R279" s="105">
        <f t="shared" si="15"/>
        <v>893.49792099792103</v>
      </c>
      <c r="S279" s="105">
        <f t="shared" si="15"/>
        <v>544.56652806652812</v>
      </c>
      <c r="T279" s="108">
        <f t="shared" si="15"/>
        <v>348.93139293139291</v>
      </c>
    </row>
    <row r="280" spans="1:20" s="66" customFormat="1" ht="12.75" x14ac:dyDescent="0.2">
      <c r="A280" s="109">
        <v>2125</v>
      </c>
      <c r="B280" s="110">
        <v>1</v>
      </c>
      <c r="C280" s="103" t="s">
        <v>398</v>
      </c>
      <c r="D280" s="103">
        <v>5</v>
      </c>
      <c r="E280" s="104">
        <f>+SUMIF('GE16FEB14 Unfudged'!$A$2:$A$498, $A280, 'GE16FEB14 Unfudged'!$D$2:$D$498)</f>
        <v>1330</v>
      </c>
      <c r="F280" s="104">
        <v>186841</v>
      </c>
      <c r="G280" s="105">
        <v>97127</v>
      </c>
      <c r="H280" s="106">
        <v>89714</v>
      </c>
      <c r="I280" s="107">
        <v>0</v>
      </c>
      <c r="J280" s="105">
        <v>0</v>
      </c>
      <c r="K280" s="106">
        <v>0</v>
      </c>
      <c r="L280" s="107">
        <v>502426</v>
      </c>
      <c r="M280" s="105">
        <v>173944</v>
      </c>
      <c r="N280" s="106">
        <v>328482</v>
      </c>
      <c r="O280" s="107">
        <f t="shared" si="14"/>
        <v>689267</v>
      </c>
      <c r="P280" s="105">
        <f t="shared" si="14"/>
        <v>271071</v>
      </c>
      <c r="Q280" s="106">
        <f t="shared" si="14"/>
        <v>418196</v>
      </c>
      <c r="R280" s="105">
        <f t="shared" si="15"/>
        <v>518.24586466165408</v>
      </c>
      <c r="S280" s="105">
        <f t="shared" si="15"/>
        <v>203.81278195488721</v>
      </c>
      <c r="T280" s="108">
        <f t="shared" si="15"/>
        <v>314.43308270676692</v>
      </c>
    </row>
    <row r="281" spans="1:20" s="66" customFormat="1" ht="12.75" x14ac:dyDescent="0.2">
      <c r="A281" s="109">
        <v>2134</v>
      </c>
      <c r="B281" s="110">
        <v>1</v>
      </c>
      <c r="C281" s="103" t="s">
        <v>399</v>
      </c>
      <c r="D281" s="103">
        <v>6</v>
      </c>
      <c r="E281" s="104">
        <f>+SUMIF('GE16FEB14 Unfudged'!$A$2:$A$498, $A281, 'GE16FEB14 Unfudged'!$D$2:$D$498)</f>
        <v>691</v>
      </c>
      <c r="F281" s="104">
        <v>52090</v>
      </c>
      <c r="G281" s="105">
        <v>25612</v>
      </c>
      <c r="H281" s="106">
        <v>26478</v>
      </c>
      <c r="I281" s="107">
        <v>0</v>
      </c>
      <c r="J281" s="105">
        <v>0</v>
      </c>
      <c r="K281" s="106">
        <v>0</v>
      </c>
      <c r="L281" s="107">
        <v>1240124</v>
      </c>
      <c r="M281" s="105">
        <v>833712</v>
      </c>
      <c r="N281" s="106">
        <v>406412</v>
      </c>
      <c r="O281" s="107">
        <f t="shared" si="14"/>
        <v>1292214</v>
      </c>
      <c r="P281" s="105">
        <f t="shared" si="14"/>
        <v>859324</v>
      </c>
      <c r="Q281" s="106">
        <f t="shared" si="14"/>
        <v>432890</v>
      </c>
      <c r="R281" s="105">
        <f t="shared" si="15"/>
        <v>1870.0636758321273</v>
      </c>
      <c r="S281" s="105">
        <f t="shared" si="15"/>
        <v>1243.5947901591896</v>
      </c>
      <c r="T281" s="108">
        <f t="shared" si="15"/>
        <v>626.46888567293774</v>
      </c>
    </row>
    <row r="282" spans="1:20" s="66" customFormat="1" ht="12.75" x14ac:dyDescent="0.2">
      <c r="A282" s="109">
        <v>2135</v>
      </c>
      <c r="B282" s="110">
        <v>1</v>
      </c>
      <c r="C282" s="103" t="s">
        <v>400</v>
      </c>
      <c r="D282" s="103">
        <v>5</v>
      </c>
      <c r="E282" s="104">
        <f>+SUMIF('GE16FEB14 Unfudged'!$A$2:$A$498, $A282, 'GE16FEB14 Unfudged'!$D$2:$D$498)</f>
        <v>1117</v>
      </c>
      <c r="F282" s="104">
        <v>125442</v>
      </c>
      <c r="G282" s="105">
        <v>69437</v>
      </c>
      <c r="H282" s="106">
        <v>56005</v>
      </c>
      <c r="I282" s="107">
        <v>0</v>
      </c>
      <c r="J282" s="105">
        <v>0</v>
      </c>
      <c r="K282" s="106">
        <v>0</v>
      </c>
      <c r="L282" s="107">
        <v>1108061</v>
      </c>
      <c r="M282" s="105">
        <v>644105</v>
      </c>
      <c r="N282" s="106">
        <v>463956</v>
      </c>
      <c r="O282" s="107">
        <f t="shared" si="14"/>
        <v>1233503</v>
      </c>
      <c r="P282" s="105">
        <f t="shared" si="14"/>
        <v>713542</v>
      </c>
      <c r="Q282" s="106">
        <f t="shared" si="14"/>
        <v>519961</v>
      </c>
      <c r="R282" s="105">
        <f t="shared" si="15"/>
        <v>1104.2999104744852</v>
      </c>
      <c r="S282" s="105">
        <f t="shared" si="15"/>
        <v>638.80214861235447</v>
      </c>
      <c r="T282" s="108">
        <f t="shared" si="15"/>
        <v>465.49776186213069</v>
      </c>
    </row>
    <row r="283" spans="1:20" s="66" customFormat="1" ht="12.75" x14ac:dyDescent="0.2">
      <c r="A283" s="109">
        <v>2137</v>
      </c>
      <c r="B283" s="110">
        <v>1</v>
      </c>
      <c r="C283" s="103" t="s">
        <v>401</v>
      </c>
      <c r="D283" s="103">
        <v>6</v>
      </c>
      <c r="E283" s="104">
        <f>+SUMIF('GE16FEB14 Unfudged'!$A$2:$A$498, $A283, 'GE16FEB14 Unfudged'!$D$2:$D$498)</f>
        <v>646</v>
      </c>
      <c r="F283" s="104">
        <v>75943</v>
      </c>
      <c r="G283" s="105">
        <v>52364</v>
      </c>
      <c r="H283" s="106">
        <v>23579</v>
      </c>
      <c r="I283" s="107">
        <v>0</v>
      </c>
      <c r="J283" s="105">
        <v>0</v>
      </c>
      <c r="K283" s="106">
        <v>0</v>
      </c>
      <c r="L283" s="107">
        <v>567400</v>
      </c>
      <c r="M283" s="105">
        <v>358682</v>
      </c>
      <c r="N283" s="106">
        <v>208718</v>
      </c>
      <c r="O283" s="107">
        <f t="shared" si="14"/>
        <v>643343</v>
      </c>
      <c r="P283" s="105">
        <f t="shared" si="14"/>
        <v>411046</v>
      </c>
      <c r="Q283" s="106">
        <f t="shared" si="14"/>
        <v>232297</v>
      </c>
      <c r="R283" s="105">
        <f t="shared" si="15"/>
        <v>995.88699690402473</v>
      </c>
      <c r="S283" s="105">
        <f t="shared" si="15"/>
        <v>636.29411764705878</v>
      </c>
      <c r="T283" s="108">
        <f t="shared" si="15"/>
        <v>359.59287925696594</v>
      </c>
    </row>
    <row r="284" spans="1:20" s="66" customFormat="1" ht="12.75" x14ac:dyDescent="0.2">
      <c r="A284" s="109">
        <v>2142</v>
      </c>
      <c r="B284" s="110">
        <v>1</v>
      </c>
      <c r="C284" s="103" t="s">
        <v>402</v>
      </c>
      <c r="D284" s="103">
        <v>5</v>
      </c>
      <c r="E284" s="104">
        <f>+SUMIF('GE16FEB14 Unfudged'!$A$2:$A$498, $A284, 'GE16FEB14 Unfudged'!$D$2:$D$498)</f>
        <v>1940</v>
      </c>
      <c r="F284" s="104">
        <v>279302</v>
      </c>
      <c r="G284" s="105">
        <v>279302</v>
      </c>
      <c r="H284" s="106">
        <v>0</v>
      </c>
      <c r="I284" s="107">
        <v>0</v>
      </c>
      <c r="J284" s="105">
        <v>0</v>
      </c>
      <c r="K284" s="106">
        <v>0</v>
      </c>
      <c r="L284" s="107">
        <v>581880</v>
      </c>
      <c r="M284" s="105">
        <v>383195</v>
      </c>
      <c r="N284" s="106">
        <v>198685</v>
      </c>
      <c r="O284" s="107">
        <f t="shared" si="14"/>
        <v>861182</v>
      </c>
      <c r="P284" s="105">
        <f t="shared" si="14"/>
        <v>662497</v>
      </c>
      <c r="Q284" s="106">
        <f t="shared" si="14"/>
        <v>198685</v>
      </c>
      <c r="R284" s="105">
        <f t="shared" si="15"/>
        <v>443.9082474226804</v>
      </c>
      <c r="S284" s="105">
        <f t="shared" si="15"/>
        <v>341.49329896907216</v>
      </c>
      <c r="T284" s="108">
        <f t="shared" si="15"/>
        <v>102.41494845360825</v>
      </c>
    </row>
    <row r="285" spans="1:20" s="66" customFormat="1" ht="12.75" x14ac:dyDescent="0.2">
      <c r="A285" s="109">
        <v>2143</v>
      </c>
      <c r="B285" s="110">
        <v>1</v>
      </c>
      <c r="C285" s="103" t="s">
        <v>5</v>
      </c>
      <c r="D285" s="103">
        <v>6</v>
      </c>
      <c r="E285" s="104">
        <f>+SUMIF('GE16FEB14 Unfudged'!$A$2:$A$498, $A285, 'GE16FEB14 Unfudged'!$D$2:$D$498)</f>
        <v>910</v>
      </c>
      <c r="F285" s="104">
        <v>82139</v>
      </c>
      <c r="G285" s="105">
        <v>71938</v>
      </c>
      <c r="H285" s="106">
        <v>10201</v>
      </c>
      <c r="I285" s="107">
        <v>0</v>
      </c>
      <c r="J285" s="105">
        <v>0</v>
      </c>
      <c r="K285" s="106">
        <v>0</v>
      </c>
      <c r="L285" s="107">
        <v>1338953</v>
      </c>
      <c r="M285" s="105">
        <v>1152573</v>
      </c>
      <c r="N285" s="106">
        <v>186380</v>
      </c>
      <c r="O285" s="107">
        <f t="shared" si="14"/>
        <v>1421092</v>
      </c>
      <c r="P285" s="105">
        <f t="shared" si="14"/>
        <v>1224511</v>
      </c>
      <c r="Q285" s="106">
        <f t="shared" si="14"/>
        <v>196581</v>
      </c>
      <c r="R285" s="105">
        <f t="shared" si="15"/>
        <v>1561.6395604395605</v>
      </c>
      <c r="S285" s="105">
        <f t="shared" si="15"/>
        <v>1345.6164835164834</v>
      </c>
      <c r="T285" s="108">
        <f t="shared" si="15"/>
        <v>216.02307692307693</v>
      </c>
    </row>
    <row r="286" spans="1:20" s="66" customFormat="1" ht="12.75" x14ac:dyDescent="0.2">
      <c r="A286" s="109">
        <v>2144</v>
      </c>
      <c r="B286" s="110">
        <v>1</v>
      </c>
      <c r="C286" s="103" t="s">
        <v>403</v>
      </c>
      <c r="D286" s="103">
        <v>4</v>
      </c>
      <c r="E286" s="104">
        <f>+SUMIF('GE16FEB14 Unfudged'!$A$2:$A$498, $A286, 'GE16FEB14 Unfudged'!$D$2:$D$498)</f>
        <v>3596</v>
      </c>
      <c r="F286" s="104">
        <v>480757</v>
      </c>
      <c r="G286" s="105">
        <v>394980</v>
      </c>
      <c r="H286" s="106">
        <v>85777</v>
      </c>
      <c r="I286" s="107">
        <v>1524789</v>
      </c>
      <c r="J286" s="105">
        <v>1252735</v>
      </c>
      <c r="K286" s="106">
        <v>272054</v>
      </c>
      <c r="L286" s="107">
        <v>1888005</v>
      </c>
      <c r="M286" s="105">
        <v>1178468</v>
      </c>
      <c r="N286" s="106">
        <v>709537</v>
      </c>
      <c r="O286" s="107">
        <f t="shared" si="14"/>
        <v>3893551</v>
      </c>
      <c r="P286" s="105">
        <f t="shared" si="14"/>
        <v>2826183</v>
      </c>
      <c r="Q286" s="106">
        <f t="shared" si="14"/>
        <v>1067368</v>
      </c>
      <c r="R286" s="105">
        <f t="shared" si="15"/>
        <v>1082.7449944382647</v>
      </c>
      <c r="S286" s="105">
        <f t="shared" si="15"/>
        <v>785.92408231368188</v>
      </c>
      <c r="T286" s="108">
        <f t="shared" si="15"/>
        <v>296.82091212458289</v>
      </c>
    </row>
    <row r="287" spans="1:20" s="66" customFormat="1" ht="12.75" x14ac:dyDescent="0.2">
      <c r="A287" s="109">
        <v>2149</v>
      </c>
      <c r="B287" s="110">
        <v>1</v>
      </c>
      <c r="C287" s="103" t="s">
        <v>404</v>
      </c>
      <c r="D287" s="103">
        <v>5</v>
      </c>
      <c r="E287" s="104">
        <f>+SUMIF('GE16FEB14 Unfudged'!$A$2:$A$498, $A287, 'GE16FEB14 Unfudged'!$D$2:$D$498)</f>
        <v>1123</v>
      </c>
      <c r="F287" s="104">
        <v>137360</v>
      </c>
      <c r="G287" s="105">
        <v>137360</v>
      </c>
      <c r="H287" s="106">
        <v>0</v>
      </c>
      <c r="I287" s="107">
        <v>0</v>
      </c>
      <c r="J287" s="105">
        <v>0</v>
      </c>
      <c r="K287" s="106">
        <v>0</v>
      </c>
      <c r="L287" s="107">
        <v>867906</v>
      </c>
      <c r="M287" s="105">
        <v>763104</v>
      </c>
      <c r="N287" s="106">
        <v>104802</v>
      </c>
      <c r="O287" s="107">
        <f t="shared" si="14"/>
        <v>1005266</v>
      </c>
      <c r="P287" s="105">
        <f t="shared" si="14"/>
        <v>900464</v>
      </c>
      <c r="Q287" s="106">
        <f t="shared" si="14"/>
        <v>104802</v>
      </c>
      <c r="R287" s="105">
        <f t="shared" si="15"/>
        <v>895.16117542297422</v>
      </c>
      <c r="S287" s="105">
        <f t="shared" si="15"/>
        <v>801.83793410507565</v>
      </c>
      <c r="T287" s="108">
        <f t="shared" si="15"/>
        <v>93.323241317898493</v>
      </c>
    </row>
    <row r="288" spans="1:20" s="66" customFormat="1" ht="12.75" x14ac:dyDescent="0.2">
      <c r="A288" s="109">
        <v>2154</v>
      </c>
      <c r="B288" s="110">
        <v>1</v>
      </c>
      <c r="C288" s="103" t="s">
        <v>405</v>
      </c>
      <c r="D288" s="103">
        <v>5</v>
      </c>
      <c r="E288" s="104">
        <f>+SUMIF('GE16FEB14 Unfudged'!$A$2:$A$498, $A288, 'GE16FEB14 Unfudged'!$D$2:$D$498)</f>
        <v>1167</v>
      </c>
      <c r="F288" s="104">
        <v>142347</v>
      </c>
      <c r="G288" s="105">
        <v>84941</v>
      </c>
      <c r="H288" s="106">
        <v>57406</v>
      </c>
      <c r="I288" s="107">
        <v>0</v>
      </c>
      <c r="J288" s="105">
        <v>0</v>
      </c>
      <c r="K288" s="106">
        <v>0</v>
      </c>
      <c r="L288" s="107">
        <v>909306</v>
      </c>
      <c r="M288" s="105">
        <v>463942</v>
      </c>
      <c r="N288" s="106">
        <v>445364</v>
      </c>
      <c r="O288" s="107">
        <f t="shared" si="14"/>
        <v>1051653</v>
      </c>
      <c r="P288" s="105">
        <f t="shared" si="14"/>
        <v>548883</v>
      </c>
      <c r="Q288" s="106">
        <f t="shared" si="14"/>
        <v>502770</v>
      </c>
      <c r="R288" s="105">
        <f t="shared" si="15"/>
        <v>901.15938303341898</v>
      </c>
      <c r="S288" s="105">
        <f t="shared" si="15"/>
        <v>470.33676092544988</v>
      </c>
      <c r="T288" s="108">
        <f t="shared" si="15"/>
        <v>430.82262210796915</v>
      </c>
    </row>
    <row r="289" spans="1:20" s="66" customFormat="1" ht="12.75" x14ac:dyDescent="0.2">
      <c r="A289" s="109">
        <v>2155</v>
      </c>
      <c r="B289" s="110">
        <v>52</v>
      </c>
      <c r="C289" s="103" t="s">
        <v>406</v>
      </c>
      <c r="D289" s="103">
        <v>5</v>
      </c>
      <c r="E289" s="104">
        <f>+SUMIF('GE16FEB14 Unfudged'!$A$2:$A$498, $A289, 'GE16FEB14 Unfudged'!$D$2:$D$498)</f>
        <v>1050</v>
      </c>
      <c r="F289" s="104">
        <v>123310</v>
      </c>
      <c r="G289" s="105">
        <v>63392</v>
      </c>
      <c r="H289" s="106">
        <v>59918</v>
      </c>
      <c r="I289" s="107">
        <v>0</v>
      </c>
      <c r="J289" s="105">
        <v>0</v>
      </c>
      <c r="K289" s="106">
        <v>0</v>
      </c>
      <c r="L289" s="107">
        <v>922489</v>
      </c>
      <c r="M289" s="105">
        <v>454793</v>
      </c>
      <c r="N289" s="106">
        <v>467696</v>
      </c>
      <c r="O289" s="107">
        <f t="shared" si="14"/>
        <v>1045799</v>
      </c>
      <c r="P289" s="105">
        <f t="shared" si="14"/>
        <v>518185</v>
      </c>
      <c r="Q289" s="106">
        <f t="shared" si="14"/>
        <v>527614</v>
      </c>
      <c r="R289" s="105">
        <f t="shared" si="15"/>
        <v>995.99904761904759</v>
      </c>
      <c r="S289" s="105">
        <f t="shared" si="15"/>
        <v>493.50952380952378</v>
      </c>
      <c r="T289" s="108">
        <f t="shared" si="15"/>
        <v>502.4895238095238</v>
      </c>
    </row>
    <row r="290" spans="1:20" s="66" customFormat="1" ht="12.75" x14ac:dyDescent="0.2">
      <c r="A290" s="109">
        <v>2159</v>
      </c>
      <c r="B290" s="110">
        <v>6</v>
      </c>
      <c r="C290" s="103" t="s">
        <v>407</v>
      </c>
      <c r="D290" s="103">
        <v>6</v>
      </c>
      <c r="E290" s="104">
        <f>+SUMIF('GE16FEB14 Unfudged'!$A$2:$A$498, $A290, 'GE16FEB14 Unfudged'!$D$2:$D$498)</f>
        <v>597</v>
      </c>
      <c r="F290" s="104">
        <v>60503</v>
      </c>
      <c r="G290" s="105">
        <v>36346</v>
      </c>
      <c r="H290" s="106">
        <v>24157</v>
      </c>
      <c r="I290" s="107">
        <v>0</v>
      </c>
      <c r="J290" s="105">
        <v>0</v>
      </c>
      <c r="K290" s="106">
        <v>0</v>
      </c>
      <c r="L290" s="107">
        <v>735231</v>
      </c>
      <c r="M290" s="105">
        <v>508760</v>
      </c>
      <c r="N290" s="106">
        <v>226471</v>
      </c>
      <c r="O290" s="107">
        <f t="shared" ref="O290:Q353" si="16">+F290+I290+L290</f>
        <v>795734</v>
      </c>
      <c r="P290" s="105">
        <f t="shared" si="16"/>
        <v>545106</v>
      </c>
      <c r="Q290" s="106">
        <f t="shared" si="16"/>
        <v>250628</v>
      </c>
      <c r="R290" s="105">
        <f t="shared" si="15"/>
        <v>1332.8877721943049</v>
      </c>
      <c r="S290" s="105">
        <f t="shared" si="15"/>
        <v>913.0753768844221</v>
      </c>
      <c r="T290" s="108">
        <f t="shared" si="15"/>
        <v>419.81239530988273</v>
      </c>
    </row>
    <row r="291" spans="1:20" s="66" customFormat="1" ht="12.75" x14ac:dyDescent="0.2">
      <c r="A291" s="109">
        <v>2164</v>
      </c>
      <c r="B291" s="110">
        <v>6</v>
      </c>
      <c r="C291" s="103" t="s">
        <v>408</v>
      </c>
      <c r="D291" s="103">
        <v>5</v>
      </c>
      <c r="E291" s="104">
        <f>+SUMIF('GE16FEB14 Unfudged'!$A$2:$A$498, $A291, 'GE16FEB14 Unfudged'!$D$2:$D$498)</f>
        <v>1786</v>
      </c>
      <c r="F291" s="104">
        <v>232568</v>
      </c>
      <c r="G291" s="105">
        <v>112923</v>
      </c>
      <c r="H291" s="106">
        <v>119645</v>
      </c>
      <c r="I291" s="107">
        <v>0</v>
      </c>
      <c r="J291" s="105">
        <v>0</v>
      </c>
      <c r="K291" s="106">
        <v>0</v>
      </c>
      <c r="L291" s="107">
        <v>1071360</v>
      </c>
      <c r="M291" s="105">
        <v>410838</v>
      </c>
      <c r="N291" s="106">
        <v>660522</v>
      </c>
      <c r="O291" s="107">
        <f t="shared" si="16"/>
        <v>1303928</v>
      </c>
      <c r="P291" s="105">
        <f t="shared" si="16"/>
        <v>523761</v>
      </c>
      <c r="Q291" s="106">
        <f t="shared" si="16"/>
        <v>780167</v>
      </c>
      <c r="R291" s="105">
        <f t="shared" si="15"/>
        <v>730.08286674132137</v>
      </c>
      <c r="S291" s="105">
        <f t="shared" si="15"/>
        <v>293.25923852183649</v>
      </c>
      <c r="T291" s="108">
        <f t="shared" si="15"/>
        <v>436.82362821948487</v>
      </c>
    </row>
    <row r="292" spans="1:20" s="66" customFormat="1" ht="12.75" x14ac:dyDescent="0.2">
      <c r="A292" s="109">
        <v>2165</v>
      </c>
      <c r="B292" s="110">
        <v>53</v>
      </c>
      <c r="C292" s="103" t="s">
        <v>409</v>
      </c>
      <c r="D292" s="103">
        <v>5</v>
      </c>
      <c r="E292" s="104">
        <f>+SUMIF('GE16FEB14 Unfudged'!$A$2:$A$498, $A292, 'GE16FEB14 Unfudged'!$D$2:$D$498)</f>
        <v>1056</v>
      </c>
      <c r="F292" s="104">
        <v>151236</v>
      </c>
      <c r="G292" s="105">
        <v>101521</v>
      </c>
      <c r="H292" s="106">
        <v>49715</v>
      </c>
      <c r="I292" s="107">
        <v>0</v>
      </c>
      <c r="J292" s="105">
        <v>0</v>
      </c>
      <c r="K292" s="106">
        <v>0</v>
      </c>
      <c r="L292" s="107">
        <v>334171</v>
      </c>
      <c r="M292" s="105">
        <v>134924</v>
      </c>
      <c r="N292" s="106">
        <v>199247</v>
      </c>
      <c r="O292" s="107">
        <f t="shared" si="16"/>
        <v>485407</v>
      </c>
      <c r="P292" s="105">
        <f t="shared" si="16"/>
        <v>236445</v>
      </c>
      <c r="Q292" s="106">
        <f t="shared" si="16"/>
        <v>248962</v>
      </c>
      <c r="R292" s="105">
        <f t="shared" si="15"/>
        <v>459.66571969696969</v>
      </c>
      <c r="S292" s="105">
        <f t="shared" si="15"/>
        <v>223.90625</v>
      </c>
      <c r="T292" s="108">
        <f t="shared" si="15"/>
        <v>235.75946969696969</v>
      </c>
    </row>
    <row r="293" spans="1:20" s="66" customFormat="1" ht="12.75" x14ac:dyDescent="0.2">
      <c r="A293" s="109">
        <v>2167</v>
      </c>
      <c r="B293" s="110">
        <v>52</v>
      </c>
      <c r="C293" s="103" t="s">
        <v>410</v>
      </c>
      <c r="D293" s="103">
        <v>6</v>
      </c>
      <c r="E293" s="104">
        <f>+SUMIF('GE16FEB14 Unfudged'!$A$2:$A$498, $A293, 'GE16FEB14 Unfudged'!$D$2:$D$498)</f>
        <v>700</v>
      </c>
      <c r="F293" s="104">
        <v>85328</v>
      </c>
      <c r="G293" s="105">
        <v>40455</v>
      </c>
      <c r="H293" s="106">
        <v>44873</v>
      </c>
      <c r="I293" s="107">
        <v>0</v>
      </c>
      <c r="J293" s="105">
        <v>0</v>
      </c>
      <c r="K293" s="106">
        <v>0</v>
      </c>
      <c r="L293" s="107">
        <v>548861</v>
      </c>
      <c r="M293" s="105">
        <v>224293</v>
      </c>
      <c r="N293" s="106">
        <v>324568</v>
      </c>
      <c r="O293" s="107">
        <f t="shared" si="16"/>
        <v>634189</v>
      </c>
      <c r="P293" s="105">
        <f t="shared" si="16"/>
        <v>264748</v>
      </c>
      <c r="Q293" s="106">
        <f t="shared" si="16"/>
        <v>369441</v>
      </c>
      <c r="R293" s="105">
        <f t="shared" si="15"/>
        <v>905.98428571428576</v>
      </c>
      <c r="S293" s="105">
        <f t="shared" si="15"/>
        <v>378.2114285714286</v>
      </c>
      <c r="T293" s="108">
        <f t="shared" si="15"/>
        <v>527.77285714285711</v>
      </c>
    </row>
    <row r="294" spans="1:20" s="66" customFormat="1" ht="12.75" x14ac:dyDescent="0.2">
      <c r="A294" s="109">
        <v>2168</v>
      </c>
      <c r="B294" s="110">
        <v>52</v>
      </c>
      <c r="C294" s="103" t="s">
        <v>411</v>
      </c>
      <c r="D294" s="103">
        <v>6</v>
      </c>
      <c r="E294" s="104">
        <f>+SUMIF('GE16FEB14 Unfudged'!$A$2:$A$498, $A294, 'GE16FEB14 Unfudged'!$D$2:$D$498)</f>
        <v>1016</v>
      </c>
      <c r="F294" s="104">
        <v>139116</v>
      </c>
      <c r="G294" s="105">
        <v>85453</v>
      </c>
      <c r="H294" s="106">
        <v>53663</v>
      </c>
      <c r="I294" s="107">
        <v>0</v>
      </c>
      <c r="J294" s="105">
        <v>0</v>
      </c>
      <c r="K294" s="106">
        <v>0</v>
      </c>
      <c r="L294" s="107">
        <v>460899</v>
      </c>
      <c r="M294" s="105">
        <v>204407</v>
      </c>
      <c r="N294" s="106">
        <v>256492</v>
      </c>
      <c r="O294" s="107">
        <f t="shared" si="16"/>
        <v>600015</v>
      </c>
      <c r="P294" s="105">
        <f t="shared" si="16"/>
        <v>289860</v>
      </c>
      <c r="Q294" s="106">
        <f t="shared" si="16"/>
        <v>310155</v>
      </c>
      <c r="R294" s="105">
        <f t="shared" si="15"/>
        <v>590.56594488188978</v>
      </c>
      <c r="S294" s="105">
        <f t="shared" si="15"/>
        <v>285.29527559055117</v>
      </c>
      <c r="T294" s="108">
        <f t="shared" si="15"/>
        <v>305.27066929133861</v>
      </c>
    </row>
    <row r="295" spans="1:20" s="66" customFormat="1" ht="12.75" x14ac:dyDescent="0.2">
      <c r="A295" s="109">
        <v>2169</v>
      </c>
      <c r="B295" s="110">
        <v>51</v>
      </c>
      <c r="C295" s="103" t="s">
        <v>412</v>
      </c>
      <c r="D295" s="103">
        <v>6</v>
      </c>
      <c r="E295" s="104">
        <f>+SUMIF('GE16FEB14 Unfudged'!$A$2:$A$498, $A295, 'GE16FEB14 Unfudged'!$D$2:$D$498)</f>
        <v>804</v>
      </c>
      <c r="F295" s="104">
        <v>78119</v>
      </c>
      <c r="G295" s="105">
        <v>45537</v>
      </c>
      <c r="H295" s="106">
        <v>32582</v>
      </c>
      <c r="I295" s="107">
        <v>0</v>
      </c>
      <c r="J295" s="105">
        <v>0</v>
      </c>
      <c r="K295" s="106">
        <v>0</v>
      </c>
      <c r="L295" s="107">
        <v>1062574</v>
      </c>
      <c r="M295" s="105">
        <v>748603</v>
      </c>
      <c r="N295" s="106">
        <v>313971</v>
      </c>
      <c r="O295" s="107">
        <f t="shared" si="16"/>
        <v>1140693</v>
      </c>
      <c r="P295" s="105">
        <f t="shared" si="16"/>
        <v>794140</v>
      </c>
      <c r="Q295" s="106">
        <f t="shared" si="16"/>
        <v>346553</v>
      </c>
      <c r="R295" s="105">
        <f t="shared" si="15"/>
        <v>1418.7723880597016</v>
      </c>
      <c r="S295" s="105">
        <f t="shared" si="15"/>
        <v>987.7363184079602</v>
      </c>
      <c r="T295" s="108">
        <f t="shared" si="15"/>
        <v>431.03606965174129</v>
      </c>
    </row>
    <row r="296" spans="1:20" s="66" customFormat="1" ht="12.75" x14ac:dyDescent="0.2">
      <c r="A296" s="109">
        <v>2170</v>
      </c>
      <c r="B296" s="110">
        <v>51</v>
      </c>
      <c r="C296" s="103" t="s">
        <v>413</v>
      </c>
      <c r="D296" s="103">
        <v>5</v>
      </c>
      <c r="E296" s="104">
        <f>+SUMIF('GE16FEB14 Unfudged'!$A$2:$A$498, $A296, 'GE16FEB14 Unfudged'!$D$2:$D$498)</f>
        <v>1336</v>
      </c>
      <c r="F296" s="104">
        <v>163043</v>
      </c>
      <c r="G296" s="105">
        <v>95232</v>
      </c>
      <c r="H296" s="106">
        <v>67811</v>
      </c>
      <c r="I296" s="107">
        <v>0</v>
      </c>
      <c r="J296" s="105">
        <v>0</v>
      </c>
      <c r="K296" s="106">
        <v>0</v>
      </c>
      <c r="L296" s="107">
        <v>1040107</v>
      </c>
      <c r="M296" s="105">
        <v>519456</v>
      </c>
      <c r="N296" s="106">
        <v>520651</v>
      </c>
      <c r="O296" s="107">
        <f t="shared" si="16"/>
        <v>1203150</v>
      </c>
      <c r="P296" s="105">
        <f t="shared" si="16"/>
        <v>614688</v>
      </c>
      <c r="Q296" s="106">
        <f t="shared" si="16"/>
        <v>588462</v>
      </c>
      <c r="R296" s="105">
        <f t="shared" si="15"/>
        <v>900.56137724550899</v>
      </c>
      <c r="S296" s="105">
        <f t="shared" si="15"/>
        <v>460.09580838323353</v>
      </c>
      <c r="T296" s="108">
        <f t="shared" si="15"/>
        <v>440.46556886227546</v>
      </c>
    </row>
    <row r="297" spans="1:20" s="66" customFormat="1" ht="12.75" x14ac:dyDescent="0.2">
      <c r="A297" s="109">
        <v>2171</v>
      </c>
      <c r="B297" s="110">
        <v>83</v>
      </c>
      <c r="C297" s="103" t="s">
        <v>414</v>
      </c>
      <c r="D297" s="103">
        <v>6</v>
      </c>
      <c r="E297" s="104">
        <f>+SUMIF('GE16FEB14 Unfudged'!$A$2:$A$498, $A297, 'GE16FEB14 Unfudged'!$D$2:$D$498)</f>
        <v>261</v>
      </c>
      <c r="F297" s="104">
        <v>13030</v>
      </c>
      <c r="G297" s="105">
        <v>13030</v>
      </c>
      <c r="H297" s="106">
        <v>0</v>
      </c>
      <c r="I297" s="107">
        <v>0</v>
      </c>
      <c r="J297" s="105">
        <v>0</v>
      </c>
      <c r="K297" s="106">
        <v>0</v>
      </c>
      <c r="L297" s="107">
        <v>711618</v>
      </c>
      <c r="M297" s="105">
        <v>274802</v>
      </c>
      <c r="N297" s="106">
        <v>436816</v>
      </c>
      <c r="O297" s="107">
        <f t="shared" si="16"/>
        <v>724648</v>
      </c>
      <c r="P297" s="105">
        <f t="shared" si="16"/>
        <v>287832</v>
      </c>
      <c r="Q297" s="106">
        <f t="shared" si="16"/>
        <v>436816</v>
      </c>
      <c r="R297" s="105">
        <f t="shared" si="15"/>
        <v>2776.4291187739464</v>
      </c>
      <c r="S297" s="105">
        <f t="shared" si="15"/>
        <v>1102.8045977011495</v>
      </c>
      <c r="T297" s="108">
        <f t="shared" si="15"/>
        <v>1673.6245210727968</v>
      </c>
    </row>
    <row r="298" spans="1:20" s="66" customFormat="1" ht="12.75" x14ac:dyDescent="0.2">
      <c r="A298" s="109">
        <v>2172</v>
      </c>
      <c r="B298" s="110">
        <v>52</v>
      </c>
      <c r="C298" s="103" t="s">
        <v>415</v>
      </c>
      <c r="D298" s="103">
        <v>6</v>
      </c>
      <c r="E298" s="104">
        <f>+SUMIF('GE16FEB14 Unfudged'!$A$2:$A$498, $A298, 'GE16FEB14 Unfudged'!$D$2:$D$498)</f>
        <v>844</v>
      </c>
      <c r="F298" s="104">
        <v>92661</v>
      </c>
      <c r="G298" s="105">
        <v>64203</v>
      </c>
      <c r="H298" s="106">
        <v>28458</v>
      </c>
      <c r="I298" s="107">
        <v>0</v>
      </c>
      <c r="J298" s="105">
        <v>0</v>
      </c>
      <c r="K298" s="106">
        <v>0</v>
      </c>
      <c r="L298" s="107">
        <v>881655</v>
      </c>
      <c r="M298" s="105">
        <v>611018</v>
      </c>
      <c r="N298" s="106">
        <v>270637</v>
      </c>
      <c r="O298" s="107">
        <f t="shared" si="16"/>
        <v>974316</v>
      </c>
      <c r="P298" s="105">
        <f t="shared" si="16"/>
        <v>675221</v>
      </c>
      <c r="Q298" s="106">
        <f t="shared" si="16"/>
        <v>299095</v>
      </c>
      <c r="R298" s="105">
        <f t="shared" si="15"/>
        <v>1154.4028436018957</v>
      </c>
      <c r="S298" s="105">
        <f t="shared" si="15"/>
        <v>800.0248815165877</v>
      </c>
      <c r="T298" s="108">
        <f t="shared" si="15"/>
        <v>354.37796208530807</v>
      </c>
    </row>
    <row r="299" spans="1:20" s="66" customFormat="1" ht="12.75" x14ac:dyDescent="0.2">
      <c r="A299" s="109">
        <v>2174</v>
      </c>
      <c r="B299" s="110">
        <v>52</v>
      </c>
      <c r="C299" s="103" t="s">
        <v>416</v>
      </c>
      <c r="D299" s="103">
        <v>6</v>
      </c>
      <c r="E299" s="104">
        <f>+SUMIF('GE16FEB14 Unfudged'!$A$2:$A$498, $A299, 'GE16FEB14 Unfudged'!$D$2:$D$498)</f>
        <v>965</v>
      </c>
      <c r="F299" s="104">
        <v>138902</v>
      </c>
      <c r="G299" s="105">
        <v>138902</v>
      </c>
      <c r="H299" s="106">
        <v>0</v>
      </c>
      <c r="I299" s="107">
        <v>0</v>
      </c>
      <c r="J299" s="105">
        <v>0</v>
      </c>
      <c r="K299" s="106">
        <v>0</v>
      </c>
      <c r="L299" s="107">
        <v>289380</v>
      </c>
      <c r="M299" s="105">
        <v>175366</v>
      </c>
      <c r="N299" s="106">
        <v>114014</v>
      </c>
      <c r="O299" s="107">
        <f t="shared" si="16"/>
        <v>428282</v>
      </c>
      <c r="P299" s="105">
        <f t="shared" si="16"/>
        <v>314268</v>
      </c>
      <c r="Q299" s="106">
        <f t="shared" si="16"/>
        <v>114014</v>
      </c>
      <c r="R299" s="105">
        <f t="shared" si="15"/>
        <v>443.81554404145078</v>
      </c>
      <c r="S299" s="105">
        <f t="shared" si="15"/>
        <v>325.66632124352333</v>
      </c>
      <c r="T299" s="108">
        <f t="shared" si="15"/>
        <v>118.14922279792746</v>
      </c>
    </row>
    <row r="300" spans="1:20" s="66" customFormat="1" ht="12.75" x14ac:dyDescent="0.2">
      <c r="A300" s="109">
        <v>2176</v>
      </c>
      <c r="B300" s="110">
        <v>70</v>
      </c>
      <c r="C300" s="103" t="s">
        <v>417</v>
      </c>
      <c r="D300" s="103">
        <v>6</v>
      </c>
      <c r="E300" s="104">
        <f>+SUMIF('GE16FEB14 Unfudged'!$A$2:$A$498, $A300, 'GE16FEB14 Unfudged'!$D$2:$D$498)</f>
        <v>457</v>
      </c>
      <c r="F300" s="104">
        <v>33418</v>
      </c>
      <c r="G300" s="105">
        <v>18989</v>
      </c>
      <c r="H300" s="106">
        <v>14429</v>
      </c>
      <c r="I300" s="107">
        <v>0</v>
      </c>
      <c r="J300" s="105">
        <v>0</v>
      </c>
      <c r="K300" s="106">
        <v>0</v>
      </c>
      <c r="L300" s="107">
        <v>844293</v>
      </c>
      <c r="M300" s="105">
        <v>479189</v>
      </c>
      <c r="N300" s="106">
        <v>365104</v>
      </c>
      <c r="O300" s="107">
        <f t="shared" si="16"/>
        <v>877711</v>
      </c>
      <c r="P300" s="105">
        <f t="shared" si="16"/>
        <v>498178</v>
      </c>
      <c r="Q300" s="106">
        <f t="shared" si="16"/>
        <v>379533</v>
      </c>
      <c r="R300" s="105">
        <f t="shared" si="15"/>
        <v>1920.5929978118163</v>
      </c>
      <c r="S300" s="105">
        <f t="shared" si="15"/>
        <v>1090.105032822757</v>
      </c>
      <c r="T300" s="108">
        <f t="shared" si="15"/>
        <v>830.48796498905904</v>
      </c>
    </row>
    <row r="301" spans="1:20" s="66" customFormat="1" ht="12.75" x14ac:dyDescent="0.2">
      <c r="A301" s="109">
        <v>2180</v>
      </c>
      <c r="B301" s="110">
        <v>60</v>
      </c>
      <c r="C301" s="103" t="s">
        <v>418</v>
      </c>
      <c r="D301" s="103">
        <v>6</v>
      </c>
      <c r="E301" s="104">
        <f>+SUMIF('GE16FEB14 Unfudged'!$A$2:$A$498, $A301, 'GE16FEB14 Unfudged'!$D$2:$D$498)</f>
        <v>688</v>
      </c>
      <c r="F301" s="104">
        <v>47906</v>
      </c>
      <c r="G301" s="105">
        <v>28709</v>
      </c>
      <c r="H301" s="106">
        <v>19197</v>
      </c>
      <c r="I301" s="107">
        <v>0</v>
      </c>
      <c r="J301" s="105">
        <v>0</v>
      </c>
      <c r="K301" s="106">
        <v>0</v>
      </c>
      <c r="L301" s="107">
        <v>1323477</v>
      </c>
      <c r="M301" s="105">
        <v>1061828</v>
      </c>
      <c r="N301" s="106">
        <v>261649</v>
      </c>
      <c r="O301" s="107">
        <f t="shared" si="16"/>
        <v>1371383</v>
      </c>
      <c r="P301" s="105">
        <f t="shared" si="16"/>
        <v>1090537</v>
      </c>
      <c r="Q301" s="106">
        <f t="shared" si="16"/>
        <v>280846</v>
      </c>
      <c r="R301" s="105">
        <f t="shared" si="15"/>
        <v>1993.2892441860465</v>
      </c>
      <c r="S301" s="105">
        <f t="shared" si="15"/>
        <v>1585.0828488372092</v>
      </c>
      <c r="T301" s="108">
        <f t="shared" si="15"/>
        <v>408.20639534883719</v>
      </c>
    </row>
    <row r="302" spans="1:20" s="66" customFormat="1" ht="12.75" x14ac:dyDescent="0.2">
      <c r="A302" s="109">
        <v>2184</v>
      </c>
      <c r="B302" s="110">
        <v>60</v>
      </c>
      <c r="C302" s="103" t="s">
        <v>419</v>
      </c>
      <c r="D302" s="103">
        <v>5</v>
      </c>
      <c r="E302" s="104">
        <f>+SUMIF('GE16FEB14 Unfudged'!$A$2:$A$498, $A302, 'GE16FEB14 Unfudged'!$D$2:$D$498)</f>
        <v>1271</v>
      </c>
      <c r="F302" s="104">
        <v>129363</v>
      </c>
      <c r="G302" s="105">
        <v>66647</v>
      </c>
      <c r="H302" s="106">
        <v>62716</v>
      </c>
      <c r="I302" s="107">
        <v>0</v>
      </c>
      <c r="J302" s="105">
        <v>0</v>
      </c>
      <c r="K302" s="106">
        <v>0</v>
      </c>
      <c r="L302" s="107">
        <v>1551601</v>
      </c>
      <c r="M302" s="105">
        <v>945693</v>
      </c>
      <c r="N302" s="106">
        <v>605908</v>
      </c>
      <c r="O302" s="107">
        <f t="shared" si="16"/>
        <v>1680964</v>
      </c>
      <c r="P302" s="105">
        <f t="shared" si="16"/>
        <v>1012340</v>
      </c>
      <c r="Q302" s="106">
        <f t="shared" si="16"/>
        <v>668624</v>
      </c>
      <c r="R302" s="105">
        <f t="shared" si="15"/>
        <v>1322.552321007081</v>
      </c>
      <c r="S302" s="105">
        <f t="shared" si="15"/>
        <v>796.49095200629426</v>
      </c>
      <c r="T302" s="108">
        <f t="shared" si="15"/>
        <v>526.06136900078673</v>
      </c>
    </row>
    <row r="303" spans="1:20" s="66" customFormat="1" ht="12.75" x14ac:dyDescent="0.2">
      <c r="A303" s="109">
        <v>2190</v>
      </c>
      <c r="B303" s="110">
        <v>1</v>
      </c>
      <c r="C303" s="103" t="s">
        <v>6</v>
      </c>
      <c r="D303" s="103">
        <v>6</v>
      </c>
      <c r="E303" s="104">
        <f>+SUMIF('GE16FEB14 Unfudged'!$A$2:$A$498, $A303, 'GE16FEB14 Unfudged'!$D$2:$D$498)</f>
        <v>817</v>
      </c>
      <c r="F303" s="104">
        <v>77568</v>
      </c>
      <c r="G303" s="105">
        <v>47178</v>
      </c>
      <c r="H303" s="106">
        <v>30390</v>
      </c>
      <c r="I303" s="107">
        <v>0</v>
      </c>
      <c r="J303" s="105">
        <v>0</v>
      </c>
      <c r="K303" s="106">
        <v>0</v>
      </c>
      <c r="L303" s="107">
        <v>1119331</v>
      </c>
      <c r="M303" s="105">
        <v>813386</v>
      </c>
      <c r="N303" s="106">
        <v>305945</v>
      </c>
      <c r="O303" s="107">
        <f t="shared" si="16"/>
        <v>1196899</v>
      </c>
      <c r="P303" s="105">
        <f t="shared" si="16"/>
        <v>860564</v>
      </c>
      <c r="Q303" s="106">
        <f t="shared" si="16"/>
        <v>336335</v>
      </c>
      <c r="R303" s="105">
        <f t="shared" si="15"/>
        <v>1464.9926560587514</v>
      </c>
      <c r="S303" s="105">
        <f t="shared" si="15"/>
        <v>1053.3219094247247</v>
      </c>
      <c r="T303" s="108">
        <f t="shared" si="15"/>
        <v>411.67074663402695</v>
      </c>
    </row>
    <row r="304" spans="1:20" s="66" customFormat="1" ht="12.75" x14ac:dyDescent="0.2">
      <c r="A304" s="109">
        <v>2198</v>
      </c>
      <c r="B304" s="110">
        <v>1</v>
      </c>
      <c r="C304" s="103" t="s">
        <v>7</v>
      </c>
      <c r="D304" s="103">
        <v>6</v>
      </c>
      <c r="E304" s="104">
        <f>+SUMIF('GE16FEB14 Unfudged'!$A$2:$A$498, $A304, 'GE16FEB14 Unfudged'!$D$2:$D$498)</f>
        <v>580</v>
      </c>
      <c r="F304" s="104">
        <v>59218</v>
      </c>
      <c r="G304" s="105">
        <v>43311</v>
      </c>
      <c r="H304" s="106">
        <v>15907</v>
      </c>
      <c r="I304" s="107">
        <v>0</v>
      </c>
      <c r="J304" s="105">
        <v>0</v>
      </c>
      <c r="K304" s="106">
        <v>0</v>
      </c>
      <c r="L304" s="107">
        <v>705465</v>
      </c>
      <c r="M304" s="105">
        <v>533431</v>
      </c>
      <c r="N304" s="106">
        <v>172034</v>
      </c>
      <c r="O304" s="107">
        <f t="shared" si="16"/>
        <v>764683</v>
      </c>
      <c r="P304" s="105">
        <f t="shared" si="16"/>
        <v>576742</v>
      </c>
      <c r="Q304" s="106">
        <f t="shared" si="16"/>
        <v>187941</v>
      </c>
      <c r="R304" s="105">
        <f t="shared" si="15"/>
        <v>1318.4189655172413</v>
      </c>
      <c r="S304" s="105">
        <f t="shared" si="15"/>
        <v>994.38275862068963</v>
      </c>
      <c r="T304" s="108">
        <f t="shared" si="15"/>
        <v>324.03620689655173</v>
      </c>
    </row>
    <row r="305" spans="1:20" s="66" customFormat="1" ht="12.75" x14ac:dyDescent="0.2">
      <c r="A305" s="109">
        <v>2215</v>
      </c>
      <c r="B305" s="110">
        <v>1</v>
      </c>
      <c r="C305" s="103" t="s">
        <v>420</v>
      </c>
      <c r="D305" s="103">
        <v>6</v>
      </c>
      <c r="E305" s="104">
        <f>+SUMIF('GE16FEB14 Unfudged'!$A$2:$A$498, $A305, 'GE16FEB14 Unfudged'!$D$2:$D$498)</f>
        <v>327</v>
      </c>
      <c r="F305" s="104">
        <v>23705</v>
      </c>
      <c r="G305" s="105">
        <v>7729</v>
      </c>
      <c r="H305" s="106">
        <v>15976</v>
      </c>
      <c r="I305" s="107">
        <v>0</v>
      </c>
      <c r="J305" s="105">
        <v>0</v>
      </c>
      <c r="K305" s="106">
        <v>0</v>
      </c>
      <c r="L305" s="107">
        <v>609507</v>
      </c>
      <c r="M305" s="105">
        <v>274463</v>
      </c>
      <c r="N305" s="106">
        <v>335044</v>
      </c>
      <c r="O305" s="107">
        <f t="shared" si="16"/>
        <v>633212</v>
      </c>
      <c r="P305" s="105">
        <f t="shared" si="16"/>
        <v>282192</v>
      </c>
      <c r="Q305" s="106">
        <f t="shared" si="16"/>
        <v>351020</v>
      </c>
      <c r="R305" s="105">
        <f t="shared" si="15"/>
        <v>1936.4281345565748</v>
      </c>
      <c r="S305" s="105">
        <f t="shared" si="15"/>
        <v>862.97247706422013</v>
      </c>
      <c r="T305" s="108">
        <f t="shared" si="15"/>
        <v>1073.4556574923547</v>
      </c>
    </row>
    <row r="306" spans="1:20" s="66" customFormat="1" ht="12.75" x14ac:dyDescent="0.2">
      <c r="A306" s="109">
        <v>2310</v>
      </c>
      <c r="B306" s="110">
        <v>1</v>
      </c>
      <c r="C306" s="103" t="s">
        <v>421</v>
      </c>
      <c r="D306" s="103">
        <v>5</v>
      </c>
      <c r="E306" s="104">
        <f>+SUMIF('GE16FEB14 Unfudged'!$A$2:$A$498, $A306, 'GE16FEB14 Unfudged'!$D$2:$D$498)</f>
        <v>1346</v>
      </c>
      <c r="F306" s="104">
        <v>172206</v>
      </c>
      <c r="G306" s="105">
        <v>79732</v>
      </c>
      <c r="H306" s="106">
        <v>92474</v>
      </c>
      <c r="I306" s="107">
        <v>0</v>
      </c>
      <c r="J306" s="105">
        <v>0</v>
      </c>
      <c r="K306" s="106">
        <v>0</v>
      </c>
      <c r="L306" s="107">
        <v>873954</v>
      </c>
      <c r="M306" s="105">
        <v>326060</v>
      </c>
      <c r="N306" s="106">
        <v>547894</v>
      </c>
      <c r="O306" s="107">
        <f t="shared" si="16"/>
        <v>1046160</v>
      </c>
      <c r="P306" s="105">
        <f t="shared" si="16"/>
        <v>405792</v>
      </c>
      <c r="Q306" s="106">
        <f t="shared" si="16"/>
        <v>640368</v>
      </c>
      <c r="R306" s="105">
        <f t="shared" si="15"/>
        <v>777.23625557206537</v>
      </c>
      <c r="S306" s="105">
        <f t="shared" si="15"/>
        <v>301.47994056463597</v>
      </c>
      <c r="T306" s="108">
        <f t="shared" si="15"/>
        <v>475.75631500742941</v>
      </c>
    </row>
    <row r="307" spans="1:20" s="66" customFormat="1" ht="12.75" x14ac:dyDescent="0.2">
      <c r="A307" s="109">
        <v>2311</v>
      </c>
      <c r="B307" s="110">
        <v>1</v>
      </c>
      <c r="C307" s="103" t="s">
        <v>422</v>
      </c>
      <c r="D307" s="103">
        <v>6</v>
      </c>
      <c r="E307" s="104">
        <f>+SUMIF('GE16FEB14 Unfudged'!$A$2:$A$498, $A307, 'GE16FEB14 Unfudged'!$D$2:$D$498)</f>
        <v>462</v>
      </c>
      <c r="F307" s="104">
        <v>62306</v>
      </c>
      <c r="G307" s="105">
        <v>62306</v>
      </c>
      <c r="H307" s="106">
        <v>0</v>
      </c>
      <c r="I307" s="107">
        <v>0</v>
      </c>
      <c r="J307" s="105">
        <v>0</v>
      </c>
      <c r="K307" s="106">
        <v>0</v>
      </c>
      <c r="L307" s="107">
        <v>229841</v>
      </c>
      <c r="M307" s="105">
        <v>207126</v>
      </c>
      <c r="N307" s="106">
        <v>22715</v>
      </c>
      <c r="O307" s="107">
        <f t="shared" si="16"/>
        <v>292147</v>
      </c>
      <c r="P307" s="105">
        <f t="shared" si="16"/>
        <v>269432</v>
      </c>
      <c r="Q307" s="106">
        <f t="shared" si="16"/>
        <v>22715</v>
      </c>
      <c r="R307" s="105">
        <f t="shared" si="15"/>
        <v>632.35281385281382</v>
      </c>
      <c r="S307" s="105">
        <f t="shared" si="15"/>
        <v>583.1861471861472</v>
      </c>
      <c r="T307" s="108">
        <f t="shared" si="15"/>
        <v>49.166666666666664</v>
      </c>
    </row>
    <row r="308" spans="1:20" s="66" customFormat="1" ht="12.75" x14ac:dyDescent="0.2">
      <c r="A308" s="109">
        <v>2342</v>
      </c>
      <c r="B308" s="110">
        <v>1</v>
      </c>
      <c r="C308" s="103" t="s">
        <v>8</v>
      </c>
      <c r="D308" s="103">
        <v>6</v>
      </c>
      <c r="E308" s="104">
        <f>+SUMIF('GE16FEB14 Unfudged'!$A$2:$A$498, $A308, 'GE16FEB14 Unfudged'!$D$2:$D$498)</f>
        <v>784</v>
      </c>
      <c r="F308" s="104">
        <v>70067</v>
      </c>
      <c r="G308" s="105">
        <v>42352</v>
      </c>
      <c r="H308" s="106">
        <v>27715</v>
      </c>
      <c r="I308" s="107">
        <v>0</v>
      </c>
      <c r="J308" s="105">
        <v>0</v>
      </c>
      <c r="K308" s="106">
        <v>0</v>
      </c>
      <c r="L308" s="107">
        <v>1169391</v>
      </c>
      <c r="M308" s="105">
        <v>873928</v>
      </c>
      <c r="N308" s="106">
        <v>295463</v>
      </c>
      <c r="O308" s="107">
        <f t="shared" si="16"/>
        <v>1239458</v>
      </c>
      <c r="P308" s="105">
        <f t="shared" si="16"/>
        <v>916280</v>
      </c>
      <c r="Q308" s="106">
        <f t="shared" si="16"/>
        <v>323178</v>
      </c>
      <c r="R308" s="105">
        <f t="shared" si="15"/>
        <v>1580.9413265306123</v>
      </c>
      <c r="S308" s="105">
        <f t="shared" si="15"/>
        <v>1168.7244897959183</v>
      </c>
      <c r="T308" s="108">
        <f t="shared" si="15"/>
        <v>412.21683673469386</v>
      </c>
    </row>
    <row r="309" spans="1:20" s="66" customFormat="1" ht="12.75" x14ac:dyDescent="0.2">
      <c r="A309" s="109">
        <v>2358</v>
      </c>
      <c r="B309" s="110">
        <v>1</v>
      </c>
      <c r="C309" s="103" t="s">
        <v>423</v>
      </c>
      <c r="D309" s="103">
        <v>6</v>
      </c>
      <c r="E309" s="104">
        <f>+SUMIF('GE16FEB14 Unfudged'!$A$2:$A$498, $A309, 'GE16FEB14 Unfudged'!$D$2:$D$498)</f>
        <v>220</v>
      </c>
      <c r="F309" s="104">
        <v>17887</v>
      </c>
      <c r="G309" s="105">
        <v>7629</v>
      </c>
      <c r="H309" s="106">
        <v>10258</v>
      </c>
      <c r="I309" s="107">
        <v>0</v>
      </c>
      <c r="J309" s="105">
        <v>0</v>
      </c>
      <c r="K309" s="106">
        <v>0</v>
      </c>
      <c r="L309" s="107">
        <v>368068</v>
      </c>
      <c r="M309" s="105">
        <v>210026</v>
      </c>
      <c r="N309" s="106">
        <v>158042</v>
      </c>
      <c r="O309" s="107">
        <f t="shared" si="16"/>
        <v>385955</v>
      </c>
      <c r="P309" s="105">
        <f t="shared" si="16"/>
        <v>217655</v>
      </c>
      <c r="Q309" s="106">
        <f t="shared" si="16"/>
        <v>168300</v>
      </c>
      <c r="R309" s="105">
        <f t="shared" si="15"/>
        <v>1754.340909090909</v>
      </c>
      <c r="S309" s="105">
        <f t="shared" si="15"/>
        <v>989.34090909090912</v>
      </c>
      <c r="T309" s="108">
        <f t="shared" si="15"/>
        <v>765</v>
      </c>
    </row>
    <row r="310" spans="1:20" s="66" customFormat="1" ht="12.75" x14ac:dyDescent="0.2">
      <c r="A310" s="109">
        <v>2364</v>
      </c>
      <c r="B310" s="110">
        <v>1</v>
      </c>
      <c r="C310" s="103" t="s">
        <v>424</v>
      </c>
      <c r="D310" s="103">
        <v>6</v>
      </c>
      <c r="E310" s="104">
        <f>+SUMIF('GE16FEB14 Unfudged'!$A$2:$A$498, $A310, 'GE16FEB14 Unfudged'!$D$2:$D$498)</f>
        <v>679</v>
      </c>
      <c r="F310" s="104">
        <v>77887</v>
      </c>
      <c r="G310" s="105">
        <v>44911</v>
      </c>
      <c r="H310" s="106">
        <v>32976</v>
      </c>
      <c r="I310" s="107">
        <v>0</v>
      </c>
      <c r="J310" s="105">
        <v>0</v>
      </c>
      <c r="K310" s="106">
        <v>0</v>
      </c>
      <c r="L310" s="107">
        <v>637858</v>
      </c>
      <c r="M310" s="105">
        <v>369952</v>
      </c>
      <c r="N310" s="106">
        <v>267906</v>
      </c>
      <c r="O310" s="107">
        <f t="shared" si="16"/>
        <v>715745</v>
      </c>
      <c r="P310" s="105">
        <f t="shared" si="16"/>
        <v>414863</v>
      </c>
      <c r="Q310" s="106">
        <f t="shared" si="16"/>
        <v>300882</v>
      </c>
      <c r="R310" s="105">
        <f t="shared" si="15"/>
        <v>1054.1163475699559</v>
      </c>
      <c r="S310" s="105">
        <f t="shared" si="15"/>
        <v>610.99116347569952</v>
      </c>
      <c r="T310" s="108">
        <f t="shared" si="15"/>
        <v>443.12518409425627</v>
      </c>
    </row>
    <row r="311" spans="1:20" s="66" customFormat="1" ht="12.75" x14ac:dyDescent="0.2">
      <c r="A311" s="109">
        <v>2365</v>
      </c>
      <c r="B311" s="110">
        <v>1</v>
      </c>
      <c r="C311" s="103" t="s">
        <v>9</v>
      </c>
      <c r="D311" s="103">
        <v>6</v>
      </c>
      <c r="E311" s="104">
        <f>+SUMIF('GE16FEB14 Unfudged'!$A$2:$A$498, $A311, 'GE16FEB14 Unfudged'!$D$2:$D$498)</f>
        <v>893</v>
      </c>
      <c r="F311" s="104">
        <v>102662</v>
      </c>
      <c r="G311" s="105">
        <v>62811</v>
      </c>
      <c r="H311" s="106">
        <v>39851</v>
      </c>
      <c r="I311" s="107">
        <v>0</v>
      </c>
      <c r="J311" s="105">
        <v>0</v>
      </c>
      <c r="K311" s="106">
        <v>0</v>
      </c>
      <c r="L311" s="107">
        <v>834864</v>
      </c>
      <c r="M311" s="105">
        <v>502354</v>
      </c>
      <c r="N311" s="106">
        <v>332510</v>
      </c>
      <c r="O311" s="107">
        <f t="shared" si="16"/>
        <v>937526</v>
      </c>
      <c r="P311" s="105">
        <f t="shared" si="16"/>
        <v>565165</v>
      </c>
      <c r="Q311" s="106">
        <f t="shared" si="16"/>
        <v>372361</v>
      </c>
      <c r="R311" s="105">
        <f t="shared" si="15"/>
        <v>1049.8611422172453</v>
      </c>
      <c r="S311" s="105">
        <f t="shared" si="15"/>
        <v>632.8835386338186</v>
      </c>
      <c r="T311" s="108">
        <f t="shared" si="15"/>
        <v>416.97760358342663</v>
      </c>
    </row>
    <row r="312" spans="1:20" s="66" customFormat="1" ht="12.75" x14ac:dyDescent="0.2">
      <c r="A312" s="109">
        <v>2396</v>
      </c>
      <c r="B312" s="110">
        <v>1</v>
      </c>
      <c r="C312" s="103" t="s">
        <v>10</v>
      </c>
      <c r="D312" s="103">
        <v>6</v>
      </c>
      <c r="E312" s="104">
        <f>+SUMIF('GE16FEB14 Unfudged'!$A$2:$A$498, $A312, 'GE16FEB14 Unfudged'!$D$2:$D$498)</f>
        <v>841</v>
      </c>
      <c r="F312" s="104">
        <v>85339</v>
      </c>
      <c r="G312" s="105">
        <v>60594</v>
      </c>
      <c r="H312" s="106">
        <v>24745</v>
      </c>
      <c r="I312" s="107">
        <v>0</v>
      </c>
      <c r="J312" s="105">
        <v>0</v>
      </c>
      <c r="K312" s="106">
        <v>0</v>
      </c>
      <c r="L312" s="107">
        <v>1033786</v>
      </c>
      <c r="M312" s="105">
        <v>773006</v>
      </c>
      <c r="N312" s="106">
        <v>260780</v>
      </c>
      <c r="O312" s="107">
        <f t="shared" si="16"/>
        <v>1119125</v>
      </c>
      <c r="P312" s="105">
        <f t="shared" si="16"/>
        <v>833600</v>
      </c>
      <c r="Q312" s="106">
        <f t="shared" si="16"/>
        <v>285525</v>
      </c>
      <c r="R312" s="105">
        <f t="shared" si="15"/>
        <v>1330.7074910820452</v>
      </c>
      <c r="S312" s="105">
        <f t="shared" si="15"/>
        <v>991.20095124851366</v>
      </c>
      <c r="T312" s="108">
        <f t="shared" si="15"/>
        <v>339.50653983353152</v>
      </c>
    </row>
    <row r="313" spans="1:20" s="66" customFormat="1" ht="12.75" x14ac:dyDescent="0.2">
      <c r="A313" s="109">
        <v>2397</v>
      </c>
      <c r="B313" s="110">
        <v>1</v>
      </c>
      <c r="C313" s="103" t="s">
        <v>425</v>
      </c>
      <c r="D313" s="103">
        <v>5</v>
      </c>
      <c r="E313" s="104">
        <f>+SUMIF('GE16FEB14 Unfudged'!$A$2:$A$498, $A313, 'GE16FEB14 Unfudged'!$D$2:$D$498)</f>
        <v>1084</v>
      </c>
      <c r="F313" s="104">
        <v>145827</v>
      </c>
      <c r="G313" s="105">
        <v>106621</v>
      </c>
      <c r="H313" s="106">
        <v>39206</v>
      </c>
      <c r="I313" s="107">
        <v>459701</v>
      </c>
      <c r="J313" s="105">
        <v>336108</v>
      </c>
      <c r="K313" s="106">
        <v>123593</v>
      </c>
      <c r="L313" s="107">
        <v>549874</v>
      </c>
      <c r="M313" s="105">
        <v>302048</v>
      </c>
      <c r="N313" s="106">
        <v>247826</v>
      </c>
      <c r="O313" s="107">
        <f t="shared" si="16"/>
        <v>1155402</v>
      </c>
      <c r="P313" s="105">
        <f t="shared" si="16"/>
        <v>744777</v>
      </c>
      <c r="Q313" s="106">
        <f t="shared" si="16"/>
        <v>410625</v>
      </c>
      <c r="R313" s="105">
        <f t="shared" si="15"/>
        <v>1065.8690036900368</v>
      </c>
      <c r="S313" s="105">
        <f t="shared" si="15"/>
        <v>687.06365313653134</v>
      </c>
      <c r="T313" s="108">
        <f t="shared" si="15"/>
        <v>378.80535055350555</v>
      </c>
    </row>
    <row r="314" spans="1:20" s="66" customFormat="1" ht="12.75" x14ac:dyDescent="0.2">
      <c r="A314" s="109">
        <v>2448</v>
      </c>
      <c r="B314" s="110">
        <v>1</v>
      </c>
      <c r="C314" s="103" t="s">
        <v>426</v>
      </c>
      <c r="D314" s="103">
        <v>6</v>
      </c>
      <c r="E314" s="104">
        <f>+SUMIF('GE16FEB14 Unfudged'!$A$2:$A$498, $A314, 'GE16FEB14 Unfudged'!$D$2:$D$498)</f>
        <v>812</v>
      </c>
      <c r="F314" s="104">
        <v>74046</v>
      </c>
      <c r="G314" s="105">
        <v>56804</v>
      </c>
      <c r="H314" s="106">
        <v>17242</v>
      </c>
      <c r="I314" s="107">
        <v>0</v>
      </c>
      <c r="J314" s="105">
        <v>0</v>
      </c>
      <c r="K314" s="106">
        <v>0</v>
      </c>
      <c r="L314" s="107">
        <v>1178951</v>
      </c>
      <c r="M314" s="105">
        <v>952959</v>
      </c>
      <c r="N314" s="106">
        <v>225992</v>
      </c>
      <c r="O314" s="107">
        <f t="shared" si="16"/>
        <v>1252997</v>
      </c>
      <c r="P314" s="105">
        <f t="shared" si="16"/>
        <v>1009763</v>
      </c>
      <c r="Q314" s="106">
        <f t="shared" si="16"/>
        <v>243234</v>
      </c>
      <c r="R314" s="105">
        <f t="shared" si="15"/>
        <v>1543.0997536945813</v>
      </c>
      <c r="S314" s="105">
        <f t="shared" si="15"/>
        <v>1243.5504926108374</v>
      </c>
      <c r="T314" s="108">
        <f t="shared" si="15"/>
        <v>299.54926108374383</v>
      </c>
    </row>
    <row r="315" spans="1:20" s="66" customFormat="1" ht="12.75" x14ac:dyDescent="0.2">
      <c r="A315" s="109">
        <v>2527</v>
      </c>
      <c r="B315" s="110">
        <v>1</v>
      </c>
      <c r="C315" s="103" t="s">
        <v>427</v>
      </c>
      <c r="D315" s="103">
        <v>6</v>
      </c>
      <c r="E315" s="104">
        <f>+SUMIF('GE16FEB14 Unfudged'!$A$2:$A$498, $A315, 'GE16FEB14 Unfudged'!$D$2:$D$498)</f>
        <v>300</v>
      </c>
      <c r="F315" s="104">
        <v>24853</v>
      </c>
      <c r="G315" s="105">
        <v>9132</v>
      </c>
      <c r="H315" s="106">
        <v>15721</v>
      </c>
      <c r="I315" s="107">
        <v>0</v>
      </c>
      <c r="J315" s="105">
        <v>0</v>
      </c>
      <c r="K315" s="106">
        <v>0</v>
      </c>
      <c r="L315" s="107">
        <v>488800</v>
      </c>
      <c r="M315" s="105">
        <v>238514</v>
      </c>
      <c r="N315" s="106">
        <v>250286</v>
      </c>
      <c r="O315" s="107">
        <f t="shared" si="16"/>
        <v>513653</v>
      </c>
      <c r="P315" s="105">
        <f t="shared" si="16"/>
        <v>247646</v>
      </c>
      <c r="Q315" s="106">
        <f t="shared" si="16"/>
        <v>266007</v>
      </c>
      <c r="R315" s="105">
        <f t="shared" si="15"/>
        <v>1712.1766666666667</v>
      </c>
      <c r="S315" s="105">
        <f t="shared" si="15"/>
        <v>825.48666666666668</v>
      </c>
      <c r="T315" s="108">
        <f t="shared" si="15"/>
        <v>886.69</v>
      </c>
    </row>
    <row r="316" spans="1:20" s="66" customFormat="1" ht="12.75" x14ac:dyDescent="0.2">
      <c r="A316" s="109">
        <v>2534</v>
      </c>
      <c r="B316" s="110">
        <v>1</v>
      </c>
      <c r="C316" s="103" t="s">
        <v>11</v>
      </c>
      <c r="D316" s="103">
        <v>6</v>
      </c>
      <c r="E316" s="104">
        <f>+SUMIF('GE16FEB14 Unfudged'!$A$2:$A$498, $A316, 'GE16FEB14 Unfudged'!$D$2:$D$498)</f>
        <v>722</v>
      </c>
      <c r="F316" s="104">
        <v>89162</v>
      </c>
      <c r="G316" s="105">
        <v>64441</v>
      </c>
      <c r="H316" s="106">
        <v>24721</v>
      </c>
      <c r="I316" s="107">
        <v>0</v>
      </c>
      <c r="J316" s="105">
        <v>0</v>
      </c>
      <c r="K316" s="106">
        <v>0</v>
      </c>
      <c r="L316" s="107">
        <v>539900</v>
      </c>
      <c r="M316" s="105">
        <v>324376</v>
      </c>
      <c r="N316" s="106">
        <v>215524</v>
      </c>
      <c r="O316" s="107">
        <f t="shared" si="16"/>
        <v>629062</v>
      </c>
      <c r="P316" s="105">
        <f t="shared" si="16"/>
        <v>388817</v>
      </c>
      <c r="Q316" s="106">
        <f t="shared" si="16"/>
        <v>240245</v>
      </c>
      <c r="R316" s="105">
        <f t="shared" si="15"/>
        <v>871.27700831024936</v>
      </c>
      <c r="S316" s="105">
        <f t="shared" si="15"/>
        <v>538.52770083102496</v>
      </c>
      <c r="T316" s="108">
        <f t="shared" si="15"/>
        <v>332.7493074792244</v>
      </c>
    </row>
    <row r="317" spans="1:20" s="66" customFormat="1" ht="12.75" x14ac:dyDescent="0.2">
      <c r="A317" s="109">
        <v>2536</v>
      </c>
      <c r="B317" s="110">
        <v>1</v>
      </c>
      <c r="C317" s="103" t="s">
        <v>428</v>
      </c>
      <c r="D317" s="103">
        <v>6</v>
      </c>
      <c r="E317" s="104">
        <f>+SUMIF('GE16FEB14 Unfudged'!$A$2:$A$498, $A317, 'GE16FEB14 Unfudged'!$D$2:$D$498)</f>
        <v>218</v>
      </c>
      <c r="F317" s="104">
        <v>10905</v>
      </c>
      <c r="G317" s="105">
        <v>6356</v>
      </c>
      <c r="H317" s="106">
        <v>4549</v>
      </c>
      <c r="I317" s="107">
        <v>0</v>
      </c>
      <c r="J317" s="105">
        <v>0</v>
      </c>
      <c r="K317" s="106">
        <v>0</v>
      </c>
      <c r="L317" s="107">
        <v>752377</v>
      </c>
      <c r="M317" s="105">
        <v>575943</v>
      </c>
      <c r="N317" s="106">
        <v>176434</v>
      </c>
      <c r="O317" s="107">
        <f t="shared" si="16"/>
        <v>763282</v>
      </c>
      <c r="P317" s="105">
        <f t="shared" si="16"/>
        <v>582299</v>
      </c>
      <c r="Q317" s="106">
        <f t="shared" si="16"/>
        <v>180983</v>
      </c>
      <c r="R317" s="105">
        <f t="shared" si="15"/>
        <v>3501.2935779816512</v>
      </c>
      <c r="S317" s="105">
        <f t="shared" si="15"/>
        <v>2671.0963302752293</v>
      </c>
      <c r="T317" s="108">
        <f t="shared" si="15"/>
        <v>830.19724770642199</v>
      </c>
    </row>
    <row r="318" spans="1:20" s="66" customFormat="1" ht="12.75" x14ac:dyDescent="0.2">
      <c r="A318" s="109">
        <v>2580</v>
      </c>
      <c r="B318" s="110">
        <v>1</v>
      </c>
      <c r="C318" s="103" t="s">
        <v>429</v>
      </c>
      <c r="D318" s="103">
        <v>6</v>
      </c>
      <c r="E318" s="104">
        <f>+SUMIF('GE16FEB14 Unfudged'!$A$2:$A$498, $A318, 'GE16FEB14 Unfudged'!$D$2:$D$498)</f>
        <v>828</v>
      </c>
      <c r="F318" s="104">
        <v>119290</v>
      </c>
      <c r="G318" s="105">
        <v>58041</v>
      </c>
      <c r="H318" s="106">
        <v>61249</v>
      </c>
      <c r="I318" s="107">
        <v>0</v>
      </c>
      <c r="J318" s="105">
        <v>0</v>
      </c>
      <c r="K318" s="106">
        <v>0</v>
      </c>
      <c r="L318" s="107">
        <v>248520</v>
      </c>
      <c r="M318" s="105">
        <v>70077</v>
      </c>
      <c r="N318" s="106">
        <v>178443</v>
      </c>
      <c r="O318" s="107">
        <f t="shared" si="16"/>
        <v>367810</v>
      </c>
      <c r="P318" s="105">
        <f t="shared" si="16"/>
        <v>128118</v>
      </c>
      <c r="Q318" s="106">
        <f t="shared" si="16"/>
        <v>239692</v>
      </c>
      <c r="R318" s="105">
        <f t="shared" si="15"/>
        <v>444.21497584541061</v>
      </c>
      <c r="S318" s="105">
        <f t="shared" si="15"/>
        <v>154.731884057971</v>
      </c>
      <c r="T318" s="108">
        <f t="shared" si="15"/>
        <v>289.48309178743961</v>
      </c>
    </row>
    <row r="319" spans="1:20" s="66" customFormat="1" ht="12.75" x14ac:dyDescent="0.2">
      <c r="A319" s="109">
        <v>2609</v>
      </c>
      <c r="B319" s="110">
        <v>1</v>
      </c>
      <c r="C319" s="103" t="s">
        <v>430</v>
      </c>
      <c r="D319" s="103">
        <v>6</v>
      </c>
      <c r="E319" s="104">
        <f>+SUMIF('GE16FEB14 Unfudged'!$A$2:$A$498, $A319, 'GE16FEB14 Unfudged'!$D$2:$D$498)</f>
        <v>420</v>
      </c>
      <c r="F319" s="104">
        <v>44646</v>
      </c>
      <c r="G319" s="105">
        <v>30129</v>
      </c>
      <c r="H319" s="106">
        <v>14517</v>
      </c>
      <c r="I319" s="107">
        <v>0</v>
      </c>
      <c r="J319" s="105">
        <v>0</v>
      </c>
      <c r="K319" s="106">
        <v>0</v>
      </c>
      <c r="L319" s="107">
        <v>471222</v>
      </c>
      <c r="M319" s="105">
        <v>331697</v>
      </c>
      <c r="N319" s="106">
        <v>139525</v>
      </c>
      <c r="O319" s="107">
        <f t="shared" si="16"/>
        <v>515868</v>
      </c>
      <c r="P319" s="105">
        <f t="shared" si="16"/>
        <v>361826</v>
      </c>
      <c r="Q319" s="106">
        <f t="shared" si="16"/>
        <v>154042</v>
      </c>
      <c r="R319" s="105">
        <f t="shared" si="15"/>
        <v>1228.2571428571428</v>
      </c>
      <c r="S319" s="105">
        <f t="shared" si="15"/>
        <v>861.49047619047622</v>
      </c>
      <c r="T319" s="108">
        <f t="shared" si="15"/>
        <v>366.76666666666665</v>
      </c>
    </row>
    <row r="320" spans="1:20" s="66" customFormat="1" ht="12.75" x14ac:dyDescent="0.2">
      <c r="A320" s="109">
        <v>2683</v>
      </c>
      <c r="B320" s="110">
        <v>1</v>
      </c>
      <c r="C320" s="103" t="s">
        <v>431</v>
      </c>
      <c r="D320" s="103">
        <v>6</v>
      </c>
      <c r="E320" s="104">
        <f>+SUMIF('GE16FEB14 Unfudged'!$A$2:$A$498, $A320, 'GE16FEB14 Unfudged'!$D$2:$D$498)</f>
        <v>417</v>
      </c>
      <c r="F320" s="104">
        <v>42146</v>
      </c>
      <c r="G320" s="105">
        <v>15459</v>
      </c>
      <c r="H320" s="106">
        <v>26687</v>
      </c>
      <c r="I320" s="107">
        <v>0</v>
      </c>
      <c r="J320" s="105">
        <v>0</v>
      </c>
      <c r="K320" s="106">
        <v>0</v>
      </c>
      <c r="L320" s="107">
        <v>514197</v>
      </c>
      <c r="M320" s="105">
        <v>224309</v>
      </c>
      <c r="N320" s="106">
        <v>289888</v>
      </c>
      <c r="O320" s="107">
        <f t="shared" si="16"/>
        <v>556343</v>
      </c>
      <c r="P320" s="105">
        <f t="shared" si="16"/>
        <v>239768</v>
      </c>
      <c r="Q320" s="106">
        <f t="shared" si="16"/>
        <v>316575</v>
      </c>
      <c r="R320" s="105">
        <f t="shared" si="15"/>
        <v>1334.1558752997603</v>
      </c>
      <c r="S320" s="105">
        <f t="shared" si="15"/>
        <v>574.98321342925658</v>
      </c>
      <c r="T320" s="108">
        <f t="shared" si="15"/>
        <v>759.17266187050359</v>
      </c>
    </row>
    <row r="321" spans="1:20" s="66" customFormat="1" ht="12.75" x14ac:dyDescent="0.2">
      <c r="A321" s="109">
        <v>2687</v>
      </c>
      <c r="B321" s="110">
        <v>1</v>
      </c>
      <c r="C321" s="103" t="s">
        <v>12</v>
      </c>
      <c r="D321" s="103">
        <v>5</v>
      </c>
      <c r="E321" s="104">
        <f>+SUMIF('GE16FEB14 Unfudged'!$A$2:$A$498, $A321, 'GE16FEB14 Unfudged'!$D$2:$D$498)</f>
        <v>1228</v>
      </c>
      <c r="F321" s="104">
        <v>174013</v>
      </c>
      <c r="G321" s="105">
        <v>127612</v>
      </c>
      <c r="H321" s="106">
        <v>46401</v>
      </c>
      <c r="I321" s="107">
        <v>520587</v>
      </c>
      <c r="J321" s="105">
        <v>381772</v>
      </c>
      <c r="K321" s="106">
        <v>138815</v>
      </c>
      <c r="L321" s="107">
        <v>429190</v>
      </c>
      <c r="M321" s="105">
        <v>201172</v>
      </c>
      <c r="N321" s="106">
        <v>228018</v>
      </c>
      <c r="O321" s="107">
        <f t="shared" si="16"/>
        <v>1123790</v>
      </c>
      <c r="P321" s="105">
        <f t="shared" si="16"/>
        <v>710556</v>
      </c>
      <c r="Q321" s="106">
        <f t="shared" si="16"/>
        <v>413234</v>
      </c>
      <c r="R321" s="105">
        <f t="shared" si="15"/>
        <v>915.13843648208467</v>
      </c>
      <c r="S321" s="105">
        <f t="shared" si="15"/>
        <v>578.62866449511398</v>
      </c>
      <c r="T321" s="108">
        <f t="shared" si="15"/>
        <v>336.50977198697069</v>
      </c>
    </row>
    <row r="322" spans="1:20" s="66" customFormat="1" ht="12.75" x14ac:dyDescent="0.2">
      <c r="A322" s="109">
        <v>2689</v>
      </c>
      <c r="B322" s="110">
        <v>1</v>
      </c>
      <c r="C322" s="103" t="s">
        <v>432</v>
      </c>
      <c r="D322" s="103">
        <v>5</v>
      </c>
      <c r="E322" s="104">
        <f>+SUMIF('GE16FEB14 Unfudged'!$A$2:$A$498, $A322, 'GE16FEB14 Unfudged'!$D$2:$D$498)</f>
        <v>1178</v>
      </c>
      <c r="F322" s="104">
        <v>121161</v>
      </c>
      <c r="G322" s="105">
        <v>59817</v>
      </c>
      <c r="H322" s="106">
        <v>61344</v>
      </c>
      <c r="I322" s="107">
        <v>0</v>
      </c>
      <c r="J322" s="105">
        <v>0</v>
      </c>
      <c r="K322" s="106">
        <v>0</v>
      </c>
      <c r="L322" s="107">
        <v>1410655</v>
      </c>
      <c r="M322" s="105">
        <v>816097</v>
      </c>
      <c r="N322" s="106">
        <v>594558</v>
      </c>
      <c r="O322" s="107">
        <f t="shared" si="16"/>
        <v>1531816</v>
      </c>
      <c r="P322" s="105">
        <f t="shared" si="16"/>
        <v>875914</v>
      </c>
      <c r="Q322" s="106">
        <f t="shared" si="16"/>
        <v>655902</v>
      </c>
      <c r="R322" s="105">
        <f t="shared" si="15"/>
        <v>1300.3531409168081</v>
      </c>
      <c r="S322" s="105">
        <f t="shared" si="15"/>
        <v>743.56027164685906</v>
      </c>
      <c r="T322" s="108">
        <f t="shared" si="15"/>
        <v>556.79286926994905</v>
      </c>
    </row>
    <row r="323" spans="1:20" s="66" customFormat="1" ht="12.75" x14ac:dyDescent="0.2">
      <c r="A323" s="109">
        <v>2711</v>
      </c>
      <c r="B323" s="110">
        <v>1</v>
      </c>
      <c r="C323" s="103" t="s">
        <v>433</v>
      </c>
      <c r="D323" s="103">
        <v>6</v>
      </c>
      <c r="E323" s="104">
        <f>+SUMIF('GE16FEB14 Unfudged'!$A$2:$A$498, $A323, 'GE16FEB14 Unfudged'!$D$2:$D$498)</f>
        <v>1034</v>
      </c>
      <c r="F323" s="104">
        <v>148896</v>
      </c>
      <c r="G323" s="105">
        <v>102371</v>
      </c>
      <c r="H323" s="106">
        <v>46525</v>
      </c>
      <c r="I323" s="107">
        <v>0</v>
      </c>
      <c r="J323" s="105">
        <v>0</v>
      </c>
      <c r="K323" s="106">
        <v>0</v>
      </c>
      <c r="L323" s="107">
        <v>310200</v>
      </c>
      <c r="M323" s="105">
        <v>123601</v>
      </c>
      <c r="N323" s="106">
        <v>186599</v>
      </c>
      <c r="O323" s="107">
        <f t="shared" si="16"/>
        <v>459096</v>
      </c>
      <c r="P323" s="105">
        <f t="shared" si="16"/>
        <v>225972</v>
      </c>
      <c r="Q323" s="106">
        <f t="shared" si="16"/>
        <v>233124</v>
      </c>
      <c r="R323" s="105">
        <f t="shared" si="15"/>
        <v>444</v>
      </c>
      <c r="S323" s="105">
        <f t="shared" si="15"/>
        <v>218.54158607350098</v>
      </c>
      <c r="T323" s="108">
        <f t="shared" si="15"/>
        <v>225.45841392649902</v>
      </c>
    </row>
    <row r="324" spans="1:20" s="66" customFormat="1" ht="12.75" x14ac:dyDescent="0.2">
      <c r="A324" s="109">
        <v>2752</v>
      </c>
      <c r="B324" s="110">
        <v>1</v>
      </c>
      <c r="C324" s="103" t="s">
        <v>434</v>
      </c>
      <c r="D324" s="103">
        <v>5</v>
      </c>
      <c r="E324" s="104">
        <f>+SUMIF('GE16FEB14 Unfudged'!$A$2:$A$498, $A324, 'GE16FEB14 Unfudged'!$D$2:$D$498)</f>
        <v>1964</v>
      </c>
      <c r="F324" s="104">
        <v>222928</v>
      </c>
      <c r="G324" s="105">
        <v>168243</v>
      </c>
      <c r="H324" s="106">
        <v>54685</v>
      </c>
      <c r="I324" s="107">
        <v>0</v>
      </c>
      <c r="J324" s="105">
        <v>0</v>
      </c>
      <c r="K324" s="106">
        <v>0</v>
      </c>
      <c r="L324" s="107">
        <v>1894978</v>
      </c>
      <c r="M324" s="105">
        <v>1341907</v>
      </c>
      <c r="N324" s="106">
        <v>553071</v>
      </c>
      <c r="O324" s="107">
        <f t="shared" si="16"/>
        <v>2117906</v>
      </c>
      <c r="P324" s="105">
        <f t="shared" si="16"/>
        <v>1510150</v>
      </c>
      <c r="Q324" s="106">
        <f t="shared" si="16"/>
        <v>607756</v>
      </c>
      <c r="R324" s="105">
        <f t="shared" si="15"/>
        <v>1078.3635437881874</v>
      </c>
      <c r="S324" s="105">
        <f t="shared" si="15"/>
        <v>768.91547861507127</v>
      </c>
      <c r="T324" s="108">
        <f t="shared" si="15"/>
        <v>309.44806517311611</v>
      </c>
    </row>
    <row r="325" spans="1:20" s="66" customFormat="1" ht="12.75" x14ac:dyDescent="0.2">
      <c r="A325" s="109">
        <v>2753</v>
      </c>
      <c r="B325" s="110">
        <v>1</v>
      </c>
      <c r="C325" s="103" t="s">
        <v>435</v>
      </c>
      <c r="D325" s="103">
        <v>5</v>
      </c>
      <c r="E325" s="104">
        <f>+SUMIF('GE16FEB14 Unfudged'!$A$2:$A$498, $A325, 'GE16FEB14 Unfudged'!$D$2:$D$498)</f>
        <v>960</v>
      </c>
      <c r="F325" s="104">
        <v>109157</v>
      </c>
      <c r="G325" s="105">
        <v>68203</v>
      </c>
      <c r="H325" s="106">
        <v>40954</v>
      </c>
      <c r="I325" s="107">
        <v>0</v>
      </c>
      <c r="J325" s="105">
        <v>0</v>
      </c>
      <c r="K325" s="106">
        <v>0</v>
      </c>
      <c r="L325" s="107">
        <v>922368</v>
      </c>
      <c r="M325" s="105">
        <v>572973</v>
      </c>
      <c r="N325" s="106">
        <v>349395</v>
      </c>
      <c r="O325" s="107">
        <f t="shared" si="16"/>
        <v>1031525</v>
      </c>
      <c r="P325" s="105">
        <f t="shared" si="16"/>
        <v>641176</v>
      </c>
      <c r="Q325" s="106">
        <f t="shared" si="16"/>
        <v>390349</v>
      </c>
      <c r="R325" s="105">
        <f t="shared" si="15"/>
        <v>1074.5052083333333</v>
      </c>
      <c r="S325" s="105">
        <f t="shared" si="15"/>
        <v>667.89166666666665</v>
      </c>
      <c r="T325" s="108">
        <f t="shared" si="15"/>
        <v>406.61354166666666</v>
      </c>
    </row>
    <row r="326" spans="1:20" s="66" customFormat="1" ht="12.75" x14ac:dyDescent="0.2">
      <c r="A326" s="109">
        <v>2754</v>
      </c>
      <c r="B326" s="110">
        <v>1</v>
      </c>
      <c r="C326" s="103" t="s">
        <v>436</v>
      </c>
      <c r="D326" s="103">
        <v>6</v>
      </c>
      <c r="E326" s="104">
        <f>+SUMIF('GE16FEB14 Unfudged'!$A$2:$A$498, $A326, 'GE16FEB14 Unfudged'!$D$2:$D$498)</f>
        <v>562</v>
      </c>
      <c r="F326" s="104">
        <v>73493</v>
      </c>
      <c r="G326" s="105">
        <v>32836</v>
      </c>
      <c r="H326" s="106">
        <v>40657</v>
      </c>
      <c r="I326" s="107">
        <v>0</v>
      </c>
      <c r="J326" s="105">
        <v>0</v>
      </c>
      <c r="K326" s="106">
        <v>0</v>
      </c>
      <c r="L326" s="107">
        <v>330074</v>
      </c>
      <c r="M326" s="105">
        <v>115812</v>
      </c>
      <c r="N326" s="106">
        <v>214262</v>
      </c>
      <c r="O326" s="107">
        <f t="shared" si="16"/>
        <v>403567</v>
      </c>
      <c r="P326" s="105">
        <f t="shared" si="16"/>
        <v>148648</v>
      </c>
      <c r="Q326" s="106">
        <f t="shared" si="16"/>
        <v>254919</v>
      </c>
      <c r="R326" s="105">
        <f t="shared" si="15"/>
        <v>718.09074733096088</v>
      </c>
      <c r="S326" s="105">
        <f t="shared" si="15"/>
        <v>264.4982206405694</v>
      </c>
      <c r="T326" s="108">
        <f t="shared" si="15"/>
        <v>453.59252669039148</v>
      </c>
    </row>
    <row r="327" spans="1:20" s="66" customFormat="1" ht="12.75" x14ac:dyDescent="0.2">
      <c r="A327" s="109">
        <v>2759</v>
      </c>
      <c r="B327" s="110">
        <v>1</v>
      </c>
      <c r="C327" s="103" t="s">
        <v>437</v>
      </c>
      <c r="D327" s="103">
        <v>6</v>
      </c>
      <c r="E327" s="104">
        <f>+SUMIF('GE16FEB14 Unfudged'!$A$2:$A$498, $A327, 'GE16FEB14 Unfudged'!$D$2:$D$498)</f>
        <v>315</v>
      </c>
      <c r="F327" s="104">
        <v>34661</v>
      </c>
      <c r="G327" s="105">
        <v>15979</v>
      </c>
      <c r="H327" s="106">
        <v>18682</v>
      </c>
      <c r="I327" s="107">
        <v>0</v>
      </c>
      <c r="J327" s="105">
        <v>0</v>
      </c>
      <c r="K327" s="106">
        <v>0</v>
      </c>
      <c r="L327" s="107">
        <v>327013</v>
      </c>
      <c r="M327" s="105">
        <v>163158</v>
      </c>
      <c r="N327" s="106">
        <v>163855</v>
      </c>
      <c r="O327" s="107">
        <f t="shared" si="16"/>
        <v>361674</v>
      </c>
      <c r="P327" s="105">
        <f t="shared" si="16"/>
        <v>179137</v>
      </c>
      <c r="Q327" s="106">
        <f t="shared" si="16"/>
        <v>182537</v>
      </c>
      <c r="R327" s="105">
        <f t="shared" si="15"/>
        <v>1148.1714285714286</v>
      </c>
      <c r="S327" s="105">
        <f t="shared" si="15"/>
        <v>568.68888888888887</v>
      </c>
      <c r="T327" s="108">
        <f t="shared" si="15"/>
        <v>579.48253968253971</v>
      </c>
    </row>
    <row r="328" spans="1:20" s="66" customFormat="1" ht="12.75" x14ac:dyDescent="0.2">
      <c r="A328" s="109">
        <v>2769</v>
      </c>
      <c r="B328" s="110">
        <v>1</v>
      </c>
      <c r="C328" s="103" t="s">
        <v>467</v>
      </c>
      <c r="D328" s="103">
        <v>6</v>
      </c>
      <c r="E328" s="104">
        <f>+SUMIF('GE16FEB14 Unfudged'!$A$2:$A$498, $A328, 'GE16FEB14 Unfudged'!$D$2:$D$498)</f>
        <v>1074</v>
      </c>
      <c r="F328" s="104">
        <v>125427</v>
      </c>
      <c r="G328" s="105">
        <v>90913</v>
      </c>
      <c r="H328" s="106">
        <v>34514</v>
      </c>
      <c r="I328" s="107">
        <v>0</v>
      </c>
      <c r="J328" s="105">
        <v>0</v>
      </c>
      <c r="K328" s="106">
        <v>0</v>
      </c>
      <c r="L328" s="107">
        <v>958360</v>
      </c>
      <c r="M328" s="105">
        <v>635679</v>
      </c>
      <c r="N328" s="106">
        <v>322681</v>
      </c>
      <c r="O328" s="107">
        <f t="shared" si="16"/>
        <v>1083787</v>
      </c>
      <c r="P328" s="105">
        <f t="shared" si="16"/>
        <v>726592</v>
      </c>
      <c r="Q328" s="106">
        <f t="shared" si="16"/>
        <v>357195</v>
      </c>
      <c r="R328" s="105">
        <f t="shared" si="15"/>
        <v>1009.1126629422719</v>
      </c>
      <c r="S328" s="105">
        <f t="shared" si="15"/>
        <v>676.52886405959032</v>
      </c>
      <c r="T328" s="108">
        <f t="shared" si="15"/>
        <v>332.58379888268155</v>
      </c>
    </row>
    <row r="329" spans="1:20" s="66" customFormat="1" ht="12.75" x14ac:dyDescent="0.2">
      <c r="A329" s="109">
        <v>2805</v>
      </c>
      <c r="B329" s="110">
        <v>1</v>
      </c>
      <c r="C329" s="103" t="s">
        <v>438</v>
      </c>
      <c r="D329" s="103">
        <v>5</v>
      </c>
      <c r="E329" s="104">
        <f>+SUMIF('GE16FEB14 Unfudged'!$A$2:$A$498, $A329, 'GE16FEB14 Unfudged'!$D$2:$D$498)</f>
        <v>1230</v>
      </c>
      <c r="F329" s="104">
        <v>116798</v>
      </c>
      <c r="G329" s="105">
        <v>93823</v>
      </c>
      <c r="H329" s="106">
        <v>22975</v>
      </c>
      <c r="I329" s="107">
        <v>0</v>
      </c>
      <c r="J329" s="105">
        <v>0</v>
      </c>
      <c r="K329" s="106">
        <v>0</v>
      </c>
      <c r="L329" s="107">
        <v>1684756</v>
      </c>
      <c r="M329" s="105">
        <v>1376248</v>
      </c>
      <c r="N329" s="106">
        <v>308508</v>
      </c>
      <c r="O329" s="107">
        <f t="shared" si="16"/>
        <v>1801554</v>
      </c>
      <c r="P329" s="105">
        <f t="shared" si="16"/>
        <v>1470071</v>
      </c>
      <c r="Q329" s="106">
        <f t="shared" si="16"/>
        <v>331483</v>
      </c>
      <c r="R329" s="105">
        <f t="shared" si="15"/>
        <v>1464.6780487804879</v>
      </c>
      <c r="S329" s="105">
        <f t="shared" si="15"/>
        <v>1195.179674796748</v>
      </c>
      <c r="T329" s="108">
        <f t="shared" si="15"/>
        <v>269.49837398373984</v>
      </c>
    </row>
    <row r="330" spans="1:20" s="66" customFormat="1" ht="12.75" x14ac:dyDescent="0.2">
      <c r="A330" s="109">
        <v>2835</v>
      </c>
      <c r="B330" s="110">
        <v>1</v>
      </c>
      <c r="C330" s="103" t="s">
        <v>439</v>
      </c>
      <c r="D330" s="103">
        <v>6</v>
      </c>
      <c r="E330" s="104">
        <f>+SUMIF('GE16FEB14 Unfudged'!$A$2:$A$498, $A330, 'GE16FEB14 Unfudged'!$D$2:$D$498)</f>
        <v>639</v>
      </c>
      <c r="F330" s="104">
        <v>41264</v>
      </c>
      <c r="G330" s="105">
        <v>30978</v>
      </c>
      <c r="H330" s="106">
        <v>10286</v>
      </c>
      <c r="I330" s="107">
        <v>0</v>
      </c>
      <c r="J330" s="105">
        <v>0</v>
      </c>
      <c r="K330" s="106">
        <v>0</v>
      </c>
      <c r="L330" s="107">
        <v>1299576</v>
      </c>
      <c r="M330" s="105">
        <v>1117943</v>
      </c>
      <c r="N330" s="106">
        <v>181633</v>
      </c>
      <c r="O330" s="107">
        <f t="shared" si="16"/>
        <v>1340840</v>
      </c>
      <c r="P330" s="105">
        <f t="shared" si="16"/>
        <v>1148921</v>
      </c>
      <c r="Q330" s="106">
        <f t="shared" si="16"/>
        <v>191919</v>
      </c>
      <c r="R330" s="105">
        <f t="shared" si="15"/>
        <v>2098.3411580594679</v>
      </c>
      <c r="S330" s="105">
        <f t="shared" si="15"/>
        <v>1797.9984350547732</v>
      </c>
      <c r="T330" s="108">
        <f t="shared" si="15"/>
        <v>300.34272300469485</v>
      </c>
    </row>
    <row r="331" spans="1:20" s="66" customFormat="1" ht="12.75" x14ac:dyDescent="0.2">
      <c r="A331" s="109">
        <v>2853</v>
      </c>
      <c r="B331" s="110">
        <v>1</v>
      </c>
      <c r="C331" s="103" t="s">
        <v>440</v>
      </c>
      <c r="D331" s="103">
        <v>6</v>
      </c>
      <c r="E331" s="104">
        <f>+SUMIF('GE16FEB14 Unfudged'!$A$2:$A$498, $A331, 'GE16FEB14 Unfudged'!$D$2:$D$498)</f>
        <v>880</v>
      </c>
      <c r="F331" s="104">
        <v>88456</v>
      </c>
      <c r="G331" s="105">
        <v>44377</v>
      </c>
      <c r="H331" s="106">
        <v>44079</v>
      </c>
      <c r="I331" s="107">
        <v>0</v>
      </c>
      <c r="J331" s="105">
        <v>0</v>
      </c>
      <c r="K331" s="106">
        <v>0</v>
      </c>
      <c r="L331" s="107">
        <v>1097239</v>
      </c>
      <c r="M331" s="105">
        <v>657979</v>
      </c>
      <c r="N331" s="106">
        <v>439260</v>
      </c>
      <c r="O331" s="107">
        <f t="shared" si="16"/>
        <v>1185695</v>
      </c>
      <c r="P331" s="105">
        <f t="shared" si="16"/>
        <v>702356</v>
      </c>
      <c r="Q331" s="106">
        <f t="shared" si="16"/>
        <v>483339</v>
      </c>
      <c r="R331" s="105">
        <f t="shared" si="15"/>
        <v>1347.3806818181818</v>
      </c>
      <c r="S331" s="105">
        <f t="shared" si="15"/>
        <v>798.13181818181818</v>
      </c>
      <c r="T331" s="108">
        <f t="shared" si="15"/>
        <v>549.24886363636358</v>
      </c>
    </row>
    <row r="332" spans="1:20" s="66" customFormat="1" ht="12.75" x14ac:dyDescent="0.2">
      <c r="A332" s="109">
        <v>2854</v>
      </c>
      <c r="B332" s="110">
        <v>1</v>
      </c>
      <c r="C332" s="103" t="s">
        <v>441</v>
      </c>
      <c r="D332" s="103">
        <v>6</v>
      </c>
      <c r="E332" s="104">
        <f>+SUMIF('GE16FEB14 Unfudged'!$A$2:$A$498, $A332, 'GE16FEB14 Unfudged'!$D$2:$D$498)</f>
        <v>521</v>
      </c>
      <c r="F332" s="104">
        <v>62713</v>
      </c>
      <c r="G332" s="105">
        <v>25306</v>
      </c>
      <c r="H332" s="106">
        <v>37407</v>
      </c>
      <c r="I332" s="107">
        <v>0</v>
      </c>
      <c r="J332" s="105">
        <v>0</v>
      </c>
      <c r="K332" s="106">
        <v>0</v>
      </c>
      <c r="L332" s="107">
        <v>426208</v>
      </c>
      <c r="M332" s="105">
        <v>154611</v>
      </c>
      <c r="N332" s="106">
        <v>271597</v>
      </c>
      <c r="O332" s="107">
        <f t="shared" si="16"/>
        <v>488921</v>
      </c>
      <c r="P332" s="105">
        <f t="shared" si="16"/>
        <v>179917</v>
      </c>
      <c r="Q332" s="106">
        <f t="shared" si="16"/>
        <v>309004</v>
      </c>
      <c r="R332" s="105">
        <f t="shared" si="15"/>
        <v>938.42802303262954</v>
      </c>
      <c r="S332" s="105">
        <f t="shared" si="15"/>
        <v>345.33013435700576</v>
      </c>
      <c r="T332" s="108">
        <f t="shared" si="15"/>
        <v>593.09788867562384</v>
      </c>
    </row>
    <row r="333" spans="1:20" s="66" customFormat="1" ht="12.75" x14ac:dyDescent="0.2">
      <c r="A333" s="109">
        <v>2856</v>
      </c>
      <c r="B333" s="110">
        <v>1</v>
      </c>
      <c r="C333" s="103" t="s">
        <v>442</v>
      </c>
      <c r="D333" s="103">
        <v>6</v>
      </c>
      <c r="E333" s="104">
        <f>+SUMIF('GE16FEB14 Unfudged'!$A$2:$A$498, $A333, 'GE16FEB14 Unfudged'!$D$2:$D$498)</f>
        <v>313</v>
      </c>
      <c r="F333" s="104">
        <v>23780</v>
      </c>
      <c r="G333" s="105">
        <v>21822</v>
      </c>
      <c r="H333" s="106">
        <v>1958</v>
      </c>
      <c r="I333" s="107">
        <v>0</v>
      </c>
      <c r="J333" s="105">
        <v>0</v>
      </c>
      <c r="K333" s="106">
        <v>0</v>
      </c>
      <c r="L333" s="107">
        <v>559881</v>
      </c>
      <c r="M333" s="105">
        <v>411751</v>
      </c>
      <c r="N333" s="106">
        <v>148130</v>
      </c>
      <c r="O333" s="107">
        <f t="shared" si="16"/>
        <v>583661</v>
      </c>
      <c r="P333" s="105">
        <f t="shared" si="16"/>
        <v>433573</v>
      </c>
      <c r="Q333" s="106">
        <f t="shared" si="16"/>
        <v>150088</v>
      </c>
      <c r="R333" s="105">
        <f t="shared" si="15"/>
        <v>1864.7316293929712</v>
      </c>
      <c r="S333" s="105">
        <f t="shared" si="15"/>
        <v>1385.217252396166</v>
      </c>
      <c r="T333" s="108">
        <f t="shared" si="15"/>
        <v>479.51437699680514</v>
      </c>
    </row>
    <row r="334" spans="1:20" s="66" customFormat="1" ht="12.75" x14ac:dyDescent="0.2">
      <c r="A334" s="109">
        <v>2859</v>
      </c>
      <c r="B334" s="110">
        <v>1</v>
      </c>
      <c r="C334" s="103" t="s">
        <v>443</v>
      </c>
      <c r="D334" s="103">
        <v>5</v>
      </c>
      <c r="E334" s="104">
        <f>+SUMIF('GE16FEB14 Unfudged'!$A$2:$A$498, $A334, 'GE16FEB14 Unfudged'!$D$2:$D$498)</f>
        <v>1759</v>
      </c>
      <c r="F334" s="104">
        <v>242390</v>
      </c>
      <c r="G334" s="105">
        <v>165809</v>
      </c>
      <c r="H334" s="106">
        <v>76581</v>
      </c>
      <c r="I334" s="107">
        <v>745731</v>
      </c>
      <c r="J334" s="105">
        <v>510122</v>
      </c>
      <c r="K334" s="106">
        <v>235609</v>
      </c>
      <c r="L334" s="107">
        <v>764902</v>
      </c>
      <c r="M334" s="105">
        <v>371480</v>
      </c>
      <c r="N334" s="106">
        <v>393422</v>
      </c>
      <c r="O334" s="107">
        <f t="shared" si="16"/>
        <v>1753023</v>
      </c>
      <c r="P334" s="105">
        <f t="shared" si="16"/>
        <v>1047411</v>
      </c>
      <c r="Q334" s="106">
        <f t="shared" si="16"/>
        <v>705612</v>
      </c>
      <c r="R334" s="105">
        <f t="shared" si="15"/>
        <v>996.60204661739624</v>
      </c>
      <c r="S334" s="105">
        <f t="shared" si="15"/>
        <v>595.4582148948266</v>
      </c>
      <c r="T334" s="108">
        <f t="shared" si="15"/>
        <v>401.14383172256964</v>
      </c>
    </row>
    <row r="335" spans="1:20" s="66" customFormat="1" ht="12.75" x14ac:dyDescent="0.2">
      <c r="A335" s="109">
        <v>2860</v>
      </c>
      <c r="B335" s="110">
        <v>1</v>
      </c>
      <c r="C335" s="103" t="s">
        <v>444</v>
      </c>
      <c r="D335" s="103">
        <v>5</v>
      </c>
      <c r="E335" s="104">
        <f>+SUMIF('GE16FEB14 Unfudged'!$A$2:$A$498, $A335, 'GE16FEB14 Unfudged'!$D$2:$D$498)</f>
        <v>1326</v>
      </c>
      <c r="F335" s="104">
        <v>166127</v>
      </c>
      <c r="G335" s="105">
        <v>88637</v>
      </c>
      <c r="H335" s="106">
        <v>77490</v>
      </c>
      <c r="I335" s="107">
        <v>0</v>
      </c>
      <c r="J335" s="105">
        <v>0</v>
      </c>
      <c r="K335" s="106">
        <v>0</v>
      </c>
      <c r="L335" s="107">
        <v>940329</v>
      </c>
      <c r="M335" s="105">
        <v>412450</v>
      </c>
      <c r="N335" s="106">
        <v>527879</v>
      </c>
      <c r="O335" s="107">
        <f t="shared" si="16"/>
        <v>1106456</v>
      </c>
      <c r="P335" s="105">
        <f t="shared" si="16"/>
        <v>501087</v>
      </c>
      <c r="Q335" s="106">
        <f t="shared" si="16"/>
        <v>605369</v>
      </c>
      <c r="R335" s="105">
        <f t="shared" si="15"/>
        <v>834.43137254901956</v>
      </c>
      <c r="S335" s="105">
        <f t="shared" si="15"/>
        <v>377.89366515837105</v>
      </c>
      <c r="T335" s="108">
        <f t="shared" si="15"/>
        <v>456.53770739064856</v>
      </c>
    </row>
    <row r="336" spans="1:20" s="66" customFormat="1" ht="12.75" x14ac:dyDescent="0.2">
      <c r="A336" s="109">
        <v>2884</v>
      </c>
      <c r="B336" s="110">
        <v>1</v>
      </c>
      <c r="C336" s="103" t="s">
        <v>445</v>
      </c>
      <c r="D336" s="103">
        <v>6</v>
      </c>
      <c r="E336" s="104">
        <f>+SUMIF('GE16FEB14 Unfudged'!$A$2:$A$498, $A336, 'GE16FEB14 Unfudged'!$D$2:$D$498)</f>
        <v>390</v>
      </c>
      <c r="F336" s="104">
        <v>27159</v>
      </c>
      <c r="G336" s="105">
        <v>15797</v>
      </c>
      <c r="H336" s="106">
        <v>11362</v>
      </c>
      <c r="I336" s="107">
        <v>0</v>
      </c>
      <c r="J336" s="105">
        <v>0</v>
      </c>
      <c r="K336" s="106">
        <v>0</v>
      </c>
      <c r="L336" s="107">
        <v>749580</v>
      </c>
      <c r="M336" s="105">
        <v>596966</v>
      </c>
      <c r="N336" s="106">
        <v>152614</v>
      </c>
      <c r="O336" s="107">
        <f t="shared" si="16"/>
        <v>776739</v>
      </c>
      <c r="P336" s="105">
        <f t="shared" si="16"/>
        <v>612763</v>
      </c>
      <c r="Q336" s="106">
        <f t="shared" si="16"/>
        <v>163976</v>
      </c>
      <c r="R336" s="105">
        <f t="shared" si="15"/>
        <v>1991.6384615384616</v>
      </c>
      <c r="S336" s="105">
        <f t="shared" si="15"/>
        <v>1571.1871794871795</v>
      </c>
      <c r="T336" s="108">
        <f t="shared" si="15"/>
        <v>420.45128205128208</v>
      </c>
    </row>
    <row r="337" spans="1:20" s="66" customFormat="1" ht="12.75" x14ac:dyDescent="0.2">
      <c r="A337" s="109">
        <v>2886</v>
      </c>
      <c r="B337" s="110">
        <v>1</v>
      </c>
      <c r="C337" s="103" t="s">
        <v>446</v>
      </c>
      <c r="D337" s="103">
        <v>6</v>
      </c>
      <c r="E337" s="104">
        <f>+SUMIF('GE16FEB14 Unfudged'!$A$2:$A$498, $A337, 'GE16FEB14 Unfudged'!$D$2:$D$498)</f>
        <v>385</v>
      </c>
      <c r="F337" s="104">
        <v>43306</v>
      </c>
      <c r="G337" s="105">
        <v>31039</v>
      </c>
      <c r="H337" s="106">
        <v>12267</v>
      </c>
      <c r="I337" s="107">
        <v>0</v>
      </c>
      <c r="J337" s="105">
        <v>0</v>
      </c>
      <c r="K337" s="106">
        <v>0</v>
      </c>
      <c r="L337" s="107">
        <v>378639</v>
      </c>
      <c r="M337" s="105">
        <v>221478</v>
      </c>
      <c r="N337" s="106">
        <v>157161</v>
      </c>
      <c r="O337" s="107">
        <f t="shared" si="16"/>
        <v>421945</v>
      </c>
      <c r="P337" s="105">
        <f t="shared" si="16"/>
        <v>252517</v>
      </c>
      <c r="Q337" s="106">
        <f t="shared" si="16"/>
        <v>169428</v>
      </c>
      <c r="R337" s="105">
        <f t="shared" si="15"/>
        <v>1095.9610389610389</v>
      </c>
      <c r="S337" s="105">
        <f t="shared" si="15"/>
        <v>655.88831168831166</v>
      </c>
      <c r="T337" s="108">
        <f t="shared" si="15"/>
        <v>440.07272727272726</v>
      </c>
    </row>
    <row r="338" spans="1:20" s="66" customFormat="1" ht="12.75" x14ac:dyDescent="0.2">
      <c r="A338" s="109">
        <v>2888</v>
      </c>
      <c r="B338" s="110">
        <v>1</v>
      </c>
      <c r="C338" s="103" t="s">
        <v>13</v>
      </c>
      <c r="D338" s="103">
        <v>6</v>
      </c>
      <c r="E338" s="104">
        <f>+SUMIF('GE16FEB14 Unfudged'!$A$2:$A$498, $A338, 'GE16FEB14 Unfudged'!$D$2:$D$498)</f>
        <v>331</v>
      </c>
      <c r="F338" s="104">
        <v>35525</v>
      </c>
      <c r="G338" s="105">
        <v>18148</v>
      </c>
      <c r="H338" s="106">
        <v>17377</v>
      </c>
      <c r="I338" s="107">
        <v>0</v>
      </c>
      <c r="J338" s="105">
        <v>0</v>
      </c>
      <c r="K338" s="106">
        <v>0</v>
      </c>
      <c r="L338" s="107">
        <v>362698</v>
      </c>
      <c r="M338" s="105">
        <v>207176</v>
      </c>
      <c r="N338" s="106">
        <v>155522</v>
      </c>
      <c r="O338" s="107">
        <f t="shared" si="16"/>
        <v>398223</v>
      </c>
      <c r="P338" s="105">
        <f t="shared" si="16"/>
        <v>225324</v>
      </c>
      <c r="Q338" s="106">
        <f t="shared" si="16"/>
        <v>172899</v>
      </c>
      <c r="R338" s="105">
        <f t="shared" si="15"/>
        <v>1203.0906344410876</v>
      </c>
      <c r="S338" s="105">
        <f t="shared" si="15"/>
        <v>680.73716012084594</v>
      </c>
      <c r="T338" s="108">
        <f t="shared" si="15"/>
        <v>522.35347432024173</v>
      </c>
    </row>
    <row r="339" spans="1:20" s="66" customFormat="1" ht="12.75" x14ac:dyDescent="0.2">
      <c r="A339" s="109">
        <v>2889</v>
      </c>
      <c r="B339" s="110">
        <v>1</v>
      </c>
      <c r="C339" s="103" t="s">
        <v>447</v>
      </c>
      <c r="D339" s="103">
        <v>6</v>
      </c>
      <c r="E339" s="104">
        <f>+SUMIF('GE16FEB14 Unfudged'!$A$2:$A$498, $A339, 'GE16FEB14 Unfudged'!$D$2:$D$498)</f>
        <v>657</v>
      </c>
      <c r="F339" s="104">
        <v>79119</v>
      </c>
      <c r="G339" s="105">
        <v>79119</v>
      </c>
      <c r="H339" s="106">
        <v>0</v>
      </c>
      <c r="I339" s="107">
        <v>0</v>
      </c>
      <c r="J339" s="105">
        <v>0</v>
      </c>
      <c r="K339" s="106">
        <v>0</v>
      </c>
      <c r="L339" s="107">
        <v>535830</v>
      </c>
      <c r="M339" s="105">
        <v>482889</v>
      </c>
      <c r="N339" s="106">
        <v>52941</v>
      </c>
      <c r="O339" s="107">
        <f t="shared" si="16"/>
        <v>614949</v>
      </c>
      <c r="P339" s="105">
        <f t="shared" si="16"/>
        <v>562008</v>
      </c>
      <c r="Q339" s="106">
        <f t="shared" si="16"/>
        <v>52941</v>
      </c>
      <c r="R339" s="105">
        <f t="shared" ref="R339:T402" si="17">+IF($E339=0, 0, O339/$E339)</f>
        <v>935.99543378995429</v>
      </c>
      <c r="S339" s="105">
        <f t="shared" si="17"/>
        <v>855.41552511415523</v>
      </c>
      <c r="T339" s="108">
        <f t="shared" si="17"/>
        <v>80.579908675799089</v>
      </c>
    </row>
    <row r="340" spans="1:20" s="66" customFormat="1" ht="12.75" x14ac:dyDescent="0.2">
      <c r="A340" s="109">
        <v>2890</v>
      </c>
      <c r="B340" s="110">
        <v>1</v>
      </c>
      <c r="C340" s="103" t="s">
        <v>448</v>
      </c>
      <c r="D340" s="103">
        <v>6</v>
      </c>
      <c r="E340" s="104">
        <f>+SUMIF('GE16FEB14 Unfudged'!$A$2:$A$498, $A340, 'GE16FEB14 Unfudged'!$D$2:$D$498)</f>
        <v>559</v>
      </c>
      <c r="F340" s="104">
        <v>27930</v>
      </c>
      <c r="G340" s="105">
        <v>15991</v>
      </c>
      <c r="H340" s="106">
        <v>11939</v>
      </c>
      <c r="I340" s="107">
        <v>0</v>
      </c>
      <c r="J340" s="105">
        <v>0</v>
      </c>
      <c r="K340" s="106">
        <v>0</v>
      </c>
      <c r="L340" s="107">
        <v>1300633</v>
      </c>
      <c r="M340" s="105">
        <v>1054477</v>
      </c>
      <c r="N340" s="106">
        <v>246156</v>
      </c>
      <c r="O340" s="107">
        <f t="shared" si="16"/>
        <v>1328563</v>
      </c>
      <c r="P340" s="105">
        <f t="shared" si="16"/>
        <v>1070468</v>
      </c>
      <c r="Q340" s="106">
        <f t="shared" si="16"/>
        <v>258095</v>
      </c>
      <c r="R340" s="105">
        <f t="shared" si="17"/>
        <v>2376.6779964221823</v>
      </c>
      <c r="S340" s="105">
        <f t="shared" si="17"/>
        <v>1914.9695885509839</v>
      </c>
      <c r="T340" s="108">
        <f t="shared" si="17"/>
        <v>461.70840787119857</v>
      </c>
    </row>
    <row r="341" spans="1:20" s="66" customFormat="1" ht="12.75" x14ac:dyDescent="0.2">
      <c r="A341" s="109">
        <v>2895</v>
      </c>
      <c r="B341" s="110">
        <v>1</v>
      </c>
      <c r="C341" s="103" t="s">
        <v>449</v>
      </c>
      <c r="D341" s="103">
        <v>5</v>
      </c>
      <c r="E341" s="104">
        <f>+SUMIF('GE16FEB14 Unfudged'!$A$2:$A$498, $A341, 'GE16FEB14 Unfudged'!$D$2:$D$498)</f>
        <v>1340</v>
      </c>
      <c r="F341" s="104">
        <v>148443</v>
      </c>
      <c r="G341" s="105">
        <v>92238</v>
      </c>
      <c r="H341" s="106">
        <v>56205</v>
      </c>
      <c r="I341" s="107">
        <v>0</v>
      </c>
      <c r="J341" s="105">
        <v>0</v>
      </c>
      <c r="K341" s="106">
        <v>0</v>
      </c>
      <c r="L341" s="107">
        <v>1371630</v>
      </c>
      <c r="M341" s="105">
        <v>881152</v>
      </c>
      <c r="N341" s="106">
        <v>490478</v>
      </c>
      <c r="O341" s="107">
        <f t="shared" si="16"/>
        <v>1520073</v>
      </c>
      <c r="P341" s="105">
        <f t="shared" si="16"/>
        <v>973390</v>
      </c>
      <c r="Q341" s="106">
        <f t="shared" si="16"/>
        <v>546683</v>
      </c>
      <c r="R341" s="105">
        <f t="shared" si="17"/>
        <v>1134.3828358208955</v>
      </c>
      <c r="S341" s="105">
        <f t="shared" si="17"/>
        <v>726.41044776119406</v>
      </c>
      <c r="T341" s="108">
        <f t="shared" si="17"/>
        <v>407.97238805970147</v>
      </c>
    </row>
    <row r="342" spans="1:20" s="66" customFormat="1" ht="12.75" x14ac:dyDescent="0.2">
      <c r="A342" s="109">
        <v>2897</v>
      </c>
      <c r="B342" s="110">
        <v>1</v>
      </c>
      <c r="C342" s="103" t="s">
        <v>450</v>
      </c>
      <c r="D342" s="103">
        <v>5</v>
      </c>
      <c r="E342" s="104">
        <f>+SUMIF('GE16FEB14 Unfudged'!$A$2:$A$498, $A342, 'GE16FEB14 Unfudged'!$D$2:$D$498)</f>
        <v>1210</v>
      </c>
      <c r="F342" s="104">
        <v>132411</v>
      </c>
      <c r="G342" s="105">
        <v>65878</v>
      </c>
      <c r="H342" s="106">
        <v>66533</v>
      </c>
      <c r="I342" s="107">
        <v>0</v>
      </c>
      <c r="J342" s="105">
        <v>0</v>
      </c>
      <c r="K342" s="106">
        <v>0</v>
      </c>
      <c r="L342" s="107">
        <v>1276754</v>
      </c>
      <c r="M342" s="105">
        <v>693949</v>
      </c>
      <c r="N342" s="106">
        <v>582805</v>
      </c>
      <c r="O342" s="107">
        <f t="shared" si="16"/>
        <v>1409165</v>
      </c>
      <c r="P342" s="105">
        <f t="shared" si="16"/>
        <v>759827</v>
      </c>
      <c r="Q342" s="106">
        <f t="shared" si="16"/>
        <v>649338</v>
      </c>
      <c r="R342" s="105">
        <f t="shared" si="17"/>
        <v>1164.5991735537191</v>
      </c>
      <c r="S342" s="105">
        <f t="shared" si="17"/>
        <v>627.95619834710749</v>
      </c>
      <c r="T342" s="108">
        <f t="shared" si="17"/>
        <v>536.6429752066116</v>
      </c>
    </row>
    <row r="343" spans="1:20" s="66" customFormat="1" ht="12.75" x14ac:dyDescent="0.2">
      <c r="A343" s="109">
        <v>2898</v>
      </c>
      <c r="B343" s="110">
        <v>1</v>
      </c>
      <c r="C343" s="103" t="s">
        <v>451</v>
      </c>
      <c r="D343" s="103">
        <v>6</v>
      </c>
      <c r="E343" s="104">
        <f>+SUMIF('GE16FEB14 Unfudged'!$A$2:$A$498, $A343, 'GE16FEB14 Unfudged'!$D$2:$D$498)</f>
        <v>425</v>
      </c>
      <c r="F343" s="104">
        <v>52484</v>
      </c>
      <c r="G343" s="105">
        <v>24072</v>
      </c>
      <c r="H343" s="106">
        <v>28412</v>
      </c>
      <c r="I343" s="107">
        <v>0</v>
      </c>
      <c r="J343" s="105">
        <v>0</v>
      </c>
      <c r="K343" s="106">
        <v>0</v>
      </c>
      <c r="L343" s="107">
        <v>318999</v>
      </c>
      <c r="M343" s="105">
        <v>121700</v>
      </c>
      <c r="N343" s="106">
        <v>197299</v>
      </c>
      <c r="O343" s="107">
        <f t="shared" si="16"/>
        <v>371483</v>
      </c>
      <c r="P343" s="105">
        <f t="shared" si="16"/>
        <v>145772</v>
      </c>
      <c r="Q343" s="106">
        <f t="shared" si="16"/>
        <v>225711</v>
      </c>
      <c r="R343" s="105">
        <f t="shared" si="17"/>
        <v>874.07764705882357</v>
      </c>
      <c r="S343" s="105">
        <f t="shared" si="17"/>
        <v>342.99294117647059</v>
      </c>
      <c r="T343" s="108">
        <f t="shared" si="17"/>
        <v>531.08470588235298</v>
      </c>
    </row>
    <row r="344" spans="1:20" s="66" customFormat="1" ht="12.75" x14ac:dyDescent="0.2">
      <c r="A344" s="109">
        <v>2899</v>
      </c>
      <c r="B344" s="110">
        <v>1</v>
      </c>
      <c r="C344" s="103" t="s">
        <v>14</v>
      </c>
      <c r="D344" s="103">
        <v>5</v>
      </c>
      <c r="E344" s="104">
        <f>+SUMIF('GE16FEB14 Unfudged'!$A$2:$A$498, $A344, 'GE16FEB14 Unfudged'!$D$2:$D$498)</f>
        <v>1550</v>
      </c>
      <c r="F344" s="104">
        <v>222610</v>
      </c>
      <c r="G344" s="105">
        <v>143458</v>
      </c>
      <c r="H344" s="106">
        <v>79152</v>
      </c>
      <c r="I344" s="107">
        <v>0</v>
      </c>
      <c r="J344" s="105">
        <v>0</v>
      </c>
      <c r="K344" s="106">
        <v>0</v>
      </c>
      <c r="L344" s="107">
        <v>476487</v>
      </c>
      <c r="M344" s="105">
        <v>181103</v>
      </c>
      <c r="N344" s="106">
        <v>295384</v>
      </c>
      <c r="O344" s="107">
        <f t="shared" si="16"/>
        <v>699097</v>
      </c>
      <c r="P344" s="105">
        <f t="shared" si="16"/>
        <v>324561</v>
      </c>
      <c r="Q344" s="106">
        <f t="shared" si="16"/>
        <v>374536</v>
      </c>
      <c r="R344" s="105">
        <f t="shared" si="17"/>
        <v>451.03032258064513</v>
      </c>
      <c r="S344" s="105">
        <f t="shared" si="17"/>
        <v>209.39419354838711</v>
      </c>
      <c r="T344" s="108">
        <f t="shared" si="17"/>
        <v>241.63612903225805</v>
      </c>
    </row>
    <row r="345" spans="1:20" s="66" customFormat="1" ht="12.75" x14ac:dyDescent="0.2">
      <c r="A345" s="109">
        <v>2902</v>
      </c>
      <c r="B345" s="110">
        <v>1</v>
      </c>
      <c r="C345" s="103" t="s">
        <v>452</v>
      </c>
      <c r="D345" s="103">
        <v>6</v>
      </c>
      <c r="E345" s="104">
        <f>+SUMIF('GE16FEB14 Unfudged'!$A$2:$A$498, $A345, 'GE16FEB14 Unfudged'!$D$2:$D$498)</f>
        <v>574</v>
      </c>
      <c r="F345" s="104">
        <v>70435</v>
      </c>
      <c r="G345" s="105">
        <v>40318</v>
      </c>
      <c r="H345" s="106">
        <v>30117</v>
      </c>
      <c r="I345" s="107">
        <v>0</v>
      </c>
      <c r="J345" s="105">
        <v>0</v>
      </c>
      <c r="K345" s="106">
        <v>0</v>
      </c>
      <c r="L345" s="107">
        <v>437041</v>
      </c>
      <c r="M345" s="105">
        <v>209268</v>
      </c>
      <c r="N345" s="106">
        <v>227773</v>
      </c>
      <c r="O345" s="107">
        <f t="shared" si="16"/>
        <v>507476</v>
      </c>
      <c r="P345" s="105">
        <f t="shared" si="16"/>
        <v>249586</v>
      </c>
      <c r="Q345" s="106">
        <f t="shared" si="16"/>
        <v>257890</v>
      </c>
      <c r="R345" s="105">
        <f t="shared" si="17"/>
        <v>884.10452961672479</v>
      </c>
      <c r="S345" s="105">
        <f t="shared" si="17"/>
        <v>434.81881533101046</v>
      </c>
      <c r="T345" s="108">
        <f t="shared" si="17"/>
        <v>449.28571428571428</v>
      </c>
    </row>
    <row r="346" spans="1:20" s="66" customFormat="1" ht="12.75" x14ac:dyDescent="0.2">
      <c r="A346" s="109">
        <v>2903</v>
      </c>
      <c r="B346" s="110">
        <v>1</v>
      </c>
      <c r="C346" s="103" t="s">
        <v>453</v>
      </c>
      <c r="D346" s="103">
        <v>6</v>
      </c>
      <c r="E346" s="104">
        <f>+SUMIF('GE16FEB14 Unfudged'!$A$2:$A$498, $A346, 'GE16FEB14 Unfudged'!$D$2:$D$498)</f>
        <v>517</v>
      </c>
      <c r="F346" s="104">
        <v>54477</v>
      </c>
      <c r="G346" s="105">
        <v>28873</v>
      </c>
      <c r="H346" s="106">
        <v>25604</v>
      </c>
      <c r="I346" s="107">
        <v>0</v>
      </c>
      <c r="J346" s="105">
        <v>0</v>
      </c>
      <c r="K346" s="106">
        <v>0</v>
      </c>
      <c r="L346" s="107">
        <v>591408</v>
      </c>
      <c r="M346" s="105">
        <v>358616</v>
      </c>
      <c r="N346" s="106">
        <v>232792</v>
      </c>
      <c r="O346" s="107">
        <f t="shared" si="16"/>
        <v>645885</v>
      </c>
      <c r="P346" s="105">
        <f t="shared" si="16"/>
        <v>387489</v>
      </c>
      <c r="Q346" s="106">
        <f t="shared" si="16"/>
        <v>258396</v>
      </c>
      <c r="R346" s="105">
        <f t="shared" si="17"/>
        <v>1249.2940038684719</v>
      </c>
      <c r="S346" s="105">
        <f t="shared" si="17"/>
        <v>749.49516441005801</v>
      </c>
      <c r="T346" s="108">
        <f t="shared" si="17"/>
        <v>499.79883945841391</v>
      </c>
    </row>
    <row r="347" spans="1:20" s="66" customFormat="1" ht="12.75" x14ac:dyDescent="0.2">
      <c r="A347" s="109">
        <v>2904</v>
      </c>
      <c r="B347" s="110">
        <v>1</v>
      </c>
      <c r="C347" s="103" t="s">
        <v>454</v>
      </c>
      <c r="D347" s="103">
        <v>6</v>
      </c>
      <c r="E347" s="104">
        <f>+SUMIF('GE16FEB14 Unfudged'!$A$2:$A$498, $A347, 'GE16FEB14 Unfudged'!$D$2:$D$498)</f>
        <v>794</v>
      </c>
      <c r="F347" s="104">
        <v>89868</v>
      </c>
      <c r="G347" s="105">
        <v>57527</v>
      </c>
      <c r="H347" s="106">
        <v>32341</v>
      </c>
      <c r="I347" s="107">
        <v>0</v>
      </c>
      <c r="J347" s="105">
        <v>0</v>
      </c>
      <c r="K347" s="106">
        <v>0</v>
      </c>
      <c r="L347" s="107">
        <v>772582</v>
      </c>
      <c r="M347" s="105">
        <v>491239</v>
      </c>
      <c r="N347" s="106">
        <v>281343</v>
      </c>
      <c r="O347" s="107">
        <f t="shared" si="16"/>
        <v>862450</v>
      </c>
      <c r="P347" s="105">
        <f t="shared" si="16"/>
        <v>548766</v>
      </c>
      <c r="Q347" s="106">
        <f t="shared" si="16"/>
        <v>313684</v>
      </c>
      <c r="R347" s="105">
        <f t="shared" si="17"/>
        <v>1086.2090680100755</v>
      </c>
      <c r="S347" s="105">
        <f t="shared" si="17"/>
        <v>691.14105793450881</v>
      </c>
      <c r="T347" s="108">
        <f t="shared" si="17"/>
        <v>395.06801007556675</v>
      </c>
    </row>
    <row r="348" spans="1:20" s="66" customFormat="1" ht="12.75" x14ac:dyDescent="0.2">
      <c r="A348" s="109">
        <v>2905</v>
      </c>
      <c r="B348" s="110">
        <v>1</v>
      </c>
      <c r="C348" s="103" t="s">
        <v>15</v>
      </c>
      <c r="D348" s="103">
        <v>5</v>
      </c>
      <c r="E348" s="104">
        <f>+SUMIF('GE16FEB14 Unfudged'!$A$2:$A$498, $A348, 'GE16FEB14 Unfudged'!$D$2:$D$498)</f>
        <v>2098</v>
      </c>
      <c r="F348" s="104">
        <v>280015</v>
      </c>
      <c r="G348" s="105">
        <v>170447</v>
      </c>
      <c r="H348" s="106">
        <v>109568</v>
      </c>
      <c r="I348" s="107">
        <v>0</v>
      </c>
      <c r="J348" s="105">
        <v>0</v>
      </c>
      <c r="K348" s="106">
        <v>0</v>
      </c>
      <c r="L348" s="107">
        <v>1112761</v>
      </c>
      <c r="M348" s="105">
        <v>516230</v>
      </c>
      <c r="N348" s="106">
        <v>596531</v>
      </c>
      <c r="O348" s="107">
        <f t="shared" si="16"/>
        <v>1392776</v>
      </c>
      <c r="P348" s="105">
        <f t="shared" si="16"/>
        <v>686677</v>
      </c>
      <c r="Q348" s="106">
        <f t="shared" si="16"/>
        <v>706099</v>
      </c>
      <c r="R348" s="105">
        <f t="shared" si="17"/>
        <v>663.85891325071498</v>
      </c>
      <c r="S348" s="105">
        <f t="shared" si="17"/>
        <v>327.30076263107719</v>
      </c>
      <c r="T348" s="108">
        <f t="shared" si="17"/>
        <v>336.55815061963773</v>
      </c>
    </row>
    <row r="349" spans="1:20" s="66" customFormat="1" ht="12.75" x14ac:dyDescent="0.2">
      <c r="A349" s="109">
        <v>2906</v>
      </c>
      <c r="B349" s="110">
        <v>1</v>
      </c>
      <c r="C349" s="103" t="s">
        <v>468</v>
      </c>
      <c r="D349" s="103">
        <v>6</v>
      </c>
      <c r="E349" s="104">
        <f>+SUMIF('GE16FEB14 Unfudged'!$A$2:$A$498, $A349, 'GE16FEB14 Unfudged'!$D$2:$D$498)</f>
        <v>412</v>
      </c>
      <c r="F349" s="104">
        <v>44466</v>
      </c>
      <c r="G349" s="105">
        <v>35348</v>
      </c>
      <c r="H349" s="106">
        <v>9118</v>
      </c>
      <c r="I349" s="107">
        <v>0</v>
      </c>
      <c r="J349" s="105">
        <v>0</v>
      </c>
      <c r="K349" s="106">
        <v>0</v>
      </c>
      <c r="L349" s="107">
        <v>446401</v>
      </c>
      <c r="M349" s="105">
        <v>340982</v>
      </c>
      <c r="N349" s="106">
        <v>105419</v>
      </c>
      <c r="O349" s="107">
        <f t="shared" si="16"/>
        <v>490867</v>
      </c>
      <c r="P349" s="105">
        <f t="shared" si="16"/>
        <v>376330</v>
      </c>
      <c r="Q349" s="106">
        <f t="shared" si="16"/>
        <v>114537</v>
      </c>
      <c r="R349" s="105">
        <f t="shared" si="17"/>
        <v>1191.4247572815534</v>
      </c>
      <c r="S349" s="105">
        <f t="shared" si="17"/>
        <v>913.42233009708741</v>
      </c>
      <c r="T349" s="108">
        <f t="shared" si="17"/>
        <v>278.002427184466</v>
      </c>
    </row>
    <row r="350" spans="1:20" s="66" customFormat="1" ht="12.75" x14ac:dyDescent="0.2">
      <c r="A350" s="109">
        <v>2907</v>
      </c>
      <c r="B350" s="110">
        <v>1</v>
      </c>
      <c r="C350" s="103" t="s">
        <v>469</v>
      </c>
      <c r="D350" s="103">
        <v>6</v>
      </c>
      <c r="E350" s="104">
        <f>+SUMIF('GE16FEB14 Unfudged'!$A$2:$A$498, $A350, 'GE16FEB14 Unfudged'!$D$2:$D$498)</f>
        <v>314</v>
      </c>
      <c r="F350" s="104">
        <v>26854</v>
      </c>
      <c r="G350" s="105">
        <v>15249</v>
      </c>
      <c r="H350" s="106">
        <v>11605</v>
      </c>
      <c r="I350" s="107">
        <v>0</v>
      </c>
      <c r="J350" s="105">
        <v>0</v>
      </c>
      <c r="K350" s="106">
        <v>0</v>
      </c>
      <c r="L350" s="107">
        <v>494015</v>
      </c>
      <c r="M350" s="105">
        <v>368188</v>
      </c>
      <c r="N350" s="106">
        <v>125827</v>
      </c>
      <c r="O350" s="107">
        <f t="shared" si="16"/>
        <v>520869</v>
      </c>
      <c r="P350" s="105">
        <f t="shared" si="16"/>
        <v>383437</v>
      </c>
      <c r="Q350" s="106">
        <f t="shared" si="16"/>
        <v>137432</v>
      </c>
      <c r="R350" s="105">
        <f t="shared" si="17"/>
        <v>1658.8184713375797</v>
      </c>
      <c r="S350" s="105">
        <f t="shared" si="17"/>
        <v>1221.1369426751592</v>
      </c>
      <c r="T350" s="108">
        <f t="shared" si="17"/>
        <v>437.68152866242036</v>
      </c>
    </row>
    <row r="351" spans="1:20" s="66" customFormat="1" ht="12.75" x14ac:dyDescent="0.2">
      <c r="A351" s="109">
        <v>2908</v>
      </c>
      <c r="B351" s="110">
        <v>1</v>
      </c>
      <c r="C351" s="103" t="s">
        <v>470</v>
      </c>
      <c r="D351" s="103">
        <v>6</v>
      </c>
      <c r="E351" s="104">
        <f>+SUMIF('GE16FEB14 Unfudged'!$A$2:$A$498, $A351, 'GE16FEB14 Unfudged'!$D$2:$D$498)</f>
        <v>503</v>
      </c>
      <c r="F351" s="104">
        <v>53415</v>
      </c>
      <c r="G351" s="105">
        <v>40427</v>
      </c>
      <c r="H351" s="106">
        <v>12988</v>
      </c>
      <c r="I351" s="107">
        <v>0</v>
      </c>
      <c r="J351" s="105">
        <v>0</v>
      </c>
      <c r="K351" s="106">
        <v>0</v>
      </c>
      <c r="L351" s="107">
        <v>566387</v>
      </c>
      <c r="M351" s="105">
        <v>425359</v>
      </c>
      <c r="N351" s="106">
        <v>141028</v>
      </c>
      <c r="O351" s="107">
        <f t="shared" si="16"/>
        <v>619802</v>
      </c>
      <c r="P351" s="105">
        <f t="shared" si="16"/>
        <v>465786</v>
      </c>
      <c r="Q351" s="106">
        <f t="shared" si="16"/>
        <v>154016</v>
      </c>
      <c r="R351" s="105">
        <f t="shared" si="17"/>
        <v>1232.2107355864812</v>
      </c>
      <c r="S351" s="105">
        <f t="shared" si="17"/>
        <v>926.01590457256464</v>
      </c>
      <c r="T351" s="108">
        <f t="shared" si="17"/>
        <v>306.19483101391648</v>
      </c>
    </row>
    <row r="352" spans="1:20" s="66" customFormat="1" ht="12.75" x14ac:dyDescent="0.2">
      <c r="A352" s="109">
        <v>3000</v>
      </c>
      <c r="B352" s="110">
        <v>1</v>
      </c>
      <c r="C352" s="103" t="s">
        <v>16</v>
      </c>
      <c r="D352" s="103">
        <v>9</v>
      </c>
      <c r="E352" s="104">
        <f>+SUMIF('GE16FEB14 Unfudged'!$A$2:$A$498, $A352, 'GE16FEB14 Unfudged'!$D$2:$D$498)</f>
        <v>0</v>
      </c>
      <c r="F352" s="104">
        <v>2902746</v>
      </c>
      <c r="G352" s="105">
        <v>2560669</v>
      </c>
      <c r="H352" s="106">
        <v>342077</v>
      </c>
      <c r="I352" s="107">
        <v>-4681341</v>
      </c>
      <c r="J352" s="105">
        <v>-4506049</v>
      </c>
      <c r="K352" s="106">
        <v>-175292</v>
      </c>
      <c r="L352" s="107">
        <v>47587263</v>
      </c>
      <c r="M352" s="105">
        <v>44789938</v>
      </c>
      <c r="N352" s="106">
        <v>2797325</v>
      </c>
      <c r="O352" s="107">
        <f t="shared" si="16"/>
        <v>45808668</v>
      </c>
      <c r="P352" s="105">
        <f t="shared" si="16"/>
        <v>42844558</v>
      </c>
      <c r="Q352" s="106">
        <f t="shared" si="16"/>
        <v>2964110</v>
      </c>
      <c r="R352" s="105">
        <f t="shared" si="17"/>
        <v>0</v>
      </c>
      <c r="S352" s="105">
        <f t="shared" si="17"/>
        <v>0</v>
      </c>
      <c r="T352" s="108">
        <f t="shared" si="17"/>
        <v>0</v>
      </c>
    </row>
    <row r="353" spans="1:20" s="66" customFormat="1" ht="12.75" x14ac:dyDescent="0.2">
      <c r="A353" s="109">
        <v>3999</v>
      </c>
      <c r="B353" s="110">
        <v>1</v>
      </c>
      <c r="C353" s="103" t="s">
        <v>17</v>
      </c>
      <c r="D353" s="103">
        <v>9</v>
      </c>
      <c r="E353" s="104">
        <f>+SUMIF('GE16FEB14 Unfudged'!$A$2:$A$498, $A353, 'GE16FEB14 Unfudged'!$D$2:$D$498)</f>
        <v>8458</v>
      </c>
      <c r="F353" s="104">
        <v>952118</v>
      </c>
      <c r="G353" s="105">
        <v>-1169782</v>
      </c>
      <c r="H353" s="106">
        <v>2121900</v>
      </c>
      <c r="I353" s="107">
        <v>2442312</v>
      </c>
      <c r="J353" s="105">
        <v>-2606110</v>
      </c>
      <c r="K353" s="106">
        <v>5048422</v>
      </c>
      <c r="L353" s="107">
        <v>7172950</v>
      </c>
      <c r="M353" s="105">
        <v>-4592940</v>
      </c>
      <c r="N353" s="106">
        <v>11765890</v>
      </c>
      <c r="O353" s="107">
        <f t="shared" si="16"/>
        <v>10567380</v>
      </c>
      <c r="P353" s="105">
        <f t="shared" si="16"/>
        <v>-8368832</v>
      </c>
      <c r="Q353" s="106">
        <f t="shared" si="16"/>
        <v>18936212</v>
      </c>
      <c r="R353" s="105">
        <f t="shared" si="17"/>
        <v>1249.3946559470323</v>
      </c>
      <c r="S353" s="105">
        <f t="shared" si="17"/>
        <v>-989.45755497753601</v>
      </c>
      <c r="T353" s="108">
        <f t="shared" si="17"/>
        <v>2238.8522109245687</v>
      </c>
    </row>
    <row r="354" spans="1:20" s="66" customFormat="1" ht="12.75" x14ac:dyDescent="0.2">
      <c r="A354" s="109">
        <v>4000</v>
      </c>
      <c r="B354" s="110">
        <v>1</v>
      </c>
      <c r="C354" s="103" t="s">
        <v>18</v>
      </c>
      <c r="D354" s="103">
        <v>7</v>
      </c>
      <c r="E354" s="104">
        <f>+SUMIF('GE16FEB14 Unfudged'!$A$2:$A$498, $A354, 'GE16FEB14 Unfudged'!$D$2:$D$498)</f>
        <v>132</v>
      </c>
      <c r="F354" s="104">
        <v>14859</v>
      </c>
      <c r="G354" s="105">
        <v>0</v>
      </c>
      <c r="H354" s="106">
        <v>14859</v>
      </c>
      <c r="I354" s="107">
        <v>0</v>
      </c>
      <c r="J354" s="105">
        <v>0</v>
      </c>
      <c r="K354" s="106">
        <v>0</v>
      </c>
      <c r="L354" s="107">
        <v>0</v>
      </c>
      <c r="M354" s="105">
        <v>0</v>
      </c>
      <c r="N354" s="106">
        <v>0</v>
      </c>
      <c r="O354" s="107">
        <f t="shared" ref="O354:Q417" si="18">+F354+I354+L354</f>
        <v>14859</v>
      </c>
      <c r="P354" s="105">
        <f t="shared" si="18"/>
        <v>0</v>
      </c>
      <c r="Q354" s="106">
        <f t="shared" si="18"/>
        <v>14859</v>
      </c>
      <c r="R354" s="105">
        <f t="shared" si="17"/>
        <v>112.56818181818181</v>
      </c>
      <c r="S354" s="105">
        <f t="shared" si="17"/>
        <v>0</v>
      </c>
      <c r="T354" s="108">
        <f t="shared" si="17"/>
        <v>112.56818181818181</v>
      </c>
    </row>
    <row r="355" spans="1:20" s="66" customFormat="1" ht="12.75" x14ac:dyDescent="0.2">
      <c r="A355" s="109">
        <v>4001</v>
      </c>
      <c r="B355" s="110">
        <v>1</v>
      </c>
      <c r="C355" s="103" t="s">
        <v>19</v>
      </c>
      <c r="D355" s="103">
        <v>7</v>
      </c>
      <c r="E355" s="104">
        <f>+SUMIF('GE16FEB14 Unfudged'!$A$2:$A$498, $A355, 'GE16FEB14 Unfudged'!$D$2:$D$498)</f>
        <v>228</v>
      </c>
      <c r="F355" s="104">
        <v>25710</v>
      </c>
      <c r="G355" s="105">
        <v>0</v>
      </c>
      <c r="H355" s="106">
        <v>25710</v>
      </c>
      <c r="I355" s="107">
        <v>0</v>
      </c>
      <c r="J355" s="105">
        <v>0</v>
      </c>
      <c r="K355" s="106">
        <v>0</v>
      </c>
      <c r="L355" s="107">
        <v>0</v>
      </c>
      <c r="M355" s="105">
        <v>0</v>
      </c>
      <c r="N355" s="106">
        <v>0</v>
      </c>
      <c r="O355" s="107">
        <f t="shared" si="18"/>
        <v>25710</v>
      </c>
      <c r="P355" s="105">
        <f t="shared" si="18"/>
        <v>0</v>
      </c>
      <c r="Q355" s="106">
        <f t="shared" si="18"/>
        <v>25710</v>
      </c>
      <c r="R355" s="105">
        <f t="shared" si="17"/>
        <v>112.76315789473684</v>
      </c>
      <c r="S355" s="105">
        <f t="shared" si="17"/>
        <v>0</v>
      </c>
      <c r="T355" s="108">
        <f t="shared" si="17"/>
        <v>112.76315789473684</v>
      </c>
    </row>
    <row r="356" spans="1:20" s="66" customFormat="1" ht="12.75" x14ac:dyDescent="0.2">
      <c r="A356" s="109">
        <v>4003</v>
      </c>
      <c r="B356" s="110">
        <v>1</v>
      </c>
      <c r="C356" s="103" t="s">
        <v>20</v>
      </c>
      <c r="D356" s="103">
        <v>7</v>
      </c>
      <c r="E356" s="104">
        <f>+SUMIF('GE16FEB14 Unfudged'!$A$2:$A$498, $A356, 'GE16FEB14 Unfudged'!$D$2:$D$498)</f>
        <v>156</v>
      </c>
      <c r="F356" s="104">
        <v>17561</v>
      </c>
      <c r="G356" s="105">
        <v>0</v>
      </c>
      <c r="H356" s="106">
        <v>17561</v>
      </c>
      <c r="I356" s="107">
        <v>0</v>
      </c>
      <c r="J356" s="105">
        <v>0</v>
      </c>
      <c r="K356" s="106">
        <v>0</v>
      </c>
      <c r="L356" s="107">
        <v>0</v>
      </c>
      <c r="M356" s="105">
        <v>0</v>
      </c>
      <c r="N356" s="106">
        <v>0</v>
      </c>
      <c r="O356" s="107">
        <f t="shared" si="18"/>
        <v>17561</v>
      </c>
      <c r="P356" s="105">
        <f t="shared" si="18"/>
        <v>0</v>
      </c>
      <c r="Q356" s="106">
        <f t="shared" si="18"/>
        <v>17561</v>
      </c>
      <c r="R356" s="105">
        <f t="shared" si="17"/>
        <v>112.57051282051282</v>
      </c>
      <c r="S356" s="105">
        <f t="shared" si="17"/>
        <v>0</v>
      </c>
      <c r="T356" s="108">
        <f t="shared" si="17"/>
        <v>112.57051282051282</v>
      </c>
    </row>
    <row r="357" spans="1:20" s="66" customFormat="1" ht="12.75" x14ac:dyDescent="0.2">
      <c r="A357" s="109">
        <v>4004</v>
      </c>
      <c r="B357" s="110">
        <v>1</v>
      </c>
      <c r="C357" s="103" t="s">
        <v>471</v>
      </c>
      <c r="D357" s="103">
        <v>7</v>
      </c>
      <c r="E357" s="104">
        <f>+SUMIF('GE16FEB14 Unfudged'!$A$2:$A$498, $A357, 'GE16FEB14 Unfudged'!$D$2:$D$498)</f>
        <v>161</v>
      </c>
      <c r="F357" s="104">
        <v>18168</v>
      </c>
      <c r="G357" s="105">
        <v>0</v>
      </c>
      <c r="H357" s="106">
        <v>18168</v>
      </c>
      <c r="I357" s="107">
        <v>0</v>
      </c>
      <c r="J357" s="105">
        <v>0</v>
      </c>
      <c r="K357" s="106">
        <v>0</v>
      </c>
      <c r="L357" s="107">
        <v>0</v>
      </c>
      <c r="M357" s="105">
        <v>0</v>
      </c>
      <c r="N357" s="106">
        <v>0</v>
      </c>
      <c r="O357" s="107">
        <f t="shared" si="18"/>
        <v>18168</v>
      </c>
      <c r="P357" s="105">
        <f t="shared" si="18"/>
        <v>0</v>
      </c>
      <c r="Q357" s="106">
        <f t="shared" si="18"/>
        <v>18168</v>
      </c>
      <c r="R357" s="105">
        <f t="shared" si="17"/>
        <v>112.84472049689441</v>
      </c>
      <c r="S357" s="105">
        <f t="shared" si="17"/>
        <v>0</v>
      </c>
      <c r="T357" s="108">
        <f t="shared" si="17"/>
        <v>112.84472049689441</v>
      </c>
    </row>
    <row r="358" spans="1:20" s="66" customFormat="1" ht="12.75" x14ac:dyDescent="0.2">
      <c r="A358" s="109">
        <v>4005</v>
      </c>
      <c r="B358" s="110">
        <v>1</v>
      </c>
      <c r="C358" s="103" t="s">
        <v>472</v>
      </c>
      <c r="D358" s="103">
        <v>7</v>
      </c>
      <c r="E358" s="104">
        <f>+SUMIF('GE16FEB14 Unfudged'!$A$2:$A$498, $A358, 'GE16FEB14 Unfudged'!$D$2:$D$498)</f>
        <v>26</v>
      </c>
      <c r="F358" s="104">
        <v>2949</v>
      </c>
      <c r="G358" s="105">
        <v>0</v>
      </c>
      <c r="H358" s="106">
        <v>2949</v>
      </c>
      <c r="I358" s="107">
        <v>0</v>
      </c>
      <c r="J358" s="105">
        <v>0</v>
      </c>
      <c r="K358" s="106">
        <v>0</v>
      </c>
      <c r="L358" s="107">
        <v>0</v>
      </c>
      <c r="M358" s="105">
        <v>0</v>
      </c>
      <c r="N358" s="106">
        <v>0</v>
      </c>
      <c r="O358" s="107">
        <f t="shared" si="18"/>
        <v>2949</v>
      </c>
      <c r="P358" s="105">
        <f t="shared" si="18"/>
        <v>0</v>
      </c>
      <c r="Q358" s="106">
        <f t="shared" si="18"/>
        <v>2949</v>
      </c>
      <c r="R358" s="105">
        <f t="shared" si="17"/>
        <v>113.42307692307692</v>
      </c>
      <c r="S358" s="105">
        <f t="shared" si="17"/>
        <v>0</v>
      </c>
      <c r="T358" s="108">
        <f t="shared" si="17"/>
        <v>113.42307692307692</v>
      </c>
    </row>
    <row r="359" spans="1:20" s="66" customFormat="1" ht="12.75" x14ac:dyDescent="0.2">
      <c r="A359" s="109">
        <v>4007</v>
      </c>
      <c r="B359" s="110">
        <v>1</v>
      </c>
      <c r="C359" s="103" t="s">
        <v>21</v>
      </c>
      <c r="D359" s="103">
        <v>7</v>
      </c>
      <c r="E359" s="104">
        <f>+SUMIF('GE16FEB14 Unfudged'!$A$2:$A$498, $A359, 'GE16FEB14 Unfudged'!$D$2:$D$498)</f>
        <v>190</v>
      </c>
      <c r="F359" s="104">
        <v>21394</v>
      </c>
      <c r="G359" s="105">
        <v>0</v>
      </c>
      <c r="H359" s="106">
        <v>21394</v>
      </c>
      <c r="I359" s="107">
        <v>0</v>
      </c>
      <c r="J359" s="105">
        <v>0</v>
      </c>
      <c r="K359" s="106">
        <v>0</v>
      </c>
      <c r="L359" s="107">
        <v>0</v>
      </c>
      <c r="M359" s="105">
        <v>0</v>
      </c>
      <c r="N359" s="106">
        <v>0</v>
      </c>
      <c r="O359" s="107">
        <f t="shared" si="18"/>
        <v>21394</v>
      </c>
      <c r="P359" s="105">
        <f t="shared" si="18"/>
        <v>0</v>
      </c>
      <c r="Q359" s="106">
        <f t="shared" si="18"/>
        <v>21394</v>
      </c>
      <c r="R359" s="105">
        <f t="shared" si="17"/>
        <v>112.6</v>
      </c>
      <c r="S359" s="105">
        <f t="shared" si="17"/>
        <v>0</v>
      </c>
      <c r="T359" s="108">
        <f t="shared" si="17"/>
        <v>112.6</v>
      </c>
    </row>
    <row r="360" spans="1:20" s="66" customFormat="1" ht="12.75" x14ac:dyDescent="0.2">
      <c r="A360" s="109">
        <v>4008</v>
      </c>
      <c r="B360" s="110">
        <v>1</v>
      </c>
      <c r="C360" s="103" t="s">
        <v>22</v>
      </c>
      <c r="D360" s="103">
        <v>7</v>
      </c>
      <c r="E360" s="104">
        <f>+SUMIF('GE16FEB14 Unfudged'!$A$2:$A$498, $A360, 'GE16FEB14 Unfudged'!$D$2:$D$498)</f>
        <v>670</v>
      </c>
      <c r="F360" s="104">
        <v>75420</v>
      </c>
      <c r="G360" s="105">
        <v>0</v>
      </c>
      <c r="H360" s="106">
        <v>75420</v>
      </c>
      <c r="I360" s="107">
        <v>0</v>
      </c>
      <c r="J360" s="105">
        <v>0</v>
      </c>
      <c r="K360" s="106">
        <v>0</v>
      </c>
      <c r="L360" s="107">
        <v>0</v>
      </c>
      <c r="M360" s="105">
        <v>0</v>
      </c>
      <c r="N360" s="106">
        <v>0</v>
      </c>
      <c r="O360" s="107">
        <f t="shared" si="18"/>
        <v>75420</v>
      </c>
      <c r="P360" s="105">
        <f t="shared" si="18"/>
        <v>0</v>
      </c>
      <c r="Q360" s="106">
        <f t="shared" si="18"/>
        <v>75420</v>
      </c>
      <c r="R360" s="105">
        <f t="shared" si="17"/>
        <v>112.56716417910448</v>
      </c>
      <c r="S360" s="105">
        <f t="shared" si="17"/>
        <v>0</v>
      </c>
      <c r="T360" s="108">
        <f t="shared" si="17"/>
        <v>112.56716417910448</v>
      </c>
    </row>
    <row r="361" spans="1:20" s="66" customFormat="1" ht="12.75" x14ac:dyDescent="0.2">
      <c r="A361" s="109">
        <v>4011</v>
      </c>
      <c r="B361" s="110">
        <v>1</v>
      </c>
      <c r="C361" s="103" t="s">
        <v>23</v>
      </c>
      <c r="D361" s="103">
        <v>7</v>
      </c>
      <c r="E361" s="104">
        <f>+SUMIF('GE16FEB14 Unfudged'!$A$2:$A$498, $A361, 'GE16FEB14 Unfudged'!$D$2:$D$498)</f>
        <v>213</v>
      </c>
      <c r="F361" s="104">
        <v>23949</v>
      </c>
      <c r="G361" s="105">
        <v>0</v>
      </c>
      <c r="H361" s="106">
        <v>23949</v>
      </c>
      <c r="I361" s="107">
        <v>0</v>
      </c>
      <c r="J361" s="105">
        <v>0</v>
      </c>
      <c r="K361" s="106">
        <v>0</v>
      </c>
      <c r="L361" s="107">
        <v>0</v>
      </c>
      <c r="M361" s="105">
        <v>0</v>
      </c>
      <c r="N361" s="106">
        <v>0</v>
      </c>
      <c r="O361" s="107">
        <f t="shared" si="18"/>
        <v>23949</v>
      </c>
      <c r="P361" s="105">
        <f t="shared" si="18"/>
        <v>0</v>
      </c>
      <c r="Q361" s="106">
        <f t="shared" si="18"/>
        <v>23949</v>
      </c>
      <c r="R361" s="105">
        <f t="shared" si="17"/>
        <v>112.43661971830986</v>
      </c>
      <c r="S361" s="105">
        <f t="shared" si="17"/>
        <v>0</v>
      </c>
      <c r="T361" s="108">
        <f t="shared" si="17"/>
        <v>112.43661971830986</v>
      </c>
    </row>
    <row r="362" spans="1:20" s="66" customFormat="1" ht="12.75" x14ac:dyDescent="0.2">
      <c r="A362" s="109">
        <v>4015</v>
      </c>
      <c r="B362" s="110">
        <v>1</v>
      </c>
      <c r="C362" s="103" t="s">
        <v>24</v>
      </c>
      <c r="D362" s="103">
        <v>7</v>
      </c>
      <c r="E362" s="104">
        <f>+SUMIF('GE16FEB14 Unfudged'!$A$2:$A$498, $A362, 'GE16FEB14 Unfudged'!$D$2:$D$498)</f>
        <v>840</v>
      </c>
      <c r="F362" s="104">
        <v>94512</v>
      </c>
      <c r="G362" s="105">
        <v>0</v>
      </c>
      <c r="H362" s="106">
        <v>94512</v>
      </c>
      <c r="I362" s="107">
        <v>0</v>
      </c>
      <c r="J362" s="105">
        <v>0</v>
      </c>
      <c r="K362" s="106">
        <v>0</v>
      </c>
      <c r="L362" s="107">
        <v>0</v>
      </c>
      <c r="M362" s="105">
        <v>0</v>
      </c>
      <c r="N362" s="106">
        <v>0</v>
      </c>
      <c r="O362" s="107">
        <f t="shared" si="18"/>
        <v>94512</v>
      </c>
      <c r="P362" s="105">
        <f t="shared" si="18"/>
        <v>0</v>
      </c>
      <c r="Q362" s="106">
        <f t="shared" si="18"/>
        <v>94512</v>
      </c>
      <c r="R362" s="105">
        <f t="shared" si="17"/>
        <v>112.51428571428572</v>
      </c>
      <c r="S362" s="105">
        <f t="shared" si="17"/>
        <v>0</v>
      </c>
      <c r="T362" s="108">
        <f t="shared" si="17"/>
        <v>112.51428571428572</v>
      </c>
    </row>
    <row r="363" spans="1:20" s="66" customFormat="1" ht="12.75" x14ac:dyDescent="0.2">
      <c r="A363" s="109">
        <v>4016</v>
      </c>
      <c r="B363" s="110">
        <v>1</v>
      </c>
      <c r="C363" s="103" t="s">
        <v>25</v>
      </c>
      <c r="D363" s="103">
        <v>7</v>
      </c>
      <c r="E363" s="104">
        <f>+SUMIF('GE16FEB14 Unfudged'!$A$2:$A$498, $A363, 'GE16FEB14 Unfudged'!$D$2:$D$498)</f>
        <v>229</v>
      </c>
      <c r="F363" s="104">
        <v>25756</v>
      </c>
      <c r="G363" s="105">
        <v>0</v>
      </c>
      <c r="H363" s="106">
        <v>25756</v>
      </c>
      <c r="I363" s="107">
        <v>0</v>
      </c>
      <c r="J363" s="105">
        <v>0</v>
      </c>
      <c r="K363" s="106">
        <v>0</v>
      </c>
      <c r="L363" s="107">
        <v>0</v>
      </c>
      <c r="M363" s="105">
        <v>0</v>
      </c>
      <c r="N363" s="106">
        <v>0</v>
      </c>
      <c r="O363" s="107">
        <f t="shared" si="18"/>
        <v>25756</v>
      </c>
      <c r="P363" s="105">
        <f t="shared" si="18"/>
        <v>0</v>
      </c>
      <c r="Q363" s="106">
        <f t="shared" si="18"/>
        <v>25756</v>
      </c>
      <c r="R363" s="105">
        <f t="shared" si="17"/>
        <v>112.47161572052401</v>
      </c>
      <c r="S363" s="105">
        <f t="shared" si="17"/>
        <v>0</v>
      </c>
      <c r="T363" s="108">
        <f t="shared" si="17"/>
        <v>112.47161572052401</v>
      </c>
    </row>
    <row r="364" spans="1:20" s="66" customFormat="1" ht="12.75" x14ac:dyDescent="0.2">
      <c r="A364" s="109">
        <v>4017</v>
      </c>
      <c r="B364" s="110">
        <v>1</v>
      </c>
      <c r="C364" s="103" t="s">
        <v>473</v>
      </c>
      <c r="D364" s="103">
        <v>7</v>
      </c>
      <c r="E364" s="104">
        <f>+SUMIF('GE16FEB14 Unfudged'!$A$2:$A$498, $A364, 'GE16FEB14 Unfudged'!$D$2:$D$498)</f>
        <v>3422</v>
      </c>
      <c r="F364" s="104">
        <v>385207</v>
      </c>
      <c r="G364" s="105">
        <v>0</v>
      </c>
      <c r="H364" s="106">
        <v>385207</v>
      </c>
      <c r="I364" s="107">
        <v>0</v>
      </c>
      <c r="J364" s="105">
        <v>0</v>
      </c>
      <c r="K364" s="106">
        <v>0</v>
      </c>
      <c r="L364" s="107">
        <v>0</v>
      </c>
      <c r="M364" s="105">
        <v>0</v>
      </c>
      <c r="N364" s="106">
        <v>0</v>
      </c>
      <c r="O364" s="107">
        <f t="shared" si="18"/>
        <v>385207</v>
      </c>
      <c r="P364" s="105">
        <f t="shared" si="18"/>
        <v>0</v>
      </c>
      <c r="Q364" s="106">
        <f t="shared" si="18"/>
        <v>385207</v>
      </c>
      <c r="R364" s="105">
        <f t="shared" si="17"/>
        <v>112.56779661016949</v>
      </c>
      <c r="S364" s="105">
        <f t="shared" si="17"/>
        <v>0</v>
      </c>
      <c r="T364" s="108">
        <f t="shared" si="17"/>
        <v>112.56779661016949</v>
      </c>
    </row>
    <row r="365" spans="1:20" s="66" customFormat="1" ht="12.75" x14ac:dyDescent="0.2">
      <c r="A365" s="109">
        <v>4018</v>
      </c>
      <c r="B365" s="110">
        <v>1</v>
      </c>
      <c r="C365" s="103" t="s">
        <v>26</v>
      </c>
      <c r="D365" s="103">
        <v>7</v>
      </c>
      <c r="E365" s="104">
        <f>+SUMIF('GE16FEB14 Unfudged'!$A$2:$A$498, $A365, 'GE16FEB14 Unfudged'!$D$2:$D$498)</f>
        <v>437</v>
      </c>
      <c r="F365" s="104">
        <v>49170</v>
      </c>
      <c r="G365" s="105">
        <v>0</v>
      </c>
      <c r="H365" s="106">
        <v>49170</v>
      </c>
      <c r="I365" s="107">
        <v>0</v>
      </c>
      <c r="J365" s="105">
        <v>0</v>
      </c>
      <c r="K365" s="106">
        <v>0</v>
      </c>
      <c r="L365" s="107">
        <v>0</v>
      </c>
      <c r="M365" s="105">
        <v>0</v>
      </c>
      <c r="N365" s="106">
        <v>0</v>
      </c>
      <c r="O365" s="107">
        <f t="shared" si="18"/>
        <v>49170</v>
      </c>
      <c r="P365" s="105">
        <f t="shared" si="18"/>
        <v>0</v>
      </c>
      <c r="Q365" s="106">
        <f t="shared" si="18"/>
        <v>49170</v>
      </c>
      <c r="R365" s="105">
        <f t="shared" si="17"/>
        <v>112.51716247139588</v>
      </c>
      <c r="S365" s="105">
        <f t="shared" si="17"/>
        <v>0</v>
      </c>
      <c r="T365" s="108">
        <f t="shared" si="17"/>
        <v>112.51716247139588</v>
      </c>
    </row>
    <row r="366" spans="1:20" s="66" customFormat="1" ht="12.75" x14ac:dyDescent="0.2">
      <c r="A366" s="109">
        <v>4020</v>
      </c>
      <c r="B366" s="110">
        <v>1</v>
      </c>
      <c r="C366" s="103" t="s">
        <v>27</v>
      </c>
      <c r="D366" s="103">
        <v>7</v>
      </c>
      <c r="E366" s="104">
        <f>+SUMIF('GE16FEB14 Unfudged'!$A$2:$A$498, $A366, 'GE16FEB14 Unfudged'!$D$2:$D$498)</f>
        <v>1292</v>
      </c>
      <c r="F366" s="104">
        <v>145381</v>
      </c>
      <c r="G366" s="105">
        <v>0</v>
      </c>
      <c r="H366" s="106">
        <v>145381</v>
      </c>
      <c r="I366" s="107">
        <v>0</v>
      </c>
      <c r="J366" s="105">
        <v>0</v>
      </c>
      <c r="K366" s="106">
        <v>0</v>
      </c>
      <c r="L366" s="107">
        <v>0</v>
      </c>
      <c r="M366" s="105">
        <v>0</v>
      </c>
      <c r="N366" s="106">
        <v>0</v>
      </c>
      <c r="O366" s="107">
        <f t="shared" si="18"/>
        <v>145381</v>
      </c>
      <c r="P366" s="105">
        <f t="shared" si="18"/>
        <v>0</v>
      </c>
      <c r="Q366" s="106">
        <f t="shared" si="18"/>
        <v>145381</v>
      </c>
      <c r="R366" s="105">
        <f t="shared" si="17"/>
        <v>112.52399380804954</v>
      </c>
      <c r="S366" s="105">
        <f t="shared" si="17"/>
        <v>0</v>
      </c>
      <c r="T366" s="108">
        <f t="shared" si="17"/>
        <v>112.52399380804954</v>
      </c>
    </row>
    <row r="367" spans="1:20" s="66" customFormat="1" ht="12.75" x14ac:dyDescent="0.2">
      <c r="A367" s="109">
        <v>4025</v>
      </c>
      <c r="B367" s="110">
        <v>1</v>
      </c>
      <c r="C367" s="103" t="s">
        <v>28</v>
      </c>
      <c r="D367" s="103">
        <v>7</v>
      </c>
      <c r="E367" s="104">
        <f>+SUMIF('GE16FEB14 Unfudged'!$A$2:$A$498, $A367, 'GE16FEB14 Unfudged'!$D$2:$D$498)</f>
        <v>171</v>
      </c>
      <c r="F367" s="104">
        <v>19249</v>
      </c>
      <c r="G367" s="105">
        <v>0</v>
      </c>
      <c r="H367" s="106">
        <v>19249</v>
      </c>
      <c r="I367" s="107">
        <v>0</v>
      </c>
      <c r="J367" s="105">
        <v>0</v>
      </c>
      <c r="K367" s="106">
        <v>0</v>
      </c>
      <c r="L367" s="107">
        <v>0</v>
      </c>
      <c r="M367" s="105">
        <v>0</v>
      </c>
      <c r="N367" s="106">
        <v>0</v>
      </c>
      <c r="O367" s="107">
        <f t="shared" si="18"/>
        <v>19249</v>
      </c>
      <c r="P367" s="105">
        <f t="shared" si="18"/>
        <v>0</v>
      </c>
      <c r="Q367" s="106">
        <f t="shared" si="18"/>
        <v>19249</v>
      </c>
      <c r="R367" s="105">
        <f t="shared" si="17"/>
        <v>112.56725146198831</v>
      </c>
      <c r="S367" s="105">
        <f t="shared" si="17"/>
        <v>0</v>
      </c>
      <c r="T367" s="108">
        <f t="shared" si="17"/>
        <v>112.56725146198831</v>
      </c>
    </row>
    <row r="368" spans="1:20" s="66" customFormat="1" ht="12.75" x14ac:dyDescent="0.2">
      <c r="A368" s="109">
        <v>4026</v>
      </c>
      <c r="B368" s="110">
        <v>1</v>
      </c>
      <c r="C368" s="103" t="s">
        <v>29</v>
      </c>
      <c r="D368" s="103">
        <v>7</v>
      </c>
      <c r="E368" s="104">
        <f>+SUMIF('GE16FEB14 Unfudged'!$A$2:$A$498, $A368, 'GE16FEB14 Unfudged'!$D$2:$D$498)</f>
        <v>119</v>
      </c>
      <c r="F368" s="104">
        <v>13373</v>
      </c>
      <c r="G368" s="105">
        <v>0</v>
      </c>
      <c r="H368" s="106">
        <v>13373</v>
      </c>
      <c r="I368" s="107">
        <v>0</v>
      </c>
      <c r="J368" s="105">
        <v>0</v>
      </c>
      <c r="K368" s="106">
        <v>0</v>
      </c>
      <c r="L368" s="107">
        <v>0</v>
      </c>
      <c r="M368" s="105">
        <v>0</v>
      </c>
      <c r="N368" s="106">
        <v>0</v>
      </c>
      <c r="O368" s="107">
        <f t="shared" si="18"/>
        <v>13373</v>
      </c>
      <c r="P368" s="105">
        <f t="shared" si="18"/>
        <v>0</v>
      </c>
      <c r="Q368" s="106">
        <f t="shared" si="18"/>
        <v>13373</v>
      </c>
      <c r="R368" s="105">
        <f t="shared" si="17"/>
        <v>112.3781512605042</v>
      </c>
      <c r="S368" s="105">
        <f t="shared" si="17"/>
        <v>0</v>
      </c>
      <c r="T368" s="108">
        <f t="shared" si="17"/>
        <v>112.3781512605042</v>
      </c>
    </row>
    <row r="369" spans="1:20" s="66" customFormat="1" ht="12.75" x14ac:dyDescent="0.2">
      <c r="A369" s="109">
        <v>4027</v>
      </c>
      <c r="B369" s="110">
        <v>1</v>
      </c>
      <c r="C369" s="103" t="s">
        <v>30</v>
      </c>
      <c r="D369" s="103">
        <v>7</v>
      </c>
      <c r="E369" s="104">
        <f>+SUMIF('GE16FEB14 Unfudged'!$A$2:$A$498, $A369, 'GE16FEB14 Unfudged'!$D$2:$D$498)</f>
        <v>1118</v>
      </c>
      <c r="F369" s="104">
        <v>125851</v>
      </c>
      <c r="G369" s="105">
        <v>0</v>
      </c>
      <c r="H369" s="106">
        <v>125851</v>
      </c>
      <c r="I369" s="107">
        <v>0</v>
      </c>
      <c r="J369" s="105">
        <v>0</v>
      </c>
      <c r="K369" s="106">
        <v>0</v>
      </c>
      <c r="L369" s="107">
        <v>0</v>
      </c>
      <c r="M369" s="105">
        <v>0</v>
      </c>
      <c r="N369" s="106">
        <v>0</v>
      </c>
      <c r="O369" s="107">
        <f t="shared" si="18"/>
        <v>125851</v>
      </c>
      <c r="P369" s="105">
        <f t="shared" si="18"/>
        <v>0</v>
      </c>
      <c r="Q369" s="106">
        <f t="shared" si="18"/>
        <v>125851</v>
      </c>
      <c r="R369" s="105">
        <f t="shared" si="17"/>
        <v>112.56797853309482</v>
      </c>
      <c r="S369" s="105">
        <f t="shared" si="17"/>
        <v>0</v>
      </c>
      <c r="T369" s="108">
        <f t="shared" si="17"/>
        <v>112.56797853309482</v>
      </c>
    </row>
    <row r="370" spans="1:20" s="66" customFormat="1" ht="12.75" x14ac:dyDescent="0.2">
      <c r="A370" s="109">
        <v>4029</v>
      </c>
      <c r="B370" s="110">
        <v>1</v>
      </c>
      <c r="C370" s="103" t="s">
        <v>460</v>
      </c>
      <c r="D370" s="103">
        <v>7</v>
      </c>
      <c r="E370" s="104">
        <f>+SUMIF('GE16FEB14 Unfudged'!$A$2:$A$498, $A370, 'GE16FEB14 Unfudged'!$D$2:$D$498)</f>
        <v>377</v>
      </c>
      <c r="F370" s="104">
        <v>42404</v>
      </c>
      <c r="G370" s="105">
        <v>0</v>
      </c>
      <c r="H370" s="106">
        <v>42404</v>
      </c>
      <c r="I370" s="107">
        <v>0</v>
      </c>
      <c r="J370" s="105">
        <v>0</v>
      </c>
      <c r="K370" s="106">
        <v>0</v>
      </c>
      <c r="L370" s="107">
        <v>0</v>
      </c>
      <c r="M370" s="105">
        <v>0</v>
      </c>
      <c r="N370" s="106">
        <v>0</v>
      </c>
      <c r="O370" s="107">
        <f t="shared" si="18"/>
        <v>42404</v>
      </c>
      <c r="P370" s="105">
        <f t="shared" si="18"/>
        <v>0</v>
      </c>
      <c r="Q370" s="106">
        <f t="shared" si="18"/>
        <v>42404</v>
      </c>
      <c r="R370" s="105">
        <f t="shared" si="17"/>
        <v>112.47745358090185</v>
      </c>
      <c r="S370" s="105">
        <f t="shared" si="17"/>
        <v>0</v>
      </c>
      <c r="T370" s="108">
        <f t="shared" si="17"/>
        <v>112.47745358090185</v>
      </c>
    </row>
    <row r="371" spans="1:20" s="66" customFormat="1" ht="12.75" x14ac:dyDescent="0.2">
      <c r="A371" s="109">
        <v>4030</v>
      </c>
      <c r="B371" s="110">
        <v>1</v>
      </c>
      <c r="C371" s="103" t="s">
        <v>461</v>
      </c>
      <c r="D371" s="103">
        <v>7</v>
      </c>
      <c r="E371" s="104">
        <f>+SUMIF('GE16FEB14 Unfudged'!$A$2:$A$498, $A371, 'GE16FEB14 Unfudged'!$D$2:$D$498)</f>
        <v>355</v>
      </c>
      <c r="F371" s="104">
        <v>39950</v>
      </c>
      <c r="G371" s="105">
        <v>0</v>
      </c>
      <c r="H371" s="106">
        <v>39950</v>
      </c>
      <c r="I371" s="107">
        <v>0</v>
      </c>
      <c r="J371" s="105">
        <v>0</v>
      </c>
      <c r="K371" s="106">
        <v>0</v>
      </c>
      <c r="L371" s="107">
        <v>0</v>
      </c>
      <c r="M371" s="105">
        <v>0</v>
      </c>
      <c r="N371" s="106">
        <v>0</v>
      </c>
      <c r="O371" s="107">
        <f t="shared" si="18"/>
        <v>39950</v>
      </c>
      <c r="P371" s="105">
        <f t="shared" si="18"/>
        <v>0</v>
      </c>
      <c r="Q371" s="106">
        <f t="shared" si="18"/>
        <v>39950</v>
      </c>
      <c r="R371" s="105">
        <f t="shared" si="17"/>
        <v>112.53521126760563</v>
      </c>
      <c r="S371" s="105">
        <f t="shared" si="17"/>
        <v>0</v>
      </c>
      <c r="T371" s="108">
        <f t="shared" si="17"/>
        <v>112.53521126760563</v>
      </c>
    </row>
    <row r="372" spans="1:20" s="66" customFormat="1" ht="12.75" x14ac:dyDescent="0.2">
      <c r="A372" s="109">
        <v>4031</v>
      </c>
      <c r="B372" s="110">
        <v>7</v>
      </c>
      <c r="C372" s="103" t="s">
        <v>474</v>
      </c>
      <c r="D372" s="103">
        <v>7</v>
      </c>
      <c r="E372" s="104">
        <f>+SUMIF('GE16FEB14 Unfudged'!$A$2:$A$498, $A372, 'GE16FEB14 Unfudged'!$D$2:$D$498)</f>
        <v>84</v>
      </c>
      <c r="F372" s="104">
        <v>9456</v>
      </c>
      <c r="G372" s="105">
        <v>0</v>
      </c>
      <c r="H372" s="106">
        <v>9456</v>
      </c>
      <c r="I372" s="107">
        <v>0</v>
      </c>
      <c r="J372" s="105">
        <v>0</v>
      </c>
      <c r="K372" s="106">
        <v>0</v>
      </c>
      <c r="L372" s="107">
        <v>0</v>
      </c>
      <c r="M372" s="105">
        <v>0</v>
      </c>
      <c r="N372" s="106">
        <v>0</v>
      </c>
      <c r="O372" s="107">
        <f t="shared" si="18"/>
        <v>9456</v>
      </c>
      <c r="P372" s="105">
        <f t="shared" si="18"/>
        <v>0</v>
      </c>
      <c r="Q372" s="106">
        <f t="shared" si="18"/>
        <v>9456</v>
      </c>
      <c r="R372" s="105">
        <f t="shared" si="17"/>
        <v>112.57142857142857</v>
      </c>
      <c r="S372" s="105">
        <f t="shared" si="17"/>
        <v>0</v>
      </c>
      <c r="T372" s="108">
        <f t="shared" si="17"/>
        <v>112.57142857142857</v>
      </c>
    </row>
    <row r="373" spans="1:20" s="66" customFormat="1" ht="12.75" x14ac:dyDescent="0.2">
      <c r="A373" s="109">
        <v>4032</v>
      </c>
      <c r="B373" s="110">
        <v>7</v>
      </c>
      <c r="C373" s="103" t="s">
        <v>475</v>
      </c>
      <c r="D373" s="103">
        <v>7</v>
      </c>
      <c r="E373" s="104">
        <f>+SUMIF('GE16FEB14 Unfudged'!$A$2:$A$498, $A373, 'GE16FEB14 Unfudged'!$D$2:$D$498)</f>
        <v>364</v>
      </c>
      <c r="F373" s="104">
        <v>40918</v>
      </c>
      <c r="G373" s="105">
        <v>0</v>
      </c>
      <c r="H373" s="106">
        <v>40918</v>
      </c>
      <c r="I373" s="107">
        <v>0</v>
      </c>
      <c r="J373" s="105">
        <v>0</v>
      </c>
      <c r="K373" s="106">
        <v>0</v>
      </c>
      <c r="L373" s="107">
        <v>0</v>
      </c>
      <c r="M373" s="105">
        <v>0</v>
      </c>
      <c r="N373" s="106">
        <v>0</v>
      </c>
      <c r="O373" s="107">
        <f t="shared" si="18"/>
        <v>40918</v>
      </c>
      <c r="P373" s="105">
        <f t="shared" si="18"/>
        <v>0</v>
      </c>
      <c r="Q373" s="106">
        <f t="shared" si="18"/>
        <v>40918</v>
      </c>
      <c r="R373" s="105">
        <f t="shared" si="17"/>
        <v>112.41208791208791</v>
      </c>
      <c r="S373" s="105">
        <f t="shared" si="17"/>
        <v>0</v>
      </c>
      <c r="T373" s="108">
        <f t="shared" si="17"/>
        <v>112.41208791208791</v>
      </c>
    </row>
    <row r="374" spans="1:20" s="66" customFormat="1" ht="12.75" x14ac:dyDescent="0.2">
      <c r="A374" s="109">
        <v>4035</v>
      </c>
      <c r="B374" s="110">
        <v>7</v>
      </c>
      <c r="C374" s="103" t="s">
        <v>476</v>
      </c>
      <c r="D374" s="103">
        <v>7</v>
      </c>
      <c r="E374" s="104">
        <f>+SUMIF('GE16FEB14 Unfudged'!$A$2:$A$498, $A374, 'GE16FEB14 Unfudged'!$D$2:$D$498)</f>
        <v>404</v>
      </c>
      <c r="F374" s="104">
        <v>45421</v>
      </c>
      <c r="G374" s="105">
        <v>0</v>
      </c>
      <c r="H374" s="106">
        <v>45421</v>
      </c>
      <c r="I374" s="107">
        <v>0</v>
      </c>
      <c r="J374" s="105">
        <v>0</v>
      </c>
      <c r="K374" s="106">
        <v>0</v>
      </c>
      <c r="L374" s="107">
        <v>0</v>
      </c>
      <c r="M374" s="105">
        <v>0</v>
      </c>
      <c r="N374" s="106">
        <v>0</v>
      </c>
      <c r="O374" s="107">
        <f t="shared" si="18"/>
        <v>45421</v>
      </c>
      <c r="P374" s="105">
        <f t="shared" si="18"/>
        <v>0</v>
      </c>
      <c r="Q374" s="106">
        <f t="shared" si="18"/>
        <v>45421</v>
      </c>
      <c r="R374" s="105">
        <f t="shared" si="17"/>
        <v>112.42821782178218</v>
      </c>
      <c r="S374" s="105">
        <f t="shared" si="17"/>
        <v>0</v>
      </c>
      <c r="T374" s="108">
        <f t="shared" si="17"/>
        <v>112.42821782178218</v>
      </c>
    </row>
    <row r="375" spans="1:20" s="66" customFormat="1" ht="12.75" x14ac:dyDescent="0.2">
      <c r="A375" s="109">
        <v>4036</v>
      </c>
      <c r="B375" s="110">
        <v>7</v>
      </c>
      <c r="C375" s="103" t="s">
        <v>31</v>
      </c>
      <c r="D375" s="103">
        <v>7</v>
      </c>
      <c r="E375" s="104">
        <f>+SUMIF('GE16FEB14 Unfudged'!$A$2:$A$498, $A375, 'GE16FEB14 Unfudged'!$D$2:$D$498)</f>
        <v>83</v>
      </c>
      <c r="F375" s="104">
        <v>9321</v>
      </c>
      <c r="G375" s="105">
        <v>0</v>
      </c>
      <c r="H375" s="106">
        <v>9321</v>
      </c>
      <c r="I375" s="107">
        <v>0</v>
      </c>
      <c r="J375" s="105">
        <v>0</v>
      </c>
      <c r="K375" s="106">
        <v>0</v>
      </c>
      <c r="L375" s="107">
        <v>0</v>
      </c>
      <c r="M375" s="105">
        <v>0</v>
      </c>
      <c r="N375" s="106">
        <v>0</v>
      </c>
      <c r="O375" s="107">
        <f t="shared" si="18"/>
        <v>9321</v>
      </c>
      <c r="P375" s="105">
        <f t="shared" si="18"/>
        <v>0</v>
      </c>
      <c r="Q375" s="106">
        <f t="shared" si="18"/>
        <v>9321</v>
      </c>
      <c r="R375" s="105">
        <f t="shared" si="17"/>
        <v>112.3012048192771</v>
      </c>
      <c r="S375" s="105">
        <f t="shared" si="17"/>
        <v>0</v>
      </c>
      <c r="T375" s="108">
        <f t="shared" si="17"/>
        <v>112.3012048192771</v>
      </c>
    </row>
    <row r="376" spans="1:20" s="66" customFormat="1" ht="12.75" x14ac:dyDescent="0.2">
      <c r="A376" s="109">
        <v>4038</v>
      </c>
      <c r="B376" s="110">
        <v>7</v>
      </c>
      <c r="C376" s="103" t="s">
        <v>32</v>
      </c>
      <c r="D376" s="103">
        <v>7</v>
      </c>
      <c r="E376" s="104">
        <f>+SUMIF('GE16FEB14 Unfudged'!$A$2:$A$498, $A376, 'GE16FEB14 Unfudged'!$D$2:$D$498)</f>
        <v>403</v>
      </c>
      <c r="F376" s="104">
        <v>45354</v>
      </c>
      <c r="G376" s="105">
        <v>0</v>
      </c>
      <c r="H376" s="106">
        <v>45354</v>
      </c>
      <c r="I376" s="107">
        <v>0</v>
      </c>
      <c r="J376" s="105">
        <v>0</v>
      </c>
      <c r="K376" s="106">
        <v>0</v>
      </c>
      <c r="L376" s="107">
        <v>0</v>
      </c>
      <c r="M376" s="105">
        <v>0</v>
      </c>
      <c r="N376" s="106">
        <v>0</v>
      </c>
      <c r="O376" s="107">
        <f t="shared" si="18"/>
        <v>45354</v>
      </c>
      <c r="P376" s="105">
        <f t="shared" si="18"/>
        <v>0</v>
      </c>
      <c r="Q376" s="106">
        <f t="shared" si="18"/>
        <v>45354</v>
      </c>
      <c r="R376" s="105">
        <f t="shared" si="17"/>
        <v>112.5409429280397</v>
      </c>
      <c r="S376" s="105">
        <f t="shared" si="17"/>
        <v>0</v>
      </c>
      <c r="T376" s="108">
        <f t="shared" si="17"/>
        <v>112.5409429280397</v>
      </c>
    </row>
    <row r="377" spans="1:20" s="66" customFormat="1" ht="12.75" x14ac:dyDescent="0.2">
      <c r="A377" s="109">
        <v>4039</v>
      </c>
      <c r="B377" s="110">
        <v>7</v>
      </c>
      <c r="C377" s="103" t="s">
        <v>33</v>
      </c>
      <c r="D377" s="103">
        <v>7</v>
      </c>
      <c r="E377" s="104">
        <f>+SUMIF('GE16FEB14 Unfudged'!$A$2:$A$498, $A377, 'GE16FEB14 Unfudged'!$D$2:$D$498)</f>
        <v>300</v>
      </c>
      <c r="F377" s="104">
        <v>33770</v>
      </c>
      <c r="G377" s="105">
        <v>0</v>
      </c>
      <c r="H377" s="106">
        <v>33770</v>
      </c>
      <c r="I377" s="107">
        <v>0</v>
      </c>
      <c r="J377" s="105">
        <v>0</v>
      </c>
      <c r="K377" s="106">
        <v>0</v>
      </c>
      <c r="L377" s="107">
        <v>0</v>
      </c>
      <c r="M377" s="105">
        <v>0</v>
      </c>
      <c r="N377" s="106">
        <v>0</v>
      </c>
      <c r="O377" s="107">
        <f t="shared" si="18"/>
        <v>33770</v>
      </c>
      <c r="P377" s="105">
        <f t="shared" si="18"/>
        <v>0</v>
      </c>
      <c r="Q377" s="106">
        <f t="shared" si="18"/>
        <v>33770</v>
      </c>
      <c r="R377" s="105">
        <f t="shared" si="17"/>
        <v>112.56666666666666</v>
      </c>
      <c r="S377" s="105">
        <f t="shared" si="17"/>
        <v>0</v>
      </c>
      <c r="T377" s="108">
        <f t="shared" si="17"/>
        <v>112.56666666666666</v>
      </c>
    </row>
    <row r="378" spans="1:20" s="66" customFormat="1" ht="12.75" x14ac:dyDescent="0.2">
      <c r="A378" s="109">
        <v>4042</v>
      </c>
      <c r="B378" s="110">
        <v>7</v>
      </c>
      <c r="C378" s="103" t="s">
        <v>34</v>
      </c>
      <c r="D378" s="103">
        <v>7</v>
      </c>
      <c r="E378" s="104">
        <f>+SUMIF('GE16FEB14 Unfudged'!$A$2:$A$498, $A378, 'GE16FEB14 Unfudged'!$D$2:$D$498)</f>
        <v>243</v>
      </c>
      <c r="F378" s="104">
        <v>27354</v>
      </c>
      <c r="G378" s="105">
        <v>0</v>
      </c>
      <c r="H378" s="106">
        <v>27354</v>
      </c>
      <c r="I378" s="107">
        <v>0</v>
      </c>
      <c r="J378" s="105">
        <v>0</v>
      </c>
      <c r="K378" s="106">
        <v>0</v>
      </c>
      <c r="L378" s="107">
        <v>0</v>
      </c>
      <c r="M378" s="105">
        <v>0</v>
      </c>
      <c r="N378" s="106">
        <v>0</v>
      </c>
      <c r="O378" s="107">
        <f t="shared" si="18"/>
        <v>27354</v>
      </c>
      <c r="P378" s="105">
        <f t="shared" si="18"/>
        <v>0</v>
      </c>
      <c r="Q378" s="106">
        <f t="shared" si="18"/>
        <v>27354</v>
      </c>
      <c r="R378" s="105">
        <f t="shared" si="17"/>
        <v>112.5679012345679</v>
      </c>
      <c r="S378" s="105">
        <f t="shared" si="17"/>
        <v>0</v>
      </c>
      <c r="T378" s="108">
        <f t="shared" si="17"/>
        <v>112.5679012345679</v>
      </c>
    </row>
    <row r="379" spans="1:20" s="66" customFormat="1" ht="12.75" x14ac:dyDescent="0.2">
      <c r="A379" s="109">
        <v>4043</v>
      </c>
      <c r="B379" s="110">
        <v>7</v>
      </c>
      <c r="C379" s="103" t="s">
        <v>35</v>
      </c>
      <c r="D379" s="103">
        <v>7</v>
      </c>
      <c r="E379" s="104">
        <f>+SUMIF('GE16FEB14 Unfudged'!$A$2:$A$498, $A379, 'GE16FEB14 Unfudged'!$D$2:$D$498)</f>
        <v>528</v>
      </c>
      <c r="F379" s="104">
        <v>59481</v>
      </c>
      <c r="G379" s="105">
        <v>0</v>
      </c>
      <c r="H379" s="106">
        <v>59481</v>
      </c>
      <c r="I379" s="107">
        <v>0</v>
      </c>
      <c r="J379" s="105">
        <v>0</v>
      </c>
      <c r="K379" s="106">
        <v>0</v>
      </c>
      <c r="L379" s="107">
        <v>0</v>
      </c>
      <c r="M379" s="105">
        <v>0</v>
      </c>
      <c r="N379" s="106">
        <v>0</v>
      </c>
      <c r="O379" s="107">
        <f t="shared" si="18"/>
        <v>59481</v>
      </c>
      <c r="P379" s="105">
        <f t="shared" si="18"/>
        <v>0</v>
      </c>
      <c r="Q379" s="106">
        <f t="shared" si="18"/>
        <v>59481</v>
      </c>
      <c r="R379" s="105">
        <f t="shared" si="17"/>
        <v>112.65340909090909</v>
      </c>
      <c r="S379" s="105">
        <f t="shared" si="17"/>
        <v>0</v>
      </c>
      <c r="T379" s="108">
        <f t="shared" si="17"/>
        <v>112.65340909090909</v>
      </c>
    </row>
    <row r="380" spans="1:20" s="66" customFormat="1" ht="12.75" x14ac:dyDescent="0.2">
      <c r="A380" s="109">
        <v>4045</v>
      </c>
      <c r="B380" s="110">
        <v>7</v>
      </c>
      <c r="C380" s="103" t="s">
        <v>36</v>
      </c>
      <c r="D380" s="103">
        <v>7</v>
      </c>
      <c r="E380" s="104">
        <f>+SUMIF('GE16FEB14 Unfudged'!$A$2:$A$498, $A380, 'GE16FEB14 Unfudged'!$D$2:$D$498)</f>
        <v>0</v>
      </c>
      <c r="F380" s="104">
        <v>0</v>
      </c>
      <c r="G380" s="105">
        <v>0</v>
      </c>
      <c r="H380" s="106">
        <v>0</v>
      </c>
      <c r="I380" s="107">
        <v>0</v>
      </c>
      <c r="J380" s="105">
        <v>0</v>
      </c>
      <c r="K380" s="106">
        <v>0</v>
      </c>
      <c r="L380" s="107">
        <v>0</v>
      </c>
      <c r="M380" s="105">
        <v>0</v>
      </c>
      <c r="N380" s="106">
        <v>0</v>
      </c>
      <c r="O380" s="107">
        <f t="shared" si="18"/>
        <v>0</v>
      </c>
      <c r="P380" s="105">
        <f t="shared" si="18"/>
        <v>0</v>
      </c>
      <c r="Q380" s="106">
        <f t="shared" si="18"/>
        <v>0</v>
      </c>
      <c r="R380" s="105">
        <f t="shared" si="17"/>
        <v>0</v>
      </c>
      <c r="S380" s="105">
        <f t="shared" si="17"/>
        <v>0</v>
      </c>
      <c r="T380" s="108">
        <f t="shared" si="17"/>
        <v>0</v>
      </c>
    </row>
    <row r="381" spans="1:20" s="66" customFormat="1" ht="12.75" x14ac:dyDescent="0.2">
      <c r="A381" s="109">
        <v>4049</v>
      </c>
      <c r="B381" s="110">
        <v>7</v>
      </c>
      <c r="C381" s="103" t="s">
        <v>462</v>
      </c>
      <c r="D381" s="103">
        <v>7</v>
      </c>
      <c r="E381" s="104">
        <f>+SUMIF('GE16FEB14 Unfudged'!$A$2:$A$498, $A381, 'GE16FEB14 Unfudged'!$D$2:$D$498)</f>
        <v>150</v>
      </c>
      <c r="F381" s="104">
        <v>16885</v>
      </c>
      <c r="G381" s="105">
        <v>0</v>
      </c>
      <c r="H381" s="106">
        <v>16885</v>
      </c>
      <c r="I381" s="107">
        <v>0</v>
      </c>
      <c r="J381" s="105">
        <v>0</v>
      </c>
      <c r="K381" s="106">
        <v>0</v>
      </c>
      <c r="L381" s="107">
        <v>0</v>
      </c>
      <c r="M381" s="105">
        <v>0</v>
      </c>
      <c r="N381" s="106">
        <v>0</v>
      </c>
      <c r="O381" s="107">
        <f t="shared" si="18"/>
        <v>16885</v>
      </c>
      <c r="P381" s="105">
        <f t="shared" si="18"/>
        <v>0</v>
      </c>
      <c r="Q381" s="106">
        <f t="shared" si="18"/>
        <v>16885</v>
      </c>
      <c r="R381" s="105">
        <f t="shared" si="17"/>
        <v>112.56666666666666</v>
      </c>
      <c r="S381" s="105">
        <f t="shared" si="17"/>
        <v>0</v>
      </c>
      <c r="T381" s="108">
        <f t="shared" si="17"/>
        <v>112.56666666666666</v>
      </c>
    </row>
    <row r="382" spans="1:20" s="66" customFormat="1" ht="12.75" x14ac:dyDescent="0.2">
      <c r="A382" s="109">
        <v>4050</v>
      </c>
      <c r="B382" s="110">
        <v>7</v>
      </c>
      <c r="C382" s="103" t="s">
        <v>477</v>
      </c>
      <c r="D382" s="103">
        <v>7</v>
      </c>
      <c r="E382" s="104">
        <f>+SUMIF('GE16FEB14 Unfudged'!$A$2:$A$498, $A382, 'GE16FEB14 Unfudged'!$D$2:$D$498)</f>
        <v>119</v>
      </c>
      <c r="F382" s="104">
        <v>13351</v>
      </c>
      <c r="G382" s="105">
        <v>0</v>
      </c>
      <c r="H382" s="106">
        <v>13351</v>
      </c>
      <c r="I382" s="107">
        <v>0</v>
      </c>
      <c r="J382" s="105">
        <v>0</v>
      </c>
      <c r="K382" s="106">
        <v>0</v>
      </c>
      <c r="L382" s="107">
        <v>0</v>
      </c>
      <c r="M382" s="105">
        <v>0</v>
      </c>
      <c r="N382" s="106">
        <v>0</v>
      </c>
      <c r="O382" s="107">
        <f t="shared" si="18"/>
        <v>13351</v>
      </c>
      <c r="P382" s="105">
        <f t="shared" si="18"/>
        <v>0</v>
      </c>
      <c r="Q382" s="106">
        <f t="shared" si="18"/>
        <v>13351</v>
      </c>
      <c r="R382" s="105">
        <f t="shared" si="17"/>
        <v>112.19327731092437</v>
      </c>
      <c r="S382" s="105">
        <f t="shared" si="17"/>
        <v>0</v>
      </c>
      <c r="T382" s="108">
        <f t="shared" si="17"/>
        <v>112.19327731092437</v>
      </c>
    </row>
    <row r="383" spans="1:20" s="66" customFormat="1" ht="12.75" x14ac:dyDescent="0.2">
      <c r="A383" s="109">
        <v>4052</v>
      </c>
      <c r="B383" s="110">
        <v>7</v>
      </c>
      <c r="C383" s="103" t="s">
        <v>478</v>
      </c>
      <c r="D383" s="103">
        <v>7</v>
      </c>
      <c r="E383" s="104">
        <f>+SUMIF('GE16FEB14 Unfudged'!$A$2:$A$498, $A383, 'GE16FEB14 Unfudged'!$D$2:$D$498)</f>
        <v>0</v>
      </c>
      <c r="F383" s="104">
        <v>0</v>
      </c>
      <c r="G383" s="105">
        <v>0</v>
      </c>
      <c r="H383" s="106">
        <v>0</v>
      </c>
      <c r="I383" s="107">
        <v>0</v>
      </c>
      <c r="J383" s="105">
        <v>0</v>
      </c>
      <c r="K383" s="106">
        <v>0</v>
      </c>
      <c r="L383" s="107">
        <v>0</v>
      </c>
      <c r="M383" s="105">
        <v>0</v>
      </c>
      <c r="N383" s="106">
        <v>0</v>
      </c>
      <c r="O383" s="107">
        <f t="shared" si="18"/>
        <v>0</v>
      </c>
      <c r="P383" s="105">
        <f t="shared" si="18"/>
        <v>0</v>
      </c>
      <c r="Q383" s="106">
        <f t="shared" si="18"/>
        <v>0</v>
      </c>
      <c r="R383" s="105">
        <f t="shared" si="17"/>
        <v>0</v>
      </c>
      <c r="S383" s="105">
        <f t="shared" si="17"/>
        <v>0</v>
      </c>
      <c r="T383" s="108">
        <f t="shared" si="17"/>
        <v>0</v>
      </c>
    </row>
    <row r="384" spans="1:20" s="66" customFormat="1" ht="12.75" x14ac:dyDescent="0.2">
      <c r="A384" s="109">
        <v>4053</v>
      </c>
      <c r="B384" s="110">
        <v>7</v>
      </c>
      <c r="C384" s="103" t="s">
        <v>37</v>
      </c>
      <c r="D384" s="103">
        <v>7</v>
      </c>
      <c r="E384" s="104">
        <f>+SUMIF('GE16FEB14 Unfudged'!$A$2:$A$498, $A384, 'GE16FEB14 Unfudged'!$D$2:$D$498)</f>
        <v>478</v>
      </c>
      <c r="F384" s="104">
        <v>53807</v>
      </c>
      <c r="G384" s="105">
        <v>0</v>
      </c>
      <c r="H384" s="106">
        <v>53807</v>
      </c>
      <c r="I384" s="107">
        <v>0</v>
      </c>
      <c r="J384" s="105">
        <v>0</v>
      </c>
      <c r="K384" s="106">
        <v>0</v>
      </c>
      <c r="L384" s="107">
        <v>0</v>
      </c>
      <c r="M384" s="105">
        <v>0</v>
      </c>
      <c r="N384" s="106">
        <v>0</v>
      </c>
      <c r="O384" s="107">
        <f t="shared" si="18"/>
        <v>53807</v>
      </c>
      <c r="P384" s="105">
        <f t="shared" si="18"/>
        <v>0</v>
      </c>
      <c r="Q384" s="106">
        <f t="shared" si="18"/>
        <v>53807</v>
      </c>
      <c r="R384" s="105">
        <f t="shared" si="17"/>
        <v>112.56694560669456</v>
      </c>
      <c r="S384" s="105">
        <f t="shared" si="17"/>
        <v>0</v>
      </c>
      <c r="T384" s="108">
        <f t="shared" si="17"/>
        <v>112.56694560669456</v>
      </c>
    </row>
    <row r="385" spans="1:20" s="66" customFormat="1" ht="12.75" x14ac:dyDescent="0.2">
      <c r="A385" s="109">
        <v>4054</v>
      </c>
      <c r="B385" s="110">
        <v>7</v>
      </c>
      <c r="C385" s="103" t="s">
        <v>38</v>
      </c>
      <c r="D385" s="103">
        <v>7</v>
      </c>
      <c r="E385" s="104">
        <f>+SUMIF('GE16FEB14 Unfudged'!$A$2:$A$498, $A385, 'GE16FEB14 Unfudged'!$D$2:$D$498)</f>
        <v>69</v>
      </c>
      <c r="F385" s="104">
        <v>7745</v>
      </c>
      <c r="G385" s="105">
        <v>0</v>
      </c>
      <c r="H385" s="106">
        <v>7745</v>
      </c>
      <c r="I385" s="107">
        <v>0</v>
      </c>
      <c r="J385" s="105">
        <v>0</v>
      </c>
      <c r="K385" s="106">
        <v>0</v>
      </c>
      <c r="L385" s="107">
        <v>0</v>
      </c>
      <c r="M385" s="105">
        <v>0</v>
      </c>
      <c r="N385" s="106">
        <v>0</v>
      </c>
      <c r="O385" s="107">
        <f t="shared" si="18"/>
        <v>7745</v>
      </c>
      <c r="P385" s="105">
        <f t="shared" si="18"/>
        <v>0</v>
      </c>
      <c r="Q385" s="106">
        <f t="shared" si="18"/>
        <v>7745</v>
      </c>
      <c r="R385" s="105">
        <f t="shared" si="17"/>
        <v>112.2463768115942</v>
      </c>
      <c r="S385" s="105">
        <f t="shared" si="17"/>
        <v>0</v>
      </c>
      <c r="T385" s="108">
        <f t="shared" si="17"/>
        <v>112.2463768115942</v>
      </c>
    </row>
    <row r="386" spans="1:20" s="66" customFormat="1" ht="12.75" x14ac:dyDescent="0.2">
      <c r="A386" s="109">
        <v>4055</v>
      </c>
      <c r="B386" s="110">
        <v>7</v>
      </c>
      <c r="C386" s="103" t="s">
        <v>39</v>
      </c>
      <c r="D386" s="103">
        <v>7</v>
      </c>
      <c r="E386" s="104">
        <f>+SUMIF('GE16FEB14 Unfudged'!$A$2:$A$498, $A386, 'GE16FEB14 Unfudged'!$D$2:$D$498)</f>
        <v>155</v>
      </c>
      <c r="F386" s="104">
        <v>17448</v>
      </c>
      <c r="G386" s="105">
        <v>0</v>
      </c>
      <c r="H386" s="106">
        <v>17448</v>
      </c>
      <c r="I386" s="107">
        <v>0</v>
      </c>
      <c r="J386" s="105">
        <v>0</v>
      </c>
      <c r="K386" s="106">
        <v>0</v>
      </c>
      <c r="L386" s="107">
        <v>0</v>
      </c>
      <c r="M386" s="105">
        <v>0</v>
      </c>
      <c r="N386" s="106">
        <v>0</v>
      </c>
      <c r="O386" s="107">
        <f t="shared" si="18"/>
        <v>17448</v>
      </c>
      <c r="P386" s="105">
        <f t="shared" si="18"/>
        <v>0</v>
      </c>
      <c r="Q386" s="106">
        <f t="shared" si="18"/>
        <v>17448</v>
      </c>
      <c r="R386" s="105">
        <f t="shared" si="17"/>
        <v>112.56774193548387</v>
      </c>
      <c r="S386" s="105">
        <f t="shared" si="17"/>
        <v>0</v>
      </c>
      <c r="T386" s="108">
        <f t="shared" si="17"/>
        <v>112.56774193548387</v>
      </c>
    </row>
    <row r="387" spans="1:20" s="66" customFormat="1" ht="12.75" x14ac:dyDescent="0.2">
      <c r="A387" s="109">
        <v>4056</v>
      </c>
      <c r="B387" s="110">
        <v>7</v>
      </c>
      <c r="C387" s="103" t="s">
        <v>479</v>
      </c>
      <c r="D387" s="103">
        <v>7</v>
      </c>
      <c r="E387" s="104">
        <f>+SUMIF('GE16FEB14 Unfudged'!$A$2:$A$498, $A387, 'GE16FEB14 Unfudged'!$D$2:$D$498)</f>
        <v>120</v>
      </c>
      <c r="F387" s="104">
        <v>13508</v>
      </c>
      <c r="G387" s="105">
        <v>0</v>
      </c>
      <c r="H387" s="106">
        <v>13508</v>
      </c>
      <c r="I387" s="107">
        <v>0</v>
      </c>
      <c r="J387" s="105">
        <v>0</v>
      </c>
      <c r="K387" s="106">
        <v>0</v>
      </c>
      <c r="L387" s="107">
        <v>0</v>
      </c>
      <c r="M387" s="105">
        <v>0</v>
      </c>
      <c r="N387" s="106">
        <v>0</v>
      </c>
      <c r="O387" s="107">
        <f t="shared" si="18"/>
        <v>13508</v>
      </c>
      <c r="P387" s="105">
        <f t="shared" si="18"/>
        <v>0</v>
      </c>
      <c r="Q387" s="106">
        <f t="shared" si="18"/>
        <v>13508</v>
      </c>
      <c r="R387" s="105">
        <f t="shared" si="17"/>
        <v>112.56666666666666</v>
      </c>
      <c r="S387" s="105">
        <f t="shared" si="17"/>
        <v>0</v>
      </c>
      <c r="T387" s="108">
        <f t="shared" si="17"/>
        <v>112.56666666666666</v>
      </c>
    </row>
    <row r="388" spans="1:20" s="66" customFormat="1" ht="12.75" x14ac:dyDescent="0.2">
      <c r="A388" s="109">
        <v>4057</v>
      </c>
      <c r="B388" s="110">
        <v>7</v>
      </c>
      <c r="C388" s="103" t="s">
        <v>40</v>
      </c>
      <c r="D388" s="103">
        <v>7</v>
      </c>
      <c r="E388" s="104">
        <f>+SUMIF('GE16FEB14 Unfudged'!$A$2:$A$498, $A388, 'GE16FEB14 Unfudged'!$D$2:$D$498)</f>
        <v>96</v>
      </c>
      <c r="F388" s="104">
        <v>10807</v>
      </c>
      <c r="G388" s="105">
        <v>0</v>
      </c>
      <c r="H388" s="106">
        <v>10807</v>
      </c>
      <c r="I388" s="107">
        <v>0</v>
      </c>
      <c r="J388" s="105">
        <v>0</v>
      </c>
      <c r="K388" s="106">
        <v>0</v>
      </c>
      <c r="L388" s="107">
        <v>0</v>
      </c>
      <c r="M388" s="105">
        <v>0</v>
      </c>
      <c r="N388" s="106">
        <v>0</v>
      </c>
      <c r="O388" s="107">
        <f t="shared" si="18"/>
        <v>10807</v>
      </c>
      <c r="P388" s="105">
        <f t="shared" si="18"/>
        <v>0</v>
      </c>
      <c r="Q388" s="106">
        <f t="shared" si="18"/>
        <v>10807</v>
      </c>
      <c r="R388" s="105">
        <f t="shared" si="17"/>
        <v>112.57291666666667</v>
      </c>
      <c r="S388" s="105">
        <f t="shared" si="17"/>
        <v>0</v>
      </c>
      <c r="T388" s="108">
        <f t="shared" si="17"/>
        <v>112.57291666666667</v>
      </c>
    </row>
    <row r="389" spans="1:20" s="66" customFormat="1" ht="12.75" x14ac:dyDescent="0.2">
      <c r="A389" s="109">
        <v>4058</v>
      </c>
      <c r="B389" s="110">
        <v>7</v>
      </c>
      <c r="C389" s="103" t="s">
        <v>480</v>
      </c>
      <c r="D389" s="103">
        <v>7</v>
      </c>
      <c r="E389" s="104">
        <f>+SUMIF('GE16FEB14 Unfudged'!$A$2:$A$498, $A389, 'GE16FEB14 Unfudged'!$D$2:$D$498)</f>
        <v>197</v>
      </c>
      <c r="F389" s="104">
        <v>22131</v>
      </c>
      <c r="G389" s="105">
        <v>0</v>
      </c>
      <c r="H389" s="106">
        <v>22131</v>
      </c>
      <c r="I389" s="107">
        <v>0</v>
      </c>
      <c r="J389" s="105">
        <v>0</v>
      </c>
      <c r="K389" s="106">
        <v>0</v>
      </c>
      <c r="L389" s="107">
        <v>0</v>
      </c>
      <c r="M389" s="105">
        <v>0</v>
      </c>
      <c r="N389" s="106">
        <v>0</v>
      </c>
      <c r="O389" s="107">
        <f t="shared" si="18"/>
        <v>22131</v>
      </c>
      <c r="P389" s="105">
        <f t="shared" si="18"/>
        <v>0</v>
      </c>
      <c r="Q389" s="106">
        <f t="shared" si="18"/>
        <v>22131</v>
      </c>
      <c r="R389" s="105">
        <f t="shared" si="17"/>
        <v>112.34010152284264</v>
      </c>
      <c r="S389" s="105">
        <f t="shared" si="17"/>
        <v>0</v>
      </c>
      <c r="T389" s="108">
        <f t="shared" si="17"/>
        <v>112.34010152284264</v>
      </c>
    </row>
    <row r="390" spans="1:20" s="66" customFormat="1" ht="12.75" x14ac:dyDescent="0.2">
      <c r="A390" s="109">
        <v>4059</v>
      </c>
      <c r="B390" s="110">
        <v>7</v>
      </c>
      <c r="C390" s="103" t="s">
        <v>481</v>
      </c>
      <c r="D390" s="103">
        <v>7</v>
      </c>
      <c r="E390" s="104">
        <f>+SUMIF('GE16FEB14 Unfudged'!$A$2:$A$498, $A390, 'GE16FEB14 Unfudged'!$D$2:$D$498)</f>
        <v>168</v>
      </c>
      <c r="F390" s="104">
        <v>18917</v>
      </c>
      <c r="G390" s="105">
        <v>0</v>
      </c>
      <c r="H390" s="106">
        <v>18917</v>
      </c>
      <c r="I390" s="107">
        <v>0</v>
      </c>
      <c r="J390" s="105">
        <v>0</v>
      </c>
      <c r="K390" s="106">
        <v>0</v>
      </c>
      <c r="L390" s="107">
        <v>0</v>
      </c>
      <c r="M390" s="105">
        <v>0</v>
      </c>
      <c r="N390" s="106">
        <v>0</v>
      </c>
      <c r="O390" s="107">
        <f t="shared" si="18"/>
        <v>18917</v>
      </c>
      <c r="P390" s="105">
        <f t="shared" si="18"/>
        <v>0</v>
      </c>
      <c r="Q390" s="106">
        <f t="shared" si="18"/>
        <v>18917</v>
      </c>
      <c r="R390" s="105">
        <f t="shared" si="17"/>
        <v>112.60119047619048</v>
      </c>
      <c r="S390" s="105">
        <f t="shared" si="17"/>
        <v>0</v>
      </c>
      <c r="T390" s="108">
        <f t="shared" si="17"/>
        <v>112.60119047619048</v>
      </c>
    </row>
    <row r="391" spans="1:20" s="66" customFormat="1" ht="12.75" x14ac:dyDescent="0.2">
      <c r="A391" s="109">
        <v>4064</v>
      </c>
      <c r="B391" s="110">
        <v>7</v>
      </c>
      <c r="C391" s="103" t="s">
        <v>482</v>
      </c>
      <c r="D391" s="103">
        <v>7</v>
      </c>
      <c r="E391" s="104">
        <f>+SUMIF('GE16FEB14 Unfudged'!$A$2:$A$498, $A391, 'GE16FEB14 Unfudged'!$D$2:$D$498)</f>
        <v>108</v>
      </c>
      <c r="F391" s="104">
        <v>12202</v>
      </c>
      <c r="G391" s="105">
        <v>0</v>
      </c>
      <c r="H391" s="106">
        <v>12202</v>
      </c>
      <c r="I391" s="107">
        <v>0</v>
      </c>
      <c r="J391" s="105">
        <v>0</v>
      </c>
      <c r="K391" s="106">
        <v>0</v>
      </c>
      <c r="L391" s="107">
        <v>0</v>
      </c>
      <c r="M391" s="105">
        <v>0</v>
      </c>
      <c r="N391" s="106">
        <v>0</v>
      </c>
      <c r="O391" s="107">
        <f t="shared" si="18"/>
        <v>12202</v>
      </c>
      <c r="P391" s="105">
        <f t="shared" si="18"/>
        <v>0</v>
      </c>
      <c r="Q391" s="106">
        <f t="shared" si="18"/>
        <v>12202</v>
      </c>
      <c r="R391" s="105">
        <f t="shared" si="17"/>
        <v>112.98148148148148</v>
      </c>
      <c r="S391" s="105">
        <f t="shared" si="17"/>
        <v>0</v>
      </c>
      <c r="T391" s="108">
        <f t="shared" si="17"/>
        <v>112.98148148148148</v>
      </c>
    </row>
    <row r="392" spans="1:20" s="66" customFormat="1" ht="12.75" x14ac:dyDescent="0.2">
      <c r="A392" s="109">
        <v>4066</v>
      </c>
      <c r="B392" s="110">
        <v>7</v>
      </c>
      <c r="C392" s="103" t="s">
        <v>41</v>
      </c>
      <c r="D392" s="103">
        <v>7</v>
      </c>
      <c r="E392" s="104">
        <f>+SUMIF('GE16FEB14 Unfudged'!$A$2:$A$498, $A392, 'GE16FEB14 Unfudged'!$D$2:$D$498)</f>
        <v>81</v>
      </c>
      <c r="F392" s="104">
        <v>9163</v>
      </c>
      <c r="G392" s="105">
        <v>0</v>
      </c>
      <c r="H392" s="106">
        <v>9163</v>
      </c>
      <c r="I392" s="107">
        <v>0</v>
      </c>
      <c r="J392" s="105">
        <v>0</v>
      </c>
      <c r="K392" s="106">
        <v>0</v>
      </c>
      <c r="L392" s="107">
        <v>0</v>
      </c>
      <c r="M392" s="105">
        <v>0</v>
      </c>
      <c r="N392" s="106">
        <v>0</v>
      </c>
      <c r="O392" s="107">
        <f t="shared" si="18"/>
        <v>9163</v>
      </c>
      <c r="P392" s="105">
        <f t="shared" si="18"/>
        <v>0</v>
      </c>
      <c r="Q392" s="106">
        <f t="shared" si="18"/>
        <v>9163</v>
      </c>
      <c r="R392" s="105">
        <f t="shared" si="17"/>
        <v>113.12345679012346</v>
      </c>
      <c r="S392" s="105">
        <f t="shared" si="17"/>
        <v>0</v>
      </c>
      <c r="T392" s="108">
        <f t="shared" si="17"/>
        <v>113.12345679012346</v>
      </c>
    </row>
    <row r="393" spans="1:20" s="66" customFormat="1" ht="12.75" x14ac:dyDescent="0.2">
      <c r="A393" s="109">
        <v>4067</v>
      </c>
      <c r="B393" s="110">
        <v>7</v>
      </c>
      <c r="C393" s="103" t="s">
        <v>42</v>
      </c>
      <c r="D393" s="103">
        <v>7</v>
      </c>
      <c r="E393" s="104">
        <f>+SUMIF('GE16FEB14 Unfudged'!$A$2:$A$498, $A393, 'GE16FEB14 Unfudged'!$D$2:$D$498)</f>
        <v>305</v>
      </c>
      <c r="F393" s="104">
        <v>34311</v>
      </c>
      <c r="G393" s="105">
        <v>0</v>
      </c>
      <c r="H393" s="106">
        <v>34311</v>
      </c>
      <c r="I393" s="107">
        <v>0</v>
      </c>
      <c r="J393" s="105">
        <v>0</v>
      </c>
      <c r="K393" s="106">
        <v>0</v>
      </c>
      <c r="L393" s="107">
        <v>0</v>
      </c>
      <c r="M393" s="105">
        <v>0</v>
      </c>
      <c r="N393" s="106">
        <v>0</v>
      </c>
      <c r="O393" s="107">
        <f t="shared" si="18"/>
        <v>34311</v>
      </c>
      <c r="P393" s="105">
        <f t="shared" si="18"/>
        <v>0</v>
      </c>
      <c r="Q393" s="106">
        <f t="shared" si="18"/>
        <v>34311</v>
      </c>
      <c r="R393" s="105">
        <f t="shared" si="17"/>
        <v>112.49508196721311</v>
      </c>
      <c r="S393" s="105">
        <f t="shared" si="17"/>
        <v>0</v>
      </c>
      <c r="T393" s="108">
        <f t="shared" si="17"/>
        <v>112.49508196721311</v>
      </c>
    </row>
    <row r="394" spans="1:20" s="66" customFormat="1" ht="12.75" x14ac:dyDescent="0.2">
      <c r="A394" s="109">
        <v>4068</v>
      </c>
      <c r="B394" s="110">
        <v>7</v>
      </c>
      <c r="C394" s="103" t="s">
        <v>43</v>
      </c>
      <c r="D394" s="103">
        <v>7</v>
      </c>
      <c r="E394" s="104">
        <f>+SUMIF('GE16FEB14 Unfudged'!$A$2:$A$498, $A394, 'GE16FEB14 Unfudged'!$D$2:$D$498)</f>
        <v>388</v>
      </c>
      <c r="F394" s="104">
        <v>43676</v>
      </c>
      <c r="G394" s="105">
        <v>0</v>
      </c>
      <c r="H394" s="106">
        <v>43676</v>
      </c>
      <c r="I394" s="107">
        <v>0</v>
      </c>
      <c r="J394" s="105">
        <v>0</v>
      </c>
      <c r="K394" s="106">
        <v>0</v>
      </c>
      <c r="L394" s="107">
        <v>0</v>
      </c>
      <c r="M394" s="105">
        <v>0</v>
      </c>
      <c r="N394" s="106">
        <v>0</v>
      </c>
      <c r="O394" s="107">
        <f t="shared" si="18"/>
        <v>43676</v>
      </c>
      <c r="P394" s="105">
        <f t="shared" si="18"/>
        <v>0</v>
      </c>
      <c r="Q394" s="106">
        <f t="shared" si="18"/>
        <v>43676</v>
      </c>
      <c r="R394" s="105">
        <f t="shared" si="17"/>
        <v>112.56701030927834</v>
      </c>
      <c r="S394" s="105">
        <f t="shared" si="17"/>
        <v>0</v>
      </c>
      <c r="T394" s="108">
        <f t="shared" si="17"/>
        <v>112.56701030927834</v>
      </c>
    </row>
    <row r="395" spans="1:20" s="66" customFormat="1" ht="12.75" x14ac:dyDescent="0.2">
      <c r="A395" s="109">
        <v>4070</v>
      </c>
      <c r="B395" s="110">
        <v>7</v>
      </c>
      <c r="C395" s="103" t="s">
        <v>44</v>
      </c>
      <c r="D395" s="103">
        <v>7</v>
      </c>
      <c r="E395" s="104">
        <f>+SUMIF('GE16FEB14 Unfudged'!$A$2:$A$498, $A395, 'GE16FEB14 Unfudged'!$D$2:$D$498)</f>
        <v>496</v>
      </c>
      <c r="F395" s="104">
        <v>55811</v>
      </c>
      <c r="G395" s="105">
        <v>0</v>
      </c>
      <c r="H395" s="106">
        <v>55811</v>
      </c>
      <c r="I395" s="107">
        <v>0</v>
      </c>
      <c r="J395" s="105">
        <v>0</v>
      </c>
      <c r="K395" s="106">
        <v>0</v>
      </c>
      <c r="L395" s="107">
        <v>0</v>
      </c>
      <c r="M395" s="105">
        <v>0</v>
      </c>
      <c r="N395" s="106">
        <v>0</v>
      </c>
      <c r="O395" s="107">
        <f t="shared" si="18"/>
        <v>55811</v>
      </c>
      <c r="P395" s="105">
        <f t="shared" si="18"/>
        <v>0</v>
      </c>
      <c r="Q395" s="106">
        <f t="shared" si="18"/>
        <v>55811</v>
      </c>
      <c r="R395" s="105">
        <f t="shared" si="17"/>
        <v>112.52217741935483</v>
      </c>
      <c r="S395" s="105">
        <f t="shared" si="17"/>
        <v>0</v>
      </c>
      <c r="T395" s="108">
        <f t="shared" si="17"/>
        <v>112.52217741935483</v>
      </c>
    </row>
    <row r="396" spans="1:20" s="66" customFormat="1" ht="12.75" x14ac:dyDescent="0.2">
      <c r="A396" s="109">
        <v>4073</v>
      </c>
      <c r="B396" s="110">
        <v>7</v>
      </c>
      <c r="C396" s="103" t="s">
        <v>483</v>
      </c>
      <c r="D396" s="103">
        <v>7</v>
      </c>
      <c r="E396" s="104">
        <f>+SUMIF('GE16FEB14 Unfudged'!$A$2:$A$498, $A396, 'GE16FEB14 Unfudged'!$D$2:$D$498)</f>
        <v>410</v>
      </c>
      <c r="F396" s="104">
        <v>46153</v>
      </c>
      <c r="G396" s="105">
        <v>0</v>
      </c>
      <c r="H396" s="106">
        <v>46153</v>
      </c>
      <c r="I396" s="107">
        <v>0</v>
      </c>
      <c r="J396" s="105">
        <v>0</v>
      </c>
      <c r="K396" s="106">
        <v>0</v>
      </c>
      <c r="L396" s="107">
        <v>0</v>
      </c>
      <c r="M396" s="105">
        <v>0</v>
      </c>
      <c r="N396" s="106">
        <v>0</v>
      </c>
      <c r="O396" s="107">
        <f t="shared" si="18"/>
        <v>46153</v>
      </c>
      <c r="P396" s="105">
        <f t="shared" si="18"/>
        <v>0</v>
      </c>
      <c r="Q396" s="106">
        <f t="shared" si="18"/>
        <v>46153</v>
      </c>
      <c r="R396" s="105">
        <f t="shared" si="17"/>
        <v>112.56829268292682</v>
      </c>
      <c r="S396" s="105">
        <f t="shared" si="17"/>
        <v>0</v>
      </c>
      <c r="T396" s="108">
        <f t="shared" si="17"/>
        <v>112.56829268292682</v>
      </c>
    </row>
    <row r="397" spans="1:20" s="66" customFormat="1" ht="12.75" x14ac:dyDescent="0.2">
      <c r="A397" s="109">
        <v>4074</v>
      </c>
      <c r="B397" s="110">
        <v>7</v>
      </c>
      <c r="C397" s="103" t="s">
        <v>484</v>
      </c>
      <c r="D397" s="103">
        <v>7</v>
      </c>
      <c r="E397" s="104">
        <f>+SUMIF('GE16FEB14 Unfudged'!$A$2:$A$498, $A397, 'GE16FEB14 Unfudged'!$D$2:$D$498)</f>
        <v>360</v>
      </c>
      <c r="F397" s="104">
        <v>40524</v>
      </c>
      <c r="G397" s="105">
        <v>0</v>
      </c>
      <c r="H397" s="106">
        <v>40524</v>
      </c>
      <c r="I397" s="107">
        <v>0</v>
      </c>
      <c r="J397" s="105">
        <v>0</v>
      </c>
      <c r="K397" s="106">
        <v>0</v>
      </c>
      <c r="L397" s="107">
        <v>0</v>
      </c>
      <c r="M397" s="105">
        <v>0</v>
      </c>
      <c r="N397" s="106">
        <v>0</v>
      </c>
      <c r="O397" s="107">
        <f t="shared" si="18"/>
        <v>40524</v>
      </c>
      <c r="P397" s="105">
        <f t="shared" si="18"/>
        <v>0</v>
      </c>
      <c r="Q397" s="106">
        <f t="shared" si="18"/>
        <v>40524</v>
      </c>
      <c r="R397" s="105">
        <f t="shared" si="17"/>
        <v>112.56666666666666</v>
      </c>
      <c r="S397" s="105">
        <f t="shared" si="17"/>
        <v>0</v>
      </c>
      <c r="T397" s="108">
        <f t="shared" si="17"/>
        <v>112.56666666666666</v>
      </c>
    </row>
    <row r="398" spans="1:20" s="66" customFormat="1" ht="12.75" x14ac:dyDescent="0.2">
      <c r="A398" s="109">
        <v>4075</v>
      </c>
      <c r="B398" s="110">
        <v>7</v>
      </c>
      <c r="C398" s="103" t="s">
        <v>45</v>
      </c>
      <c r="D398" s="103">
        <v>7</v>
      </c>
      <c r="E398" s="104">
        <f>+SUMIF('GE16FEB14 Unfudged'!$A$2:$A$498, $A398, 'GE16FEB14 Unfudged'!$D$2:$D$498)</f>
        <v>225</v>
      </c>
      <c r="F398" s="104">
        <v>25328</v>
      </c>
      <c r="G398" s="105">
        <v>0</v>
      </c>
      <c r="H398" s="106">
        <v>25328</v>
      </c>
      <c r="I398" s="107">
        <v>0</v>
      </c>
      <c r="J398" s="105">
        <v>0</v>
      </c>
      <c r="K398" s="106">
        <v>0</v>
      </c>
      <c r="L398" s="107">
        <v>0</v>
      </c>
      <c r="M398" s="105">
        <v>0</v>
      </c>
      <c r="N398" s="106">
        <v>0</v>
      </c>
      <c r="O398" s="107">
        <f t="shared" si="18"/>
        <v>25328</v>
      </c>
      <c r="P398" s="105">
        <f t="shared" si="18"/>
        <v>0</v>
      </c>
      <c r="Q398" s="106">
        <f t="shared" si="18"/>
        <v>25328</v>
      </c>
      <c r="R398" s="105">
        <f t="shared" si="17"/>
        <v>112.56888888888889</v>
      </c>
      <c r="S398" s="105">
        <f t="shared" si="17"/>
        <v>0</v>
      </c>
      <c r="T398" s="108">
        <f t="shared" si="17"/>
        <v>112.56888888888889</v>
      </c>
    </row>
    <row r="399" spans="1:20" s="66" customFormat="1" ht="12.75" x14ac:dyDescent="0.2">
      <c r="A399" s="109">
        <v>4077</v>
      </c>
      <c r="B399" s="110">
        <v>7</v>
      </c>
      <c r="C399" s="103" t="s">
        <v>485</v>
      </c>
      <c r="D399" s="103">
        <v>7</v>
      </c>
      <c r="E399" s="104">
        <f>+SUMIF('GE16FEB14 Unfudged'!$A$2:$A$498, $A399, 'GE16FEB14 Unfudged'!$D$2:$D$498)</f>
        <v>524</v>
      </c>
      <c r="F399" s="104">
        <v>59014</v>
      </c>
      <c r="G399" s="105">
        <v>0</v>
      </c>
      <c r="H399" s="106">
        <v>59014</v>
      </c>
      <c r="I399" s="107">
        <v>0</v>
      </c>
      <c r="J399" s="105">
        <v>0</v>
      </c>
      <c r="K399" s="106">
        <v>0</v>
      </c>
      <c r="L399" s="107">
        <v>0</v>
      </c>
      <c r="M399" s="105">
        <v>0</v>
      </c>
      <c r="N399" s="106">
        <v>0</v>
      </c>
      <c r="O399" s="107">
        <f t="shared" si="18"/>
        <v>59014</v>
      </c>
      <c r="P399" s="105">
        <f t="shared" si="18"/>
        <v>0</v>
      </c>
      <c r="Q399" s="106">
        <f t="shared" si="18"/>
        <v>59014</v>
      </c>
      <c r="R399" s="105">
        <f t="shared" si="17"/>
        <v>112.62213740458016</v>
      </c>
      <c r="S399" s="105">
        <f t="shared" si="17"/>
        <v>0</v>
      </c>
      <c r="T399" s="108">
        <f t="shared" si="17"/>
        <v>112.62213740458016</v>
      </c>
    </row>
    <row r="400" spans="1:20" s="66" customFormat="1" ht="12.75" x14ac:dyDescent="0.2">
      <c r="A400" s="109">
        <v>4078</v>
      </c>
      <c r="B400" s="110">
        <v>7</v>
      </c>
      <c r="C400" s="103" t="s">
        <v>486</v>
      </c>
      <c r="D400" s="103">
        <v>7</v>
      </c>
      <c r="E400" s="104">
        <f>+SUMIF('GE16FEB14 Unfudged'!$A$2:$A$498, $A400, 'GE16FEB14 Unfudged'!$D$2:$D$498)</f>
        <v>501</v>
      </c>
      <c r="F400" s="104">
        <v>56396</v>
      </c>
      <c r="G400" s="105">
        <v>0</v>
      </c>
      <c r="H400" s="106">
        <v>56396</v>
      </c>
      <c r="I400" s="107">
        <v>0</v>
      </c>
      <c r="J400" s="105">
        <v>0</v>
      </c>
      <c r="K400" s="106">
        <v>0</v>
      </c>
      <c r="L400" s="107">
        <v>0</v>
      </c>
      <c r="M400" s="105">
        <v>0</v>
      </c>
      <c r="N400" s="106">
        <v>0</v>
      </c>
      <c r="O400" s="107">
        <f t="shared" si="18"/>
        <v>56396</v>
      </c>
      <c r="P400" s="105">
        <f t="shared" si="18"/>
        <v>0</v>
      </c>
      <c r="Q400" s="106">
        <f t="shared" si="18"/>
        <v>56396</v>
      </c>
      <c r="R400" s="105">
        <f t="shared" si="17"/>
        <v>112.56686626746507</v>
      </c>
      <c r="S400" s="105">
        <f t="shared" si="17"/>
        <v>0</v>
      </c>
      <c r="T400" s="108">
        <f t="shared" si="17"/>
        <v>112.56686626746507</v>
      </c>
    </row>
    <row r="401" spans="1:20" s="66" customFormat="1" ht="12.75" x14ac:dyDescent="0.2">
      <c r="A401" s="109">
        <v>4079</v>
      </c>
      <c r="B401" s="110">
        <v>7</v>
      </c>
      <c r="C401" s="103" t="s">
        <v>487</v>
      </c>
      <c r="D401" s="103">
        <v>7</v>
      </c>
      <c r="E401" s="104">
        <f>+SUMIF('GE16FEB14 Unfudged'!$A$2:$A$498, $A401, 'GE16FEB14 Unfudged'!$D$2:$D$498)</f>
        <v>124</v>
      </c>
      <c r="F401" s="104">
        <v>13930</v>
      </c>
      <c r="G401" s="105">
        <v>0</v>
      </c>
      <c r="H401" s="106">
        <v>13930</v>
      </c>
      <c r="I401" s="107">
        <v>0</v>
      </c>
      <c r="J401" s="105">
        <v>0</v>
      </c>
      <c r="K401" s="106">
        <v>0</v>
      </c>
      <c r="L401" s="107">
        <v>0</v>
      </c>
      <c r="M401" s="105">
        <v>0</v>
      </c>
      <c r="N401" s="106">
        <v>0</v>
      </c>
      <c r="O401" s="107">
        <f t="shared" si="18"/>
        <v>13930</v>
      </c>
      <c r="P401" s="105">
        <f t="shared" si="18"/>
        <v>0</v>
      </c>
      <c r="Q401" s="106">
        <f t="shared" si="18"/>
        <v>13930</v>
      </c>
      <c r="R401" s="105">
        <f t="shared" si="17"/>
        <v>112.33870967741936</v>
      </c>
      <c r="S401" s="105">
        <f t="shared" si="17"/>
        <v>0</v>
      </c>
      <c r="T401" s="108">
        <f t="shared" si="17"/>
        <v>112.33870967741936</v>
      </c>
    </row>
    <row r="402" spans="1:20" s="66" customFormat="1" ht="12.75" x14ac:dyDescent="0.2">
      <c r="A402" s="109">
        <v>4080</v>
      </c>
      <c r="B402" s="110">
        <v>7</v>
      </c>
      <c r="C402" s="103" t="s">
        <v>46</v>
      </c>
      <c r="D402" s="103">
        <v>7</v>
      </c>
      <c r="E402" s="104">
        <f>+SUMIF('GE16FEB14 Unfudged'!$A$2:$A$498, $A402, 'GE16FEB14 Unfudged'!$D$2:$D$498)</f>
        <v>54</v>
      </c>
      <c r="F402" s="104">
        <v>6079</v>
      </c>
      <c r="G402" s="105">
        <v>0</v>
      </c>
      <c r="H402" s="106">
        <v>6079</v>
      </c>
      <c r="I402" s="107">
        <v>0</v>
      </c>
      <c r="J402" s="105">
        <v>0</v>
      </c>
      <c r="K402" s="106">
        <v>0</v>
      </c>
      <c r="L402" s="107">
        <v>0</v>
      </c>
      <c r="M402" s="105">
        <v>0</v>
      </c>
      <c r="N402" s="106">
        <v>0</v>
      </c>
      <c r="O402" s="107">
        <f t="shared" si="18"/>
        <v>6079</v>
      </c>
      <c r="P402" s="105">
        <f t="shared" si="18"/>
        <v>0</v>
      </c>
      <c r="Q402" s="106">
        <f t="shared" si="18"/>
        <v>6079</v>
      </c>
      <c r="R402" s="105">
        <f t="shared" si="17"/>
        <v>112.57407407407408</v>
      </c>
      <c r="S402" s="105">
        <f t="shared" si="17"/>
        <v>0</v>
      </c>
      <c r="T402" s="108">
        <f t="shared" si="17"/>
        <v>112.57407407407408</v>
      </c>
    </row>
    <row r="403" spans="1:20" s="66" customFormat="1" ht="12.75" x14ac:dyDescent="0.2">
      <c r="A403" s="109">
        <v>4081</v>
      </c>
      <c r="B403" s="110">
        <v>7</v>
      </c>
      <c r="C403" s="103" t="s">
        <v>488</v>
      </c>
      <c r="D403" s="103">
        <v>7</v>
      </c>
      <c r="E403" s="104">
        <f>+SUMIF('GE16FEB14 Unfudged'!$A$2:$A$498, $A403, 'GE16FEB14 Unfudged'!$D$2:$D$498)</f>
        <v>67</v>
      </c>
      <c r="F403" s="104">
        <v>7497</v>
      </c>
      <c r="G403" s="105">
        <v>0</v>
      </c>
      <c r="H403" s="106">
        <v>7497</v>
      </c>
      <c r="I403" s="107">
        <v>0</v>
      </c>
      <c r="J403" s="105">
        <v>0</v>
      </c>
      <c r="K403" s="106">
        <v>0</v>
      </c>
      <c r="L403" s="107">
        <v>0</v>
      </c>
      <c r="M403" s="105">
        <v>0</v>
      </c>
      <c r="N403" s="106">
        <v>0</v>
      </c>
      <c r="O403" s="107">
        <f t="shared" si="18"/>
        <v>7497</v>
      </c>
      <c r="P403" s="105">
        <f t="shared" si="18"/>
        <v>0</v>
      </c>
      <c r="Q403" s="106">
        <f t="shared" si="18"/>
        <v>7497</v>
      </c>
      <c r="R403" s="105">
        <f t="shared" ref="R403:T466" si="19">+IF($E403=0, 0, O403/$E403)</f>
        <v>111.8955223880597</v>
      </c>
      <c r="S403" s="105">
        <f t="shared" si="19"/>
        <v>0</v>
      </c>
      <c r="T403" s="108">
        <f t="shared" si="19"/>
        <v>111.8955223880597</v>
      </c>
    </row>
    <row r="404" spans="1:20" s="66" customFormat="1" ht="12.75" x14ac:dyDescent="0.2">
      <c r="A404" s="109">
        <v>4082</v>
      </c>
      <c r="B404" s="110">
        <v>7</v>
      </c>
      <c r="C404" s="103" t="s">
        <v>47</v>
      </c>
      <c r="D404" s="103">
        <v>7</v>
      </c>
      <c r="E404" s="104">
        <f>+SUMIF('GE16FEB14 Unfudged'!$A$2:$A$498, $A404, 'GE16FEB14 Unfudged'!$D$2:$D$498)</f>
        <v>600</v>
      </c>
      <c r="F404" s="104">
        <v>67541</v>
      </c>
      <c r="G404" s="105">
        <v>0</v>
      </c>
      <c r="H404" s="106">
        <v>67541</v>
      </c>
      <c r="I404" s="107">
        <v>0</v>
      </c>
      <c r="J404" s="105">
        <v>0</v>
      </c>
      <c r="K404" s="106">
        <v>0</v>
      </c>
      <c r="L404" s="107">
        <v>0</v>
      </c>
      <c r="M404" s="105">
        <v>0</v>
      </c>
      <c r="N404" s="106">
        <v>0</v>
      </c>
      <c r="O404" s="107">
        <f t="shared" si="18"/>
        <v>67541</v>
      </c>
      <c r="P404" s="105">
        <f t="shared" si="18"/>
        <v>0</v>
      </c>
      <c r="Q404" s="106">
        <f t="shared" si="18"/>
        <v>67541</v>
      </c>
      <c r="R404" s="105">
        <f t="shared" si="19"/>
        <v>112.56833333333333</v>
      </c>
      <c r="S404" s="105">
        <f t="shared" si="19"/>
        <v>0</v>
      </c>
      <c r="T404" s="108">
        <f t="shared" si="19"/>
        <v>112.56833333333333</v>
      </c>
    </row>
    <row r="405" spans="1:20" s="66" customFormat="1" ht="12.75" x14ac:dyDescent="0.2">
      <c r="A405" s="109">
        <v>4083</v>
      </c>
      <c r="B405" s="110">
        <v>7</v>
      </c>
      <c r="C405" s="103" t="s">
        <v>48</v>
      </c>
      <c r="D405" s="103">
        <v>7</v>
      </c>
      <c r="E405" s="104">
        <f>+SUMIF('GE16FEB14 Unfudged'!$A$2:$A$498, $A405, 'GE16FEB14 Unfudged'!$D$2:$D$498)</f>
        <v>102</v>
      </c>
      <c r="F405" s="104">
        <v>11482</v>
      </c>
      <c r="G405" s="105">
        <v>0</v>
      </c>
      <c r="H405" s="106">
        <v>11482</v>
      </c>
      <c r="I405" s="107">
        <v>0</v>
      </c>
      <c r="J405" s="105">
        <v>0</v>
      </c>
      <c r="K405" s="106">
        <v>0</v>
      </c>
      <c r="L405" s="107">
        <v>0</v>
      </c>
      <c r="M405" s="105">
        <v>0</v>
      </c>
      <c r="N405" s="106">
        <v>0</v>
      </c>
      <c r="O405" s="107">
        <f t="shared" si="18"/>
        <v>11482</v>
      </c>
      <c r="P405" s="105">
        <f t="shared" si="18"/>
        <v>0</v>
      </c>
      <c r="Q405" s="106">
        <f t="shared" si="18"/>
        <v>11482</v>
      </c>
      <c r="R405" s="105">
        <f t="shared" si="19"/>
        <v>112.56862745098039</v>
      </c>
      <c r="S405" s="105">
        <f t="shared" si="19"/>
        <v>0</v>
      </c>
      <c r="T405" s="108">
        <f t="shared" si="19"/>
        <v>112.56862745098039</v>
      </c>
    </row>
    <row r="406" spans="1:20" s="66" customFormat="1" ht="12.75" x14ac:dyDescent="0.2">
      <c r="A406" s="109">
        <v>4084</v>
      </c>
      <c r="B406" s="110">
        <v>7</v>
      </c>
      <c r="C406" s="103" t="s">
        <v>49</v>
      </c>
      <c r="D406" s="103">
        <v>7</v>
      </c>
      <c r="E406" s="104">
        <f>+SUMIF('GE16FEB14 Unfudged'!$A$2:$A$498, $A406, 'GE16FEB14 Unfudged'!$D$2:$D$498)</f>
        <v>338</v>
      </c>
      <c r="F406" s="104">
        <v>38003</v>
      </c>
      <c r="G406" s="105">
        <v>0</v>
      </c>
      <c r="H406" s="106">
        <v>38003</v>
      </c>
      <c r="I406" s="107">
        <v>0</v>
      </c>
      <c r="J406" s="105">
        <v>0</v>
      </c>
      <c r="K406" s="106">
        <v>0</v>
      </c>
      <c r="L406" s="107">
        <v>0</v>
      </c>
      <c r="M406" s="105">
        <v>0</v>
      </c>
      <c r="N406" s="106">
        <v>0</v>
      </c>
      <c r="O406" s="107">
        <f t="shared" si="18"/>
        <v>38003</v>
      </c>
      <c r="P406" s="105">
        <f t="shared" si="18"/>
        <v>0</v>
      </c>
      <c r="Q406" s="106">
        <f t="shared" si="18"/>
        <v>38003</v>
      </c>
      <c r="R406" s="105">
        <f t="shared" si="19"/>
        <v>112.43491124260355</v>
      </c>
      <c r="S406" s="105">
        <f t="shared" si="19"/>
        <v>0</v>
      </c>
      <c r="T406" s="108">
        <f t="shared" si="19"/>
        <v>112.43491124260355</v>
      </c>
    </row>
    <row r="407" spans="1:20" s="66" customFormat="1" ht="12.75" x14ac:dyDescent="0.2">
      <c r="A407" s="109">
        <v>4085</v>
      </c>
      <c r="B407" s="110">
        <v>7</v>
      </c>
      <c r="C407" s="103" t="s">
        <v>489</v>
      </c>
      <c r="D407" s="103">
        <v>7</v>
      </c>
      <c r="E407" s="104">
        <f>+SUMIF('GE16FEB14 Unfudged'!$A$2:$A$498, $A407, 'GE16FEB14 Unfudged'!$D$2:$D$498)</f>
        <v>216</v>
      </c>
      <c r="F407" s="104">
        <v>24315</v>
      </c>
      <c r="G407" s="105">
        <v>0</v>
      </c>
      <c r="H407" s="106">
        <v>24315</v>
      </c>
      <c r="I407" s="107">
        <v>0</v>
      </c>
      <c r="J407" s="105">
        <v>0</v>
      </c>
      <c r="K407" s="106">
        <v>0</v>
      </c>
      <c r="L407" s="107">
        <v>0</v>
      </c>
      <c r="M407" s="105">
        <v>0</v>
      </c>
      <c r="N407" s="106">
        <v>0</v>
      </c>
      <c r="O407" s="107">
        <f t="shared" si="18"/>
        <v>24315</v>
      </c>
      <c r="P407" s="105">
        <f t="shared" si="18"/>
        <v>0</v>
      </c>
      <c r="Q407" s="106">
        <f t="shared" si="18"/>
        <v>24315</v>
      </c>
      <c r="R407" s="105">
        <f t="shared" si="19"/>
        <v>112.56944444444444</v>
      </c>
      <c r="S407" s="105">
        <f t="shared" si="19"/>
        <v>0</v>
      </c>
      <c r="T407" s="108">
        <f t="shared" si="19"/>
        <v>112.56944444444444</v>
      </c>
    </row>
    <row r="408" spans="1:20" s="66" customFormat="1" ht="12.75" x14ac:dyDescent="0.2">
      <c r="A408" s="109">
        <v>4086</v>
      </c>
      <c r="B408" s="110">
        <v>7</v>
      </c>
      <c r="C408" s="103" t="s">
        <v>490</v>
      </c>
      <c r="D408" s="103">
        <v>7</v>
      </c>
      <c r="E408" s="104">
        <f>+SUMIF('GE16FEB14 Unfudged'!$A$2:$A$498, $A408, 'GE16FEB14 Unfudged'!$D$2:$D$498)</f>
        <v>365</v>
      </c>
      <c r="F408" s="104">
        <v>41065</v>
      </c>
      <c r="G408" s="105">
        <v>0</v>
      </c>
      <c r="H408" s="106">
        <v>41065</v>
      </c>
      <c r="I408" s="107">
        <v>0</v>
      </c>
      <c r="J408" s="105">
        <v>0</v>
      </c>
      <c r="K408" s="106">
        <v>0</v>
      </c>
      <c r="L408" s="107">
        <v>0</v>
      </c>
      <c r="M408" s="105">
        <v>0</v>
      </c>
      <c r="N408" s="106">
        <v>0</v>
      </c>
      <c r="O408" s="107">
        <f t="shared" si="18"/>
        <v>41065</v>
      </c>
      <c r="P408" s="105">
        <f t="shared" si="18"/>
        <v>0</v>
      </c>
      <c r="Q408" s="106">
        <f t="shared" si="18"/>
        <v>41065</v>
      </c>
      <c r="R408" s="105">
        <f t="shared" si="19"/>
        <v>112.50684931506849</v>
      </c>
      <c r="S408" s="105">
        <f t="shared" si="19"/>
        <v>0</v>
      </c>
      <c r="T408" s="108">
        <f t="shared" si="19"/>
        <v>112.50684931506849</v>
      </c>
    </row>
    <row r="409" spans="1:20" s="66" customFormat="1" ht="12.75" x14ac:dyDescent="0.2">
      <c r="A409" s="109">
        <v>4087</v>
      </c>
      <c r="B409" s="110">
        <v>7</v>
      </c>
      <c r="C409" s="103" t="s">
        <v>50</v>
      </c>
      <c r="D409" s="103">
        <v>7</v>
      </c>
      <c r="E409" s="104">
        <f>+SUMIF('GE16FEB14 Unfudged'!$A$2:$A$498, $A409, 'GE16FEB14 Unfudged'!$D$2:$D$498)</f>
        <v>98</v>
      </c>
      <c r="F409" s="104">
        <v>11077</v>
      </c>
      <c r="G409" s="105">
        <v>0</v>
      </c>
      <c r="H409" s="106">
        <v>11077</v>
      </c>
      <c r="I409" s="107">
        <v>0</v>
      </c>
      <c r="J409" s="105">
        <v>0</v>
      </c>
      <c r="K409" s="106">
        <v>0</v>
      </c>
      <c r="L409" s="107">
        <v>0</v>
      </c>
      <c r="M409" s="105">
        <v>0</v>
      </c>
      <c r="N409" s="106">
        <v>0</v>
      </c>
      <c r="O409" s="107">
        <f t="shared" si="18"/>
        <v>11077</v>
      </c>
      <c r="P409" s="105">
        <f t="shared" si="18"/>
        <v>0</v>
      </c>
      <c r="Q409" s="106">
        <f t="shared" si="18"/>
        <v>11077</v>
      </c>
      <c r="R409" s="105">
        <f t="shared" si="19"/>
        <v>113.03061224489795</v>
      </c>
      <c r="S409" s="105">
        <f t="shared" si="19"/>
        <v>0</v>
      </c>
      <c r="T409" s="108">
        <f t="shared" si="19"/>
        <v>113.03061224489795</v>
      </c>
    </row>
    <row r="410" spans="1:20" s="66" customFormat="1" ht="12.75" x14ac:dyDescent="0.2">
      <c r="A410" s="109">
        <v>4088</v>
      </c>
      <c r="B410" s="110">
        <v>7</v>
      </c>
      <c r="C410" s="103" t="s">
        <v>51</v>
      </c>
      <c r="D410" s="103">
        <v>7</v>
      </c>
      <c r="E410" s="104">
        <f>+SUMIF('GE16FEB14 Unfudged'!$A$2:$A$498, $A410, 'GE16FEB14 Unfudged'!$D$2:$D$498)</f>
        <v>311</v>
      </c>
      <c r="F410" s="104">
        <v>35009</v>
      </c>
      <c r="G410" s="105">
        <v>0</v>
      </c>
      <c r="H410" s="106">
        <v>35009</v>
      </c>
      <c r="I410" s="107">
        <v>0</v>
      </c>
      <c r="J410" s="105">
        <v>0</v>
      </c>
      <c r="K410" s="106">
        <v>0</v>
      </c>
      <c r="L410" s="107">
        <v>0</v>
      </c>
      <c r="M410" s="105">
        <v>0</v>
      </c>
      <c r="N410" s="106">
        <v>0</v>
      </c>
      <c r="O410" s="107">
        <f t="shared" si="18"/>
        <v>35009</v>
      </c>
      <c r="P410" s="105">
        <f t="shared" si="18"/>
        <v>0</v>
      </c>
      <c r="Q410" s="106">
        <f t="shared" si="18"/>
        <v>35009</v>
      </c>
      <c r="R410" s="105">
        <f t="shared" si="19"/>
        <v>112.56913183279742</v>
      </c>
      <c r="S410" s="105">
        <f t="shared" si="19"/>
        <v>0</v>
      </c>
      <c r="T410" s="108">
        <f t="shared" si="19"/>
        <v>112.56913183279742</v>
      </c>
    </row>
    <row r="411" spans="1:20" s="66" customFormat="1" ht="12.75" x14ac:dyDescent="0.2">
      <c r="A411" s="109">
        <v>4089</v>
      </c>
      <c r="B411" s="110">
        <v>7</v>
      </c>
      <c r="C411" s="103" t="s">
        <v>52</v>
      </c>
      <c r="D411" s="103">
        <v>7</v>
      </c>
      <c r="E411" s="104">
        <f>+SUMIF('GE16FEB14 Unfudged'!$A$2:$A$498, $A411, 'GE16FEB14 Unfudged'!$D$2:$D$498)</f>
        <v>225</v>
      </c>
      <c r="F411" s="104">
        <v>25328</v>
      </c>
      <c r="G411" s="105">
        <v>0</v>
      </c>
      <c r="H411" s="106">
        <v>25328</v>
      </c>
      <c r="I411" s="107">
        <v>0</v>
      </c>
      <c r="J411" s="105">
        <v>0</v>
      </c>
      <c r="K411" s="106">
        <v>0</v>
      </c>
      <c r="L411" s="107">
        <v>0</v>
      </c>
      <c r="M411" s="105">
        <v>0</v>
      </c>
      <c r="N411" s="106">
        <v>0</v>
      </c>
      <c r="O411" s="107">
        <f t="shared" si="18"/>
        <v>25328</v>
      </c>
      <c r="P411" s="105">
        <f t="shared" si="18"/>
        <v>0</v>
      </c>
      <c r="Q411" s="106">
        <f t="shared" si="18"/>
        <v>25328</v>
      </c>
      <c r="R411" s="105">
        <f t="shared" si="19"/>
        <v>112.56888888888889</v>
      </c>
      <c r="S411" s="105">
        <f t="shared" si="19"/>
        <v>0</v>
      </c>
      <c r="T411" s="108">
        <f t="shared" si="19"/>
        <v>112.56888888888889</v>
      </c>
    </row>
    <row r="412" spans="1:20" s="66" customFormat="1" ht="12.75" x14ac:dyDescent="0.2">
      <c r="A412" s="109">
        <v>4090</v>
      </c>
      <c r="B412" s="110">
        <v>7</v>
      </c>
      <c r="C412" s="103" t="s">
        <v>53</v>
      </c>
      <c r="D412" s="103">
        <v>7</v>
      </c>
      <c r="E412" s="104">
        <f>+SUMIF('GE16FEB14 Unfudged'!$A$2:$A$498, $A412, 'GE16FEB14 Unfudged'!$D$2:$D$498)</f>
        <v>180</v>
      </c>
      <c r="F412" s="104">
        <v>20262</v>
      </c>
      <c r="G412" s="105">
        <v>0</v>
      </c>
      <c r="H412" s="106">
        <v>20262</v>
      </c>
      <c r="I412" s="107">
        <v>0</v>
      </c>
      <c r="J412" s="105">
        <v>0</v>
      </c>
      <c r="K412" s="106">
        <v>0</v>
      </c>
      <c r="L412" s="107">
        <v>0</v>
      </c>
      <c r="M412" s="105">
        <v>0</v>
      </c>
      <c r="N412" s="106">
        <v>0</v>
      </c>
      <c r="O412" s="107">
        <f t="shared" si="18"/>
        <v>20262</v>
      </c>
      <c r="P412" s="105">
        <f t="shared" si="18"/>
        <v>0</v>
      </c>
      <c r="Q412" s="106">
        <f t="shared" si="18"/>
        <v>20262</v>
      </c>
      <c r="R412" s="105">
        <f t="shared" si="19"/>
        <v>112.56666666666666</v>
      </c>
      <c r="S412" s="105">
        <f t="shared" si="19"/>
        <v>0</v>
      </c>
      <c r="T412" s="108">
        <f t="shared" si="19"/>
        <v>112.56666666666666</v>
      </c>
    </row>
    <row r="413" spans="1:20" s="66" customFormat="1" ht="12.75" x14ac:dyDescent="0.2">
      <c r="A413" s="109">
        <v>4091</v>
      </c>
      <c r="B413" s="110">
        <v>7</v>
      </c>
      <c r="C413" s="103" t="s">
        <v>54</v>
      </c>
      <c r="D413" s="103">
        <v>7</v>
      </c>
      <c r="E413" s="104">
        <f>+SUMIF('GE16FEB14 Unfudged'!$A$2:$A$498, $A413, 'GE16FEB14 Unfudged'!$D$2:$D$498)</f>
        <v>140</v>
      </c>
      <c r="F413" s="104">
        <v>15805</v>
      </c>
      <c r="G413" s="105">
        <v>0</v>
      </c>
      <c r="H413" s="106">
        <v>15805</v>
      </c>
      <c r="I413" s="107">
        <v>0</v>
      </c>
      <c r="J413" s="105">
        <v>0</v>
      </c>
      <c r="K413" s="106">
        <v>0</v>
      </c>
      <c r="L413" s="107">
        <v>0</v>
      </c>
      <c r="M413" s="105">
        <v>0</v>
      </c>
      <c r="N413" s="106">
        <v>0</v>
      </c>
      <c r="O413" s="107">
        <f t="shared" si="18"/>
        <v>15805</v>
      </c>
      <c r="P413" s="105">
        <f t="shared" si="18"/>
        <v>0</v>
      </c>
      <c r="Q413" s="106">
        <f t="shared" si="18"/>
        <v>15805</v>
      </c>
      <c r="R413" s="105">
        <f t="shared" si="19"/>
        <v>112.89285714285714</v>
      </c>
      <c r="S413" s="105">
        <f t="shared" si="19"/>
        <v>0</v>
      </c>
      <c r="T413" s="108">
        <f t="shared" si="19"/>
        <v>112.89285714285714</v>
      </c>
    </row>
    <row r="414" spans="1:20" s="66" customFormat="1" ht="12.75" x14ac:dyDescent="0.2">
      <c r="A414" s="109">
        <v>4092</v>
      </c>
      <c r="B414" s="110">
        <v>7</v>
      </c>
      <c r="C414" s="103" t="s">
        <v>55</v>
      </c>
      <c r="D414" s="103">
        <v>7</v>
      </c>
      <c r="E414" s="104">
        <f>+SUMIF('GE16FEB14 Unfudged'!$A$2:$A$498, $A414, 'GE16FEB14 Unfudged'!$D$2:$D$498)</f>
        <v>79</v>
      </c>
      <c r="F414" s="104">
        <v>8915</v>
      </c>
      <c r="G414" s="105">
        <v>0</v>
      </c>
      <c r="H414" s="106">
        <v>8915</v>
      </c>
      <c r="I414" s="107">
        <v>0</v>
      </c>
      <c r="J414" s="105">
        <v>0</v>
      </c>
      <c r="K414" s="106">
        <v>0</v>
      </c>
      <c r="L414" s="107">
        <v>0</v>
      </c>
      <c r="M414" s="105">
        <v>0</v>
      </c>
      <c r="N414" s="106">
        <v>0</v>
      </c>
      <c r="O414" s="107">
        <f t="shared" si="18"/>
        <v>8915</v>
      </c>
      <c r="P414" s="105">
        <f t="shared" si="18"/>
        <v>0</v>
      </c>
      <c r="Q414" s="106">
        <f t="shared" si="18"/>
        <v>8915</v>
      </c>
      <c r="R414" s="105">
        <f t="shared" si="19"/>
        <v>112.84810126582279</v>
      </c>
      <c r="S414" s="105">
        <f t="shared" si="19"/>
        <v>0</v>
      </c>
      <c r="T414" s="108">
        <f t="shared" si="19"/>
        <v>112.84810126582279</v>
      </c>
    </row>
    <row r="415" spans="1:20" s="66" customFormat="1" ht="12.75" x14ac:dyDescent="0.2">
      <c r="A415" s="109">
        <v>4093</v>
      </c>
      <c r="B415" s="110">
        <v>7</v>
      </c>
      <c r="C415" s="103" t="s">
        <v>56</v>
      </c>
      <c r="D415" s="103">
        <v>7</v>
      </c>
      <c r="E415" s="104">
        <f>+SUMIF('GE16FEB14 Unfudged'!$A$2:$A$498, $A415, 'GE16FEB14 Unfudged'!$D$2:$D$498)</f>
        <v>180</v>
      </c>
      <c r="F415" s="104">
        <v>20262</v>
      </c>
      <c r="G415" s="105">
        <v>0</v>
      </c>
      <c r="H415" s="106">
        <v>20262</v>
      </c>
      <c r="I415" s="107">
        <v>0</v>
      </c>
      <c r="J415" s="105">
        <v>0</v>
      </c>
      <c r="K415" s="106">
        <v>0</v>
      </c>
      <c r="L415" s="107">
        <v>0</v>
      </c>
      <c r="M415" s="105">
        <v>0</v>
      </c>
      <c r="N415" s="106">
        <v>0</v>
      </c>
      <c r="O415" s="107">
        <f t="shared" si="18"/>
        <v>20262</v>
      </c>
      <c r="P415" s="105">
        <f t="shared" si="18"/>
        <v>0</v>
      </c>
      <c r="Q415" s="106">
        <f t="shared" si="18"/>
        <v>20262</v>
      </c>
      <c r="R415" s="105">
        <f t="shared" si="19"/>
        <v>112.56666666666666</v>
      </c>
      <c r="S415" s="105">
        <f t="shared" si="19"/>
        <v>0</v>
      </c>
      <c r="T415" s="108">
        <f t="shared" si="19"/>
        <v>112.56666666666666</v>
      </c>
    </row>
    <row r="416" spans="1:20" s="66" customFormat="1" ht="12.75" x14ac:dyDescent="0.2">
      <c r="A416" s="109">
        <v>4095</v>
      </c>
      <c r="B416" s="110">
        <v>7</v>
      </c>
      <c r="C416" s="103" t="s">
        <v>491</v>
      </c>
      <c r="D416" s="103">
        <v>7</v>
      </c>
      <c r="E416" s="104">
        <f>+SUMIF('GE16FEB14 Unfudged'!$A$2:$A$498, $A416, 'GE16FEB14 Unfudged'!$D$2:$D$498)</f>
        <v>168</v>
      </c>
      <c r="F416" s="104">
        <v>18911</v>
      </c>
      <c r="G416" s="105">
        <v>0</v>
      </c>
      <c r="H416" s="106">
        <v>18911</v>
      </c>
      <c r="I416" s="107">
        <v>0</v>
      </c>
      <c r="J416" s="105">
        <v>0</v>
      </c>
      <c r="K416" s="106">
        <v>0</v>
      </c>
      <c r="L416" s="107">
        <v>0</v>
      </c>
      <c r="M416" s="105">
        <v>0</v>
      </c>
      <c r="N416" s="106">
        <v>0</v>
      </c>
      <c r="O416" s="107">
        <f t="shared" si="18"/>
        <v>18911</v>
      </c>
      <c r="P416" s="105">
        <f t="shared" si="18"/>
        <v>0</v>
      </c>
      <c r="Q416" s="106">
        <f t="shared" si="18"/>
        <v>18911</v>
      </c>
      <c r="R416" s="105">
        <f t="shared" si="19"/>
        <v>112.56547619047619</v>
      </c>
      <c r="S416" s="105">
        <f t="shared" si="19"/>
        <v>0</v>
      </c>
      <c r="T416" s="108">
        <f t="shared" si="19"/>
        <v>112.56547619047619</v>
      </c>
    </row>
    <row r="417" spans="1:20" s="66" customFormat="1" ht="12.75" x14ac:dyDescent="0.2">
      <c r="A417" s="109">
        <v>4097</v>
      </c>
      <c r="B417" s="110">
        <v>7</v>
      </c>
      <c r="C417" s="103" t="s">
        <v>57</v>
      </c>
      <c r="D417" s="103">
        <v>7</v>
      </c>
      <c r="E417" s="104">
        <f>+SUMIF('GE16FEB14 Unfudged'!$A$2:$A$498, $A417, 'GE16FEB14 Unfudged'!$D$2:$D$498)</f>
        <v>270</v>
      </c>
      <c r="F417" s="104">
        <v>30393</v>
      </c>
      <c r="G417" s="105">
        <v>0</v>
      </c>
      <c r="H417" s="106">
        <v>30393</v>
      </c>
      <c r="I417" s="107">
        <v>0</v>
      </c>
      <c r="J417" s="105">
        <v>0</v>
      </c>
      <c r="K417" s="106">
        <v>0</v>
      </c>
      <c r="L417" s="107">
        <v>0</v>
      </c>
      <c r="M417" s="105">
        <v>0</v>
      </c>
      <c r="N417" s="106">
        <v>0</v>
      </c>
      <c r="O417" s="107">
        <f t="shared" si="18"/>
        <v>30393</v>
      </c>
      <c r="P417" s="105">
        <f t="shared" si="18"/>
        <v>0</v>
      </c>
      <c r="Q417" s="106">
        <f t="shared" si="18"/>
        <v>30393</v>
      </c>
      <c r="R417" s="105">
        <f t="shared" si="19"/>
        <v>112.56666666666666</v>
      </c>
      <c r="S417" s="105">
        <f t="shared" si="19"/>
        <v>0</v>
      </c>
      <c r="T417" s="108">
        <f t="shared" si="19"/>
        <v>112.56666666666666</v>
      </c>
    </row>
    <row r="418" spans="1:20" s="66" customFormat="1" ht="12.75" x14ac:dyDescent="0.2">
      <c r="A418" s="109">
        <v>4098</v>
      </c>
      <c r="B418" s="110">
        <v>7</v>
      </c>
      <c r="C418" s="103" t="s">
        <v>58</v>
      </c>
      <c r="D418" s="103">
        <v>7</v>
      </c>
      <c r="E418" s="104">
        <f>+SUMIF('GE16FEB14 Unfudged'!$A$2:$A$498, $A418, 'GE16FEB14 Unfudged'!$D$2:$D$498)</f>
        <v>975</v>
      </c>
      <c r="F418" s="104">
        <v>109776</v>
      </c>
      <c r="G418" s="105">
        <v>0</v>
      </c>
      <c r="H418" s="106">
        <v>109776</v>
      </c>
      <c r="I418" s="107">
        <v>0</v>
      </c>
      <c r="J418" s="105">
        <v>0</v>
      </c>
      <c r="K418" s="106">
        <v>0</v>
      </c>
      <c r="L418" s="107">
        <v>0</v>
      </c>
      <c r="M418" s="105">
        <v>0</v>
      </c>
      <c r="N418" s="106">
        <v>0</v>
      </c>
      <c r="O418" s="107">
        <f t="shared" ref="O418:Q481" si="20">+F418+I418+L418</f>
        <v>109776</v>
      </c>
      <c r="P418" s="105">
        <f t="shared" si="20"/>
        <v>0</v>
      </c>
      <c r="Q418" s="106">
        <f t="shared" si="20"/>
        <v>109776</v>
      </c>
      <c r="R418" s="105">
        <f t="shared" si="19"/>
        <v>112.59076923076923</v>
      </c>
      <c r="S418" s="105">
        <f t="shared" si="19"/>
        <v>0</v>
      </c>
      <c r="T418" s="108">
        <f t="shared" si="19"/>
        <v>112.59076923076923</v>
      </c>
    </row>
    <row r="419" spans="1:20" s="66" customFormat="1" ht="12.75" x14ac:dyDescent="0.2">
      <c r="A419" s="109">
        <v>4100</v>
      </c>
      <c r="B419" s="110">
        <v>7</v>
      </c>
      <c r="C419" s="103" t="s">
        <v>59</v>
      </c>
      <c r="D419" s="103">
        <v>7</v>
      </c>
      <c r="E419" s="104">
        <f>+SUMIF('GE16FEB14 Unfudged'!$A$2:$A$498, $A419, 'GE16FEB14 Unfudged'!$D$2:$D$498)</f>
        <v>91</v>
      </c>
      <c r="F419" s="104">
        <v>10210</v>
      </c>
      <c r="G419" s="105">
        <v>0</v>
      </c>
      <c r="H419" s="106">
        <v>10210</v>
      </c>
      <c r="I419" s="107">
        <v>0</v>
      </c>
      <c r="J419" s="105">
        <v>0</v>
      </c>
      <c r="K419" s="106">
        <v>0</v>
      </c>
      <c r="L419" s="107">
        <v>0</v>
      </c>
      <c r="M419" s="105">
        <v>0</v>
      </c>
      <c r="N419" s="106">
        <v>0</v>
      </c>
      <c r="O419" s="107">
        <f t="shared" si="20"/>
        <v>10210</v>
      </c>
      <c r="P419" s="105">
        <f t="shared" si="20"/>
        <v>0</v>
      </c>
      <c r="Q419" s="106">
        <f t="shared" si="20"/>
        <v>10210</v>
      </c>
      <c r="R419" s="105">
        <f t="shared" si="19"/>
        <v>112.1978021978022</v>
      </c>
      <c r="S419" s="105">
        <f t="shared" si="19"/>
        <v>0</v>
      </c>
      <c r="T419" s="108">
        <f t="shared" si="19"/>
        <v>112.1978021978022</v>
      </c>
    </row>
    <row r="420" spans="1:20" s="66" customFormat="1" ht="12.75" x14ac:dyDescent="0.2">
      <c r="A420" s="109">
        <v>4102</v>
      </c>
      <c r="B420" s="110">
        <v>7</v>
      </c>
      <c r="C420" s="103" t="s">
        <v>60</v>
      </c>
      <c r="D420" s="103">
        <v>7</v>
      </c>
      <c r="E420" s="104">
        <f>+SUMIF('GE16FEB14 Unfudged'!$A$2:$A$498, $A420, 'GE16FEB14 Unfudged'!$D$2:$D$498)</f>
        <v>288</v>
      </c>
      <c r="F420" s="104">
        <v>32420</v>
      </c>
      <c r="G420" s="105">
        <v>0</v>
      </c>
      <c r="H420" s="106">
        <v>32420</v>
      </c>
      <c r="I420" s="107">
        <v>0</v>
      </c>
      <c r="J420" s="105">
        <v>0</v>
      </c>
      <c r="K420" s="106">
        <v>0</v>
      </c>
      <c r="L420" s="107">
        <v>0</v>
      </c>
      <c r="M420" s="105">
        <v>0</v>
      </c>
      <c r="N420" s="106">
        <v>0</v>
      </c>
      <c r="O420" s="107">
        <f t="shared" si="20"/>
        <v>32420</v>
      </c>
      <c r="P420" s="105">
        <f t="shared" si="20"/>
        <v>0</v>
      </c>
      <c r="Q420" s="106">
        <f t="shared" si="20"/>
        <v>32420</v>
      </c>
      <c r="R420" s="105">
        <f t="shared" si="19"/>
        <v>112.56944444444444</v>
      </c>
      <c r="S420" s="105">
        <f t="shared" si="19"/>
        <v>0</v>
      </c>
      <c r="T420" s="108">
        <f t="shared" si="19"/>
        <v>112.56944444444444</v>
      </c>
    </row>
    <row r="421" spans="1:20" s="66" customFormat="1" ht="12.75" x14ac:dyDescent="0.2">
      <c r="A421" s="109">
        <v>4103</v>
      </c>
      <c r="B421" s="110">
        <v>7</v>
      </c>
      <c r="C421" s="103" t="s">
        <v>463</v>
      </c>
      <c r="D421" s="103">
        <v>7</v>
      </c>
      <c r="E421" s="104">
        <f>+SUMIF('GE16FEB14 Unfudged'!$A$2:$A$498, $A421, 'GE16FEB14 Unfudged'!$D$2:$D$498)</f>
        <v>1236</v>
      </c>
      <c r="F421" s="104">
        <v>139134</v>
      </c>
      <c r="G421" s="105">
        <v>0</v>
      </c>
      <c r="H421" s="106">
        <v>139134</v>
      </c>
      <c r="I421" s="107">
        <v>0</v>
      </c>
      <c r="J421" s="105">
        <v>0</v>
      </c>
      <c r="K421" s="106">
        <v>0</v>
      </c>
      <c r="L421" s="107">
        <v>0</v>
      </c>
      <c r="M421" s="105">
        <v>0</v>
      </c>
      <c r="N421" s="106">
        <v>0</v>
      </c>
      <c r="O421" s="107">
        <f t="shared" si="20"/>
        <v>139134</v>
      </c>
      <c r="P421" s="105">
        <f t="shared" si="20"/>
        <v>0</v>
      </c>
      <c r="Q421" s="106">
        <f t="shared" si="20"/>
        <v>139134</v>
      </c>
      <c r="R421" s="105">
        <f t="shared" si="19"/>
        <v>112.56796116504854</v>
      </c>
      <c r="S421" s="105">
        <f t="shared" si="19"/>
        <v>0</v>
      </c>
      <c r="T421" s="108">
        <f t="shared" si="19"/>
        <v>112.56796116504854</v>
      </c>
    </row>
    <row r="422" spans="1:20" s="66" customFormat="1" ht="12.75" x14ac:dyDescent="0.2">
      <c r="A422" s="109">
        <v>4104</v>
      </c>
      <c r="B422" s="110">
        <v>7</v>
      </c>
      <c r="C422" s="103" t="s">
        <v>464</v>
      </c>
      <c r="D422" s="103">
        <v>7</v>
      </c>
      <c r="E422" s="104">
        <f>+SUMIF('GE16FEB14 Unfudged'!$A$2:$A$498, $A422, 'GE16FEB14 Unfudged'!$D$2:$D$498)</f>
        <v>336</v>
      </c>
      <c r="F422" s="104">
        <v>37823</v>
      </c>
      <c r="G422" s="105">
        <v>0</v>
      </c>
      <c r="H422" s="106">
        <v>37823</v>
      </c>
      <c r="I422" s="107">
        <v>0</v>
      </c>
      <c r="J422" s="105">
        <v>0</v>
      </c>
      <c r="K422" s="106">
        <v>0</v>
      </c>
      <c r="L422" s="107">
        <v>0</v>
      </c>
      <c r="M422" s="105">
        <v>0</v>
      </c>
      <c r="N422" s="106">
        <v>0</v>
      </c>
      <c r="O422" s="107">
        <f t="shared" si="20"/>
        <v>37823</v>
      </c>
      <c r="P422" s="105">
        <f t="shared" si="20"/>
        <v>0</v>
      </c>
      <c r="Q422" s="106">
        <f t="shared" si="20"/>
        <v>37823</v>
      </c>
      <c r="R422" s="105">
        <f t="shared" si="19"/>
        <v>112.56845238095238</v>
      </c>
      <c r="S422" s="105">
        <f t="shared" si="19"/>
        <v>0</v>
      </c>
      <c r="T422" s="108">
        <f t="shared" si="19"/>
        <v>112.56845238095238</v>
      </c>
    </row>
    <row r="423" spans="1:20" s="66" customFormat="1" ht="12.75" x14ac:dyDescent="0.2">
      <c r="A423" s="109">
        <v>4105</v>
      </c>
      <c r="B423" s="110">
        <v>7</v>
      </c>
      <c r="C423" s="103" t="s">
        <v>61</v>
      </c>
      <c r="D423" s="103">
        <v>7</v>
      </c>
      <c r="E423" s="104">
        <f>+SUMIF('GE16FEB14 Unfudged'!$A$2:$A$498, $A423, 'GE16FEB14 Unfudged'!$D$2:$D$498)</f>
        <v>417</v>
      </c>
      <c r="F423" s="104">
        <v>46969</v>
      </c>
      <c r="G423" s="105">
        <v>0</v>
      </c>
      <c r="H423" s="106">
        <v>46969</v>
      </c>
      <c r="I423" s="107">
        <v>0</v>
      </c>
      <c r="J423" s="105">
        <v>0</v>
      </c>
      <c r="K423" s="106">
        <v>0</v>
      </c>
      <c r="L423" s="107">
        <v>0</v>
      </c>
      <c r="M423" s="105">
        <v>0</v>
      </c>
      <c r="N423" s="106">
        <v>0</v>
      </c>
      <c r="O423" s="107">
        <f t="shared" si="20"/>
        <v>46969</v>
      </c>
      <c r="P423" s="105">
        <f t="shared" si="20"/>
        <v>0</v>
      </c>
      <c r="Q423" s="106">
        <f t="shared" si="20"/>
        <v>46969</v>
      </c>
      <c r="R423" s="105">
        <f t="shared" si="19"/>
        <v>112.63549160671462</v>
      </c>
      <c r="S423" s="105">
        <f t="shared" si="19"/>
        <v>0</v>
      </c>
      <c r="T423" s="108">
        <f t="shared" si="19"/>
        <v>112.63549160671462</v>
      </c>
    </row>
    <row r="424" spans="1:20" s="66" customFormat="1" ht="12.75" x14ac:dyDescent="0.2">
      <c r="A424" s="109">
        <v>4106</v>
      </c>
      <c r="B424" s="110">
        <v>7</v>
      </c>
      <c r="C424" s="103" t="s">
        <v>62</v>
      </c>
      <c r="D424" s="103">
        <v>7</v>
      </c>
      <c r="E424" s="104">
        <f>+SUMIF('GE16FEB14 Unfudged'!$A$2:$A$498, $A424, 'GE16FEB14 Unfudged'!$D$2:$D$498)</f>
        <v>265</v>
      </c>
      <c r="F424" s="104">
        <v>29785</v>
      </c>
      <c r="G424" s="105">
        <v>0</v>
      </c>
      <c r="H424" s="106">
        <v>29785</v>
      </c>
      <c r="I424" s="107">
        <v>0</v>
      </c>
      <c r="J424" s="105">
        <v>0</v>
      </c>
      <c r="K424" s="106">
        <v>0</v>
      </c>
      <c r="L424" s="107">
        <v>0</v>
      </c>
      <c r="M424" s="105">
        <v>0</v>
      </c>
      <c r="N424" s="106">
        <v>0</v>
      </c>
      <c r="O424" s="107">
        <f t="shared" si="20"/>
        <v>29785</v>
      </c>
      <c r="P424" s="105">
        <f t="shared" si="20"/>
        <v>0</v>
      </c>
      <c r="Q424" s="106">
        <f t="shared" si="20"/>
        <v>29785</v>
      </c>
      <c r="R424" s="105">
        <f t="shared" si="19"/>
        <v>112.39622641509433</v>
      </c>
      <c r="S424" s="105">
        <f t="shared" si="19"/>
        <v>0</v>
      </c>
      <c r="T424" s="108">
        <f t="shared" si="19"/>
        <v>112.39622641509433</v>
      </c>
    </row>
    <row r="425" spans="1:20" s="66" customFormat="1" ht="12.75" x14ac:dyDescent="0.2">
      <c r="A425" s="109">
        <v>4107</v>
      </c>
      <c r="B425" s="110">
        <v>7</v>
      </c>
      <c r="C425" s="103" t="s">
        <v>63</v>
      </c>
      <c r="D425" s="103">
        <v>7</v>
      </c>
      <c r="E425" s="104">
        <f>+SUMIF('GE16FEB14 Unfudged'!$A$2:$A$498, $A425, 'GE16FEB14 Unfudged'!$D$2:$D$498)</f>
        <v>120</v>
      </c>
      <c r="F425" s="104">
        <v>13508</v>
      </c>
      <c r="G425" s="105">
        <v>0</v>
      </c>
      <c r="H425" s="106">
        <v>13508</v>
      </c>
      <c r="I425" s="107">
        <v>0</v>
      </c>
      <c r="J425" s="105">
        <v>0</v>
      </c>
      <c r="K425" s="106">
        <v>0</v>
      </c>
      <c r="L425" s="107">
        <v>0</v>
      </c>
      <c r="M425" s="105">
        <v>0</v>
      </c>
      <c r="N425" s="106">
        <v>0</v>
      </c>
      <c r="O425" s="107">
        <f t="shared" si="20"/>
        <v>13508</v>
      </c>
      <c r="P425" s="105">
        <f t="shared" si="20"/>
        <v>0</v>
      </c>
      <c r="Q425" s="106">
        <f t="shared" si="20"/>
        <v>13508</v>
      </c>
      <c r="R425" s="105">
        <f t="shared" si="19"/>
        <v>112.56666666666666</v>
      </c>
      <c r="S425" s="105">
        <f t="shared" si="19"/>
        <v>0</v>
      </c>
      <c r="T425" s="108">
        <f t="shared" si="19"/>
        <v>112.56666666666666</v>
      </c>
    </row>
    <row r="426" spans="1:20" s="66" customFormat="1" ht="12.75" x14ac:dyDescent="0.2">
      <c r="A426" s="109">
        <v>4108</v>
      </c>
      <c r="B426" s="110">
        <v>7</v>
      </c>
      <c r="C426" s="103" t="s">
        <v>492</v>
      </c>
      <c r="D426" s="103">
        <v>7</v>
      </c>
      <c r="E426" s="104">
        <f>+SUMIF('GE16FEB14 Unfudged'!$A$2:$A$498, $A426, 'GE16FEB14 Unfudged'!$D$2:$D$498)</f>
        <v>0</v>
      </c>
      <c r="F426" s="104">
        <v>0</v>
      </c>
      <c r="G426" s="105">
        <v>0</v>
      </c>
      <c r="H426" s="106">
        <v>0</v>
      </c>
      <c r="I426" s="107">
        <v>0</v>
      </c>
      <c r="J426" s="105">
        <v>0</v>
      </c>
      <c r="K426" s="106">
        <v>0</v>
      </c>
      <c r="L426" s="107">
        <v>0</v>
      </c>
      <c r="M426" s="105">
        <v>0</v>
      </c>
      <c r="N426" s="106">
        <v>0</v>
      </c>
      <c r="O426" s="107">
        <f t="shared" si="20"/>
        <v>0</v>
      </c>
      <c r="P426" s="105">
        <f t="shared" si="20"/>
        <v>0</v>
      </c>
      <c r="Q426" s="106">
        <f t="shared" si="20"/>
        <v>0</v>
      </c>
      <c r="R426" s="105">
        <f t="shared" si="19"/>
        <v>0</v>
      </c>
      <c r="S426" s="105">
        <f t="shared" si="19"/>
        <v>0</v>
      </c>
      <c r="T426" s="108">
        <f t="shared" si="19"/>
        <v>0</v>
      </c>
    </row>
    <row r="427" spans="1:20" s="66" customFormat="1" ht="12.75" x14ac:dyDescent="0.2">
      <c r="A427" s="109">
        <v>4109</v>
      </c>
      <c r="B427" s="110">
        <v>7</v>
      </c>
      <c r="C427" s="103" t="s">
        <v>64</v>
      </c>
      <c r="D427" s="103">
        <v>7</v>
      </c>
      <c r="E427" s="104">
        <f>+SUMIF('GE16FEB14 Unfudged'!$A$2:$A$498, $A427, 'GE16FEB14 Unfudged'!$D$2:$D$498)</f>
        <v>0</v>
      </c>
      <c r="F427" s="104">
        <v>0</v>
      </c>
      <c r="G427" s="105">
        <v>0</v>
      </c>
      <c r="H427" s="106">
        <v>0</v>
      </c>
      <c r="I427" s="107">
        <v>0</v>
      </c>
      <c r="J427" s="105">
        <v>0</v>
      </c>
      <c r="K427" s="106">
        <v>0</v>
      </c>
      <c r="L427" s="107">
        <v>0</v>
      </c>
      <c r="M427" s="105">
        <v>0</v>
      </c>
      <c r="N427" s="106">
        <v>0</v>
      </c>
      <c r="O427" s="107">
        <f t="shared" si="20"/>
        <v>0</v>
      </c>
      <c r="P427" s="105">
        <f t="shared" si="20"/>
        <v>0</v>
      </c>
      <c r="Q427" s="106">
        <f t="shared" si="20"/>
        <v>0</v>
      </c>
      <c r="R427" s="105">
        <f t="shared" si="19"/>
        <v>0</v>
      </c>
      <c r="S427" s="105">
        <f t="shared" si="19"/>
        <v>0</v>
      </c>
      <c r="T427" s="108">
        <f t="shared" si="19"/>
        <v>0</v>
      </c>
    </row>
    <row r="428" spans="1:20" s="66" customFormat="1" ht="12.75" x14ac:dyDescent="0.2">
      <c r="A428" s="109">
        <v>4110</v>
      </c>
      <c r="B428" s="110">
        <v>7</v>
      </c>
      <c r="C428" s="103" t="s">
        <v>493</v>
      </c>
      <c r="D428" s="103">
        <v>7</v>
      </c>
      <c r="E428" s="104">
        <f>+SUMIF('GE16FEB14 Unfudged'!$A$2:$A$498, $A428, 'GE16FEB14 Unfudged'!$D$2:$D$498)</f>
        <v>336</v>
      </c>
      <c r="F428" s="104">
        <v>37823</v>
      </c>
      <c r="G428" s="105">
        <v>0</v>
      </c>
      <c r="H428" s="106">
        <v>37823</v>
      </c>
      <c r="I428" s="107">
        <v>0</v>
      </c>
      <c r="J428" s="105">
        <v>0</v>
      </c>
      <c r="K428" s="106">
        <v>0</v>
      </c>
      <c r="L428" s="107">
        <v>0</v>
      </c>
      <c r="M428" s="105">
        <v>0</v>
      </c>
      <c r="N428" s="106">
        <v>0</v>
      </c>
      <c r="O428" s="107">
        <f t="shared" si="20"/>
        <v>37823</v>
      </c>
      <c r="P428" s="105">
        <f t="shared" si="20"/>
        <v>0</v>
      </c>
      <c r="Q428" s="106">
        <f t="shared" si="20"/>
        <v>37823</v>
      </c>
      <c r="R428" s="105">
        <f t="shared" si="19"/>
        <v>112.56845238095238</v>
      </c>
      <c r="S428" s="105">
        <f t="shared" si="19"/>
        <v>0</v>
      </c>
      <c r="T428" s="108">
        <f t="shared" si="19"/>
        <v>112.56845238095238</v>
      </c>
    </row>
    <row r="429" spans="1:20" s="66" customFormat="1" ht="12.75" x14ac:dyDescent="0.2">
      <c r="A429" s="109">
        <v>4111</v>
      </c>
      <c r="B429" s="110">
        <v>7</v>
      </c>
      <c r="C429" s="103" t="s">
        <v>494</v>
      </c>
      <c r="D429" s="103">
        <v>7</v>
      </c>
      <c r="E429" s="104">
        <f>+SUMIF('GE16FEB14 Unfudged'!$A$2:$A$498, $A429, 'GE16FEB14 Unfudged'!$D$2:$D$498)</f>
        <v>168</v>
      </c>
      <c r="F429" s="104">
        <v>18911</v>
      </c>
      <c r="G429" s="105">
        <v>0</v>
      </c>
      <c r="H429" s="106">
        <v>18911</v>
      </c>
      <c r="I429" s="107">
        <v>0</v>
      </c>
      <c r="J429" s="105">
        <v>0</v>
      </c>
      <c r="K429" s="106">
        <v>0</v>
      </c>
      <c r="L429" s="107">
        <v>0</v>
      </c>
      <c r="M429" s="105">
        <v>0</v>
      </c>
      <c r="N429" s="106">
        <v>0</v>
      </c>
      <c r="O429" s="107">
        <f t="shared" si="20"/>
        <v>18911</v>
      </c>
      <c r="P429" s="105">
        <f t="shared" si="20"/>
        <v>0</v>
      </c>
      <c r="Q429" s="106">
        <f t="shared" si="20"/>
        <v>18911</v>
      </c>
      <c r="R429" s="105">
        <f t="shared" si="19"/>
        <v>112.56547619047619</v>
      </c>
      <c r="S429" s="105">
        <f t="shared" si="19"/>
        <v>0</v>
      </c>
      <c r="T429" s="108">
        <f t="shared" si="19"/>
        <v>112.56547619047619</v>
      </c>
    </row>
    <row r="430" spans="1:20" s="66" customFormat="1" ht="12.75" x14ac:dyDescent="0.2">
      <c r="A430" s="109">
        <v>4112</v>
      </c>
      <c r="B430" s="110">
        <v>7</v>
      </c>
      <c r="C430" s="103" t="s">
        <v>495</v>
      </c>
      <c r="D430" s="103">
        <v>7</v>
      </c>
      <c r="E430" s="104">
        <f>+SUMIF('GE16FEB14 Unfudged'!$A$2:$A$498, $A430, 'GE16FEB14 Unfudged'!$D$2:$D$498)</f>
        <v>768</v>
      </c>
      <c r="F430" s="104">
        <v>86452</v>
      </c>
      <c r="G430" s="105">
        <v>0</v>
      </c>
      <c r="H430" s="106">
        <v>86452</v>
      </c>
      <c r="I430" s="107">
        <v>0</v>
      </c>
      <c r="J430" s="105">
        <v>0</v>
      </c>
      <c r="K430" s="106">
        <v>0</v>
      </c>
      <c r="L430" s="107">
        <v>0</v>
      </c>
      <c r="M430" s="105">
        <v>0</v>
      </c>
      <c r="N430" s="106">
        <v>0</v>
      </c>
      <c r="O430" s="107">
        <f t="shared" si="20"/>
        <v>86452</v>
      </c>
      <c r="P430" s="105">
        <f t="shared" si="20"/>
        <v>0</v>
      </c>
      <c r="Q430" s="106">
        <f t="shared" si="20"/>
        <v>86452</v>
      </c>
      <c r="R430" s="105">
        <f t="shared" si="19"/>
        <v>112.56770833333333</v>
      </c>
      <c r="S430" s="105">
        <f t="shared" si="19"/>
        <v>0</v>
      </c>
      <c r="T430" s="108">
        <f t="shared" si="19"/>
        <v>112.56770833333333</v>
      </c>
    </row>
    <row r="431" spans="1:20" s="66" customFormat="1" ht="12.75" x14ac:dyDescent="0.2">
      <c r="A431" s="109">
        <v>4113</v>
      </c>
      <c r="B431" s="110">
        <v>7</v>
      </c>
      <c r="C431" s="103" t="s">
        <v>65</v>
      </c>
      <c r="D431" s="103">
        <v>7</v>
      </c>
      <c r="E431" s="104">
        <f>+SUMIF('GE16FEB14 Unfudged'!$A$2:$A$498, $A431, 'GE16FEB14 Unfudged'!$D$2:$D$498)</f>
        <v>80</v>
      </c>
      <c r="F431" s="104">
        <v>9005</v>
      </c>
      <c r="G431" s="105">
        <v>0</v>
      </c>
      <c r="H431" s="106">
        <v>9005</v>
      </c>
      <c r="I431" s="107">
        <v>0</v>
      </c>
      <c r="J431" s="105">
        <v>0</v>
      </c>
      <c r="K431" s="106">
        <v>0</v>
      </c>
      <c r="L431" s="107">
        <v>0</v>
      </c>
      <c r="M431" s="105">
        <v>0</v>
      </c>
      <c r="N431" s="106">
        <v>0</v>
      </c>
      <c r="O431" s="107">
        <f t="shared" si="20"/>
        <v>9005</v>
      </c>
      <c r="P431" s="105">
        <f t="shared" si="20"/>
        <v>0</v>
      </c>
      <c r="Q431" s="106">
        <f t="shared" si="20"/>
        <v>9005</v>
      </c>
      <c r="R431" s="105">
        <f t="shared" si="19"/>
        <v>112.5625</v>
      </c>
      <c r="S431" s="105">
        <f t="shared" si="19"/>
        <v>0</v>
      </c>
      <c r="T431" s="108">
        <f t="shared" si="19"/>
        <v>112.5625</v>
      </c>
    </row>
    <row r="432" spans="1:20" s="66" customFormat="1" ht="12.75" x14ac:dyDescent="0.2">
      <c r="A432" s="109">
        <v>4115</v>
      </c>
      <c r="B432" s="110">
        <v>7</v>
      </c>
      <c r="C432" s="103" t="s">
        <v>496</v>
      </c>
      <c r="D432" s="103">
        <v>7</v>
      </c>
      <c r="E432" s="104">
        <f>+SUMIF('GE16FEB14 Unfudged'!$A$2:$A$498, $A432, 'GE16FEB14 Unfudged'!$D$2:$D$498)</f>
        <v>110</v>
      </c>
      <c r="F432" s="104">
        <v>12382</v>
      </c>
      <c r="G432" s="105">
        <v>0</v>
      </c>
      <c r="H432" s="106">
        <v>12382</v>
      </c>
      <c r="I432" s="107">
        <v>0</v>
      </c>
      <c r="J432" s="105">
        <v>0</v>
      </c>
      <c r="K432" s="106">
        <v>0</v>
      </c>
      <c r="L432" s="107">
        <v>0</v>
      </c>
      <c r="M432" s="105">
        <v>0</v>
      </c>
      <c r="N432" s="106">
        <v>0</v>
      </c>
      <c r="O432" s="107">
        <f t="shared" si="20"/>
        <v>12382</v>
      </c>
      <c r="P432" s="105">
        <f t="shared" si="20"/>
        <v>0</v>
      </c>
      <c r="Q432" s="106">
        <f t="shared" si="20"/>
        <v>12382</v>
      </c>
      <c r="R432" s="105">
        <f t="shared" si="19"/>
        <v>112.56363636363636</v>
      </c>
      <c r="S432" s="105">
        <f t="shared" si="19"/>
        <v>0</v>
      </c>
      <c r="T432" s="108">
        <f t="shared" si="19"/>
        <v>112.56363636363636</v>
      </c>
    </row>
    <row r="433" spans="1:20" s="66" customFormat="1" ht="12.75" x14ac:dyDescent="0.2">
      <c r="A433" s="109">
        <v>4116</v>
      </c>
      <c r="B433" s="110">
        <v>7</v>
      </c>
      <c r="C433" s="103" t="s">
        <v>497</v>
      </c>
      <c r="D433" s="103">
        <v>7</v>
      </c>
      <c r="E433" s="104">
        <f>+SUMIF('GE16FEB14 Unfudged'!$A$2:$A$498, $A433, 'GE16FEB14 Unfudged'!$D$2:$D$498)</f>
        <v>786</v>
      </c>
      <c r="F433" s="104">
        <v>88478</v>
      </c>
      <c r="G433" s="105">
        <v>0</v>
      </c>
      <c r="H433" s="106">
        <v>88478</v>
      </c>
      <c r="I433" s="107">
        <v>0</v>
      </c>
      <c r="J433" s="105">
        <v>0</v>
      </c>
      <c r="K433" s="106">
        <v>0</v>
      </c>
      <c r="L433" s="107">
        <v>0</v>
      </c>
      <c r="M433" s="105">
        <v>0</v>
      </c>
      <c r="N433" s="106">
        <v>0</v>
      </c>
      <c r="O433" s="107">
        <f t="shared" si="20"/>
        <v>88478</v>
      </c>
      <c r="P433" s="105">
        <f t="shared" si="20"/>
        <v>0</v>
      </c>
      <c r="Q433" s="106">
        <f t="shared" si="20"/>
        <v>88478</v>
      </c>
      <c r="R433" s="105">
        <f t="shared" si="19"/>
        <v>112.56743002544529</v>
      </c>
      <c r="S433" s="105">
        <f t="shared" si="19"/>
        <v>0</v>
      </c>
      <c r="T433" s="108">
        <f t="shared" si="19"/>
        <v>112.56743002544529</v>
      </c>
    </row>
    <row r="434" spans="1:20" s="66" customFormat="1" ht="12.75" x14ac:dyDescent="0.2">
      <c r="A434" s="109">
        <v>4118</v>
      </c>
      <c r="B434" s="110">
        <v>7</v>
      </c>
      <c r="C434" s="103" t="s">
        <v>66</v>
      </c>
      <c r="D434" s="103">
        <v>7</v>
      </c>
      <c r="E434" s="104">
        <f>+SUMIF('GE16FEB14 Unfudged'!$A$2:$A$498, $A434, 'GE16FEB14 Unfudged'!$D$2:$D$498)</f>
        <v>585</v>
      </c>
      <c r="F434" s="104">
        <v>65852</v>
      </c>
      <c r="G434" s="105">
        <v>0</v>
      </c>
      <c r="H434" s="106">
        <v>65852</v>
      </c>
      <c r="I434" s="107">
        <v>0</v>
      </c>
      <c r="J434" s="105">
        <v>0</v>
      </c>
      <c r="K434" s="106">
        <v>0</v>
      </c>
      <c r="L434" s="107">
        <v>0</v>
      </c>
      <c r="M434" s="105">
        <v>0</v>
      </c>
      <c r="N434" s="106">
        <v>0</v>
      </c>
      <c r="O434" s="107">
        <f t="shared" si="20"/>
        <v>65852</v>
      </c>
      <c r="P434" s="105">
        <f t="shared" si="20"/>
        <v>0</v>
      </c>
      <c r="Q434" s="106">
        <f t="shared" si="20"/>
        <v>65852</v>
      </c>
      <c r="R434" s="105">
        <f t="shared" si="19"/>
        <v>112.56752136752137</v>
      </c>
      <c r="S434" s="105">
        <f t="shared" si="19"/>
        <v>0</v>
      </c>
      <c r="T434" s="108">
        <f t="shared" si="19"/>
        <v>112.56752136752137</v>
      </c>
    </row>
    <row r="435" spans="1:20" s="66" customFormat="1" ht="12.75" x14ac:dyDescent="0.2">
      <c r="A435" s="109">
        <v>4119</v>
      </c>
      <c r="B435" s="110">
        <v>7</v>
      </c>
      <c r="C435" s="103" t="s">
        <v>67</v>
      </c>
      <c r="D435" s="103">
        <v>7</v>
      </c>
      <c r="E435" s="104">
        <f>+SUMIF('GE16FEB14 Unfudged'!$A$2:$A$498, $A435, 'GE16FEB14 Unfudged'!$D$2:$D$498)</f>
        <v>112</v>
      </c>
      <c r="F435" s="104">
        <v>12563</v>
      </c>
      <c r="G435" s="105">
        <v>0</v>
      </c>
      <c r="H435" s="106">
        <v>12563</v>
      </c>
      <c r="I435" s="107">
        <v>0</v>
      </c>
      <c r="J435" s="105">
        <v>0</v>
      </c>
      <c r="K435" s="106">
        <v>0</v>
      </c>
      <c r="L435" s="107">
        <v>0</v>
      </c>
      <c r="M435" s="105">
        <v>0</v>
      </c>
      <c r="N435" s="106">
        <v>0</v>
      </c>
      <c r="O435" s="107">
        <f t="shared" si="20"/>
        <v>12563</v>
      </c>
      <c r="P435" s="105">
        <f t="shared" si="20"/>
        <v>0</v>
      </c>
      <c r="Q435" s="106">
        <f t="shared" si="20"/>
        <v>12563</v>
      </c>
      <c r="R435" s="105">
        <f t="shared" si="19"/>
        <v>112.16964285714286</v>
      </c>
      <c r="S435" s="105">
        <f t="shared" si="19"/>
        <v>0</v>
      </c>
      <c r="T435" s="108">
        <f t="shared" si="19"/>
        <v>112.16964285714286</v>
      </c>
    </row>
    <row r="436" spans="1:20" s="66" customFormat="1" ht="12.75" x14ac:dyDescent="0.2">
      <c r="A436" s="109">
        <v>4120</v>
      </c>
      <c r="B436" s="110">
        <v>7</v>
      </c>
      <c r="C436" s="103" t="s">
        <v>68</v>
      </c>
      <c r="D436" s="103">
        <v>7</v>
      </c>
      <c r="E436" s="104">
        <f>+SUMIF('GE16FEB14 Unfudged'!$A$2:$A$498, $A436, 'GE16FEB14 Unfudged'!$D$2:$D$498)</f>
        <v>1247</v>
      </c>
      <c r="F436" s="104">
        <v>140349</v>
      </c>
      <c r="G436" s="105">
        <v>0</v>
      </c>
      <c r="H436" s="106">
        <v>140349</v>
      </c>
      <c r="I436" s="107">
        <v>0</v>
      </c>
      <c r="J436" s="105">
        <v>0</v>
      </c>
      <c r="K436" s="106">
        <v>0</v>
      </c>
      <c r="L436" s="107">
        <v>0</v>
      </c>
      <c r="M436" s="105">
        <v>0</v>
      </c>
      <c r="N436" s="106">
        <v>0</v>
      </c>
      <c r="O436" s="107">
        <f t="shared" si="20"/>
        <v>140349</v>
      </c>
      <c r="P436" s="105">
        <f t="shared" si="20"/>
        <v>0</v>
      </c>
      <c r="Q436" s="106">
        <f t="shared" si="20"/>
        <v>140349</v>
      </c>
      <c r="R436" s="105">
        <f t="shared" si="19"/>
        <v>112.54931836407378</v>
      </c>
      <c r="S436" s="105">
        <f t="shared" si="19"/>
        <v>0</v>
      </c>
      <c r="T436" s="108">
        <f t="shared" si="19"/>
        <v>112.54931836407378</v>
      </c>
    </row>
    <row r="437" spans="1:20" s="66" customFormat="1" ht="12.75" x14ac:dyDescent="0.2">
      <c r="A437" s="109">
        <v>4121</v>
      </c>
      <c r="B437" s="110">
        <v>7</v>
      </c>
      <c r="C437" s="103" t="s">
        <v>498</v>
      </c>
      <c r="D437" s="103">
        <v>7</v>
      </c>
      <c r="E437" s="104">
        <f>+SUMIF('GE16FEB14 Unfudged'!$A$2:$A$498, $A437, 'GE16FEB14 Unfudged'!$D$2:$D$498)</f>
        <v>456</v>
      </c>
      <c r="F437" s="104">
        <v>51331</v>
      </c>
      <c r="G437" s="105">
        <v>0</v>
      </c>
      <c r="H437" s="106">
        <v>51331</v>
      </c>
      <c r="I437" s="107">
        <v>0</v>
      </c>
      <c r="J437" s="105">
        <v>0</v>
      </c>
      <c r="K437" s="106">
        <v>0</v>
      </c>
      <c r="L437" s="107">
        <v>0</v>
      </c>
      <c r="M437" s="105">
        <v>0</v>
      </c>
      <c r="N437" s="106">
        <v>0</v>
      </c>
      <c r="O437" s="107">
        <f t="shared" si="20"/>
        <v>51331</v>
      </c>
      <c r="P437" s="105">
        <f t="shared" si="20"/>
        <v>0</v>
      </c>
      <c r="Q437" s="106">
        <f t="shared" si="20"/>
        <v>51331</v>
      </c>
      <c r="R437" s="105">
        <f t="shared" si="19"/>
        <v>112.56798245614036</v>
      </c>
      <c r="S437" s="105">
        <f t="shared" si="19"/>
        <v>0</v>
      </c>
      <c r="T437" s="108">
        <f t="shared" si="19"/>
        <v>112.56798245614036</v>
      </c>
    </row>
    <row r="438" spans="1:20" s="66" customFormat="1" ht="12.75" x14ac:dyDescent="0.2">
      <c r="A438" s="109">
        <v>4122</v>
      </c>
      <c r="B438" s="110">
        <v>7</v>
      </c>
      <c r="C438" s="103" t="s">
        <v>499</v>
      </c>
      <c r="D438" s="103">
        <v>7</v>
      </c>
      <c r="E438" s="104">
        <f>+SUMIF('GE16FEB14 Unfudged'!$A$2:$A$498, $A438, 'GE16FEB14 Unfudged'!$D$2:$D$498)</f>
        <v>943</v>
      </c>
      <c r="F438" s="104">
        <v>106123</v>
      </c>
      <c r="G438" s="105">
        <v>0</v>
      </c>
      <c r="H438" s="106">
        <v>106123</v>
      </c>
      <c r="I438" s="107">
        <v>0</v>
      </c>
      <c r="J438" s="105">
        <v>0</v>
      </c>
      <c r="K438" s="106">
        <v>0</v>
      </c>
      <c r="L438" s="107">
        <v>0</v>
      </c>
      <c r="M438" s="105">
        <v>0</v>
      </c>
      <c r="N438" s="106">
        <v>0</v>
      </c>
      <c r="O438" s="107">
        <f t="shared" si="20"/>
        <v>106123</v>
      </c>
      <c r="P438" s="105">
        <f t="shared" si="20"/>
        <v>0</v>
      </c>
      <c r="Q438" s="106">
        <f t="shared" si="20"/>
        <v>106123</v>
      </c>
      <c r="R438" s="105">
        <f t="shared" si="19"/>
        <v>112.53764581124072</v>
      </c>
      <c r="S438" s="105">
        <f t="shared" si="19"/>
        <v>0</v>
      </c>
      <c r="T438" s="108">
        <f t="shared" si="19"/>
        <v>112.53764581124072</v>
      </c>
    </row>
    <row r="439" spans="1:20" s="66" customFormat="1" ht="12.75" x14ac:dyDescent="0.2">
      <c r="A439" s="109">
        <v>4123</v>
      </c>
      <c r="B439" s="110">
        <v>7</v>
      </c>
      <c r="C439" s="103" t="s">
        <v>500</v>
      </c>
      <c r="D439" s="103">
        <v>7</v>
      </c>
      <c r="E439" s="104">
        <f>+SUMIF('GE16FEB14 Unfudged'!$A$2:$A$498, $A439, 'GE16FEB14 Unfudged'!$D$2:$D$498)</f>
        <v>46</v>
      </c>
      <c r="F439" s="104">
        <v>5172</v>
      </c>
      <c r="G439" s="105">
        <v>0</v>
      </c>
      <c r="H439" s="106">
        <v>5172</v>
      </c>
      <c r="I439" s="107">
        <v>0</v>
      </c>
      <c r="J439" s="105">
        <v>0</v>
      </c>
      <c r="K439" s="106">
        <v>0</v>
      </c>
      <c r="L439" s="107">
        <v>0</v>
      </c>
      <c r="M439" s="105">
        <v>0</v>
      </c>
      <c r="N439" s="106">
        <v>0</v>
      </c>
      <c r="O439" s="107">
        <f t="shared" si="20"/>
        <v>5172</v>
      </c>
      <c r="P439" s="105">
        <f t="shared" si="20"/>
        <v>0</v>
      </c>
      <c r="Q439" s="106">
        <f t="shared" si="20"/>
        <v>5172</v>
      </c>
      <c r="R439" s="105">
        <f t="shared" si="19"/>
        <v>112.43478260869566</v>
      </c>
      <c r="S439" s="105">
        <f t="shared" si="19"/>
        <v>0</v>
      </c>
      <c r="T439" s="108">
        <f t="shared" si="19"/>
        <v>112.43478260869566</v>
      </c>
    </row>
    <row r="440" spans="1:20" s="66" customFormat="1" ht="12.75" x14ac:dyDescent="0.2">
      <c r="A440" s="109">
        <v>4124</v>
      </c>
      <c r="B440" s="110">
        <v>7</v>
      </c>
      <c r="C440" s="103" t="s">
        <v>69</v>
      </c>
      <c r="D440" s="103">
        <v>7</v>
      </c>
      <c r="E440" s="104">
        <f>+SUMIF('GE16FEB14 Unfudged'!$A$2:$A$498, $A440, 'GE16FEB14 Unfudged'!$D$2:$D$498)</f>
        <v>434</v>
      </c>
      <c r="F440" s="104">
        <v>48809</v>
      </c>
      <c r="G440" s="105">
        <v>0</v>
      </c>
      <c r="H440" s="106">
        <v>48809</v>
      </c>
      <c r="I440" s="107">
        <v>0</v>
      </c>
      <c r="J440" s="105">
        <v>0</v>
      </c>
      <c r="K440" s="106">
        <v>0</v>
      </c>
      <c r="L440" s="107">
        <v>0</v>
      </c>
      <c r="M440" s="105">
        <v>0</v>
      </c>
      <c r="N440" s="106">
        <v>0</v>
      </c>
      <c r="O440" s="107">
        <f t="shared" si="20"/>
        <v>48809</v>
      </c>
      <c r="P440" s="105">
        <f t="shared" si="20"/>
        <v>0</v>
      </c>
      <c r="Q440" s="106">
        <f t="shared" si="20"/>
        <v>48809</v>
      </c>
      <c r="R440" s="105">
        <f t="shared" si="19"/>
        <v>112.463133640553</v>
      </c>
      <c r="S440" s="105">
        <f t="shared" si="19"/>
        <v>0</v>
      </c>
      <c r="T440" s="108">
        <f t="shared" si="19"/>
        <v>112.463133640553</v>
      </c>
    </row>
    <row r="441" spans="1:20" s="66" customFormat="1" ht="12.75" x14ac:dyDescent="0.2">
      <c r="A441" s="109">
        <v>4126</v>
      </c>
      <c r="B441" s="110">
        <v>7</v>
      </c>
      <c r="C441" s="103" t="s">
        <v>70</v>
      </c>
      <c r="D441" s="103">
        <v>7</v>
      </c>
      <c r="E441" s="104">
        <f>+SUMIF('GE16FEB14 Unfudged'!$A$2:$A$498, $A441, 'GE16FEB14 Unfudged'!$D$2:$D$498)</f>
        <v>849</v>
      </c>
      <c r="F441" s="104">
        <v>95570</v>
      </c>
      <c r="G441" s="105">
        <v>0</v>
      </c>
      <c r="H441" s="106">
        <v>95570</v>
      </c>
      <c r="I441" s="107">
        <v>0</v>
      </c>
      <c r="J441" s="105">
        <v>0</v>
      </c>
      <c r="K441" s="106">
        <v>0</v>
      </c>
      <c r="L441" s="107">
        <v>0</v>
      </c>
      <c r="M441" s="105">
        <v>0</v>
      </c>
      <c r="N441" s="106">
        <v>0</v>
      </c>
      <c r="O441" s="107">
        <f t="shared" si="20"/>
        <v>95570</v>
      </c>
      <c r="P441" s="105">
        <f t="shared" si="20"/>
        <v>0</v>
      </c>
      <c r="Q441" s="106">
        <f t="shared" si="20"/>
        <v>95570</v>
      </c>
      <c r="R441" s="105">
        <f t="shared" si="19"/>
        <v>112.56772673733805</v>
      </c>
      <c r="S441" s="105">
        <f t="shared" si="19"/>
        <v>0</v>
      </c>
      <c r="T441" s="108">
        <f t="shared" si="19"/>
        <v>112.56772673733805</v>
      </c>
    </row>
    <row r="442" spans="1:20" s="66" customFormat="1" ht="12.75" x14ac:dyDescent="0.2">
      <c r="A442" s="109">
        <v>4127</v>
      </c>
      <c r="B442" s="110">
        <v>7</v>
      </c>
      <c r="C442" s="103" t="s">
        <v>71</v>
      </c>
      <c r="D442" s="103">
        <v>7</v>
      </c>
      <c r="E442" s="104">
        <f>+SUMIF('GE16FEB14 Unfudged'!$A$2:$A$498, $A442, 'GE16FEB14 Unfudged'!$D$2:$D$498)</f>
        <v>129</v>
      </c>
      <c r="F442" s="104">
        <v>14521</v>
      </c>
      <c r="G442" s="105">
        <v>0</v>
      </c>
      <c r="H442" s="106">
        <v>14521</v>
      </c>
      <c r="I442" s="107">
        <v>0</v>
      </c>
      <c r="J442" s="105">
        <v>0</v>
      </c>
      <c r="K442" s="106">
        <v>0</v>
      </c>
      <c r="L442" s="107">
        <v>0</v>
      </c>
      <c r="M442" s="105">
        <v>0</v>
      </c>
      <c r="N442" s="106">
        <v>0</v>
      </c>
      <c r="O442" s="107">
        <f t="shared" si="20"/>
        <v>14521</v>
      </c>
      <c r="P442" s="105">
        <f t="shared" si="20"/>
        <v>0</v>
      </c>
      <c r="Q442" s="106">
        <f t="shared" si="20"/>
        <v>14521</v>
      </c>
      <c r="R442" s="105">
        <f t="shared" si="19"/>
        <v>112.56589147286822</v>
      </c>
      <c r="S442" s="105">
        <f t="shared" si="19"/>
        <v>0</v>
      </c>
      <c r="T442" s="108">
        <f t="shared" si="19"/>
        <v>112.56589147286822</v>
      </c>
    </row>
    <row r="443" spans="1:20" s="66" customFormat="1" ht="12.75" x14ac:dyDescent="0.2">
      <c r="A443" s="109">
        <v>4131</v>
      </c>
      <c r="B443" s="110">
        <v>7</v>
      </c>
      <c r="C443" s="103" t="s">
        <v>72</v>
      </c>
      <c r="D443" s="103">
        <v>7</v>
      </c>
      <c r="E443" s="104">
        <f>+SUMIF('GE16FEB14 Unfudged'!$A$2:$A$498, $A443, 'GE16FEB14 Unfudged'!$D$2:$D$498)</f>
        <v>310</v>
      </c>
      <c r="F443" s="104">
        <v>34896</v>
      </c>
      <c r="G443" s="105">
        <v>0</v>
      </c>
      <c r="H443" s="106">
        <v>34896</v>
      </c>
      <c r="I443" s="107">
        <v>0</v>
      </c>
      <c r="J443" s="105">
        <v>0</v>
      </c>
      <c r="K443" s="106">
        <v>0</v>
      </c>
      <c r="L443" s="107">
        <v>0</v>
      </c>
      <c r="M443" s="105">
        <v>0</v>
      </c>
      <c r="N443" s="106">
        <v>0</v>
      </c>
      <c r="O443" s="107">
        <f t="shared" si="20"/>
        <v>34896</v>
      </c>
      <c r="P443" s="105">
        <f t="shared" si="20"/>
        <v>0</v>
      </c>
      <c r="Q443" s="106">
        <f t="shared" si="20"/>
        <v>34896</v>
      </c>
      <c r="R443" s="105">
        <f t="shared" si="19"/>
        <v>112.56774193548387</v>
      </c>
      <c r="S443" s="105">
        <f t="shared" si="19"/>
        <v>0</v>
      </c>
      <c r="T443" s="108">
        <f t="shared" si="19"/>
        <v>112.56774193548387</v>
      </c>
    </row>
    <row r="444" spans="1:20" s="66" customFormat="1" ht="12.75" x14ac:dyDescent="0.2">
      <c r="A444" s="109">
        <v>4132</v>
      </c>
      <c r="B444" s="110">
        <v>7</v>
      </c>
      <c r="C444" s="103" t="s">
        <v>73</v>
      </c>
      <c r="D444" s="103">
        <v>7</v>
      </c>
      <c r="E444" s="104">
        <f>+SUMIF('GE16FEB14 Unfudged'!$A$2:$A$498, $A444, 'GE16FEB14 Unfudged'!$D$2:$D$498)</f>
        <v>246</v>
      </c>
      <c r="F444" s="104">
        <v>27692</v>
      </c>
      <c r="G444" s="105">
        <v>0</v>
      </c>
      <c r="H444" s="106">
        <v>27692</v>
      </c>
      <c r="I444" s="107">
        <v>0</v>
      </c>
      <c r="J444" s="105">
        <v>0</v>
      </c>
      <c r="K444" s="106">
        <v>0</v>
      </c>
      <c r="L444" s="107">
        <v>0</v>
      </c>
      <c r="M444" s="105">
        <v>0</v>
      </c>
      <c r="N444" s="106">
        <v>0</v>
      </c>
      <c r="O444" s="107">
        <f t="shared" si="20"/>
        <v>27692</v>
      </c>
      <c r="P444" s="105">
        <f t="shared" si="20"/>
        <v>0</v>
      </c>
      <c r="Q444" s="106">
        <f t="shared" si="20"/>
        <v>27692</v>
      </c>
      <c r="R444" s="105">
        <f t="shared" si="19"/>
        <v>112.5691056910569</v>
      </c>
      <c r="S444" s="105">
        <f t="shared" si="19"/>
        <v>0</v>
      </c>
      <c r="T444" s="108">
        <f t="shared" si="19"/>
        <v>112.5691056910569</v>
      </c>
    </row>
    <row r="445" spans="1:20" s="66" customFormat="1" ht="12.75" x14ac:dyDescent="0.2">
      <c r="A445" s="109">
        <v>4133</v>
      </c>
      <c r="B445" s="110">
        <v>7</v>
      </c>
      <c r="C445" s="103" t="s">
        <v>74</v>
      </c>
      <c r="D445" s="103">
        <v>7</v>
      </c>
      <c r="E445" s="104">
        <f>+SUMIF('GE16FEB14 Unfudged'!$A$2:$A$498, $A445, 'GE16FEB14 Unfudged'!$D$2:$D$498)</f>
        <v>297</v>
      </c>
      <c r="F445" s="104">
        <v>33433</v>
      </c>
      <c r="G445" s="105">
        <v>0</v>
      </c>
      <c r="H445" s="106">
        <v>33433</v>
      </c>
      <c r="I445" s="107">
        <v>0</v>
      </c>
      <c r="J445" s="105">
        <v>0</v>
      </c>
      <c r="K445" s="106">
        <v>0</v>
      </c>
      <c r="L445" s="107">
        <v>0</v>
      </c>
      <c r="M445" s="105">
        <v>0</v>
      </c>
      <c r="N445" s="106">
        <v>0</v>
      </c>
      <c r="O445" s="107">
        <f t="shared" si="20"/>
        <v>33433</v>
      </c>
      <c r="P445" s="105">
        <f t="shared" si="20"/>
        <v>0</v>
      </c>
      <c r="Q445" s="106">
        <f t="shared" si="20"/>
        <v>33433</v>
      </c>
      <c r="R445" s="105">
        <f t="shared" si="19"/>
        <v>112.56902356902357</v>
      </c>
      <c r="S445" s="105">
        <f t="shared" si="19"/>
        <v>0</v>
      </c>
      <c r="T445" s="108">
        <f t="shared" si="19"/>
        <v>112.56902356902357</v>
      </c>
    </row>
    <row r="446" spans="1:20" s="66" customFormat="1" ht="12.75" x14ac:dyDescent="0.2">
      <c r="A446" s="109">
        <v>4135</v>
      </c>
      <c r="B446" s="110">
        <v>7</v>
      </c>
      <c r="C446" s="103" t="s">
        <v>465</v>
      </c>
      <c r="D446" s="103">
        <v>7</v>
      </c>
      <c r="E446" s="104">
        <f>+SUMIF('GE16FEB14 Unfudged'!$A$2:$A$498, $A446, 'GE16FEB14 Unfudged'!$D$2:$D$498)</f>
        <v>262</v>
      </c>
      <c r="F446" s="104">
        <v>29515</v>
      </c>
      <c r="G446" s="105">
        <v>0</v>
      </c>
      <c r="H446" s="106">
        <v>29515</v>
      </c>
      <c r="I446" s="107">
        <v>0</v>
      </c>
      <c r="J446" s="105">
        <v>0</v>
      </c>
      <c r="K446" s="106">
        <v>0</v>
      </c>
      <c r="L446" s="107">
        <v>0</v>
      </c>
      <c r="M446" s="105">
        <v>0</v>
      </c>
      <c r="N446" s="106">
        <v>0</v>
      </c>
      <c r="O446" s="107">
        <f t="shared" si="20"/>
        <v>29515</v>
      </c>
      <c r="P446" s="105">
        <f t="shared" si="20"/>
        <v>0</v>
      </c>
      <c r="Q446" s="106">
        <f t="shared" si="20"/>
        <v>29515</v>
      </c>
      <c r="R446" s="105">
        <f t="shared" si="19"/>
        <v>112.65267175572519</v>
      </c>
      <c r="S446" s="105">
        <f t="shared" si="19"/>
        <v>0</v>
      </c>
      <c r="T446" s="108">
        <f t="shared" si="19"/>
        <v>112.65267175572519</v>
      </c>
    </row>
    <row r="447" spans="1:20" s="66" customFormat="1" ht="12.75" x14ac:dyDescent="0.2">
      <c r="A447" s="109">
        <v>4137</v>
      </c>
      <c r="B447" s="110">
        <v>7</v>
      </c>
      <c r="C447" s="103" t="s">
        <v>501</v>
      </c>
      <c r="D447" s="103">
        <v>7</v>
      </c>
      <c r="E447" s="104">
        <f>+SUMIF('GE16FEB14 Unfudged'!$A$2:$A$498, $A447, 'GE16FEB14 Unfudged'!$D$2:$D$498)</f>
        <v>133</v>
      </c>
      <c r="F447" s="104">
        <v>14994</v>
      </c>
      <c r="G447" s="105">
        <v>0</v>
      </c>
      <c r="H447" s="106">
        <v>14994</v>
      </c>
      <c r="I447" s="107">
        <v>0</v>
      </c>
      <c r="J447" s="105">
        <v>0</v>
      </c>
      <c r="K447" s="106">
        <v>0</v>
      </c>
      <c r="L447" s="107">
        <v>0</v>
      </c>
      <c r="M447" s="105">
        <v>0</v>
      </c>
      <c r="N447" s="106">
        <v>0</v>
      </c>
      <c r="O447" s="107">
        <f t="shared" si="20"/>
        <v>14994</v>
      </c>
      <c r="P447" s="105">
        <f t="shared" si="20"/>
        <v>0</v>
      </c>
      <c r="Q447" s="106">
        <f t="shared" si="20"/>
        <v>14994</v>
      </c>
      <c r="R447" s="105">
        <f t="shared" si="19"/>
        <v>112.73684210526316</v>
      </c>
      <c r="S447" s="105">
        <f t="shared" si="19"/>
        <v>0</v>
      </c>
      <c r="T447" s="108">
        <f t="shared" si="19"/>
        <v>112.73684210526316</v>
      </c>
    </row>
    <row r="448" spans="1:20" s="66" customFormat="1" ht="12.75" x14ac:dyDescent="0.2">
      <c r="A448" s="109">
        <v>4138</v>
      </c>
      <c r="B448" s="110">
        <v>7</v>
      </c>
      <c r="C448" s="103" t="s">
        <v>75</v>
      </c>
      <c r="D448" s="103">
        <v>7</v>
      </c>
      <c r="E448" s="104">
        <f>+SUMIF('GE16FEB14 Unfudged'!$A$2:$A$498, $A448, 'GE16FEB14 Unfudged'!$D$2:$D$498)</f>
        <v>47</v>
      </c>
      <c r="F448" s="104">
        <v>5291</v>
      </c>
      <c r="G448" s="105">
        <v>0</v>
      </c>
      <c r="H448" s="106">
        <v>5291</v>
      </c>
      <c r="I448" s="107">
        <v>0</v>
      </c>
      <c r="J448" s="105">
        <v>0</v>
      </c>
      <c r="K448" s="106">
        <v>0</v>
      </c>
      <c r="L448" s="107">
        <v>0</v>
      </c>
      <c r="M448" s="105">
        <v>0</v>
      </c>
      <c r="N448" s="106">
        <v>0</v>
      </c>
      <c r="O448" s="107">
        <f t="shared" si="20"/>
        <v>5291</v>
      </c>
      <c r="P448" s="105">
        <f t="shared" si="20"/>
        <v>0</v>
      </c>
      <c r="Q448" s="106">
        <f t="shared" si="20"/>
        <v>5291</v>
      </c>
      <c r="R448" s="105">
        <f t="shared" si="19"/>
        <v>112.57446808510639</v>
      </c>
      <c r="S448" s="105">
        <f t="shared" si="19"/>
        <v>0</v>
      </c>
      <c r="T448" s="108">
        <f t="shared" si="19"/>
        <v>112.57446808510639</v>
      </c>
    </row>
    <row r="449" spans="1:20" s="66" customFormat="1" ht="12.75" x14ac:dyDescent="0.2">
      <c r="A449" s="109">
        <v>4139</v>
      </c>
      <c r="B449" s="110">
        <v>7</v>
      </c>
      <c r="C449" s="103" t="s">
        <v>76</v>
      </c>
      <c r="D449" s="103">
        <v>7</v>
      </c>
      <c r="E449" s="104">
        <f>+SUMIF('GE16FEB14 Unfudged'!$A$2:$A$498, $A449, 'GE16FEB14 Unfudged'!$D$2:$D$498)</f>
        <v>276</v>
      </c>
      <c r="F449" s="104">
        <v>31035</v>
      </c>
      <c r="G449" s="105">
        <v>0</v>
      </c>
      <c r="H449" s="106">
        <v>31035</v>
      </c>
      <c r="I449" s="107">
        <v>0</v>
      </c>
      <c r="J449" s="105">
        <v>0</v>
      </c>
      <c r="K449" s="106">
        <v>0</v>
      </c>
      <c r="L449" s="107">
        <v>0</v>
      </c>
      <c r="M449" s="105">
        <v>0</v>
      </c>
      <c r="N449" s="106">
        <v>0</v>
      </c>
      <c r="O449" s="107">
        <f t="shared" si="20"/>
        <v>31035</v>
      </c>
      <c r="P449" s="105">
        <f t="shared" si="20"/>
        <v>0</v>
      </c>
      <c r="Q449" s="106">
        <f t="shared" si="20"/>
        <v>31035</v>
      </c>
      <c r="R449" s="105">
        <f t="shared" si="19"/>
        <v>112.44565217391305</v>
      </c>
      <c r="S449" s="105">
        <f t="shared" si="19"/>
        <v>0</v>
      </c>
      <c r="T449" s="108">
        <f t="shared" si="19"/>
        <v>112.44565217391305</v>
      </c>
    </row>
    <row r="450" spans="1:20" s="66" customFormat="1" ht="12.75" x14ac:dyDescent="0.2">
      <c r="A450" s="109">
        <v>4140</v>
      </c>
      <c r="B450" s="110">
        <v>7</v>
      </c>
      <c r="C450" s="103" t="s">
        <v>77</v>
      </c>
      <c r="D450" s="103">
        <v>7</v>
      </c>
      <c r="E450" s="104">
        <f>+SUMIF('GE16FEB14 Unfudged'!$A$2:$A$498, $A450, 'GE16FEB14 Unfudged'!$D$2:$D$498)</f>
        <v>610</v>
      </c>
      <c r="F450" s="104">
        <v>68689</v>
      </c>
      <c r="G450" s="105">
        <v>0</v>
      </c>
      <c r="H450" s="106">
        <v>68689</v>
      </c>
      <c r="I450" s="107">
        <v>0</v>
      </c>
      <c r="J450" s="105">
        <v>0</v>
      </c>
      <c r="K450" s="106">
        <v>0</v>
      </c>
      <c r="L450" s="107">
        <v>0</v>
      </c>
      <c r="M450" s="105">
        <v>0</v>
      </c>
      <c r="N450" s="106">
        <v>0</v>
      </c>
      <c r="O450" s="107">
        <f t="shared" si="20"/>
        <v>68689</v>
      </c>
      <c r="P450" s="105">
        <f t="shared" si="20"/>
        <v>0</v>
      </c>
      <c r="Q450" s="106">
        <f t="shared" si="20"/>
        <v>68689</v>
      </c>
      <c r="R450" s="105">
        <f t="shared" si="19"/>
        <v>112.60491803278688</v>
      </c>
      <c r="S450" s="105">
        <f t="shared" si="19"/>
        <v>0</v>
      </c>
      <c r="T450" s="108">
        <f t="shared" si="19"/>
        <v>112.60491803278688</v>
      </c>
    </row>
    <row r="451" spans="1:20" s="66" customFormat="1" ht="12.75" x14ac:dyDescent="0.2">
      <c r="A451" s="109">
        <v>4141</v>
      </c>
      <c r="B451" s="110">
        <v>7</v>
      </c>
      <c r="C451" s="103" t="s">
        <v>78</v>
      </c>
      <c r="D451" s="103">
        <v>7</v>
      </c>
      <c r="E451" s="104">
        <f>+SUMIF('GE16FEB14 Unfudged'!$A$2:$A$498, $A451, 'GE16FEB14 Unfudged'!$D$2:$D$498)</f>
        <v>414</v>
      </c>
      <c r="F451" s="104">
        <v>46558</v>
      </c>
      <c r="G451" s="105">
        <v>0</v>
      </c>
      <c r="H451" s="106">
        <v>46558</v>
      </c>
      <c r="I451" s="107">
        <v>0</v>
      </c>
      <c r="J451" s="105">
        <v>0</v>
      </c>
      <c r="K451" s="106">
        <v>0</v>
      </c>
      <c r="L451" s="107">
        <v>0</v>
      </c>
      <c r="M451" s="105">
        <v>0</v>
      </c>
      <c r="N451" s="106">
        <v>0</v>
      </c>
      <c r="O451" s="107">
        <f t="shared" si="20"/>
        <v>46558</v>
      </c>
      <c r="P451" s="105">
        <f t="shared" si="20"/>
        <v>0</v>
      </c>
      <c r="Q451" s="106">
        <f t="shared" si="20"/>
        <v>46558</v>
      </c>
      <c r="R451" s="105">
        <f t="shared" si="19"/>
        <v>112.45893719806763</v>
      </c>
      <c r="S451" s="105">
        <f t="shared" si="19"/>
        <v>0</v>
      </c>
      <c r="T451" s="108">
        <f t="shared" si="19"/>
        <v>112.45893719806763</v>
      </c>
    </row>
    <row r="452" spans="1:20" s="66" customFormat="1" ht="12.75" x14ac:dyDescent="0.2">
      <c r="A452" s="109">
        <v>4142</v>
      </c>
      <c r="B452" s="110">
        <v>7</v>
      </c>
      <c r="C452" s="103" t="s">
        <v>79</v>
      </c>
      <c r="D452" s="103">
        <v>7</v>
      </c>
      <c r="E452" s="104">
        <f>+SUMIF('GE16FEB14 Unfudged'!$A$2:$A$498, $A452, 'GE16FEB14 Unfudged'!$D$2:$D$498)</f>
        <v>673</v>
      </c>
      <c r="F452" s="104">
        <v>75781</v>
      </c>
      <c r="G452" s="105">
        <v>0</v>
      </c>
      <c r="H452" s="106">
        <v>75781</v>
      </c>
      <c r="I452" s="107">
        <v>0</v>
      </c>
      <c r="J452" s="105">
        <v>0</v>
      </c>
      <c r="K452" s="106">
        <v>0</v>
      </c>
      <c r="L452" s="107">
        <v>0</v>
      </c>
      <c r="M452" s="105">
        <v>0</v>
      </c>
      <c r="N452" s="106">
        <v>0</v>
      </c>
      <c r="O452" s="107">
        <f t="shared" si="20"/>
        <v>75781</v>
      </c>
      <c r="P452" s="105">
        <f t="shared" si="20"/>
        <v>0</v>
      </c>
      <c r="Q452" s="106">
        <f t="shared" si="20"/>
        <v>75781</v>
      </c>
      <c r="R452" s="105">
        <f t="shared" si="19"/>
        <v>112.60178306092125</v>
      </c>
      <c r="S452" s="105">
        <f t="shared" si="19"/>
        <v>0</v>
      </c>
      <c r="T452" s="108">
        <f t="shared" si="19"/>
        <v>112.60178306092125</v>
      </c>
    </row>
    <row r="453" spans="1:20" s="66" customFormat="1" ht="12.75" x14ac:dyDescent="0.2">
      <c r="A453" s="109">
        <v>4143</v>
      </c>
      <c r="B453" s="110">
        <v>7</v>
      </c>
      <c r="C453" s="103" t="s">
        <v>502</v>
      </c>
      <c r="D453" s="103">
        <v>7</v>
      </c>
      <c r="E453" s="104">
        <f>+SUMIF('GE16FEB14 Unfudged'!$A$2:$A$498, $A453, 'GE16FEB14 Unfudged'!$D$2:$D$498)</f>
        <v>442</v>
      </c>
      <c r="F453" s="104">
        <v>49710</v>
      </c>
      <c r="G453" s="105">
        <v>0</v>
      </c>
      <c r="H453" s="106">
        <v>49710</v>
      </c>
      <c r="I453" s="107">
        <v>0</v>
      </c>
      <c r="J453" s="105">
        <v>0</v>
      </c>
      <c r="K453" s="106">
        <v>0</v>
      </c>
      <c r="L453" s="107">
        <v>0</v>
      </c>
      <c r="M453" s="105">
        <v>0</v>
      </c>
      <c r="N453" s="106">
        <v>0</v>
      </c>
      <c r="O453" s="107">
        <f t="shared" si="20"/>
        <v>49710</v>
      </c>
      <c r="P453" s="105">
        <f t="shared" si="20"/>
        <v>0</v>
      </c>
      <c r="Q453" s="106">
        <f t="shared" si="20"/>
        <v>49710</v>
      </c>
      <c r="R453" s="105">
        <f t="shared" si="19"/>
        <v>112.46606334841628</v>
      </c>
      <c r="S453" s="105">
        <f t="shared" si="19"/>
        <v>0</v>
      </c>
      <c r="T453" s="108">
        <f t="shared" si="19"/>
        <v>112.46606334841628</v>
      </c>
    </row>
    <row r="454" spans="1:20" s="66" customFormat="1" ht="12.75" x14ac:dyDescent="0.2">
      <c r="A454" s="109">
        <v>4144</v>
      </c>
      <c r="B454" s="110">
        <v>7</v>
      </c>
      <c r="C454" s="103" t="s">
        <v>80</v>
      </c>
      <c r="D454" s="103">
        <v>7</v>
      </c>
      <c r="E454" s="104">
        <f>+SUMIF('GE16FEB14 Unfudged'!$A$2:$A$498, $A454, 'GE16FEB14 Unfudged'!$D$2:$D$498)</f>
        <v>82</v>
      </c>
      <c r="F454" s="104">
        <v>9186</v>
      </c>
      <c r="G454" s="105">
        <v>0</v>
      </c>
      <c r="H454" s="106">
        <v>9186</v>
      </c>
      <c r="I454" s="107">
        <v>0</v>
      </c>
      <c r="J454" s="105">
        <v>0</v>
      </c>
      <c r="K454" s="106">
        <v>0</v>
      </c>
      <c r="L454" s="107">
        <v>0</v>
      </c>
      <c r="M454" s="105">
        <v>0</v>
      </c>
      <c r="N454" s="106">
        <v>0</v>
      </c>
      <c r="O454" s="107">
        <f t="shared" si="20"/>
        <v>9186</v>
      </c>
      <c r="P454" s="105">
        <f t="shared" si="20"/>
        <v>0</v>
      </c>
      <c r="Q454" s="106">
        <f t="shared" si="20"/>
        <v>9186</v>
      </c>
      <c r="R454" s="105">
        <f t="shared" si="19"/>
        <v>112.02439024390245</v>
      </c>
      <c r="S454" s="105">
        <f t="shared" si="19"/>
        <v>0</v>
      </c>
      <c r="T454" s="108">
        <f t="shared" si="19"/>
        <v>112.02439024390245</v>
      </c>
    </row>
    <row r="455" spans="1:20" s="66" customFormat="1" ht="12.75" x14ac:dyDescent="0.2">
      <c r="A455" s="109">
        <v>4145</v>
      </c>
      <c r="B455" s="110">
        <v>7</v>
      </c>
      <c r="C455" s="103" t="s">
        <v>81</v>
      </c>
      <c r="D455" s="103">
        <v>7</v>
      </c>
      <c r="E455" s="104">
        <f>+SUMIF('GE16FEB14 Unfudged'!$A$2:$A$498, $A455, 'GE16FEB14 Unfudged'!$D$2:$D$498)</f>
        <v>30</v>
      </c>
      <c r="F455" s="104">
        <v>3349</v>
      </c>
      <c r="G455" s="105">
        <v>0</v>
      </c>
      <c r="H455" s="106">
        <v>3349</v>
      </c>
      <c r="I455" s="107">
        <v>0</v>
      </c>
      <c r="J455" s="105">
        <v>0</v>
      </c>
      <c r="K455" s="106">
        <v>0</v>
      </c>
      <c r="L455" s="107">
        <v>0</v>
      </c>
      <c r="M455" s="105">
        <v>0</v>
      </c>
      <c r="N455" s="106">
        <v>0</v>
      </c>
      <c r="O455" s="107">
        <f t="shared" si="20"/>
        <v>3349</v>
      </c>
      <c r="P455" s="105">
        <f t="shared" si="20"/>
        <v>0</v>
      </c>
      <c r="Q455" s="106">
        <f t="shared" si="20"/>
        <v>3349</v>
      </c>
      <c r="R455" s="105">
        <f t="shared" si="19"/>
        <v>111.63333333333334</v>
      </c>
      <c r="S455" s="105">
        <f t="shared" si="19"/>
        <v>0</v>
      </c>
      <c r="T455" s="108">
        <f t="shared" si="19"/>
        <v>111.63333333333334</v>
      </c>
    </row>
    <row r="456" spans="1:20" s="66" customFormat="1" ht="12.75" x14ac:dyDescent="0.2">
      <c r="A456" s="109">
        <v>4146</v>
      </c>
      <c r="B456" s="110">
        <v>7</v>
      </c>
      <c r="C456" s="103" t="s">
        <v>503</v>
      </c>
      <c r="D456" s="103">
        <v>7</v>
      </c>
      <c r="E456" s="104">
        <f>+SUMIF('GE16FEB14 Unfudged'!$A$2:$A$498, $A456, 'GE16FEB14 Unfudged'!$D$2:$D$498)</f>
        <v>60</v>
      </c>
      <c r="F456" s="104">
        <v>6732</v>
      </c>
      <c r="G456" s="105">
        <v>0</v>
      </c>
      <c r="H456" s="106">
        <v>6732</v>
      </c>
      <c r="I456" s="107">
        <v>0</v>
      </c>
      <c r="J456" s="105">
        <v>0</v>
      </c>
      <c r="K456" s="106">
        <v>0</v>
      </c>
      <c r="L456" s="107">
        <v>0</v>
      </c>
      <c r="M456" s="105">
        <v>0</v>
      </c>
      <c r="N456" s="106">
        <v>0</v>
      </c>
      <c r="O456" s="107">
        <f t="shared" si="20"/>
        <v>6732</v>
      </c>
      <c r="P456" s="105">
        <f t="shared" si="20"/>
        <v>0</v>
      </c>
      <c r="Q456" s="106">
        <f t="shared" si="20"/>
        <v>6732</v>
      </c>
      <c r="R456" s="105">
        <f t="shared" si="19"/>
        <v>112.2</v>
      </c>
      <c r="S456" s="105">
        <f t="shared" si="19"/>
        <v>0</v>
      </c>
      <c r="T456" s="108">
        <f t="shared" si="19"/>
        <v>112.2</v>
      </c>
    </row>
    <row r="457" spans="1:20" s="66" customFormat="1" ht="12.75" x14ac:dyDescent="0.2">
      <c r="A457" s="109">
        <v>4150</v>
      </c>
      <c r="B457" s="110">
        <v>7</v>
      </c>
      <c r="C457" s="103" t="s">
        <v>82</v>
      </c>
      <c r="D457" s="103">
        <v>7</v>
      </c>
      <c r="E457" s="104">
        <f>+SUMIF('GE16FEB14 Unfudged'!$A$2:$A$498, $A457, 'GE16FEB14 Unfudged'!$D$2:$D$498)</f>
        <v>142</v>
      </c>
      <c r="F457" s="104">
        <v>15940</v>
      </c>
      <c r="G457" s="105">
        <v>0</v>
      </c>
      <c r="H457" s="106">
        <v>15940</v>
      </c>
      <c r="I457" s="107">
        <v>0</v>
      </c>
      <c r="J457" s="105">
        <v>0</v>
      </c>
      <c r="K457" s="106">
        <v>0</v>
      </c>
      <c r="L457" s="107">
        <v>0</v>
      </c>
      <c r="M457" s="105">
        <v>0</v>
      </c>
      <c r="N457" s="106">
        <v>0</v>
      </c>
      <c r="O457" s="107">
        <f t="shared" si="20"/>
        <v>15940</v>
      </c>
      <c r="P457" s="105">
        <f t="shared" si="20"/>
        <v>0</v>
      </c>
      <c r="Q457" s="106">
        <f t="shared" si="20"/>
        <v>15940</v>
      </c>
      <c r="R457" s="105">
        <f t="shared" si="19"/>
        <v>112.25352112676056</v>
      </c>
      <c r="S457" s="105">
        <f t="shared" si="19"/>
        <v>0</v>
      </c>
      <c r="T457" s="108">
        <f t="shared" si="19"/>
        <v>112.25352112676056</v>
      </c>
    </row>
    <row r="458" spans="1:20" s="66" customFormat="1" ht="12.75" x14ac:dyDescent="0.2">
      <c r="A458" s="109">
        <v>4151</v>
      </c>
      <c r="B458" s="110">
        <v>7</v>
      </c>
      <c r="C458" s="103" t="s">
        <v>83</v>
      </c>
      <c r="D458" s="103">
        <v>7</v>
      </c>
      <c r="E458" s="104">
        <f>+SUMIF('GE16FEB14 Unfudged'!$A$2:$A$498, $A458, 'GE16FEB14 Unfudged'!$D$2:$D$498)</f>
        <v>121</v>
      </c>
      <c r="F458" s="104">
        <v>13643</v>
      </c>
      <c r="G458" s="105">
        <v>0</v>
      </c>
      <c r="H458" s="106">
        <v>13643</v>
      </c>
      <c r="I458" s="107">
        <v>0</v>
      </c>
      <c r="J458" s="105">
        <v>0</v>
      </c>
      <c r="K458" s="106">
        <v>0</v>
      </c>
      <c r="L458" s="107">
        <v>0</v>
      </c>
      <c r="M458" s="105">
        <v>0</v>
      </c>
      <c r="N458" s="106">
        <v>0</v>
      </c>
      <c r="O458" s="107">
        <f t="shared" si="20"/>
        <v>13643</v>
      </c>
      <c r="P458" s="105">
        <f t="shared" si="20"/>
        <v>0</v>
      </c>
      <c r="Q458" s="106">
        <f t="shared" si="20"/>
        <v>13643</v>
      </c>
      <c r="R458" s="105">
        <f t="shared" si="19"/>
        <v>112.75206611570248</v>
      </c>
      <c r="S458" s="105">
        <f t="shared" si="19"/>
        <v>0</v>
      </c>
      <c r="T458" s="108">
        <f t="shared" si="19"/>
        <v>112.75206611570248</v>
      </c>
    </row>
    <row r="459" spans="1:20" s="66" customFormat="1" ht="12.75" x14ac:dyDescent="0.2">
      <c r="A459" s="109">
        <v>4152</v>
      </c>
      <c r="B459" s="110">
        <v>7</v>
      </c>
      <c r="C459" s="103" t="s">
        <v>504</v>
      </c>
      <c r="D459" s="103">
        <v>7</v>
      </c>
      <c r="E459" s="104">
        <f>+SUMIF('GE16FEB14 Unfudged'!$A$2:$A$498, $A459, 'GE16FEB14 Unfudged'!$D$2:$D$498)</f>
        <v>420</v>
      </c>
      <c r="F459" s="104">
        <v>47278</v>
      </c>
      <c r="G459" s="105">
        <v>0</v>
      </c>
      <c r="H459" s="106">
        <v>47278</v>
      </c>
      <c r="I459" s="107">
        <v>0</v>
      </c>
      <c r="J459" s="105">
        <v>0</v>
      </c>
      <c r="K459" s="106">
        <v>0</v>
      </c>
      <c r="L459" s="107">
        <v>0</v>
      </c>
      <c r="M459" s="105">
        <v>0</v>
      </c>
      <c r="N459" s="106">
        <v>0</v>
      </c>
      <c r="O459" s="107">
        <f t="shared" si="20"/>
        <v>47278</v>
      </c>
      <c r="P459" s="105">
        <f t="shared" si="20"/>
        <v>0</v>
      </c>
      <c r="Q459" s="106">
        <f t="shared" si="20"/>
        <v>47278</v>
      </c>
      <c r="R459" s="105">
        <f t="shared" si="19"/>
        <v>112.56666666666666</v>
      </c>
      <c r="S459" s="105">
        <f t="shared" si="19"/>
        <v>0</v>
      </c>
      <c r="T459" s="108">
        <f t="shared" si="19"/>
        <v>112.56666666666666</v>
      </c>
    </row>
    <row r="460" spans="1:20" s="66" customFormat="1" ht="12.75" x14ac:dyDescent="0.2">
      <c r="A460" s="109">
        <v>4153</v>
      </c>
      <c r="B460" s="110">
        <v>7</v>
      </c>
      <c r="C460" s="103" t="s">
        <v>84</v>
      </c>
      <c r="D460" s="103">
        <v>7</v>
      </c>
      <c r="E460" s="104">
        <f>+SUMIF('GE16FEB14 Unfudged'!$A$2:$A$498, $A460, 'GE16FEB14 Unfudged'!$D$2:$D$498)</f>
        <v>416</v>
      </c>
      <c r="F460" s="104">
        <v>46806</v>
      </c>
      <c r="G460" s="105">
        <v>0</v>
      </c>
      <c r="H460" s="106">
        <v>46806</v>
      </c>
      <c r="I460" s="107">
        <v>0</v>
      </c>
      <c r="J460" s="105">
        <v>0</v>
      </c>
      <c r="K460" s="106">
        <v>0</v>
      </c>
      <c r="L460" s="107">
        <v>0</v>
      </c>
      <c r="M460" s="105">
        <v>0</v>
      </c>
      <c r="N460" s="106">
        <v>0</v>
      </c>
      <c r="O460" s="107">
        <f t="shared" si="20"/>
        <v>46806</v>
      </c>
      <c r="P460" s="105">
        <f t="shared" si="20"/>
        <v>0</v>
      </c>
      <c r="Q460" s="106">
        <f t="shared" si="20"/>
        <v>46806</v>
      </c>
      <c r="R460" s="105">
        <f t="shared" si="19"/>
        <v>112.51442307692308</v>
      </c>
      <c r="S460" s="105">
        <f t="shared" si="19"/>
        <v>0</v>
      </c>
      <c r="T460" s="108">
        <f t="shared" si="19"/>
        <v>112.51442307692308</v>
      </c>
    </row>
    <row r="461" spans="1:20" s="66" customFormat="1" ht="12.75" x14ac:dyDescent="0.2">
      <c r="A461" s="109">
        <v>4155</v>
      </c>
      <c r="B461" s="110">
        <v>7</v>
      </c>
      <c r="C461" s="103" t="s">
        <v>505</v>
      </c>
      <c r="D461" s="103">
        <v>7</v>
      </c>
      <c r="E461" s="104">
        <f>+SUMIF('GE16FEB14 Unfudged'!$A$2:$A$498, $A461, 'GE16FEB14 Unfudged'!$D$2:$D$498)</f>
        <v>135</v>
      </c>
      <c r="F461" s="104">
        <v>15197</v>
      </c>
      <c r="G461" s="105">
        <v>0</v>
      </c>
      <c r="H461" s="106">
        <v>15197</v>
      </c>
      <c r="I461" s="107">
        <v>0</v>
      </c>
      <c r="J461" s="105">
        <v>0</v>
      </c>
      <c r="K461" s="106">
        <v>0</v>
      </c>
      <c r="L461" s="107">
        <v>0</v>
      </c>
      <c r="M461" s="105">
        <v>0</v>
      </c>
      <c r="N461" s="106">
        <v>0</v>
      </c>
      <c r="O461" s="107">
        <f t="shared" si="20"/>
        <v>15197</v>
      </c>
      <c r="P461" s="105">
        <f t="shared" si="20"/>
        <v>0</v>
      </c>
      <c r="Q461" s="106">
        <f t="shared" si="20"/>
        <v>15197</v>
      </c>
      <c r="R461" s="105">
        <f t="shared" si="19"/>
        <v>112.57037037037037</v>
      </c>
      <c r="S461" s="105">
        <f t="shared" si="19"/>
        <v>0</v>
      </c>
      <c r="T461" s="108">
        <f t="shared" si="19"/>
        <v>112.57037037037037</v>
      </c>
    </row>
    <row r="462" spans="1:20" s="66" customFormat="1" ht="12.75" x14ac:dyDescent="0.2">
      <c r="A462" s="109">
        <v>4159</v>
      </c>
      <c r="B462" s="110">
        <v>7</v>
      </c>
      <c r="C462" s="103" t="s">
        <v>85</v>
      </c>
      <c r="D462" s="103">
        <v>7</v>
      </c>
      <c r="E462" s="104">
        <f>+SUMIF('GE16FEB14 Unfudged'!$A$2:$A$498, $A462, 'GE16FEB14 Unfudged'!$D$2:$D$498)</f>
        <v>465</v>
      </c>
      <c r="F462" s="104">
        <v>52344</v>
      </c>
      <c r="G462" s="105">
        <v>0</v>
      </c>
      <c r="H462" s="106">
        <v>52344</v>
      </c>
      <c r="I462" s="107">
        <v>0</v>
      </c>
      <c r="J462" s="105">
        <v>0</v>
      </c>
      <c r="K462" s="106">
        <v>0</v>
      </c>
      <c r="L462" s="107">
        <v>0</v>
      </c>
      <c r="M462" s="105">
        <v>0</v>
      </c>
      <c r="N462" s="106">
        <v>0</v>
      </c>
      <c r="O462" s="107">
        <f t="shared" si="20"/>
        <v>52344</v>
      </c>
      <c r="P462" s="105">
        <f t="shared" si="20"/>
        <v>0</v>
      </c>
      <c r="Q462" s="106">
        <f t="shared" si="20"/>
        <v>52344</v>
      </c>
      <c r="R462" s="105">
        <f t="shared" si="19"/>
        <v>112.56774193548387</v>
      </c>
      <c r="S462" s="105">
        <f t="shared" si="19"/>
        <v>0</v>
      </c>
      <c r="T462" s="108">
        <f t="shared" si="19"/>
        <v>112.56774193548387</v>
      </c>
    </row>
    <row r="463" spans="1:20" s="66" customFormat="1" ht="12.75" x14ac:dyDescent="0.2">
      <c r="A463" s="109">
        <v>4160</v>
      </c>
      <c r="B463" s="110">
        <v>7</v>
      </c>
      <c r="C463" s="103" t="s">
        <v>86</v>
      </c>
      <c r="D463" s="103">
        <v>7</v>
      </c>
      <c r="E463" s="104">
        <f>+SUMIF('GE16FEB14 Unfudged'!$A$2:$A$498, $A463, 'GE16FEB14 Unfudged'!$D$2:$D$498)</f>
        <v>625</v>
      </c>
      <c r="F463" s="104">
        <v>70310</v>
      </c>
      <c r="G463" s="105">
        <v>0</v>
      </c>
      <c r="H463" s="106">
        <v>70310</v>
      </c>
      <c r="I463" s="107">
        <v>0</v>
      </c>
      <c r="J463" s="105">
        <v>0</v>
      </c>
      <c r="K463" s="106">
        <v>0</v>
      </c>
      <c r="L463" s="107">
        <v>0</v>
      </c>
      <c r="M463" s="105">
        <v>0</v>
      </c>
      <c r="N463" s="106">
        <v>0</v>
      </c>
      <c r="O463" s="107">
        <f t="shared" si="20"/>
        <v>70310</v>
      </c>
      <c r="P463" s="105">
        <f t="shared" si="20"/>
        <v>0</v>
      </c>
      <c r="Q463" s="106">
        <f t="shared" si="20"/>
        <v>70310</v>
      </c>
      <c r="R463" s="105">
        <f t="shared" si="19"/>
        <v>112.496</v>
      </c>
      <c r="S463" s="105">
        <f t="shared" si="19"/>
        <v>0</v>
      </c>
      <c r="T463" s="108">
        <f t="shared" si="19"/>
        <v>112.496</v>
      </c>
    </row>
    <row r="464" spans="1:20" s="66" customFormat="1" ht="12.75" x14ac:dyDescent="0.2">
      <c r="A464" s="109">
        <v>4161</v>
      </c>
      <c r="B464" s="110">
        <v>7</v>
      </c>
      <c r="C464" s="103" t="s">
        <v>87</v>
      </c>
      <c r="D464" s="103">
        <v>7</v>
      </c>
      <c r="E464" s="104">
        <f>+SUMIF('GE16FEB14 Unfudged'!$A$2:$A$498, $A464, 'GE16FEB14 Unfudged'!$D$2:$D$498)</f>
        <v>172</v>
      </c>
      <c r="F464" s="104">
        <v>19362</v>
      </c>
      <c r="G464" s="105">
        <v>0</v>
      </c>
      <c r="H464" s="106">
        <v>19362</v>
      </c>
      <c r="I464" s="107">
        <v>0</v>
      </c>
      <c r="J464" s="105">
        <v>0</v>
      </c>
      <c r="K464" s="106">
        <v>0</v>
      </c>
      <c r="L464" s="107">
        <v>0</v>
      </c>
      <c r="M464" s="105">
        <v>0</v>
      </c>
      <c r="N464" s="106">
        <v>0</v>
      </c>
      <c r="O464" s="107">
        <f t="shared" si="20"/>
        <v>19362</v>
      </c>
      <c r="P464" s="105">
        <f t="shared" si="20"/>
        <v>0</v>
      </c>
      <c r="Q464" s="106">
        <f t="shared" si="20"/>
        <v>19362</v>
      </c>
      <c r="R464" s="105">
        <f t="shared" si="19"/>
        <v>112.56976744186046</v>
      </c>
      <c r="S464" s="105">
        <f t="shared" si="19"/>
        <v>0</v>
      </c>
      <c r="T464" s="108">
        <f t="shared" si="19"/>
        <v>112.56976744186046</v>
      </c>
    </row>
    <row r="465" spans="1:20" s="66" customFormat="1" ht="12.75" x14ac:dyDescent="0.2">
      <c r="A465" s="109">
        <v>4162</v>
      </c>
      <c r="B465" s="110">
        <v>7</v>
      </c>
      <c r="C465" s="103" t="s">
        <v>88</v>
      </c>
      <c r="D465" s="103">
        <v>7</v>
      </c>
      <c r="E465" s="104">
        <f>+SUMIF('GE16FEB14 Unfudged'!$A$2:$A$498, $A465, 'GE16FEB14 Unfudged'!$D$2:$D$498)</f>
        <v>114</v>
      </c>
      <c r="F465" s="104">
        <v>12810</v>
      </c>
      <c r="G465" s="105">
        <v>0</v>
      </c>
      <c r="H465" s="106">
        <v>12810</v>
      </c>
      <c r="I465" s="107">
        <v>0</v>
      </c>
      <c r="J465" s="105">
        <v>0</v>
      </c>
      <c r="K465" s="106">
        <v>0</v>
      </c>
      <c r="L465" s="107">
        <v>0</v>
      </c>
      <c r="M465" s="105">
        <v>0</v>
      </c>
      <c r="N465" s="106">
        <v>0</v>
      </c>
      <c r="O465" s="107">
        <f t="shared" si="20"/>
        <v>12810</v>
      </c>
      <c r="P465" s="105">
        <f t="shared" si="20"/>
        <v>0</v>
      </c>
      <c r="Q465" s="106">
        <f t="shared" si="20"/>
        <v>12810</v>
      </c>
      <c r="R465" s="105">
        <f t="shared" si="19"/>
        <v>112.36842105263158</v>
      </c>
      <c r="S465" s="105">
        <f t="shared" si="19"/>
        <v>0</v>
      </c>
      <c r="T465" s="108">
        <f t="shared" si="19"/>
        <v>112.36842105263158</v>
      </c>
    </row>
    <row r="466" spans="1:20" s="66" customFormat="1" ht="12.75" x14ac:dyDescent="0.2">
      <c r="A466" s="109">
        <v>4163</v>
      </c>
      <c r="B466" s="110">
        <v>7</v>
      </c>
      <c r="C466" s="103" t="s">
        <v>89</v>
      </c>
      <c r="D466" s="103">
        <v>7</v>
      </c>
      <c r="E466" s="104">
        <f>+SUMIF('GE16FEB14 Unfudged'!$A$2:$A$498, $A466, 'GE16FEB14 Unfudged'!$D$2:$D$498)</f>
        <v>258</v>
      </c>
      <c r="F466" s="104">
        <v>29048</v>
      </c>
      <c r="G466" s="105">
        <v>0</v>
      </c>
      <c r="H466" s="106">
        <v>29048</v>
      </c>
      <c r="I466" s="107">
        <v>0</v>
      </c>
      <c r="J466" s="105">
        <v>0</v>
      </c>
      <c r="K466" s="106">
        <v>0</v>
      </c>
      <c r="L466" s="107">
        <v>0</v>
      </c>
      <c r="M466" s="105">
        <v>0</v>
      </c>
      <c r="N466" s="106">
        <v>0</v>
      </c>
      <c r="O466" s="107">
        <f t="shared" si="20"/>
        <v>29048</v>
      </c>
      <c r="P466" s="105">
        <f t="shared" si="20"/>
        <v>0</v>
      </c>
      <c r="Q466" s="106">
        <f t="shared" si="20"/>
        <v>29048</v>
      </c>
      <c r="R466" s="105">
        <f t="shared" si="19"/>
        <v>112.5891472868217</v>
      </c>
      <c r="S466" s="105">
        <f t="shared" si="19"/>
        <v>0</v>
      </c>
      <c r="T466" s="108">
        <f t="shared" si="19"/>
        <v>112.5891472868217</v>
      </c>
    </row>
    <row r="467" spans="1:20" s="66" customFormat="1" ht="12.75" x14ac:dyDescent="0.2">
      <c r="A467" s="109">
        <v>4164</v>
      </c>
      <c r="B467" s="110">
        <v>7</v>
      </c>
      <c r="C467" s="103" t="s">
        <v>90</v>
      </c>
      <c r="D467" s="103">
        <v>7</v>
      </c>
      <c r="E467" s="104">
        <f>+SUMIF('GE16FEB14 Unfudged'!$A$2:$A$498, $A467, 'GE16FEB14 Unfudged'!$D$2:$D$498)</f>
        <v>220</v>
      </c>
      <c r="F467" s="104">
        <v>24765</v>
      </c>
      <c r="G467" s="105">
        <v>0</v>
      </c>
      <c r="H467" s="106">
        <v>24765</v>
      </c>
      <c r="I467" s="107">
        <v>0</v>
      </c>
      <c r="J467" s="105">
        <v>0</v>
      </c>
      <c r="K467" s="106">
        <v>0</v>
      </c>
      <c r="L467" s="107">
        <v>0</v>
      </c>
      <c r="M467" s="105">
        <v>0</v>
      </c>
      <c r="N467" s="106">
        <v>0</v>
      </c>
      <c r="O467" s="107">
        <f t="shared" si="20"/>
        <v>24765</v>
      </c>
      <c r="P467" s="105">
        <f t="shared" si="20"/>
        <v>0</v>
      </c>
      <c r="Q467" s="106">
        <f t="shared" si="20"/>
        <v>24765</v>
      </c>
      <c r="R467" s="105">
        <f t="shared" ref="R467:T514" si="21">+IF($E467=0, 0, O467/$E467)</f>
        <v>112.56818181818181</v>
      </c>
      <c r="S467" s="105">
        <f t="shared" si="21"/>
        <v>0</v>
      </c>
      <c r="T467" s="108">
        <f t="shared" si="21"/>
        <v>112.56818181818181</v>
      </c>
    </row>
    <row r="468" spans="1:20" s="66" customFormat="1" ht="12.75" x14ac:dyDescent="0.2">
      <c r="A468" s="109">
        <v>4166</v>
      </c>
      <c r="B468" s="110">
        <v>7</v>
      </c>
      <c r="C468" s="103" t="s">
        <v>91</v>
      </c>
      <c r="D468" s="103">
        <v>7</v>
      </c>
      <c r="E468" s="104">
        <f>+SUMIF('GE16FEB14 Unfudged'!$A$2:$A$498, $A468, 'GE16FEB14 Unfudged'!$D$2:$D$498)</f>
        <v>120</v>
      </c>
      <c r="F468" s="104">
        <v>13508</v>
      </c>
      <c r="G468" s="105">
        <v>0</v>
      </c>
      <c r="H468" s="106">
        <v>13508</v>
      </c>
      <c r="I468" s="107">
        <v>0</v>
      </c>
      <c r="J468" s="105">
        <v>0</v>
      </c>
      <c r="K468" s="106">
        <v>0</v>
      </c>
      <c r="L468" s="107">
        <v>0</v>
      </c>
      <c r="M468" s="105">
        <v>0</v>
      </c>
      <c r="N468" s="106">
        <v>0</v>
      </c>
      <c r="O468" s="107">
        <f t="shared" si="20"/>
        <v>13508</v>
      </c>
      <c r="P468" s="105">
        <f t="shared" si="20"/>
        <v>0</v>
      </c>
      <c r="Q468" s="106">
        <f t="shared" si="20"/>
        <v>13508</v>
      </c>
      <c r="R468" s="105">
        <f t="shared" si="21"/>
        <v>112.56666666666666</v>
      </c>
      <c r="S468" s="105">
        <f t="shared" si="21"/>
        <v>0</v>
      </c>
      <c r="T468" s="108">
        <f t="shared" si="21"/>
        <v>112.56666666666666</v>
      </c>
    </row>
    <row r="469" spans="1:20" s="66" customFormat="1" ht="12.75" x14ac:dyDescent="0.2">
      <c r="A469" s="109">
        <v>4167</v>
      </c>
      <c r="B469" s="110">
        <v>7</v>
      </c>
      <c r="C469" s="103" t="s">
        <v>92</v>
      </c>
      <c r="D469" s="103">
        <v>7</v>
      </c>
      <c r="E469" s="104">
        <f>+SUMIF('GE16FEB14 Unfudged'!$A$2:$A$498, $A469, 'GE16FEB14 Unfudged'!$D$2:$D$498)</f>
        <v>311</v>
      </c>
      <c r="F469" s="104">
        <v>34952</v>
      </c>
      <c r="G469" s="105">
        <v>0</v>
      </c>
      <c r="H469" s="106">
        <v>34952</v>
      </c>
      <c r="I469" s="107">
        <v>0</v>
      </c>
      <c r="J469" s="105">
        <v>0</v>
      </c>
      <c r="K469" s="106">
        <v>0</v>
      </c>
      <c r="L469" s="107">
        <v>0</v>
      </c>
      <c r="M469" s="105">
        <v>0</v>
      </c>
      <c r="N469" s="106">
        <v>0</v>
      </c>
      <c r="O469" s="107">
        <f t="shared" si="20"/>
        <v>34952</v>
      </c>
      <c r="P469" s="105">
        <f t="shared" si="20"/>
        <v>0</v>
      </c>
      <c r="Q469" s="106">
        <f t="shared" si="20"/>
        <v>34952</v>
      </c>
      <c r="R469" s="105">
        <f t="shared" si="21"/>
        <v>112.38585209003216</v>
      </c>
      <c r="S469" s="105">
        <f t="shared" si="21"/>
        <v>0</v>
      </c>
      <c r="T469" s="108">
        <f t="shared" si="21"/>
        <v>112.38585209003216</v>
      </c>
    </row>
    <row r="470" spans="1:20" s="66" customFormat="1" ht="12.75" x14ac:dyDescent="0.2">
      <c r="A470" s="109">
        <v>4168</v>
      </c>
      <c r="B470" s="110">
        <v>7</v>
      </c>
      <c r="C470" s="103" t="s">
        <v>93</v>
      </c>
      <c r="D470" s="103">
        <v>7</v>
      </c>
      <c r="E470" s="104">
        <f>+SUMIF('GE16FEB14 Unfudged'!$A$2:$A$498, $A470, 'GE16FEB14 Unfudged'!$D$2:$D$498)</f>
        <v>133</v>
      </c>
      <c r="F470" s="104">
        <v>14960</v>
      </c>
      <c r="G470" s="105">
        <v>0</v>
      </c>
      <c r="H470" s="106">
        <v>14960</v>
      </c>
      <c r="I470" s="107">
        <v>0</v>
      </c>
      <c r="J470" s="105">
        <v>0</v>
      </c>
      <c r="K470" s="106">
        <v>0</v>
      </c>
      <c r="L470" s="107">
        <v>0</v>
      </c>
      <c r="M470" s="105">
        <v>0</v>
      </c>
      <c r="N470" s="106">
        <v>0</v>
      </c>
      <c r="O470" s="107">
        <f t="shared" si="20"/>
        <v>14960</v>
      </c>
      <c r="P470" s="105">
        <f t="shared" si="20"/>
        <v>0</v>
      </c>
      <c r="Q470" s="106">
        <f t="shared" si="20"/>
        <v>14960</v>
      </c>
      <c r="R470" s="105">
        <f t="shared" si="21"/>
        <v>112.4812030075188</v>
      </c>
      <c r="S470" s="105">
        <f t="shared" si="21"/>
        <v>0</v>
      </c>
      <c r="T470" s="108">
        <f t="shared" si="21"/>
        <v>112.4812030075188</v>
      </c>
    </row>
    <row r="471" spans="1:20" s="66" customFormat="1" ht="12.75" x14ac:dyDescent="0.2">
      <c r="A471" s="109">
        <v>4169</v>
      </c>
      <c r="B471" s="110">
        <v>7</v>
      </c>
      <c r="C471" s="103" t="s">
        <v>506</v>
      </c>
      <c r="D471" s="103">
        <v>7</v>
      </c>
      <c r="E471" s="104">
        <f>+SUMIF('GE16FEB14 Unfudged'!$A$2:$A$498, $A471, 'GE16FEB14 Unfudged'!$D$2:$D$498)</f>
        <v>291</v>
      </c>
      <c r="F471" s="104">
        <v>32780</v>
      </c>
      <c r="G471" s="105">
        <v>0</v>
      </c>
      <c r="H471" s="106">
        <v>32780</v>
      </c>
      <c r="I471" s="107">
        <v>0</v>
      </c>
      <c r="J471" s="105">
        <v>0</v>
      </c>
      <c r="K471" s="106">
        <v>0</v>
      </c>
      <c r="L471" s="107">
        <v>0</v>
      </c>
      <c r="M471" s="105">
        <v>0</v>
      </c>
      <c r="N471" s="106">
        <v>0</v>
      </c>
      <c r="O471" s="107">
        <f t="shared" si="20"/>
        <v>32780</v>
      </c>
      <c r="P471" s="105">
        <f t="shared" si="20"/>
        <v>0</v>
      </c>
      <c r="Q471" s="106">
        <f t="shared" si="20"/>
        <v>32780</v>
      </c>
      <c r="R471" s="105">
        <f t="shared" si="21"/>
        <v>112.64604810996563</v>
      </c>
      <c r="S471" s="105">
        <f t="shared" si="21"/>
        <v>0</v>
      </c>
      <c r="T471" s="108">
        <f t="shared" si="21"/>
        <v>112.64604810996563</v>
      </c>
    </row>
    <row r="472" spans="1:20" s="66" customFormat="1" ht="12.75" x14ac:dyDescent="0.2">
      <c r="A472" s="109">
        <v>4170</v>
      </c>
      <c r="B472" s="110">
        <v>7</v>
      </c>
      <c r="C472" s="103" t="s">
        <v>94</v>
      </c>
      <c r="D472" s="103">
        <v>7</v>
      </c>
      <c r="E472" s="104">
        <f>+SUMIF('GE16FEB14 Unfudged'!$A$2:$A$498, $A472, 'GE16FEB14 Unfudged'!$D$2:$D$498)</f>
        <v>957</v>
      </c>
      <c r="F472" s="104">
        <v>107727</v>
      </c>
      <c r="G472" s="105">
        <v>0</v>
      </c>
      <c r="H472" s="106">
        <v>107727</v>
      </c>
      <c r="I472" s="107">
        <v>0</v>
      </c>
      <c r="J472" s="105">
        <v>0</v>
      </c>
      <c r="K472" s="106">
        <v>0</v>
      </c>
      <c r="L472" s="107">
        <v>0</v>
      </c>
      <c r="M472" s="105">
        <v>0</v>
      </c>
      <c r="N472" s="106">
        <v>0</v>
      </c>
      <c r="O472" s="107">
        <f t="shared" si="20"/>
        <v>107727</v>
      </c>
      <c r="P472" s="105">
        <f t="shared" si="20"/>
        <v>0</v>
      </c>
      <c r="Q472" s="106">
        <f t="shared" si="20"/>
        <v>107727</v>
      </c>
      <c r="R472" s="105">
        <f t="shared" si="21"/>
        <v>112.56739811912226</v>
      </c>
      <c r="S472" s="105">
        <f t="shared" si="21"/>
        <v>0</v>
      </c>
      <c r="T472" s="108">
        <f t="shared" si="21"/>
        <v>112.56739811912226</v>
      </c>
    </row>
    <row r="473" spans="1:20" s="66" customFormat="1" ht="12.75" x14ac:dyDescent="0.2">
      <c r="A473" s="109">
        <v>4171</v>
      </c>
      <c r="B473" s="110">
        <v>7</v>
      </c>
      <c r="C473" s="103" t="s">
        <v>95</v>
      </c>
      <c r="D473" s="103">
        <v>7</v>
      </c>
      <c r="E473" s="104">
        <f>+SUMIF('GE16FEB14 Unfudged'!$A$2:$A$498, $A473, 'GE16FEB14 Unfudged'!$D$2:$D$498)</f>
        <v>528</v>
      </c>
      <c r="F473" s="104">
        <v>59436</v>
      </c>
      <c r="G473" s="105">
        <v>0</v>
      </c>
      <c r="H473" s="106">
        <v>59436</v>
      </c>
      <c r="I473" s="107">
        <v>0</v>
      </c>
      <c r="J473" s="105">
        <v>0</v>
      </c>
      <c r="K473" s="106">
        <v>0</v>
      </c>
      <c r="L473" s="107">
        <v>0</v>
      </c>
      <c r="M473" s="105">
        <v>0</v>
      </c>
      <c r="N473" s="106">
        <v>0</v>
      </c>
      <c r="O473" s="107">
        <f t="shared" si="20"/>
        <v>59436</v>
      </c>
      <c r="P473" s="105">
        <f t="shared" si="20"/>
        <v>0</v>
      </c>
      <c r="Q473" s="106">
        <f t="shared" si="20"/>
        <v>59436</v>
      </c>
      <c r="R473" s="105">
        <f t="shared" si="21"/>
        <v>112.56818181818181</v>
      </c>
      <c r="S473" s="105">
        <f t="shared" si="21"/>
        <v>0</v>
      </c>
      <c r="T473" s="108">
        <f t="shared" si="21"/>
        <v>112.56818181818181</v>
      </c>
    </row>
    <row r="474" spans="1:20" s="66" customFormat="1" ht="12.75" x14ac:dyDescent="0.2">
      <c r="A474" s="109">
        <v>4172</v>
      </c>
      <c r="B474" s="110">
        <v>7</v>
      </c>
      <c r="C474" s="103" t="s">
        <v>96</v>
      </c>
      <c r="D474" s="103">
        <v>7</v>
      </c>
      <c r="E474" s="104">
        <f>+SUMIF('GE16FEB14 Unfudged'!$A$2:$A$498, $A474, 'GE16FEB14 Unfudged'!$D$2:$D$498)</f>
        <v>68</v>
      </c>
      <c r="F474" s="104">
        <v>7655</v>
      </c>
      <c r="G474" s="105">
        <v>0</v>
      </c>
      <c r="H474" s="106">
        <v>7655</v>
      </c>
      <c r="I474" s="107">
        <v>0</v>
      </c>
      <c r="J474" s="105">
        <v>0</v>
      </c>
      <c r="K474" s="106">
        <v>0</v>
      </c>
      <c r="L474" s="107">
        <v>0</v>
      </c>
      <c r="M474" s="105">
        <v>0</v>
      </c>
      <c r="N474" s="106">
        <v>0</v>
      </c>
      <c r="O474" s="107">
        <f t="shared" si="20"/>
        <v>7655</v>
      </c>
      <c r="P474" s="105">
        <f t="shared" si="20"/>
        <v>0</v>
      </c>
      <c r="Q474" s="106">
        <f t="shared" si="20"/>
        <v>7655</v>
      </c>
      <c r="R474" s="105">
        <f t="shared" si="21"/>
        <v>112.57352941176471</v>
      </c>
      <c r="S474" s="105">
        <f t="shared" si="21"/>
        <v>0</v>
      </c>
      <c r="T474" s="108">
        <f t="shared" si="21"/>
        <v>112.57352941176471</v>
      </c>
    </row>
    <row r="475" spans="1:20" s="66" customFormat="1" ht="12.75" x14ac:dyDescent="0.2">
      <c r="A475" s="109">
        <v>4173</v>
      </c>
      <c r="B475" s="110">
        <v>7</v>
      </c>
      <c r="C475" s="103" t="s">
        <v>97</v>
      </c>
      <c r="D475" s="103">
        <v>7</v>
      </c>
      <c r="E475" s="104">
        <f>+SUMIF('GE16FEB14 Unfudged'!$A$2:$A$498, $A475, 'GE16FEB14 Unfudged'!$D$2:$D$498)</f>
        <v>0</v>
      </c>
      <c r="F475" s="104">
        <v>0</v>
      </c>
      <c r="G475" s="105">
        <v>0</v>
      </c>
      <c r="H475" s="106">
        <v>0</v>
      </c>
      <c r="I475" s="107">
        <v>0</v>
      </c>
      <c r="J475" s="105">
        <v>0</v>
      </c>
      <c r="K475" s="106">
        <v>0</v>
      </c>
      <c r="L475" s="107">
        <v>0</v>
      </c>
      <c r="M475" s="105">
        <v>0</v>
      </c>
      <c r="N475" s="106">
        <v>0</v>
      </c>
      <c r="O475" s="107">
        <f t="shared" si="20"/>
        <v>0</v>
      </c>
      <c r="P475" s="105">
        <f t="shared" si="20"/>
        <v>0</v>
      </c>
      <c r="Q475" s="106">
        <f t="shared" si="20"/>
        <v>0</v>
      </c>
      <c r="R475" s="105">
        <f t="shared" si="21"/>
        <v>0</v>
      </c>
      <c r="S475" s="105">
        <f t="shared" si="21"/>
        <v>0</v>
      </c>
      <c r="T475" s="108">
        <f t="shared" si="21"/>
        <v>0</v>
      </c>
    </row>
    <row r="476" spans="1:20" s="66" customFormat="1" ht="12.75" x14ac:dyDescent="0.2">
      <c r="A476" s="109">
        <v>4174</v>
      </c>
      <c r="B476" s="110">
        <v>7</v>
      </c>
      <c r="C476" s="103" t="s">
        <v>98</v>
      </c>
      <c r="D476" s="103">
        <v>7</v>
      </c>
      <c r="E476" s="104">
        <f>+SUMIF('GE16FEB14 Unfudged'!$A$2:$A$498, $A476, 'GE16FEB14 Unfudged'!$D$2:$D$498)</f>
        <v>0</v>
      </c>
      <c r="F476" s="104">
        <v>0</v>
      </c>
      <c r="G476" s="105">
        <v>0</v>
      </c>
      <c r="H476" s="106">
        <v>0</v>
      </c>
      <c r="I476" s="107">
        <v>0</v>
      </c>
      <c r="J476" s="105">
        <v>0</v>
      </c>
      <c r="K476" s="106">
        <v>0</v>
      </c>
      <c r="L476" s="107">
        <v>0</v>
      </c>
      <c r="M476" s="105">
        <v>0</v>
      </c>
      <c r="N476" s="106">
        <v>0</v>
      </c>
      <c r="O476" s="107">
        <f t="shared" si="20"/>
        <v>0</v>
      </c>
      <c r="P476" s="105">
        <f t="shared" si="20"/>
        <v>0</v>
      </c>
      <c r="Q476" s="106">
        <f t="shared" si="20"/>
        <v>0</v>
      </c>
      <c r="R476" s="105">
        <f t="shared" si="21"/>
        <v>0</v>
      </c>
      <c r="S476" s="105">
        <f t="shared" si="21"/>
        <v>0</v>
      </c>
      <c r="T476" s="108">
        <f t="shared" si="21"/>
        <v>0</v>
      </c>
    </row>
    <row r="477" spans="1:20" s="66" customFormat="1" ht="12.75" x14ac:dyDescent="0.2">
      <c r="A477" s="109">
        <v>4177</v>
      </c>
      <c r="B477" s="110">
        <v>7</v>
      </c>
      <c r="C477" s="103" t="s">
        <v>99</v>
      </c>
      <c r="D477" s="103">
        <v>7</v>
      </c>
      <c r="E477" s="104">
        <f>+SUMIF('GE16FEB14 Unfudged'!$A$2:$A$498, $A477, 'GE16FEB14 Unfudged'!$D$2:$D$498)</f>
        <v>55</v>
      </c>
      <c r="F477" s="104">
        <v>6191</v>
      </c>
      <c r="G477" s="105">
        <v>0</v>
      </c>
      <c r="H477" s="106">
        <v>6191</v>
      </c>
      <c r="I477" s="107">
        <v>0</v>
      </c>
      <c r="J477" s="105">
        <v>0</v>
      </c>
      <c r="K477" s="106">
        <v>0</v>
      </c>
      <c r="L477" s="107">
        <v>0</v>
      </c>
      <c r="M477" s="105">
        <v>0</v>
      </c>
      <c r="N477" s="106">
        <v>0</v>
      </c>
      <c r="O477" s="107">
        <f t="shared" si="20"/>
        <v>6191</v>
      </c>
      <c r="P477" s="105">
        <f t="shared" si="20"/>
        <v>0</v>
      </c>
      <c r="Q477" s="106">
        <f t="shared" si="20"/>
        <v>6191</v>
      </c>
      <c r="R477" s="105">
        <f t="shared" si="21"/>
        <v>112.56363636363636</v>
      </c>
      <c r="S477" s="105">
        <f t="shared" si="21"/>
        <v>0</v>
      </c>
      <c r="T477" s="108">
        <f t="shared" si="21"/>
        <v>112.56363636363636</v>
      </c>
    </row>
    <row r="478" spans="1:20" s="66" customFormat="1" ht="12.75" x14ac:dyDescent="0.2">
      <c r="A478" s="109">
        <v>4178</v>
      </c>
      <c r="B478" s="110">
        <v>7</v>
      </c>
      <c r="C478" s="103" t="s">
        <v>100</v>
      </c>
      <c r="D478" s="103">
        <v>7</v>
      </c>
      <c r="E478" s="104">
        <f>+SUMIF('GE16FEB14 Unfudged'!$A$2:$A$498, $A478, 'GE16FEB14 Unfudged'!$D$2:$D$498)</f>
        <v>216</v>
      </c>
      <c r="F478" s="104">
        <v>24315</v>
      </c>
      <c r="G478" s="105">
        <v>0</v>
      </c>
      <c r="H478" s="106">
        <v>24315</v>
      </c>
      <c r="I478" s="107">
        <v>0</v>
      </c>
      <c r="J478" s="105">
        <v>0</v>
      </c>
      <c r="K478" s="106">
        <v>0</v>
      </c>
      <c r="L478" s="107">
        <v>0</v>
      </c>
      <c r="M478" s="105">
        <v>0</v>
      </c>
      <c r="N478" s="106">
        <v>0</v>
      </c>
      <c r="O478" s="107">
        <f t="shared" si="20"/>
        <v>24315</v>
      </c>
      <c r="P478" s="105">
        <f t="shared" si="20"/>
        <v>0</v>
      </c>
      <c r="Q478" s="106">
        <f t="shared" si="20"/>
        <v>24315</v>
      </c>
      <c r="R478" s="105">
        <f t="shared" si="21"/>
        <v>112.56944444444444</v>
      </c>
      <c r="S478" s="105">
        <f t="shared" si="21"/>
        <v>0</v>
      </c>
      <c r="T478" s="108">
        <f t="shared" si="21"/>
        <v>112.56944444444444</v>
      </c>
    </row>
    <row r="479" spans="1:20" s="66" customFormat="1" ht="12.75" x14ac:dyDescent="0.2">
      <c r="A479" s="109">
        <v>4180</v>
      </c>
      <c r="B479" s="110">
        <v>7</v>
      </c>
      <c r="C479" s="103" t="s">
        <v>101</v>
      </c>
      <c r="D479" s="103">
        <v>7</v>
      </c>
      <c r="E479" s="104">
        <f>+SUMIF('GE16FEB14 Unfudged'!$A$2:$A$498, $A479, 'GE16FEB14 Unfudged'!$D$2:$D$498)</f>
        <v>0</v>
      </c>
      <c r="F479" s="104">
        <v>0</v>
      </c>
      <c r="G479" s="105">
        <v>0</v>
      </c>
      <c r="H479" s="106">
        <v>0</v>
      </c>
      <c r="I479" s="107">
        <v>0</v>
      </c>
      <c r="J479" s="105">
        <v>0</v>
      </c>
      <c r="K479" s="106">
        <v>0</v>
      </c>
      <c r="L479" s="107">
        <v>0</v>
      </c>
      <c r="M479" s="105">
        <v>0</v>
      </c>
      <c r="N479" s="106">
        <v>0</v>
      </c>
      <c r="O479" s="107">
        <f t="shared" si="20"/>
        <v>0</v>
      </c>
      <c r="P479" s="105">
        <f t="shared" si="20"/>
        <v>0</v>
      </c>
      <c r="Q479" s="106">
        <f t="shared" si="20"/>
        <v>0</v>
      </c>
      <c r="R479" s="105">
        <f t="shared" si="21"/>
        <v>0</v>
      </c>
      <c r="S479" s="105">
        <f t="shared" si="21"/>
        <v>0</v>
      </c>
      <c r="T479" s="108">
        <f t="shared" si="21"/>
        <v>0</v>
      </c>
    </row>
    <row r="480" spans="1:20" s="66" customFormat="1" ht="12.75" x14ac:dyDescent="0.2">
      <c r="A480" s="109">
        <v>4181</v>
      </c>
      <c r="B480" s="110">
        <v>7</v>
      </c>
      <c r="C480" s="103" t="s">
        <v>102</v>
      </c>
      <c r="D480" s="103">
        <v>7</v>
      </c>
      <c r="E480" s="104">
        <f>+SUMIF('GE16FEB14 Unfudged'!$A$2:$A$498, $A480, 'GE16FEB14 Unfudged'!$D$2:$D$498)</f>
        <v>956</v>
      </c>
      <c r="F480" s="104">
        <v>107558</v>
      </c>
      <c r="G480" s="105">
        <v>0</v>
      </c>
      <c r="H480" s="106">
        <v>107558</v>
      </c>
      <c r="I480" s="107">
        <v>0</v>
      </c>
      <c r="J480" s="105">
        <v>0</v>
      </c>
      <c r="K480" s="106">
        <v>0</v>
      </c>
      <c r="L480" s="107">
        <v>0</v>
      </c>
      <c r="M480" s="105">
        <v>0</v>
      </c>
      <c r="N480" s="106">
        <v>0</v>
      </c>
      <c r="O480" s="107">
        <f t="shared" si="20"/>
        <v>107558</v>
      </c>
      <c r="P480" s="105">
        <f t="shared" si="20"/>
        <v>0</v>
      </c>
      <c r="Q480" s="106">
        <f t="shared" si="20"/>
        <v>107558</v>
      </c>
      <c r="R480" s="105">
        <f t="shared" si="21"/>
        <v>112.50836820083683</v>
      </c>
      <c r="S480" s="105">
        <f t="shared" si="21"/>
        <v>0</v>
      </c>
      <c r="T480" s="108">
        <f t="shared" si="21"/>
        <v>112.50836820083683</v>
      </c>
    </row>
    <row r="481" spans="1:20" s="66" customFormat="1" ht="12.75" x14ac:dyDescent="0.2">
      <c r="A481" s="109">
        <v>4182</v>
      </c>
      <c r="B481" s="110">
        <v>7</v>
      </c>
      <c r="C481" s="103" t="s">
        <v>103</v>
      </c>
      <c r="D481" s="103">
        <v>7</v>
      </c>
      <c r="E481" s="104">
        <f>+SUMIF('GE16FEB14 Unfudged'!$A$2:$A$498, $A481, 'GE16FEB14 Unfudged'!$D$2:$D$498)</f>
        <v>0</v>
      </c>
      <c r="F481" s="104">
        <v>0</v>
      </c>
      <c r="G481" s="105">
        <v>0</v>
      </c>
      <c r="H481" s="106">
        <v>0</v>
      </c>
      <c r="I481" s="107">
        <v>0</v>
      </c>
      <c r="J481" s="105">
        <v>0</v>
      </c>
      <c r="K481" s="106">
        <v>0</v>
      </c>
      <c r="L481" s="107">
        <v>0</v>
      </c>
      <c r="M481" s="105">
        <v>0</v>
      </c>
      <c r="N481" s="106">
        <v>0</v>
      </c>
      <c r="O481" s="107">
        <f t="shared" si="20"/>
        <v>0</v>
      </c>
      <c r="P481" s="105">
        <f t="shared" si="20"/>
        <v>0</v>
      </c>
      <c r="Q481" s="106">
        <f t="shared" si="20"/>
        <v>0</v>
      </c>
      <c r="R481" s="105">
        <f t="shared" si="21"/>
        <v>0</v>
      </c>
      <c r="S481" s="105">
        <f t="shared" si="21"/>
        <v>0</v>
      </c>
      <c r="T481" s="108">
        <f t="shared" si="21"/>
        <v>0</v>
      </c>
    </row>
    <row r="482" spans="1:20" s="66" customFormat="1" ht="12.75" x14ac:dyDescent="0.2">
      <c r="A482" s="109">
        <v>4183</v>
      </c>
      <c r="B482" s="110">
        <v>7</v>
      </c>
      <c r="C482" s="103" t="s">
        <v>104</v>
      </c>
      <c r="D482" s="103">
        <v>7</v>
      </c>
      <c r="E482" s="104">
        <f>+SUMIF('GE16FEB14 Unfudged'!$A$2:$A$498, $A482, 'GE16FEB14 Unfudged'!$D$2:$D$498)</f>
        <v>172</v>
      </c>
      <c r="F482" s="104">
        <v>19317</v>
      </c>
      <c r="G482" s="105">
        <v>0</v>
      </c>
      <c r="H482" s="106">
        <v>19317</v>
      </c>
      <c r="I482" s="107">
        <v>0</v>
      </c>
      <c r="J482" s="105">
        <v>0</v>
      </c>
      <c r="K482" s="106">
        <v>0</v>
      </c>
      <c r="L482" s="107">
        <v>0</v>
      </c>
      <c r="M482" s="105">
        <v>0</v>
      </c>
      <c r="N482" s="106">
        <v>0</v>
      </c>
      <c r="O482" s="107">
        <f t="shared" ref="O482:Q514" si="22">+F482+I482+L482</f>
        <v>19317</v>
      </c>
      <c r="P482" s="105">
        <f t="shared" si="22"/>
        <v>0</v>
      </c>
      <c r="Q482" s="106">
        <f t="shared" si="22"/>
        <v>19317</v>
      </c>
      <c r="R482" s="105">
        <f t="shared" si="21"/>
        <v>112.30813953488372</v>
      </c>
      <c r="S482" s="105">
        <f t="shared" si="21"/>
        <v>0</v>
      </c>
      <c r="T482" s="108">
        <f t="shared" si="21"/>
        <v>112.30813953488372</v>
      </c>
    </row>
    <row r="483" spans="1:20" s="66" customFormat="1" ht="12.75" x14ac:dyDescent="0.2">
      <c r="A483" s="109">
        <v>4184</v>
      </c>
      <c r="B483" s="110">
        <v>7</v>
      </c>
      <c r="C483" s="103" t="s">
        <v>105</v>
      </c>
      <c r="D483" s="103">
        <v>7</v>
      </c>
      <c r="E483" s="104">
        <f>+SUMIF('GE16FEB14 Unfudged'!$A$2:$A$498, $A483, 'GE16FEB14 Unfudged'!$D$2:$D$498)</f>
        <v>783</v>
      </c>
      <c r="F483" s="104">
        <v>88141</v>
      </c>
      <c r="G483" s="105">
        <v>0</v>
      </c>
      <c r="H483" s="106">
        <v>88141</v>
      </c>
      <c r="I483" s="107">
        <v>0</v>
      </c>
      <c r="J483" s="105">
        <v>0</v>
      </c>
      <c r="K483" s="106">
        <v>0</v>
      </c>
      <c r="L483" s="107">
        <v>0</v>
      </c>
      <c r="M483" s="105">
        <v>0</v>
      </c>
      <c r="N483" s="106">
        <v>0</v>
      </c>
      <c r="O483" s="107">
        <f t="shared" si="22"/>
        <v>88141</v>
      </c>
      <c r="P483" s="105">
        <f t="shared" si="22"/>
        <v>0</v>
      </c>
      <c r="Q483" s="106">
        <f t="shared" si="22"/>
        <v>88141</v>
      </c>
      <c r="R483" s="105">
        <f t="shared" si="21"/>
        <v>112.56832694763729</v>
      </c>
      <c r="S483" s="105">
        <f t="shared" si="21"/>
        <v>0</v>
      </c>
      <c r="T483" s="108">
        <f t="shared" si="21"/>
        <v>112.56832694763729</v>
      </c>
    </row>
    <row r="484" spans="1:20" s="66" customFormat="1" ht="12.75" x14ac:dyDescent="0.2">
      <c r="A484" s="109">
        <v>4185</v>
      </c>
      <c r="B484" s="110">
        <v>7</v>
      </c>
      <c r="C484" s="103" t="s">
        <v>106</v>
      </c>
      <c r="D484" s="103">
        <v>7</v>
      </c>
      <c r="E484" s="104">
        <f>+SUMIF('GE16FEB14 Unfudged'!$A$2:$A$498, $A484, 'GE16FEB14 Unfudged'!$D$2:$D$498)</f>
        <v>545</v>
      </c>
      <c r="F484" s="104">
        <v>61316</v>
      </c>
      <c r="G484" s="105">
        <v>0</v>
      </c>
      <c r="H484" s="106">
        <v>61316</v>
      </c>
      <c r="I484" s="107">
        <v>0</v>
      </c>
      <c r="J484" s="105">
        <v>0</v>
      </c>
      <c r="K484" s="106">
        <v>0</v>
      </c>
      <c r="L484" s="107">
        <v>0</v>
      </c>
      <c r="M484" s="105">
        <v>0</v>
      </c>
      <c r="N484" s="106">
        <v>0</v>
      </c>
      <c r="O484" s="107">
        <f t="shared" si="22"/>
        <v>61316</v>
      </c>
      <c r="P484" s="105">
        <f t="shared" si="22"/>
        <v>0</v>
      </c>
      <c r="Q484" s="106">
        <f t="shared" si="22"/>
        <v>61316</v>
      </c>
      <c r="R484" s="105">
        <f t="shared" si="21"/>
        <v>112.50642201834863</v>
      </c>
      <c r="S484" s="105">
        <f t="shared" si="21"/>
        <v>0</v>
      </c>
      <c r="T484" s="108">
        <f t="shared" si="21"/>
        <v>112.50642201834863</v>
      </c>
    </row>
    <row r="485" spans="1:20" s="66" customFormat="1" ht="12.75" x14ac:dyDescent="0.2">
      <c r="A485" s="109">
        <v>4186</v>
      </c>
      <c r="B485" s="110">
        <v>7</v>
      </c>
      <c r="C485" s="103" t="s">
        <v>107</v>
      </c>
      <c r="D485" s="103">
        <v>7</v>
      </c>
      <c r="E485" s="104">
        <f>+SUMIF('GE16FEB14 Unfudged'!$A$2:$A$498, $A485, 'GE16FEB14 Unfudged'!$D$2:$D$498)</f>
        <v>435</v>
      </c>
      <c r="F485" s="104">
        <v>48933</v>
      </c>
      <c r="G485" s="105">
        <v>0</v>
      </c>
      <c r="H485" s="106">
        <v>48933</v>
      </c>
      <c r="I485" s="107">
        <v>0</v>
      </c>
      <c r="J485" s="105">
        <v>0</v>
      </c>
      <c r="K485" s="106">
        <v>0</v>
      </c>
      <c r="L485" s="107">
        <v>0</v>
      </c>
      <c r="M485" s="105">
        <v>0</v>
      </c>
      <c r="N485" s="106">
        <v>0</v>
      </c>
      <c r="O485" s="107">
        <f t="shared" si="22"/>
        <v>48933</v>
      </c>
      <c r="P485" s="105">
        <f t="shared" si="22"/>
        <v>0</v>
      </c>
      <c r="Q485" s="106">
        <f t="shared" si="22"/>
        <v>48933</v>
      </c>
      <c r="R485" s="105">
        <f t="shared" si="21"/>
        <v>112.48965517241379</v>
      </c>
      <c r="S485" s="105">
        <f t="shared" si="21"/>
        <v>0</v>
      </c>
      <c r="T485" s="108">
        <f t="shared" si="21"/>
        <v>112.48965517241379</v>
      </c>
    </row>
    <row r="486" spans="1:20" s="66" customFormat="1" ht="12.75" x14ac:dyDescent="0.2">
      <c r="A486" s="109">
        <v>4187</v>
      </c>
      <c r="B486" s="110">
        <v>7</v>
      </c>
      <c r="C486" s="103" t="s">
        <v>108</v>
      </c>
      <c r="D486" s="103">
        <v>7</v>
      </c>
      <c r="E486" s="104">
        <f>+SUMIF('GE16FEB14 Unfudged'!$A$2:$A$498, $A486, 'GE16FEB14 Unfudged'!$D$2:$D$498)</f>
        <v>101</v>
      </c>
      <c r="F486" s="104">
        <v>11369</v>
      </c>
      <c r="G486" s="105">
        <v>0</v>
      </c>
      <c r="H486" s="106">
        <v>11369</v>
      </c>
      <c r="I486" s="107">
        <v>0</v>
      </c>
      <c r="J486" s="105">
        <v>0</v>
      </c>
      <c r="K486" s="106">
        <v>0</v>
      </c>
      <c r="L486" s="107">
        <v>0</v>
      </c>
      <c r="M486" s="105">
        <v>0</v>
      </c>
      <c r="N486" s="106">
        <v>0</v>
      </c>
      <c r="O486" s="107">
        <f t="shared" si="22"/>
        <v>11369</v>
      </c>
      <c r="P486" s="105">
        <f t="shared" si="22"/>
        <v>0</v>
      </c>
      <c r="Q486" s="106">
        <f t="shared" si="22"/>
        <v>11369</v>
      </c>
      <c r="R486" s="105">
        <f t="shared" si="21"/>
        <v>112.56435643564356</v>
      </c>
      <c r="S486" s="105">
        <f t="shared" si="21"/>
        <v>0</v>
      </c>
      <c r="T486" s="108">
        <f t="shared" si="21"/>
        <v>112.56435643564356</v>
      </c>
    </row>
    <row r="487" spans="1:20" s="66" customFormat="1" ht="12.75" x14ac:dyDescent="0.2">
      <c r="A487" s="109">
        <v>4188</v>
      </c>
      <c r="B487" s="110">
        <v>7</v>
      </c>
      <c r="C487" s="103" t="s">
        <v>109</v>
      </c>
      <c r="D487" s="103">
        <v>7</v>
      </c>
      <c r="E487" s="104">
        <f>+SUMIF('GE16FEB14 Unfudged'!$A$2:$A$498, $A487, 'GE16FEB14 Unfudged'!$D$2:$D$498)</f>
        <v>621</v>
      </c>
      <c r="F487" s="104">
        <v>69882</v>
      </c>
      <c r="G487" s="105">
        <v>0</v>
      </c>
      <c r="H487" s="106">
        <v>69882</v>
      </c>
      <c r="I487" s="107">
        <v>0</v>
      </c>
      <c r="J487" s="105">
        <v>0</v>
      </c>
      <c r="K487" s="106">
        <v>0</v>
      </c>
      <c r="L487" s="107">
        <v>0</v>
      </c>
      <c r="M487" s="105">
        <v>0</v>
      </c>
      <c r="N487" s="106">
        <v>0</v>
      </c>
      <c r="O487" s="107">
        <f t="shared" si="22"/>
        <v>69882</v>
      </c>
      <c r="P487" s="105">
        <f t="shared" si="22"/>
        <v>0</v>
      </c>
      <c r="Q487" s="106">
        <f t="shared" si="22"/>
        <v>69882</v>
      </c>
      <c r="R487" s="105">
        <f t="shared" si="21"/>
        <v>112.53140096618357</v>
      </c>
      <c r="S487" s="105">
        <f t="shared" si="21"/>
        <v>0</v>
      </c>
      <c r="T487" s="108">
        <f t="shared" si="21"/>
        <v>112.53140096618357</v>
      </c>
    </row>
    <row r="488" spans="1:20" s="66" customFormat="1" ht="12.75" x14ac:dyDescent="0.2">
      <c r="A488" s="109">
        <v>4189</v>
      </c>
      <c r="B488" s="110">
        <v>7</v>
      </c>
      <c r="C488" s="103" t="s">
        <v>110</v>
      </c>
      <c r="D488" s="103">
        <v>7</v>
      </c>
      <c r="E488" s="104">
        <f>+SUMIF('GE16FEB14 Unfudged'!$A$2:$A$498, $A488, 'GE16FEB14 Unfudged'!$D$2:$D$498)</f>
        <v>210</v>
      </c>
      <c r="F488" s="104">
        <v>23679</v>
      </c>
      <c r="G488" s="105">
        <v>0</v>
      </c>
      <c r="H488" s="106">
        <v>23679</v>
      </c>
      <c r="I488" s="107">
        <v>0</v>
      </c>
      <c r="J488" s="105">
        <v>0</v>
      </c>
      <c r="K488" s="106">
        <v>0</v>
      </c>
      <c r="L488" s="107">
        <v>0</v>
      </c>
      <c r="M488" s="105">
        <v>0</v>
      </c>
      <c r="N488" s="106">
        <v>0</v>
      </c>
      <c r="O488" s="107">
        <f t="shared" si="22"/>
        <v>23679</v>
      </c>
      <c r="P488" s="105">
        <f t="shared" si="22"/>
        <v>0</v>
      </c>
      <c r="Q488" s="106">
        <f t="shared" si="22"/>
        <v>23679</v>
      </c>
      <c r="R488" s="105">
        <f t="shared" si="21"/>
        <v>112.75714285714285</v>
      </c>
      <c r="S488" s="105">
        <f t="shared" si="21"/>
        <v>0</v>
      </c>
      <c r="T488" s="108">
        <f t="shared" si="21"/>
        <v>112.75714285714285</v>
      </c>
    </row>
    <row r="489" spans="1:20" s="66" customFormat="1" ht="12.75" x14ac:dyDescent="0.2">
      <c r="A489" s="109">
        <v>4190</v>
      </c>
      <c r="B489" s="110">
        <v>7</v>
      </c>
      <c r="C489" s="103" t="s">
        <v>507</v>
      </c>
      <c r="D489" s="103">
        <v>7</v>
      </c>
      <c r="E489" s="104">
        <f>+SUMIF('GE16FEB14 Unfudged'!$A$2:$A$498, $A489, 'GE16FEB14 Unfudged'!$D$2:$D$498)</f>
        <v>114</v>
      </c>
      <c r="F489" s="104">
        <v>12833</v>
      </c>
      <c r="G489" s="105">
        <v>0</v>
      </c>
      <c r="H489" s="106">
        <v>12833</v>
      </c>
      <c r="I489" s="107">
        <v>0</v>
      </c>
      <c r="J489" s="105">
        <v>0</v>
      </c>
      <c r="K489" s="106">
        <v>0</v>
      </c>
      <c r="L489" s="107">
        <v>0</v>
      </c>
      <c r="M489" s="105">
        <v>0</v>
      </c>
      <c r="N489" s="106">
        <v>0</v>
      </c>
      <c r="O489" s="107">
        <f t="shared" si="22"/>
        <v>12833</v>
      </c>
      <c r="P489" s="105">
        <f t="shared" si="22"/>
        <v>0</v>
      </c>
      <c r="Q489" s="106">
        <f t="shared" si="22"/>
        <v>12833</v>
      </c>
      <c r="R489" s="105">
        <f t="shared" si="21"/>
        <v>112.57017543859649</v>
      </c>
      <c r="S489" s="105">
        <f t="shared" si="21"/>
        <v>0</v>
      </c>
      <c r="T489" s="108">
        <f t="shared" si="21"/>
        <v>112.57017543859649</v>
      </c>
    </row>
    <row r="490" spans="1:20" s="66" customFormat="1" ht="12.75" x14ac:dyDescent="0.2">
      <c r="A490" s="109">
        <v>4191</v>
      </c>
      <c r="B490" s="110">
        <v>7</v>
      </c>
      <c r="C490" s="103" t="s">
        <v>111</v>
      </c>
      <c r="D490" s="103">
        <v>7</v>
      </c>
      <c r="E490" s="104">
        <f>+SUMIF('GE16FEB14 Unfudged'!$A$2:$A$498, $A490, 'GE16FEB14 Unfudged'!$D$2:$D$498)</f>
        <v>268</v>
      </c>
      <c r="F490" s="104">
        <v>30168</v>
      </c>
      <c r="G490" s="105">
        <v>0</v>
      </c>
      <c r="H490" s="106">
        <v>30168</v>
      </c>
      <c r="I490" s="107">
        <v>0</v>
      </c>
      <c r="J490" s="105">
        <v>0</v>
      </c>
      <c r="K490" s="106">
        <v>0</v>
      </c>
      <c r="L490" s="107">
        <v>0</v>
      </c>
      <c r="M490" s="105">
        <v>0</v>
      </c>
      <c r="N490" s="106">
        <v>0</v>
      </c>
      <c r="O490" s="107">
        <f t="shared" si="22"/>
        <v>30168</v>
      </c>
      <c r="P490" s="105">
        <f t="shared" si="22"/>
        <v>0</v>
      </c>
      <c r="Q490" s="106">
        <f t="shared" si="22"/>
        <v>30168</v>
      </c>
      <c r="R490" s="105">
        <f t="shared" si="21"/>
        <v>112.56716417910448</v>
      </c>
      <c r="S490" s="105">
        <f t="shared" si="21"/>
        <v>0</v>
      </c>
      <c r="T490" s="108">
        <f t="shared" si="21"/>
        <v>112.56716417910448</v>
      </c>
    </row>
    <row r="491" spans="1:20" s="66" customFormat="1" ht="12.75" x14ac:dyDescent="0.2">
      <c r="A491" s="109">
        <v>4192</v>
      </c>
      <c r="B491" s="110">
        <v>7</v>
      </c>
      <c r="C491" s="103" t="s">
        <v>112</v>
      </c>
      <c r="D491" s="103">
        <v>7</v>
      </c>
      <c r="E491" s="104">
        <f>+SUMIF('GE16FEB14 Unfudged'!$A$2:$A$498, $A491, 'GE16FEB14 Unfudged'!$D$2:$D$498)</f>
        <v>428</v>
      </c>
      <c r="F491" s="104">
        <v>48123</v>
      </c>
      <c r="G491" s="105">
        <v>0</v>
      </c>
      <c r="H491" s="106">
        <v>48123</v>
      </c>
      <c r="I491" s="107">
        <v>0</v>
      </c>
      <c r="J491" s="105">
        <v>0</v>
      </c>
      <c r="K491" s="106">
        <v>0</v>
      </c>
      <c r="L491" s="107">
        <v>0</v>
      </c>
      <c r="M491" s="105">
        <v>0</v>
      </c>
      <c r="N491" s="106">
        <v>0</v>
      </c>
      <c r="O491" s="107">
        <f t="shared" si="22"/>
        <v>48123</v>
      </c>
      <c r="P491" s="105">
        <f t="shared" si="22"/>
        <v>0</v>
      </c>
      <c r="Q491" s="106">
        <f t="shared" si="22"/>
        <v>48123</v>
      </c>
      <c r="R491" s="105">
        <f t="shared" si="21"/>
        <v>112.43691588785046</v>
      </c>
      <c r="S491" s="105">
        <f t="shared" si="21"/>
        <v>0</v>
      </c>
      <c r="T491" s="108">
        <f t="shared" si="21"/>
        <v>112.43691588785046</v>
      </c>
    </row>
    <row r="492" spans="1:20" s="66" customFormat="1" ht="12.75" x14ac:dyDescent="0.2">
      <c r="A492" s="109">
        <v>4193</v>
      </c>
      <c r="B492" s="110">
        <v>7</v>
      </c>
      <c r="C492" s="103" t="s">
        <v>508</v>
      </c>
      <c r="D492" s="103">
        <v>7</v>
      </c>
      <c r="E492" s="104">
        <f>+SUMIF('GE16FEB14 Unfudged'!$A$2:$A$498, $A492, 'GE16FEB14 Unfudged'!$D$2:$D$498)</f>
        <v>369</v>
      </c>
      <c r="F492" s="104">
        <v>41537</v>
      </c>
      <c r="G492" s="105">
        <v>0</v>
      </c>
      <c r="H492" s="106">
        <v>41537</v>
      </c>
      <c r="I492" s="107">
        <v>0</v>
      </c>
      <c r="J492" s="105">
        <v>0</v>
      </c>
      <c r="K492" s="106">
        <v>0</v>
      </c>
      <c r="L492" s="107">
        <v>0</v>
      </c>
      <c r="M492" s="105">
        <v>0</v>
      </c>
      <c r="N492" s="106">
        <v>0</v>
      </c>
      <c r="O492" s="107">
        <f t="shared" si="22"/>
        <v>41537</v>
      </c>
      <c r="P492" s="105">
        <f t="shared" si="22"/>
        <v>0</v>
      </c>
      <c r="Q492" s="106">
        <f t="shared" si="22"/>
        <v>41537</v>
      </c>
      <c r="R492" s="105">
        <f t="shared" si="21"/>
        <v>112.56639566395664</v>
      </c>
      <c r="S492" s="105">
        <f t="shared" si="21"/>
        <v>0</v>
      </c>
      <c r="T492" s="108">
        <f t="shared" si="21"/>
        <v>112.56639566395664</v>
      </c>
    </row>
    <row r="493" spans="1:20" s="66" customFormat="1" ht="12.75" x14ac:dyDescent="0.2">
      <c r="A493" s="109">
        <v>4194</v>
      </c>
      <c r="B493" s="110">
        <v>7</v>
      </c>
      <c r="C493" s="103" t="s">
        <v>113</v>
      </c>
      <c r="D493" s="103">
        <v>7</v>
      </c>
      <c r="E493" s="104">
        <f>+SUMIF('GE16FEB14 Unfudged'!$A$2:$A$498, $A493, 'GE16FEB14 Unfudged'!$D$2:$D$498)</f>
        <v>345</v>
      </c>
      <c r="F493" s="104">
        <v>38813</v>
      </c>
      <c r="G493" s="105">
        <v>0</v>
      </c>
      <c r="H493" s="106">
        <v>38813</v>
      </c>
      <c r="I493" s="107">
        <v>0</v>
      </c>
      <c r="J493" s="105">
        <v>0</v>
      </c>
      <c r="K493" s="106">
        <v>0</v>
      </c>
      <c r="L493" s="107">
        <v>0</v>
      </c>
      <c r="M493" s="105">
        <v>0</v>
      </c>
      <c r="N493" s="106">
        <v>0</v>
      </c>
      <c r="O493" s="107">
        <f t="shared" si="22"/>
        <v>38813</v>
      </c>
      <c r="P493" s="105">
        <f t="shared" si="22"/>
        <v>0</v>
      </c>
      <c r="Q493" s="106">
        <f t="shared" si="22"/>
        <v>38813</v>
      </c>
      <c r="R493" s="105">
        <f t="shared" si="21"/>
        <v>112.50144927536232</v>
      </c>
      <c r="S493" s="105">
        <f t="shared" si="21"/>
        <v>0</v>
      </c>
      <c r="T493" s="108">
        <f t="shared" si="21"/>
        <v>112.50144927536232</v>
      </c>
    </row>
    <row r="494" spans="1:20" s="66" customFormat="1" ht="12.75" x14ac:dyDescent="0.2">
      <c r="A494" s="109">
        <v>4195</v>
      </c>
      <c r="B494" s="110">
        <v>7</v>
      </c>
      <c r="C494" s="103" t="s">
        <v>459</v>
      </c>
      <c r="D494" s="103">
        <v>7</v>
      </c>
      <c r="E494" s="104">
        <f>+SUMIF('GE16FEB14 Unfudged'!$A$2:$A$498, $A494, 'GE16FEB14 Unfudged'!$D$2:$D$498)</f>
        <v>37</v>
      </c>
      <c r="F494" s="104">
        <v>4188</v>
      </c>
      <c r="G494" s="105">
        <v>0</v>
      </c>
      <c r="H494" s="106">
        <v>4188</v>
      </c>
      <c r="I494" s="107">
        <v>0</v>
      </c>
      <c r="J494" s="105">
        <v>0</v>
      </c>
      <c r="K494" s="106">
        <v>0</v>
      </c>
      <c r="L494" s="107">
        <v>0</v>
      </c>
      <c r="M494" s="105">
        <v>0</v>
      </c>
      <c r="N494" s="106">
        <v>0</v>
      </c>
      <c r="O494" s="107">
        <f t="shared" si="22"/>
        <v>4188</v>
      </c>
      <c r="P494" s="105">
        <f t="shared" si="22"/>
        <v>0</v>
      </c>
      <c r="Q494" s="106">
        <f t="shared" si="22"/>
        <v>4188</v>
      </c>
      <c r="R494" s="105">
        <f t="shared" si="21"/>
        <v>113.18918918918919</v>
      </c>
      <c r="S494" s="105">
        <f t="shared" si="21"/>
        <v>0</v>
      </c>
      <c r="T494" s="108">
        <f t="shared" si="21"/>
        <v>113.18918918918919</v>
      </c>
    </row>
    <row r="495" spans="1:20" s="66" customFormat="1" ht="12.75" x14ac:dyDescent="0.2">
      <c r="A495" s="109">
        <v>4197</v>
      </c>
      <c r="B495" s="110">
        <v>7</v>
      </c>
      <c r="C495" s="103" t="s">
        <v>114</v>
      </c>
      <c r="D495" s="103">
        <v>7</v>
      </c>
      <c r="E495" s="104">
        <f>+SUMIF('GE16FEB14 Unfudged'!$A$2:$A$498, $A495, 'GE16FEB14 Unfudged'!$D$2:$D$498)</f>
        <v>0</v>
      </c>
      <c r="F495" s="104">
        <v>0</v>
      </c>
      <c r="G495" s="105">
        <v>0</v>
      </c>
      <c r="H495" s="106">
        <v>0</v>
      </c>
      <c r="I495" s="107">
        <v>0</v>
      </c>
      <c r="J495" s="105">
        <v>0</v>
      </c>
      <c r="K495" s="106">
        <v>0</v>
      </c>
      <c r="L495" s="107">
        <v>0</v>
      </c>
      <c r="M495" s="105">
        <v>0</v>
      </c>
      <c r="N495" s="106">
        <v>0</v>
      </c>
      <c r="O495" s="107">
        <f t="shared" si="22"/>
        <v>0</v>
      </c>
      <c r="P495" s="105">
        <f t="shared" si="22"/>
        <v>0</v>
      </c>
      <c r="Q495" s="106">
        <f t="shared" si="22"/>
        <v>0</v>
      </c>
      <c r="R495" s="105">
        <f t="shared" si="21"/>
        <v>0</v>
      </c>
      <c r="S495" s="105">
        <f t="shared" si="21"/>
        <v>0</v>
      </c>
      <c r="T495" s="108">
        <f t="shared" si="21"/>
        <v>0</v>
      </c>
    </row>
    <row r="496" spans="1:20" s="66" customFormat="1" ht="12.75" x14ac:dyDescent="0.2">
      <c r="A496" s="109">
        <v>4198</v>
      </c>
      <c r="B496" s="110">
        <v>7</v>
      </c>
      <c r="C496" s="103" t="s">
        <v>115</v>
      </c>
      <c r="D496" s="103">
        <v>7</v>
      </c>
      <c r="E496" s="104">
        <f>+SUMIF('GE16FEB14 Unfudged'!$A$2:$A$498, $A496, 'GE16FEB14 Unfudged'!$D$2:$D$498)</f>
        <v>151</v>
      </c>
      <c r="F496" s="104">
        <v>17020</v>
      </c>
      <c r="G496" s="105">
        <v>0</v>
      </c>
      <c r="H496" s="106">
        <v>17020</v>
      </c>
      <c r="I496" s="107">
        <v>0</v>
      </c>
      <c r="J496" s="105">
        <v>0</v>
      </c>
      <c r="K496" s="106">
        <v>0</v>
      </c>
      <c r="L496" s="107">
        <v>0</v>
      </c>
      <c r="M496" s="105">
        <v>0</v>
      </c>
      <c r="N496" s="106">
        <v>0</v>
      </c>
      <c r="O496" s="107">
        <f t="shared" si="22"/>
        <v>17020</v>
      </c>
      <c r="P496" s="105">
        <f t="shared" si="22"/>
        <v>0</v>
      </c>
      <c r="Q496" s="106">
        <f t="shared" si="22"/>
        <v>17020</v>
      </c>
      <c r="R496" s="105">
        <f t="shared" si="21"/>
        <v>112.71523178807946</v>
      </c>
      <c r="S496" s="105">
        <f t="shared" si="21"/>
        <v>0</v>
      </c>
      <c r="T496" s="108">
        <f t="shared" si="21"/>
        <v>112.71523178807946</v>
      </c>
    </row>
    <row r="497" spans="1:20" s="66" customFormat="1" ht="12.75" x14ac:dyDescent="0.2">
      <c r="A497" s="109">
        <v>4199</v>
      </c>
      <c r="B497" s="110">
        <v>7</v>
      </c>
      <c r="C497" s="103" t="s">
        <v>116</v>
      </c>
      <c r="D497" s="103">
        <v>7</v>
      </c>
      <c r="E497" s="104">
        <f>+SUMIF('GE16FEB14 Unfudged'!$A$2:$A$498, $A497, 'GE16FEB14 Unfudged'!$D$2:$D$498)</f>
        <v>869</v>
      </c>
      <c r="F497" s="104">
        <v>97776</v>
      </c>
      <c r="G497" s="105">
        <v>0</v>
      </c>
      <c r="H497" s="106">
        <v>97776</v>
      </c>
      <c r="I497" s="107">
        <v>0</v>
      </c>
      <c r="J497" s="105">
        <v>0</v>
      </c>
      <c r="K497" s="106">
        <v>0</v>
      </c>
      <c r="L497" s="107">
        <v>0</v>
      </c>
      <c r="M497" s="105">
        <v>0</v>
      </c>
      <c r="N497" s="106">
        <v>0</v>
      </c>
      <c r="O497" s="107">
        <f t="shared" si="22"/>
        <v>97776</v>
      </c>
      <c r="P497" s="105">
        <f t="shared" si="22"/>
        <v>0</v>
      </c>
      <c r="Q497" s="106">
        <f t="shared" si="22"/>
        <v>97776</v>
      </c>
      <c r="R497" s="105">
        <f t="shared" si="21"/>
        <v>112.51553509781358</v>
      </c>
      <c r="S497" s="105">
        <f t="shared" si="21"/>
        <v>0</v>
      </c>
      <c r="T497" s="108">
        <f t="shared" si="21"/>
        <v>112.51553509781358</v>
      </c>
    </row>
    <row r="498" spans="1:20" s="66" customFormat="1" ht="12.75" x14ac:dyDescent="0.2">
      <c r="A498" s="109">
        <v>4200</v>
      </c>
      <c r="B498" s="110">
        <v>7</v>
      </c>
      <c r="C498" s="103" t="s">
        <v>117</v>
      </c>
      <c r="D498" s="103">
        <v>7</v>
      </c>
      <c r="E498" s="104">
        <f>+SUMIF('GE16FEB14 Unfudged'!$A$2:$A$498, $A498, 'GE16FEB14 Unfudged'!$D$2:$D$498)</f>
        <v>206</v>
      </c>
      <c r="F498" s="104">
        <v>23144</v>
      </c>
      <c r="G498" s="105">
        <v>0</v>
      </c>
      <c r="H498" s="106">
        <v>23144</v>
      </c>
      <c r="I498" s="107">
        <v>0</v>
      </c>
      <c r="J498" s="105">
        <v>0</v>
      </c>
      <c r="K498" s="106">
        <v>0</v>
      </c>
      <c r="L498" s="107">
        <v>0</v>
      </c>
      <c r="M498" s="105">
        <v>0</v>
      </c>
      <c r="N498" s="106">
        <v>0</v>
      </c>
      <c r="O498" s="107">
        <f t="shared" si="22"/>
        <v>23144</v>
      </c>
      <c r="P498" s="105">
        <f t="shared" si="22"/>
        <v>0</v>
      </c>
      <c r="Q498" s="106">
        <f t="shared" si="22"/>
        <v>23144</v>
      </c>
      <c r="R498" s="105">
        <f t="shared" si="21"/>
        <v>112.34951456310679</v>
      </c>
      <c r="S498" s="105">
        <f t="shared" si="21"/>
        <v>0</v>
      </c>
      <c r="T498" s="108">
        <f t="shared" si="21"/>
        <v>112.34951456310679</v>
      </c>
    </row>
    <row r="499" spans="1:20" s="66" customFormat="1" ht="12.75" x14ac:dyDescent="0.2">
      <c r="A499" s="109">
        <v>4201</v>
      </c>
      <c r="B499" s="110">
        <v>7</v>
      </c>
      <c r="C499" s="103" t="s">
        <v>455</v>
      </c>
      <c r="D499" s="103">
        <v>7</v>
      </c>
      <c r="E499" s="104">
        <f>+SUMIF('GE16FEB14 Unfudged'!$A$2:$A$498, $A499, 'GE16FEB14 Unfudged'!$D$2:$D$498)</f>
        <v>91</v>
      </c>
      <c r="F499" s="104">
        <v>10244</v>
      </c>
      <c r="G499" s="105">
        <v>0</v>
      </c>
      <c r="H499" s="106">
        <v>10244</v>
      </c>
      <c r="I499" s="107">
        <v>0</v>
      </c>
      <c r="J499" s="105">
        <v>0</v>
      </c>
      <c r="K499" s="106">
        <v>0</v>
      </c>
      <c r="L499" s="107">
        <v>0</v>
      </c>
      <c r="M499" s="105">
        <v>0</v>
      </c>
      <c r="N499" s="106">
        <v>0</v>
      </c>
      <c r="O499" s="107">
        <f t="shared" si="22"/>
        <v>10244</v>
      </c>
      <c r="P499" s="105">
        <f t="shared" si="22"/>
        <v>0</v>
      </c>
      <c r="Q499" s="106">
        <f t="shared" si="22"/>
        <v>10244</v>
      </c>
      <c r="R499" s="105">
        <f t="shared" si="21"/>
        <v>112.57142857142857</v>
      </c>
      <c r="S499" s="105">
        <f t="shared" si="21"/>
        <v>0</v>
      </c>
      <c r="T499" s="108">
        <f t="shared" si="21"/>
        <v>112.57142857142857</v>
      </c>
    </row>
    <row r="500" spans="1:20" s="66" customFormat="1" ht="12.75" x14ac:dyDescent="0.2">
      <c r="A500" s="109">
        <v>4202</v>
      </c>
      <c r="B500" s="110">
        <v>7</v>
      </c>
      <c r="C500" s="103" t="s">
        <v>118</v>
      </c>
      <c r="D500" s="103">
        <v>7</v>
      </c>
      <c r="E500" s="104">
        <f>+SUMIF('GE16FEB14 Unfudged'!$A$2:$A$498, $A500, 'GE16FEB14 Unfudged'!$D$2:$D$498)</f>
        <v>0</v>
      </c>
      <c r="F500" s="104">
        <v>0</v>
      </c>
      <c r="G500" s="105">
        <v>0</v>
      </c>
      <c r="H500" s="106">
        <v>0</v>
      </c>
      <c r="I500" s="107">
        <v>0</v>
      </c>
      <c r="J500" s="105">
        <v>0</v>
      </c>
      <c r="K500" s="106">
        <v>0</v>
      </c>
      <c r="L500" s="107">
        <v>0</v>
      </c>
      <c r="M500" s="105">
        <v>0</v>
      </c>
      <c r="N500" s="106">
        <v>0</v>
      </c>
      <c r="O500" s="107">
        <f t="shared" si="22"/>
        <v>0</v>
      </c>
      <c r="P500" s="105">
        <f t="shared" si="22"/>
        <v>0</v>
      </c>
      <c r="Q500" s="106">
        <f t="shared" si="22"/>
        <v>0</v>
      </c>
      <c r="R500" s="105">
        <f t="shared" si="21"/>
        <v>0</v>
      </c>
      <c r="S500" s="105">
        <f t="shared" si="21"/>
        <v>0</v>
      </c>
      <c r="T500" s="108">
        <f t="shared" si="21"/>
        <v>0</v>
      </c>
    </row>
    <row r="501" spans="1:20" s="66" customFormat="1" ht="12.75" x14ac:dyDescent="0.2">
      <c r="A501" s="109">
        <v>4203</v>
      </c>
      <c r="B501" s="110">
        <v>7</v>
      </c>
      <c r="C501" s="103" t="s">
        <v>119</v>
      </c>
      <c r="D501" s="103">
        <v>7</v>
      </c>
      <c r="E501" s="104">
        <f>+SUMIF('GE16FEB14 Unfudged'!$A$2:$A$498, $A501, 'GE16FEB14 Unfudged'!$D$2:$D$498)</f>
        <v>97</v>
      </c>
      <c r="F501" s="104">
        <v>10942</v>
      </c>
      <c r="G501" s="105">
        <v>0</v>
      </c>
      <c r="H501" s="106">
        <v>10942</v>
      </c>
      <c r="I501" s="107">
        <v>0</v>
      </c>
      <c r="J501" s="105">
        <v>0</v>
      </c>
      <c r="K501" s="106">
        <v>0</v>
      </c>
      <c r="L501" s="107">
        <v>0</v>
      </c>
      <c r="M501" s="105">
        <v>0</v>
      </c>
      <c r="N501" s="106">
        <v>0</v>
      </c>
      <c r="O501" s="107">
        <f t="shared" si="22"/>
        <v>10942</v>
      </c>
      <c r="P501" s="105">
        <f t="shared" si="22"/>
        <v>0</v>
      </c>
      <c r="Q501" s="106">
        <f t="shared" si="22"/>
        <v>10942</v>
      </c>
      <c r="R501" s="105">
        <f t="shared" si="21"/>
        <v>112.80412371134021</v>
      </c>
      <c r="S501" s="105">
        <f t="shared" si="21"/>
        <v>0</v>
      </c>
      <c r="T501" s="108">
        <f t="shared" si="21"/>
        <v>112.80412371134021</v>
      </c>
    </row>
    <row r="502" spans="1:20" s="66" customFormat="1" ht="12.75" x14ac:dyDescent="0.2">
      <c r="A502" s="109">
        <v>4204</v>
      </c>
      <c r="B502" s="110">
        <v>7</v>
      </c>
      <c r="C502" s="103" t="s">
        <v>120</v>
      </c>
      <c r="D502" s="103">
        <v>7</v>
      </c>
      <c r="E502" s="104">
        <f>+SUMIF('GE16FEB14 Unfudged'!$A$2:$A$498, $A502, 'GE16FEB14 Unfudged'!$D$2:$D$498)</f>
        <v>216</v>
      </c>
      <c r="F502" s="104">
        <v>24315</v>
      </c>
      <c r="G502" s="105">
        <v>0</v>
      </c>
      <c r="H502" s="106">
        <v>24315</v>
      </c>
      <c r="I502" s="107">
        <v>0</v>
      </c>
      <c r="J502" s="105">
        <v>0</v>
      </c>
      <c r="K502" s="106">
        <v>0</v>
      </c>
      <c r="L502" s="107">
        <v>0</v>
      </c>
      <c r="M502" s="105">
        <v>0</v>
      </c>
      <c r="N502" s="106">
        <v>0</v>
      </c>
      <c r="O502" s="107">
        <f t="shared" si="22"/>
        <v>24315</v>
      </c>
      <c r="P502" s="105">
        <f t="shared" si="22"/>
        <v>0</v>
      </c>
      <c r="Q502" s="106">
        <f t="shared" si="22"/>
        <v>24315</v>
      </c>
      <c r="R502" s="105">
        <f t="shared" si="21"/>
        <v>112.56944444444444</v>
      </c>
      <c r="S502" s="105">
        <f t="shared" si="21"/>
        <v>0</v>
      </c>
      <c r="T502" s="108">
        <f t="shared" si="21"/>
        <v>112.56944444444444</v>
      </c>
    </row>
    <row r="503" spans="1:20" s="66" customFormat="1" ht="12.75" x14ac:dyDescent="0.2">
      <c r="A503" s="109">
        <v>4205</v>
      </c>
      <c r="B503" s="110">
        <v>7</v>
      </c>
      <c r="C503" s="103" t="s">
        <v>121</v>
      </c>
      <c r="D503" s="103">
        <v>7</v>
      </c>
      <c r="E503" s="104">
        <f>+SUMIF('GE16FEB14 Unfudged'!$A$2:$A$498, $A503, 'GE16FEB14 Unfudged'!$D$2:$D$498)</f>
        <v>189</v>
      </c>
      <c r="F503" s="104">
        <v>21275</v>
      </c>
      <c r="G503" s="105">
        <v>0</v>
      </c>
      <c r="H503" s="106">
        <v>21275</v>
      </c>
      <c r="I503" s="107">
        <v>0</v>
      </c>
      <c r="J503" s="105">
        <v>0</v>
      </c>
      <c r="K503" s="106">
        <v>0</v>
      </c>
      <c r="L503" s="107">
        <v>0</v>
      </c>
      <c r="M503" s="105">
        <v>0</v>
      </c>
      <c r="N503" s="106">
        <v>0</v>
      </c>
      <c r="O503" s="107">
        <f t="shared" si="22"/>
        <v>21275</v>
      </c>
      <c r="P503" s="105">
        <f t="shared" si="22"/>
        <v>0</v>
      </c>
      <c r="Q503" s="106">
        <f t="shared" si="22"/>
        <v>21275</v>
      </c>
      <c r="R503" s="105">
        <f t="shared" si="21"/>
        <v>112.56613756613757</v>
      </c>
      <c r="S503" s="105">
        <f t="shared" si="21"/>
        <v>0</v>
      </c>
      <c r="T503" s="108">
        <f t="shared" si="21"/>
        <v>112.56613756613757</v>
      </c>
    </row>
    <row r="504" spans="1:20" s="66" customFormat="1" ht="12.75" x14ac:dyDescent="0.2">
      <c r="A504" s="109">
        <v>4207</v>
      </c>
      <c r="B504" s="110">
        <v>7</v>
      </c>
      <c r="C504" s="103" t="s">
        <v>509</v>
      </c>
      <c r="D504" s="103">
        <v>7</v>
      </c>
      <c r="E504" s="104">
        <f>+SUMIF('GE16FEB14 Unfudged'!$A$2:$A$498, $A504, 'GE16FEB14 Unfudged'!$D$2:$D$498)</f>
        <v>70</v>
      </c>
      <c r="F504" s="104">
        <v>7835</v>
      </c>
      <c r="G504" s="105">
        <v>0</v>
      </c>
      <c r="H504" s="106">
        <v>7835</v>
      </c>
      <c r="I504" s="107">
        <v>0</v>
      </c>
      <c r="J504" s="105">
        <v>0</v>
      </c>
      <c r="K504" s="106">
        <v>0</v>
      </c>
      <c r="L504" s="107">
        <v>0</v>
      </c>
      <c r="M504" s="105">
        <v>0</v>
      </c>
      <c r="N504" s="106">
        <v>0</v>
      </c>
      <c r="O504" s="107">
        <f t="shared" si="22"/>
        <v>7835</v>
      </c>
      <c r="P504" s="105">
        <f t="shared" si="22"/>
        <v>0</v>
      </c>
      <c r="Q504" s="106">
        <f t="shared" si="22"/>
        <v>7835</v>
      </c>
      <c r="R504" s="105">
        <f t="shared" si="21"/>
        <v>111.92857142857143</v>
      </c>
      <c r="S504" s="105">
        <f t="shared" si="21"/>
        <v>0</v>
      </c>
      <c r="T504" s="108">
        <f t="shared" si="21"/>
        <v>111.92857142857143</v>
      </c>
    </row>
    <row r="505" spans="1:20" s="66" customFormat="1" ht="12.75" x14ac:dyDescent="0.2">
      <c r="A505" s="109">
        <v>4208</v>
      </c>
      <c r="B505" s="110">
        <v>7</v>
      </c>
      <c r="C505" s="103" t="s">
        <v>122</v>
      </c>
      <c r="D505" s="103">
        <v>7</v>
      </c>
      <c r="E505" s="104">
        <f>+SUMIF('GE16FEB14 Unfudged'!$A$2:$A$498, $A505, 'GE16FEB14 Unfudged'!$D$2:$D$498)</f>
        <v>143</v>
      </c>
      <c r="F505" s="104">
        <v>16047</v>
      </c>
      <c r="G505" s="105">
        <v>0</v>
      </c>
      <c r="H505" s="106">
        <v>16047</v>
      </c>
      <c r="I505" s="107">
        <v>0</v>
      </c>
      <c r="J505" s="105">
        <v>0</v>
      </c>
      <c r="K505" s="106">
        <v>0</v>
      </c>
      <c r="L505" s="107">
        <v>0</v>
      </c>
      <c r="M505" s="105">
        <v>0</v>
      </c>
      <c r="N505" s="106">
        <v>0</v>
      </c>
      <c r="O505" s="107">
        <f t="shared" si="22"/>
        <v>16047</v>
      </c>
      <c r="P505" s="105">
        <f t="shared" si="22"/>
        <v>0</v>
      </c>
      <c r="Q505" s="106">
        <f t="shared" si="22"/>
        <v>16047</v>
      </c>
      <c r="R505" s="105">
        <f t="shared" si="21"/>
        <v>112.21678321678321</v>
      </c>
      <c r="S505" s="105">
        <f t="shared" si="21"/>
        <v>0</v>
      </c>
      <c r="T505" s="108">
        <f t="shared" si="21"/>
        <v>112.21678321678321</v>
      </c>
    </row>
    <row r="506" spans="1:20" s="66" customFormat="1" ht="12.75" x14ac:dyDescent="0.2">
      <c r="A506" s="109">
        <v>4209</v>
      </c>
      <c r="B506" s="110">
        <v>7</v>
      </c>
      <c r="C506" s="103" t="s">
        <v>123</v>
      </c>
      <c r="D506" s="103">
        <v>7</v>
      </c>
      <c r="E506" s="104">
        <f>+SUMIF('GE16FEB14 Unfudged'!$A$2:$A$498, $A506, 'GE16FEB14 Unfudged'!$D$2:$D$498)</f>
        <v>273</v>
      </c>
      <c r="F506" s="104">
        <v>30731</v>
      </c>
      <c r="G506" s="105">
        <v>0</v>
      </c>
      <c r="H506" s="106">
        <v>30731</v>
      </c>
      <c r="I506" s="107">
        <v>0</v>
      </c>
      <c r="J506" s="105">
        <v>0</v>
      </c>
      <c r="K506" s="106">
        <v>0</v>
      </c>
      <c r="L506" s="107">
        <v>0</v>
      </c>
      <c r="M506" s="105">
        <v>0</v>
      </c>
      <c r="N506" s="106">
        <v>0</v>
      </c>
      <c r="O506" s="107">
        <f t="shared" si="22"/>
        <v>30731</v>
      </c>
      <c r="P506" s="105">
        <f t="shared" si="22"/>
        <v>0</v>
      </c>
      <c r="Q506" s="106">
        <f t="shared" si="22"/>
        <v>30731</v>
      </c>
      <c r="R506" s="105">
        <f t="shared" si="21"/>
        <v>112.56776556776556</v>
      </c>
      <c r="S506" s="105">
        <f t="shared" si="21"/>
        <v>0</v>
      </c>
      <c r="T506" s="108">
        <f t="shared" si="21"/>
        <v>112.56776556776556</v>
      </c>
    </row>
    <row r="507" spans="1:20" s="66" customFormat="1" ht="12.75" x14ac:dyDescent="0.2">
      <c r="A507" s="109">
        <v>4210</v>
      </c>
      <c r="B507" s="110">
        <v>7</v>
      </c>
      <c r="C507" s="103" t="s">
        <v>510</v>
      </c>
      <c r="D507" s="103">
        <v>7</v>
      </c>
      <c r="E507" s="104">
        <f>+SUMIF('GE16FEB14 Unfudged'!$A$2:$A$498, $A507, 'GE16FEB14 Unfudged'!$D$2:$D$498)</f>
        <v>182</v>
      </c>
      <c r="F507" s="104">
        <v>20487</v>
      </c>
      <c r="G507" s="105">
        <v>0</v>
      </c>
      <c r="H507" s="106">
        <v>20487</v>
      </c>
      <c r="I507" s="107">
        <v>0</v>
      </c>
      <c r="J507" s="105">
        <v>0</v>
      </c>
      <c r="K507" s="106">
        <v>0</v>
      </c>
      <c r="L507" s="107">
        <v>0</v>
      </c>
      <c r="M507" s="105">
        <v>0</v>
      </c>
      <c r="N507" s="106">
        <v>0</v>
      </c>
      <c r="O507" s="107">
        <f t="shared" si="22"/>
        <v>20487</v>
      </c>
      <c r="P507" s="105">
        <f t="shared" si="22"/>
        <v>0</v>
      </c>
      <c r="Q507" s="106">
        <f t="shared" si="22"/>
        <v>20487</v>
      </c>
      <c r="R507" s="105">
        <f t="shared" si="21"/>
        <v>112.56593406593407</v>
      </c>
      <c r="S507" s="105">
        <f t="shared" si="21"/>
        <v>0</v>
      </c>
      <c r="T507" s="108">
        <f t="shared" si="21"/>
        <v>112.56593406593407</v>
      </c>
    </row>
    <row r="508" spans="1:20" s="66" customFormat="1" ht="12.75" x14ac:dyDescent="0.2">
      <c r="A508" s="109">
        <v>4211</v>
      </c>
      <c r="B508" s="110">
        <v>7</v>
      </c>
      <c r="C508" s="103" t="s">
        <v>511</v>
      </c>
      <c r="D508" s="103">
        <v>7</v>
      </c>
      <c r="E508" s="104">
        <f>+SUMIF('GE16FEB14 Unfudged'!$A$2:$A$498, $A508, 'GE16FEB14 Unfudged'!$D$2:$D$498)</f>
        <v>49</v>
      </c>
      <c r="F508" s="104">
        <v>5516</v>
      </c>
      <c r="G508" s="105">
        <v>0</v>
      </c>
      <c r="H508" s="106">
        <v>5516</v>
      </c>
      <c r="I508" s="107">
        <v>0</v>
      </c>
      <c r="J508" s="105">
        <v>0</v>
      </c>
      <c r="K508" s="106">
        <v>0</v>
      </c>
      <c r="L508" s="107">
        <v>0</v>
      </c>
      <c r="M508" s="105">
        <v>0</v>
      </c>
      <c r="N508" s="106">
        <v>0</v>
      </c>
      <c r="O508" s="107">
        <f t="shared" si="22"/>
        <v>5516</v>
      </c>
      <c r="P508" s="105">
        <f t="shared" si="22"/>
        <v>0</v>
      </c>
      <c r="Q508" s="106">
        <f t="shared" si="22"/>
        <v>5516</v>
      </c>
      <c r="R508" s="105">
        <f t="shared" si="21"/>
        <v>112.57142857142857</v>
      </c>
      <c r="S508" s="105">
        <f t="shared" si="21"/>
        <v>0</v>
      </c>
      <c r="T508" s="108">
        <f t="shared" si="21"/>
        <v>112.57142857142857</v>
      </c>
    </row>
    <row r="509" spans="1:20" s="66" customFormat="1" ht="12.75" x14ac:dyDescent="0.2">
      <c r="A509" s="109">
        <v>4212</v>
      </c>
      <c r="B509" s="110">
        <v>7</v>
      </c>
      <c r="C509" s="103" t="s">
        <v>512</v>
      </c>
      <c r="D509" s="103">
        <v>7</v>
      </c>
      <c r="E509" s="104">
        <f>+SUMIF('GE16FEB14 Unfudged'!$A$2:$A$498, $A509, 'GE16FEB14 Unfudged'!$D$2:$D$498)</f>
        <v>96</v>
      </c>
      <c r="F509" s="104">
        <v>10807</v>
      </c>
      <c r="G509" s="105">
        <v>0</v>
      </c>
      <c r="H509" s="106">
        <v>10807</v>
      </c>
      <c r="I509" s="107">
        <v>0</v>
      </c>
      <c r="J509" s="105">
        <v>0</v>
      </c>
      <c r="K509" s="106">
        <v>0</v>
      </c>
      <c r="L509" s="107">
        <v>0</v>
      </c>
      <c r="M509" s="105">
        <v>0</v>
      </c>
      <c r="N509" s="106">
        <v>0</v>
      </c>
      <c r="O509" s="107">
        <f t="shared" si="22"/>
        <v>10807</v>
      </c>
      <c r="P509" s="105">
        <f t="shared" si="22"/>
        <v>0</v>
      </c>
      <c r="Q509" s="106">
        <f t="shared" si="22"/>
        <v>10807</v>
      </c>
      <c r="R509" s="105">
        <f t="shared" si="21"/>
        <v>112.57291666666667</v>
      </c>
      <c r="S509" s="105">
        <f t="shared" si="21"/>
        <v>0</v>
      </c>
      <c r="T509" s="108">
        <f t="shared" si="21"/>
        <v>112.57291666666667</v>
      </c>
    </row>
    <row r="510" spans="1:20" s="66" customFormat="1" ht="12.75" x14ac:dyDescent="0.2">
      <c r="A510" s="109">
        <v>4213</v>
      </c>
      <c r="B510" s="110">
        <v>7</v>
      </c>
      <c r="C510" s="103" t="s">
        <v>513</v>
      </c>
      <c r="D510" s="103">
        <v>7</v>
      </c>
      <c r="E510" s="104">
        <f>+SUMIF('GE16FEB14 Unfudged'!$A$2:$A$498, $A510, 'GE16FEB14 Unfudged'!$D$2:$D$498)</f>
        <v>35</v>
      </c>
      <c r="F510" s="104">
        <v>3900</v>
      </c>
      <c r="G510" s="105">
        <v>0</v>
      </c>
      <c r="H510" s="106">
        <v>3900</v>
      </c>
      <c r="I510" s="107">
        <v>0</v>
      </c>
      <c r="J510" s="105">
        <v>0</v>
      </c>
      <c r="K510" s="106">
        <v>0</v>
      </c>
      <c r="L510" s="107">
        <v>0</v>
      </c>
      <c r="M510" s="105">
        <v>0</v>
      </c>
      <c r="N510" s="106">
        <v>0</v>
      </c>
      <c r="O510" s="107">
        <f t="shared" si="22"/>
        <v>3900</v>
      </c>
      <c r="P510" s="105">
        <f t="shared" si="22"/>
        <v>0</v>
      </c>
      <c r="Q510" s="106">
        <f t="shared" si="22"/>
        <v>3900</v>
      </c>
      <c r="R510" s="105">
        <f t="shared" si="21"/>
        <v>111.42857142857143</v>
      </c>
      <c r="S510" s="105">
        <f t="shared" si="21"/>
        <v>0</v>
      </c>
      <c r="T510" s="108">
        <f t="shared" si="21"/>
        <v>111.42857142857143</v>
      </c>
    </row>
    <row r="511" spans="1:20" s="66" customFormat="1" ht="12.75" x14ac:dyDescent="0.2">
      <c r="A511" s="109">
        <v>4214</v>
      </c>
      <c r="B511" s="110">
        <v>7</v>
      </c>
      <c r="C511" s="103" t="s">
        <v>514</v>
      </c>
      <c r="D511" s="103">
        <v>7</v>
      </c>
      <c r="E511" s="104">
        <f>+SUMIF('GE16FEB14 Unfudged'!$A$2:$A$498, $A511, 'GE16FEB14 Unfudged'!$D$2:$D$498)</f>
        <v>34</v>
      </c>
      <c r="F511" s="104">
        <v>3833</v>
      </c>
      <c r="G511" s="105">
        <v>0</v>
      </c>
      <c r="H511" s="106">
        <v>3833</v>
      </c>
      <c r="I511" s="107">
        <v>0</v>
      </c>
      <c r="J511" s="105">
        <v>0</v>
      </c>
      <c r="K511" s="106">
        <v>0</v>
      </c>
      <c r="L511" s="107">
        <v>0</v>
      </c>
      <c r="M511" s="105">
        <v>0</v>
      </c>
      <c r="N511" s="106">
        <v>0</v>
      </c>
      <c r="O511" s="107">
        <f t="shared" si="22"/>
        <v>3833</v>
      </c>
      <c r="P511" s="105">
        <f t="shared" si="22"/>
        <v>0</v>
      </c>
      <c r="Q511" s="106">
        <f t="shared" si="22"/>
        <v>3833</v>
      </c>
      <c r="R511" s="105">
        <f t="shared" si="21"/>
        <v>112.73529411764706</v>
      </c>
      <c r="S511" s="105">
        <f t="shared" si="21"/>
        <v>0</v>
      </c>
      <c r="T511" s="108">
        <f t="shared" si="21"/>
        <v>112.73529411764706</v>
      </c>
    </row>
    <row r="512" spans="1:20" s="66" customFormat="1" ht="12.75" x14ac:dyDescent="0.2">
      <c r="A512" s="109">
        <v>4218</v>
      </c>
      <c r="B512" s="110">
        <v>7</v>
      </c>
      <c r="C512" s="103" t="s">
        <v>515</v>
      </c>
      <c r="D512" s="103">
        <v>7</v>
      </c>
      <c r="E512" s="104">
        <f>+SUMIF('GE16FEB14 Unfudged'!$A$2:$A$498, $A512, 'GE16FEB14 Unfudged'!$D$2:$D$498)</f>
        <v>121</v>
      </c>
      <c r="F512" s="104">
        <v>13666</v>
      </c>
      <c r="G512" s="105">
        <v>0</v>
      </c>
      <c r="H512" s="106">
        <v>13666</v>
      </c>
      <c r="I512" s="107">
        <v>0</v>
      </c>
      <c r="J512" s="105">
        <v>0</v>
      </c>
      <c r="K512" s="106">
        <v>0</v>
      </c>
      <c r="L512" s="107">
        <v>0</v>
      </c>
      <c r="M512" s="105">
        <v>0</v>
      </c>
      <c r="N512" s="106">
        <v>0</v>
      </c>
      <c r="O512" s="107">
        <f t="shared" si="22"/>
        <v>13666</v>
      </c>
      <c r="P512" s="105">
        <f t="shared" si="22"/>
        <v>0</v>
      </c>
      <c r="Q512" s="106">
        <f t="shared" si="22"/>
        <v>13666</v>
      </c>
      <c r="R512" s="105">
        <f t="shared" si="21"/>
        <v>112.94214876033058</v>
      </c>
      <c r="S512" s="105">
        <f t="shared" si="21"/>
        <v>0</v>
      </c>
      <c r="T512" s="108">
        <f t="shared" si="21"/>
        <v>112.94214876033058</v>
      </c>
    </row>
    <row r="513" spans="1:20" s="66" customFormat="1" ht="12.75" x14ac:dyDescent="0.2">
      <c r="A513" s="109">
        <v>4999</v>
      </c>
      <c r="B513" s="110">
        <v>7</v>
      </c>
      <c r="C513" s="103" t="s">
        <v>124</v>
      </c>
      <c r="D513" s="103">
        <v>7</v>
      </c>
      <c r="E513" s="104">
        <f>+SUMIF('GE16FEB14 Unfudged'!$A$2:$A$498, $A513, 'GE16FEB14 Unfudged'!$D$2:$D$498)</f>
        <v>6328</v>
      </c>
      <c r="F513" s="104">
        <v>900122</v>
      </c>
      <c r="G513" s="105">
        <v>0</v>
      </c>
      <c r="H513" s="106">
        <v>900122</v>
      </c>
      <c r="I513" s="107">
        <v>0</v>
      </c>
      <c r="J513" s="105">
        <v>0</v>
      </c>
      <c r="K513" s="106">
        <v>0</v>
      </c>
      <c r="L513" s="107">
        <v>0</v>
      </c>
      <c r="M513" s="105">
        <v>0</v>
      </c>
      <c r="N513" s="106">
        <v>0</v>
      </c>
      <c r="O513" s="107">
        <f t="shared" si="22"/>
        <v>900122</v>
      </c>
      <c r="P513" s="105">
        <f t="shared" si="22"/>
        <v>0</v>
      </c>
      <c r="Q513" s="106">
        <f t="shared" si="22"/>
        <v>900122</v>
      </c>
      <c r="R513" s="105">
        <f t="shared" si="21"/>
        <v>142.24431099873578</v>
      </c>
      <c r="S513" s="105">
        <f t="shared" si="21"/>
        <v>0</v>
      </c>
      <c r="T513" s="108">
        <f t="shared" si="21"/>
        <v>142.24431099873578</v>
      </c>
    </row>
    <row r="514" spans="1:20" s="66" customFormat="1" ht="13.5" thickBot="1" x14ac:dyDescent="0.25">
      <c r="A514" s="111">
        <v>6000</v>
      </c>
      <c r="B514" s="112">
        <v>7</v>
      </c>
      <c r="C514" s="113" t="s">
        <v>516</v>
      </c>
      <c r="D514" s="113">
        <v>24</v>
      </c>
      <c r="E514" s="114">
        <f>+SUMIF('GE16FEB14 Unfudged'!$A$2:$A$498, $A514, 'GE16FEB14 Unfudged'!$D$2:$D$498)</f>
        <v>0</v>
      </c>
      <c r="F514" s="114">
        <v>0</v>
      </c>
      <c r="G514" s="115">
        <v>0</v>
      </c>
      <c r="H514" s="116">
        <v>0</v>
      </c>
      <c r="I514" s="117">
        <v>0</v>
      </c>
      <c r="J514" s="115">
        <v>0</v>
      </c>
      <c r="K514" s="116">
        <v>0</v>
      </c>
      <c r="L514" s="117">
        <v>0</v>
      </c>
      <c r="M514" s="115">
        <v>0</v>
      </c>
      <c r="N514" s="116">
        <v>0</v>
      </c>
      <c r="O514" s="117">
        <f t="shared" si="22"/>
        <v>0</v>
      </c>
      <c r="P514" s="115">
        <f t="shared" si="22"/>
        <v>0</v>
      </c>
      <c r="Q514" s="116">
        <f t="shared" si="22"/>
        <v>0</v>
      </c>
      <c r="R514" s="115">
        <f t="shared" si="21"/>
        <v>0</v>
      </c>
      <c r="S514" s="115">
        <f t="shared" si="21"/>
        <v>0</v>
      </c>
      <c r="T514" s="118">
        <f t="shared" si="21"/>
        <v>0</v>
      </c>
    </row>
    <row r="515" spans="1:20" s="66" customFormat="1" ht="12.75" x14ac:dyDescent="0.2">
      <c r="A515" s="66" t="s">
        <v>545</v>
      </c>
    </row>
    <row r="516" spans="1:20" s="66" customFormat="1" ht="12.75" hidden="1" x14ac:dyDescent="0.2"/>
    <row r="517" spans="1:20" s="66" customFormat="1" ht="12.75" hidden="1" x14ac:dyDescent="0.2"/>
    <row r="518" spans="1:20" s="66" customFormat="1" ht="12.75" hidden="1" x14ac:dyDescent="0.2"/>
    <row r="519" spans="1:20" s="66" customFormat="1" ht="12.75" hidden="1" x14ac:dyDescent="0.2"/>
  </sheetData>
  <printOptions gridLines="1"/>
  <pageMargins left="0.25" right="0.25" top="0.75" bottom="0.5" header="0.3" footer="0.3"/>
  <pageSetup scale="80" fitToHeight="0" orientation="landscape" r:id="rId1"/>
  <headerFooter>
    <oddHeader>&amp;LMDE School Finance&amp;C&amp;"Arial,Bold"2014 TAX BILL (Laws 2014, Chapter 150)
Impact on FY 2016 Maximum School District Revenue, Aid and Levy
&amp;R3/26/2014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17"/>
  <sheetViews>
    <sheetView zoomScaleNormal="100" workbookViewId="0">
      <pane xSplit="5" ySplit="17" topLeftCell="F18" activePane="bottomRight" state="frozen"/>
      <selection pane="topRight" activeCell="F1" sqref="F1"/>
      <selection pane="bottomLeft" activeCell="A18" sqref="A18"/>
      <selection pane="bottomRight"/>
    </sheetView>
  </sheetViews>
  <sheetFormatPr defaultColWidth="0" defaultRowHeight="16.5" zeroHeight="1" x14ac:dyDescent="0.3"/>
  <cols>
    <col min="1" max="1" width="5.85546875" style="21" bestFit="1" customWidth="1"/>
    <col min="2" max="2" width="3.5703125" style="21" hidden="1" customWidth="1"/>
    <col min="3" max="3" width="25.140625" style="21" customWidth="1"/>
    <col min="4" max="4" width="3.5703125" hidden="1" customWidth="1"/>
    <col min="5" max="5" width="6.85546875" bestFit="1" customWidth="1"/>
    <col min="6" max="6" width="9.5703125" bestFit="1" customWidth="1"/>
    <col min="7" max="8" width="8.7109375" bestFit="1" customWidth="1"/>
    <col min="9" max="10" width="9.5703125" bestFit="1" customWidth="1"/>
    <col min="11" max="11" width="8.7109375" bestFit="1" customWidth="1"/>
    <col min="12" max="14" width="9.5703125" bestFit="1" customWidth="1"/>
    <col min="15" max="15" width="10.85546875" bestFit="1" customWidth="1"/>
    <col min="16" max="17" width="9.5703125" bestFit="1" customWidth="1"/>
    <col min="18" max="18" width="8.140625" bestFit="1" customWidth="1"/>
    <col min="19" max="19" width="5.42578125" bestFit="1" customWidth="1"/>
    <col min="20" max="20" width="4.85546875" bestFit="1" customWidth="1"/>
    <col min="21" max="23" width="9.140625" customWidth="1"/>
    <col min="24" max="16384" width="9.140625" hidden="1"/>
  </cols>
  <sheetData>
    <row r="1" spans="1:23" ht="20.25" thickBot="1" x14ac:dyDescent="0.35">
      <c r="A1" s="135" t="s">
        <v>543</v>
      </c>
      <c r="B1" s="58"/>
      <c r="C1" s="135" t="s">
        <v>543</v>
      </c>
      <c r="D1" s="2"/>
      <c r="E1" s="137" t="s">
        <v>543</v>
      </c>
      <c r="F1" s="129" t="s">
        <v>536</v>
      </c>
      <c r="G1" s="130"/>
      <c r="H1" s="130"/>
      <c r="I1" s="130"/>
      <c r="J1" s="130"/>
      <c r="K1" s="130"/>
      <c r="L1" s="131" t="s">
        <v>543</v>
      </c>
      <c r="M1" s="131" t="s">
        <v>543</v>
      </c>
      <c r="N1" s="131" t="s">
        <v>543</v>
      </c>
      <c r="O1" s="131" t="s">
        <v>543</v>
      </c>
      <c r="P1" s="131" t="s">
        <v>543</v>
      </c>
      <c r="Q1" s="131" t="s">
        <v>543</v>
      </c>
      <c r="R1" s="131" t="s">
        <v>543</v>
      </c>
      <c r="S1" s="131" t="s">
        <v>543</v>
      </c>
      <c r="T1" s="132" t="s">
        <v>543</v>
      </c>
      <c r="U1" s="148" t="s">
        <v>546</v>
      </c>
      <c r="V1" s="148" t="s">
        <v>546</v>
      </c>
      <c r="W1" s="148" t="s">
        <v>546</v>
      </c>
    </row>
    <row r="2" spans="1:23" s="85" customFormat="1" ht="12.75" x14ac:dyDescent="0.2">
      <c r="A2" s="136" t="s">
        <v>543</v>
      </c>
      <c r="B2" s="60"/>
      <c r="C2" s="136" t="s">
        <v>543</v>
      </c>
      <c r="D2" s="84"/>
      <c r="E2" s="125" t="s">
        <v>543</v>
      </c>
      <c r="F2" s="128" t="s">
        <v>543</v>
      </c>
      <c r="G2" s="133" t="s">
        <v>543</v>
      </c>
      <c r="H2" s="134" t="s">
        <v>543</v>
      </c>
      <c r="I2" s="70" t="s">
        <v>539</v>
      </c>
      <c r="J2" s="68" t="s">
        <v>539</v>
      </c>
      <c r="K2" s="69" t="s">
        <v>539</v>
      </c>
      <c r="L2" s="70" t="s">
        <v>128</v>
      </c>
      <c r="M2" s="68" t="s">
        <v>128</v>
      </c>
      <c r="N2" s="69" t="s">
        <v>128</v>
      </c>
      <c r="O2" s="70" t="s">
        <v>127</v>
      </c>
      <c r="P2" s="68" t="s">
        <v>127</v>
      </c>
      <c r="Q2" s="69" t="s">
        <v>127</v>
      </c>
      <c r="R2" s="68" t="s">
        <v>127</v>
      </c>
      <c r="S2" s="68" t="s">
        <v>127</v>
      </c>
      <c r="T2" s="71" t="s">
        <v>127</v>
      </c>
    </row>
    <row r="3" spans="1:23" s="85" customFormat="1" ht="12.75" x14ac:dyDescent="0.2">
      <c r="A3" s="136" t="s">
        <v>543</v>
      </c>
      <c r="B3" s="60"/>
      <c r="C3" s="136" t="s">
        <v>543</v>
      </c>
      <c r="D3" s="84"/>
      <c r="E3" s="67" t="s">
        <v>525</v>
      </c>
      <c r="F3" s="67" t="s">
        <v>125</v>
      </c>
      <c r="G3" s="68" t="s">
        <v>125</v>
      </c>
      <c r="H3" s="69" t="s">
        <v>125</v>
      </c>
      <c r="I3" s="70" t="s">
        <v>540</v>
      </c>
      <c r="J3" s="68" t="s">
        <v>540</v>
      </c>
      <c r="K3" s="69" t="s">
        <v>540</v>
      </c>
      <c r="L3" s="70" t="s">
        <v>129</v>
      </c>
      <c r="M3" s="68" t="s">
        <v>129</v>
      </c>
      <c r="N3" s="69" t="s">
        <v>129</v>
      </c>
      <c r="O3" s="70" t="s">
        <v>526</v>
      </c>
      <c r="P3" s="68" t="s">
        <v>526</v>
      </c>
      <c r="Q3" s="69" t="s">
        <v>526</v>
      </c>
      <c r="R3" s="68" t="s">
        <v>541</v>
      </c>
      <c r="S3" s="68" t="s">
        <v>534</v>
      </c>
      <c r="T3" s="71" t="s">
        <v>535</v>
      </c>
    </row>
    <row r="4" spans="1:23" s="85" customFormat="1" ht="13.5" thickBot="1" x14ac:dyDescent="0.25">
      <c r="A4" s="136" t="s">
        <v>543</v>
      </c>
      <c r="B4" s="60"/>
      <c r="C4" s="136" t="s">
        <v>543</v>
      </c>
      <c r="D4" s="84"/>
      <c r="E4" s="72" t="s">
        <v>537</v>
      </c>
      <c r="F4" s="72" t="s">
        <v>0</v>
      </c>
      <c r="G4" s="73" t="s">
        <v>1</v>
      </c>
      <c r="H4" s="74" t="s">
        <v>2</v>
      </c>
      <c r="I4" s="75" t="s">
        <v>0</v>
      </c>
      <c r="J4" s="73" t="s">
        <v>1</v>
      </c>
      <c r="K4" s="74" t="s">
        <v>2</v>
      </c>
      <c r="L4" s="75" t="s">
        <v>0</v>
      </c>
      <c r="M4" s="73" t="s">
        <v>1</v>
      </c>
      <c r="N4" s="74" t="s">
        <v>2</v>
      </c>
      <c r="O4" s="75" t="s">
        <v>0</v>
      </c>
      <c r="P4" s="73" t="s">
        <v>1</v>
      </c>
      <c r="Q4" s="74" t="s">
        <v>2</v>
      </c>
      <c r="R4" s="73" t="s">
        <v>542</v>
      </c>
      <c r="S4" s="73" t="s">
        <v>537</v>
      </c>
      <c r="T4" s="76" t="s">
        <v>537</v>
      </c>
    </row>
    <row r="5" spans="1:23" s="85" customFormat="1" ht="12.75" x14ac:dyDescent="0.2">
      <c r="A5" s="120" t="s">
        <v>544</v>
      </c>
      <c r="B5" s="66"/>
      <c r="C5" s="66"/>
      <c r="E5" s="77"/>
      <c r="F5" s="77"/>
      <c r="G5" s="78"/>
      <c r="H5" s="79"/>
      <c r="I5" s="80"/>
      <c r="J5" s="78"/>
      <c r="K5" s="79"/>
      <c r="L5" s="80"/>
      <c r="M5" s="78"/>
      <c r="N5" s="79"/>
      <c r="O5" s="80"/>
      <c r="P5" s="78"/>
      <c r="Q5" s="79"/>
      <c r="R5" s="78"/>
      <c r="S5" s="78"/>
      <c r="T5" s="81"/>
    </row>
    <row r="6" spans="1:23" s="85" customFormat="1" ht="12.75" x14ac:dyDescent="0.2">
      <c r="A6" s="138" t="s">
        <v>543</v>
      </c>
      <c r="B6" s="87"/>
      <c r="C6" s="87" t="s">
        <v>531</v>
      </c>
      <c r="D6" s="87"/>
      <c r="E6" s="88">
        <f>SUM(E18:E514)</f>
        <v>921112</v>
      </c>
      <c r="F6" s="88">
        <f>SUM(F18:F514)</f>
        <v>109031619</v>
      </c>
      <c r="G6" s="89">
        <f>SUM(G18:G514)</f>
        <v>80189429</v>
      </c>
      <c r="H6" s="90">
        <f>SUM(H18:H514)</f>
        <v>28842190</v>
      </c>
      <c r="I6" s="91">
        <f t="shared" ref="I6:Q6" si="0">SUM(I18:I514)</f>
        <v>358810201</v>
      </c>
      <c r="J6" s="89">
        <f t="shared" si="0"/>
        <v>285015473</v>
      </c>
      <c r="K6" s="90">
        <f t="shared" si="0"/>
        <v>73794728</v>
      </c>
      <c r="L6" s="91">
        <f t="shared" si="0"/>
        <v>709804912</v>
      </c>
      <c r="M6" s="89">
        <f t="shared" si="0"/>
        <v>541519918</v>
      </c>
      <c r="N6" s="90">
        <f t="shared" si="0"/>
        <v>168284994</v>
      </c>
      <c r="O6" s="91">
        <f t="shared" si="0"/>
        <v>1177646732</v>
      </c>
      <c r="P6" s="89">
        <f t="shared" si="0"/>
        <v>906724820</v>
      </c>
      <c r="Q6" s="90">
        <f t="shared" si="0"/>
        <v>270921912</v>
      </c>
      <c r="R6" s="89">
        <f>+IF($E6=0, 0, O6/$E6)</f>
        <v>1278.5054716473132</v>
      </c>
      <c r="S6" s="89">
        <f>+IF($E6=0, 0, P6/$E6)</f>
        <v>984.38063992218099</v>
      </c>
      <c r="T6" s="92">
        <f>+IF($E6=0, 0, Q6/$E6)</f>
        <v>294.12483172513225</v>
      </c>
    </row>
    <row r="7" spans="1:23" s="85" customFormat="1" ht="13.5" thickBot="1" x14ac:dyDescent="0.25">
      <c r="A7" s="120" t="s">
        <v>544</v>
      </c>
      <c r="B7" s="66"/>
      <c r="C7" s="66"/>
      <c r="E7" s="77"/>
      <c r="F7" s="77"/>
      <c r="G7" s="78"/>
      <c r="H7" s="79"/>
      <c r="I7" s="80"/>
      <c r="J7" s="78"/>
      <c r="K7" s="79"/>
      <c r="L7" s="80"/>
      <c r="M7" s="78"/>
      <c r="N7" s="79"/>
      <c r="O7" s="80"/>
      <c r="P7" s="78"/>
      <c r="Q7" s="79"/>
      <c r="R7" s="78"/>
      <c r="S7" s="78"/>
      <c r="T7" s="81"/>
    </row>
    <row r="8" spans="1:23" s="85" customFormat="1" ht="12.75" x14ac:dyDescent="0.2">
      <c r="A8" s="139" t="s">
        <v>543</v>
      </c>
      <c r="B8" s="94"/>
      <c r="C8" s="94" t="s">
        <v>130</v>
      </c>
      <c r="D8" s="94">
        <v>1</v>
      </c>
      <c r="E8" s="96">
        <f t="shared" ref="E8:N16" si="1">SUMIF($D$18:$D$514,$D8,E$18:E$514)</f>
        <v>80335</v>
      </c>
      <c r="F8" s="96">
        <f t="shared" si="1"/>
        <v>4016730</v>
      </c>
      <c r="G8" s="97">
        <f t="shared" si="1"/>
        <v>3409709</v>
      </c>
      <c r="H8" s="98">
        <f t="shared" si="1"/>
        <v>607021</v>
      </c>
      <c r="I8" s="99">
        <f t="shared" si="1"/>
        <v>34061870</v>
      </c>
      <c r="J8" s="97">
        <f t="shared" si="1"/>
        <v>28914332</v>
      </c>
      <c r="K8" s="98">
        <f t="shared" si="1"/>
        <v>5147538</v>
      </c>
      <c r="L8" s="99">
        <f t="shared" si="1"/>
        <v>82021892</v>
      </c>
      <c r="M8" s="97">
        <f t="shared" si="1"/>
        <v>67568650</v>
      </c>
      <c r="N8" s="98">
        <f t="shared" si="1"/>
        <v>14453242</v>
      </c>
      <c r="O8" s="99">
        <f>+F8+I8+L8</f>
        <v>120100492</v>
      </c>
      <c r="P8" s="97">
        <f>+G8+J8+M8</f>
        <v>99892691</v>
      </c>
      <c r="Q8" s="98">
        <f t="shared" ref="Q8:Q16" si="2">+H8+K8+N8</f>
        <v>20207801</v>
      </c>
      <c r="R8" s="97">
        <f t="shared" ref="R8:T14" si="3">+IF($E8=0, 0, O8/$E8)</f>
        <v>1494.9958548577831</v>
      </c>
      <c r="S8" s="97">
        <f t="shared" si="3"/>
        <v>1243.4516835750296</v>
      </c>
      <c r="T8" s="100">
        <f t="shared" si="3"/>
        <v>251.54417128275347</v>
      </c>
    </row>
    <row r="9" spans="1:23" s="85" customFormat="1" ht="12.75" x14ac:dyDescent="0.2">
      <c r="A9" s="140" t="s">
        <v>543</v>
      </c>
      <c r="B9" s="110"/>
      <c r="C9" s="110" t="s">
        <v>131</v>
      </c>
      <c r="D9" s="110">
        <v>2</v>
      </c>
      <c r="E9" s="104">
        <f t="shared" si="1"/>
        <v>95296</v>
      </c>
      <c r="F9" s="104">
        <f t="shared" si="1"/>
        <v>10087609</v>
      </c>
      <c r="G9" s="105">
        <f t="shared" si="1"/>
        <v>9084281</v>
      </c>
      <c r="H9" s="106">
        <f t="shared" si="1"/>
        <v>1003328</v>
      </c>
      <c r="I9" s="107">
        <f t="shared" si="1"/>
        <v>40405271</v>
      </c>
      <c r="J9" s="105">
        <f t="shared" si="1"/>
        <v>37193191</v>
      </c>
      <c r="K9" s="106">
        <f t="shared" si="1"/>
        <v>3212080</v>
      </c>
      <c r="L9" s="107">
        <f t="shared" si="1"/>
        <v>106269709</v>
      </c>
      <c r="M9" s="105">
        <f t="shared" si="1"/>
        <v>94440497</v>
      </c>
      <c r="N9" s="106">
        <f t="shared" si="1"/>
        <v>11829212</v>
      </c>
      <c r="O9" s="107">
        <f t="shared" ref="O9:P16" si="4">+F9+I9+L9</f>
        <v>156762589</v>
      </c>
      <c r="P9" s="105">
        <f t="shared" si="4"/>
        <v>140717969</v>
      </c>
      <c r="Q9" s="106">
        <f t="shared" si="2"/>
        <v>16044620</v>
      </c>
      <c r="R9" s="105">
        <f t="shared" si="3"/>
        <v>1645.007020231699</v>
      </c>
      <c r="S9" s="105">
        <f t="shared" si="3"/>
        <v>1476.6408768468771</v>
      </c>
      <c r="T9" s="108">
        <f t="shared" si="3"/>
        <v>168.36614338482204</v>
      </c>
    </row>
    <row r="10" spans="1:23" s="85" customFormat="1" ht="12.75" x14ac:dyDescent="0.2">
      <c r="A10" s="140" t="s">
        <v>543</v>
      </c>
      <c r="B10" s="110"/>
      <c r="C10" s="110" t="s">
        <v>132</v>
      </c>
      <c r="D10" s="110">
        <v>3</v>
      </c>
      <c r="E10" s="104">
        <f t="shared" si="1"/>
        <v>286862</v>
      </c>
      <c r="F10" s="104">
        <f t="shared" si="1"/>
        <v>32382467</v>
      </c>
      <c r="G10" s="105">
        <f t="shared" si="1"/>
        <v>28389979</v>
      </c>
      <c r="H10" s="106">
        <f t="shared" si="1"/>
        <v>3992488</v>
      </c>
      <c r="I10" s="107">
        <f t="shared" si="1"/>
        <v>121629744</v>
      </c>
      <c r="J10" s="105">
        <f t="shared" si="1"/>
        <v>108437428</v>
      </c>
      <c r="K10" s="106">
        <f t="shared" si="1"/>
        <v>13192316</v>
      </c>
      <c r="L10" s="107">
        <f t="shared" si="1"/>
        <v>284810801</v>
      </c>
      <c r="M10" s="105">
        <f t="shared" si="1"/>
        <v>241082865</v>
      </c>
      <c r="N10" s="106">
        <f t="shared" si="1"/>
        <v>43727936</v>
      </c>
      <c r="O10" s="107">
        <f t="shared" si="4"/>
        <v>438823012</v>
      </c>
      <c r="P10" s="105">
        <f t="shared" si="4"/>
        <v>377910272</v>
      </c>
      <c r="Q10" s="106">
        <f t="shared" si="2"/>
        <v>60912740</v>
      </c>
      <c r="R10" s="105">
        <f t="shared" si="3"/>
        <v>1529.7355941184262</v>
      </c>
      <c r="S10" s="105">
        <f t="shared" si="3"/>
        <v>1317.3939803808103</v>
      </c>
      <c r="T10" s="108">
        <f t="shared" si="3"/>
        <v>212.341613737616</v>
      </c>
    </row>
    <row r="11" spans="1:23" s="85" customFormat="1" ht="12.75" x14ac:dyDescent="0.2">
      <c r="A11" s="140" t="s">
        <v>543</v>
      </c>
      <c r="B11" s="110"/>
      <c r="C11" s="110" t="s">
        <v>133</v>
      </c>
      <c r="D11" s="110">
        <v>4</v>
      </c>
      <c r="E11" s="104">
        <f t="shared" si="1"/>
        <v>199708</v>
      </c>
      <c r="F11" s="104">
        <f t="shared" si="1"/>
        <v>26617911</v>
      </c>
      <c r="G11" s="105">
        <f t="shared" si="1"/>
        <v>20860921</v>
      </c>
      <c r="H11" s="106">
        <f t="shared" si="1"/>
        <v>5756990</v>
      </c>
      <c r="I11" s="107">
        <f t="shared" si="1"/>
        <v>84675620</v>
      </c>
      <c r="J11" s="105">
        <f t="shared" si="1"/>
        <v>66996515</v>
      </c>
      <c r="K11" s="106">
        <f t="shared" si="1"/>
        <v>17679105</v>
      </c>
      <c r="L11" s="107">
        <f t="shared" si="1"/>
        <v>81888826</v>
      </c>
      <c r="M11" s="105">
        <f t="shared" si="1"/>
        <v>46202453</v>
      </c>
      <c r="N11" s="106">
        <f t="shared" si="1"/>
        <v>35686373</v>
      </c>
      <c r="O11" s="107">
        <f t="shared" si="4"/>
        <v>193182357</v>
      </c>
      <c r="P11" s="105">
        <f t="shared" si="4"/>
        <v>134059889</v>
      </c>
      <c r="Q11" s="106">
        <f t="shared" si="2"/>
        <v>59122468</v>
      </c>
      <c r="R11" s="105">
        <f t="shared" si="3"/>
        <v>967.324078154105</v>
      </c>
      <c r="S11" s="105">
        <f t="shared" si="3"/>
        <v>671.27951308911008</v>
      </c>
      <c r="T11" s="108">
        <f t="shared" si="3"/>
        <v>296.04456506499491</v>
      </c>
    </row>
    <row r="12" spans="1:23" s="85" customFormat="1" ht="12.75" x14ac:dyDescent="0.2">
      <c r="A12" s="140" t="s">
        <v>543</v>
      </c>
      <c r="B12" s="110"/>
      <c r="C12" s="110" t="s">
        <v>134</v>
      </c>
      <c r="D12" s="110">
        <v>5</v>
      </c>
      <c r="E12" s="104">
        <f t="shared" si="1"/>
        <v>101624</v>
      </c>
      <c r="F12" s="104">
        <f t="shared" si="1"/>
        <v>14050971</v>
      </c>
      <c r="G12" s="105">
        <f t="shared" si="1"/>
        <v>9767926</v>
      </c>
      <c r="H12" s="106">
        <f t="shared" si="1"/>
        <v>4283045</v>
      </c>
      <c r="I12" s="107">
        <f t="shared" si="1"/>
        <v>43086983</v>
      </c>
      <c r="J12" s="105">
        <f t="shared" si="1"/>
        <v>29722823</v>
      </c>
      <c r="K12" s="106">
        <f t="shared" si="1"/>
        <v>13364160</v>
      </c>
      <c r="L12" s="107">
        <f t="shared" si="1"/>
        <v>40101869</v>
      </c>
      <c r="M12" s="105">
        <f t="shared" si="1"/>
        <v>18426889</v>
      </c>
      <c r="N12" s="106">
        <f t="shared" si="1"/>
        <v>21674980</v>
      </c>
      <c r="O12" s="107">
        <f t="shared" si="4"/>
        <v>97239823</v>
      </c>
      <c r="P12" s="105">
        <f t="shared" si="4"/>
        <v>57917638</v>
      </c>
      <c r="Q12" s="106">
        <f t="shared" si="2"/>
        <v>39322185</v>
      </c>
      <c r="R12" s="105">
        <f t="shared" si="3"/>
        <v>956.85884239943323</v>
      </c>
      <c r="S12" s="105">
        <f t="shared" si="3"/>
        <v>569.92086514996458</v>
      </c>
      <c r="T12" s="108">
        <f t="shared" si="3"/>
        <v>386.93797724946864</v>
      </c>
    </row>
    <row r="13" spans="1:23" s="85" customFormat="1" ht="12.75" x14ac:dyDescent="0.2">
      <c r="A13" s="140" t="s">
        <v>543</v>
      </c>
      <c r="B13" s="110"/>
      <c r="C13" s="110" t="s">
        <v>135</v>
      </c>
      <c r="D13" s="110">
        <v>6</v>
      </c>
      <c r="E13" s="104">
        <f t="shared" si="1"/>
        <v>92857</v>
      </c>
      <c r="F13" s="104">
        <f t="shared" si="1"/>
        <v>11642268</v>
      </c>
      <c r="G13" s="105">
        <f t="shared" si="1"/>
        <v>7570513</v>
      </c>
      <c r="H13" s="106">
        <f t="shared" si="1"/>
        <v>4071755</v>
      </c>
      <c r="I13" s="107">
        <f t="shared" si="1"/>
        <v>39368245</v>
      </c>
      <c r="J13" s="105">
        <f t="shared" si="1"/>
        <v>25351973</v>
      </c>
      <c r="K13" s="106">
        <f t="shared" si="1"/>
        <v>14016272</v>
      </c>
      <c r="L13" s="107">
        <f t="shared" si="1"/>
        <v>57614939</v>
      </c>
      <c r="M13" s="105">
        <f t="shared" si="1"/>
        <v>30865037</v>
      </c>
      <c r="N13" s="106">
        <f t="shared" si="1"/>
        <v>26749902</v>
      </c>
      <c r="O13" s="107">
        <f t="shared" si="4"/>
        <v>108625452</v>
      </c>
      <c r="P13" s="105">
        <f t="shared" si="4"/>
        <v>63787523</v>
      </c>
      <c r="Q13" s="106">
        <f t="shared" si="2"/>
        <v>44837929</v>
      </c>
      <c r="R13" s="105">
        <f t="shared" si="3"/>
        <v>1169.8143597143996</v>
      </c>
      <c r="S13" s="105">
        <f t="shared" si="3"/>
        <v>686.94361222094187</v>
      </c>
      <c r="T13" s="108">
        <f t="shared" si="3"/>
        <v>482.87074749345766</v>
      </c>
    </row>
    <row r="14" spans="1:23" s="85" customFormat="1" ht="12.75" x14ac:dyDescent="0.2">
      <c r="A14" s="140" t="s">
        <v>543</v>
      </c>
      <c r="B14" s="110"/>
      <c r="C14" s="110" t="s">
        <v>136</v>
      </c>
      <c r="D14" s="110">
        <v>7</v>
      </c>
      <c r="E14" s="104">
        <f t="shared" si="1"/>
        <v>55972</v>
      </c>
      <c r="F14" s="104">
        <f t="shared" si="1"/>
        <v>6624435</v>
      </c>
      <c r="G14" s="105">
        <f t="shared" si="1"/>
        <v>0</v>
      </c>
      <c r="H14" s="106">
        <f t="shared" si="1"/>
        <v>6624435</v>
      </c>
      <c r="I14" s="107">
        <f t="shared" si="1"/>
        <v>0</v>
      </c>
      <c r="J14" s="105">
        <f t="shared" si="1"/>
        <v>0</v>
      </c>
      <c r="K14" s="106">
        <f t="shared" si="1"/>
        <v>0</v>
      </c>
      <c r="L14" s="107">
        <f t="shared" si="1"/>
        <v>0</v>
      </c>
      <c r="M14" s="105">
        <f t="shared" si="1"/>
        <v>0</v>
      </c>
      <c r="N14" s="106">
        <f t="shared" si="1"/>
        <v>0</v>
      </c>
      <c r="O14" s="107">
        <f t="shared" si="4"/>
        <v>6624435</v>
      </c>
      <c r="P14" s="105">
        <f t="shared" si="4"/>
        <v>0</v>
      </c>
      <c r="Q14" s="106">
        <f t="shared" si="2"/>
        <v>6624435</v>
      </c>
      <c r="R14" s="105">
        <f t="shared" si="3"/>
        <v>118.3526584720932</v>
      </c>
      <c r="S14" s="105">
        <f t="shared" si="3"/>
        <v>0</v>
      </c>
      <c r="T14" s="108">
        <f t="shared" si="3"/>
        <v>118.3526584720932</v>
      </c>
    </row>
    <row r="15" spans="1:23" s="85" customFormat="1" ht="12.75" x14ac:dyDescent="0.2">
      <c r="A15" s="140" t="s">
        <v>543</v>
      </c>
      <c r="B15" s="110"/>
      <c r="C15" s="110" t="s">
        <v>137</v>
      </c>
      <c r="D15" s="110">
        <v>8</v>
      </c>
      <c r="E15" s="104">
        <f t="shared" si="1"/>
        <v>0</v>
      </c>
      <c r="F15" s="104">
        <f t="shared" si="1"/>
        <v>0</v>
      </c>
      <c r="G15" s="105">
        <f t="shared" si="1"/>
        <v>0</v>
      </c>
      <c r="H15" s="106">
        <f t="shared" si="1"/>
        <v>0</v>
      </c>
      <c r="I15" s="107">
        <f t="shared" si="1"/>
        <v>0</v>
      </c>
      <c r="J15" s="105">
        <f t="shared" si="1"/>
        <v>0</v>
      </c>
      <c r="K15" s="106">
        <f t="shared" si="1"/>
        <v>0</v>
      </c>
      <c r="L15" s="107">
        <f t="shared" si="1"/>
        <v>0</v>
      </c>
      <c r="M15" s="105">
        <f t="shared" si="1"/>
        <v>0</v>
      </c>
      <c r="N15" s="106">
        <f t="shared" si="1"/>
        <v>0</v>
      </c>
      <c r="O15" s="107">
        <f t="shared" si="4"/>
        <v>0</v>
      </c>
      <c r="P15" s="105">
        <f t="shared" si="4"/>
        <v>0</v>
      </c>
      <c r="Q15" s="106">
        <f t="shared" si="2"/>
        <v>0</v>
      </c>
      <c r="R15" s="105">
        <f t="shared" ref="R15:T15" si="5">+IF($E15=0, 0, O15/$E15*1000)</f>
        <v>0</v>
      </c>
      <c r="S15" s="105">
        <f t="shared" si="5"/>
        <v>0</v>
      </c>
      <c r="T15" s="108">
        <f t="shared" si="5"/>
        <v>0</v>
      </c>
    </row>
    <row r="16" spans="1:23" s="85" customFormat="1" ht="13.5" thickBot="1" x14ac:dyDescent="0.25">
      <c r="A16" s="141" t="s">
        <v>543</v>
      </c>
      <c r="B16" s="112"/>
      <c r="C16" s="112" t="s">
        <v>138</v>
      </c>
      <c r="D16" s="112">
        <v>9</v>
      </c>
      <c r="E16" s="114">
        <f t="shared" si="1"/>
        <v>8458</v>
      </c>
      <c r="F16" s="114">
        <f t="shared" si="1"/>
        <v>3609228</v>
      </c>
      <c r="G16" s="115">
        <f t="shared" si="1"/>
        <v>1106100</v>
      </c>
      <c r="H16" s="116">
        <f t="shared" si="1"/>
        <v>2503128</v>
      </c>
      <c r="I16" s="117">
        <f t="shared" si="1"/>
        <v>-4417532</v>
      </c>
      <c r="J16" s="115">
        <f t="shared" si="1"/>
        <v>-11600789</v>
      </c>
      <c r="K16" s="116">
        <f t="shared" si="1"/>
        <v>7183257</v>
      </c>
      <c r="L16" s="117">
        <f t="shared" si="1"/>
        <v>57096876</v>
      </c>
      <c r="M16" s="115">
        <f t="shared" si="1"/>
        <v>42933527</v>
      </c>
      <c r="N16" s="116">
        <f t="shared" si="1"/>
        <v>14163349</v>
      </c>
      <c r="O16" s="117">
        <f t="shared" si="4"/>
        <v>56288572</v>
      </c>
      <c r="P16" s="115">
        <f t="shared" si="4"/>
        <v>32438838</v>
      </c>
      <c r="Q16" s="116">
        <f t="shared" si="2"/>
        <v>23849734</v>
      </c>
      <c r="R16" s="115">
        <f>+IF($E16=0, 0, O16/$E16)</f>
        <v>6655.0688105935205</v>
      </c>
      <c r="S16" s="115">
        <f>+IF($E16=0, 0, P16/$E16)</f>
        <v>3835.2847008749113</v>
      </c>
      <c r="T16" s="118">
        <f>+IF($E16=0, 0, Q16/$E16)</f>
        <v>2819.7841097186097</v>
      </c>
    </row>
    <row r="17" spans="1:20" s="85" customFormat="1" ht="13.5" thickBot="1" x14ac:dyDescent="0.25">
      <c r="A17" s="120" t="s">
        <v>544</v>
      </c>
      <c r="B17" s="66"/>
      <c r="C17" s="66"/>
      <c r="E17" s="77"/>
      <c r="F17" s="77"/>
      <c r="G17" s="78"/>
      <c r="H17" s="79"/>
      <c r="I17" s="80"/>
      <c r="J17" s="78"/>
      <c r="K17" s="79"/>
      <c r="L17" s="80"/>
      <c r="M17" s="78"/>
      <c r="N17" s="79"/>
      <c r="O17" s="80"/>
      <c r="P17" s="78"/>
      <c r="Q17" s="79"/>
      <c r="R17" s="82"/>
      <c r="S17" s="82"/>
      <c r="T17" s="83"/>
    </row>
    <row r="18" spans="1:20" s="85" customFormat="1" ht="12.75" x14ac:dyDescent="0.2">
      <c r="A18" s="93">
        <v>1</v>
      </c>
      <c r="B18" s="94">
        <v>1</v>
      </c>
      <c r="C18" s="95" t="s">
        <v>139</v>
      </c>
      <c r="D18" s="95">
        <v>5</v>
      </c>
      <c r="E18" s="96">
        <f>+SUMIF('GE16FEB14 Unfudged'!$A$2:$A$498, $A18, 'GE16FEB14 Unfudged'!$D$2:$D$498)</f>
        <v>1285</v>
      </c>
      <c r="F18" s="96">
        <v>185040</v>
      </c>
      <c r="G18" s="97">
        <v>185040</v>
      </c>
      <c r="H18" s="98">
        <v>0</v>
      </c>
      <c r="I18" s="99">
        <v>544840</v>
      </c>
      <c r="J18" s="97">
        <v>544840</v>
      </c>
      <c r="K18" s="98">
        <v>0</v>
      </c>
      <c r="L18" s="99">
        <v>385500</v>
      </c>
      <c r="M18" s="97">
        <v>260672</v>
      </c>
      <c r="N18" s="98">
        <v>124828</v>
      </c>
      <c r="O18" s="99">
        <f>+F18+I18+L18</f>
        <v>1115380</v>
      </c>
      <c r="P18" s="97">
        <f t="shared" ref="O18:Q81" si="6">+G18+J18+M18</f>
        <v>990552</v>
      </c>
      <c r="Q18" s="98">
        <f t="shared" si="6"/>
        <v>124828</v>
      </c>
      <c r="R18" s="97">
        <f>+IF($E18=0, 0, O18/$E18)</f>
        <v>868</v>
      </c>
      <c r="S18" s="97">
        <f>+IF($E18=0, 0, P18/$E18)</f>
        <v>770.85758754863809</v>
      </c>
      <c r="T18" s="100">
        <f>+IF($E18=0, 0, Q18/$E18)</f>
        <v>97.142412451361864</v>
      </c>
    </row>
    <row r="19" spans="1:20" s="85" customFormat="1" ht="12.75" x14ac:dyDescent="0.2">
      <c r="A19" s="101">
        <v>1.2</v>
      </c>
      <c r="B19" s="102">
        <v>3</v>
      </c>
      <c r="C19" s="103" t="s">
        <v>140</v>
      </c>
      <c r="D19" s="103">
        <v>1</v>
      </c>
      <c r="E19" s="104">
        <f>+SUMIF('GE16FEB14 Unfudged'!$A$2:$A$498, $A19, 'GE16FEB14 Unfudged'!$D$2:$D$498)</f>
        <v>39607</v>
      </c>
      <c r="F19" s="104">
        <v>1980330</v>
      </c>
      <c r="G19" s="105">
        <v>1980330</v>
      </c>
      <c r="H19" s="106">
        <v>0</v>
      </c>
      <c r="I19" s="107">
        <v>16793198</v>
      </c>
      <c r="J19" s="105">
        <v>16793198</v>
      </c>
      <c r="K19" s="106">
        <v>0</v>
      </c>
      <c r="L19" s="107">
        <v>55978780</v>
      </c>
      <c r="M19" s="105">
        <v>52894542</v>
      </c>
      <c r="N19" s="106">
        <v>3084238</v>
      </c>
      <c r="O19" s="107">
        <f t="shared" si="6"/>
        <v>74752308</v>
      </c>
      <c r="P19" s="105">
        <f t="shared" si="6"/>
        <v>71668070</v>
      </c>
      <c r="Q19" s="106">
        <f t="shared" si="6"/>
        <v>3084238</v>
      </c>
      <c r="R19" s="105">
        <f t="shared" ref="R19:T82" si="7">+IF($E19=0, 0, O19/$E19)</f>
        <v>1887.3509228166738</v>
      </c>
      <c r="S19" s="105">
        <f t="shared" si="7"/>
        <v>1809.4798899184489</v>
      </c>
      <c r="T19" s="108">
        <f t="shared" si="7"/>
        <v>77.871032898225067</v>
      </c>
    </row>
    <row r="20" spans="1:20" s="85" customFormat="1" ht="12.75" x14ac:dyDescent="0.2">
      <c r="A20" s="109">
        <v>2</v>
      </c>
      <c r="B20" s="110">
        <v>1</v>
      </c>
      <c r="C20" s="103" t="s">
        <v>141</v>
      </c>
      <c r="D20" s="103">
        <v>6</v>
      </c>
      <c r="E20" s="104">
        <f>+SUMIF('GE16FEB14 Unfudged'!$A$2:$A$498, $A20, 'GE16FEB14 Unfudged'!$D$2:$D$498)</f>
        <v>284</v>
      </c>
      <c r="F20" s="104">
        <v>40889</v>
      </c>
      <c r="G20" s="105">
        <v>22793</v>
      </c>
      <c r="H20" s="106">
        <v>18096</v>
      </c>
      <c r="I20" s="107">
        <v>120395</v>
      </c>
      <c r="J20" s="105">
        <v>67113</v>
      </c>
      <c r="K20" s="106">
        <v>53282</v>
      </c>
      <c r="L20" s="107">
        <v>85185</v>
      </c>
      <c r="M20" s="105">
        <v>27520</v>
      </c>
      <c r="N20" s="106">
        <v>57665</v>
      </c>
      <c r="O20" s="107">
        <f t="shared" si="6"/>
        <v>246469</v>
      </c>
      <c r="P20" s="105">
        <f t="shared" si="6"/>
        <v>117426</v>
      </c>
      <c r="Q20" s="106">
        <f t="shared" si="6"/>
        <v>129043</v>
      </c>
      <c r="R20" s="105">
        <f t="shared" si="7"/>
        <v>867.84859154929575</v>
      </c>
      <c r="S20" s="105">
        <f t="shared" si="7"/>
        <v>413.47183098591552</v>
      </c>
      <c r="T20" s="108">
        <f t="shared" si="7"/>
        <v>454.37676056338029</v>
      </c>
    </row>
    <row r="21" spans="1:20" s="85" customFormat="1" ht="12.75" x14ac:dyDescent="0.2">
      <c r="A21" s="109">
        <v>4</v>
      </c>
      <c r="B21" s="110">
        <v>1</v>
      </c>
      <c r="C21" s="103" t="s">
        <v>142</v>
      </c>
      <c r="D21" s="103">
        <v>6</v>
      </c>
      <c r="E21" s="104">
        <f>+SUMIF('GE16FEB14 Unfudged'!$A$2:$A$498, $A21, 'GE16FEB14 Unfudged'!$D$2:$D$498)</f>
        <v>434</v>
      </c>
      <c r="F21" s="104">
        <v>62554</v>
      </c>
      <c r="G21" s="105">
        <v>62554</v>
      </c>
      <c r="H21" s="106">
        <v>0</v>
      </c>
      <c r="I21" s="107">
        <v>184186</v>
      </c>
      <c r="J21" s="105">
        <v>184186</v>
      </c>
      <c r="K21" s="106">
        <v>0</v>
      </c>
      <c r="L21" s="107">
        <v>130320</v>
      </c>
      <c r="M21" s="105">
        <v>77314</v>
      </c>
      <c r="N21" s="106">
        <v>53006</v>
      </c>
      <c r="O21" s="107">
        <f t="shared" si="6"/>
        <v>377060</v>
      </c>
      <c r="P21" s="105">
        <f t="shared" si="6"/>
        <v>324054</v>
      </c>
      <c r="Q21" s="106">
        <f t="shared" si="6"/>
        <v>53006</v>
      </c>
      <c r="R21" s="105">
        <f t="shared" si="7"/>
        <v>868.80184331797238</v>
      </c>
      <c r="S21" s="105">
        <f t="shared" si="7"/>
        <v>746.66820276497697</v>
      </c>
      <c r="T21" s="108">
        <f t="shared" si="7"/>
        <v>122.13364055299539</v>
      </c>
    </row>
    <row r="22" spans="1:20" s="85" customFormat="1" ht="12.75" x14ac:dyDescent="0.2">
      <c r="A22" s="109">
        <v>6</v>
      </c>
      <c r="B22" s="110">
        <v>3</v>
      </c>
      <c r="C22" s="103" t="s">
        <v>143</v>
      </c>
      <c r="D22" s="103">
        <v>2</v>
      </c>
      <c r="E22" s="104">
        <f>+SUMIF('GE16FEB14 Unfudged'!$A$2:$A$498, $A22, 'GE16FEB14 Unfudged'!$D$2:$D$498)</f>
        <v>3736</v>
      </c>
      <c r="F22" s="104">
        <v>557934</v>
      </c>
      <c r="G22" s="105">
        <v>396251</v>
      </c>
      <c r="H22" s="106">
        <v>161683</v>
      </c>
      <c r="I22" s="107">
        <v>1584234</v>
      </c>
      <c r="J22" s="105">
        <v>1125142</v>
      </c>
      <c r="K22" s="106">
        <v>459092</v>
      </c>
      <c r="L22" s="107">
        <v>2005625</v>
      </c>
      <c r="M22" s="105">
        <v>1089699</v>
      </c>
      <c r="N22" s="106">
        <v>915926</v>
      </c>
      <c r="O22" s="107">
        <f t="shared" si="6"/>
        <v>4147793</v>
      </c>
      <c r="P22" s="105">
        <f t="shared" si="6"/>
        <v>2611092</v>
      </c>
      <c r="Q22" s="106">
        <f t="shared" si="6"/>
        <v>1536701</v>
      </c>
      <c r="R22" s="105">
        <f t="shared" si="7"/>
        <v>1110.2229657387579</v>
      </c>
      <c r="S22" s="105">
        <f t="shared" si="7"/>
        <v>698.90042826552462</v>
      </c>
      <c r="T22" s="108">
        <f t="shared" si="7"/>
        <v>411.32253747323341</v>
      </c>
    </row>
    <row r="23" spans="1:20" s="85" customFormat="1" ht="12.75" x14ac:dyDescent="0.2">
      <c r="A23" s="109">
        <v>11</v>
      </c>
      <c r="B23" s="110">
        <v>1</v>
      </c>
      <c r="C23" s="103" t="s">
        <v>144</v>
      </c>
      <c r="D23" s="103">
        <v>3</v>
      </c>
      <c r="E23" s="104">
        <f>+SUMIF('GE16FEB14 Unfudged'!$A$2:$A$498, $A23, 'GE16FEB14 Unfudged'!$D$2:$D$498)</f>
        <v>39798</v>
      </c>
      <c r="F23" s="104">
        <v>4558334</v>
      </c>
      <c r="G23" s="105">
        <v>3244342</v>
      </c>
      <c r="H23" s="106">
        <v>1313992</v>
      </c>
      <c r="I23" s="107">
        <v>16874267</v>
      </c>
      <c r="J23" s="105">
        <v>12010067</v>
      </c>
      <c r="K23" s="106">
        <v>4864200</v>
      </c>
      <c r="L23" s="107">
        <v>39397832</v>
      </c>
      <c r="M23" s="105">
        <v>27106091</v>
      </c>
      <c r="N23" s="106">
        <v>12291741</v>
      </c>
      <c r="O23" s="107">
        <f t="shared" si="6"/>
        <v>60830433</v>
      </c>
      <c r="P23" s="105">
        <f t="shared" si="6"/>
        <v>42360500</v>
      </c>
      <c r="Q23" s="106">
        <f t="shared" si="6"/>
        <v>18469933</v>
      </c>
      <c r="R23" s="105">
        <f t="shared" si="7"/>
        <v>1528.4796472184532</v>
      </c>
      <c r="S23" s="105">
        <f t="shared" si="7"/>
        <v>1064.3876576712398</v>
      </c>
      <c r="T23" s="108">
        <f t="shared" si="7"/>
        <v>464.09198954721342</v>
      </c>
    </row>
    <row r="24" spans="1:20" s="85" customFormat="1" ht="12.75" x14ac:dyDescent="0.2">
      <c r="A24" s="109">
        <v>12</v>
      </c>
      <c r="B24" s="110">
        <v>1</v>
      </c>
      <c r="C24" s="103" t="s">
        <v>145</v>
      </c>
      <c r="D24" s="103">
        <v>3</v>
      </c>
      <c r="E24" s="104">
        <f>+SUMIF('GE16FEB14 Unfudged'!$A$2:$A$498, $A24, 'GE16FEB14 Unfudged'!$D$2:$D$498)</f>
        <v>6971</v>
      </c>
      <c r="F24" s="104">
        <v>1079123</v>
      </c>
      <c r="G24" s="105">
        <v>838445</v>
      </c>
      <c r="H24" s="106">
        <v>240678</v>
      </c>
      <c r="I24" s="107">
        <v>2955789</v>
      </c>
      <c r="J24" s="105">
        <v>2296557</v>
      </c>
      <c r="K24" s="106">
        <v>659232</v>
      </c>
      <c r="L24" s="107">
        <v>3244954</v>
      </c>
      <c r="M24" s="105">
        <v>1838023</v>
      </c>
      <c r="N24" s="106">
        <v>1406931</v>
      </c>
      <c r="O24" s="107">
        <f t="shared" si="6"/>
        <v>7279866</v>
      </c>
      <c r="P24" s="105">
        <f t="shared" si="6"/>
        <v>4973025</v>
      </c>
      <c r="Q24" s="106">
        <f t="shared" si="6"/>
        <v>2306841</v>
      </c>
      <c r="R24" s="105">
        <f t="shared" si="7"/>
        <v>1044.3072729880935</v>
      </c>
      <c r="S24" s="105">
        <f t="shared" si="7"/>
        <v>713.38760579543828</v>
      </c>
      <c r="T24" s="108">
        <f t="shared" si="7"/>
        <v>330.91966719265531</v>
      </c>
    </row>
    <row r="25" spans="1:20" s="85" customFormat="1" ht="12.75" x14ac:dyDescent="0.2">
      <c r="A25" s="109">
        <v>13</v>
      </c>
      <c r="B25" s="110">
        <v>1</v>
      </c>
      <c r="C25" s="103" t="s">
        <v>146</v>
      </c>
      <c r="D25" s="103">
        <v>2</v>
      </c>
      <c r="E25" s="104">
        <f>+SUMIF('GE16FEB14 Unfudged'!$A$2:$A$498, $A25, 'GE16FEB14 Unfudged'!$D$2:$D$498)</f>
        <v>3362</v>
      </c>
      <c r="F25" s="104">
        <v>483364</v>
      </c>
      <c r="G25" s="105">
        <v>360094</v>
      </c>
      <c r="H25" s="106">
        <v>123270</v>
      </c>
      <c r="I25" s="107">
        <v>1425361</v>
      </c>
      <c r="J25" s="105">
        <v>1061860</v>
      </c>
      <c r="K25" s="106">
        <v>363501</v>
      </c>
      <c r="L25" s="107">
        <v>2047040</v>
      </c>
      <c r="M25" s="105">
        <v>1209102</v>
      </c>
      <c r="N25" s="106">
        <v>837938</v>
      </c>
      <c r="O25" s="107">
        <f t="shared" si="6"/>
        <v>3955765</v>
      </c>
      <c r="P25" s="105">
        <f t="shared" si="6"/>
        <v>2631056</v>
      </c>
      <c r="Q25" s="106">
        <f t="shared" si="6"/>
        <v>1324709</v>
      </c>
      <c r="R25" s="105">
        <f t="shared" si="7"/>
        <v>1176.6106484235574</v>
      </c>
      <c r="S25" s="105">
        <f t="shared" si="7"/>
        <v>782.58655562165382</v>
      </c>
      <c r="T25" s="108">
        <f t="shared" si="7"/>
        <v>394.02409280190363</v>
      </c>
    </row>
    <row r="26" spans="1:20" s="85" customFormat="1" ht="12.75" x14ac:dyDescent="0.2">
      <c r="A26" s="109">
        <v>14</v>
      </c>
      <c r="B26" s="110">
        <v>1</v>
      </c>
      <c r="C26" s="103" t="s">
        <v>147</v>
      </c>
      <c r="D26" s="103">
        <v>3</v>
      </c>
      <c r="E26" s="104">
        <f>+SUMIF('GE16FEB14 Unfudged'!$A$2:$A$498, $A26, 'GE16FEB14 Unfudged'!$D$2:$D$498)</f>
        <v>3199</v>
      </c>
      <c r="F26" s="104">
        <v>491056</v>
      </c>
      <c r="G26" s="105">
        <v>338747</v>
      </c>
      <c r="H26" s="106">
        <v>152309</v>
      </c>
      <c r="I26" s="107">
        <v>1356206</v>
      </c>
      <c r="J26" s="105">
        <v>935555</v>
      </c>
      <c r="K26" s="106">
        <v>420651</v>
      </c>
      <c r="L26" s="107">
        <v>1542013</v>
      </c>
      <c r="M26" s="105">
        <v>785411</v>
      </c>
      <c r="N26" s="106">
        <v>756602</v>
      </c>
      <c r="O26" s="107">
        <f t="shared" si="6"/>
        <v>3389275</v>
      </c>
      <c r="P26" s="105">
        <f t="shared" si="6"/>
        <v>2059713</v>
      </c>
      <c r="Q26" s="106">
        <f t="shared" si="6"/>
        <v>1329562</v>
      </c>
      <c r="R26" s="105">
        <f t="shared" si="7"/>
        <v>1059.4795248515161</v>
      </c>
      <c r="S26" s="105">
        <f t="shared" si="7"/>
        <v>643.86151922475779</v>
      </c>
      <c r="T26" s="108">
        <f t="shared" si="7"/>
        <v>415.61800562675836</v>
      </c>
    </row>
    <row r="27" spans="1:20" s="85" customFormat="1" ht="12.75" x14ac:dyDescent="0.2">
      <c r="A27" s="109">
        <v>15</v>
      </c>
      <c r="B27" s="110">
        <v>1</v>
      </c>
      <c r="C27" s="103" t="s">
        <v>148</v>
      </c>
      <c r="D27" s="103">
        <v>3</v>
      </c>
      <c r="E27" s="104">
        <f>+SUMIF('GE16FEB14 Unfudged'!$A$2:$A$498, $A27, 'GE16FEB14 Unfudged'!$D$2:$D$498)</f>
        <v>4887</v>
      </c>
      <c r="F27" s="104">
        <v>818573</v>
      </c>
      <c r="G27" s="105">
        <v>601361</v>
      </c>
      <c r="H27" s="106">
        <v>217212</v>
      </c>
      <c r="I27" s="107">
        <v>2072088</v>
      </c>
      <c r="J27" s="105">
        <v>1522250</v>
      </c>
      <c r="K27" s="106">
        <v>549838</v>
      </c>
      <c r="L27" s="107">
        <v>1466100</v>
      </c>
      <c r="M27" s="105">
        <v>624207</v>
      </c>
      <c r="N27" s="106">
        <v>841893</v>
      </c>
      <c r="O27" s="107">
        <f t="shared" si="6"/>
        <v>4356761</v>
      </c>
      <c r="P27" s="105">
        <f t="shared" si="6"/>
        <v>2747818</v>
      </c>
      <c r="Q27" s="106">
        <f t="shared" si="6"/>
        <v>1608943</v>
      </c>
      <c r="R27" s="105">
        <f t="shared" si="7"/>
        <v>891.50010231225701</v>
      </c>
      <c r="S27" s="105">
        <f t="shared" si="7"/>
        <v>562.27092285655817</v>
      </c>
      <c r="T27" s="108">
        <f t="shared" si="7"/>
        <v>329.22917945569878</v>
      </c>
    </row>
    <row r="28" spans="1:20" s="85" customFormat="1" ht="12.75" x14ac:dyDescent="0.2">
      <c r="A28" s="109">
        <v>16</v>
      </c>
      <c r="B28" s="110">
        <v>1</v>
      </c>
      <c r="C28" s="103" t="s">
        <v>149</v>
      </c>
      <c r="D28" s="103">
        <v>3</v>
      </c>
      <c r="E28" s="104">
        <f>+SUMIF('GE16FEB14 Unfudged'!$A$2:$A$498, $A28, 'GE16FEB14 Unfudged'!$D$2:$D$498)</f>
        <v>5870</v>
      </c>
      <c r="F28" s="104">
        <v>922757</v>
      </c>
      <c r="G28" s="105">
        <v>898386</v>
      </c>
      <c r="H28" s="106">
        <v>24371</v>
      </c>
      <c r="I28" s="107">
        <v>2488689</v>
      </c>
      <c r="J28" s="105">
        <v>2422960</v>
      </c>
      <c r="K28" s="106">
        <v>65729</v>
      </c>
      <c r="L28" s="107">
        <v>2547619</v>
      </c>
      <c r="M28" s="105">
        <v>1759524</v>
      </c>
      <c r="N28" s="106">
        <v>788095</v>
      </c>
      <c r="O28" s="107">
        <f t="shared" si="6"/>
        <v>5959065</v>
      </c>
      <c r="P28" s="105">
        <f t="shared" si="6"/>
        <v>5080870</v>
      </c>
      <c r="Q28" s="106">
        <f t="shared" si="6"/>
        <v>878195</v>
      </c>
      <c r="R28" s="105">
        <f t="shared" si="7"/>
        <v>1015.1729131175468</v>
      </c>
      <c r="S28" s="105">
        <f t="shared" si="7"/>
        <v>865.56558773424194</v>
      </c>
      <c r="T28" s="108">
        <f t="shared" si="7"/>
        <v>149.60732538330495</v>
      </c>
    </row>
    <row r="29" spans="1:20" s="85" customFormat="1" ht="12.75" x14ac:dyDescent="0.2">
      <c r="A29" s="109">
        <v>22</v>
      </c>
      <c r="B29" s="110">
        <v>1</v>
      </c>
      <c r="C29" s="103" t="s">
        <v>150</v>
      </c>
      <c r="D29" s="103">
        <v>4</v>
      </c>
      <c r="E29" s="104">
        <f>+SUMIF('GE16FEB14 Unfudged'!$A$2:$A$498, $A29, 'GE16FEB14 Unfudged'!$D$2:$D$498)</f>
        <v>3112</v>
      </c>
      <c r="F29" s="104">
        <v>448128</v>
      </c>
      <c r="G29" s="105">
        <v>396125</v>
      </c>
      <c r="H29" s="106">
        <v>52003</v>
      </c>
      <c r="I29" s="107">
        <v>1319488</v>
      </c>
      <c r="J29" s="105">
        <v>1166368</v>
      </c>
      <c r="K29" s="106">
        <v>153120</v>
      </c>
      <c r="L29" s="107">
        <v>933600</v>
      </c>
      <c r="M29" s="105">
        <v>478276</v>
      </c>
      <c r="N29" s="106">
        <v>455324</v>
      </c>
      <c r="O29" s="107">
        <f t="shared" si="6"/>
        <v>2701216</v>
      </c>
      <c r="P29" s="105">
        <f t="shared" si="6"/>
        <v>2040769</v>
      </c>
      <c r="Q29" s="106">
        <f t="shared" si="6"/>
        <v>660447</v>
      </c>
      <c r="R29" s="105">
        <f t="shared" si="7"/>
        <v>868</v>
      </c>
      <c r="S29" s="105">
        <f t="shared" si="7"/>
        <v>655.77410025706945</v>
      </c>
      <c r="T29" s="108">
        <f t="shared" si="7"/>
        <v>212.22589974293058</v>
      </c>
    </row>
    <row r="30" spans="1:20" s="85" customFormat="1" ht="12.75" x14ac:dyDescent="0.2">
      <c r="A30" s="109">
        <v>23</v>
      </c>
      <c r="B30" s="110">
        <v>1</v>
      </c>
      <c r="C30" s="103" t="s">
        <v>151</v>
      </c>
      <c r="D30" s="103">
        <v>6</v>
      </c>
      <c r="E30" s="104">
        <f>+SUMIF('GE16FEB14 Unfudged'!$A$2:$A$498, $A30, 'GE16FEB14 Unfudged'!$D$2:$D$498)</f>
        <v>977</v>
      </c>
      <c r="F30" s="104">
        <v>133835</v>
      </c>
      <c r="G30" s="105">
        <v>89992</v>
      </c>
      <c r="H30" s="106">
        <v>43843</v>
      </c>
      <c r="I30" s="107">
        <v>414163</v>
      </c>
      <c r="J30" s="105">
        <v>278487</v>
      </c>
      <c r="K30" s="106">
        <v>135676</v>
      </c>
      <c r="L30" s="107">
        <v>405714</v>
      </c>
      <c r="M30" s="105">
        <v>189958</v>
      </c>
      <c r="N30" s="106">
        <v>215756</v>
      </c>
      <c r="O30" s="107">
        <f t="shared" si="6"/>
        <v>953712</v>
      </c>
      <c r="P30" s="105">
        <f t="shared" si="6"/>
        <v>558437</v>
      </c>
      <c r="Q30" s="106">
        <f t="shared" si="6"/>
        <v>395275</v>
      </c>
      <c r="R30" s="105">
        <f t="shared" si="7"/>
        <v>976.16376663254857</v>
      </c>
      <c r="S30" s="105">
        <f t="shared" si="7"/>
        <v>571.58341862845441</v>
      </c>
      <c r="T30" s="108">
        <f t="shared" si="7"/>
        <v>404.58034800409416</v>
      </c>
    </row>
    <row r="31" spans="1:20" s="85" customFormat="1" ht="12.75" x14ac:dyDescent="0.2">
      <c r="A31" s="109">
        <v>25</v>
      </c>
      <c r="B31" s="110">
        <v>1</v>
      </c>
      <c r="C31" s="103" t="s">
        <v>152</v>
      </c>
      <c r="D31" s="103">
        <v>6</v>
      </c>
      <c r="E31" s="104">
        <f>+SUMIF('GE16FEB14 Unfudged'!$A$2:$A$498, $A31, 'GE16FEB14 Unfudged'!$D$2:$D$498)</f>
        <v>79</v>
      </c>
      <c r="F31" s="104">
        <v>11347</v>
      </c>
      <c r="G31" s="105">
        <v>0</v>
      </c>
      <c r="H31" s="106">
        <v>11347</v>
      </c>
      <c r="I31" s="107">
        <v>33411</v>
      </c>
      <c r="J31" s="105">
        <v>0</v>
      </c>
      <c r="K31" s="106">
        <v>33411</v>
      </c>
      <c r="L31" s="107">
        <v>23640</v>
      </c>
      <c r="M31" s="105">
        <v>0</v>
      </c>
      <c r="N31" s="106">
        <v>23640</v>
      </c>
      <c r="O31" s="107">
        <f t="shared" si="6"/>
        <v>68398</v>
      </c>
      <c r="P31" s="105">
        <f t="shared" si="6"/>
        <v>0</v>
      </c>
      <c r="Q31" s="106">
        <f t="shared" si="6"/>
        <v>68398</v>
      </c>
      <c r="R31" s="105">
        <f t="shared" si="7"/>
        <v>865.79746835443041</v>
      </c>
      <c r="S31" s="105">
        <f t="shared" si="7"/>
        <v>0</v>
      </c>
      <c r="T31" s="108">
        <f t="shared" si="7"/>
        <v>865.79746835443041</v>
      </c>
    </row>
    <row r="32" spans="1:20" s="85" customFormat="1" ht="12.75" x14ac:dyDescent="0.2">
      <c r="A32" s="109">
        <v>31</v>
      </c>
      <c r="B32" s="110">
        <v>1</v>
      </c>
      <c r="C32" s="103" t="s">
        <v>153</v>
      </c>
      <c r="D32" s="103">
        <v>4</v>
      </c>
      <c r="E32" s="104">
        <f>+SUMIF('GE16FEB14 Unfudged'!$A$2:$A$498, $A32, 'GE16FEB14 Unfudged'!$D$2:$D$498)</f>
        <v>5578</v>
      </c>
      <c r="F32" s="104">
        <v>803232</v>
      </c>
      <c r="G32" s="105">
        <v>582596</v>
      </c>
      <c r="H32" s="106">
        <v>220636</v>
      </c>
      <c r="I32" s="107">
        <v>2365072</v>
      </c>
      <c r="J32" s="105">
        <v>1715420</v>
      </c>
      <c r="K32" s="106">
        <v>649652</v>
      </c>
      <c r="L32" s="107">
        <v>1673400</v>
      </c>
      <c r="M32" s="105">
        <v>703418</v>
      </c>
      <c r="N32" s="106">
        <v>969982</v>
      </c>
      <c r="O32" s="107">
        <f t="shared" si="6"/>
        <v>4841704</v>
      </c>
      <c r="P32" s="105">
        <f t="shared" si="6"/>
        <v>3001434</v>
      </c>
      <c r="Q32" s="106">
        <f t="shared" si="6"/>
        <v>1840270</v>
      </c>
      <c r="R32" s="105">
        <f t="shared" si="7"/>
        <v>868</v>
      </c>
      <c r="S32" s="105">
        <f t="shared" si="7"/>
        <v>538.08425959125134</v>
      </c>
      <c r="T32" s="108">
        <f t="shared" si="7"/>
        <v>329.91574040874866</v>
      </c>
    </row>
    <row r="33" spans="1:20" s="85" customFormat="1" ht="12.75" x14ac:dyDescent="0.2">
      <c r="A33" s="109">
        <v>32</v>
      </c>
      <c r="B33" s="110">
        <v>1</v>
      </c>
      <c r="C33" s="103" t="s">
        <v>154</v>
      </c>
      <c r="D33" s="103">
        <v>6</v>
      </c>
      <c r="E33" s="104">
        <f>+SUMIF('GE16FEB14 Unfudged'!$A$2:$A$498, $A33, 'GE16FEB14 Unfudged'!$D$2:$D$498)</f>
        <v>540</v>
      </c>
      <c r="F33" s="104">
        <v>77768</v>
      </c>
      <c r="G33" s="105">
        <v>50535</v>
      </c>
      <c r="H33" s="106">
        <v>27233</v>
      </c>
      <c r="I33" s="107">
        <v>228981</v>
      </c>
      <c r="J33" s="105">
        <v>148797</v>
      </c>
      <c r="K33" s="106">
        <v>80184</v>
      </c>
      <c r="L33" s="107">
        <v>162015</v>
      </c>
      <c r="M33" s="105">
        <v>61015</v>
      </c>
      <c r="N33" s="106">
        <v>101000</v>
      </c>
      <c r="O33" s="107">
        <f t="shared" si="6"/>
        <v>468764</v>
      </c>
      <c r="P33" s="105">
        <f t="shared" si="6"/>
        <v>260347</v>
      </c>
      <c r="Q33" s="106">
        <f t="shared" si="6"/>
        <v>208417</v>
      </c>
      <c r="R33" s="105">
        <f t="shared" si="7"/>
        <v>868.08148148148143</v>
      </c>
      <c r="S33" s="105">
        <f t="shared" si="7"/>
        <v>482.12407407407409</v>
      </c>
      <c r="T33" s="108">
        <f t="shared" si="7"/>
        <v>385.9574074074074</v>
      </c>
    </row>
    <row r="34" spans="1:20" s="85" customFormat="1" ht="12.75" x14ac:dyDescent="0.2">
      <c r="A34" s="109">
        <v>36</v>
      </c>
      <c r="B34" s="110">
        <v>1</v>
      </c>
      <c r="C34" s="103" t="s">
        <v>155</v>
      </c>
      <c r="D34" s="103">
        <v>6</v>
      </c>
      <c r="E34" s="104">
        <f>+SUMIF('GE16FEB14 Unfudged'!$A$2:$A$498, $A34, 'GE16FEB14 Unfudged'!$D$2:$D$498)</f>
        <v>281</v>
      </c>
      <c r="F34" s="104">
        <v>40435</v>
      </c>
      <c r="G34" s="105">
        <v>20427</v>
      </c>
      <c r="H34" s="106">
        <v>20008</v>
      </c>
      <c r="I34" s="107">
        <v>119059</v>
      </c>
      <c r="J34" s="105">
        <v>60145</v>
      </c>
      <c r="K34" s="106">
        <v>58914</v>
      </c>
      <c r="L34" s="107">
        <v>84240</v>
      </c>
      <c r="M34" s="105">
        <v>24663</v>
      </c>
      <c r="N34" s="106">
        <v>59577</v>
      </c>
      <c r="O34" s="107">
        <f t="shared" si="6"/>
        <v>243734</v>
      </c>
      <c r="P34" s="105">
        <f t="shared" si="6"/>
        <v>105235</v>
      </c>
      <c r="Q34" s="106">
        <f t="shared" si="6"/>
        <v>138499</v>
      </c>
      <c r="R34" s="105">
        <f t="shared" si="7"/>
        <v>867.38078291814952</v>
      </c>
      <c r="S34" s="105">
        <f t="shared" si="7"/>
        <v>374.5017793594306</v>
      </c>
      <c r="T34" s="108">
        <f t="shared" si="7"/>
        <v>492.87900355871886</v>
      </c>
    </row>
    <row r="35" spans="1:20" s="85" customFormat="1" ht="12.75" x14ac:dyDescent="0.2">
      <c r="A35" s="109">
        <v>38</v>
      </c>
      <c r="B35" s="110">
        <v>1</v>
      </c>
      <c r="C35" s="103" t="s">
        <v>156</v>
      </c>
      <c r="D35" s="103">
        <v>5</v>
      </c>
      <c r="E35" s="104">
        <f>+SUMIF('GE16FEB14 Unfudged'!$A$2:$A$498, $A35, 'GE16FEB14 Unfudged'!$D$2:$D$498)</f>
        <v>1572</v>
      </c>
      <c r="F35" s="104">
        <v>152898</v>
      </c>
      <c r="G35" s="105">
        <v>95</v>
      </c>
      <c r="H35" s="106">
        <v>152803</v>
      </c>
      <c r="I35" s="107">
        <v>666698</v>
      </c>
      <c r="J35" s="105">
        <v>413</v>
      </c>
      <c r="K35" s="106">
        <v>666285</v>
      </c>
      <c r="L35" s="107">
        <v>1685817</v>
      </c>
      <c r="M35" s="105">
        <v>1152</v>
      </c>
      <c r="N35" s="106">
        <v>1684665</v>
      </c>
      <c r="O35" s="107">
        <f t="shared" si="6"/>
        <v>2505413</v>
      </c>
      <c r="P35" s="105">
        <f t="shared" si="6"/>
        <v>1660</v>
      </c>
      <c r="Q35" s="106">
        <f t="shared" si="6"/>
        <v>2503753</v>
      </c>
      <c r="R35" s="105">
        <f t="shared" si="7"/>
        <v>1593.7741730279897</v>
      </c>
      <c r="S35" s="105">
        <f t="shared" si="7"/>
        <v>1.0559796437659033</v>
      </c>
      <c r="T35" s="108">
        <f t="shared" si="7"/>
        <v>1592.7181933842239</v>
      </c>
    </row>
    <row r="36" spans="1:20" s="85" customFormat="1" ht="12.75" x14ac:dyDescent="0.2">
      <c r="A36" s="109">
        <v>47</v>
      </c>
      <c r="B36" s="110">
        <v>1</v>
      </c>
      <c r="C36" s="103" t="s">
        <v>157</v>
      </c>
      <c r="D36" s="103">
        <v>4</v>
      </c>
      <c r="E36" s="104">
        <f>+SUMIF('GE16FEB14 Unfudged'!$A$2:$A$498, $A36, 'GE16FEB14 Unfudged'!$D$2:$D$498)</f>
        <v>4346</v>
      </c>
      <c r="F36" s="104">
        <v>625882</v>
      </c>
      <c r="G36" s="105">
        <v>404296</v>
      </c>
      <c r="H36" s="106">
        <v>221586</v>
      </c>
      <c r="I36" s="107">
        <v>1842874</v>
      </c>
      <c r="J36" s="105">
        <v>1190425</v>
      </c>
      <c r="K36" s="106">
        <v>652449</v>
      </c>
      <c r="L36" s="107">
        <v>1303920</v>
      </c>
      <c r="M36" s="105">
        <v>488141</v>
      </c>
      <c r="N36" s="106">
        <v>815779</v>
      </c>
      <c r="O36" s="107">
        <f t="shared" si="6"/>
        <v>3772676</v>
      </c>
      <c r="P36" s="105">
        <f t="shared" si="6"/>
        <v>2082862</v>
      </c>
      <c r="Q36" s="106">
        <f t="shared" si="6"/>
        <v>1689814</v>
      </c>
      <c r="R36" s="105">
        <f t="shared" si="7"/>
        <v>868.08007363092497</v>
      </c>
      <c r="S36" s="105">
        <f t="shared" si="7"/>
        <v>479.25954901058446</v>
      </c>
      <c r="T36" s="108">
        <f t="shared" si="7"/>
        <v>388.82052462034056</v>
      </c>
    </row>
    <row r="37" spans="1:20" s="85" customFormat="1" ht="12.75" x14ac:dyDescent="0.2">
      <c r="A37" s="109">
        <v>51</v>
      </c>
      <c r="B37" s="110">
        <v>1</v>
      </c>
      <c r="C37" s="103" t="s">
        <v>158</v>
      </c>
      <c r="D37" s="103">
        <v>5</v>
      </c>
      <c r="E37" s="104">
        <f>+SUMIF('GE16FEB14 Unfudged'!$A$2:$A$498, $A37, 'GE16FEB14 Unfudged'!$D$2:$D$498)</f>
        <v>1945</v>
      </c>
      <c r="F37" s="104">
        <v>280030</v>
      </c>
      <c r="G37" s="105">
        <v>138866</v>
      </c>
      <c r="H37" s="106">
        <v>141164</v>
      </c>
      <c r="I37" s="107">
        <v>824532</v>
      </c>
      <c r="J37" s="105">
        <v>408882</v>
      </c>
      <c r="K37" s="106">
        <v>415650</v>
      </c>
      <c r="L37" s="107">
        <v>583395</v>
      </c>
      <c r="M37" s="105">
        <v>167664</v>
      </c>
      <c r="N37" s="106">
        <v>415731</v>
      </c>
      <c r="O37" s="107">
        <f t="shared" si="6"/>
        <v>1687957</v>
      </c>
      <c r="P37" s="105">
        <f t="shared" si="6"/>
        <v>715412</v>
      </c>
      <c r="Q37" s="106">
        <f t="shared" si="6"/>
        <v>972545</v>
      </c>
      <c r="R37" s="105">
        <f t="shared" si="7"/>
        <v>867.84421593830336</v>
      </c>
      <c r="S37" s="105">
        <f t="shared" si="7"/>
        <v>367.82107969151673</v>
      </c>
      <c r="T37" s="108">
        <f t="shared" si="7"/>
        <v>500.02313624678663</v>
      </c>
    </row>
    <row r="38" spans="1:20" s="85" customFormat="1" ht="12.75" x14ac:dyDescent="0.2">
      <c r="A38" s="109">
        <v>75</v>
      </c>
      <c r="B38" s="110">
        <v>1</v>
      </c>
      <c r="C38" s="103" t="s">
        <v>159</v>
      </c>
      <c r="D38" s="103">
        <v>6</v>
      </c>
      <c r="E38" s="104">
        <f>+SUMIF('GE16FEB14 Unfudged'!$A$2:$A$498, $A38, 'GE16FEB14 Unfudged'!$D$2:$D$498)</f>
        <v>696</v>
      </c>
      <c r="F38" s="104">
        <v>100282</v>
      </c>
      <c r="G38" s="105">
        <v>81704</v>
      </c>
      <c r="H38" s="106">
        <v>18578</v>
      </c>
      <c r="I38" s="107">
        <v>295274</v>
      </c>
      <c r="J38" s="105">
        <v>240573</v>
      </c>
      <c r="K38" s="106">
        <v>54701</v>
      </c>
      <c r="L38" s="107">
        <v>208920</v>
      </c>
      <c r="M38" s="105">
        <v>98648</v>
      </c>
      <c r="N38" s="106">
        <v>110272</v>
      </c>
      <c r="O38" s="107">
        <f t="shared" si="6"/>
        <v>604476</v>
      </c>
      <c r="P38" s="105">
        <f t="shared" si="6"/>
        <v>420925</v>
      </c>
      <c r="Q38" s="106">
        <f t="shared" si="6"/>
        <v>183551</v>
      </c>
      <c r="R38" s="105">
        <f t="shared" si="7"/>
        <v>868.5</v>
      </c>
      <c r="S38" s="105">
        <f t="shared" si="7"/>
        <v>604.77729885057477</v>
      </c>
      <c r="T38" s="108">
        <f t="shared" si="7"/>
        <v>263.72270114942529</v>
      </c>
    </row>
    <row r="39" spans="1:20" s="85" customFormat="1" ht="12.75" x14ac:dyDescent="0.2">
      <c r="A39" s="109">
        <v>77</v>
      </c>
      <c r="B39" s="110">
        <v>1</v>
      </c>
      <c r="C39" s="103" t="s">
        <v>160</v>
      </c>
      <c r="D39" s="103">
        <v>4</v>
      </c>
      <c r="E39" s="104">
        <f>+SUMIF('GE16FEB14 Unfudged'!$A$2:$A$498, $A39, 'GE16FEB14 Unfudged'!$D$2:$D$498)</f>
        <v>8602</v>
      </c>
      <c r="F39" s="104">
        <v>1223081</v>
      </c>
      <c r="G39" s="105">
        <v>1223081</v>
      </c>
      <c r="H39" s="106">
        <v>0</v>
      </c>
      <c r="I39" s="107">
        <v>3647078</v>
      </c>
      <c r="J39" s="105">
        <v>3647078</v>
      </c>
      <c r="K39" s="106">
        <v>0</v>
      </c>
      <c r="L39" s="107">
        <v>2837238</v>
      </c>
      <c r="M39" s="105">
        <v>1795882</v>
      </c>
      <c r="N39" s="106">
        <v>1041356</v>
      </c>
      <c r="O39" s="107">
        <f t="shared" si="6"/>
        <v>7707397</v>
      </c>
      <c r="P39" s="105">
        <f t="shared" si="6"/>
        <v>6666041</v>
      </c>
      <c r="Q39" s="106">
        <f t="shared" si="6"/>
        <v>1041356</v>
      </c>
      <c r="R39" s="105">
        <f t="shared" si="7"/>
        <v>896.000581260172</v>
      </c>
      <c r="S39" s="105">
        <f t="shared" si="7"/>
        <v>774.94082771448495</v>
      </c>
      <c r="T39" s="108">
        <f t="shared" si="7"/>
        <v>121.05975354568704</v>
      </c>
    </row>
    <row r="40" spans="1:20" s="85" customFormat="1" ht="12.75" x14ac:dyDescent="0.2">
      <c r="A40" s="109">
        <v>81</v>
      </c>
      <c r="B40" s="110">
        <v>1</v>
      </c>
      <c r="C40" s="103" t="s">
        <v>161</v>
      </c>
      <c r="D40" s="103">
        <v>6</v>
      </c>
      <c r="E40" s="104">
        <f>+SUMIF('GE16FEB14 Unfudged'!$A$2:$A$498, $A40, 'GE16FEB14 Unfudged'!$D$2:$D$498)</f>
        <v>162</v>
      </c>
      <c r="F40" s="104">
        <v>13534</v>
      </c>
      <c r="G40" s="105">
        <v>6064</v>
      </c>
      <c r="H40" s="106">
        <v>7470</v>
      </c>
      <c r="I40" s="107">
        <v>68836</v>
      </c>
      <c r="J40" s="105">
        <v>30840</v>
      </c>
      <c r="K40" s="106">
        <v>37996</v>
      </c>
      <c r="L40" s="107">
        <v>211266</v>
      </c>
      <c r="M40" s="105">
        <v>111272</v>
      </c>
      <c r="N40" s="106">
        <v>99994</v>
      </c>
      <c r="O40" s="107">
        <f t="shared" si="6"/>
        <v>293636</v>
      </c>
      <c r="P40" s="105">
        <f t="shared" si="6"/>
        <v>148176</v>
      </c>
      <c r="Q40" s="106">
        <f t="shared" si="6"/>
        <v>145460</v>
      </c>
      <c r="R40" s="105">
        <f t="shared" si="7"/>
        <v>1812.5679012345679</v>
      </c>
      <c r="S40" s="105">
        <f t="shared" si="7"/>
        <v>914.66666666666663</v>
      </c>
      <c r="T40" s="108">
        <f t="shared" si="7"/>
        <v>897.90123456790127</v>
      </c>
    </row>
    <row r="41" spans="1:20" s="85" customFormat="1" ht="12.75" x14ac:dyDescent="0.2">
      <c r="A41" s="109">
        <v>84</v>
      </c>
      <c r="B41" s="110">
        <v>1</v>
      </c>
      <c r="C41" s="103" t="s">
        <v>162</v>
      </c>
      <c r="D41" s="103">
        <v>6</v>
      </c>
      <c r="E41" s="104">
        <f>+SUMIF('GE16FEB14 Unfudged'!$A$2:$A$498, $A41, 'GE16FEB14 Unfudged'!$D$2:$D$498)</f>
        <v>596</v>
      </c>
      <c r="F41" s="104">
        <v>85832</v>
      </c>
      <c r="G41" s="105">
        <v>69879</v>
      </c>
      <c r="H41" s="106">
        <v>15953</v>
      </c>
      <c r="I41" s="107">
        <v>252725</v>
      </c>
      <c r="J41" s="105">
        <v>205753</v>
      </c>
      <c r="K41" s="106">
        <v>46972</v>
      </c>
      <c r="L41" s="107">
        <v>178815</v>
      </c>
      <c r="M41" s="105">
        <v>84370</v>
      </c>
      <c r="N41" s="106">
        <v>94445</v>
      </c>
      <c r="O41" s="107">
        <f t="shared" si="6"/>
        <v>517372</v>
      </c>
      <c r="P41" s="105">
        <f t="shared" si="6"/>
        <v>360002</v>
      </c>
      <c r="Q41" s="106">
        <f t="shared" si="6"/>
        <v>157370</v>
      </c>
      <c r="R41" s="105">
        <f t="shared" si="7"/>
        <v>868.07382550335569</v>
      </c>
      <c r="S41" s="105">
        <f t="shared" si="7"/>
        <v>604.03020134228188</v>
      </c>
      <c r="T41" s="108">
        <f t="shared" si="7"/>
        <v>264.04362416107381</v>
      </c>
    </row>
    <row r="42" spans="1:20" s="85" customFormat="1" ht="12.75" x14ac:dyDescent="0.2">
      <c r="A42" s="109">
        <v>85</v>
      </c>
      <c r="B42" s="110">
        <v>1</v>
      </c>
      <c r="C42" s="103" t="s">
        <v>163</v>
      </c>
      <c r="D42" s="103">
        <v>6</v>
      </c>
      <c r="E42" s="104">
        <f>+SUMIF('GE16FEB14 Unfudged'!$A$2:$A$498, $A42, 'GE16FEB14 Unfudged'!$D$2:$D$498)</f>
        <v>601</v>
      </c>
      <c r="F42" s="104">
        <v>86587</v>
      </c>
      <c r="G42" s="105">
        <v>42222</v>
      </c>
      <c r="H42" s="106">
        <v>44365</v>
      </c>
      <c r="I42" s="107">
        <v>254951</v>
      </c>
      <c r="J42" s="105">
        <v>124321</v>
      </c>
      <c r="K42" s="106">
        <v>130630</v>
      </c>
      <c r="L42" s="107">
        <v>180390</v>
      </c>
      <c r="M42" s="105">
        <v>50979</v>
      </c>
      <c r="N42" s="106">
        <v>129411</v>
      </c>
      <c r="O42" s="107">
        <f t="shared" si="6"/>
        <v>521928</v>
      </c>
      <c r="P42" s="105">
        <f t="shared" si="6"/>
        <v>217522</v>
      </c>
      <c r="Q42" s="106">
        <f t="shared" si="6"/>
        <v>304406</v>
      </c>
      <c r="R42" s="105">
        <f t="shared" si="7"/>
        <v>868.43261231281201</v>
      </c>
      <c r="S42" s="105">
        <f t="shared" si="7"/>
        <v>361.93344425956741</v>
      </c>
      <c r="T42" s="108">
        <f t="shared" si="7"/>
        <v>506.4991680532446</v>
      </c>
    </row>
    <row r="43" spans="1:20" s="85" customFormat="1" ht="12.75" x14ac:dyDescent="0.2">
      <c r="A43" s="109">
        <v>88</v>
      </c>
      <c r="B43" s="110">
        <v>1</v>
      </c>
      <c r="C43" s="103" t="s">
        <v>164</v>
      </c>
      <c r="D43" s="103">
        <v>4</v>
      </c>
      <c r="E43" s="104">
        <f>+SUMIF('GE16FEB14 Unfudged'!$A$2:$A$498, $A43, 'GE16FEB14 Unfudged'!$D$2:$D$498)</f>
        <v>2169</v>
      </c>
      <c r="F43" s="104">
        <v>211267</v>
      </c>
      <c r="G43" s="105">
        <v>211116</v>
      </c>
      <c r="H43" s="106">
        <v>151</v>
      </c>
      <c r="I43" s="107">
        <v>919571</v>
      </c>
      <c r="J43" s="105">
        <v>918912</v>
      </c>
      <c r="K43" s="106">
        <v>659</v>
      </c>
      <c r="L43" s="107">
        <v>2319033</v>
      </c>
      <c r="M43" s="105">
        <v>2044483</v>
      </c>
      <c r="N43" s="106">
        <v>274550</v>
      </c>
      <c r="O43" s="107">
        <f t="shared" si="6"/>
        <v>3449871</v>
      </c>
      <c r="P43" s="105">
        <f t="shared" si="6"/>
        <v>3174511</v>
      </c>
      <c r="Q43" s="106">
        <f t="shared" si="6"/>
        <v>275360</v>
      </c>
      <c r="R43" s="105">
        <f t="shared" si="7"/>
        <v>1590.5352697095436</v>
      </c>
      <c r="S43" s="105">
        <f t="shared" si="7"/>
        <v>1463.5827570308898</v>
      </c>
      <c r="T43" s="108">
        <f t="shared" si="7"/>
        <v>126.95251267865376</v>
      </c>
    </row>
    <row r="44" spans="1:20" s="85" customFormat="1" ht="12.75" x14ac:dyDescent="0.2">
      <c r="A44" s="109">
        <v>91</v>
      </c>
      <c r="B44" s="110">
        <v>1</v>
      </c>
      <c r="C44" s="103" t="s">
        <v>165</v>
      </c>
      <c r="D44" s="103">
        <v>6</v>
      </c>
      <c r="E44" s="104">
        <f>+SUMIF('GE16FEB14 Unfudged'!$A$2:$A$498, $A44, 'GE16FEB14 Unfudged'!$D$2:$D$498)</f>
        <v>877</v>
      </c>
      <c r="F44" s="104">
        <v>126259</v>
      </c>
      <c r="G44" s="105">
        <v>67941</v>
      </c>
      <c r="H44" s="106">
        <v>58318</v>
      </c>
      <c r="I44" s="107">
        <v>371763</v>
      </c>
      <c r="J44" s="105">
        <v>200047</v>
      </c>
      <c r="K44" s="106">
        <v>171716</v>
      </c>
      <c r="L44" s="107">
        <v>263040</v>
      </c>
      <c r="M44" s="105">
        <v>82031</v>
      </c>
      <c r="N44" s="106">
        <v>181009</v>
      </c>
      <c r="O44" s="107">
        <f t="shared" si="6"/>
        <v>761062</v>
      </c>
      <c r="P44" s="105">
        <f t="shared" si="6"/>
        <v>350019</v>
      </c>
      <c r="Q44" s="106">
        <f t="shared" si="6"/>
        <v>411043</v>
      </c>
      <c r="R44" s="105">
        <f t="shared" si="7"/>
        <v>867.8015963511973</v>
      </c>
      <c r="S44" s="105">
        <f t="shared" si="7"/>
        <v>399.10946408209804</v>
      </c>
      <c r="T44" s="108">
        <f t="shared" si="7"/>
        <v>468.6921322690992</v>
      </c>
    </row>
    <row r="45" spans="1:20" s="85" customFormat="1" ht="12.75" x14ac:dyDescent="0.2">
      <c r="A45" s="109">
        <v>93</v>
      </c>
      <c r="B45" s="110">
        <v>1</v>
      </c>
      <c r="C45" s="103" t="s">
        <v>166</v>
      </c>
      <c r="D45" s="103">
        <v>6</v>
      </c>
      <c r="E45" s="104">
        <f>+SUMIF('GE16FEB14 Unfudged'!$A$2:$A$498, $A45, 'GE16FEB14 Unfudged'!$D$2:$D$498)</f>
        <v>479</v>
      </c>
      <c r="F45" s="104">
        <v>42121</v>
      </c>
      <c r="G45" s="105">
        <v>37584</v>
      </c>
      <c r="H45" s="106">
        <v>4537</v>
      </c>
      <c r="I45" s="107">
        <v>203181</v>
      </c>
      <c r="J45" s="105">
        <v>181295</v>
      </c>
      <c r="K45" s="106">
        <v>21886</v>
      </c>
      <c r="L45" s="107">
        <v>587667</v>
      </c>
      <c r="M45" s="105">
        <v>494504</v>
      </c>
      <c r="N45" s="106">
        <v>93163</v>
      </c>
      <c r="O45" s="107">
        <f t="shared" si="6"/>
        <v>832969</v>
      </c>
      <c r="P45" s="105">
        <f t="shared" si="6"/>
        <v>713383</v>
      </c>
      <c r="Q45" s="106">
        <f t="shared" si="6"/>
        <v>119586</v>
      </c>
      <c r="R45" s="105">
        <f t="shared" si="7"/>
        <v>1738.9749478079332</v>
      </c>
      <c r="S45" s="105">
        <f t="shared" si="7"/>
        <v>1489.3173277661795</v>
      </c>
      <c r="T45" s="108">
        <f t="shared" si="7"/>
        <v>249.65762004175366</v>
      </c>
    </row>
    <row r="46" spans="1:20" s="85" customFormat="1" ht="12.75" x14ac:dyDescent="0.2">
      <c r="A46" s="109">
        <v>94</v>
      </c>
      <c r="B46" s="110">
        <v>1</v>
      </c>
      <c r="C46" s="103" t="s">
        <v>167</v>
      </c>
      <c r="D46" s="103">
        <v>4</v>
      </c>
      <c r="E46" s="104">
        <f>+SUMIF('GE16FEB14 Unfudged'!$A$2:$A$498, $A46, 'GE16FEB14 Unfudged'!$D$2:$D$498)</f>
        <v>2887</v>
      </c>
      <c r="F46" s="104">
        <v>415757</v>
      </c>
      <c r="G46" s="105">
        <v>265051</v>
      </c>
      <c r="H46" s="106">
        <v>150706</v>
      </c>
      <c r="I46" s="107">
        <v>1224173</v>
      </c>
      <c r="J46" s="105">
        <v>780427</v>
      </c>
      <c r="K46" s="106">
        <v>443746</v>
      </c>
      <c r="L46" s="107">
        <v>866160</v>
      </c>
      <c r="M46" s="105">
        <v>320018</v>
      </c>
      <c r="N46" s="106">
        <v>546142</v>
      </c>
      <c r="O46" s="107">
        <f t="shared" si="6"/>
        <v>2506090</v>
      </c>
      <c r="P46" s="105">
        <f t="shared" si="6"/>
        <v>1365496</v>
      </c>
      <c r="Q46" s="106">
        <f t="shared" si="6"/>
        <v>1140594</v>
      </c>
      <c r="R46" s="105">
        <f t="shared" si="7"/>
        <v>868.06027017665394</v>
      </c>
      <c r="S46" s="105">
        <f t="shared" si="7"/>
        <v>472.98094908209214</v>
      </c>
      <c r="T46" s="108">
        <f t="shared" si="7"/>
        <v>395.07932109456181</v>
      </c>
    </row>
    <row r="47" spans="1:20" s="85" customFormat="1" ht="12.75" x14ac:dyDescent="0.2">
      <c r="A47" s="109">
        <v>95</v>
      </c>
      <c r="B47" s="110">
        <v>1</v>
      </c>
      <c r="C47" s="103" t="s">
        <v>168</v>
      </c>
      <c r="D47" s="103">
        <v>6</v>
      </c>
      <c r="E47" s="104">
        <f>+SUMIF('GE16FEB14 Unfudged'!$A$2:$A$498, $A47, 'GE16FEB14 Unfudged'!$D$2:$D$498)</f>
        <v>349</v>
      </c>
      <c r="F47" s="104">
        <v>50256</v>
      </c>
      <c r="G47" s="105">
        <v>36993</v>
      </c>
      <c r="H47" s="106">
        <v>13263</v>
      </c>
      <c r="I47" s="107">
        <v>147976</v>
      </c>
      <c r="J47" s="105">
        <v>108924</v>
      </c>
      <c r="K47" s="106">
        <v>39052</v>
      </c>
      <c r="L47" s="107">
        <v>104700</v>
      </c>
      <c r="M47" s="105">
        <v>44665</v>
      </c>
      <c r="N47" s="106">
        <v>60035</v>
      </c>
      <c r="O47" s="107">
        <f t="shared" si="6"/>
        <v>302932</v>
      </c>
      <c r="P47" s="105">
        <f t="shared" si="6"/>
        <v>190582</v>
      </c>
      <c r="Q47" s="106">
        <f t="shared" si="6"/>
        <v>112350</v>
      </c>
      <c r="R47" s="105">
        <f t="shared" si="7"/>
        <v>868</v>
      </c>
      <c r="S47" s="105">
        <f t="shared" si="7"/>
        <v>546.08022922636098</v>
      </c>
      <c r="T47" s="108">
        <f t="shared" si="7"/>
        <v>321.91977077363896</v>
      </c>
    </row>
    <row r="48" spans="1:20" s="85" customFormat="1" ht="12.75" x14ac:dyDescent="0.2">
      <c r="A48" s="109">
        <v>97</v>
      </c>
      <c r="B48" s="110">
        <v>1</v>
      </c>
      <c r="C48" s="103" t="s">
        <v>169</v>
      </c>
      <c r="D48" s="103">
        <v>6</v>
      </c>
      <c r="E48" s="104">
        <f>+SUMIF('GE16FEB14 Unfudged'!$A$2:$A$498, $A48, 'GE16FEB14 Unfudged'!$D$2:$D$498)</f>
        <v>689</v>
      </c>
      <c r="F48" s="104">
        <v>99158</v>
      </c>
      <c r="G48" s="105">
        <v>78495</v>
      </c>
      <c r="H48" s="106">
        <v>20663</v>
      </c>
      <c r="I48" s="107">
        <v>291966</v>
      </c>
      <c r="J48" s="105">
        <v>231126</v>
      </c>
      <c r="K48" s="106">
        <v>60840</v>
      </c>
      <c r="L48" s="107">
        <v>206580</v>
      </c>
      <c r="M48" s="105">
        <v>94775</v>
      </c>
      <c r="N48" s="106">
        <v>111805</v>
      </c>
      <c r="O48" s="107">
        <f t="shared" si="6"/>
        <v>597704</v>
      </c>
      <c r="P48" s="105">
        <f t="shared" si="6"/>
        <v>404396</v>
      </c>
      <c r="Q48" s="106">
        <f t="shared" si="6"/>
        <v>193308</v>
      </c>
      <c r="R48" s="105">
        <f t="shared" si="7"/>
        <v>867.49492017416549</v>
      </c>
      <c r="S48" s="105">
        <f t="shared" si="7"/>
        <v>586.93178519593619</v>
      </c>
      <c r="T48" s="108">
        <f t="shared" si="7"/>
        <v>280.5631349782293</v>
      </c>
    </row>
    <row r="49" spans="1:20" s="85" customFormat="1" ht="12.75" x14ac:dyDescent="0.2">
      <c r="A49" s="109">
        <v>99</v>
      </c>
      <c r="B49" s="110">
        <v>1</v>
      </c>
      <c r="C49" s="103" t="s">
        <v>170</v>
      </c>
      <c r="D49" s="103">
        <v>5</v>
      </c>
      <c r="E49" s="104">
        <f>+SUMIF('GE16FEB14 Unfudged'!$A$2:$A$498, $A49, 'GE16FEB14 Unfudged'!$D$2:$D$498)</f>
        <v>1309</v>
      </c>
      <c r="F49" s="104">
        <v>188467</v>
      </c>
      <c r="G49" s="105">
        <v>127863</v>
      </c>
      <c r="H49" s="106">
        <v>60604</v>
      </c>
      <c r="I49" s="107">
        <v>554931</v>
      </c>
      <c r="J49" s="105">
        <v>376487</v>
      </c>
      <c r="K49" s="106">
        <v>178444</v>
      </c>
      <c r="L49" s="107">
        <v>392640</v>
      </c>
      <c r="M49" s="105">
        <v>154381</v>
      </c>
      <c r="N49" s="106">
        <v>238259</v>
      </c>
      <c r="O49" s="107">
        <f t="shared" si="6"/>
        <v>1136038</v>
      </c>
      <c r="P49" s="105">
        <f t="shared" si="6"/>
        <v>658731</v>
      </c>
      <c r="Q49" s="106">
        <f t="shared" si="6"/>
        <v>477307</v>
      </c>
      <c r="R49" s="105">
        <f t="shared" si="7"/>
        <v>867.86707410236818</v>
      </c>
      <c r="S49" s="105">
        <f t="shared" si="7"/>
        <v>503.23223834988539</v>
      </c>
      <c r="T49" s="108">
        <f t="shared" si="7"/>
        <v>364.63483575248279</v>
      </c>
    </row>
    <row r="50" spans="1:20" s="85" customFormat="1" ht="12.75" x14ac:dyDescent="0.2">
      <c r="A50" s="109">
        <v>100</v>
      </c>
      <c r="B50" s="110">
        <v>1</v>
      </c>
      <c r="C50" s="103" t="s">
        <v>171</v>
      </c>
      <c r="D50" s="103">
        <v>6</v>
      </c>
      <c r="E50" s="104">
        <f>+SUMIF('GE16FEB14 Unfudged'!$A$2:$A$498, $A50, 'GE16FEB14 Unfudged'!$D$2:$D$498)</f>
        <v>326</v>
      </c>
      <c r="F50" s="104">
        <v>46886</v>
      </c>
      <c r="G50" s="105">
        <v>46886</v>
      </c>
      <c r="H50" s="106">
        <v>0</v>
      </c>
      <c r="I50" s="107">
        <v>138054</v>
      </c>
      <c r="J50" s="105">
        <v>138054</v>
      </c>
      <c r="K50" s="106">
        <v>0</v>
      </c>
      <c r="L50" s="107">
        <v>97680</v>
      </c>
      <c r="M50" s="105">
        <v>73410</v>
      </c>
      <c r="N50" s="106">
        <v>24270</v>
      </c>
      <c r="O50" s="107">
        <f t="shared" si="6"/>
        <v>282620</v>
      </c>
      <c r="P50" s="105">
        <f t="shared" si="6"/>
        <v>258350</v>
      </c>
      <c r="Q50" s="106">
        <f t="shared" si="6"/>
        <v>24270</v>
      </c>
      <c r="R50" s="105">
        <f t="shared" si="7"/>
        <v>866.9325153374233</v>
      </c>
      <c r="S50" s="105">
        <f t="shared" si="7"/>
        <v>792.48466257668713</v>
      </c>
      <c r="T50" s="108">
        <f t="shared" si="7"/>
        <v>74.447852760736197</v>
      </c>
    </row>
    <row r="51" spans="1:20" s="85" customFormat="1" ht="12.75" x14ac:dyDescent="0.2">
      <c r="A51" s="109">
        <v>108</v>
      </c>
      <c r="B51" s="110">
        <v>1</v>
      </c>
      <c r="C51" s="103" t="s">
        <v>172</v>
      </c>
      <c r="D51" s="103">
        <v>3</v>
      </c>
      <c r="E51" s="104">
        <f>+SUMIF('GE16FEB14 Unfudged'!$A$2:$A$498, $A51, 'GE16FEB14 Unfudged'!$D$2:$D$498)</f>
        <v>1113</v>
      </c>
      <c r="F51" s="104">
        <v>186428</v>
      </c>
      <c r="G51" s="105">
        <v>149836</v>
      </c>
      <c r="H51" s="106">
        <v>36592</v>
      </c>
      <c r="I51" s="107">
        <v>471912</v>
      </c>
      <c r="J51" s="105">
        <v>379287</v>
      </c>
      <c r="K51" s="106">
        <v>92625</v>
      </c>
      <c r="L51" s="107">
        <v>333900</v>
      </c>
      <c r="M51" s="105">
        <v>155529</v>
      </c>
      <c r="N51" s="106">
        <v>178371</v>
      </c>
      <c r="O51" s="107">
        <f t="shared" si="6"/>
        <v>992240</v>
      </c>
      <c r="P51" s="105">
        <f t="shared" si="6"/>
        <v>684652</v>
      </c>
      <c r="Q51" s="106">
        <f t="shared" si="6"/>
        <v>307588</v>
      </c>
      <c r="R51" s="105">
        <f t="shared" si="7"/>
        <v>891.50044923629832</v>
      </c>
      <c r="S51" s="105">
        <f t="shared" si="7"/>
        <v>615.14106019766393</v>
      </c>
      <c r="T51" s="108">
        <f t="shared" si="7"/>
        <v>276.35938903863433</v>
      </c>
    </row>
    <row r="52" spans="1:20" s="85" customFormat="1" ht="12.75" x14ac:dyDescent="0.2">
      <c r="A52" s="109">
        <v>110</v>
      </c>
      <c r="B52" s="110">
        <v>1</v>
      </c>
      <c r="C52" s="103" t="s">
        <v>173</v>
      </c>
      <c r="D52" s="103">
        <v>3</v>
      </c>
      <c r="E52" s="104">
        <f>+SUMIF('GE16FEB14 Unfudged'!$A$2:$A$498, $A52, 'GE16FEB14 Unfudged'!$D$2:$D$498)</f>
        <v>4173</v>
      </c>
      <c r="F52" s="104">
        <v>695111</v>
      </c>
      <c r="G52" s="105">
        <v>563675</v>
      </c>
      <c r="H52" s="106">
        <v>131436</v>
      </c>
      <c r="I52" s="107">
        <v>1769140</v>
      </c>
      <c r="J52" s="105">
        <v>1434620</v>
      </c>
      <c r="K52" s="106">
        <v>334520</v>
      </c>
      <c r="L52" s="107">
        <v>1301027</v>
      </c>
      <c r="M52" s="105">
        <v>628233</v>
      </c>
      <c r="N52" s="106">
        <v>672794</v>
      </c>
      <c r="O52" s="107">
        <f t="shared" si="6"/>
        <v>3765278</v>
      </c>
      <c r="P52" s="105">
        <f t="shared" si="6"/>
        <v>2626528</v>
      </c>
      <c r="Q52" s="106">
        <f t="shared" si="6"/>
        <v>1138750</v>
      </c>
      <c r="R52" s="105">
        <f t="shared" si="7"/>
        <v>902.29523124850232</v>
      </c>
      <c r="S52" s="105">
        <f t="shared" si="7"/>
        <v>629.41001677450276</v>
      </c>
      <c r="T52" s="108">
        <f t="shared" si="7"/>
        <v>272.8852144739995</v>
      </c>
    </row>
    <row r="53" spans="1:20" s="85" customFormat="1" ht="12.75" x14ac:dyDescent="0.2">
      <c r="A53" s="109">
        <v>111</v>
      </c>
      <c r="B53" s="110">
        <v>1</v>
      </c>
      <c r="C53" s="103" t="s">
        <v>174</v>
      </c>
      <c r="D53" s="103">
        <v>3</v>
      </c>
      <c r="E53" s="104">
        <f>+SUMIF('GE16FEB14 Unfudged'!$A$2:$A$498, $A53, 'GE16FEB14 Unfudged'!$D$2:$D$498)</f>
        <v>1853</v>
      </c>
      <c r="F53" s="104">
        <v>308959</v>
      </c>
      <c r="G53" s="105">
        <v>240244</v>
      </c>
      <c r="H53" s="106">
        <v>68715</v>
      </c>
      <c r="I53" s="107">
        <v>785672</v>
      </c>
      <c r="J53" s="105">
        <v>610932</v>
      </c>
      <c r="K53" s="106">
        <v>174740</v>
      </c>
      <c r="L53" s="107">
        <v>574374</v>
      </c>
      <c r="M53" s="105">
        <v>264881</v>
      </c>
      <c r="N53" s="106">
        <v>309493</v>
      </c>
      <c r="O53" s="107">
        <f t="shared" si="6"/>
        <v>1669005</v>
      </c>
      <c r="P53" s="105">
        <f t="shared" si="6"/>
        <v>1116057</v>
      </c>
      <c r="Q53" s="106">
        <f t="shared" si="6"/>
        <v>552948</v>
      </c>
      <c r="R53" s="105">
        <f t="shared" si="7"/>
        <v>900.7042633567188</v>
      </c>
      <c r="S53" s="105">
        <f t="shared" si="7"/>
        <v>602.29735563950351</v>
      </c>
      <c r="T53" s="108">
        <f t="shared" si="7"/>
        <v>298.40690771721535</v>
      </c>
    </row>
    <row r="54" spans="1:20" s="85" customFormat="1" ht="12.75" x14ac:dyDescent="0.2">
      <c r="A54" s="109">
        <v>112</v>
      </c>
      <c r="B54" s="110">
        <v>1</v>
      </c>
      <c r="C54" s="103" t="s">
        <v>175</v>
      </c>
      <c r="D54" s="103">
        <v>3</v>
      </c>
      <c r="E54" s="104">
        <f>+SUMIF('GE16FEB14 Unfudged'!$A$2:$A$498, $A54, 'GE16FEB14 Unfudged'!$D$2:$D$498)</f>
        <v>10033</v>
      </c>
      <c r="F54" s="104">
        <v>1275834</v>
      </c>
      <c r="G54" s="105">
        <v>1260515</v>
      </c>
      <c r="H54" s="106">
        <v>15319</v>
      </c>
      <c r="I54" s="107">
        <v>4253928</v>
      </c>
      <c r="J54" s="105">
        <v>4202851</v>
      </c>
      <c r="K54" s="106">
        <v>51077</v>
      </c>
      <c r="L54" s="107">
        <v>8281516</v>
      </c>
      <c r="M54" s="105">
        <v>6939650</v>
      </c>
      <c r="N54" s="106">
        <v>1341866</v>
      </c>
      <c r="O54" s="107">
        <f t="shared" si="6"/>
        <v>13811278</v>
      </c>
      <c r="P54" s="105">
        <f t="shared" si="6"/>
        <v>12403016</v>
      </c>
      <c r="Q54" s="106">
        <f t="shared" si="6"/>
        <v>1408262</v>
      </c>
      <c r="R54" s="105">
        <f t="shared" si="7"/>
        <v>1376.5850692714043</v>
      </c>
      <c r="S54" s="105">
        <f t="shared" si="7"/>
        <v>1236.2220671783116</v>
      </c>
      <c r="T54" s="108">
        <f t="shared" si="7"/>
        <v>140.3630020930928</v>
      </c>
    </row>
    <row r="55" spans="1:20" s="85" customFormat="1" ht="12.75" x14ac:dyDescent="0.2">
      <c r="A55" s="109">
        <v>113</v>
      </c>
      <c r="B55" s="110">
        <v>1</v>
      </c>
      <c r="C55" s="103" t="s">
        <v>176</v>
      </c>
      <c r="D55" s="103">
        <v>6</v>
      </c>
      <c r="E55" s="104">
        <f>+SUMIF('GE16FEB14 Unfudged'!$A$2:$A$498, $A55, 'GE16FEB14 Unfudged'!$D$2:$D$498)</f>
        <v>841</v>
      </c>
      <c r="F55" s="104">
        <v>121162</v>
      </c>
      <c r="G55" s="105">
        <v>121162</v>
      </c>
      <c r="H55" s="106">
        <v>0</v>
      </c>
      <c r="I55" s="107">
        <v>356754</v>
      </c>
      <c r="J55" s="105">
        <v>356754</v>
      </c>
      <c r="K55" s="106">
        <v>0</v>
      </c>
      <c r="L55" s="107">
        <v>252420</v>
      </c>
      <c r="M55" s="105">
        <v>232302</v>
      </c>
      <c r="N55" s="106">
        <v>20118</v>
      </c>
      <c r="O55" s="107">
        <f t="shared" si="6"/>
        <v>730336</v>
      </c>
      <c r="P55" s="105">
        <f t="shared" si="6"/>
        <v>710218</v>
      </c>
      <c r="Q55" s="106">
        <f t="shared" si="6"/>
        <v>20118</v>
      </c>
      <c r="R55" s="105">
        <f t="shared" si="7"/>
        <v>868.41379310344826</v>
      </c>
      <c r="S55" s="105">
        <f t="shared" si="7"/>
        <v>844.49227110582638</v>
      </c>
      <c r="T55" s="108">
        <f t="shared" si="7"/>
        <v>23.92152199762188</v>
      </c>
    </row>
    <row r="56" spans="1:20" s="85" customFormat="1" ht="12.75" x14ac:dyDescent="0.2">
      <c r="A56" s="109">
        <v>115</v>
      </c>
      <c r="B56" s="110">
        <v>1</v>
      </c>
      <c r="C56" s="103" t="s">
        <v>177</v>
      </c>
      <c r="D56" s="103">
        <v>5</v>
      </c>
      <c r="E56" s="104">
        <f>+SUMIF('GE16FEB14 Unfudged'!$A$2:$A$498, $A56, 'GE16FEB14 Unfudged'!$D$2:$D$498)</f>
        <v>1215</v>
      </c>
      <c r="F56" s="104">
        <v>174982</v>
      </c>
      <c r="G56" s="105">
        <v>123678</v>
      </c>
      <c r="H56" s="106">
        <v>51304</v>
      </c>
      <c r="I56" s="107">
        <v>515224</v>
      </c>
      <c r="J56" s="105">
        <v>364162</v>
      </c>
      <c r="K56" s="106">
        <v>151062</v>
      </c>
      <c r="L56" s="107">
        <v>364545</v>
      </c>
      <c r="M56" s="105">
        <v>149327</v>
      </c>
      <c r="N56" s="106">
        <v>215218</v>
      </c>
      <c r="O56" s="107">
        <f t="shared" si="6"/>
        <v>1054751</v>
      </c>
      <c r="P56" s="105">
        <f t="shared" si="6"/>
        <v>637167</v>
      </c>
      <c r="Q56" s="106">
        <f t="shared" si="6"/>
        <v>417584</v>
      </c>
      <c r="R56" s="105">
        <f t="shared" si="7"/>
        <v>868.10781893004116</v>
      </c>
      <c r="S56" s="105">
        <f t="shared" si="7"/>
        <v>524.41728395061727</v>
      </c>
      <c r="T56" s="108">
        <f t="shared" si="7"/>
        <v>343.69053497942389</v>
      </c>
    </row>
    <row r="57" spans="1:20" s="85" customFormat="1" ht="12.75" x14ac:dyDescent="0.2">
      <c r="A57" s="109">
        <v>116</v>
      </c>
      <c r="B57" s="110">
        <v>1</v>
      </c>
      <c r="C57" s="103" t="s">
        <v>178</v>
      </c>
      <c r="D57" s="103">
        <v>6</v>
      </c>
      <c r="E57" s="104">
        <f>+SUMIF('GE16FEB14 Unfudged'!$A$2:$A$498, $A57, 'GE16FEB14 Unfudged'!$D$2:$D$498)</f>
        <v>1073</v>
      </c>
      <c r="F57" s="104">
        <v>154512</v>
      </c>
      <c r="G57" s="105">
        <v>131954</v>
      </c>
      <c r="H57" s="106">
        <v>22558</v>
      </c>
      <c r="I57" s="107">
        <v>454952</v>
      </c>
      <c r="J57" s="105">
        <v>388530</v>
      </c>
      <c r="K57" s="106">
        <v>66422</v>
      </c>
      <c r="L57" s="107">
        <v>321900</v>
      </c>
      <c r="M57" s="105">
        <v>159319</v>
      </c>
      <c r="N57" s="106">
        <v>162581</v>
      </c>
      <c r="O57" s="107">
        <f t="shared" si="6"/>
        <v>931364</v>
      </c>
      <c r="P57" s="105">
        <f t="shared" si="6"/>
        <v>679803</v>
      </c>
      <c r="Q57" s="106">
        <f t="shared" si="6"/>
        <v>251561</v>
      </c>
      <c r="R57" s="105">
        <f t="shared" si="7"/>
        <v>868</v>
      </c>
      <c r="S57" s="105">
        <f t="shared" si="7"/>
        <v>633.55358807082951</v>
      </c>
      <c r="T57" s="108">
        <f t="shared" si="7"/>
        <v>234.44641192917055</v>
      </c>
    </row>
    <row r="58" spans="1:20" s="85" customFormat="1" ht="12.75" x14ac:dyDescent="0.2">
      <c r="A58" s="109">
        <v>118</v>
      </c>
      <c r="B58" s="110">
        <v>1</v>
      </c>
      <c r="C58" s="103" t="s">
        <v>179</v>
      </c>
      <c r="D58" s="103">
        <v>6</v>
      </c>
      <c r="E58" s="104">
        <f>+SUMIF('GE16FEB14 Unfudged'!$A$2:$A$498, $A58, 'GE16FEB14 Unfudged'!$D$2:$D$498)</f>
        <v>336</v>
      </c>
      <c r="F58" s="104">
        <v>47186</v>
      </c>
      <c r="G58" s="105">
        <v>47186</v>
      </c>
      <c r="H58" s="106">
        <v>0</v>
      </c>
      <c r="I58" s="107">
        <v>142485</v>
      </c>
      <c r="J58" s="105">
        <v>142485</v>
      </c>
      <c r="K58" s="106">
        <v>0</v>
      </c>
      <c r="L58" s="107">
        <v>120729</v>
      </c>
      <c r="M58" s="105">
        <v>120729</v>
      </c>
      <c r="N58" s="106">
        <v>0</v>
      </c>
      <c r="O58" s="107">
        <f t="shared" si="6"/>
        <v>310400</v>
      </c>
      <c r="P58" s="105">
        <f t="shared" si="6"/>
        <v>310400</v>
      </c>
      <c r="Q58" s="106">
        <f t="shared" si="6"/>
        <v>0</v>
      </c>
      <c r="R58" s="105">
        <f t="shared" si="7"/>
        <v>923.80952380952385</v>
      </c>
      <c r="S58" s="105">
        <f t="shared" si="7"/>
        <v>923.80952380952385</v>
      </c>
      <c r="T58" s="108">
        <f t="shared" si="7"/>
        <v>0</v>
      </c>
    </row>
    <row r="59" spans="1:20" s="85" customFormat="1" ht="12.75" x14ac:dyDescent="0.2">
      <c r="A59" s="109">
        <v>129</v>
      </c>
      <c r="B59" s="110">
        <v>1</v>
      </c>
      <c r="C59" s="103" t="s">
        <v>180</v>
      </c>
      <c r="D59" s="103">
        <v>5</v>
      </c>
      <c r="E59" s="104">
        <f>+SUMIF('GE16FEB14 Unfudged'!$A$2:$A$498, $A59, 'GE16FEB14 Unfudged'!$D$2:$D$498)</f>
        <v>1501</v>
      </c>
      <c r="F59" s="104">
        <v>198904</v>
      </c>
      <c r="G59" s="105">
        <v>97977</v>
      </c>
      <c r="H59" s="106">
        <v>100927</v>
      </c>
      <c r="I59" s="107">
        <v>636466</v>
      </c>
      <c r="J59" s="105">
        <v>313513</v>
      </c>
      <c r="K59" s="106">
        <v>322953</v>
      </c>
      <c r="L59" s="107">
        <v>735239</v>
      </c>
      <c r="M59" s="105">
        <v>268900</v>
      </c>
      <c r="N59" s="106">
        <v>466339</v>
      </c>
      <c r="O59" s="107">
        <f t="shared" si="6"/>
        <v>1570609</v>
      </c>
      <c r="P59" s="105">
        <f t="shared" si="6"/>
        <v>680390</v>
      </c>
      <c r="Q59" s="106">
        <f t="shared" si="6"/>
        <v>890219</v>
      </c>
      <c r="R59" s="105">
        <f t="shared" si="7"/>
        <v>1046.3750832778148</v>
      </c>
      <c r="S59" s="105">
        <f t="shared" si="7"/>
        <v>453.29113924050631</v>
      </c>
      <c r="T59" s="108">
        <f t="shared" si="7"/>
        <v>593.08394403730847</v>
      </c>
    </row>
    <row r="60" spans="1:20" s="85" customFormat="1" ht="12.75" x14ac:dyDescent="0.2">
      <c r="A60" s="109">
        <v>138</v>
      </c>
      <c r="B60" s="110">
        <v>1</v>
      </c>
      <c r="C60" s="103" t="s">
        <v>181</v>
      </c>
      <c r="D60" s="103">
        <v>4</v>
      </c>
      <c r="E60" s="104">
        <f>+SUMIF('GE16FEB14 Unfudged'!$A$2:$A$498, $A60, 'GE16FEB14 Unfudged'!$D$2:$D$498)</f>
        <v>3045</v>
      </c>
      <c r="F60" s="104">
        <v>438437</v>
      </c>
      <c r="G60" s="105">
        <v>304974</v>
      </c>
      <c r="H60" s="106">
        <v>133463</v>
      </c>
      <c r="I60" s="107">
        <v>1290953</v>
      </c>
      <c r="J60" s="105">
        <v>897980</v>
      </c>
      <c r="K60" s="106">
        <v>392973</v>
      </c>
      <c r="L60" s="107">
        <v>913410</v>
      </c>
      <c r="M60" s="105">
        <v>368222</v>
      </c>
      <c r="N60" s="106">
        <v>545188</v>
      </c>
      <c r="O60" s="107">
        <f t="shared" si="6"/>
        <v>2642800</v>
      </c>
      <c r="P60" s="105">
        <f t="shared" si="6"/>
        <v>1571176</v>
      </c>
      <c r="Q60" s="106">
        <f t="shared" si="6"/>
        <v>1071624</v>
      </c>
      <c r="R60" s="105">
        <f t="shared" si="7"/>
        <v>867.91461412151068</v>
      </c>
      <c r="S60" s="105">
        <f t="shared" si="7"/>
        <v>515.98555008210178</v>
      </c>
      <c r="T60" s="108">
        <f t="shared" si="7"/>
        <v>351.92906403940884</v>
      </c>
    </row>
    <row r="61" spans="1:20" s="85" customFormat="1" ht="12.75" x14ac:dyDescent="0.2">
      <c r="A61" s="109">
        <v>139</v>
      </c>
      <c r="B61" s="110">
        <v>1</v>
      </c>
      <c r="C61" s="103" t="s">
        <v>182</v>
      </c>
      <c r="D61" s="103">
        <v>6</v>
      </c>
      <c r="E61" s="104">
        <f>+SUMIF('GE16FEB14 Unfudged'!$A$2:$A$498, $A61, 'GE16FEB14 Unfudged'!$D$2:$D$498)</f>
        <v>997</v>
      </c>
      <c r="F61" s="104">
        <v>143539</v>
      </c>
      <c r="G61" s="105">
        <v>96422</v>
      </c>
      <c r="H61" s="106">
        <v>47117</v>
      </c>
      <c r="I61" s="107">
        <v>422643</v>
      </c>
      <c r="J61" s="105">
        <v>283910</v>
      </c>
      <c r="K61" s="106">
        <v>138733</v>
      </c>
      <c r="L61" s="107">
        <v>299040</v>
      </c>
      <c r="M61" s="105">
        <v>116419</v>
      </c>
      <c r="N61" s="106">
        <v>182621</v>
      </c>
      <c r="O61" s="107">
        <f t="shared" si="6"/>
        <v>865222</v>
      </c>
      <c r="P61" s="105">
        <f t="shared" si="6"/>
        <v>496751</v>
      </c>
      <c r="Q61" s="106">
        <f t="shared" si="6"/>
        <v>368471</v>
      </c>
      <c r="R61" s="105">
        <f t="shared" si="7"/>
        <v>867.82547642928785</v>
      </c>
      <c r="S61" s="105">
        <f t="shared" si="7"/>
        <v>498.24573721163489</v>
      </c>
      <c r="T61" s="108">
        <f t="shared" si="7"/>
        <v>369.57973921765296</v>
      </c>
    </row>
    <row r="62" spans="1:20" s="85" customFormat="1" ht="12.75" x14ac:dyDescent="0.2">
      <c r="A62" s="109">
        <v>146</v>
      </c>
      <c r="B62" s="110">
        <v>1</v>
      </c>
      <c r="C62" s="103" t="s">
        <v>183</v>
      </c>
      <c r="D62" s="103">
        <v>6</v>
      </c>
      <c r="E62" s="104">
        <f>+SUMIF('GE16FEB14 Unfudged'!$A$2:$A$498, $A62, 'GE16FEB14 Unfudged'!$D$2:$D$498)</f>
        <v>912</v>
      </c>
      <c r="F62" s="104">
        <v>115199</v>
      </c>
      <c r="G62" s="105">
        <v>62969</v>
      </c>
      <c r="H62" s="106">
        <v>52230</v>
      </c>
      <c r="I62" s="107">
        <v>386561</v>
      </c>
      <c r="J62" s="105">
        <v>211299</v>
      </c>
      <c r="K62" s="106">
        <v>175262</v>
      </c>
      <c r="L62" s="107">
        <v>539125</v>
      </c>
      <c r="M62" s="105">
        <v>231832</v>
      </c>
      <c r="N62" s="106">
        <v>307293</v>
      </c>
      <c r="O62" s="107">
        <f t="shared" si="6"/>
        <v>1040885</v>
      </c>
      <c r="P62" s="105">
        <f t="shared" si="6"/>
        <v>506100</v>
      </c>
      <c r="Q62" s="106">
        <f t="shared" si="6"/>
        <v>534785</v>
      </c>
      <c r="R62" s="105">
        <f t="shared" si="7"/>
        <v>1141.3212719298247</v>
      </c>
      <c r="S62" s="105">
        <f t="shared" si="7"/>
        <v>554.93421052631584</v>
      </c>
      <c r="T62" s="108">
        <f t="shared" si="7"/>
        <v>586.38706140350882</v>
      </c>
    </row>
    <row r="63" spans="1:20" s="85" customFormat="1" ht="12.75" x14ac:dyDescent="0.2">
      <c r="A63" s="109">
        <v>150</v>
      </c>
      <c r="B63" s="110">
        <v>1</v>
      </c>
      <c r="C63" s="103" t="s">
        <v>184</v>
      </c>
      <c r="D63" s="103">
        <v>6</v>
      </c>
      <c r="E63" s="104">
        <f>+SUMIF('GE16FEB14 Unfudged'!$A$2:$A$498, $A63, 'GE16FEB14 Unfudged'!$D$2:$D$498)</f>
        <v>970</v>
      </c>
      <c r="F63" s="104">
        <v>139680</v>
      </c>
      <c r="G63" s="105">
        <v>79168</v>
      </c>
      <c r="H63" s="106">
        <v>60512</v>
      </c>
      <c r="I63" s="107">
        <v>411280</v>
      </c>
      <c r="J63" s="105">
        <v>233107</v>
      </c>
      <c r="K63" s="106">
        <v>178173</v>
      </c>
      <c r="L63" s="107">
        <v>291000</v>
      </c>
      <c r="M63" s="105">
        <v>95587</v>
      </c>
      <c r="N63" s="106">
        <v>195413</v>
      </c>
      <c r="O63" s="107">
        <f t="shared" si="6"/>
        <v>841960</v>
      </c>
      <c r="P63" s="105">
        <f t="shared" si="6"/>
        <v>407862</v>
      </c>
      <c r="Q63" s="106">
        <f t="shared" si="6"/>
        <v>434098</v>
      </c>
      <c r="R63" s="105">
        <f t="shared" si="7"/>
        <v>868</v>
      </c>
      <c r="S63" s="105">
        <f t="shared" si="7"/>
        <v>420.47628865979379</v>
      </c>
      <c r="T63" s="108">
        <f t="shared" si="7"/>
        <v>447.52371134020621</v>
      </c>
    </row>
    <row r="64" spans="1:20" s="85" customFormat="1" ht="12.75" x14ac:dyDescent="0.2">
      <c r="A64" s="109">
        <v>152</v>
      </c>
      <c r="B64" s="110">
        <v>1</v>
      </c>
      <c r="C64" s="103" t="s">
        <v>185</v>
      </c>
      <c r="D64" s="103">
        <v>4</v>
      </c>
      <c r="E64" s="104">
        <f>+SUMIF('GE16FEB14 Unfudged'!$A$2:$A$498, $A64, 'GE16FEB14 Unfudged'!$D$2:$D$498)</f>
        <v>6224</v>
      </c>
      <c r="F64" s="104">
        <v>811257</v>
      </c>
      <c r="G64" s="105">
        <v>614388</v>
      </c>
      <c r="H64" s="106">
        <v>196869</v>
      </c>
      <c r="I64" s="107">
        <v>2638997</v>
      </c>
      <c r="J64" s="105">
        <v>1998586</v>
      </c>
      <c r="K64" s="106">
        <v>640411</v>
      </c>
      <c r="L64" s="107">
        <v>3270863</v>
      </c>
      <c r="M64" s="105">
        <v>1882554</v>
      </c>
      <c r="N64" s="106">
        <v>1388309</v>
      </c>
      <c r="O64" s="107">
        <f t="shared" si="6"/>
        <v>6721117</v>
      </c>
      <c r="P64" s="105">
        <f t="shared" si="6"/>
        <v>4495528</v>
      </c>
      <c r="Q64" s="106">
        <f t="shared" si="6"/>
        <v>2225589</v>
      </c>
      <c r="R64" s="105">
        <f t="shared" si="7"/>
        <v>1079.8709832904885</v>
      </c>
      <c r="S64" s="105">
        <f t="shared" si="7"/>
        <v>722.28920308483293</v>
      </c>
      <c r="T64" s="108">
        <f t="shared" si="7"/>
        <v>357.58178020565555</v>
      </c>
    </row>
    <row r="65" spans="1:20" s="85" customFormat="1" ht="12.75" x14ac:dyDescent="0.2">
      <c r="A65" s="109">
        <v>160</v>
      </c>
      <c r="B65" s="110">
        <v>70</v>
      </c>
      <c r="C65" s="103" t="s">
        <v>4</v>
      </c>
      <c r="D65" s="103">
        <v>24</v>
      </c>
      <c r="E65" s="104">
        <f>+SUMIF('GE16FEB14 Unfudged'!$A$2:$A$498, $A65, 'GE16FEB14 Unfudged'!$D$2:$D$498)</f>
        <v>0</v>
      </c>
      <c r="F65" s="104">
        <v>0</v>
      </c>
      <c r="G65" s="105">
        <v>0</v>
      </c>
      <c r="H65" s="106">
        <v>0</v>
      </c>
      <c r="I65" s="107">
        <v>0</v>
      </c>
      <c r="J65" s="105">
        <v>0</v>
      </c>
      <c r="K65" s="106">
        <v>0</v>
      </c>
      <c r="L65" s="107">
        <v>0</v>
      </c>
      <c r="M65" s="105">
        <v>0</v>
      </c>
      <c r="N65" s="106">
        <v>0</v>
      </c>
      <c r="O65" s="107">
        <f t="shared" si="6"/>
        <v>0</v>
      </c>
      <c r="P65" s="105">
        <f t="shared" si="6"/>
        <v>0</v>
      </c>
      <c r="Q65" s="106">
        <f t="shared" si="6"/>
        <v>0</v>
      </c>
      <c r="R65" s="105">
        <f t="shared" si="7"/>
        <v>0</v>
      </c>
      <c r="S65" s="105">
        <f t="shared" si="7"/>
        <v>0</v>
      </c>
      <c r="T65" s="108">
        <f t="shared" si="7"/>
        <v>0</v>
      </c>
    </row>
    <row r="66" spans="1:20" s="85" customFormat="1" ht="12.75" x14ac:dyDescent="0.2">
      <c r="A66" s="109">
        <v>160</v>
      </c>
      <c r="B66" s="110">
        <v>1</v>
      </c>
      <c r="C66" s="103" t="s">
        <v>466</v>
      </c>
      <c r="D66" s="103">
        <v>24</v>
      </c>
      <c r="E66" s="104">
        <f>+SUMIF('GE16FEB14 Unfudged'!$A$2:$A$498, $A66, 'GE16FEB14 Unfudged'!$D$2:$D$498)</f>
        <v>0</v>
      </c>
      <c r="F66" s="104">
        <v>0</v>
      </c>
      <c r="G66" s="105">
        <v>0</v>
      </c>
      <c r="H66" s="106">
        <v>0</v>
      </c>
      <c r="I66" s="107">
        <v>0</v>
      </c>
      <c r="J66" s="105">
        <v>0</v>
      </c>
      <c r="K66" s="106">
        <v>0</v>
      </c>
      <c r="L66" s="107">
        <v>0</v>
      </c>
      <c r="M66" s="105">
        <v>0</v>
      </c>
      <c r="N66" s="106">
        <v>0</v>
      </c>
      <c r="O66" s="107">
        <f t="shared" si="6"/>
        <v>0</v>
      </c>
      <c r="P66" s="105">
        <f t="shared" si="6"/>
        <v>0</v>
      </c>
      <c r="Q66" s="106">
        <f t="shared" si="6"/>
        <v>0</v>
      </c>
      <c r="R66" s="105">
        <f t="shared" si="7"/>
        <v>0</v>
      </c>
      <c r="S66" s="105">
        <f t="shared" si="7"/>
        <v>0</v>
      </c>
      <c r="T66" s="108">
        <f t="shared" si="7"/>
        <v>0</v>
      </c>
    </row>
    <row r="67" spans="1:20" s="85" customFormat="1" ht="12.75" x14ac:dyDescent="0.2">
      <c r="A67" s="109">
        <v>162</v>
      </c>
      <c r="B67" s="110">
        <v>1</v>
      </c>
      <c r="C67" s="103" t="s">
        <v>186</v>
      </c>
      <c r="D67" s="103">
        <v>6</v>
      </c>
      <c r="E67" s="104">
        <f>+SUMIF('GE16FEB14 Unfudged'!$A$2:$A$498, $A67, 'GE16FEB14 Unfudged'!$D$2:$D$498)</f>
        <v>1049</v>
      </c>
      <c r="F67" s="104">
        <v>151093</v>
      </c>
      <c r="G67" s="105">
        <v>76930</v>
      </c>
      <c r="H67" s="106">
        <v>74163</v>
      </c>
      <c r="I67" s="107">
        <v>444882</v>
      </c>
      <c r="J67" s="105">
        <v>226514</v>
      </c>
      <c r="K67" s="106">
        <v>218368</v>
      </c>
      <c r="L67" s="107">
        <v>314775</v>
      </c>
      <c r="M67" s="105">
        <v>92883</v>
      </c>
      <c r="N67" s="106">
        <v>221892</v>
      </c>
      <c r="O67" s="107">
        <f t="shared" si="6"/>
        <v>910750</v>
      </c>
      <c r="P67" s="105">
        <f t="shared" si="6"/>
        <v>396327</v>
      </c>
      <c r="Q67" s="106">
        <f t="shared" si="6"/>
        <v>514423</v>
      </c>
      <c r="R67" s="105">
        <f t="shared" si="7"/>
        <v>868.20781696854147</v>
      </c>
      <c r="S67" s="105">
        <f t="shared" si="7"/>
        <v>377.81410867492849</v>
      </c>
      <c r="T67" s="108">
        <f t="shared" si="7"/>
        <v>490.39370829361297</v>
      </c>
    </row>
    <row r="68" spans="1:20" s="85" customFormat="1" ht="12.75" x14ac:dyDescent="0.2">
      <c r="A68" s="109">
        <v>166</v>
      </c>
      <c r="B68" s="110">
        <v>1</v>
      </c>
      <c r="C68" s="103" t="s">
        <v>187</v>
      </c>
      <c r="D68" s="103">
        <v>6</v>
      </c>
      <c r="E68" s="104">
        <f>+SUMIF('GE16FEB14 Unfudged'!$A$2:$A$498, $A68, 'GE16FEB14 Unfudged'!$D$2:$D$498)</f>
        <v>495</v>
      </c>
      <c r="F68" s="104">
        <v>67225</v>
      </c>
      <c r="G68" s="105">
        <v>67225</v>
      </c>
      <c r="H68" s="106">
        <v>0</v>
      </c>
      <c r="I68" s="107">
        <v>210050</v>
      </c>
      <c r="J68" s="105">
        <v>210050</v>
      </c>
      <c r="K68" s="106">
        <v>0</v>
      </c>
      <c r="L68" s="107">
        <v>216520</v>
      </c>
      <c r="M68" s="105">
        <v>216520</v>
      </c>
      <c r="N68" s="106">
        <v>0</v>
      </c>
      <c r="O68" s="107">
        <f t="shared" si="6"/>
        <v>493795</v>
      </c>
      <c r="P68" s="105">
        <f t="shared" si="6"/>
        <v>493795</v>
      </c>
      <c r="Q68" s="106">
        <f t="shared" si="6"/>
        <v>0</v>
      </c>
      <c r="R68" s="105">
        <f t="shared" si="7"/>
        <v>997.56565656565658</v>
      </c>
      <c r="S68" s="105">
        <f t="shared" si="7"/>
        <v>997.56565656565658</v>
      </c>
      <c r="T68" s="108">
        <f t="shared" si="7"/>
        <v>0</v>
      </c>
    </row>
    <row r="69" spans="1:20" s="85" customFormat="1" ht="12.75" x14ac:dyDescent="0.2">
      <c r="A69" s="109">
        <v>173</v>
      </c>
      <c r="B69" s="110">
        <v>1</v>
      </c>
      <c r="C69" s="103" t="s">
        <v>188</v>
      </c>
      <c r="D69" s="103">
        <v>6</v>
      </c>
      <c r="E69" s="104">
        <f>+SUMIF('GE16FEB14 Unfudged'!$A$2:$A$498, $A69, 'GE16FEB14 Unfudged'!$D$2:$D$498)</f>
        <v>528</v>
      </c>
      <c r="F69" s="104">
        <v>43364</v>
      </c>
      <c r="G69" s="105">
        <v>17693</v>
      </c>
      <c r="H69" s="106">
        <v>25671</v>
      </c>
      <c r="I69" s="107">
        <v>223787</v>
      </c>
      <c r="J69" s="105">
        <v>91306</v>
      </c>
      <c r="K69" s="106">
        <v>132481</v>
      </c>
      <c r="L69" s="107">
        <v>697287</v>
      </c>
      <c r="M69" s="105">
        <v>349002</v>
      </c>
      <c r="N69" s="106">
        <v>348285</v>
      </c>
      <c r="O69" s="107">
        <f t="shared" si="6"/>
        <v>964438</v>
      </c>
      <c r="P69" s="105">
        <f t="shared" si="6"/>
        <v>458001</v>
      </c>
      <c r="Q69" s="106">
        <f t="shared" si="6"/>
        <v>506437</v>
      </c>
      <c r="R69" s="105">
        <f t="shared" si="7"/>
        <v>1826.5871212121212</v>
      </c>
      <c r="S69" s="105">
        <f t="shared" si="7"/>
        <v>867.42613636363637</v>
      </c>
      <c r="T69" s="108">
        <f t="shared" si="7"/>
        <v>959.16098484848487</v>
      </c>
    </row>
    <row r="70" spans="1:20" s="85" customFormat="1" ht="12.75" x14ac:dyDescent="0.2">
      <c r="A70" s="109">
        <v>177</v>
      </c>
      <c r="B70" s="110">
        <v>1</v>
      </c>
      <c r="C70" s="103" t="s">
        <v>189</v>
      </c>
      <c r="D70" s="103">
        <v>6</v>
      </c>
      <c r="E70" s="104">
        <f>+SUMIF('GE16FEB14 Unfudged'!$A$2:$A$498, $A70, 'GE16FEB14 Unfudged'!$D$2:$D$498)</f>
        <v>1112</v>
      </c>
      <c r="F70" s="104">
        <v>122238</v>
      </c>
      <c r="G70" s="105">
        <v>74526</v>
      </c>
      <c r="H70" s="106">
        <v>47712</v>
      </c>
      <c r="I70" s="107">
        <v>471403</v>
      </c>
      <c r="J70" s="105">
        <v>287403</v>
      </c>
      <c r="K70" s="106">
        <v>184000</v>
      </c>
      <c r="L70" s="107">
        <v>958705</v>
      </c>
      <c r="M70" s="105">
        <v>543393</v>
      </c>
      <c r="N70" s="106">
        <v>415312</v>
      </c>
      <c r="O70" s="107">
        <f t="shared" si="6"/>
        <v>1552346</v>
      </c>
      <c r="P70" s="105">
        <f t="shared" si="6"/>
        <v>905322</v>
      </c>
      <c r="Q70" s="106">
        <f t="shared" si="6"/>
        <v>647024</v>
      </c>
      <c r="R70" s="105">
        <f t="shared" si="7"/>
        <v>1395.9946043165467</v>
      </c>
      <c r="S70" s="105">
        <f t="shared" si="7"/>
        <v>814.13848920863313</v>
      </c>
      <c r="T70" s="108">
        <f t="shared" si="7"/>
        <v>581.85611510791364</v>
      </c>
    </row>
    <row r="71" spans="1:20" s="85" customFormat="1" ht="12.75" x14ac:dyDescent="0.2">
      <c r="A71" s="109">
        <v>181</v>
      </c>
      <c r="B71" s="110">
        <v>1</v>
      </c>
      <c r="C71" s="103" t="s">
        <v>190</v>
      </c>
      <c r="D71" s="103">
        <v>4</v>
      </c>
      <c r="E71" s="104">
        <f>+SUMIF('GE16FEB14 Unfudged'!$A$2:$A$498, $A71, 'GE16FEB14 Unfudged'!$D$2:$D$498)</f>
        <v>6773</v>
      </c>
      <c r="F71" s="104">
        <v>975370</v>
      </c>
      <c r="G71" s="105">
        <v>946135</v>
      </c>
      <c r="H71" s="106">
        <v>29235</v>
      </c>
      <c r="I71" s="107">
        <v>2871922</v>
      </c>
      <c r="J71" s="105">
        <v>2785842</v>
      </c>
      <c r="K71" s="106">
        <v>86080</v>
      </c>
      <c r="L71" s="107">
        <v>2032020</v>
      </c>
      <c r="M71" s="105">
        <v>1142350</v>
      </c>
      <c r="N71" s="106">
        <v>889670</v>
      </c>
      <c r="O71" s="107">
        <f t="shared" si="6"/>
        <v>5879312</v>
      </c>
      <c r="P71" s="105">
        <f t="shared" si="6"/>
        <v>4874327</v>
      </c>
      <c r="Q71" s="106">
        <f t="shared" si="6"/>
        <v>1004985</v>
      </c>
      <c r="R71" s="105">
        <f t="shared" si="7"/>
        <v>868.05138048132289</v>
      </c>
      <c r="S71" s="105">
        <f t="shared" si="7"/>
        <v>719.67030857817804</v>
      </c>
      <c r="T71" s="108">
        <f t="shared" si="7"/>
        <v>148.38107190314483</v>
      </c>
    </row>
    <row r="72" spans="1:20" s="85" customFormat="1" ht="12.75" x14ac:dyDescent="0.2">
      <c r="A72" s="109">
        <v>182</v>
      </c>
      <c r="B72" s="110">
        <v>1</v>
      </c>
      <c r="C72" s="103" t="s">
        <v>191</v>
      </c>
      <c r="D72" s="103">
        <v>5</v>
      </c>
      <c r="E72" s="104">
        <f>+SUMIF('GE16FEB14 Unfudged'!$A$2:$A$498, $A72, 'GE16FEB14 Unfudged'!$D$2:$D$498)</f>
        <v>1204</v>
      </c>
      <c r="F72" s="104">
        <v>173318</v>
      </c>
      <c r="G72" s="105">
        <v>173318</v>
      </c>
      <c r="H72" s="106">
        <v>0</v>
      </c>
      <c r="I72" s="107">
        <v>510326</v>
      </c>
      <c r="J72" s="105">
        <v>510326</v>
      </c>
      <c r="K72" s="106">
        <v>0</v>
      </c>
      <c r="L72" s="107">
        <v>361080</v>
      </c>
      <c r="M72" s="105">
        <v>248867</v>
      </c>
      <c r="N72" s="106">
        <v>112213</v>
      </c>
      <c r="O72" s="107">
        <f t="shared" si="6"/>
        <v>1044724</v>
      </c>
      <c r="P72" s="105">
        <f t="shared" si="6"/>
        <v>932511</v>
      </c>
      <c r="Q72" s="106">
        <f t="shared" si="6"/>
        <v>112213</v>
      </c>
      <c r="R72" s="105">
        <f t="shared" si="7"/>
        <v>867.71096345514945</v>
      </c>
      <c r="S72" s="105">
        <f t="shared" si="7"/>
        <v>774.51079734219275</v>
      </c>
      <c r="T72" s="108">
        <f t="shared" si="7"/>
        <v>93.200166112956808</v>
      </c>
    </row>
    <row r="73" spans="1:20" s="85" customFormat="1" ht="12.75" x14ac:dyDescent="0.2">
      <c r="A73" s="109">
        <v>186</v>
      </c>
      <c r="B73" s="110">
        <v>1</v>
      </c>
      <c r="C73" s="103" t="s">
        <v>192</v>
      </c>
      <c r="D73" s="103">
        <v>5</v>
      </c>
      <c r="E73" s="104">
        <f>+SUMIF('GE16FEB14 Unfudged'!$A$2:$A$498, $A73, 'GE16FEB14 Unfudged'!$D$2:$D$498)</f>
        <v>1766</v>
      </c>
      <c r="F73" s="104">
        <v>254333</v>
      </c>
      <c r="G73" s="105">
        <v>254333</v>
      </c>
      <c r="H73" s="106">
        <v>0</v>
      </c>
      <c r="I73" s="107">
        <v>748869</v>
      </c>
      <c r="J73" s="105">
        <v>748869</v>
      </c>
      <c r="K73" s="106">
        <v>0</v>
      </c>
      <c r="L73" s="107">
        <v>529860</v>
      </c>
      <c r="M73" s="105">
        <v>422909</v>
      </c>
      <c r="N73" s="106">
        <v>106951</v>
      </c>
      <c r="O73" s="107">
        <f t="shared" si="6"/>
        <v>1533062</v>
      </c>
      <c r="P73" s="105">
        <f t="shared" si="6"/>
        <v>1426111</v>
      </c>
      <c r="Q73" s="106">
        <f t="shared" si="6"/>
        <v>106951</v>
      </c>
      <c r="R73" s="105">
        <f t="shared" si="7"/>
        <v>868.09852774631941</v>
      </c>
      <c r="S73" s="105">
        <f t="shared" si="7"/>
        <v>807.53737259343143</v>
      </c>
      <c r="T73" s="108">
        <f t="shared" si="7"/>
        <v>60.561155152887885</v>
      </c>
    </row>
    <row r="74" spans="1:20" s="85" customFormat="1" ht="12.75" x14ac:dyDescent="0.2">
      <c r="A74" s="109">
        <v>191</v>
      </c>
      <c r="B74" s="110">
        <v>1</v>
      </c>
      <c r="C74" s="103" t="s">
        <v>193</v>
      </c>
      <c r="D74" s="103">
        <v>3</v>
      </c>
      <c r="E74" s="104">
        <f>+SUMIF('GE16FEB14 Unfudged'!$A$2:$A$498, $A74, 'GE16FEB14 Unfudged'!$D$2:$D$498)</f>
        <v>10337</v>
      </c>
      <c r="F74" s="104">
        <v>969093</v>
      </c>
      <c r="G74" s="105">
        <v>960711</v>
      </c>
      <c r="H74" s="106">
        <v>8382</v>
      </c>
      <c r="I74" s="107">
        <v>4382888</v>
      </c>
      <c r="J74" s="105">
        <v>4344981</v>
      </c>
      <c r="K74" s="106">
        <v>37907</v>
      </c>
      <c r="L74" s="107">
        <v>13032373</v>
      </c>
      <c r="M74" s="105">
        <v>11671832</v>
      </c>
      <c r="N74" s="106">
        <v>1360541</v>
      </c>
      <c r="O74" s="107">
        <f t="shared" si="6"/>
        <v>18384354</v>
      </c>
      <c r="P74" s="105">
        <f t="shared" si="6"/>
        <v>16977524</v>
      </c>
      <c r="Q74" s="106">
        <f t="shared" si="6"/>
        <v>1406830</v>
      </c>
      <c r="R74" s="105">
        <f t="shared" si="7"/>
        <v>1778.4999516300668</v>
      </c>
      <c r="S74" s="105">
        <f t="shared" si="7"/>
        <v>1642.4034052433008</v>
      </c>
      <c r="T74" s="108">
        <f t="shared" si="7"/>
        <v>136.09654638676599</v>
      </c>
    </row>
    <row r="75" spans="1:20" s="85" customFormat="1" ht="12.75" x14ac:dyDescent="0.2">
      <c r="A75" s="109">
        <v>192</v>
      </c>
      <c r="B75" s="110">
        <v>1</v>
      </c>
      <c r="C75" s="103" t="s">
        <v>194</v>
      </c>
      <c r="D75" s="103">
        <v>3</v>
      </c>
      <c r="E75" s="104">
        <f>+SUMIF('GE16FEB14 Unfudged'!$A$2:$A$498, $A75, 'GE16FEB14 Unfudged'!$D$2:$D$498)</f>
        <v>7149</v>
      </c>
      <c r="F75" s="104">
        <v>1190533</v>
      </c>
      <c r="G75" s="105">
        <v>707441</v>
      </c>
      <c r="H75" s="106">
        <v>483092</v>
      </c>
      <c r="I75" s="107">
        <v>3031346</v>
      </c>
      <c r="J75" s="105">
        <v>1801294</v>
      </c>
      <c r="K75" s="106">
        <v>1230052</v>
      </c>
      <c r="L75" s="107">
        <v>2235903</v>
      </c>
      <c r="M75" s="105">
        <v>792755</v>
      </c>
      <c r="N75" s="106">
        <v>1443148</v>
      </c>
      <c r="O75" s="107">
        <f t="shared" si="6"/>
        <v>6457782</v>
      </c>
      <c r="P75" s="105">
        <f t="shared" si="6"/>
        <v>3301490</v>
      </c>
      <c r="Q75" s="106">
        <f t="shared" si="6"/>
        <v>3156292</v>
      </c>
      <c r="R75" s="105">
        <f t="shared" si="7"/>
        <v>903.31263113722196</v>
      </c>
      <c r="S75" s="105">
        <f t="shared" si="7"/>
        <v>461.81144215974263</v>
      </c>
      <c r="T75" s="108">
        <f t="shared" si="7"/>
        <v>441.50118897747939</v>
      </c>
    </row>
    <row r="76" spans="1:20" s="85" customFormat="1" ht="12.75" x14ac:dyDescent="0.2">
      <c r="A76" s="109">
        <v>194</v>
      </c>
      <c r="B76" s="110">
        <v>1</v>
      </c>
      <c r="C76" s="103" t="s">
        <v>195</v>
      </c>
      <c r="D76" s="103">
        <v>3</v>
      </c>
      <c r="E76" s="104">
        <f>+SUMIF('GE16FEB14 Unfudged'!$A$2:$A$498, $A76, 'GE16FEB14 Unfudged'!$D$2:$D$498)</f>
        <v>11382</v>
      </c>
      <c r="F76" s="104">
        <v>1208380</v>
      </c>
      <c r="G76" s="105">
        <v>1113583</v>
      </c>
      <c r="H76" s="106">
        <v>94797</v>
      </c>
      <c r="I76" s="107">
        <v>4826053</v>
      </c>
      <c r="J76" s="105">
        <v>4447453</v>
      </c>
      <c r="K76" s="106">
        <v>378600</v>
      </c>
      <c r="L76" s="107">
        <v>12509379</v>
      </c>
      <c r="M76" s="105">
        <v>10507676</v>
      </c>
      <c r="N76" s="106">
        <v>2001703</v>
      </c>
      <c r="O76" s="107">
        <f t="shared" si="6"/>
        <v>18543812</v>
      </c>
      <c r="P76" s="105">
        <f t="shared" si="6"/>
        <v>16068712</v>
      </c>
      <c r="Q76" s="106">
        <f t="shared" si="6"/>
        <v>2475100</v>
      </c>
      <c r="R76" s="105">
        <f t="shared" si="7"/>
        <v>1629.2226322263223</v>
      </c>
      <c r="S76" s="105">
        <f t="shared" si="7"/>
        <v>1411.7652433667195</v>
      </c>
      <c r="T76" s="108">
        <f t="shared" si="7"/>
        <v>217.45738885960287</v>
      </c>
    </row>
    <row r="77" spans="1:20" s="85" customFormat="1" ht="12.75" x14ac:dyDescent="0.2">
      <c r="A77" s="109">
        <v>195</v>
      </c>
      <c r="B77" s="110">
        <v>1</v>
      </c>
      <c r="C77" s="103" t="s">
        <v>196</v>
      </c>
      <c r="D77" s="103">
        <v>3</v>
      </c>
      <c r="E77" s="104">
        <f>+SUMIF('GE16FEB14 Unfudged'!$A$2:$A$498, $A77, 'GE16FEB14 Unfudged'!$D$2:$D$498)</f>
        <v>651</v>
      </c>
      <c r="F77" s="104">
        <v>109076</v>
      </c>
      <c r="G77" s="105">
        <v>109076</v>
      </c>
      <c r="H77" s="106">
        <v>0</v>
      </c>
      <c r="I77" s="107">
        <v>276109</v>
      </c>
      <c r="J77" s="105">
        <v>276109</v>
      </c>
      <c r="K77" s="106">
        <v>0</v>
      </c>
      <c r="L77" s="107">
        <v>195360</v>
      </c>
      <c r="M77" s="105">
        <v>68966</v>
      </c>
      <c r="N77" s="106">
        <v>126394</v>
      </c>
      <c r="O77" s="107">
        <f t="shared" si="6"/>
        <v>580545</v>
      </c>
      <c r="P77" s="105">
        <f t="shared" si="6"/>
        <v>454151</v>
      </c>
      <c r="Q77" s="106">
        <f t="shared" si="6"/>
        <v>126394</v>
      </c>
      <c r="R77" s="105">
        <f t="shared" si="7"/>
        <v>891.77419354838707</v>
      </c>
      <c r="S77" s="105">
        <f t="shared" si="7"/>
        <v>697.62058371735793</v>
      </c>
      <c r="T77" s="108">
        <f t="shared" si="7"/>
        <v>194.15360983102917</v>
      </c>
    </row>
    <row r="78" spans="1:20" s="85" customFormat="1" ht="12.75" x14ac:dyDescent="0.2">
      <c r="A78" s="109">
        <v>196</v>
      </c>
      <c r="B78" s="110">
        <v>1</v>
      </c>
      <c r="C78" s="103" t="s">
        <v>197</v>
      </c>
      <c r="D78" s="103">
        <v>3</v>
      </c>
      <c r="E78" s="104">
        <f>+SUMIF('GE16FEB14 Unfudged'!$A$2:$A$498, $A78, 'GE16FEB14 Unfudged'!$D$2:$D$498)</f>
        <v>29138</v>
      </c>
      <c r="F78" s="104">
        <v>3160820</v>
      </c>
      <c r="G78" s="105">
        <v>2816235</v>
      </c>
      <c r="H78" s="106">
        <v>344585</v>
      </c>
      <c r="I78" s="107">
        <v>12354682</v>
      </c>
      <c r="J78" s="105">
        <v>11007805</v>
      </c>
      <c r="K78" s="106">
        <v>1346877</v>
      </c>
      <c r="L78" s="107">
        <v>31146327</v>
      </c>
      <c r="M78" s="105">
        <v>25457387</v>
      </c>
      <c r="N78" s="106">
        <v>5688940</v>
      </c>
      <c r="O78" s="107">
        <f t="shared" si="6"/>
        <v>46661829</v>
      </c>
      <c r="P78" s="105">
        <f t="shared" si="6"/>
        <v>39281427</v>
      </c>
      <c r="Q78" s="106">
        <f t="shared" si="6"/>
        <v>7380402</v>
      </c>
      <c r="R78" s="105">
        <f t="shared" si="7"/>
        <v>1601.4080925252249</v>
      </c>
      <c r="S78" s="105">
        <f t="shared" si="7"/>
        <v>1348.1167890726886</v>
      </c>
      <c r="T78" s="108">
        <f t="shared" si="7"/>
        <v>253.2913034525362</v>
      </c>
    </row>
    <row r="79" spans="1:20" s="85" customFormat="1" ht="12.75" x14ac:dyDescent="0.2">
      <c r="A79" s="109">
        <v>197</v>
      </c>
      <c r="B79" s="110">
        <v>1</v>
      </c>
      <c r="C79" s="103" t="s">
        <v>198</v>
      </c>
      <c r="D79" s="103">
        <v>2</v>
      </c>
      <c r="E79" s="104">
        <f>+SUMIF('GE16FEB14 Unfudged'!$A$2:$A$498, $A79, 'GE16FEB14 Unfudged'!$D$2:$D$498)</f>
        <v>5165</v>
      </c>
      <c r="F79" s="104">
        <v>443384</v>
      </c>
      <c r="G79" s="105">
        <v>443384</v>
      </c>
      <c r="H79" s="106">
        <v>0</v>
      </c>
      <c r="I79" s="107">
        <v>2190130</v>
      </c>
      <c r="J79" s="105">
        <v>2190130</v>
      </c>
      <c r="K79" s="106">
        <v>0</v>
      </c>
      <c r="L79" s="107">
        <v>7044727</v>
      </c>
      <c r="M79" s="105">
        <v>7043675</v>
      </c>
      <c r="N79" s="106">
        <v>1052</v>
      </c>
      <c r="O79" s="107">
        <f t="shared" si="6"/>
        <v>9678241</v>
      </c>
      <c r="P79" s="105">
        <f t="shared" si="6"/>
        <v>9677189</v>
      </c>
      <c r="Q79" s="106">
        <f t="shared" si="6"/>
        <v>1052</v>
      </c>
      <c r="R79" s="105">
        <f t="shared" si="7"/>
        <v>1873.8123910939012</v>
      </c>
      <c r="S79" s="105">
        <f t="shared" si="7"/>
        <v>1873.6087124878993</v>
      </c>
      <c r="T79" s="108">
        <f t="shared" si="7"/>
        <v>0.2036786060019361</v>
      </c>
    </row>
    <row r="80" spans="1:20" s="85" customFormat="1" ht="12.75" x14ac:dyDescent="0.2">
      <c r="A80" s="109">
        <v>199</v>
      </c>
      <c r="B80" s="110">
        <v>1</v>
      </c>
      <c r="C80" s="103" t="s">
        <v>199</v>
      </c>
      <c r="D80" s="103">
        <v>3</v>
      </c>
      <c r="E80" s="104">
        <f>+SUMIF('GE16FEB14 Unfudged'!$A$2:$A$498, $A80, 'GE16FEB14 Unfudged'!$D$2:$D$498)</f>
        <v>4200</v>
      </c>
      <c r="F80" s="104">
        <v>618418</v>
      </c>
      <c r="G80" s="105">
        <v>617040</v>
      </c>
      <c r="H80" s="106">
        <v>1378</v>
      </c>
      <c r="I80" s="107">
        <v>1780885</v>
      </c>
      <c r="J80" s="105">
        <v>1776918</v>
      </c>
      <c r="K80" s="106">
        <v>3967</v>
      </c>
      <c r="L80" s="107">
        <v>2368871</v>
      </c>
      <c r="M80" s="105">
        <v>1834977</v>
      </c>
      <c r="N80" s="106">
        <v>533894</v>
      </c>
      <c r="O80" s="107">
        <f t="shared" si="6"/>
        <v>4768174</v>
      </c>
      <c r="P80" s="105">
        <f t="shared" si="6"/>
        <v>4228935</v>
      </c>
      <c r="Q80" s="106">
        <f t="shared" si="6"/>
        <v>539239</v>
      </c>
      <c r="R80" s="105">
        <f t="shared" si="7"/>
        <v>1135.2795238095239</v>
      </c>
      <c r="S80" s="105">
        <f t="shared" si="7"/>
        <v>1006.8892857142857</v>
      </c>
      <c r="T80" s="108">
        <f t="shared" si="7"/>
        <v>128.39023809523809</v>
      </c>
    </row>
    <row r="81" spans="1:20" s="85" customFormat="1" ht="12.75" x14ac:dyDescent="0.2">
      <c r="A81" s="109">
        <v>200</v>
      </c>
      <c r="B81" s="110">
        <v>1</v>
      </c>
      <c r="C81" s="103" t="s">
        <v>200</v>
      </c>
      <c r="D81" s="103">
        <v>3</v>
      </c>
      <c r="E81" s="104">
        <f>+SUMIF('GE16FEB14 Unfudged'!$A$2:$A$498, $A81, 'GE16FEB14 Unfudged'!$D$2:$D$498)</f>
        <v>4896</v>
      </c>
      <c r="F81" s="104">
        <v>468940</v>
      </c>
      <c r="G81" s="105">
        <v>426879</v>
      </c>
      <c r="H81" s="106">
        <v>42061</v>
      </c>
      <c r="I81" s="107">
        <v>2075904</v>
      </c>
      <c r="J81" s="105">
        <v>1889707</v>
      </c>
      <c r="K81" s="106">
        <v>186197</v>
      </c>
      <c r="L81" s="107">
        <v>6043133</v>
      </c>
      <c r="M81" s="105">
        <v>5147212</v>
      </c>
      <c r="N81" s="106">
        <v>895921</v>
      </c>
      <c r="O81" s="107">
        <f t="shared" si="6"/>
        <v>8587977</v>
      </c>
      <c r="P81" s="105">
        <f t="shared" si="6"/>
        <v>7463798</v>
      </c>
      <c r="Q81" s="106">
        <f t="shared" si="6"/>
        <v>1124179</v>
      </c>
      <c r="R81" s="105">
        <f t="shared" si="7"/>
        <v>1754.0802696078431</v>
      </c>
      <c r="S81" s="105">
        <f t="shared" si="7"/>
        <v>1524.4685457516339</v>
      </c>
      <c r="T81" s="108">
        <f t="shared" si="7"/>
        <v>229.61172385620915</v>
      </c>
    </row>
    <row r="82" spans="1:20" s="85" customFormat="1" ht="12.75" x14ac:dyDescent="0.2">
      <c r="A82" s="109">
        <v>203</v>
      </c>
      <c r="B82" s="110">
        <v>1</v>
      </c>
      <c r="C82" s="103" t="s">
        <v>201</v>
      </c>
      <c r="D82" s="103">
        <v>6</v>
      </c>
      <c r="E82" s="104">
        <f>+SUMIF('GE16FEB14 Unfudged'!$A$2:$A$498, $A82, 'GE16FEB14 Unfudged'!$D$2:$D$498)</f>
        <v>798</v>
      </c>
      <c r="F82" s="104">
        <v>98350</v>
      </c>
      <c r="G82" s="105">
        <v>59317</v>
      </c>
      <c r="H82" s="106">
        <v>39033</v>
      </c>
      <c r="I82" s="107">
        <v>338288</v>
      </c>
      <c r="J82" s="105">
        <v>204028</v>
      </c>
      <c r="K82" s="106">
        <v>134260</v>
      </c>
      <c r="L82" s="107">
        <v>512475</v>
      </c>
      <c r="M82" s="105">
        <v>248387</v>
      </c>
      <c r="N82" s="106">
        <v>264088</v>
      </c>
      <c r="O82" s="107">
        <f t="shared" ref="O82:Q145" si="8">+F82+I82+L82</f>
        <v>949113</v>
      </c>
      <c r="P82" s="105">
        <f t="shared" si="8"/>
        <v>511732</v>
      </c>
      <c r="Q82" s="106">
        <f t="shared" si="8"/>
        <v>437381</v>
      </c>
      <c r="R82" s="105">
        <f t="shared" si="7"/>
        <v>1189.3646616541353</v>
      </c>
      <c r="S82" s="105">
        <f t="shared" si="7"/>
        <v>641.26817042606513</v>
      </c>
      <c r="T82" s="108">
        <f t="shared" si="7"/>
        <v>548.09649122807014</v>
      </c>
    </row>
    <row r="83" spans="1:20" s="85" customFormat="1" ht="12.75" x14ac:dyDescent="0.2">
      <c r="A83" s="109">
        <v>204</v>
      </c>
      <c r="B83" s="110">
        <v>1</v>
      </c>
      <c r="C83" s="103" t="s">
        <v>202</v>
      </c>
      <c r="D83" s="103">
        <v>4</v>
      </c>
      <c r="E83" s="104">
        <f>+SUMIF('GE16FEB14 Unfudged'!$A$2:$A$498, $A83, 'GE16FEB14 Unfudged'!$D$2:$D$498)</f>
        <v>2270</v>
      </c>
      <c r="F83" s="104">
        <v>326909</v>
      </c>
      <c r="G83" s="105">
        <v>171628</v>
      </c>
      <c r="H83" s="106">
        <v>155281</v>
      </c>
      <c r="I83" s="107">
        <v>962565</v>
      </c>
      <c r="J83" s="105">
        <v>505349</v>
      </c>
      <c r="K83" s="106">
        <v>457216</v>
      </c>
      <c r="L83" s="107">
        <v>681060</v>
      </c>
      <c r="M83" s="105">
        <v>207221</v>
      </c>
      <c r="N83" s="106">
        <v>473839</v>
      </c>
      <c r="O83" s="107">
        <f t="shared" si="8"/>
        <v>1970534</v>
      </c>
      <c r="P83" s="105">
        <f t="shared" si="8"/>
        <v>884198</v>
      </c>
      <c r="Q83" s="106">
        <f t="shared" si="8"/>
        <v>1086336</v>
      </c>
      <c r="R83" s="105">
        <f t="shared" ref="R83:T146" si="9">+IF($E83=0, 0, O83/$E83)</f>
        <v>868.07665198237885</v>
      </c>
      <c r="S83" s="105">
        <f t="shared" si="9"/>
        <v>389.51453744493392</v>
      </c>
      <c r="T83" s="108">
        <f t="shared" si="9"/>
        <v>478.56211453744493</v>
      </c>
    </row>
    <row r="84" spans="1:20" s="85" customFormat="1" ht="12.75" x14ac:dyDescent="0.2">
      <c r="A84" s="109">
        <v>206</v>
      </c>
      <c r="B84" s="110">
        <v>1</v>
      </c>
      <c r="C84" s="103" t="s">
        <v>203</v>
      </c>
      <c r="D84" s="103">
        <v>4</v>
      </c>
      <c r="E84" s="104">
        <f>+SUMIF('GE16FEB14 Unfudged'!$A$2:$A$498, $A84, 'GE16FEB14 Unfudged'!$D$2:$D$498)</f>
        <v>4192</v>
      </c>
      <c r="F84" s="104">
        <v>603613</v>
      </c>
      <c r="G84" s="105">
        <v>603613</v>
      </c>
      <c r="H84" s="106">
        <v>0</v>
      </c>
      <c r="I84" s="107">
        <v>1777302</v>
      </c>
      <c r="J84" s="105">
        <v>1777302</v>
      </c>
      <c r="K84" s="106">
        <v>0</v>
      </c>
      <c r="L84" s="107">
        <v>1257525</v>
      </c>
      <c r="M84" s="105">
        <v>871552</v>
      </c>
      <c r="N84" s="106">
        <v>385973</v>
      </c>
      <c r="O84" s="107">
        <f t="shared" si="8"/>
        <v>3638440</v>
      </c>
      <c r="P84" s="105">
        <f t="shared" si="8"/>
        <v>3252467</v>
      </c>
      <c r="Q84" s="106">
        <f t="shared" si="8"/>
        <v>385973</v>
      </c>
      <c r="R84" s="105">
        <f t="shared" si="9"/>
        <v>867.94847328244271</v>
      </c>
      <c r="S84" s="105">
        <f t="shared" si="9"/>
        <v>775.8747614503817</v>
      </c>
      <c r="T84" s="108">
        <f t="shared" si="9"/>
        <v>92.073711832061065</v>
      </c>
    </row>
    <row r="85" spans="1:20" s="85" customFormat="1" ht="12.75" x14ac:dyDescent="0.2">
      <c r="A85" s="109">
        <v>213</v>
      </c>
      <c r="B85" s="110">
        <v>1</v>
      </c>
      <c r="C85" s="103" t="s">
        <v>204</v>
      </c>
      <c r="D85" s="103">
        <v>6</v>
      </c>
      <c r="E85" s="104">
        <f>+SUMIF('GE16FEB14 Unfudged'!$A$2:$A$498, $A85, 'GE16FEB14 Unfudged'!$D$2:$D$498)</f>
        <v>927</v>
      </c>
      <c r="F85" s="104">
        <v>133430</v>
      </c>
      <c r="G85" s="105">
        <v>75037</v>
      </c>
      <c r="H85" s="106">
        <v>58393</v>
      </c>
      <c r="I85" s="107">
        <v>392878</v>
      </c>
      <c r="J85" s="105">
        <v>220944</v>
      </c>
      <c r="K85" s="106">
        <v>171934</v>
      </c>
      <c r="L85" s="107">
        <v>277980</v>
      </c>
      <c r="M85" s="105">
        <v>90599</v>
      </c>
      <c r="N85" s="106">
        <v>187381</v>
      </c>
      <c r="O85" s="107">
        <f t="shared" si="8"/>
        <v>804288</v>
      </c>
      <c r="P85" s="105">
        <f t="shared" si="8"/>
        <v>386580</v>
      </c>
      <c r="Q85" s="106">
        <f t="shared" si="8"/>
        <v>417708</v>
      </c>
      <c r="R85" s="105">
        <f t="shared" si="9"/>
        <v>867.62459546925561</v>
      </c>
      <c r="S85" s="105">
        <f t="shared" si="9"/>
        <v>417.02265372168284</v>
      </c>
      <c r="T85" s="108">
        <f t="shared" si="9"/>
        <v>450.60194174757282</v>
      </c>
    </row>
    <row r="86" spans="1:20" s="85" customFormat="1" ht="12.75" x14ac:dyDescent="0.2">
      <c r="A86" s="109">
        <v>227</v>
      </c>
      <c r="B86" s="110">
        <v>1</v>
      </c>
      <c r="C86" s="103" t="s">
        <v>205</v>
      </c>
      <c r="D86" s="103">
        <v>6</v>
      </c>
      <c r="E86" s="104">
        <f>+SUMIF('GE16FEB14 Unfudged'!$A$2:$A$498, $A86, 'GE16FEB14 Unfudged'!$D$2:$D$498)</f>
        <v>994</v>
      </c>
      <c r="F86" s="104">
        <v>143194</v>
      </c>
      <c r="G86" s="105">
        <v>94430</v>
      </c>
      <c r="H86" s="106">
        <v>48764</v>
      </c>
      <c r="I86" s="107">
        <v>421626</v>
      </c>
      <c r="J86" s="105">
        <v>278042</v>
      </c>
      <c r="K86" s="106">
        <v>143584</v>
      </c>
      <c r="L86" s="107">
        <v>298320</v>
      </c>
      <c r="M86" s="105">
        <v>114013</v>
      </c>
      <c r="N86" s="106">
        <v>184307</v>
      </c>
      <c r="O86" s="107">
        <f t="shared" si="8"/>
        <v>863140</v>
      </c>
      <c r="P86" s="105">
        <f t="shared" si="8"/>
        <v>486485</v>
      </c>
      <c r="Q86" s="106">
        <f t="shared" si="8"/>
        <v>376655</v>
      </c>
      <c r="R86" s="105">
        <f t="shared" si="9"/>
        <v>868.35010060362174</v>
      </c>
      <c r="S86" s="105">
        <f t="shared" si="9"/>
        <v>489.4215291750503</v>
      </c>
      <c r="T86" s="108">
        <f t="shared" si="9"/>
        <v>378.92857142857144</v>
      </c>
    </row>
    <row r="87" spans="1:20" s="85" customFormat="1" ht="12.75" x14ac:dyDescent="0.2">
      <c r="A87" s="109">
        <v>229</v>
      </c>
      <c r="B87" s="110">
        <v>1</v>
      </c>
      <c r="C87" s="103" t="s">
        <v>206</v>
      </c>
      <c r="D87" s="103">
        <v>6</v>
      </c>
      <c r="E87" s="104">
        <f>+SUMIF('GE16FEB14 Unfudged'!$A$2:$A$498, $A87, 'GE16FEB14 Unfudged'!$D$2:$D$498)</f>
        <v>342</v>
      </c>
      <c r="F87" s="104">
        <v>49248</v>
      </c>
      <c r="G87" s="105">
        <v>49248</v>
      </c>
      <c r="H87" s="106">
        <v>0</v>
      </c>
      <c r="I87" s="107">
        <v>145008</v>
      </c>
      <c r="J87" s="105">
        <v>145008</v>
      </c>
      <c r="K87" s="106">
        <v>0</v>
      </c>
      <c r="L87" s="107">
        <v>102600</v>
      </c>
      <c r="M87" s="105">
        <v>57812</v>
      </c>
      <c r="N87" s="106">
        <v>44788</v>
      </c>
      <c r="O87" s="107">
        <f t="shared" si="8"/>
        <v>296856</v>
      </c>
      <c r="P87" s="105">
        <f t="shared" si="8"/>
        <v>252068</v>
      </c>
      <c r="Q87" s="106">
        <f t="shared" si="8"/>
        <v>44788</v>
      </c>
      <c r="R87" s="105">
        <f t="shared" si="9"/>
        <v>868</v>
      </c>
      <c r="S87" s="105">
        <f t="shared" si="9"/>
        <v>737.04093567251459</v>
      </c>
      <c r="T87" s="108">
        <f t="shared" si="9"/>
        <v>130.95906432748538</v>
      </c>
    </row>
    <row r="88" spans="1:20" s="85" customFormat="1" ht="12.75" x14ac:dyDescent="0.2">
      <c r="A88" s="109">
        <v>238</v>
      </c>
      <c r="B88" s="110">
        <v>1</v>
      </c>
      <c r="C88" s="103" t="s">
        <v>207</v>
      </c>
      <c r="D88" s="103">
        <v>6</v>
      </c>
      <c r="E88" s="104">
        <f>+SUMIF('GE16FEB14 Unfudged'!$A$2:$A$498, $A88, 'GE16FEB14 Unfudged'!$D$2:$D$498)</f>
        <v>258</v>
      </c>
      <c r="F88" s="104">
        <v>24834</v>
      </c>
      <c r="G88" s="105">
        <v>14639</v>
      </c>
      <c r="H88" s="106">
        <v>10195</v>
      </c>
      <c r="I88" s="107">
        <v>109477</v>
      </c>
      <c r="J88" s="105">
        <v>64534</v>
      </c>
      <c r="K88" s="106">
        <v>44943</v>
      </c>
      <c r="L88" s="107">
        <v>281340</v>
      </c>
      <c r="M88" s="105">
        <v>181583</v>
      </c>
      <c r="N88" s="106">
        <v>99757</v>
      </c>
      <c r="O88" s="107">
        <f t="shared" si="8"/>
        <v>415651</v>
      </c>
      <c r="P88" s="105">
        <f t="shared" si="8"/>
        <v>260756</v>
      </c>
      <c r="Q88" s="106">
        <f t="shared" si="8"/>
        <v>154895</v>
      </c>
      <c r="R88" s="105">
        <f t="shared" si="9"/>
        <v>1611.0503875968993</v>
      </c>
      <c r="S88" s="105">
        <f t="shared" si="9"/>
        <v>1010.6821705426356</v>
      </c>
      <c r="T88" s="108">
        <f t="shared" si="9"/>
        <v>600.3682170542636</v>
      </c>
    </row>
    <row r="89" spans="1:20" s="85" customFormat="1" ht="12.75" x14ac:dyDescent="0.2">
      <c r="A89" s="109">
        <v>239</v>
      </c>
      <c r="B89" s="110">
        <v>1</v>
      </c>
      <c r="C89" s="103" t="s">
        <v>208</v>
      </c>
      <c r="D89" s="103">
        <v>6</v>
      </c>
      <c r="E89" s="104">
        <f>+SUMIF('GE16FEB14 Unfudged'!$A$2:$A$498, $A89, 'GE16FEB14 Unfudged'!$D$2:$D$498)</f>
        <v>731</v>
      </c>
      <c r="F89" s="104">
        <v>90175</v>
      </c>
      <c r="G89" s="105">
        <v>55704</v>
      </c>
      <c r="H89" s="106">
        <v>34471</v>
      </c>
      <c r="I89" s="107">
        <v>309859</v>
      </c>
      <c r="J89" s="105">
        <v>191409</v>
      </c>
      <c r="K89" s="106">
        <v>118450</v>
      </c>
      <c r="L89" s="107">
        <v>467924</v>
      </c>
      <c r="M89" s="105">
        <v>232107</v>
      </c>
      <c r="N89" s="106">
        <v>235817</v>
      </c>
      <c r="O89" s="107">
        <f t="shared" si="8"/>
        <v>867958</v>
      </c>
      <c r="P89" s="105">
        <f t="shared" si="8"/>
        <v>479220</v>
      </c>
      <c r="Q89" s="106">
        <f t="shared" si="8"/>
        <v>388738</v>
      </c>
      <c r="R89" s="105">
        <f t="shared" si="9"/>
        <v>1187.3570451436387</v>
      </c>
      <c r="S89" s="105">
        <f t="shared" si="9"/>
        <v>655.56771545827633</v>
      </c>
      <c r="T89" s="108">
        <f t="shared" si="9"/>
        <v>531.78932968536253</v>
      </c>
    </row>
    <row r="90" spans="1:20" s="85" customFormat="1" ht="12.75" x14ac:dyDescent="0.2">
      <c r="A90" s="109">
        <v>241</v>
      </c>
      <c r="B90" s="110">
        <v>1</v>
      </c>
      <c r="C90" s="103" t="s">
        <v>209</v>
      </c>
      <c r="D90" s="103">
        <v>4</v>
      </c>
      <c r="E90" s="104">
        <f>+SUMIF('GE16FEB14 Unfudged'!$A$2:$A$498, $A90, 'GE16FEB14 Unfudged'!$D$2:$D$498)</f>
        <v>3578</v>
      </c>
      <c r="F90" s="104">
        <v>414953</v>
      </c>
      <c r="G90" s="105">
        <v>261153</v>
      </c>
      <c r="H90" s="106">
        <v>153800</v>
      </c>
      <c r="I90" s="107">
        <v>1517072</v>
      </c>
      <c r="J90" s="105">
        <v>954780</v>
      </c>
      <c r="K90" s="106">
        <v>562292</v>
      </c>
      <c r="L90" s="107">
        <v>2729227</v>
      </c>
      <c r="M90" s="105">
        <v>1437306</v>
      </c>
      <c r="N90" s="106">
        <v>1291921</v>
      </c>
      <c r="O90" s="107">
        <f t="shared" si="8"/>
        <v>4661252</v>
      </c>
      <c r="P90" s="105">
        <f t="shared" si="8"/>
        <v>2653239</v>
      </c>
      <c r="Q90" s="106">
        <f t="shared" si="8"/>
        <v>2008013</v>
      </c>
      <c r="R90" s="105">
        <f t="shared" si="9"/>
        <v>1302.7534935718279</v>
      </c>
      <c r="S90" s="105">
        <f t="shared" si="9"/>
        <v>741.54248183342645</v>
      </c>
      <c r="T90" s="108">
        <f t="shared" si="9"/>
        <v>561.21101173840134</v>
      </c>
    </row>
    <row r="91" spans="1:20" s="85" customFormat="1" ht="12.75" x14ac:dyDescent="0.2">
      <c r="A91" s="109">
        <v>242</v>
      </c>
      <c r="B91" s="110">
        <v>1</v>
      </c>
      <c r="C91" s="103" t="s">
        <v>210</v>
      </c>
      <c r="D91" s="103">
        <v>6</v>
      </c>
      <c r="E91" s="104">
        <f>+SUMIF('GE16FEB14 Unfudged'!$A$2:$A$498, $A91, 'GE16FEB14 Unfudged'!$D$2:$D$498)</f>
        <v>541</v>
      </c>
      <c r="F91" s="104">
        <v>71135</v>
      </c>
      <c r="G91" s="105">
        <v>40771</v>
      </c>
      <c r="H91" s="106">
        <v>30364</v>
      </c>
      <c r="I91" s="107">
        <v>229320</v>
      </c>
      <c r="J91" s="105">
        <v>131435</v>
      </c>
      <c r="K91" s="106">
        <v>97885</v>
      </c>
      <c r="L91" s="107">
        <v>273670</v>
      </c>
      <c r="M91" s="105">
        <v>117754</v>
      </c>
      <c r="N91" s="106">
        <v>155916</v>
      </c>
      <c r="O91" s="107">
        <f t="shared" si="8"/>
        <v>574125</v>
      </c>
      <c r="P91" s="105">
        <f t="shared" si="8"/>
        <v>289960</v>
      </c>
      <c r="Q91" s="106">
        <f t="shared" si="8"/>
        <v>284165</v>
      </c>
      <c r="R91" s="105">
        <f t="shared" si="9"/>
        <v>1061.2292051756008</v>
      </c>
      <c r="S91" s="105">
        <f t="shared" si="9"/>
        <v>535.97042513863221</v>
      </c>
      <c r="T91" s="108">
        <f t="shared" si="9"/>
        <v>525.25878003696857</v>
      </c>
    </row>
    <row r="92" spans="1:20" s="85" customFormat="1" ht="12.75" x14ac:dyDescent="0.2">
      <c r="A92" s="109">
        <v>252</v>
      </c>
      <c r="B92" s="110">
        <v>1</v>
      </c>
      <c r="C92" s="103" t="s">
        <v>211</v>
      </c>
      <c r="D92" s="103">
        <v>5</v>
      </c>
      <c r="E92" s="104">
        <f>+SUMIF('GE16FEB14 Unfudged'!$A$2:$A$498, $A92, 'GE16FEB14 Unfudged'!$D$2:$D$498)</f>
        <v>1224</v>
      </c>
      <c r="F92" s="104">
        <v>176221</v>
      </c>
      <c r="G92" s="105">
        <v>176221</v>
      </c>
      <c r="H92" s="106">
        <v>0</v>
      </c>
      <c r="I92" s="107">
        <v>518870</v>
      </c>
      <c r="J92" s="105">
        <v>518870</v>
      </c>
      <c r="K92" s="106">
        <v>0</v>
      </c>
      <c r="L92" s="107">
        <v>367125</v>
      </c>
      <c r="M92" s="105">
        <v>221954</v>
      </c>
      <c r="N92" s="106">
        <v>145171</v>
      </c>
      <c r="O92" s="107">
        <f t="shared" si="8"/>
        <v>1062216</v>
      </c>
      <c r="P92" s="105">
        <f t="shared" si="8"/>
        <v>917045</v>
      </c>
      <c r="Q92" s="106">
        <f t="shared" si="8"/>
        <v>145171</v>
      </c>
      <c r="R92" s="105">
        <f t="shared" si="9"/>
        <v>867.82352941176475</v>
      </c>
      <c r="S92" s="105">
        <f t="shared" si="9"/>
        <v>749.21977124183002</v>
      </c>
      <c r="T92" s="108">
        <f t="shared" si="9"/>
        <v>118.60375816993464</v>
      </c>
    </row>
    <row r="93" spans="1:20" s="85" customFormat="1" ht="12.75" x14ac:dyDescent="0.2">
      <c r="A93" s="109">
        <v>253</v>
      </c>
      <c r="B93" s="110">
        <v>1</v>
      </c>
      <c r="C93" s="103" t="s">
        <v>212</v>
      </c>
      <c r="D93" s="103">
        <v>6</v>
      </c>
      <c r="E93" s="104">
        <f>+SUMIF('GE16FEB14 Unfudged'!$A$2:$A$498, $A93, 'GE16FEB14 Unfudged'!$D$2:$D$498)</f>
        <v>708</v>
      </c>
      <c r="F93" s="104">
        <v>101981</v>
      </c>
      <c r="G93" s="105">
        <v>59111</v>
      </c>
      <c r="H93" s="106">
        <v>42870</v>
      </c>
      <c r="I93" s="107">
        <v>300277</v>
      </c>
      <c r="J93" s="105">
        <v>174050</v>
      </c>
      <c r="K93" s="106">
        <v>126227</v>
      </c>
      <c r="L93" s="107">
        <v>212460</v>
      </c>
      <c r="M93" s="105">
        <v>71370</v>
      </c>
      <c r="N93" s="106">
        <v>141090</v>
      </c>
      <c r="O93" s="107">
        <f t="shared" si="8"/>
        <v>614718</v>
      </c>
      <c r="P93" s="105">
        <f t="shared" si="8"/>
        <v>304531</v>
      </c>
      <c r="Q93" s="106">
        <f t="shared" si="8"/>
        <v>310187</v>
      </c>
      <c r="R93" s="105">
        <f t="shared" si="9"/>
        <v>868.24576271186436</v>
      </c>
      <c r="S93" s="105">
        <f t="shared" si="9"/>
        <v>430.12853107344631</v>
      </c>
      <c r="T93" s="108">
        <f t="shared" si="9"/>
        <v>438.1172316384181</v>
      </c>
    </row>
    <row r="94" spans="1:20" s="85" customFormat="1" ht="12.75" x14ac:dyDescent="0.2">
      <c r="A94" s="109">
        <v>255</v>
      </c>
      <c r="B94" s="110">
        <v>1</v>
      </c>
      <c r="C94" s="103" t="s">
        <v>213</v>
      </c>
      <c r="D94" s="103">
        <v>5</v>
      </c>
      <c r="E94" s="104">
        <f>+SUMIF('GE16FEB14 Unfudged'!$A$2:$A$498, $A94, 'GE16FEB14 Unfudged'!$D$2:$D$498)</f>
        <v>1363</v>
      </c>
      <c r="F94" s="104">
        <v>196214</v>
      </c>
      <c r="G94" s="105">
        <v>133904</v>
      </c>
      <c r="H94" s="106">
        <v>62310</v>
      </c>
      <c r="I94" s="107">
        <v>577742</v>
      </c>
      <c r="J94" s="105">
        <v>394273</v>
      </c>
      <c r="K94" s="106">
        <v>183469</v>
      </c>
      <c r="L94" s="107">
        <v>408780</v>
      </c>
      <c r="M94" s="105">
        <v>161674</v>
      </c>
      <c r="N94" s="106">
        <v>247106</v>
      </c>
      <c r="O94" s="107">
        <f t="shared" si="8"/>
        <v>1182736</v>
      </c>
      <c r="P94" s="105">
        <f t="shared" si="8"/>
        <v>689851</v>
      </c>
      <c r="Q94" s="106">
        <f t="shared" si="8"/>
        <v>492885</v>
      </c>
      <c r="R94" s="105">
        <f t="shared" si="9"/>
        <v>867.74468085106378</v>
      </c>
      <c r="S94" s="105">
        <f t="shared" si="9"/>
        <v>506.12692589875275</v>
      </c>
      <c r="T94" s="108">
        <f t="shared" si="9"/>
        <v>361.61775495231109</v>
      </c>
    </row>
    <row r="95" spans="1:20" s="85" customFormat="1" ht="12.75" x14ac:dyDescent="0.2">
      <c r="A95" s="109">
        <v>256</v>
      </c>
      <c r="B95" s="110">
        <v>1</v>
      </c>
      <c r="C95" s="103" t="s">
        <v>214</v>
      </c>
      <c r="D95" s="103">
        <v>4</v>
      </c>
      <c r="E95" s="104">
        <f>+SUMIF('GE16FEB14 Unfudged'!$A$2:$A$498, $A95, 'GE16FEB14 Unfudged'!$D$2:$D$498)</f>
        <v>2995</v>
      </c>
      <c r="F95" s="104">
        <v>346987</v>
      </c>
      <c r="G95" s="105">
        <v>346987</v>
      </c>
      <c r="H95" s="106">
        <v>0</v>
      </c>
      <c r="I95" s="107">
        <v>1270050</v>
      </c>
      <c r="J95" s="105">
        <v>1270050</v>
      </c>
      <c r="K95" s="106">
        <v>0</v>
      </c>
      <c r="L95" s="107">
        <v>2291421</v>
      </c>
      <c r="M95" s="105">
        <v>2030313</v>
      </c>
      <c r="N95" s="106">
        <v>261108</v>
      </c>
      <c r="O95" s="107">
        <f t="shared" si="8"/>
        <v>3908458</v>
      </c>
      <c r="P95" s="105">
        <f t="shared" si="8"/>
        <v>3647350</v>
      </c>
      <c r="Q95" s="106">
        <f t="shared" si="8"/>
        <v>261108</v>
      </c>
      <c r="R95" s="105">
        <f t="shared" si="9"/>
        <v>1304.9943238731219</v>
      </c>
      <c r="S95" s="105">
        <f t="shared" si="9"/>
        <v>1217.8130217028381</v>
      </c>
      <c r="T95" s="108">
        <f t="shared" si="9"/>
        <v>87.1813021702838</v>
      </c>
    </row>
    <row r="96" spans="1:20" s="85" customFormat="1" ht="12.75" x14ac:dyDescent="0.2">
      <c r="A96" s="109">
        <v>261</v>
      </c>
      <c r="B96" s="110">
        <v>1</v>
      </c>
      <c r="C96" s="103" t="s">
        <v>215</v>
      </c>
      <c r="D96" s="103">
        <v>6</v>
      </c>
      <c r="E96" s="104">
        <f>+SUMIF('GE16FEB14 Unfudged'!$A$2:$A$498, $A96, 'GE16FEB14 Unfudged'!$D$2:$D$498)</f>
        <v>272</v>
      </c>
      <c r="F96" s="104">
        <v>29236</v>
      </c>
      <c r="G96" s="105">
        <v>21345</v>
      </c>
      <c r="H96" s="106">
        <v>7891</v>
      </c>
      <c r="I96" s="107">
        <v>115328</v>
      </c>
      <c r="J96" s="105">
        <v>84200</v>
      </c>
      <c r="K96" s="106">
        <v>31128</v>
      </c>
      <c r="L96" s="107">
        <v>245605</v>
      </c>
      <c r="M96" s="105">
        <v>164761</v>
      </c>
      <c r="N96" s="106">
        <v>80844</v>
      </c>
      <c r="O96" s="107">
        <f t="shared" si="8"/>
        <v>390169</v>
      </c>
      <c r="P96" s="105">
        <f t="shared" si="8"/>
        <v>270306</v>
      </c>
      <c r="Q96" s="106">
        <f t="shared" si="8"/>
        <v>119863</v>
      </c>
      <c r="R96" s="105">
        <f t="shared" si="9"/>
        <v>1434.4448529411766</v>
      </c>
      <c r="S96" s="105">
        <f t="shared" si="9"/>
        <v>993.77205882352939</v>
      </c>
      <c r="T96" s="108">
        <f t="shared" si="9"/>
        <v>440.67279411764707</v>
      </c>
    </row>
    <row r="97" spans="1:20" s="85" customFormat="1" ht="12.75" x14ac:dyDescent="0.2">
      <c r="A97" s="109">
        <v>264</v>
      </c>
      <c r="B97" s="110">
        <v>1</v>
      </c>
      <c r="C97" s="103" t="s">
        <v>216</v>
      </c>
      <c r="D97" s="103">
        <v>6</v>
      </c>
      <c r="E97" s="104">
        <f>+SUMIF('GE16FEB14 Unfudged'!$A$2:$A$498, $A97, 'GE16FEB14 Unfudged'!$D$2:$D$498)</f>
        <v>119</v>
      </c>
      <c r="F97" s="104">
        <v>5943</v>
      </c>
      <c r="G97" s="105">
        <v>3322</v>
      </c>
      <c r="H97" s="106">
        <v>2621</v>
      </c>
      <c r="I97" s="107">
        <v>50392</v>
      </c>
      <c r="J97" s="105">
        <v>28172</v>
      </c>
      <c r="K97" s="106">
        <v>22220</v>
      </c>
      <c r="L97" s="107">
        <v>399115</v>
      </c>
      <c r="M97" s="105">
        <v>151783</v>
      </c>
      <c r="N97" s="106">
        <v>247332</v>
      </c>
      <c r="O97" s="107">
        <f t="shared" si="8"/>
        <v>455450</v>
      </c>
      <c r="P97" s="105">
        <f t="shared" si="8"/>
        <v>183277</v>
      </c>
      <c r="Q97" s="106">
        <f t="shared" si="8"/>
        <v>272173</v>
      </c>
      <c r="R97" s="105">
        <f t="shared" si="9"/>
        <v>3827.3109243697477</v>
      </c>
      <c r="S97" s="105">
        <f t="shared" si="9"/>
        <v>1540.1428571428571</v>
      </c>
      <c r="T97" s="108">
        <f t="shared" si="9"/>
        <v>2287.1680672268908</v>
      </c>
    </row>
    <row r="98" spans="1:20" s="85" customFormat="1" ht="12.75" x14ac:dyDescent="0.2">
      <c r="A98" s="109">
        <v>270</v>
      </c>
      <c r="B98" s="110">
        <v>1</v>
      </c>
      <c r="C98" s="103" t="s">
        <v>217</v>
      </c>
      <c r="D98" s="103">
        <v>2</v>
      </c>
      <c r="E98" s="104">
        <f>+SUMIF('GE16FEB14 Unfudged'!$A$2:$A$498, $A98, 'GE16FEB14 Unfudged'!$D$2:$D$498)</f>
        <v>7432</v>
      </c>
      <c r="F98" s="104">
        <v>371590</v>
      </c>
      <c r="G98" s="105">
        <v>371590</v>
      </c>
      <c r="H98" s="106">
        <v>0</v>
      </c>
      <c r="I98" s="107">
        <v>3151083</v>
      </c>
      <c r="J98" s="105">
        <v>3151083</v>
      </c>
      <c r="K98" s="106">
        <v>0</v>
      </c>
      <c r="L98" s="107">
        <v>14129487</v>
      </c>
      <c r="M98" s="105">
        <v>14117237</v>
      </c>
      <c r="N98" s="106">
        <v>12250</v>
      </c>
      <c r="O98" s="107">
        <f t="shared" si="8"/>
        <v>17652160</v>
      </c>
      <c r="P98" s="105">
        <f t="shared" si="8"/>
        <v>17639910</v>
      </c>
      <c r="Q98" s="106">
        <f t="shared" si="8"/>
        <v>12250</v>
      </c>
      <c r="R98" s="105">
        <f t="shared" si="9"/>
        <v>2375.1560818083963</v>
      </c>
      <c r="S98" s="105">
        <f t="shared" si="9"/>
        <v>2373.50780409042</v>
      </c>
      <c r="T98" s="108">
        <f t="shared" si="9"/>
        <v>1.6482777179763186</v>
      </c>
    </row>
    <row r="99" spans="1:20" s="85" customFormat="1" ht="12.75" x14ac:dyDescent="0.2">
      <c r="A99" s="109">
        <v>271</v>
      </c>
      <c r="B99" s="110">
        <v>1</v>
      </c>
      <c r="C99" s="103" t="s">
        <v>218</v>
      </c>
      <c r="D99" s="103">
        <v>3</v>
      </c>
      <c r="E99" s="104">
        <f>+SUMIF('GE16FEB14 Unfudged'!$A$2:$A$498, $A99, 'GE16FEB14 Unfudged'!$D$2:$D$498)</f>
        <v>11158</v>
      </c>
      <c r="F99" s="104">
        <v>924608</v>
      </c>
      <c r="G99" s="105">
        <v>924608</v>
      </c>
      <c r="H99" s="106">
        <v>0</v>
      </c>
      <c r="I99" s="107">
        <v>4730907</v>
      </c>
      <c r="J99" s="105">
        <v>4730907</v>
      </c>
      <c r="K99" s="106">
        <v>0</v>
      </c>
      <c r="L99" s="107">
        <v>15649149</v>
      </c>
      <c r="M99" s="105">
        <v>15532133</v>
      </c>
      <c r="N99" s="106">
        <v>117016</v>
      </c>
      <c r="O99" s="107">
        <f t="shared" si="8"/>
        <v>21304664</v>
      </c>
      <c r="P99" s="105">
        <f t="shared" si="8"/>
        <v>21187648</v>
      </c>
      <c r="Q99" s="106">
        <f t="shared" si="8"/>
        <v>117016</v>
      </c>
      <c r="R99" s="105">
        <f t="shared" si="9"/>
        <v>1909.3622512995159</v>
      </c>
      <c r="S99" s="105">
        <f t="shared" si="9"/>
        <v>1898.8750672163469</v>
      </c>
      <c r="T99" s="108">
        <f t="shared" si="9"/>
        <v>10.487184083169026</v>
      </c>
    </row>
    <row r="100" spans="1:20" s="85" customFormat="1" ht="12.75" x14ac:dyDescent="0.2">
      <c r="A100" s="109">
        <v>272</v>
      </c>
      <c r="B100" s="110">
        <v>1</v>
      </c>
      <c r="C100" s="103" t="s">
        <v>219</v>
      </c>
      <c r="D100" s="103">
        <v>3</v>
      </c>
      <c r="E100" s="104">
        <f>+SUMIF('GE16FEB14 Unfudged'!$A$2:$A$498, $A100, 'GE16FEB14 Unfudged'!$D$2:$D$498)</f>
        <v>10035</v>
      </c>
      <c r="F100" s="104">
        <v>1232140</v>
      </c>
      <c r="G100" s="105">
        <v>1232140</v>
      </c>
      <c r="H100" s="106">
        <v>0</v>
      </c>
      <c r="I100" s="107">
        <v>4255010</v>
      </c>
      <c r="J100" s="105">
        <v>4255010</v>
      </c>
      <c r="K100" s="106">
        <v>0</v>
      </c>
      <c r="L100" s="107">
        <v>8857043</v>
      </c>
      <c r="M100" s="105">
        <v>8548776</v>
      </c>
      <c r="N100" s="106">
        <v>308267</v>
      </c>
      <c r="O100" s="107">
        <f t="shared" si="8"/>
        <v>14344193</v>
      </c>
      <c r="P100" s="105">
        <f t="shared" si="8"/>
        <v>14035926</v>
      </c>
      <c r="Q100" s="106">
        <f t="shared" si="8"/>
        <v>308267</v>
      </c>
      <c r="R100" s="105">
        <f t="shared" si="9"/>
        <v>1429.4163428001993</v>
      </c>
      <c r="S100" s="105">
        <f t="shared" si="9"/>
        <v>1398.6971599402093</v>
      </c>
      <c r="T100" s="108">
        <f t="shared" si="9"/>
        <v>30.719182859990035</v>
      </c>
    </row>
    <row r="101" spans="1:20" s="85" customFormat="1" ht="12.75" x14ac:dyDescent="0.2">
      <c r="A101" s="109">
        <v>273</v>
      </c>
      <c r="B101" s="110">
        <v>1</v>
      </c>
      <c r="C101" s="103" t="s">
        <v>220</v>
      </c>
      <c r="D101" s="103">
        <v>2</v>
      </c>
      <c r="E101" s="104">
        <f>+SUMIF('GE16FEB14 Unfudged'!$A$2:$A$498, $A101, 'GE16FEB14 Unfudged'!$D$2:$D$498)</f>
        <v>9421</v>
      </c>
      <c r="F101" s="104">
        <v>779106</v>
      </c>
      <c r="G101" s="105">
        <v>779106</v>
      </c>
      <c r="H101" s="106">
        <v>0</v>
      </c>
      <c r="I101" s="107">
        <v>3994419</v>
      </c>
      <c r="J101" s="105">
        <v>3994419</v>
      </c>
      <c r="K101" s="106">
        <v>0</v>
      </c>
      <c r="L101" s="107">
        <v>13233304</v>
      </c>
      <c r="M101" s="105">
        <v>13228832</v>
      </c>
      <c r="N101" s="106">
        <v>4472</v>
      </c>
      <c r="O101" s="107">
        <f t="shared" si="8"/>
        <v>18006829</v>
      </c>
      <c r="P101" s="105">
        <f t="shared" si="8"/>
        <v>18002357</v>
      </c>
      <c r="Q101" s="106">
        <f t="shared" si="8"/>
        <v>4472</v>
      </c>
      <c r="R101" s="105">
        <f t="shared" si="9"/>
        <v>1911.3500689947989</v>
      </c>
      <c r="S101" s="105">
        <f t="shared" si="9"/>
        <v>1910.8753847786859</v>
      </c>
      <c r="T101" s="108">
        <f t="shared" si="9"/>
        <v>0.47468421611293921</v>
      </c>
    </row>
    <row r="102" spans="1:20" s="85" customFormat="1" ht="12.75" x14ac:dyDescent="0.2">
      <c r="A102" s="109">
        <v>276</v>
      </c>
      <c r="B102" s="110">
        <v>1</v>
      </c>
      <c r="C102" s="103" t="s">
        <v>221</v>
      </c>
      <c r="D102" s="103">
        <v>3</v>
      </c>
      <c r="E102" s="104">
        <f>+SUMIF('GE16FEB14 Unfudged'!$A$2:$A$498, $A102, 'GE16FEB14 Unfudged'!$D$2:$D$498)</f>
        <v>10955</v>
      </c>
      <c r="F102" s="104">
        <v>1046863</v>
      </c>
      <c r="G102" s="105">
        <v>1046863</v>
      </c>
      <c r="H102" s="106">
        <v>0</v>
      </c>
      <c r="I102" s="107">
        <v>4644708</v>
      </c>
      <c r="J102" s="105">
        <v>4644708</v>
      </c>
      <c r="K102" s="106">
        <v>0</v>
      </c>
      <c r="L102" s="107">
        <v>13551921</v>
      </c>
      <c r="M102" s="105">
        <v>13279508</v>
      </c>
      <c r="N102" s="106">
        <v>272413</v>
      </c>
      <c r="O102" s="107">
        <f t="shared" si="8"/>
        <v>19243492</v>
      </c>
      <c r="P102" s="105">
        <f t="shared" si="8"/>
        <v>18971079</v>
      </c>
      <c r="Q102" s="106">
        <f t="shared" si="8"/>
        <v>272413</v>
      </c>
      <c r="R102" s="105">
        <f t="shared" si="9"/>
        <v>1756.5944317663168</v>
      </c>
      <c r="S102" s="105">
        <f t="shared" si="9"/>
        <v>1731.727886809676</v>
      </c>
      <c r="T102" s="108">
        <f t="shared" si="9"/>
        <v>24.866544956640805</v>
      </c>
    </row>
    <row r="103" spans="1:20" s="85" customFormat="1" ht="12.75" x14ac:dyDescent="0.2">
      <c r="A103" s="109">
        <v>277</v>
      </c>
      <c r="B103" s="110">
        <v>1</v>
      </c>
      <c r="C103" s="103" t="s">
        <v>222</v>
      </c>
      <c r="D103" s="103">
        <v>3</v>
      </c>
      <c r="E103" s="104">
        <f>+SUMIF('GE16FEB14 Unfudged'!$A$2:$A$498, $A103, 'GE16FEB14 Unfudged'!$D$2:$D$498)</f>
        <v>2416</v>
      </c>
      <c r="F103" s="104">
        <v>205538</v>
      </c>
      <c r="G103" s="105">
        <v>205538</v>
      </c>
      <c r="H103" s="106">
        <v>0</v>
      </c>
      <c r="I103" s="107">
        <v>1024469</v>
      </c>
      <c r="J103" s="105">
        <v>1024469</v>
      </c>
      <c r="K103" s="106">
        <v>0</v>
      </c>
      <c r="L103" s="107">
        <v>3319545</v>
      </c>
      <c r="M103" s="105">
        <v>3282548</v>
      </c>
      <c r="N103" s="106">
        <v>36997</v>
      </c>
      <c r="O103" s="107">
        <f t="shared" si="8"/>
        <v>4549552</v>
      </c>
      <c r="P103" s="105">
        <f t="shared" si="8"/>
        <v>4512555</v>
      </c>
      <c r="Q103" s="106">
        <f t="shared" si="8"/>
        <v>36997</v>
      </c>
      <c r="R103" s="105">
        <f t="shared" si="9"/>
        <v>1883.0927152317881</v>
      </c>
      <c r="S103" s="105">
        <f t="shared" si="9"/>
        <v>1867.7793874172185</v>
      </c>
      <c r="T103" s="108">
        <f t="shared" si="9"/>
        <v>15.313327814569536</v>
      </c>
    </row>
    <row r="104" spans="1:20" s="85" customFormat="1" ht="12.75" x14ac:dyDescent="0.2">
      <c r="A104" s="109">
        <v>278</v>
      </c>
      <c r="B104" s="110">
        <v>1</v>
      </c>
      <c r="C104" s="103" t="s">
        <v>223</v>
      </c>
      <c r="D104" s="103">
        <v>3</v>
      </c>
      <c r="E104" s="104">
        <f>+SUMIF('GE16FEB14 Unfudged'!$A$2:$A$498, $A104, 'GE16FEB14 Unfudged'!$D$2:$D$498)</f>
        <v>2981</v>
      </c>
      <c r="F104" s="104">
        <v>235178</v>
      </c>
      <c r="G104" s="105">
        <v>235178</v>
      </c>
      <c r="H104" s="106">
        <v>0</v>
      </c>
      <c r="I104" s="107">
        <v>1263986</v>
      </c>
      <c r="J104" s="105">
        <v>1263986</v>
      </c>
      <c r="K104" s="106">
        <v>0</v>
      </c>
      <c r="L104" s="107">
        <v>4335533</v>
      </c>
      <c r="M104" s="105">
        <v>4213774</v>
      </c>
      <c r="N104" s="106">
        <v>121759</v>
      </c>
      <c r="O104" s="107">
        <f t="shared" si="8"/>
        <v>5834697</v>
      </c>
      <c r="P104" s="105">
        <f t="shared" si="8"/>
        <v>5712938</v>
      </c>
      <c r="Q104" s="106">
        <f t="shared" si="8"/>
        <v>121759</v>
      </c>
      <c r="R104" s="105">
        <f t="shared" si="9"/>
        <v>1957.2952029520295</v>
      </c>
      <c r="S104" s="105">
        <f t="shared" si="9"/>
        <v>1916.4501845018451</v>
      </c>
      <c r="T104" s="108">
        <f t="shared" si="9"/>
        <v>40.845018450184504</v>
      </c>
    </row>
    <row r="105" spans="1:20" s="85" customFormat="1" ht="12.75" x14ac:dyDescent="0.2">
      <c r="A105" s="109">
        <v>279</v>
      </c>
      <c r="B105" s="110">
        <v>1</v>
      </c>
      <c r="C105" s="103" t="s">
        <v>224</v>
      </c>
      <c r="D105" s="103">
        <v>3</v>
      </c>
      <c r="E105" s="104">
        <f>+SUMIF('GE16FEB14 Unfudged'!$A$2:$A$498, $A105, 'GE16FEB14 Unfudged'!$D$2:$D$498)</f>
        <v>22139</v>
      </c>
      <c r="F105" s="104">
        <v>1106950</v>
      </c>
      <c r="G105" s="105">
        <v>1008653</v>
      </c>
      <c r="H105" s="106">
        <v>98297</v>
      </c>
      <c r="I105" s="107">
        <v>9386936</v>
      </c>
      <c r="J105" s="105">
        <v>8553374</v>
      </c>
      <c r="K105" s="106">
        <v>833562</v>
      </c>
      <c r="L105" s="107">
        <v>35482397</v>
      </c>
      <c r="M105" s="105">
        <v>31443721</v>
      </c>
      <c r="N105" s="106">
        <v>4038676</v>
      </c>
      <c r="O105" s="107">
        <f t="shared" si="8"/>
        <v>45976283</v>
      </c>
      <c r="P105" s="105">
        <f t="shared" si="8"/>
        <v>41005748</v>
      </c>
      <c r="Q105" s="106">
        <f t="shared" si="8"/>
        <v>4970535</v>
      </c>
      <c r="R105" s="105">
        <f t="shared" si="9"/>
        <v>2076.710014002439</v>
      </c>
      <c r="S105" s="105">
        <f t="shared" si="9"/>
        <v>1852.1951307647139</v>
      </c>
      <c r="T105" s="108">
        <f t="shared" si="9"/>
        <v>224.51488323772529</v>
      </c>
    </row>
    <row r="106" spans="1:20" s="85" customFormat="1" ht="12.75" x14ac:dyDescent="0.2">
      <c r="A106" s="109">
        <v>280</v>
      </c>
      <c r="B106" s="110">
        <v>1</v>
      </c>
      <c r="C106" s="103" t="s">
        <v>225</v>
      </c>
      <c r="D106" s="103">
        <v>2</v>
      </c>
      <c r="E106" s="104">
        <f>+SUMIF('GE16FEB14 Unfudged'!$A$2:$A$498, $A106, 'GE16FEB14 Unfudged'!$D$2:$D$498)</f>
        <v>4775</v>
      </c>
      <c r="F106" s="104">
        <v>578816</v>
      </c>
      <c r="G106" s="105">
        <v>578816</v>
      </c>
      <c r="H106" s="106">
        <v>0</v>
      </c>
      <c r="I106" s="107">
        <v>2024600</v>
      </c>
      <c r="J106" s="105">
        <v>2024600</v>
      </c>
      <c r="K106" s="106">
        <v>0</v>
      </c>
      <c r="L106" s="107">
        <v>4311443</v>
      </c>
      <c r="M106" s="105">
        <v>3927598</v>
      </c>
      <c r="N106" s="106">
        <v>383845</v>
      </c>
      <c r="O106" s="107">
        <f t="shared" si="8"/>
        <v>6914859</v>
      </c>
      <c r="P106" s="105">
        <f t="shared" si="8"/>
        <v>6531014</v>
      </c>
      <c r="Q106" s="106">
        <f t="shared" si="8"/>
        <v>383845</v>
      </c>
      <c r="R106" s="105">
        <f t="shared" si="9"/>
        <v>1448.1380104712041</v>
      </c>
      <c r="S106" s="105">
        <f t="shared" si="9"/>
        <v>1367.7516230366491</v>
      </c>
      <c r="T106" s="108">
        <f t="shared" si="9"/>
        <v>80.386387434554976</v>
      </c>
    </row>
    <row r="107" spans="1:20" s="85" customFormat="1" ht="12.75" x14ac:dyDescent="0.2">
      <c r="A107" s="109">
        <v>281</v>
      </c>
      <c r="B107" s="110">
        <v>1</v>
      </c>
      <c r="C107" s="103" t="s">
        <v>226</v>
      </c>
      <c r="D107" s="103">
        <v>2</v>
      </c>
      <c r="E107" s="104">
        <f>+SUMIF('GE16FEB14 Unfudged'!$A$2:$A$498, $A107, 'GE16FEB14 Unfudged'!$D$2:$D$498)</f>
        <v>13184</v>
      </c>
      <c r="F107" s="104">
        <v>1045183</v>
      </c>
      <c r="G107" s="105">
        <v>1031678</v>
      </c>
      <c r="H107" s="106">
        <v>13505</v>
      </c>
      <c r="I107" s="107">
        <v>5589931</v>
      </c>
      <c r="J107" s="105">
        <v>5517707</v>
      </c>
      <c r="K107" s="106">
        <v>72224</v>
      </c>
      <c r="L107" s="107">
        <v>19107018</v>
      </c>
      <c r="M107" s="105">
        <v>17336090</v>
      </c>
      <c r="N107" s="106">
        <v>1770928</v>
      </c>
      <c r="O107" s="107">
        <f t="shared" si="8"/>
        <v>25742132</v>
      </c>
      <c r="P107" s="105">
        <f t="shared" si="8"/>
        <v>23885475</v>
      </c>
      <c r="Q107" s="106">
        <f t="shared" si="8"/>
        <v>1856657</v>
      </c>
      <c r="R107" s="105">
        <f t="shared" si="9"/>
        <v>1952.5282160194174</v>
      </c>
      <c r="S107" s="105">
        <f t="shared" si="9"/>
        <v>1811.7016838592233</v>
      </c>
      <c r="T107" s="108">
        <f t="shared" si="9"/>
        <v>140.82653216019418</v>
      </c>
    </row>
    <row r="108" spans="1:20" s="85" customFormat="1" ht="12.75" x14ac:dyDescent="0.2">
      <c r="A108" s="109">
        <v>282</v>
      </c>
      <c r="B108" s="110">
        <v>1</v>
      </c>
      <c r="C108" s="103" t="s">
        <v>227</v>
      </c>
      <c r="D108" s="103">
        <v>2</v>
      </c>
      <c r="E108" s="104">
        <f>+SUMIF('GE16FEB14 Unfudged'!$A$2:$A$498, $A108, 'GE16FEB14 Unfudged'!$D$2:$D$498)</f>
        <v>1796</v>
      </c>
      <c r="F108" s="104">
        <v>206809</v>
      </c>
      <c r="G108" s="105">
        <v>206809</v>
      </c>
      <c r="H108" s="106">
        <v>0</v>
      </c>
      <c r="I108" s="107">
        <v>761334</v>
      </c>
      <c r="J108" s="105">
        <v>761334</v>
      </c>
      <c r="K108" s="106">
        <v>0</v>
      </c>
      <c r="L108" s="107">
        <v>1762633</v>
      </c>
      <c r="M108" s="105">
        <v>1510371</v>
      </c>
      <c r="N108" s="106">
        <v>252262</v>
      </c>
      <c r="O108" s="107">
        <f t="shared" si="8"/>
        <v>2730776</v>
      </c>
      <c r="P108" s="105">
        <f t="shared" si="8"/>
        <v>2478514</v>
      </c>
      <c r="Q108" s="106">
        <f t="shared" si="8"/>
        <v>252262</v>
      </c>
      <c r="R108" s="105">
        <f t="shared" si="9"/>
        <v>1520.4766146993318</v>
      </c>
      <c r="S108" s="105">
        <f t="shared" si="9"/>
        <v>1380.0189309576838</v>
      </c>
      <c r="T108" s="108">
        <f t="shared" si="9"/>
        <v>140.45768374164811</v>
      </c>
    </row>
    <row r="109" spans="1:20" s="85" customFormat="1" ht="12.75" x14ac:dyDescent="0.2">
      <c r="A109" s="109">
        <v>283</v>
      </c>
      <c r="B109" s="110">
        <v>1</v>
      </c>
      <c r="C109" s="103" t="s">
        <v>228</v>
      </c>
      <c r="D109" s="103">
        <v>2</v>
      </c>
      <c r="E109" s="104">
        <f>+SUMIF('GE16FEB14 Unfudged'!$A$2:$A$498, $A109, 'GE16FEB14 Unfudged'!$D$2:$D$498)</f>
        <v>4703</v>
      </c>
      <c r="F109" s="104">
        <v>235138</v>
      </c>
      <c r="G109" s="105">
        <v>235138</v>
      </c>
      <c r="H109" s="106">
        <v>0</v>
      </c>
      <c r="I109" s="107">
        <v>1993966</v>
      </c>
      <c r="J109" s="105">
        <v>1993966</v>
      </c>
      <c r="K109" s="106">
        <v>0</v>
      </c>
      <c r="L109" s="107">
        <v>9239963</v>
      </c>
      <c r="M109" s="105">
        <v>9239026</v>
      </c>
      <c r="N109" s="106">
        <v>937</v>
      </c>
      <c r="O109" s="107">
        <f t="shared" si="8"/>
        <v>11469067</v>
      </c>
      <c r="P109" s="105">
        <f t="shared" si="8"/>
        <v>11468130</v>
      </c>
      <c r="Q109" s="106">
        <f t="shared" si="8"/>
        <v>937</v>
      </c>
      <c r="R109" s="105">
        <f t="shared" si="9"/>
        <v>2438.6704231341696</v>
      </c>
      <c r="S109" s="105">
        <f t="shared" si="9"/>
        <v>2438.4711886030195</v>
      </c>
      <c r="T109" s="108">
        <f t="shared" si="9"/>
        <v>0.19923453115032957</v>
      </c>
    </row>
    <row r="110" spans="1:20" s="85" customFormat="1" ht="12.75" x14ac:dyDescent="0.2">
      <c r="A110" s="109">
        <v>284</v>
      </c>
      <c r="B110" s="110">
        <v>1</v>
      </c>
      <c r="C110" s="103" t="s">
        <v>229</v>
      </c>
      <c r="D110" s="103">
        <v>3</v>
      </c>
      <c r="E110" s="104">
        <f>+SUMIF('GE16FEB14 Unfudged'!$A$2:$A$498, $A110, 'GE16FEB14 Unfudged'!$D$2:$D$498)</f>
        <v>12528</v>
      </c>
      <c r="F110" s="104">
        <v>1081538</v>
      </c>
      <c r="G110" s="105">
        <v>1081538</v>
      </c>
      <c r="H110" s="106">
        <v>0</v>
      </c>
      <c r="I110" s="107">
        <v>5312042</v>
      </c>
      <c r="J110" s="105">
        <v>5312042</v>
      </c>
      <c r="K110" s="106">
        <v>0</v>
      </c>
      <c r="L110" s="107">
        <v>17006677</v>
      </c>
      <c r="M110" s="105">
        <v>16865189</v>
      </c>
      <c r="N110" s="106">
        <v>141488</v>
      </c>
      <c r="O110" s="107">
        <f t="shared" si="8"/>
        <v>23400257</v>
      </c>
      <c r="P110" s="105">
        <f t="shared" si="8"/>
        <v>23258769</v>
      </c>
      <c r="Q110" s="106">
        <f t="shared" si="8"/>
        <v>141488</v>
      </c>
      <c r="R110" s="105">
        <f t="shared" si="9"/>
        <v>1867.8366060025544</v>
      </c>
      <c r="S110" s="105">
        <f t="shared" si="9"/>
        <v>1856.5428639846743</v>
      </c>
      <c r="T110" s="108">
        <f t="shared" si="9"/>
        <v>11.293742017879948</v>
      </c>
    </row>
    <row r="111" spans="1:20" s="85" customFormat="1" ht="12.75" x14ac:dyDescent="0.2">
      <c r="A111" s="109">
        <v>286</v>
      </c>
      <c r="B111" s="110">
        <v>1</v>
      </c>
      <c r="C111" s="103" t="s">
        <v>230</v>
      </c>
      <c r="D111" s="103">
        <v>2</v>
      </c>
      <c r="E111" s="104">
        <f>+SUMIF('GE16FEB14 Unfudged'!$A$2:$A$498, $A111, 'GE16FEB14 Unfudged'!$D$2:$D$498)</f>
        <v>2474</v>
      </c>
      <c r="F111" s="104">
        <v>414361</v>
      </c>
      <c r="G111" s="105">
        <v>231526</v>
      </c>
      <c r="H111" s="106">
        <v>182835</v>
      </c>
      <c r="I111" s="107">
        <v>1048891</v>
      </c>
      <c r="J111" s="105">
        <v>586073</v>
      </c>
      <c r="K111" s="106">
        <v>462818</v>
      </c>
      <c r="L111" s="107">
        <v>742140</v>
      </c>
      <c r="M111" s="105">
        <v>240323</v>
      </c>
      <c r="N111" s="106">
        <v>501817</v>
      </c>
      <c r="O111" s="107">
        <f t="shared" si="8"/>
        <v>2205392</v>
      </c>
      <c r="P111" s="105">
        <f t="shared" si="8"/>
        <v>1057922</v>
      </c>
      <c r="Q111" s="106">
        <f t="shared" si="8"/>
        <v>1147470</v>
      </c>
      <c r="R111" s="105">
        <f t="shared" si="9"/>
        <v>891.42764753435733</v>
      </c>
      <c r="S111" s="105">
        <f t="shared" si="9"/>
        <v>427.61600646725952</v>
      </c>
      <c r="T111" s="108">
        <f t="shared" si="9"/>
        <v>463.81164106709781</v>
      </c>
    </row>
    <row r="112" spans="1:20" s="85" customFormat="1" ht="12.75" x14ac:dyDescent="0.2">
      <c r="A112" s="109">
        <v>294</v>
      </c>
      <c r="B112" s="110">
        <v>1</v>
      </c>
      <c r="C112" s="103" t="s">
        <v>231</v>
      </c>
      <c r="D112" s="103">
        <v>5</v>
      </c>
      <c r="E112" s="104">
        <f>+SUMIF('GE16FEB14 Unfudged'!$A$2:$A$498, $A112, 'GE16FEB14 Unfudged'!$D$2:$D$498)</f>
        <v>2846</v>
      </c>
      <c r="F112" s="104">
        <v>409824</v>
      </c>
      <c r="G112" s="105">
        <v>269668</v>
      </c>
      <c r="H112" s="106">
        <v>140156</v>
      </c>
      <c r="I112" s="107">
        <v>1206704</v>
      </c>
      <c r="J112" s="105">
        <v>794021</v>
      </c>
      <c r="K112" s="106">
        <v>412683</v>
      </c>
      <c r="L112" s="107">
        <v>853800</v>
      </c>
      <c r="M112" s="105">
        <v>325593</v>
      </c>
      <c r="N112" s="106">
        <v>528207</v>
      </c>
      <c r="O112" s="107">
        <f t="shared" si="8"/>
        <v>2470328</v>
      </c>
      <c r="P112" s="105">
        <f t="shared" si="8"/>
        <v>1389282</v>
      </c>
      <c r="Q112" s="106">
        <f t="shared" si="8"/>
        <v>1081046</v>
      </c>
      <c r="R112" s="105">
        <f t="shared" si="9"/>
        <v>868</v>
      </c>
      <c r="S112" s="105">
        <f t="shared" si="9"/>
        <v>488.15249472944481</v>
      </c>
      <c r="T112" s="108">
        <f t="shared" si="9"/>
        <v>379.84750527055519</v>
      </c>
    </row>
    <row r="113" spans="1:20" s="85" customFormat="1" ht="12.75" x14ac:dyDescent="0.2">
      <c r="A113" s="109">
        <v>297</v>
      </c>
      <c r="B113" s="110">
        <v>6</v>
      </c>
      <c r="C113" s="103" t="s">
        <v>232</v>
      </c>
      <c r="D113" s="103">
        <v>6</v>
      </c>
      <c r="E113" s="104">
        <f>+SUMIF('GE16FEB14 Unfudged'!$A$2:$A$498, $A113, 'GE16FEB14 Unfudged'!$D$2:$D$498)</f>
        <v>370</v>
      </c>
      <c r="F113" s="104">
        <v>36953</v>
      </c>
      <c r="G113" s="105">
        <v>20400</v>
      </c>
      <c r="H113" s="106">
        <v>16553</v>
      </c>
      <c r="I113" s="107">
        <v>156880</v>
      </c>
      <c r="J113" s="105">
        <v>86607</v>
      </c>
      <c r="K113" s="106">
        <v>70273</v>
      </c>
      <c r="L113" s="107">
        <v>380597</v>
      </c>
      <c r="M113" s="105">
        <v>225976</v>
      </c>
      <c r="N113" s="106">
        <v>154621</v>
      </c>
      <c r="O113" s="107">
        <f t="shared" si="8"/>
        <v>574430</v>
      </c>
      <c r="P113" s="105">
        <f t="shared" si="8"/>
        <v>332983</v>
      </c>
      <c r="Q113" s="106">
        <f t="shared" si="8"/>
        <v>241447</v>
      </c>
      <c r="R113" s="105">
        <f t="shared" si="9"/>
        <v>1552.5135135135135</v>
      </c>
      <c r="S113" s="105">
        <f t="shared" si="9"/>
        <v>899.95405405405404</v>
      </c>
      <c r="T113" s="108">
        <f t="shared" si="9"/>
        <v>652.5594594594595</v>
      </c>
    </row>
    <row r="114" spans="1:20" s="85" customFormat="1" ht="12.75" x14ac:dyDescent="0.2">
      <c r="A114" s="109">
        <v>299</v>
      </c>
      <c r="B114" s="110">
        <v>1</v>
      </c>
      <c r="C114" s="103" t="s">
        <v>233</v>
      </c>
      <c r="D114" s="103">
        <v>6</v>
      </c>
      <c r="E114" s="104">
        <f>+SUMIF('GE16FEB14 Unfudged'!$A$2:$A$498, $A114, 'GE16FEB14 Unfudged'!$D$2:$D$498)</f>
        <v>722</v>
      </c>
      <c r="F114" s="104">
        <v>101708</v>
      </c>
      <c r="G114" s="105">
        <v>87675</v>
      </c>
      <c r="H114" s="106">
        <v>14033</v>
      </c>
      <c r="I114" s="107">
        <v>306213</v>
      </c>
      <c r="J114" s="105">
        <v>263963</v>
      </c>
      <c r="K114" s="106">
        <v>42250</v>
      </c>
      <c r="L114" s="107">
        <v>254446</v>
      </c>
      <c r="M114" s="105">
        <v>140811</v>
      </c>
      <c r="N114" s="106">
        <v>113635</v>
      </c>
      <c r="O114" s="107">
        <f t="shared" si="8"/>
        <v>662367</v>
      </c>
      <c r="P114" s="105">
        <f t="shared" si="8"/>
        <v>492449</v>
      </c>
      <c r="Q114" s="106">
        <f t="shared" si="8"/>
        <v>169918</v>
      </c>
      <c r="R114" s="105">
        <f t="shared" si="9"/>
        <v>917.40581717451528</v>
      </c>
      <c r="S114" s="105">
        <f t="shared" si="9"/>
        <v>682.06232686980604</v>
      </c>
      <c r="T114" s="108">
        <f t="shared" si="9"/>
        <v>235.34349030470915</v>
      </c>
    </row>
    <row r="115" spans="1:20" s="85" customFormat="1" ht="12.75" x14ac:dyDescent="0.2">
      <c r="A115" s="109">
        <v>300</v>
      </c>
      <c r="B115" s="110">
        <v>1</v>
      </c>
      <c r="C115" s="103" t="s">
        <v>234</v>
      </c>
      <c r="D115" s="103">
        <v>5</v>
      </c>
      <c r="E115" s="104">
        <f>+SUMIF('GE16FEB14 Unfudged'!$A$2:$A$498, $A115, 'GE16FEB14 Unfudged'!$D$2:$D$498)</f>
        <v>1340</v>
      </c>
      <c r="F115" s="104">
        <v>192040</v>
      </c>
      <c r="G115" s="105">
        <v>189046</v>
      </c>
      <c r="H115" s="106">
        <v>2994</v>
      </c>
      <c r="I115" s="107">
        <v>567990</v>
      </c>
      <c r="J115" s="105">
        <v>559134</v>
      </c>
      <c r="K115" s="106">
        <v>8856</v>
      </c>
      <c r="L115" s="107">
        <v>416120</v>
      </c>
      <c r="M115" s="105">
        <v>243294</v>
      </c>
      <c r="N115" s="106">
        <v>172826</v>
      </c>
      <c r="O115" s="107">
        <f t="shared" si="8"/>
        <v>1176150</v>
      </c>
      <c r="P115" s="105">
        <f t="shared" si="8"/>
        <v>991474</v>
      </c>
      <c r="Q115" s="106">
        <f t="shared" si="8"/>
        <v>184676</v>
      </c>
      <c r="R115" s="105">
        <f t="shared" si="9"/>
        <v>877.72388059701495</v>
      </c>
      <c r="S115" s="105">
        <f t="shared" si="9"/>
        <v>739.90597014925368</v>
      </c>
      <c r="T115" s="108">
        <f t="shared" si="9"/>
        <v>137.81791044776119</v>
      </c>
    </row>
    <row r="116" spans="1:20" s="85" customFormat="1" ht="12.75" x14ac:dyDescent="0.2">
      <c r="A116" s="109">
        <v>306</v>
      </c>
      <c r="B116" s="110">
        <v>1</v>
      </c>
      <c r="C116" s="103" t="s">
        <v>235</v>
      </c>
      <c r="D116" s="103">
        <v>6</v>
      </c>
      <c r="E116" s="104">
        <f>+SUMIF('GE16FEB14 Unfudged'!$A$2:$A$498, $A116, 'GE16FEB14 Unfudged'!$D$2:$D$498)</f>
        <v>278</v>
      </c>
      <c r="F116" s="104">
        <v>40032</v>
      </c>
      <c r="G116" s="105">
        <v>40032</v>
      </c>
      <c r="H116" s="106">
        <v>0</v>
      </c>
      <c r="I116" s="107">
        <v>117872</v>
      </c>
      <c r="J116" s="105">
        <v>117872</v>
      </c>
      <c r="K116" s="106">
        <v>0</v>
      </c>
      <c r="L116" s="107">
        <v>83400</v>
      </c>
      <c r="M116" s="105">
        <v>56140</v>
      </c>
      <c r="N116" s="106">
        <v>27260</v>
      </c>
      <c r="O116" s="107">
        <f t="shared" si="8"/>
        <v>241304</v>
      </c>
      <c r="P116" s="105">
        <f t="shared" si="8"/>
        <v>214044</v>
      </c>
      <c r="Q116" s="106">
        <f t="shared" si="8"/>
        <v>27260</v>
      </c>
      <c r="R116" s="105">
        <f t="shared" si="9"/>
        <v>868</v>
      </c>
      <c r="S116" s="105">
        <f t="shared" si="9"/>
        <v>769.94244604316543</v>
      </c>
      <c r="T116" s="108">
        <f t="shared" si="9"/>
        <v>98.057553956834539</v>
      </c>
    </row>
    <row r="117" spans="1:20" s="85" customFormat="1" ht="12.75" x14ac:dyDescent="0.2">
      <c r="A117" s="109">
        <v>308</v>
      </c>
      <c r="B117" s="110">
        <v>1</v>
      </c>
      <c r="C117" s="103" t="s">
        <v>236</v>
      </c>
      <c r="D117" s="103">
        <v>6</v>
      </c>
      <c r="E117" s="104">
        <f>+SUMIF('GE16FEB14 Unfudged'!$A$2:$A$498, $A117, 'GE16FEB14 Unfudged'!$D$2:$D$498)</f>
        <v>610</v>
      </c>
      <c r="F117" s="104">
        <v>87782</v>
      </c>
      <c r="G117" s="105">
        <v>87782</v>
      </c>
      <c r="H117" s="106">
        <v>0</v>
      </c>
      <c r="I117" s="107">
        <v>258470</v>
      </c>
      <c r="J117" s="105">
        <v>258470</v>
      </c>
      <c r="K117" s="106">
        <v>0</v>
      </c>
      <c r="L117" s="107">
        <v>182880</v>
      </c>
      <c r="M117" s="105">
        <v>59029</v>
      </c>
      <c r="N117" s="106">
        <v>123851</v>
      </c>
      <c r="O117" s="107">
        <f t="shared" si="8"/>
        <v>529132</v>
      </c>
      <c r="P117" s="105">
        <f t="shared" si="8"/>
        <v>405281</v>
      </c>
      <c r="Q117" s="106">
        <f t="shared" si="8"/>
        <v>123851</v>
      </c>
      <c r="R117" s="105">
        <f t="shared" si="9"/>
        <v>867.42950819672126</v>
      </c>
      <c r="S117" s="105">
        <f t="shared" si="9"/>
        <v>664.39508196721306</v>
      </c>
      <c r="T117" s="108">
        <f t="shared" si="9"/>
        <v>203.0344262295082</v>
      </c>
    </row>
    <row r="118" spans="1:20" s="85" customFormat="1" ht="12.75" x14ac:dyDescent="0.2">
      <c r="A118" s="109">
        <v>309</v>
      </c>
      <c r="B118" s="110">
        <v>1</v>
      </c>
      <c r="C118" s="103" t="s">
        <v>237</v>
      </c>
      <c r="D118" s="103">
        <v>5</v>
      </c>
      <c r="E118" s="104">
        <f>+SUMIF('GE16FEB14 Unfudged'!$A$2:$A$498, $A118, 'GE16FEB14 Unfudged'!$D$2:$D$498)</f>
        <v>1635</v>
      </c>
      <c r="F118" s="104">
        <v>235411</v>
      </c>
      <c r="G118" s="105">
        <v>235411</v>
      </c>
      <c r="H118" s="106">
        <v>0</v>
      </c>
      <c r="I118" s="107">
        <v>693155</v>
      </c>
      <c r="J118" s="105">
        <v>693155</v>
      </c>
      <c r="K118" s="106">
        <v>0</v>
      </c>
      <c r="L118" s="107">
        <v>490440</v>
      </c>
      <c r="M118" s="105">
        <v>301181</v>
      </c>
      <c r="N118" s="106">
        <v>189259</v>
      </c>
      <c r="O118" s="107">
        <f t="shared" si="8"/>
        <v>1419006</v>
      </c>
      <c r="P118" s="105">
        <f t="shared" si="8"/>
        <v>1229747</v>
      </c>
      <c r="Q118" s="106">
        <f t="shared" si="8"/>
        <v>189259</v>
      </c>
      <c r="R118" s="105">
        <f t="shared" si="9"/>
        <v>867.89357798165133</v>
      </c>
      <c r="S118" s="105">
        <f t="shared" si="9"/>
        <v>752.13883792048932</v>
      </c>
      <c r="T118" s="108">
        <f t="shared" si="9"/>
        <v>115.75474006116208</v>
      </c>
    </row>
    <row r="119" spans="1:20" s="85" customFormat="1" ht="12.75" x14ac:dyDescent="0.2">
      <c r="A119" s="109">
        <v>314</v>
      </c>
      <c r="B119" s="110">
        <v>1</v>
      </c>
      <c r="C119" s="103" t="s">
        <v>238</v>
      </c>
      <c r="D119" s="103">
        <v>6</v>
      </c>
      <c r="E119" s="104">
        <f>+SUMIF('GE16FEB14 Unfudged'!$A$2:$A$498, $A119, 'GE16FEB14 Unfudged'!$D$2:$D$498)</f>
        <v>930</v>
      </c>
      <c r="F119" s="104">
        <v>133891</v>
      </c>
      <c r="G119" s="105">
        <v>68064</v>
      </c>
      <c r="H119" s="106">
        <v>65827</v>
      </c>
      <c r="I119" s="107">
        <v>394235</v>
      </c>
      <c r="J119" s="105">
        <v>200411</v>
      </c>
      <c r="K119" s="106">
        <v>193824</v>
      </c>
      <c r="L119" s="107">
        <v>278940</v>
      </c>
      <c r="M119" s="105">
        <v>82180</v>
      </c>
      <c r="N119" s="106">
        <v>196760</v>
      </c>
      <c r="O119" s="107">
        <f t="shared" si="8"/>
        <v>807066</v>
      </c>
      <c r="P119" s="105">
        <f t="shared" si="8"/>
        <v>350655</v>
      </c>
      <c r="Q119" s="106">
        <f t="shared" si="8"/>
        <v>456411</v>
      </c>
      <c r="R119" s="105">
        <f t="shared" si="9"/>
        <v>867.81290322580651</v>
      </c>
      <c r="S119" s="105">
        <f t="shared" si="9"/>
        <v>377.04838709677421</v>
      </c>
      <c r="T119" s="108">
        <f t="shared" si="9"/>
        <v>490.76451612903224</v>
      </c>
    </row>
    <row r="120" spans="1:20" s="85" customFormat="1" ht="12.75" x14ac:dyDescent="0.2">
      <c r="A120" s="109">
        <v>316</v>
      </c>
      <c r="B120" s="110">
        <v>1</v>
      </c>
      <c r="C120" s="103" t="s">
        <v>239</v>
      </c>
      <c r="D120" s="103">
        <v>5</v>
      </c>
      <c r="E120" s="104">
        <f>+SUMIF('GE16FEB14 Unfudged'!$A$2:$A$498, $A120, 'GE16FEB14 Unfudged'!$D$2:$D$498)</f>
        <v>1129</v>
      </c>
      <c r="F120" s="104">
        <v>162533</v>
      </c>
      <c r="G120" s="105">
        <v>139911</v>
      </c>
      <c r="H120" s="106">
        <v>22622</v>
      </c>
      <c r="I120" s="107">
        <v>478569</v>
      </c>
      <c r="J120" s="105">
        <v>411959</v>
      </c>
      <c r="K120" s="106">
        <v>66610</v>
      </c>
      <c r="L120" s="107">
        <v>338610</v>
      </c>
      <c r="M120" s="105">
        <v>168926</v>
      </c>
      <c r="N120" s="106">
        <v>169684</v>
      </c>
      <c r="O120" s="107">
        <f t="shared" si="8"/>
        <v>979712</v>
      </c>
      <c r="P120" s="105">
        <f t="shared" si="8"/>
        <v>720796</v>
      </c>
      <c r="Q120" s="106">
        <f t="shared" si="8"/>
        <v>258916</v>
      </c>
      <c r="R120" s="105">
        <f t="shared" si="9"/>
        <v>867.76970770593448</v>
      </c>
      <c r="S120" s="105">
        <f t="shared" si="9"/>
        <v>638.43755535872458</v>
      </c>
      <c r="T120" s="108">
        <f t="shared" si="9"/>
        <v>229.33215234720993</v>
      </c>
    </row>
    <row r="121" spans="1:20" s="85" customFormat="1" ht="12.75" x14ac:dyDescent="0.2">
      <c r="A121" s="109">
        <v>317</v>
      </c>
      <c r="B121" s="110">
        <v>1</v>
      </c>
      <c r="C121" s="103" t="s">
        <v>240</v>
      </c>
      <c r="D121" s="103">
        <v>6</v>
      </c>
      <c r="E121" s="104">
        <f>+SUMIF('GE16FEB14 Unfudged'!$A$2:$A$498, $A121, 'GE16FEB14 Unfudged'!$D$2:$D$498)</f>
        <v>986</v>
      </c>
      <c r="F121" s="104">
        <v>141984</v>
      </c>
      <c r="G121" s="105">
        <v>99095</v>
      </c>
      <c r="H121" s="106">
        <v>42889</v>
      </c>
      <c r="I121" s="107">
        <v>418064</v>
      </c>
      <c r="J121" s="105">
        <v>291780</v>
      </c>
      <c r="K121" s="106">
        <v>126284</v>
      </c>
      <c r="L121" s="107">
        <v>295800</v>
      </c>
      <c r="M121" s="105">
        <v>119646</v>
      </c>
      <c r="N121" s="106">
        <v>176154</v>
      </c>
      <c r="O121" s="107">
        <f t="shared" si="8"/>
        <v>855848</v>
      </c>
      <c r="P121" s="105">
        <f t="shared" si="8"/>
        <v>510521</v>
      </c>
      <c r="Q121" s="106">
        <f t="shared" si="8"/>
        <v>345327</v>
      </c>
      <c r="R121" s="105">
        <f t="shared" si="9"/>
        <v>868</v>
      </c>
      <c r="S121" s="105">
        <f t="shared" si="9"/>
        <v>517.76977687626777</v>
      </c>
      <c r="T121" s="108">
        <f t="shared" si="9"/>
        <v>350.23022312373223</v>
      </c>
    </row>
    <row r="122" spans="1:20" s="85" customFormat="1" ht="12.75" x14ac:dyDescent="0.2">
      <c r="A122" s="109">
        <v>318</v>
      </c>
      <c r="B122" s="110">
        <v>1</v>
      </c>
      <c r="C122" s="103" t="s">
        <v>241</v>
      </c>
      <c r="D122" s="103">
        <v>4</v>
      </c>
      <c r="E122" s="104">
        <f>+SUMIF('GE16FEB14 Unfudged'!$A$2:$A$498, $A122, 'GE16FEB14 Unfudged'!$D$2:$D$498)</f>
        <v>4379</v>
      </c>
      <c r="F122" s="104">
        <v>630504</v>
      </c>
      <c r="G122" s="105">
        <v>630504</v>
      </c>
      <c r="H122" s="106">
        <v>0</v>
      </c>
      <c r="I122" s="107">
        <v>1856484</v>
      </c>
      <c r="J122" s="105">
        <v>1856484</v>
      </c>
      <c r="K122" s="106">
        <v>0</v>
      </c>
      <c r="L122" s="107">
        <v>1313550</v>
      </c>
      <c r="M122" s="105">
        <v>906955</v>
      </c>
      <c r="N122" s="106">
        <v>406595</v>
      </c>
      <c r="O122" s="107">
        <f t="shared" si="8"/>
        <v>3800538</v>
      </c>
      <c r="P122" s="105">
        <f t="shared" si="8"/>
        <v>3393943</v>
      </c>
      <c r="Q122" s="106">
        <f t="shared" si="8"/>
        <v>406595</v>
      </c>
      <c r="R122" s="105">
        <f t="shared" si="9"/>
        <v>867.90089061429546</v>
      </c>
      <c r="S122" s="105">
        <f t="shared" si="9"/>
        <v>775.04978305549207</v>
      </c>
      <c r="T122" s="108">
        <f t="shared" si="9"/>
        <v>92.851107558803378</v>
      </c>
    </row>
    <row r="123" spans="1:20" s="85" customFormat="1" ht="12.75" x14ac:dyDescent="0.2">
      <c r="A123" s="109">
        <v>319</v>
      </c>
      <c r="B123" s="110">
        <v>1</v>
      </c>
      <c r="C123" s="103" t="s">
        <v>242</v>
      </c>
      <c r="D123" s="103">
        <v>6</v>
      </c>
      <c r="E123" s="104">
        <f>+SUMIF('GE16FEB14 Unfudged'!$A$2:$A$498, $A123, 'GE16FEB14 Unfudged'!$D$2:$D$498)</f>
        <v>591</v>
      </c>
      <c r="F123" s="104">
        <v>83900</v>
      </c>
      <c r="G123" s="105">
        <v>53505</v>
      </c>
      <c r="H123" s="106">
        <v>30395</v>
      </c>
      <c r="I123" s="107">
        <v>250775</v>
      </c>
      <c r="J123" s="105">
        <v>159924</v>
      </c>
      <c r="K123" s="106">
        <v>90851</v>
      </c>
      <c r="L123" s="107">
        <v>198396</v>
      </c>
      <c r="M123" s="105">
        <v>78945</v>
      </c>
      <c r="N123" s="106">
        <v>119451</v>
      </c>
      <c r="O123" s="107">
        <f t="shared" si="8"/>
        <v>533071</v>
      </c>
      <c r="P123" s="105">
        <f t="shared" si="8"/>
        <v>292374</v>
      </c>
      <c r="Q123" s="106">
        <f t="shared" si="8"/>
        <v>240697</v>
      </c>
      <c r="R123" s="105">
        <f t="shared" si="9"/>
        <v>901.98138747884946</v>
      </c>
      <c r="S123" s="105">
        <f t="shared" si="9"/>
        <v>494.71065989847716</v>
      </c>
      <c r="T123" s="108">
        <f t="shared" si="9"/>
        <v>407.27072758037224</v>
      </c>
    </row>
    <row r="124" spans="1:20" s="85" customFormat="1" ht="12.75" x14ac:dyDescent="0.2">
      <c r="A124" s="109">
        <v>323</v>
      </c>
      <c r="B124" s="110">
        <v>1</v>
      </c>
      <c r="C124" s="103" t="s">
        <v>243</v>
      </c>
      <c r="D124" s="103">
        <v>6</v>
      </c>
      <c r="E124" s="104">
        <f>+SUMIF('GE16FEB14 Unfudged'!$A$2:$A$498, $A124, 'GE16FEB14 Unfudged'!$D$2:$D$498)</f>
        <v>32</v>
      </c>
      <c r="F124" s="104">
        <v>3425</v>
      </c>
      <c r="G124" s="105">
        <v>3425</v>
      </c>
      <c r="H124" s="106">
        <v>0</v>
      </c>
      <c r="I124" s="107">
        <v>13632</v>
      </c>
      <c r="J124" s="105">
        <v>13632</v>
      </c>
      <c r="K124" s="106">
        <v>0</v>
      </c>
      <c r="L124" s="107">
        <v>29549</v>
      </c>
      <c r="M124" s="105">
        <v>26789</v>
      </c>
      <c r="N124" s="106">
        <v>2760</v>
      </c>
      <c r="O124" s="107">
        <f t="shared" si="8"/>
        <v>46606</v>
      </c>
      <c r="P124" s="105">
        <f t="shared" si="8"/>
        <v>43846</v>
      </c>
      <c r="Q124" s="106">
        <f t="shared" si="8"/>
        <v>2760</v>
      </c>
      <c r="R124" s="105">
        <f t="shared" si="9"/>
        <v>1456.4375</v>
      </c>
      <c r="S124" s="105">
        <f t="shared" si="9"/>
        <v>1370.1875</v>
      </c>
      <c r="T124" s="108">
        <f t="shared" si="9"/>
        <v>86.25</v>
      </c>
    </row>
    <row r="125" spans="1:20" s="85" customFormat="1" ht="12.75" x14ac:dyDescent="0.2">
      <c r="A125" s="109">
        <v>330</v>
      </c>
      <c r="B125" s="110">
        <v>1</v>
      </c>
      <c r="C125" s="103" t="s">
        <v>244</v>
      </c>
      <c r="D125" s="103">
        <v>6</v>
      </c>
      <c r="E125" s="104">
        <f>+SUMIF('GE16FEB14 Unfudged'!$A$2:$A$498, $A125, 'GE16FEB14 Unfudged'!$D$2:$D$498)</f>
        <v>290</v>
      </c>
      <c r="F125" s="104">
        <v>23291</v>
      </c>
      <c r="G125" s="105">
        <v>14854</v>
      </c>
      <c r="H125" s="106">
        <v>8437</v>
      </c>
      <c r="I125" s="107">
        <v>122960</v>
      </c>
      <c r="J125" s="105">
        <v>78417</v>
      </c>
      <c r="K125" s="106">
        <v>44543</v>
      </c>
      <c r="L125" s="107">
        <v>391961</v>
      </c>
      <c r="M125" s="105">
        <v>288791</v>
      </c>
      <c r="N125" s="106">
        <v>103170</v>
      </c>
      <c r="O125" s="107">
        <f t="shared" si="8"/>
        <v>538212</v>
      </c>
      <c r="P125" s="105">
        <f t="shared" si="8"/>
        <v>382062</v>
      </c>
      <c r="Q125" s="106">
        <f t="shared" si="8"/>
        <v>156150</v>
      </c>
      <c r="R125" s="105">
        <f t="shared" si="9"/>
        <v>1855.903448275862</v>
      </c>
      <c r="S125" s="105">
        <f t="shared" si="9"/>
        <v>1317.4551724137932</v>
      </c>
      <c r="T125" s="108">
        <f t="shared" si="9"/>
        <v>538.44827586206895</v>
      </c>
    </row>
    <row r="126" spans="1:20" s="85" customFormat="1" ht="12.75" x14ac:dyDescent="0.2">
      <c r="A126" s="109">
        <v>332</v>
      </c>
      <c r="B126" s="110">
        <v>2</v>
      </c>
      <c r="C126" s="103" t="s">
        <v>245</v>
      </c>
      <c r="D126" s="103">
        <v>5</v>
      </c>
      <c r="E126" s="104">
        <f>+SUMIF('GE16FEB14 Unfudged'!$A$2:$A$498, $A126, 'GE16FEB14 Unfudged'!$D$2:$D$498)</f>
        <v>1878</v>
      </c>
      <c r="F126" s="104">
        <v>270374</v>
      </c>
      <c r="G126" s="105">
        <v>145305</v>
      </c>
      <c r="H126" s="106">
        <v>125069</v>
      </c>
      <c r="I126" s="107">
        <v>796102</v>
      </c>
      <c r="J126" s="105">
        <v>427843</v>
      </c>
      <c r="K126" s="106">
        <v>368259</v>
      </c>
      <c r="L126" s="107">
        <v>563280</v>
      </c>
      <c r="M126" s="105">
        <v>175439</v>
      </c>
      <c r="N126" s="106">
        <v>387841</v>
      </c>
      <c r="O126" s="107">
        <f t="shared" si="8"/>
        <v>1629756</v>
      </c>
      <c r="P126" s="105">
        <f t="shared" si="8"/>
        <v>748587</v>
      </c>
      <c r="Q126" s="106">
        <f t="shared" si="8"/>
        <v>881169</v>
      </c>
      <c r="R126" s="105">
        <f t="shared" si="9"/>
        <v>867.81469648562302</v>
      </c>
      <c r="S126" s="105">
        <f t="shared" si="9"/>
        <v>398.60862619808307</v>
      </c>
      <c r="T126" s="108">
        <f t="shared" si="9"/>
        <v>469.20607028753994</v>
      </c>
    </row>
    <row r="127" spans="1:20" s="85" customFormat="1" ht="12.75" x14ac:dyDescent="0.2">
      <c r="A127" s="109">
        <v>333</v>
      </c>
      <c r="B127" s="110">
        <v>1</v>
      </c>
      <c r="C127" s="103" t="s">
        <v>246</v>
      </c>
      <c r="D127" s="103">
        <v>6</v>
      </c>
      <c r="E127" s="104">
        <f>+SUMIF('GE16FEB14 Unfudged'!$A$2:$A$498, $A127, 'GE16FEB14 Unfudged'!$D$2:$D$498)</f>
        <v>583</v>
      </c>
      <c r="F127" s="104">
        <v>83981</v>
      </c>
      <c r="G127" s="105">
        <v>33387</v>
      </c>
      <c r="H127" s="106">
        <v>50594</v>
      </c>
      <c r="I127" s="107">
        <v>247277</v>
      </c>
      <c r="J127" s="105">
        <v>98306</v>
      </c>
      <c r="K127" s="106">
        <v>148971</v>
      </c>
      <c r="L127" s="107">
        <v>174960</v>
      </c>
      <c r="M127" s="105">
        <v>40311</v>
      </c>
      <c r="N127" s="106">
        <v>134649</v>
      </c>
      <c r="O127" s="107">
        <f t="shared" si="8"/>
        <v>506218</v>
      </c>
      <c r="P127" s="105">
        <f t="shared" si="8"/>
        <v>172004</v>
      </c>
      <c r="Q127" s="106">
        <f t="shared" si="8"/>
        <v>334214</v>
      </c>
      <c r="R127" s="105">
        <f t="shared" si="9"/>
        <v>868.2984562607204</v>
      </c>
      <c r="S127" s="105">
        <f t="shared" si="9"/>
        <v>295.03259005145799</v>
      </c>
      <c r="T127" s="108">
        <f t="shared" si="9"/>
        <v>573.26586620926241</v>
      </c>
    </row>
    <row r="128" spans="1:20" s="85" customFormat="1" ht="12.75" x14ac:dyDescent="0.2">
      <c r="A128" s="109">
        <v>345</v>
      </c>
      <c r="B128" s="110">
        <v>1</v>
      </c>
      <c r="C128" s="103" t="s">
        <v>247</v>
      </c>
      <c r="D128" s="103">
        <v>5</v>
      </c>
      <c r="E128" s="104">
        <f>+SUMIF('GE16FEB14 Unfudged'!$A$2:$A$498, $A128, 'GE16FEB14 Unfudged'!$D$2:$D$498)</f>
        <v>1454</v>
      </c>
      <c r="F128" s="104">
        <v>209318</v>
      </c>
      <c r="G128" s="105">
        <v>209318</v>
      </c>
      <c r="H128" s="106">
        <v>0</v>
      </c>
      <c r="I128" s="107">
        <v>616326</v>
      </c>
      <c r="J128" s="105">
        <v>616326</v>
      </c>
      <c r="K128" s="106">
        <v>0</v>
      </c>
      <c r="L128" s="107">
        <v>436080</v>
      </c>
      <c r="M128" s="105">
        <v>312139</v>
      </c>
      <c r="N128" s="106">
        <v>123941</v>
      </c>
      <c r="O128" s="107">
        <f t="shared" si="8"/>
        <v>1261724</v>
      </c>
      <c r="P128" s="105">
        <f t="shared" si="8"/>
        <v>1137783</v>
      </c>
      <c r="Q128" s="106">
        <f t="shared" si="8"/>
        <v>123941</v>
      </c>
      <c r="R128" s="105">
        <f t="shared" si="9"/>
        <v>867.7606602475928</v>
      </c>
      <c r="S128" s="105">
        <f t="shared" si="9"/>
        <v>782.51925722145802</v>
      </c>
      <c r="T128" s="108">
        <f t="shared" si="9"/>
        <v>85.241403026134805</v>
      </c>
    </row>
    <row r="129" spans="1:20" s="85" customFormat="1" ht="12.75" x14ac:dyDescent="0.2">
      <c r="A129" s="109">
        <v>347</v>
      </c>
      <c r="B129" s="110">
        <v>1</v>
      </c>
      <c r="C129" s="103" t="s">
        <v>248</v>
      </c>
      <c r="D129" s="103">
        <v>4</v>
      </c>
      <c r="E129" s="104">
        <f>+SUMIF('GE16FEB14 Unfudged'!$A$2:$A$498, $A129, 'GE16FEB14 Unfudged'!$D$2:$D$498)</f>
        <v>4577</v>
      </c>
      <c r="F129" s="104">
        <v>648291</v>
      </c>
      <c r="G129" s="105">
        <v>392153</v>
      </c>
      <c r="H129" s="106">
        <v>256138</v>
      </c>
      <c r="I129" s="107">
        <v>1940648</v>
      </c>
      <c r="J129" s="105">
        <v>1173904</v>
      </c>
      <c r="K129" s="106">
        <v>766744</v>
      </c>
      <c r="L129" s="107">
        <v>1551374</v>
      </c>
      <c r="M129" s="105">
        <v>589204</v>
      </c>
      <c r="N129" s="106">
        <v>962170</v>
      </c>
      <c r="O129" s="107">
        <f t="shared" si="8"/>
        <v>4140313</v>
      </c>
      <c r="P129" s="105">
        <f t="shared" si="8"/>
        <v>2155261</v>
      </c>
      <c r="Q129" s="106">
        <f t="shared" si="8"/>
        <v>1985052</v>
      </c>
      <c r="R129" s="105">
        <f t="shared" si="9"/>
        <v>904.59099847061395</v>
      </c>
      <c r="S129" s="105">
        <f t="shared" si="9"/>
        <v>470.8894472361809</v>
      </c>
      <c r="T129" s="108">
        <f t="shared" si="9"/>
        <v>433.70155123443305</v>
      </c>
    </row>
    <row r="130" spans="1:20" s="85" customFormat="1" ht="12.75" x14ac:dyDescent="0.2">
      <c r="A130" s="109">
        <v>356</v>
      </c>
      <c r="B130" s="110">
        <v>1</v>
      </c>
      <c r="C130" s="103" t="s">
        <v>249</v>
      </c>
      <c r="D130" s="103">
        <v>6</v>
      </c>
      <c r="E130" s="104">
        <f>+SUMIF('GE16FEB14 Unfudged'!$A$2:$A$498, $A130, 'GE16FEB14 Unfudged'!$D$2:$D$498)</f>
        <v>163</v>
      </c>
      <c r="F130" s="104">
        <v>8128</v>
      </c>
      <c r="G130" s="105">
        <v>3132</v>
      </c>
      <c r="H130" s="106">
        <v>4996</v>
      </c>
      <c r="I130" s="107">
        <v>68921</v>
      </c>
      <c r="J130" s="105">
        <v>26556</v>
      </c>
      <c r="K130" s="106">
        <v>42365</v>
      </c>
      <c r="L130" s="107">
        <v>331179</v>
      </c>
      <c r="M130" s="105">
        <v>180399</v>
      </c>
      <c r="N130" s="106">
        <v>150780</v>
      </c>
      <c r="O130" s="107">
        <f t="shared" si="8"/>
        <v>408228</v>
      </c>
      <c r="P130" s="105">
        <f t="shared" si="8"/>
        <v>210087</v>
      </c>
      <c r="Q130" s="106">
        <f t="shared" si="8"/>
        <v>198141</v>
      </c>
      <c r="R130" s="105">
        <f t="shared" si="9"/>
        <v>2504.4662576687115</v>
      </c>
      <c r="S130" s="105">
        <f t="shared" si="9"/>
        <v>1288.877300613497</v>
      </c>
      <c r="T130" s="108">
        <f t="shared" si="9"/>
        <v>1215.5889570552147</v>
      </c>
    </row>
    <row r="131" spans="1:20" s="85" customFormat="1" ht="12.75" x14ac:dyDescent="0.2">
      <c r="A131" s="109">
        <v>361</v>
      </c>
      <c r="B131" s="110">
        <v>1</v>
      </c>
      <c r="C131" s="103" t="s">
        <v>250</v>
      </c>
      <c r="D131" s="103">
        <v>5</v>
      </c>
      <c r="E131" s="104">
        <f>+SUMIF('GE16FEB14 Unfudged'!$A$2:$A$498, $A131, 'GE16FEB14 Unfudged'!$D$2:$D$498)</f>
        <v>1169</v>
      </c>
      <c r="F131" s="104">
        <v>165016</v>
      </c>
      <c r="G131" s="105">
        <v>118996</v>
      </c>
      <c r="H131" s="106">
        <v>46020</v>
      </c>
      <c r="I131" s="107">
        <v>495656</v>
      </c>
      <c r="J131" s="105">
        <v>357427</v>
      </c>
      <c r="K131" s="106">
        <v>138229</v>
      </c>
      <c r="L131" s="107">
        <v>405526</v>
      </c>
      <c r="M131" s="105">
        <v>186101</v>
      </c>
      <c r="N131" s="106">
        <v>219425</v>
      </c>
      <c r="O131" s="107">
        <f t="shared" si="8"/>
        <v>1066198</v>
      </c>
      <c r="P131" s="105">
        <f t="shared" si="8"/>
        <v>662524</v>
      </c>
      <c r="Q131" s="106">
        <f t="shared" si="8"/>
        <v>403674</v>
      </c>
      <c r="R131" s="105">
        <f t="shared" si="9"/>
        <v>912.05988023952091</v>
      </c>
      <c r="S131" s="105">
        <f t="shared" si="9"/>
        <v>566.74422583404623</v>
      </c>
      <c r="T131" s="108">
        <f t="shared" si="9"/>
        <v>345.31565440547479</v>
      </c>
    </row>
    <row r="132" spans="1:20" s="85" customFormat="1" ht="12.75" x14ac:dyDescent="0.2">
      <c r="A132" s="109">
        <v>362</v>
      </c>
      <c r="B132" s="110">
        <v>1</v>
      </c>
      <c r="C132" s="103" t="s">
        <v>251</v>
      </c>
      <c r="D132" s="103">
        <v>6</v>
      </c>
      <c r="E132" s="104">
        <f>+SUMIF('GE16FEB14 Unfudged'!$A$2:$A$498, $A132, 'GE16FEB14 Unfudged'!$D$2:$D$498)</f>
        <v>365</v>
      </c>
      <c r="F132" s="104">
        <v>52546</v>
      </c>
      <c r="G132" s="105">
        <v>26173</v>
      </c>
      <c r="H132" s="106">
        <v>26373</v>
      </c>
      <c r="I132" s="107">
        <v>154718</v>
      </c>
      <c r="J132" s="105">
        <v>77063</v>
      </c>
      <c r="K132" s="106">
        <v>77655</v>
      </c>
      <c r="L132" s="107">
        <v>109470</v>
      </c>
      <c r="M132" s="105">
        <v>31600</v>
      </c>
      <c r="N132" s="106">
        <v>77870</v>
      </c>
      <c r="O132" s="107">
        <f t="shared" si="8"/>
        <v>316734</v>
      </c>
      <c r="P132" s="105">
        <f t="shared" si="8"/>
        <v>134836</v>
      </c>
      <c r="Q132" s="106">
        <f t="shared" si="8"/>
        <v>181898</v>
      </c>
      <c r="R132" s="105">
        <f t="shared" si="9"/>
        <v>867.76438356164385</v>
      </c>
      <c r="S132" s="105">
        <f t="shared" si="9"/>
        <v>369.41369863013699</v>
      </c>
      <c r="T132" s="108">
        <f t="shared" si="9"/>
        <v>498.35068493150686</v>
      </c>
    </row>
    <row r="133" spans="1:20" s="85" customFormat="1" ht="12.75" x14ac:dyDescent="0.2">
      <c r="A133" s="109">
        <v>363</v>
      </c>
      <c r="B133" s="110">
        <v>1</v>
      </c>
      <c r="C133" s="103" t="s">
        <v>252</v>
      </c>
      <c r="D133" s="103">
        <v>6</v>
      </c>
      <c r="E133" s="104">
        <f>+SUMIF('GE16FEB14 Unfudged'!$A$2:$A$498, $A133, 'GE16FEB14 Unfudged'!$D$2:$D$498)</f>
        <v>351</v>
      </c>
      <c r="F133" s="104">
        <v>50494</v>
      </c>
      <c r="G133" s="105">
        <v>24487</v>
      </c>
      <c r="H133" s="106">
        <v>26007</v>
      </c>
      <c r="I133" s="107">
        <v>148676</v>
      </c>
      <c r="J133" s="105">
        <v>72101</v>
      </c>
      <c r="K133" s="106">
        <v>76575</v>
      </c>
      <c r="L133" s="107">
        <v>105195</v>
      </c>
      <c r="M133" s="105">
        <v>29565</v>
      </c>
      <c r="N133" s="106">
        <v>75630</v>
      </c>
      <c r="O133" s="107">
        <f t="shared" si="8"/>
        <v>304365</v>
      </c>
      <c r="P133" s="105">
        <f t="shared" si="8"/>
        <v>126153</v>
      </c>
      <c r="Q133" s="106">
        <f t="shared" si="8"/>
        <v>178212</v>
      </c>
      <c r="R133" s="105">
        <f t="shared" si="9"/>
        <v>867.13675213675219</v>
      </c>
      <c r="S133" s="105">
        <f t="shared" si="9"/>
        <v>359.41025641025641</v>
      </c>
      <c r="T133" s="108">
        <f t="shared" si="9"/>
        <v>507.72649572649573</v>
      </c>
    </row>
    <row r="134" spans="1:20" s="85" customFormat="1" ht="12.75" x14ac:dyDescent="0.2">
      <c r="A134" s="109">
        <v>378</v>
      </c>
      <c r="B134" s="110">
        <v>1</v>
      </c>
      <c r="C134" s="103" t="s">
        <v>253</v>
      </c>
      <c r="D134" s="103">
        <v>6</v>
      </c>
      <c r="E134" s="104">
        <f>+SUMIF('GE16FEB14 Unfudged'!$A$2:$A$498, $A134, 'GE16FEB14 Unfudged'!$D$2:$D$498)</f>
        <v>515</v>
      </c>
      <c r="F134" s="104">
        <v>64240</v>
      </c>
      <c r="G134" s="105">
        <v>29429</v>
      </c>
      <c r="H134" s="106">
        <v>34811</v>
      </c>
      <c r="I134" s="107">
        <v>218212</v>
      </c>
      <c r="J134" s="105">
        <v>99966</v>
      </c>
      <c r="K134" s="106">
        <v>118246</v>
      </c>
      <c r="L134" s="107">
        <v>317374</v>
      </c>
      <c r="M134" s="105">
        <v>115654</v>
      </c>
      <c r="N134" s="106">
        <v>201720</v>
      </c>
      <c r="O134" s="107">
        <f t="shared" si="8"/>
        <v>599826</v>
      </c>
      <c r="P134" s="105">
        <f t="shared" si="8"/>
        <v>245049</v>
      </c>
      <c r="Q134" s="106">
        <f t="shared" si="8"/>
        <v>354777</v>
      </c>
      <c r="R134" s="105">
        <f t="shared" si="9"/>
        <v>1164.7106796116504</v>
      </c>
      <c r="S134" s="105">
        <f t="shared" si="9"/>
        <v>475.82330097087379</v>
      </c>
      <c r="T134" s="108">
        <f t="shared" si="9"/>
        <v>688.88737864077666</v>
      </c>
    </row>
    <row r="135" spans="1:20" s="85" customFormat="1" ht="12.75" x14ac:dyDescent="0.2">
      <c r="A135" s="109">
        <v>381</v>
      </c>
      <c r="B135" s="110">
        <v>1</v>
      </c>
      <c r="C135" s="103" t="s">
        <v>254</v>
      </c>
      <c r="D135" s="103">
        <v>5</v>
      </c>
      <c r="E135" s="104">
        <f>+SUMIF('GE16FEB14 Unfudged'!$A$2:$A$498, $A135, 'GE16FEB14 Unfudged'!$D$2:$D$498)</f>
        <v>1515</v>
      </c>
      <c r="F135" s="104">
        <v>218160</v>
      </c>
      <c r="G135" s="105">
        <v>218160</v>
      </c>
      <c r="H135" s="106">
        <v>0</v>
      </c>
      <c r="I135" s="107">
        <v>642360</v>
      </c>
      <c r="J135" s="105">
        <v>642360</v>
      </c>
      <c r="K135" s="106">
        <v>0</v>
      </c>
      <c r="L135" s="107">
        <v>454500</v>
      </c>
      <c r="M135" s="105">
        <v>317185</v>
      </c>
      <c r="N135" s="106">
        <v>137315</v>
      </c>
      <c r="O135" s="107">
        <f t="shared" si="8"/>
        <v>1315020</v>
      </c>
      <c r="P135" s="105">
        <f t="shared" si="8"/>
        <v>1177705</v>
      </c>
      <c r="Q135" s="106">
        <f t="shared" si="8"/>
        <v>137315</v>
      </c>
      <c r="R135" s="105">
        <f t="shared" si="9"/>
        <v>868</v>
      </c>
      <c r="S135" s="105">
        <f t="shared" si="9"/>
        <v>777.36303630363034</v>
      </c>
      <c r="T135" s="108">
        <f t="shared" si="9"/>
        <v>90.636963696369634</v>
      </c>
    </row>
    <row r="136" spans="1:20" s="85" customFormat="1" ht="12.75" x14ac:dyDescent="0.2">
      <c r="A136" s="109">
        <v>390</v>
      </c>
      <c r="B136" s="110">
        <v>1</v>
      </c>
      <c r="C136" s="103" t="s">
        <v>255</v>
      </c>
      <c r="D136" s="103">
        <v>6</v>
      </c>
      <c r="E136" s="104">
        <f>+SUMIF('GE16FEB14 Unfudged'!$A$2:$A$498, $A136, 'GE16FEB14 Unfudged'!$D$2:$D$498)</f>
        <v>513</v>
      </c>
      <c r="F136" s="104">
        <v>72661</v>
      </c>
      <c r="G136" s="105">
        <v>58699</v>
      </c>
      <c r="H136" s="106">
        <v>13962</v>
      </c>
      <c r="I136" s="107">
        <v>217448</v>
      </c>
      <c r="J136" s="105">
        <v>175665</v>
      </c>
      <c r="K136" s="106">
        <v>41783</v>
      </c>
      <c r="L136" s="107">
        <v>173497</v>
      </c>
      <c r="M136" s="105">
        <v>87900</v>
      </c>
      <c r="N136" s="106">
        <v>85597</v>
      </c>
      <c r="O136" s="107">
        <f t="shared" si="8"/>
        <v>463606</v>
      </c>
      <c r="P136" s="105">
        <f t="shared" si="8"/>
        <v>322264</v>
      </c>
      <c r="Q136" s="106">
        <f t="shared" si="8"/>
        <v>141342</v>
      </c>
      <c r="R136" s="105">
        <f t="shared" si="9"/>
        <v>903.7153996101365</v>
      </c>
      <c r="S136" s="105">
        <f t="shared" si="9"/>
        <v>628.19493177387915</v>
      </c>
      <c r="T136" s="108">
        <f t="shared" si="9"/>
        <v>275.5204678362573</v>
      </c>
    </row>
    <row r="137" spans="1:20" s="85" customFormat="1" ht="12.75" x14ac:dyDescent="0.2">
      <c r="A137" s="109">
        <v>391</v>
      </c>
      <c r="B137" s="110">
        <v>1</v>
      </c>
      <c r="C137" s="103" t="s">
        <v>256</v>
      </c>
      <c r="D137" s="103">
        <v>6</v>
      </c>
      <c r="E137" s="104">
        <f>+SUMIF('GE16FEB14 Unfudged'!$A$2:$A$498, $A137, 'GE16FEB14 Unfudged'!$D$2:$D$498)</f>
        <v>496</v>
      </c>
      <c r="F137" s="104">
        <v>69571</v>
      </c>
      <c r="G137" s="105">
        <v>69571</v>
      </c>
      <c r="H137" s="106">
        <v>0</v>
      </c>
      <c r="I137" s="107">
        <v>210474</v>
      </c>
      <c r="J137" s="105">
        <v>210474</v>
      </c>
      <c r="K137" s="106">
        <v>0</v>
      </c>
      <c r="L137" s="107">
        <v>180476</v>
      </c>
      <c r="M137" s="105">
        <v>134428</v>
      </c>
      <c r="N137" s="106">
        <v>46048</v>
      </c>
      <c r="O137" s="107">
        <f t="shared" si="8"/>
        <v>460521</v>
      </c>
      <c r="P137" s="105">
        <f t="shared" si="8"/>
        <v>414473</v>
      </c>
      <c r="Q137" s="106">
        <f t="shared" si="8"/>
        <v>46048</v>
      </c>
      <c r="R137" s="105">
        <f t="shared" si="9"/>
        <v>928.4697580645161</v>
      </c>
      <c r="S137" s="105">
        <f t="shared" si="9"/>
        <v>835.63104838709683</v>
      </c>
      <c r="T137" s="108">
        <f t="shared" si="9"/>
        <v>92.838709677419359</v>
      </c>
    </row>
    <row r="138" spans="1:20" s="85" customFormat="1" ht="12.75" x14ac:dyDescent="0.2">
      <c r="A138" s="109">
        <v>402</v>
      </c>
      <c r="B138" s="110">
        <v>1</v>
      </c>
      <c r="C138" s="103" t="s">
        <v>257</v>
      </c>
      <c r="D138" s="103">
        <v>6</v>
      </c>
      <c r="E138" s="104">
        <f>+SUMIF('GE16FEB14 Unfudged'!$A$2:$A$498, $A138, 'GE16FEB14 Unfudged'!$D$2:$D$498)</f>
        <v>113</v>
      </c>
      <c r="F138" s="104">
        <v>5633</v>
      </c>
      <c r="G138" s="105">
        <v>3437</v>
      </c>
      <c r="H138" s="106">
        <v>2196</v>
      </c>
      <c r="I138" s="107">
        <v>47764</v>
      </c>
      <c r="J138" s="105">
        <v>29140</v>
      </c>
      <c r="K138" s="106">
        <v>18624</v>
      </c>
      <c r="L138" s="107">
        <v>278609</v>
      </c>
      <c r="M138" s="105">
        <v>236558</v>
      </c>
      <c r="N138" s="106">
        <v>42051</v>
      </c>
      <c r="O138" s="107">
        <f t="shared" si="8"/>
        <v>332006</v>
      </c>
      <c r="P138" s="105">
        <f t="shared" si="8"/>
        <v>269135</v>
      </c>
      <c r="Q138" s="106">
        <f t="shared" si="8"/>
        <v>62871</v>
      </c>
      <c r="R138" s="105">
        <f t="shared" si="9"/>
        <v>2938.1061946902655</v>
      </c>
      <c r="S138" s="105">
        <f t="shared" si="9"/>
        <v>2381.7256637168143</v>
      </c>
      <c r="T138" s="108">
        <f t="shared" si="9"/>
        <v>556.3805309734513</v>
      </c>
    </row>
    <row r="139" spans="1:20" s="85" customFormat="1" ht="12.75" x14ac:dyDescent="0.2">
      <c r="A139" s="109">
        <v>403</v>
      </c>
      <c r="B139" s="110">
        <v>1</v>
      </c>
      <c r="C139" s="103" t="s">
        <v>258</v>
      </c>
      <c r="D139" s="103">
        <v>6</v>
      </c>
      <c r="E139" s="104">
        <f>+SUMIF('GE16FEB14 Unfudged'!$A$2:$A$498, $A139, 'GE16FEB14 Unfudged'!$D$2:$D$498)</f>
        <v>176</v>
      </c>
      <c r="F139" s="104">
        <v>13364</v>
      </c>
      <c r="G139" s="105">
        <v>7021</v>
      </c>
      <c r="H139" s="106">
        <v>6343</v>
      </c>
      <c r="I139" s="107">
        <v>74454</v>
      </c>
      <c r="J139" s="105">
        <v>39114</v>
      </c>
      <c r="K139" s="106">
        <v>35340</v>
      </c>
      <c r="L139" s="107">
        <v>249543</v>
      </c>
      <c r="M139" s="105">
        <v>165727</v>
      </c>
      <c r="N139" s="106">
        <v>83816</v>
      </c>
      <c r="O139" s="107">
        <f t="shared" si="8"/>
        <v>337361</v>
      </c>
      <c r="P139" s="105">
        <f t="shared" si="8"/>
        <v>211862</v>
      </c>
      <c r="Q139" s="106">
        <f t="shared" si="8"/>
        <v>125499</v>
      </c>
      <c r="R139" s="105">
        <f t="shared" si="9"/>
        <v>1916.8238636363637</v>
      </c>
      <c r="S139" s="105">
        <f t="shared" si="9"/>
        <v>1203.7613636363637</v>
      </c>
      <c r="T139" s="108">
        <f t="shared" si="9"/>
        <v>713.0625</v>
      </c>
    </row>
    <row r="140" spans="1:20" s="85" customFormat="1" ht="12.75" x14ac:dyDescent="0.2">
      <c r="A140" s="109">
        <v>404</v>
      </c>
      <c r="B140" s="110">
        <v>52</v>
      </c>
      <c r="C140" s="103" t="s">
        <v>259</v>
      </c>
      <c r="D140" s="103">
        <v>6</v>
      </c>
      <c r="E140" s="104">
        <f>+SUMIF('GE16FEB14 Unfudged'!$A$2:$A$498, $A140, 'GE16FEB14 Unfudged'!$D$2:$D$498)</f>
        <v>165</v>
      </c>
      <c r="F140" s="104">
        <v>8230</v>
      </c>
      <c r="G140" s="105">
        <v>5842</v>
      </c>
      <c r="H140" s="106">
        <v>2388</v>
      </c>
      <c r="I140" s="107">
        <v>69790</v>
      </c>
      <c r="J140" s="105">
        <v>49536</v>
      </c>
      <c r="K140" s="106">
        <v>20254</v>
      </c>
      <c r="L140" s="107">
        <v>315935</v>
      </c>
      <c r="M140" s="105">
        <v>244127</v>
      </c>
      <c r="N140" s="106">
        <v>71808</v>
      </c>
      <c r="O140" s="107">
        <f t="shared" si="8"/>
        <v>393955</v>
      </c>
      <c r="P140" s="105">
        <f t="shared" si="8"/>
        <v>299505</v>
      </c>
      <c r="Q140" s="106">
        <f t="shared" si="8"/>
        <v>94450</v>
      </c>
      <c r="R140" s="105">
        <f t="shared" si="9"/>
        <v>2387.6060606060605</v>
      </c>
      <c r="S140" s="105">
        <f t="shared" si="9"/>
        <v>1815.1818181818182</v>
      </c>
      <c r="T140" s="108">
        <f t="shared" si="9"/>
        <v>572.42424242424238</v>
      </c>
    </row>
    <row r="141" spans="1:20" s="85" customFormat="1" ht="12.75" x14ac:dyDescent="0.2">
      <c r="A141" s="109">
        <v>413</v>
      </c>
      <c r="B141" s="110">
        <v>52</v>
      </c>
      <c r="C141" s="103" t="s">
        <v>260</v>
      </c>
      <c r="D141" s="103">
        <v>4</v>
      </c>
      <c r="E141" s="104">
        <f>+SUMIF('GE16FEB14 Unfudged'!$A$2:$A$498, $A141, 'GE16FEB14 Unfudged'!$D$2:$D$498)</f>
        <v>2533</v>
      </c>
      <c r="F141" s="104">
        <v>364781</v>
      </c>
      <c r="G141" s="105">
        <v>289962</v>
      </c>
      <c r="H141" s="106">
        <v>74819</v>
      </c>
      <c r="I141" s="107">
        <v>1074077</v>
      </c>
      <c r="J141" s="105">
        <v>853778</v>
      </c>
      <c r="K141" s="106">
        <v>220299</v>
      </c>
      <c r="L141" s="107">
        <v>759960</v>
      </c>
      <c r="M141" s="105">
        <v>350096</v>
      </c>
      <c r="N141" s="106">
        <v>409864</v>
      </c>
      <c r="O141" s="107">
        <f t="shared" si="8"/>
        <v>2198818</v>
      </c>
      <c r="P141" s="105">
        <f t="shared" si="8"/>
        <v>1493836</v>
      </c>
      <c r="Q141" s="106">
        <f t="shared" si="8"/>
        <v>704982</v>
      </c>
      <c r="R141" s="105">
        <f t="shared" si="9"/>
        <v>868.06869324911167</v>
      </c>
      <c r="S141" s="105">
        <f t="shared" si="9"/>
        <v>589.74970390840895</v>
      </c>
      <c r="T141" s="108">
        <f t="shared" si="9"/>
        <v>278.31898934070273</v>
      </c>
    </row>
    <row r="142" spans="1:20" s="85" customFormat="1" ht="12.75" x14ac:dyDescent="0.2">
      <c r="A142" s="109">
        <v>414</v>
      </c>
      <c r="B142" s="110">
        <v>1</v>
      </c>
      <c r="C142" s="103" t="s">
        <v>261</v>
      </c>
      <c r="D142" s="103">
        <v>6</v>
      </c>
      <c r="E142" s="104">
        <f>+SUMIF('GE16FEB14 Unfudged'!$A$2:$A$498, $A142, 'GE16FEB14 Unfudged'!$D$2:$D$498)</f>
        <v>496</v>
      </c>
      <c r="F142" s="104">
        <v>71475</v>
      </c>
      <c r="G142" s="105">
        <v>35424</v>
      </c>
      <c r="H142" s="106">
        <v>36051</v>
      </c>
      <c r="I142" s="107">
        <v>210452</v>
      </c>
      <c r="J142" s="105">
        <v>104304</v>
      </c>
      <c r="K142" s="106">
        <v>106148</v>
      </c>
      <c r="L142" s="107">
        <v>148905</v>
      </c>
      <c r="M142" s="105">
        <v>42770</v>
      </c>
      <c r="N142" s="106">
        <v>106135</v>
      </c>
      <c r="O142" s="107">
        <f t="shared" si="8"/>
        <v>430832</v>
      </c>
      <c r="P142" s="105">
        <f t="shared" si="8"/>
        <v>182498</v>
      </c>
      <c r="Q142" s="106">
        <f t="shared" si="8"/>
        <v>248334</v>
      </c>
      <c r="R142" s="105">
        <f t="shared" si="9"/>
        <v>868.61290322580646</v>
      </c>
      <c r="S142" s="105">
        <f t="shared" si="9"/>
        <v>367.93951612903226</v>
      </c>
      <c r="T142" s="108">
        <f t="shared" si="9"/>
        <v>500.67338709677421</v>
      </c>
    </row>
    <row r="143" spans="1:20" s="85" customFormat="1" ht="12.75" x14ac:dyDescent="0.2">
      <c r="A143" s="109">
        <v>415</v>
      </c>
      <c r="B143" s="110">
        <v>1</v>
      </c>
      <c r="C143" s="103" t="s">
        <v>262</v>
      </c>
      <c r="D143" s="103">
        <v>6</v>
      </c>
      <c r="E143" s="104">
        <f>+SUMIF('GE16FEB14 Unfudged'!$A$2:$A$498, $A143, 'GE16FEB14 Unfudged'!$D$2:$D$498)</f>
        <v>165</v>
      </c>
      <c r="F143" s="104">
        <v>13603</v>
      </c>
      <c r="G143" s="105">
        <v>10107</v>
      </c>
      <c r="H143" s="106">
        <v>3496</v>
      </c>
      <c r="I143" s="107">
        <v>69790</v>
      </c>
      <c r="J143" s="105">
        <v>51854</v>
      </c>
      <c r="K143" s="106">
        <v>17936</v>
      </c>
      <c r="L143" s="107">
        <v>216136</v>
      </c>
      <c r="M143" s="105">
        <v>168561</v>
      </c>
      <c r="N143" s="106">
        <v>47575</v>
      </c>
      <c r="O143" s="107">
        <f t="shared" si="8"/>
        <v>299529</v>
      </c>
      <c r="P143" s="105">
        <f t="shared" si="8"/>
        <v>230522</v>
      </c>
      <c r="Q143" s="106">
        <f t="shared" si="8"/>
        <v>69007</v>
      </c>
      <c r="R143" s="105">
        <f t="shared" si="9"/>
        <v>1815.3272727272727</v>
      </c>
      <c r="S143" s="105">
        <f t="shared" si="9"/>
        <v>1397.1030303030302</v>
      </c>
      <c r="T143" s="108">
        <f t="shared" si="9"/>
        <v>418.22424242424245</v>
      </c>
    </row>
    <row r="144" spans="1:20" s="85" customFormat="1" ht="12.75" x14ac:dyDescent="0.2">
      <c r="A144" s="109">
        <v>423</v>
      </c>
      <c r="B144" s="110">
        <v>1</v>
      </c>
      <c r="C144" s="103" t="s">
        <v>263</v>
      </c>
      <c r="D144" s="103">
        <v>4</v>
      </c>
      <c r="E144" s="104">
        <f>+SUMIF('GE16FEB14 Unfudged'!$A$2:$A$498, $A144, 'GE16FEB14 Unfudged'!$D$2:$D$498)</f>
        <v>3139</v>
      </c>
      <c r="F144" s="104">
        <v>393045</v>
      </c>
      <c r="G144" s="105">
        <v>277603</v>
      </c>
      <c r="H144" s="106">
        <v>115442</v>
      </c>
      <c r="I144" s="107">
        <v>1331106</v>
      </c>
      <c r="J144" s="105">
        <v>940145</v>
      </c>
      <c r="K144" s="106">
        <v>390961</v>
      </c>
      <c r="L144" s="107">
        <v>1916510</v>
      </c>
      <c r="M144" s="105">
        <v>1073925</v>
      </c>
      <c r="N144" s="106">
        <v>842585</v>
      </c>
      <c r="O144" s="107">
        <f t="shared" si="8"/>
        <v>3640661</v>
      </c>
      <c r="P144" s="105">
        <f t="shared" si="8"/>
        <v>2291673</v>
      </c>
      <c r="Q144" s="106">
        <f t="shared" si="8"/>
        <v>1348988</v>
      </c>
      <c r="R144" s="105">
        <f t="shared" si="9"/>
        <v>1159.8155463523415</v>
      </c>
      <c r="S144" s="105">
        <f t="shared" si="9"/>
        <v>730.06467027715837</v>
      </c>
      <c r="T144" s="108">
        <f t="shared" si="9"/>
        <v>429.75087607518316</v>
      </c>
    </row>
    <row r="145" spans="1:20" s="85" customFormat="1" ht="12.75" x14ac:dyDescent="0.2">
      <c r="A145" s="109">
        <v>424</v>
      </c>
      <c r="B145" s="110">
        <v>1</v>
      </c>
      <c r="C145" s="103" t="s">
        <v>264</v>
      </c>
      <c r="D145" s="103">
        <v>6</v>
      </c>
      <c r="E145" s="104">
        <f>+SUMIF('GE16FEB14 Unfudged'!$A$2:$A$498, $A145, 'GE16FEB14 Unfudged'!$D$2:$D$498)</f>
        <v>419</v>
      </c>
      <c r="F145" s="104">
        <v>51349</v>
      </c>
      <c r="G145" s="105">
        <v>39495</v>
      </c>
      <c r="H145" s="106">
        <v>11854</v>
      </c>
      <c r="I145" s="107">
        <v>177444</v>
      </c>
      <c r="J145" s="105">
        <v>136479</v>
      </c>
      <c r="K145" s="106">
        <v>40965</v>
      </c>
      <c r="L145" s="107">
        <v>272762</v>
      </c>
      <c r="M145" s="105">
        <v>169191</v>
      </c>
      <c r="N145" s="106">
        <v>103571</v>
      </c>
      <c r="O145" s="107">
        <f t="shared" si="8"/>
        <v>501555</v>
      </c>
      <c r="P145" s="105">
        <f t="shared" si="8"/>
        <v>345165</v>
      </c>
      <c r="Q145" s="106">
        <f t="shared" si="8"/>
        <v>156390</v>
      </c>
      <c r="R145" s="105">
        <f t="shared" si="9"/>
        <v>1197.0286396181384</v>
      </c>
      <c r="S145" s="105">
        <f t="shared" si="9"/>
        <v>823.78281622911697</v>
      </c>
      <c r="T145" s="108">
        <f t="shared" si="9"/>
        <v>373.2458233890215</v>
      </c>
    </row>
    <row r="146" spans="1:20" s="85" customFormat="1" ht="12.75" x14ac:dyDescent="0.2">
      <c r="A146" s="109">
        <v>432</v>
      </c>
      <c r="B146" s="110">
        <v>1</v>
      </c>
      <c r="C146" s="103" t="s">
        <v>265</v>
      </c>
      <c r="D146" s="103">
        <v>6</v>
      </c>
      <c r="E146" s="104">
        <f>+SUMIF('GE16FEB14 Unfudged'!$A$2:$A$498, $A146, 'GE16FEB14 Unfudged'!$D$2:$D$498)</f>
        <v>656</v>
      </c>
      <c r="F146" s="104">
        <v>94493</v>
      </c>
      <c r="G146" s="105">
        <v>27352</v>
      </c>
      <c r="H146" s="106">
        <v>67141</v>
      </c>
      <c r="I146" s="107">
        <v>278229</v>
      </c>
      <c r="J146" s="105">
        <v>80536</v>
      </c>
      <c r="K146" s="106">
        <v>197693</v>
      </c>
      <c r="L146" s="107">
        <v>196860</v>
      </c>
      <c r="M146" s="105">
        <v>33024</v>
      </c>
      <c r="N146" s="106">
        <v>163836</v>
      </c>
      <c r="O146" s="107">
        <f t="shared" ref="O146:Q209" si="10">+F146+I146+L146</f>
        <v>569582</v>
      </c>
      <c r="P146" s="105">
        <f t="shared" si="10"/>
        <v>140912</v>
      </c>
      <c r="Q146" s="106">
        <f t="shared" si="10"/>
        <v>428670</v>
      </c>
      <c r="R146" s="105">
        <f t="shared" si="9"/>
        <v>868.26524390243901</v>
      </c>
      <c r="S146" s="105">
        <f t="shared" si="9"/>
        <v>214.80487804878049</v>
      </c>
      <c r="T146" s="108">
        <f t="shared" si="9"/>
        <v>653.46036585365857</v>
      </c>
    </row>
    <row r="147" spans="1:20" s="85" customFormat="1" ht="12.75" x14ac:dyDescent="0.2">
      <c r="A147" s="109">
        <v>435</v>
      </c>
      <c r="B147" s="110">
        <v>1</v>
      </c>
      <c r="C147" s="103" t="s">
        <v>266</v>
      </c>
      <c r="D147" s="103">
        <v>6</v>
      </c>
      <c r="E147" s="104">
        <f>+SUMIF('GE16FEB14 Unfudged'!$A$2:$A$498, $A147, 'GE16FEB14 Unfudged'!$D$2:$D$498)</f>
        <v>634</v>
      </c>
      <c r="F147" s="104">
        <v>91325</v>
      </c>
      <c r="G147" s="105">
        <v>40226</v>
      </c>
      <c r="H147" s="106">
        <v>51099</v>
      </c>
      <c r="I147" s="107">
        <v>268901</v>
      </c>
      <c r="J147" s="105">
        <v>118442</v>
      </c>
      <c r="K147" s="106">
        <v>150459</v>
      </c>
      <c r="L147" s="107">
        <v>190260</v>
      </c>
      <c r="M147" s="105">
        <v>48568</v>
      </c>
      <c r="N147" s="106">
        <v>141692</v>
      </c>
      <c r="O147" s="107">
        <f t="shared" si="10"/>
        <v>550486</v>
      </c>
      <c r="P147" s="105">
        <f t="shared" si="10"/>
        <v>207236</v>
      </c>
      <c r="Q147" s="106">
        <f t="shared" si="10"/>
        <v>343250</v>
      </c>
      <c r="R147" s="105">
        <f t="shared" ref="R147:T210" si="11">+IF($E147=0, 0, O147/$E147)</f>
        <v>868.2744479495268</v>
      </c>
      <c r="S147" s="105">
        <f t="shared" si="11"/>
        <v>326.87066246056781</v>
      </c>
      <c r="T147" s="108">
        <f t="shared" si="11"/>
        <v>541.40378548895899</v>
      </c>
    </row>
    <row r="148" spans="1:20" s="85" customFormat="1" ht="12.75" x14ac:dyDescent="0.2">
      <c r="A148" s="109">
        <v>441</v>
      </c>
      <c r="B148" s="110">
        <v>1</v>
      </c>
      <c r="C148" s="103" t="s">
        <v>267</v>
      </c>
      <c r="D148" s="103">
        <v>6</v>
      </c>
      <c r="E148" s="104">
        <f>+SUMIF('GE16FEB14 Unfudged'!$A$2:$A$498, $A148, 'GE16FEB14 Unfudged'!$D$2:$D$498)</f>
        <v>432</v>
      </c>
      <c r="F148" s="104">
        <v>44212</v>
      </c>
      <c r="G148" s="105">
        <v>35220</v>
      </c>
      <c r="H148" s="106">
        <v>8992</v>
      </c>
      <c r="I148" s="107">
        <v>183274</v>
      </c>
      <c r="J148" s="105">
        <v>146000</v>
      </c>
      <c r="K148" s="106">
        <v>37274</v>
      </c>
      <c r="L148" s="107">
        <v>427435</v>
      </c>
      <c r="M148" s="105">
        <v>317189</v>
      </c>
      <c r="N148" s="106">
        <v>110246</v>
      </c>
      <c r="O148" s="107">
        <f t="shared" si="10"/>
        <v>654921</v>
      </c>
      <c r="P148" s="105">
        <f t="shared" si="10"/>
        <v>498409</v>
      </c>
      <c r="Q148" s="106">
        <f t="shared" si="10"/>
        <v>156512</v>
      </c>
      <c r="R148" s="105">
        <f t="shared" si="11"/>
        <v>1516.0208333333333</v>
      </c>
      <c r="S148" s="105">
        <f t="shared" si="11"/>
        <v>1153.724537037037</v>
      </c>
      <c r="T148" s="108">
        <f t="shared" si="11"/>
        <v>362.2962962962963</v>
      </c>
    </row>
    <row r="149" spans="1:20" s="85" customFormat="1" ht="12.75" x14ac:dyDescent="0.2">
      <c r="A149" s="109">
        <v>447</v>
      </c>
      <c r="B149" s="110">
        <v>1</v>
      </c>
      <c r="C149" s="103" t="s">
        <v>268</v>
      </c>
      <c r="D149" s="103">
        <v>6</v>
      </c>
      <c r="E149" s="104">
        <f>+SUMIF('GE16FEB14 Unfudged'!$A$2:$A$498, $A149, 'GE16FEB14 Unfudged'!$D$2:$D$498)</f>
        <v>154</v>
      </c>
      <c r="F149" s="104">
        <v>20326</v>
      </c>
      <c r="G149" s="105">
        <v>9247</v>
      </c>
      <c r="H149" s="106">
        <v>11079</v>
      </c>
      <c r="I149" s="107">
        <v>65296</v>
      </c>
      <c r="J149" s="105">
        <v>29706</v>
      </c>
      <c r="K149" s="106">
        <v>35590</v>
      </c>
      <c r="L149" s="107">
        <v>76752</v>
      </c>
      <c r="M149" s="105">
        <v>26080</v>
      </c>
      <c r="N149" s="106">
        <v>50672</v>
      </c>
      <c r="O149" s="107">
        <f t="shared" si="10"/>
        <v>162374</v>
      </c>
      <c r="P149" s="105">
        <f t="shared" si="10"/>
        <v>65033</v>
      </c>
      <c r="Q149" s="106">
        <f t="shared" si="10"/>
        <v>97341</v>
      </c>
      <c r="R149" s="105">
        <f t="shared" si="11"/>
        <v>1054.3766233766235</v>
      </c>
      <c r="S149" s="105">
        <f t="shared" si="11"/>
        <v>422.29220779220782</v>
      </c>
      <c r="T149" s="108">
        <f t="shared" si="11"/>
        <v>632.08441558441564</v>
      </c>
    </row>
    <row r="150" spans="1:20" s="85" customFormat="1" ht="12.75" x14ac:dyDescent="0.2">
      <c r="A150" s="109">
        <v>458</v>
      </c>
      <c r="B150" s="110">
        <v>1</v>
      </c>
      <c r="C150" s="103" t="s">
        <v>269</v>
      </c>
      <c r="D150" s="103">
        <v>6</v>
      </c>
      <c r="E150" s="104">
        <f>+SUMIF('GE16FEB14 Unfudged'!$A$2:$A$498, $A150, 'GE16FEB14 Unfudged'!$D$2:$D$498)</f>
        <v>215</v>
      </c>
      <c r="F150" s="104">
        <v>10740</v>
      </c>
      <c r="G150" s="105">
        <v>6162</v>
      </c>
      <c r="H150" s="106">
        <v>4578</v>
      </c>
      <c r="I150" s="107">
        <v>91075</v>
      </c>
      <c r="J150" s="105">
        <v>52254</v>
      </c>
      <c r="K150" s="106">
        <v>38821</v>
      </c>
      <c r="L150" s="107">
        <v>414029</v>
      </c>
      <c r="M150" s="105">
        <v>209378</v>
      </c>
      <c r="N150" s="106">
        <v>204651</v>
      </c>
      <c r="O150" s="107">
        <f t="shared" si="10"/>
        <v>515844</v>
      </c>
      <c r="P150" s="105">
        <f t="shared" si="10"/>
        <v>267794</v>
      </c>
      <c r="Q150" s="106">
        <f t="shared" si="10"/>
        <v>248050</v>
      </c>
      <c r="R150" s="105">
        <f t="shared" si="11"/>
        <v>2399.2744186046511</v>
      </c>
      <c r="S150" s="105">
        <f t="shared" si="11"/>
        <v>1245.5534883720929</v>
      </c>
      <c r="T150" s="108">
        <f t="shared" si="11"/>
        <v>1153.7209302325582</v>
      </c>
    </row>
    <row r="151" spans="1:20" s="85" customFormat="1" ht="12.75" x14ac:dyDescent="0.2">
      <c r="A151" s="109">
        <v>463</v>
      </c>
      <c r="B151" s="110">
        <v>1</v>
      </c>
      <c r="C151" s="103" t="s">
        <v>270</v>
      </c>
      <c r="D151" s="103">
        <v>6</v>
      </c>
      <c r="E151" s="104">
        <f>+SUMIF('GE16FEB14 Unfudged'!$A$2:$A$498, $A151, 'GE16FEB14 Unfudged'!$D$2:$D$498)</f>
        <v>1016</v>
      </c>
      <c r="F151" s="104">
        <v>139412</v>
      </c>
      <c r="G151" s="105">
        <v>75425</v>
      </c>
      <c r="H151" s="106">
        <v>63987</v>
      </c>
      <c r="I151" s="107">
        <v>430890</v>
      </c>
      <c r="J151" s="105">
        <v>233121</v>
      </c>
      <c r="K151" s="106">
        <v>197769</v>
      </c>
      <c r="L151" s="107">
        <v>419284</v>
      </c>
      <c r="M151" s="105">
        <v>157491</v>
      </c>
      <c r="N151" s="106">
        <v>261793</v>
      </c>
      <c r="O151" s="107">
        <f t="shared" si="10"/>
        <v>989586</v>
      </c>
      <c r="P151" s="105">
        <f t="shared" si="10"/>
        <v>466037</v>
      </c>
      <c r="Q151" s="106">
        <f t="shared" si="10"/>
        <v>523549</v>
      </c>
      <c r="R151" s="105">
        <f t="shared" si="11"/>
        <v>974.00196850393706</v>
      </c>
      <c r="S151" s="105">
        <f t="shared" si="11"/>
        <v>458.69783464566927</v>
      </c>
      <c r="T151" s="108">
        <f t="shared" si="11"/>
        <v>515.30413385826773</v>
      </c>
    </row>
    <row r="152" spans="1:20" s="85" customFormat="1" ht="12.75" x14ac:dyDescent="0.2">
      <c r="A152" s="109">
        <v>465</v>
      </c>
      <c r="B152" s="110">
        <v>1</v>
      </c>
      <c r="C152" s="103" t="s">
        <v>271</v>
      </c>
      <c r="D152" s="103">
        <v>5</v>
      </c>
      <c r="E152" s="104">
        <f>+SUMIF('GE16FEB14 Unfudged'!$A$2:$A$498, $A152, 'GE16FEB14 Unfudged'!$D$2:$D$498)</f>
        <v>1825</v>
      </c>
      <c r="F152" s="104">
        <v>262865</v>
      </c>
      <c r="G152" s="105">
        <v>177288</v>
      </c>
      <c r="H152" s="106">
        <v>85577</v>
      </c>
      <c r="I152" s="107">
        <v>773991</v>
      </c>
      <c r="J152" s="105">
        <v>522014</v>
      </c>
      <c r="K152" s="106">
        <v>251977</v>
      </c>
      <c r="L152" s="107">
        <v>547635</v>
      </c>
      <c r="M152" s="105">
        <v>214055</v>
      </c>
      <c r="N152" s="106">
        <v>333580</v>
      </c>
      <c r="O152" s="107">
        <f t="shared" si="10"/>
        <v>1584491</v>
      </c>
      <c r="P152" s="105">
        <f t="shared" si="10"/>
        <v>913357</v>
      </c>
      <c r="Q152" s="106">
        <f t="shared" si="10"/>
        <v>671134</v>
      </c>
      <c r="R152" s="105">
        <f t="shared" si="11"/>
        <v>868.21424657534249</v>
      </c>
      <c r="S152" s="105">
        <f t="shared" si="11"/>
        <v>500.4695890410959</v>
      </c>
      <c r="T152" s="108">
        <f t="shared" si="11"/>
        <v>367.74465753424658</v>
      </c>
    </row>
    <row r="153" spans="1:20" s="85" customFormat="1" ht="12.75" x14ac:dyDescent="0.2">
      <c r="A153" s="109">
        <v>466</v>
      </c>
      <c r="B153" s="110">
        <v>1</v>
      </c>
      <c r="C153" s="103" t="s">
        <v>272</v>
      </c>
      <c r="D153" s="103">
        <v>4</v>
      </c>
      <c r="E153" s="104">
        <f>+SUMIF('GE16FEB14 Unfudged'!$A$2:$A$498, $A153, 'GE16FEB14 Unfudged'!$D$2:$D$498)</f>
        <v>2387</v>
      </c>
      <c r="F153" s="104">
        <v>342438</v>
      </c>
      <c r="G153" s="105">
        <v>186514</v>
      </c>
      <c r="H153" s="106">
        <v>155924</v>
      </c>
      <c r="I153" s="107">
        <v>1011918</v>
      </c>
      <c r="J153" s="105">
        <v>551157</v>
      </c>
      <c r="K153" s="106">
        <v>460761</v>
      </c>
      <c r="L153" s="107">
        <v>736338</v>
      </c>
      <c r="M153" s="105">
        <v>237093</v>
      </c>
      <c r="N153" s="106">
        <v>499245</v>
      </c>
      <c r="O153" s="107">
        <f t="shared" si="10"/>
        <v>2090694</v>
      </c>
      <c r="P153" s="105">
        <f t="shared" si="10"/>
        <v>974764</v>
      </c>
      <c r="Q153" s="106">
        <f t="shared" si="10"/>
        <v>1115930</v>
      </c>
      <c r="R153" s="105">
        <f t="shared" si="11"/>
        <v>875.86677838290746</v>
      </c>
      <c r="S153" s="105">
        <f t="shared" si="11"/>
        <v>408.36363636363637</v>
      </c>
      <c r="T153" s="108">
        <f t="shared" si="11"/>
        <v>467.50314201927102</v>
      </c>
    </row>
    <row r="154" spans="1:20" s="85" customFormat="1" ht="12.75" x14ac:dyDescent="0.2">
      <c r="A154" s="109">
        <v>473</v>
      </c>
      <c r="B154" s="110">
        <v>1</v>
      </c>
      <c r="C154" s="103" t="s">
        <v>273</v>
      </c>
      <c r="D154" s="103">
        <v>6</v>
      </c>
      <c r="E154" s="104">
        <f>+SUMIF('GE16FEB14 Unfudged'!$A$2:$A$498, $A154, 'GE16FEB14 Unfudged'!$D$2:$D$498)</f>
        <v>514</v>
      </c>
      <c r="F154" s="104">
        <v>73958</v>
      </c>
      <c r="G154" s="105">
        <v>73958</v>
      </c>
      <c r="H154" s="106">
        <v>0</v>
      </c>
      <c r="I154" s="107">
        <v>217766</v>
      </c>
      <c r="J154" s="105">
        <v>217766</v>
      </c>
      <c r="K154" s="106">
        <v>0</v>
      </c>
      <c r="L154" s="107">
        <v>154080</v>
      </c>
      <c r="M154" s="105">
        <v>103232</v>
      </c>
      <c r="N154" s="106">
        <v>50848</v>
      </c>
      <c r="O154" s="107">
        <f t="shared" si="10"/>
        <v>445804</v>
      </c>
      <c r="P154" s="105">
        <f t="shared" si="10"/>
        <v>394956</v>
      </c>
      <c r="Q154" s="106">
        <f t="shared" si="10"/>
        <v>50848</v>
      </c>
      <c r="R154" s="105">
        <f t="shared" si="11"/>
        <v>867.32295719844353</v>
      </c>
      <c r="S154" s="105">
        <f t="shared" si="11"/>
        <v>768.39688715953309</v>
      </c>
      <c r="T154" s="108">
        <f t="shared" si="11"/>
        <v>98.92607003891051</v>
      </c>
    </row>
    <row r="155" spans="1:20" s="85" customFormat="1" ht="12.75" x14ac:dyDescent="0.2">
      <c r="A155" s="109">
        <v>477</v>
      </c>
      <c r="B155" s="110">
        <v>1</v>
      </c>
      <c r="C155" s="103" t="s">
        <v>274</v>
      </c>
      <c r="D155" s="103">
        <v>4</v>
      </c>
      <c r="E155" s="104">
        <f>+SUMIF('GE16FEB14 Unfudged'!$A$2:$A$498, $A155, 'GE16FEB14 Unfudged'!$D$2:$D$498)</f>
        <v>3467</v>
      </c>
      <c r="F155" s="104">
        <v>499190</v>
      </c>
      <c r="G155" s="105">
        <v>291435</v>
      </c>
      <c r="H155" s="106">
        <v>207755</v>
      </c>
      <c r="I155" s="107">
        <v>1469838</v>
      </c>
      <c r="J155" s="105">
        <v>858113</v>
      </c>
      <c r="K155" s="106">
        <v>611725</v>
      </c>
      <c r="L155" s="107">
        <v>1039980</v>
      </c>
      <c r="M155" s="105">
        <v>351874</v>
      </c>
      <c r="N155" s="106">
        <v>688106</v>
      </c>
      <c r="O155" s="107">
        <f t="shared" si="10"/>
        <v>3009008</v>
      </c>
      <c r="P155" s="105">
        <f t="shared" si="10"/>
        <v>1501422</v>
      </c>
      <c r="Q155" s="106">
        <f t="shared" si="10"/>
        <v>1507586</v>
      </c>
      <c r="R155" s="105">
        <f t="shared" si="11"/>
        <v>867.8996250360542</v>
      </c>
      <c r="S155" s="105">
        <f t="shared" si="11"/>
        <v>433.06085953273725</v>
      </c>
      <c r="T155" s="108">
        <f t="shared" si="11"/>
        <v>434.83876550331701</v>
      </c>
    </row>
    <row r="156" spans="1:20" s="85" customFormat="1" ht="12.75" x14ac:dyDescent="0.2">
      <c r="A156" s="109">
        <v>480</v>
      </c>
      <c r="B156" s="110">
        <v>1</v>
      </c>
      <c r="C156" s="103" t="s">
        <v>275</v>
      </c>
      <c r="D156" s="103">
        <v>6</v>
      </c>
      <c r="E156" s="104">
        <f>+SUMIF('GE16FEB14 Unfudged'!$A$2:$A$498, $A156, 'GE16FEB14 Unfudged'!$D$2:$D$498)</f>
        <v>651</v>
      </c>
      <c r="F156" s="104">
        <v>91819</v>
      </c>
      <c r="G156" s="105">
        <v>71010</v>
      </c>
      <c r="H156" s="106">
        <v>20809</v>
      </c>
      <c r="I156" s="107">
        <v>275918</v>
      </c>
      <c r="J156" s="105">
        <v>213388</v>
      </c>
      <c r="K156" s="106">
        <v>62530</v>
      </c>
      <c r="L156" s="107">
        <v>226422</v>
      </c>
      <c r="M156" s="105">
        <v>111628</v>
      </c>
      <c r="N156" s="106">
        <v>114794</v>
      </c>
      <c r="O156" s="107">
        <f t="shared" si="10"/>
        <v>594159</v>
      </c>
      <c r="P156" s="105">
        <f t="shared" si="10"/>
        <v>396026</v>
      </c>
      <c r="Q156" s="106">
        <f t="shared" si="10"/>
        <v>198133</v>
      </c>
      <c r="R156" s="105">
        <f t="shared" si="11"/>
        <v>912.68663594470047</v>
      </c>
      <c r="S156" s="105">
        <f t="shared" si="11"/>
        <v>608.3348694316436</v>
      </c>
      <c r="T156" s="108">
        <f t="shared" si="11"/>
        <v>304.35176651305682</v>
      </c>
    </row>
    <row r="157" spans="1:20" s="85" customFormat="1" ht="12.75" x14ac:dyDescent="0.2">
      <c r="A157" s="109">
        <v>482</v>
      </c>
      <c r="B157" s="110">
        <v>1</v>
      </c>
      <c r="C157" s="103" t="s">
        <v>276</v>
      </c>
      <c r="D157" s="103">
        <v>4</v>
      </c>
      <c r="E157" s="104">
        <f>+SUMIF('GE16FEB14 Unfudged'!$A$2:$A$498, $A157, 'GE16FEB14 Unfudged'!$D$2:$D$498)</f>
        <v>2615</v>
      </c>
      <c r="F157" s="104">
        <v>341611</v>
      </c>
      <c r="G157" s="105">
        <v>213164</v>
      </c>
      <c r="H157" s="106">
        <v>128447</v>
      </c>
      <c r="I157" s="107">
        <v>1108760</v>
      </c>
      <c r="J157" s="105">
        <v>691862</v>
      </c>
      <c r="K157" s="106">
        <v>416898</v>
      </c>
      <c r="L157" s="107">
        <v>1361578</v>
      </c>
      <c r="M157" s="105">
        <v>643796</v>
      </c>
      <c r="N157" s="106">
        <v>717782</v>
      </c>
      <c r="O157" s="107">
        <f t="shared" si="10"/>
        <v>2811949</v>
      </c>
      <c r="P157" s="105">
        <f t="shared" si="10"/>
        <v>1548822</v>
      </c>
      <c r="Q157" s="106">
        <f t="shared" si="10"/>
        <v>1263127</v>
      </c>
      <c r="R157" s="105">
        <f t="shared" si="11"/>
        <v>1075.3151051625239</v>
      </c>
      <c r="S157" s="105">
        <f t="shared" si="11"/>
        <v>592.28374760994268</v>
      </c>
      <c r="T157" s="108">
        <f t="shared" si="11"/>
        <v>483.03135755258126</v>
      </c>
    </row>
    <row r="158" spans="1:20" s="85" customFormat="1" ht="12.75" x14ac:dyDescent="0.2">
      <c r="A158" s="109">
        <v>484</v>
      </c>
      <c r="B158" s="110">
        <v>1</v>
      </c>
      <c r="C158" s="103" t="s">
        <v>277</v>
      </c>
      <c r="D158" s="103">
        <v>5</v>
      </c>
      <c r="E158" s="104">
        <f>+SUMIF('GE16FEB14 Unfudged'!$A$2:$A$498, $A158, 'GE16FEB14 Unfudged'!$D$2:$D$498)</f>
        <v>1234</v>
      </c>
      <c r="F158" s="104">
        <v>177638</v>
      </c>
      <c r="G158" s="105">
        <v>93708</v>
      </c>
      <c r="H158" s="106">
        <v>83930</v>
      </c>
      <c r="I158" s="107">
        <v>523046</v>
      </c>
      <c r="J158" s="105">
        <v>275920</v>
      </c>
      <c r="K158" s="106">
        <v>247126</v>
      </c>
      <c r="L158" s="107">
        <v>370080</v>
      </c>
      <c r="M158" s="105">
        <v>113143</v>
      </c>
      <c r="N158" s="106">
        <v>256937</v>
      </c>
      <c r="O158" s="107">
        <f t="shared" si="10"/>
        <v>1070764</v>
      </c>
      <c r="P158" s="105">
        <f t="shared" si="10"/>
        <v>482771</v>
      </c>
      <c r="Q158" s="106">
        <f t="shared" si="10"/>
        <v>587993</v>
      </c>
      <c r="R158" s="105">
        <f t="shared" si="11"/>
        <v>867.71799027552674</v>
      </c>
      <c r="S158" s="105">
        <f t="shared" si="11"/>
        <v>391.22447325769855</v>
      </c>
      <c r="T158" s="108">
        <f t="shared" si="11"/>
        <v>476.4935170178282</v>
      </c>
    </row>
    <row r="159" spans="1:20" s="85" customFormat="1" ht="12.75" x14ac:dyDescent="0.2">
      <c r="A159" s="109">
        <v>485</v>
      </c>
      <c r="B159" s="110">
        <v>1</v>
      </c>
      <c r="C159" s="103" t="s">
        <v>278</v>
      </c>
      <c r="D159" s="103">
        <v>6</v>
      </c>
      <c r="E159" s="104">
        <f>+SUMIF('GE16FEB14 Unfudged'!$A$2:$A$498, $A159, 'GE16FEB14 Unfudged'!$D$2:$D$498)</f>
        <v>941</v>
      </c>
      <c r="F159" s="104">
        <v>135569</v>
      </c>
      <c r="G159" s="105">
        <v>77083</v>
      </c>
      <c r="H159" s="106">
        <v>58486</v>
      </c>
      <c r="I159" s="107">
        <v>399175</v>
      </c>
      <c r="J159" s="105">
        <v>226967</v>
      </c>
      <c r="K159" s="106">
        <v>172208</v>
      </c>
      <c r="L159" s="107">
        <v>282435</v>
      </c>
      <c r="M159" s="105">
        <v>93069</v>
      </c>
      <c r="N159" s="106">
        <v>189366</v>
      </c>
      <c r="O159" s="107">
        <f t="shared" si="10"/>
        <v>817179</v>
      </c>
      <c r="P159" s="105">
        <f t="shared" si="10"/>
        <v>397119</v>
      </c>
      <c r="Q159" s="106">
        <f t="shared" si="10"/>
        <v>420060</v>
      </c>
      <c r="R159" s="105">
        <f t="shared" si="11"/>
        <v>868.41551540913918</v>
      </c>
      <c r="S159" s="105">
        <f t="shared" si="11"/>
        <v>422.01806588735388</v>
      </c>
      <c r="T159" s="108">
        <f t="shared" si="11"/>
        <v>446.39744952178535</v>
      </c>
    </row>
    <row r="160" spans="1:20" s="85" customFormat="1" ht="12.75" x14ac:dyDescent="0.2">
      <c r="A160" s="109">
        <v>486</v>
      </c>
      <c r="B160" s="110">
        <v>1</v>
      </c>
      <c r="C160" s="103" t="s">
        <v>279</v>
      </c>
      <c r="D160" s="103">
        <v>6</v>
      </c>
      <c r="E160" s="104">
        <f>+SUMIF('GE16FEB14 Unfudged'!$A$2:$A$498, $A160, 'GE16FEB14 Unfudged'!$D$2:$D$498)</f>
        <v>358</v>
      </c>
      <c r="F160" s="104">
        <v>49371</v>
      </c>
      <c r="G160" s="105">
        <v>29948</v>
      </c>
      <c r="H160" s="106">
        <v>19423</v>
      </c>
      <c r="I160" s="107">
        <v>151622</v>
      </c>
      <c r="J160" s="105">
        <v>91973</v>
      </c>
      <c r="K160" s="106">
        <v>59649</v>
      </c>
      <c r="L160" s="107">
        <v>142336</v>
      </c>
      <c r="M160" s="105">
        <v>58979</v>
      </c>
      <c r="N160" s="106">
        <v>83357</v>
      </c>
      <c r="O160" s="107">
        <f t="shared" si="10"/>
        <v>343329</v>
      </c>
      <c r="P160" s="105">
        <f t="shared" si="10"/>
        <v>180900</v>
      </c>
      <c r="Q160" s="106">
        <f t="shared" si="10"/>
        <v>162429</v>
      </c>
      <c r="R160" s="105">
        <f t="shared" si="11"/>
        <v>959.01955307262574</v>
      </c>
      <c r="S160" s="105">
        <f t="shared" si="11"/>
        <v>505.3072625698324</v>
      </c>
      <c r="T160" s="108">
        <f t="shared" si="11"/>
        <v>453.71229050279328</v>
      </c>
    </row>
    <row r="161" spans="1:20" s="85" customFormat="1" ht="12.75" x14ac:dyDescent="0.2">
      <c r="A161" s="109">
        <v>487</v>
      </c>
      <c r="B161" s="110">
        <v>1</v>
      </c>
      <c r="C161" s="103" t="s">
        <v>280</v>
      </c>
      <c r="D161" s="103">
        <v>6</v>
      </c>
      <c r="E161" s="104">
        <f>+SUMIF('GE16FEB14 Unfudged'!$A$2:$A$498, $A161, 'GE16FEB14 Unfudged'!$D$2:$D$498)</f>
        <v>364</v>
      </c>
      <c r="F161" s="104">
        <v>49661</v>
      </c>
      <c r="G161" s="105">
        <v>34187</v>
      </c>
      <c r="H161" s="106">
        <v>15474</v>
      </c>
      <c r="I161" s="107">
        <v>154463</v>
      </c>
      <c r="J161" s="105">
        <v>106332</v>
      </c>
      <c r="K161" s="106">
        <v>48131</v>
      </c>
      <c r="L161" s="107">
        <v>155501</v>
      </c>
      <c r="M161" s="105">
        <v>75414</v>
      </c>
      <c r="N161" s="106">
        <v>80087</v>
      </c>
      <c r="O161" s="107">
        <f t="shared" si="10"/>
        <v>359625</v>
      </c>
      <c r="P161" s="105">
        <f t="shared" si="10"/>
        <v>215933</v>
      </c>
      <c r="Q161" s="106">
        <f t="shared" si="10"/>
        <v>143692</v>
      </c>
      <c r="R161" s="105">
        <f t="shared" si="11"/>
        <v>987.98076923076928</v>
      </c>
      <c r="S161" s="105">
        <f t="shared" si="11"/>
        <v>593.22252747252742</v>
      </c>
      <c r="T161" s="108">
        <f t="shared" si="11"/>
        <v>394.75824175824175</v>
      </c>
    </row>
    <row r="162" spans="1:20" s="85" customFormat="1" ht="12.75" x14ac:dyDescent="0.2">
      <c r="A162" s="109">
        <v>492</v>
      </c>
      <c r="B162" s="110">
        <v>1</v>
      </c>
      <c r="C162" s="103" t="s">
        <v>281</v>
      </c>
      <c r="D162" s="103">
        <v>4</v>
      </c>
      <c r="E162" s="104">
        <f>+SUMIF('GE16FEB14 Unfudged'!$A$2:$A$498, $A162, 'GE16FEB14 Unfudged'!$D$2:$D$498)</f>
        <v>5139</v>
      </c>
      <c r="F162" s="104">
        <v>726670</v>
      </c>
      <c r="G162" s="105">
        <v>347480</v>
      </c>
      <c r="H162" s="106">
        <v>379190</v>
      </c>
      <c r="I162" s="107">
        <v>2178766</v>
      </c>
      <c r="J162" s="105">
        <v>1041845</v>
      </c>
      <c r="K162" s="106">
        <v>1136921</v>
      </c>
      <c r="L162" s="107">
        <v>1760998</v>
      </c>
      <c r="M162" s="105">
        <v>532137</v>
      </c>
      <c r="N162" s="106">
        <v>1228861</v>
      </c>
      <c r="O162" s="107">
        <f t="shared" si="10"/>
        <v>4666434</v>
      </c>
      <c r="P162" s="105">
        <f t="shared" si="10"/>
        <v>1921462</v>
      </c>
      <c r="Q162" s="106">
        <f t="shared" si="10"/>
        <v>2744972</v>
      </c>
      <c r="R162" s="105">
        <f t="shared" si="11"/>
        <v>908.04319906596618</v>
      </c>
      <c r="S162" s="105">
        <f t="shared" si="11"/>
        <v>373.89803463708893</v>
      </c>
      <c r="T162" s="108">
        <f t="shared" si="11"/>
        <v>534.14516442887725</v>
      </c>
    </row>
    <row r="163" spans="1:20" s="85" customFormat="1" ht="12.75" x14ac:dyDescent="0.2">
      <c r="A163" s="109">
        <v>495</v>
      </c>
      <c r="B163" s="110">
        <v>1</v>
      </c>
      <c r="C163" s="103" t="s">
        <v>282</v>
      </c>
      <c r="D163" s="103">
        <v>6</v>
      </c>
      <c r="E163" s="104">
        <f>+SUMIF('GE16FEB14 Unfudged'!$A$2:$A$498, $A163, 'GE16FEB14 Unfudged'!$D$2:$D$498)</f>
        <v>435</v>
      </c>
      <c r="F163" s="104">
        <v>43858</v>
      </c>
      <c r="G163" s="105">
        <v>19645</v>
      </c>
      <c r="H163" s="106">
        <v>24213</v>
      </c>
      <c r="I163" s="107">
        <v>184398</v>
      </c>
      <c r="J163" s="105">
        <v>82595</v>
      </c>
      <c r="K163" s="106">
        <v>101803</v>
      </c>
      <c r="L163" s="107">
        <v>440362</v>
      </c>
      <c r="M163" s="105">
        <v>209996</v>
      </c>
      <c r="N163" s="106">
        <v>230366</v>
      </c>
      <c r="O163" s="107">
        <f t="shared" si="10"/>
        <v>668618</v>
      </c>
      <c r="P163" s="105">
        <f t="shared" si="10"/>
        <v>312236</v>
      </c>
      <c r="Q163" s="106">
        <f t="shared" si="10"/>
        <v>356382</v>
      </c>
      <c r="R163" s="105">
        <f t="shared" si="11"/>
        <v>1537.0528735632183</v>
      </c>
      <c r="S163" s="105">
        <f t="shared" si="11"/>
        <v>717.783908045977</v>
      </c>
      <c r="T163" s="108">
        <f t="shared" si="11"/>
        <v>819.26896551724133</v>
      </c>
    </row>
    <row r="164" spans="1:20" s="85" customFormat="1" ht="12.75" x14ac:dyDescent="0.2">
      <c r="A164" s="109">
        <v>497</v>
      </c>
      <c r="B164" s="110">
        <v>1</v>
      </c>
      <c r="C164" s="103" t="s">
        <v>283</v>
      </c>
      <c r="D164" s="103">
        <v>6</v>
      </c>
      <c r="E164" s="104">
        <f>+SUMIF('GE16FEB14 Unfudged'!$A$2:$A$498, $A164, 'GE16FEB14 Unfudged'!$D$2:$D$498)</f>
        <v>255</v>
      </c>
      <c r="F164" s="104">
        <v>36508</v>
      </c>
      <c r="G164" s="105">
        <v>17888</v>
      </c>
      <c r="H164" s="106">
        <v>18620</v>
      </c>
      <c r="I164" s="107">
        <v>108162</v>
      </c>
      <c r="J164" s="105">
        <v>52997</v>
      </c>
      <c r="K164" s="106">
        <v>55165</v>
      </c>
      <c r="L164" s="107">
        <v>80267</v>
      </c>
      <c r="M164" s="105">
        <v>23563</v>
      </c>
      <c r="N164" s="106">
        <v>56704</v>
      </c>
      <c r="O164" s="107">
        <f t="shared" si="10"/>
        <v>224937</v>
      </c>
      <c r="P164" s="105">
        <f t="shared" si="10"/>
        <v>94448</v>
      </c>
      <c r="Q164" s="106">
        <f t="shared" si="10"/>
        <v>130489</v>
      </c>
      <c r="R164" s="105">
        <f t="shared" si="11"/>
        <v>882.10588235294119</v>
      </c>
      <c r="S164" s="105">
        <f t="shared" si="11"/>
        <v>370.38431372549019</v>
      </c>
      <c r="T164" s="108">
        <f t="shared" si="11"/>
        <v>511.72156862745101</v>
      </c>
    </row>
    <row r="165" spans="1:20" s="85" customFormat="1" ht="12.75" x14ac:dyDescent="0.2">
      <c r="A165" s="109">
        <v>499</v>
      </c>
      <c r="B165" s="110">
        <v>1</v>
      </c>
      <c r="C165" s="103" t="s">
        <v>284</v>
      </c>
      <c r="D165" s="103">
        <v>6</v>
      </c>
      <c r="E165" s="104">
        <f>+SUMIF('GE16FEB14 Unfudged'!$A$2:$A$498, $A165, 'GE16FEB14 Unfudged'!$D$2:$D$498)</f>
        <v>305</v>
      </c>
      <c r="F165" s="104">
        <v>23627</v>
      </c>
      <c r="G165" s="105">
        <v>13353</v>
      </c>
      <c r="H165" s="106">
        <v>10274</v>
      </c>
      <c r="I165" s="107">
        <v>129150</v>
      </c>
      <c r="J165" s="105">
        <v>72992</v>
      </c>
      <c r="K165" s="106">
        <v>56158</v>
      </c>
      <c r="L165" s="107">
        <v>425511</v>
      </c>
      <c r="M165" s="105">
        <v>265695</v>
      </c>
      <c r="N165" s="106">
        <v>159816</v>
      </c>
      <c r="O165" s="107">
        <f t="shared" si="10"/>
        <v>578288</v>
      </c>
      <c r="P165" s="105">
        <f t="shared" si="10"/>
        <v>352040</v>
      </c>
      <c r="Q165" s="106">
        <f t="shared" si="10"/>
        <v>226248</v>
      </c>
      <c r="R165" s="105">
        <f t="shared" si="11"/>
        <v>1896.0262295081968</v>
      </c>
      <c r="S165" s="105">
        <f t="shared" si="11"/>
        <v>1154.2295081967213</v>
      </c>
      <c r="T165" s="108">
        <f t="shared" si="11"/>
        <v>741.79672131147538</v>
      </c>
    </row>
    <row r="166" spans="1:20" s="85" customFormat="1" ht="12.75" x14ac:dyDescent="0.2">
      <c r="A166" s="109">
        <v>500</v>
      </c>
      <c r="B166" s="110">
        <v>1</v>
      </c>
      <c r="C166" s="103" t="s">
        <v>285</v>
      </c>
      <c r="D166" s="103">
        <v>6</v>
      </c>
      <c r="E166" s="104">
        <f>+SUMIF('GE16FEB14 Unfudged'!$A$2:$A$498, $A166, 'GE16FEB14 Unfudged'!$D$2:$D$498)</f>
        <v>450</v>
      </c>
      <c r="F166" s="104">
        <v>64338</v>
      </c>
      <c r="G166" s="105">
        <v>50551</v>
      </c>
      <c r="H166" s="106">
        <v>13787</v>
      </c>
      <c r="I166" s="107">
        <v>190588</v>
      </c>
      <c r="J166" s="105">
        <v>149746</v>
      </c>
      <c r="K166" s="106">
        <v>40842</v>
      </c>
      <c r="L166" s="107">
        <v>141287</v>
      </c>
      <c r="M166" s="105">
        <v>63245</v>
      </c>
      <c r="N166" s="106">
        <v>78042</v>
      </c>
      <c r="O166" s="107">
        <f t="shared" si="10"/>
        <v>396213</v>
      </c>
      <c r="P166" s="105">
        <f t="shared" si="10"/>
        <v>263542</v>
      </c>
      <c r="Q166" s="106">
        <f t="shared" si="10"/>
        <v>132671</v>
      </c>
      <c r="R166" s="105">
        <f t="shared" si="11"/>
        <v>880.47333333333336</v>
      </c>
      <c r="S166" s="105">
        <f t="shared" si="11"/>
        <v>585.64888888888891</v>
      </c>
      <c r="T166" s="108">
        <f t="shared" si="11"/>
        <v>294.82444444444445</v>
      </c>
    </row>
    <row r="167" spans="1:20" s="85" customFormat="1" ht="12.75" x14ac:dyDescent="0.2">
      <c r="A167" s="109">
        <v>505</v>
      </c>
      <c r="B167" s="110">
        <v>1</v>
      </c>
      <c r="C167" s="103" t="s">
        <v>286</v>
      </c>
      <c r="D167" s="103">
        <v>6</v>
      </c>
      <c r="E167" s="104">
        <f>+SUMIF('GE16FEB14 Unfudged'!$A$2:$A$498, $A167, 'GE16FEB14 Unfudged'!$D$2:$D$498)</f>
        <v>322</v>
      </c>
      <c r="F167" s="104">
        <v>39028</v>
      </c>
      <c r="G167" s="105">
        <v>22248</v>
      </c>
      <c r="H167" s="106">
        <v>16780</v>
      </c>
      <c r="I167" s="107">
        <v>136401</v>
      </c>
      <c r="J167" s="105">
        <v>77755</v>
      </c>
      <c r="K167" s="106">
        <v>58646</v>
      </c>
      <c r="L167" s="107">
        <v>216990</v>
      </c>
      <c r="M167" s="105">
        <v>100564</v>
      </c>
      <c r="N167" s="106">
        <v>116426</v>
      </c>
      <c r="O167" s="107">
        <f t="shared" si="10"/>
        <v>392419</v>
      </c>
      <c r="P167" s="105">
        <f t="shared" si="10"/>
        <v>200567</v>
      </c>
      <c r="Q167" s="106">
        <f t="shared" si="10"/>
        <v>191852</v>
      </c>
      <c r="R167" s="105">
        <f t="shared" si="11"/>
        <v>1218.692546583851</v>
      </c>
      <c r="S167" s="105">
        <f t="shared" si="11"/>
        <v>622.87888198757764</v>
      </c>
      <c r="T167" s="108">
        <f t="shared" si="11"/>
        <v>595.81366459627327</v>
      </c>
    </row>
    <row r="168" spans="1:20" s="85" customFormat="1" ht="12.75" x14ac:dyDescent="0.2">
      <c r="A168" s="109">
        <v>507</v>
      </c>
      <c r="B168" s="110">
        <v>1</v>
      </c>
      <c r="C168" s="103" t="s">
        <v>287</v>
      </c>
      <c r="D168" s="103">
        <v>6</v>
      </c>
      <c r="E168" s="104">
        <f>+SUMIF('GE16FEB14 Unfudged'!$A$2:$A$498, $A168, 'GE16FEB14 Unfudged'!$D$2:$D$498)</f>
        <v>387</v>
      </c>
      <c r="F168" s="104">
        <v>36478</v>
      </c>
      <c r="G168" s="105">
        <v>30416</v>
      </c>
      <c r="H168" s="106">
        <v>6062</v>
      </c>
      <c r="I168" s="107">
        <v>163918</v>
      </c>
      <c r="J168" s="105">
        <v>136676</v>
      </c>
      <c r="K168" s="106">
        <v>27242</v>
      </c>
      <c r="L168" s="107">
        <v>432895</v>
      </c>
      <c r="M168" s="105">
        <v>301403</v>
      </c>
      <c r="N168" s="106">
        <v>131492</v>
      </c>
      <c r="O168" s="107">
        <f t="shared" si="10"/>
        <v>633291</v>
      </c>
      <c r="P168" s="105">
        <f t="shared" si="10"/>
        <v>468495</v>
      </c>
      <c r="Q168" s="106">
        <f t="shared" si="10"/>
        <v>164796</v>
      </c>
      <c r="R168" s="105">
        <f t="shared" si="11"/>
        <v>1636.4108527131782</v>
      </c>
      <c r="S168" s="105">
        <f t="shared" si="11"/>
        <v>1210.5813953488373</v>
      </c>
      <c r="T168" s="108">
        <f t="shared" si="11"/>
        <v>425.82945736434107</v>
      </c>
    </row>
    <row r="169" spans="1:20" s="85" customFormat="1" ht="12.75" x14ac:dyDescent="0.2">
      <c r="A169" s="109">
        <v>508</v>
      </c>
      <c r="B169" s="110">
        <v>1</v>
      </c>
      <c r="C169" s="103" t="s">
        <v>288</v>
      </c>
      <c r="D169" s="103">
        <v>5</v>
      </c>
      <c r="E169" s="104">
        <f>+SUMIF('GE16FEB14 Unfudged'!$A$2:$A$498, $A169, 'GE16FEB14 Unfudged'!$D$2:$D$498)</f>
        <v>2102</v>
      </c>
      <c r="F169" s="104">
        <v>277916</v>
      </c>
      <c r="G169" s="105">
        <v>196816</v>
      </c>
      <c r="H169" s="106">
        <v>81100</v>
      </c>
      <c r="I169" s="107">
        <v>891333</v>
      </c>
      <c r="J169" s="105">
        <v>631229</v>
      </c>
      <c r="K169" s="106">
        <v>260104</v>
      </c>
      <c r="L169" s="107">
        <v>1040169</v>
      </c>
      <c r="M169" s="105">
        <v>548847</v>
      </c>
      <c r="N169" s="106">
        <v>491322</v>
      </c>
      <c r="O169" s="107">
        <f t="shared" si="10"/>
        <v>2209418</v>
      </c>
      <c r="P169" s="105">
        <f t="shared" si="10"/>
        <v>1376892</v>
      </c>
      <c r="Q169" s="106">
        <f t="shared" si="10"/>
        <v>832526</v>
      </c>
      <c r="R169" s="105">
        <f t="shared" si="11"/>
        <v>1051.1027592768792</v>
      </c>
      <c r="S169" s="105">
        <f t="shared" si="11"/>
        <v>655.03901046622263</v>
      </c>
      <c r="T169" s="108">
        <f t="shared" si="11"/>
        <v>396.06374881065653</v>
      </c>
    </row>
    <row r="170" spans="1:20" s="85" customFormat="1" ht="12.75" x14ac:dyDescent="0.2">
      <c r="A170" s="109">
        <v>511</v>
      </c>
      <c r="B170" s="110">
        <v>1</v>
      </c>
      <c r="C170" s="103" t="s">
        <v>289</v>
      </c>
      <c r="D170" s="103">
        <v>6</v>
      </c>
      <c r="E170" s="104">
        <f>+SUMIF('GE16FEB14 Unfudged'!$A$2:$A$498, $A170, 'GE16FEB14 Unfudged'!$D$2:$D$498)</f>
        <v>592</v>
      </c>
      <c r="F170" s="104">
        <v>70376</v>
      </c>
      <c r="G170" s="105">
        <v>30868</v>
      </c>
      <c r="H170" s="106">
        <v>39508</v>
      </c>
      <c r="I170" s="107">
        <v>251029</v>
      </c>
      <c r="J170" s="105">
        <v>110105</v>
      </c>
      <c r="K170" s="106">
        <v>140924</v>
      </c>
      <c r="L170" s="107">
        <v>423310</v>
      </c>
      <c r="M170" s="105">
        <v>152915</v>
      </c>
      <c r="N170" s="106">
        <v>270395</v>
      </c>
      <c r="O170" s="107">
        <f t="shared" si="10"/>
        <v>744715</v>
      </c>
      <c r="P170" s="105">
        <f t="shared" si="10"/>
        <v>293888</v>
      </c>
      <c r="Q170" s="106">
        <f t="shared" si="10"/>
        <v>450827</v>
      </c>
      <c r="R170" s="105">
        <f t="shared" si="11"/>
        <v>1257.9645270270271</v>
      </c>
      <c r="S170" s="105">
        <f t="shared" si="11"/>
        <v>496.43243243243245</v>
      </c>
      <c r="T170" s="108">
        <f t="shared" si="11"/>
        <v>761.53209459459458</v>
      </c>
    </row>
    <row r="171" spans="1:20" s="85" customFormat="1" ht="12.75" x14ac:dyDescent="0.2">
      <c r="A171" s="109">
        <v>514</v>
      </c>
      <c r="B171" s="110">
        <v>1</v>
      </c>
      <c r="C171" s="103" t="s">
        <v>290</v>
      </c>
      <c r="D171" s="103">
        <v>6</v>
      </c>
      <c r="E171" s="104">
        <f>+SUMIF('GE16FEB14 Unfudged'!$A$2:$A$498, $A171, 'GE16FEB14 Unfudged'!$D$2:$D$498)</f>
        <v>153</v>
      </c>
      <c r="F171" s="104">
        <v>11622</v>
      </c>
      <c r="G171" s="105">
        <v>5824</v>
      </c>
      <c r="H171" s="106">
        <v>5798</v>
      </c>
      <c r="I171" s="107">
        <v>64745</v>
      </c>
      <c r="J171" s="105">
        <v>32443</v>
      </c>
      <c r="K171" s="106">
        <v>32302</v>
      </c>
      <c r="L171" s="107">
        <v>216987</v>
      </c>
      <c r="M171" s="105">
        <v>125042</v>
      </c>
      <c r="N171" s="106">
        <v>91945</v>
      </c>
      <c r="O171" s="107">
        <f t="shared" si="10"/>
        <v>293354</v>
      </c>
      <c r="P171" s="105">
        <f t="shared" si="10"/>
        <v>163309</v>
      </c>
      <c r="Q171" s="106">
        <f t="shared" si="10"/>
        <v>130045</v>
      </c>
      <c r="R171" s="105">
        <f t="shared" si="11"/>
        <v>1917.3464052287582</v>
      </c>
      <c r="S171" s="105">
        <f t="shared" si="11"/>
        <v>1067.3790849673203</v>
      </c>
      <c r="T171" s="108">
        <f t="shared" si="11"/>
        <v>849.96732026143786</v>
      </c>
    </row>
    <row r="172" spans="1:20" s="85" customFormat="1" ht="12.75" x14ac:dyDescent="0.2">
      <c r="A172" s="109">
        <v>518</v>
      </c>
      <c r="B172" s="110">
        <v>1</v>
      </c>
      <c r="C172" s="103" t="s">
        <v>291</v>
      </c>
      <c r="D172" s="103">
        <v>4</v>
      </c>
      <c r="E172" s="104">
        <f>+SUMIF('GE16FEB14 Unfudged'!$A$2:$A$498, $A172, 'GE16FEB14 Unfudged'!$D$2:$D$498)</f>
        <v>3153</v>
      </c>
      <c r="F172" s="104">
        <v>384284</v>
      </c>
      <c r="G172" s="105">
        <v>159410</v>
      </c>
      <c r="H172" s="106">
        <v>224874</v>
      </c>
      <c r="I172" s="107">
        <v>1336702</v>
      </c>
      <c r="J172" s="105">
        <v>554496</v>
      </c>
      <c r="K172" s="106">
        <v>782206</v>
      </c>
      <c r="L172" s="107">
        <v>2096511</v>
      </c>
      <c r="M172" s="105">
        <v>704726</v>
      </c>
      <c r="N172" s="106">
        <v>1391785</v>
      </c>
      <c r="O172" s="107">
        <f t="shared" si="10"/>
        <v>3817497</v>
      </c>
      <c r="P172" s="105">
        <f t="shared" si="10"/>
        <v>1418632</v>
      </c>
      <c r="Q172" s="106">
        <f t="shared" si="10"/>
        <v>2398865</v>
      </c>
      <c r="R172" s="105">
        <f t="shared" si="11"/>
        <v>1210.7507136060894</v>
      </c>
      <c r="S172" s="105">
        <f t="shared" si="11"/>
        <v>449.93085949888996</v>
      </c>
      <c r="T172" s="108">
        <f t="shared" si="11"/>
        <v>760.81985410719949</v>
      </c>
    </row>
    <row r="173" spans="1:20" s="85" customFormat="1" ht="12.75" x14ac:dyDescent="0.2">
      <c r="A173" s="109">
        <v>531</v>
      </c>
      <c r="B173" s="110">
        <v>1</v>
      </c>
      <c r="C173" s="103" t="s">
        <v>292</v>
      </c>
      <c r="D173" s="103">
        <v>5</v>
      </c>
      <c r="E173" s="104">
        <f>+SUMIF('GE16FEB14 Unfudged'!$A$2:$A$498, $A173, 'GE16FEB14 Unfudged'!$D$2:$D$498)</f>
        <v>2106</v>
      </c>
      <c r="F173" s="104">
        <v>303250</v>
      </c>
      <c r="G173" s="105">
        <v>209517</v>
      </c>
      <c r="H173" s="106">
        <v>93733</v>
      </c>
      <c r="I173" s="107">
        <v>892902</v>
      </c>
      <c r="J173" s="105">
        <v>616912</v>
      </c>
      <c r="K173" s="106">
        <v>275990</v>
      </c>
      <c r="L173" s="107">
        <v>631770</v>
      </c>
      <c r="M173" s="105">
        <v>252968</v>
      </c>
      <c r="N173" s="106">
        <v>378802</v>
      </c>
      <c r="O173" s="107">
        <f t="shared" si="10"/>
        <v>1827922</v>
      </c>
      <c r="P173" s="105">
        <f t="shared" si="10"/>
        <v>1079397</v>
      </c>
      <c r="Q173" s="106">
        <f t="shared" si="10"/>
        <v>748525</v>
      </c>
      <c r="R173" s="105">
        <f t="shared" si="11"/>
        <v>867.95916429249758</v>
      </c>
      <c r="S173" s="105">
        <f t="shared" si="11"/>
        <v>512.53418803418799</v>
      </c>
      <c r="T173" s="108">
        <f t="shared" si="11"/>
        <v>355.42497625830958</v>
      </c>
    </row>
    <row r="174" spans="1:20" s="85" customFormat="1" ht="12.75" x14ac:dyDescent="0.2">
      <c r="A174" s="109">
        <v>533</v>
      </c>
      <c r="B174" s="110">
        <v>1</v>
      </c>
      <c r="C174" s="103" t="s">
        <v>293</v>
      </c>
      <c r="D174" s="103">
        <v>5</v>
      </c>
      <c r="E174" s="104">
        <f>+SUMIF('GE16FEB14 Unfudged'!$A$2:$A$498, $A174, 'GE16FEB14 Unfudged'!$D$2:$D$498)</f>
        <v>1287</v>
      </c>
      <c r="F174" s="104">
        <v>185328</v>
      </c>
      <c r="G174" s="105">
        <v>102521</v>
      </c>
      <c r="H174" s="106">
        <v>82807</v>
      </c>
      <c r="I174" s="107">
        <v>545688</v>
      </c>
      <c r="J174" s="105">
        <v>301867</v>
      </c>
      <c r="K174" s="106">
        <v>243821</v>
      </c>
      <c r="L174" s="107">
        <v>386100</v>
      </c>
      <c r="M174" s="105">
        <v>123782</v>
      </c>
      <c r="N174" s="106">
        <v>262318</v>
      </c>
      <c r="O174" s="107">
        <f t="shared" si="10"/>
        <v>1117116</v>
      </c>
      <c r="P174" s="105">
        <f t="shared" si="10"/>
        <v>528170</v>
      </c>
      <c r="Q174" s="106">
        <f t="shared" si="10"/>
        <v>588946</v>
      </c>
      <c r="R174" s="105">
        <f t="shared" si="11"/>
        <v>868</v>
      </c>
      <c r="S174" s="105">
        <f t="shared" si="11"/>
        <v>410.3885003885004</v>
      </c>
      <c r="T174" s="108">
        <f t="shared" si="11"/>
        <v>457.6114996114996</v>
      </c>
    </row>
    <row r="175" spans="1:20" s="85" customFormat="1" ht="12.75" x14ac:dyDescent="0.2">
      <c r="A175" s="109">
        <v>534</v>
      </c>
      <c r="B175" s="110">
        <v>1</v>
      </c>
      <c r="C175" s="103" t="s">
        <v>294</v>
      </c>
      <c r="D175" s="103">
        <v>5</v>
      </c>
      <c r="E175" s="104">
        <f>+SUMIF('GE16FEB14 Unfudged'!$A$2:$A$498, $A175, 'GE16FEB14 Unfudged'!$D$2:$D$498)</f>
        <v>2071</v>
      </c>
      <c r="F175" s="104">
        <v>293900</v>
      </c>
      <c r="G175" s="105">
        <v>209444</v>
      </c>
      <c r="H175" s="106">
        <v>84456</v>
      </c>
      <c r="I175" s="107">
        <v>878295</v>
      </c>
      <c r="J175" s="105">
        <v>625905</v>
      </c>
      <c r="K175" s="106">
        <v>252390</v>
      </c>
      <c r="L175" s="107">
        <v>693915</v>
      </c>
      <c r="M175" s="105">
        <v>308308</v>
      </c>
      <c r="N175" s="106">
        <v>385607</v>
      </c>
      <c r="O175" s="107">
        <f t="shared" si="10"/>
        <v>1866110</v>
      </c>
      <c r="P175" s="105">
        <f t="shared" si="10"/>
        <v>1143657</v>
      </c>
      <c r="Q175" s="106">
        <f t="shared" si="10"/>
        <v>722453</v>
      </c>
      <c r="R175" s="105">
        <f t="shared" si="11"/>
        <v>901.067117334621</v>
      </c>
      <c r="S175" s="105">
        <f t="shared" si="11"/>
        <v>552.22452921294064</v>
      </c>
      <c r="T175" s="108">
        <f t="shared" si="11"/>
        <v>348.84258812168036</v>
      </c>
    </row>
    <row r="176" spans="1:20" s="85" customFormat="1" ht="12.75" x14ac:dyDescent="0.2">
      <c r="A176" s="109">
        <v>535</v>
      </c>
      <c r="B176" s="110">
        <v>1</v>
      </c>
      <c r="C176" s="103" t="s">
        <v>295</v>
      </c>
      <c r="D176" s="103">
        <v>4</v>
      </c>
      <c r="E176" s="104">
        <f>+SUMIF('GE16FEB14 Unfudged'!$A$2:$A$498, $A176, 'GE16FEB14 Unfudged'!$D$2:$D$498)</f>
        <v>17934</v>
      </c>
      <c r="F176" s="104">
        <v>2571823</v>
      </c>
      <c r="G176" s="105">
        <v>2571823</v>
      </c>
      <c r="H176" s="106">
        <v>0</v>
      </c>
      <c r="I176" s="107">
        <v>7604186</v>
      </c>
      <c r="J176" s="105">
        <v>7604186</v>
      </c>
      <c r="K176" s="106">
        <v>0</v>
      </c>
      <c r="L176" s="107">
        <v>5557512</v>
      </c>
      <c r="M176" s="105">
        <v>3393288</v>
      </c>
      <c r="N176" s="106">
        <v>2164224</v>
      </c>
      <c r="O176" s="107">
        <f t="shared" si="10"/>
        <v>15733521</v>
      </c>
      <c r="P176" s="105">
        <f t="shared" si="10"/>
        <v>13569297</v>
      </c>
      <c r="Q176" s="106">
        <f t="shared" si="10"/>
        <v>2164224</v>
      </c>
      <c r="R176" s="105">
        <f t="shared" si="11"/>
        <v>877.30127132820337</v>
      </c>
      <c r="S176" s="105">
        <f t="shared" si="11"/>
        <v>756.62412177985948</v>
      </c>
      <c r="T176" s="108">
        <f t="shared" si="11"/>
        <v>120.67714954834393</v>
      </c>
    </row>
    <row r="177" spans="1:20" s="85" customFormat="1" ht="12.75" x14ac:dyDescent="0.2">
      <c r="A177" s="109">
        <v>542</v>
      </c>
      <c r="B177" s="110">
        <v>1</v>
      </c>
      <c r="C177" s="103" t="s">
        <v>296</v>
      </c>
      <c r="D177" s="103">
        <v>6</v>
      </c>
      <c r="E177" s="104">
        <f>+SUMIF('GE16FEB14 Unfudged'!$A$2:$A$498, $A177, 'GE16FEB14 Unfudged'!$D$2:$D$498)</f>
        <v>455</v>
      </c>
      <c r="F177" s="104">
        <v>65470</v>
      </c>
      <c r="G177" s="105">
        <v>65470</v>
      </c>
      <c r="H177" s="106">
        <v>0</v>
      </c>
      <c r="I177" s="107">
        <v>192772</v>
      </c>
      <c r="J177" s="105">
        <v>192772</v>
      </c>
      <c r="K177" s="106">
        <v>0</v>
      </c>
      <c r="L177" s="107">
        <v>136395</v>
      </c>
      <c r="M177" s="105">
        <v>136376</v>
      </c>
      <c r="N177" s="106">
        <v>19</v>
      </c>
      <c r="O177" s="107">
        <f t="shared" si="10"/>
        <v>394637</v>
      </c>
      <c r="P177" s="105">
        <f t="shared" si="10"/>
        <v>394618</v>
      </c>
      <c r="Q177" s="106">
        <f t="shared" si="10"/>
        <v>19</v>
      </c>
      <c r="R177" s="105">
        <f t="shared" si="11"/>
        <v>867.33406593406596</v>
      </c>
      <c r="S177" s="105">
        <f t="shared" si="11"/>
        <v>867.29230769230765</v>
      </c>
      <c r="T177" s="108">
        <f t="shared" si="11"/>
        <v>4.1758241758241756E-2</v>
      </c>
    </row>
    <row r="178" spans="1:20" s="85" customFormat="1" ht="12.75" x14ac:dyDescent="0.2">
      <c r="A178" s="109">
        <v>544</v>
      </c>
      <c r="B178" s="110">
        <v>1</v>
      </c>
      <c r="C178" s="103" t="s">
        <v>297</v>
      </c>
      <c r="D178" s="103">
        <v>4</v>
      </c>
      <c r="E178" s="104">
        <f>+SUMIF('GE16FEB14 Unfudged'!$A$2:$A$498, $A178, 'GE16FEB14 Unfudged'!$D$2:$D$498)</f>
        <v>2423</v>
      </c>
      <c r="F178" s="104">
        <v>348941</v>
      </c>
      <c r="G178" s="105">
        <v>348941</v>
      </c>
      <c r="H178" s="106">
        <v>0</v>
      </c>
      <c r="I178" s="107">
        <v>1027437</v>
      </c>
      <c r="J178" s="105">
        <v>1027437</v>
      </c>
      <c r="K178" s="106">
        <v>0</v>
      </c>
      <c r="L178" s="107">
        <v>726960</v>
      </c>
      <c r="M178" s="105">
        <v>493137</v>
      </c>
      <c r="N178" s="106">
        <v>233823</v>
      </c>
      <c r="O178" s="107">
        <f t="shared" si="10"/>
        <v>2103338</v>
      </c>
      <c r="P178" s="105">
        <f t="shared" si="10"/>
        <v>1869515</v>
      </c>
      <c r="Q178" s="106">
        <f t="shared" si="10"/>
        <v>233823</v>
      </c>
      <c r="R178" s="105">
        <f t="shared" si="11"/>
        <v>868.07181180354928</v>
      </c>
      <c r="S178" s="105">
        <f t="shared" si="11"/>
        <v>771.57036731324808</v>
      </c>
      <c r="T178" s="108">
        <f t="shared" si="11"/>
        <v>96.501444490301282</v>
      </c>
    </row>
    <row r="179" spans="1:20" s="85" customFormat="1" ht="12.75" x14ac:dyDescent="0.2">
      <c r="A179" s="109">
        <v>545</v>
      </c>
      <c r="B179" s="110">
        <v>1</v>
      </c>
      <c r="C179" s="103" t="s">
        <v>298</v>
      </c>
      <c r="D179" s="103">
        <v>6</v>
      </c>
      <c r="E179" s="104">
        <f>+SUMIF('GE16FEB14 Unfudged'!$A$2:$A$498, $A179, 'GE16FEB14 Unfudged'!$D$2:$D$498)</f>
        <v>420</v>
      </c>
      <c r="F179" s="104">
        <v>47213</v>
      </c>
      <c r="G179" s="105">
        <v>35881</v>
      </c>
      <c r="H179" s="106">
        <v>11332</v>
      </c>
      <c r="I179" s="107">
        <v>178165</v>
      </c>
      <c r="J179" s="105">
        <v>135403</v>
      </c>
      <c r="K179" s="106">
        <v>42762</v>
      </c>
      <c r="L179" s="107">
        <v>345598</v>
      </c>
      <c r="M179" s="105">
        <v>228668</v>
      </c>
      <c r="N179" s="106">
        <v>116930</v>
      </c>
      <c r="O179" s="107">
        <f t="shared" si="10"/>
        <v>570976</v>
      </c>
      <c r="P179" s="105">
        <f t="shared" si="10"/>
        <v>399952</v>
      </c>
      <c r="Q179" s="106">
        <f t="shared" si="10"/>
        <v>171024</v>
      </c>
      <c r="R179" s="105">
        <f t="shared" si="11"/>
        <v>1359.4666666666667</v>
      </c>
      <c r="S179" s="105">
        <f t="shared" si="11"/>
        <v>952.26666666666665</v>
      </c>
      <c r="T179" s="108">
        <f t="shared" si="11"/>
        <v>407.2</v>
      </c>
    </row>
    <row r="180" spans="1:20" s="85" customFormat="1" ht="12.75" x14ac:dyDescent="0.2">
      <c r="A180" s="109">
        <v>547</v>
      </c>
      <c r="B180" s="110">
        <v>1</v>
      </c>
      <c r="C180" s="103" t="s">
        <v>299</v>
      </c>
      <c r="D180" s="103">
        <v>6</v>
      </c>
      <c r="E180" s="104">
        <f>+SUMIF('GE16FEB14 Unfudged'!$A$2:$A$498, $A180, 'GE16FEB14 Unfudged'!$D$2:$D$498)</f>
        <v>531</v>
      </c>
      <c r="F180" s="104">
        <v>61332</v>
      </c>
      <c r="G180" s="105">
        <v>43264</v>
      </c>
      <c r="H180" s="106">
        <v>18068</v>
      </c>
      <c r="I180" s="107">
        <v>225229</v>
      </c>
      <c r="J180" s="105">
        <v>158878</v>
      </c>
      <c r="K180" s="106">
        <v>66351</v>
      </c>
      <c r="L180" s="107">
        <v>409704</v>
      </c>
      <c r="M180" s="105">
        <v>243509</v>
      </c>
      <c r="N180" s="106">
        <v>166195</v>
      </c>
      <c r="O180" s="107">
        <f t="shared" si="10"/>
        <v>696265</v>
      </c>
      <c r="P180" s="105">
        <f t="shared" si="10"/>
        <v>445651</v>
      </c>
      <c r="Q180" s="106">
        <f t="shared" si="10"/>
        <v>250614</v>
      </c>
      <c r="R180" s="105">
        <f t="shared" si="11"/>
        <v>1311.2335216572505</v>
      </c>
      <c r="S180" s="105">
        <f t="shared" si="11"/>
        <v>839.26741996233523</v>
      </c>
      <c r="T180" s="108">
        <f t="shared" si="11"/>
        <v>471.96610169491527</v>
      </c>
    </row>
    <row r="181" spans="1:20" s="85" customFormat="1" ht="12.75" x14ac:dyDescent="0.2">
      <c r="A181" s="109">
        <v>548</v>
      </c>
      <c r="B181" s="110">
        <v>1</v>
      </c>
      <c r="C181" s="103" t="s">
        <v>300</v>
      </c>
      <c r="D181" s="103">
        <v>6</v>
      </c>
      <c r="E181" s="104">
        <f>+SUMIF('GE16FEB14 Unfudged'!$A$2:$A$498, $A181, 'GE16FEB14 Unfudged'!$D$2:$D$498)</f>
        <v>976</v>
      </c>
      <c r="F181" s="104">
        <v>140267</v>
      </c>
      <c r="G181" s="105">
        <v>137586</v>
      </c>
      <c r="H181" s="106">
        <v>2681</v>
      </c>
      <c r="I181" s="107">
        <v>413739</v>
      </c>
      <c r="J181" s="105">
        <v>405831</v>
      </c>
      <c r="K181" s="106">
        <v>7908</v>
      </c>
      <c r="L181" s="107">
        <v>296838</v>
      </c>
      <c r="M181" s="105">
        <v>170433</v>
      </c>
      <c r="N181" s="106">
        <v>126405</v>
      </c>
      <c r="O181" s="107">
        <f t="shared" si="10"/>
        <v>850844</v>
      </c>
      <c r="P181" s="105">
        <f t="shared" si="10"/>
        <v>713850</v>
      </c>
      <c r="Q181" s="106">
        <f t="shared" si="10"/>
        <v>136994</v>
      </c>
      <c r="R181" s="105">
        <f t="shared" si="11"/>
        <v>871.76639344262298</v>
      </c>
      <c r="S181" s="105">
        <f t="shared" si="11"/>
        <v>731.40368852459017</v>
      </c>
      <c r="T181" s="108">
        <f t="shared" si="11"/>
        <v>140.36270491803279</v>
      </c>
    </row>
    <row r="182" spans="1:20" s="85" customFormat="1" ht="12.75" x14ac:dyDescent="0.2">
      <c r="A182" s="109">
        <v>549</v>
      </c>
      <c r="B182" s="110">
        <v>1</v>
      </c>
      <c r="C182" s="103" t="s">
        <v>301</v>
      </c>
      <c r="D182" s="103">
        <v>5</v>
      </c>
      <c r="E182" s="104">
        <f>+SUMIF('GE16FEB14 Unfudged'!$A$2:$A$498, $A182, 'GE16FEB14 Unfudged'!$D$2:$D$498)</f>
        <v>1369</v>
      </c>
      <c r="F182" s="104">
        <v>197115</v>
      </c>
      <c r="G182" s="105">
        <v>197115</v>
      </c>
      <c r="H182" s="106">
        <v>0</v>
      </c>
      <c r="I182" s="107">
        <v>580392</v>
      </c>
      <c r="J182" s="105">
        <v>580392</v>
      </c>
      <c r="K182" s="106">
        <v>0</v>
      </c>
      <c r="L182" s="107">
        <v>410655</v>
      </c>
      <c r="M182" s="105">
        <v>374178</v>
      </c>
      <c r="N182" s="106">
        <v>36477</v>
      </c>
      <c r="O182" s="107">
        <f t="shared" si="10"/>
        <v>1188162</v>
      </c>
      <c r="P182" s="105">
        <f t="shared" si="10"/>
        <v>1151685</v>
      </c>
      <c r="Q182" s="106">
        <f t="shared" si="10"/>
        <v>36477</v>
      </c>
      <c r="R182" s="105">
        <f t="shared" si="11"/>
        <v>867.90504017531043</v>
      </c>
      <c r="S182" s="105">
        <f t="shared" si="11"/>
        <v>841.26004382761141</v>
      </c>
      <c r="T182" s="108">
        <f t="shared" si="11"/>
        <v>26.644996347699049</v>
      </c>
    </row>
    <row r="183" spans="1:20" s="85" customFormat="1" ht="12.75" x14ac:dyDescent="0.2">
      <c r="A183" s="109">
        <v>550</v>
      </c>
      <c r="B183" s="110">
        <v>1</v>
      </c>
      <c r="C183" s="103" t="s">
        <v>302</v>
      </c>
      <c r="D183" s="103">
        <v>6</v>
      </c>
      <c r="E183" s="104">
        <f>+SUMIF('GE16FEB14 Unfudged'!$A$2:$A$498, $A183, 'GE16FEB14 Unfudged'!$D$2:$D$498)</f>
        <v>600</v>
      </c>
      <c r="F183" s="104">
        <v>86458</v>
      </c>
      <c r="G183" s="105">
        <v>86458</v>
      </c>
      <c r="H183" s="106">
        <v>0</v>
      </c>
      <c r="I183" s="107">
        <v>254570</v>
      </c>
      <c r="J183" s="105">
        <v>254570</v>
      </c>
      <c r="K183" s="106">
        <v>0</v>
      </c>
      <c r="L183" s="107">
        <v>180120</v>
      </c>
      <c r="M183" s="105">
        <v>246</v>
      </c>
      <c r="N183" s="106">
        <v>179874</v>
      </c>
      <c r="O183" s="107">
        <f t="shared" si="10"/>
        <v>521148</v>
      </c>
      <c r="P183" s="105">
        <f t="shared" si="10"/>
        <v>341274</v>
      </c>
      <c r="Q183" s="106">
        <f t="shared" si="10"/>
        <v>179874</v>
      </c>
      <c r="R183" s="105">
        <f t="shared" si="11"/>
        <v>868.58</v>
      </c>
      <c r="S183" s="105">
        <f t="shared" si="11"/>
        <v>568.79</v>
      </c>
      <c r="T183" s="108">
        <f t="shared" si="11"/>
        <v>299.79000000000002</v>
      </c>
    </row>
    <row r="184" spans="1:20" s="85" customFormat="1" ht="12.75" x14ac:dyDescent="0.2">
      <c r="A184" s="109">
        <v>553</v>
      </c>
      <c r="B184" s="110">
        <v>1</v>
      </c>
      <c r="C184" s="103" t="s">
        <v>303</v>
      </c>
      <c r="D184" s="103">
        <v>6</v>
      </c>
      <c r="E184" s="104">
        <f>+SUMIF('GE16FEB14 Unfudged'!$A$2:$A$498, $A184, 'GE16FEB14 Unfudged'!$D$2:$D$498)</f>
        <v>791</v>
      </c>
      <c r="F184" s="104">
        <v>113875</v>
      </c>
      <c r="G184" s="105">
        <v>65500</v>
      </c>
      <c r="H184" s="106">
        <v>48375</v>
      </c>
      <c r="I184" s="107">
        <v>335299</v>
      </c>
      <c r="J184" s="105">
        <v>192863</v>
      </c>
      <c r="K184" s="106">
        <v>142436</v>
      </c>
      <c r="L184" s="107">
        <v>237240</v>
      </c>
      <c r="M184" s="105">
        <v>79084</v>
      </c>
      <c r="N184" s="106">
        <v>158156</v>
      </c>
      <c r="O184" s="107">
        <f t="shared" si="10"/>
        <v>686414</v>
      </c>
      <c r="P184" s="105">
        <f t="shared" si="10"/>
        <v>337447</v>
      </c>
      <c r="Q184" s="106">
        <f t="shared" si="10"/>
        <v>348967</v>
      </c>
      <c r="R184" s="105">
        <f t="shared" si="11"/>
        <v>867.78002528445006</v>
      </c>
      <c r="S184" s="105">
        <f t="shared" si="11"/>
        <v>426.60809102402021</v>
      </c>
      <c r="T184" s="108">
        <f t="shared" si="11"/>
        <v>441.17193426042985</v>
      </c>
    </row>
    <row r="185" spans="1:20" s="85" customFormat="1" ht="12.75" x14ac:dyDescent="0.2">
      <c r="A185" s="109">
        <v>561</v>
      </c>
      <c r="B185" s="110">
        <v>1</v>
      </c>
      <c r="C185" s="103" t="s">
        <v>304</v>
      </c>
      <c r="D185" s="103">
        <v>6</v>
      </c>
      <c r="E185" s="104">
        <f>+SUMIF('GE16FEB14 Unfudged'!$A$2:$A$498, $A185, 'GE16FEB14 Unfudged'!$D$2:$D$498)</f>
        <v>224</v>
      </c>
      <c r="F185" s="104">
        <v>11180</v>
      </c>
      <c r="G185" s="105">
        <v>3113</v>
      </c>
      <c r="H185" s="106">
        <v>8067</v>
      </c>
      <c r="I185" s="107">
        <v>94806</v>
      </c>
      <c r="J185" s="105">
        <v>26402</v>
      </c>
      <c r="K185" s="106">
        <v>68404</v>
      </c>
      <c r="L185" s="107">
        <v>544457</v>
      </c>
      <c r="M185" s="105">
        <v>222890</v>
      </c>
      <c r="N185" s="106">
        <v>321567</v>
      </c>
      <c r="O185" s="107">
        <f t="shared" si="10"/>
        <v>650443</v>
      </c>
      <c r="P185" s="105">
        <f t="shared" si="10"/>
        <v>252405</v>
      </c>
      <c r="Q185" s="106">
        <f t="shared" si="10"/>
        <v>398038</v>
      </c>
      <c r="R185" s="105">
        <f t="shared" si="11"/>
        <v>2903.7633928571427</v>
      </c>
      <c r="S185" s="105">
        <f t="shared" si="11"/>
        <v>1126.8080357142858</v>
      </c>
      <c r="T185" s="108">
        <f t="shared" si="11"/>
        <v>1776.9553571428571</v>
      </c>
    </row>
    <row r="186" spans="1:20" s="85" customFormat="1" ht="12.75" x14ac:dyDescent="0.2">
      <c r="A186" s="109">
        <v>564</v>
      </c>
      <c r="B186" s="110">
        <v>1</v>
      </c>
      <c r="C186" s="103" t="s">
        <v>305</v>
      </c>
      <c r="D186" s="103">
        <v>5</v>
      </c>
      <c r="E186" s="104">
        <f>+SUMIF('GE16FEB14 Unfudged'!$A$2:$A$498, $A186, 'GE16FEB14 Unfudged'!$D$2:$D$498)</f>
        <v>2178</v>
      </c>
      <c r="F186" s="104">
        <v>302907</v>
      </c>
      <c r="G186" s="105">
        <v>184323</v>
      </c>
      <c r="H186" s="106">
        <v>118584</v>
      </c>
      <c r="I186" s="107">
        <v>923387</v>
      </c>
      <c r="J186" s="105">
        <v>561894</v>
      </c>
      <c r="K186" s="106">
        <v>361493</v>
      </c>
      <c r="L186" s="107">
        <v>829960</v>
      </c>
      <c r="M186" s="105">
        <v>337884</v>
      </c>
      <c r="N186" s="106">
        <v>492076</v>
      </c>
      <c r="O186" s="107">
        <f t="shared" si="10"/>
        <v>2056254</v>
      </c>
      <c r="P186" s="105">
        <f t="shared" si="10"/>
        <v>1084101</v>
      </c>
      <c r="Q186" s="106">
        <f t="shared" si="10"/>
        <v>972153</v>
      </c>
      <c r="R186" s="105">
        <f t="shared" si="11"/>
        <v>944.1019283746557</v>
      </c>
      <c r="S186" s="105">
        <f t="shared" si="11"/>
        <v>497.75068870523415</v>
      </c>
      <c r="T186" s="108">
        <f t="shared" si="11"/>
        <v>446.35123966942149</v>
      </c>
    </row>
    <row r="187" spans="1:20" s="85" customFormat="1" ht="12.75" x14ac:dyDescent="0.2">
      <c r="A187" s="109">
        <v>577</v>
      </c>
      <c r="B187" s="110">
        <v>1</v>
      </c>
      <c r="C187" s="103" t="s">
        <v>306</v>
      </c>
      <c r="D187" s="103">
        <v>6</v>
      </c>
      <c r="E187" s="104">
        <f>+SUMIF('GE16FEB14 Unfudged'!$A$2:$A$498, $A187, 'GE16FEB14 Unfudged'!$D$2:$D$498)</f>
        <v>457</v>
      </c>
      <c r="F187" s="104">
        <v>65808</v>
      </c>
      <c r="G187" s="105">
        <v>40161</v>
      </c>
      <c r="H187" s="106">
        <v>25647</v>
      </c>
      <c r="I187" s="107">
        <v>193768</v>
      </c>
      <c r="J187" s="105">
        <v>118251</v>
      </c>
      <c r="K187" s="106">
        <v>75517</v>
      </c>
      <c r="L187" s="107">
        <v>137100</v>
      </c>
      <c r="M187" s="105">
        <v>48490</v>
      </c>
      <c r="N187" s="106">
        <v>88610</v>
      </c>
      <c r="O187" s="107">
        <f t="shared" si="10"/>
        <v>396676</v>
      </c>
      <c r="P187" s="105">
        <f t="shared" si="10"/>
        <v>206902</v>
      </c>
      <c r="Q187" s="106">
        <f t="shared" si="10"/>
        <v>189774</v>
      </c>
      <c r="R187" s="105">
        <f t="shared" si="11"/>
        <v>868</v>
      </c>
      <c r="S187" s="105">
        <f t="shared" si="11"/>
        <v>452.73960612691468</v>
      </c>
      <c r="T187" s="108">
        <f t="shared" si="11"/>
        <v>415.26039387308532</v>
      </c>
    </row>
    <row r="188" spans="1:20" s="85" customFormat="1" ht="12.75" x14ac:dyDescent="0.2">
      <c r="A188" s="109">
        <v>578</v>
      </c>
      <c r="B188" s="110">
        <v>1</v>
      </c>
      <c r="C188" s="103" t="s">
        <v>307</v>
      </c>
      <c r="D188" s="103">
        <v>5</v>
      </c>
      <c r="E188" s="104">
        <f>+SUMIF('GE16FEB14 Unfudged'!$A$2:$A$498, $A188, 'GE16FEB14 Unfudged'!$D$2:$D$498)</f>
        <v>1855</v>
      </c>
      <c r="F188" s="104">
        <v>249840</v>
      </c>
      <c r="G188" s="105">
        <v>150959</v>
      </c>
      <c r="H188" s="106">
        <v>98881</v>
      </c>
      <c r="I188" s="107">
        <v>786605</v>
      </c>
      <c r="J188" s="105">
        <v>475283</v>
      </c>
      <c r="K188" s="106">
        <v>311322</v>
      </c>
      <c r="L188" s="107">
        <v>842372</v>
      </c>
      <c r="M188" s="105">
        <v>367587</v>
      </c>
      <c r="N188" s="106">
        <v>474785</v>
      </c>
      <c r="O188" s="107">
        <f t="shared" si="10"/>
        <v>1878817</v>
      </c>
      <c r="P188" s="105">
        <f t="shared" si="10"/>
        <v>993829</v>
      </c>
      <c r="Q188" s="106">
        <f t="shared" si="10"/>
        <v>884988</v>
      </c>
      <c r="R188" s="105">
        <f t="shared" si="11"/>
        <v>1012.8393530997305</v>
      </c>
      <c r="S188" s="105">
        <f t="shared" si="11"/>
        <v>535.75687331536392</v>
      </c>
      <c r="T188" s="108">
        <f t="shared" si="11"/>
        <v>477.08247978436657</v>
      </c>
    </row>
    <row r="189" spans="1:20" s="85" customFormat="1" ht="12.75" x14ac:dyDescent="0.2">
      <c r="A189" s="109">
        <v>581</v>
      </c>
      <c r="B189" s="110">
        <v>1</v>
      </c>
      <c r="C189" s="103" t="s">
        <v>308</v>
      </c>
      <c r="D189" s="103">
        <v>6</v>
      </c>
      <c r="E189" s="104">
        <f>+SUMIF('GE16FEB14 Unfudged'!$A$2:$A$498, $A189, 'GE16FEB14 Unfudged'!$D$2:$D$498)</f>
        <v>395</v>
      </c>
      <c r="F189" s="104">
        <v>49760</v>
      </c>
      <c r="G189" s="105">
        <v>38272</v>
      </c>
      <c r="H189" s="106">
        <v>11488</v>
      </c>
      <c r="I189" s="107">
        <v>167289</v>
      </c>
      <c r="J189" s="105">
        <v>128668</v>
      </c>
      <c r="K189" s="106">
        <v>38621</v>
      </c>
      <c r="L189" s="107">
        <v>234872</v>
      </c>
      <c r="M189" s="105">
        <v>142371</v>
      </c>
      <c r="N189" s="106">
        <v>92501</v>
      </c>
      <c r="O189" s="107">
        <f t="shared" si="10"/>
        <v>451921</v>
      </c>
      <c r="P189" s="105">
        <f t="shared" si="10"/>
        <v>309311</v>
      </c>
      <c r="Q189" s="106">
        <f t="shared" si="10"/>
        <v>142610</v>
      </c>
      <c r="R189" s="105">
        <f t="shared" si="11"/>
        <v>1144.1037974683545</v>
      </c>
      <c r="S189" s="105">
        <f t="shared" si="11"/>
        <v>783.06582278481017</v>
      </c>
      <c r="T189" s="108">
        <f t="shared" si="11"/>
        <v>361.03797468354429</v>
      </c>
    </row>
    <row r="190" spans="1:20" s="85" customFormat="1" ht="12.75" x14ac:dyDescent="0.2">
      <c r="A190" s="109">
        <v>592</v>
      </c>
      <c r="B190" s="110">
        <v>1</v>
      </c>
      <c r="C190" s="103" t="s">
        <v>309</v>
      </c>
      <c r="D190" s="103">
        <v>6</v>
      </c>
      <c r="E190" s="104">
        <f>+SUMIF('GE16FEB14 Unfudged'!$A$2:$A$498, $A190, 'GE16FEB14 Unfudged'!$D$2:$D$498)</f>
        <v>129</v>
      </c>
      <c r="F190" s="104">
        <v>6425</v>
      </c>
      <c r="G190" s="105">
        <v>2244</v>
      </c>
      <c r="H190" s="106">
        <v>4181</v>
      </c>
      <c r="I190" s="107">
        <v>54484</v>
      </c>
      <c r="J190" s="105">
        <v>19031</v>
      </c>
      <c r="K190" s="106">
        <v>35453</v>
      </c>
      <c r="L190" s="107">
        <v>234482</v>
      </c>
      <c r="M190" s="105">
        <v>112500</v>
      </c>
      <c r="N190" s="106">
        <v>121982</v>
      </c>
      <c r="O190" s="107">
        <f t="shared" si="10"/>
        <v>295391</v>
      </c>
      <c r="P190" s="105">
        <f t="shared" si="10"/>
        <v>133775</v>
      </c>
      <c r="Q190" s="106">
        <f t="shared" si="10"/>
        <v>161616</v>
      </c>
      <c r="R190" s="105">
        <f t="shared" si="11"/>
        <v>2289.8527131782944</v>
      </c>
      <c r="S190" s="105">
        <f t="shared" si="11"/>
        <v>1037.015503875969</v>
      </c>
      <c r="T190" s="108">
        <f t="shared" si="11"/>
        <v>1252.8372093023256</v>
      </c>
    </row>
    <row r="191" spans="1:20" s="85" customFormat="1" ht="12.75" x14ac:dyDescent="0.2">
      <c r="A191" s="109">
        <v>593</v>
      </c>
      <c r="B191" s="110">
        <v>1</v>
      </c>
      <c r="C191" s="103" t="s">
        <v>310</v>
      </c>
      <c r="D191" s="103">
        <v>5</v>
      </c>
      <c r="E191" s="104">
        <f>+SUMIF('GE16FEB14 Unfudged'!$A$2:$A$498, $A191, 'GE16FEB14 Unfudged'!$D$2:$D$498)</f>
        <v>1399</v>
      </c>
      <c r="F191" s="104">
        <v>132986</v>
      </c>
      <c r="G191" s="105">
        <v>65384</v>
      </c>
      <c r="H191" s="106">
        <v>67602</v>
      </c>
      <c r="I191" s="107">
        <v>593346</v>
      </c>
      <c r="J191" s="105">
        <v>291726</v>
      </c>
      <c r="K191" s="106">
        <v>301620</v>
      </c>
      <c r="L191" s="107">
        <v>1551361</v>
      </c>
      <c r="M191" s="105">
        <v>857908</v>
      </c>
      <c r="N191" s="106">
        <v>693453</v>
      </c>
      <c r="O191" s="107">
        <f t="shared" si="10"/>
        <v>2277693</v>
      </c>
      <c r="P191" s="105">
        <f t="shared" si="10"/>
        <v>1215018</v>
      </c>
      <c r="Q191" s="106">
        <f t="shared" si="10"/>
        <v>1062675</v>
      </c>
      <c r="R191" s="105">
        <f t="shared" si="11"/>
        <v>1628.0864903502502</v>
      </c>
      <c r="S191" s="105">
        <f t="shared" si="11"/>
        <v>868.49035025017872</v>
      </c>
      <c r="T191" s="108">
        <f t="shared" si="11"/>
        <v>759.59614010007147</v>
      </c>
    </row>
    <row r="192" spans="1:20" s="85" customFormat="1" ht="12.75" x14ac:dyDescent="0.2">
      <c r="A192" s="109">
        <v>595</v>
      </c>
      <c r="B192" s="110">
        <v>1</v>
      </c>
      <c r="C192" s="103" t="s">
        <v>311</v>
      </c>
      <c r="D192" s="103">
        <v>5</v>
      </c>
      <c r="E192" s="104">
        <f>+SUMIF('GE16FEB14 Unfudged'!$A$2:$A$498, $A192, 'GE16FEB14 Unfudged'!$D$2:$D$498)</f>
        <v>1820</v>
      </c>
      <c r="F192" s="104">
        <v>262080</v>
      </c>
      <c r="G192" s="105">
        <v>164604</v>
      </c>
      <c r="H192" s="106">
        <v>97476</v>
      </c>
      <c r="I192" s="107">
        <v>771680</v>
      </c>
      <c r="J192" s="105">
        <v>484668</v>
      </c>
      <c r="K192" s="106">
        <v>287012</v>
      </c>
      <c r="L192" s="107">
        <v>546000</v>
      </c>
      <c r="M192" s="105">
        <v>198741</v>
      </c>
      <c r="N192" s="106">
        <v>347259</v>
      </c>
      <c r="O192" s="107">
        <f t="shared" si="10"/>
        <v>1579760</v>
      </c>
      <c r="P192" s="105">
        <f t="shared" si="10"/>
        <v>848013</v>
      </c>
      <c r="Q192" s="106">
        <f t="shared" si="10"/>
        <v>731747</v>
      </c>
      <c r="R192" s="105">
        <f t="shared" si="11"/>
        <v>868</v>
      </c>
      <c r="S192" s="105">
        <f t="shared" si="11"/>
        <v>465.94120879120879</v>
      </c>
      <c r="T192" s="108">
        <f t="shared" si="11"/>
        <v>402.05879120879121</v>
      </c>
    </row>
    <row r="193" spans="1:20" s="85" customFormat="1" ht="12.75" x14ac:dyDescent="0.2">
      <c r="A193" s="109">
        <v>599</v>
      </c>
      <c r="B193" s="110">
        <v>1</v>
      </c>
      <c r="C193" s="103" t="s">
        <v>312</v>
      </c>
      <c r="D193" s="103">
        <v>6</v>
      </c>
      <c r="E193" s="104">
        <f>+SUMIF('GE16FEB14 Unfudged'!$A$2:$A$498, $A193, 'GE16FEB14 Unfudged'!$D$2:$D$498)</f>
        <v>476</v>
      </c>
      <c r="F193" s="104">
        <v>55096</v>
      </c>
      <c r="G193" s="105">
        <v>36910</v>
      </c>
      <c r="H193" s="106">
        <v>18186</v>
      </c>
      <c r="I193" s="107">
        <v>201654</v>
      </c>
      <c r="J193" s="105">
        <v>135093</v>
      </c>
      <c r="K193" s="106">
        <v>66561</v>
      </c>
      <c r="L193" s="107">
        <v>363786</v>
      </c>
      <c r="M193" s="105">
        <v>204290</v>
      </c>
      <c r="N193" s="106">
        <v>159496</v>
      </c>
      <c r="O193" s="107">
        <f t="shared" si="10"/>
        <v>620536</v>
      </c>
      <c r="P193" s="105">
        <f t="shared" si="10"/>
        <v>376293</v>
      </c>
      <c r="Q193" s="106">
        <f t="shared" si="10"/>
        <v>244243</v>
      </c>
      <c r="R193" s="105">
        <f t="shared" si="11"/>
        <v>1303.6470588235295</v>
      </c>
      <c r="S193" s="105">
        <f t="shared" si="11"/>
        <v>790.53151260504205</v>
      </c>
      <c r="T193" s="108">
        <f t="shared" si="11"/>
        <v>513.11554621848734</v>
      </c>
    </row>
    <row r="194" spans="1:20" s="85" customFormat="1" ht="12.75" x14ac:dyDescent="0.2">
      <c r="A194" s="109">
        <v>600</v>
      </c>
      <c r="B194" s="110">
        <v>1</v>
      </c>
      <c r="C194" s="103" t="s">
        <v>313</v>
      </c>
      <c r="D194" s="103">
        <v>6</v>
      </c>
      <c r="E194" s="104">
        <f>+SUMIF('GE16FEB14 Unfudged'!$A$2:$A$498, $A194, 'GE16FEB14 Unfudged'!$D$2:$D$498)</f>
        <v>270</v>
      </c>
      <c r="F194" s="104">
        <v>36180</v>
      </c>
      <c r="G194" s="105">
        <v>22629</v>
      </c>
      <c r="H194" s="106">
        <v>13551</v>
      </c>
      <c r="I194" s="107">
        <v>114268</v>
      </c>
      <c r="J194" s="105">
        <v>71469</v>
      </c>
      <c r="K194" s="106">
        <v>42799</v>
      </c>
      <c r="L194" s="107">
        <v>124240</v>
      </c>
      <c r="M194" s="105">
        <v>42302</v>
      </c>
      <c r="N194" s="106">
        <v>81938</v>
      </c>
      <c r="O194" s="107">
        <f t="shared" si="10"/>
        <v>274688</v>
      </c>
      <c r="P194" s="105">
        <f t="shared" si="10"/>
        <v>136400</v>
      </c>
      <c r="Q194" s="106">
        <f t="shared" si="10"/>
        <v>138288</v>
      </c>
      <c r="R194" s="105">
        <f t="shared" si="11"/>
        <v>1017.3629629629629</v>
      </c>
      <c r="S194" s="105">
        <f t="shared" si="11"/>
        <v>505.18518518518516</v>
      </c>
      <c r="T194" s="108">
        <f t="shared" si="11"/>
        <v>512.17777777777781</v>
      </c>
    </row>
    <row r="195" spans="1:20" s="85" customFormat="1" ht="12.75" x14ac:dyDescent="0.2">
      <c r="A195" s="109">
        <v>601</v>
      </c>
      <c r="B195" s="110">
        <v>1</v>
      </c>
      <c r="C195" s="103" t="s">
        <v>314</v>
      </c>
      <c r="D195" s="103">
        <v>6</v>
      </c>
      <c r="E195" s="104">
        <f>+SUMIF('GE16FEB14 Unfudged'!$A$2:$A$498, $A195, 'GE16FEB14 Unfudged'!$D$2:$D$498)</f>
        <v>682</v>
      </c>
      <c r="F195" s="104">
        <v>80312</v>
      </c>
      <c r="G195" s="105">
        <v>42197</v>
      </c>
      <c r="H195" s="106">
        <v>38115</v>
      </c>
      <c r="I195" s="107">
        <v>289338</v>
      </c>
      <c r="J195" s="105">
        <v>152023</v>
      </c>
      <c r="K195" s="106">
        <v>137315</v>
      </c>
      <c r="L195" s="107">
        <v>501168</v>
      </c>
      <c r="M195" s="105">
        <v>218096</v>
      </c>
      <c r="N195" s="106">
        <v>283072</v>
      </c>
      <c r="O195" s="107">
        <f t="shared" si="10"/>
        <v>870818</v>
      </c>
      <c r="P195" s="105">
        <f t="shared" si="10"/>
        <v>412316</v>
      </c>
      <c r="Q195" s="106">
        <f t="shared" si="10"/>
        <v>458502</v>
      </c>
      <c r="R195" s="105">
        <f t="shared" si="11"/>
        <v>1276.8592375366568</v>
      </c>
      <c r="S195" s="105">
        <f t="shared" si="11"/>
        <v>604.56891495601178</v>
      </c>
      <c r="T195" s="108">
        <f t="shared" si="11"/>
        <v>672.29032258064512</v>
      </c>
    </row>
    <row r="196" spans="1:20" s="85" customFormat="1" ht="12.75" x14ac:dyDescent="0.2">
      <c r="A196" s="109">
        <v>621</v>
      </c>
      <c r="B196" s="110">
        <v>1</v>
      </c>
      <c r="C196" s="103" t="s">
        <v>315</v>
      </c>
      <c r="D196" s="103">
        <v>3</v>
      </c>
      <c r="E196" s="104">
        <f>+SUMIF('GE16FEB14 Unfudged'!$A$2:$A$498, $A196, 'GE16FEB14 Unfudged'!$D$2:$D$498)</f>
        <v>11360</v>
      </c>
      <c r="F196" s="104">
        <v>1160431</v>
      </c>
      <c r="G196" s="105">
        <v>1160431</v>
      </c>
      <c r="H196" s="106">
        <v>0</v>
      </c>
      <c r="I196" s="107">
        <v>4816810</v>
      </c>
      <c r="J196" s="105">
        <v>4816810</v>
      </c>
      <c r="K196" s="106">
        <v>0</v>
      </c>
      <c r="L196" s="107">
        <v>13079910</v>
      </c>
      <c r="M196" s="105">
        <v>12302644</v>
      </c>
      <c r="N196" s="106">
        <v>777266</v>
      </c>
      <c r="O196" s="107">
        <f t="shared" si="10"/>
        <v>19057151</v>
      </c>
      <c r="P196" s="105">
        <f t="shared" si="10"/>
        <v>18279885</v>
      </c>
      <c r="Q196" s="106">
        <f t="shared" si="10"/>
        <v>777266</v>
      </c>
      <c r="R196" s="105">
        <f t="shared" si="11"/>
        <v>1677.5661091549296</v>
      </c>
      <c r="S196" s="105">
        <f t="shared" si="11"/>
        <v>1609.1448063380283</v>
      </c>
      <c r="T196" s="108">
        <f t="shared" si="11"/>
        <v>68.421302816901402</v>
      </c>
    </row>
    <row r="197" spans="1:20" s="85" customFormat="1" ht="12.75" x14ac:dyDescent="0.2">
      <c r="A197" s="109">
        <v>622</v>
      </c>
      <c r="B197" s="110">
        <v>1</v>
      </c>
      <c r="C197" s="103" t="s">
        <v>316</v>
      </c>
      <c r="D197" s="103">
        <v>2</v>
      </c>
      <c r="E197" s="104">
        <f>+SUMIF('GE16FEB14 Unfudged'!$A$2:$A$498, $A197, 'GE16FEB14 Unfudged'!$D$2:$D$498)</f>
        <v>11790</v>
      </c>
      <c r="F197" s="104">
        <v>1803953</v>
      </c>
      <c r="G197" s="105">
        <v>1803953</v>
      </c>
      <c r="H197" s="106">
        <v>0</v>
      </c>
      <c r="I197" s="107">
        <v>4999130</v>
      </c>
      <c r="J197" s="105">
        <v>4999130</v>
      </c>
      <c r="K197" s="106">
        <v>0</v>
      </c>
      <c r="L197" s="107">
        <v>5763973</v>
      </c>
      <c r="M197" s="105">
        <v>4337292</v>
      </c>
      <c r="N197" s="106">
        <v>1426681</v>
      </c>
      <c r="O197" s="107">
        <f t="shared" si="10"/>
        <v>12567056</v>
      </c>
      <c r="P197" s="105">
        <f t="shared" si="10"/>
        <v>11140375</v>
      </c>
      <c r="Q197" s="106">
        <f t="shared" si="10"/>
        <v>1426681</v>
      </c>
      <c r="R197" s="105">
        <f t="shared" si="11"/>
        <v>1065.9080576759966</v>
      </c>
      <c r="S197" s="105">
        <f t="shared" si="11"/>
        <v>944.90033927056822</v>
      </c>
      <c r="T197" s="108">
        <f t="shared" si="11"/>
        <v>121.00771840542834</v>
      </c>
    </row>
    <row r="198" spans="1:20" s="85" customFormat="1" ht="12.75" x14ac:dyDescent="0.2">
      <c r="A198" s="109">
        <v>623</v>
      </c>
      <c r="B198" s="110">
        <v>1</v>
      </c>
      <c r="C198" s="103" t="s">
        <v>317</v>
      </c>
      <c r="D198" s="103">
        <v>2</v>
      </c>
      <c r="E198" s="104">
        <f>+SUMIF('GE16FEB14 Unfudged'!$A$2:$A$498, $A198, 'GE16FEB14 Unfudged'!$D$2:$D$498)</f>
        <v>7887</v>
      </c>
      <c r="F198" s="104">
        <v>831991</v>
      </c>
      <c r="G198" s="105">
        <v>831991</v>
      </c>
      <c r="H198" s="106">
        <v>0</v>
      </c>
      <c r="I198" s="107">
        <v>3344003</v>
      </c>
      <c r="J198" s="105">
        <v>3344003</v>
      </c>
      <c r="K198" s="106">
        <v>0</v>
      </c>
      <c r="L198" s="107">
        <v>8736918</v>
      </c>
      <c r="M198" s="105">
        <v>8256778</v>
      </c>
      <c r="N198" s="106">
        <v>480140</v>
      </c>
      <c r="O198" s="107">
        <f t="shared" si="10"/>
        <v>12912912</v>
      </c>
      <c r="P198" s="105">
        <f t="shared" si="10"/>
        <v>12432772</v>
      </c>
      <c r="Q198" s="106">
        <f t="shared" si="10"/>
        <v>480140</v>
      </c>
      <c r="R198" s="105">
        <f t="shared" si="11"/>
        <v>1637.2400152149105</v>
      </c>
      <c r="S198" s="105">
        <f t="shared" si="11"/>
        <v>1576.3626220362621</v>
      </c>
      <c r="T198" s="108">
        <f t="shared" si="11"/>
        <v>60.877393178648411</v>
      </c>
    </row>
    <row r="199" spans="1:20" s="85" customFormat="1" ht="12.75" x14ac:dyDescent="0.2">
      <c r="A199" s="109">
        <v>624</v>
      </c>
      <c r="B199" s="110">
        <v>1</v>
      </c>
      <c r="C199" s="103" t="s">
        <v>318</v>
      </c>
      <c r="D199" s="103">
        <v>3</v>
      </c>
      <c r="E199" s="104">
        <f>+SUMIF('GE16FEB14 Unfudged'!$A$2:$A$498, $A199, 'GE16FEB14 Unfudged'!$D$2:$D$498)</f>
        <v>8949</v>
      </c>
      <c r="F199" s="104">
        <v>723638</v>
      </c>
      <c r="G199" s="105">
        <v>723638</v>
      </c>
      <c r="H199" s="106">
        <v>0</v>
      </c>
      <c r="I199" s="107">
        <v>3794567</v>
      </c>
      <c r="J199" s="105">
        <v>3794567</v>
      </c>
      <c r="K199" s="106">
        <v>0</v>
      </c>
      <c r="L199" s="107">
        <v>12785990</v>
      </c>
      <c r="M199" s="105">
        <v>11985679</v>
      </c>
      <c r="N199" s="106">
        <v>800311</v>
      </c>
      <c r="O199" s="107">
        <f t="shared" si="10"/>
        <v>17304195</v>
      </c>
      <c r="P199" s="105">
        <f t="shared" si="10"/>
        <v>16503884</v>
      </c>
      <c r="Q199" s="106">
        <f t="shared" si="10"/>
        <v>800311</v>
      </c>
      <c r="R199" s="105">
        <f t="shared" si="11"/>
        <v>1933.6456587328194</v>
      </c>
      <c r="S199" s="105">
        <f t="shared" si="11"/>
        <v>1844.2154430662645</v>
      </c>
      <c r="T199" s="108">
        <f t="shared" si="11"/>
        <v>89.430215666554929</v>
      </c>
    </row>
    <row r="200" spans="1:20" s="85" customFormat="1" ht="12.75" x14ac:dyDescent="0.2">
      <c r="A200" s="109">
        <v>625</v>
      </c>
      <c r="B200" s="110">
        <v>1</v>
      </c>
      <c r="C200" s="103" t="s">
        <v>319</v>
      </c>
      <c r="D200" s="103">
        <v>1</v>
      </c>
      <c r="E200" s="104">
        <f>+SUMIF('GE16FEB14 Unfudged'!$A$2:$A$498, $A200, 'GE16FEB14 Unfudged'!$D$2:$D$498)</f>
        <v>40728</v>
      </c>
      <c r="F200" s="104">
        <v>2036400</v>
      </c>
      <c r="G200" s="105">
        <v>1429379</v>
      </c>
      <c r="H200" s="106">
        <v>607021</v>
      </c>
      <c r="I200" s="107">
        <v>17268672</v>
      </c>
      <c r="J200" s="105">
        <v>12121134</v>
      </c>
      <c r="K200" s="106">
        <v>5147538</v>
      </c>
      <c r="L200" s="107">
        <v>26043112</v>
      </c>
      <c r="M200" s="105">
        <v>14674108</v>
      </c>
      <c r="N200" s="106">
        <v>11369004</v>
      </c>
      <c r="O200" s="107">
        <f t="shared" si="10"/>
        <v>45348184</v>
      </c>
      <c r="P200" s="105">
        <f t="shared" si="10"/>
        <v>28224621</v>
      </c>
      <c r="Q200" s="106">
        <f t="shared" si="10"/>
        <v>17123563</v>
      </c>
      <c r="R200" s="105">
        <f t="shared" si="11"/>
        <v>1113.4399921429974</v>
      </c>
      <c r="S200" s="105">
        <f t="shared" si="11"/>
        <v>693.00287271655861</v>
      </c>
      <c r="T200" s="108">
        <f t="shared" si="11"/>
        <v>420.43711942643881</v>
      </c>
    </row>
    <row r="201" spans="1:20" s="85" customFormat="1" ht="12.75" x14ac:dyDescent="0.2">
      <c r="A201" s="109">
        <v>630</v>
      </c>
      <c r="B201" s="110">
        <v>1</v>
      </c>
      <c r="C201" s="103" t="s">
        <v>320</v>
      </c>
      <c r="D201" s="103">
        <v>6</v>
      </c>
      <c r="E201" s="104">
        <f>+SUMIF('GE16FEB14 Unfudged'!$A$2:$A$498, $A201, 'GE16FEB14 Unfudged'!$D$2:$D$498)</f>
        <v>401</v>
      </c>
      <c r="F201" s="104">
        <v>34647</v>
      </c>
      <c r="G201" s="105">
        <v>12906</v>
      </c>
      <c r="H201" s="106">
        <v>21741</v>
      </c>
      <c r="I201" s="107">
        <v>169854</v>
      </c>
      <c r="J201" s="105">
        <v>63271</v>
      </c>
      <c r="K201" s="106">
        <v>106583</v>
      </c>
      <c r="L201" s="107">
        <v>500602</v>
      </c>
      <c r="M201" s="105">
        <v>223083</v>
      </c>
      <c r="N201" s="106">
        <v>277519</v>
      </c>
      <c r="O201" s="107">
        <f t="shared" si="10"/>
        <v>705103</v>
      </c>
      <c r="P201" s="105">
        <f t="shared" si="10"/>
        <v>299260</v>
      </c>
      <c r="Q201" s="106">
        <f t="shared" si="10"/>
        <v>405843</v>
      </c>
      <c r="R201" s="105">
        <f t="shared" si="11"/>
        <v>1758.3615960099751</v>
      </c>
      <c r="S201" s="105">
        <f t="shared" si="11"/>
        <v>746.28428927680795</v>
      </c>
      <c r="T201" s="108">
        <f t="shared" si="11"/>
        <v>1012.0773067331671</v>
      </c>
    </row>
    <row r="202" spans="1:20" s="85" customFormat="1" ht="12.75" x14ac:dyDescent="0.2">
      <c r="A202" s="109">
        <v>635</v>
      </c>
      <c r="B202" s="110">
        <v>1</v>
      </c>
      <c r="C202" s="103" t="s">
        <v>321</v>
      </c>
      <c r="D202" s="103">
        <v>6</v>
      </c>
      <c r="E202" s="104">
        <f>+SUMIF('GE16FEB14 Unfudged'!$A$2:$A$498, $A202, 'GE16FEB14 Unfudged'!$D$2:$D$498)</f>
        <v>56</v>
      </c>
      <c r="F202" s="104">
        <v>2820</v>
      </c>
      <c r="G202" s="105">
        <v>1687</v>
      </c>
      <c r="H202" s="106">
        <v>1133</v>
      </c>
      <c r="I202" s="107">
        <v>23914</v>
      </c>
      <c r="J202" s="105">
        <v>14304</v>
      </c>
      <c r="K202" s="106">
        <v>9610</v>
      </c>
      <c r="L202" s="107">
        <v>171112</v>
      </c>
      <c r="M202" s="105">
        <v>135309</v>
      </c>
      <c r="N202" s="106">
        <v>35803</v>
      </c>
      <c r="O202" s="107">
        <f t="shared" si="10"/>
        <v>197846</v>
      </c>
      <c r="P202" s="105">
        <f t="shared" si="10"/>
        <v>151300</v>
      </c>
      <c r="Q202" s="106">
        <f t="shared" si="10"/>
        <v>46546</v>
      </c>
      <c r="R202" s="105">
        <f t="shared" si="11"/>
        <v>3532.9642857142858</v>
      </c>
      <c r="S202" s="105">
        <f t="shared" si="11"/>
        <v>2701.7857142857142</v>
      </c>
      <c r="T202" s="108">
        <f t="shared" si="11"/>
        <v>831.17857142857144</v>
      </c>
    </row>
    <row r="203" spans="1:20" s="85" customFormat="1" ht="12.75" x14ac:dyDescent="0.2">
      <c r="A203" s="109">
        <v>640</v>
      </c>
      <c r="B203" s="110">
        <v>1</v>
      </c>
      <c r="C203" s="103" t="s">
        <v>322</v>
      </c>
      <c r="D203" s="103">
        <v>6</v>
      </c>
      <c r="E203" s="104">
        <f>+SUMIF('GE16FEB14 Unfudged'!$A$2:$A$498, $A203, 'GE16FEB14 Unfudged'!$D$2:$D$498)</f>
        <v>372</v>
      </c>
      <c r="F203" s="104">
        <v>45878</v>
      </c>
      <c r="G203" s="105">
        <v>26744</v>
      </c>
      <c r="H203" s="106">
        <v>19134</v>
      </c>
      <c r="I203" s="107">
        <v>157813</v>
      </c>
      <c r="J203" s="105">
        <v>91996</v>
      </c>
      <c r="K203" s="106">
        <v>65817</v>
      </c>
      <c r="L203" s="107">
        <v>239120</v>
      </c>
      <c r="M203" s="105">
        <v>112026</v>
      </c>
      <c r="N203" s="106">
        <v>127094</v>
      </c>
      <c r="O203" s="107">
        <f t="shared" si="10"/>
        <v>442811</v>
      </c>
      <c r="P203" s="105">
        <f t="shared" si="10"/>
        <v>230766</v>
      </c>
      <c r="Q203" s="106">
        <f t="shared" si="10"/>
        <v>212045</v>
      </c>
      <c r="R203" s="105">
        <f t="shared" si="11"/>
        <v>1190.3521505376343</v>
      </c>
      <c r="S203" s="105">
        <f t="shared" si="11"/>
        <v>620.33870967741939</v>
      </c>
      <c r="T203" s="108">
        <f t="shared" si="11"/>
        <v>570.01344086021504</v>
      </c>
    </row>
    <row r="204" spans="1:20" s="85" customFormat="1" ht="12.75" x14ac:dyDescent="0.2">
      <c r="A204" s="109">
        <v>656</v>
      </c>
      <c r="B204" s="110">
        <v>1</v>
      </c>
      <c r="C204" s="103" t="s">
        <v>126</v>
      </c>
      <c r="D204" s="103">
        <v>4</v>
      </c>
      <c r="E204" s="104">
        <f>+SUMIF('GE16FEB14 Unfudged'!$A$2:$A$498, $A204, 'GE16FEB14 Unfudged'!$D$2:$D$498)</f>
        <v>4097</v>
      </c>
      <c r="F204" s="104">
        <v>483275</v>
      </c>
      <c r="G204" s="105">
        <v>347387</v>
      </c>
      <c r="H204" s="106">
        <v>135888</v>
      </c>
      <c r="I204" s="107">
        <v>1737213</v>
      </c>
      <c r="J204" s="105">
        <v>1248739</v>
      </c>
      <c r="K204" s="106">
        <v>488474</v>
      </c>
      <c r="L204" s="107">
        <v>2991366</v>
      </c>
      <c r="M204" s="105">
        <v>1778758</v>
      </c>
      <c r="N204" s="106">
        <v>1212608</v>
      </c>
      <c r="O204" s="107">
        <f t="shared" si="10"/>
        <v>5211854</v>
      </c>
      <c r="P204" s="105">
        <f t="shared" si="10"/>
        <v>3374884</v>
      </c>
      <c r="Q204" s="106">
        <f t="shared" si="10"/>
        <v>1836970</v>
      </c>
      <c r="R204" s="105">
        <f t="shared" si="11"/>
        <v>1272.1147180864048</v>
      </c>
      <c r="S204" s="105">
        <f t="shared" si="11"/>
        <v>823.7451793995607</v>
      </c>
      <c r="T204" s="108">
        <f t="shared" si="11"/>
        <v>448.36953868684401</v>
      </c>
    </row>
    <row r="205" spans="1:20" s="85" customFormat="1" ht="12.75" x14ac:dyDescent="0.2">
      <c r="A205" s="109">
        <v>659</v>
      </c>
      <c r="B205" s="110">
        <v>1</v>
      </c>
      <c r="C205" s="103" t="s">
        <v>323</v>
      </c>
      <c r="D205" s="103">
        <v>3</v>
      </c>
      <c r="E205" s="104">
        <f>+SUMIF('GE16FEB14 Unfudged'!$A$2:$A$498, $A205, 'GE16FEB14 Unfudged'!$D$2:$D$498)</f>
        <v>4029</v>
      </c>
      <c r="F205" s="104">
        <v>311406</v>
      </c>
      <c r="G205" s="105">
        <v>273126</v>
      </c>
      <c r="H205" s="106">
        <v>38280</v>
      </c>
      <c r="I205" s="107">
        <v>1708211</v>
      </c>
      <c r="J205" s="105">
        <v>1498224</v>
      </c>
      <c r="K205" s="106">
        <v>209987</v>
      </c>
      <c r="L205" s="107">
        <v>5646121</v>
      </c>
      <c r="M205" s="105">
        <v>4824021</v>
      </c>
      <c r="N205" s="106">
        <v>822100</v>
      </c>
      <c r="O205" s="107">
        <f t="shared" si="10"/>
        <v>7665738</v>
      </c>
      <c r="P205" s="105">
        <f t="shared" si="10"/>
        <v>6595371</v>
      </c>
      <c r="Q205" s="106">
        <f t="shared" si="10"/>
        <v>1070367</v>
      </c>
      <c r="R205" s="105">
        <f t="shared" si="11"/>
        <v>1902.6403574087863</v>
      </c>
      <c r="S205" s="105">
        <f t="shared" si="11"/>
        <v>1636.9746835443038</v>
      </c>
      <c r="T205" s="108">
        <f t="shared" si="11"/>
        <v>265.66567386448253</v>
      </c>
    </row>
    <row r="206" spans="1:20" s="85" customFormat="1" ht="12.75" x14ac:dyDescent="0.2">
      <c r="A206" s="109">
        <v>671</v>
      </c>
      <c r="B206" s="110">
        <v>1</v>
      </c>
      <c r="C206" s="103" t="s">
        <v>324</v>
      </c>
      <c r="D206" s="103">
        <v>6</v>
      </c>
      <c r="E206" s="104">
        <f>+SUMIF('GE16FEB14 Unfudged'!$A$2:$A$498, $A206, 'GE16FEB14 Unfudged'!$D$2:$D$498)</f>
        <v>369</v>
      </c>
      <c r="F206" s="104">
        <v>33109</v>
      </c>
      <c r="G206" s="105">
        <v>15472</v>
      </c>
      <c r="H206" s="106">
        <v>17637</v>
      </c>
      <c r="I206" s="107">
        <v>156286</v>
      </c>
      <c r="J206" s="105">
        <v>73033</v>
      </c>
      <c r="K206" s="106">
        <v>83253</v>
      </c>
      <c r="L206" s="107">
        <v>440315</v>
      </c>
      <c r="M206" s="105">
        <v>240818</v>
      </c>
      <c r="N206" s="106">
        <v>199497</v>
      </c>
      <c r="O206" s="107">
        <f t="shared" si="10"/>
        <v>629710</v>
      </c>
      <c r="P206" s="105">
        <f t="shared" si="10"/>
        <v>329323</v>
      </c>
      <c r="Q206" s="106">
        <f t="shared" si="10"/>
        <v>300387</v>
      </c>
      <c r="R206" s="105">
        <f t="shared" si="11"/>
        <v>1706.531165311653</v>
      </c>
      <c r="S206" s="105">
        <f t="shared" si="11"/>
        <v>892.47425474254737</v>
      </c>
      <c r="T206" s="108">
        <f t="shared" si="11"/>
        <v>814.05691056910564</v>
      </c>
    </row>
    <row r="207" spans="1:20" s="85" customFormat="1" ht="12.75" x14ac:dyDescent="0.2">
      <c r="A207" s="109">
        <v>676</v>
      </c>
      <c r="B207" s="110">
        <v>1</v>
      </c>
      <c r="C207" s="103" t="s">
        <v>325</v>
      </c>
      <c r="D207" s="103">
        <v>6</v>
      </c>
      <c r="E207" s="104">
        <f>+SUMIF('GE16FEB14 Unfudged'!$A$2:$A$498, $A207, 'GE16FEB14 Unfudged'!$D$2:$D$498)</f>
        <v>218</v>
      </c>
      <c r="F207" s="104">
        <v>10878</v>
      </c>
      <c r="G207" s="105">
        <v>3449</v>
      </c>
      <c r="H207" s="106">
        <v>7429</v>
      </c>
      <c r="I207" s="107">
        <v>92241</v>
      </c>
      <c r="J207" s="105">
        <v>29247</v>
      </c>
      <c r="K207" s="106">
        <v>62994</v>
      </c>
      <c r="L207" s="107">
        <v>352642</v>
      </c>
      <c r="M207" s="105">
        <v>148167</v>
      </c>
      <c r="N207" s="106">
        <v>204475</v>
      </c>
      <c r="O207" s="107">
        <f t="shared" si="10"/>
        <v>455761</v>
      </c>
      <c r="P207" s="105">
        <f t="shared" si="10"/>
        <v>180863</v>
      </c>
      <c r="Q207" s="106">
        <f t="shared" si="10"/>
        <v>274898</v>
      </c>
      <c r="R207" s="105">
        <f t="shared" si="11"/>
        <v>2090.6467889908258</v>
      </c>
      <c r="S207" s="105">
        <f t="shared" si="11"/>
        <v>829.64678899082571</v>
      </c>
      <c r="T207" s="108">
        <f t="shared" si="11"/>
        <v>1261</v>
      </c>
    </row>
    <row r="208" spans="1:20" s="85" customFormat="1" ht="12.75" x14ac:dyDescent="0.2">
      <c r="A208" s="109">
        <v>682</v>
      </c>
      <c r="B208" s="110">
        <v>1</v>
      </c>
      <c r="C208" s="103" t="s">
        <v>326</v>
      </c>
      <c r="D208" s="103">
        <v>5</v>
      </c>
      <c r="E208" s="104">
        <f>+SUMIF('GE16FEB14 Unfudged'!$A$2:$A$498, $A208, 'GE16FEB14 Unfudged'!$D$2:$D$498)</f>
        <v>1324</v>
      </c>
      <c r="F208" s="104">
        <v>189657</v>
      </c>
      <c r="G208" s="105">
        <v>82392</v>
      </c>
      <c r="H208" s="106">
        <v>107265</v>
      </c>
      <c r="I208" s="107">
        <v>561461</v>
      </c>
      <c r="J208" s="105">
        <v>243915</v>
      </c>
      <c r="K208" s="106">
        <v>317546</v>
      </c>
      <c r="L208" s="107">
        <v>414223</v>
      </c>
      <c r="M208" s="105">
        <v>107388</v>
      </c>
      <c r="N208" s="106">
        <v>306835</v>
      </c>
      <c r="O208" s="107">
        <f t="shared" si="10"/>
        <v>1165341</v>
      </c>
      <c r="P208" s="105">
        <f t="shared" si="10"/>
        <v>433695</v>
      </c>
      <c r="Q208" s="106">
        <f t="shared" si="10"/>
        <v>731646</v>
      </c>
      <c r="R208" s="105">
        <f t="shared" si="11"/>
        <v>880.16691842900298</v>
      </c>
      <c r="S208" s="105">
        <f t="shared" si="11"/>
        <v>327.5641993957704</v>
      </c>
      <c r="T208" s="108">
        <f t="shared" si="11"/>
        <v>552.60271903323257</v>
      </c>
    </row>
    <row r="209" spans="1:20" s="85" customFormat="1" ht="12.75" x14ac:dyDescent="0.2">
      <c r="A209" s="109">
        <v>690</v>
      </c>
      <c r="B209" s="110">
        <v>1</v>
      </c>
      <c r="C209" s="103" t="s">
        <v>327</v>
      </c>
      <c r="D209" s="103">
        <v>5</v>
      </c>
      <c r="E209" s="104">
        <f>+SUMIF('GE16FEB14 Unfudged'!$A$2:$A$498, $A209, 'GE16FEB14 Unfudged'!$D$2:$D$498)</f>
        <v>1134</v>
      </c>
      <c r="F209" s="104">
        <v>163325</v>
      </c>
      <c r="G209" s="105">
        <v>77147</v>
      </c>
      <c r="H209" s="106">
        <v>86178</v>
      </c>
      <c r="I209" s="107">
        <v>480901</v>
      </c>
      <c r="J209" s="105">
        <v>227156</v>
      </c>
      <c r="K209" s="106">
        <v>253745</v>
      </c>
      <c r="L209" s="107">
        <v>340260</v>
      </c>
      <c r="M209" s="105">
        <v>93146</v>
      </c>
      <c r="N209" s="106">
        <v>247114</v>
      </c>
      <c r="O209" s="107">
        <f t="shared" si="10"/>
        <v>984486</v>
      </c>
      <c r="P209" s="105">
        <f t="shared" si="10"/>
        <v>397449</v>
      </c>
      <c r="Q209" s="106">
        <f t="shared" si="10"/>
        <v>587037</v>
      </c>
      <c r="R209" s="105">
        <f t="shared" si="11"/>
        <v>868.15343915343919</v>
      </c>
      <c r="S209" s="105">
        <f t="shared" si="11"/>
        <v>350.48412698412699</v>
      </c>
      <c r="T209" s="108">
        <f t="shared" si="11"/>
        <v>517.66931216931221</v>
      </c>
    </row>
    <row r="210" spans="1:20" s="85" customFormat="1" ht="12.75" x14ac:dyDescent="0.2">
      <c r="A210" s="109">
        <v>695</v>
      </c>
      <c r="B210" s="110">
        <v>1</v>
      </c>
      <c r="C210" s="103" t="s">
        <v>328</v>
      </c>
      <c r="D210" s="103">
        <v>6</v>
      </c>
      <c r="E210" s="104">
        <f>+SUMIF('GE16FEB14 Unfudged'!$A$2:$A$498, $A210, 'GE16FEB14 Unfudged'!$D$2:$D$498)</f>
        <v>809</v>
      </c>
      <c r="F210" s="104">
        <v>104036</v>
      </c>
      <c r="G210" s="105">
        <v>41565</v>
      </c>
      <c r="H210" s="106">
        <v>62471</v>
      </c>
      <c r="I210" s="107">
        <v>342846</v>
      </c>
      <c r="J210" s="105">
        <v>136975</v>
      </c>
      <c r="K210" s="106">
        <v>205871</v>
      </c>
      <c r="L210" s="107">
        <v>447366</v>
      </c>
      <c r="M210" s="105">
        <v>137984</v>
      </c>
      <c r="N210" s="106">
        <v>309382</v>
      </c>
      <c r="O210" s="107">
        <f t="shared" ref="O210:Q273" si="12">+F210+I210+L210</f>
        <v>894248</v>
      </c>
      <c r="P210" s="105">
        <f t="shared" si="12"/>
        <v>316524</v>
      </c>
      <c r="Q210" s="106">
        <f t="shared" si="12"/>
        <v>577724</v>
      </c>
      <c r="R210" s="105">
        <f t="shared" si="11"/>
        <v>1105.3745364647714</v>
      </c>
      <c r="S210" s="105">
        <f t="shared" si="11"/>
        <v>391.25339925834362</v>
      </c>
      <c r="T210" s="108">
        <f t="shared" si="11"/>
        <v>714.12113720642765</v>
      </c>
    </row>
    <row r="211" spans="1:20" s="85" customFormat="1" ht="12.75" x14ac:dyDescent="0.2">
      <c r="A211" s="109">
        <v>696</v>
      </c>
      <c r="B211" s="110">
        <v>1</v>
      </c>
      <c r="C211" s="103" t="s">
        <v>329</v>
      </c>
      <c r="D211" s="103">
        <v>6</v>
      </c>
      <c r="E211" s="104">
        <f>+SUMIF('GE16FEB14 Unfudged'!$A$2:$A$498, $A211, 'GE16FEB14 Unfudged'!$D$2:$D$498)</f>
        <v>572</v>
      </c>
      <c r="F211" s="104">
        <v>73213</v>
      </c>
      <c r="G211" s="105">
        <v>73213</v>
      </c>
      <c r="H211" s="106">
        <v>0</v>
      </c>
      <c r="I211" s="107">
        <v>242316</v>
      </c>
      <c r="J211" s="105">
        <v>242316</v>
      </c>
      <c r="K211" s="106">
        <v>0</v>
      </c>
      <c r="L211" s="107">
        <v>321423</v>
      </c>
      <c r="M211" s="105">
        <v>299288</v>
      </c>
      <c r="N211" s="106">
        <v>22135</v>
      </c>
      <c r="O211" s="107">
        <f t="shared" si="12"/>
        <v>636952</v>
      </c>
      <c r="P211" s="105">
        <f t="shared" si="12"/>
        <v>614817</v>
      </c>
      <c r="Q211" s="106">
        <f t="shared" si="12"/>
        <v>22135</v>
      </c>
      <c r="R211" s="105">
        <f t="shared" ref="R211:T274" si="13">+IF($E211=0, 0, O211/$E211)</f>
        <v>1113.5524475524476</v>
      </c>
      <c r="S211" s="105">
        <f t="shared" si="13"/>
        <v>1074.8548951048951</v>
      </c>
      <c r="T211" s="108">
        <f t="shared" si="13"/>
        <v>38.697552447552447</v>
      </c>
    </row>
    <row r="212" spans="1:20" s="85" customFormat="1" ht="12.75" x14ac:dyDescent="0.2">
      <c r="A212" s="109">
        <v>698</v>
      </c>
      <c r="B212" s="110">
        <v>1</v>
      </c>
      <c r="C212" s="103" t="s">
        <v>330</v>
      </c>
      <c r="D212" s="103">
        <v>6</v>
      </c>
      <c r="E212" s="104">
        <f>+SUMIF('GE16FEB14 Unfudged'!$A$2:$A$498, $A212, 'GE16FEB14 Unfudged'!$D$2:$D$498)</f>
        <v>267</v>
      </c>
      <c r="F212" s="104">
        <v>38506</v>
      </c>
      <c r="G212" s="105">
        <v>38506</v>
      </c>
      <c r="H212" s="106">
        <v>0</v>
      </c>
      <c r="I212" s="107">
        <v>113378</v>
      </c>
      <c r="J212" s="105">
        <v>113378</v>
      </c>
      <c r="K212" s="106">
        <v>0</v>
      </c>
      <c r="L212" s="107">
        <v>80220</v>
      </c>
      <c r="M212" s="105">
        <v>71119</v>
      </c>
      <c r="N212" s="106">
        <v>9101</v>
      </c>
      <c r="O212" s="107">
        <f t="shared" si="12"/>
        <v>232104</v>
      </c>
      <c r="P212" s="105">
        <f t="shared" si="12"/>
        <v>223003</v>
      </c>
      <c r="Q212" s="106">
        <f t="shared" si="12"/>
        <v>9101</v>
      </c>
      <c r="R212" s="105">
        <f t="shared" si="13"/>
        <v>869.30337078651689</v>
      </c>
      <c r="S212" s="105">
        <f t="shared" si="13"/>
        <v>835.21722846441946</v>
      </c>
      <c r="T212" s="108">
        <f t="shared" si="13"/>
        <v>34.08614232209738</v>
      </c>
    </row>
    <row r="213" spans="1:20" s="85" customFormat="1" ht="12.75" x14ac:dyDescent="0.2">
      <c r="A213" s="109">
        <v>700</v>
      </c>
      <c r="B213" s="110">
        <v>1</v>
      </c>
      <c r="C213" s="103" t="s">
        <v>331</v>
      </c>
      <c r="D213" s="103">
        <v>4</v>
      </c>
      <c r="E213" s="104">
        <f>+SUMIF('GE16FEB14 Unfudged'!$A$2:$A$498, $A213, 'GE16FEB14 Unfudged'!$D$2:$D$498)</f>
        <v>2155</v>
      </c>
      <c r="F213" s="104">
        <v>310277</v>
      </c>
      <c r="G213" s="105">
        <v>310277</v>
      </c>
      <c r="H213" s="106">
        <v>0</v>
      </c>
      <c r="I213" s="107">
        <v>913593</v>
      </c>
      <c r="J213" s="105">
        <v>913593</v>
      </c>
      <c r="K213" s="106">
        <v>0</v>
      </c>
      <c r="L213" s="107">
        <v>646410</v>
      </c>
      <c r="M213" s="105">
        <v>388040</v>
      </c>
      <c r="N213" s="106">
        <v>258370</v>
      </c>
      <c r="O213" s="107">
        <f t="shared" si="12"/>
        <v>1870280</v>
      </c>
      <c r="P213" s="105">
        <f t="shared" si="12"/>
        <v>1611910</v>
      </c>
      <c r="Q213" s="106">
        <f t="shared" si="12"/>
        <v>258370</v>
      </c>
      <c r="R213" s="105">
        <f t="shared" si="13"/>
        <v>867.87935034802786</v>
      </c>
      <c r="S213" s="105">
        <f t="shared" si="13"/>
        <v>747.98607888631091</v>
      </c>
      <c r="T213" s="108">
        <f t="shared" si="13"/>
        <v>119.89327146171694</v>
      </c>
    </row>
    <row r="214" spans="1:20" s="85" customFormat="1" ht="12.75" x14ac:dyDescent="0.2">
      <c r="A214" s="109">
        <v>701</v>
      </c>
      <c r="B214" s="110">
        <v>1</v>
      </c>
      <c r="C214" s="103" t="s">
        <v>332</v>
      </c>
      <c r="D214" s="103">
        <v>4</v>
      </c>
      <c r="E214" s="104">
        <f>+SUMIF('GE16FEB14 Unfudged'!$A$2:$A$498, $A214, 'GE16FEB14 Unfudged'!$D$2:$D$498)</f>
        <v>2514</v>
      </c>
      <c r="F214" s="104">
        <v>362074</v>
      </c>
      <c r="G214" s="105">
        <v>243503</v>
      </c>
      <c r="H214" s="106">
        <v>118571</v>
      </c>
      <c r="I214" s="107">
        <v>1066106</v>
      </c>
      <c r="J214" s="105">
        <v>716980</v>
      </c>
      <c r="K214" s="106">
        <v>349126</v>
      </c>
      <c r="L214" s="107">
        <v>754320</v>
      </c>
      <c r="M214" s="105">
        <v>294002</v>
      </c>
      <c r="N214" s="106">
        <v>460318</v>
      </c>
      <c r="O214" s="107">
        <f t="shared" si="12"/>
        <v>2182500</v>
      </c>
      <c r="P214" s="105">
        <f t="shared" si="12"/>
        <v>1254485</v>
      </c>
      <c r="Q214" s="106">
        <f t="shared" si="12"/>
        <v>928015</v>
      </c>
      <c r="R214" s="105">
        <f t="shared" si="13"/>
        <v>868.13842482100233</v>
      </c>
      <c r="S214" s="105">
        <f t="shared" si="13"/>
        <v>498.99960222752583</v>
      </c>
      <c r="T214" s="108">
        <f t="shared" si="13"/>
        <v>369.1388225934765</v>
      </c>
    </row>
    <row r="215" spans="1:20" s="85" customFormat="1" ht="12.75" x14ac:dyDescent="0.2">
      <c r="A215" s="109">
        <v>704</v>
      </c>
      <c r="B215" s="110">
        <v>1</v>
      </c>
      <c r="C215" s="103" t="s">
        <v>333</v>
      </c>
      <c r="D215" s="103">
        <v>5</v>
      </c>
      <c r="E215" s="104">
        <f>+SUMIF('GE16FEB14 Unfudged'!$A$2:$A$498, $A215, 'GE16FEB14 Unfudged'!$D$2:$D$498)</f>
        <v>1956</v>
      </c>
      <c r="F215" s="104">
        <v>281664</v>
      </c>
      <c r="G215" s="105">
        <v>263567</v>
      </c>
      <c r="H215" s="106">
        <v>18097</v>
      </c>
      <c r="I215" s="107">
        <v>829344</v>
      </c>
      <c r="J215" s="105">
        <v>776059</v>
      </c>
      <c r="K215" s="106">
        <v>53285</v>
      </c>
      <c r="L215" s="107">
        <v>586800</v>
      </c>
      <c r="M215" s="105">
        <v>318228</v>
      </c>
      <c r="N215" s="106">
        <v>268572</v>
      </c>
      <c r="O215" s="107">
        <f t="shared" si="12"/>
        <v>1697808</v>
      </c>
      <c r="P215" s="105">
        <f t="shared" si="12"/>
        <v>1357854</v>
      </c>
      <c r="Q215" s="106">
        <f t="shared" si="12"/>
        <v>339954</v>
      </c>
      <c r="R215" s="105">
        <f t="shared" si="13"/>
        <v>868</v>
      </c>
      <c r="S215" s="105">
        <f t="shared" si="13"/>
        <v>694.19938650306744</v>
      </c>
      <c r="T215" s="108">
        <f t="shared" si="13"/>
        <v>173.80061349693253</v>
      </c>
    </row>
    <row r="216" spans="1:20" s="85" customFormat="1" ht="12.75" x14ac:dyDescent="0.2">
      <c r="A216" s="109">
        <v>706</v>
      </c>
      <c r="B216" s="110">
        <v>1</v>
      </c>
      <c r="C216" s="103" t="s">
        <v>334</v>
      </c>
      <c r="D216" s="103">
        <v>5</v>
      </c>
      <c r="E216" s="104">
        <f>+SUMIF('GE16FEB14 Unfudged'!$A$2:$A$498, $A216, 'GE16FEB14 Unfudged'!$D$2:$D$498)</f>
        <v>1932</v>
      </c>
      <c r="F216" s="104">
        <v>278179</v>
      </c>
      <c r="G216" s="105">
        <v>187832</v>
      </c>
      <c r="H216" s="106">
        <v>90347</v>
      </c>
      <c r="I216" s="107">
        <v>819083</v>
      </c>
      <c r="J216" s="105">
        <v>553060</v>
      </c>
      <c r="K216" s="106">
        <v>266023</v>
      </c>
      <c r="L216" s="107">
        <v>579540</v>
      </c>
      <c r="M216" s="105">
        <v>226786</v>
      </c>
      <c r="N216" s="106">
        <v>352754</v>
      </c>
      <c r="O216" s="107">
        <f t="shared" si="12"/>
        <v>1676802</v>
      </c>
      <c r="P216" s="105">
        <f t="shared" si="12"/>
        <v>967678</v>
      </c>
      <c r="Q216" s="106">
        <f t="shared" si="12"/>
        <v>709124</v>
      </c>
      <c r="R216" s="105">
        <f t="shared" si="13"/>
        <v>867.90993788819878</v>
      </c>
      <c r="S216" s="105">
        <f t="shared" si="13"/>
        <v>500.86853002070393</v>
      </c>
      <c r="T216" s="108">
        <f t="shared" si="13"/>
        <v>367.0414078674948</v>
      </c>
    </row>
    <row r="217" spans="1:20" s="85" customFormat="1" ht="12.75" x14ac:dyDescent="0.2">
      <c r="A217" s="109">
        <v>707</v>
      </c>
      <c r="B217" s="110">
        <v>1</v>
      </c>
      <c r="C217" s="103" t="s">
        <v>335</v>
      </c>
      <c r="D217" s="103">
        <v>6</v>
      </c>
      <c r="E217" s="104">
        <f>+SUMIF('GE16FEB14 Unfudged'!$A$2:$A$498, $A217, 'GE16FEB14 Unfudged'!$D$2:$D$498)</f>
        <v>135</v>
      </c>
      <c r="F217" s="104">
        <v>19454</v>
      </c>
      <c r="G217" s="105">
        <v>40</v>
      </c>
      <c r="H217" s="106">
        <v>19414</v>
      </c>
      <c r="I217" s="107">
        <v>57282</v>
      </c>
      <c r="J217" s="105">
        <v>117</v>
      </c>
      <c r="K217" s="106">
        <v>57165</v>
      </c>
      <c r="L217" s="107">
        <v>40530</v>
      </c>
      <c r="M217" s="105">
        <v>48</v>
      </c>
      <c r="N217" s="106">
        <v>40482</v>
      </c>
      <c r="O217" s="107">
        <f t="shared" si="12"/>
        <v>117266</v>
      </c>
      <c r="P217" s="105">
        <f t="shared" si="12"/>
        <v>205</v>
      </c>
      <c r="Q217" s="106">
        <f t="shared" si="12"/>
        <v>117061</v>
      </c>
      <c r="R217" s="105">
        <f t="shared" si="13"/>
        <v>868.63703703703709</v>
      </c>
      <c r="S217" s="105">
        <f t="shared" si="13"/>
        <v>1.5185185185185186</v>
      </c>
      <c r="T217" s="108">
        <f t="shared" si="13"/>
        <v>867.1185185185185</v>
      </c>
    </row>
    <row r="218" spans="1:20" s="85" customFormat="1" ht="12.75" x14ac:dyDescent="0.2">
      <c r="A218" s="109">
        <v>709</v>
      </c>
      <c r="B218" s="110">
        <v>1</v>
      </c>
      <c r="C218" s="103" t="s">
        <v>336</v>
      </c>
      <c r="D218" s="103">
        <v>4</v>
      </c>
      <c r="E218" s="104">
        <f>+SUMIF('GE16FEB14 Unfudged'!$A$2:$A$498, $A218, 'GE16FEB14 Unfudged'!$D$2:$D$498)</f>
        <v>9023</v>
      </c>
      <c r="F218" s="104">
        <v>451130</v>
      </c>
      <c r="G218" s="105">
        <v>451130</v>
      </c>
      <c r="H218" s="106">
        <v>0</v>
      </c>
      <c r="I218" s="107">
        <v>3825582</v>
      </c>
      <c r="J218" s="105">
        <v>3825582</v>
      </c>
      <c r="K218" s="106">
        <v>0</v>
      </c>
      <c r="L218" s="107">
        <v>3354422</v>
      </c>
      <c r="M218" s="105">
        <v>2321191</v>
      </c>
      <c r="N218" s="106">
        <v>1033231</v>
      </c>
      <c r="O218" s="107">
        <f t="shared" si="12"/>
        <v>7631134</v>
      </c>
      <c r="P218" s="105">
        <f t="shared" si="12"/>
        <v>6597903</v>
      </c>
      <c r="Q218" s="106">
        <f t="shared" si="12"/>
        <v>1033231</v>
      </c>
      <c r="R218" s="105">
        <f t="shared" si="13"/>
        <v>845.7424359968968</v>
      </c>
      <c r="S218" s="105">
        <f t="shared" si="13"/>
        <v>731.23163027817805</v>
      </c>
      <c r="T218" s="108">
        <f t="shared" si="13"/>
        <v>114.51080571871883</v>
      </c>
    </row>
    <row r="219" spans="1:20" s="85" customFormat="1" ht="12.75" x14ac:dyDescent="0.2">
      <c r="A219" s="109">
        <v>712</v>
      </c>
      <c r="B219" s="110">
        <v>1</v>
      </c>
      <c r="C219" s="103" t="s">
        <v>337</v>
      </c>
      <c r="D219" s="103">
        <v>6</v>
      </c>
      <c r="E219" s="104">
        <f>+SUMIF('GE16FEB14 Unfudged'!$A$2:$A$498, $A219, 'GE16FEB14 Unfudged'!$D$2:$D$498)</f>
        <v>533</v>
      </c>
      <c r="F219" s="104">
        <v>76810</v>
      </c>
      <c r="G219" s="105">
        <v>58011</v>
      </c>
      <c r="H219" s="106">
        <v>18799</v>
      </c>
      <c r="I219" s="107">
        <v>226162</v>
      </c>
      <c r="J219" s="105">
        <v>170810</v>
      </c>
      <c r="K219" s="106">
        <v>55352</v>
      </c>
      <c r="L219" s="107">
        <v>160020</v>
      </c>
      <c r="M219" s="105">
        <v>70042</v>
      </c>
      <c r="N219" s="106">
        <v>89978</v>
      </c>
      <c r="O219" s="107">
        <f t="shared" si="12"/>
        <v>462992</v>
      </c>
      <c r="P219" s="105">
        <f t="shared" si="12"/>
        <v>298863</v>
      </c>
      <c r="Q219" s="106">
        <f t="shared" si="12"/>
        <v>164129</v>
      </c>
      <c r="R219" s="105">
        <f t="shared" si="13"/>
        <v>868.65290806754217</v>
      </c>
      <c r="S219" s="105">
        <f t="shared" si="13"/>
        <v>560.71857410881796</v>
      </c>
      <c r="T219" s="108">
        <f t="shared" si="13"/>
        <v>307.93433395872421</v>
      </c>
    </row>
    <row r="220" spans="1:20" s="85" customFormat="1" ht="12.75" x14ac:dyDescent="0.2">
      <c r="A220" s="109">
        <v>716</v>
      </c>
      <c r="B220" s="110">
        <v>1</v>
      </c>
      <c r="C220" s="103" t="s">
        <v>338</v>
      </c>
      <c r="D220" s="103">
        <v>3</v>
      </c>
      <c r="E220" s="104">
        <f>+SUMIF('GE16FEB14 Unfudged'!$A$2:$A$498, $A220, 'GE16FEB14 Unfudged'!$D$2:$D$498)</f>
        <v>1741</v>
      </c>
      <c r="F220" s="104">
        <v>291627</v>
      </c>
      <c r="G220" s="105">
        <v>200967</v>
      </c>
      <c r="H220" s="106">
        <v>90660</v>
      </c>
      <c r="I220" s="107">
        <v>738205</v>
      </c>
      <c r="J220" s="105">
        <v>508716</v>
      </c>
      <c r="K220" s="106">
        <v>229489</v>
      </c>
      <c r="L220" s="107">
        <v>522315</v>
      </c>
      <c r="M220" s="105">
        <v>208602</v>
      </c>
      <c r="N220" s="106">
        <v>313713</v>
      </c>
      <c r="O220" s="107">
        <f t="shared" si="12"/>
        <v>1552147</v>
      </c>
      <c r="P220" s="105">
        <f t="shared" si="12"/>
        <v>918285</v>
      </c>
      <c r="Q220" s="106">
        <f t="shared" si="12"/>
        <v>633862</v>
      </c>
      <c r="R220" s="105">
        <f t="shared" si="13"/>
        <v>891.52613440551409</v>
      </c>
      <c r="S220" s="105">
        <f t="shared" si="13"/>
        <v>527.44686961516368</v>
      </c>
      <c r="T220" s="108">
        <f t="shared" si="13"/>
        <v>364.07926479035035</v>
      </c>
    </row>
    <row r="221" spans="1:20" s="85" customFormat="1" ht="12.75" x14ac:dyDescent="0.2">
      <c r="A221" s="109">
        <v>717</v>
      </c>
      <c r="B221" s="110">
        <v>1</v>
      </c>
      <c r="C221" s="103" t="s">
        <v>339</v>
      </c>
      <c r="D221" s="103">
        <v>3</v>
      </c>
      <c r="E221" s="104">
        <f>+SUMIF('GE16FEB14 Unfudged'!$A$2:$A$498, $A221, 'GE16FEB14 Unfudged'!$D$2:$D$498)</f>
        <v>1955</v>
      </c>
      <c r="F221" s="104">
        <v>327530</v>
      </c>
      <c r="G221" s="105">
        <v>191491</v>
      </c>
      <c r="H221" s="106">
        <v>136039</v>
      </c>
      <c r="I221" s="107">
        <v>829090</v>
      </c>
      <c r="J221" s="105">
        <v>484728</v>
      </c>
      <c r="K221" s="106">
        <v>344362</v>
      </c>
      <c r="L221" s="107">
        <v>586620</v>
      </c>
      <c r="M221" s="105">
        <v>198765</v>
      </c>
      <c r="N221" s="106">
        <v>387855</v>
      </c>
      <c r="O221" s="107">
        <f t="shared" si="12"/>
        <v>1743240</v>
      </c>
      <c r="P221" s="105">
        <f t="shared" si="12"/>
        <v>874984</v>
      </c>
      <c r="Q221" s="106">
        <f t="shared" si="12"/>
        <v>868256</v>
      </c>
      <c r="R221" s="105">
        <f t="shared" si="13"/>
        <v>891.68286445012791</v>
      </c>
      <c r="S221" s="105">
        <f t="shared" si="13"/>
        <v>447.56214833759589</v>
      </c>
      <c r="T221" s="108">
        <f t="shared" si="13"/>
        <v>444.12071611253197</v>
      </c>
    </row>
    <row r="222" spans="1:20" s="85" customFormat="1" ht="12.75" x14ac:dyDescent="0.2">
      <c r="A222" s="109">
        <v>719</v>
      </c>
      <c r="B222" s="110">
        <v>1</v>
      </c>
      <c r="C222" s="103" t="s">
        <v>340</v>
      </c>
      <c r="D222" s="103">
        <v>3</v>
      </c>
      <c r="E222" s="104">
        <f>+SUMIF('GE16FEB14 Unfudged'!$A$2:$A$498, $A222, 'GE16FEB14 Unfudged'!$D$2:$D$498)</f>
        <v>8089</v>
      </c>
      <c r="F222" s="104">
        <v>1101736</v>
      </c>
      <c r="G222" s="105">
        <v>1094681</v>
      </c>
      <c r="H222" s="106">
        <v>7055</v>
      </c>
      <c r="I222" s="107">
        <v>3429609</v>
      </c>
      <c r="J222" s="105">
        <v>3407646</v>
      </c>
      <c r="K222" s="106">
        <v>21963</v>
      </c>
      <c r="L222" s="107">
        <v>5724049</v>
      </c>
      <c r="M222" s="105">
        <v>4673647</v>
      </c>
      <c r="N222" s="106">
        <v>1050402</v>
      </c>
      <c r="O222" s="107">
        <f t="shared" si="12"/>
        <v>10255394</v>
      </c>
      <c r="P222" s="105">
        <f t="shared" si="12"/>
        <v>9175974</v>
      </c>
      <c r="Q222" s="106">
        <f t="shared" si="12"/>
        <v>1079420</v>
      </c>
      <c r="R222" s="105">
        <f t="shared" si="13"/>
        <v>1267.8197552231425</v>
      </c>
      <c r="S222" s="105">
        <f t="shared" si="13"/>
        <v>1134.3768080108789</v>
      </c>
      <c r="T222" s="108">
        <f t="shared" si="13"/>
        <v>133.44294721226356</v>
      </c>
    </row>
    <row r="223" spans="1:20" s="85" customFormat="1" ht="12.75" x14ac:dyDescent="0.2">
      <c r="A223" s="109">
        <v>720</v>
      </c>
      <c r="B223" s="110">
        <v>1</v>
      </c>
      <c r="C223" s="103" t="s">
        <v>341</v>
      </c>
      <c r="D223" s="103">
        <v>3</v>
      </c>
      <c r="E223" s="104">
        <f>+SUMIF('GE16FEB14 Unfudged'!$A$2:$A$498, $A223, 'GE16FEB14 Unfudged'!$D$2:$D$498)</f>
        <v>8915</v>
      </c>
      <c r="F223" s="104">
        <v>1493263</v>
      </c>
      <c r="G223" s="105">
        <v>1206087</v>
      </c>
      <c r="H223" s="106">
        <v>287176</v>
      </c>
      <c r="I223" s="107">
        <v>3779960</v>
      </c>
      <c r="J223" s="105">
        <v>3053021</v>
      </c>
      <c r="K223" s="106">
        <v>726939</v>
      </c>
      <c r="L223" s="107">
        <v>2674500</v>
      </c>
      <c r="M223" s="105">
        <v>1251909</v>
      </c>
      <c r="N223" s="106">
        <v>1422591</v>
      </c>
      <c r="O223" s="107">
        <f t="shared" si="12"/>
        <v>7947723</v>
      </c>
      <c r="P223" s="105">
        <f t="shared" si="12"/>
        <v>5511017</v>
      </c>
      <c r="Q223" s="106">
        <f t="shared" si="12"/>
        <v>2436706</v>
      </c>
      <c r="R223" s="105">
        <f t="shared" si="13"/>
        <v>891.50005608524953</v>
      </c>
      <c r="S223" s="105">
        <f t="shared" si="13"/>
        <v>618.17352776219855</v>
      </c>
      <c r="T223" s="108">
        <f t="shared" si="13"/>
        <v>273.32652832305104</v>
      </c>
    </row>
    <row r="224" spans="1:20" s="85" customFormat="1" ht="12.75" x14ac:dyDescent="0.2">
      <c r="A224" s="109">
        <v>721</v>
      </c>
      <c r="B224" s="110">
        <v>1</v>
      </c>
      <c r="C224" s="103" t="s">
        <v>342</v>
      </c>
      <c r="D224" s="103">
        <v>3</v>
      </c>
      <c r="E224" s="104">
        <f>+SUMIF('GE16FEB14 Unfudged'!$A$2:$A$498, $A224, 'GE16FEB14 Unfudged'!$D$2:$D$498)</f>
        <v>4328</v>
      </c>
      <c r="F224" s="104">
        <v>683461</v>
      </c>
      <c r="G224" s="105">
        <v>523399</v>
      </c>
      <c r="H224" s="106">
        <v>160062</v>
      </c>
      <c r="I224" s="107">
        <v>1835242</v>
      </c>
      <c r="J224" s="105">
        <v>1405440</v>
      </c>
      <c r="K224" s="106">
        <v>429802</v>
      </c>
      <c r="L224" s="107">
        <v>1839743</v>
      </c>
      <c r="M224" s="105">
        <v>990781</v>
      </c>
      <c r="N224" s="106">
        <v>848962</v>
      </c>
      <c r="O224" s="107">
        <f t="shared" si="12"/>
        <v>4358446</v>
      </c>
      <c r="P224" s="105">
        <f t="shared" si="12"/>
        <v>2919620</v>
      </c>
      <c r="Q224" s="106">
        <f t="shared" si="12"/>
        <v>1438826</v>
      </c>
      <c r="R224" s="105">
        <f t="shared" si="13"/>
        <v>1007.0346580406655</v>
      </c>
      <c r="S224" s="105">
        <f t="shared" si="13"/>
        <v>674.58872458410349</v>
      </c>
      <c r="T224" s="108">
        <f t="shared" si="13"/>
        <v>332.44593345656193</v>
      </c>
    </row>
    <row r="225" spans="1:20" s="85" customFormat="1" ht="12.75" x14ac:dyDescent="0.2">
      <c r="A225" s="109">
        <v>726</v>
      </c>
      <c r="B225" s="110">
        <v>1</v>
      </c>
      <c r="C225" s="103" t="s">
        <v>343</v>
      </c>
      <c r="D225" s="103">
        <v>4</v>
      </c>
      <c r="E225" s="104">
        <f>+SUMIF('GE16FEB14 Unfudged'!$A$2:$A$498, $A225, 'GE16FEB14 Unfudged'!$D$2:$D$498)</f>
        <v>2981</v>
      </c>
      <c r="F225" s="104">
        <v>417740</v>
      </c>
      <c r="G225" s="105">
        <v>392296</v>
      </c>
      <c r="H225" s="106">
        <v>25444</v>
      </c>
      <c r="I225" s="107">
        <v>1264029</v>
      </c>
      <c r="J225" s="105">
        <v>1187039</v>
      </c>
      <c r="K225" s="106">
        <v>76990</v>
      </c>
      <c r="L225" s="107">
        <v>1085127</v>
      </c>
      <c r="M225" s="105">
        <v>665900</v>
      </c>
      <c r="N225" s="106">
        <v>419227</v>
      </c>
      <c r="O225" s="107">
        <f t="shared" si="12"/>
        <v>2766896</v>
      </c>
      <c r="P225" s="105">
        <f t="shared" si="12"/>
        <v>2245235</v>
      </c>
      <c r="Q225" s="106">
        <f t="shared" si="12"/>
        <v>521661</v>
      </c>
      <c r="R225" s="105">
        <f t="shared" si="13"/>
        <v>928.17712177121768</v>
      </c>
      <c r="S225" s="105">
        <f t="shared" si="13"/>
        <v>753.18181818181813</v>
      </c>
      <c r="T225" s="108">
        <f t="shared" si="13"/>
        <v>174.99530358939953</v>
      </c>
    </row>
    <row r="226" spans="1:20" s="85" customFormat="1" ht="12.75" x14ac:dyDescent="0.2">
      <c r="A226" s="109">
        <v>727</v>
      </c>
      <c r="B226" s="110">
        <v>1</v>
      </c>
      <c r="C226" s="103" t="s">
        <v>344</v>
      </c>
      <c r="D226" s="103">
        <v>4</v>
      </c>
      <c r="E226" s="104">
        <f>+SUMIF('GE16FEB14 Unfudged'!$A$2:$A$498, $A226, 'GE16FEB14 Unfudged'!$D$2:$D$498)</f>
        <v>3507</v>
      </c>
      <c r="F226" s="104">
        <v>502774</v>
      </c>
      <c r="G226" s="105">
        <v>279331</v>
      </c>
      <c r="H226" s="106">
        <v>223443</v>
      </c>
      <c r="I226" s="107">
        <v>1486798</v>
      </c>
      <c r="J226" s="105">
        <v>826035</v>
      </c>
      <c r="K226" s="106">
        <v>660763</v>
      </c>
      <c r="L226" s="107">
        <v>1087923</v>
      </c>
      <c r="M226" s="105">
        <v>358689</v>
      </c>
      <c r="N226" s="106">
        <v>729234</v>
      </c>
      <c r="O226" s="107">
        <f t="shared" si="12"/>
        <v>3077495</v>
      </c>
      <c r="P226" s="105">
        <f t="shared" si="12"/>
        <v>1464055</v>
      </c>
      <c r="Q226" s="106">
        <f t="shared" si="12"/>
        <v>1613440</v>
      </c>
      <c r="R226" s="105">
        <f t="shared" si="13"/>
        <v>877.52922725976623</v>
      </c>
      <c r="S226" s="105">
        <f t="shared" si="13"/>
        <v>417.46649558026803</v>
      </c>
      <c r="T226" s="108">
        <f t="shared" si="13"/>
        <v>460.06273167949814</v>
      </c>
    </row>
    <row r="227" spans="1:20" s="85" customFormat="1" ht="12.75" x14ac:dyDescent="0.2">
      <c r="A227" s="109">
        <v>728</v>
      </c>
      <c r="B227" s="110">
        <v>1</v>
      </c>
      <c r="C227" s="103" t="s">
        <v>345</v>
      </c>
      <c r="D227" s="103">
        <v>4</v>
      </c>
      <c r="E227" s="104">
        <f>+SUMIF('GE16FEB14 Unfudged'!$A$2:$A$498, $A227, 'GE16FEB14 Unfudged'!$D$2:$D$498)</f>
        <v>14021</v>
      </c>
      <c r="F227" s="104">
        <v>1978005</v>
      </c>
      <c r="G227" s="105">
        <v>1370308</v>
      </c>
      <c r="H227" s="106">
        <v>607697</v>
      </c>
      <c r="I227" s="107">
        <v>5944734</v>
      </c>
      <c r="J227" s="105">
        <v>4118350</v>
      </c>
      <c r="K227" s="106">
        <v>1826384</v>
      </c>
      <c r="L227" s="107">
        <v>4882534</v>
      </c>
      <c r="M227" s="105">
        <v>2157313</v>
      </c>
      <c r="N227" s="106">
        <v>2725221</v>
      </c>
      <c r="O227" s="107">
        <f t="shared" si="12"/>
        <v>12805273</v>
      </c>
      <c r="P227" s="105">
        <f t="shared" si="12"/>
        <v>7645971</v>
      </c>
      <c r="Q227" s="106">
        <f t="shared" si="12"/>
        <v>5159302</v>
      </c>
      <c r="R227" s="105">
        <f t="shared" si="13"/>
        <v>913.29241851508448</v>
      </c>
      <c r="S227" s="105">
        <f t="shared" si="13"/>
        <v>545.32280151201769</v>
      </c>
      <c r="T227" s="108">
        <f t="shared" si="13"/>
        <v>367.96961700306684</v>
      </c>
    </row>
    <row r="228" spans="1:20" s="85" customFormat="1" ht="12.75" x14ac:dyDescent="0.2">
      <c r="A228" s="109">
        <v>738</v>
      </c>
      <c r="B228" s="110">
        <v>1</v>
      </c>
      <c r="C228" s="103" t="s">
        <v>346</v>
      </c>
      <c r="D228" s="103">
        <v>5</v>
      </c>
      <c r="E228" s="104">
        <f>+SUMIF('GE16FEB14 Unfudged'!$A$2:$A$498, $A228, 'GE16FEB14 Unfudged'!$D$2:$D$498)</f>
        <v>1118</v>
      </c>
      <c r="F228" s="104">
        <v>160963</v>
      </c>
      <c r="G228" s="105">
        <v>96433</v>
      </c>
      <c r="H228" s="106">
        <v>64530</v>
      </c>
      <c r="I228" s="107">
        <v>473947</v>
      </c>
      <c r="J228" s="105">
        <v>283942</v>
      </c>
      <c r="K228" s="106">
        <v>190005</v>
      </c>
      <c r="L228" s="107">
        <v>335340</v>
      </c>
      <c r="M228" s="105">
        <v>116432</v>
      </c>
      <c r="N228" s="106">
        <v>218908</v>
      </c>
      <c r="O228" s="107">
        <f t="shared" si="12"/>
        <v>970250</v>
      </c>
      <c r="P228" s="105">
        <f t="shared" si="12"/>
        <v>496807</v>
      </c>
      <c r="Q228" s="106">
        <f t="shared" si="12"/>
        <v>473443</v>
      </c>
      <c r="R228" s="105">
        <f t="shared" si="13"/>
        <v>867.84436493738815</v>
      </c>
      <c r="S228" s="105">
        <f t="shared" si="13"/>
        <v>444.37119856887301</v>
      </c>
      <c r="T228" s="108">
        <f t="shared" si="13"/>
        <v>423.47316636851519</v>
      </c>
    </row>
    <row r="229" spans="1:20" s="85" customFormat="1" ht="12.75" x14ac:dyDescent="0.2">
      <c r="A229" s="109">
        <v>739</v>
      </c>
      <c r="B229" s="110">
        <v>1</v>
      </c>
      <c r="C229" s="103" t="s">
        <v>347</v>
      </c>
      <c r="D229" s="103">
        <v>6</v>
      </c>
      <c r="E229" s="104">
        <f>+SUMIF('GE16FEB14 Unfudged'!$A$2:$A$498, $A229, 'GE16FEB14 Unfudged'!$D$2:$D$498)</f>
        <v>706</v>
      </c>
      <c r="F229" s="104">
        <v>86436</v>
      </c>
      <c r="G229" s="105">
        <v>65699</v>
      </c>
      <c r="H229" s="106">
        <v>20737</v>
      </c>
      <c r="I229" s="107">
        <v>299259</v>
      </c>
      <c r="J229" s="105">
        <v>227464</v>
      </c>
      <c r="K229" s="106">
        <v>71795</v>
      </c>
      <c r="L229" s="107">
        <v>462708</v>
      </c>
      <c r="M229" s="105">
        <v>284032</v>
      </c>
      <c r="N229" s="106">
        <v>178676</v>
      </c>
      <c r="O229" s="107">
        <f t="shared" si="12"/>
        <v>848403</v>
      </c>
      <c r="P229" s="105">
        <f t="shared" si="12"/>
        <v>577195</v>
      </c>
      <c r="Q229" s="106">
        <f t="shared" si="12"/>
        <v>271208</v>
      </c>
      <c r="R229" s="105">
        <f t="shared" si="13"/>
        <v>1201.7039660056657</v>
      </c>
      <c r="S229" s="105">
        <f t="shared" si="13"/>
        <v>817.55665722379604</v>
      </c>
      <c r="T229" s="108">
        <f t="shared" si="13"/>
        <v>384.1473087818697</v>
      </c>
    </row>
    <row r="230" spans="1:20" s="85" customFormat="1" ht="12.75" x14ac:dyDescent="0.2">
      <c r="A230" s="109">
        <v>740</v>
      </c>
      <c r="B230" s="110">
        <v>1</v>
      </c>
      <c r="C230" s="103" t="s">
        <v>348</v>
      </c>
      <c r="D230" s="103">
        <v>5</v>
      </c>
      <c r="E230" s="104">
        <f>+SUMIF('GE16FEB14 Unfudged'!$A$2:$A$498, $A230, 'GE16FEB14 Unfudged'!$D$2:$D$498)</f>
        <v>1502</v>
      </c>
      <c r="F230" s="104">
        <v>214367</v>
      </c>
      <c r="G230" s="105">
        <v>135624</v>
      </c>
      <c r="H230" s="106">
        <v>78743</v>
      </c>
      <c r="I230" s="107">
        <v>637018</v>
      </c>
      <c r="J230" s="105">
        <v>403025</v>
      </c>
      <c r="K230" s="106">
        <v>233993</v>
      </c>
      <c r="L230" s="107">
        <v>483397</v>
      </c>
      <c r="M230" s="105">
        <v>185937</v>
      </c>
      <c r="N230" s="106">
        <v>297460</v>
      </c>
      <c r="O230" s="107">
        <f t="shared" si="12"/>
        <v>1334782</v>
      </c>
      <c r="P230" s="105">
        <f t="shared" si="12"/>
        <v>724586</v>
      </c>
      <c r="Q230" s="106">
        <f t="shared" si="12"/>
        <v>610196</v>
      </c>
      <c r="R230" s="105">
        <f t="shared" si="13"/>
        <v>888.66977363515309</v>
      </c>
      <c r="S230" s="105">
        <f t="shared" si="13"/>
        <v>482.41411451398136</v>
      </c>
      <c r="T230" s="108">
        <f t="shared" si="13"/>
        <v>406.25565912117179</v>
      </c>
    </row>
    <row r="231" spans="1:20" s="85" customFormat="1" ht="12.75" x14ac:dyDescent="0.2">
      <c r="A231" s="109">
        <v>741</v>
      </c>
      <c r="B231" s="110">
        <v>1</v>
      </c>
      <c r="C231" s="103" t="s">
        <v>349</v>
      </c>
      <c r="D231" s="103">
        <v>5</v>
      </c>
      <c r="E231" s="104">
        <f>+SUMIF('GE16FEB14 Unfudged'!$A$2:$A$498, $A231, 'GE16FEB14 Unfudged'!$D$2:$D$498)</f>
        <v>1034</v>
      </c>
      <c r="F231" s="104">
        <v>146473</v>
      </c>
      <c r="G231" s="105">
        <v>114273</v>
      </c>
      <c r="H231" s="106">
        <v>32200</v>
      </c>
      <c r="I231" s="107">
        <v>438331</v>
      </c>
      <c r="J231" s="105">
        <v>341969</v>
      </c>
      <c r="K231" s="106">
        <v>96362</v>
      </c>
      <c r="L231" s="107">
        <v>349673</v>
      </c>
      <c r="M231" s="105">
        <v>171068</v>
      </c>
      <c r="N231" s="106">
        <v>178605</v>
      </c>
      <c r="O231" s="107">
        <f t="shared" si="12"/>
        <v>934477</v>
      </c>
      <c r="P231" s="105">
        <f t="shared" si="12"/>
        <v>627310</v>
      </c>
      <c r="Q231" s="106">
        <f t="shared" si="12"/>
        <v>307167</v>
      </c>
      <c r="R231" s="105">
        <f t="shared" si="13"/>
        <v>903.74951644100577</v>
      </c>
      <c r="S231" s="105">
        <f t="shared" si="13"/>
        <v>606.6827852998066</v>
      </c>
      <c r="T231" s="108">
        <f t="shared" si="13"/>
        <v>297.06673114119923</v>
      </c>
    </row>
    <row r="232" spans="1:20" s="85" customFormat="1" ht="12.75" x14ac:dyDescent="0.2">
      <c r="A232" s="109">
        <v>742</v>
      </c>
      <c r="B232" s="110">
        <v>1</v>
      </c>
      <c r="C232" s="103" t="s">
        <v>350</v>
      </c>
      <c r="D232" s="103">
        <v>4</v>
      </c>
      <c r="E232" s="104">
        <f>+SUMIF('GE16FEB14 Unfudged'!$A$2:$A$498, $A232, 'GE16FEB14 Unfudged'!$D$2:$D$498)</f>
        <v>10451</v>
      </c>
      <c r="F232" s="104">
        <v>1504915</v>
      </c>
      <c r="G232" s="105">
        <v>1459992</v>
      </c>
      <c r="H232" s="106">
        <v>44923</v>
      </c>
      <c r="I232" s="107">
        <v>4431139</v>
      </c>
      <c r="J232" s="105">
        <v>4298866</v>
      </c>
      <c r="K232" s="106">
        <v>132273</v>
      </c>
      <c r="L232" s="107">
        <v>3135240</v>
      </c>
      <c r="M232" s="105">
        <v>1762775</v>
      </c>
      <c r="N232" s="106">
        <v>1372465</v>
      </c>
      <c r="O232" s="107">
        <f t="shared" si="12"/>
        <v>9071294</v>
      </c>
      <c r="P232" s="105">
        <f t="shared" si="12"/>
        <v>7521633</v>
      </c>
      <c r="Q232" s="106">
        <f t="shared" si="12"/>
        <v>1549661</v>
      </c>
      <c r="R232" s="105">
        <f t="shared" si="13"/>
        <v>867.98335087551436</v>
      </c>
      <c r="S232" s="105">
        <f t="shared" si="13"/>
        <v>719.70462156731412</v>
      </c>
      <c r="T232" s="108">
        <f t="shared" si="13"/>
        <v>148.27872930820018</v>
      </c>
    </row>
    <row r="233" spans="1:20" s="85" customFormat="1" ht="12.75" x14ac:dyDescent="0.2">
      <c r="A233" s="109">
        <v>743</v>
      </c>
      <c r="B233" s="110">
        <v>1</v>
      </c>
      <c r="C233" s="103" t="s">
        <v>351</v>
      </c>
      <c r="D233" s="103">
        <v>5</v>
      </c>
      <c r="E233" s="104">
        <f>+SUMIF('GE16FEB14 Unfudged'!$A$2:$A$498, $A233, 'GE16FEB14 Unfudged'!$D$2:$D$498)</f>
        <v>886</v>
      </c>
      <c r="F233" s="104">
        <v>93134</v>
      </c>
      <c r="G233" s="105">
        <v>83629</v>
      </c>
      <c r="H233" s="106">
        <v>9505</v>
      </c>
      <c r="I233" s="107">
        <v>375834</v>
      </c>
      <c r="J233" s="105">
        <v>337476</v>
      </c>
      <c r="K233" s="106">
        <v>38358</v>
      </c>
      <c r="L233" s="107">
        <v>835707</v>
      </c>
      <c r="M233" s="105">
        <v>666556</v>
      </c>
      <c r="N233" s="106">
        <v>169151</v>
      </c>
      <c r="O233" s="107">
        <f t="shared" si="12"/>
        <v>1304675</v>
      </c>
      <c r="P233" s="105">
        <f t="shared" si="12"/>
        <v>1087661</v>
      </c>
      <c r="Q233" s="106">
        <f t="shared" si="12"/>
        <v>217014</v>
      </c>
      <c r="R233" s="105">
        <f t="shared" si="13"/>
        <v>1472.5451467268624</v>
      </c>
      <c r="S233" s="105">
        <f t="shared" si="13"/>
        <v>1227.6083521444696</v>
      </c>
      <c r="T233" s="108">
        <f t="shared" si="13"/>
        <v>244.93679458239276</v>
      </c>
    </row>
    <row r="234" spans="1:20" s="85" customFormat="1" ht="12.75" x14ac:dyDescent="0.2">
      <c r="A234" s="109">
        <v>745</v>
      </c>
      <c r="B234" s="110">
        <v>1</v>
      </c>
      <c r="C234" s="103" t="s">
        <v>352</v>
      </c>
      <c r="D234" s="103">
        <v>5</v>
      </c>
      <c r="E234" s="104">
        <f>+SUMIF('GE16FEB14 Unfudged'!$A$2:$A$498, $A234, 'GE16FEB14 Unfudged'!$D$2:$D$498)</f>
        <v>1883</v>
      </c>
      <c r="F234" s="104">
        <v>271152</v>
      </c>
      <c r="G234" s="105">
        <v>173564</v>
      </c>
      <c r="H234" s="106">
        <v>97588</v>
      </c>
      <c r="I234" s="107">
        <v>798392</v>
      </c>
      <c r="J234" s="105">
        <v>511050</v>
      </c>
      <c r="K234" s="106">
        <v>287342</v>
      </c>
      <c r="L234" s="107">
        <v>564900</v>
      </c>
      <c r="M234" s="105">
        <v>209559</v>
      </c>
      <c r="N234" s="106">
        <v>355341</v>
      </c>
      <c r="O234" s="107">
        <f t="shared" si="12"/>
        <v>1634444</v>
      </c>
      <c r="P234" s="105">
        <f t="shared" si="12"/>
        <v>894173</v>
      </c>
      <c r="Q234" s="106">
        <f t="shared" si="12"/>
        <v>740271</v>
      </c>
      <c r="R234" s="105">
        <f t="shared" si="13"/>
        <v>868</v>
      </c>
      <c r="S234" s="105">
        <f t="shared" si="13"/>
        <v>474.86617100371745</v>
      </c>
      <c r="T234" s="108">
        <f t="shared" si="13"/>
        <v>393.13382899628255</v>
      </c>
    </row>
    <row r="235" spans="1:20" s="85" customFormat="1" ht="12.75" x14ac:dyDescent="0.2">
      <c r="A235" s="109">
        <v>748</v>
      </c>
      <c r="B235" s="110">
        <v>1</v>
      </c>
      <c r="C235" s="103" t="s">
        <v>353</v>
      </c>
      <c r="D235" s="103">
        <v>4</v>
      </c>
      <c r="E235" s="104">
        <f>+SUMIF('GE16FEB14 Unfudged'!$A$2:$A$498, $A235, 'GE16FEB14 Unfudged'!$D$2:$D$498)</f>
        <v>4095</v>
      </c>
      <c r="F235" s="104">
        <v>589651</v>
      </c>
      <c r="G235" s="105">
        <v>361703</v>
      </c>
      <c r="H235" s="106">
        <v>227948</v>
      </c>
      <c r="I235" s="107">
        <v>1736195</v>
      </c>
      <c r="J235" s="105">
        <v>1065014</v>
      </c>
      <c r="K235" s="106">
        <v>671181</v>
      </c>
      <c r="L235" s="107">
        <v>1228440</v>
      </c>
      <c r="M235" s="105">
        <v>436715</v>
      </c>
      <c r="N235" s="106">
        <v>791725</v>
      </c>
      <c r="O235" s="107">
        <f t="shared" si="12"/>
        <v>3554286</v>
      </c>
      <c r="P235" s="105">
        <f t="shared" si="12"/>
        <v>1863432</v>
      </c>
      <c r="Q235" s="106">
        <f t="shared" si="12"/>
        <v>1690854</v>
      </c>
      <c r="R235" s="105">
        <f t="shared" si="13"/>
        <v>867.95750915750921</v>
      </c>
      <c r="S235" s="105">
        <f t="shared" si="13"/>
        <v>455.05054945054945</v>
      </c>
      <c r="T235" s="108">
        <f t="shared" si="13"/>
        <v>412.9069597069597</v>
      </c>
    </row>
    <row r="236" spans="1:20" s="85" customFormat="1" ht="12.75" x14ac:dyDescent="0.2">
      <c r="A236" s="109">
        <v>750</v>
      </c>
      <c r="B236" s="110">
        <v>1</v>
      </c>
      <c r="C236" s="103" t="s">
        <v>354</v>
      </c>
      <c r="D236" s="103">
        <v>4</v>
      </c>
      <c r="E236" s="104">
        <f>+SUMIF('GE16FEB14 Unfudged'!$A$2:$A$498, $A236, 'GE16FEB14 Unfudged'!$D$2:$D$498)</f>
        <v>2214</v>
      </c>
      <c r="F236" s="104">
        <v>318874</v>
      </c>
      <c r="G236" s="105">
        <v>272386</v>
      </c>
      <c r="H236" s="106">
        <v>46488</v>
      </c>
      <c r="I236" s="107">
        <v>938906</v>
      </c>
      <c r="J236" s="105">
        <v>802026</v>
      </c>
      <c r="K236" s="106">
        <v>136880</v>
      </c>
      <c r="L236" s="107">
        <v>664320</v>
      </c>
      <c r="M236" s="105">
        <v>328875</v>
      </c>
      <c r="N236" s="106">
        <v>335445</v>
      </c>
      <c r="O236" s="107">
        <f t="shared" si="12"/>
        <v>1922100</v>
      </c>
      <c r="P236" s="105">
        <f t="shared" si="12"/>
        <v>1403287</v>
      </c>
      <c r="Q236" s="106">
        <f t="shared" si="12"/>
        <v>518813</v>
      </c>
      <c r="R236" s="105">
        <f t="shared" si="13"/>
        <v>868.15718157181573</v>
      </c>
      <c r="S236" s="105">
        <f t="shared" si="13"/>
        <v>633.8242999096658</v>
      </c>
      <c r="T236" s="108">
        <f t="shared" si="13"/>
        <v>234.33288166214996</v>
      </c>
    </row>
    <row r="237" spans="1:20" s="85" customFormat="1" ht="12.75" x14ac:dyDescent="0.2">
      <c r="A237" s="109">
        <v>756</v>
      </c>
      <c r="B237" s="110">
        <v>1</v>
      </c>
      <c r="C237" s="103" t="s">
        <v>355</v>
      </c>
      <c r="D237" s="103">
        <v>6</v>
      </c>
      <c r="E237" s="104">
        <f>+SUMIF('GE16FEB14 Unfudged'!$A$2:$A$498, $A237, 'GE16FEB14 Unfudged'!$D$2:$D$498)</f>
        <v>746</v>
      </c>
      <c r="F237" s="104">
        <v>101917</v>
      </c>
      <c r="G237" s="105">
        <v>51755</v>
      </c>
      <c r="H237" s="106">
        <v>50162</v>
      </c>
      <c r="I237" s="107">
        <v>316240</v>
      </c>
      <c r="J237" s="105">
        <v>160593</v>
      </c>
      <c r="K237" s="106">
        <v>155647</v>
      </c>
      <c r="L237" s="107">
        <v>314338</v>
      </c>
      <c r="M237" s="105">
        <v>111852</v>
      </c>
      <c r="N237" s="106">
        <v>202486</v>
      </c>
      <c r="O237" s="107">
        <f t="shared" si="12"/>
        <v>732495</v>
      </c>
      <c r="P237" s="105">
        <f t="shared" si="12"/>
        <v>324200</v>
      </c>
      <c r="Q237" s="106">
        <f t="shared" si="12"/>
        <v>408295</v>
      </c>
      <c r="R237" s="105">
        <f t="shared" si="13"/>
        <v>981.8967828418231</v>
      </c>
      <c r="S237" s="105">
        <f t="shared" si="13"/>
        <v>434.5844504021448</v>
      </c>
      <c r="T237" s="108">
        <f t="shared" si="13"/>
        <v>547.31233243967824</v>
      </c>
    </row>
    <row r="238" spans="1:20" s="85" customFormat="1" ht="12.75" x14ac:dyDescent="0.2">
      <c r="A238" s="109">
        <v>761</v>
      </c>
      <c r="B238" s="110">
        <v>1</v>
      </c>
      <c r="C238" s="103" t="s">
        <v>356</v>
      </c>
      <c r="D238" s="103">
        <v>4</v>
      </c>
      <c r="E238" s="104">
        <f>+SUMIF('GE16FEB14 Unfudged'!$A$2:$A$498, $A238, 'GE16FEB14 Unfudged'!$D$2:$D$498)</f>
        <v>5134</v>
      </c>
      <c r="F238" s="104">
        <v>625397</v>
      </c>
      <c r="G238" s="105">
        <v>429403</v>
      </c>
      <c r="H238" s="106">
        <v>195994</v>
      </c>
      <c r="I238" s="107">
        <v>2176646</v>
      </c>
      <c r="J238" s="105">
        <v>1494504</v>
      </c>
      <c r="K238" s="106">
        <v>682142</v>
      </c>
      <c r="L238" s="107">
        <v>3419850</v>
      </c>
      <c r="M238" s="105">
        <v>1903496</v>
      </c>
      <c r="N238" s="106">
        <v>1516354</v>
      </c>
      <c r="O238" s="107">
        <f t="shared" si="12"/>
        <v>6221893</v>
      </c>
      <c r="P238" s="105">
        <f t="shared" si="12"/>
        <v>3827403</v>
      </c>
      <c r="Q238" s="106">
        <f t="shared" si="12"/>
        <v>2394490</v>
      </c>
      <c r="R238" s="105">
        <f t="shared" si="13"/>
        <v>1211.899688352162</v>
      </c>
      <c r="S238" s="105">
        <f t="shared" si="13"/>
        <v>745.50116867939232</v>
      </c>
      <c r="T238" s="108">
        <f t="shared" si="13"/>
        <v>466.39851967276979</v>
      </c>
    </row>
    <row r="239" spans="1:20" s="85" customFormat="1" ht="12.75" x14ac:dyDescent="0.2">
      <c r="A239" s="109">
        <v>763</v>
      </c>
      <c r="B239" s="110">
        <v>1</v>
      </c>
      <c r="C239" s="103" t="s">
        <v>357</v>
      </c>
      <c r="D239" s="103">
        <v>6</v>
      </c>
      <c r="E239" s="104">
        <f>+SUMIF('GE16FEB14 Unfudged'!$A$2:$A$498, $A239, 'GE16FEB14 Unfudged'!$D$2:$D$498)</f>
        <v>928</v>
      </c>
      <c r="F239" s="104">
        <v>133574</v>
      </c>
      <c r="G239" s="105">
        <v>79629</v>
      </c>
      <c r="H239" s="106">
        <v>53945</v>
      </c>
      <c r="I239" s="107">
        <v>393302</v>
      </c>
      <c r="J239" s="105">
        <v>234465</v>
      </c>
      <c r="K239" s="106">
        <v>158837</v>
      </c>
      <c r="L239" s="107">
        <v>278280</v>
      </c>
      <c r="M239" s="105">
        <v>96144</v>
      </c>
      <c r="N239" s="106">
        <v>182136</v>
      </c>
      <c r="O239" s="107">
        <f t="shared" si="12"/>
        <v>805156</v>
      </c>
      <c r="P239" s="105">
        <f t="shared" si="12"/>
        <v>410238</v>
      </c>
      <c r="Q239" s="106">
        <f t="shared" si="12"/>
        <v>394918</v>
      </c>
      <c r="R239" s="105">
        <f t="shared" si="13"/>
        <v>867.625</v>
      </c>
      <c r="S239" s="105">
        <f t="shared" si="13"/>
        <v>442.06681034482756</v>
      </c>
      <c r="T239" s="108">
        <f t="shared" si="13"/>
        <v>425.55818965517244</v>
      </c>
    </row>
    <row r="240" spans="1:20" s="85" customFormat="1" ht="12.75" x14ac:dyDescent="0.2">
      <c r="A240" s="109">
        <v>768</v>
      </c>
      <c r="B240" s="110">
        <v>1</v>
      </c>
      <c r="C240" s="103" t="s">
        <v>358</v>
      </c>
      <c r="D240" s="103">
        <v>6</v>
      </c>
      <c r="E240" s="104">
        <f>+SUMIF('GE16FEB14 Unfudged'!$A$2:$A$498, $A240, 'GE16FEB14 Unfudged'!$D$2:$D$498)</f>
        <v>356</v>
      </c>
      <c r="F240" s="104">
        <v>44258</v>
      </c>
      <c r="G240" s="105">
        <v>16293</v>
      </c>
      <c r="H240" s="106">
        <v>27965</v>
      </c>
      <c r="I240" s="107">
        <v>151114</v>
      </c>
      <c r="J240" s="105">
        <v>55631</v>
      </c>
      <c r="K240" s="106">
        <v>95483</v>
      </c>
      <c r="L240" s="107">
        <v>223563</v>
      </c>
      <c r="M240" s="105">
        <v>65753</v>
      </c>
      <c r="N240" s="106">
        <v>157810</v>
      </c>
      <c r="O240" s="107">
        <f t="shared" si="12"/>
        <v>418935</v>
      </c>
      <c r="P240" s="105">
        <f t="shared" si="12"/>
        <v>137677</v>
      </c>
      <c r="Q240" s="106">
        <f t="shared" si="12"/>
        <v>281258</v>
      </c>
      <c r="R240" s="105">
        <f t="shared" si="13"/>
        <v>1176.7837078651685</v>
      </c>
      <c r="S240" s="105">
        <f t="shared" si="13"/>
        <v>386.7331460674157</v>
      </c>
      <c r="T240" s="108">
        <f t="shared" si="13"/>
        <v>790.05056179775283</v>
      </c>
    </row>
    <row r="241" spans="1:20" s="85" customFormat="1" ht="12.75" x14ac:dyDescent="0.2">
      <c r="A241" s="109">
        <v>771</v>
      </c>
      <c r="B241" s="110">
        <v>1</v>
      </c>
      <c r="C241" s="103" t="s">
        <v>359</v>
      </c>
      <c r="D241" s="103">
        <v>6</v>
      </c>
      <c r="E241" s="104">
        <f>+SUMIF('GE16FEB14 Unfudged'!$A$2:$A$498, $A241, 'GE16FEB14 Unfudged'!$D$2:$D$498)</f>
        <v>172</v>
      </c>
      <c r="F241" s="104">
        <v>8580</v>
      </c>
      <c r="G241" s="105">
        <v>4156</v>
      </c>
      <c r="H241" s="106">
        <v>4424</v>
      </c>
      <c r="I241" s="107">
        <v>72758</v>
      </c>
      <c r="J241" s="105">
        <v>35245</v>
      </c>
      <c r="K241" s="106">
        <v>37513</v>
      </c>
      <c r="L241" s="107">
        <v>528243</v>
      </c>
      <c r="M241" s="105">
        <v>388412</v>
      </c>
      <c r="N241" s="106">
        <v>139831</v>
      </c>
      <c r="O241" s="107">
        <f t="shared" si="12"/>
        <v>609581</v>
      </c>
      <c r="P241" s="105">
        <f t="shared" si="12"/>
        <v>427813</v>
      </c>
      <c r="Q241" s="106">
        <f t="shared" si="12"/>
        <v>181768</v>
      </c>
      <c r="R241" s="105">
        <f t="shared" si="13"/>
        <v>3544.0755813953488</v>
      </c>
      <c r="S241" s="105">
        <f t="shared" si="13"/>
        <v>2487.2848837209303</v>
      </c>
      <c r="T241" s="108">
        <f t="shared" si="13"/>
        <v>1056.7906976744187</v>
      </c>
    </row>
    <row r="242" spans="1:20" s="85" customFormat="1" ht="12.75" x14ac:dyDescent="0.2">
      <c r="A242" s="109">
        <v>775</v>
      </c>
      <c r="B242" s="110">
        <v>1</v>
      </c>
      <c r="C242" s="103" t="s">
        <v>360</v>
      </c>
      <c r="D242" s="103">
        <v>6</v>
      </c>
      <c r="E242" s="104">
        <f>+SUMIF('GE16FEB14 Unfudged'!$A$2:$A$498, $A242, 'GE16FEB14 Unfudged'!$D$2:$D$498)</f>
        <v>633</v>
      </c>
      <c r="F242" s="104">
        <v>91166</v>
      </c>
      <c r="G242" s="105">
        <v>50745</v>
      </c>
      <c r="H242" s="106">
        <v>40421</v>
      </c>
      <c r="I242" s="107">
        <v>268434</v>
      </c>
      <c r="J242" s="105">
        <v>149417</v>
      </c>
      <c r="K242" s="106">
        <v>119017</v>
      </c>
      <c r="L242" s="107">
        <v>189930</v>
      </c>
      <c r="M242" s="105">
        <v>61269</v>
      </c>
      <c r="N242" s="106">
        <v>128661</v>
      </c>
      <c r="O242" s="107">
        <f t="shared" si="12"/>
        <v>549530</v>
      </c>
      <c r="P242" s="105">
        <f t="shared" si="12"/>
        <v>261431</v>
      </c>
      <c r="Q242" s="106">
        <f t="shared" si="12"/>
        <v>288099</v>
      </c>
      <c r="R242" s="105">
        <f t="shared" si="13"/>
        <v>868.1358609794629</v>
      </c>
      <c r="S242" s="105">
        <f t="shared" si="13"/>
        <v>413.00315955766195</v>
      </c>
      <c r="T242" s="108">
        <f t="shared" si="13"/>
        <v>455.13270142180096</v>
      </c>
    </row>
    <row r="243" spans="1:20" s="85" customFormat="1" ht="12.75" x14ac:dyDescent="0.2">
      <c r="A243" s="109">
        <v>777</v>
      </c>
      <c r="B243" s="110">
        <v>1</v>
      </c>
      <c r="C243" s="103" t="s">
        <v>361</v>
      </c>
      <c r="D243" s="103">
        <v>6</v>
      </c>
      <c r="E243" s="104">
        <f>+SUMIF('GE16FEB14 Unfudged'!$A$2:$A$498, $A243, 'GE16FEB14 Unfudged'!$D$2:$D$498)</f>
        <v>922</v>
      </c>
      <c r="F243" s="104">
        <v>105419</v>
      </c>
      <c r="G243" s="105">
        <v>67986</v>
      </c>
      <c r="H243" s="106">
        <v>37433</v>
      </c>
      <c r="I243" s="107">
        <v>391013</v>
      </c>
      <c r="J243" s="105">
        <v>252170</v>
      </c>
      <c r="K243" s="106">
        <v>138843</v>
      </c>
      <c r="L243" s="107">
        <v>728722</v>
      </c>
      <c r="M243" s="105">
        <v>404835</v>
      </c>
      <c r="N243" s="106">
        <v>323887</v>
      </c>
      <c r="O243" s="107">
        <f t="shared" si="12"/>
        <v>1225154</v>
      </c>
      <c r="P243" s="105">
        <f t="shared" si="12"/>
        <v>724991</v>
      </c>
      <c r="Q243" s="106">
        <f t="shared" si="12"/>
        <v>500163</v>
      </c>
      <c r="R243" s="105">
        <f t="shared" si="13"/>
        <v>1328.8004338394794</v>
      </c>
      <c r="S243" s="105">
        <f t="shared" si="13"/>
        <v>786.32429501084596</v>
      </c>
      <c r="T243" s="108">
        <f t="shared" si="13"/>
        <v>542.47613882863345</v>
      </c>
    </row>
    <row r="244" spans="1:20" s="85" customFormat="1" ht="12.75" x14ac:dyDescent="0.2">
      <c r="A244" s="109">
        <v>786</v>
      </c>
      <c r="B244" s="110">
        <v>1</v>
      </c>
      <c r="C244" s="103" t="s">
        <v>362</v>
      </c>
      <c r="D244" s="103">
        <v>6</v>
      </c>
      <c r="E244" s="104">
        <f>+SUMIF('GE16FEB14 Unfudged'!$A$2:$A$498, $A244, 'GE16FEB14 Unfudged'!$D$2:$D$498)</f>
        <v>399</v>
      </c>
      <c r="F244" s="104">
        <v>57091</v>
      </c>
      <c r="G244" s="105">
        <v>26228</v>
      </c>
      <c r="H244" s="106">
        <v>30863</v>
      </c>
      <c r="I244" s="107">
        <v>168964</v>
      </c>
      <c r="J244" s="105">
        <v>77623</v>
      </c>
      <c r="K244" s="106">
        <v>91341</v>
      </c>
      <c r="L244" s="107">
        <v>124396</v>
      </c>
      <c r="M244" s="105">
        <v>34056</v>
      </c>
      <c r="N244" s="106">
        <v>90340</v>
      </c>
      <c r="O244" s="107">
        <f t="shared" si="12"/>
        <v>350451</v>
      </c>
      <c r="P244" s="105">
        <f t="shared" si="12"/>
        <v>137907</v>
      </c>
      <c r="Q244" s="106">
        <f t="shared" si="12"/>
        <v>212544</v>
      </c>
      <c r="R244" s="105">
        <f t="shared" si="13"/>
        <v>878.32330827067665</v>
      </c>
      <c r="S244" s="105">
        <f t="shared" si="13"/>
        <v>345.63157894736844</v>
      </c>
      <c r="T244" s="108">
        <f t="shared" si="13"/>
        <v>532.69172932330832</v>
      </c>
    </row>
    <row r="245" spans="1:20" s="85" customFormat="1" ht="12.75" x14ac:dyDescent="0.2">
      <c r="A245" s="109">
        <v>787</v>
      </c>
      <c r="B245" s="110">
        <v>1</v>
      </c>
      <c r="C245" s="103" t="s">
        <v>363</v>
      </c>
      <c r="D245" s="103">
        <v>6</v>
      </c>
      <c r="E245" s="104">
        <f>+SUMIF('GE16FEB14 Unfudged'!$A$2:$A$498, $A245, 'GE16FEB14 Unfudged'!$D$2:$D$498)</f>
        <v>396</v>
      </c>
      <c r="F245" s="104">
        <v>57053</v>
      </c>
      <c r="G245" s="105">
        <v>46004</v>
      </c>
      <c r="H245" s="106">
        <v>11049</v>
      </c>
      <c r="I245" s="107">
        <v>167989</v>
      </c>
      <c r="J245" s="105">
        <v>135457</v>
      </c>
      <c r="K245" s="106">
        <v>32532</v>
      </c>
      <c r="L245" s="107">
        <v>118860</v>
      </c>
      <c r="M245" s="105">
        <v>55545</v>
      </c>
      <c r="N245" s="106">
        <v>63315</v>
      </c>
      <c r="O245" s="107">
        <f t="shared" si="12"/>
        <v>343902</v>
      </c>
      <c r="P245" s="105">
        <f t="shared" si="12"/>
        <v>237006</v>
      </c>
      <c r="Q245" s="106">
        <f t="shared" si="12"/>
        <v>106896</v>
      </c>
      <c r="R245" s="105">
        <f t="shared" si="13"/>
        <v>868.43939393939399</v>
      </c>
      <c r="S245" s="105">
        <f t="shared" si="13"/>
        <v>598.5</v>
      </c>
      <c r="T245" s="108">
        <f t="shared" si="13"/>
        <v>269.93939393939394</v>
      </c>
    </row>
    <row r="246" spans="1:20" s="85" customFormat="1" ht="12.75" x14ac:dyDescent="0.2">
      <c r="A246" s="109">
        <v>801</v>
      </c>
      <c r="B246" s="110">
        <v>1</v>
      </c>
      <c r="C246" s="103" t="s">
        <v>364</v>
      </c>
      <c r="D246" s="103">
        <v>6</v>
      </c>
      <c r="E246" s="104">
        <f>+SUMIF('GE16FEB14 Unfudged'!$A$2:$A$498, $A246, 'GE16FEB14 Unfudged'!$D$2:$D$498)</f>
        <v>104</v>
      </c>
      <c r="F246" s="104">
        <v>10056</v>
      </c>
      <c r="G246" s="105">
        <v>3981</v>
      </c>
      <c r="H246" s="106">
        <v>6075</v>
      </c>
      <c r="I246" s="107">
        <v>44096</v>
      </c>
      <c r="J246" s="105">
        <v>17455</v>
      </c>
      <c r="K246" s="106">
        <v>26641</v>
      </c>
      <c r="L246" s="107">
        <v>112447</v>
      </c>
      <c r="M246" s="105">
        <v>49351</v>
      </c>
      <c r="N246" s="106">
        <v>63096</v>
      </c>
      <c r="O246" s="107">
        <f t="shared" si="12"/>
        <v>166599</v>
      </c>
      <c r="P246" s="105">
        <f t="shared" si="12"/>
        <v>70787</v>
      </c>
      <c r="Q246" s="106">
        <f t="shared" si="12"/>
        <v>95812</v>
      </c>
      <c r="R246" s="105">
        <f t="shared" si="13"/>
        <v>1601.9134615384614</v>
      </c>
      <c r="S246" s="105">
        <f t="shared" si="13"/>
        <v>680.64423076923072</v>
      </c>
      <c r="T246" s="108">
        <f t="shared" si="13"/>
        <v>921.26923076923072</v>
      </c>
    </row>
    <row r="247" spans="1:20" s="85" customFormat="1" ht="12.75" x14ac:dyDescent="0.2">
      <c r="A247" s="109">
        <v>803</v>
      </c>
      <c r="B247" s="110">
        <v>1</v>
      </c>
      <c r="C247" s="103" t="s">
        <v>365</v>
      </c>
      <c r="D247" s="103">
        <v>6</v>
      </c>
      <c r="E247" s="104">
        <f>+SUMIF('GE16FEB14 Unfudged'!$A$2:$A$498, $A247, 'GE16FEB14 Unfudged'!$D$2:$D$498)</f>
        <v>366</v>
      </c>
      <c r="F247" s="104">
        <v>33402</v>
      </c>
      <c r="G247" s="105">
        <v>16693</v>
      </c>
      <c r="H247" s="106">
        <v>16709</v>
      </c>
      <c r="I247" s="107">
        <v>155057</v>
      </c>
      <c r="J247" s="105">
        <v>77493</v>
      </c>
      <c r="K247" s="106">
        <v>77564</v>
      </c>
      <c r="L247" s="107">
        <v>427719</v>
      </c>
      <c r="M247" s="105">
        <v>247496</v>
      </c>
      <c r="N247" s="106">
        <v>180223</v>
      </c>
      <c r="O247" s="107">
        <f t="shared" si="12"/>
        <v>616178</v>
      </c>
      <c r="P247" s="105">
        <f t="shared" si="12"/>
        <v>341682</v>
      </c>
      <c r="Q247" s="106">
        <f t="shared" si="12"/>
        <v>274496</v>
      </c>
      <c r="R247" s="105">
        <f t="shared" si="13"/>
        <v>1683.5464480874316</v>
      </c>
      <c r="S247" s="105">
        <f t="shared" si="13"/>
        <v>933.55737704918033</v>
      </c>
      <c r="T247" s="108">
        <f t="shared" si="13"/>
        <v>749.98907103825138</v>
      </c>
    </row>
    <row r="248" spans="1:20" s="85" customFormat="1" ht="12.75" x14ac:dyDescent="0.2">
      <c r="A248" s="109">
        <v>811</v>
      </c>
      <c r="B248" s="110">
        <v>1</v>
      </c>
      <c r="C248" s="103" t="s">
        <v>366</v>
      </c>
      <c r="D248" s="103">
        <v>6</v>
      </c>
      <c r="E248" s="104">
        <f>+SUMIF('GE16FEB14 Unfudged'!$A$2:$A$498, $A248, 'GE16FEB14 Unfudged'!$D$2:$D$498)</f>
        <v>629</v>
      </c>
      <c r="F248" s="104">
        <v>74853</v>
      </c>
      <c r="G248" s="105">
        <v>74853</v>
      </c>
      <c r="H248" s="106">
        <v>0</v>
      </c>
      <c r="I248" s="107">
        <v>266781</v>
      </c>
      <c r="J248" s="105">
        <v>266781</v>
      </c>
      <c r="K248" s="106">
        <v>0</v>
      </c>
      <c r="L248" s="107">
        <v>448852</v>
      </c>
      <c r="M248" s="105">
        <v>396454</v>
      </c>
      <c r="N248" s="106">
        <v>52398</v>
      </c>
      <c r="O248" s="107">
        <f t="shared" si="12"/>
        <v>790486</v>
      </c>
      <c r="P248" s="105">
        <f t="shared" si="12"/>
        <v>738088</v>
      </c>
      <c r="Q248" s="106">
        <f t="shared" si="12"/>
        <v>52398</v>
      </c>
      <c r="R248" s="105">
        <f t="shared" si="13"/>
        <v>1256.7344992050873</v>
      </c>
      <c r="S248" s="105">
        <f t="shared" si="13"/>
        <v>1173.4308426073133</v>
      </c>
      <c r="T248" s="108">
        <f t="shared" si="13"/>
        <v>83.30365659777425</v>
      </c>
    </row>
    <row r="249" spans="1:20" s="85" customFormat="1" ht="12.75" x14ac:dyDescent="0.2">
      <c r="A249" s="109">
        <v>813</v>
      </c>
      <c r="B249" s="110">
        <v>1</v>
      </c>
      <c r="C249" s="103" t="s">
        <v>367</v>
      </c>
      <c r="D249" s="103">
        <v>5</v>
      </c>
      <c r="E249" s="104">
        <f>+SUMIF('GE16FEB14 Unfudged'!$A$2:$A$498, $A249, 'GE16FEB14 Unfudged'!$D$2:$D$498)</f>
        <v>1314</v>
      </c>
      <c r="F249" s="104">
        <v>168325</v>
      </c>
      <c r="G249" s="105">
        <v>168325</v>
      </c>
      <c r="H249" s="106">
        <v>0</v>
      </c>
      <c r="I249" s="107">
        <v>557263</v>
      </c>
      <c r="J249" s="105">
        <v>557263</v>
      </c>
      <c r="K249" s="106">
        <v>0</v>
      </c>
      <c r="L249" s="107">
        <v>739964</v>
      </c>
      <c r="M249" s="105">
        <v>584571</v>
      </c>
      <c r="N249" s="106">
        <v>155393</v>
      </c>
      <c r="O249" s="107">
        <f t="shared" si="12"/>
        <v>1465552</v>
      </c>
      <c r="P249" s="105">
        <f t="shared" si="12"/>
        <v>1310159</v>
      </c>
      <c r="Q249" s="106">
        <f t="shared" si="12"/>
        <v>155393</v>
      </c>
      <c r="R249" s="105">
        <f t="shared" si="13"/>
        <v>1115.3363774733639</v>
      </c>
      <c r="S249" s="105">
        <f t="shared" si="13"/>
        <v>997.07686453576866</v>
      </c>
      <c r="T249" s="108">
        <f t="shared" si="13"/>
        <v>118.25951293759513</v>
      </c>
    </row>
    <row r="250" spans="1:20" s="85" customFormat="1" ht="12.75" x14ac:dyDescent="0.2">
      <c r="A250" s="109">
        <v>815</v>
      </c>
      <c r="B250" s="110">
        <v>1</v>
      </c>
      <c r="C250" s="103" t="s">
        <v>368</v>
      </c>
      <c r="D250" s="103">
        <v>6</v>
      </c>
      <c r="E250" s="104">
        <f>+SUMIF('GE16FEB14 Unfudged'!$A$2:$A$498, $A250, 'GE16FEB14 Unfudged'!$D$2:$D$498)</f>
        <v>0</v>
      </c>
      <c r="F250" s="104">
        <v>2195</v>
      </c>
      <c r="G250" s="105">
        <v>2195</v>
      </c>
      <c r="H250" s="106">
        <v>0</v>
      </c>
      <c r="I250" s="107">
        <v>0</v>
      </c>
      <c r="J250" s="105">
        <v>0</v>
      </c>
      <c r="K250" s="106">
        <v>0</v>
      </c>
      <c r="L250" s="107">
        <v>0</v>
      </c>
      <c r="M250" s="105">
        <v>0</v>
      </c>
      <c r="N250" s="106">
        <v>0</v>
      </c>
      <c r="O250" s="107">
        <f t="shared" si="12"/>
        <v>2195</v>
      </c>
      <c r="P250" s="105">
        <f t="shared" si="12"/>
        <v>2195</v>
      </c>
      <c r="Q250" s="106">
        <f t="shared" si="12"/>
        <v>0</v>
      </c>
      <c r="R250" s="105">
        <f t="shared" si="13"/>
        <v>0</v>
      </c>
      <c r="S250" s="105">
        <f t="shared" si="13"/>
        <v>0</v>
      </c>
      <c r="T250" s="108">
        <f t="shared" si="13"/>
        <v>0</v>
      </c>
    </row>
    <row r="251" spans="1:20" s="85" customFormat="1" ht="12.75" x14ac:dyDescent="0.2">
      <c r="A251" s="109">
        <v>818</v>
      </c>
      <c r="B251" s="110">
        <v>1</v>
      </c>
      <c r="C251" s="103" t="s">
        <v>369</v>
      </c>
      <c r="D251" s="103">
        <v>6</v>
      </c>
      <c r="E251" s="104">
        <f>+SUMIF('GE16FEB14 Unfudged'!$A$2:$A$498, $A251, 'GE16FEB14 Unfudged'!$D$2:$D$498)</f>
        <v>526</v>
      </c>
      <c r="F251" s="104">
        <v>75773</v>
      </c>
      <c r="G251" s="105">
        <v>37784</v>
      </c>
      <c r="H251" s="106">
        <v>37989</v>
      </c>
      <c r="I251" s="107">
        <v>223109</v>
      </c>
      <c r="J251" s="105">
        <v>111253</v>
      </c>
      <c r="K251" s="106">
        <v>111856</v>
      </c>
      <c r="L251" s="107">
        <v>157860</v>
      </c>
      <c r="M251" s="105">
        <v>45620</v>
      </c>
      <c r="N251" s="106">
        <v>112240</v>
      </c>
      <c r="O251" s="107">
        <f t="shared" si="12"/>
        <v>456742</v>
      </c>
      <c r="P251" s="105">
        <f t="shared" si="12"/>
        <v>194657</v>
      </c>
      <c r="Q251" s="106">
        <f t="shared" si="12"/>
        <v>262085</v>
      </c>
      <c r="R251" s="105">
        <f t="shared" si="13"/>
        <v>868.33079847908743</v>
      </c>
      <c r="S251" s="105">
        <f t="shared" si="13"/>
        <v>370.07034220532319</v>
      </c>
      <c r="T251" s="108">
        <f t="shared" si="13"/>
        <v>498.26045627376425</v>
      </c>
    </row>
    <row r="252" spans="1:20" s="85" customFormat="1" ht="12.75" x14ac:dyDescent="0.2">
      <c r="A252" s="109">
        <v>820</v>
      </c>
      <c r="B252" s="110">
        <v>1</v>
      </c>
      <c r="C252" s="103" t="s">
        <v>370</v>
      </c>
      <c r="D252" s="103">
        <v>6</v>
      </c>
      <c r="E252" s="104">
        <f>+SUMIF('GE16FEB14 Unfudged'!$A$2:$A$498, $A252, 'GE16FEB14 Unfudged'!$D$2:$D$498)</f>
        <v>501</v>
      </c>
      <c r="F252" s="104">
        <v>67260</v>
      </c>
      <c r="G252" s="105">
        <v>29650</v>
      </c>
      <c r="H252" s="106">
        <v>37610</v>
      </c>
      <c r="I252" s="107">
        <v>212339</v>
      </c>
      <c r="J252" s="105">
        <v>93605</v>
      </c>
      <c r="K252" s="106">
        <v>118734</v>
      </c>
      <c r="L252" s="107">
        <v>230403</v>
      </c>
      <c r="M252" s="105">
        <v>73721</v>
      </c>
      <c r="N252" s="106">
        <v>156682</v>
      </c>
      <c r="O252" s="107">
        <f t="shared" si="12"/>
        <v>510002</v>
      </c>
      <c r="P252" s="105">
        <f t="shared" si="12"/>
        <v>196976</v>
      </c>
      <c r="Q252" s="106">
        <f t="shared" si="12"/>
        <v>313026</v>
      </c>
      <c r="R252" s="105">
        <f t="shared" si="13"/>
        <v>1017.9680638722555</v>
      </c>
      <c r="S252" s="105">
        <f t="shared" si="13"/>
        <v>393.16566866267465</v>
      </c>
      <c r="T252" s="108">
        <f t="shared" si="13"/>
        <v>624.80239520958082</v>
      </c>
    </row>
    <row r="253" spans="1:20" s="85" customFormat="1" ht="12.75" x14ac:dyDescent="0.2">
      <c r="A253" s="109">
        <v>821</v>
      </c>
      <c r="B253" s="110">
        <v>1</v>
      </c>
      <c r="C253" s="103" t="s">
        <v>371</v>
      </c>
      <c r="D253" s="103">
        <v>6</v>
      </c>
      <c r="E253" s="104">
        <f>+SUMIF('GE16FEB14 Unfudged'!$A$2:$A$498, $A253, 'GE16FEB14 Unfudged'!$D$2:$D$498)</f>
        <v>1075</v>
      </c>
      <c r="F253" s="104">
        <v>154736</v>
      </c>
      <c r="G253" s="105">
        <v>53141</v>
      </c>
      <c r="H253" s="106">
        <v>101595</v>
      </c>
      <c r="I253" s="107">
        <v>455609</v>
      </c>
      <c r="J253" s="105">
        <v>156469</v>
      </c>
      <c r="K253" s="106">
        <v>299140</v>
      </c>
      <c r="L253" s="107">
        <v>322365</v>
      </c>
      <c r="M253" s="105">
        <v>64161</v>
      </c>
      <c r="N253" s="106">
        <v>258204</v>
      </c>
      <c r="O253" s="107">
        <f t="shared" si="12"/>
        <v>932710</v>
      </c>
      <c r="P253" s="105">
        <f t="shared" si="12"/>
        <v>273771</v>
      </c>
      <c r="Q253" s="106">
        <f t="shared" si="12"/>
        <v>658939</v>
      </c>
      <c r="R253" s="105">
        <f t="shared" si="13"/>
        <v>867.63720930232557</v>
      </c>
      <c r="S253" s="105">
        <f t="shared" si="13"/>
        <v>254.67069767441859</v>
      </c>
      <c r="T253" s="108">
        <f t="shared" si="13"/>
        <v>612.96651162790693</v>
      </c>
    </row>
    <row r="254" spans="1:20" s="85" customFormat="1" ht="12.75" x14ac:dyDescent="0.2">
      <c r="A254" s="109">
        <v>829</v>
      </c>
      <c r="B254" s="110">
        <v>1</v>
      </c>
      <c r="C254" s="103" t="s">
        <v>372</v>
      </c>
      <c r="D254" s="103">
        <v>5</v>
      </c>
      <c r="E254" s="104">
        <f>+SUMIF('GE16FEB14 Unfudged'!$A$2:$A$498, $A254, 'GE16FEB14 Unfudged'!$D$2:$D$498)</f>
        <v>2007</v>
      </c>
      <c r="F254" s="104">
        <v>286023</v>
      </c>
      <c r="G254" s="105">
        <v>187978</v>
      </c>
      <c r="H254" s="106">
        <v>98045</v>
      </c>
      <c r="I254" s="107">
        <v>850798</v>
      </c>
      <c r="J254" s="105">
        <v>559154</v>
      </c>
      <c r="K254" s="106">
        <v>291644</v>
      </c>
      <c r="L254" s="107">
        <v>650319</v>
      </c>
      <c r="M254" s="105">
        <v>261054</v>
      </c>
      <c r="N254" s="106">
        <v>389265</v>
      </c>
      <c r="O254" s="107">
        <f t="shared" si="12"/>
        <v>1787140</v>
      </c>
      <c r="P254" s="105">
        <f t="shared" si="12"/>
        <v>1008186</v>
      </c>
      <c r="Q254" s="106">
        <f t="shared" si="12"/>
        <v>778954</v>
      </c>
      <c r="R254" s="105">
        <f t="shared" si="13"/>
        <v>890.45341305430986</v>
      </c>
      <c r="S254" s="105">
        <f t="shared" si="13"/>
        <v>502.33482810164423</v>
      </c>
      <c r="T254" s="108">
        <f t="shared" si="13"/>
        <v>388.11858495266569</v>
      </c>
    </row>
    <row r="255" spans="1:20" s="85" customFormat="1" ht="12.75" x14ac:dyDescent="0.2">
      <c r="A255" s="109">
        <v>831</v>
      </c>
      <c r="B255" s="110">
        <v>1</v>
      </c>
      <c r="C255" s="103" t="s">
        <v>373</v>
      </c>
      <c r="D255" s="103">
        <v>3</v>
      </c>
      <c r="E255" s="104">
        <f>+SUMIF('GE16FEB14 Unfudged'!$A$2:$A$498, $A255, 'GE16FEB14 Unfudged'!$D$2:$D$498)</f>
        <v>7091</v>
      </c>
      <c r="F255" s="104">
        <v>1117174</v>
      </c>
      <c r="G255" s="105">
        <v>1117174</v>
      </c>
      <c r="H255" s="106">
        <v>0</v>
      </c>
      <c r="I255" s="107">
        <v>3006372</v>
      </c>
      <c r="J255" s="105">
        <v>3006372</v>
      </c>
      <c r="K255" s="106">
        <v>0</v>
      </c>
      <c r="L255" s="107">
        <v>3045370</v>
      </c>
      <c r="M255" s="105">
        <v>2166247</v>
      </c>
      <c r="N255" s="106">
        <v>879123</v>
      </c>
      <c r="O255" s="107">
        <f t="shared" si="12"/>
        <v>7168916</v>
      </c>
      <c r="P255" s="105">
        <f t="shared" si="12"/>
        <v>6289793</v>
      </c>
      <c r="Q255" s="106">
        <f t="shared" si="12"/>
        <v>879123</v>
      </c>
      <c r="R255" s="105">
        <f t="shared" si="13"/>
        <v>1010.9880129741927</v>
      </c>
      <c r="S255" s="105">
        <f t="shared" si="13"/>
        <v>887.01071781131009</v>
      </c>
      <c r="T255" s="108">
        <f t="shared" si="13"/>
        <v>123.97729516288253</v>
      </c>
    </row>
    <row r="256" spans="1:20" s="85" customFormat="1" ht="12.75" x14ac:dyDescent="0.2">
      <c r="A256" s="109">
        <v>832</v>
      </c>
      <c r="B256" s="110">
        <v>1</v>
      </c>
      <c r="C256" s="103" t="s">
        <v>374</v>
      </c>
      <c r="D256" s="103">
        <v>3</v>
      </c>
      <c r="E256" s="104">
        <f>+SUMIF('GE16FEB14 Unfudged'!$A$2:$A$498, $A256, 'GE16FEB14 Unfudged'!$D$2:$D$498)</f>
        <v>3616</v>
      </c>
      <c r="F256" s="104">
        <v>563776</v>
      </c>
      <c r="G256" s="105">
        <v>563776</v>
      </c>
      <c r="H256" s="106">
        <v>0</v>
      </c>
      <c r="I256" s="107">
        <v>1533014</v>
      </c>
      <c r="J256" s="105">
        <v>1533014</v>
      </c>
      <c r="K256" s="106">
        <v>0</v>
      </c>
      <c r="L256" s="107">
        <v>1629696</v>
      </c>
      <c r="M256" s="105">
        <v>1450102</v>
      </c>
      <c r="N256" s="106">
        <v>179594</v>
      </c>
      <c r="O256" s="107">
        <f t="shared" si="12"/>
        <v>3726486</v>
      </c>
      <c r="P256" s="105">
        <f t="shared" si="12"/>
        <v>3546892</v>
      </c>
      <c r="Q256" s="106">
        <f t="shared" si="12"/>
        <v>179594</v>
      </c>
      <c r="R256" s="105">
        <f t="shared" si="13"/>
        <v>1030.5547566371681</v>
      </c>
      <c r="S256" s="105">
        <f t="shared" si="13"/>
        <v>980.88827433628319</v>
      </c>
      <c r="T256" s="108">
        <f t="shared" si="13"/>
        <v>49.666482300884958</v>
      </c>
    </row>
    <row r="257" spans="1:20" s="85" customFormat="1" ht="12.75" x14ac:dyDescent="0.2">
      <c r="A257" s="109">
        <v>833</v>
      </c>
      <c r="B257" s="110">
        <v>1</v>
      </c>
      <c r="C257" s="103" t="s">
        <v>375</v>
      </c>
      <c r="D257" s="103">
        <v>2</v>
      </c>
      <c r="E257" s="104">
        <f>+SUMIF('GE16FEB14 Unfudged'!$A$2:$A$498, $A257, 'GE16FEB14 Unfudged'!$D$2:$D$498)</f>
        <v>19571</v>
      </c>
      <c r="F257" s="104">
        <v>2335980</v>
      </c>
      <c r="G257" s="105">
        <v>1813945</v>
      </c>
      <c r="H257" s="106">
        <v>522035</v>
      </c>
      <c r="I257" s="107">
        <v>8298189</v>
      </c>
      <c r="J257" s="105">
        <v>6443744</v>
      </c>
      <c r="K257" s="106">
        <v>1854445</v>
      </c>
      <c r="L257" s="107">
        <v>18145438</v>
      </c>
      <c r="M257" s="105">
        <v>12904474</v>
      </c>
      <c r="N257" s="106">
        <v>5240964</v>
      </c>
      <c r="O257" s="107">
        <f t="shared" si="12"/>
        <v>28779607</v>
      </c>
      <c r="P257" s="105">
        <f t="shared" si="12"/>
        <v>21162163</v>
      </c>
      <c r="Q257" s="106">
        <f t="shared" si="12"/>
        <v>7617444</v>
      </c>
      <c r="R257" s="105">
        <f t="shared" si="13"/>
        <v>1470.5230698482449</v>
      </c>
      <c r="S257" s="105">
        <f t="shared" si="13"/>
        <v>1081.3020796075828</v>
      </c>
      <c r="T257" s="108">
        <f t="shared" si="13"/>
        <v>389.22099024066222</v>
      </c>
    </row>
    <row r="258" spans="1:20" s="85" customFormat="1" ht="12.75" x14ac:dyDescent="0.2">
      <c r="A258" s="109">
        <v>834</v>
      </c>
      <c r="B258" s="110">
        <v>1</v>
      </c>
      <c r="C258" s="103" t="s">
        <v>376</v>
      </c>
      <c r="D258" s="103">
        <v>3</v>
      </c>
      <c r="E258" s="104">
        <f>+SUMIF('GE16FEB14 Unfudged'!$A$2:$A$498, $A258, 'GE16FEB14 Unfudged'!$D$2:$D$498)</f>
        <v>8927</v>
      </c>
      <c r="F258" s="104">
        <v>714175</v>
      </c>
      <c r="G258" s="105">
        <v>714175</v>
      </c>
      <c r="H258" s="106">
        <v>0</v>
      </c>
      <c r="I258" s="107">
        <v>3785048</v>
      </c>
      <c r="J258" s="105">
        <v>3785048</v>
      </c>
      <c r="K258" s="106">
        <v>0</v>
      </c>
      <c r="L258" s="107">
        <v>12853541</v>
      </c>
      <c r="M258" s="105">
        <v>12282465</v>
      </c>
      <c r="N258" s="106">
        <v>571076</v>
      </c>
      <c r="O258" s="107">
        <f t="shared" si="12"/>
        <v>17352764</v>
      </c>
      <c r="P258" s="105">
        <f t="shared" si="12"/>
        <v>16781688</v>
      </c>
      <c r="Q258" s="106">
        <f t="shared" si="12"/>
        <v>571076</v>
      </c>
      <c r="R258" s="105">
        <f t="shared" si="13"/>
        <v>1943.8516858967178</v>
      </c>
      <c r="S258" s="105">
        <f t="shared" si="13"/>
        <v>1879.8799148650162</v>
      </c>
      <c r="T258" s="108">
        <f t="shared" si="13"/>
        <v>63.971771031701579</v>
      </c>
    </row>
    <row r="259" spans="1:20" s="85" customFormat="1" ht="12.75" x14ac:dyDescent="0.2">
      <c r="A259" s="109">
        <v>836</v>
      </c>
      <c r="B259" s="110">
        <v>1</v>
      </c>
      <c r="C259" s="103" t="s">
        <v>377</v>
      </c>
      <c r="D259" s="103">
        <v>6</v>
      </c>
      <c r="E259" s="104">
        <f>+SUMIF('GE16FEB14 Unfudged'!$A$2:$A$498, $A259, 'GE16FEB14 Unfudged'!$D$2:$D$498)</f>
        <v>207</v>
      </c>
      <c r="F259" s="104">
        <v>14772</v>
      </c>
      <c r="G259" s="105">
        <v>5489</v>
      </c>
      <c r="H259" s="106">
        <v>9283</v>
      </c>
      <c r="I259" s="107">
        <v>87726</v>
      </c>
      <c r="J259" s="105">
        <v>32598</v>
      </c>
      <c r="K259" s="106">
        <v>55128</v>
      </c>
      <c r="L259" s="107">
        <v>310110</v>
      </c>
      <c r="M259" s="105">
        <v>152020</v>
      </c>
      <c r="N259" s="106">
        <v>158090</v>
      </c>
      <c r="O259" s="107">
        <f t="shared" si="12"/>
        <v>412608</v>
      </c>
      <c r="P259" s="105">
        <f t="shared" si="12"/>
        <v>190107</v>
      </c>
      <c r="Q259" s="106">
        <f t="shared" si="12"/>
        <v>222501</v>
      </c>
      <c r="R259" s="105">
        <f t="shared" si="13"/>
        <v>1993.2753623188405</v>
      </c>
      <c r="S259" s="105">
        <f t="shared" si="13"/>
        <v>918.39130434782612</v>
      </c>
      <c r="T259" s="108">
        <f t="shared" si="13"/>
        <v>1074.8840579710145</v>
      </c>
    </row>
    <row r="260" spans="1:20" s="85" customFormat="1" ht="12.75" x14ac:dyDescent="0.2">
      <c r="A260" s="109">
        <v>837</v>
      </c>
      <c r="B260" s="110">
        <v>2</v>
      </c>
      <c r="C260" s="103" t="s">
        <v>378</v>
      </c>
      <c r="D260" s="103">
        <v>6</v>
      </c>
      <c r="E260" s="104">
        <f>+SUMIF('GE16FEB14 Unfudged'!$A$2:$A$498, $A260, 'GE16FEB14 Unfudged'!$D$2:$D$498)</f>
        <v>510</v>
      </c>
      <c r="F260" s="104">
        <v>54478</v>
      </c>
      <c r="G260" s="105">
        <v>30106</v>
      </c>
      <c r="H260" s="106">
        <v>24372</v>
      </c>
      <c r="I260" s="107">
        <v>216282</v>
      </c>
      <c r="J260" s="105">
        <v>119525</v>
      </c>
      <c r="K260" s="106">
        <v>96757</v>
      </c>
      <c r="L260" s="107">
        <v>466364</v>
      </c>
      <c r="M260" s="105">
        <v>255160</v>
      </c>
      <c r="N260" s="106">
        <v>211204</v>
      </c>
      <c r="O260" s="107">
        <f t="shared" si="12"/>
        <v>737124</v>
      </c>
      <c r="P260" s="105">
        <f t="shared" si="12"/>
        <v>404791</v>
      </c>
      <c r="Q260" s="106">
        <f t="shared" si="12"/>
        <v>332333</v>
      </c>
      <c r="R260" s="105">
        <f t="shared" si="13"/>
        <v>1445.3411764705882</v>
      </c>
      <c r="S260" s="105">
        <f t="shared" si="13"/>
        <v>793.70784313725494</v>
      </c>
      <c r="T260" s="108">
        <f t="shared" si="13"/>
        <v>651.63333333333333</v>
      </c>
    </row>
    <row r="261" spans="1:20" s="85" customFormat="1" ht="12.75" x14ac:dyDescent="0.2">
      <c r="A261" s="109">
        <v>840</v>
      </c>
      <c r="B261" s="110">
        <v>1</v>
      </c>
      <c r="C261" s="103" t="s">
        <v>379</v>
      </c>
      <c r="D261" s="103">
        <v>5</v>
      </c>
      <c r="E261" s="104">
        <f>+SUMIF('GE16FEB14 Unfudged'!$A$2:$A$498, $A261, 'GE16FEB14 Unfudged'!$D$2:$D$498)</f>
        <v>1043</v>
      </c>
      <c r="F261" s="104">
        <v>136242</v>
      </c>
      <c r="G261" s="105">
        <v>62284</v>
      </c>
      <c r="H261" s="106">
        <v>73958</v>
      </c>
      <c r="I261" s="107">
        <v>442232</v>
      </c>
      <c r="J261" s="105">
        <v>202170</v>
      </c>
      <c r="K261" s="106">
        <v>240062</v>
      </c>
      <c r="L261" s="107">
        <v>543236</v>
      </c>
      <c r="M261" s="105">
        <v>188201</v>
      </c>
      <c r="N261" s="106">
        <v>355035</v>
      </c>
      <c r="O261" s="107">
        <f t="shared" si="12"/>
        <v>1121710</v>
      </c>
      <c r="P261" s="105">
        <f t="shared" si="12"/>
        <v>452655</v>
      </c>
      <c r="Q261" s="106">
        <f t="shared" si="12"/>
        <v>669055</v>
      </c>
      <c r="R261" s="105">
        <f t="shared" si="13"/>
        <v>1075.465004793864</v>
      </c>
      <c r="S261" s="105">
        <f t="shared" si="13"/>
        <v>433.99328859060404</v>
      </c>
      <c r="T261" s="108">
        <f t="shared" si="13"/>
        <v>641.4717162032598</v>
      </c>
    </row>
    <row r="262" spans="1:20" s="85" customFormat="1" ht="12.75" x14ac:dyDescent="0.2">
      <c r="A262" s="109">
        <v>846</v>
      </c>
      <c r="B262" s="110">
        <v>1</v>
      </c>
      <c r="C262" s="103" t="s">
        <v>380</v>
      </c>
      <c r="D262" s="103">
        <v>6</v>
      </c>
      <c r="E262" s="104">
        <f>+SUMIF('GE16FEB14 Unfudged'!$A$2:$A$498, $A262, 'GE16FEB14 Unfudged'!$D$2:$D$498)</f>
        <v>748</v>
      </c>
      <c r="F262" s="104">
        <v>84199</v>
      </c>
      <c r="G262" s="105">
        <v>46674</v>
      </c>
      <c r="H262" s="106">
        <v>37525</v>
      </c>
      <c r="I262" s="107">
        <v>317152</v>
      </c>
      <c r="J262" s="105">
        <v>175808</v>
      </c>
      <c r="K262" s="106">
        <v>141344</v>
      </c>
      <c r="L262" s="107">
        <v>612649</v>
      </c>
      <c r="M262" s="105">
        <v>305885</v>
      </c>
      <c r="N262" s="106">
        <v>306764</v>
      </c>
      <c r="O262" s="107">
        <f t="shared" si="12"/>
        <v>1014000</v>
      </c>
      <c r="P262" s="105">
        <f t="shared" si="12"/>
        <v>528367</v>
      </c>
      <c r="Q262" s="106">
        <f t="shared" si="12"/>
        <v>485633</v>
      </c>
      <c r="R262" s="105">
        <f t="shared" si="13"/>
        <v>1355.614973262032</v>
      </c>
      <c r="S262" s="105">
        <f t="shared" si="13"/>
        <v>706.37299465240642</v>
      </c>
      <c r="T262" s="108">
        <f t="shared" si="13"/>
        <v>649.24197860962568</v>
      </c>
    </row>
    <row r="263" spans="1:20" s="85" customFormat="1" ht="12.75" x14ac:dyDescent="0.2">
      <c r="A263" s="109">
        <v>850</v>
      </c>
      <c r="B263" s="110">
        <v>1</v>
      </c>
      <c r="C263" s="103" t="s">
        <v>381</v>
      </c>
      <c r="D263" s="103">
        <v>6</v>
      </c>
      <c r="E263" s="104">
        <f>+SUMIF('GE16FEB14 Unfudged'!$A$2:$A$498, $A263, 'GE16FEB14 Unfudged'!$D$2:$D$498)</f>
        <v>291</v>
      </c>
      <c r="F263" s="104">
        <v>22899</v>
      </c>
      <c r="G263" s="105">
        <v>10006</v>
      </c>
      <c r="H263" s="106">
        <v>12893</v>
      </c>
      <c r="I263" s="107">
        <v>123384</v>
      </c>
      <c r="J263" s="105">
        <v>53914</v>
      </c>
      <c r="K263" s="106">
        <v>69470</v>
      </c>
      <c r="L263" s="107">
        <v>401120</v>
      </c>
      <c r="M263" s="105">
        <v>218888</v>
      </c>
      <c r="N263" s="106">
        <v>182232</v>
      </c>
      <c r="O263" s="107">
        <f t="shared" si="12"/>
        <v>547403</v>
      </c>
      <c r="P263" s="105">
        <f t="shared" si="12"/>
        <v>282808</v>
      </c>
      <c r="Q263" s="106">
        <f t="shared" si="12"/>
        <v>264595</v>
      </c>
      <c r="R263" s="105">
        <f t="shared" si="13"/>
        <v>1881.1099656357389</v>
      </c>
      <c r="S263" s="105">
        <f t="shared" si="13"/>
        <v>971.84879725085909</v>
      </c>
      <c r="T263" s="108">
        <f t="shared" si="13"/>
        <v>909.26116838487974</v>
      </c>
    </row>
    <row r="264" spans="1:20" s="85" customFormat="1" ht="12.75" x14ac:dyDescent="0.2">
      <c r="A264" s="109">
        <v>852</v>
      </c>
      <c r="B264" s="110">
        <v>1</v>
      </c>
      <c r="C264" s="103" t="s">
        <v>382</v>
      </c>
      <c r="D264" s="103">
        <v>6</v>
      </c>
      <c r="E264" s="104">
        <f>+SUMIF('GE16FEB14 Unfudged'!$A$2:$A$498, $A264, 'GE16FEB14 Unfudged'!$D$2:$D$498)</f>
        <v>125</v>
      </c>
      <c r="F264" s="104">
        <v>6250</v>
      </c>
      <c r="G264" s="105">
        <v>4039</v>
      </c>
      <c r="H264" s="106">
        <v>2211</v>
      </c>
      <c r="I264" s="107">
        <v>53000</v>
      </c>
      <c r="J264" s="105">
        <v>34248</v>
      </c>
      <c r="K264" s="106">
        <v>18752</v>
      </c>
      <c r="L264" s="107">
        <v>383151</v>
      </c>
      <c r="M264" s="105">
        <v>185468</v>
      </c>
      <c r="N264" s="106">
        <v>197683</v>
      </c>
      <c r="O264" s="107">
        <f t="shared" si="12"/>
        <v>442401</v>
      </c>
      <c r="P264" s="105">
        <f t="shared" si="12"/>
        <v>223755</v>
      </c>
      <c r="Q264" s="106">
        <f t="shared" si="12"/>
        <v>218646</v>
      </c>
      <c r="R264" s="105">
        <f t="shared" si="13"/>
        <v>3539.2080000000001</v>
      </c>
      <c r="S264" s="105">
        <f t="shared" si="13"/>
        <v>1790.04</v>
      </c>
      <c r="T264" s="108">
        <f t="shared" si="13"/>
        <v>1749.1679999999999</v>
      </c>
    </row>
    <row r="265" spans="1:20" s="85" customFormat="1" ht="12.75" x14ac:dyDescent="0.2">
      <c r="A265" s="109">
        <v>857</v>
      </c>
      <c r="B265" s="110">
        <v>1</v>
      </c>
      <c r="C265" s="103" t="s">
        <v>383</v>
      </c>
      <c r="D265" s="103">
        <v>6</v>
      </c>
      <c r="E265" s="104">
        <f>+SUMIF('GE16FEB14 Unfudged'!$A$2:$A$498, $A265, 'GE16FEB14 Unfudged'!$D$2:$D$498)</f>
        <v>833</v>
      </c>
      <c r="F265" s="104">
        <v>116567</v>
      </c>
      <c r="G265" s="105">
        <v>72869</v>
      </c>
      <c r="H265" s="106">
        <v>43698</v>
      </c>
      <c r="I265" s="107">
        <v>353022</v>
      </c>
      <c r="J265" s="105">
        <v>220682</v>
      </c>
      <c r="K265" s="106">
        <v>132340</v>
      </c>
      <c r="L265" s="107">
        <v>304715</v>
      </c>
      <c r="M265" s="105">
        <v>124833</v>
      </c>
      <c r="N265" s="106">
        <v>179882</v>
      </c>
      <c r="O265" s="107">
        <f t="shared" si="12"/>
        <v>774304</v>
      </c>
      <c r="P265" s="105">
        <f t="shared" si="12"/>
        <v>418384</v>
      </c>
      <c r="Q265" s="106">
        <f t="shared" si="12"/>
        <v>355920</v>
      </c>
      <c r="R265" s="105">
        <f t="shared" si="13"/>
        <v>929.53661464585832</v>
      </c>
      <c r="S265" s="105">
        <f t="shared" si="13"/>
        <v>502.26170468187274</v>
      </c>
      <c r="T265" s="108">
        <f t="shared" si="13"/>
        <v>427.27490996398558</v>
      </c>
    </row>
    <row r="266" spans="1:20" s="85" customFormat="1" ht="12.75" x14ac:dyDescent="0.2">
      <c r="A266" s="109">
        <v>858</v>
      </c>
      <c r="B266" s="110">
        <v>1</v>
      </c>
      <c r="C266" s="103" t="s">
        <v>384</v>
      </c>
      <c r="D266" s="103">
        <v>6</v>
      </c>
      <c r="E266" s="104">
        <f>+SUMIF('GE16FEB14 Unfudged'!$A$2:$A$498, $A266, 'GE16FEB14 Unfudged'!$D$2:$D$498)</f>
        <v>1073</v>
      </c>
      <c r="F266" s="104">
        <v>154541</v>
      </c>
      <c r="G266" s="105">
        <v>87980</v>
      </c>
      <c r="H266" s="106">
        <v>66561</v>
      </c>
      <c r="I266" s="107">
        <v>455037</v>
      </c>
      <c r="J266" s="105">
        <v>259052</v>
      </c>
      <c r="K266" s="106">
        <v>195985</v>
      </c>
      <c r="L266" s="107">
        <v>321960</v>
      </c>
      <c r="M266" s="105">
        <v>106226</v>
      </c>
      <c r="N266" s="106">
        <v>215734</v>
      </c>
      <c r="O266" s="107">
        <f t="shared" si="12"/>
        <v>931538</v>
      </c>
      <c r="P266" s="105">
        <f t="shared" si="12"/>
        <v>453258</v>
      </c>
      <c r="Q266" s="106">
        <f t="shared" si="12"/>
        <v>478280</v>
      </c>
      <c r="R266" s="105">
        <f t="shared" si="13"/>
        <v>868.16216216216219</v>
      </c>
      <c r="S266" s="105">
        <f t="shared" si="13"/>
        <v>422.42124883504192</v>
      </c>
      <c r="T266" s="108">
        <f t="shared" si="13"/>
        <v>445.74091332712021</v>
      </c>
    </row>
    <row r="267" spans="1:20" s="85" customFormat="1" ht="12.75" x14ac:dyDescent="0.2">
      <c r="A267" s="109">
        <v>861</v>
      </c>
      <c r="B267" s="110">
        <v>1</v>
      </c>
      <c r="C267" s="103" t="s">
        <v>385</v>
      </c>
      <c r="D267" s="103">
        <v>4</v>
      </c>
      <c r="E267" s="104">
        <f>+SUMIF('GE16FEB14 Unfudged'!$A$2:$A$498, $A267, 'GE16FEB14 Unfudged'!$D$2:$D$498)</f>
        <v>3203</v>
      </c>
      <c r="F267" s="104">
        <v>206580</v>
      </c>
      <c r="G267" s="105">
        <v>206580</v>
      </c>
      <c r="H267" s="106">
        <v>0</v>
      </c>
      <c r="I267" s="107">
        <v>1358030</v>
      </c>
      <c r="J267" s="105">
        <v>1358030</v>
      </c>
      <c r="K267" s="106">
        <v>0</v>
      </c>
      <c r="L267" s="107">
        <v>5165477</v>
      </c>
      <c r="M267" s="105">
        <v>4856160</v>
      </c>
      <c r="N267" s="106">
        <v>309317</v>
      </c>
      <c r="O267" s="107">
        <f t="shared" si="12"/>
        <v>6730087</v>
      </c>
      <c r="P267" s="105">
        <f t="shared" si="12"/>
        <v>6420770</v>
      </c>
      <c r="Q267" s="106">
        <f t="shared" si="12"/>
        <v>309317</v>
      </c>
      <c r="R267" s="105">
        <f t="shared" si="13"/>
        <v>2101.1823290665002</v>
      </c>
      <c r="S267" s="105">
        <f t="shared" si="13"/>
        <v>2004.6113019044647</v>
      </c>
      <c r="T267" s="108">
        <f t="shared" si="13"/>
        <v>96.571027162035591</v>
      </c>
    </row>
    <row r="268" spans="1:20" s="85" customFormat="1" ht="12.75" x14ac:dyDescent="0.2">
      <c r="A268" s="109">
        <v>876</v>
      </c>
      <c r="B268" s="110">
        <v>1</v>
      </c>
      <c r="C268" s="103" t="s">
        <v>386</v>
      </c>
      <c r="D268" s="103">
        <v>5</v>
      </c>
      <c r="E268" s="104">
        <f>+SUMIF('GE16FEB14 Unfudged'!$A$2:$A$498, $A268, 'GE16FEB14 Unfudged'!$D$2:$D$498)</f>
        <v>1760</v>
      </c>
      <c r="F268" s="104">
        <v>252138</v>
      </c>
      <c r="G268" s="105">
        <v>252138</v>
      </c>
      <c r="H268" s="106">
        <v>0</v>
      </c>
      <c r="I268" s="107">
        <v>746325</v>
      </c>
      <c r="J268" s="105">
        <v>746325</v>
      </c>
      <c r="K268" s="106">
        <v>0</v>
      </c>
      <c r="L268" s="107">
        <v>550027</v>
      </c>
      <c r="M268" s="105">
        <v>344361</v>
      </c>
      <c r="N268" s="106">
        <v>205666</v>
      </c>
      <c r="O268" s="107">
        <f t="shared" si="12"/>
        <v>1548490</v>
      </c>
      <c r="P268" s="105">
        <f t="shared" si="12"/>
        <v>1342824</v>
      </c>
      <c r="Q268" s="106">
        <f t="shared" si="12"/>
        <v>205666</v>
      </c>
      <c r="R268" s="105">
        <f t="shared" si="13"/>
        <v>879.82386363636363</v>
      </c>
      <c r="S268" s="105">
        <f t="shared" si="13"/>
        <v>762.96818181818185</v>
      </c>
      <c r="T268" s="108">
        <f t="shared" si="13"/>
        <v>116.85568181818182</v>
      </c>
    </row>
    <row r="269" spans="1:20" s="85" customFormat="1" ht="12.75" x14ac:dyDescent="0.2">
      <c r="A269" s="109">
        <v>877</v>
      </c>
      <c r="B269" s="110">
        <v>1</v>
      </c>
      <c r="C269" s="103" t="s">
        <v>387</v>
      </c>
      <c r="D269" s="103">
        <v>4</v>
      </c>
      <c r="E269" s="104">
        <f>+SUMIF('GE16FEB14 Unfudged'!$A$2:$A$498, $A269, 'GE16FEB14 Unfudged'!$D$2:$D$498)</f>
        <v>6265</v>
      </c>
      <c r="F269" s="104">
        <v>902131</v>
      </c>
      <c r="G269" s="105">
        <v>607778</v>
      </c>
      <c r="H269" s="106">
        <v>294353</v>
      </c>
      <c r="I269" s="107">
        <v>2656275</v>
      </c>
      <c r="J269" s="105">
        <v>1789570</v>
      </c>
      <c r="K269" s="106">
        <v>866705</v>
      </c>
      <c r="L269" s="107">
        <v>1879440</v>
      </c>
      <c r="M269" s="105">
        <v>733824</v>
      </c>
      <c r="N269" s="106">
        <v>1145616</v>
      </c>
      <c r="O269" s="107">
        <f t="shared" si="12"/>
        <v>5437846</v>
      </c>
      <c r="P269" s="105">
        <f t="shared" si="12"/>
        <v>3131172</v>
      </c>
      <c r="Q269" s="106">
        <f t="shared" si="12"/>
        <v>2306674</v>
      </c>
      <c r="R269" s="105">
        <f t="shared" si="13"/>
        <v>867.97222665602555</v>
      </c>
      <c r="S269" s="105">
        <f t="shared" si="13"/>
        <v>499.78802873104547</v>
      </c>
      <c r="T269" s="108">
        <f t="shared" si="13"/>
        <v>368.18419792498003</v>
      </c>
    </row>
    <row r="270" spans="1:20" s="85" customFormat="1" ht="12.75" x14ac:dyDescent="0.2">
      <c r="A270" s="109">
        <v>879</v>
      </c>
      <c r="B270" s="110">
        <v>1</v>
      </c>
      <c r="C270" s="103" t="s">
        <v>388</v>
      </c>
      <c r="D270" s="103">
        <v>4</v>
      </c>
      <c r="E270" s="104">
        <f>+SUMIF('GE16FEB14 Unfudged'!$A$2:$A$498, $A270, 'GE16FEB14 Unfudged'!$D$2:$D$498)</f>
        <v>2551</v>
      </c>
      <c r="F270" s="104">
        <v>313007</v>
      </c>
      <c r="G270" s="105">
        <v>275940</v>
      </c>
      <c r="H270" s="106">
        <v>37067</v>
      </c>
      <c r="I270" s="107">
        <v>1081794</v>
      </c>
      <c r="J270" s="105">
        <v>953686</v>
      </c>
      <c r="K270" s="106">
        <v>128108</v>
      </c>
      <c r="L270" s="107">
        <v>1663589</v>
      </c>
      <c r="M270" s="105">
        <v>1182871</v>
      </c>
      <c r="N270" s="106">
        <v>480718</v>
      </c>
      <c r="O270" s="107">
        <f t="shared" si="12"/>
        <v>3058390</v>
      </c>
      <c r="P270" s="105">
        <f t="shared" si="12"/>
        <v>2412497</v>
      </c>
      <c r="Q270" s="106">
        <f t="shared" si="12"/>
        <v>645893</v>
      </c>
      <c r="R270" s="105">
        <f t="shared" si="13"/>
        <v>1198.8984711877695</v>
      </c>
      <c r="S270" s="105">
        <f t="shared" si="13"/>
        <v>945.70638965111721</v>
      </c>
      <c r="T270" s="108">
        <f t="shared" si="13"/>
        <v>253.1920815366523</v>
      </c>
    </row>
    <row r="271" spans="1:20" s="85" customFormat="1" ht="12.75" x14ac:dyDescent="0.2">
      <c r="A271" s="109">
        <v>881</v>
      </c>
      <c r="B271" s="110">
        <v>1</v>
      </c>
      <c r="C271" s="103" t="s">
        <v>389</v>
      </c>
      <c r="D271" s="103">
        <v>5</v>
      </c>
      <c r="E271" s="104">
        <f>+SUMIF('GE16FEB14 Unfudged'!$A$2:$A$498, $A271, 'GE16FEB14 Unfudged'!$D$2:$D$498)</f>
        <v>958</v>
      </c>
      <c r="F271" s="104">
        <v>137894</v>
      </c>
      <c r="G271" s="105">
        <v>110462</v>
      </c>
      <c r="H271" s="106">
        <v>27432</v>
      </c>
      <c r="I271" s="107">
        <v>406022</v>
      </c>
      <c r="J271" s="105">
        <v>325249</v>
      </c>
      <c r="K271" s="106">
        <v>80773</v>
      </c>
      <c r="L271" s="107">
        <v>287280</v>
      </c>
      <c r="M271" s="105">
        <v>133371</v>
      </c>
      <c r="N271" s="106">
        <v>153909</v>
      </c>
      <c r="O271" s="107">
        <f t="shared" si="12"/>
        <v>831196</v>
      </c>
      <c r="P271" s="105">
        <f t="shared" si="12"/>
        <v>569082</v>
      </c>
      <c r="Q271" s="106">
        <f t="shared" si="12"/>
        <v>262114</v>
      </c>
      <c r="R271" s="105">
        <f t="shared" si="13"/>
        <v>867.63674321503129</v>
      </c>
      <c r="S271" s="105">
        <f t="shared" si="13"/>
        <v>594.03131524008347</v>
      </c>
      <c r="T271" s="108">
        <f t="shared" si="13"/>
        <v>273.60542797494782</v>
      </c>
    </row>
    <row r="272" spans="1:20" s="85" customFormat="1" ht="12.75" x14ac:dyDescent="0.2">
      <c r="A272" s="109">
        <v>882</v>
      </c>
      <c r="B272" s="110">
        <v>1</v>
      </c>
      <c r="C272" s="103" t="s">
        <v>390</v>
      </c>
      <c r="D272" s="103">
        <v>4</v>
      </c>
      <c r="E272" s="104">
        <f>+SUMIF('GE16FEB14 Unfudged'!$A$2:$A$498, $A272, 'GE16FEB14 Unfudged'!$D$2:$D$498)</f>
        <v>4422</v>
      </c>
      <c r="F272" s="104">
        <v>564215</v>
      </c>
      <c r="G272" s="105">
        <v>476891</v>
      </c>
      <c r="H272" s="106">
        <v>87324</v>
      </c>
      <c r="I272" s="107">
        <v>1874758</v>
      </c>
      <c r="J272" s="105">
        <v>1584601</v>
      </c>
      <c r="K272" s="106">
        <v>290157</v>
      </c>
      <c r="L272" s="107">
        <v>2523540</v>
      </c>
      <c r="M272" s="105">
        <v>1661565</v>
      </c>
      <c r="N272" s="106">
        <v>861975</v>
      </c>
      <c r="O272" s="107">
        <f t="shared" si="12"/>
        <v>4962513</v>
      </c>
      <c r="P272" s="105">
        <f t="shared" si="12"/>
        <v>3723057</v>
      </c>
      <c r="Q272" s="106">
        <f t="shared" si="12"/>
        <v>1239456</v>
      </c>
      <c r="R272" s="105">
        <f t="shared" si="13"/>
        <v>1122.2327001356853</v>
      </c>
      <c r="S272" s="105">
        <f t="shared" si="13"/>
        <v>841.93962008141114</v>
      </c>
      <c r="T272" s="108">
        <f t="shared" si="13"/>
        <v>280.29308005427407</v>
      </c>
    </row>
    <row r="273" spans="1:20" s="85" customFormat="1" ht="12.75" x14ac:dyDescent="0.2">
      <c r="A273" s="109">
        <v>883</v>
      </c>
      <c r="B273" s="110">
        <v>1</v>
      </c>
      <c r="C273" s="103" t="s">
        <v>391</v>
      </c>
      <c r="D273" s="103">
        <v>5</v>
      </c>
      <c r="E273" s="104">
        <f>+SUMIF('GE16FEB14 Unfudged'!$A$2:$A$498, $A273, 'GE16FEB14 Unfudged'!$D$2:$D$498)</f>
        <v>1793</v>
      </c>
      <c r="F273" s="104">
        <v>258134</v>
      </c>
      <c r="G273" s="105">
        <v>221889</v>
      </c>
      <c r="H273" s="106">
        <v>36245</v>
      </c>
      <c r="I273" s="107">
        <v>760062</v>
      </c>
      <c r="J273" s="105">
        <v>653341</v>
      </c>
      <c r="K273" s="106">
        <v>106721</v>
      </c>
      <c r="L273" s="107">
        <v>537780</v>
      </c>
      <c r="M273" s="105">
        <v>267906</v>
      </c>
      <c r="N273" s="106">
        <v>269874</v>
      </c>
      <c r="O273" s="107">
        <f t="shared" si="12"/>
        <v>1555976</v>
      </c>
      <c r="P273" s="105">
        <f t="shared" si="12"/>
        <v>1143136</v>
      </c>
      <c r="Q273" s="106">
        <f t="shared" si="12"/>
        <v>412840</v>
      </c>
      <c r="R273" s="105">
        <f t="shared" si="13"/>
        <v>867.80591187953155</v>
      </c>
      <c r="S273" s="105">
        <f t="shared" si="13"/>
        <v>637.55493586168438</v>
      </c>
      <c r="T273" s="108">
        <f t="shared" si="13"/>
        <v>230.25097601784719</v>
      </c>
    </row>
    <row r="274" spans="1:20" s="85" customFormat="1" ht="12.75" x14ac:dyDescent="0.2">
      <c r="A274" s="109">
        <v>885</v>
      </c>
      <c r="B274" s="110">
        <v>1</v>
      </c>
      <c r="C274" s="103" t="s">
        <v>392</v>
      </c>
      <c r="D274" s="103">
        <v>4</v>
      </c>
      <c r="E274" s="104">
        <f>+SUMIF('GE16FEB14 Unfudged'!$A$2:$A$498, $A274, 'GE16FEB14 Unfudged'!$D$2:$D$498)</f>
        <v>6299</v>
      </c>
      <c r="F274" s="104">
        <v>907085</v>
      </c>
      <c r="G274" s="105">
        <v>479653</v>
      </c>
      <c r="H274" s="106">
        <v>427432</v>
      </c>
      <c r="I274" s="107">
        <v>2670861</v>
      </c>
      <c r="J274" s="105">
        <v>1412311</v>
      </c>
      <c r="K274" s="106">
        <v>1258550</v>
      </c>
      <c r="L274" s="107">
        <v>1889760</v>
      </c>
      <c r="M274" s="105">
        <v>579126</v>
      </c>
      <c r="N274" s="106">
        <v>1310634</v>
      </c>
      <c r="O274" s="107">
        <f t="shared" ref="O274:Q337" si="14">+F274+I274+L274</f>
        <v>5467706</v>
      </c>
      <c r="P274" s="105">
        <f t="shared" si="14"/>
        <v>2471090</v>
      </c>
      <c r="Q274" s="106">
        <f t="shared" si="14"/>
        <v>2996616</v>
      </c>
      <c r="R274" s="105">
        <f t="shared" si="13"/>
        <v>868.02762343229085</v>
      </c>
      <c r="S274" s="105">
        <f t="shared" si="13"/>
        <v>392.29877758374346</v>
      </c>
      <c r="T274" s="108">
        <f t="shared" si="13"/>
        <v>475.72884584854739</v>
      </c>
    </row>
    <row r="275" spans="1:20" s="85" customFormat="1" ht="12.75" x14ac:dyDescent="0.2">
      <c r="A275" s="109">
        <v>891</v>
      </c>
      <c r="B275" s="110">
        <v>1</v>
      </c>
      <c r="C275" s="103" t="s">
        <v>393</v>
      </c>
      <c r="D275" s="103">
        <v>6</v>
      </c>
      <c r="E275" s="104">
        <f>+SUMIF('GE16FEB14 Unfudged'!$A$2:$A$498, $A275, 'GE16FEB14 Unfudged'!$D$2:$D$498)</f>
        <v>536</v>
      </c>
      <c r="F275" s="104">
        <v>76447</v>
      </c>
      <c r="G275" s="105">
        <v>41456</v>
      </c>
      <c r="H275" s="106">
        <v>34991</v>
      </c>
      <c r="I275" s="107">
        <v>227434</v>
      </c>
      <c r="J275" s="105">
        <v>123335</v>
      </c>
      <c r="K275" s="106">
        <v>104099</v>
      </c>
      <c r="L275" s="107">
        <v>174040</v>
      </c>
      <c r="M275" s="105">
        <v>57689</v>
      </c>
      <c r="N275" s="106">
        <v>116351</v>
      </c>
      <c r="O275" s="107">
        <f t="shared" si="14"/>
        <v>477921</v>
      </c>
      <c r="P275" s="105">
        <f t="shared" si="14"/>
        <v>222480</v>
      </c>
      <c r="Q275" s="106">
        <f t="shared" si="14"/>
        <v>255441</v>
      </c>
      <c r="R275" s="105">
        <f t="shared" ref="R275:T338" si="15">+IF($E275=0, 0, O275/$E275)</f>
        <v>891.64365671641792</v>
      </c>
      <c r="S275" s="105">
        <f t="shared" si="15"/>
        <v>415.07462686567163</v>
      </c>
      <c r="T275" s="108">
        <f t="shared" si="15"/>
        <v>476.56902985074629</v>
      </c>
    </row>
    <row r="276" spans="1:20" s="85" customFormat="1" ht="12.75" x14ac:dyDescent="0.2">
      <c r="A276" s="109">
        <v>911</v>
      </c>
      <c r="B276" s="110">
        <v>1</v>
      </c>
      <c r="C276" s="103" t="s">
        <v>394</v>
      </c>
      <c r="D276" s="103">
        <v>4</v>
      </c>
      <c r="E276" s="104">
        <f>+SUMIF('GE16FEB14 Unfudged'!$A$2:$A$498, $A276, 'GE16FEB14 Unfudged'!$D$2:$D$498)</f>
        <v>5663</v>
      </c>
      <c r="F276" s="104">
        <v>815480</v>
      </c>
      <c r="G276" s="105">
        <v>471033</v>
      </c>
      <c r="H276" s="106">
        <v>344447</v>
      </c>
      <c r="I276" s="107">
        <v>2401133</v>
      </c>
      <c r="J276" s="105">
        <v>1386928</v>
      </c>
      <c r="K276" s="106">
        <v>1014205</v>
      </c>
      <c r="L276" s="107">
        <v>1698915</v>
      </c>
      <c r="M276" s="105">
        <v>568718</v>
      </c>
      <c r="N276" s="106">
        <v>1130197</v>
      </c>
      <c r="O276" s="107">
        <f t="shared" si="14"/>
        <v>4915528</v>
      </c>
      <c r="P276" s="105">
        <f t="shared" si="14"/>
        <v>2426679</v>
      </c>
      <c r="Q276" s="106">
        <f t="shared" si="14"/>
        <v>2488849</v>
      </c>
      <c r="R276" s="105">
        <f t="shared" si="15"/>
        <v>868.00776973335689</v>
      </c>
      <c r="S276" s="105">
        <f t="shared" si="15"/>
        <v>428.51474483489318</v>
      </c>
      <c r="T276" s="108">
        <f t="shared" si="15"/>
        <v>439.49302489846372</v>
      </c>
    </row>
    <row r="277" spans="1:20" s="85" customFormat="1" ht="12.75" x14ac:dyDescent="0.2">
      <c r="A277" s="109">
        <v>912</v>
      </c>
      <c r="B277" s="110">
        <v>1</v>
      </c>
      <c r="C277" s="103" t="s">
        <v>395</v>
      </c>
      <c r="D277" s="103">
        <v>5</v>
      </c>
      <c r="E277" s="104">
        <f>+SUMIF('GE16FEB14 Unfudged'!$A$2:$A$498, $A277, 'GE16FEB14 Unfudged'!$D$2:$D$498)</f>
        <v>1935</v>
      </c>
      <c r="F277" s="104">
        <v>278597</v>
      </c>
      <c r="G277" s="105">
        <v>129996</v>
      </c>
      <c r="H277" s="106">
        <v>148601</v>
      </c>
      <c r="I277" s="107">
        <v>820313</v>
      </c>
      <c r="J277" s="105">
        <v>382767</v>
      </c>
      <c r="K277" s="106">
        <v>437546</v>
      </c>
      <c r="L277" s="107">
        <v>580410</v>
      </c>
      <c r="M277" s="105">
        <v>156956</v>
      </c>
      <c r="N277" s="106">
        <v>423454</v>
      </c>
      <c r="O277" s="107">
        <f t="shared" si="14"/>
        <v>1679320</v>
      </c>
      <c r="P277" s="105">
        <f t="shared" si="14"/>
        <v>669719</v>
      </c>
      <c r="Q277" s="106">
        <f t="shared" si="14"/>
        <v>1009601</v>
      </c>
      <c r="R277" s="105">
        <f t="shared" si="15"/>
        <v>867.86563307493543</v>
      </c>
      <c r="S277" s="105">
        <f t="shared" si="15"/>
        <v>346.1080103359173</v>
      </c>
      <c r="T277" s="108">
        <f t="shared" si="15"/>
        <v>521.75762273901807</v>
      </c>
    </row>
    <row r="278" spans="1:20" s="85" customFormat="1" ht="12.75" x14ac:dyDescent="0.2">
      <c r="A278" s="109">
        <v>914</v>
      </c>
      <c r="B278" s="110">
        <v>1</v>
      </c>
      <c r="C278" s="103" t="s">
        <v>396</v>
      </c>
      <c r="D278" s="103">
        <v>6</v>
      </c>
      <c r="E278" s="104">
        <f>+SUMIF('GE16FEB14 Unfudged'!$A$2:$A$498, $A278, 'GE16FEB14 Unfudged'!$D$2:$D$498)</f>
        <v>341</v>
      </c>
      <c r="F278" s="104">
        <v>17070</v>
      </c>
      <c r="G278" s="105">
        <v>7889</v>
      </c>
      <c r="H278" s="106">
        <v>9181</v>
      </c>
      <c r="I278" s="107">
        <v>144754</v>
      </c>
      <c r="J278" s="105">
        <v>66903</v>
      </c>
      <c r="K278" s="106">
        <v>77851</v>
      </c>
      <c r="L278" s="107">
        <v>606391</v>
      </c>
      <c r="M278" s="105">
        <v>382000</v>
      </c>
      <c r="N278" s="106">
        <v>224391</v>
      </c>
      <c r="O278" s="107">
        <f t="shared" si="14"/>
        <v>768215</v>
      </c>
      <c r="P278" s="105">
        <f t="shared" si="14"/>
        <v>456792</v>
      </c>
      <c r="Q278" s="106">
        <f t="shared" si="14"/>
        <v>311423</v>
      </c>
      <c r="R278" s="105">
        <f t="shared" si="15"/>
        <v>2252.8299120234606</v>
      </c>
      <c r="S278" s="105">
        <f t="shared" si="15"/>
        <v>1339.565982404692</v>
      </c>
      <c r="T278" s="108">
        <f t="shared" si="15"/>
        <v>913.26392961876832</v>
      </c>
    </row>
    <row r="279" spans="1:20" s="85" customFormat="1" ht="12.75" x14ac:dyDescent="0.2">
      <c r="A279" s="109">
        <v>2071</v>
      </c>
      <c r="B279" s="110">
        <v>1</v>
      </c>
      <c r="C279" s="103" t="s">
        <v>397</v>
      </c>
      <c r="D279" s="103">
        <v>6</v>
      </c>
      <c r="E279" s="104">
        <f>+SUMIF('GE16FEB14 Unfudged'!$A$2:$A$498, $A279, 'GE16FEB14 Unfudged'!$D$2:$D$498)</f>
        <v>962</v>
      </c>
      <c r="F279" s="104">
        <v>135745</v>
      </c>
      <c r="G279" s="105">
        <v>95741</v>
      </c>
      <c r="H279" s="106">
        <v>40004</v>
      </c>
      <c r="I279" s="107">
        <v>407803</v>
      </c>
      <c r="J279" s="105">
        <v>287624</v>
      </c>
      <c r="K279" s="106">
        <v>120179</v>
      </c>
      <c r="L279" s="107">
        <v>334024</v>
      </c>
      <c r="M279" s="105">
        <v>150022</v>
      </c>
      <c r="N279" s="106">
        <v>184002</v>
      </c>
      <c r="O279" s="107">
        <f t="shared" si="14"/>
        <v>877572</v>
      </c>
      <c r="P279" s="105">
        <f t="shared" si="14"/>
        <v>533387</v>
      </c>
      <c r="Q279" s="106">
        <f t="shared" si="14"/>
        <v>344185</v>
      </c>
      <c r="R279" s="105">
        <f t="shared" si="15"/>
        <v>912.2370062370062</v>
      </c>
      <c r="S279" s="105">
        <f t="shared" si="15"/>
        <v>554.45634095634091</v>
      </c>
      <c r="T279" s="108">
        <f t="shared" si="15"/>
        <v>357.78066528066529</v>
      </c>
    </row>
    <row r="280" spans="1:20" s="85" customFormat="1" ht="12.75" x14ac:dyDescent="0.2">
      <c r="A280" s="109">
        <v>2125</v>
      </c>
      <c r="B280" s="110">
        <v>1</v>
      </c>
      <c r="C280" s="103" t="s">
        <v>398</v>
      </c>
      <c r="D280" s="103">
        <v>5</v>
      </c>
      <c r="E280" s="104">
        <f>+SUMIF('GE16FEB14 Unfudged'!$A$2:$A$498, $A280, 'GE16FEB14 Unfudged'!$D$2:$D$498)</f>
        <v>1330</v>
      </c>
      <c r="F280" s="104">
        <v>191578</v>
      </c>
      <c r="G280" s="105">
        <v>99589</v>
      </c>
      <c r="H280" s="106">
        <v>91989</v>
      </c>
      <c r="I280" s="107">
        <v>564090</v>
      </c>
      <c r="J280" s="105">
        <v>293234</v>
      </c>
      <c r="K280" s="106">
        <v>270856</v>
      </c>
      <c r="L280" s="107">
        <v>399120</v>
      </c>
      <c r="M280" s="105">
        <v>120242</v>
      </c>
      <c r="N280" s="106">
        <v>278878</v>
      </c>
      <c r="O280" s="107">
        <f t="shared" si="14"/>
        <v>1154788</v>
      </c>
      <c r="P280" s="105">
        <f t="shared" si="14"/>
        <v>513065</v>
      </c>
      <c r="Q280" s="106">
        <f t="shared" si="14"/>
        <v>641723</v>
      </c>
      <c r="R280" s="105">
        <f t="shared" si="15"/>
        <v>868.26165413533829</v>
      </c>
      <c r="S280" s="105">
        <f t="shared" si="15"/>
        <v>385.76315789473682</v>
      </c>
      <c r="T280" s="108">
        <f t="shared" si="15"/>
        <v>482.49849624060153</v>
      </c>
    </row>
    <row r="281" spans="1:20" s="85" customFormat="1" ht="12.75" x14ac:dyDescent="0.2">
      <c r="A281" s="109">
        <v>2134</v>
      </c>
      <c r="B281" s="110">
        <v>1</v>
      </c>
      <c r="C281" s="103" t="s">
        <v>399</v>
      </c>
      <c r="D281" s="103">
        <v>6</v>
      </c>
      <c r="E281" s="104">
        <f>+SUMIF('GE16FEB14 Unfudged'!$A$2:$A$498, $A281, 'GE16FEB14 Unfudged'!$D$2:$D$498)</f>
        <v>691</v>
      </c>
      <c r="F281" s="104">
        <v>54623</v>
      </c>
      <c r="G281" s="105">
        <v>26857</v>
      </c>
      <c r="H281" s="106">
        <v>27766</v>
      </c>
      <c r="I281" s="107">
        <v>292814</v>
      </c>
      <c r="J281" s="105">
        <v>143972</v>
      </c>
      <c r="K281" s="106">
        <v>148842</v>
      </c>
      <c r="L281" s="107">
        <v>947310</v>
      </c>
      <c r="M281" s="105">
        <v>580521</v>
      </c>
      <c r="N281" s="106">
        <v>366789</v>
      </c>
      <c r="O281" s="107">
        <f t="shared" si="14"/>
        <v>1294747</v>
      </c>
      <c r="P281" s="105">
        <f t="shared" si="14"/>
        <v>751350</v>
      </c>
      <c r="Q281" s="106">
        <f t="shared" si="14"/>
        <v>543397</v>
      </c>
      <c r="R281" s="105">
        <f t="shared" si="15"/>
        <v>1873.7293777134587</v>
      </c>
      <c r="S281" s="105">
        <f t="shared" si="15"/>
        <v>1087.3371924746743</v>
      </c>
      <c r="T281" s="108">
        <f t="shared" si="15"/>
        <v>786.39218523878435</v>
      </c>
    </row>
    <row r="282" spans="1:20" s="85" customFormat="1" ht="12.75" x14ac:dyDescent="0.2">
      <c r="A282" s="109">
        <v>2135</v>
      </c>
      <c r="B282" s="110">
        <v>1</v>
      </c>
      <c r="C282" s="103" t="s">
        <v>400</v>
      </c>
      <c r="D282" s="103">
        <v>5</v>
      </c>
      <c r="E282" s="104">
        <f>+SUMIF('GE16FEB14 Unfudged'!$A$2:$A$498, $A282, 'GE16FEB14 Unfudged'!$D$2:$D$498)</f>
        <v>1117</v>
      </c>
      <c r="F282" s="104">
        <v>142756</v>
      </c>
      <c r="G282" s="105">
        <v>79021</v>
      </c>
      <c r="H282" s="106">
        <v>63735</v>
      </c>
      <c r="I282" s="107">
        <v>473693</v>
      </c>
      <c r="J282" s="105">
        <v>262207</v>
      </c>
      <c r="K282" s="106">
        <v>211486</v>
      </c>
      <c r="L282" s="107">
        <v>634369</v>
      </c>
      <c r="M282" s="105">
        <v>273142</v>
      </c>
      <c r="N282" s="106">
        <v>361227</v>
      </c>
      <c r="O282" s="107">
        <f t="shared" si="14"/>
        <v>1250818</v>
      </c>
      <c r="P282" s="105">
        <f t="shared" si="14"/>
        <v>614370</v>
      </c>
      <c r="Q282" s="106">
        <f t="shared" si="14"/>
        <v>636448</v>
      </c>
      <c r="R282" s="105">
        <f t="shared" si="15"/>
        <v>1119.8012533572069</v>
      </c>
      <c r="S282" s="105">
        <f t="shared" si="15"/>
        <v>550.01790510295439</v>
      </c>
      <c r="T282" s="108">
        <f t="shared" si="15"/>
        <v>569.78334825425247</v>
      </c>
    </row>
    <row r="283" spans="1:20" s="85" customFormat="1" ht="12.75" x14ac:dyDescent="0.2">
      <c r="A283" s="109">
        <v>2137</v>
      </c>
      <c r="B283" s="110">
        <v>1</v>
      </c>
      <c r="C283" s="103" t="s">
        <v>401</v>
      </c>
      <c r="D283" s="103">
        <v>6</v>
      </c>
      <c r="E283" s="104">
        <f>+SUMIF('GE16FEB14 Unfudged'!$A$2:$A$498, $A283, 'GE16FEB14 Unfudged'!$D$2:$D$498)</f>
        <v>646</v>
      </c>
      <c r="F283" s="104">
        <v>87043</v>
      </c>
      <c r="G283" s="105">
        <v>60017</v>
      </c>
      <c r="H283" s="106">
        <v>27026</v>
      </c>
      <c r="I283" s="107">
        <v>274031</v>
      </c>
      <c r="J283" s="105">
        <v>188948</v>
      </c>
      <c r="K283" s="106">
        <v>85083</v>
      </c>
      <c r="L283" s="107">
        <v>293368</v>
      </c>
      <c r="M283" s="105">
        <v>146071</v>
      </c>
      <c r="N283" s="106">
        <v>147297</v>
      </c>
      <c r="O283" s="107">
        <f t="shared" si="14"/>
        <v>654442</v>
      </c>
      <c r="P283" s="105">
        <f t="shared" si="14"/>
        <v>395036</v>
      </c>
      <c r="Q283" s="106">
        <f t="shared" si="14"/>
        <v>259406</v>
      </c>
      <c r="R283" s="105">
        <f t="shared" si="15"/>
        <v>1013.0681114551084</v>
      </c>
      <c r="S283" s="105">
        <f t="shared" si="15"/>
        <v>611.51083591331269</v>
      </c>
      <c r="T283" s="108">
        <f t="shared" si="15"/>
        <v>401.55727554179566</v>
      </c>
    </row>
    <row r="284" spans="1:20" s="85" customFormat="1" ht="12.75" x14ac:dyDescent="0.2">
      <c r="A284" s="109">
        <v>2142</v>
      </c>
      <c r="B284" s="110">
        <v>1</v>
      </c>
      <c r="C284" s="103" t="s">
        <v>402</v>
      </c>
      <c r="D284" s="103">
        <v>5</v>
      </c>
      <c r="E284" s="104">
        <f>+SUMIF('GE16FEB14 Unfudged'!$A$2:$A$498, $A284, 'GE16FEB14 Unfudged'!$D$2:$D$498)</f>
        <v>1940</v>
      </c>
      <c r="F284" s="104">
        <v>279302</v>
      </c>
      <c r="G284" s="105">
        <v>279302</v>
      </c>
      <c r="H284" s="106">
        <v>0</v>
      </c>
      <c r="I284" s="107">
        <v>822390</v>
      </c>
      <c r="J284" s="105">
        <v>822390</v>
      </c>
      <c r="K284" s="106">
        <v>0</v>
      </c>
      <c r="L284" s="107">
        <v>581880</v>
      </c>
      <c r="M284" s="105">
        <v>383195</v>
      </c>
      <c r="N284" s="106">
        <v>198685</v>
      </c>
      <c r="O284" s="107">
        <f t="shared" si="14"/>
        <v>1683572</v>
      </c>
      <c r="P284" s="105">
        <f t="shared" si="14"/>
        <v>1484887</v>
      </c>
      <c r="Q284" s="106">
        <f t="shared" si="14"/>
        <v>198685</v>
      </c>
      <c r="R284" s="105">
        <f t="shared" si="15"/>
        <v>867.82061855670099</v>
      </c>
      <c r="S284" s="105">
        <f t="shared" si="15"/>
        <v>765.4056701030928</v>
      </c>
      <c r="T284" s="108">
        <f t="shared" si="15"/>
        <v>102.41494845360825</v>
      </c>
    </row>
    <row r="285" spans="1:20" s="85" customFormat="1" ht="12.75" x14ac:dyDescent="0.2">
      <c r="A285" s="109">
        <v>2143</v>
      </c>
      <c r="B285" s="110">
        <v>1</v>
      </c>
      <c r="C285" s="103" t="s">
        <v>5</v>
      </c>
      <c r="D285" s="103">
        <v>6</v>
      </c>
      <c r="E285" s="104">
        <f>+SUMIF('GE16FEB14 Unfudged'!$A$2:$A$498, $A285, 'GE16FEB14 Unfudged'!$D$2:$D$498)</f>
        <v>910</v>
      </c>
      <c r="F285" s="104">
        <v>89814</v>
      </c>
      <c r="G285" s="105">
        <v>78660</v>
      </c>
      <c r="H285" s="106">
        <v>11154</v>
      </c>
      <c r="I285" s="107">
        <v>385755</v>
      </c>
      <c r="J285" s="105">
        <v>337847</v>
      </c>
      <c r="K285" s="106">
        <v>47908</v>
      </c>
      <c r="L285" s="107">
        <v>953197</v>
      </c>
      <c r="M285" s="105">
        <v>766817</v>
      </c>
      <c r="N285" s="106">
        <v>186380</v>
      </c>
      <c r="O285" s="107">
        <f t="shared" si="14"/>
        <v>1428766</v>
      </c>
      <c r="P285" s="105">
        <f t="shared" si="14"/>
        <v>1183324</v>
      </c>
      <c r="Q285" s="106">
        <f t="shared" si="14"/>
        <v>245442</v>
      </c>
      <c r="R285" s="105">
        <f t="shared" si="15"/>
        <v>1570.0725274725276</v>
      </c>
      <c r="S285" s="105">
        <f t="shared" si="15"/>
        <v>1300.356043956044</v>
      </c>
      <c r="T285" s="108">
        <f t="shared" si="15"/>
        <v>269.71648351648349</v>
      </c>
    </row>
    <row r="286" spans="1:20" s="85" customFormat="1" ht="12.75" x14ac:dyDescent="0.2">
      <c r="A286" s="109">
        <v>2144</v>
      </c>
      <c r="B286" s="110">
        <v>1</v>
      </c>
      <c r="C286" s="103" t="s">
        <v>403</v>
      </c>
      <c r="D286" s="103">
        <v>4</v>
      </c>
      <c r="E286" s="104">
        <f>+SUMIF('GE16FEB14 Unfudged'!$A$2:$A$498, $A286, 'GE16FEB14 Unfudged'!$D$2:$D$498)</f>
        <v>3596</v>
      </c>
      <c r="F286" s="104">
        <v>468850</v>
      </c>
      <c r="G286" s="105">
        <v>385198</v>
      </c>
      <c r="H286" s="106">
        <v>83652</v>
      </c>
      <c r="I286" s="107">
        <v>1524789</v>
      </c>
      <c r="J286" s="105">
        <v>1252735</v>
      </c>
      <c r="K286" s="106">
        <v>272054</v>
      </c>
      <c r="L286" s="107">
        <v>1888005</v>
      </c>
      <c r="M286" s="105">
        <v>1178468</v>
      </c>
      <c r="N286" s="106">
        <v>709537</v>
      </c>
      <c r="O286" s="107">
        <f t="shared" si="14"/>
        <v>3881644</v>
      </c>
      <c r="P286" s="105">
        <f t="shared" si="14"/>
        <v>2816401</v>
      </c>
      <c r="Q286" s="106">
        <f t="shared" si="14"/>
        <v>1065243</v>
      </c>
      <c r="R286" s="105">
        <f t="shared" si="15"/>
        <v>1079.4338153503893</v>
      </c>
      <c r="S286" s="105">
        <f t="shared" si="15"/>
        <v>783.20383759733033</v>
      </c>
      <c r="T286" s="108">
        <f t="shared" si="15"/>
        <v>296.22997775305896</v>
      </c>
    </row>
    <row r="287" spans="1:20" s="85" customFormat="1" ht="12.75" x14ac:dyDescent="0.2">
      <c r="A287" s="109">
        <v>2149</v>
      </c>
      <c r="B287" s="110">
        <v>1</v>
      </c>
      <c r="C287" s="103" t="s">
        <v>404</v>
      </c>
      <c r="D287" s="103">
        <v>5</v>
      </c>
      <c r="E287" s="104">
        <f>+SUMIF('GE16FEB14 Unfudged'!$A$2:$A$498, $A287, 'GE16FEB14 Unfudged'!$D$2:$D$498)</f>
        <v>1123</v>
      </c>
      <c r="F287" s="104">
        <v>158381</v>
      </c>
      <c r="G287" s="105">
        <v>158381</v>
      </c>
      <c r="H287" s="106">
        <v>0</v>
      </c>
      <c r="I287" s="107">
        <v>476131</v>
      </c>
      <c r="J287" s="105">
        <v>476131</v>
      </c>
      <c r="K287" s="106">
        <v>0</v>
      </c>
      <c r="L287" s="107">
        <v>391775</v>
      </c>
      <c r="M287" s="105">
        <v>286973</v>
      </c>
      <c r="N287" s="106">
        <v>104802</v>
      </c>
      <c r="O287" s="107">
        <f t="shared" si="14"/>
        <v>1026287</v>
      </c>
      <c r="P287" s="105">
        <f t="shared" si="14"/>
        <v>921485</v>
      </c>
      <c r="Q287" s="106">
        <f t="shared" si="14"/>
        <v>104802</v>
      </c>
      <c r="R287" s="105">
        <f t="shared" si="15"/>
        <v>913.87978628673193</v>
      </c>
      <c r="S287" s="105">
        <f t="shared" si="15"/>
        <v>820.55654496883346</v>
      </c>
      <c r="T287" s="108">
        <f t="shared" si="15"/>
        <v>93.323241317898493</v>
      </c>
    </row>
    <row r="288" spans="1:20" s="85" customFormat="1" ht="12.75" x14ac:dyDescent="0.2">
      <c r="A288" s="109">
        <v>2154</v>
      </c>
      <c r="B288" s="110">
        <v>1</v>
      </c>
      <c r="C288" s="103" t="s">
        <v>405</v>
      </c>
      <c r="D288" s="103">
        <v>5</v>
      </c>
      <c r="E288" s="104">
        <f>+SUMIF('GE16FEB14 Unfudged'!$A$2:$A$498, $A288, 'GE16FEB14 Unfudged'!$D$2:$D$498)</f>
        <v>1167</v>
      </c>
      <c r="F288" s="104">
        <v>164073</v>
      </c>
      <c r="G288" s="105">
        <v>97905</v>
      </c>
      <c r="H288" s="106">
        <v>66168</v>
      </c>
      <c r="I288" s="107">
        <v>494638</v>
      </c>
      <c r="J288" s="105">
        <v>295159</v>
      </c>
      <c r="K288" s="106">
        <v>199479</v>
      </c>
      <c r="L288" s="107">
        <v>414668</v>
      </c>
      <c r="M288" s="105">
        <v>159632</v>
      </c>
      <c r="N288" s="106">
        <v>255036</v>
      </c>
      <c r="O288" s="107">
        <f t="shared" si="14"/>
        <v>1073379</v>
      </c>
      <c r="P288" s="105">
        <f t="shared" si="14"/>
        <v>552696</v>
      </c>
      <c r="Q288" s="106">
        <f t="shared" si="14"/>
        <v>520683</v>
      </c>
      <c r="R288" s="105">
        <f t="shared" si="15"/>
        <v>919.77634961439594</v>
      </c>
      <c r="S288" s="105">
        <f t="shared" si="15"/>
        <v>473.60411311053986</v>
      </c>
      <c r="T288" s="108">
        <f t="shared" si="15"/>
        <v>446.17223650385603</v>
      </c>
    </row>
    <row r="289" spans="1:20" s="85" customFormat="1" ht="12.75" x14ac:dyDescent="0.2">
      <c r="A289" s="109">
        <v>2155</v>
      </c>
      <c r="B289" s="110">
        <v>52</v>
      </c>
      <c r="C289" s="103" t="s">
        <v>406</v>
      </c>
      <c r="D289" s="103">
        <v>5</v>
      </c>
      <c r="E289" s="104">
        <f>+SUMIF('GE16FEB14 Unfudged'!$A$2:$A$498, $A289, 'GE16FEB14 Unfudged'!$D$2:$D$498)</f>
        <v>1050</v>
      </c>
      <c r="F289" s="104">
        <v>141325</v>
      </c>
      <c r="G289" s="105">
        <v>72653</v>
      </c>
      <c r="H289" s="106">
        <v>68672</v>
      </c>
      <c r="I289" s="107">
        <v>445094</v>
      </c>
      <c r="J289" s="105">
        <v>228817</v>
      </c>
      <c r="K289" s="106">
        <v>216277</v>
      </c>
      <c r="L289" s="107">
        <v>477395</v>
      </c>
      <c r="M289" s="105">
        <v>177352</v>
      </c>
      <c r="N289" s="106">
        <v>300043</v>
      </c>
      <c r="O289" s="107">
        <f t="shared" si="14"/>
        <v>1063814</v>
      </c>
      <c r="P289" s="105">
        <f t="shared" si="14"/>
        <v>478822</v>
      </c>
      <c r="Q289" s="106">
        <f t="shared" si="14"/>
        <v>584992</v>
      </c>
      <c r="R289" s="105">
        <f t="shared" si="15"/>
        <v>1013.1561904761904</v>
      </c>
      <c r="S289" s="105">
        <f t="shared" si="15"/>
        <v>456.02095238095239</v>
      </c>
      <c r="T289" s="108">
        <f t="shared" si="15"/>
        <v>557.13523809523815</v>
      </c>
    </row>
    <row r="290" spans="1:20" s="85" customFormat="1" ht="12.75" x14ac:dyDescent="0.2">
      <c r="A290" s="109">
        <v>2159</v>
      </c>
      <c r="B290" s="110">
        <v>6</v>
      </c>
      <c r="C290" s="103" t="s">
        <v>407</v>
      </c>
      <c r="D290" s="103">
        <v>6</v>
      </c>
      <c r="E290" s="104">
        <f>+SUMIF('GE16FEB14 Unfudged'!$A$2:$A$498, $A290, 'GE16FEB14 Unfudged'!$D$2:$D$498)</f>
        <v>597</v>
      </c>
      <c r="F290" s="104">
        <v>67655</v>
      </c>
      <c r="G290" s="105">
        <v>40642</v>
      </c>
      <c r="H290" s="106">
        <v>27013</v>
      </c>
      <c r="I290" s="107">
        <v>253213</v>
      </c>
      <c r="J290" s="105">
        <v>152112</v>
      </c>
      <c r="K290" s="106">
        <v>101101</v>
      </c>
      <c r="L290" s="107">
        <v>482018</v>
      </c>
      <c r="M290" s="105">
        <v>255547</v>
      </c>
      <c r="N290" s="106">
        <v>226471</v>
      </c>
      <c r="O290" s="107">
        <f t="shared" si="14"/>
        <v>802886</v>
      </c>
      <c r="P290" s="105">
        <f t="shared" si="14"/>
        <v>448301</v>
      </c>
      <c r="Q290" s="106">
        <f t="shared" si="14"/>
        <v>354585</v>
      </c>
      <c r="R290" s="105">
        <f t="shared" si="15"/>
        <v>1344.8676716917923</v>
      </c>
      <c r="S290" s="105">
        <f t="shared" si="15"/>
        <v>750.92294807370183</v>
      </c>
      <c r="T290" s="108">
        <f t="shared" si="15"/>
        <v>593.94472361809051</v>
      </c>
    </row>
    <row r="291" spans="1:20" s="85" customFormat="1" ht="12.75" x14ac:dyDescent="0.2">
      <c r="A291" s="109">
        <v>2164</v>
      </c>
      <c r="B291" s="110">
        <v>6</v>
      </c>
      <c r="C291" s="103" t="s">
        <v>408</v>
      </c>
      <c r="D291" s="103">
        <v>5</v>
      </c>
      <c r="E291" s="104">
        <f>+SUMIF('GE16FEB14 Unfudged'!$A$2:$A$498, $A291, 'GE16FEB14 Unfudged'!$D$2:$D$498)</f>
        <v>1786</v>
      </c>
      <c r="F291" s="104">
        <v>257126</v>
      </c>
      <c r="G291" s="105">
        <v>124847</v>
      </c>
      <c r="H291" s="106">
        <v>132279</v>
      </c>
      <c r="I291" s="107">
        <v>757094</v>
      </c>
      <c r="J291" s="105">
        <v>367606</v>
      </c>
      <c r="K291" s="106">
        <v>389488</v>
      </c>
      <c r="L291" s="107">
        <v>535680</v>
      </c>
      <c r="M291" s="105">
        <v>150739</v>
      </c>
      <c r="N291" s="106">
        <v>384941</v>
      </c>
      <c r="O291" s="107">
        <f t="shared" si="14"/>
        <v>1549900</v>
      </c>
      <c r="P291" s="105">
        <f t="shared" si="14"/>
        <v>643192</v>
      </c>
      <c r="Q291" s="106">
        <f t="shared" si="14"/>
        <v>906708</v>
      </c>
      <c r="R291" s="105">
        <f t="shared" si="15"/>
        <v>867.80515117581183</v>
      </c>
      <c r="S291" s="105">
        <f t="shared" si="15"/>
        <v>360.12989921612541</v>
      </c>
      <c r="T291" s="108">
        <f t="shared" si="15"/>
        <v>507.67525195968648</v>
      </c>
    </row>
    <row r="292" spans="1:20" s="85" customFormat="1" ht="12.75" x14ac:dyDescent="0.2">
      <c r="A292" s="109">
        <v>2165</v>
      </c>
      <c r="B292" s="110">
        <v>53</v>
      </c>
      <c r="C292" s="103" t="s">
        <v>409</v>
      </c>
      <c r="D292" s="103">
        <v>5</v>
      </c>
      <c r="E292" s="104">
        <f>+SUMIF('GE16FEB14 Unfudged'!$A$2:$A$498, $A292, 'GE16FEB14 Unfudged'!$D$2:$D$498)</f>
        <v>1056</v>
      </c>
      <c r="F292" s="104">
        <v>152035</v>
      </c>
      <c r="G292" s="105">
        <v>102058</v>
      </c>
      <c r="H292" s="106">
        <v>49977</v>
      </c>
      <c r="I292" s="107">
        <v>447659</v>
      </c>
      <c r="J292" s="105">
        <v>300504</v>
      </c>
      <c r="K292" s="106">
        <v>147155</v>
      </c>
      <c r="L292" s="107">
        <v>316740</v>
      </c>
      <c r="M292" s="105">
        <v>123223</v>
      </c>
      <c r="N292" s="106">
        <v>193517</v>
      </c>
      <c r="O292" s="107">
        <f t="shared" si="14"/>
        <v>916434</v>
      </c>
      <c r="P292" s="105">
        <f t="shared" si="14"/>
        <v>525785</v>
      </c>
      <c r="Q292" s="106">
        <f t="shared" si="14"/>
        <v>390649</v>
      </c>
      <c r="R292" s="105">
        <f t="shared" si="15"/>
        <v>867.83522727272725</v>
      </c>
      <c r="S292" s="105">
        <f t="shared" si="15"/>
        <v>497.90246212121212</v>
      </c>
      <c r="T292" s="108">
        <f t="shared" si="15"/>
        <v>369.93276515151513</v>
      </c>
    </row>
    <row r="293" spans="1:20" s="85" customFormat="1" ht="12.75" x14ac:dyDescent="0.2">
      <c r="A293" s="109">
        <v>2167</v>
      </c>
      <c r="B293" s="110">
        <v>52</v>
      </c>
      <c r="C293" s="103" t="s">
        <v>410</v>
      </c>
      <c r="D293" s="103">
        <v>6</v>
      </c>
      <c r="E293" s="104">
        <f>+SUMIF('GE16FEB14 Unfudged'!$A$2:$A$498, $A293, 'GE16FEB14 Unfudged'!$D$2:$D$498)</f>
        <v>700</v>
      </c>
      <c r="F293" s="104">
        <v>98328</v>
      </c>
      <c r="G293" s="105">
        <v>46619</v>
      </c>
      <c r="H293" s="106">
        <v>51709</v>
      </c>
      <c r="I293" s="107">
        <v>296970</v>
      </c>
      <c r="J293" s="105">
        <v>140798</v>
      </c>
      <c r="K293" s="106">
        <v>156172</v>
      </c>
      <c r="L293" s="107">
        <v>251892</v>
      </c>
      <c r="M293" s="105">
        <v>77540</v>
      </c>
      <c r="N293" s="106">
        <v>174352</v>
      </c>
      <c r="O293" s="107">
        <f t="shared" si="14"/>
        <v>647190</v>
      </c>
      <c r="P293" s="105">
        <f t="shared" si="14"/>
        <v>264957</v>
      </c>
      <c r="Q293" s="106">
        <f t="shared" si="14"/>
        <v>382233</v>
      </c>
      <c r="R293" s="105">
        <f t="shared" si="15"/>
        <v>924.55714285714282</v>
      </c>
      <c r="S293" s="105">
        <f t="shared" si="15"/>
        <v>378.51</v>
      </c>
      <c r="T293" s="108">
        <f t="shared" si="15"/>
        <v>546.04714285714283</v>
      </c>
    </row>
    <row r="294" spans="1:20" s="85" customFormat="1" ht="12.75" x14ac:dyDescent="0.2">
      <c r="A294" s="109">
        <v>2168</v>
      </c>
      <c r="B294" s="110">
        <v>52</v>
      </c>
      <c r="C294" s="103" t="s">
        <v>411</v>
      </c>
      <c r="D294" s="103">
        <v>6</v>
      </c>
      <c r="E294" s="104">
        <f>+SUMIF('GE16FEB14 Unfudged'!$A$2:$A$498, $A294, 'GE16FEB14 Unfudged'!$D$2:$D$498)</f>
        <v>1016</v>
      </c>
      <c r="F294" s="104">
        <v>146275</v>
      </c>
      <c r="G294" s="105">
        <v>89851</v>
      </c>
      <c r="H294" s="106">
        <v>56424</v>
      </c>
      <c r="I294" s="107">
        <v>430699</v>
      </c>
      <c r="J294" s="105">
        <v>264561</v>
      </c>
      <c r="K294" s="106">
        <v>166138</v>
      </c>
      <c r="L294" s="107">
        <v>304740</v>
      </c>
      <c r="M294" s="105">
        <v>108485</v>
      </c>
      <c r="N294" s="106">
        <v>196255</v>
      </c>
      <c r="O294" s="107">
        <f t="shared" si="14"/>
        <v>881714</v>
      </c>
      <c r="P294" s="105">
        <f t="shared" si="14"/>
        <v>462897</v>
      </c>
      <c r="Q294" s="106">
        <f t="shared" si="14"/>
        <v>418817</v>
      </c>
      <c r="R294" s="105">
        <f t="shared" si="15"/>
        <v>867.8287401574803</v>
      </c>
      <c r="S294" s="105">
        <f t="shared" si="15"/>
        <v>455.60728346456693</v>
      </c>
      <c r="T294" s="108">
        <f t="shared" si="15"/>
        <v>412.22145669291336</v>
      </c>
    </row>
    <row r="295" spans="1:20" s="85" customFormat="1" ht="12.75" x14ac:dyDescent="0.2">
      <c r="A295" s="109">
        <v>2169</v>
      </c>
      <c r="B295" s="110">
        <v>51</v>
      </c>
      <c r="C295" s="103" t="s">
        <v>412</v>
      </c>
      <c r="D295" s="103">
        <v>6</v>
      </c>
      <c r="E295" s="104">
        <f>+SUMIF('GE16FEB14 Unfudged'!$A$2:$A$498, $A295, 'GE16FEB14 Unfudged'!$D$2:$D$498)</f>
        <v>804</v>
      </c>
      <c r="F295" s="104">
        <v>86677</v>
      </c>
      <c r="G295" s="105">
        <v>50525</v>
      </c>
      <c r="H295" s="106">
        <v>36152</v>
      </c>
      <c r="I295" s="107">
        <v>340896</v>
      </c>
      <c r="J295" s="105">
        <v>198713</v>
      </c>
      <c r="K295" s="106">
        <v>142183</v>
      </c>
      <c r="L295" s="107">
        <v>721678</v>
      </c>
      <c r="M295" s="105">
        <v>407707</v>
      </c>
      <c r="N295" s="106">
        <v>313971</v>
      </c>
      <c r="O295" s="107">
        <f t="shared" si="14"/>
        <v>1149251</v>
      </c>
      <c r="P295" s="105">
        <f t="shared" si="14"/>
        <v>656945</v>
      </c>
      <c r="Q295" s="106">
        <f t="shared" si="14"/>
        <v>492306</v>
      </c>
      <c r="R295" s="105">
        <f t="shared" si="15"/>
        <v>1429.4166666666667</v>
      </c>
      <c r="S295" s="105">
        <f t="shared" si="15"/>
        <v>817.09577114427861</v>
      </c>
      <c r="T295" s="108">
        <f t="shared" si="15"/>
        <v>612.32089552238801</v>
      </c>
    </row>
    <row r="296" spans="1:20" s="85" customFormat="1" ht="12.75" x14ac:dyDescent="0.2">
      <c r="A296" s="109">
        <v>2170</v>
      </c>
      <c r="B296" s="110">
        <v>51</v>
      </c>
      <c r="C296" s="103" t="s">
        <v>413</v>
      </c>
      <c r="D296" s="103">
        <v>5</v>
      </c>
      <c r="E296" s="104">
        <f>+SUMIF('GE16FEB14 Unfudged'!$A$2:$A$498, $A296, 'GE16FEB14 Unfudged'!$D$2:$D$498)</f>
        <v>1336</v>
      </c>
      <c r="F296" s="104">
        <v>187935</v>
      </c>
      <c r="G296" s="105">
        <v>109771</v>
      </c>
      <c r="H296" s="106">
        <v>78164</v>
      </c>
      <c r="I296" s="107">
        <v>566379</v>
      </c>
      <c r="J296" s="105">
        <v>330816</v>
      </c>
      <c r="K296" s="106">
        <v>235563</v>
      </c>
      <c r="L296" s="107">
        <v>473728</v>
      </c>
      <c r="M296" s="105">
        <v>178284</v>
      </c>
      <c r="N296" s="106">
        <v>295444</v>
      </c>
      <c r="O296" s="107">
        <f t="shared" si="14"/>
        <v>1228042</v>
      </c>
      <c r="P296" s="105">
        <f t="shared" si="14"/>
        <v>618871</v>
      </c>
      <c r="Q296" s="106">
        <f t="shared" si="14"/>
        <v>609171</v>
      </c>
      <c r="R296" s="105">
        <f t="shared" si="15"/>
        <v>919.19311377245504</v>
      </c>
      <c r="S296" s="105">
        <f t="shared" si="15"/>
        <v>463.22679640718565</v>
      </c>
      <c r="T296" s="108">
        <f t="shared" si="15"/>
        <v>455.96631736526945</v>
      </c>
    </row>
    <row r="297" spans="1:20" s="85" customFormat="1" ht="12.75" x14ac:dyDescent="0.2">
      <c r="A297" s="109">
        <v>2171</v>
      </c>
      <c r="B297" s="110">
        <v>83</v>
      </c>
      <c r="C297" s="103" t="s">
        <v>414</v>
      </c>
      <c r="D297" s="103">
        <v>6</v>
      </c>
      <c r="E297" s="104">
        <f>+SUMIF('GE16FEB14 Unfudged'!$A$2:$A$498, $A297, 'GE16FEB14 Unfudged'!$D$2:$D$498)</f>
        <v>261</v>
      </c>
      <c r="F297" s="104">
        <v>13030</v>
      </c>
      <c r="G297" s="105">
        <v>13030</v>
      </c>
      <c r="H297" s="106">
        <v>0</v>
      </c>
      <c r="I297" s="107">
        <v>110494</v>
      </c>
      <c r="J297" s="105">
        <v>110494</v>
      </c>
      <c r="K297" s="106">
        <v>0</v>
      </c>
      <c r="L297" s="107">
        <v>601123</v>
      </c>
      <c r="M297" s="105">
        <v>169248</v>
      </c>
      <c r="N297" s="106">
        <v>431875</v>
      </c>
      <c r="O297" s="107">
        <f t="shared" si="14"/>
        <v>724647</v>
      </c>
      <c r="P297" s="105">
        <f t="shared" si="14"/>
        <v>292772</v>
      </c>
      <c r="Q297" s="106">
        <f t="shared" si="14"/>
        <v>431875</v>
      </c>
      <c r="R297" s="105">
        <f t="shared" si="15"/>
        <v>2776.4252873563219</v>
      </c>
      <c r="S297" s="105">
        <f t="shared" si="15"/>
        <v>1121.7318007662834</v>
      </c>
      <c r="T297" s="108">
        <f t="shared" si="15"/>
        <v>1654.6934865900382</v>
      </c>
    </row>
    <row r="298" spans="1:20" s="85" customFormat="1" ht="12.75" x14ac:dyDescent="0.2">
      <c r="A298" s="109">
        <v>2172</v>
      </c>
      <c r="B298" s="110">
        <v>52</v>
      </c>
      <c r="C298" s="103" t="s">
        <v>415</v>
      </c>
      <c r="D298" s="103">
        <v>6</v>
      </c>
      <c r="E298" s="104">
        <f>+SUMIF('GE16FEB14 Unfudged'!$A$2:$A$498, $A298, 'GE16FEB14 Unfudged'!$D$2:$D$498)</f>
        <v>844</v>
      </c>
      <c r="F298" s="104">
        <v>105073</v>
      </c>
      <c r="G298" s="105">
        <v>72802</v>
      </c>
      <c r="H298" s="106">
        <v>32271</v>
      </c>
      <c r="I298" s="107">
        <v>357686</v>
      </c>
      <c r="J298" s="105">
        <v>247832</v>
      </c>
      <c r="K298" s="106">
        <v>109854</v>
      </c>
      <c r="L298" s="107">
        <v>523968</v>
      </c>
      <c r="M298" s="105">
        <v>289317</v>
      </c>
      <c r="N298" s="106">
        <v>234651</v>
      </c>
      <c r="O298" s="107">
        <f t="shared" si="14"/>
        <v>986727</v>
      </c>
      <c r="P298" s="105">
        <f t="shared" si="14"/>
        <v>609951</v>
      </c>
      <c r="Q298" s="106">
        <f t="shared" si="14"/>
        <v>376776</v>
      </c>
      <c r="R298" s="105">
        <f t="shared" si="15"/>
        <v>1169.1078199052133</v>
      </c>
      <c r="S298" s="105">
        <f t="shared" si="15"/>
        <v>722.69075829383883</v>
      </c>
      <c r="T298" s="108">
        <f t="shared" si="15"/>
        <v>446.41706161137444</v>
      </c>
    </row>
    <row r="299" spans="1:20" s="85" customFormat="1" ht="12.75" x14ac:dyDescent="0.2">
      <c r="A299" s="109">
        <v>2174</v>
      </c>
      <c r="B299" s="110">
        <v>52</v>
      </c>
      <c r="C299" s="103" t="s">
        <v>416</v>
      </c>
      <c r="D299" s="103">
        <v>6</v>
      </c>
      <c r="E299" s="104">
        <f>+SUMIF('GE16FEB14 Unfudged'!$A$2:$A$498, $A299, 'GE16FEB14 Unfudged'!$D$2:$D$498)</f>
        <v>965</v>
      </c>
      <c r="F299" s="104">
        <v>138902</v>
      </c>
      <c r="G299" s="105">
        <v>138902</v>
      </c>
      <c r="H299" s="106">
        <v>0</v>
      </c>
      <c r="I299" s="107">
        <v>408990</v>
      </c>
      <c r="J299" s="105">
        <v>408990</v>
      </c>
      <c r="K299" s="106">
        <v>0</v>
      </c>
      <c r="L299" s="107">
        <v>289380</v>
      </c>
      <c r="M299" s="105">
        <v>175366</v>
      </c>
      <c r="N299" s="106">
        <v>114014</v>
      </c>
      <c r="O299" s="107">
        <f t="shared" si="14"/>
        <v>837272</v>
      </c>
      <c r="P299" s="105">
        <f t="shared" si="14"/>
        <v>723258</v>
      </c>
      <c r="Q299" s="106">
        <f t="shared" si="14"/>
        <v>114014</v>
      </c>
      <c r="R299" s="105">
        <f t="shared" si="15"/>
        <v>867.63937823834192</v>
      </c>
      <c r="S299" s="105">
        <f t="shared" si="15"/>
        <v>749.49015544041447</v>
      </c>
      <c r="T299" s="108">
        <f t="shared" si="15"/>
        <v>118.14922279792746</v>
      </c>
    </row>
    <row r="300" spans="1:20" s="85" customFormat="1" ht="12.75" x14ac:dyDescent="0.2">
      <c r="A300" s="109">
        <v>2176</v>
      </c>
      <c r="B300" s="110">
        <v>70</v>
      </c>
      <c r="C300" s="103" t="s">
        <v>417</v>
      </c>
      <c r="D300" s="103">
        <v>6</v>
      </c>
      <c r="E300" s="104">
        <f>+SUMIF('GE16FEB14 Unfudged'!$A$2:$A$498, $A300, 'GE16FEB14 Unfudged'!$D$2:$D$498)</f>
        <v>457</v>
      </c>
      <c r="F300" s="104">
        <v>34752</v>
      </c>
      <c r="G300" s="105">
        <v>19747</v>
      </c>
      <c r="H300" s="106">
        <v>15005</v>
      </c>
      <c r="I300" s="107">
        <v>193853</v>
      </c>
      <c r="J300" s="105">
        <v>110152</v>
      </c>
      <c r="K300" s="106">
        <v>83701</v>
      </c>
      <c r="L300" s="107">
        <v>650440</v>
      </c>
      <c r="M300" s="105">
        <v>285336</v>
      </c>
      <c r="N300" s="106">
        <v>365104</v>
      </c>
      <c r="O300" s="107">
        <f t="shared" si="14"/>
        <v>879045</v>
      </c>
      <c r="P300" s="105">
        <f t="shared" si="14"/>
        <v>415235</v>
      </c>
      <c r="Q300" s="106">
        <f t="shared" si="14"/>
        <v>463810</v>
      </c>
      <c r="R300" s="105">
        <f t="shared" si="15"/>
        <v>1923.512035010941</v>
      </c>
      <c r="S300" s="105">
        <f t="shared" si="15"/>
        <v>908.61050328227566</v>
      </c>
      <c r="T300" s="108">
        <f t="shared" si="15"/>
        <v>1014.9015317286652</v>
      </c>
    </row>
    <row r="301" spans="1:20" s="85" customFormat="1" ht="12.75" x14ac:dyDescent="0.2">
      <c r="A301" s="109">
        <v>2180</v>
      </c>
      <c r="B301" s="110">
        <v>60</v>
      </c>
      <c r="C301" s="103" t="s">
        <v>418</v>
      </c>
      <c r="D301" s="103">
        <v>6</v>
      </c>
      <c r="E301" s="104">
        <f>+SUMIF('GE16FEB14 Unfudged'!$A$2:$A$498, $A301, 'GE16FEB14 Unfudged'!$D$2:$D$498)</f>
        <v>688</v>
      </c>
      <c r="F301" s="104">
        <v>49143</v>
      </c>
      <c r="G301" s="105">
        <v>29450</v>
      </c>
      <c r="H301" s="106">
        <v>19693</v>
      </c>
      <c r="I301" s="107">
        <v>291839</v>
      </c>
      <c r="J301" s="105">
        <v>174894</v>
      </c>
      <c r="K301" s="106">
        <v>116945</v>
      </c>
      <c r="L301" s="107">
        <v>1031638</v>
      </c>
      <c r="M301" s="105">
        <v>769989</v>
      </c>
      <c r="N301" s="106">
        <v>261649</v>
      </c>
      <c r="O301" s="107">
        <f t="shared" si="14"/>
        <v>1372620</v>
      </c>
      <c r="P301" s="105">
        <f t="shared" si="14"/>
        <v>974333</v>
      </c>
      <c r="Q301" s="106">
        <f t="shared" si="14"/>
        <v>398287</v>
      </c>
      <c r="R301" s="105">
        <f t="shared" si="15"/>
        <v>1995.0872093023256</v>
      </c>
      <c r="S301" s="105">
        <f t="shared" si="15"/>
        <v>1416.1816860465117</v>
      </c>
      <c r="T301" s="108">
        <f t="shared" si="15"/>
        <v>578.90552325581393</v>
      </c>
    </row>
    <row r="302" spans="1:20" s="85" customFormat="1" ht="12.75" x14ac:dyDescent="0.2">
      <c r="A302" s="109">
        <v>2184</v>
      </c>
      <c r="B302" s="110">
        <v>60</v>
      </c>
      <c r="C302" s="103" t="s">
        <v>419</v>
      </c>
      <c r="D302" s="103">
        <v>5</v>
      </c>
      <c r="E302" s="104">
        <f>+SUMIF('GE16FEB14 Unfudged'!$A$2:$A$498, $A302, 'GE16FEB14 Unfudged'!$D$2:$D$498)</f>
        <v>1271</v>
      </c>
      <c r="F302" s="104">
        <v>144777</v>
      </c>
      <c r="G302" s="105">
        <v>74589</v>
      </c>
      <c r="H302" s="106">
        <v>70188</v>
      </c>
      <c r="I302" s="107">
        <v>538883</v>
      </c>
      <c r="J302" s="105">
        <v>277631</v>
      </c>
      <c r="K302" s="106">
        <v>261252</v>
      </c>
      <c r="L302" s="107">
        <v>1012718</v>
      </c>
      <c r="M302" s="105">
        <v>457446</v>
      </c>
      <c r="N302" s="106">
        <v>555272</v>
      </c>
      <c r="O302" s="107">
        <f t="shared" si="14"/>
        <v>1696378</v>
      </c>
      <c r="P302" s="105">
        <f t="shared" si="14"/>
        <v>809666</v>
      </c>
      <c r="Q302" s="106">
        <f t="shared" si="14"/>
        <v>886712</v>
      </c>
      <c r="R302" s="105">
        <f t="shared" si="15"/>
        <v>1334.6797797010229</v>
      </c>
      <c r="S302" s="105">
        <f t="shared" si="15"/>
        <v>637.03068450039336</v>
      </c>
      <c r="T302" s="108">
        <f t="shared" si="15"/>
        <v>697.6490952006294</v>
      </c>
    </row>
    <row r="303" spans="1:20" s="85" customFormat="1" ht="12.75" x14ac:dyDescent="0.2">
      <c r="A303" s="109">
        <v>2190</v>
      </c>
      <c r="B303" s="110">
        <v>1</v>
      </c>
      <c r="C303" s="103" t="s">
        <v>6</v>
      </c>
      <c r="D303" s="103">
        <v>6</v>
      </c>
      <c r="E303" s="104">
        <f>+SUMIF('GE16FEB14 Unfudged'!$A$2:$A$498, $A303, 'GE16FEB14 Unfudged'!$D$2:$D$498)</f>
        <v>817</v>
      </c>
      <c r="F303" s="104">
        <v>85682</v>
      </c>
      <c r="G303" s="105">
        <v>52113</v>
      </c>
      <c r="H303" s="106">
        <v>33569</v>
      </c>
      <c r="I303" s="107">
        <v>346408</v>
      </c>
      <c r="J303" s="105">
        <v>210691</v>
      </c>
      <c r="K303" s="106">
        <v>135717</v>
      </c>
      <c r="L303" s="107">
        <v>772923</v>
      </c>
      <c r="M303" s="105">
        <v>466978</v>
      </c>
      <c r="N303" s="106">
        <v>305945</v>
      </c>
      <c r="O303" s="107">
        <f t="shared" si="14"/>
        <v>1205013</v>
      </c>
      <c r="P303" s="105">
        <f t="shared" si="14"/>
        <v>729782</v>
      </c>
      <c r="Q303" s="106">
        <f t="shared" si="14"/>
        <v>475231</v>
      </c>
      <c r="R303" s="105">
        <f t="shared" si="15"/>
        <v>1474.9241126070992</v>
      </c>
      <c r="S303" s="105">
        <f t="shared" si="15"/>
        <v>893.24602203182371</v>
      </c>
      <c r="T303" s="108">
        <f t="shared" si="15"/>
        <v>581.67809057527541</v>
      </c>
    </row>
    <row r="304" spans="1:20" s="85" customFormat="1" ht="12.75" x14ac:dyDescent="0.2">
      <c r="A304" s="109">
        <v>2198</v>
      </c>
      <c r="B304" s="110">
        <v>1</v>
      </c>
      <c r="C304" s="103" t="s">
        <v>7</v>
      </c>
      <c r="D304" s="103">
        <v>6</v>
      </c>
      <c r="E304" s="104">
        <f>+SUMIF('GE16FEB14 Unfudged'!$A$2:$A$498, $A304, 'GE16FEB14 Unfudged'!$D$2:$D$498)</f>
        <v>580</v>
      </c>
      <c r="F304" s="104">
        <v>66302</v>
      </c>
      <c r="G304" s="105">
        <v>48492</v>
      </c>
      <c r="H304" s="106">
        <v>17810</v>
      </c>
      <c r="I304" s="107">
        <v>246090</v>
      </c>
      <c r="J304" s="105">
        <v>179985</v>
      </c>
      <c r="K304" s="106">
        <v>66105</v>
      </c>
      <c r="L304" s="107">
        <v>459375</v>
      </c>
      <c r="M304" s="105">
        <v>287341</v>
      </c>
      <c r="N304" s="106">
        <v>172034</v>
      </c>
      <c r="O304" s="107">
        <f t="shared" si="14"/>
        <v>771767</v>
      </c>
      <c r="P304" s="105">
        <f t="shared" si="14"/>
        <v>515818</v>
      </c>
      <c r="Q304" s="106">
        <f t="shared" si="14"/>
        <v>255949</v>
      </c>
      <c r="R304" s="105">
        <f t="shared" si="15"/>
        <v>1330.6327586206896</v>
      </c>
      <c r="S304" s="105">
        <f t="shared" si="15"/>
        <v>889.34137931034479</v>
      </c>
      <c r="T304" s="108">
        <f t="shared" si="15"/>
        <v>441.29137931034484</v>
      </c>
    </row>
    <row r="305" spans="1:20" s="85" customFormat="1" ht="12.75" x14ac:dyDescent="0.2">
      <c r="A305" s="109">
        <v>2215</v>
      </c>
      <c r="B305" s="110">
        <v>1</v>
      </c>
      <c r="C305" s="103" t="s">
        <v>420</v>
      </c>
      <c r="D305" s="103">
        <v>6</v>
      </c>
      <c r="E305" s="104">
        <f>+SUMIF('GE16FEB14 Unfudged'!$A$2:$A$498, $A305, 'GE16FEB14 Unfudged'!$D$2:$D$498)</f>
        <v>327</v>
      </c>
      <c r="F305" s="104">
        <v>24588</v>
      </c>
      <c r="G305" s="105">
        <v>8016</v>
      </c>
      <c r="H305" s="106">
        <v>16572</v>
      </c>
      <c r="I305" s="107">
        <v>138818</v>
      </c>
      <c r="J305" s="105">
        <v>45259</v>
      </c>
      <c r="K305" s="106">
        <v>93559</v>
      </c>
      <c r="L305" s="107">
        <v>470690</v>
      </c>
      <c r="M305" s="105">
        <v>194870</v>
      </c>
      <c r="N305" s="106">
        <v>275820</v>
      </c>
      <c r="O305" s="107">
        <f t="shared" si="14"/>
        <v>634096</v>
      </c>
      <c r="P305" s="105">
        <f t="shared" si="14"/>
        <v>248145</v>
      </c>
      <c r="Q305" s="106">
        <f t="shared" si="14"/>
        <v>385951</v>
      </c>
      <c r="R305" s="105">
        <f t="shared" si="15"/>
        <v>1939.1314984709479</v>
      </c>
      <c r="S305" s="105">
        <f t="shared" si="15"/>
        <v>758.85321100917429</v>
      </c>
      <c r="T305" s="108">
        <f t="shared" si="15"/>
        <v>1180.2782874617737</v>
      </c>
    </row>
    <row r="306" spans="1:20" s="85" customFormat="1" ht="12.75" x14ac:dyDescent="0.2">
      <c r="A306" s="109">
        <v>2310</v>
      </c>
      <c r="B306" s="110">
        <v>1</v>
      </c>
      <c r="C306" s="103" t="s">
        <v>421</v>
      </c>
      <c r="D306" s="103">
        <v>5</v>
      </c>
      <c r="E306" s="104">
        <f>+SUMIF('GE16FEB14 Unfudged'!$A$2:$A$498, $A306, 'GE16FEB14 Unfudged'!$D$2:$D$498)</f>
        <v>1346</v>
      </c>
      <c r="F306" s="104">
        <v>193766</v>
      </c>
      <c r="G306" s="105">
        <v>89715</v>
      </c>
      <c r="H306" s="106">
        <v>104051</v>
      </c>
      <c r="I306" s="107">
        <v>570534</v>
      </c>
      <c r="J306" s="105">
        <v>264160</v>
      </c>
      <c r="K306" s="106">
        <v>306374</v>
      </c>
      <c r="L306" s="107">
        <v>403680</v>
      </c>
      <c r="M306" s="105">
        <v>108321</v>
      </c>
      <c r="N306" s="106">
        <v>295359</v>
      </c>
      <c r="O306" s="107">
        <f t="shared" si="14"/>
        <v>1167980</v>
      </c>
      <c r="P306" s="105">
        <f t="shared" si="14"/>
        <v>462196</v>
      </c>
      <c r="Q306" s="106">
        <f t="shared" si="14"/>
        <v>705784</v>
      </c>
      <c r="R306" s="105">
        <f t="shared" si="15"/>
        <v>867.74145616641897</v>
      </c>
      <c r="S306" s="105">
        <f t="shared" si="15"/>
        <v>343.3848439821694</v>
      </c>
      <c r="T306" s="108">
        <f t="shared" si="15"/>
        <v>524.35661218424968</v>
      </c>
    </row>
    <row r="307" spans="1:20" s="85" customFormat="1" ht="12.75" x14ac:dyDescent="0.2">
      <c r="A307" s="109">
        <v>2311</v>
      </c>
      <c r="B307" s="110">
        <v>1</v>
      </c>
      <c r="C307" s="103" t="s">
        <v>422</v>
      </c>
      <c r="D307" s="103">
        <v>6</v>
      </c>
      <c r="E307" s="104">
        <f>+SUMIF('GE16FEB14 Unfudged'!$A$2:$A$498, $A307, 'GE16FEB14 Unfudged'!$D$2:$D$498)</f>
        <v>462</v>
      </c>
      <c r="F307" s="104">
        <v>66493</v>
      </c>
      <c r="G307" s="105">
        <v>66493</v>
      </c>
      <c r="H307" s="106">
        <v>0</v>
      </c>
      <c r="I307" s="107">
        <v>195782</v>
      </c>
      <c r="J307" s="105">
        <v>195782</v>
      </c>
      <c r="K307" s="106">
        <v>0</v>
      </c>
      <c r="L307" s="107">
        <v>138525</v>
      </c>
      <c r="M307" s="105">
        <v>116664</v>
      </c>
      <c r="N307" s="106">
        <v>21861</v>
      </c>
      <c r="O307" s="107">
        <f t="shared" si="14"/>
        <v>400800</v>
      </c>
      <c r="P307" s="105">
        <f t="shared" si="14"/>
        <v>378939</v>
      </c>
      <c r="Q307" s="106">
        <f t="shared" si="14"/>
        <v>21861</v>
      </c>
      <c r="R307" s="105">
        <f t="shared" si="15"/>
        <v>867.53246753246754</v>
      </c>
      <c r="S307" s="105">
        <f t="shared" si="15"/>
        <v>820.21428571428567</v>
      </c>
      <c r="T307" s="108">
        <f t="shared" si="15"/>
        <v>47.31818181818182</v>
      </c>
    </row>
    <row r="308" spans="1:20" s="85" customFormat="1" ht="12.75" x14ac:dyDescent="0.2">
      <c r="A308" s="109">
        <v>2342</v>
      </c>
      <c r="B308" s="110">
        <v>1</v>
      </c>
      <c r="C308" s="103" t="s">
        <v>8</v>
      </c>
      <c r="D308" s="103">
        <v>6</v>
      </c>
      <c r="E308" s="104">
        <f>+SUMIF('GE16FEB14 Unfudged'!$A$2:$A$498, $A308, 'GE16FEB14 Unfudged'!$D$2:$D$498)</f>
        <v>784</v>
      </c>
      <c r="F308" s="104">
        <v>76452</v>
      </c>
      <c r="G308" s="105">
        <v>46211</v>
      </c>
      <c r="H308" s="106">
        <v>30241</v>
      </c>
      <c r="I308" s="107">
        <v>332416</v>
      </c>
      <c r="J308" s="105">
        <v>200927</v>
      </c>
      <c r="K308" s="106">
        <v>131489</v>
      </c>
      <c r="L308" s="107">
        <v>836975</v>
      </c>
      <c r="M308" s="105">
        <v>541512</v>
      </c>
      <c r="N308" s="106">
        <v>295463</v>
      </c>
      <c r="O308" s="107">
        <f t="shared" si="14"/>
        <v>1245843</v>
      </c>
      <c r="P308" s="105">
        <f t="shared" si="14"/>
        <v>788650</v>
      </c>
      <c r="Q308" s="106">
        <f t="shared" si="14"/>
        <v>457193</v>
      </c>
      <c r="R308" s="105">
        <f t="shared" si="15"/>
        <v>1589.0854591836735</v>
      </c>
      <c r="S308" s="105">
        <f t="shared" si="15"/>
        <v>1005.9311224489796</v>
      </c>
      <c r="T308" s="108">
        <f t="shared" si="15"/>
        <v>583.15433673469386</v>
      </c>
    </row>
    <row r="309" spans="1:20" s="85" customFormat="1" ht="12.75" x14ac:dyDescent="0.2">
      <c r="A309" s="109">
        <v>2358</v>
      </c>
      <c r="B309" s="110">
        <v>1</v>
      </c>
      <c r="C309" s="103" t="s">
        <v>423</v>
      </c>
      <c r="D309" s="103">
        <v>6</v>
      </c>
      <c r="E309" s="104">
        <f>+SUMIF('GE16FEB14 Unfudged'!$A$2:$A$498, $A309, 'GE16FEB14 Unfudged'!$D$2:$D$498)</f>
        <v>220</v>
      </c>
      <c r="F309" s="104">
        <v>19102</v>
      </c>
      <c r="G309" s="105">
        <v>8147</v>
      </c>
      <c r="H309" s="106">
        <v>10955</v>
      </c>
      <c r="I309" s="107">
        <v>93428</v>
      </c>
      <c r="J309" s="105">
        <v>39846</v>
      </c>
      <c r="K309" s="106">
        <v>53582</v>
      </c>
      <c r="L309" s="107">
        <v>274640</v>
      </c>
      <c r="M309" s="105">
        <v>139952</v>
      </c>
      <c r="N309" s="106">
        <v>134688</v>
      </c>
      <c r="O309" s="107">
        <f t="shared" si="14"/>
        <v>387170</v>
      </c>
      <c r="P309" s="105">
        <f t="shared" si="14"/>
        <v>187945</v>
      </c>
      <c r="Q309" s="106">
        <f t="shared" si="14"/>
        <v>199225</v>
      </c>
      <c r="R309" s="105">
        <f t="shared" si="15"/>
        <v>1759.8636363636363</v>
      </c>
      <c r="S309" s="105">
        <f t="shared" si="15"/>
        <v>854.2954545454545</v>
      </c>
      <c r="T309" s="108">
        <f t="shared" si="15"/>
        <v>905.56818181818187</v>
      </c>
    </row>
    <row r="310" spans="1:20" s="85" customFormat="1" ht="12.75" x14ac:dyDescent="0.2">
      <c r="A310" s="109">
        <v>2364</v>
      </c>
      <c r="B310" s="110">
        <v>1</v>
      </c>
      <c r="C310" s="103" t="s">
        <v>424</v>
      </c>
      <c r="D310" s="103">
        <v>6</v>
      </c>
      <c r="E310" s="104">
        <f>+SUMIF('GE16FEB14 Unfudged'!$A$2:$A$498, $A310, 'GE16FEB14 Unfudged'!$D$2:$D$498)</f>
        <v>679</v>
      </c>
      <c r="F310" s="104">
        <v>88937</v>
      </c>
      <c r="G310" s="105">
        <v>51283</v>
      </c>
      <c r="H310" s="106">
        <v>37654</v>
      </c>
      <c r="I310" s="107">
        <v>287938</v>
      </c>
      <c r="J310" s="105">
        <v>166031</v>
      </c>
      <c r="K310" s="106">
        <v>121907</v>
      </c>
      <c r="L310" s="107">
        <v>349920</v>
      </c>
      <c r="M310" s="105">
        <v>152378</v>
      </c>
      <c r="N310" s="106">
        <v>197542</v>
      </c>
      <c r="O310" s="107">
        <f t="shared" si="14"/>
        <v>726795</v>
      </c>
      <c r="P310" s="105">
        <f t="shared" si="14"/>
        <v>369692</v>
      </c>
      <c r="Q310" s="106">
        <f t="shared" si="14"/>
        <v>357103</v>
      </c>
      <c r="R310" s="105">
        <f t="shared" si="15"/>
        <v>1070.3902798232696</v>
      </c>
      <c r="S310" s="105">
        <f t="shared" si="15"/>
        <v>544.46539027982328</v>
      </c>
      <c r="T310" s="108">
        <f t="shared" si="15"/>
        <v>525.92488954344628</v>
      </c>
    </row>
    <row r="311" spans="1:20" s="85" customFormat="1" ht="12.75" x14ac:dyDescent="0.2">
      <c r="A311" s="109">
        <v>2365</v>
      </c>
      <c r="B311" s="110">
        <v>1</v>
      </c>
      <c r="C311" s="103" t="s">
        <v>9</v>
      </c>
      <c r="D311" s="103">
        <v>6</v>
      </c>
      <c r="E311" s="104">
        <f>+SUMIF('GE16FEB14 Unfudged'!$A$2:$A$498, $A311, 'GE16FEB14 Unfudged'!$D$2:$D$498)</f>
        <v>893</v>
      </c>
      <c r="F311" s="104">
        <v>117261</v>
      </c>
      <c r="G311" s="105">
        <v>71743</v>
      </c>
      <c r="H311" s="106">
        <v>45518</v>
      </c>
      <c r="I311" s="107">
        <v>378802</v>
      </c>
      <c r="J311" s="105">
        <v>231761</v>
      </c>
      <c r="K311" s="106">
        <v>147041</v>
      </c>
      <c r="L311" s="107">
        <v>456063</v>
      </c>
      <c r="M311" s="105">
        <v>210085</v>
      </c>
      <c r="N311" s="106">
        <v>245978</v>
      </c>
      <c r="O311" s="107">
        <f t="shared" si="14"/>
        <v>952126</v>
      </c>
      <c r="P311" s="105">
        <f t="shared" si="14"/>
        <v>513589</v>
      </c>
      <c r="Q311" s="106">
        <f t="shared" si="14"/>
        <v>438537</v>
      </c>
      <c r="R311" s="105">
        <f t="shared" si="15"/>
        <v>1066.2105263157894</v>
      </c>
      <c r="S311" s="105">
        <f t="shared" si="15"/>
        <v>575.12765957446811</v>
      </c>
      <c r="T311" s="108">
        <f t="shared" si="15"/>
        <v>491.08286674132137</v>
      </c>
    </row>
    <row r="312" spans="1:20" s="85" customFormat="1" ht="12.75" x14ac:dyDescent="0.2">
      <c r="A312" s="109">
        <v>2396</v>
      </c>
      <c r="B312" s="110">
        <v>1</v>
      </c>
      <c r="C312" s="103" t="s">
        <v>10</v>
      </c>
      <c r="D312" s="103">
        <v>6</v>
      </c>
      <c r="E312" s="104">
        <f>+SUMIF('GE16FEB14 Unfudged'!$A$2:$A$498, $A312, 'GE16FEB14 Unfudged'!$D$2:$D$498)</f>
        <v>841</v>
      </c>
      <c r="F312" s="104">
        <v>95446</v>
      </c>
      <c r="G312" s="105">
        <v>67770</v>
      </c>
      <c r="H312" s="106">
        <v>27676</v>
      </c>
      <c r="I312" s="107">
        <v>356754</v>
      </c>
      <c r="J312" s="105">
        <v>253307</v>
      </c>
      <c r="K312" s="106">
        <v>103447</v>
      </c>
      <c r="L312" s="107">
        <v>677033</v>
      </c>
      <c r="M312" s="105">
        <v>416253</v>
      </c>
      <c r="N312" s="106">
        <v>260780</v>
      </c>
      <c r="O312" s="107">
        <f t="shared" si="14"/>
        <v>1129233</v>
      </c>
      <c r="P312" s="105">
        <f t="shared" si="14"/>
        <v>737330</v>
      </c>
      <c r="Q312" s="106">
        <f t="shared" si="14"/>
        <v>391903</v>
      </c>
      <c r="R312" s="105">
        <f t="shared" si="15"/>
        <v>1342.7265160523186</v>
      </c>
      <c r="S312" s="105">
        <f t="shared" si="15"/>
        <v>876.73008323424494</v>
      </c>
      <c r="T312" s="108">
        <f t="shared" si="15"/>
        <v>465.99643281807374</v>
      </c>
    </row>
    <row r="313" spans="1:20" s="85" customFormat="1" ht="12.75" x14ac:dyDescent="0.2">
      <c r="A313" s="109">
        <v>2397</v>
      </c>
      <c r="B313" s="110">
        <v>1</v>
      </c>
      <c r="C313" s="103" t="s">
        <v>425</v>
      </c>
      <c r="D313" s="103">
        <v>5</v>
      </c>
      <c r="E313" s="104">
        <f>+SUMIF('GE16FEB14 Unfudged'!$A$2:$A$498, $A313, 'GE16FEB14 Unfudged'!$D$2:$D$498)</f>
        <v>1084</v>
      </c>
      <c r="F313" s="104">
        <v>142522</v>
      </c>
      <c r="G313" s="105">
        <v>104204</v>
      </c>
      <c r="H313" s="106">
        <v>38318</v>
      </c>
      <c r="I313" s="107">
        <v>459701</v>
      </c>
      <c r="J313" s="105">
        <v>336108</v>
      </c>
      <c r="K313" s="106">
        <v>123593</v>
      </c>
      <c r="L313" s="107">
        <v>549874</v>
      </c>
      <c r="M313" s="105">
        <v>302048</v>
      </c>
      <c r="N313" s="106">
        <v>247826</v>
      </c>
      <c r="O313" s="107">
        <f t="shared" si="14"/>
        <v>1152097</v>
      </c>
      <c r="P313" s="105">
        <f t="shared" si="14"/>
        <v>742360</v>
      </c>
      <c r="Q313" s="106">
        <f t="shared" si="14"/>
        <v>409737</v>
      </c>
      <c r="R313" s="105">
        <f t="shared" si="15"/>
        <v>1062.8201107011071</v>
      </c>
      <c r="S313" s="105">
        <f t="shared" si="15"/>
        <v>684.83394833948341</v>
      </c>
      <c r="T313" s="108">
        <f t="shared" si="15"/>
        <v>377.9861623616236</v>
      </c>
    </row>
    <row r="314" spans="1:20" s="85" customFormat="1" ht="12.75" x14ac:dyDescent="0.2">
      <c r="A314" s="109">
        <v>2448</v>
      </c>
      <c r="B314" s="110">
        <v>1</v>
      </c>
      <c r="C314" s="103" t="s">
        <v>426</v>
      </c>
      <c r="D314" s="103">
        <v>6</v>
      </c>
      <c r="E314" s="104">
        <f>+SUMIF('GE16FEB14 Unfudged'!$A$2:$A$498, $A314, 'GE16FEB14 Unfudged'!$D$2:$D$498)</f>
        <v>812</v>
      </c>
      <c r="F314" s="104">
        <v>81132</v>
      </c>
      <c r="G314" s="105">
        <v>62240</v>
      </c>
      <c r="H314" s="106">
        <v>18892</v>
      </c>
      <c r="I314" s="107">
        <v>344288</v>
      </c>
      <c r="J314" s="105">
        <v>264118</v>
      </c>
      <c r="K314" s="106">
        <v>80170</v>
      </c>
      <c r="L314" s="107">
        <v>834663</v>
      </c>
      <c r="M314" s="105">
        <v>608671</v>
      </c>
      <c r="N314" s="106">
        <v>225992</v>
      </c>
      <c r="O314" s="107">
        <f t="shared" si="14"/>
        <v>1260083</v>
      </c>
      <c r="P314" s="105">
        <f t="shared" si="14"/>
        <v>935029</v>
      </c>
      <c r="Q314" s="106">
        <f t="shared" si="14"/>
        <v>325054</v>
      </c>
      <c r="R314" s="105">
        <f t="shared" si="15"/>
        <v>1551.826354679803</v>
      </c>
      <c r="S314" s="105">
        <f t="shared" si="15"/>
        <v>1151.5135467980297</v>
      </c>
      <c r="T314" s="108">
        <f t="shared" si="15"/>
        <v>400.31280788177338</v>
      </c>
    </row>
    <row r="315" spans="1:20" s="85" customFormat="1" ht="12.75" x14ac:dyDescent="0.2">
      <c r="A315" s="109">
        <v>2527</v>
      </c>
      <c r="B315" s="110">
        <v>1</v>
      </c>
      <c r="C315" s="103" t="s">
        <v>427</v>
      </c>
      <c r="D315" s="103">
        <v>6</v>
      </c>
      <c r="E315" s="104">
        <f>+SUMIF('GE16FEB14 Unfudged'!$A$2:$A$498, $A315, 'GE16FEB14 Unfudged'!$D$2:$D$498)</f>
        <v>300</v>
      </c>
      <c r="F315" s="104">
        <v>26676</v>
      </c>
      <c r="G315" s="105">
        <v>9802</v>
      </c>
      <c r="H315" s="106">
        <v>16874</v>
      </c>
      <c r="I315" s="107">
        <v>127030</v>
      </c>
      <c r="J315" s="105">
        <v>46678</v>
      </c>
      <c r="K315" s="106">
        <v>80352</v>
      </c>
      <c r="L315" s="107">
        <v>361770</v>
      </c>
      <c r="M315" s="105">
        <v>156424</v>
      </c>
      <c r="N315" s="106">
        <v>205346</v>
      </c>
      <c r="O315" s="107">
        <f t="shared" si="14"/>
        <v>515476</v>
      </c>
      <c r="P315" s="105">
        <f t="shared" si="14"/>
        <v>212904</v>
      </c>
      <c r="Q315" s="106">
        <f t="shared" si="14"/>
        <v>302572</v>
      </c>
      <c r="R315" s="105">
        <f t="shared" si="15"/>
        <v>1718.2533333333333</v>
      </c>
      <c r="S315" s="105">
        <f t="shared" si="15"/>
        <v>709.68</v>
      </c>
      <c r="T315" s="108">
        <f t="shared" si="15"/>
        <v>1008.5733333333334</v>
      </c>
    </row>
    <row r="316" spans="1:20" s="85" customFormat="1" ht="12.75" x14ac:dyDescent="0.2">
      <c r="A316" s="109">
        <v>2534</v>
      </c>
      <c r="B316" s="110">
        <v>1</v>
      </c>
      <c r="C316" s="103" t="s">
        <v>11</v>
      </c>
      <c r="D316" s="103">
        <v>6</v>
      </c>
      <c r="E316" s="104">
        <f>+SUMIF('GE16FEB14 Unfudged'!$A$2:$A$498, $A316, 'GE16FEB14 Unfudged'!$D$2:$D$498)</f>
        <v>722</v>
      </c>
      <c r="F316" s="104">
        <v>102947</v>
      </c>
      <c r="G316" s="105">
        <v>74404</v>
      </c>
      <c r="H316" s="106">
        <v>28543</v>
      </c>
      <c r="I316" s="107">
        <v>306170</v>
      </c>
      <c r="J316" s="105">
        <v>221281</v>
      </c>
      <c r="K316" s="106">
        <v>84889</v>
      </c>
      <c r="L316" s="107">
        <v>233729</v>
      </c>
      <c r="M316" s="105">
        <v>103095</v>
      </c>
      <c r="N316" s="106">
        <v>130634</v>
      </c>
      <c r="O316" s="107">
        <f t="shared" si="14"/>
        <v>642846</v>
      </c>
      <c r="P316" s="105">
        <f t="shared" si="14"/>
        <v>398780</v>
      </c>
      <c r="Q316" s="106">
        <f t="shared" si="14"/>
        <v>244066</v>
      </c>
      <c r="R316" s="105">
        <f t="shared" si="15"/>
        <v>890.36842105263156</v>
      </c>
      <c r="S316" s="105">
        <f t="shared" si="15"/>
        <v>552.32686980609424</v>
      </c>
      <c r="T316" s="108">
        <f t="shared" si="15"/>
        <v>338.04155124653738</v>
      </c>
    </row>
    <row r="317" spans="1:20" s="85" customFormat="1" ht="12.75" x14ac:dyDescent="0.2">
      <c r="A317" s="109">
        <v>2536</v>
      </c>
      <c r="B317" s="110">
        <v>1</v>
      </c>
      <c r="C317" s="103" t="s">
        <v>428</v>
      </c>
      <c r="D317" s="103">
        <v>6</v>
      </c>
      <c r="E317" s="104">
        <f>+SUMIF('GE16FEB14 Unfudged'!$A$2:$A$498, $A317, 'GE16FEB14 Unfudged'!$D$2:$D$498)</f>
        <v>218</v>
      </c>
      <c r="F317" s="104">
        <v>10905</v>
      </c>
      <c r="G317" s="105">
        <v>6356</v>
      </c>
      <c r="H317" s="106">
        <v>4549</v>
      </c>
      <c r="I317" s="107">
        <v>92474</v>
      </c>
      <c r="J317" s="105">
        <v>53899</v>
      </c>
      <c r="K317" s="106">
        <v>38575</v>
      </c>
      <c r="L317" s="107">
        <v>659903</v>
      </c>
      <c r="M317" s="105">
        <v>483469</v>
      </c>
      <c r="N317" s="106">
        <v>176434</v>
      </c>
      <c r="O317" s="107">
        <f t="shared" si="14"/>
        <v>763282</v>
      </c>
      <c r="P317" s="105">
        <f t="shared" si="14"/>
        <v>543724</v>
      </c>
      <c r="Q317" s="106">
        <f t="shared" si="14"/>
        <v>219558</v>
      </c>
      <c r="R317" s="105">
        <f t="shared" si="15"/>
        <v>3501.2935779816512</v>
      </c>
      <c r="S317" s="105">
        <f t="shared" si="15"/>
        <v>2494.1467889908258</v>
      </c>
      <c r="T317" s="108">
        <f t="shared" si="15"/>
        <v>1007.1467889908257</v>
      </c>
    </row>
    <row r="318" spans="1:20" s="85" customFormat="1" ht="12.75" x14ac:dyDescent="0.2">
      <c r="A318" s="109">
        <v>2580</v>
      </c>
      <c r="B318" s="110">
        <v>1</v>
      </c>
      <c r="C318" s="103" t="s">
        <v>429</v>
      </c>
      <c r="D318" s="103">
        <v>6</v>
      </c>
      <c r="E318" s="104">
        <f>+SUMIF('GE16FEB14 Unfudged'!$A$2:$A$498, $A318, 'GE16FEB14 Unfudged'!$D$2:$D$498)</f>
        <v>828</v>
      </c>
      <c r="F318" s="104">
        <v>119290</v>
      </c>
      <c r="G318" s="105">
        <v>58041</v>
      </c>
      <c r="H318" s="106">
        <v>61249</v>
      </c>
      <c r="I318" s="107">
        <v>351242</v>
      </c>
      <c r="J318" s="105">
        <v>170897</v>
      </c>
      <c r="K318" s="106">
        <v>180345</v>
      </c>
      <c r="L318" s="107">
        <v>248520</v>
      </c>
      <c r="M318" s="105">
        <v>70077</v>
      </c>
      <c r="N318" s="106">
        <v>178443</v>
      </c>
      <c r="O318" s="107">
        <f t="shared" si="14"/>
        <v>719052</v>
      </c>
      <c r="P318" s="105">
        <f t="shared" si="14"/>
        <v>299015</v>
      </c>
      <c r="Q318" s="106">
        <f t="shared" si="14"/>
        <v>420037</v>
      </c>
      <c r="R318" s="105">
        <f t="shared" si="15"/>
        <v>868.4202898550725</v>
      </c>
      <c r="S318" s="105">
        <f t="shared" si="15"/>
        <v>361.12922705314008</v>
      </c>
      <c r="T318" s="108">
        <f t="shared" si="15"/>
        <v>507.29106280193236</v>
      </c>
    </row>
    <row r="319" spans="1:20" s="85" customFormat="1" ht="12.75" x14ac:dyDescent="0.2">
      <c r="A319" s="109">
        <v>2609</v>
      </c>
      <c r="B319" s="110">
        <v>1</v>
      </c>
      <c r="C319" s="103" t="s">
        <v>430</v>
      </c>
      <c r="D319" s="103">
        <v>6</v>
      </c>
      <c r="E319" s="104">
        <f>+SUMIF('GE16FEB14 Unfudged'!$A$2:$A$498, $A319, 'GE16FEB14 Unfudged'!$D$2:$D$498)</f>
        <v>420</v>
      </c>
      <c r="F319" s="104">
        <v>50349</v>
      </c>
      <c r="G319" s="105">
        <v>33978</v>
      </c>
      <c r="H319" s="106">
        <v>16371</v>
      </c>
      <c r="I319" s="107">
        <v>178059</v>
      </c>
      <c r="J319" s="105">
        <v>120162</v>
      </c>
      <c r="K319" s="106">
        <v>57897</v>
      </c>
      <c r="L319" s="107">
        <v>293163</v>
      </c>
      <c r="M319" s="105">
        <v>162092</v>
      </c>
      <c r="N319" s="106">
        <v>131071</v>
      </c>
      <c r="O319" s="107">
        <f t="shared" si="14"/>
        <v>521571</v>
      </c>
      <c r="P319" s="105">
        <f t="shared" si="14"/>
        <v>316232</v>
      </c>
      <c r="Q319" s="106">
        <f t="shared" si="14"/>
        <v>205339</v>
      </c>
      <c r="R319" s="105">
        <f t="shared" si="15"/>
        <v>1241.8357142857142</v>
      </c>
      <c r="S319" s="105">
        <f t="shared" si="15"/>
        <v>752.93333333333328</v>
      </c>
      <c r="T319" s="108">
        <f t="shared" si="15"/>
        <v>488.90238095238095</v>
      </c>
    </row>
    <row r="320" spans="1:20" s="85" customFormat="1" ht="12.75" x14ac:dyDescent="0.2">
      <c r="A320" s="109">
        <v>2683</v>
      </c>
      <c r="B320" s="110">
        <v>1</v>
      </c>
      <c r="C320" s="103" t="s">
        <v>431</v>
      </c>
      <c r="D320" s="103">
        <v>6</v>
      </c>
      <c r="E320" s="104">
        <f>+SUMIF('GE16FEB14 Unfudged'!$A$2:$A$498, $A320, 'GE16FEB14 Unfudged'!$D$2:$D$498)</f>
        <v>417</v>
      </c>
      <c r="F320" s="104">
        <v>47116</v>
      </c>
      <c r="G320" s="105">
        <v>17282</v>
      </c>
      <c r="H320" s="106">
        <v>29834</v>
      </c>
      <c r="I320" s="107">
        <v>176638</v>
      </c>
      <c r="J320" s="105">
        <v>64790</v>
      </c>
      <c r="K320" s="106">
        <v>111848</v>
      </c>
      <c r="L320" s="107">
        <v>337558</v>
      </c>
      <c r="M320" s="105">
        <v>110368</v>
      </c>
      <c r="N320" s="106">
        <v>227190</v>
      </c>
      <c r="O320" s="107">
        <f t="shared" si="14"/>
        <v>561312</v>
      </c>
      <c r="P320" s="105">
        <f t="shared" si="14"/>
        <v>192440</v>
      </c>
      <c r="Q320" s="106">
        <f t="shared" si="14"/>
        <v>368872</v>
      </c>
      <c r="R320" s="105">
        <f t="shared" si="15"/>
        <v>1346.0719424460431</v>
      </c>
      <c r="S320" s="105">
        <f t="shared" si="15"/>
        <v>461.48681055155873</v>
      </c>
      <c r="T320" s="108">
        <f t="shared" si="15"/>
        <v>884.58513189448445</v>
      </c>
    </row>
    <row r="321" spans="1:20" s="85" customFormat="1" ht="12.75" x14ac:dyDescent="0.2">
      <c r="A321" s="109">
        <v>2687</v>
      </c>
      <c r="B321" s="110">
        <v>1</v>
      </c>
      <c r="C321" s="103" t="s">
        <v>12</v>
      </c>
      <c r="D321" s="103">
        <v>5</v>
      </c>
      <c r="E321" s="104">
        <f>+SUMIF('GE16FEB14 Unfudged'!$A$2:$A$498, $A321, 'GE16FEB14 Unfudged'!$D$2:$D$498)</f>
        <v>1228</v>
      </c>
      <c r="F321" s="104">
        <v>173118</v>
      </c>
      <c r="G321" s="105">
        <v>126956</v>
      </c>
      <c r="H321" s="106">
        <v>46162</v>
      </c>
      <c r="I321" s="107">
        <v>520587</v>
      </c>
      <c r="J321" s="105">
        <v>381772</v>
      </c>
      <c r="K321" s="106">
        <v>138815</v>
      </c>
      <c r="L321" s="107">
        <v>429190</v>
      </c>
      <c r="M321" s="105">
        <v>201172</v>
      </c>
      <c r="N321" s="106">
        <v>228018</v>
      </c>
      <c r="O321" s="107">
        <f t="shared" si="14"/>
        <v>1122895</v>
      </c>
      <c r="P321" s="105">
        <f t="shared" si="14"/>
        <v>709900</v>
      </c>
      <c r="Q321" s="106">
        <f t="shared" si="14"/>
        <v>412995</v>
      </c>
      <c r="R321" s="105">
        <f t="shared" si="15"/>
        <v>914.40960912052117</v>
      </c>
      <c r="S321" s="105">
        <f t="shared" si="15"/>
        <v>578.09446254071656</v>
      </c>
      <c r="T321" s="108">
        <f t="shared" si="15"/>
        <v>336.31514657980455</v>
      </c>
    </row>
    <row r="322" spans="1:20" s="85" customFormat="1" ht="12.75" x14ac:dyDescent="0.2">
      <c r="A322" s="109">
        <v>2689</v>
      </c>
      <c r="B322" s="110">
        <v>1</v>
      </c>
      <c r="C322" s="103" t="s">
        <v>432</v>
      </c>
      <c r="D322" s="103">
        <v>5</v>
      </c>
      <c r="E322" s="104">
        <f>+SUMIF('GE16FEB14 Unfudged'!$A$2:$A$498, $A322, 'GE16FEB14 Unfudged'!$D$2:$D$498)</f>
        <v>1178</v>
      </c>
      <c r="F322" s="104">
        <v>135852</v>
      </c>
      <c r="G322" s="105">
        <v>67069</v>
      </c>
      <c r="H322" s="106">
        <v>68783</v>
      </c>
      <c r="I322" s="107">
        <v>499472</v>
      </c>
      <c r="J322" s="105">
        <v>246587</v>
      </c>
      <c r="K322" s="106">
        <v>252885</v>
      </c>
      <c r="L322" s="107">
        <v>911183</v>
      </c>
      <c r="M322" s="105">
        <v>382444</v>
      </c>
      <c r="N322" s="106">
        <v>528739</v>
      </c>
      <c r="O322" s="107">
        <f t="shared" si="14"/>
        <v>1546507</v>
      </c>
      <c r="P322" s="105">
        <f t="shared" si="14"/>
        <v>696100</v>
      </c>
      <c r="Q322" s="106">
        <f t="shared" si="14"/>
        <v>850407</v>
      </c>
      <c r="R322" s="105">
        <f t="shared" si="15"/>
        <v>1312.8242784380307</v>
      </c>
      <c r="S322" s="105">
        <f t="shared" si="15"/>
        <v>590.91680814940582</v>
      </c>
      <c r="T322" s="108">
        <f t="shared" si="15"/>
        <v>721.90747028862484</v>
      </c>
    </row>
    <row r="323" spans="1:20" s="85" customFormat="1" ht="12.75" x14ac:dyDescent="0.2">
      <c r="A323" s="109">
        <v>2711</v>
      </c>
      <c r="B323" s="110">
        <v>1</v>
      </c>
      <c r="C323" s="103" t="s">
        <v>433</v>
      </c>
      <c r="D323" s="103">
        <v>6</v>
      </c>
      <c r="E323" s="104">
        <f>+SUMIF('GE16FEB14 Unfudged'!$A$2:$A$498, $A323, 'GE16FEB14 Unfudged'!$D$2:$D$498)</f>
        <v>1034</v>
      </c>
      <c r="F323" s="104">
        <v>148896</v>
      </c>
      <c r="G323" s="105">
        <v>102371</v>
      </c>
      <c r="H323" s="106">
        <v>46525</v>
      </c>
      <c r="I323" s="107">
        <v>438416</v>
      </c>
      <c r="J323" s="105">
        <v>301426</v>
      </c>
      <c r="K323" s="106">
        <v>136990</v>
      </c>
      <c r="L323" s="107">
        <v>310200</v>
      </c>
      <c r="M323" s="105">
        <v>123601</v>
      </c>
      <c r="N323" s="106">
        <v>186599</v>
      </c>
      <c r="O323" s="107">
        <f t="shared" si="14"/>
        <v>897512</v>
      </c>
      <c r="P323" s="105">
        <f t="shared" si="14"/>
        <v>527398</v>
      </c>
      <c r="Q323" s="106">
        <f t="shared" si="14"/>
        <v>370114</v>
      </c>
      <c r="R323" s="105">
        <f t="shared" si="15"/>
        <v>868</v>
      </c>
      <c r="S323" s="105">
        <f t="shared" si="15"/>
        <v>510.05609284332689</v>
      </c>
      <c r="T323" s="108">
        <f t="shared" si="15"/>
        <v>357.94390715667311</v>
      </c>
    </row>
    <row r="324" spans="1:20" s="85" customFormat="1" ht="12.75" x14ac:dyDescent="0.2">
      <c r="A324" s="109">
        <v>2752</v>
      </c>
      <c r="B324" s="110">
        <v>1</v>
      </c>
      <c r="C324" s="103" t="s">
        <v>434</v>
      </c>
      <c r="D324" s="103">
        <v>5</v>
      </c>
      <c r="E324" s="104">
        <f>+SUMIF('GE16FEB14 Unfudged'!$A$2:$A$498, $A324, 'GE16FEB14 Unfudged'!$D$2:$D$498)</f>
        <v>1964</v>
      </c>
      <c r="F324" s="104">
        <v>254140</v>
      </c>
      <c r="G324" s="105">
        <v>191798</v>
      </c>
      <c r="H324" s="106">
        <v>62342</v>
      </c>
      <c r="I324" s="107">
        <v>832672</v>
      </c>
      <c r="J324" s="105">
        <v>628413</v>
      </c>
      <c r="K324" s="106">
        <v>204259</v>
      </c>
      <c r="L324" s="107">
        <v>1062305</v>
      </c>
      <c r="M324" s="105">
        <v>614769</v>
      </c>
      <c r="N324" s="106">
        <v>447536</v>
      </c>
      <c r="O324" s="107">
        <f t="shared" si="14"/>
        <v>2149117</v>
      </c>
      <c r="P324" s="105">
        <f t="shared" si="14"/>
        <v>1434980</v>
      </c>
      <c r="Q324" s="106">
        <f t="shared" si="14"/>
        <v>714137</v>
      </c>
      <c r="R324" s="105">
        <f t="shared" si="15"/>
        <v>1094.2550916496946</v>
      </c>
      <c r="S324" s="105">
        <f t="shared" si="15"/>
        <v>730.64154786150709</v>
      </c>
      <c r="T324" s="108">
        <f t="shared" si="15"/>
        <v>363.61354378818737</v>
      </c>
    </row>
    <row r="325" spans="1:20" s="85" customFormat="1" ht="12.75" x14ac:dyDescent="0.2">
      <c r="A325" s="109">
        <v>2753</v>
      </c>
      <c r="B325" s="110">
        <v>1</v>
      </c>
      <c r="C325" s="103" t="s">
        <v>435</v>
      </c>
      <c r="D325" s="103">
        <v>5</v>
      </c>
      <c r="E325" s="104">
        <f>+SUMIF('GE16FEB14 Unfudged'!$A$2:$A$498, $A325, 'GE16FEB14 Unfudged'!$D$2:$D$498)</f>
        <v>960</v>
      </c>
      <c r="F325" s="104">
        <v>124473</v>
      </c>
      <c r="G325" s="105">
        <v>77772</v>
      </c>
      <c r="H325" s="106">
        <v>46701</v>
      </c>
      <c r="I325" s="107">
        <v>407040</v>
      </c>
      <c r="J325" s="105">
        <v>254324</v>
      </c>
      <c r="K325" s="106">
        <v>152716</v>
      </c>
      <c r="L325" s="107">
        <v>515328</v>
      </c>
      <c r="M325" s="105">
        <v>246325</v>
      </c>
      <c r="N325" s="106">
        <v>269003</v>
      </c>
      <c r="O325" s="107">
        <f t="shared" si="14"/>
        <v>1046841</v>
      </c>
      <c r="P325" s="105">
        <f t="shared" si="14"/>
        <v>578421</v>
      </c>
      <c r="Q325" s="106">
        <f t="shared" si="14"/>
        <v>468420</v>
      </c>
      <c r="R325" s="105">
        <f t="shared" si="15"/>
        <v>1090.4593749999999</v>
      </c>
      <c r="S325" s="105">
        <f t="shared" si="15"/>
        <v>602.52187500000002</v>
      </c>
      <c r="T325" s="108">
        <f t="shared" si="15"/>
        <v>487.9375</v>
      </c>
    </row>
    <row r="326" spans="1:20" s="85" customFormat="1" ht="12.75" x14ac:dyDescent="0.2">
      <c r="A326" s="109">
        <v>2754</v>
      </c>
      <c r="B326" s="110">
        <v>1</v>
      </c>
      <c r="C326" s="103" t="s">
        <v>436</v>
      </c>
      <c r="D326" s="103">
        <v>6</v>
      </c>
      <c r="E326" s="104">
        <f>+SUMIF('GE16FEB14 Unfudged'!$A$2:$A$498, $A326, 'GE16FEB14 Unfudged'!$D$2:$D$498)</f>
        <v>562</v>
      </c>
      <c r="F326" s="104">
        <v>80899</v>
      </c>
      <c r="G326" s="105">
        <v>36145</v>
      </c>
      <c r="H326" s="106">
        <v>44754</v>
      </c>
      <c r="I326" s="107">
        <v>238203</v>
      </c>
      <c r="J326" s="105">
        <v>106426</v>
      </c>
      <c r="K326" s="106">
        <v>131777</v>
      </c>
      <c r="L326" s="107">
        <v>168540</v>
      </c>
      <c r="M326" s="105">
        <v>43641</v>
      </c>
      <c r="N326" s="106">
        <v>124899</v>
      </c>
      <c r="O326" s="107">
        <f t="shared" si="14"/>
        <v>487642</v>
      </c>
      <c r="P326" s="105">
        <f t="shared" si="14"/>
        <v>186212</v>
      </c>
      <c r="Q326" s="106">
        <f t="shared" si="14"/>
        <v>301430</v>
      </c>
      <c r="R326" s="105">
        <f t="shared" si="15"/>
        <v>867.6903914590747</v>
      </c>
      <c r="S326" s="105">
        <f t="shared" si="15"/>
        <v>331.33807829181495</v>
      </c>
      <c r="T326" s="108">
        <f t="shared" si="15"/>
        <v>536.35231316725981</v>
      </c>
    </row>
    <row r="327" spans="1:20" s="85" customFormat="1" ht="12.75" x14ac:dyDescent="0.2">
      <c r="A327" s="109">
        <v>2759</v>
      </c>
      <c r="B327" s="110">
        <v>1</v>
      </c>
      <c r="C327" s="103" t="s">
        <v>437</v>
      </c>
      <c r="D327" s="103">
        <v>6</v>
      </c>
      <c r="E327" s="104">
        <f>+SUMIF('GE16FEB14 Unfudged'!$A$2:$A$498, $A327, 'GE16FEB14 Unfudged'!$D$2:$D$498)</f>
        <v>315</v>
      </c>
      <c r="F327" s="104">
        <v>39321</v>
      </c>
      <c r="G327" s="105">
        <v>18127</v>
      </c>
      <c r="H327" s="106">
        <v>21194</v>
      </c>
      <c r="I327" s="107">
        <v>133454</v>
      </c>
      <c r="J327" s="105">
        <v>61522</v>
      </c>
      <c r="K327" s="106">
        <v>71932</v>
      </c>
      <c r="L327" s="107">
        <v>193559</v>
      </c>
      <c r="M327" s="105">
        <v>70929</v>
      </c>
      <c r="N327" s="106">
        <v>122630</v>
      </c>
      <c r="O327" s="107">
        <f t="shared" si="14"/>
        <v>366334</v>
      </c>
      <c r="P327" s="105">
        <f t="shared" si="14"/>
        <v>150578</v>
      </c>
      <c r="Q327" s="106">
        <f t="shared" si="14"/>
        <v>215756</v>
      </c>
      <c r="R327" s="105">
        <f t="shared" si="15"/>
        <v>1162.9650793650794</v>
      </c>
      <c r="S327" s="105">
        <f t="shared" si="15"/>
        <v>478.02539682539685</v>
      </c>
      <c r="T327" s="108">
        <f t="shared" si="15"/>
        <v>684.93968253968251</v>
      </c>
    </row>
    <row r="328" spans="1:20" s="85" customFormat="1" ht="12.75" x14ac:dyDescent="0.2">
      <c r="A328" s="109">
        <v>2769</v>
      </c>
      <c r="B328" s="110">
        <v>1</v>
      </c>
      <c r="C328" s="103" t="s">
        <v>467</v>
      </c>
      <c r="D328" s="103">
        <v>6</v>
      </c>
      <c r="E328" s="104">
        <f>+SUMIF('GE16FEB14 Unfudged'!$A$2:$A$498, $A328, 'GE16FEB14 Unfudged'!$D$2:$D$498)</f>
        <v>1074</v>
      </c>
      <c r="F328" s="104">
        <v>143632</v>
      </c>
      <c r="G328" s="105">
        <v>104108</v>
      </c>
      <c r="H328" s="106">
        <v>39524</v>
      </c>
      <c r="I328" s="107">
        <v>455206</v>
      </c>
      <c r="J328" s="105">
        <v>329944</v>
      </c>
      <c r="K328" s="106">
        <v>125262</v>
      </c>
      <c r="L328" s="107">
        <v>503153</v>
      </c>
      <c r="M328" s="105">
        <v>266542</v>
      </c>
      <c r="N328" s="106">
        <v>236611</v>
      </c>
      <c r="O328" s="107">
        <f t="shared" si="14"/>
        <v>1101991</v>
      </c>
      <c r="P328" s="105">
        <f t="shared" si="14"/>
        <v>700594</v>
      </c>
      <c r="Q328" s="106">
        <f t="shared" si="14"/>
        <v>401397</v>
      </c>
      <c r="R328" s="105">
        <f t="shared" si="15"/>
        <v>1026.0623836126629</v>
      </c>
      <c r="S328" s="105">
        <f t="shared" si="15"/>
        <v>652.32216014897574</v>
      </c>
      <c r="T328" s="108">
        <f t="shared" si="15"/>
        <v>373.74022346368713</v>
      </c>
    </row>
    <row r="329" spans="1:20" s="85" customFormat="1" ht="12.75" x14ac:dyDescent="0.2">
      <c r="A329" s="109">
        <v>2805</v>
      </c>
      <c r="B329" s="110">
        <v>1</v>
      </c>
      <c r="C329" s="103" t="s">
        <v>438</v>
      </c>
      <c r="D329" s="103">
        <v>5</v>
      </c>
      <c r="E329" s="104">
        <f>+SUMIF('GE16FEB14 Unfudged'!$A$2:$A$498, $A329, 'GE16FEB14 Unfudged'!$D$2:$D$498)</f>
        <v>1230</v>
      </c>
      <c r="F329" s="104">
        <v>129020</v>
      </c>
      <c r="G329" s="105">
        <v>103641</v>
      </c>
      <c r="H329" s="106">
        <v>25379</v>
      </c>
      <c r="I329" s="107">
        <v>521520</v>
      </c>
      <c r="J329" s="105">
        <v>418935</v>
      </c>
      <c r="K329" s="106">
        <v>102585</v>
      </c>
      <c r="L329" s="107">
        <v>1163236</v>
      </c>
      <c r="M329" s="105">
        <v>854728</v>
      </c>
      <c r="N329" s="106">
        <v>308508</v>
      </c>
      <c r="O329" s="107">
        <f t="shared" si="14"/>
        <v>1813776</v>
      </c>
      <c r="P329" s="105">
        <f t="shared" si="14"/>
        <v>1377304</v>
      </c>
      <c r="Q329" s="106">
        <f t="shared" si="14"/>
        <v>436472</v>
      </c>
      <c r="R329" s="105">
        <f t="shared" si="15"/>
        <v>1474.6146341463414</v>
      </c>
      <c r="S329" s="105">
        <f t="shared" si="15"/>
        <v>1119.7593495934959</v>
      </c>
      <c r="T329" s="108">
        <f t="shared" si="15"/>
        <v>354.85528455284555</v>
      </c>
    </row>
    <row r="330" spans="1:20" s="85" customFormat="1" ht="12.75" x14ac:dyDescent="0.2">
      <c r="A330" s="109">
        <v>2835</v>
      </c>
      <c r="B330" s="110">
        <v>1</v>
      </c>
      <c r="C330" s="103" t="s">
        <v>439</v>
      </c>
      <c r="D330" s="103">
        <v>6</v>
      </c>
      <c r="E330" s="104">
        <f>+SUMIF('GE16FEB14 Unfudged'!$A$2:$A$498, $A330, 'GE16FEB14 Unfudged'!$D$2:$D$498)</f>
        <v>639</v>
      </c>
      <c r="F330" s="104">
        <v>41377</v>
      </c>
      <c r="G330" s="105">
        <v>31063</v>
      </c>
      <c r="H330" s="106">
        <v>10314</v>
      </c>
      <c r="I330" s="107">
        <v>271042</v>
      </c>
      <c r="J330" s="105">
        <v>203481</v>
      </c>
      <c r="K330" s="106">
        <v>67561</v>
      </c>
      <c r="L330" s="107">
        <v>1028534</v>
      </c>
      <c r="M330" s="105">
        <v>846901</v>
      </c>
      <c r="N330" s="106">
        <v>181633</v>
      </c>
      <c r="O330" s="107">
        <f t="shared" si="14"/>
        <v>1340953</v>
      </c>
      <c r="P330" s="105">
        <f t="shared" si="14"/>
        <v>1081445</v>
      </c>
      <c r="Q330" s="106">
        <f t="shared" si="14"/>
        <v>259508</v>
      </c>
      <c r="R330" s="105">
        <f t="shared" si="15"/>
        <v>2098.5179968701095</v>
      </c>
      <c r="S330" s="105">
        <f t="shared" si="15"/>
        <v>1692.4021909233177</v>
      </c>
      <c r="T330" s="108">
        <f t="shared" si="15"/>
        <v>406.11580594679185</v>
      </c>
    </row>
    <row r="331" spans="1:20" s="85" customFormat="1" ht="12.75" x14ac:dyDescent="0.2">
      <c r="A331" s="109">
        <v>2853</v>
      </c>
      <c r="B331" s="110">
        <v>1</v>
      </c>
      <c r="C331" s="103" t="s">
        <v>440</v>
      </c>
      <c r="D331" s="103">
        <v>6</v>
      </c>
      <c r="E331" s="104">
        <f>+SUMIF('GE16FEB14 Unfudged'!$A$2:$A$498, $A331, 'GE16FEB14 Unfudged'!$D$2:$D$498)</f>
        <v>880</v>
      </c>
      <c r="F331" s="104">
        <v>98779</v>
      </c>
      <c r="G331" s="105">
        <v>49556</v>
      </c>
      <c r="H331" s="106">
        <v>49223</v>
      </c>
      <c r="I331" s="107">
        <v>372950</v>
      </c>
      <c r="J331" s="105">
        <v>187103</v>
      </c>
      <c r="K331" s="106">
        <v>185847</v>
      </c>
      <c r="L331" s="107">
        <v>724289</v>
      </c>
      <c r="M331" s="105">
        <v>328937</v>
      </c>
      <c r="N331" s="106">
        <v>395352</v>
      </c>
      <c r="O331" s="107">
        <f t="shared" si="14"/>
        <v>1196018</v>
      </c>
      <c r="P331" s="105">
        <f t="shared" si="14"/>
        <v>565596</v>
      </c>
      <c r="Q331" s="106">
        <f t="shared" si="14"/>
        <v>630422</v>
      </c>
      <c r="R331" s="105">
        <f t="shared" si="15"/>
        <v>1359.1113636363636</v>
      </c>
      <c r="S331" s="105">
        <f t="shared" si="15"/>
        <v>642.7227272727273</v>
      </c>
      <c r="T331" s="108">
        <f t="shared" si="15"/>
        <v>716.38863636363635</v>
      </c>
    </row>
    <row r="332" spans="1:20" s="85" customFormat="1" ht="12.75" x14ac:dyDescent="0.2">
      <c r="A332" s="109">
        <v>2854</v>
      </c>
      <c r="B332" s="110">
        <v>1</v>
      </c>
      <c r="C332" s="103" t="s">
        <v>441</v>
      </c>
      <c r="D332" s="103">
        <v>6</v>
      </c>
      <c r="E332" s="104">
        <f>+SUMIF('GE16FEB14 Unfudged'!$A$2:$A$498, $A332, 'GE16FEB14 Unfudged'!$D$2:$D$498)</f>
        <v>521</v>
      </c>
      <c r="F332" s="104">
        <v>72131</v>
      </c>
      <c r="G332" s="105">
        <v>29106</v>
      </c>
      <c r="H332" s="106">
        <v>43025</v>
      </c>
      <c r="I332" s="107">
        <v>221074</v>
      </c>
      <c r="J332" s="105">
        <v>89208</v>
      </c>
      <c r="K332" s="106">
        <v>131866</v>
      </c>
      <c r="L332" s="107">
        <v>205134</v>
      </c>
      <c r="M332" s="105">
        <v>56237</v>
      </c>
      <c r="N332" s="106">
        <v>148897</v>
      </c>
      <c r="O332" s="107">
        <f t="shared" si="14"/>
        <v>498339</v>
      </c>
      <c r="P332" s="105">
        <f t="shared" si="14"/>
        <v>174551</v>
      </c>
      <c r="Q332" s="106">
        <f t="shared" si="14"/>
        <v>323788</v>
      </c>
      <c r="R332" s="105">
        <f t="shared" si="15"/>
        <v>956.50479846449139</v>
      </c>
      <c r="S332" s="105">
        <f t="shared" si="15"/>
        <v>335.0307101727447</v>
      </c>
      <c r="T332" s="108">
        <f t="shared" si="15"/>
        <v>621.47408829174663</v>
      </c>
    </row>
    <row r="333" spans="1:20" s="85" customFormat="1" ht="12.75" x14ac:dyDescent="0.2">
      <c r="A333" s="109">
        <v>2856</v>
      </c>
      <c r="B333" s="110">
        <v>1</v>
      </c>
      <c r="C333" s="103" t="s">
        <v>442</v>
      </c>
      <c r="D333" s="103">
        <v>6</v>
      </c>
      <c r="E333" s="104">
        <f>+SUMIF('GE16FEB14 Unfudged'!$A$2:$A$498, $A333, 'GE16FEB14 Unfudged'!$D$2:$D$498)</f>
        <v>313</v>
      </c>
      <c r="F333" s="104">
        <v>24974</v>
      </c>
      <c r="G333" s="105">
        <v>22917</v>
      </c>
      <c r="H333" s="106">
        <v>2057</v>
      </c>
      <c r="I333" s="107">
        <v>132903</v>
      </c>
      <c r="J333" s="105">
        <v>121958</v>
      </c>
      <c r="K333" s="106">
        <v>10945</v>
      </c>
      <c r="L333" s="107">
        <v>426978</v>
      </c>
      <c r="M333" s="105">
        <v>278848</v>
      </c>
      <c r="N333" s="106">
        <v>148130</v>
      </c>
      <c r="O333" s="107">
        <f t="shared" si="14"/>
        <v>584855</v>
      </c>
      <c r="P333" s="105">
        <f t="shared" si="14"/>
        <v>423723</v>
      </c>
      <c r="Q333" s="106">
        <f t="shared" si="14"/>
        <v>161132</v>
      </c>
      <c r="R333" s="105">
        <f t="shared" si="15"/>
        <v>1868.5463258785942</v>
      </c>
      <c r="S333" s="105">
        <f t="shared" si="15"/>
        <v>1353.7476038338659</v>
      </c>
      <c r="T333" s="108">
        <f t="shared" si="15"/>
        <v>514.79872204472838</v>
      </c>
    </row>
    <row r="334" spans="1:20" s="85" customFormat="1" ht="12.75" x14ac:dyDescent="0.2">
      <c r="A334" s="109">
        <v>2859</v>
      </c>
      <c r="B334" s="110">
        <v>1</v>
      </c>
      <c r="C334" s="103" t="s">
        <v>443</v>
      </c>
      <c r="D334" s="103">
        <v>5</v>
      </c>
      <c r="E334" s="104">
        <f>+SUMIF('GE16FEB14 Unfudged'!$A$2:$A$498, $A334, 'GE16FEB14 Unfudged'!$D$2:$D$498)</f>
        <v>1759</v>
      </c>
      <c r="F334" s="104">
        <v>238898</v>
      </c>
      <c r="G334" s="105">
        <v>163420</v>
      </c>
      <c r="H334" s="106">
        <v>75478</v>
      </c>
      <c r="I334" s="107">
        <v>745731</v>
      </c>
      <c r="J334" s="105">
        <v>510122</v>
      </c>
      <c r="K334" s="106">
        <v>235609</v>
      </c>
      <c r="L334" s="107">
        <v>764902</v>
      </c>
      <c r="M334" s="105">
        <v>371480</v>
      </c>
      <c r="N334" s="106">
        <v>393422</v>
      </c>
      <c r="O334" s="107">
        <f t="shared" si="14"/>
        <v>1749531</v>
      </c>
      <c r="P334" s="105">
        <f t="shared" si="14"/>
        <v>1045022</v>
      </c>
      <c r="Q334" s="106">
        <f t="shared" si="14"/>
        <v>704509</v>
      </c>
      <c r="R334" s="105">
        <f t="shared" si="15"/>
        <v>994.61682774303586</v>
      </c>
      <c r="S334" s="105">
        <f t="shared" si="15"/>
        <v>594.10005685048327</v>
      </c>
      <c r="T334" s="108">
        <f t="shared" si="15"/>
        <v>400.51677089255259</v>
      </c>
    </row>
    <row r="335" spans="1:20" s="85" customFormat="1" ht="12.75" x14ac:dyDescent="0.2">
      <c r="A335" s="109">
        <v>2860</v>
      </c>
      <c r="B335" s="110">
        <v>1</v>
      </c>
      <c r="C335" s="103" t="s">
        <v>444</v>
      </c>
      <c r="D335" s="103">
        <v>5</v>
      </c>
      <c r="E335" s="104">
        <f>+SUMIF('GE16FEB14 Unfudged'!$A$2:$A$498, $A335, 'GE16FEB14 Unfudged'!$D$2:$D$498)</f>
        <v>1326</v>
      </c>
      <c r="F335" s="104">
        <v>190995</v>
      </c>
      <c r="G335" s="105">
        <v>101906</v>
      </c>
      <c r="H335" s="106">
        <v>89089</v>
      </c>
      <c r="I335" s="107">
        <v>562372</v>
      </c>
      <c r="J335" s="105">
        <v>300054</v>
      </c>
      <c r="K335" s="106">
        <v>262318</v>
      </c>
      <c r="L335" s="107">
        <v>397905</v>
      </c>
      <c r="M335" s="105">
        <v>123039</v>
      </c>
      <c r="N335" s="106">
        <v>274866</v>
      </c>
      <c r="O335" s="107">
        <f t="shared" si="14"/>
        <v>1151272</v>
      </c>
      <c r="P335" s="105">
        <f t="shared" si="14"/>
        <v>524999</v>
      </c>
      <c r="Q335" s="106">
        <f t="shared" si="14"/>
        <v>626273</v>
      </c>
      <c r="R335" s="105">
        <f t="shared" si="15"/>
        <v>868.22926093514332</v>
      </c>
      <c r="S335" s="105">
        <f t="shared" si="15"/>
        <v>395.92684766214177</v>
      </c>
      <c r="T335" s="108">
        <f t="shared" si="15"/>
        <v>472.30241327300149</v>
      </c>
    </row>
    <row r="336" spans="1:20" s="85" customFormat="1" ht="12.75" x14ac:dyDescent="0.2">
      <c r="A336" s="109">
        <v>2884</v>
      </c>
      <c r="B336" s="110">
        <v>1</v>
      </c>
      <c r="C336" s="103" t="s">
        <v>445</v>
      </c>
      <c r="D336" s="103">
        <v>6</v>
      </c>
      <c r="E336" s="104">
        <f>+SUMIF('GE16FEB14 Unfudged'!$A$2:$A$498, $A336, 'GE16FEB14 Unfudged'!$D$2:$D$498)</f>
        <v>390</v>
      </c>
      <c r="F336" s="104">
        <v>27864</v>
      </c>
      <c r="G336" s="105">
        <v>16207</v>
      </c>
      <c r="H336" s="106">
        <v>11657</v>
      </c>
      <c r="I336" s="107">
        <v>165360</v>
      </c>
      <c r="J336" s="105">
        <v>96181</v>
      </c>
      <c r="K336" s="106">
        <v>69179</v>
      </c>
      <c r="L336" s="107">
        <v>584220</v>
      </c>
      <c r="M336" s="105">
        <v>431606</v>
      </c>
      <c r="N336" s="106">
        <v>152614</v>
      </c>
      <c r="O336" s="107">
        <f t="shared" si="14"/>
        <v>777444</v>
      </c>
      <c r="P336" s="105">
        <f t="shared" si="14"/>
        <v>543994</v>
      </c>
      <c r="Q336" s="106">
        <f t="shared" si="14"/>
        <v>233450</v>
      </c>
      <c r="R336" s="105">
        <f t="shared" si="15"/>
        <v>1993.4461538461539</v>
      </c>
      <c r="S336" s="105">
        <f t="shared" si="15"/>
        <v>1394.8564102564103</v>
      </c>
      <c r="T336" s="108">
        <f t="shared" si="15"/>
        <v>598.58974358974353</v>
      </c>
    </row>
    <row r="337" spans="1:20" s="85" customFormat="1" ht="12.75" x14ac:dyDescent="0.2">
      <c r="A337" s="109">
        <v>2886</v>
      </c>
      <c r="B337" s="110">
        <v>1</v>
      </c>
      <c r="C337" s="103" t="s">
        <v>446</v>
      </c>
      <c r="D337" s="103">
        <v>6</v>
      </c>
      <c r="E337" s="104">
        <f>+SUMIF('GE16FEB14 Unfudged'!$A$2:$A$498, $A337, 'GE16FEB14 Unfudged'!$D$2:$D$498)</f>
        <v>385</v>
      </c>
      <c r="F337" s="104">
        <v>49306</v>
      </c>
      <c r="G337" s="105">
        <v>35339</v>
      </c>
      <c r="H337" s="106">
        <v>13967</v>
      </c>
      <c r="I337" s="107">
        <v>163049</v>
      </c>
      <c r="J337" s="105">
        <v>116863</v>
      </c>
      <c r="K337" s="106">
        <v>46186</v>
      </c>
      <c r="L337" s="107">
        <v>215590</v>
      </c>
      <c r="M337" s="105">
        <v>58429</v>
      </c>
      <c r="N337" s="106">
        <v>157161</v>
      </c>
      <c r="O337" s="107">
        <f t="shared" si="14"/>
        <v>427945</v>
      </c>
      <c r="P337" s="105">
        <f t="shared" si="14"/>
        <v>210631</v>
      </c>
      <c r="Q337" s="106">
        <f t="shared" si="14"/>
        <v>217314</v>
      </c>
      <c r="R337" s="105">
        <f t="shared" si="15"/>
        <v>1111.5454545454545</v>
      </c>
      <c r="S337" s="105">
        <f t="shared" si="15"/>
        <v>547.09350649350654</v>
      </c>
      <c r="T337" s="108">
        <f t="shared" si="15"/>
        <v>564.45194805194808</v>
      </c>
    </row>
    <row r="338" spans="1:20" s="85" customFormat="1" ht="12.75" x14ac:dyDescent="0.2">
      <c r="A338" s="109">
        <v>2888</v>
      </c>
      <c r="B338" s="110">
        <v>1</v>
      </c>
      <c r="C338" s="103" t="s">
        <v>13</v>
      </c>
      <c r="D338" s="103">
        <v>6</v>
      </c>
      <c r="E338" s="104">
        <f>+SUMIF('GE16FEB14 Unfudged'!$A$2:$A$498, $A338, 'GE16FEB14 Unfudged'!$D$2:$D$498)</f>
        <v>331</v>
      </c>
      <c r="F338" s="104">
        <v>40137</v>
      </c>
      <c r="G338" s="105">
        <v>20505</v>
      </c>
      <c r="H338" s="106">
        <v>19632</v>
      </c>
      <c r="I338" s="107">
        <v>140174</v>
      </c>
      <c r="J338" s="105">
        <v>71610</v>
      </c>
      <c r="K338" s="106">
        <v>68564</v>
      </c>
      <c r="L338" s="107">
        <v>222524</v>
      </c>
      <c r="M338" s="105">
        <v>92376</v>
      </c>
      <c r="N338" s="106">
        <v>130148</v>
      </c>
      <c r="O338" s="107">
        <f t="shared" ref="O338:Q401" si="16">+F338+I338+L338</f>
        <v>402835</v>
      </c>
      <c r="P338" s="105">
        <f t="shared" si="16"/>
        <v>184491</v>
      </c>
      <c r="Q338" s="106">
        <f t="shared" si="16"/>
        <v>218344</v>
      </c>
      <c r="R338" s="105">
        <f t="shared" si="15"/>
        <v>1217.02416918429</v>
      </c>
      <c r="S338" s="105">
        <f t="shared" si="15"/>
        <v>557.37462235649548</v>
      </c>
      <c r="T338" s="108">
        <f t="shared" si="15"/>
        <v>659.64954682779455</v>
      </c>
    </row>
    <row r="339" spans="1:20" s="85" customFormat="1" ht="12.75" x14ac:dyDescent="0.2">
      <c r="A339" s="109">
        <v>2889</v>
      </c>
      <c r="B339" s="110">
        <v>1</v>
      </c>
      <c r="C339" s="103" t="s">
        <v>447</v>
      </c>
      <c r="D339" s="103">
        <v>6</v>
      </c>
      <c r="E339" s="104">
        <f>+SUMIF('GE16FEB14 Unfudged'!$A$2:$A$498, $A339, 'GE16FEB14 Unfudged'!$D$2:$D$498)</f>
        <v>657</v>
      </c>
      <c r="F339" s="104">
        <v>91012</v>
      </c>
      <c r="G339" s="105">
        <v>91012</v>
      </c>
      <c r="H339" s="106">
        <v>0</v>
      </c>
      <c r="I339" s="107">
        <v>278674</v>
      </c>
      <c r="J339" s="105">
        <v>278674</v>
      </c>
      <c r="K339" s="106">
        <v>0</v>
      </c>
      <c r="L339" s="107">
        <v>257156</v>
      </c>
      <c r="M339" s="105">
        <v>204215</v>
      </c>
      <c r="N339" s="106">
        <v>52941</v>
      </c>
      <c r="O339" s="107">
        <f t="shared" si="16"/>
        <v>626842</v>
      </c>
      <c r="P339" s="105">
        <f t="shared" si="16"/>
        <v>573901</v>
      </c>
      <c r="Q339" s="106">
        <f t="shared" si="16"/>
        <v>52941</v>
      </c>
      <c r="R339" s="105">
        <f t="shared" ref="R339:T402" si="17">+IF($E339=0, 0, O339/$E339)</f>
        <v>954.09741248097407</v>
      </c>
      <c r="S339" s="105">
        <f t="shared" si="17"/>
        <v>873.51750380517501</v>
      </c>
      <c r="T339" s="108">
        <f t="shared" si="17"/>
        <v>80.579908675799089</v>
      </c>
    </row>
    <row r="340" spans="1:20" s="85" customFormat="1" ht="12.75" x14ac:dyDescent="0.2">
      <c r="A340" s="109">
        <v>2890</v>
      </c>
      <c r="B340" s="110">
        <v>1</v>
      </c>
      <c r="C340" s="103" t="s">
        <v>448</v>
      </c>
      <c r="D340" s="103">
        <v>6</v>
      </c>
      <c r="E340" s="104">
        <f>+SUMIF('GE16FEB14 Unfudged'!$A$2:$A$498, $A340, 'GE16FEB14 Unfudged'!$D$2:$D$498)</f>
        <v>559</v>
      </c>
      <c r="F340" s="104">
        <v>27930</v>
      </c>
      <c r="G340" s="105">
        <v>15991</v>
      </c>
      <c r="H340" s="106">
        <v>11939</v>
      </c>
      <c r="I340" s="107">
        <v>236846</v>
      </c>
      <c r="J340" s="105">
        <v>135605</v>
      </c>
      <c r="K340" s="106">
        <v>101241</v>
      </c>
      <c r="L340" s="107">
        <v>1063787</v>
      </c>
      <c r="M340" s="105">
        <v>817631</v>
      </c>
      <c r="N340" s="106">
        <v>246156</v>
      </c>
      <c r="O340" s="107">
        <f t="shared" si="16"/>
        <v>1328563</v>
      </c>
      <c r="P340" s="105">
        <f t="shared" si="16"/>
        <v>969227</v>
      </c>
      <c r="Q340" s="106">
        <f t="shared" si="16"/>
        <v>359336</v>
      </c>
      <c r="R340" s="105">
        <f t="shared" si="17"/>
        <v>2376.6779964221823</v>
      </c>
      <c r="S340" s="105">
        <f t="shared" si="17"/>
        <v>1733.8586762075133</v>
      </c>
      <c r="T340" s="108">
        <f t="shared" si="17"/>
        <v>642.81932021466901</v>
      </c>
    </row>
    <row r="341" spans="1:20" s="85" customFormat="1" ht="12.75" x14ac:dyDescent="0.2">
      <c r="A341" s="109">
        <v>2895</v>
      </c>
      <c r="B341" s="110">
        <v>1</v>
      </c>
      <c r="C341" s="103" t="s">
        <v>449</v>
      </c>
      <c r="D341" s="103">
        <v>5</v>
      </c>
      <c r="E341" s="104">
        <f>+SUMIF('GE16FEB14 Unfudged'!$A$2:$A$498, $A341, 'GE16FEB14 Unfudged'!$D$2:$D$498)</f>
        <v>1340</v>
      </c>
      <c r="F341" s="104">
        <v>168571</v>
      </c>
      <c r="G341" s="105">
        <v>104745</v>
      </c>
      <c r="H341" s="106">
        <v>63826</v>
      </c>
      <c r="I341" s="107">
        <v>567990</v>
      </c>
      <c r="J341" s="105">
        <v>352931</v>
      </c>
      <c r="K341" s="106">
        <v>215059</v>
      </c>
      <c r="L341" s="107">
        <v>803639</v>
      </c>
      <c r="M341" s="105">
        <v>394361</v>
      </c>
      <c r="N341" s="106">
        <v>409278</v>
      </c>
      <c r="O341" s="107">
        <f t="shared" si="16"/>
        <v>1540200</v>
      </c>
      <c r="P341" s="105">
        <f t="shared" si="16"/>
        <v>852037</v>
      </c>
      <c r="Q341" s="106">
        <f t="shared" si="16"/>
        <v>688163</v>
      </c>
      <c r="R341" s="105">
        <f t="shared" si="17"/>
        <v>1149.4029850746269</v>
      </c>
      <c r="S341" s="105">
        <f t="shared" si="17"/>
        <v>635.8485074626866</v>
      </c>
      <c r="T341" s="108">
        <f t="shared" si="17"/>
        <v>513.55447761194034</v>
      </c>
    </row>
    <row r="342" spans="1:20" s="85" customFormat="1" ht="12.75" x14ac:dyDescent="0.2">
      <c r="A342" s="109">
        <v>2897</v>
      </c>
      <c r="B342" s="110">
        <v>1</v>
      </c>
      <c r="C342" s="103" t="s">
        <v>450</v>
      </c>
      <c r="D342" s="103">
        <v>5</v>
      </c>
      <c r="E342" s="104">
        <f>+SUMIF('GE16FEB14 Unfudged'!$A$2:$A$498, $A342, 'GE16FEB14 Unfudged'!$D$2:$D$498)</f>
        <v>1210</v>
      </c>
      <c r="F342" s="104">
        <v>150047</v>
      </c>
      <c r="G342" s="105">
        <v>74653</v>
      </c>
      <c r="H342" s="106">
        <v>75394</v>
      </c>
      <c r="I342" s="107">
        <v>513210</v>
      </c>
      <c r="J342" s="105">
        <v>255337</v>
      </c>
      <c r="K342" s="106">
        <v>257873</v>
      </c>
      <c r="L342" s="107">
        <v>763545</v>
      </c>
      <c r="M342" s="105">
        <v>303925</v>
      </c>
      <c r="N342" s="106">
        <v>459620</v>
      </c>
      <c r="O342" s="107">
        <f t="shared" si="16"/>
        <v>1426802</v>
      </c>
      <c r="P342" s="105">
        <f t="shared" si="16"/>
        <v>633915</v>
      </c>
      <c r="Q342" s="106">
        <f t="shared" si="16"/>
        <v>792887</v>
      </c>
      <c r="R342" s="105">
        <f t="shared" si="17"/>
        <v>1179.1752066115703</v>
      </c>
      <c r="S342" s="105">
        <f t="shared" si="17"/>
        <v>523.89669421487599</v>
      </c>
      <c r="T342" s="108">
        <f t="shared" si="17"/>
        <v>655.27851239669417</v>
      </c>
    </row>
    <row r="343" spans="1:20" s="85" customFormat="1" ht="12.75" x14ac:dyDescent="0.2">
      <c r="A343" s="109">
        <v>2898</v>
      </c>
      <c r="B343" s="110">
        <v>1</v>
      </c>
      <c r="C343" s="103" t="s">
        <v>451</v>
      </c>
      <c r="D343" s="103">
        <v>6</v>
      </c>
      <c r="E343" s="104">
        <f>+SUMIF('GE16FEB14 Unfudged'!$A$2:$A$498, $A343, 'GE16FEB14 Unfudged'!$D$2:$D$498)</f>
        <v>425</v>
      </c>
      <c r="F343" s="104">
        <v>60591</v>
      </c>
      <c r="G343" s="105">
        <v>27790</v>
      </c>
      <c r="H343" s="106">
        <v>32801</v>
      </c>
      <c r="I343" s="107">
        <v>180370</v>
      </c>
      <c r="J343" s="105">
        <v>82727</v>
      </c>
      <c r="K343" s="106">
        <v>97643</v>
      </c>
      <c r="L343" s="107">
        <v>138629</v>
      </c>
      <c r="M343" s="105">
        <v>7733</v>
      </c>
      <c r="N343" s="106">
        <v>130896</v>
      </c>
      <c r="O343" s="107">
        <f t="shared" si="16"/>
        <v>379590</v>
      </c>
      <c r="P343" s="105">
        <f t="shared" si="16"/>
        <v>118250</v>
      </c>
      <c r="Q343" s="106">
        <f t="shared" si="16"/>
        <v>261340</v>
      </c>
      <c r="R343" s="105">
        <f t="shared" si="17"/>
        <v>893.15294117647056</v>
      </c>
      <c r="S343" s="105">
        <f t="shared" si="17"/>
        <v>278.23529411764707</v>
      </c>
      <c r="T343" s="108">
        <f t="shared" si="17"/>
        <v>614.91764705882349</v>
      </c>
    </row>
    <row r="344" spans="1:20" s="85" customFormat="1" ht="12.75" x14ac:dyDescent="0.2">
      <c r="A344" s="109">
        <v>2899</v>
      </c>
      <c r="B344" s="110">
        <v>1</v>
      </c>
      <c r="C344" s="103" t="s">
        <v>14</v>
      </c>
      <c r="D344" s="103">
        <v>5</v>
      </c>
      <c r="E344" s="104">
        <f>+SUMIF('GE16FEB14 Unfudged'!$A$2:$A$498, $A344, 'GE16FEB14 Unfudged'!$D$2:$D$498)</f>
        <v>1550</v>
      </c>
      <c r="F344" s="104">
        <v>223142</v>
      </c>
      <c r="G344" s="105">
        <v>143801</v>
      </c>
      <c r="H344" s="106">
        <v>79341</v>
      </c>
      <c r="I344" s="107">
        <v>657030</v>
      </c>
      <c r="J344" s="105">
        <v>423413</v>
      </c>
      <c r="K344" s="106">
        <v>233617</v>
      </c>
      <c r="L344" s="107">
        <v>464880</v>
      </c>
      <c r="M344" s="105">
        <v>173623</v>
      </c>
      <c r="N344" s="106">
        <v>291257</v>
      </c>
      <c r="O344" s="107">
        <f t="shared" si="16"/>
        <v>1345052</v>
      </c>
      <c r="P344" s="105">
        <f t="shared" si="16"/>
        <v>740837</v>
      </c>
      <c r="Q344" s="106">
        <f t="shared" si="16"/>
        <v>604215</v>
      </c>
      <c r="R344" s="105">
        <f t="shared" si="17"/>
        <v>867.77548387096772</v>
      </c>
      <c r="S344" s="105">
        <f t="shared" si="17"/>
        <v>477.95935483870966</v>
      </c>
      <c r="T344" s="108">
        <f t="shared" si="17"/>
        <v>389.81612903225806</v>
      </c>
    </row>
    <row r="345" spans="1:20" s="85" customFormat="1" ht="12.75" x14ac:dyDescent="0.2">
      <c r="A345" s="109">
        <v>2902</v>
      </c>
      <c r="B345" s="110">
        <v>1</v>
      </c>
      <c r="C345" s="103" t="s">
        <v>452</v>
      </c>
      <c r="D345" s="103">
        <v>6</v>
      </c>
      <c r="E345" s="104">
        <f>+SUMIF('GE16FEB14 Unfudged'!$A$2:$A$498, $A345, 'GE16FEB14 Unfudged'!$D$2:$D$498)</f>
        <v>574</v>
      </c>
      <c r="F345" s="104">
        <v>81262</v>
      </c>
      <c r="G345" s="105">
        <v>46516</v>
      </c>
      <c r="H345" s="106">
        <v>34746</v>
      </c>
      <c r="I345" s="107">
        <v>243164</v>
      </c>
      <c r="J345" s="105">
        <v>139192</v>
      </c>
      <c r="K345" s="106">
        <v>103972</v>
      </c>
      <c r="L345" s="107">
        <v>193877</v>
      </c>
      <c r="M345" s="105">
        <v>69571</v>
      </c>
      <c r="N345" s="106">
        <v>124306</v>
      </c>
      <c r="O345" s="107">
        <f t="shared" si="16"/>
        <v>518303</v>
      </c>
      <c r="P345" s="105">
        <f t="shared" si="16"/>
        <v>255279</v>
      </c>
      <c r="Q345" s="106">
        <f t="shared" si="16"/>
        <v>263024</v>
      </c>
      <c r="R345" s="105">
        <f t="shared" si="17"/>
        <v>902.96689895470388</v>
      </c>
      <c r="S345" s="105">
        <f t="shared" si="17"/>
        <v>444.73693379790939</v>
      </c>
      <c r="T345" s="108">
        <f t="shared" si="17"/>
        <v>458.22996515679444</v>
      </c>
    </row>
    <row r="346" spans="1:20" s="85" customFormat="1" ht="12.75" x14ac:dyDescent="0.2">
      <c r="A346" s="109">
        <v>2903</v>
      </c>
      <c r="B346" s="110">
        <v>1</v>
      </c>
      <c r="C346" s="103" t="s">
        <v>453</v>
      </c>
      <c r="D346" s="103">
        <v>6</v>
      </c>
      <c r="E346" s="104">
        <f>+SUMIF('GE16FEB14 Unfudged'!$A$2:$A$498, $A346, 'GE16FEB14 Unfudged'!$D$2:$D$498)</f>
        <v>517</v>
      </c>
      <c r="F346" s="104">
        <v>61338</v>
      </c>
      <c r="G346" s="105">
        <v>32509</v>
      </c>
      <c r="H346" s="106">
        <v>28829</v>
      </c>
      <c r="I346" s="107">
        <v>219293</v>
      </c>
      <c r="J346" s="105">
        <v>116225</v>
      </c>
      <c r="K346" s="106">
        <v>103068</v>
      </c>
      <c r="L346" s="107">
        <v>372115</v>
      </c>
      <c r="M346" s="105">
        <v>162645</v>
      </c>
      <c r="N346" s="106">
        <v>209470</v>
      </c>
      <c r="O346" s="107">
        <f t="shared" si="16"/>
        <v>652746</v>
      </c>
      <c r="P346" s="105">
        <f t="shared" si="16"/>
        <v>311379</v>
      </c>
      <c r="Q346" s="106">
        <f t="shared" si="16"/>
        <v>341367</v>
      </c>
      <c r="R346" s="105">
        <f t="shared" si="17"/>
        <v>1262.5647969052225</v>
      </c>
      <c r="S346" s="105">
        <f t="shared" si="17"/>
        <v>602.28046421663441</v>
      </c>
      <c r="T346" s="108">
        <f t="shared" si="17"/>
        <v>660.28433268858805</v>
      </c>
    </row>
    <row r="347" spans="1:20" s="85" customFormat="1" ht="12.75" x14ac:dyDescent="0.2">
      <c r="A347" s="109">
        <v>2904</v>
      </c>
      <c r="B347" s="110">
        <v>1</v>
      </c>
      <c r="C347" s="103" t="s">
        <v>454</v>
      </c>
      <c r="D347" s="103">
        <v>6</v>
      </c>
      <c r="E347" s="104">
        <f>+SUMIF('GE16FEB14 Unfudged'!$A$2:$A$498, $A347, 'GE16FEB14 Unfudged'!$D$2:$D$498)</f>
        <v>794</v>
      </c>
      <c r="F347" s="104">
        <v>102399</v>
      </c>
      <c r="G347" s="105">
        <v>65548</v>
      </c>
      <c r="H347" s="106">
        <v>36851</v>
      </c>
      <c r="I347" s="107">
        <v>336741</v>
      </c>
      <c r="J347" s="105">
        <v>215557</v>
      </c>
      <c r="K347" s="106">
        <v>121184</v>
      </c>
      <c r="L347" s="107">
        <v>435841</v>
      </c>
      <c r="M347" s="105">
        <v>214867</v>
      </c>
      <c r="N347" s="106">
        <v>220974</v>
      </c>
      <c r="O347" s="107">
        <f t="shared" si="16"/>
        <v>874981</v>
      </c>
      <c r="P347" s="105">
        <f t="shared" si="16"/>
        <v>495972</v>
      </c>
      <c r="Q347" s="106">
        <f t="shared" si="16"/>
        <v>379009</v>
      </c>
      <c r="R347" s="105">
        <f t="shared" si="17"/>
        <v>1101.9911838790931</v>
      </c>
      <c r="S347" s="105">
        <f t="shared" si="17"/>
        <v>624.64987405541558</v>
      </c>
      <c r="T347" s="108">
        <f t="shared" si="17"/>
        <v>477.34130982367759</v>
      </c>
    </row>
    <row r="348" spans="1:20" s="85" customFormat="1" ht="12.75" x14ac:dyDescent="0.2">
      <c r="A348" s="109">
        <v>2905</v>
      </c>
      <c r="B348" s="110">
        <v>1</v>
      </c>
      <c r="C348" s="103" t="s">
        <v>15</v>
      </c>
      <c r="D348" s="103">
        <v>5</v>
      </c>
      <c r="E348" s="104">
        <f>+SUMIF('GE16FEB14 Unfudged'!$A$2:$A$498, $A348, 'GE16FEB14 Unfudged'!$D$2:$D$498)</f>
        <v>2098</v>
      </c>
      <c r="F348" s="104">
        <v>301964</v>
      </c>
      <c r="G348" s="105">
        <v>183808</v>
      </c>
      <c r="H348" s="106">
        <v>118156</v>
      </c>
      <c r="I348" s="107">
        <v>889722</v>
      </c>
      <c r="J348" s="105">
        <v>541581</v>
      </c>
      <c r="K348" s="106">
        <v>348141</v>
      </c>
      <c r="L348" s="107">
        <v>632919</v>
      </c>
      <c r="M348" s="105">
        <v>224147</v>
      </c>
      <c r="N348" s="106">
        <v>408772</v>
      </c>
      <c r="O348" s="107">
        <f t="shared" si="16"/>
        <v>1824605</v>
      </c>
      <c r="P348" s="105">
        <f t="shared" si="16"/>
        <v>949536</v>
      </c>
      <c r="Q348" s="106">
        <f t="shared" si="16"/>
        <v>875069</v>
      </c>
      <c r="R348" s="105">
        <f t="shared" si="17"/>
        <v>869.68779790276449</v>
      </c>
      <c r="S348" s="105">
        <f t="shared" si="17"/>
        <v>452.59103908484269</v>
      </c>
      <c r="T348" s="108">
        <f t="shared" si="17"/>
        <v>417.09675881792185</v>
      </c>
    </row>
    <row r="349" spans="1:20" s="85" customFormat="1" ht="12.75" x14ac:dyDescent="0.2">
      <c r="A349" s="109">
        <v>2906</v>
      </c>
      <c r="B349" s="110">
        <v>1</v>
      </c>
      <c r="C349" s="103" t="s">
        <v>468</v>
      </c>
      <c r="D349" s="103">
        <v>6</v>
      </c>
      <c r="E349" s="104">
        <f>+SUMIF('GE16FEB14 Unfudged'!$A$2:$A$498, $A349, 'GE16FEB14 Unfudged'!$D$2:$D$498)</f>
        <v>412</v>
      </c>
      <c r="F349" s="104">
        <v>50283</v>
      </c>
      <c r="G349" s="105">
        <v>39972</v>
      </c>
      <c r="H349" s="106">
        <v>10311</v>
      </c>
      <c r="I349" s="107">
        <v>174518</v>
      </c>
      <c r="J349" s="105">
        <v>138730</v>
      </c>
      <c r="K349" s="106">
        <v>35788</v>
      </c>
      <c r="L349" s="107">
        <v>271882</v>
      </c>
      <c r="M349" s="105">
        <v>174857</v>
      </c>
      <c r="N349" s="106">
        <v>97025</v>
      </c>
      <c r="O349" s="107">
        <f t="shared" si="16"/>
        <v>496683</v>
      </c>
      <c r="P349" s="105">
        <f t="shared" si="16"/>
        <v>353559</v>
      </c>
      <c r="Q349" s="106">
        <f t="shared" si="16"/>
        <v>143124</v>
      </c>
      <c r="R349" s="105">
        <f t="shared" si="17"/>
        <v>1205.5412621359224</v>
      </c>
      <c r="S349" s="105">
        <f t="shared" si="17"/>
        <v>858.15291262135918</v>
      </c>
      <c r="T349" s="108">
        <f t="shared" si="17"/>
        <v>347.38834951456312</v>
      </c>
    </row>
    <row r="350" spans="1:20" s="85" customFormat="1" ht="12.75" x14ac:dyDescent="0.2">
      <c r="A350" s="109">
        <v>2907</v>
      </c>
      <c r="B350" s="110">
        <v>1</v>
      </c>
      <c r="C350" s="103" t="s">
        <v>469</v>
      </c>
      <c r="D350" s="103">
        <v>6</v>
      </c>
      <c r="E350" s="104">
        <f>+SUMIF('GE16FEB14 Unfudged'!$A$2:$A$498, $A350, 'GE16FEB14 Unfudged'!$D$2:$D$498)</f>
        <v>314</v>
      </c>
      <c r="F350" s="104">
        <v>29028</v>
      </c>
      <c r="G350" s="105">
        <v>16484</v>
      </c>
      <c r="H350" s="106">
        <v>12544</v>
      </c>
      <c r="I350" s="107">
        <v>133051</v>
      </c>
      <c r="J350" s="105">
        <v>75555</v>
      </c>
      <c r="K350" s="106">
        <v>57496</v>
      </c>
      <c r="L350" s="107">
        <v>360964</v>
      </c>
      <c r="M350" s="105">
        <v>235264</v>
      </c>
      <c r="N350" s="106">
        <v>125700</v>
      </c>
      <c r="O350" s="107">
        <f t="shared" si="16"/>
        <v>523043</v>
      </c>
      <c r="P350" s="105">
        <f t="shared" si="16"/>
        <v>327303</v>
      </c>
      <c r="Q350" s="106">
        <f t="shared" si="16"/>
        <v>195740</v>
      </c>
      <c r="R350" s="105">
        <f t="shared" si="17"/>
        <v>1665.7420382165606</v>
      </c>
      <c r="S350" s="105">
        <f t="shared" si="17"/>
        <v>1042.3662420382166</v>
      </c>
      <c r="T350" s="108">
        <f t="shared" si="17"/>
        <v>623.37579617834399</v>
      </c>
    </row>
    <row r="351" spans="1:20" s="85" customFormat="1" ht="12.75" x14ac:dyDescent="0.2">
      <c r="A351" s="109">
        <v>2908</v>
      </c>
      <c r="B351" s="110">
        <v>1</v>
      </c>
      <c r="C351" s="103" t="s">
        <v>470</v>
      </c>
      <c r="D351" s="103">
        <v>6</v>
      </c>
      <c r="E351" s="104">
        <f>+SUMIF('GE16FEB14 Unfudged'!$A$2:$A$498, $A351, 'GE16FEB14 Unfudged'!$D$2:$D$498)</f>
        <v>503</v>
      </c>
      <c r="F351" s="104">
        <v>60223</v>
      </c>
      <c r="G351" s="105">
        <v>45580</v>
      </c>
      <c r="H351" s="106">
        <v>14643</v>
      </c>
      <c r="I351" s="107">
        <v>213357</v>
      </c>
      <c r="J351" s="105">
        <v>161479</v>
      </c>
      <c r="K351" s="106">
        <v>51878</v>
      </c>
      <c r="L351" s="107">
        <v>353030</v>
      </c>
      <c r="M351" s="105">
        <v>219151</v>
      </c>
      <c r="N351" s="106">
        <v>133879</v>
      </c>
      <c r="O351" s="107">
        <f t="shared" si="16"/>
        <v>626610</v>
      </c>
      <c r="P351" s="105">
        <f t="shared" si="16"/>
        <v>426210</v>
      </c>
      <c r="Q351" s="106">
        <f t="shared" si="16"/>
        <v>200400</v>
      </c>
      <c r="R351" s="105">
        <f t="shared" si="17"/>
        <v>1245.7455268389663</v>
      </c>
      <c r="S351" s="105">
        <f t="shared" si="17"/>
        <v>847.33598409542742</v>
      </c>
      <c r="T351" s="108">
        <f t="shared" si="17"/>
        <v>398.40954274353879</v>
      </c>
    </row>
    <row r="352" spans="1:20" s="85" customFormat="1" ht="12.75" x14ac:dyDescent="0.2">
      <c r="A352" s="109">
        <v>3000</v>
      </c>
      <c r="B352" s="110">
        <v>1</v>
      </c>
      <c r="C352" s="103" t="s">
        <v>16</v>
      </c>
      <c r="D352" s="103">
        <v>9</v>
      </c>
      <c r="E352" s="104">
        <f>+SUMIF('GE16FEB14 Unfudged'!$A$2:$A$498, $A352, 'GE16FEB14 Unfudged'!$D$2:$D$498)</f>
        <v>0</v>
      </c>
      <c r="F352" s="104">
        <v>2633763</v>
      </c>
      <c r="G352" s="105">
        <v>2308489</v>
      </c>
      <c r="H352" s="106">
        <v>325274</v>
      </c>
      <c r="I352" s="107">
        <v>-8003800</v>
      </c>
      <c r="J352" s="105">
        <v>-7585510</v>
      </c>
      <c r="K352" s="106">
        <v>-418290</v>
      </c>
      <c r="L352" s="107">
        <v>50652472</v>
      </c>
      <c r="M352" s="105">
        <v>46893197</v>
      </c>
      <c r="N352" s="106">
        <v>3759275</v>
      </c>
      <c r="O352" s="107">
        <f t="shared" si="16"/>
        <v>45282435</v>
      </c>
      <c r="P352" s="105">
        <f t="shared" si="16"/>
        <v>41616176</v>
      </c>
      <c r="Q352" s="106">
        <f t="shared" si="16"/>
        <v>3666259</v>
      </c>
      <c r="R352" s="105">
        <f t="shared" si="17"/>
        <v>0</v>
      </c>
      <c r="S352" s="105">
        <f t="shared" si="17"/>
        <v>0</v>
      </c>
      <c r="T352" s="108">
        <f t="shared" si="17"/>
        <v>0</v>
      </c>
    </row>
    <row r="353" spans="1:20" s="85" customFormat="1" ht="12.75" x14ac:dyDescent="0.2">
      <c r="A353" s="109">
        <v>3999</v>
      </c>
      <c r="B353" s="110">
        <v>1</v>
      </c>
      <c r="C353" s="103" t="s">
        <v>17</v>
      </c>
      <c r="D353" s="103">
        <v>9</v>
      </c>
      <c r="E353" s="104">
        <f>+SUMIF('GE16FEB14 Unfudged'!$A$2:$A$498, $A353, 'GE16FEB14 Unfudged'!$D$2:$D$498)</f>
        <v>8458</v>
      </c>
      <c r="F353" s="104">
        <v>975465</v>
      </c>
      <c r="G353" s="105">
        <v>-1202389</v>
      </c>
      <c r="H353" s="106">
        <v>2177854</v>
      </c>
      <c r="I353" s="107">
        <v>3586268</v>
      </c>
      <c r="J353" s="105">
        <v>-4015279</v>
      </c>
      <c r="K353" s="106">
        <v>7601547</v>
      </c>
      <c r="L353" s="107">
        <v>6444404</v>
      </c>
      <c r="M353" s="105">
        <v>-3959670</v>
      </c>
      <c r="N353" s="106">
        <v>10404074</v>
      </c>
      <c r="O353" s="107">
        <f t="shared" si="16"/>
        <v>11006137</v>
      </c>
      <c r="P353" s="105">
        <f t="shared" si="16"/>
        <v>-9177338</v>
      </c>
      <c r="Q353" s="106">
        <f t="shared" si="16"/>
        <v>20183475</v>
      </c>
      <c r="R353" s="105">
        <f t="shared" si="17"/>
        <v>1301.2694490423269</v>
      </c>
      <c r="S353" s="105">
        <f t="shared" si="17"/>
        <v>-1085.0482383542208</v>
      </c>
      <c r="T353" s="108">
        <f t="shared" si="17"/>
        <v>2386.3176873965476</v>
      </c>
    </row>
    <row r="354" spans="1:20" s="85" customFormat="1" ht="12.75" x14ac:dyDescent="0.2">
      <c r="A354" s="109">
        <v>4000</v>
      </c>
      <c r="B354" s="110">
        <v>1</v>
      </c>
      <c r="C354" s="103" t="s">
        <v>18</v>
      </c>
      <c r="D354" s="103">
        <v>7</v>
      </c>
      <c r="E354" s="104">
        <f>+SUMIF('GE16FEB14 Unfudged'!$A$2:$A$498, $A354, 'GE16FEB14 Unfudged'!$D$2:$D$498)</f>
        <v>132</v>
      </c>
      <c r="F354" s="104">
        <v>15223</v>
      </c>
      <c r="G354" s="105">
        <v>0</v>
      </c>
      <c r="H354" s="106">
        <v>15223</v>
      </c>
      <c r="I354" s="107">
        <v>0</v>
      </c>
      <c r="J354" s="105">
        <v>0</v>
      </c>
      <c r="K354" s="106">
        <v>0</v>
      </c>
      <c r="L354" s="107">
        <v>0</v>
      </c>
      <c r="M354" s="105">
        <v>0</v>
      </c>
      <c r="N354" s="106">
        <v>0</v>
      </c>
      <c r="O354" s="107">
        <f t="shared" si="16"/>
        <v>15223</v>
      </c>
      <c r="P354" s="105">
        <f t="shared" si="16"/>
        <v>0</v>
      </c>
      <c r="Q354" s="106">
        <f t="shared" si="16"/>
        <v>15223</v>
      </c>
      <c r="R354" s="105">
        <f t="shared" si="17"/>
        <v>115.32575757575758</v>
      </c>
      <c r="S354" s="105">
        <f t="shared" si="17"/>
        <v>0</v>
      </c>
      <c r="T354" s="108">
        <f t="shared" si="17"/>
        <v>115.32575757575758</v>
      </c>
    </row>
    <row r="355" spans="1:20" s="85" customFormat="1" ht="12.75" x14ac:dyDescent="0.2">
      <c r="A355" s="109">
        <v>4001</v>
      </c>
      <c r="B355" s="110">
        <v>1</v>
      </c>
      <c r="C355" s="103" t="s">
        <v>19</v>
      </c>
      <c r="D355" s="103">
        <v>7</v>
      </c>
      <c r="E355" s="104">
        <f>+SUMIF('GE16FEB14 Unfudged'!$A$2:$A$498, $A355, 'GE16FEB14 Unfudged'!$D$2:$D$498)</f>
        <v>228</v>
      </c>
      <c r="F355" s="104">
        <v>26341</v>
      </c>
      <c r="G355" s="105">
        <v>0</v>
      </c>
      <c r="H355" s="106">
        <v>26341</v>
      </c>
      <c r="I355" s="107">
        <v>0</v>
      </c>
      <c r="J355" s="105">
        <v>0</v>
      </c>
      <c r="K355" s="106">
        <v>0</v>
      </c>
      <c r="L355" s="107">
        <v>0</v>
      </c>
      <c r="M355" s="105">
        <v>0</v>
      </c>
      <c r="N355" s="106">
        <v>0</v>
      </c>
      <c r="O355" s="107">
        <f t="shared" si="16"/>
        <v>26341</v>
      </c>
      <c r="P355" s="105">
        <f t="shared" si="16"/>
        <v>0</v>
      </c>
      <c r="Q355" s="106">
        <f t="shared" si="16"/>
        <v>26341</v>
      </c>
      <c r="R355" s="105">
        <f t="shared" si="17"/>
        <v>115.53070175438596</v>
      </c>
      <c r="S355" s="105">
        <f t="shared" si="17"/>
        <v>0</v>
      </c>
      <c r="T355" s="108">
        <f t="shared" si="17"/>
        <v>115.53070175438596</v>
      </c>
    </row>
    <row r="356" spans="1:20" s="85" customFormat="1" ht="12.75" x14ac:dyDescent="0.2">
      <c r="A356" s="109">
        <v>4003</v>
      </c>
      <c r="B356" s="110">
        <v>1</v>
      </c>
      <c r="C356" s="103" t="s">
        <v>20</v>
      </c>
      <c r="D356" s="103">
        <v>7</v>
      </c>
      <c r="E356" s="104">
        <f>+SUMIF('GE16FEB14 Unfudged'!$A$2:$A$498, $A356, 'GE16FEB14 Unfudged'!$D$2:$D$498)</f>
        <v>156</v>
      </c>
      <c r="F356" s="104">
        <v>17991</v>
      </c>
      <c r="G356" s="105">
        <v>0</v>
      </c>
      <c r="H356" s="106">
        <v>17991</v>
      </c>
      <c r="I356" s="107">
        <v>0</v>
      </c>
      <c r="J356" s="105">
        <v>0</v>
      </c>
      <c r="K356" s="106">
        <v>0</v>
      </c>
      <c r="L356" s="107">
        <v>0</v>
      </c>
      <c r="M356" s="105">
        <v>0</v>
      </c>
      <c r="N356" s="106">
        <v>0</v>
      </c>
      <c r="O356" s="107">
        <f t="shared" si="16"/>
        <v>17991</v>
      </c>
      <c r="P356" s="105">
        <f t="shared" si="16"/>
        <v>0</v>
      </c>
      <c r="Q356" s="106">
        <f t="shared" si="16"/>
        <v>17991</v>
      </c>
      <c r="R356" s="105">
        <f t="shared" si="17"/>
        <v>115.32692307692308</v>
      </c>
      <c r="S356" s="105">
        <f t="shared" si="17"/>
        <v>0</v>
      </c>
      <c r="T356" s="108">
        <f t="shared" si="17"/>
        <v>115.32692307692308</v>
      </c>
    </row>
    <row r="357" spans="1:20" s="85" customFormat="1" ht="12.75" x14ac:dyDescent="0.2">
      <c r="A357" s="109">
        <v>4004</v>
      </c>
      <c r="B357" s="110">
        <v>1</v>
      </c>
      <c r="C357" s="103" t="s">
        <v>471</v>
      </c>
      <c r="D357" s="103">
        <v>7</v>
      </c>
      <c r="E357" s="104">
        <f>+SUMIF('GE16FEB14 Unfudged'!$A$2:$A$498, $A357, 'GE16FEB14 Unfudged'!$D$2:$D$498)</f>
        <v>161</v>
      </c>
      <c r="F357" s="104">
        <v>18614</v>
      </c>
      <c r="G357" s="105">
        <v>0</v>
      </c>
      <c r="H357" s="106">
        <v>18614</v>
      </c>
      <c r="I357" s="107">
        <v>0</v>
      </c>
      <c r="J357" s="105">
        <v>0</v>
      </c>
      <c r="K357" s="106">
        <v>0</v>
      </c>
      <c r="L357" s="107">
        <v>0</v>
      </c>
      <c r="M357" s="105">
        <v>0</v>
      </c>
      <c r="N357" s="106">
        <v>0</v>
      </c>
      <c r="O357" s="107">
        <f t="shared" si="16"/>
        <v>18614</v>
      </c>
      <c r="P357" s="105">
        <f t="shared" si="16"/>
        <v>0</v>
      </c>
      <c r="Q357" s="106">
        <f t="shared" si="16"/>
        <v>18614</v>
      </c>
      <c r="R357" s="105">
        <f t="shared" si="17"/>
        <v>115.61490683229813</v>
      </c>
      <c r="S357" s="105">
        <f t="shared" si="17"/>
        <v>0</v>
      </c>
      <c r="T357" s="108">
        <f t="shared" si="17"/>
        <v>115.61490683229813</v>
      </c>
    </row>
    <row r="358" spans="1:20" s="85" customFormat="1" ht="12.75" x14ac:dyDescent="0.2">
      <c r="A358" s="109">
        <v>4005</v>
      </c>
      <c r="B358" s="110">
        <v>1</v>
      </c>
      <c r="C358" s="103" t="s">
        <v>472</v>
      </c>
      <c r="D358" s="103">
        <v>7</v>
      </c>
      <c r="E358" s="104">
        <f>+SUMIF('GE16FEB14 Unfudged'!$A$2:$A$498, $A358, 'GE16FEB14 Unfudged'!$D$2:$D$498)</f>
        <v>26</v>
      </c>
      <c r="F358" s="104">
        <v>3022</v>
      </c>
      <c r="G358" s="105">
        <v>0</v>
      </c>
      <c r="H358" s="106">
        <v>3022</v>
      </c>
      <c r="I358" s="107">
        <v>0</v>
      </c>
      <c r="J358" s="105">
        <v>0</v>
      </c>
      <c r="K358" s="106">
        <v>0</v>
      </c>
      <c r="L358" s="107">
        <v>0</v>
      </c>
      <c r="M358" s="105">
        <v>0</v>
      </c>
      <c r="N358" s="106">
        <v>0</v>
      </c>
      <c r="O358" s="107">
        <f t="shared" si="16"/>
        <v>3022</v>
      </c>
      <c r="P358" s="105">
        <f t="shared" si="16"/>
        <v>0</v>
      </c>
      <c r="Q358" s="106">
        <f t="shared" si="16"/>
        <v>3022</v>
      </c>
      <c r="R358" s="105">
        <f t="shared" si="17"/>
        <v>116.23076923076923</v>
      </c>
      <c r="S358" s="105">
        <f t="shared" si="17"/>
        <v>0</v>
      </c>
      <c r="T358" s="108">
        <f t="shared" si="17"/>
        <v>116.23076923076923</v>
      </c>
    </row>
    <row r="359" spans="1:20" s="85" customFormat="1" ht="12.75" x14ac:dyDescent="0.2">
      <c r="A359" s="109">
        <v>4007</v>
      </c>
      <c r="B359" s="110">
        <v>1</v>
      </c>
      <c r="C359" s="103" t="s">
        <v>21</v>
      </c>
      <c r="D359" s="103">
        <v>7</v>
      </c>
      <c r="E359" s="104">
        <f>+SUMIF('GE16FEB14 Unfudged'!$A$2:$A$498, $A359, 'GE16FEB14 Unfudged'!$D$2:$D$498)</f>
        <v>190</v>
      </c>
      <c r="F359" s="104">
        <v>21918</v>
      </c>
      <c r="G359" s="105">
        <v>0</v>
      </c>
      <c r="H359" s="106">
        <v>21918</v>
      </c>
      <c r="I359" s="107">
        <v>0</v>
      </c>
      <c r="J359" s="105">
        <v>0</v>
      </c>
      <c r="K359" s="106">
        <v>0</v>
      </c>
      <c r="L359" s="107">
        <v>0</v>
      </c>
      <c r="M359" s="105">
        <v>0</v>
      </c>
      <c r="N359" s="106">
        <v>0</v>
      </c>
      <c r="O359" s="107">
        <f t="shared" si="16"/>
        <v>21918</v>
      </c>
      <c r="P359" s="105">
        <f t="shared" si="16"/>
        <v>0</v>
      </c>
      <c r="Q359" s="106">
        <f t="shared" si="16"/>
        <v>21918</v>
      </c>
      <c r="R359" s="105">
        <f t="shared" si="17"/>
        <v>115.3578947368421</v>
      </c>
      <c r="S359" s="105">
        <f t="shared" si="17"/>
        <v>0</v>
      </c>
      <c r="T359" s="108">
        <f t="shared" si="17"/>
        <v>115.3578947368421</v>
      </c>
    </row>
    <row r="360" spans="1:20" s="85" customFormat="1" ht="12.75" x14ac:dyDescent="0.2">
      <c r="A360" s="109">
        <v>4008</v>
      </c>
      <c r="B360" s="110">
        <v>1</v>
      </c>
      <c r="C360" s="103" t="s">
        <v>22</v>
      </c>
      <c r="D360" s="103">
        <v>7</v>
      </c>
      <c r="E360" s="104">
        <f>+SUMIF('GE16FEB14 Unfudged'!$A$2:$A$498, $A360, 'GE16FEB14 Unfudged'!$D$2:$D$498)</f>
        <v>670</v>
      </c>
      <c r="F360" s="104">
        <v>77270</v>
      </c>
      <c r="G360" s="105">
        <v>0</v>
      </c>
      <c r="H360" s="106">
        <v>77270</v>
      </c>
      <c r="I360" s="107">
        <v>0</v>
      </c>
      <c r="J360" s="105">
        <v>0</v>
      </c>
      <c r="K360" s="106">
        <v>0</v>
      </c>
      <c r="L360" s="107">
        <v>0</v>
      </c>
      <c r="M360" s="105">
        <v>0</v>
      </c>
      <c r="N360" s="106">
        <v>0</v>
      </c>
      <c r="O360" s="107">
        <f t="shared" si="16"/>
        <v>77270</v>
      </c>
      <c r="P360" s="105">
        <f t="shared" si="16"/>
        <v>0</v>
      </c>
      <c r="Q360" s="106">
        <f t="shared" si="16"/>
        <v>77270</v>
      </c>
      <c r="R360" s="105">
        <f t="shared" si="17"/>
        <v>115.32835820895522</v>
      </c>
      <c r="S360" s="105">
        <f t="shared" si="17"/>
        <v>0</v>
      </c>
      <c r="T360" s="108">
        <f t="shared" si="17"/>
        <v>115.32835820895522</v>
      </c>
    </row>
    <row r="361" spans="1:20" s="85" customFormat="1" ht="12.75" x14ac:dyDescent="0.2">
      <c r="A361" s="109">
        <v>4011</v>
      </c>
      <c r="B361" s="110">
        <v>1</v>
      </c>
      <c r="C361" s="103" t="s">
        <v>23</v>
      </c>
      <c r="D361" s="103">
        <v>7</v>
      </c>
      <c r="E361" s="104">
        <f>+SUMIF('GE16FEB14 Unfudged'!$A$2:$A$498, $A361, 'GE16FEB14 Unfudged'!$D$2:$D$498)</f>
        <v>213</v>
      </c>
      <c r="F361" s="104">
        <v>24536</v>
      </c>
      <c r="G361" s="105">
        <v>0</v>
      </c>
      <c r="H361" s="106">
        <v>24536</v>
      </c>
      <c r="I361" s="107">
        <v>0</v>
      </c>
      <c r="J361" s="105">
        <v>0</v>
      </c>
      <c r="K361" s="106">
        <v>0</v>
      </c>
      <c r="L361" s="107">
        <v>0</v>
      </c>
      <c r="M361" s="105">
        <v>0</v>
      </c>
      <c r="N361" s="106">
        <v>0</v>
      </c>
      <c r="O361" s="107">
        <f t="shared" si="16"/>
        <v>24536</v>
      </c>
      <c r="P361" s="105">
        <f t="shared" si="16"/>
        <v>0</v>
      </c>
      <c r="Q361" s="106">
        <f t="shared" si="16"/>
        <v>24536</v>
      </c>
      <c r="R361" s="105">
        <f t="shared" si="17"/>
        <v>115.1924882629108</v>
      </c>
      <c r="S361" s="105">
        <f t="shared" si="17"/>
        <v>0</v>
      </c>
      <c r="T361" s="108">
        <f t="shared" si="17"/>
        <v>115.1924882629108</v>
      </c>
    </row>
    <row r="362" spans="1:20" s="85" customFormat="1" ht="12.75" x14ac:dyDescent="0.2">
      <c r="A362" s="109">
        <v>4015</v>
      </c>
      <c r="B362" s="110">
        <v>1</v>
      </c>
      <c r="C362" s="103" t="s">
        <v>24</v>
      </c>
      <c r="D362" s="103">
        <v>7</v>
      </c>
      <c r="E362" s="104">
        <f>+SUMIF('GE16FEB14 Unfudged'!$A$2:$A$498, $A362, 'GE16FEB14 Unfudged'!$D$2:$D$498)</f>
        <v>840</v>
      </c>
      <c r="F362" s="104">
        <v>96829</v>
      </c>
      <c r="G362" s="105">
        <v>0</v>
      </c>
      <c r="H362" s="106">
        <v>96829</v>
      </c>
      <c r="I362" s="107">
        <v>0</v>
      </c>
      <c r="J362" s="105">
        <v>0</v>
      </c>
      <c r="K362" s="106">
        <v>0</v>
      </c>
      <c r="L362" s="107">
        <v>0</v>
      </c>
      <c r="M362" s="105">
        <v>0</v>
      </c>
      <c r="N362" s="106">
        <v>0</v>
      </c>
      <c r="O362" s="107">
        <f t="shared" si="16"/>
        <v>96829</v>
      </c>
      <c r="P362" s="105">
        <f t="shared" si="16"/>
        <v>0</v>
      </c>
      <c r="Q362" s="106">
        <f t="shared" si="16"/>
        <v>96829</v>
      </c>
      <c r="R362" s="105">
        <f t="shared" si="17"/>
        <v>115.27261904761905</v>
      </c>
      <c r="S362" s="105">
        <f t="shared" si="17"/>
        <v>0</v>
      </c>
      <c r="T362" s="108">
        <f t="shared" si="17"/>
        <v>115.27261904761905</v>
      </c>
    </row>
    <row r="363" spans="1:20" s="85" customFormat="1" ht="12.75" x14ac:dyDescent="0.2">
      <c r="A363" s="109">
        <v>4016</v>
      </c>
      <c r="B363" s="110">
        <v>1</v>
      </c>
      <c r="C363" s="103" t="s">
        <v>25</v>
      </c>
      <c r="D363" s="103">
        <v>7</v>
      </c>
      <c r="E363" s="104">
        <f>+SUMIF('GE16FEB14 Unfudged'!$A$2:$A$498, $A363, 'GE16FEB14 Unfudged'!$D$2:$D$498)</f>
        <v>229</v>
      </c>
      <c r="F363" s="104">
        <v>26387</v>
      </c>
      <c r="G363" s="105">
        <v>0</v>
      </c>
      <c r="H363" s="106">
        <v>26387</v>
      </c>
      <c r="I363" s="107">
        <v>0</v>
      </c>
      <c r="J363" s="105">
        <v>0</v>
      </c>
      <c r="K363" s="106">
        <v>0</v>
      </c>
      <c r="L363" s="107">
        <v>0</v>
      </c>
      <c r="M363" s="105">
        <v>0</v>
      </c>
      <c r="N363" s="106">
        <v>0</v>
      </c>
      <c r="O363" s="107">
        <f t="shared" si="16"/>
        <v>26387</v>
      </c>
      <c r="P363" s="105">
        <f t="shared" si="16"/>
        <v>0</v>
      </c>
      <c r="Q363" s="106">
        <f t="shared" si="16"/>
        <v>26387</v>
      </c>
      <c r="R363" s="105">
        <f t="shared" si="17"/>
        <v>115.22707423580786</v>
      </c>
      <c r="S363" s="105">
        <f t="shared" si="17"/>
        <v>0</v>
      </c>
      <c r="T363" s="108">
        <f t="shared" si="17"/>
        <v>115.22707423580786</v>
      </c>
    </row>
    <row r="364" spans="1:20" s="85" customFormat="1" ht="12.75" x14ac:dyDescent="0.2">
      <c r="A364" s="109">
        <v>4017</v>
      </c>
      <c r="B364" s="110">
        <v>1</v>
      </c>
      <c r="C364" s="103" t="s">
        <v>473</v>
      </c>
      <c r="D364" s="103">
        <v>7</v>
      </c>
      <c r="E364" s="104">
        <f>+SUMIF('GE16FEB14 Unfudged'!$A$2:$A$498, $A364, 'GE16FEB14 Unfudged'!$D$2:$D$498)</f>
        <v>3422</v>
      </c>
      <c r="F364" s="104">
        <v>394652</v>
      </c>
      <c r="G364" s="105">
        <v>0</v>
      </c>
      <c r="H364" s="106">
        <v>394652</v>
      </c>
      <c r="I364" s="107">
        <v>0</v>
      </c>
      <c r="J364" s="105">
        <v>0</v>
      </c>
      <c r="K364" s="106">
        <v>0</v>
      </c>
      <c r="L364" s="107">
        <v>0</v>
      </c>
      <c r="M364" s="105">
        <v>0</v>
      </c>
      <c r="N364" s="106">
        <v>0</v>
      </c>
      <c r="O364" s="107">
        <f t="shared" si="16"/>
        <v>394652</v>
      </c>
      <c r="P364" s="105">
        <f t="shared" si="16"/>
        <v>0</v>
      </c>
      <c r="Q364" s="106">
        <f t="shared" si="16"/>
        <v>394652</v>
      </c>
      <c r="R364" s="105">
        <f t="shared" si="17"/>
        <v>115.32787843366452</v>
      </c>
      <c r="S364" s="105">
        <f t="shared" si="17"/>
        <v>0</v>
      </c>
      <c r="T364" s="108">
        <f t="shared" si="17"/>
        <v>115.32787843366452</v>
      </c>
    </row>
    <row r="365" spans="1:20" s="85" customFormat="1" ht="12.75" x14ac:dyDescent="0.2">
      <c r="A365" s="109">
        <v>4018</v>
      </c>
      <c r="B365" s="110">
        <v>1</v>
      </c>
      <c r="C365" s="103" t="s">
        <v>26</v>
      </c>
      <c r="D365" s="103">
        <v>7</v>
      </c>
      <c r="E365" s="104">
        <f>+SUMIF('GE16FEB14 Unfudged'!$A$2:$A$498, $A365, 'GE16FEB14 Unfudged'!$D$2:$D$498)</f>
        <v>437</v>
      </c>
      <c r="F365" s="104">
        <v>50375</v>
      </c>
      <c r="G365" s="105">
        <v>0</v>
      </c>
      <c r="H365" s="106">
        <v>50375</v>
      </c>
      <c r="I365" s="107">
        <v>0</v>
      </c>
      <c r="J365" s="105">
        <v>0</v>
      </c>
      <c r="K365" s="106">
        <v>0</v>
      </c>
      <c r="L365" s="107">
        <v>0</v>
      </c>
      <c r="M365" s="105">
        <v>0</v>
      </c>
      <c r="N365" s="106">
        <v>0</v>
      </c>
      <c r="O365" s="107">
        <f t="shared" si="16"/>
        <v>50375</v>
      </c>
      <c r="P365" s="105">
        <f t="shared" si="16"/>
        <v>0</v>
      </c>
      <c r="Q365" s="106">
        <f t="shared" si="16"/>
        <v>50375</v>
      </c>
      <c r="R365" s="105">
        <f t="shared" si="17"/>
        <v>115.2745995423341</v>
      </c>
      <c r="S365" s="105">
        <f t="shared" si="17"/>
        <v>0</v>
      </c>
      <c r="T365" s="108">
        <f t="shared" si="17"/>
        <v>115.2745995423341</v>
      </c>
    </row>
    <row r="366" spans="1:20" s="85" customFormat="1" ht="12.75" x14ac:dyDescent="0.2">
      <c r="A366" s="109">
        <v>4020</v>
      </c>
      <c r="B366" s="110">
        <v>1</v>
      </c>
      <c r="C366" s="103" t="s">
        <v>27</v>
      </c>
      <c r="D366" s="103">
        <v>7</v>
      </c>
      <c r="E366" s="104">
        <f>+SUMIF('GE16FEB14 Unfudged'!$A$2:$A$498, $A366, 'GE16FEB14 Unfudged'!$D$2:$D$498)</f>
        <v>1292</v>
      </c>
      <c r="F366" s="104">
        <v>148946</v>
      </c>
      <c r="G366" s="105">
        <v>0</v>
      </c>
      <c r="H366" s="106">
        <v>148946</v>
      </c>
      <c r="I366" s="107">
        <v>0</v>
      </c>
      <c r="J366" s="105">
        <v>0</v>
      </c>
      <c r="K366" s="106">
        <v>0</v>
      </c>
      <c r="L366" s="107">
        <v>0</v>
      </c>
      <c r="M366" s="105">
        <v>0</v>
      </c>
      <c r="N366" s="106">
        <v>0</v>
      </c>
      <c r="O366" s="107">
        <f t="shared" si="16"/>
        <v>148946</v>
      </c>
      <c r="P366" s="105">
        <f t="shared" si="16"/>
        <v>0</v>
      </c>
      <c r="Q366" s="106">
        <f t="shared" si="16"/>
        <v>148946</v>
      </c>
      <c r="R366" s="105">
        <f t="shared" si="17"/>
        <v>115.28328173374614</v>
      </c>
      <c r="S366" s="105">
        <f t="shared" si="17"/>
        <v>0</v>
      </c>
      <c r="T366" s="108">
        <f t="shared" si="17"/>
        <v>115.28328173374614</v>
      </c>
    </row>
    <row r="367" spans="1:20" s="85" customFormat="1" ht="12.75" x14ac:dyDescent="0.2">
      <c r="A367" s="109">
        <v>4025</v>
      </c>
      <c r="B367" s="110">
        <v>1</v>
      </c>
      <c r="C367" s="103" t="s">
        <v>28</v>
      </c>
      <c r="D367" s="103">
        <v>7</v>
      </c>
      <c r="E367" s="104">
        <f>+SUMIF('GE16FEB14 Unfudged'!$A$2:$A$498, $A367, 'GE16FEB14 Unfudged'!$D$2:$D$498)</f>
        <v>171</v>
      </c>
      <c r="F367" s="104">
        <v>19721</v>
      </c>
      <c r="G367" s="105">
        <v>0</v>
      </c>
      <c r="H367" s="106">
        <v>19721</v>
      </c>
      <c r="I367" s="107">
        <v>0</v>
      </c>
      <c r="J367" s="105">
        <v>0</v>
      </c>
      <c r="K367" s="106">
        <v>0</v>
      </c>
      <c r="L367" s="107">
        <v>0</v>
      </c>
      <c r="M367" s="105">
        <v>0</v>
      </c>
      <c r="N367" s="106">
        <v>0</v>
      </c>
      <c r="O367" s="107">
        <f t="shared" si="16"/>
        <v>19721</v>
      </c>
      <c r="P367" s="105">
        <f t="shared" si="16"/>
        <v>0</v>
      </c>
      <c r="Q367" s="106">
        <f t="shared" si="16"/>
        <v>19721</v>
      </c>
      <c r="R367" s="105">
        <f t="shared" si="17"/>
        <v>115.32748538011695</v>
      </c>
      <c r="S367" s="105">
        <f t="shared" si="17"/>
        <v>0</v>
      </c>
      <c r="T367" s="108">
        <f t="shared" si="17"/>
        <v>115.32748538011695</v>
      </c>
    </row>
    <row r="368" spans="1:20" s="85" customFormat="1" ht="12.75" x14ac:dyDescent="0.2">
      <c r="A368" s="109">
        <v>4026</v>
      </c>
      <c r="B368" s="110">
        <v>1</v>
      </c>
      <c r="C368" s="103" t="s">
        <v>29</v>
      </c>
      <c r="D368" s="103">
        <v>7</v>
      </c>
      <c r="E368" s="104">
        <f>+SUMIF('GE16FEB14 Unfudged'!$A$2:$A$498, $A368, 'GE16FEB14 Unfudged'!$D$2:$D$498)</f>
        <v>119</v>
      </c>
      <c r="F368" s="104">
        <v>13701</v>
      </c>
      <c r="G368" s="105">
        <v>0</v>
      </c>
      <c r="H368" s="106">
        <v>13701</v>
      </c>
      <c r="I368" s="107">
        <v>0</v>
      </c>
      <c r="J368" s="105">
        <v>0</v>
      </c>
      <c r="K368" s="106">
        <v>0</v>
      </c>
      <c r="L368" s="107">
        <v>0</v>
      </c>
      <c r="M368" s="105">
        <v>0</v>
      </c>
      <c r="N368" s="106">
        <v>0</v>
      </c>
      <c r="O368" s="107">
        <f t="shared" si="16"/>
        <v>13701</v>
      </c>
      <c r="P368" s="105">
        <f t="shared" si="16"/>
        <v>0</v>
      </c>
      <c r="Q368" s="106">
        <f t="shared" si="16"/>
        <v>13701</v>
      </c>
      <c r="R368" s="105">
        <f t="shared" si="17"/>
        <v>115.1344537815126</v>
      </c>
      <c r="S368" s="105">
        <f t="shared" si="17"/>
        <v>0</v>
      </c>
      <c r="T368" s="108">
        <f t="shared" si="17"/>
        <v>115.1344537815126</v>
      </c>
    </row>
    <row r="369" spans="1:20" s="85" customFormat="1" ht="12.75" x14ac:dyDescent="0.2">
      <c r="A369" s="109">
        <v>4027</v>
      </c>
      <c r="B369" s="110">
        <v>1</v>
      </c>
      <c r="C369" s="103" t="s">
        <v>30</v>
      </c>
      <c r="D369" s="103">
        <v>7</v>
      </c>
      <c r="E369" s="104">
        <f>+SUMIF('GE16FEB14 Unfudged'!$A$2:$A$498, $A369, 'GE16FEB14 Unfudged'!$D$2:$D$498)</f>
        <v>1118</v>
      </c>
      <c r="F369" s="104">
        <v>128937</v>
      </c>
      <c r="G369" s="105">
        <v>0</v>
      </c>
      <c r="H369" s="106">
        <v>128937</v>
      </c>
      <c r="I369" s="107">
        <v>0</v>
      </c>
      <c r="J369" s="105">
        <v>0</v>
      </c>
      <c r="K369" s="106">
        <v>0</v>
      </c>
      <c r="L369" s="107">
        <v>0</v>
      </c>
      <c r="M369" s="105">
        <v>0</v>
      </c>
      <c r="N369" s="106">
        <v>0</v>
      </c>
      <c r="O369" s="107">
        <f t="shared" si="16"/>
        <v>128937</v>
      </c>
      <c r="P369" s="105">
        <f t="shared" si="16"/>
        <v>0</v>
      </c>
      <c r="Q369" s="106">
        <f t="shared" si="16"/>
        <v>128937</v>
      </c>
      <c r="R369" s="105">
        <f t="shared" si="17"/>
        <v>115.32826475849731</v>
      </c>
      <c r="S369" s="105">
        <f t="shared" si="17"/>
        <v>0</v>
      </c>
      <c r="T369" s="108">
        <f t="shared" si="17"/>
        <v>115.32826475849731</v>
      </c>
    </row>
    <row r="370" spans="1:20" s="85" customFormat="1" ht="12.75" x14ac:dyDescent="0.2">
      <c r="A370" s="109">
        <v>4029</v>
      </c>
      <c r="B370" s="110">
        <v>1</v>
      </c>
      <c r="C370" s="103" t="s">
        <v>460</v>
      </c>
      <c r="D370" s="103">
        <v>7</v>
      </c>
      <c r="E370" s="104">
        <f>+SUMIF('GE16FEB14 Unfudged'!$A$2:$A$498, $A370, 'GE16FEB14 Unfudged'!$D$2:$D$498)</f>
        <v>377</v>
      </c>
      <c r="F370" s="104">
        <v>43444</v>
      </c>
      <c r="G370" s="105">
        <v>0</v>
      </c>
      <c r="H370" s="106">
        <v>43444</v>
      </c>
      <c r="I370" s="107">
        <v>0</v>
      </c>
      <c r="J370" s="105">
        <v>0</v>
      </c>
      <c r="K370" s="106">
        <v>0</v>
      </c>
      <c r="L370" s="107">
        <v>0</v>
      </c>
      <c r="M370" s="105">
        <v>0</v>
      </c>
      <c r="N370" s="106">
        <v>0</v>
      </c>
      <c r="O370" s="107">
        <f t="shared" si="16"/>
        <v>43444</v>
      </c>
      <c r="P370" s="105">
        <f t="shared" si="16"/>
        <v>0</v>
      </c>
      <c r="Q370" s="106">
        <f t="shared" si="16"/>
        <v>43444</v>
      </c>
      <c r="R370" s="105">
        <f t="shared" si="17"/>
        <v>115.23607427055703</v>
      </c>
      <c r="S370" s="105">
        <f t="shared" si="17"/>
        <v>0</v>
      </c>
      <c r="T370" s="108">
        <f t="shared" si="17"/>
        <v>115.23607427055703</v>
      </c>
    </row>
    <row r="371" spans="1:20" s="85" customFormat="1" ht="12.75" x14ac:dyDescent="0.2">
      <c r="A371" s="109">
        <v>4030</v>
      </c>
      <c r="B371" s="110">
        <v>1</v>
      </c>
      <c r="C371" s="103" t="s">
        <v>461</v>
      </c>
      <c r="D371" s="103">
        <v>7</v>
      </c>
      <c r="E371" s="104">
        <f>+SUMIF('GE16FEB14 Unfudged'!$A$2:$A$498, $A371, 'GE16FEB14 Unfudged'!$D$2:$D$498)</f>
        <v>355</v>
      </c>
      <c r="F371" s="104">
        <v>40930</v>
      </c>
      <c r="G371" s="105">
        <v>0</v>
      </c>
      <c r="H371" s="106">
        <v>40930</v>
      </c>
      <c r="I371" s="107">
        <v>0</v>
      </c>
      <c r="J371" s="105">
        <v>0</v>
      </c>
      <c r="K371" s="106">
        <v>0</v>
      </c>
      <c r="L371" s="107">
        <v>0</v>
      </c>
      <c r="M371" s="105">
        <v>0</v>
      </c>
      <c r="N371" s="106">
        <v>0</v>
      </c>
      <c r="O371" s="107">
        <f t="shared" si="16"/>
        <v>40930</v>
      </c>
      <c r="P371" s="105">
        <f t="shared" si="16"/>
        <v>0</v>
      </c>
      <c r="Q371" s="106">
        <f t="shared" si="16"/>
        <v>40930</v>
      </c>
      <c r="R371" s="105">
        <f t="shared" si="17"/>
        <v>115.29577464788733</v>
      </c>
      <c r="S371" s="105">
        <f t="shared" si="17"/>
        <v>0</v>
      </c>
      <c r="T371" s="108">
        <f t="shared" si="17"/>
        <v>115.29577464788733</v>
      </c>
    </row>
    <row r="372" spans="1:20" s="85" customFormat="1" ht="12.75" x14ac:dyDescent="0.2">
      <c r="A372" s="109">
        <v>4031</v>
      </c>
      <c r="B372" s="110">
        <v>7</v>
      </c>
      <c r="C372" s="103" t="s">
        <v>474</v>
      </c>
      <c r="D372" s="103">
        <v>7</v>
      </c>
      <c r="E372" s="104">
        <f>+SUMIF('GE16FEB14 Unfudged'!$A$2:$A$498, $A372, 'GE16FEB14 Unfudged'!$D$2:$D$498)</f>
        <v>84</v>
      </c>
      <c r="F372" s="104">
        <v>9688</v>
      </c>
      <c r="G372" s="105">
        <v>0</v>
      </c>
      <c r="H372" s="106">
        <v>9688</v>
      </c>
      <c r="I372" s="107">
        <v>0</v>
      </c>
      <c r="J372" s="105">
        <v>0</v>
      </c>
      <c r="K372" s="106">
        <v>0</v>
      </c>
      <c r="L372" s="107">
        <v>0</v>
      </c>
      <c r="M372" s="105">
        <v>0</v>
      </c>
      <c r="N372" s="106">
        <v>0</v>
      </c>
      <c r="O372" s="107">
        <f t="shared" si="16"/>
        <v>9688</v>
      </c>
      <c r="P372" s="105">
        <f t="shared" si="16"/>
        <v>0</v>
      </c>
      <c r="Q372" s="106">
        <f t="shared" si="16"/>
        <v>9688</v>
      </c>
      <c r="R372" s="105">
        <f t="shared" si="17"/>
        <v>115.33333333333333</v>
      </c>
      <c r="S372" s="105">
        <f t="shared" si="17"/>
        <v>0</v>
      </c>
      <c r="T372" s="108">
        <f t="shared" si="17"/>
        <v>115.33333333333333</v>
      </c>
    </row>
    <row r="373" spans="1:20" s="85" customFormat="1" ht="12.75" x14ac:dyDescent="0.2">
      <c r="A373" s="109">
        <v>4032</v>
      </c>
      <c r="B373" s="110">
        <v>7</v>
      </c>
      <c r="C373" s="103" t="s">
        <v>475</v>
      </c>
      <c r="D373" s="103">
        <v>7</v>
      </c>
      <c r="E373" s="104">
        <f>+SUMIF('GE16FEB14 Unfudged'!$A$2:$A$498, $A373, 'GE16FEB14 Unfudged'!$D$2:$D$498)</f>
        <v>364</v>
      </c>
      <c r="F373" s="104">
        <v>41922</v>
      </c>
      <c r="G373" s="105">
        <v>0</v>
      </c>
      <c r="H373" s="106">
        <v>41922</v>
      </c>
      <c r="I373" s="107">
        <v>0</v>
      </c>
      <c r="J373" s="105">
        <v>0</v>
      </c>
      <c r="K373" s="106">
        <v>0</v>
      </c>
      <c r="L373" s="107">
        <v>0</v>
      </c>
      <c r="M373" s="105">
        <v>0</v>
      </c>
      <c r="N373" s="106">
        <v>0</v>
      </c>
      <c r="O373" s="107">
        <f t="shared" si="16"/>
        <v>41922</v>
      </c>
      <c r="P373" s="105">
        <f t="shared" si="16"/>
        <v>0</v>
      </c>
      <c r="Q373" s="106">
        <f t="shared" si="16"/>
        <v>41922</v>
      </c>
      <c r="R373" s="105">
        <f t="shared" si="17"/>
        <v>115.17032967032966</v>
      </c>
      <c r="S373" s="105">
        <f t="shared" si="17"/>
        <v>0</v>
      </c>
      <c r="T373" s="108">
        <f t="shared" si="17"/>
        <v>115.17032967032966</v>
      </c>
    </row>
    <row r="374" spans="1:20" s="85" customFormat="1" ht="12.75" x14ac:dyDescent="0.2">
      <c r="A374" s="109">
        <v>4035</v>
      </c>
      <c r="B374" s="110">
        <v>7</v>
      </c>
      <c r="C374" s="103" t="s">
        <v>476</v>
      </c>
      <c r="D374" s="103">
        <v>7</v>
      </c>
      <c r="E374" s="104">
        <f>+SUMIF('GE16FEB14 Unfudged'!$A$2:$A$498, $A374, 'GE16FEB14 Unfudged'!$D$2:$D$498)</f>
        <v>404</v>
      </c>
      <c r="F374" s="104">
        <v>46535</v>
      </c>
      <c r="G374" s="105">
        <v>0</v>
      </c>
      <c r="H374" s="106">
        <v>46535</v>
      </c>
      <c r="I374" s="107">
        <v>0</v>
      </c>
      <c r="J374" s="105">
        <v>0</v>
      </c>
      <c r="K374" s="106">
        <v>0</v>
      </c>
      <c r="L374" s="107">
        <v>0</v>
      </c>
      <c r="M374" s="105">
        <v>0</v>
      </c>
      <c r="N374" s="106">
        <v>0</v>
      </c>
      <c r="O374" s="107">
        <f t="shared" si="16"/>
        <v>46535</v>
      </c>
      <c r="P374" s="105">
        <f t="shared" si="16"/>
        <v>0</v>
      </c>
      <c r="Q374" s="106">
        <f t="shared" si="16"/>
        <v>46535</v>
      </c>
      <c r="R374" s="105">
        <f t="shared" si="17"/>
        <v>115.18564356435644</v>
      </c>
      <c r="S374" s="105">
        <f t="shared" si="17"/>
        <v>0</v>
      </c>
      <c r="T374" s="108">
        <f t="shared" si="17"/>
        <v>115.18564356435644</v>
      </c>
    </row>
    <row r="375" spans="1:20" s="85" customFormat="1" ht="12.75" x14ac:dyDescent="0.2">
      <c r="A375" s="109">
        <v>4036</v>
      </c>
      <c r="B375" s="110">
        <v>7</v>
      </c>
      <c r="C375" s="103" t="s">
        <v>31</v>
      </c>
      <c r="D375" s="103">
        <v>7</v>
      </c>
      <c r="E375" s="104">
        <f>+SUMIF('GE16FEB14 Unfudged'!$A$2:$A$498, $A375, 'GE16FEB14 Unfudged'!$D$2:$D$498)</f>
        <v>83</v>
      </c>
      <c r="F375" s="104">
        <v>9549</v>
      </c>
      <c r="G375" s="105">
        <v>0</v>
      </c>
      <c r="H375" s="106">
        <v>9549</v>
      </c>
      <c r="I375" s="107">
        <v>0</v>
      </c>
      <c r="J375" s="105">
        <v>0</v>
      </c>
      <c r="K375" s="106">
        <v>0</v>
      </c>
      <c r="L375" s="107">
        <v>0</v>
      </c>
      <c r="M375" s="105">
        <v>0</v>
      </c>
      <c r="N375" s="106">
        <v>0</v>
      </c>
      <c r="O375" s="107">
        <f t="shared" si="16"/>
        <v>9549</v>
      </c>
      <c r="P375" s="105">
        <f t="shared" si="16"/>
        <v>0</v>
      </c>
      <c r="Q375" s="106">
        <f t="shared" si="16"/>
        <v>9549</v>
      </c>
      <c r="R375" s="105">
        <f t="shared" si="17"/>
        <v>115.04819277108433</v>
      </c>
      <c r="S375" s="105">
        <f t="shared" si="17"/>
        <v>0</v>
      </c>
      <c r="T375" s="108">
        <f t="shared" si="17"/>
        <v>115.04819277108433</v>
      </c>
    </row>
    <row r="376" spans="1:20" s="85" customFormat="1" ht="12.75" x14ac:dyDescent="0.2">
      <c r="A376" s="109">
        <v>4038</v>
      </c>
      <c r="B376" s="110">
        <v>7</v>
      </c>
      <c r="C376" s="103" t="s">
        <v>32</v>
      </c>
      <c r="D376" s="103">
        <v>7</v>
      </c>
      <c r="E376" s="104">
        <f>+SUMIF('GE16FEB14 Unfudged'!$A$2:$A$498, $A376, 'GE16FEB14 Unfudged'!$D$2:$D$498)</f>
        <v>403</v>
      </c>
      <c r="F376" s="104">
        <v>46466</v>
      </c>
      <c r="G376" s="105">
        <v>0</v>
      </c>
      <c r="H376" s="106">
        <v>46466</v>
      </c>
      <c r="I376" s="107">
        <v>0</v>
      </c>
      <c r="J376" s="105">
        <v>0</v>
      </c>
      <c r="K376" s="106">
        <v>0</v>
      </c>
      <c r="L376" s="107">
        <v>0</v>
      </c>
      <c r="M376" s="105">
        <v>0</v>
      </c>
      <c r="N376" s="106">
        <v>0</v>
      </c>
      <c r="O376" s="107">
        <f t="shared" si="16"/>
        <v>46466</v>
      </c>
      <c r="P376" s="105">
        <f t="shared" si="16"/>
        <v>0</v>
      </c>
      <c r="Q376" s="106">
        <f t="shared" si="16"/>
        <v>46466</v>
      </c>
      <c r="R376" s="105">
        <f t="shared" si="17"/>
        <v>115.30024813895781</v>
      </c>
      <c r="S376" s="105">
        <f t="shared" si="17"/>
        <v>0</v>
      </c>
      <c r="T376" s="108">
        <f t="shared" si="17"/>
        <v>115.30024813895781</v>
      </c>
    </row>
    <row r="377" spans="1:20" s="85" customFormat="1" ht="12.75" x14ac:dyDescent="0.2">
      <c r="A377" s="109">
        <v>4039</v>
      </c>
      <c r="B377" s="110">
        <v>7</v>
      </c>
      <c r="C377" s="103" t="s">
        <v>33</v>
      </c>
      <c r="D377" s="103">
        <v>7</v>
      </c>
      <c r="E377" s="104">
        <f>+SUMIF('GE16FEB14 Unfudged'!$A$2:$A$498, $A377, 'GE16FEB14 Unfudged'!$D$2:$D$498)</f>
        <v>300</v>
      </c>
      <c r="F377" s="104">
        <v>34598</v>
      </c>
      <c r="G377" s="105">
        <v>0</v>
      </c>
      <c r="H377" s="106">
        <v>34598</v>
      </c>
      <c r="I377" s="107">
        <v>0</v>
      </c>
      <c r="J377" s="105">
        <v>0</v>
      </c>
      <c r="K377" s="106">
        <v>0</v>
      </c>
      <c r="L377" s="107">
        <v>0</v>
      </c>
      <c r="M377" s="105">
        <v>0</v>
      </c>
      <c r="N377" s="106">
        <v>0</v>
      </c>
      <c r="O377" s="107">
        <f t="shared" si="16"/>
        <v>34598</v>
      </c>
      <c r="P377" s="105">
        <f t="shared" si="16"/>
        <v>0</v>
      </c>
      <c r="Q377" s="106">
        <f t="shared" si="16"/>
        <v>34598</v>
      </c>
      <c r="R377" s="105">
        <f t="shared" si="17"/>
        <v>115.32666666666667</v>
      </c>
      <c r="S377" s="105">
        <f t="shared" si="17"/>
        <v>0</v>
      </c>
      <c r="T377" s="108">
        <f t="shared" si="17"/>
        <v>115.32666666666667</v>
      </c>
    </row>
    <row r="378" spans="1:20" s="85" customFormat="1" ht="12.75" x14ac:dyDescent="0.2">
      <c r="A378" s="109">
        <v>4042</v>
      </c>
      <c r="B378" s="110">
        <v>7</v>
      </c>
      <c r="C378" s="103" t="s">
        <v>34</v>
      </c>
      <c r="D378" s="103">
        <v>7</v>
      </c>
      <c r="E378" s="104">
        <f>+SUMIF('GE16FEB14 Unfudged'!$A$2:$A$498, $A378, 'GE16FEB14 Unfudged'!$D$2:$D$498)</f>
        <v>243</v>
      </c>
      <c r="F378" s="104">
        <v>28025</v>
      </c>
      <c r="G378" s="105">
        <v>0</v>
      </c>
      <c r="H378" s="106">
        <v>28025</v>
      </c>
      <c r="I378" s="107">
        <v>0</v>
      </c>
      <c r="J378" s="105">
        <v>0</v>
      </c>
      <c r="K378" s="106">
        <v>0</v>
      </c>
      <c r="L378" s="107">
        <v>0</v>
      </c>
      <c r="M378" s="105">
        <v>0</v>
      </c>
      <c r="N378" s="106">
        <v>0</v>
      </c>
      <c r="O378" s="107">
        <f t="shared" si="16"/>
        <v>28025</v>
      </c>
      <c r="P378" s="105">
        <f t="shared" si="16"/>
        <v>0</v>
      </c>
      <c r="Q378" s="106">
        <f t="shared" si="16"/>
        <v>28025</v>
      </c>
      <c r="R378" s="105">
        <f t="shared" si="17"/>
        <v>115.32921810699588</v>
      </c>
      <c r="S378" s="105">
        <f t="shared" si="17"/>
        <v>0</v>
      </c>
      <c r="T378" s="108">
        <f t="shared" si="17"/>
        <v>115.32921810699588</v>
      </c>
    </row>
    <row r="379" spans="1:20" s="85" customFormat="1" ht="12.75" x14ac:dyDescent="0.2">
      <c r="A379" s="109">
        <v>4043</v>
      </c>
      <c r="B379" s="110">
        <v>7</v>
      </c>
      <c r="C379" s="103" t="s">
        <v>35</v>
      </c>
      <c r="D379" s="103">
        <v>7</v>
      </c>
      <c r="E379" s="104">
        <f>+SUMIF('GE16FEB14 Unfudged'!$A$2:$A$498, $A379, 'GE16FEB14 Unfudged'!$D$2:$D$498)</f>
        <v>528</v>
      </c>
      <c r="F379" s="104">
        <v>60939</v>
      </c>
      <c r="G379" s="105">
        <v>0</v>
      </c>
      <c r="H379" s="106">
        <v>60939</v>
      </c>
      <c r="I379" s="107">
        <v>0</v>
      </c>
      <c r="J379" s="105">
        <v>0</v>
      </c>
      <c r="K379" s="106">
        <v>0</v>
      </c>
      <c r="L379" s="107">
        <v>0</v>
      </c>
      <c r="M379" s="105">
        <v>0</v>
      </c>
      <c r="N379" s="106">
        <v>0</v>
      </c>
      <c r="O379" s="107">
        <f t="shared" si="16"/>
        <v>60939</v>
      </c>
      <c r="P379" s="105">
        <f t="shared" si="16"/>
        <v>0</v>
      </c>
      <c r="Q379" s="106">
        <f t="shared" si="16"/>
        <v>60939</v>
      </c>
      <c r="R379" s="105">
        <f t="shared" si="17"/>
        <v>115.41477272727273</v>
      </c>
      <c r="S379" s="105">
        <f t="shared" si="17"/>
        <v>0</v>
      </c>
      <c r="T379" s="108">
        <f t="shared" si="17"/>
        <v>115.41477272727273</v>
      </c>
    </row>
    <row r="380" spans="1:20" s="85" customFormat="1" ht="12.75" x14ac:dyDescent="0.2">
      <c r="A380" s="109">
        <v>4045</v>
      </c>
      <c r="B380" s="110">
        <v>7</v>
      </c>
      <c r="C380" s="103" t="s">
        <v>36</v>
      </c>
      <c r="D380" s="103">
        <v>7</v>
      </c>
      <c r="E380" s="104">
        <f>+SUMIF('GE16FEB14 Unfudged'!$A$2:$A$498, $A380, 'GE16FEB14 Unfudged'!$D$2:$D$498)</f>
        <v>0</v>
      </c>
      <c r="F380" s="104">
        <v>0</v>
      </c>
      <c r="G380" s="105">
        <v>0</v>
      </c>
      <c r="H380" s="106">
        <v>0</v>
      </c>
      <c r="I380" s="107">
        <v>0</v>
      </c>
      <c r="J380" s="105">
        <v>0</v>
      </c>
      <c r="K380" s="106">
        <v>0</v>
      </c>
      <c r="L380" s="107">
        <v>0</v>
      </c>
      <c r="M380" s="105">
        <v>0</v>
      </c>
      <c r="N380" s="106">
        <v>0</v>
      </c>
      <c r="O380" s="107">
        <f t="shared" si="16"/>
        <v>0</v>
      </c>
      <c r="P380" s="105">
        <f t="shared" si="16"/>
        <v>0</v>
      </c>
      <c r="Q380" s="106">
        <f t="shared" si="16"/>
        <v>0</v>
      </c>
      <c r="R380" s="105">
        <f t="shared" si="17"/>
        <v>0</v>
      </c>
      <c r="S380" s="105">
        <f t="shared" si="17"/>
        <v>0</v>
      </c>
      <c r="T380" s="108">
        <f t="shared" si="17"/>
        <v>0</v>
      </c>
    </row>
    <row r="381" spans="1:20" s="85" customFormat="1" ht="12.75" x14ac:dyDescent="0.2">
      <c r="A381" s="109">
        <v>4049</v>
      </c>
      <c r="B381" s="110">
        <v>7</v>
      </c>
      <c r="C381" s="103" t="s">
        <v>462</v>
      </c>
      <c r="D381" s="103">
        <v>7</v>
      </c>
      <c r="E381" s="104">
        <f>+SUMIF('GE16FEB14 Unfudged'!$A$2:$A$498, $A381, 'GE16FEB14 Unfudged'!$D$2:$D$498)</f>
        <v>150</v>
      </c>
      <c r="F381" s="104">
        <v>17299</v>
      </c>
      <c r="G381" s="105">
        <v>0</v>
      </c>
      <c r="H381" s="106">
        <v>17299</v>
      </c>
      <c r="I381" s="107">
        <v>0</v>
      </c>
      <c r="J381" s="105">
        <v>0</v>
      </c>
      <c r="K381" s="106">
        <v>0</v>
      </c>
      <c r="L381" s="107">
        <v>0</v>
      </c>
      <c r="M381" s="105">
        <v>0</v>
      </c>
      <c r="N381" s="106">
        <v>0</v>
      </c>
      <c r="O381" s="107">
        <f t="shared" si="16"/>
        <v>17299</v>
      </c>
      <c r="P381" s="105">
        <f t="shared" si="16"/>
        <v>0</v>
      </c>
      <c r="Q381" s="106">
        <f t="shared" si="16"/>
        <v>17299</v>
      </c>
      <c r="R381" s="105">
        <f t="shared" si="17"/>
        <v>115.32666666666667</v>
      </c>
      <c r="S381" s="105">
        <f t="shared" si="17"/>
        <v>0</v>
      </c>
      <c r="T381" s="108">
        <f t="shared" si="17"/>
        <v>115.32666666666667</v>
      </c>
    </row>
    <row r="382" spans="1:20" s="85" customFormat="1" ht="12.75" x14ac:dyDescent="0.2">
      <c r="A382" s="109">
        <v>4050</v>
      </c>
      <c r="B382" s="110">
        <v>7</v>
      </c>
      <c r="C382" s="103" t="s">
        <v>477</v>
      </c>
      <c r="D382" s="103">
        <v>7</v>
      </c>
      <c r="E382" s="104">
        <f>+SUMIF('GE16FEB14 Unfudged'!$A$2:$A$498, $A382, 'GE16FEB14 Unfudged'!$D$2:$D$498)</f>
        <v>119</v>
      </c>
      <c r="F382" s="104">
        <v>13678</v>
      </c>
      <c r="G382" s="105">
        <v>0</v>
      </c>
      <c r="H382" s="106">
        <v>13678</v>
      </c>
      <c r="I382" s="107">
        <v>0</v>
      </c>
      <c r="J382" s="105">
        <v>0</v>
      </c>
      <c r="K382" s="106">
        <v>0</v>
      </c>
      <c r="L382" s="107">
        <v>0</v>
      </c>
      <c r="M382" s="105">
        <v>0</v>
      </c>
      <c r="N382" s="106">
        <v>0</v>
      </c>
      <c r="O382" s="107">
        <f t="shared" si="16"/>
        <v>13678</v>
      </c>
      <c r="P382" s="105">
        <f t="shared" si="16"/>
        <v>0</v>
      </c>
      <c r="Q382" s="106">
        <f t="shared" si="16"/>
        <v>13678</v>
      </c>
      <c r="R382" s="105">
        <f t="shared" si="17"/>
        <v>114.94117647058823</v>
      </c>
      <c r="S382" s="105">
        <f t="shared" si="17"/>
        <v>0</v>
      </c>
      <c r="T382" s="108">
        <f t="shared" si="17"/>
        <v>114.94117647058823</v>
      </c>
    </row>
    <row r="383" spans="1:20" s="85" customFormat="1" ht="12.75" x14ac:dyDescent="0.2">
      <c r="A383" s="109">
        <v>4052</v>
      </c>
      <c r="B383" s="110">
        <v>7</v>
      </c>
      <c r="C383" s="103" t="s">
        <v>478</v>
      </c>
      <c r="D383" s="103">
        <v>7</v>
      </c>
      <c r="E383" s="104">
        <f>+SUMIF('GE16FEB14 Unfudged'!$A$2:$A$498, $A383, 'GE16FEB14 Unfudged'!$D$2:$D$498)</f>
        <v>0</v>
      </c>
      <c r="F383" s="104">
        <v>0</v>
      </c>
      <c r="G383" s="105">
        <v>0</v>
      </c>
      <c r="H383" s="106">
        <v>0</v>
      </c>
      <c r="I383" s="107">
        <v>0</v>
      </c>
      <c r="J383" s="105">
        <v>0</v>
      </c>
      <c r="K383" s="106">
        <v>0</v>
      </c>
      <c r="L383" s="107">
        <v>0</v>
      </c>
      <c r="M383" s="105">
        <v>0</v>
      </c>
      <c r="N383" s="106">
        <v>0</v>
      </c>
      <c r="O383" s="107">
        <f t="shared" si="16"/>
        <v>0</v>
      </c>
      <c r="P383" s="105">
        <f t="shared" si="16"/>
        <v>0</v>
      </c>
      <c r="Q383" s="106">
        <f t="shared" si="16"/>
        <v>0</v>
      </c>
      <c r="R383" s="105">
        <f t="shared" si="17"/>
        <v>0</v>
      </c>
      <c r="S383" s="105">
        <f t="shared" si="17"/>
        <v>0</v>
      </c>
      <c r="T383" s="108">
        <f t="shared" si="17"/>
        <v>0</v>
      </c>
    </row>
    <row r="384" spans="1:20" s="85" customFormat="1" ht="12.75" x14ac:dyDescent="0.2">
      <c r="A384" s="109">
        <v>4053</v>
      </c>
      <c r="B384" s="110">
        <v>7</v>
      </c>
      <c r="C384" s="103" t="s">
        <v>37</v>
      </c>
      <c r="D384" s="103">
        <v>7</v>
      </c>
      <c r="E384" s="104">
        <f>+SUMIF('GE16FEB14 Unfudged'!$A$2:$A$498, $A384, 'GE16FEB14 Unfudged'!$D$2:$D$498)</f>
        <v>478</v>
      </c>
      <c r="F384" s="104">
        <v>55127</v>
      </c>
      <c r="G384" s="105">
        <v>0</v>
      </c>
      <c r="H384" s="106">
        <v>55127</v>
      </c>
      <c r="I384" s="107">
        <v>0</v>
      </c>
      <c r="J384" s="105">
        <v>0</v>
      </c>
      <c r="K384" s="106">
        <v>0</v>
      </c>
      <c r="L384" s="107">
        <v>0</v>
      </c>
      <c r="M384" s="105">
        <v>0</v>
      </c>
      <c r="N384" s="106">
        <v>0</v>
      </c>
      <c r="O384" s="107">
        <f t="shared" si="16"/>
        <v>55127</v>
      </c>
      <c r="P384" s="105">
        <f t="shared" si="16"/>
        <v>0</v>
      </c>
      <c r="Q384" s="106">
        <f t="shared" si="16"/>
        <v>55127</v>
      </c>
      <c r="R384" s="105">
        <f t="shared" si="17"/>
        <v>115.32845188284519</v>
      </c>
      <c r="S384" s="105">
        <f t="shared" si="17"/>
        <v>0</v>
      </c>
      <c r="T384" s="108">
        <f t="shared" si="17"/>
        <v>115.32845188284519</v>
      </c>
    </row>
    <row r="385" spans="1:20" s="85" customFormat="1" ht="12.75" x14ac:dyDescent="0.2">
      <c r="A385" s="109">
        <v>4054</v>
      </c>
      <c r="B385" s="110">
        <v>7</v>
      </c>
      <c r="C385" s="103" t="s">
        <v>38</v>
      </c>
      <c r="D385" s="103">
        <v>7</v>
      </c>
      <c r="E385" s="104">
        <f>+SUMIF('GE16FEB14 Unfudged'!$A$2:$A$498, $A385, 'GE16FEB14 Unfudged'!$D$2:$D$498)</f>
        <v>69</v>
      </c>
      <c r="F385" s="104">
        <v>7935</v>
      </c>
      <c r="G385" s="105">
        <v>0</v>
      </c>
      <c r="H385" s="106">
        <v>7935</v>
      </c>
      <c r="I385" s="107">
        <v>0</v>
      </c>
      <c r="J385" s="105">
        <v>0</v>
      </c>
      <c r="K385" s="106">
        <v>0</v>
      </c>
      <c r="L385" s="107">
        <v>0</v>
      </c>
      <c r="M385" s="105">
        <v>0</v>
      </c>
      <c r="N385" s="106">
        <v>0</v>
      </c>
      <c r="O385" s="107">
        <f t="shared" si="16"/>
        <v>7935</v>
      </c>
      <c r="P385" s="105">
        <f t="shared" si="16"/>
        <v>0</v>
      </c>
      <c r="Q385" s="106">
        <f t="shared" si="16"/>
        <v>7935</v>
      </c>
      <c r="R385" s="105">
        <f t="shared" si="17"/>
        <v>115</v>
      </c>
      <c r="S385" s="105">
        <f t="shared" si="17"/>
        <v>0</v>
      </c>
      <c r="T385" s="108">
        <f t="shared" si="17"/>
        <v>115</v>
      </c>
    </row>
    <row r="386" spans="1:20" s="85" customFormat="1" ht="12.75" x14ac:dyDescent="0.2">
      <c r="A386" s="109">
        <v>4055</v>
      </c>
      <c r="B386" s="110">
        <v>7</v>
      </c>
      <c r="C386" s="103" t="s">
        <v>39</v>
      </c>
      <c r="D386" s="103">
        <v>7</v>
      </c>
      <c r="E386" s="104">
        <f>+SUMIF('GE16FEB14 Unfudged'!$A$2:$A$498, $A386, 'GE16FEB14 Unfudged'!$D$2:$D$498)</f>
        <v>155</v>
      </c>
      <c r="F386" s="104">
        <v>17876</v>
      </c>
      <c r="G386" s="105">
        <v>0</v>
      </c>
      <c r="H386" s="106">
        <v>17876</v>
      </c>
      <c r="I386" s="107">
        <v>0</v>
      </c>
      <c r="J386" s="105">
        <v>0</v>
      </c>
      <c r="K386" s="106">
        <v>0</v>
      </c>
      <c r="L386" s="107">
        <v>0</v>
      </c>
      <c r="M386" s="105">
        <v>0</v>
      </c>
      <c r="N386" s="106">
        <v>0</v>
      </c>
      <c r="O386" s="107">
        <f t="shared" si="16"/>
        <v>17876</v>
      </c>
      <c r="P386" s="105">
        <f t="shared" si="16"/>
        <v>0</v>
      </c>
      <c r="Q386" s="106">
        <f t="shared" si="16"/>
        <v>17876</v>
      </c>
      <c r="R386" s="105">
        <f t="shared" si="17"/>
        <v>115.32903225806452</v>
      </c>
      <c r="S386" s="105">
        <f t="shared" si="17"/>
        <v>0</v>
      </c>
      <c r="T386" s="108">
        <f t="shared" si="17"/>
        <v>115.32903225806452</v>
      </c>
    </row>
    <row r="387" spans="1:20" s="85" customFormat="1" ht="12.75" x14ac:dyDescent="0.2">
      <c r="A387" s="109">
        <v>4056</v>
      </c>
      <c r="B387" s="110">
        <v>7</v>
      </c>
      <c r="C387" s="103" t="s">
        <v>479</v>
      </c>
      <c r="D387" s="103">
        <v>7</v>
      </c>
      <c r="E387" s="104">
        <f>+SUMIF('GE16FEB14 Unfudged'!$A$2:$A$498, $A387, 'GE16FEB14 Unfudged'!$D$2:$D$498)</f>
        <v>120</v>
      </c>
      <c r="F387" s="104">
        <v>13839</v>
      </c>
      <c r="G387" s="105">
        <v>0</v>
      </c>
      <c r="H387" s="106">
        <v>13839</v>
      </c>
      <c r="I387" s="107">
        <v>0</v>
      </c>
      <c r="J387" s="105">
        <v>0</v>
      </c>
      <c r="K387" s="106">
        <v>0</v>
      </c>
      <c r="L387" s="107">
        <v>0</v>
      </c>
      <c r="M387" s="105">
        <v>0</v>
      </c>
      <c r="N387" s="106">
        <v>0</v>
      </c>
      <c r="O387" s="107">
        <f t="shared" si="16"/>
        <v>13839</v>
      </c>
      <c r="P387" s="105">
        <f t="shared" si="16"/>
        <v>0</v>
      </c>
      <c r="Q387" s="106">
        <f t="shared" si="16"/>
        <v>13839</v>
      </c>
      <c r="R387" s="105">
        <f t="shared" si="17"/>
        <v>115.325</v>
      </c>
      <c r="S387" s="105">
        <f t="shared" si="17"/>
        <v>0</v>
      </c>
      <c r="T387" s="108">
        <f t="shared" si="17"/>
        <v>115.325</v>
      </c>
    </row>
    <row r="388" spans="1:20" s="85" customFormat="1" ht="12.75" x14ac:dyDescent="0.2">
      <c r="A388" s="109">
        <v>4057</v>
      </c>
      <c r="B388" s="110">
        <v>7</v>
      </c>
      <c r="C388" s="103" t="s">
        <v>40</v>
      </c>
      <c r="D388" s="103">
        <v>7</v>
      </c>
      <c r="E388" s="104">
        <f>+SUMIF('GE16FEB14 Unfudged'!$A$2:$A$498, $A388, 'GE16FEB14 Unfudged'!$D$2:$D$498)</f>
        <v>96</v>
      </c>
      <c r="F388" s="104">
        <v>11071</v>
      </c>
      <c r="G388" s="105">
        <v>0</v>
      </c>
      <c r="H388" s="106">
        <v>11071</v>
      </c>
      <c r="I388" s="107">
        <v>0</v>
      </c>
      <c r="J388" s="105">
        <v>0</v>
      </c>
      <c r="K388" s="106">
        <v>0</v>
      </c>
      <c r="L388" s="107">
        <v>0</v>
      </c>
      <c r="M388" s="105">
        <v>0</v>
      </c>
      <c r="N388" s="106">
        <v>0</v>
      </c>
      <c r="O388" s="107">
        <f t="shared" si="16"/>
        <v>11071</v>
      </c>
      <c r="P388" s="105">
        <f t="shared" si="16"/>
        <v>0</v>
      </c>
      <c r="Q388" s="106">
        <f t="shared" si="16"/>
        <v>11071</v>
      </c>
      <c r="R388" s="105">
        <f t="shared" si="17"/>
        <v>115.32291666666667</v>
      </c>
      <c r="S388" s="105">
        <f t="shared" si="17"/>
        <v>0</v>
      </c>
      <c r="T388" s="108">
        <f t="shared" si="17"/>
        <v>115.32291666666667</v>
      </c>
    </row>
    <row r="389" spans="1:20" s="85" customFormat="1" ht="12.75" x14ac:dyDescent="0.2">
      <c r="A389" s="109">
        <v>4058</v>
      </c>
      <c r="B389" s="110">
        <v>7</v>
      </c>
      <c r="C389" s="103" t="s">
        <v>480</v>
      </c>
      <c r="D389" s="103">
        <v>7</v>
      </c>
      <c r="E389" s="104">
        <f>+SUMIF('GE16FEB14 Unfudged'!$A$2:$A$498, $A389, 'GE16FEB14 Unfudged'!$D$2:$D$498)</f>
        <v>197</v>
      </c>
      <c r="F389" s="104">
        <v>22673</v>
      </c>
      <c r="G389" s="105">
        <v>0</v>
      </c>
      <c r="H389" s="106">
        <v>22673</v>
      </c>
      <c r="I389" s="107">
        <v>0</v>
      </c>
      <c r="J389" s="105">
        <v>0</v>
      </c>
      <c r="K389" s="106">
        <v>0</v>
      </c>
      <c r="L389" s="107">
        <v>0</v>
      </c>
      <c r="M389" s="105">
        <v>0</v>
      </c>
      <c r="N389" s="106">
        <v>0</v>
      </c>
      <c r="O389" s="107">
        <f t="shared" si="16"/>
        <v>22673</v>
      </c>
      <c r="P389" s="105">
        <f t="shared" si="16"/>
        <v>0</v>
      </c>
      <c r="Q389" s="106">
        <f t="shared" si="16"/>
        <v>22673</v>
      </c>
      <c r="R389" s="105">
        <f t="shared" si="17"/>
        <v>115.09137055837563</v>
      </c>
      <c r="S389" s="105">
        <f t="shared" si="17"/>
        <v>0</v>
      </c>
      <c r="T389" s="108">
        <f t="shared" si="17"/>
        <v>115.09137055837563</v>
      </c>
    </row>
    <row r="390" spans="1:20" s="85" customFormat="1" ht="12.75" x14ac:dyDescent="0.2">
      <c r="A390" s="109">
        <v>4059</v>
      </c>
      <c r="B390" s="110">
        <v>7</v>
      </c>
      <c r="C390" s="103" t="s">
        <v>481</v>
      </c>
      <c r="D390" s="103">
        <v>7</v>
      </c>
      <c r="E390" s="104">
        <f>+SUMIF('GE16FEB14 Unfudged'!$A$2:$A$498, $A390, 'GE16FEB14 Unfudged'!$D$2:$D$498)</f>
        <v>168</v>
      </c>
      <c r="F390" s="104">
        <v>19381</v>
      </c>
      <c r="G390" s="105">
        <v>0</v>
      </c>
      <c r="H390" s="106">
        <v>19381</v>
      </c>
      <c r="I390" s="107">
        <v>0</v>
      </c>
      <c r="J390" s="105">
        <v>0</v>
      </c>
      <c r="K390" s="106">
        <v>0</v>
      </c>
      <c r="L390" s="107">
        <v>0</v>
      </c>
      <c r="M390" s="105">
        <v>0</v>
      </c>
      <c r="N390" s="106">
        <v>0</v>
      </c>
      <c r="O390" s="107">
        <f t="shared" si="16"/>
        <v>19381</v>
      </c>
      <c r="P390" s="105">
        <f t="shared" si="16"/>
        <v>0</v>
      </c>
      <c r="Q390" s="106">
        <f t="shared" si="16"/>
        <v>19381</v>
      </c>
      <c r="R390" s="105">
        <f t="shared" si="17"/>
        <v>115.36309523809524</v>
      </c>
      <c r="S390" s="105">
        <f t="shared" si="17"/>
        <v>0</v>
      </c>
      <c r="T390" s="108">
        <f t="shared" si="17"/>
        <v>115.36309523809524</v>
      </c>
    </row>
    <row r="391" spans="1:20" s="85" customFormat="1" ht="12.75" x14ac:dyDescent="0.2">
      <c r="A391" s="109">
        <v>4064</v>
      </c>
      <c r="B391" s="110">
        <v>7</v>
      </c>
      <c r="C391" s="103" t="s">
        <v>482</v>
      </c>
      <c r="D391" s="103">
        <v>7</v>
      </c>
      <c r="E391" s="104">
        <f>+SUMIF('GE16FEB14 Unfudged'!$A$2:$A$498, $A391, 'GE16FEB14 Unfudged'!$D$2:$D$498)</f>
        <v>108</v>
      </c>
      <c r="F391" s="104">
        <v>12502</v>
      </c>
      <c r="G391" s="105">
        <v>0</v>
      </c>
      <c r="H391" s="106">
        <v>12502</v>
      </c>
      <c r="I391" s="107">
        <v>0</v>
      </c>
      <c r="J391" s="105">
        <v>0</v>
      </c>
      <c r="K391" s="106">
        <v>0</v>
      </c>
      <c r="L391" s="107">
        <v>0</v>
      </c>
      <c r="M391" s="105">
        <v>0</v>
      </c>
      <c r="N391" s="106">
        <v>0</v>
      </c>
      <c r="O391" s="107">
        <f t="shared" si="16"/>
        <v>12502</v>
      </c>
      <c r="P391" s="105">
        <f t="shared" si="16"/>
        <v>0</v>
      </c>
      <c r="Q391" s="106">
        <f t="shared" si="16"/>
        <v>12502</v>
      </c>
      <c r="R391" s="105">
        <f t="shared" si="17"/>
        <v>115.75925925925925</v>
      </c>
      <c r="S391" s="105">
        <f t="shared" si="17"/>
        <v>0</v>
      </c>
      <c r="T391" s="108">
        <f t="shared" si="17"/>
        <v>115.75925925925925</v>
      </c>
    </row>
    <row r="392" spans="1:20" s="85" customFormat="1" ht="12.75" x14ac:dyDescent="0.2">
      <c r="A392" s="109">
        <v>4066</v>
      </c>
      <c r="B392" s="110">
        <v>7</v>
      </c>
      <c r="C392" s="103" t="s">
        <v>41</v>
      </c>
      <c r="D392" s="103">
        <v>7</v>
      </c>
      <c r="E392" s="104">
        <f>+SUMIF('GE16FEB14 Unfudged'!$A$2:$A$498, $A392, 'GE16FEB14 Unfudged'!$D$2:$D$498)</f>
        <v>81</v>
      </c>
      <c r="F392" s="104">
        <v>9388</v>
      </c>
      <c r="G392" s="105">
        <v>0</v>
      </c>
      <c r="H392" s="106">
        <v>9388</v>
      </c>
      <c r="I392" s="107">
        <v>0</v>
      </c>
      <c r="J392" s="105">
        <v>0</v>
      </c>
      <c r="K392" s="106">
        <v>0</v>
      </c>
      <c r="L392" s="107">
        <v>0</v>
      </c>
      <c r="M392" s="105">
        <v>0</v>
      </c>
      <c r="N392" s="106">
        <v>0</v>
      </c>
      <c r="O392" s="107">
        <f t="shared" si="16"/>
        <v>9388</v>
      </c>
      <c r="P392" s="105">
        <f t="shared" si="16"/>
        <v>0</v>
      </c>
      <c r="Q392" s="106">
        <f t="shared" si="16"/>
        <v>9388</v>
      </c>
      <c r="R392" s="105">
        <f t="shared" si="17"/>
        <v>115.90123456790124</v>
      </c>
      <c r="S392" s="105">
        <f t="shared" si="17"/>
        <v>0</v>
      </c>
      <c r="T392" s="108">
        <f t="shared" si="17"/>
        <v>115.90123456790124</v>
      </c>
    </row>
    <row r="393" spans="1:20" s="85" customFormat="1" ht="12.75" x14ac:dyDescent="0.2">
      <c r="A393" s="109">
        <v>4067</v>
      </c>
      <c r="B393" s="110">
        <v>7</v>
      </c>
      <c r="C393" s="103" t="s">
        <v>42</v>
      </c>
      <c r="D393" s="103">
        <v>7</v>
      </c>
      <c r="E393" s="104">
        <f>+SUMIF('GE16FEB14 Unfudged'!$A$2:$A$498, $A393, 'GE16FEB14 Unfudged'!$D$2:$D$498)</f>
        <v>305</v>
      </c>
      <c r="F393" s="104">
        <v>35152</v>
      </c>
      <c r="G393" s="105">
        <v>0</v>
      </c>
      <c r="H393" s="106">
        <v>35152</v>
      </c>
      <c r="I393" s="107">
        <v>0</v>
      </c>
      <c r="J393" s="105">
        <v>0</v>
      </c>
      <c r="K393" s="106">
        <v>0</v>
      </c>
      <c r="L393" s="107">
        <v>0</v>
      </c>
      <c r="M393" s="105">
        <v>0</v>
      </c>
      <c r="N393" s="106">
        <v>0</v>
      </c>
      <c r="O393" s="107">
        <f t="shared" si="16"/>
        <v>35152</v>
      </c>
      <c r="P393" s="105">
        <f t="shared" si="16"/>
        <v>0</v>
      </c>
      <c r="Q393" s="106">
        <f t="shared" si="16"/>
        <v>35152</v>
      </c>
      <c r="R393" s="105">
        <f t="shared" si="17"/>
        <v>115.25245901639344</v>
      </c>
      <c r="S393" s="105">
        <f t="shared" si="17"/>
        <v>0</v>
      </c>
      <c r="T393" s="108">
        <f t="shared" si="17"/>
        <v>115.25245901639344</v>
      </c>
    </row>
    <row r="394" spans="1:20" s="85" customFormat="1" ht="12.75" x14ac:dyDescent="0.2">
      <c r="A394" s="109">
        <v>4068</v>
      </c>
      <c r="B394" s="110">
        <v>7</v>
      </c>
      <c r="C394" s="103" t="s">
        <v>43</v>
      </c>
      <c r="D394" s="103">
        <v>7</v>
      </c>
      <c r="E394" s="104">
        <f>+SUMIF('GE16FEB14 Unfudged'!$A$2:$A$498, $A394, 'GE16FEB14 Unfudged'!$D$2:$D$498)</f>
        <v>388</v>
      </c>
      <c r="F394" s="104">
        <v>44747</v>
      </c>
      <c r="G394" s="105">
        <v>0</v>
      </c>
      <c r="H394" s="106">
        <v>44747</v>
      </c>
      <c r="I394" s="107">
        <v>0</v>
      </c>
      <c r="J394" s="105">
        <v>0</v>
      </c>
      <c r="K394" s="106">
        <v>0</v>
      </c>
      <c r="L394" s="107">
        <v>0</v>
      </c>
      <c r="M394" s="105">
        <v>0</v>
      </c>
      <c r="N394" s="106">
        <v>0</v>
      </c>
      <c r="O394" s="107">
        <f t="shared" si="16"/>
        <v>44747</v>
      </c>
      <c r="P394" s="105">
        <f t="shared" si="16"/>
        <v>0</v>
      </c>
      <c r="Q394" s="106">
        <f t="shared" si="16"/>
        <v>44747</v>
      </c>
      <c r="R394" s="105">
        <f t="shared" si="17"/>
        <v>115.32731958762886</v>
      </c>
      <c r="S394" s="105">
        <f t="shared" si="17"/>
        <v>0</v>
      </c>
      <c r="T394" s="108">
        <f t="shared" si="17"/>
        <v>115.32731958762886</v>
      </c>
    </row>
    <row r="395" spans="1:20" s="85" customFormat="1" ht="12.75" x14ac:dyDescent="0.2">
      <c r="A395" s="109">
        <v>4070</v>
      </c>
      <c r="B395" s="110">
        <v>7</v>
      </c>
      <c r="C395" s="103" t="s">
        <v>44</v>
      </c>
      <c r="D395" s="103">
        <v>7</v>
      </c>
      <c r="E395" s="104">
        <f>+SUMIF('GE16FEB14 Unfudged'!$A$2:$A$498, $A395, 'GE16FEB14 Unfudged'!$D$2:$D$498)</f>
        <v>496</v>
      </c>
      <c r="F395" s="104">
        <v>57180</v>
      </c>
      <c r="G395" s="105">
        <v>0</v>
      </c>
      <c r="H395" s="106">
        <v>57180</v>
      </c>
      <c r="I395" s="107">
        <v>0</v>
      </c>
      <c r="J395" s="105">
        <v>0</v>
      </c>
      <c r="K395" s="106">
        <v>0</v>
      </c>
      <c r="L395" s="107">
        <v>0</v>
      </c>
      <c r="M395" s="105">
        <v>0</v>
      </c>
      <c r="N395" s="106">
        <v>0</v>
      </c>
      <c r="O395" s="107">
        <f t="shared" si="16"/>
        <v>57180</v>
      </c>
      <c r="P395" s="105">
        <f t="shared" si="16"/>
        <v>0</v>
      </c>
      <c r="Q395" s="106">
        <f t="shared" si="16"/>
        <v>57180</v>
      </c>
      <c r="R395" s="105">
        <f t="shared" si="17"/>
        <v>115.28225806451613</v>
      </c>
      <c r="S395" s="105">
        <f t="shared" si="17"/>
        <v>0</v>
      </c>
      <c r="T395" s="108">
        <f t="shared" si="17"/>
        <v>115.28225806451613</v>
      </c>
    </row>
    <row r="396" spans="1:20" s="85" customFormat="1" ht="12.75" x14ac:dyDescent="0.2">
      <c r="A396" s="109">
        <v>4073</v>
      </c>
      <c r="B396" s="110">
        <v>7</v>
      </c>
      <c r="C396" s="103" t="s">
        <v>483</v>
      </c>
      <c r="D396" s="103">
        <v>7</v>
      </c>
      <c r="E396" s="104">
        <f>+SUMIF('GE16FEB14 Unfudged'!$A$2:$A$498, $A396, 'GE16FEB14 Unfudged'!$D$2:$D$498)</f>
        <v>410</v>
      </c>
      <c r="F396" s="104">
        <v>47284</v>
      </c>
      <c r="G396" s="105">
        <v>0</v>
      </c>
      <c r="H396" s="106">
        <v>47284</v>
      </c>
      <c r="I396" s="107">
        <v>0</v>
      </c>
      <c r="J396" s="105">
        <v>0</v>
      </c>
      <c r="K396" s="106">
        <v>0</v>
      </c>
      <c r="L396" s="107">
        <v>0</v>
      </c>
      <c r="M396" s="105">
        <v>0</v>
      </c>
      <c r="N396" s="106">
        <v>0</v>
      </c>
      <c r="O396" s="107">
        <f t="shared" si="16"/>
        <v>47284</v>
      </c>
      <c r="P396" s="105">
        <f t="shared" si="16"/>
        <v>0</v>
      </c>
      <c r="Q396" s="106">
        <f t="shared" si="16"/>
        <v>47284</v>
      </c>
      <c r="R396" s="105">
        <f t="shared" si="17"/>
        <v>115.32682926829268</v>
      </c>
      <c r="S396" s="105">
        <f t="shared" si="17"/>
        <v>0</v>
      </c>
      <c r="T396" s="108">
        <f t="shared" si="17"/>
        <v>115.32682926829268</v>
      </c>
    </row>
    <row r="397" spans="1:20" s="85" customFormat="1" ht="12.75" x14ac:dyDescent="0.2">
      <c r="A397" s="109">
        <v>4074</v>
      </c>
      <c r="B397" s="110">
        <v>7</v>
      </c>
      <c r="C397" s="103" t="s">
        <v>484</v>
      </c>
      <c r="D397" s="103">
        <v>7</v>
      </c>
      <c r="E397" s="104">
        <f>+SUMIF('GE16FEB14 Unfudged'!$A$2:$A$498, $A397, 'GE16FEB14 Unfudged'!$D$2:$D$498)</f>
        <v>360</v>
      </c>
      <c r="F397" s="104">
        <v>41518</v>
      </c>
      <c r="G397" s="105">
        <v>0</v>
      </c>
      <c r="H397" s="106">
        <v>41518</v>
      </c>
      <c r="I397" s="107">
        <v>0</v>
      </c>
      <c r="J397" s="105">
        <v>0</v>
      </c>
      <c r="K397" s="106">
        <v>0</v>
      </c>
      <c r="L397" s="107">
        <v>0</v>
      </c>
      <c r="M397" s="105">
        <v>0</v>
      </c>
      <c r="N397" s="106">
        <v>0</v>
      </c>
      <c r="O397" s="107">
        <f t="shared" si="16"/>
        <v>41518</v>
      </c>
      <c r="P397" s="105">
        <f t="shared" si="16"/>
        <v>0</v>
      </c>
      <c r="Q397" s="106">
        <f t="shared" si="16"/>
        <v>41518</v>
      </c>
      <c r="R397" s="105">
        <f t="shared" si="17"/>
        <v>115.32777777777778</v>
      </c>
      <c r="S397" s="105">
        <f t="shared" si="17"/>
        <v>0</v>
      </c>
      <c r="T397" s="108">
        <f t="shared" si="17"/>
        <v>115.32777777777778</v>
      </c>
    </row>
    <row r="398" spans="1:20" s="85" customFormat="1" ht="12.75" x14ac:dyDescent="0.2">
      <c r="A398" s="109">
        <v>4075</v>
      </c>
      <c r="B398" s="110">
        <v>7</v>
      </c>
      <c r="C398" s="103" t="s">
        <v>45</v>
      </c>
      <c r="D398" s="103">
        <v>7</v>
      </c>
      <c r="E398" s="104">
        <f>+SUMIF('GE16FEB14 Unfudged'!$A$2:$A$498, $A398, 'GE16FEB14 Unfudged'!$D$2:$D$498)</f>
        <v>225</v>
      </c>
      <c r="F398" s="104">
        <v>25949</v>
      </c>
      <c r="G398" s="105">
        <v>0</v>
      </c>
      <c r="H398" s="106">
        <v>25949</v>
      </c>
      <c r="I398" s="107">
        <v>0</v>
      </c>
      <c r="J398" s="105">
        <v>0</v>
      </c>
      <c r="K398" s="106">
        <v>0</v>
      </c>
      <c r="L398" s="107">
        <v>0</v>
      </c>
      <c r="M398" s="105">
        <v>0</v>
      </c>
      <c r="N398" s="106">
        <v>0</v>
      </c>
      <c r="O398" s="107">
        <f t="shared" si="16"/>
        <v>25949</v>
      </c>
      <c r="P398" s="105">
        <f t="shared" si="16"/>
        <v>0</v>
      </c>
      <c r="Q398" s="106">
        <f t="shared" si="16"/>
        <v>25949</v>
      </c>
      <c r="R398" s="105">
        <f t="shared" si="17"/>
        <v>115.32888888888888</v>
      </c>
      <c r="S398" s="105">
        <f t="shared" si="17"/>
        <v>0</v>
      </c>
      <c r="T398" s="108">
        <f t="shared" si="17"/>
        <v>115.32888888888888</v>
      </c>
    </row>
    <row r="399" spans="1:20" s="85" customFormat="1" ht="12.75" x14ac:dyDescent="0.2">
      <c r="A399" s="109">
        <v>4077</v>
      </c>
      <c r="B399" s="110">
        <v>7</v>
      </c>
      <c r="C399" s="103" t="s">
        <v>485</v>
      </c>
      <c r="D399" s="103">
        <v>7</v>
      </c>
      <c r="E399" s="104">
        <f>+SUMIF('GE16FEB14 Unfudged'!$A$2:$A$498, $A399, 'GE16FEB14 Unfudged'!$D$2:$D$498)</f>
        <v>524</v>
      </c>
      <c r="F399" s="104">
        <v>60461</v>
      </c>
      <c r="G399" s="105">
        <v>0</v>
      </c>
      <c r="H399" s="106">
        <v>60461</v>
      </c>
      <c r="I399" s="107">
        <v>0</v>
      </c>
      <c r="J399" s="105">
        <v>0</v>
      </c>
      <c r="K399" s="106">
        <v>0</v>
      </c>
      <c r="L399" s="107">
        <v>0</v>
      </c>
      <c r="M399" s="105">
        <v>0</v>
      </c>
      <c r="N399" s="106">
        <v>0</v>
      </c>
      <c r="O399" s="107">
        <f t="shared" si="16"/>
        <v>60461</v>
      </c>
      <c r="P399" s="105">
        <f t="shared" si="16"/>
        <v>0</v>
      </c>
      <c r="Q399" s="106">
        <f t="shared" si="16"/>
        <v>60461</v>
      </c>
      <c r="R399" s="105">
        <f t="shared" si="17"/>
        <v>115.38358778625954</v>
      </c>
      <c r="S399" s="105">
        <f t="shared" si="17"/>
        <v>0</v>
      </c>
      <c r="T399" s="108">
        <f t="shared" si="17"/>
        <v>115.38358778625954</v>
      </c>
    </row>
    <row r="400" spans="1:20" s="85" customFormat="1" ht="12.75" x14ac:dyDescent="0.2">
      <c r="A400" s="109">
        <v>4078</v>
      </c>
      <c r="B400" s="110">
        <v>7</v>
      </c>
      <c r="C400" s="103" t="s">
        <v>486</v>
      </c>
      <c r="D400" s="103">
        <v>7</v>
      </c>
      <c r="E400" s="104">
        <f>+SUMIF('GE16FEB14 Unfudged'!$A$2:$A$498, $A400, 'GE16FEB14 Unfudged'!$D$2:$D$498)</f>
        <v>501</v>
      </c>
      <c r="F400" s="104">
        <v>57779</v>
      </c>
      <c r="G400" s="105">
        <v>0</v>
      </c>
      <c r="H400" s="106">
        <v>57779</v>
      </c>
      <c r="I400" s="107">
        <v>0</v>
      </c>
      <c r="J400" s="105">
        <v>0</v>
      </c>
      <c r="K400" s="106">
        <v>0</v>
      </c>
      <c r="L400" s="107">
        <v>0</v>
      </c>
      <c r="M400" s="105">
        <v>0</v>
      </c>
      <c r="N400" s="106">
        <v>0</v>
      </c>
      <c r="O400" s="107">
        <f t="shared" si="16"/>
        <v>57779</v>
      </c>
      <c r="P400" s="105">
        <f t="shared" si="16"/>
        <v>0</v>
      </c>
      <c r="Q400" s="106">
        <f t="shared" si="16"/>
        <v>57779</v>
      </c>
      <c r="R400" s="105">
        <f t="shared" si="17"/>
        <v>115.32734530938124</v>
      </c>
      <c r="S400" s="105">
        <f t="shared" si="17"/>
        <v>0</v>
      </c>
      <c r="T400" s="108">
        <f t="shared" si="17"/>
        <v>115.32734530938124</v>
      </c>
    </row>
    <row r="401" spans="1:20" s="85" customFormat="1" ht="12.75" x14ac:dyDescent="0.2">
      <c r="A401" s="109">
        <v>4079</v>
      </c>
      <c r="B401" s="110">
        <v>7</v>
      </c>
      <c r="C401" s="103" t="s">
        <v>487</v>
      </c>
      <c r="D401" s="103">
        <v>7</v>
      </c>
      <c r="E401" s="104">
        <f>+SUMIF('GE16FEB14 Unfudged'!$A$2:$A$498, $A401, 'GE16FEB14 Unfudged'!$D$2:$D$498)</f>
        <v>124</v>
      </c>
      <c r="F401" s="104">
        <v>14272</v>
      </c>
      <c r="G401" s="105">
        <v>0</v>
      </c>
      <c r="H401" s="106">
        <v>14272</v>
      </c>
      <c r="I401" s="107">
        <v>0</v>
      </c>
      <c r="J401" s="105">
        <v>0</v>
      </c>
      <c r="K401" s="106">
        <v>0</v>
      </c>
      <c r="L401" s="107">
        <v>0</v>
      </c>
      <c r="M401" s="105">
        <v>0</v>
      </c>
      <c r="N401" s="106">
        <v>0</v>
      </c>
      <c r="O401" s="107">
        <f t="shared" si="16"/>
        <v>14272</v>
      </c>
      <c r="P401" s="105">
        <f t="shared" si="16"/>
        <v>0</v>
      </c>
      <c r="Q401" s="106">
        <f t="shared" si="16"/>
        <v>14272</v>
      </c>
      <c r="R401" s="105">
        <f t="shared" si="17"/>
        <v>115.09677419354838</v>
      </c>
      <c r="S401" s="105">
        <f t="shared" si="17"/>
        <v>0</v>
      </c>
      <c r="T401" s="108">
        <f t="shared" si="17"/>
        <v>115.09677419354838</v>
      </c>
    </row>
    <row r="402" spans="1:20" s="85" customFormat="1" ht="12.75" x14ac:dyDescent="0.2">
      <c r="A402" s="109">
        <v>4080</v>
      </c>
      <c r="B402" s="110">
        <v>7</v>
      </c>
      <c r="C402" s="103" t="s">
        <v>46</v>
      </c>
      <c r="D402" s="103">
        <v>7</v>
      </c>
      <c r="E402" s="104">
        <f>+SUMIF('GE16FEB14 Unfudged'!$A$2:$A$498, $A402, 'GE16FEB14 Unfudged'!$D$2:$D$498)</f>
        <v>54</v>
      </c>
      <c r="F402" s="104">
        <v>6228</v>
      </c>
      <c r="G402" s="105">
        <v>0</v>
      </c>
      <c r="H402" s="106">
        <v>6228</v>
      </c>
      <c r="I402" s="107">
        <v>0</v>
      </c>
      <c r="J402" s="105">
        <v>0</v>
      </c>
      <c r="K402" s="106">
        <v>0</v>
      </c>
      <c r="L402" s="107">
        <v>0</v>
      </c>
      <c r="M402" s="105">
        <v>0</v>
      </c>
      <c r="N402" s="106">
        <v>0</v>
      </c>
      <c r="O402" s="107">
        <f t="shared" ref="O402:Q465" si="18">+F402+I402+L402</f>
        <v>6228</v>
      </c>
      <c r="P402" s="105">
        <f t="shared" si="18"/>
        <v>0</v>
      </c>
      <c r="Q402" s="106">
        <f t="shared" si="18"/>
        <v>6228</v>
      </c>
      <c r="R402" s="105">
        <f t="shared" si="17"/>
        <v>115.33333333333333</v>
      </c>
      <c r="S402" s="105">
        <f t="shared" si="17"/>
        <v>0</v>
      </c>
      <c r="T402" s="108">
        <f t="shared" si="17"/>
        <v>115.33333333333333</v>
      </c>
    </row>
    <row r="403" spans="1:20" s="85" customFormat="1" ht="12.75" x14ac:dyDescent="0.2">
      <c r="A403" s="109">
        <v>4081</v>
      </c>
      <c r="B403" s="110">
        <v>7</v>
      </c>
      <c r="C403" s="103" t="s">
        <v>488</v>
      </c>
      <c r="D403" s="103">
        <v>7</v>
      </c>
      <c r="E403" s="104">
        <f>+SUMIF('GE16FEB14 Unfudged'!$A$2:$A$498, $A403, 'GE16FEB14 Unfudged'!$D$2:$D$498)</f>
        <v>67</v>
      </c>
      <c r="F403" s="104">
        <v>7681</v>
      </c>
      <c r="G403" s="105">
        <v>0</v>
      </c>
      <c r="H403" s="106">
        <v>7681</v>
      </c>
      <c r="I403" s="107">
        <v>0</v>
      </c>
      <c r="J403" s="105">
        <v>0</v>
      </c>
      <c r="K403" s="106">
        <v>0</v>
      </c>
      <c r="L403" s="107">
        <v>0</v>
      </c>
      <c r="M403" s="105">
        <v>0</v>
      </c>
      <c r="N403" s="106">
        <v>0</v>
      </c>
      <c r="O403" s="107">
        <f t="shared" si="18"/>
        <v>7681</v>
      </c>
      <c r="P403" s="105">
        <f t="shared" si="18"/>
        <v>0</v>
      </c>
      <c r="Q403" s="106">
        <f t="shared" si="18"/>
        <v>7681</v>
      </c>
      <c r="R403" s="105">
        <f t="shared" ref="R403:T466" si="19">+IF($E403=0, 0, O403/$E403)</f>
        <v>114.64179104477611</v>
      </c>
      <c r="S403" s="105">
        <f t="shared" si="19"/>
        <v>0</v>
      </c>
      <c r="T403" s="108">
        <f t="shared" si="19"/>
        <v>114.64179104477611</v>
      </c>
    </row>
    <row r="404" spans="1:20" s="85" customFormat="1" ht="12.75" x14ac:dyDescent="0.2">
      <c r="A404" s="109">
        <v>4082</v>
      </c>
      <c r="B404" s="110">
        <v>7</v>
      </c>
      <c r="C404" s="103" t="s">
        <v>47</v>
      </c>
      <c r="D404" s="103">
        <v>7</v>
      </c>
      <c r="E404" s="104">
        <f>+SUMIF('GE16FEB14 Unfudged'!$A$2:$A$498, $A404, 'GE16FEB14 Unfudged'!$D$2:$D$498)</f>
        <v>600</v>
      </c>
      <c r="F404" s="104">
        <v>69197</v>
      </c>
      <c r="G404" s="105">
        <v>0</v>
      </c>
      <c r="H404" s="106">
        <v>69197</v>
      </c>
      <c r="I404" s="107">
        <v>0</v>
      </c>
      <c r="J404" s="105">
        <v>0</v>
      </c>
      <c r="K404" s="106">
        <v>0</v>
      </c>
      <c r="L404" s="107">
        <v>0</v>
      </c>
      <c r="M404" s="105">
        <v>0</v>
      </c>
      <c r="N404" s="106">
        <v>0</v>
      </c>
      <c r="O404" s="107">
        <f t="shared" si="18"/>
        <v>69197</v>
      </c>
      <c r="P404" s="105">
        <f t="shared" si="18"/>
        <v>0</v>
      </c>
      <c r="Q404" s="106">
        <f t="shared" si="18"/>
        <v>69197</v>
      </c>
      <c r="R404" s="105">
        <f t="shared" si="19"/>
        <v>115.32833333333333</v>
      </c>
      <c r="S404" s="105">
        <f t="shared" si="19"/>
        <v>0</v>
      </c>
      <c r="T404" s="108">
        <f t="shared" si="19"/>
        <v>115.32833333333333</v>
      </c>
    </row>
    <row r="405" spans="1:20" s="85" customFormat="1" ht="12.75" x14ac:dyDescent="0.2">
      <c r="A405" s="109">
        <v>4083</v>
      </c>
      <c r="B405" s="110">
        <v>7</v>
      </c>
      <c r="C405" s="103" t="s">
        <v>48</v>
      </c>
      <c r="D405" s="103">
        <v>7</v>
      </c>
      <c r="E405" s="104">
        <f>+SUMIF('GE16FEB14 Unfudged'!$A$2:$A$498, $A405, 'GE16FEB14 Unfudged'!$D$2:$D$498)</f>
        <v>102</v>
      </c>
      <c r="F405" s="104">
        <v>11763</v>
      </c>
      <c r="G405" s="105">
        <v>0</v>
      </c>
      <c r="H405" s="106">
        <v>11763</v>
      </c>
      <c r="I405" s="107">
        <v>0</v>
      </c>
      <c r="J405" s="105">
        <v>0</v>
      </c>
      <c r="K405" s="106">
        <v>0</v>
      </c>
      <c r="L405" s="107">
        <v>0</v>
      </c>
      <c r="M405" s="105">
        <v>0</v>
      </c>
      <c r="N405" s="106">
        <v>0</v>
      </c>
      <c r="O405" s="107">
        <f t="shared" si="18"/>
        <v>11763</v>
      </c>
      <c r="P405" s="105">
        <f t="shared" si="18"/>
        <v>0</v>
      </c>
      <c r="Q405" s="106">
        <f t="shared" si="18"/>
        <v>11763</v>
      </c>
      <c r="R405" s="105">
        <f t="shared" si="19"/>
        <v>115.32352941176471</v>
      </c>
      <c r="S405" s="105">
        <f t="shared" si="19"/>
        <v>0</v>
      </c>
      <c r="T405" s="108">
        <f t="shared" si="19"/>
        <v>115.32352941176471</v>
      </c>
    </row>
    <row r="406" spans="1:20" s="85" customFormat="1" ht="12.75" x14ac:dyDescent="0.2">
      <c r="A406" s="109">
        <v>4084</v>
      </c>
      <c r="B406" s="110">
        <v>7</v>
      </c>
      <c r="C406" s="103" t="s">
        <v>49</v>
      </c>
      <c r="D406" s="103">
        <v>7</v>
      </c>
      <c r="E406" s="104">
        <f>+SUMIF('GE16FEB14 Unfudged'!$A$2:$A$498, $A406, 'GE16FEB14 Unfudged'!$D$2:$D$498)</f>
        <v>338</v>
      </c>
      <c r="F406" s="104">
        <v>38935</v>
      </c>
      <c r="G406" s="105">
        <v>0</v>
      </c>
      <c r="H406" s="106">
        <v>38935</v>
      </c>
      <c r="I406" s="107">
        <v>0</v>
      </c>
      <c r="J406" s="105">
        <v>0</v>
      </c>
      <c r="K406" s="106">
        <v>0</v>
      </c>
      <c r="L406" s="107">
        <v>0</v>
      </c>
      <c r="M406" s="105">
        <v>0</v>
      </c>
      <c r="N406" s="106">
        <v>0</v>
      </c>
      <c r="O406" s="107">
        <f t="shared" si="18"/>
        <v>38935</v>
      </c>
      <c r="P406" s="105">
        <f t="shared" si="18"/>
        <v>0</v>
      </c>
      <c r="Q406" s="106">
        <f t="shared" si="18"/>
        <v>38935</v>
      </c>
      <c r="R406" s="105">
        <f t="shared" si="19"/>
        <v>115.19230769230769</v>
      </c>
      <c r="S406" s="105">
        <f t="shared" si="19"/>
        <v>0</v>
      </c>
      <c r="T406" s="108">
        <f t="shared" si="19"/>
        <v>115.19230769230769</v>
      </c>
    </row>
    <row r="407" spans="1:20" s="85" customFormat="1" ht="12.75" x14ac:dyDescent="0.2">
      <c r="A407" s="109">
        <v>4085</v>
      </c>
      <c r="B407" s="110">
        <v>7</v>
      </c>
      <c r="C407" s="103" t="s">
        <v>489</v>
      </c>
      <c r="D407" s="103">
        <v>7</v>
      </c>
      <c r="E407" s="104">
        <f>+SUMIF('GE16FEB14 Unfudged'!$A$2:$A$498, $A407, 'GE16FEB14 Unfudged'!$D$2:$D$498)</f>
        <v>216</v>
      </c>
      <c r="F407" s="104">
        <v>24911</v>
      </c>
      <c r="G407" s="105">
        <v>0</v>
      </c>
      <c r="H407" s="106">
        <v>24911</v>
      </c>
      <c r="I407" s="107">
        <v>0</v>
      </c>
      <c r="J407" s="105">
        <v>0</v>
      </c>
      <c r="K407" s="106">
        <v>0</v>
      </c>
      <c r="L407" s="107">
        <v>0</v>
      </c>
      <c r="M407" s="105">
        <v>0</v>
      </c>
      <c r="N407" s="106">
        <v>0</v>
      </c>
      <c r="O407" s="107">
        <f t="shared" si="18"/>
        <v>24911</v>
      </c>
      <c r="P407" s="105">
        <f t="shared" si="18"/>
        <v>0</v>
      </c>
      <c r="Q407" s="106">
        <f t="shared" si="18"/>
        <v>24911</v>
      </c>
      <c r="R407" s="105">
        <f t="shared" si="19"/>
        <v>115.32870370370371</v>
      </c>
      <c r="S407" s="105">
        <f t="shared" si="19"/>
        <v>0</v>
      </c>
      <c r="T407" s="108">
        <f t="shared" si="19"/>
        <v>115.32870370370371</v>
      </c>
    </row>
    <row r="408" spans="1:20" s="85" customFormat="1" ht="12.75" x14ac:dyDescent="0.2">
      <c r="A408" s="109">
        <v>4086</v>
      </c>
      <c r="B408" s="110">
        <v>7</v>
      </c>
      <c r="C408" s="103" t="s">
        <v>490</v>
      </c>
      <c r="D408" s="103">
        <v>7</v>
      </c>
      <c r="E408" s="104">
        <f>+SUMIF('GE16FEB14 Unfudged'!$A$2:$A$498, $A408, 'GE16FEB14 Unfudged'!$D$2:$D$498)</f>
        <v>365</v>
      </c>
      <c r="F408" s="104">
        <v>42072</v>
      </c>
      <c r="G408" s="105">
        <v>0</v>
      </c>
      <c r="H408" s="106">
        <v>42072</v>
      </c>
      <c r="I408" s="107">
        <v>0</v>
      </c>
      <c r="J408" s="105">
        <v>0</v>
      </c>
      <c r="K408" s="106">
        <v>0</v>
      </c>
      <c r="L408" s="107">
        <v>0</v>
      </c>
      <c r="M408" s="105">
        <v>0</v>
      </c>
      <c r="N408" s="106">
        <v>0</v>
      </c>
      <c r="O408" s="107">
        <f t="shared" si="18"/>
        <v>42072</v>
      </c>
      <c r="P408" s="105">
        <f t="shared" si="18"/>
        <v>0</v>
      </c>
      <c r="Q408" s="106">
        <f t="shared" si="18"/>
        <v>42072</v>
      </c>
      <c r="R408" s="105">
        <f t="shared" si="19"/>
        <v>115.26575342465753</v>
      </c>
      <c r="S408" s="105">
        <f t="shared" si="19"/>
        <v>0</v>
      </c>
      <c r="T408" s="108">
        <f t="shared" si="19"/>
        <v>115.26575342465753</v>
      </c>
    </row>
    <row r="409" spans="1:20" s="85" customFormat="1" ht="12.75" x14ac:dyDescent="0.2">
      <c r="A409" s="109">
        <v>4087</v>
      </c>
      <c r="B409" s="110">
        <v>7</v>
      </c>
      <c r="C409" s="103" t="s">
        <v>50</v>
      </c>
      <c r="D409" s="103">
        <v>7</v>
      </c>
      <c r="E409" s="104">
        <f>+SUMIF('GE16FEB14 Unfudged'!$A$2:$A$498, $A409, 'GE16FEB14 Unfudged'!$D$2:$D$498)</f>
        <v>98</v>
      </c>
      <c r="F409" s="104">
        <v>11348</v>
      </c>
      <c r="G409" s="105">
        <v>0</v>
      </c>
      <c r="H409" s="106">
        <v>11348</v>
      </c>
      <c r="I409" s="107">
        <v>0</v>
      </c>
      <c r="J409" s="105">
        <v>0</v>
      </c>
      <c r="K409" s="106">
        <v>0</v>
      </c>
      <c r="L409" s="107">
        <v>0</v>
      </c>
      <c r="M409" s="105">
        <v>0</v>
      </c>
      <c r="N409" s="106">
        <v>0</v>
      </c>
      <c r="O409" s="107">
        <f t="shared" si="18"/>
        <v>11348</v>
      </c>
      <c r="P409" s="105">
        <f t="shared" si="18"/>
        <v>0</v>
      </c>
      <c r="Q409" s="106">
        <f t="shared" si="18"/>
        <v>11348</v>
      </c>
      <c r="R409" s="105">
        <f t="shared" si="19"/>
        <v>115.79591836734694</v>
      </c>
      <c r="S409" s="105">
        <f t="shared" si="19"/>
        <v>0</v>
      </c>
      <c r="T409" s="108">
        <f t="shared" si="19"/>
        <v>115.79591836734694</v>
      </c>
    </row>
    <row r="410" spans="1:20" s="85" customFormat="1" ht="12.75" x14ac:dyDescent="0.2">
      <c r="A410" s="109">
        <v>4088</v>
      </c>
      <c r="B410" s="110">
        <v>7</v>
      </c>
      <c r="C410" s="103" t="s">
        <v>51</v>
      </c>
      <c r="D410" s="103">
        <v>7</v>
      </c>
      <c r="E410" s="104">
        <f>+SUMIF('GE16FEB14 Unfudged'!$A$2:$A$498, $A410, 'GE16FEB14 Unfudged'!$D$2:$D$498)</f>
        <v>311</v>
      </c>
      <c r="F410" s="104">
        <v>35867</v>
      </c>
      <c r="G410" s="105">
        <v>0</v>
      </c>
      <c r="H410" s="106">
        <v>35867</v>
      </c>
      <c r="I410" s="107">
        <v>0</v>
      </c>
      <c r="J410" s="105">
        <v>0</v>
      </c>
      <c r="K410" s="106">
        <v>0</v>
      </c>
      <c r="L410" s="107">
        <v>0</v>
      </c>
      <c r="M410" s="105">
        <v>0</v>
      </c>
      <c r="N410" s="106">
        <v>0</v>
      </c>
      <c r="O410" s="107">
        <f t="shared" si="18"/>
        <v>35867</v>
      </c>
      <c r="P410" s="105">
        <f t="shared" si="18"/>
        <v>0</v>
      </c>
      <c r="Q410" s="106">
        <f t="shared" si="18"/>
        <v>35867</v>
      </c>
      <c r="R410" s="105">
        <f t="shared" si="19"/>
        <v>115.32797427652733</v>
      </c>
      <c r="S410" s="105">
        <f t="shared" si="19"/>
        <v>0</v>
      </c>
      <c r="T410" s="108">
        <f t="shared" si="19"/>
        <v>115.32797427652733</v>
      </c>
    </row>
    <row r="411" spans="1:20" s="85" customFormat="1" ht="12.75" x14ac:dyDescent="0.2">
      <c r="A411" s="109">
        <v>4089</v>
      </c>
      <c r="B411" s="110">
        <v>7</v>
      </c>
      <c r="C411" s="103" t="s">
        <v>52</v>
      </c>
      <c r="D411" s="103">
        <v>7</v>
      </c>
      <c r="E411" s="104">
        <f>+SUMIF('GE16FEB14 Unfudged'!$A$2:$A$498, $A411, 'GE16FEB14 Unfudged'!$D$2:$D$498)</f>
        <v>225</v>
      </c>
      <c r="F411" s="104">
        <v>25949</v>
      </c>
      <c r="G411" s="105">
        <v>0</v>
      </c>
      <c r="H411" s="106">
        <v>25949</v>
      </c>
      <c r="I411" s="107">
        <v>0</v>
      </c>
      <c r="J411" s="105">
        <v>0</v>
      </c>
      <c r="K411" s="106">
        <v>0</v>
      </c>
      <c r="L411" s="107">
        <v>0</v>
      </c>
      <c r="M411" s="105">
        <v>0</v>
      </c>
      <c r="N411" s="106">
        <v>0</v>
      </c>
      <c r="O411" s="107">
        <f t="shared" si="18"/>
        <v>25949</v>
      </c>
      <c r="P411" s="105">
        <f t="shared" si="18"/>
        <v>0</v>
      </c>
      <c r="Q411" s="106">
        <f t="shared" si="18"/>
        <v>25949</v>
      </c>
      <c r="R411" s="105">
        <f t="shared" si="19"/>
        <v>115.32888888888888</v>
      </c>
      <c r="S411" s="105">
        <f t="shared" si="19"/>
        <v>0</v>
      </c>
      <c r="T411" s="108">
        <f t="shared" si="19"/>
        <v>115.32888888888888</v>
      </c>
    </row>
    <row r="412" spans="1:20" s="85" customFormat="1" ht="12.75" x14ac:dyDescent="0.2">
      <c r="A412" s="109">
        <v>4090</v>
      </c>
      <c r="B412" s="110">
        <v>7</v>
      </c>
      <c r="C412" s="103" t="s">
        <v>53</v>
      </c>
      <c r="D412" s="103">
        <v>7</v>
      </c>
      <c r="E412" s="104">
        <f>+SUMIF('GE16FEB14 Unfudged'!$A$2:$A$498, $A412, 'GE16FEB14 Unfudged'!$D$2:$D$498)</f>
        <v>180</v>
      </c>
      <c r="F412" s="104">
        <v>20759</v>
      </c>
      <c r="G412" s="105">
        <v>0</v>
      </c>
      <c r="H412" s="106">
        <v>20759</v>
      </c>
      <c r="I412" s="107">
        <v>0</v>
      </c>
      <c r="J412" s="105">
        <v>0</v>
      </c>
      <c r="K412" s="106">
        <v>0</v>
      </c>
      <c r="L412" s="107">
        <v>0</v>
      </c>
      <c r="M412" s="105">
        <v>0</v>
      </c>
      <c r="N412" s="106">
        <v>0</v>
      </c>
      <c r="O412" s="107">
        <f t="shared" si="18"/>
        <v>20759</v>
      </c>
      <c r="P412" s="105">
        <f t="shared" si="18"/>
        <v>0</v>
      </c>
      <c r="Q412" s="106">
        <f t="shared" si="18"/>
        <v>20759</v>
      </c>
      <c r="R412" s="105">
        <f t="shared" si="19"/>
        <v>115.32777777777778</v>
      </c>
      <c r="S412" s="105">
        <f t="shared" si="19"/>
        <v>0</v>
      </c>
      <c r="T412" s="108">
        <f t="shared" si="19"/>
        <v>115.32777777777778</v>
      </c>
    </row>
    <row r="413" spans="1:20" s="85" customFormat="1" ht="12.75" x14ac:dyDescent="0.2">
      <c r="A413" s="109">
        <v>4091</v>
      </c>
      <c r="B413" s="110">
        <v>7</v>
      </c>
      <c r="C413" s="103" t="s">
        <v>54</v>
      </c>
      <c r="D413" s="103">
        <v>7</v>
      </c>
      <c r="E413" s="104">
        <f>+SUMIF('GE16FEB14 Unfudged'!$A$2:$A$498, $A413, 'GE16FEB14 Unfudged'!$D$2:$D$498)</f>
        <v>140</v>
      </c>
      <c r="F413" s="104">
        <v>16192</v>
      </c>
      <c r="G413" s="105">
        <v>0</v>
      </c>
      <c r="H413" s="106">
        <v>16192</v>
      </c>
      <c r="I413" s="107">
        <v>0</v>
      </c>
      <c r="J413" s="105">
        <v>0</v>
      </c>
      <c r="K413" s="106">
        <v>0</v>
      </c>
      <c r="L413" s="107">
        <v>0</v>
      </c>
      <c r="M413" s="105">
        <v>0</v>
      </c>
      <c r="N413" s="106">
        <v>0</v>
      </c>
      <c r="O413" s="107">
        <f t="shared" si="18"/>
        <v>16192</v>
      </c>
      <c r="P413" s="105">
        <f t="shared" si="18"/>
        <v>0</v>
      </c>
      <c r="Q413" s="106">
        <f t="shared" si="18"/>
        <v>16192</v>
      </c>
      <c r="R413" s="105">
        <f t="shared" si="19"/>
        <v>115.65714285714286</v>
      </c>
      <c r="S413" s="105">
        <f t="shared" si="19"/>
        <v>0</v>
      </c>
      <c r="T413" s="108">
        <f t="shared" si="19"/>
        <v>115.65714285714286</v>
      </c>
    </row>
    <row r="414" spans="1:20" s="85" customFormat="1" ht="12.75" x14ac:dyDescent="0.2">
      <c r="A414" s="109">
        <v>4092</v>
      </c>
      <c r="B414" s="110">
        <v>7</v>
      </c>
      <c r="C414" s="103" t="s">
        <v>55</v>
      </c>
      <c r="D414" s="103">
        <v>7</v>
      </c>
      <c r="E414" s="104">
        <f>+SUMIF('GE16FEB14 Unfudged'!$A$2:$A$498, $A414, 'GE16FEB14 Unfudged'!$D$2:$D$498)</f>
        <v>79</v>
      </c>
      <c r="F414" s="104">
        <v>9134</v>
      </c>
      <c r="G414" s="105">
        <v>0</v>
      </c>
      <c r="H414" s="106">
        <v>9134</v>
      </c>
      <c r="I414" s="107">
        <v>0</v>
      </c>
      <c r="J414" s="105">
        <v>0</v>
      </c>
      <c r="K414" s="106">
        <v>0</v>
      </c>
      <c r="L414" s="107">
        <v>0</v>
      </c>
      <c r="M414" s="105">
        <v>0</v>
      </c>
      <c r="N414" s="106">
        <v>0</v>
      </c>
      <c r="O414" s="107">
        <f t="shared" si="18"/>
        <v>9134</v>
      </c>
      <c r="P414" s="105">
        <f t="shared" si="18"/>
        <v>0</v>
      </c>
      <c r="Q414" s="106">
        <f t="shared" si="18"/>
        <v>9134</v>
      </c>
      <c r="R414" s="105">
        <f t="shared" si="19"/>
        <v>115.62025316455696</v>
      </c>
      <c r="S414" s="105">
        <f t="shared" si="19"/>
        <v>0</v>
      </c>
      <c r="T414" s="108">
        <f t="shared" si="19"/>
        <v>115.62025316455696</v>
      </c>
    </row>
    <row r="415" spans="1:20" s="85" customFormat="1" ht="12.75" x14ac:dyDescent="0.2">
      <c r="A415" s="109">
        <v>4093</v>
      </c>
      <c r="B415" s="110">
        <v>7</v>
      </c>
      <c r="C415" s="103" t="s">
        <v>56</v>
      </c>
      <c r="D415" s="103">
        <v>7</v>
      </c>
      <c r="E415" s="104">
        <f>+SUMIF('GE16FEB14 Unfudged'!$A$2:$A$498, $A415, 'GE16FEB14 Unfudged'!$D$2:$D$498)</f>
        <v>180</v>
      </c>
      <c r="F415" s="104">
        <v>20759</v>
      </c>
      <c r="G415" s="105">
        <v>0</v>
      </c>
      <c r="H415" s="106">
        <v>20759</v>
      </c>
      <c r="I415" s="107">
        <v>0</v>
      </c>
      <c r="J415" s="105">
        <v>0</v>
      </c>
      <c r="K415" s="106">
        <v>0</v>
      </c>
      <c r="L415" s="107">
        <v>0</v>
      </c>
      <c r="M415" s="105">
        <v>0</v>
      </c>
      <c r="N415" s="106">
        <v>0</v>
      </c>
      <c r="O415" s="107">
        <f t="shared" si="18"/>
        <v>20759</v>
      </c>
      <c r="P415" s="105">
        <f t="shared" si="18"/>
        <v>0</v>
      </c>
      <c r="Q415" s="106">
        <f t="shared" si="18"/>
        <v>20759</v>
      </c>
      <c r="R415" s="105">
        <f t="shared" si="19"/>
        <v>115.32777777777778</v>
      </c>
      <c r="S415" s="105">
        <f t="shared" si="19"/>
        <v>0</v>
      </c>
      <c r="T415" s="108">
        <f t="shared" si="19"/>
        <v>115.32777777777778</v>
      </c>
    </row>
    <row r="416" spans="1:20" s="85" customFormat="1" ht="12.75" x14ac:dyDescent="0.2">
      <c r="A416" s="109">
        <v>4095</v>
      </c>
      <c r="B416" s="110">
        <v>7</v>
      </c>
      <c r="C416" s="103" t="s">
        <v>491</v>
      </c>
      <c r="D416" s="103">
        <v>7</v>
      </c>
      <c r="E416" s="104">
        <f>+SUMIF('GE16FEB14 Unfudged'!$A$2:$A$498, $A416, 'GE16FEB14 Unfudged'!$D$2:$D$498)</f>
        <v>168</v>
      </c>
      <c r="F416" s="104">
        <v>19375</v>
      </c>
      <c r="G416" s="105">
        <v>0</v>
      </c>
      <c r="H416" s="106">
        <v>19375</v>
      </c>
      <c r="I416" s="107">
        <v>0</v>
      </c>
      <c r="J416" s="105">
        <v>0</v>
      </c>
      <c r="K416" s="106">
        <v>0</v>
      </c>
      <c r="L416" s="107">
        <v>0</v>
      </c>
      <c r="M416" s="105">
        <v>0</v>
      </c>
      <c r="N416" s="106">
        <v>0</v>
      </c>
      <c r="O416" s="107">
        <f t="shared" si="18"/>
        <v>19375</v>
      </c>
      <c r="P416" s="105">
        <f t="shared" si="18"/>
        <v>0</v>
      </c>
      <c r="Q416" s="106">
        <f t="shared" si="18"/>
        <v>19375</v>
      </c>
      <c r="R416" s="105">
        <f t="shared" si="19"/>
        <v>115.32738095238095</v>
      </c>
      <c r="S416" s="105">
        <f t="shared" si="19"/>
        <v>0</v>
      </c>
      <c r="T416" s="108">
        <f t="shared" si="19"/>
        <v>115.32738095238095</v>
      </c>
    </row>
    <row r="417" spans="1:20" s="85" customFormat="1" ht="12.75" x14ac:dyDescent="0.2">
      <c r="A417" s="109">
        <v>4097</v>
      </c>
      <c r="B417" s="110">
        <v>7</v>
      </c>
      <c r="C417" s="103" t="s">
        <v>57</v>
      </c>
      <c r="D417" s="103">
        <v>7</v>
      </c>
      <c r="E417" s="104">
        <f>+SUMIF('GE16FEB14 Unfudged'!$A$2:$A$498, $A417, 'GE16FEB14 Unfudged'!$D$2:$D$498)</f>
        <v>270</v>
      </c>
      <c r="F417" s="104">
        <v>31139</v>
      </c>
      <c r="G417" s="105">
        <v>0</v>
      </c>
      <c r="H417" s="106">
        <v>31139</v>
      </c>
      <c r="I417" s="107">
        <v>0</v>
      </c>
      <c r="J417" s="105">
        <v>0</v>
      </c>
      <c r="K417" s="106">
        <v>0</v>
      </c>
      <c r="L417" s="107">
        <v>0</v>
      </c>
      <c r="M417" s="105">
        <v>0</v>
      </c>
      <c r="N417" s="106">
        <v>0</v>
      </c>
      <c r="O417" s="107">
        <f t="shared" si="18"/>
        <v>31139</v>
      </c>
      <c r="P417" s="105">
        <f t="shared" si="18"/>
        <v>0</v>
      </c>
      <c r="Q417" s="106">
        <f t="shared" si="18"/>
        <v>31139</v>
      </c>
      <c r="R417" s="105">
        <f t="shared" si="19"/>
        <v>115.32962962962964</v>
      </c>
      <c r="S417" s="105">
        <f t="shared" si="19"/>
        <v>0</v>
      </c>
      <c r="T417" s="108">
        <f t="shared" si="19"/>
        <v>115.32962962962964</v>
      </c>
    </row>
    <row r="418" spans="1:20" s="85" customFormat="1" ht="12.75" x14ac:dyDescent="0.2">
      <c r="A418" s="109">
        <v>4098</v>
      </c>
      <c r="B418" s="110">
        <v>7</v>
      </c>
      <c r="C418" s="103" t="s">
        <v>58</v>
      </c>
      <c r="D418" s="103">
        <v>7</v>
      </c>
      <c r="E418" s="104">
        <f>+SUMIF('GE16FEB14 Unfudged'!$A$2:$A$498, $A418, 'GE16FEB14 Unfudged'!$D$2:$D$498)</f>
        <v>975</v>
      </c>
      <c r="F418" s="104">
        <v>112468</v>
      </c>
      <c r="G418" s="105">
        <v>0</v>
      </c>
      <c r="H418" s="106">
        <v>112468</v>
      </c>
      <c r="I418" s="107">
        <v>0</v>
      </c>
      <c r="J418" s="105">
        <v>0</v>
      </c>
      <c r="K418" s="106">
        <v>0</v>
      </c>
      <c r="L418" s="107">
        <v>0</v>
      </c>
      <c r="M418" s="105">
        <v>0</v>
      </c>
      <c r="N418" s="106">
        <v>0</v>
      </c>
      <c r="O418" s="107">
        <f t="shared" si="18"/>
        <v>112468</v>
      </c>
      <c r="P418" s="105">
        <f t="shared" si="18"/>
        <v>0</v>
      </c>
      <c r="Q418" s="106">
        <f t="shared" si="18"/>
        <v>112468</v>
      </c>
      <c r="R418" s="105">
        <f t="shared" si="19"/>
        <v>115.35179487179487</v>
      </c>
      <c r="S418" s="105">
        <f t="shared" si="19"/>
        <v>0</v>
      </c>
      <c r="T418" s="108">
        <f t="shared" si="19"/>
        <v>115.35179487179487</v>
      </c>
    </row>
    <row r="419" spans="1:20" s="85" customFormat="1" ht="12.75" x14ac:dyDescent="0.2">
      <c r="A419" s="109">
        <v>4100</v>
      </c>
      <c r="B419" s="110">
        <v>7</v>
      </c>
      <c r="C419" s="103" t="s">
        <v>59</v>
      </c>
      <c r="D419" s="103">
        <v>7</v>
      </c>
      <c r="E419" s="104">
        <f>+SUMIF('GE16FEB14 Unfudged'!$A$2:$A$498, $A419, 'GE16FEB14 Unfudged'!$D$2:$D$498)</f>
        <v>91</v>
      </c>
      <c r="F419" s="104">
        <v>10460</v>
      </c>
      <c r="G419" s="105">
        <v>0</v>
      </c>
      <c r="H419" s="106">
        <v>10460</v>
      </c>
      <c r="I419" s="107">
        <v>0</v>
      </c>
      <c r="J419" s="105">
        <v>0</v>
      </c>
      <c r="K419" s="106">
        <v>0</v>
      </c>
      <c r="L419" s="107">
        <v>0</v>
      </c>
      <c r="M419" s="105">
        <v>0</v>
      </c>
      <c r="N419" s="106">
        <v>0</v>
      </c>
      <c r="O419" s="107">
        <f t="shared" si="18"/>
        <v>10460</v>
      </c>
      <c r="P419" s="105">
        <f t="shared" si="18"/>
        <v>0</v>
      </c>
      <c r="Q419" s="106">
        <f t="shared" si="18"/>
        <v>10460</v>
      </c>
      <c r="R419" s="105">
        <f t="shared" si="19"/>
        <v>114.94505494505495</v>
      </c>
      <c r="S419" s="105">
        <f t="shared" si="19"/>
        <v>0</v>
      </c>
      <c r="T419" s="108">
        <f t="shared" si="19"/>
        <v>114.94505494505495</v>
      </c>
    </row>
    <row r="420" spans="1:20" s="85" customFormat="1" ht="12.75" x14ac:dyDescent="0.2">
      <c r="A420" s="109">
        <v>4102</v>
      </c>
      <c r="B420" s="110">
        <v>7</v>
      </c>
      <c r="C420" s="103" t="s">
        <v>60</v>
      </c>
      <c r="D420" s="103">
        <v>7</v>
      </c>
      <c r="E420" s="104">
        <f>+SUMIF('GE16FEB14 Unfudged'!$A$2:$A$498, $A420, 'GE16FEB14 Unfudged'!$D$2:$D$498)</f>
        <v>288</v>
      </c>
      <c r="F420" s="104">
        <v>33214</v>
      </c>
      <c r="G420" s="105">
        <v>0</v>
      </c>
      <c r="H420" s="106">
        <v>33214</v>
      </c>
      <c r="I420" s="107">
        <v>0</v>
      </c>
      <c r="J420" s="105">
        <v>0</v>
      </c>
      <c r="K420" s="106">
        <v>0</v>
      </c>
      <c r="L420" s="107">
        <v>0</v>
      </c>
      <c r="M420" s="105">
        <v>0</v>
      </c>
      <c r="N420" s="106">
        <v>0</v>
      </c>
      <c r="O420" s="107">
        <f t="shared" si="18"/>
        <v>33214</v>
      </c>
      <c r="P420" s="105">
        <f t="shared" si="18"/>
        <v>0</v>
      </c>
      <c r="Q420" s="106">
        <f t="shared" si="18"/>
        <v>33214</v>
      </c>
      <c r="R420" s="105">
        <f t="shared" si="19"/>
        <v>115.32638888888889</v>
      </c>
      <c r="S420" s="105">
        <f t="shared" si="19"/>
        <v>0</v>
      </c>
      <c r="T420" s="108">
        <f t="shared" si="19"/>
        <v>115.32638888888889</v>
      </c>
    </row>
    <row r="421" spans="1:20" s="85" customFormat="1" ht="12.75" x14ac:dyDescent="0.2">
      <c r="A421" s="109">
        <v>4103</v>
      </c>
      <c r="B421" s="110">
        <v>7</v>
      </c>
      <c r="C421" s="103" t="s">
        <v>463</v>
      </c>
      <c r="D421" s="103">
        <v>7</v>
      </c>
      <c r="E421" s="104">
        <f>+SUMIF('GE16FEB14 Unfudged'!$A$2:$A$498, $A421, 'GE16FEB14 Unfudged'!$D$2:$D$498)</f>
        <v>1236</v>
      </c>
      <c r="F421" s="104">
        <v>142545</v>
      </c>
      <c r="G421" s="105">
        <v>0</v>
      </c>
      <c r="H421" s="106">
        <v>142545</v>
      </c>
      <c r="I421" s="107">
        <v>0</v>
      </c>
      <c r="J421" s="105">
        <v>0</v>
      </c>
      <c r="K421" s="106">
        <v>0</v>
      </c>
      <c r="L421" s="107">
        <v>0</v>
      </c>
      <c r="M421" s="105">
        <v>0</v>
      </c>
      <c r="N421" s="106">
        <v>0</v>
      </c>
      <c r="O421" s="107">
        <f t="shared" si="18"/>
        <v>142545</v>
      </c>
      <c r="P421" s="105">
        <f t="shared" si="18"/>
        <v>0</v>
      </c>
      <c r="Q421" s="106">
        <f t="shared" si="18"/>
        <v>142545</v>
      </c>
      <c r="R421" s="105">
        <f t="shared" si="19"/>
        <v>115.32766990291262</v>
      </c>
      <c r="S421" s="105">
        <f t="shared" si="19"/>
        <v>0</v>
      </c>
      <c r="T421" s="108">
        <f t="shared" si="19"/>
        <v>115.32766990291262</v>
      </c>
    </row>
    <row r="422" spans="1:20" s="85" customFormat="1" ht="12.75" x14ac:dyDescent="0.2">
      <c r="A422" s="109">
        <v>4104</v>
      </c>
      <c r="B422" s="110">
        <v>7</v>
      </c>
      <c r="C422" s="103" t="s">
        <v>464</v>
      </c>
      <c r="D422" s="103">
        <v>7</v>
      </c>
      <c r="E422" s="104">
        <f>+SUMIF('GE16FEB14 Unfudged'!$A$2:$A$498, $A422, 'GE16FEB14 Unfudged'!$D$2:$D$498)</f>
        <v>336</v>
      </c>
      <c r="F422" s="104">
        <v>38750</v>
      </c>
      <c r="G422" s="105">
        <v>0</v>
      </c>
      <c r="H422" s="106">
        <v>38750</v>
      </c>
      <c r="I422" s="107">
        <v>0</v>
      </c>
      <c r="J422" s="105">
        <v>0</v>
      </c>
      <c r="K422" s="106">
        <v>0</v>
      </c>
      <c r="L422" s="107">
        <v>0</v>
      </c>
      <c r="M422" s="105">
        <v>0</v>
      </c>
      <c r="N422" s="106">
        <v>0</v>
      </c>
      <c r="O422" s="107">
        <f t="shared" si="18"/>
        <v>38750</v>
      </c>
      <c r="P422" s="105">
        <f t="shared" si="18"/>
        <v>0</v>
      </c>
      <c r="Q422" s="106">
        <f t="shared" si="18"/>
        <v>38750</v>
      </c>
      <c r="R422" s="105">
        <f t="shared" si="19"/>
        <v>115.32738095238095</v>
      </c>
      <c r="S422" s="105">
        <f t="shared" si="19"/>
        <v>0</v>
      </c>
      <c r="T422" s="108">
        <f t="shared" si="19"/>
        <v>115.32738095238095</v>
      </c>
    </row>
    <row r="423" spans="1:20" s="85" customFormat="1" ht="12.75" x14ac:dyDescent="0.2">
      <c r="A423" s="109">
        <v>4105</v>
      </c>
      <c r="B423" s="110">
        <v>7</v>
      </c>
      <c r="C423" s="103" t="s">
        <v>61</v>
      </c>
      <c r="D423" s="103">
        <v>7</v>
      </c>
      <c r="E423" s="104">
        <f>+SUMIF('GE16FEB14 Unfudged'!$A$2:$A$498, $A423, 'GE16FEB14 Unfudged'!$D$2:$D$498)</f>
        <v>417</v>
      </c>
      <c r="F423" s="104">
        <v>48121</v>
      </c>
      <c r="G423" s="105">
        <v>0</v>
      </c>
      <c r="H423" s="106">
        <v>48121</v>
      </c>
      <c r="I423" s="107">
        <v>0</v>
      </c>
      <c r="J423" s="105">
        <v>0</v>
      </c>
      <c r="K423" s="106">
        <v>0</v>
      </c>
      <c r="L423" s="107">
        <v>0</v>
      </c>
      <c r="M423" s="105">
        <v>0</v>
      </c>
      <c r="N423" s="106">
        <v>0</v>
      </c>
      <c r="O423" s="107">
        <f t="shared" si="18"/>
        <v>48121</v>
      </c>
      <c r="P423" s="105">
        <f t="shared" si="18"/>
        <v>0</v>
      </c>
      <c r="Q423" s="106">
        <f t="shared" si="18"/>
        <v>48121</v>
      </c>
      <c r="R423" s="105">
        <f t="shared" si="19"/>
        <v>115.39808153477219</v>
      </c>
      <c r="S423" s="105">
        <f t="shared" si="19"/>
        <v>0</v>
      </c>
      <c r="T423" s="108">
        <f t="shared" si="19"/>
        <v>115.39808153477219</v>
      </c>
    </row>
    <row r="424" spans="1:20" s="85" customFormat="1" ht="12.75" x14ac:dyDescent="0.2">
      <c r="A424" s="109">
        <v>4106</v>
      </c>
      <c r="B424" s="110">
        <v>7</v>
      </c>
      <c r="C424" s="103" t="s">
        <v>62</v>
      </c>
      <c r="D424" s="103">
        <v>7</v>
      </c>
      <c r="E424" s="104">
        <f>+SUMIF('GE16FEB14 Unfudged'!$A$2:$A$498, $A424, 'GE16FEB14 Unfudged'!$D$2:$D$498)</f>
        <v>265</v>
      </c>
      <c r="F424" s="104">
        <v>30516</v>
      </c>
      <c r="G424" s="105">
        <v>0</v>
      </c>
      <c r="H424" s="106">
        <v>30516</v>
      </c>
      <c r="I424" s="107">
        <v>0</v>
      </c>
      <c r="J424" s="105">
        <v>0</v>
      </c>
      <c r="K424" s="106">
        <v>0</v>
      </c>
      <c r="L424" s="107">
        <v>0</v>
      </c>
      <c r="M424" s="105">
        <v>0</v>
      </c>
      <c r="N424" s="106">
        <v>0</v>
      </c>
      <c r="O424" s="107">
        <f t="shared" si="18"/>
        <v>30516</v>
      </c>
      <c r="P424" s="105">
        <f t="shared" si="18"/>
        <v>0</v>
      </c>
      <c r="Q424" s="106">
        <f t="shared" si="18"/>
        <v>30516</v>
      </c>
      <c r="R424" s="105">
        <f t="shared" si="19"/>
        <v>115.15471698113207</v>
      </c>
      <c r="S424" s="105">
        <f t="shared" si="19"/>
        <v>0</v>
      </c>
      <c r="T424" s="108">
        <f t="shared" si="19"/>
        <v>115.15471698113207</v>
      </c>
    </row>
    <row r="425" spans="1:20" s="85" customFormat="1" ht="12.75" x14ac:dyDescent="0.2">
      <c r="A425" s="109">
        <v>4107</v>
      </c>
      <c r="B425" s="110">
        <v>7</v>
      </c>
      <c r="C425" s="103" t="s">
        <v>63</v>
      </c>
      <c r="D425" s="103">
        <v>7</v>
      </c>
      <c r="E425" s="104">
        <f>+SUMIF('GE16FEB14 Unfudged'!$A$2:$A$498, $A425, 'GE16FEB14 Unfudged'!$D$2:$D$498)</f>
        <v>120</v>
      </c>
      <c r="F425" s="104">
        <v>13839</v>
      </c>
      <c r="G425" s="105">
        <v>0</v>
      </c>
      <c r="H425" s="106">
        <v>13839</v>
      </c>
      <c r="I425" s="107">
        <v>0</v>
      </c>
      <c r="J425" s="105">
        <v>0</v>
      </c>
      <c r="K425" s="106">
        <v>0</v>
      </c>
      <c r="L425" s="107">
        <v>0</v>
      </c>
      <c r="M425" s="105">
        <v>0</v>
      </c>
      <c r="N425" s="106">
        <v>0</v>
      </c>
      <c r="O425" s="107">
        <f t="shared" si="18"/>
        <v>13839</v>
      </c>
      <c r="P425" s="105">
        <f t="shared" si="18"/>
        <v>0</v>
      </c>
      <c r="Q425" s="106">
        <f t="shared" si="18"/>
        <v>13839</v>
      </c>
      <c r="R425" s="105">
        <f t="shared" si="19"/>
        <v>115.325</v>
      </c>
      <c r="S425" s="105">
        <f t="shared" si="19"/>
        <v>0</v>
      </c>
      <c r="T425" s="108">
        <f t="shared" si="19"/>
        <v>115.325</v>
      </c>
    </row>
    <row r="426" spans="1:20" s="85" customFormat="1" ht="12.75" x14ac:dyDescent="0.2">
      <c r="A426" s="109">
        <v>4108</v>
      </c>
      <c r="B426" s="110">
        <v>7</v>
      </c>
      <c r="C426" s="103" t="s">
        <v>492</v>
      </c>
      <c r="D426" s="103">
        <v>7</v>
      </c>
      <c r="E426" s="104">
        <f>+SUMIF('GE16FEB14 Unfudged'!$A$2:$A$498, $A426, 'GE16FEB14 Unfudged'!$D$2:$D$498)</f>
        <v>0</v>
      </c>
      <c r="F426" s="104">
        <v>0</v>
      </c>
      <c r="G426" s="105">
        <v>0</v>
      </c>
      <c r="H426" s="106">
        <v>0</v>
      </c>
      <c r="I426" s="107">
        <v>0</v>
      </c>
      <c r="J426" s="105">
        <v>0</v>
      </c>
      <c r="K426" s="106">
        <v>0</v>
      </c>
      <c r="L426" s="107">
        <v>0</v>
      </c>
      <c r="M426" s="105">
        <v>0</v>
      </c>
      <c r="N426" s="106">
        <v>0</v>
      </c>
      <c r="O426" s="107">
        <f t="shared" si="18"/>
        <v>0</v>
      </c>
      <c r="P426" s="105">
        <f t="shared" si="18"/>
        <v>0</v>
      </c>
      <c r="Q426" s="106">
        <f t="shared" si="18"/>
        <v>0</v>
      </c>
      <c r="R426" s="105">
        <f t="shared" si="19"/>
        <v>0</v>
      </c>
      <c r="S426" s="105">
        <f t="shared" si="19"/>
        <v>0</v>
      </c>
      <c r="T426" s="108">
        <f t="shared" si="19"/>
        <v>0</v>
      </c>
    </row>
    <row r="427" spans="1:20" s="85" customFormat="1" ht="12.75" x14ac:dyDescent="0.2">
      <c r="A427" s="109">
        <v>4109</v>
      </c>
      <c r="B427" s="110">
        <v>7</v>
      </c>
      <c r="C427" s="103" t="s">
        <v>64</v>
      </c>
      <c r="D427" s="103">
        <v>7</v>
      </c>
      <c r="E427" s="104">
        <f>+SUMIF('GE16FEB14 Unfudged'!$A$2:$A$498, $A427, 'GE16FEB14 Unfudged'!$D$2:$D$498)</f>
        <v>0</v>
      </c>
      <c r="F427" s="104">
        <v>0</v>
      </c>
      <c r="G427" s="105">
        <v>0</v>
      </c>
      <c r="H427" s="106">
        <v>0</v>
      </c>
      <c r="I427" s="107">
        <v>0</v>
      </c>
      <c r="J427" s="105">
        <v>0</v>
      </c>
      <c r="K427" s="106">
        <v>0</v>
      </c>
      <c r="L427" s="107">
        <v>0</v>
      </c>
      <c r="M427" s="105">
        <v>0</v>
      </c>
      <c r="N427" s="106">
        <v>0</v>
      </c>
      <c r="O427" s="107">
        <f t="shared" si="18"/>
        <v>0</v>
      </c>
      <c r="P427" s="105">
        <f t="shared" si="18"/>
        <v>0</v>
      </c>
      <c r="Q427" s="106">
        <f t="shared" si="18"/>
        <v>0</v>
      </c>
      <c r="R427" s="105">
        <f t="shared" si="19"/>
        <v>0</v>
      </c>
      <c r="S427" s="105">
        <f t="shared" si="19"/>
        <v>0</v>
      </c>
      <c r="T427" s="108">
        <f t="shared" si="19"/>
        <v>0</v>
      </c>
    </row>
    <row r="428" spans="1:20" s="85" customFormat="1" ht="12.75" x14ac:dyDescent="0.2">
      <c r="A428" s="109">
        <v>4110</v>
      </c>
      <c r="B428" s="110">
        <v>7</v>
      </c>
      <c r="C428" s="103" t="s">
        <v>493</v>
      </c>
      <c r="D428" s="103">
        <v>7</v>
      </c>
      <c r="E428" s="104">
        <f>+SUMIF('GE16FEB14 Unfudged'!$A$2:$A$498, $A428, 'GE16FEB14 Unfudged'!$D$2:$D$498)</f>
        <v>336</v>
      </c>
      <c r="F428" s="104">
        <v>38750</v>
      </c>
      <c r="G428" s="105">
        <v>0</v>
      </c>
      <c r="H428" s="106">
        <v>38750</v>
      </c>
      <c r="I428" s="107">
        <v>0</v>
      </c>
      <c r="J428" s="105">
        <v>0</v>
      </c>
      <c r="K428" s="106">
        <v>0</v>
      </c>
      <c r="L428" s="107">
        <v>0</v>
      </c>
      <c r="M428" s="105">
        <v>0</v>
      </c>
      <c r="N428" s="106">
        <v>0</v>
      </c>
      <c r="O428" s="107">
        <f t="shared" si="18"/>
        <v>38750</v>
      </c>
      <c r="P428" s="105">
        <f t="shared" si="18"/>
        <v>0</v>
      </c>
      <c r="Q428" s="106">
        <f t="shared" si="18"/>
        <v>38750</v>
      </c>
      <c r="R428" s="105">
        <f t="shared" si="19"/>
        <v>115.32738095238095</v>
      </c>
      <c r="S428" s="105">
        <f t="shared" si="19"/>
        <v>0</v>
      </c>
      <c r="T428" s="108">
        <f t="shared" si="19"/>
        <v>115.32738095238095</v>
      </c>
    </row>
    <row r="429" spans="1:20" s="85" customFormat="1" ht="12.75" x14ac:dyDescent="0.2">
      <c r="A429" s="109">
        <v>4111</v>
      </c>
      <c r="B429" s="110">
        <v>7</v>
      </c>
      <c r="C429" s="103" t="s">
        <v>494</v>
      </c>
      <c r="D429" s="103">
        <v>7</v>
      </c>
      <c r="E429" s="104">
        <f>+SUMIF('GE16FEB14 Unfudged'!$A$2:$A$498, $A429, 'GE16FEB14 Unfudged'!$D$2:$D$498)</f>
        <v>168</v>
      </c>
      <c r="F429" s="104">
        <v>19375</v>
      </c>
      <c r="G429" s="105">
        <v>0</v>
      </c>
      <c r="H429" s="106">
        <v>19375</v>
      </c>
      <c r="I429" s="107">
        <v>0</v>
      </c>
      <c r="J429" s="105">
        <v>0</v>
      </c>
      <c r="K429" s="106">
        <v>0</v>
      </c>
      <c r="L429" s="107">
        <v>0</v>
      </c>
      <c r="M429" s="105">
        <v>0</v>
      </c>
      <c r="N429" s="106">
        <v>0</v>
      </c>
      <c r="O429" s="107">
        <f t="shared" si="18"/>
        <v>19375</v>
      </c>
      <c r="P429" s="105">
        <f t="shared" si="18"/>
        <v>0</v>
      </c>
      <c r="Q429" s="106">
        <f t="shared" si="18"/>
        <v>19375</v>
      </c>
      <c r="R429" s="105">
        <f t="shared" si="19"/>
        <v>115.32738095238095</v>
      </c>
      <c r="S429" s="105">
        <f t="shared" si="19"/>
        <v>0</v>
      </c>
      <c r="T429" s="108">
        <f t="shared" si="19"/>
        <v>115.32738095238095</v>
      </c>
    </row>
    <row r="430" spans="1:20" s="85" customFormat="1" ht="12.75" x14ac:dyDescent="0.2">
      <c r="A430" s="109">
        <v>4112</v>
      </c>
      <c r="B430" s="110">
        <v>7</v>
      </c>
      <c r="C430" s="103" t="s">
        <v>495</v>
      </c>
      <c r="D430" s="103">
        <v>7</v>
      </c>
      <c r="E430" s="104">
        <f>+SUMIF('GE16FEB14 Unfudged'!$A$2:$A$498, $A430, 'GE16FEB14 Unfudged'!$D$2:$D$498)</f>
        <v>768</v>
      </c>
      <c r="F430" s="104">
        <v>88572</v>
      </c>
      <c r="G430" s="105">
        <v>0</v>
      </c>
      <c r="H430" s="106">
        <v>88572</v>
      </c>
      <c r="I430" s="107">
        <v>0</v>
      </c>
      <c r="J430" s="105">
        <v>0</v>
      </c>
      <c r="K430" s="106">
        <v>0</v>
      </c>
      <c r="L430" s="107">
        <v>0</v>
      </c>
      <c r="M430" s="105">
        <v>0</v>
      </c>
      <c r="N430" s="106">
        <v>0</v>
      </c>
      <c r="O430" s="107">
        <f t="shared" si="18"/>
        <v>88572</v>
      </c>
      <c r="P430" s="105">
        <f t="shared" si="18"/>
        <v>0</v>
      </c>
      <c r="Q430" s="106">
        <f t="shared" si="18"/>
        <v>88572</v>
      </c>
      <c r="R430" s="105">
        <f t="shared" si="19"/>
        <v>115.328125</v>
      </c>
      <c r="S430" s="105">
        <f t="shared" si="19"/>
        <v>0</v>
      </c>
      <c r="T430" s="108">
        <f t="shared" si="19"/>
        <v>115.328125</v>
      </c>
    </row>
    <row r="431" spans="1:20" s="85" customFormat="1" ht="12.75" x14ac:dyDescent="0.2">
      <c r="A431" s="109">
        <v>4113</v>
      </c>
      <c r="B431" s="110">
        <v>7</v>
      </c>
      <c r="C431" s="103" t="s">
        <v>65</v>
      </c>
      <c r="D431" s="103">
        <v>7</v>
      </c>
      <c r="E431" s="104">
        <f>+SUMIF('GE16FEB14 Unfudged'!$A$2:$A$498, $A431, 'GE16FEB14 Unfudged'!$D$2:$D$498)</f>
        <v>80</v>
      </c>
      <c r="F431" s="104">
        <v>9226</v>
      </c>
      <c r="G431" s="105">
        <v>0</v>
      </c>
      <c r="H431" s="106">
        <v>9226</v>
      </c>
      <c r="I431" s="107">
        <v>0</v>
      </c>
      <c r="J431" s="105">
        <v>0</v>
      </c>
      <c r="K431" s="106">
        <v>0</v>
      </c>
      <c r="L431" s="107">
        <v>0</v>
      </c>
      <c r="M431" s="105">
        <v>0</v>
      </c>
      <c r="N431" s="106">
        <v>0</v>
      </c>
      <c r="O431" s="107">
        <f t="shared" si="18"/>
        <v>9226</v>
      </c>
      <c r="P431" s="105">
        <f t="shared" si="18"/>
        <v>0</v>
      </c>
      <c r="Q431" s="106">
        <f t="shared" si="18"/>
        <v>9226</v>
      </c>
      <c r="R431" s="105">
        <f t="shared" si="19"/>
        <v>115.325</v>
      </c>
      <c r="S431" s="105">
        <f t="shared" si="19"/>
        <v>0</v>
      </c>
      <c r="T431" s="108">
        <f t="shared" si="19"/>
        <v>115.325</v>
      </c>
    </row>
    <row r="432" spans="1:20" s="85" customFormat="1" ht="12.75" x14ac:dyDescent="0.2">
      <c r="A432" s="109">
        <v>4115</v>
      </c>
      <c r="B432" s="110">
        <v>7</v>
      </c>
      <c r="C432" s="103" t="s">
        <v>496</v>
      </c>
      <c r="D432" s="103">
        <v>7</v>
      </c>
      <c r="E432" s="104">
        <f>+SUMIF('GE16FEB14 Unfudged'!$A$2:$A$498, $A432, 'GE16FEB14 Unfudged'!$D$2:$D$498)</f>
        <v>110</v>
      </c>
      <c r="F432" s="104">
        <v>12686</v>
      </c>
      <c r="G432" s="105">
        <v>0</v>
      </c>
      <c r="H432" s="106">
        <v>12686</v>
      </c>
      <c r="I432" s="107">
        <v>0</v>
      </c>
      <c r="J432" s="105">
        <v>0</v>
      </c>
      <c r="K432" s="106">
        <v>0</v>
      </c>
      <c r="L432" s="107">
        <v>0</v>
      </c>
      <c r="M432" s="105">
        <v>0</v>
      </c>
      <c r="N432" s="106">
        <v>0</v>
      </c>
      <c r="O432" s="107">
        <f t="shared" si="18"/>
        <v>12686</v>
      </c>
      <c r="P432" s="105">
        <f t="shared" si="18"/>
        <v>0</v>
      </c>
      <c r="Q432" s="106">
        <f t="shared" si="18"/>
        <v>12686</v>
      </c>
      <c r="R432" s="105">
        <f t="shared" si="19"/>
        <v>115.32727272727273</v>
      </c>
      <c r="S432" s="105">
        <f t="shared" si="19"/>
        <v>0</v>
      </c>
      <c r="T432" s="108">
        <f t="shared" si="19"/>
        <v>115.32727272727273</v>
      </c>
    </row>
    <row r="433" spans="1:20" s="85" customFormat="1" ht="12.75" x14ac:dyDescent="0.2">
      <c r="A433" s="109">
        <v>4116</v>
      </c>
      <c r="B433" s="110">
        <v>7</v>
      </c>
      <c r="C433" s="103" t="s">
        <v>497</v>
      </c>
      <c r="D433" s="103">
        <v>7</v>
      </c>
      <c r="E433" s="104">
        <f>+SUMIF('GE16FEB14 Unfudged'!$A$2:$A$498, $A433, 'GE16FEB14 Unfudged'!$D$2:$D$498)</f>
        <v>786</v>
      </c>
      <c r="F433" s="104">
        <v>90648</v>
      </c>
      <c r="G433" s="105">
        <v>0</v>
      </c>
      <c r="H433" s="106">
        <v>90648</v>
      </c>
      <c r="I433" s="107">
        <v>0</v>
      </c>
      <c r="J433" s="105">
        <v>0</v>
      </c>
      <c r="K433" s="106">
        <v>0</v>
      </c>
      <c r="L433" s="107">
        <v>0</v>
      </c>
      <c r="M433" s="105">
        <v>0</v>
      </c>
      <c r="N433" s="106">
        <v>0</v>
      </c>
      <c r="O433" s="107">
        <f t="shared" si="18"/>
        <v>90648</v>
      </c>
      <c r="P433" s="105">
        <f t="shared" si="18"/>
        <v>0</v>
      </c>
      <c r="Q433" s="106">
        <f t="shared" si="18"/>
        <v>90648</v>
      </c>
      <c r="R433" s="105">
        <f t="shared" si="19"/>
        <v>115.32824427480917</v>
      </c>
      <c r="S433" s="105">
        <f t="shared" si="19"/>
        <v>0</v>
      </c>
      <c r="T433" s="108">
        <f t="shared" si="19"/>
        <v>115.32824427480917</v>
      </c>
    </row>
    <row r="434" spans="1:20" s="85" customFormat="1" ht="12.75" x14ac:dyDescent="0.2">
      <c r="A434" s="109">
        <v>4118</v>
      </c>
      <c r="B434" s="110">
        <v>7</v>
      </c>
      <c r="C434" s="103" t="s">
        <v>66</v>
      </c>
      <c r="D434" s="103">
        <v>7</v>
      </c>
      <c r="E434" s="104">
        <f>+SUMIF('GE16FEB14 Unfudged'!$A$2:$A$498, $A434, 'GE16FEB14 Unfudged'!$D$2:$D$498)</f>
        <v>585</v>
      </c>
      <c r="F434" s="104">
        <v>67467</v>
      </c>
      <c r="G434" s="105">
        <v>0</v>
      </c>
      <c r="H434" s="106">
        <v>67467</v>
      </c>
      <c r="I434" s="107">
        <v>0</v>
      </c>
      <c r="J434" s="105">
        <v>0</v>
      </c>
      <c r="K434" s="106">
        <v>0</v>
      </c>
      <c r="L434" s="107">
        <v>0</v>
      </c>
      <c r="M434" s="105">
        <v>0</v>
      </c>
      <c r="N434" s="106">
        <v>0</v>
      </c>
      <c r="O434" s="107">
        <f t="shared" si="18"/>
        <v>67467</v>
      </c>
      <c r="P434" s="105">
        <f t="shared" si="18"/>
        <v>0</v>
      </c>
      <c r="Q434" s="106">
        <f t="shared" si="18"/>
        <v>67467</v>
      </c>
      <c r="R434" s="105">
        <f t="shared" si="19"/>
        <v>115.32820512820513</v>
      </c>
      <c r="S434" s="105">
        <f t="shared" si="19"/>
        <v>0</v>
      </c>
      <c r="T434" s="108">
        <f t="shared" si="19"/>
        <v>115.32820512820513</v>
      </c>
    </row>
    <row r="435" spans="1:20" s="85" customFormat="1" ht="12.75" x14ac:dyDescent="0.2">
      <c r="A435" s="109">
        <v>4119</v>
      </c>
      <c r="B435" s="110">
        <v>7</v>
      </c>
      <c r="C435" s="103" t="s">
        <v>67</v>
      </c>
      <c r="D435" s="103">
        <v>7</v>
      </c>
      <c r="E435" s="104">
        <f>+SUMIF('GE16FEB14 Unfudged'!$A$2:$A$498, $A435, 'GE16FEB14 Unfudged'!$D$2:$D$498)</f>
        <v>112</v>
      </c>
      <c r="F435" s="104">
        <v>12871</v>
      </c>
      <c r="G435" s="105">
        <v>0</v>
      </c>
      <c r="H435" s="106">
        <v>12871</v>
      </c>
      <c r="I435" s="107">
        <v>0</v>
      </c>
      <c r="J435" s="105">
        <v>0</v>
      </c>
      <c r="K435" s="106">
        <v>0</v>
      </c>
      <c r="L435" s="107">
        <v>0</v>
      </c>
      <c r="M435" s="105">
        <v>0</v>
      </c>
      <c r="N435" s="106">
        <v>0</v>
      </c>
      <c r="O435" s="107">
        <f t="shared" si="18"/>
        <v>12871</v>
      </c>
      <c r="P435" s="105">
        <f t="shared" si="18"/>
        <v>0</v>
      </c>
      <c r="Q435" s="106">
        <f t="shared" si="18"/>
        <v>12871</v>
      </c>
      <c r="R435" s="105">
        <f t="shared" si="19"/>
        <v>114.91964285714286</v>
      </c>
      <c r="S435" s="105">
        <f t="shared" si="19"/>
        <v>0</v>
      </c>
      <c r="T435" s="108">
        <f t="shared" si="19"/>
        <v>114.91964285714286</v>
      </c>
    </row>
    <row r="436" spans="1:20" s="85" customFormat="1" ht="12.75" x14ac:dyDescent="0.2">
      <c r="A436" s="109">
        <v>4120</v>
      </c>
      <c r="B436" s="110">
        <v>7</v>
      </c>
      <c r="C436" s="103" t="s">
        <v>68</v>
      </c>
      <c r="D436" s="103">
        <v>7</v>
      </c>
      <c r="E436" s="104">
        <f>+SUMIF('GE16FEB14 Unfudged'!$A$2:$A$498, $A436, 'GE16FEB14 Unfudged'!$D$2:$D$498)</f>
        <v>1247</v>
      </c>
      <c r="F436" s="104">
        <v>143791</v>
      </c>
      <c r="G436" s="105">
        <v>0</v>
      </c>
      <c r="H436" s="106">
        <v>143791</v>
      </c>
      <c r="I436" s="107">
        <v>0</v>
      </c>
      <c r="J436" s="105">
        <v>0</v>
      </c>
      <c r="K436" s="106">
        <v>0</v>
      </c>
      <c r="L436" s="107">
        <v>0</v>
      </c>
      <c r="M436" s="105">
        <v>0</v>
      </c>
      <c r="N436" s="106">
        <v>0</v>
      </c>
      <c r="O436" s="107">
        <f t="shared" si="18"/>
        <v>143791</v>
      </c>
      <c r="P436" s="105">
        <f t="shared" si="18"/>
        <v>0</v>
      </c>
      <c r="Q436" s="106">
        <f t="shared" si="18"/>
        <v>143791</v>
      </c>
      <c r="R436" s="105">
        <f t="shared" si="19"/>
        <v>115.30954290296712</v>
      </c>
      <c r="S436" s="105">
        <f t="shared" si="19"/>
        <v>0</v>
      </c>
      <c r="T436" s="108">
        <f t="shared" si="19"/>
        <v>115.30954290296712</v>
      </c>
    </row>
    <row r="437" spans="1:20" s="85" customFormat="1" ht="12.75" x14ac:dyDescent="0.2">
      <c r="A437" s="109">
        <v>4121</v>
      </c>
      <c r="B437" s="110">
        <v>7</v>
      </c>
      <c r="C437" s="103" t="s">
        <v>498</v>
      </c>
      <c r="D437" s="103">
        <v>7</v>
      </c>
      <c r="E437" s="104">
        <f>+SUMIF('GE16FEB14 Unfudged'!$A$2:$A$498, $A437, 'GE16FEB14 Unfudged'!$D$2:$D$498)</f>
        <v>456</v>
      </c>
      <c r="F437" s="104">
        <v>52590</v>
      </c>
      <c r="G437" s="105">
        <v>0</v>
      </c>
      <c r="H437" s="106">
        <v>52590</v>
      </c>
      <c r="I437" s="107">
        <v>0</v>
      </c>
      <c r="J437" s="105">
        <v>0</v>
      </c>
      <c r="K437" s="106">
        <v>0</v>
      </c>
      <c r="L437" s="107">
        <v>0</v>
      </c>
      <c r="M437" s="105">
        <v>0</v>
      </c>
      <c r="N437" s="106">
        <v>0</v>
      </c>
      <c r="O437" s="107">
        <f t="shared" si="18"/>
        <v>52590</v>
      </c>
      <c r="P437" s="105">
        <f t="shared" si="18"/>
        <v>0</v>
      </c>
      <c r="Q437" s="106">
        <f t="shared" si="18"/>
        <v>52590</v>
      </c>
      <c r="R437" s="105">
        <f t="shared" si="19"/>
        <v>115.32894736842105</v>
      </c>
      <c r="S437" s="105">
        <f t="shared" si="19"/>
        <v>0</v>
      </c>
      <c r="T437" s="108">
        <f t="shared" si="19"/>
        <v>115.32894736842105</v>
      </c>
    </row>
    <row r="438" spans="1:20" s="85" customFormat="1" ht="12.75" x14ac:dyDescent="0.2">
      <c r="A438" s="109">
        <v>4122</v>
      </c>
      <c r="B438" s="110">
        <v>7</v>
      </c>
      <c r="C438" s="103" t="s">
        <v>499</v>
      </c>
      <c r="D438" s="103">
        <v>7</v>
      </c>
      <c r="E438" s="104">
        <f>+SUMIF('GE16FEB14 Unfudged'!$A$2:$A$498, $A438, 'GE16FEB14 Unfudged'!$D$2:$D$498)</f>
        <v>943</v>
      </c>
      <c r="F438" s="104">
        <v>108725</v>
      </c>
      <c r="G438" s="105">
        <v>0</v>
      </c>
      <c r="H438" s="106">
        <v>108725</v>
      </c>
      <c r="I438" s="107">
        <v>0</v>
      </c>
      <c r="J438" s="105">
        <v>0</v>
      </c>
      <c r="K438" s="106">
        <v>0</v>
      </c>
      <c r="L438" s="107">
        <v>0</v>
      </c>
      <c r="M438" s="105">
        <v>0</v>
      </c>
      <c r="N438" s="106">
        <v>0</v>
      </c>
      <c r="O438" s="107">
        <f t="shared" si="18"/>
        <v>108725</v>
      </c>
      <c r="P438" s="105">
        <f t="shared" si="18"/>
        <v>0</v>
      </c>
      <c r="Q438" s="106">
        <f t="shared" si="18"/>
        <v>108725</v>
      </c>
      <c r="R438" s="105">
        <f t="shared" si="19"/>
        <v>115.29692470837752</v>
      </c>
      <c r="S438" s="105">
        <f t="shared" si="19"/>
        <v>0</v>
      </c>
      <c r="T438" s="108">
        <f t="shared" si="19"/>
        <v>115.29692470837752</v>
      </c>
    </row>
    <row r="439" spans="1:20" s="85" customFormat="1" ht="12.75" x14ac:dyDescent="0.2">
      <c r="A439" s="109">
        <v>4123</v>
      </c>
      <c r="B439" s="110">
        <v>7</v>
      </c>
      <c r="C439" s="103" t="s">
        <v>500</v>
      </c>
      <c r="D439" s="103">
        <v>7</v>
      </c>
      <c r="E439" s="104">
        <f>+SUMIF('GE16FEB14 Unfudged'!$A$2:$A$498, $A439, 'GE16FEB14 Unfudged'!$D$2:$D$498)</f>
        <v>46</v>
      </c>
      <c r="F439" s="104">
        <v>5299</v>
      </c>
      <c r="G439" s="105">
        <v>0</v>
      </c>
      <c r="H439" s="106">
        <v>5299</v>
      </c>
      <c r="I439" s="107">
        <v>0</v>
      </c>
      <c r="J439" s="105">
        <v>0</v>
      </c>
      <c r="K439" s="106">
        <v>0</v>
      </c>
      <c r="L439" s="107">
        <v>0</v>
      </c>
      <c r="M439" s="105">
        <v>0</v>
      </c>
      <c r="N439" s="106">
        <v>0</v>
      </c>
      <c r="O439" s="107">
        <f t="shared" si="18"/>
        <v>5299</v>
      </c>
      <c r="P439" s="105">
        <f t="shared" si="18"/>
        <v>0</v>
      </c>
      <c r="Q439" s="106">
        <f t="shared" si="18"/>
        <v>5299</v>
      </c>
      <c r="R439" s="105">
        <f t="shared" si="19"/>
        <v>115.19565217391305</v>
      </c>
      <c r="S439" s="105">
        <f t="shared" si="19"/>
        <v>0</v>
      </c>
      <c r="T439" s="108">
        <f t="shared" si="19"/>
        <v>115.19565217391305</v>
      </c>
    </row>
    <row r="440" spans="1:20" s="85" customFormat="1" ht="12.75" x14ac:dyDescent="0.2">
      <c r="A440" s="109">
        <v>4124</v>
      </c>
      <c r="B440" s="110">
        <v>7</v>
      </c>
      <c r="C440" s="103" t="s">
        <v>69</v>
      </c>
      <c r="D440" s="103">
        <v>7</v>
      </c>
      <c r="E440" s="104">
        <f>+SUMIF('GE16FEB14 Unfudged'!$A$2:$A$498, $A440, 'GE16FEB14 Unfudged'!$D$2:$D$498)</f>
        <v>434</v>
      </c>
      <c r="F440" s="104">
        <v>50006</v>
      </c>
      <c r="G440" s="105">
        <v>0</v>
      </c>
      <c r="H440" s="106">
        <v>50006</v>
      </c>
      <c r="I440" s="107">
        <v>0</v>
      </c>
      <c r="J440" s="105">
        <v>0</v>
      </c>
      <c r="K440" s="106">
        <v>0</v>
      </c>
      <c r="L440" s="107">
        <v>0</v>
      </c>
      <c r="M440" s="105">
        <v>0</v>
      </c>
      <c r="N440" s="106">
        <v>0</v>
      </c>
      <c r="O440" s="107">
        <f t="shared" si="18"/>
        <v>50006</v>
      </c>
      <c r="P440" s="105">
        <f t="shared" si="18"/>
        <v>0</v>
      </c>
      <c r="Q440" s="106">
        <f t="shared" si="18"/>
        <v>50006</v>
      </c>
      <c r="R440" s="105">
        <f t="shared" si="19"/>
        <v>115.22119815668202</v>
      </c>
      <c r="S440" s="105">
        <f t="shared" si="19"/>
        <v>0</v>
      </c>
      <c r="T440" s="108">
        <f t="shared" si="19"/>
        <v>115.22119815668202</v>
      </c>
    </row>
    <row r="441" spans="1:20" s="85" customFormat="1" ht="12.75" x14ac:dyDescent="0.2">
      <c r="A441" s="109">
        <v>4126</v>
      </c>
      <c r="B441" s="110">
        <v>7</v>
      </c>
      <c r="C441" s="103" t="s">
        <v>70</v>
      </c>
      <c r="D441" s="103">
        <v>7</v>
      </c>
      <c r="E441" s="104">
        <f>+SUMIF('GE16FEB14 Unfudged'!$A$2:$A$498, $A441, 'GE16FEB14 Unfudged'!$D$2:$D$498)</f>
        <v>849</v>
      </c>
      <c r="F441" s="104">
        <v>97913</v>
      </c>
      <c r="G441" s="105">
        <v>0</v>
      </c>
      <c r="H441" s="106">
        <v>97913</v>
      </c>
      <c r="I441" s="107">
        <v>0</v>
      </c>
      <c r="J441" s="105">
        <v>0</v>
      </c>
      <c r="K441" s="106">
        <v>0</v>
      </c>
      <c r="L441" s="107">
        <v>0</v>
      </c>
      <c r="M441" s="105">
        <v>0</v>
      </c>
      <c r="N441" s="106">
        <v>0</v>
      </c>
      <c r="O441" s="107">
        <f t="shared" si="18"/>
        <v>97913</v>
      </c>
      <c r="P441" s="105">
        <f t="shared" si="18"/>
        <v>0</v>
      </c>
      <c r="Q441" s="106">
        <f t="shared" si="18"/>
        <v>97913</v>
      </c>
      <c r="R441" s="105">
        <f t="shared" si="19"/>
        <v>115.32744405182568</v>
      </c>
      <c r="S441" s="105">
        <f t="shared" si="19"/>
        <v>0</v>
      </c>
      <c r="T441" s="108">
        <f t="shared" si="19"/>
        <v>115.32744405182568</v>
      </c>
    </row>
    <row r="442" spans="1:20" s="85" customFormat="1" ht="12.75" x14ac:dyDescent="0.2">
      <c r="A442" s="109">
        <v>4127</v>
      </c>
      <c r="B442" s="110">
        <v>7</v>
      </c>
      <c r="C442" s="103" t="s">
        <v>71</v>
      </c>
      <c r="D442" s="103">
        <v>7</v>
      </c>
      <c r="E442" s="104">
        <f>+SUMIF('GE16FEB14 Unfudged'!$A$2:$A$498, $A442, 'GE16FEB14 Unfudged'!$D$2:$D$498)</f>
        <v>129</v>
      </c>
      <c r="F442" s="104">
        <v>14877</v>
      </c>
      <c r="G442" s="105">
        <v>0</v>
      </c>
      <c r="H442" s="106">
        <v>14877</v>
      </c>
      <c r="I442" s="107">
        <v>0</v>
      </c>
      <c r="J442" s="105">
        <v>0</v>
      </c>
      <c r="K442" s="106">
        <v>0</v>
      </c>
      <c r="L442" s="107">
        <v>0</v>
      </c>
      <c r="M442" s="105">
        <v>0</v>
      </c>
      <c r="N442" s="106">
        <v>0</v>
      </c>
      <c r="O442" s="107">
        <f t="shared" si="18"/>
        <v>14877</v>
      </c>
      <c r="P442" s="105">
        <f t="shared" si="18"/>
        <v>0</v>
      </c>
      <c r="Q442" s="106">
        <f t="shared" si="18"/>
        <v>14877</v>
      </c>
      <c r="R442" s="105">
        <f t="shared" si="19"/>
        <v>115.32558139534883</v>
      </c>
      <c r="S442" s="105">
        <f t="shared" si="19"/>
        <v>0</v>
      </c>
      <c r="T442" s="108">
        <f t="shared" si="19"/>
        <v>115.32558139534883</v>
      </c>
    </row>
    <row r="443" spans="1:20" s="85" customFormat="1" ht="12.75" x14ac:dyDescent="0.2">
      <c r="A443" s="109">
        <v>4131</v>
      </c>
      <c r="B443" s="110">
        <v>7</v>
      </c>
      <c r="C443" s="103" t="s">
        <v>72</v>
      </c>
      <c r="D443" s="103">
        <v>7</v>
      </c>
      <c r="E443" s="104">
        <f>+SUMIF('GE16FEB14 Unfudged'!$A$2:$A$498, $A443, 'GE16FEB14 Unfudged'!$D$2:$D$498)</f>
        <v>310</v>
      </c>
      <c r="F443" s="104">
        <v>35752</v>
      </c>
      <c r="G443" s="105">
        <v>0</v>
      </c>
      <c r="H443" s="106">
        <v>35752</v>
      </c>
      <c r="I443" s="107">
        <v>0</v>
      </c>
      <c r="J443" s="105">
        <v>0</v>
      </c>
      <c r="K443" s="106">
        <v>0</v>
      </c>
      <c r="L443" s="107">
        <v>0</v>
      </c>
      <c r="M443" s="105">
        <v>0</v>
      </c>
      <c r="N443" s="106">
        <v>0</v>
      </c>
      <c r="O443" s="107">
        <f t="shared" si="18"/>
        <v>35752</v>
      </c>
      <c r="P443" s="105">
        <f t="shared" si="18"/>
        <v>0</v>
      </c>
      <c r="Q443" s="106">
        <f t="shared" si="18"/>
        <v>35752</v>
      </c>
      <c r="R443" s="105">
        <f t="shared" si="19"/>
        <v>115.32903225806452</v>
      </c>
      <c r="S443" s="105">
        <f t="shared" si="19"/>
        <v>0</v>
      </c>
      <c r="T443" s="108">
        <f t="shared" si="19"/>
        <v>115.32903225806452</v>
      </c>
    </row>
    <row r="444" spans="1:20" s="85" customFormat="1" ht="12.75" x14ac:dyDescent="0.2">
      <c r="A444" s="109">
        <v>4132</v>
      </c>
      <c r="B444" s="110">
        <v>7</v>
      </c>
      <c r="C444" s="103" t="s">
        <v>73</v>
      </c>
      <c r="D444" s="103">
        <v>7</v>
      </c>
      <c r="E444" s="104">
        <f>+SUMIF('GE16FEB14 Unfudged'!$A$2:$A$498, $A444, 'GE16FEB14 Unfudged'!$D$2:$D$498)</f>
        <v>246</v>
      </c>
      <c r="F444" s="104">
        <v>28371</v>
      </c>
      <c r="G444" s="105">
        <v>0</v>
      </c>
      <c r="H444" s="106">
        <v>28371</v>
      </c>
      <c r="I444" s="107">
        <v>0</v>
      </c>
      <c r="J444" s="105">
        <v>0</v>
      </c>
      <c r="K444" s="106">
        <v>0</v>
      </c>
      <c r="L444" s="107">
        <v>0</v>
      </c>
      <c r="M444" s="105">
        <v>0</v>
      </c>
      <c r="N444" s="106">
        <v>0</v>
      </c>
      <c r="O444" s="107">
        <f t="shared" si="18"/>
        <v>28371</v>
      </c>
      <c r="P444" s="105">
        <f t="shared" si="18"/>
        <v>0</v>
      </c>
      <c r="Q444" s="106">
        <f t="shared" si="18"/>
        <v>28371</v>
      </c>
      <c r="R444" s="105">
        <f t="shared" si="19"/>
        <v>115.32926829268293</v>
      </c>
      <c r="S444" s="105">
        <f t="shared" si="19"/>
        <v>0</v>
      </c>
      <c r="T444" s="108">
        <f t="shared" si="19"/>
        <v>115.32926829268293</v>
      </c>
    </row>
    <row r="445" spans="1:20" s="85" customFormat="1" ht="12.75" x14ac:dyDescent="0.2">
      <c r="A445" s="109">
        <v>4133</v>
      </c>
      <c r="B445" s="110">
        <v>7</v>
      </c>
      <c r="C445" s="103" t="s">
        <v>74</v>
      </c>
      <c r="D445" s="103">
        <v>7</v>
      </c>
      <c r="E445" s="104">
        <f>+SUMIF('GE16FEB14 Unfudged'!$A$2:$A$498, $A445, 'GE16FEB14 Unfudged'!$D$2:$D$498)</f>
        <v>297</v>
      </c>
      <c r="F445" s="104">
        <v>34252</v>
      </c>
      <c r="G445" s="105">
        <v>0</v>
      </c>
      <c r="H445" s="106">
        <v>34252</v>
      </c>
      <c r="I445" s="107">
        <v>0</v>
      </c>
      <c r="J445" s="105">
        <v>0</v>
      </c>
      <c r="K445" s="106">
        <v>0</v>
      </c>
      <c r="L445" s="107">
        <v>0</v>
      </c>
      <c r="M445" s="105">
        <v>0</v>
      </c>
      <c r="N445" s="106">
        <v>0</v>
      </c>
      <c r="O445" s="107">
        <f t="shared" si="18"/>
        <v>34252</v>
      </c>
      <c r="P445" s="105">
        <f t="shared" si="18"/>
        <v>0</v>
      </c>
      <c r="Q445" s="106">
        <f t="shared" si="18"/>
        <v>34252</v>
      </c>
      <c r="R445" s="105">
        <f t="shared" si="19"/>
        <v>115.32659932659932</v>
      </c>
      <c r="S445" s="105">
        <f t="shared" si="19"/>
        <v>0</v>
      </c>
      <c r="T445" s="108">
        <f t="shared" si="19"/>
        <v>115.32659932659932</v>
      </c>
    </row>
    <row r="446" spans="1:20" s="85" customFormat="1" ht="12.75" x14ac:dyDescent="0.2">
      <c r="A446" s="109">
        <v>4135</v>
      </c>
      <c r="B446" s="110">
        <v>7</v>
      </c>
      <c r="C446" s="103" t="s">
        <v>465</v>
      </c>
      <c r="D446" s="103">
        <v>7</v>
      </c>
      <c r="E446" s="104">
        <f>+SUMIF('GE16FEB14 Unfudged'!$A$2:$A$498, $A446, 'GE16FEB14 Unfudged'!$D$2:$D$498)</f>
        <v>262</v>
      </c>
      <c r="F446" s="104">
        <v>30239</v>
      </c>
      <c r="G446" s="105">
        <v>0</v>
      </c>
      <c r="H446" s="106">
        <v>30239</v>
      </c>
      <c r="I446" s="107">
        <v>0</v>
      </c>
      <c r="J446" s="105">
        <v>0</v>
      </c>
      <c r="K446" s="106">
        <v>0</v>
      </c>
      <c r="L446" s="107">
        <v>0</v>
      </c>
      <c r="M446" s="105">
        <v>0</v>
      </c>
      <c r="N446" s="106">
        <v>0</v>
      </c>
      <c r="O446" s="107">
        <f t="shared" si="18"/>
        <v>30239</v>
      </c>
      <c r="P446" s="105">
        <f t="shared" si="18"/>
        <v>0</v>
      </c>
      <c r="Q446" s="106">
        <f t="shared" si="18"/>
        <v>30239</v>
      </c>
      <c r="R446" s="105">
        <f t="shared" si="19"/>
        <v>115.41603053435115</v>
      </c>
      <c r="S446" s="105">
        <f t="shared" si="19"/>
        <v>0</v>
      </c>
      <c r="T446" s="108">
        <f t="shared" si="19"/>
        <v>115.41603053435115</v>
      </c>
    </row>
    <row r="447" spans="1:20" s="85" customFormat="1" ht="12.75" x14ac:dyDescent="0.2">
      <c r="A447" s="109">
        <v>4137</v>
      </c>
      <c r="B447" s="110">
        <v>7</v>
      </c>
      <c r="C447" s="103" t="s">
        <v>501</v>
      </c>
      <c r="D447" s="103">
        <v>7</v>
      </c>
      <c r="E447" s="104">
        <f>+SUMIF('GE16FEB14 Unfudged'!$A$2:$A$498, $A447, 'GE16FEB14 Unfudged'!$D$2:$D$498)</f>
        <v>133</v>
      </c>
      <c r="F447" s="104">
        <v>15362</v>
      </c>
      <c r="G447" s="105">
        <v>0</v>
      </c>
      <c r="H447" s="106">
        <v>15362</v>
      </c>
      <c r="I447" s="107">
        <v>0</v>
      </c>
      <c r="J447" s="105">
        <v>0</v>
      </c>
      <c r="K447" s="106">
        <v>0</v>
      </c>
      <c r="L447" s="107">
        <v>0</v>
      </c>
      <c r="M447" s="105">
        <v>0</v>
      </c>
      <c r="N447" s="106">
        <v>0</v>
      </c>
      <c r="O447" s="107">
        <f t="shared" si="18"/>
        <v>15362</v>
      </c>
      <c r="P447" s="105">
        <f t="shared" si="18"/>
        <v>0</v>
      </c>
      <c r="Q447" s="106">
        <f t="shared" si="18"/>
        <v>15362</v>
      </c>
      <c r="R447" s="105">
        <f t="shared" si="19"/>
        <v>115.50375939849624</v>
      </c>
      <c r="S447" s="105">
        <f t="shared" si="19"/>
        <v>0</v>
      </c>
      <c r="T447" s="108">
        <f t="shared" si="19"/>
        <v>115.50375939849624</v>
      </c>
    </row>
    <row r="448" spans="1:20" s="85" customFormat="1" ht="12.75" x14ac:dyDescent="0.2">
      <c r="A448" s="109">
        <v>4138</v>
      </c>
      <c r="B448" s="110">
        <v>7</v>
      </c>
      <c r="C448" s="103" t="s">
        <v>75</v>
      </c>
      <c r="D448" s="103">
        <v>7</v>
      </c>
      <c r="E448" s="104">
        <f>+SUMIF('GE16FEB14 Unfudged'!$A$2:$A$498, $A448, 'GE16FEB14 Unfudged'!$D$2:$D$498)</f>
        <v>47</v>
      </c>
      <c r="F448" s="104">
        <v>5420</v>
      </c>
      <c r="G448" s="105">
        <v>0</v>
      </c>
      <c r="H448" s="106">
        <v>5420</v>
      </c>
      <c r="I448" s="107">
        <v>0</v>
      </c>
      <c r="J448" s="105">
        <v>0</v>
      </c>
      <c r="K448" s="106">
        <v>0</v>
      </c>
      <c r="L448" s="107">
        <v>0</v>
      </c>
      <c r="M448" s="105">
        <v>0</v>
      </c>
      <c r="N448" s="106">
        <v>0</v>
      </c>
      <c r="O448" s="107">
        <f t="shared" si="18"/>
        <v>5420</v>
      </c>
      <c r="P448" s="105">
        <f t="shared" si="18"/>
        <v>0</v>
      </c>
      <c r="Q448" s="106">
        <f t="shared" si="18"/>
        <v>5420</v>
      </c>
      <c r="R448" s="105">
        <f t="shared" si="19"/>
        <v>115.31914893617021</v>
      </c>
      <c r="S448" s="105">
        <f t="shared" si="19"/>
        <v>0</v>
      </c>
      <c r="T448" s="108">
        <f t="shared" si="19"/>
        <v>115.31914893617021</v>
      </c>
    </row>
    <row r="449" spans="1:20" s="85" customFormat="1" ht="12.75" x14ac:dyDescent="0.2">
      <c r="A449" s="109">
        <v>4139</v>
      </c>
      <c r="B449" s="110">
        <v>7</v>
      </c>
      <c r="C449" s="103" t="s">
        <v>76</v>
      </c>
      <c r="D449" s="103">
        <v>7</v>
      </c>
      <c r="E449" s="104">
        <f>+SUMIF('GE16FEB14 Unfudged'!$A$2:$A$498, $A449, 'GE16FEB14 Unfudged'!$D$2:$D$498)</f>
        <v>276</v>
      </c>
      <c r="F449" s="104">
        <v>31796</v>
      </c>
      <c r="G449" s="105">
        <v>0</v>
      </c>
      <c r="H449" s="106">
        <v>31796</v>
      </c>
      <c r="I449" s="107">
        <v>0</v>
      </c>
      <c r="J449" s="105">
        <v>0</v>
      </c>
      <c r="K449" s="106">
        <v>0</v>
      </c>
      <c r="L449" s="107">
        <v>0</v>
      </c>
      <c r="M449" s="105">
        <v>0</v>
      </c>
      <c r="N449" s="106">
        <v>0</v>
      </c>
      <c r="O449" s="107">
        <f t="shared" si="18"/>
        <v>31796</v>
      </c>
      <c r="P449" s="105">
        <f t="shared" si="18"/>
        <v>0</v>
      </c>
      <c r="Q449" s="106">
        <f t="shared" si="18"/>
        <v>31796</v>
      </c>
      <c r="R449" s="105">
        <f t="shared" si="19"/>
        <v>115.20289855072464</v>
      </c>
      <c r="S449" s="105">
        <f t="shared" si="19"/>
        <v>0</v>
      </c>
      <c r="T449" s="108">
        <f t="shared" si="19"/>
        <v>115.20289855072464</v>
      </c>
    </row>
    <row r="450" spans="1:20" s="85" customFormat="1" ht="12.75" x14ac:dyDescent="0.2">
      <c r="A450" s="109">
        <v>4140</v>
      </c>
      <c r="B450" s="110">
        <v>7</v>
      </c>
      <c r="C450" s="103" t="s">
        <v>77</v>
      </c>
      <c r="D450" s="103">
        <v>7</v>
      </c>
      <c r="E450" s="104">
        <f>+SUMIF('GE16FEB14 Unfudged'!$A$2:$A$498, $A450, 'GE16FEB14 Unfudged'!$D$2:$D$498)</f>
        <v>610</v>
      </c>
      <c r="F450" s="104">
        <v>70373</v>
      </c>
      <c r="G450" s="105">
        <v>0</v>
      </c>
      <c r="H450" s="106">
        <v>70373</v>
      </c>
      <c r="I450" s="107">
        <v>0</v>
      </c>
      <c r="J450" s="105">
        <v>0</v>
      </c>
      <c r="K450" s="106">
        <v>0</v>
      </c>
      <c r="L450" s="107">
        <v>0</v>
      </c>
      <c r="M450" s="105">
        <v>0</v>
      </c>
      <c r="N450" s="106">
        <v>0</v>
      </c>
      <c r="O450" s="107">
        <f t="shared" si="18"/>
        <v>70373</v>
      </c>
      <c r="P450" s="105">
        <f t="shared" si="18"/>
        <v>0</v>
      </c>
      <c r="Q450" s="106">
        <f t="shared" si="18"/>
        <v>70373</v>
      </c>
      <c r="R450" s="105">
        <f t="shared" si="19"/>
        <v>115.36557377049181</v>
      </c>
      <c r="S450" s="105">
        <f t="shared" si="19"/>
        <v>0</v>
      </c>
      <c r="T450" s="108">
        <f t="shared" si="19"/>
        <v>115.36557377049181</v>
      </c>
    </row>
    <row r="451" spans="1:20" s="85" customFormat="1" ht="12.75" x14ac:dyDescent="0.2">
      <c r="A451" s="109">
        <v>4141</v>
      </c>
      <c r="B451" s="110">
        <v>7</v>
      </c>
      <c r="C451" s="103" t="s">
        <v>78</v>
      </c>
      <c r="D451" s="103">
        <v>7</v>
      </c>
      <c r="E451" s="104">
        <f>+SUMIF('GE16FEB14 Unfudged'!$A$2:$A$498, $A451, 'GE16FEB14 Unfudged'!$D$2:$D$498)</f>
        <v>414</v>
      </c>
      <c r="F451" s="104">
        <v>47700</v>
      </c>
      <c r="G451" s="105">
        <v>0</v>
      </c>
      <c r="H451" s="106">
        <v>47700</v>
      </c>
      <c r="I451" s="107">
        <v>0</v>
      </c>
      <c r="J451" s="105">
        <v>0</v>
      </c>
      <c r="K451" s="106">
        <v>0</v>
      </c>
      <c r="L451" s="107">
        <v>0</v>
      </c>
      <c r="M451" s="105">
        <v>0</v>
      </c>
      <c r="N451" s="106">
        <v>0</v>
      </c>
      <c r="O451" s="107">
        <f t="shared" si="18"/>
        <v>47700</v>
      </c>
      <c r="P451" s="105">
        <f t="shared" si="18"/>
        <v>0</v>
      </c>
      <c r="Q451" s="106">
        <f t="shared" si="18"/>
        <v>47700</v>
      </c>
      <c r="R451" s="105">
        <f t="shared" si="19"/>
        <v>115.21739130434783</v>
      </c>
      <c r="S451" s="105">
        <f t="shared" si="19"/>
        <v>0</v>
      </c>
      <c r="T451" s="108">
        <f t="shared" si="19"/>
        <v>115.21739130434783</v>
      </c>
    </row>
    <row r="452" spans="1:20" s="85" customFormat="1" ht="12.75" x14ac:dyDescent="0.2">
      <c r="A452" s="109">
        <v>4142</v>
      </c>
      <c r="B452" s="110">
        <v>7</v>
      </c>
      <c r="C452" s="103" t="s">
        <v>79</v>
      </c>
      <c r="D452" s="103">
        <v>7</v>
      </c>
      <c r="E452" s="104">
        <f>+SUMIF('GE16FEB14 Unfudged'!$A$2:$A$498, $A452, 'GE16FEB14 Unfudged'!$D$2:$D$498)</f>
        <v>673</v>
      </c>
      <c r="F452" s="104">
        <v>77639</v>
      </c>
      <c r="G452" s="105">
        <v>0</v>
      </c>
      <c r="H452" s="106">
        <v>77639</v>
      </c>
      <c r="I452" s="107">
        <v>0</v>
      </c>
      <c r="J452" s="105">
        <v>0</v>
      </c>
      <c r="K452" s="106">
        <v>0</v>
      </c>
      <c r="L452" s="107">
        <v>0</v>
      </c>
      <c r="M452" s="105">
        <v>0</v>
      </c>
      <c r="N452" s="106">
        <v>0</v>
      </c>
      <c r="O452" s="107">
        <f t="shared" si="18"/>
        <v>77639</v>
      </c>
      <c r="P452" s="105">
        <f t="shared" si="18"/>
        <v>0</v>
      </c>
      <c r="Q452" s="106">
        <f t="shared" si="18"/>
        <v>77639</v>
      </c>
      <c r="R452" s="105">
        <f t="shared" si="19"/>
        <v>115.36255572065379</v>
      </c>
      <c r="S452" s="105">
        <f t="shared" si="19"/>
        <v>0</v>
      </c>
      <c r="T452" s="108">
        <f t="shared" si="19"/>
        <v>115.36255572065379</v>
      </c>
    </row>
    <row r="453" spans="1:20" s="85" customFormat="1" ht="12.75" x14ac:dyDescent="0.2">
      <c r="A453" s="109">
        <v>4143</v>
      </c>
      <c r="B453" s="110">
        <v>7</v>
      </c>
      <c r="C453" s="103" t="s">
        <v>502</v>
      </c>
      <c r="D453" s="103">
        <v>7</v>
      </c>
      <c r="E453" s="104">
        <f>+SUMIF('GE16FEB14 Unfudged'!$A$2:$A$498, $A453, 'GE16FEB14 Unfudged'!$D$2:$D$498)</f>
        <v>442</v>
      </c>
      <c r="F453" s="104">
        <v>50929</v>
      </c>
      <c r="G453" s="105">
        <v>0</v>
      </c>
      <c r="H453" s="106">
        <v>50929</v>
      </c>
      <c r="I453" s="107">
        <v>0</v>
      </c>
      <c r="J453" s="105">
        <v>0</v>
      </c>
      <c r="K453" s="106">
        <v>0</v>
      </c>
      <c r="L453" s="107">
        <v>0</v>
      </c>
      <c r="M453" s="105">
        <v>0</v>
      </c>
      <c r="N453" s="106">
        <v>0</v>
      </c>
      <c r="O453" s="107">
        <f t="shared" si="18"/>
        <v>50929</v>
      </c>
      <c r="P453" s="105">
        <f t="shared" si="18"/>
        <v>0</v>
      </c>
      <c r="Q453" s="106">
        <f t="shared" si="18"/>
        <v>50929</v>
      </c>
      <c r="R453" s="105">
        <f t="shared" si="19"/>
        <v>115.22398190045249</v>
      </c>
      <c r="S453" s="105">
        <f t="shared" si="19"/>
        <v>0</v>
      </c>
      <c r="T453" s="108">
        <f t="shared" si="19"/>
        <v>115.22398190045249</v>
      </c>
    </row>
    <row r="454" spans="1:20" s="85" customFormat="1" ht="12.75" x14ac:dyDescent="0.2">
      <c r="A454" s="109">
        <v>4144</v>
      </c>
      <c r="B454" s="110">
        <v>7</v>
      </c>
      <c r="C454" s="103" t="s">
        <v>80</v>
      </c>
      <c r="D454" s="103">
        <v>7</v>
      </c>
      <c r="E454" s="104">
        <f>+SUMIF('GE16FEB14 Unfudged'!$A$2:$A$498, $A454, 'GE16FEB14 Unfudged'!$D$2:$D$498)</f>
        <v>82</v>
      </c>
      <c r="F454" s="104">
        <v>9411</v>
      </c>
      <c r="G454" s="105">
        <v>0</v>
      </c>
      <c r="H454" s="106">
        <v>9411</v>
      </c>
      <c r="I454" s="107">
        <v>0</v>
      </c>
      <c r="J454" s="105">
        <v>0</v>
      </c>
      <c r="K454" s="106">
        <v>0</v>
      </c>
      <c r="L454" s="107">
        <v>0</v>
      </c>
      <c r="M454" s="105">
        <v>0</v>
      </c>
      <c r="N454" s="106">
        <v>0</v>
      </c>
      <c r="O454" s="107">
        <f t="shared" si="18"/>
        <v>9411</v>
      </c>
      <c r="P454" s="105">
        <f t="shared" si="18"/>
        <v>0</v>
      </c>
      <c r="Q454" s="106">
        <f t="shared" si="18"/>
        <v>9411</v>
      </c>
      <c r="R454" s="105">
        <f t="shared" si="19"/>
        <v>114.76829268292683</v>
      </c>
      <c r="S454" s="105">
        <f t="shared" si="19"/>
        <v>0</v>
      </c>
      <c r="T454" s="108">
        <f t="shared" si="19"/>
        <v>114.76829268292683</v>
      </c>
    </row>
    <row r="455" spans="1:20" s="85" customFormat="1" ht="12.75" x14ac:dyDescent="0.2">
      <c r="A455" s="109">
        <v>4145</v>
      </c>
      <c r="B455" s="110">
        <v>7</v>
      </c>
      <c r="C455" s="103" t="s">
        <v>81</v>
      </c>
      <c r="D455" s="103">
        <v>7</v>
      </c>
      <c r="E455" s="104">
        <f>+SUMIF('GE16FEB14 Unfudged'!$A$2:$A$498, $A455, 'GE16FEB14 Unfudged'!$D$2:$D$498)</f>
        <v>30</v>
      </c>
      <c r="F455" s="104">
        <v>3431</v>
      </c>
      <c r="G455" s="105">
        <v>0</v>
      </c>
      <c r="H455" s="106">
        <v>3431</v>
      </c>
      <c r="I455" s="107">
        <v>0</v>
      </c>
      <c r="J455" s="105">
        <v>0</v>
      </c>
      <c r="K455" s="106">
        <v>0</v>
      </c>
      <c r="L455" s="107">
        <v>0</v>
      </c>
      <c r="M455" s="105">
        <v>0</v>
      </c>
      <c r="N455" s="106">
        <v>0</v>
      </c>
      <c r="O455" s="107">
        <f t="shared" si="18"/>
        <v>3431</v>
      </c>
      <c r="P455" s="105">
        <f t="shared" si="18"/>
        <v>0</v>
      </c>
      <c r="Q455" s="106">
        <f t="shared" si="18"/>
        <v>3431</v>
      </c>
      <c r="R455" s="105">
        <f t="shared" si="19"/>
        <v>114.36666666666666</v>
      </c>
      <c r="S455" s="105">
        <f t="shared" si="19"/>
        <v>0</v>
      </c>
      <c r="T455" s="108">
        <f t="shared" si="19"/>
        <v>114.36666666666666</v>
      </c>
    </row>
    <row r="456" spans="1:20" s="85" customFormat="1" ht="12.75" x14ac:dyDescent="0.2">
      <c r="A456" s="109">
        <v>4146</v>
      </c>
      <c r="B456" s="110">
        <v>7</v>
      </c>
      <c r="C456" s="103" t="s">
        <v>503</v>
      </c>
      <c r="D456" s="103">
        <v>7</v>
      </c>
      <c r="E456" s="104">
        <f>+SUMIF('GE16FEB14 Unfudged'!$A$2:$A$498, $A456, 'GE16FEB14 Unfudged'!$D$2:$D$498)</f>
        <v>60</v>
      </c>
      <c r="F456" s="104">
        <v>6897</v>
      </c>
      <c r="G456" s="105">
        <v>0</v>
      </c>
      <c r="H456" s="106">
        <v>6897</v>
      </c>
      <c r="I456" s="107">
        <v>0</v>
      </c>
      <c r="J456" s="105">
        <v>0</v>
      </c>
      <c r="K456" s="106">
        <v>0</v>
      </c>
      <c r="L456" s="107">
        <v>0</v>
      </c>
      <c r="M456" s="105">
        <v>0</v>
      </c>
      <c r="N456" s="106">
        <v>0</v>
      </c>
      <c r="O456" s="107">
        <f t="shared" si="18"/>
        <v>6897</v>
      </c>
      <c r="P456" s="105">
        <f t="shared" si="18"/>
        <v>0</v>
      </c>
      <c r="Q456" s="106">
        <f t="shared" si="18"/>
        <v>6897</v>
      </c>
      <c r="R456" s="105">
        <f t="shared" si="19"/>
        <v>114.95</v>
      </c>
      <c r="S456" s="105">
        <f t="shared" si="19"/>
        <v>0</v>
      </c>
      <c r="T456" s="108">
        <f t="shared" si="19"/>
        <v>114.95</v>
      </c>
    </row>
    <row r="457" spans="1:20" s="85" customFormat="1" ht="12.75" x14ac:dyDescent="0.2">
      <c r="A457" s="109">
        <v>4150</v>
      </c>
      <c r="B457" s="110">
        <v>7</v>
      </c>
      <c r="C457" s="103" t="s">
        <v>82</v>
      </c>
      <c r="D457" s="103">
        <v>7</v>
      </c>
      <c r="E457" s="104">
        <f>+SUMIF('GE16FEB14 Unfudged'!$A$2:$A$498, $A457, 'GE16FEB14 Unfudged'!$D$2:$D$498)</f>
        <v>142</v>
      </c>
      <c r="F457" s="104">
        <v>16330</v>
      </c>
      <c r="G457" s="105">
        <v>0</v>
      </c>
      <c r="H457" s="106">
        <v>16330</v>
      </c>
      <c r="I457" s="107">
        <v>0</v>
      </c>
      <c r="J457" s="105">
        <v>0</v>
      </c>
      <c r="K457" s="106">
        <v>0</v>
      </c>
      <c r="L457" s="107">
        <v>0</v>
      </c>
      <c r="M457" s="105">
        <v>0</v>
      </c>
      <c r="N457" s="106">
        <v>0</v>
      </c>
      <c r="O457" s="107">
        <f t="shared" si="18"/>
        <v>16330</v>
      </c>
      <c r="P457" s="105">
        <f t="shared" si="18"/>
        <v>0</v>
      </c>
      <c r="Q457" s="106">
        <f t="shared" si="18"/>
        <v>16330</v>
      </c>
      <c r="R457" s="105">
        <f t="shared" si="19"/>
        <v>115</v>
      </c>
      <c r="S457" s="105">
        <f t="shared" si="19"/>
        <v>0</v>
      </c>
      <c r="T457" s="108">
        <f t="shared" si="19"/>
        <v>115</v>
      </c>
    </row>
    <row r="458" spans="1:20" s="85" customFormat="1" ht="12.75" x14ac:dyDescent="0.2">
      <c r="A458" s="109">
        <v>4151</v>
      </c>
      <c r="B458" s="110">
        <v>7</v>
      </c>
      <c r="C458" s="103" t="s">
        <v>83</v>
      </c>
      <c r="D458" s="103">
        <v>7</v>
      </c>
      <c r="E458" s="104">
        <f>+SUMIF('GE16FEB14 Unfudged'!$A$2:$A$498, $A458, 'GE16FEB14 Unfudged'!$D$2:$D$498)</f>
        <v>121</v>
      </c>
      <c r="F458" s="104">
        <v>13978</v>
      </c>
      <c r="G458" s="105">
        <v>0</v>
      </c>
      <c r="H458" s="106">
        <v>13978</v>
      </c>
      <c r="I458" s="107">
        <v>0</v>
      </c>
      <c r="J458" s="105">
        <v>0</v>
      </c>
      <c r="K458" s="106">
        <v>0</v>
      </c>
      <c r="L458" s="107">
        <v>0</v>
      </c>
      <c r="M458" s="105">
        <v>0</v>
      </c>
      <c r="N458" s="106">
        <v>0</v>
      </c>
      <c r="O458" s="107">
        <f t="shared" si="18"/>
        <v>13978</v>
      </c>
      <c r="P458" s="105">
        <f t="shared" si="18"/>
        <v>0</v>
      </c>
      <c r="Q458" s="106">
        <f t="shared" si="18"/>
        <v>13978</v>
      </c>
      <c r="R458" s="105">
        <f t="shared" si="19"/>
        <v>115.52066115702479</v>
      </c>
      <c r="S458" s="105">
        <f t="shared" si="19"/>
        <v>0</v>
      </c>
      <c r="T458" s="108">
        <f t="shared" si="19"/>
        <v>115.52066115702479</v>
      </c>
    </row>
    <row r="459" spans="1:20" s="85" customFormat="1" ht="12.75" x14ac:dyDescent="0.2">
      <c r="A459" s="109">
        <v>4152</v>
      </c>
      <c r="B459" s="110">
        <v>7</v>
      </c>
      <c r="C459" s="103" t="s">
        <v>504</v>
      </c>
      <c r="D459" s="103">
        <v>7</v>
      </c>
      <c r="E459" s="104">
        <f>+SUMIF('GE16FEB14 Unfudged'!$A$2:$A$498, $A459, 'GE16FEB14 Unfudged'!$D$2:$D$498)</f>
        <v>420</v>
      </c>
      <c r="F459" s="104">
        <v>48438</v>
      </c>
      <c r="G459" s="105">
        <v>0</v>
      </c>
      <c r="H459" s="106">
        <v>48438</v>
      </c>
      <c r="I459" s="107">
        <v>0</v>
      </c>
      <c r="J459" s="105">
        <v>0</v>
      </c>
      <c r="K459" s="106">
        <v>0</v>
      </c>
      <c r="L459" s="107">
        <v>0</v>
      </c>
      <c r="M459" s="105">
        <v>0</v>
      </c>
      <c r="N459" s="106">
        <v>0</v>
      </c>
      <c r="O459" s="107">
        <f t="shared" si="18"/>
        <v>48438</v>
      </c>
      <c r="P459" s="105">
        <f t="shared" si="18"/>
        <v>0</v>
      </c>
      <c r="Q459" s="106">
        <f t="shared" si="18"/>
        <v>48438</v>
      </c>
      <c r="R459" s="105">
        <f t="shared" si="19"/>
        <v>115.32857142857142</v>
      </c>
      <c r="S459" s="105">
        <f t="shared" si="19"/>
        <v>0</v>
      </c>
      <c r="T459" s="108">
        <f t="shared" si="19"/>
        <v>115.32857142857142</v>
      </c>
    </row>
    <row r="460" spans="1:20" s="85" customFormat="1" ht="12.75" x14ac:dyDescent="0.2">
      <c r="A460" s="109">
        <v>4153</v>
      </c>
      <c r="B460" s="110">
        <v>7</v>
      </c>
      <c r="C460" s="103" t="s">
        <v>84</v>
      </c>
      <c r="D460" s="103">
        <v>7</v>
      </c>
      <c r="E460" s="104">
        <f>+SUMIF('GE16FEB14 Unfudged'!$A$2:$A$498, $A460, 'GE16FEB14 Unfudged'!$D$2:$D$498)</f>
        <v>416</v>
      </c>
      <c r="F460" s="104">
        <v>47953</v>
      </c>
      <c r="G460" s="105">
        <v>0</v>
      </c>
      <c r="H460" s="106">
        <v>47953</v>
      </c>
      <c r="I460" s="107">
        <v>0</v>
      </c>
      <c r="J460" s="105">
        <v>0</v>
      </c>
      <c r="K460" s="106">
        <v>0</v>
      </c>
      <c r="L460" s="107">
        <v>0</v>
      </c>
      <c r="M460" s="105">
        <v>0</v>
      </c>
      <c r="N460" s="106">
        <v>0</v>
      </c>
      <c r="O460" s="107">
        <f t="shared" si="18"/>
        <v>47953</v>
      </c>
      <c r="P460" s="105">
        <f t="shared" si="18"/>
        <v>0</v>
      </c>
      <c r="Q460" s="106">
        <f t="shared" si="18"/>
        <v>47953</v>
      </c>
      <c r="R460" s="105">
        <f t="shared" si="19"/>
        <v>115.27163461538461</v>
      </c>
      <c r="S460" s="105">
        <f t="shared" si="19"/>
        <v>0</v>
      </c>
      <c r="T460" s="108">
        <f t="shared" si="19"/>
        <v>115.27163461538461</v>
      </c>
    </row>
    <row r="461" spans="1:20" s="85" customFormat="1" ht="12.75" x14ac:dyDescent="0.2">
      <c r="A461" s="109">
        <v>4155</v>
      </c>
      <c r="B461" s="110">
        <v>7</v>
      </c>
      <c r="C461" s="103" t="s">
        <v>505</v>
      </c>
      <c r="D461" s="103">
        <v>7</v>
      </c>
      <c r="E461" s="104">
        <f>+SUMIF('GE16FEB14 Unfudged'!$A$2:$A$498, $A461, 'GE16FEB14 Unfudged'!$D$2:$D$498)</f>
        <v>135</v>
      </c>
      <c r="F461" s="104">
        <v>15569</v>
      </c>
      <c r="G461" s="105">
        <v>0</v>
      </c>
      <c r="H461" s="106">
        <v>15569</v>
      </c>
      <c r="I461" s="107">
        <v>0</v>
      </c>
      <c r="J461" s="105">
        <v>0</v>
      </c>
      <c r="K461" s="106">
        <v>0</v>
      </c>
      <c r="L461" s="107">
        <v>0</v>
      </c>
      <c r="M461" s="105">
        <v>0</v>
      </c>
      <c r="N461" s="106">
        <v>0</v>
      </c>
      <c r="O461" s="107">
        <f t="shared" si="18"/>
        <v>15569</v>
      </c>
      <c r="P461" s="105">
        <f t="shared" si="18"/>
        <v>0</v>
      </c>
      <c r="Q461" s="106">
        <f t="shared" si="18"/>
        <v>15569</v>
      </c>
      <c r="R461" s="105">
        <f t="shared" si="19"/>
        <v>115.32592592592593</v>
      </c>
      <c r="S461" s="105">
        <f t="shared" si="19"/>
        <v>0</v>
      </c>
      <c r="T461" s="108">
        <f t="shared" si="19"/>
        <v>115.32592592592593</v>
      </c>
    </row>
    <row r="462" spans="1:20" s="85" customFormat="1" ht="12.75" x14ac:dyDescent="0.2">
      <c r="A462" s="109">
        <v>4159</v>
      </c>
      <c r="B462" s="110">
        <v>7</v>
      </c>
      <c r="C462" s="103" t="s">
        <v>85</v>
      </c>
      <c r="D462" s="103">
        <v>7</v>
      </c>
      <c r="E462" s="104">
        <f>+SUMIF('GE16FEB14 Unfudged'!$A$2:$A$498, $A462, 'GE16FEB14 Unfudged'!$D$2:$D$498)</f>
        <v>465</v>
      </c>
      <c r="F462" s="104">
        <v>53628</v>
      </c>
      <c r="G462" s="105">
        <v>0</v>
      </c>
      <c r="H462" s="106">
        <v>53628</v>
      </c>
      <c r="I462" s="107">
        <v>0</v>
      </c>
      <c r="J462" s="105">
        <v>0</v>
      </c>
      <c r="K462" s="106">
        <v>0</v>
      </c>
      <c r="L462" s="107">
        <v>0</v>
      </c>
      <c r="M462" s="105">
        <v>0</v>
      </c>
      <c r="N462" s="106">
        <v>0</v>
      </c>
      <c r="O462" s="107">
        <f t="shared" si="18"/>
        <v>53628</v>
      </c>
      <c r="P462" s="105">
        <f t="shared" si="18"/>
        <v>0</v>
      </c>
      <c r="Q462" s="106">
        <f t="shared" si="18"/>
        <v>53628</v>
      </c>
      <c r="R462" s="105">
        <f t="shared" si="19"/>
        <v>115.32903225806452</v>
      </c>
      <c r="S462" s="105">
        <f t="shared" si="19"/>
        <v>0</v>
      </c>
      <c r="T462" s="108">
        <f t="shared" si="19"/>
        <v>115.32903225806452</v>
      </c>
    </row>
    <row r="463" spans="1:20" s="85" customFormat="1" ht="12.75" x14ac:dyDescent="0.2">
      <c r="A463" s="109">
        <v>4160</v>
      </c>
      <c r="B463" s="110">
        <v>7</v>
      </c>
      <c r="C463" s="103" t="s">
        <v>86</v>
      </c>
      <c r="D463" s="103">
        <v>7</v>
      </c>
      <c r="E463" s="104">
        <f>+SUMIF('GE16FEB14 Unfudged'!$A$2:$A$498, $A463, 'GE16FEB14 Unfudged'!$D$2:$D$498)</f>
        <v>625</v>
      </c>
      <c r="F463" s="104">
        <v>72034</v>
      </c>
      <c r="G463" s="105">
        <v>0</v>
      </c>
      <c r="H463" s="106">
        <v>72034</v>
      </c>
      <c r="I463" s="107">
        <v>0</v>
      </c>
      <c r="J463" s="105">
        <v>0</v>
      </c>
      <c r="K463" s="106">
        <v>0</v>
      </c>
      <c r="L463" s="107">
        <v>0</v>
      </c>
      <c r="M463" s="105">
        <v>0</v>
      </c>
      <c r="N463" s="106">
        <v>0</v>
      </c>
      <c r="O463" s="107">
        <f t="shared" si="18"/>
        <v>72034</v>
      </c>
      <c r="P463" s="105">
        <f t="shared" si="18"/>
        <v>0</v>
      </c>
      <c r="Q463" s="106">
        <f t="shared" si="18"/>
        <v>72034</v>
      </c>
      <c r="R463" s="105">
        <f t="shared" si="19"/>
        <v>115.2544</v>
      </c>
      <c r="S463" s="105">
        <f t="shared" si="19"/>
        <v>0</v>
      </c>
      <c r="T463" s="108">
        <f t="shared" si="19"/>
        <v>115.2544</v>
      </c>
    </row>
    <row r="464" spans="1:20" s="85" customFormat="1" ht="12.75" x14ac:dyDescent="0.2">
      <c r="A464" s="109">
        <v>4161</v>
      </c>
      <c r="B464" s="110">
        <v>7</v>
      </c>
      <c r="C464" s="103" t="s">
        <v>87</v>
      </c>
      <c r="D464" s="103">
        <v>7</v>
      </c>
      <c r="E464" s="104">
        <f>+SUMIF('GE16FEB14 Unfudged'!$A$2:$A$498, $A464, 'GE16FEB14 Unfudged'!$D$2:$D$498)</f>
        <v>172</v>
      </c>
      <c r="F464" s="104">
        <v>19836</v>
      </c>
      <c r="G464" s="105">
        <v>0</v>
      </c>
      <c r="H464" s="106">
        <v>19836</v>
      </c>
      <c r="I464" s="107">
        <v>0</v>
      </c>
      <c r="J464" s="105">
        <v>0</v>
      </c>
      <c r="K464" s="106">
        <v>0</v>
      </c>
      <c r="L464" s="107">
        <v>0</v>
      </c>
      <c r="M464" s="105">
        <v>0</v>
      </c>
      <c r="N464" s="106">
        <v>0</v>
      </c>
      <c r="O464" s="107">
        <f t="shared" si="18"/>
        <v>19836</v>
      </c>
      <c r="P464" s="105">
        <f t="shared" si="18"/>
        <v>0</v>
      </c>
      <c r="Q464" s="106">
        <f t="shared" si="18"/>
        <v>19836</v>
      </c>
      <c r="R464" s="105">
        <f t="shared" si="19"/>
        <v>115.32558139534883</v>
      </c>
      <c r="S464" s="105">
        <f t="shared" si="19"/>
        <v>0</v>
      </c>
      <c r="T464" s="108">
        <f t="shared" si="19"/>
        <v>115.32558139534883</v>
      </c>
    </row>
    <row r="465" spans="1:20" s="85" customFormat="1" ht="12.75" x14ac:dyDescent="0.2">
      <c r="A465" s="109">
        <v>4162</v>
      </c>
      <c r="B465" s="110">
        <v>7</v>
      </c>
      <c r="C465" s="103" t="s">
        <v>88</v>
      </c>
      <c r="D465" s="103">
        <v>7</v>
      </c>
      <c r="E465" s="104">
        <f>+SUMIF('GE16FEB14 Unfudged'!$A$2:$A$498, $A465, 'GE16FEB14 Unfudged'!$D$2:$D$498)</f>
        <v>114</v>
      </c>
      <c r="F465" s="104">
        <v>13124</v>
      </c>
      <c r="G465" s="105">
        <v>0</v>
      </c>
      <c r="H465" s="106">
        <v>13124</v>
      </c>
      <c r="I465" s="107">
        <v>0</v>
      </c>
      <c r="J465" s="105">
        <v>0</v>
      </c>
      <c r="K465" s="106">
        <v>0</v>
      </c>
      <c r="L465" s="107">
        <v>0</v>
      </c>
      <c r="M465" s="105">
        <v>0</v>
      </c>
      <c r="N465" s="106">
        <v>0</v>
      </c>
      <c r="O465" s="107">
        <f t="shared" si="18"/>
        <v>13124</v>
      </c>
      <c r="P465" s="105">
        <f t="shared" si="18"/>
        <v>0</v>
      </c>
      <c r="Q465" s="106">
        <f t="shared" si="18"/>
        <v>13124</v>
      </c>
      <c r="R465" s="105">
        <f t="shared" si="19"/>
        <v>115.12280701754386</v>
      </c>
      <c r="S465" s="105">
        <f t="shared" si="19"/>
        <v>0</v>
      </c>
      <c r="T465" s="108">
        <f t="shared" si="19"/>
        <v>115.12280701754386</v>
      </c>
    </row>
    <row r="466" spans="1:20" s="85" customFormat="1" ht="12.75" x14ac:dyDescent="0.2">
      <c r="A466" s="109">
        <v>4163</v>
      </c>
      <c r="B466" s="110">
        <v>7</v>
      </c>
      <c r="C466" s="103" t="s">
        <v>89</v>
      </c>
      <c r="D466" s="103">
        <v>7</v>
      </c>
      <c r="E466" s="104">
        <f>+SUMIF('GE16FEB14 Unfudged'!$A$2:$A$498, $A466, 'GE16FEB14 Unfudged'!$D$2:$D$498)</f>
        <v>258</v>
      </c>
      <c r="F466" s="104">
        <v>29760</v>
      </c>
      <c r="G466" s="105">
        <v>0</v>
      </c>
      <c r="H466" s="106">
        <v>29760</v>
      </c>
      <c r="I466" s="107">
        <v>0</v>
      </c>
      <c r="J466" s="105">
        <v>0</v>
      </c>
      <c r="K466" s="106">
        <v>0</v>
      </c>
      <c r="L466" s="107">
        <v>0</v>
      </c>
      <c r="M466" s="105">
        <v>0</v>
      </c>
      <c r="N466" s="106">
        <v>0</v>
      </c>
      <c r="O466" s="107">
        <f t="shared" ref="O466:Q514" si="20">+F466+I466+L466</f>
        <v>29760</v>
      </c>
      <c r="P466" s="105">
        <f t="shared" si="20"/>
        <v>0</v>
      </c>
      <c r="Q466" s="106">
        <f t="shared" si="20"/>
        <v>29760</v>
      </c>
      <c r="R466" s="105">
        <f t="shared" si="19"/>
        <v>115.34883720930233</v>
      </c>
      <c r="S466" s="105">
        <f t="shared" si="19"/>
        <v>0</v>
      </c>
      <c r="T466" s="108">
        <f t="shared" si="19"/>
        <v>115.34883720930233</v>
      </c>
    </row>
    <row r="467" spans="1:20" s="85" customFormat="1" ht="12.75" x14ac:dyDescent="0.2">
      <c r="A467" s="109">
        <v>4164</v>
      </c>
      <c r="B467" s="110">
        <v>7</v>
      </c>
      <c r="C467" s="103" t="s">
        <v>90</v>
      </c>
      <c r="D467" s="103">
        <v>7</v>
      </c>
      <c r="E467" s="104">
        <f>+SUMIF('GE16FEB14 Unfudged'!$A$2:$A$498, $A467, 'GE16FEB14 Unfudged'!$D$2:$D$498)</f>
        <v>220</v>
      </c>
      <c r="F467" s="104">
        <v>25372</v>
      </c>
      <c r="G467" s="105">
        <v>0</v>
      </c>
      <c r="H467" s="106">
        <v>25372</v>
      </c>
      <c r="I467" s="107">
        <v>0</v>
      </c>
      <c r="J467" s="105">
        <v>0</v>
      </c>
      <c r="K467" s="106">
        <v>0</v>
      </c>
      <c r="L467" s="107">
        <v>0</v>
      </c>
      <c r="M467" s="105">
        <v>0</v>
      </c>
      <c r="N467" s="106">
        <v>0</v>
      </c>
      <c r="O467" s="107">
        <f t="shared" si="20"/>
        <v>25372</v>
      </c>
      <c r="P467" s="105">
        <f t="shared" si="20"/>
        <v>0</v>
      </c>
      <c r="Q467" s="106">
        <f t="shared" si="20"/>
        <v>25372</v>
      </c>
      <c r="R467" s="105">
        <f t="shared" ref="R467:T514" si="21">+IF($E467=0, 0, O467/$E467)</f>
        <v>115.32727272727273</v>
      </c>
      <c r="S467" s="105">
        <f t="shared" si="21"/>
        <v>0</v>
      </c>
      <c r="T467" s="108">
        <f t="shared" si="21"/>
        <v>115.32727272727273</v>
      </c>
    </row>
    <row r="468" spans="1:20" s="85" customFormat="1" ht="12.75" x14ac:dyDescent="0.2">
      <c r="A468" s="109">
        <v>4166</v>
      </c>
      <c r="B468" s="110">
        <v>7</v>
      </c>
      <c r="C468" s="103" t="s">
        <v>91</v>
      </c>
      <c r="D468" s="103">
        <v>7</v>
      </c>
      <c r="E468" s="104">
        <f>+SUMIF('GE16FEB14 Unfudged'!$A$2:$A$498, $A468, 'GE16FEB14 Unfudged'!$D$2:$D$498)</f>
        <v>120</v>
      </c>
      <c r="F468" s="104">
        <v>13839</v>
      </c>
      <c r="G468" s="105">
        <v>0</v>
      </c>
      <c r="H468" s="106">
        <v>13839</v>
      </c>
      <c r="I468" s="107">
        <v>0</v>
      </c>
      <c r="J468" s="105">
        <v>0</v>
      </c>
      <c r="K468" s="106">
        <v>0</v>
      </c>
      <c r="L468" s="107">
        <v>0</v>
      </c>
      <c r="M468" s="105">
        <v>0</v>
      </c>
      <c r="N468" s="106">
        <v>0</v>
      </c>
      <c r="O468" s="107">
        <f t="shared" si="20"/>
        <v>13839</v>
      </c>
      <c r="P468" s="105">
        <f t="shared" si="20"/>
        <v>0</v>
      </c>
      <c r="Q468" s="106">
        <f t="shared" si="20"/>
        <v>13839</v>
      </c>
      <c r="R468" s="105">
        <f t="shared" si="21"/>
        <v>115.325</v>
      </c>
      <c r="S468" s="105">
        <f t="shared" si="21"/>
        <v>0</v>
      </c>
      <c r="T468" s="108">
        <f t="shared" si="21"/>
        <v>115.325</v>
      </c>
    </row>
    <row r="469" spans="1:20" s="85" customFormat="1" ht="12.75" x14ac:dyDescent="0.2">
      <c r="A469" s="109">
        <v>4167</v>
      </c>
      <c r="B469" s="110">
        <v>7</v>
      </c>
      <c r="C469" s="103" t="s">
        <v>92</v>
      </c>
      <c r="D469" s="103">
        <v>7</v>
      </c>
      <c r="E469" s="104">
        <f>+SUMIF('GE16FEB14 Unfudged'!$A$2:$A$498, $A469, 'GE16FEB14 Unfudged'!$D$2:$D$498)</f>
        <v>311</v>
      </c>
      <c r="F469" s="104">
        <v>35809</v>
      </c>
      <c r="G469" s="105">
        <v>0</v>
      </c>
      <c r="H469" s="106">
        <v>35809</v>
      </c>
      <c r="I469" s="107">
        <v>0</v>
      </c>
      <c r="J469" s="105">
        <v>0</v>
      </c>
      <c r="K469" s="106">
        <v>0</v>
      </c>
      <c r="L469" s="107">
        <v>0</v>
      </c>
      <c r="M469" s="105">
        <v>0</v>
      </c>
      <c r="N469" s="106">
        <v>0</v>
      </c>
      <c r="O469" s="107">
        <f t="shared" si="20"/>
        <v>35809</v>
      </c>
      <c r="P469" s="105">
        <f t="shared" si="20"/>
        <v>0</v>
      </c>
      <c r="Q469" s="106">
        <f t="shared" si="20"/>
        <v>35809</v>
      </c>
      <c r="R469" s="105">
        <f t="shared" si="21"/>
        <v>115.14147909967846</v>
      </c>
      <c r="S469" s="105">
        <f t="shared" si="21"/>
        <v>0</v>
      </c>
      <c r="T469" s="108">
        <f t="shared" si="21"/>
        <v>115.14147909967846</v>
      </c>
    </row>
    <row r="470" spans="1:20" s="85" customFormat="1" ht="12.75" x14ac:dyDescent="0.2">
      <c r="A470" s="109">
        <v>4168</v>
      </c>
      <c r="B470" s="110">
        <v>7</v>
      </c>
      <c r="C470" s="103" t="s">
        <v>93</v>
      </c>
      <c r="D470" s="103">
        <v>7</v>
      </c>
      <c r="E470" s="104">
        <f>+SUMIF('GE16FEB14 Unfudged'!$A$2:$A$498, $A470, 'GE16FEB14 Unfudged'!$D$2:$D$498)</f>
        <v>133</v>
      </c>
      <c r="F470" s="104">
        <v>15327</v>
      </c>
      <c r="G470" s="105">
        <v>0</v>
      </c>
      <c r="H470" s="106">
        <v>15327</v>
      </c>
      <c r="I470" s="107">
        <v>0</v>
      </c>
      <c r="J470" s="105">
        <v>0</v>
      </c>
      <c r="K470" s="106">
        <v>0</v>
      </c>
      <c r="L470" s="107">
        <v>0</v>
      </c>
      <c r="M470" s="105">
        <v>0</v>
      </c>
      <c r="N470" s="106">
        <v>0</v>
      </c>
      <c r="O470" s="107">
        <f t="shared" si="20"/>
        <v>15327</v>
      </c>
      <c r="P470" s="105">
        <f t="shared" si="20"/>
        <v>0</v>
      </c>
      <c r="Q470" s="106">
        <f t="shared" si="20"/>
        <v>15327</v>
      </c>
      <c r="R470" s="105">
        <f t="shared" si="21"/>
        <v>115.24060150375939</v>
      </c>
      <c r="S470" s="105">
        <f t="shared" si="21"/>
        <v>0</v>
      </c>
      <c r="T470" s="108">
        <f t="shared" si="21"/>
        <v>115.24060150375939</v>
      </c>
    </row>
    <row r="471" spans="1:20" s="85" customFormat="1" ht="12.75" x14ac:dyDescent="0.2">
      <c r="A471" s="109">
        <v>4169</v>
      </c>
      <c r="B471" s="110">
        <v>7</v>
      </c>
      <c r="C471" s="103" t="s">
        <v>506</v>
      </c>
      <c r="D471" s="103">
        <v>7</v>
      </c>
      <c r="E471" s="104">
        <f>+SUMIF('GE16FEB14 Unfudged'!$A$2:$A$498, $A471, 'GE16FEB14 Unfudged'!$D$2:$D$498)</f>
        <v>291</v>
      </c>
      <c r="F471" s="104">
        <v>33584</v>
      </c>
      <c r="G471" s="105">
        <v>0</v>
      </c>
      <c r="H471" s="106">
        <v>33584</v>
      </c>
      <c r="I471" s="107">
        <v>0</v>
      </c>
      <c r="J471" s="105">
        <v>0</v>
      </c>
      <c r="K471" s="106">
        <v>0</v>
      </c>
      <c r="L471" s="107">
        <v>0</v>
      </c>
      <c r="M471" s="105">
        <v>0</v>
      </c>
      <c r="N471" s="106">
        <v>0</v>
      </c>
      <c r="O471" s="107">
        <f t="shared" si="20"/>
        <v>33584</v>
      </c>
      <c r="P471" s="105">
        <f t="shared" si="20"/>
        <v>0</v>
      </c>
      <c r="Q471" s="106">
        <f t="shared" si="20"/>
        <v>33584</v>
      </c>
      <c r="R471" s="105">
        <f t="shared" si="21"/>
        <v>115.40893470790378</v>
      </c>
      <c r="S471" s="105">
        <f t="shared" si="21"/>
        <v>0</v>
      </c>
      <c r="T471" s="108">
        <f t="shared" si="21"/>
        <v>115.40893470790378</v>
      </c>
    </row>
    <row r="472" spans="1:20" s="85" customFormat="1" ht="12.75" x14ac:dyDescent="0.2">
      <c r="A472" s="109">
        <v>4170</v>
      </c>
      <c r="B472" s="110">
        <v>7</v>
      </c>
      <c r="C472" s="103" t="s">
        <v>94</v>
      </c>
      <c r="D472" s="103">
        <v>7</v>
      </c>
      <c r="E472" s="104">
        <f>+SUMIF('GE16FEB14 Unfudged'!$A$2:$A$498, $A472, 'GE16FEB14 Unfudged'!$D$2:$D$498)</f>
        <v>957</v>
      </c>
      <c r="F472" s="104">
        <v>110369</v>
      </c>
      <c r="G472" s="105">
        <v>0</v>
      </c>
      <c r="H472" s="106">
        <v>110369</v>
      </c>
      <c r="I472" s="107">
        <v>0</v>
      </c>
      <c r="J472" s="105">
        <v>0</v>
      </c>
      <c r="K472" s="106">
        <v>0</v>
      </c>
      <c r="L472" s="107">
        <v>0</v>
      </c>
      <c r="M472" s="105">
        <v>0</v>
      </c>
      <c r="N472" s="106">
        <v>0</v>
      </c>
      <c r="O472" s="107">
        <f t="shared" si="20"/>
        <v>110369</v>
      </c>
      <c r="P472" s="105">
        <f t="shared" si="20"/>
        <v>0</v>
      </c>
      <c r="Q472" s="106">
        <f t="shared" si="20"/>
        <v>110369</v>
      </c>
      <c r="R472" s="105">
        <f t="shared" si="21"/>
        <v>115.32810867293625</v>
      </c>
      <c r="S472" s="105">
        <f t="shared" si="21"/>
        <v>0</v>
      </c>
      <c r="T472" s="108">
        <f t="shared" si="21"/>
        <v>115.32810867293625</v>
      </c>
    </row>
    <row r="473" spans="1:20" s="85" customFormat="1" ht="12.75" x14ac:dyDescent="0.2">
      <c r="A473" s="109">
        <v>4171</v>
      </c>
      <c r="B473" s="110">
        <v>7</v>
      </c>
      <c r="C473" s="103" t="s">
        <v>95</v>
      </c>
      <c r="D473" s="103">
        <v>7</v>
      </c>
      <c r="E473" s="104">
        <f>+SUMIF('GE16FEB14 Unfudged'!$A$2:$A$498, $A473, 'GE16FEB14 Unfudged'!$D$2:$D$498)</f>
        <v>528</v>
      </c>
      <c r="F473" s="104">
        <v>60893</v>
      </c>
      <c r="G473" s="105">
        <v>0</v>
      </c>
      <c r="H473" s="106">
        <v>60893</v>
      </c>
      <c r="I473" s="107">
        <v>0</v>
      </c>
      <c r="J473" s="105">
        <v>0</v>
      </c>
      <c r="K473" s="106">
        <v>0</v>
      </c>
      <c r="L473" s="107">
        <v>0</v>
      </c>
      <c r="M473" s="105">
        <v>0</v>
      </c>
      <c r="N473" s="106">
        <v>0</v>
      </c>
      <c r="O473" s="107">
        <f t="shared" si="20"/>
        <v>60893</v>
      </c>
      <c r="P473" s="105">
        <f t="shared" si="20"/>
        <v>0</v>
      </c>
      <c r="Q473" s="106">
        <f t="shared" si="20"/>
        <v>60893</v>
      </c>
      <c r="R473" s="105">
        <f t="shared" si="21"/>
        <v>115.32765151515152</v>
      </c>
      <c r="S473" s="105">
        <f t="shared" si="21"/>
        <v>0</v>
      </c>
      <c r="T473" s="108">
        <f t="shared" si="21"/>
        <v>115.32765151515152</v>
      </c>
    </row>
    <row r="474" spans="1:20" s="85" customFormat="1" ht="12.75" x14ac:dyDescent="0.2">
      <c r="A474" s="109">
        <v>4172</v>
      </c>
      <c r="B474" s="110">
        <v>7</v>
      </c>
      <c r="C474" s="103" t="s">
        <v>96</v>
      </c>
      <c r="D474" s="103">
        <v>7</v>
      </c>
      <c r="E474" s="104">
        <f>+SUMIF('GE16FEB14 Unfudged'!$A$2:$A$498, $A474, 'GE16FEB14 Unfudged'!$D$2:$D$498)</f>
        <v>68</v>
      </c>
      <c r="F474" s="104">
        <v>7842</v>
      </c>
      <c r="G474" s="105">
        <v>0</v>
      </c>
      <c r="H474" s="106">
        <v>7842</v>
      </c>
      <c r="I474" s="107">
        <v>0</v>
      </c>
      <c r="J474" s="105">
        <v>0</v>
      </c>
      <c r="K474" s="106">
        <v>0</v>
      </c>
      <c r="L474" s="107">
        <v>0</v>
      </c>
      <c r="M474" s="105">
        <v>0</v>
      </c>
      <c r="N474" s="106">
        <v>0</v>
      </c>
      <c r="O474" s="107">
        <f t="shared" si="20"/>
        <v>7842</v>
      </c>
      <c r="P474" s="105">
        <f t="shared" si="20"/>
        <v>0</v>
      </c>
      <c r="Q474" s="106">
        <f t="shared" si="20"/>
        <v>7842</v>
      </c>
      <c r="R474" s="105">
        <f t="shared" si="21"/>
        <v>115.32352941176471</v>
      </c>
      <c r="S474" s="105">
        <f t="shared" si="21"/>
        <v>0</v>
      </c>
      <c r="T474" s="108">
        <f t="shared" si="21"/>
        <v>115.32352941176471</v>
      </c>
    </row>
    <row r="475" spans="1:20" s="85" customFormat="1" ht="12.75" x14ac:dyDescent="0.2">
      <c r="A475" s="109">
        <v>4173</v>
      </c>
      <c r="B475" s="110">
        <v>7</v>
      </c>
      <c r="C475" s="103" t="s">
        <v>97</v>
      </c>
      <c r="D475" s="103">
        <v>7</v>
      </c>
      <c r="E475" s="104">
        <f>+SUMIF('GE16FEB14 Unfudged'!$A$2:$A$498, $A475, 'GE16FEB14 Unfudged'!$D$2:$D$498)</f>
        <v>0</v>
      </c>
      <c r="F475" s="104">
        <v>0</v>
      </c>
      <c r="G475" s="105">
        <v>0</v>
      </c>
      <c r="H475" s="106">
        <v>0</v>
      </c>
      <c r="I475" s="107">
        <v>0</v>
      </c>
      <c r="J475" s="105">
        <v>0</v>
      </c>
      <c r="K475" s="106">
        <v>0</v>
      </c>
      <c r="L475" s="107">
        <v>0</v>
      </c>
      <c r="M475" s="105">
        <v>0</v>
      </c>
      <c r="N475" s="106">
        <v>0</v>
      </c>
      <c r="O475" s="107">
        <f t="shared" si="20"/>
        <v>0</v>
      </c>
      <c r="P475" s="105">
        <f t="shared" si="20"/>
        <v>0</v>
      </c>
      <c r="Q475" s="106">
        <f t="shared" si="20"/>
        <v>0</v>
      </c>
      <c r="R475" s="105">
        <f t="shared" si="21"/>
        <v>0</v>
      </c>
      <c r="S475" s="105">
        <f t="shared" si="21"/>
        <v>0</v>
      </c>
      <c r="T475" s="108">
        <f t="shared" si="21"/>
        <v>0</v>
      </c>
    </row>
    <row r="476" spans="1:20" s="85" customFormat="1" ht="12.75" x14ac:dyDescent="0.2">
      <c r="A476" s="109">
        <v>4174</v>
      </c>
      <c r="B476" s="110">
        <v>7</v>
      </c>
      <c r="C476" s="103" t="s">
        <v>98</v>
      </c>
      <c r="D476" s="103">
        <v>7</v>
      </c>
      <c r="E476" s="104">
        <f>+SUMIF('GE16FEB14 Unfudged'!$A$2:$A$498, $A476, 'GE16FEB14 Unfudged'!$D$2:$D$498)</f>
        <v>0</v>
      </c>
      <c r="F476" s="104">
        <v>0</v>
      </c>
      <c r="G476" s="105">
        <v>0</v>
      </c>
      <c r="H476" s="106">
        <v>0</v>
      </c>
      <c r="I476" s="107">
        <v>0</v>
      </c>
      <c r="J476" s="105">
        <v>0</v>
      </c>
      <c r="K476" s="106">
        <v>0</v>
      </c>
      <c r="L476" s="107">
        <v>0</v>
      </c>
      <c r="M476" s="105">
        <v>0</v>
      </c>
      <c r="N476" s="106">
        <v>0</v>
      </c>
      <c r="O476" s="107">
        <f t="shared" si="20"/>
        <v>0</v>
      </c>
      <c r="P476" s="105">
        <f t="shared" si="20"/>
        <v>0</v>
      </c>
      <c r="Q476" s="106">
        <f t="shared" si="20"/>
        <v>0</v>
      </c>
      <c r="R476" s="105">
        <f t="shared" si="21"/>
        <v>0</v>
      </c>
      <c r="S476" s="105">
        <f t="shared" si="21"/>
        <v>0</v>
      </c>
      <c r="T476" s="108">
        <f t="shared" si="21"/>
        <v>0</v>
      </c>
    </row>
    <row r="477" spans="1:20" s="85" customFormat="1" ht="12.75" x14ac:dyDescent="0.2">
      <c r="A477" s="109">
        <v>4177</v>
      </c>
      <c r="B477" s="110">
        <v>7</v>
      </c>
      <c r="C477" s="103" t="s">
        <v>99</v>
      </c>
      <c r="D477" s="103">
        <v>7</v>
      </c>
      <c r="E477" s="104">
        <f>+SUMIF('GE16FEB14 Unfudged'!$A$2:$A$498, $A477, 'GE16FEB14 Unfudged'!$D$2:$D$498)</f>
        <v>55</v>
      </c>
      <c r="F477" s="104">
        <v>6343</v>
      </c>
      <c r="G477" s="105">
        <v>0</v>
      </c>
      <c r="H477" s="106">
        <v>6343</v>
      </c>
      <c r="I477" s="107">
        <v>0</v>
      </c>
      <c r="J477" s="105">
        <v>0</v>
      </c>
      <c r="K477" s="106">
        <v>0</v>
      </c>
      <c r="L477" s="107">
        <v>0</v>
      </c>
      <c r="M477" s="105">
        <v>0</v>
      </c>
      <c r="N477" s="106">
        <v>0</v>
      </c>
      <c r="O477" s="107">
        <f t="shared" si="20"/>
        <v>6343</v>
      </c>
      <c r="P477" s="105">
        <f t="shared" si="20"/>
        <v>0</v>
      </c>
      <c r="Q477" s="106">
        <f t="shared" si="20"/>
        <v>6343</v>
      </c>
      <c r="R477" s="105">
        <f t="shared" si="21"/>
        <v>115.32727272727273</v>
      </c>
      <c r="S477" s="105">
        <f t="shared" si="21"/>
        <v>0</v>
      </c>
      <c r="T477" s="108">
        <f t="shared" si="21"/>
        <v>115.32727272727273</v>
      </c>
    </row>
    <row r="478" spans="1:20" s="85" customFormat="1" ht="12.75" x14ac:dyDescent="0.2">
      <c r="A478" s="109">
        <v>4178</v>
      </c>
      <c r="B478" s="110">
        <v>7</v>
      </c>
      <c r="C478" s="103" t="s">
        <v>100</v>
      </c>
      <c r="D478" s="103">
        <v>7</v>
      </c>
      <c r="E478" s="104">
        <f>+SUMIF('GE16FEB14 Unfudged'!$A$2:$A$498, $A478, 'GE16FEB14 Unfudged'!$D$2:$D$498)</f>
        <v>216</v>
      </c>
      <c r="F478" s="104">
        <v>24911</v>
      </c>
      <c r="G478" s="105">
        <v>0</v>
      </c>
      <c r="H478" s="106">
        <v>24911</v>
      </c>
      <c r="I478" s="107">
        <v>0</v>
      </c>
      <c r="J478" s="105">
        <v>0</v>
      </c>
      <c r="K478" s="106">
        <v>0</v>
      </c>
      <c r="L478" s="107">
        <v>0</v>
      </c>
      <c r="M478" s="105">
        <v>0</v>
      </c>
      <c r="N478" s="106">
        <v>0</v>
      </c>
      <c r="O478" s="107">
        <f t="shared" si="20"/>
        <v>24911</v>
      </c>
      <c r="P478" s="105">
        <f t="shared" si="20"/>
        <v>0</v>
      </c>
      <c r="Q478" s="106">
        <f t="shared" si="20"/>
        <v>24911</v>
      </c>
      <c r="R478" s="105">
        <f t="shared" si="21"/>
        <v>115.32870370370371</v>
      </c>
      <c r="S478" s="105">
        <f t="shared" si="21"/>
        <v>0</v>
      </c>
      <c r="T478" s="108">
        <f t="shared" si="21"/>
        <v>115.32870370370371</v>
      </c>
    </row>
    <row r="479" spans="1:20" s="85" customFormat="1" ht="12.75" x14ac:dyDescent="0.2">
      <c r="A479" s="109">
        <v>4180</v>
      </c>
      <c r="B479" s="110">
        <v>7</v>
      </c>
      <c r="C479" s="103" t="s">
        <v>101</v>
      </c>
      <c r="D479" s="103">
        <v>7</v>
      </c>
      <c r="E479" s="104">
        <f>+SUMIF('GE16FEB14 Unfudged'!$A$2:$A$498, $A479, 'GE16FEB14 Unfudged'!$D$2:$D$498)</f>
        <v>0</v>
      </c>
      <c r="F479" s="104">
        <v>0</v>
      </c>
      <c r="G479" s="105">
        <v>0</v>
      </c>
      <c r="H479" s="106">
        <v>0</v>
      </c>
      <c r="I479" s="107">
        <v>0</v>
      </c>
      <c r="J479" s="105">
        <v>0</v>
      </c>
      <c r="K479" s="106">
        <v>0</v>
      </c>
      <c r="L479" s="107">
        <v>0</v>
      </c>
      <c r="M479" s="105">
        <v>0</v>
      </c>
      <c r="N479" s="106">
        <v>0</v>
      </c>
      <c r="O479" s="107">
        <f t="shared" si="20"/>
        <v>0</v>
      </c>
      <c r="P479" s="105">
        <f t="shared" si="20"/>
        <v>0</v>
      </c>
      <c r="Q479" s="106">
        <f t="shared" si="20"/>
        <v>0</v>
      </c>
      <c r="R479" s="105">
        <f t="shared" si="21"/>
        <v>0</v>
      </c>
      <c r="S479" s="105">
        <f t="shared" si="21"/>
        <v>0</v>
      </c>
      <c r="T479" s="108">
        <f t="shared" si="21"/>
        <v>0</v>
      </c>
    </row>
    <row r="480" spans="1:20" s="85" customFormat="1" ht="12.75" x14ac:dyDescent="0.2">
      <c r="A480" s="109">
        <v>4181</v>
      </c>
      <c r="B480" s="110">
        <v>7</v>
      </c>
      <c r="C480" s="103" t="s">
        <v>102</v>
      </c>
      <c r="D480" s="103">
        <v>7</v>
      </c>
      <c r="E480" s="104">
        <f>+SUMIF('GE16FEB14 Unfudged'!$A$2:$A$498, $A480, 'GE16FEB14 Unfudged'!$D$2:$D$498)</f>
        <v>956</v>
      </c>
      <c r="F480" s="104">
        <v>110196</v>
      </c>
      <c r="G480" s="105">
        <v>0</v>
      </c>
      <c r="H480" s="106">
        <v>110196</v>
      </c>
      <c r="I480" s="107">
        <v>0</v>
      </c>
      <c r="J480" s="105">
        <v>0</v>
      </c>
      <c r="K480" s="106">
        <v>0</v>
      </c>
      <c r="L480" s="107">
        <v>0</v>
      </c>
      <c r="M480" s="105">
        <v>0</v>
      </c>
      <c r="N480" s="106">
        <v>0</v>
      </c>
      <c r="O480" s="107">
        <f t="shared" si="20"/>
        <v>110196</v>
      </c>
      <c r="P480" s="105">
        <f t="shared" si="20"/>
        <v>0</v>
      </c>
      <c r="Q480" s="106">
        <f t="shared" si="20"/>
        <v>110196</v>
      </c>
      <c r="R480" s="105">
        <f t="shared" si="21"/>
        <v>115.26778242677824</v>
      </c>
      <c r="S480" s="105">
        <f t="shared" si="21"/>
        <v>0</v>
      </c>
      <c r="T480" s="108">
        <f t="shared" si="21"/>
        <v>115.26778242677824</v>
      </c>
    </row>
    <row r="481" spans="1:20" s="85" customFormat="1" ht="12.75" x14ac:dyDescent="0.2">
      <c r="A481" s="109">
        <v>4182</v>
      </c>
      <c r="B481" s="110">
        <v>7</v>
      </c>
      <c r="C481" s="103" t="s">
        <v>103</v>
      </c>
      <c r="D481" s="103">
        <v>7</v>
      </c>
      <c r="E481" s="104">
        <f>+SUMIF('GE16FEB14 Unfudged'!$A$2:$A$498, $A481, 'GE16FEB14 Unfudged'!$D$2:$D$498)</f>
        <v>0</v>
      </c>
      <c r="F481" s="104">
        <v>0</v>
      </c>
      <c r="G481" s="105">
        <v>0</v>
      </c>
      <c r="H481" s="106">
        <v>0</v>
      </c>
      <c r="I481" s="107">
        <v>0</v>
      </c>
      <c r="J481" s="105">
        <v>0</v>
      </c>
      <c r="K481" s="106">
        <v>0</v>
      </c>
      <c r="L481" s="107">
        <v>0</v>
      </c>
      <c r="M481" s="105">
        <v>0</v>
      </c>
      <c r="N481" s="106">
        <v>0</v>
      </c>
      <c r="O481" s="107">
        <f t="shared" si="20"/>
        <v>0</v>
      </c>
      <c r="P481" s="105">
        <f t="shared" si="20"/>
        <v>0</v>
      </c>
      <c r="Q481" s="106">
        <f t="shared" si="20"/>
        <v>0</v>
      </c>
      <c r="R481" s="105">
        <f t="shared" si="21"/>
        <v>0</v>
      </c>
      <c r="S481" s="105">
        <f t="shared" si="21"/>
        <v>0</v>
      </c>
      <c r="T481" s="108">
        <f t="shared" si="21"/>
        <v>0</v>
      </c>
    </row>
    <row r="482" spans="1:20" s="85" customFormat="1" ht="12.75" x14ac:dyDescent="0.2">
      <c r="A482" s="109">
        <v>4183</v>
      </c>
      <c r="B482" s="110">
        <v>7</v>
      </c>
      <c r="C482" s="103" t="s">
        <v>104</v>
      </c>
      <c r="D482" s="103">
        <v>7</v>
      </c>
      <c r="E482" s="104">
        <f>+SUMIF('GE16FEB14 Unfudged'!$A$2:$A$498, $A482, 'GE16FEB14 Unfudged'!$D$2:$D$498)</f>
        <v>172</v>
      </c>
      <c r="F482" s="104">
        <v>19790</v>
      </c>
      <c r="G482" s="105">
        <v>0</v>
      </c>
      <c r="H482" s="106">
        <v>19790</v>
      </c>
      <c r="I482" s="107">
        <v>0</v>
      </c>
      <c r="J482" s="105">
        <v>0</v>
      </c>
      <c r="K482" s="106">
        <v>0</v>
      </c>
      <c r="L482" s="107">
        <v>0</v>
      </c>
      <c r="M482" s="105">
        <v>0</v>
      </c>
      <c r="N482" s="106">
        <v>0</v>
      </c>
      <c r="O482" s="107">
        <f t="shared" si="20"/>
        <v>19790</v>
      </c>
      <c r="P482" s="105">
        <f t="shared" si="20"/>
        <v>0</v>
      </c>
      <c r="Q482" s="106">
        <f t="shared" si="20"/>
        <v>19790</v>
      </c>
      <c r="R482" s="105">
        <f t="shared" si="21"/>
        <v>115.05813953488372</v>
      </c>
      <c r="S482" s="105">
        <f t="shared" si="21"/>
        <v>0</v>
      </c>
      <c r="T482" s="108">
        <f t="shared" si="21"/>
        <v>115.05813953488372</v>
      </c>
    </row>
    <row r="483" spans="1:20" s="85" customFormat="1" ht="12.75" x14ac:dyDescent="0.2">
      <c r="A483" s="109">
        <v>4184</v>
      </c>
      <c r="B483" s="110">
        <v>7</v>
      </c>
      <c r="C483" s="103" t="s">
        <v>105</v>
      </c>
      <c r="D483" s="103">
        <v>7</v>
      </c>
      <c r="E483" s="104">
        <f>+SUMIF('GE16FEB14 Unfudged'!$A$2:$A$498, $A483, 'GE16FEB14 Unfudged'!$D$2:$D$498)</f>
        <v>783</v>
      </c>
      <c r="F483" s="104">
        <v>90302</v>
      </c>
      <c r="G483" s="105">
        <v>0</v>
      </c>
      <c r="H483" s="106">
        <v>90302</v>
      </c>
      <c r="I483" s="107">
        <v>0</v>
      </c>
      <c r="J483" s="105">
        <v>0</v>
      </c>
      <c r="K483" s="106">
        <v>0</v>
      </c>
      <c r="L483" s="107">
        <v>0</v>
      </c>
      <c r="M483" s="105">
        <v>0</v>
      </c>
      <c r="N483" s="106">
        <v>0</v>
      </c>
      <c r="O483" s="107">
        <f t="shared" si="20"/>
        <v>90302</v>
      </c>
      <c r="P483" s="105">
        <f t="shared" si="20"/>
        <v>0</v>
      </c>
      <c r="Q483" s="106">
        <f t="shared" si="20"/>
        <v>90302</v>
      </c>
      <c r="R483" s="105">
        <f t="shared" si="21"/>
        <v>115.32822477650063</v>
      </c>
      <c r="S483" s="105">
        <f t="shared" si="21"/>
        <v>0</v>
      </c>
      <c r="T483" s="108">
        <f t="shared" si="21"/>
        <v>115.32822477650063</v>
      </c>
    </row>
    <row r="484" spans="1:20" s="85" customFormat="1" ht="12.75" x14ac:dyDescent="0.2">
      <c r="A484" s="109">
        <v>4185</v>
      </c>
      <c r="B484" s="110">
        <v>7</v>
      </c>
      <c r="C484" s="103" t="s">
        <v>106</v>
      </c>
      <c r="D484" s="103">
        <v>7</v>
      </c>
      <c r="E484" s="104">
        <f>+SUMIF('GE16FEB14 Unfudged'!$A$2:$A$498, $A484, 'GE16FEB14 Unfudged'!$D$2:$D$498)</f>
        <v>545</v>
      </c>
      <c r="F484" s="104">
        <v>62819</v>
      </c>
      <c r="G484" s="105">
        <v>0</v>
      </c>
      <c r="H484" s="106">
        <v>62819</v>
      </c>
      <c r="I484" s="107">
        <v>0</v>
      </c>
      <c r="J484" s="105">
        <v>0</v>
      </c>
      <c r="K484" s="106">
        <v>0</v>
      </c>
      <c r="L484" s="107">
        <v>0</v>
      </c>
      <c r="M484" s="105">
        <v>0</v>
      </c>
      <c r="N484" s="106">
        <v>0</v>
      </c>
      <c r="O484" s="107">
        <f t="shared" si="20"/>
        <v>62819</v>
      </c>
      <c r="P484" s="105">
        <f t="shared" si="20"/>
        <v>0</v>
      </c>
      <c r="Q484" s="106">
        <f t="shared" si="20"/>
        <v>62819</v>
      </c>
      <c r="R484" s="105">
        <f t="shared" si="21"/>
        <v>115.26422018348624</v>
      </c>
      <c r="S484" s="105">
        <f t="shared" si="21"/>
        <v>0</v>
      </c>
      <c r="T484" s="108">
        <f t="shared" si="21"/>
        <v>115.26422018348624</v>
      </c>
    </row>
    <row r="485" spans="1:20" s="85" customFormat="1" ht="12.75" x14ac:dyDescent="0.2">
      <c r="A485" s="109">
        <v>4186</v>
      </c>
      <c r="B485" s="110">
        <v>7</v>
      </c>
      <c r="C485" s="103" t="s">
        <v>107</v>
      </c>
      <c r="D485" s="103">
        <v>7</v>
      </c>
      <c r="E485" s="104">
        <f>+SUMIF('GE16FEB14 Unfudged'!$A$2:$A$498, $A485, 'GE16FEB14 Unfudged'!$D$2:$D$498)</f>
        <v>435</v>
      </c>
      <c r="F485" s="104">
        <v>50133</v>
      </c>
      <c r="G485" s="105">
        <v>0</v>
      </c>
      <c r="H485" s="106">
        <v>50133</v>
      </c>
      <c r="I485" s="107">
        <v>0</v>
      </c>
      <c r="J485" s="105">
        <v>0</v>
      </c>
      <c r="K485" s="106">
        <v>0</v>
      </c>
      <c r="L485" s="107">
        <v>0</v>
      </c>
      <c r="M485" s="105">
        <v>0</v>
      </c>
      <c r="N485" s="106">
        <v>0</v>
      </c>
      <c r="O485" s="107">
        <f t="shared" si="20"/>
        <v>50133</v>
      </c>
      <c r="P485" s="105">
        <f t="shared" si="20"/>
        <v>0</v>
      </c>
      <c r="Q485" s="106">
        <f t="shared" si="20"/>
        <v>50133</v>
      </c>
      <c r="R485" s="105">
        <f t="shared" si="21"/>
        <v>115.24827586206897</v>
      </c>
      <c r="S485" s="105">
        <f t="shared" si="21"/>
        <v>0</v>
      </c>
      <c r="T485" s="108">
        <f t="shared" si="21"/>
        <v>115.24827586206897</v>
      </c>
    </row>
    <row r="486" spans="1:20" s="85" customFormat="1" ht="12.75" x14ac:dyDescent="0.2">
      <c r="A486" s="109">
        <v>4187</v>
      </c>
      <c r="B486" s="110">
        <v>7</v>
      </c>
      <c r="C486" s="103" t="s">
        <v>108</v>
      </c>
      <c r="D486" s="103">
        <v>7</v>
      </c>
      <c r="E486" s="104">
        <f>+SUMIF('GE16FEB14 Unfudged'!$A$2:$A$498, $A486, 'GE16FEB14 Unfudged'!$D$2:$D$498)</f>
        <v>101</v>
      </c>
      <c r="F486" s="104">
        <v>11648</v>
      </c>
      <c r="G486" s="105">
        <v>0</v>
      </c>
      <c r="H486" s="106">
        <v>11648</v>
      </c>
      <c r="I486" s="107">
        <v>0</v>
      </c>
      <c r="J486" s="105">
        <v>0</v>
      </c>
      <c r="K486" s="106">
        <v>0</v>
      </c>
      <c r="L486" s="107">
        <v>0</v>
      </c>
      <c r="M486" s="105">
        <v>0</v>
      </c>
      <c r="N486" s="106">
        <v>0</v>
      </c>
      <c r="O486" s="107">
        <f t="shared" si="20"/>
        <v>11648</v>
      </c>
      <c r="P486" s="105">
        <f t="shared" si="20"/>
        <v>0</v>
      </c>
      <c r="Q486" s="106">
        <f t="shared" si="20"/>
        <v>11648</v>
      </c>
      <c r="R486" s="105">
        <f t="shared" si="21"/>
        <v>115.32673267326733</v>
      </c>
      <c r="S486" s="105">
        <f t="shared" si="21"/>
        <v>0</v>
      </c>
      <c r="T486" s="108">
        <f t="shared" si="21"/>
        <v>115.32673267326733</v>
      </c>
    </row>
    <row r="487" spans="1:20" s="85" customFormat="1" ht="12.75" x14ac:dyDescent="0.2">
      <c r="A487" s="109">
        <v>4188</v>
      </c>
      <c r="B487" s="110">
        <v>7</v>
      </c>
      <c r="C487" s="103" t="s">
        <v>109</v>
      </c>
      <c r="D487" s="103">
        <v>7</v>
      </c>
      <c r="E487" s="104">
        <f>+SUMIF('GE16FEB14 Unfudged'!$A$2:$A$498, $A487, 'GE16FEB14 Unfudged'!$D$2:$D$498)</f>
        <v>621</v>
      </c>
      <c r="F487" s="104">
        <v>71596</v>
      </c>
      <c r="G487" s="105">
        <v>0</v>
      </c>
      <c r="H487" s="106">
        <v>71596</v>
      </c>
      <c r="I487" s="107">
        <v>0</v>
      </c>
      <c r="J487" s="105">
        <v>0</v>
      </c>
      <c r="K487" s="106">
        <v>0</v>
      </c>
      <c r="L487" s="107">
        <v>0</v>
      </c>
      <c r="M487" s="105">
        <v>0</v>
      </c>
      <c r="N487" s="106">
        <v>0</v>
      </c>
      <c r="O487" s="107">
        <f t="shared" si="20"/>
        <v>71596</v>
      </c>
      <c r="P487" s="105">
        <f t="shared" si="20"/>
        <v>0</v>
      </c>
      <c r="Q487" s="106">
        <f t="shared" si="20"/>
        <v>71596</v>
      </c>
      <c r="R487" s="105">
        <f t="shared" si="21"/>
        <v>115.2914653784219</v>
      </c>
      <c r="S487" s="105">
        <f t="shared" si="21"/>
        <v>0</v>
      </c>
      <c r="T487" s="108">
        <f t="shared" si="21"/>
        <v>115.2914653784219</v>
      </c>
    </row>
    <row r="488" spans="1:20" s="85" customFormat="1" ht="12.75" x14ac:dyDescent="0.2">
      <c r="A488" s="109">
        <v>4189</v>
      </c>
      <c r="B488" s="110">
        <v>7</v>
      </c>
      <c r="C488" s="103" t="s">
        <v>110</v>
      </c>
      <c r="D488" s="103">
        <v>7</v>
      </c>
      <c r="E488" s="104">
        <f>+SUMIF('GE16FEB14 Unfudged'!$A$2:$A$498, $A488, 'GE16FEB14 Unfudged'!$D$2:$D$498)</f>
        <v>210</v>
      </c>
      <c r="F488" s="104">
        <v>24259</v>
      </c>
      <c r="G488" s="105">
        <v>0</v>
      </c>
      <c r="H488" s="106">
        <v>24259</v>
      </c>
      <c r="I488" s="107">
        <v>0</v>
      </c>
      <c r="J488" s="105">
        <v>0</v>
      </c>
      <c r="K488" s="106">
        <v>0</v>
      </c>
      <c r="L488" s="107">
        <v>0</v>
      </c>
      <c r="M488" s="105">
        <v>0</v>
      </c>
      <c r="N488" s="106">
        <v>0</v>
      </c>
      <c r="O488" s="107">
        <f t="shared" si="20"/>
        <v>24259</v>
      </c>
      <c r="P488" s="105">
        <f t="shared" si="20"/>
        <v>0</v>
      </c>
      <c r="Q488" s="106">
        <f t="shared" si="20"/>
        <v>24259</v>
      </c>
      <c r="R488" s="105">
        <f t="shared" si="21"/>
        <v>115.51904761904763</v>
      </c>
      <c r="S488" s="105">
        <f t="shared" si="21"/>
        <v>0</v>
      </c>
      <c r="T488" s="108">
        <f t="shared" si="21"/>
        <v>115.51904761904763</v>
      </c>
    </row>
    <row r="489" spans="1:20" s="85" customFormat="1" ht="12.75" x14ac:dyDescent="0.2">
      <c r="A489" s="109">
        <v>4190</v>
      </c>
      <c r="B489" s="110">
        <v>7</v>
      </c>
      <c r="C489" s="103" t="s">
        <v>507</v>
      </c>
      <c r="D489" s="103">
        <v>7</v>
      </c>
      <c r="E489" s="104">
        <f>+SUMIF('GE16FEB14 Unfudged'!$A$2:$A$498, $A489, 'GE16FEB14 Unfudged'!$D$2:$D$498)</f>
        <v>114</v>
      </c>
      <c r="F489" s="104">
        <v>13147</v>
      </c>
      <c r="G489" s="105">
        <v>0</v>
      </c>
      <c r="H489" s="106">
        <v>13147</v>
      </c>
      <c r="I489" s="107">
        <v>0</v>
      </c>
      <c r="J489" s="105">
        <v>0</v>
      </c>
      <c r="K489" s="106">
        <v>0</v>
      </c>
      <c r="L489" s="107">
        <v>0</v>
      </c>
      <c r="M489" s="105">
        <v>0</v>
      </c>
      <c r="N489" s="106">
        <v>0</v>
      </c>
      <c r="O489" s="107">
        <f t="shared" si="20"/>
        <v>13147</v>
      </c>
      <c r="P489" s="105">
        <f t="shared" si="20"/>
        <v>0</v>
      </c>
      <c r="Q489" s="106">
        <f t="shared" si="20"/>
        <v>13147</v>
      </c>
      <c r="R489" s="105">
        <f t="shared" si="21"/>
        <v>115.32456140350877</v>
      </c>
      <c r="S489" s="105">
        <f t="shared" si="21"/>
        <v>0</v>
      </c>
      <c r="T489" s="108">
        <f t="shared" si="21"/>
        <v>115.32456140350877</v>
      </c>
    </row>
    <row r="490" spans="1:20" s="85" customFormat="1" ht="12.75" x14ac:dyDescent="0.2">
      <c r="A490" s="109">
        <v>4191</v>
      </c>
      <c r="B490" s="110">
        <v>7</v>
      </c>
      <c r="C490" s="103" t="s">
        <v>111</v>
      </c>
      <c r="D490" s="103">
        <v>7</v>
      </c>
      <c r="E490" s="104">
        <f>+SUMIF('GE16FEB14 Unfudged'!$A$2:$A$498, $A490, 'GE16FEB14 Unfudged'!$D$2:$D$498)</f>
        <v>268</v>
      </c>
      <c r="F490" s="104">
        <v>30908</v>
      </c>
      <c r="G490" s="105">
        <v>0</v>
      </c>
      <c r="H490" s="106">
        <v>30908</v>
      </c>
      <c r="I490" s="107">
        <v>0</v>
      </c>
      <c r="J490" s="105">
        <v>0</v>
      </c>
      <c r="K490" s="106">
        <v>0</v>
      </c>
      <c r="L490" s="107">
        <v>0</v>
      </c>
      <c r="M490" s="105">
        <v>0</v>
      </c>
      <c r="N490" s="106">
        <v>0</v>
      </c>
      <c r="O490" s="107">
        <f t="shared" si="20"/>
        <v>30908</v>
      </c>
      <c r="P490" s="105">
        <f t="shared" si="20"/>
        <v>0</v>
      </c>
      <c r="Q490" s="106">
        <f t="shared" si="20"/>
        <v>30908</v>
      </c>
      <c r="R490" s="105">
        <f t="shared" si="21"/>
        <v>115.32835820895522</v>
      </c>
      <c r="S490" s="105">
        <f t="shared" si="21"/>
        <v>0</v>
      </c>
      <c r="T490" s="108">
        <f t="shared" si="21"/>
        <v>115.32835820895522</v>
      </c>
    </row>
    <row r="491" spans="1:20" s="85" customFormat="1" ht="12.75" x14ac:dyDescent="0.2">
      <c r="A491" s="109">
        <v>4192</v>
      </c>
      <c r="B491" s="110">
        <v>7</v>
      </c>
      <c r="C491" s="103" t="s">
        <v>112</v>
      </c>
      <c r="D491" s="103">
        <v>7</v>
      </c>
      <c r="E491" s="104">
        <f>+SUMIF('GE16FEB14 Unfudged'!$A$2:$A$498, $A491, 'GE16FEB14 Unfudged'!$D$2:$D$498)</f>
        <v>428</v>
      </c>
      <c r="F491" s="104">
        <v>49303</v>
      </c>
      <c r="G491" s="105">
        <v>0</v>
      </c>
      <c r="H491" s="106">
        <v>49303</v>
      </c>
      <c r="I491" s="107">
        <v>0</v>
      </c>
      <c r="J491" s="105">
        <v>0</v>
      </c>
      <c r="K491" s="106">
        <v>0</v>
      </c>
      <c r="L491" s="107">
        <v>0</v>
      </c>
      <c r="M491" s="105">
        <v>0</v>
      </c>
      <c r="N491" s="106">
        <v>0</v>
      </c>
      <c r="O491" s="107">
        <f t="shared" si="20"/>
        <v>49303</v>
      </c>
      <c r="P491" s="105">
        <f t="shared" si="20"/>
        <v>0</v>
      </c>
      <c r="Q491" s="106">
        <f t="shared" si="20"/>
        <v>49303</v>
      </c>
      <c r="R491" s="105">
        <f t="shared" si="21"/>
        <v>115.19392523364486</v>
      </c>
      <c r="S491" s="105">
        <f t="shared" si="21"/>
        <v>0</v>
      </c>
      <c r="T491" s="108">
        <f t="shared" si="21"/>
        <v>115.19392523364486</v>
      </c>
    </row>
    <row r="492" spans="1:20" s="85" customFormat="1" ht="12.75" x14ac:dyDescent="0.2">
      <c r="A492" s="109">
        <v>4193</v>
      </c>
      <c r="B492" s="110">
        <v>7</v>
      </c>
      <c r="C492" s="103" t="s">
        <v>508</v>
      </c>
      <c r="D492" s="103">
        <v>7</v>
      </c>
      <c r="E492" s="104">
        <f>+SUMIF('GE16FEB14 Unfudged'!$A$2:$A$498, $A492, 'GE16FEB14 Unfudged'!$D$2:$D$498)</f>
        <v>369</v>
      </c>
      <c r="F492" s="104">
        <v>42556</v>
      </c>
      <c r="G492" s="105">
        <v>0</v>
      </c>
      <c r="H492" s="106">
        <v>42556</v>
      </c>
      <c r="I492" s="107">
        <v>0</v>
      </c>
      <c r="J492" s="105">
        <v>0</v>
      </c>
      <c r="K492" s="106">
        <v>0</v>
      </c>
      <c r="L492" s="107">
        <v>0</v>
      </c>
      <c r="M492" s="105">
        <v>0</v>
      </c>
      <c r="N492" s="106">
        <v>0</v>
      </c>
      <c r="O492" s="107">
        <f t="shared" si="20"/>
        <v>42556</v>
      </c>
      <c r="P492" s="105">
        <f t="shared" si="20"/>
        <v>0</v>
      </c>
      <c r="Q492" s="106">
        <f t="shared" si="20"/>
        <v>42556</v>
      </c>
      <c r="R492" s="105">
        <f t="shared" si="21"/>
        <v>115.32791327913279</v>
      </c>
      <c r="S492" s="105">
        <f t="shared" si="21"/>
        <v>0</v>
      </c>
      <c r="T492" s="108">
        <f t="shared" si="21"/>
        <v>115.32791327913279</v>
      </c>
    </row>
    <row r="493" spans="1:20" s="85" customFormat="1" ht="12.75" x14ac:dyDescent="0.2">
      <c r="A493" s="109">
        <v>4194</v>
      </c>
      <c r="B493" s="110">
        <v>7</v>
      </c>
      <c r="C493" s="103" t="s">
        <v>113</v>
      </c>
      <c r="D493" s="103">
        <v>7</v>
      </c>
      <c r="E493" s="104">
        <f>+SUMIF('GE16FEB14 Unfudged'!$A$2:$A$498, $A493, 'GE16FEB14 Unfudged'!$D$2:$D$498)</f>
        <v>345</v>
      </c>
      <c r="F493" s="104">
        <v>39765</v>
      </c>
      <c r="G493" s="105">
        <v>0</v>
      </c>
      <c r="H493" s="106">
        <v>39765</v>
      </c>
      <c r="I493" s="107">
        <v>0</v>
      </c>
      <c r="J493" s="105">
        <v>0</v>
      </c>
      <c r="K493" s="106">
        <v>0</v>
      </c>
      <c r="L493" s="107">
        <v>0</v>
      </c>
      <c r="M493" s="105">
        <v>0</v>
      </c>
      <c r="N493" s="106">
        <v>0</v>
      </c>
      <c r="O493" s="107">
        <f t="shared" si="20"/>
        <v>39765</v>
      </c>
      <c r="P493" s="105">
        <f t="shared" si="20"/>
        <v>0</v>
      </c>
      <c r="Q493" s="106">
        <f t="shared" si="20"/>
        <v>39765</v>
      </c>
      <c r="R493" s="105">
        <f t="shared" si="21"/>
        <v>115.26086956521739</v>
      </c>
      <c r="S493" s="105">
        <f t="shared" si="21"/>
        <v>0</v>
      </c>
      <c r="T493" s="108">
        <f t="shared" si="21"/>
        <v>115.26086956521739</v>
      </c>
    </row>
    <row r="494" spans="1:20" s="85" customFormat="1" ht="12.75" x14ac:dyDescent="0.2">
      <c r="A494" s="109">
        <v>4195</v>
      </c>
      <c r="B494" s="110">
        <v>7</v>
      </c>
      <c r="C494" s="103" t="s">
        <v>459</v>
      </c>
      <c r="D494" s="103">
        <v>7</v>
      </c>
      <c r="E494" s="104">
        <f>+SUMIF('GE16FEB14 Unfudged'!$A$2:$A$498, $A494, 'GE16FEB14 Unfudged'!$D$2:$D$498)</f>
        <v>37</v>
      </c>
      <c r="F494" s="104">
        <v>4290</v>
      </c>
      <c r="G494" s="105">
        <v>0</v>
      </c>
      <c r="H494" s="106">
        <v>4290</v>
      </c>
      <c r="I494" s="107">
        <v>0</v>
      </c>
      <c r="J494" s="105">
        <v>0</v>
      </c>
      <c r="K494" s="106">
        <v>0</v>
      </c>
      <c r="L494" s="107">
        <v>0</v>
      </c>
      <c r="M494" s="105">
        <v>0</v>
      </c>
      <c r="N494" s="106">
        <v>0</v>
      </c>
      <c r="O494" s="107">
        <f t="shared" si="20"/>
        <v>4290</v>
      </c>
      <c r="P494" s="105">
        <f t="shared" si="20"/>
        <v>0</v>
      </c>
      <c r="Q494" s="106">
        <f t="shared" si="20"/>
        <v>4290</v>
      </c>
      <c r="R494" s="105">
        <f t="shared" si="21"/>
        <v>115.94594594594595</v>
      </c>
      <c r="S494" s="105">
        <f t="shared" si="21"/>
        <v>0</v>
      </c>
      <c r="T494" s="108">
        <f t="shared" si="21"/>
        <v>115.94594594594595</v>
      </c>
    </row>
    <row r="495" spans="1:20" s="85" customFormat="1" ht="12.75" x14ac:dyDescent="0.2">
      <c r="A495" s="109">
        <v>4197</v>
      </c>
      <c r="B495" s="110">
        <v>7</v>
      </c>
      <c r="C495" s="103" t="s">
        <v>114</v>
      </c>
      <c r="D495" s="103">
        <v>7</v>
      </c>
      <c r="E495" s="104">
        <f>+SUMIF('GE16FEB14 Unfudged'!$A$2:$A$498, $A495, 'GE16FEB14 Unfudged'!$D$2:$D$498)</f>
        <v>0</v>
      </c>
      <c r="F495" s="104">
        <v>0</v>
      </c>
      <c r="G495" s="105">
        <v>0</v>
      </c>
      <c r="H495" s="106">
        <v>0</v>
      </c>
      <c r="I495" s="107">
        <v>0</v>
      </c>
      <c r="J495" s="105">
        <v>0</v>
      </c>
      <c r="K495" s="106">
        <v>0</v>
      </c>
      <c r="L495" s="107">
        <v>0</v>
      </c>
      <c r="M495" s="105">
        <v>0</v>
      </c>
      <c r="N495" s="106">
        <v>0</v>
      </c>
      <c r="O495" s="107">
        <f t="shared" si="20"/>
        <v>0</v>
      </c>
      <c r="P495" s="105">
        <f t="shared" si="20"/>
        <v>0</v>
      </c>
      <c r="Q495" s="106">
        <f t="shared" si="20"/>
        <v>0</v>
      </c>
      <c r="R495" s="105">
        <f t="shared" si="21"/>
        <v>0</v>
      </c>
      <c r="S495" s="105">
        <f t="shared" si="21"/>
        <v>0</v>
      </c>
      <c r="T495" s="108">
        <f t="shared" si="21"/>
        <v>0</v>
      </c>
    </row>
    <row r="496" spans="1:20" s="85" customFormat="1" ht="12.75" x14ac:dyDescent="0.2">
      <c r="A496" s="109">
        <v>4198</v>
      </c>
      <c r="B496" s="110">
        <v>7</v>
      </c>
      <c r="C496" s="103" t="s">
        <v>115</v>
      </c>
      <c r="D496" s="103">
        <v>7</v>
      </c>
      <c r="E496" s="104">
        <f>+SUMIF('GE16FEB14 Unfudged'!$A$2:$A$498, $A496, 'GE16FEB14 Unfudged'!$D$2:$D$498)</f>
        <v>151</v>
      </c>
      <c r="F496" s="104">
        <v>17438</v>
      </c>
      <c r="G496" s="105">
        <v>0</v>
      </c>
      <c r="H496" s="106">
        <v>17438</v>
      </c>
      <c r="I496" s="107">
        <v>0</v>
      </c>
      <c r="J496" s="105">
        <v>0</v>
      </c>
      <c r="K496" s="106">
        <v>0</v>
      </c>
      <c r="L496" s="107">
        <v>0</v>
      </c>
      <c r="M496" s="105">
        <v>0</v>
      </c>
      <c r="N496" s="106">
        <v>0</v>
      </c>
      <c r="O496" s="107">
        <f t="shared" si="20"/>
        <v>17438</v>
      </c>
      <c r="P496" s="105">
        <f t="shared" si="20"/>
        <v>0</v>
      </c>
      <c r="Q496" s="106">
        <f t="shared" si="20"/>
        <v>17438</v>
      </c>
      <c r="R496" s="105">
        <f t="shared" si="21"/>
        <v>115.48344370860927</v>
      </c>
      <c r="S496" s="105">
        <f t="shared" si="21"/>
        <v>0</v>
      </c>
      <c r="T496" s="108">
        <f t="shared" si="21"/>
        <v>115.48344370860927</v>
      </c>
    </row>
    <row r="497" spans="1:20" s="85" customFormat="1" ht="12.75" x14ac:dyDescent="0.2">
      <c r="A497" s="109">
        <v>4199</v>
      </c>
      <c r="B497" s="110">
        <v>7</v>
      </c>
      <c r="C497" s="103" t="s">
        <v>116</v>
      </c>
      <c r="D497" s="103">
        <v>7</v>
      </c>
      <c r="E497" s="104">
        <f>+SUMIF('GE16FEB14 Unfudged'!$A$2:$A$498, $A497, 'GE16FEB14 Unfudged'!$D$2:$D$498)</f>
        <v>869</v>
      </c>
      <c r="F497" s="104">
        <v>100174</v>
      </c>
      <c r="G497" s="105">
        <v>0</v>
      </c>
      <c r="H497" s="106">
        <v>100174</v>
      </c>
      <c r="I497" s="107">
        <v>0</v>
      </c>
      <c r="J497" s="105">
        <v>0</v>
      </c>
      <c r="K497" s="106">
        <v>0</v>
      </c>
      <c r="L497" s="107">
        <v>0</v>
      </c>
      <c r="M497" s="105">
        <v>0</v>
      </c>
      <c r="N497" s="106">
        <v>0</v>
      </c>
      <c r="O497" s="107">
        <f t="shared" si="20"/>
        <v>100174</v>
      </c>
      <c r="P497" s="105">
        <f t="shared" si="20"/>
        <v>0</v>
      </c>
      <c r="Q497" s="106">
        <f t="shared" si="20"/>
        <v>100174</v>
      </c>
      <c r="R497" s="105">
        <f t="shared" si="21"/>
        <v>115.27502876869966</v>
      </c>
      <c r="S497" s="105">
        <f t="shared" si="21"/>
        <v>0</v>
      </c>
      <c r="T497" s="108">
        <f t="shared" si="21"/>
        <v>115.27502876869966</v>
      </c>
    </row>
    <row r="498" spans="1:20" s="85" customFormat="1" ht="12.75" x14ac:dyDescent="0.2">
      <c r="A498" s="109">
        <v>4200</v>
      </c>
      <c r="B498" s="110">
        <v>7</v>
      </c>
      <c r="C498" s="103" t="s">
        <v>117</v>
      </c>
      <c r="D498" s="103">
        <v>7</v>
      </c>
      <c r="E498" s="104">
        <f>+SUMIF('GE16FEB14 Unfudged'!$A$2:$A$498, $A498, 'GE16FEB14 Unfudged'!$D$2:$D$498)</f>
        <v>206</v>
      </c>
      <c r="F498" s="104">
        <v>23711</v>
      </c>
      <c r="G498" s="105">
        <v>0</v>
      </c>
      <c r="H498" s="106">
        <v>23711</v>
      </c>
      <c r="I498" s="107">
        <v>0</v>
      </c>
      <c r="J498" s="105">
        <v>0</v>
      </c>
      <c r="K498" s="106">
        <v>0</v>
      </c>
      <c r="L498" s="107">
        <v>0</v>
      </c>
      <c r="M498" s="105">
        <v>0</v>
      </c>
      <c r="N498" s="106">
        <v>0</v>
      </c>
      <c r="O498" s="107">
        <f t="shared" si="20"/>
        <v>23711</v>
      </c>
      <c r="P498" s="105">
        <f t="shared" si="20"/>
        <v>0</v>
      </c>
      <c r="Q498" s="106">
        <f t="shared" si="20"/>
        <v>23711</v>
      </c>
      <c r="R498" s="105">
        <f t="shared" si="21"/>
        <v>115.10194174757281</v>
      </c>
      <c r="S498" s="105">
        <f t="shared" si="21"/>
        <v>0</v>
      </c>
      <c r="T498" s="108">
        <f t="shared" si="21"/>
        <v>115.10194174757281</v>
      </c>
    </row>
    <row r="499" spans="1:20" s="85" customFormat="1" ht="12.75" x14ac:dyDescent="0.2">
      <c r="A499" s="109">
        <v>4201</v>
      </c>
      <c r="B499" s="110">
        <v>7</v>
      </c>
      <c r="C499" s="103" t="s">
        <v>455</v>
      </c>
      <c r="D499" s="103">
        <v>7</v>
      </c>
      <c r="E499" s="104">
        <f>+SUMIF('GE16FEB14 Unfudged'!$A$2:$A$498, $A499, 'GE16FEB14 Unfudged'!$D$2:$D$498)</f>
        <v>91</v>
      </c>
      <c r="F499" s="104">
        <v>10495</v>
      </c>
      <c r="G499" s="105">
        <v>0</v>
      </c>
      <c r="H499" s="106">
        <v>10495</v>
      </c>
      <c r="I499" s="107">
        <v>0</v>
      </c>
      <c r="J499" s="105">
        <v>0</v>
      </c>
      <c r="K499" s="106">
        <v>0</v>
      </c>
      <c r="L499" s="107">
        <v>0</v>
      </c>
      <c r="M499" s="105">
        <v>0</v>
      </c>
      <c r="N499" s="106">
        <v>0</v>
      </c>
      <c r="O499" s="107">
        <f t="shared" si="20"/>
        <v>10495</v>
      </c>
      <c r="P499" s="105">
        <f t="shared" si="20"/>
        <v>0</v>
      </c>
      <c r="Q499" s="106">
        <f t="shared" si="20"/>
        <v>10495</v>
      </c>
      <c r="R499" s="105">
        <f t="shared" si="21"/>
        <v>115.32967032967034</v>
      </c>
      <c r="S499" s="105">
        <f t="shared" si="21"/>
        <v>0</v>
      </c>
      <c r="T499" s="108">
        <f t="shared" si="21"/>
        <v>115.32967032967034</v>
      </c>
    </row>
    <row r="500" spans="1:20" s="85" customFormat="1" ht="12.75" x14ac:dyDescent="0.2">
      <c r="A500" s="109">
        <v>4202</v>
      </c>
      <c r="B500" s="110">
        <v>7</v>
      </c>
      <c r="C500" s="103" t="s">
        <v>118</v>
      </c>
      <c r="D500" s="103">
        <v>7</v>
      </c>
      <c r="E500" s="104">
        <f>+SUMIF('GE16FEB14 Unfudged'!$A$2:$A$498, $A500, 'GE16FEB14 Unfudged'!$D$2:$D$498)</f>
        <v>0</v>
      </c>
      <c r="F500" s="104">
        <v>0</v>
      </c>
      <c r="G500" s="105">
        <v>0</v>
      </c>
      <c r="H500" s="106">
        <v>0</v>
      </c>
      <c r="I500" s="107">
        <v>0</v>
      </c>
      <c r="J500" s="105">
        <v>0</v>
      </c>
      <c r="K500" s="106">
        <v>0</v>
      </c>
      <c r="L500" s="107">
        <v>0</v>
      </c>
      <c r="M500" s="105">
        <v>0</v>
      </c>
      <c r="N500" s="106">
        <v>0</v>
      </c>
      <c r="O500" s="107">
        <f t="shared" si="20"/>
        <v>0</v>
      </c>
      <c r="P500" s="105">
        <f t="shared" si="20"/>
        <v>0</v>
      </c>
      <c r="Q500" s="106">
        <f t="shared" si="20"/>
        <v>0</v>
      </c>
      <c r="R500" s="105">
        <f t="shared" si="21"/>
        <v>0</v>
      </c>
      <c r="S500" s="105">
        <f t="shared" si="21"/>
        <v>0</v>
      </c>
      <c r="T500" s="108">
        <f t="shared" si="21"/>
        <v>0</v>
      </c>
    </row>
    <row r="501" spans="1:20" s="85" customFormat="1" ht="12.75" x14ac:dyDescent="0.2">
      <c r="A501" s="109">
        <v>4203</v>
      </c>
      <c r="B501" s="110">
        <v>7</v>
      </c>
      <c r="C501" s="103" t="s">
        <v>119</v>
      </c>
      <c r="D501" s="103">
        <v>7</v>
      </c>
      <c r="E501" s="104">
        <f>+SUMIF('GE16FEB14 Unfudged'!$A$2:$A$498, $A501, 'GE16FEB14 Unfudged'!$D$2:$D$498)</f>
        <v>97</v>
      </c>
      <c r="F501" s="104">
        <v>11210</v>
      </c>
      <c r="G501" s="105">
        <v>0</v>
      </c>
      <c r="H501" s="106">
        <v>11210</v>
      </c>
      <c r="I501" s="107">
        <v>0</v>
      </c>
      <c r="J501" s="105">
        <v>0</v>
      </c>
      <c r="K501" s="106">
        <v>0</v>
      </c>
      <c r="L501" s="107">
        <v>0</v>
      </c>
      <c r="M501" s="105">
        <v>0</v>
      </c>
      <c r="N501" s="106">
        <v>0</v>
      </c>
      <c r="O501" s="107">
        <f t="shared" si="20"/>
        <v>11210</v>
      </c>
      <c r="P501" s="105">
        <f t="shared" si="20"/>
        <v>0</v>
      </c>
      <c r="Q501" s="106">
        <f t="shared" si="20"/>
        <v>11210</v>
      </c>
      <c r="R501" s="105">
        <f t="shared" si="21"/>
        <v>115.56701030927834</v>
      </c>
      <c r="S501" s="105">
        <f t="shared" si="21"/>
        <v>0</v>
      </c>
      <c r="T501" s="108">
        <f t="shared" si="21"/>
        <v>115.56701030927834</v>
      </c>
    </row>
    <row r="502" spans="1:20" s="85" customFormat="1" ht="12.75" x14ac:dyDescent="0.2">
      <c r="A502" s="109">
        <v>4204</v>
      </c>
      <c r="B502" s="110">
        <v>7</v>
      </c>
      <c r="C502" s="103" t="s">
        <v>120</v>
      </c>
      <c r="D502" s="103">
        <v>7</v>
      </c>
      <c r="E502" s="104">
        <f>+SUMIF('GE16FEB14 Unfudged'!$A$2:$A$498, $A502, 'GE16FEB14 Unfudged'!$D$2:$D$498)</f>
        <v>216</v>
      </c>
      <c r="F502" s="104">
        <v>24911</v>
      </c>
      <c r="G502" s="105">
        <v>0</v>
      </c>
      <c r="H502" s="106">
        <v>24911</v>
      </c>
      <c r="I502" s="107">
        <v>0</v>
      </c>
      <c r="J502" s="105">
        <v>0</v>
      </c>
      <c r="K502" s="106">
        <v>0</v>
      </c>
      <c r="L502" s="107">
        <v>0</v>
      </c>
      <c r="M502" s="105">
        <v>0</v>
      </c>
      <c r="N502" s="106">
        <v>0</v>
      </c>
      <c r="O502" s="107">
        <f t="shared" si="20"/>
        <v>24911</v>
      </c>
      <c r="P502" s="105">
        <f t="shared" si="20"/>
        <v>0</v>
      </c>
      <c r="Q502" s="106">
        <f t="shared" si="20"/>
        <v>24911</v>
      </c>
      <c r="R502" s="105">
        <f t="shared" si="21"/>
        <v>115.32870370370371</v>
      </c>
      <c r="S502" s="105">
        <f t="shared" si="21"/>
        <v>0</v>
      </c>
      <c r="T502" s="108">
        <f t="shared" si="21"/>
        <v>115.32870370370371</v>
      </c>
    </row>
    <row r="503" spans="1:20" s="85" customFormat="1" ht="12.75" x14ac:dyDescent="0.2">
      <c r="A503" s="109">
        <v>4205</v>
      </c>
      <c r="B503" s="110">
        <v>7</v>
      </c>
      <c r="C503" s="103" t="s">
        <v>121</v>
      </c>
      <c r="D503" s="103">
        <v>7</v>
      </c>
      <c r="E503" s="104">
        <f>+SUMIF('GE16FEB14 Unfudged'!$A$2:$A$498, $A503, 'GE16FEB14 Unfudged'!$D$2:$D$498)</f>
        <v>189</v>
      </c>
      <c r="F503" s="104">
        <v>21797</v>
      </c>
      <c r="G503" s="105">
        <v>0</v>
      </c>
      <c r="H503" s="106">
        <v>21797</v>
      </c>
      <c r="I503" s="107">
        <v>0</v>
      </c>
      <c r="J503" s="105">
        <v>0</v>
      </c>
      <c r="K503" s="106">
        <v>0</v>
      </c>
      <c r="L503" s="107">
        <v>0</v>
      </c>
      <c r="M503" s="105">
        <v>0</v>
      </c>
      <c r="N503" s="106">
        <v>0</v>
      </c>
      <c r="O503" s="107">
        <f t="shared" si="20"/>
        <v>21797</v>
      </c>
      <c r="P503" s="105">
        <f t="shared" si="20"/>
        <v>0</v>
      </c>
      <c r="Q503" s="106">
        <f t="shared" si="20"/>
        <v>21797</v>
      </c>
      <c r="R503" s="105">
        <f t="shared" si="21"/>
        <v>115.32804232804233</v>
      </c>
      <c r="S503" s="105">
        <f t="shared" si="21"/>
        <v>0</v>
      </c>
      <c r="T503" s="108">
        <f t="shared" si="21"/>
        <v>115.32804232804233</v>
      </c>
    </row>
    <row r="504" spans="1:20" s="85" customFormat="1" ht="12.75" x14ac:dyDescent="0.2">
      <c r="A504" s="109">
        <v>4207</v>
      </c>
      <c r="B504" s="110">
        <v>7</v>
      </c>
      <c r="C504" s="103" t="s">
        <v>509</v>
      </c>
      <c r="D504" s="103">
        <v>7</v>
      </c>
      <c r="E504" s="104">
        <f>+SUMIF('GE16FEB14 Unfudged'!$A$2:$A$498, $A504, 'GE16FEB14 Unfudged'!$D$2:$D$498)</f>
        <v>70</v>
      </c>
      <c r="F504" s="104">
        <v>8027</v>
      </c>
      <c r="G504" s="105">
        <v>0</v>
      </c>
      <c r="H504" s="106">
        <v>8027</v>
      </c>
      <c r="I504" s="107">
        <v>0</v>
      </c>
      <c r="J504" s="105">
        <v>0</v>
      </c>
      <c r="K504" s="106">
        <v>0</v>
      </c>
      <c r="L504" s="107">
        <v>0</v>
      </c>
      <c r="M504" s="105">
        <v>0</v>
      </c>
      <c r="N504" s="106">
        <v>0</v>
      </c>
      <c r="O504" s="107">
        <f t="shared" si="20"/>
        <v>8027</v>
      </c>
      <c r="P504" s="105">
        <f t="shared" si="20"/>
        <v>0</v>
      </c>
      <c r="Q504" s="106">
        <f t="shared" si="20"/>
        <v>8027</v>
      </c>
      <c r="R504" s="105">
        <f t="shared" si="21"/>
        <v>114.67142857142858</v>
      </c>
      <c r="S504" s="105">
        <f t="shared" si="21"/>
        <v>0</v>
      </c>
      <c r="T504" s="108">
        <f t="shared" si="21"/>
        <v>114.67142857142858</v>
      </c>
    </row>
    <row r="505" spans="1:20" s="85" customFormat="1" ht="12.75" x14ac:dyDescent="0.2">
      <c r="A505" s="109">
        <v>4208</v>
      </c>
      <c r="B505" s="110">
        <v>7</v>
      </c>
      <c r="C505" s="103" t="s">
        <v>122</v>
      </c>
      <c r="D505" s="103">
        <v>7</v>
      </c>
      <c r="E505" s="104">
        <f>+SUMIF('GE16FEB14 Unfudged'!$A$2:$A$498, $A505, 'GE16FEB14 Unfudged'!$D$2:$D$498)</f>
        <v>143</v>
      </c>
      <c r="F505" s="104">
        <v>16440</v>
      </c>
      <c r="G505" s="105">
        <v>0</v>
      </c>
      <c r="H505" s="106">
        <v>16440</v>
      </c>
      <c r="I505" s="107">
        <v>0</v>
      </c>
      <c r="J505" s="105">
        <v>0</v>
      </c>
      <c r="K505" s="106">
        <v>0</v>
      </c>
      <c r="L505" s="107">
        <v>0</v>
      </c>
      <c r="M505" s="105">
        <v>0</v>
      </c>
      <c r="N505" s="106">
        <v>0</v>
      </c>
      <c r="O505" s="107">
        <f t="shared" si="20"/>
        <v>16440</v>
      </c>
      <c r="P505" s="105">
        <f t="shared" si="20"/>
        <v>0</v>
      </c>
      <c r="Q505" s="106">
        <f t="shared" si="20"/>
        <v>16440</v>
      </c>
      <c r="R505" s="105">
        <f t="shared" si="21"/>
        <v>114.96503496503496</v>
      </c>
      <c r="S505" s="105">
        <f t="shared" si="21"/>
        <v>0</v>
      </c>
      <c r="T505" s="108">
        <f t="shared" si="21"/>
        <v>114.96503496503496</v>
      </c>
    </row>
    <row r="506" spans="1:20" s="85" customFormat="1" ht="12.75" x14ac:dyDescent="0.2">
      <c r="A506" s="109">
        <v>4209</v>
      </c>
      <c r="B506" s="110">
        <v>7</v>
      </c>
      <c r="C506" s="103" t="s">
        <v>123</v>
      </c>
      <c r="D506" s="103">
        <v>7</v>
      </c>
      <c r="E506" s="104">
        <f>+SUMIF('GE16FEB14 Unfudged'!$A$2:$A$498, $A506, 'GE16FEB14 Unfudged'!$D$2:$D$498)</f>
        <v>273</v>
      </c>
      <c r="F506" s="104">
        <v>31485</v>
      </c>
      <c r="G506" s="105">
        <v>0</v>
      </c>
      <c r="H506" s="106">
        <v>31485</v>
      </c>
      <c r="I506" s="107">
        <v>0</v>
      </c>
      <c r="J506" s="105">
        <v>0</v>
      </c>
      <c r="K506" s="106">
        <v>0</v>
      </c>
      <c r="L506" s="107">
        <v>0</v>
      </c>
      <c r="M506" s="105">
        <v>0</v>
      </c>
      <c r="N506" s="106">
        <v>0</v>
      </c>
      <c r="O506" s="107">
        <f t="shared" si="20"/>
        <v>31485</v>
      </c>
      <c r="P506" s="105">
        <f t="shared" si="20"/>
        <v>0</v>
      </c>
      <c r="Q506" s="106">
        <f t="shared" si="20"/>
        <v>31485</v>
      </c>
      <c r="R506" s="105">
        <f t="shared" si="21"/>
        <v>115.32967032967034</v>
      </c>
      <c r="S506" s="105">
        <f t="shared" si="21"/>
        <v>0</v>
      </c>
      <c r="T506" s="108">
        <f t="shared" si="21"/>
        <v>115.32967032967034</v>
      </c>
    </row>
    <row r="507" spans="1:20" s="85" customFormat="1" ht="12.75" x14ac:dyDescent="0.2">
      <c r="A507" s="109">
        <v>4210</v>
      </c>
      <c r="B507" s="110">
        <v>7</v>
      </c>
      <c r="C507" s="103" t="s">
        <v>510</v>
      </c>
      <c r="D507" s="103">
        <v>7</v>
      </c>
      <c r="E507" s="104">
        <f>+SUMIF('GE16FEB14 Unfudged'!$A$2:$A$498, $A507, 'GE16FEB14 Unfudged'!$D$2:$D$498)</f>
        <v>182</v>
      </c>
      <c r="F507" s="104">
        <v>20990</v>
      </c>
      <c r="G507" s="105">
        <v>0</v>
      </c>
      <c r="H507" s="106">
        <v>20990</v>
      </c>
      <c r="I507" s="107">
        <v>0</v>
      </c>
      <c r="J507" s="105">
        <v>0</v>
      </c>
      <c r="K507" s="106">
        <v>0</v>
      </c>
      <c r="L507" s="107">
        <v>0</v>
      </c>
      <c r="M507" s="105">
        <v>0</v>
      </c>
      <c r="N507" s="106">
        <v>0</v>
      </c>
      <c r="O507" s="107">
        <f t="shared" si="20"/>
        <v>20990</v>
      </c>
      <c r="P507" s="105">
        <f t="shared" si="20"/>
        <v>0</v>
      </c>
      <c r="Q507" s="106">
        <f t="shared" si="20"/>
        <v>20990</v>
      </c>
      <c r="R507" s="105">
        <f t="shared" si="21"/>
        <v>115.32967032967034</v>
      </c>
      <c r="S507" s="105">
        <f t="shared" si="21"/>
        <v>0</v>
      </c>
      <c r="T507" s="108">
        <f t="shared" si="21"/>
        <v>115.32967032967034</v>
      </c>
    </row>
    <row r="508" spans="1:20" s="85" customFormat="1" ht="12.75" x14ac:dyDescent="0.2">
      <c r="A508" s="109">
        <v>4211</v>
      </c>
      <c r="B508" s="110">
        <v>7</v>
      </c>
      <c r="C508" s="103" t="s">
        <v>511</v>
      </c>
      <c r="D508" s="103">
        <v>7</v>
      </c>
      <c r="E508" s="104">
        <f>+SUMIF('GE16FEB14 Unfudged'!$A$2:$A$498, $A508, 'GE16FEB14 Unfudged'!$D$2:$D$498)</f>
        <v>49</v>
      </c>
      <c r="F508" s="104">
        <v>5651</v>
      </c>
      <c r="G508" s="105">
        <v>0</v>
      </c>
      <c r="H508" s="106">
        <v>5651</v>
      </c>
      <c r="I508" s="107">
        <v>0</v>
      </c>
      <c r="J508" s="105">
        <v>0</v>
      </c>
      <c r="K508" s="106">
        <v>0</v>
      </c>
      <c r="L508" s="107">
        <v>0</v>
      </c>
      <c r="M508" s="105">
        <v>0</v>
      </c>
      <c r="N508" s="106">
        <v>0</v>
      </c>
      <c r="O508" s="107">
        <f t="shared" si="20"/>
        <v>5651</v>
      </c>
      <c r="P508" s="105">
        <f t="shared" si="20"/>
        <v>0</v>
      </c>
      <c r="Q508" s="106">
        <f t="shared" si="20"/>
        <v>5651</v>
      </c>
      <c r="R508" s="105">
        <f t="shared" si="21"/>
        <v>115.32653061224489</v>
      </c>
      <c r="S508" s="105">
        <f t="shared" si="21"/>
        <v>0</v>
      </c>
      <c r="T508" s="108">
        <f t="shared" si="21"/>
        <v>115.32653061224489</v>
      </c>
    </row>
    <row r="509" spans="1:20" s="85" customFormat="1" ht="12.75" x14ac:dyDescent="0.2">
      <c r="A509" s="109">
        <v>4212</v>
      </c>
      <c r="B509" s="110">
        <v>7</v>
      </c>
      <c r="C509" s="103" t="s">
        <v>512</v>
      </c>
      <c r="D509" s="103">
        <v>7</v>
      </c>
      <c r="E509" s="104">
        <f>+SUMIF('GE16FEB14 Unfudged'!$A$2:$A$498, $A509, 'GE16FEB14 Unfudged'!$D$2:$D$498)</f>
        <v>96</v>
      </c>
      <c r="F509" s="104">
        <v>11071</v>
      </c>
      <c r="G509" s="105">
        <v>0</v>
      </c>
      <c r="H509" s="106">
        <v>11071</v>
      </c>
      <c r="I509" s="107">
        <v>0</v>
      </c>
      <c r="J509" s="105">
        <v>0</v>
      </c>
      <c r="K509" s="106">
        <v>0</v>
      </c>
      <c r="L509" s="107">
        <v>0</v>
      </c>
      <c r="M509" s="105">
        <v>0</v>
      </c>
      <c r="N509" s="106">
        <v>0</v>
      </c>
      <c r="O509" s="107">
        <f t="shared" si="20"/>
        <v>11071</v>
      </c>
      <c r="P509" s="105">
        <f t="shared" si="20"/>
        <v>0</v>
      </c>
      <c r="Q509" s="106">
        <f t="shared" si="20"/>
        <v>11071</v>
      </c>
      <c r="R509" s="105">
        <f t="shared" si="21"/>
        <v>115.32291666666667</v>
      </c>
      <c r="S509" s="105">
        <f t="shared" si="21"/>
        <v>0</v>
      </c>
      <c r="T509" s="108">
        <f t="shared" si="21"/>
        <v>115.32291666666667</v>
      </c>
    </row>
    <row r="510" spans="1:20" s="85" customFormat="1" ht="12.75" x14ac:dyDescent="0.2">
      <c r="A510" s="109">
        <v>4213</v>
      </c>
      <c r="B510" s="110">
        <v>7</v>
      </c>
      <c r="C510" s="103" t="s">
        <v>513</v>
      </c>
      <c r="D510" s="103">
        <v>7</v>
      </c>
      <c r="E510" s="104">
        <f>+SUMIF('GE16FEB14 Unfudged'!$A$2:$A$498, $A510, 'GE16FEB14 Unfudged'!$D$2:$D$498)</f>
        <v>35</v>
      </c>
      <c r="F510" s="104">
        <v>3996</v>
      </c>
      <c r="G510" s="105">
        <v>0</v>
      </c>
      <c r="H510" s="106">
        <v>3996</v>
      </c>
      <c r="I510" s="107">
        <v>0</v>
      </c>
      <c r="J510" s="105">
        <v>0</v>
      </c>
      <c r="K510" s="106">
        <v>0</v>
      </c>
      <c r="L510" s="107">
        <v>0</v>
      </c>
      <c r="M510" s="105">
        <v>0</v>
      </c>
      <c r="N510" s="106">
        <v>0</v>
      </c>
      <c r="O510" s="107">
        <f t="shared" si="20"/>
        <v>3996</v>
      </c>
      <c r="P510" s="105">
        <f t="shared" si="20"/>
        <v>0</v>
      </c>
      <c r="Q510" s="106">
        <f t="shared" si="20"/>
        <v>3996</v>
      </c>
      <c r="R510" s="105">
        <f t="shared" si="21"/>
        <v>114.17142857142858</v>
      </c>
      <c r="S510" s="105">
        <f t="shared" si="21"/>
        <v>0</v>
      </c>
      <c r="T510" s="108">
        <f t="shared" si="21"/>
        <v>114.17142857142858</v>
      </c>
    </row>
    <row r="511" spans="1:20" s="85" customFormat="1" ht="12.75" x14ac:dyDescent="0.2">
      <c r="A511" s="109">
        <v>4214</v>
      </c>
      <c r="B511" s="110">
        <v>7</v>
      </c>
      <c r="C511" s="103" t="s">
        <v>514</v>
      </c>
      <c r="D511" s="103">
        <v>7</v>
      </c>
      <c r="E511" s="104">
        <f>+SUMIF('GE16FEB14 Unfudged'!$A$2:$A$498, $A511, 'GE16FEB14 Unfudged'!$D$2:$D$498)</f>
        <v>34</v>
      </c>
      <c r="F511" s="104">
        <v>3927</v>
      </c>
      <c r="G511" s="105">
        <v>0</v>
      </c>
      <c r="H511" s="106">
        <v>3927</v>
      </c>
      <c r="I511" s="107">
        <v>0</v>
      </c>
      <c r="J511" s="105">
        <v>0</v>
      </c>
      <c r="K511" s="106">
        <v>0</v>
      </c>
      <c r="L511" s="107">
        <v>0</v>
      </c>
      <c r="M511" s="105">
        <v>0</v>
      </c>
      <c r="N511" s="106">
        <v>0</v>
      </c>
      <c r="O511" s="107">
        <f t="shared" si="20"/>
        <v>3927</v>
      </c>
      <c r="P511" s="105">
        <f t="shared" si="20"/>
        <v>0</v>
      </c>
      <c r="Q511" s="106">
        <f t="shared" si="20"/>
        <v>3927</v>
      </c>
      <c r="R511" s="105">
        <f t="shared" si="21"/>
        <v>115.5</v>
      </c>
      <c r="S511" s="105">
        <f t="shared" si="21"/>
        <v>0</v>
      </c>
      <c r="T511" s="108">
        <f t="shared" si="21"/>
        <v>115.5</v>
      </c>
    </row>
    <row r="512" spans="1:20" s="85" customFormat="1" ht="12.75" x14ac:dyDescent="0.2">
      <c r="A512" s="109">
        <v>4218</v>
      </c>
      <c r="B512" s="110">
        <v>7</v>
      </c>
      <c r="C512" s="103" t="s">
        <v>515</v>
      </c>
      <c r="D512" s="103">
        <v>7</v>
      </c>
      <c r="E512" s="104">
        <f>+SUMIF('GE16FEB14 Unfudged'!$A$2:$A$498, $A512, 'GE16FEB14 Unfudged'!$D$2:$D$498)</f>
        <v>121</v>
      </c>
      <c r="F512" s="104">
        <v>14001</v>
      </c>
      <c r="G512" s="105">
        <v>0</v>
      </c>
      <c r="H512" s="106">
        <v>14001</v>
      </c>
      <c r="I512" s="107">
        <v>0</v>
      </c>
      <c r="J512" s="105">
        <v>0</v>
      </c>
      <c r="K512" s="106">
        <v>0</v>
      </c>
      <c r="L512" s="107">
        <v>0</v>
      </c>
      <c r="M512" s="105">
        <v>0</v>
      </c>
      <c r="N512" s="106">
        <v>0</v>
      </c>
      <c r="O512" s="107">
        <f t="shared" si="20"/>
        <v>14001</v>
      </c>
      <c r="P512" s="105">
        <f t="shared" si="20"/>
        <v>0</v>
      </c>
      <c r="Q512" s="106">
        <f t="shared" si="20"/>
        <v>14001</v>
      </c>
      <c r="R512" s="105">
        <f t="shared" si="21"/>
        <v>115.7107438016529</v>
      </c>
      <c r="S512" s="105">
        <f t="shared" si="21"/>
        <v>0</v>
      </c>
      <c r="T512" s="108">
        <f t="shared" si="21"/>
        <v>115.7107438016529</v>
      </c>
    </row>
    <row r="513" spans="1:20" s="85" customFormat="1" ht="12.75" x14ac:dyDescent="0.2">
      <c r="A513" s="109">
        <v>4999</v>
      </c>
      <c r="B513" s="110">
        <v>7</v>
      </c>
      <c r="C513" s="103" t="s">
        <v>124</v>
      </c>
      <c r="D513" s="103">
        <v>7</v>
      </c>
      <c r="E513" s="104">
        <f>+SUMIF('GE16FEB14 Unfudged'!$A$2:$A$498, $A513, 'GE16FEB14 Unfudged'!$D$2:$D$498)</f>
        <v>6328</v>
      </c>
      <c r="F513" s="104">
        <v>900200</v>
      </c>
      <c r="G513" s="105">
        <v>0</v>
      </c>
      <c r="H513" s="106">
        <v>900200</v>
      </c>
      <c r="I513" s="107">
        <v>0</v>
      </c>
      <c r="J513" s="105">
        <v>0</v>
      </c>
      <c r="K513" s="106">
        <v>0</v>
      </c>
      <c r="L513" s="107">
        <v>0</v>
      </c>
      <c r="M513" s="105">
        <v>0</v>
      </c>
      <c r="N513" s="106">
        <v>0</v>
      </c>
      <c r="O513" s="107">
        <f t="shared" si="20"/>
        <v>900200</v>
      </c>
      <c r="P513" s="105">
        <f t="shared" si="20"/>
        <v>0</v>
      </c>
      <c r="Q513" s="106">
        <f t="shared" si="20"/>
        <v>900200</v>
      </c>
      <c r="R513" s="105">
        <f t="shared" si="21"/>
        <v>142.25663716814159</v>
      </c>
      <c r="S513" s="105">
        <f t="shared" si="21"/>
        <v>0</v>
      </c>
      <c r="T513" s="108">
        <f t="shared" si="21"/>
        <v>142.25663716814159</v>
      </c>
    </row>
    <row r="514" spans="1:20" s="85" customFormat="1" ht="13.5" thickBot="1" x14ac:dyDescent="0.25">
      <c r="A514" s="111">
        <v>6000</v>
      </c>
      <c r="B514" s="112">
        <v>7</v>
      </c>
      <c r="C514" s="113" t="s">
        <v>516</v>
      </c>
      <c r="D514" s="113">
        <v>24</v>
      </c>
      <c r="E514" s="114">
        <f>+SUMIF('GE16FEB14 Unfudged'!$A$2:$A$498, $A514, 'GE16FEB14 Unfudged'!$D$2:$D$498)</f>
        <v>0</v>
      </c>
      <c r="F514" s="114">
        <v>0</v>
      </c>
      <c r="G514" s="115">
        <v>0</v>
      </c>
      <c r="H514" s="116">
        <v>0</v>
      </c>
      <c r="I514" s="117">
        <v>0</v>
      </c>
      <c r="J514" s="115">
        <v>0</v>
      </c>
      <c r="K514" s="116">
        <v>0</v>
      </c>
      <c r="L514" s="117">
        <v>0</v>
      </c>
      <c r="M514" s="115">
        <v>0</v>
      </c>
      <c r="N514" s="116">
        <v>0</v>
      </c>
      <c r="O514" s="117">
        <f t="shared" si="20"/>
        <v>0</v>
      </c>
      <c r="P514" s="115">
        <f t="shared" si="20"/>
        <v>0</v>
      </c>
      <c r="Q514" s="116">
        <f t="shared" si="20"/>
        <v>0</v>
      </c>
      <c r="R514" s="115">
        <f t="shared" si="21"/>
        <v>0</v>
      </c>
      <c r="S514" s="115">
        <f t="shared" si="21"/>
        <v>0</v>
      </c>
      <c r="T514" s="118">
        <f t="shared" si="21"/>
        <v>0</v>
      </c>
    </row>
    <row r="515" spans="1:20" s="85" customFormat="1" ht="12.75" x14ac:dyDescent="0.2">
      <c r="A515" s="66" t="s">
        <v>545</v>
      </c>
      <c r="B515" s="66"/>
      <c r="C515" s="66"/>
    </row>
    <row r="516" spans="1:20" s="85" customFormat="1" ht="12.75" hidden="1" x14ac:dyDescent="0.2">
      <c r="A516" s="66"/>
      <c r="B516" s="66"/>
      <c r="C516" s="66"/>
    </row>
    <row r="517" spans="1:20" s="85" customFormat="1" ht="12.75" hidden="1" x14ac:dyDescent="0.2">
      <c r="A517" s="66"/>
      <c r="B517" s="66"/>
      <c r="C517" s="66"/>
    </row>
  </sheetData>
  <printOptions gridLines="1"/>
  <pageMargins left="0.25" right="0.25" top="0.75" bottom="0.5" header="0.3" footer="0.3"/>
  <pageSetup scale="78" fitToHeight="0" orientation="landscape" r:id="rId1"/>
  <headerFooter>
    <oddHeader>&amp;LMDE School Finance&amp;C&amp;"Arial,Bold"2014 TAX BILL (Laws 2014, Chapter 150)
Impact on FY 2016 Maximum School District Revenue, Aid and Levy
&amp;R3/26/2014</oddHead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15"/>
  <sheetViews>
    <sheetView tabSelected="1" zoomScaleNormal="100" workbookViewId="0">
      <pane xSplit="5" ySplit="17" topLeftCell="F18" activePane="bottomRight" state="frozen"/>
      <selection pane="topRight" activeCell="F1" sqref="F1"/>
      <selection pane="bottomLeft" activeCell="A18" sqref="A18"/>
      <selection pane="bottomRight"/>
    </sheetView>
  </sheetViews>
  <sheetFormatPr defaultColWidth="0" defaultRowHeight="12.75" zeroHeight="1" x14ac:dyDescent="0.2"/>
  <cols>
    <col min="1" max="1" width="5.85546875" style="66" bestFit="1" customWidth="1"/>
    <col min="2" max="2" width="3.5703125" style="66" hidden="1" customWidth="1"/>
    <col min="3" max="3" width="25.7109375" style="66" customWidth="1"/>
    <col min="4" max="4" width="3.5703125" style="66" hidden="1" customWidth="1"/>
    <col min="5" max="5" width="6.85546875" style="66" bestFit="1" customWidth="1"/>
    <col min="6" max="8" width="8.42578125" style="66" bestFit="1" customWidth="1"/>
    <col min="9" max="9" width="9.5703125" style="66" bestFit="1" customWidth="1"/>
    <col min="10" max="11" width="8.7109375" style="66" bestFit="1" customWidth="1"/>
    <col min="12" max="14" width="9.28515625" style="66" bestFit="1" customWidth="1"/>
    <col min="15" max="17" width="8.7109375" style="66" bestFit="1" customWidth="1"/>
    <col min="18" max="18" width="8.140625" style="66" bestFit="1" customWidth="1"/>
    <col min="19" max="19" width="5.28515625" style="66" bestFit="1" customWidth="1"/>
    <col min="20" max="20" width="4.28515625" style="66" bestFit="1" customWidth="1"/>
    <col min="21" max="23" width="9.140625" style="82" customWidth="1"/>
    <col min="24" max="16384" width="9.140625" style="82" hidden="1"/>
  </cols>
  <sheetData>
    <row r="1" spans="1:23" s="119" customFormat="1" ht="20.25" thickBot="1" x14ac:dyDescent="0.35">
      <c r="A1" s="144" t="s">
        <v>543</v>
      </c>
      <c r="B1" s="59"/>
      <c r="C1" s="144" t="s">
        <v>543</v>
      </c>
      <c r="D1" s="144"/>
      <c r="E1" s="144" t="s">
        <v>543</v>
      </c>
      <c r="F1" s="129" t="s">
        <v>538</v>
      </c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42" t="s">
        <v>543</v>
      </c>
      <c r="S1" s="142" t="s">
        <v>543</v>
      </c>
      <c r="T1" s="143" t="s">
        <v>543</v>
      </c>
      <c r="U1" s="148" t="s">
        <v>546</v>
      </c>
      <c r="V1" s="148" t="s">
        <v>546</v>
      </c>
      <c r="W1" s="148" t="s">
        <v>546</v>
      </c>
    </row>
    <row r="2" spans="1:23" x14ac:dyDescent="0.2">
      <c r="A2" s="136" t="s">
        <v>543</v>
      </c>
      <c r="B2" s="60"/>
      <c r="C2" s="136" t="s">
        <v>543</v>
      </c>
      <c r="D2" s="60"/>
      <c r="E2" s="125" t="s">
        <v>543</v>
      </c>
      <c r="F2" s="128" t="s">
        <v>543</v>
      </c>
      <c r="G2" s="126" t="s">
        <v>543</v>
      </c>
      <c r="H2" s="127" t="s">
        <v>543</v>
      </c>
      <c r="I2" s="64" t="s">
        <v>539</v>
      </c>
      <c r="J2" s="62" t="s">
        <v>539</v>
      </c>
      <c r="K2" s="63" t="s">
        <v>539</v>
      </c>
      <c r="L2" s="64" t="s">
        <v>128</v>
      </c>
      <c r="M2" s="62" t="s">
        <v>128</v>
      </c>
      <c r="N2" s="63" t="s">
        <v>128</v>
      </c>
      <c r="O2" s="64" t="s">
        <v>127</v>
      </c>
      <c r="P2" s="62" t="s">
        <v>127</v>
      </c>
      <c r="Q2" s="63" t="s">
        <v>127</v>
      </c>
      <c r="R2" s="62" t="s">
        <v>127</v>
      </c>
      <c r="S2" s="62" t="s">
        <v>127</v>
      </c>
      <c r="T2" s="65" t="s">
        <v>127</v>
      </c>
    </row>
    <row r="3" spans="1:23" x14ac:dyDescent="0.2">
      <c r="A3" s="136" t="s">
        <v>543</v>
      </c>
      <c r="B3" s="60"/>
      <c r="C3" s="136" t="s">
        <v>543</v>
      </c>
      <c r="D3" s="60"/>
      <c r="E3" s="67" t="s">
        <v>525</v>
      </c>
      <c r="F3" s="67" t="s">
        <v>125</v>
      </c>
      <c r="G3" s="68" t="s">
        <v>125</v>
      </c>
      <c r="H3" s="69" t="s">
        <v>125</v>
      </c>
      <c r="I3" s="70" t="s">
        <v>540</v>
      </c>
      <c r="J3" s="68" t="s">
        <v>540</v>
      </c>
      <c r="K3" s="69" t="s">
        <v>540</v>
      </c>
      <c r="L3" s="70" t="s">
        <v>129</v>
      </c>
      <c r="M3" s="68" t="s">
        <v>129</v>
      </c>
      <c r="N3" s="69" t="s">
        <v>129</v>
      </c>
      <c r="O3" s="70" t="s">
        <v>526</v>
      </c>
      <c r="P3" s="68" t="s">
        <v>526</v>
      </c>
      <c r="Q3" s="69" t="s">
        <v>526</v>
      </c>
      <c r="R3" s="68" t="s">
        <v>541</v>
      </c>
      <c r="S3" s="68" t="s">
        <v>534</v>
      </c>
      <c r="T3" s="71" t="s">
        <v>535</v>
      </c>
    </row>
    <row r="4" spans="1:23" ht="13.5" thickBot="1" x14ac:dyDescent="0.25">
      <c r="A4" s="136" t="s">
        <v>543</v>
      </c>
      <c r="B4" s="60"/>
      <c r="C4" s="136" t="s">
        <v>543</v>
      </c>
      <c r="D4" s="60"/>
      <c r="E4" s="72" t="s">
        <v>537</v>
      </c>
      <c r="F4" s="72" t="s">
        <v>0</v>
      </c>
      <c r="G4" s="73" t="s">
        <v>1</v>
      </c>
      <c r="H4" s="74" t="s">
        <v>2</v>
      </c>
      <c r="I4" s="75" t="s">
        <v>0</v>
      </c>
      <c r="J4" s="73" t="s">
        <v>1</v>
      </c>
      <c r="K4" s="74" t="s">
        <v>2</v>
      </c>
      <c r="L4" s="75" t="s">
        <v>0</v>
      </c>
      <c r="M4" s="73" t="s">
        <v>1</v>
      </c>
      <c r="N4" s="74" t="s">
        <v>2</v>
      </c>
      <c r="O4" s="75" t="s">
        <v>0</v>
      </c>
      <c r="P4" s="73" t="s">
        <v>1</v>
      </c>
      <c r="Q4" s="74" t="s">
        <v>2</v>
      </c>
      <c r="R4" s="73" t="s">
        <v>542</v>
      </c>
      <c r="S4" s="73" t="s">
        <v>537</v>
      </c>
      <c r="T4" s="76" t="s">
        <v>537</v>
      </c>
    </row>
    <row r="5" spans="1:23" x14ac:dyDescent="0.2">
      <c r="A5" s="120" t="s">
        <v>544</v>
      </c>
      <c r="E5" s="77"/>
      <c r="F5" s="77"/>
      <c r="G5" s="78"/>
      <c r="H5" s="79"/>
      <c r="I5" s="80"/>
      <c r="J5" s="78"/>
      <c r="K5" s="79"/>
      <c r="L5" s="80"/>
      <c r="M5" s="78"/>
      <c r="N5" s="79"/>
      <c r="O5" s="80"/>
      <c r="P5" s="78"/>
      <c r="Q5" s="79"/>
      <c r="R5" s="78"/>
      <c r="S5" s="78"/>
      <c r="T5" s="81"/>
    </row>
    <row r="6" spans="1:23" x14ac:dyDescent="0.2">
      <c r="A6" s="138" t="s">
        <v>543</v>
      </c>
      <c r="B6" s="87"/>
      <c r="C6" s="87" t="s">
        <v>531</v>
      </c>
      <c r="D6" s="87"/>
      <c r="E6" s="88">
        <f>SUM(E18:E514)</f>
        <v>921112</v>
      </c>
      <c r="F6" s="88">
        <f>+'FY16 Tax Bill'!F6-'FY16 Feb Forecast'!F6</f>
        <v>2256067</v>
      </c>
      <c r="G6" s="89">
        <f>+'FY16 Tax Bill'!G6-'FY16 Feb Forecast'!G6</f>
        <v>1310034</v>
      </c>
      <c r="H6" s="90">
        <f>+'FY16 Tax Bill'!H6-'FY16 Feb Forecast'!H6</f>
        <v>946033</v>
      </c>
      <c r="I6" s="91">
        <f>+'FY16 Tax Bill'!I6-'FY16 Feb Forecast'!I6</f>
        <v>113684780</v>
      </c>
      <c r="J6" s="89">
        <f>+'FY16 Tax Bill'!J6-'FY16 Feb Forecast'!J6</f>
        <v>77553009</v>
      </c>
      <c r="K6" s="90">
        <f>+'FY16 Tax Bill'!K6-'FY16 Feb Forecast'!K6</f>
        <v>36131771</v>
      </c>
      <c r="L6" s="91">
        <f>+'FY16 Tax Bill'!L6-'FY16 Feb Forecast'!L6</f>
        <v>-71452606</v>
      </c>
      <c r="M6" s="89">
        <f>+'FY16 Tax Bill'!M6-'FY16 Feb Forecast'!M6</f>
        <v>-55540050</v>
      </c>
      <c r="N6" s="90">
        <f>+'FY16 Tax Bill'!N6-'FY16 Feb Forecast'!N6</f>
        <v>-15912556</v>
      </c>
      <c r="O6" s="91">
        <f>+'FY16 Tax Bill'!O6-'FY16 Feb Forecast'!O6</f>
        <v>44488241</v>
      </c>
      <c r="P6" s="89">
        <f>+'FY16 Tax Bill'!P6-'FY16 Feb Forecast'!P6</f>
        <v>23322993</v>
      </c>
      <c r="Q6" s="90">
        <f>+'FY16 Tax Bill'!Q6-'FY16 Feb Forecast'!Q6</f>
        <v>21165248</v>
      </c>
      <c r="R6" s="89">
        <f>+'FY16 Tax Bill'!R6-'FY16 Feb Forecast'!R6</f>
        <v>48.298405622768996</v>
      </c>
      <c r="S6" s="89">
        <f>+'FY16 Tax Bill'!S6-'FY16 Feb Forecast'!S6</f>
        <v>25.320474600265698</v>
      </c>
      <c r="T6" s="92">
        <f>+'FY16 Tax Bill'!T6-'FY16 Feb Forecast'!T6</f>
        <v>22.977931022503242</v>
      </c>
    </row>
    <row r="7" spans="1:23" ht="13.5" thickBot="1" x14ac:dyDescent="0.25">
      <c r="A7" s="120" t="s">
        <v>544</v>
      </c>
      <c r="E7" s="77"/>
      <c r="F7" s="77"/>
      <c r="G7" s="78"/>
      <c r="H7" s="79"/>
      <c r="I7" s="80"/>
      <c r="J7" s="78"/>
      <c r="K7" s="79"/>
      <c r="L7" s="80"/>
      <c r="M7" s="78"/>
      <c r="N7" s="79"/>
      <c r="O7" s="80"/>
      <c r="P7" s="78"/>
      <c r="Q7" s="79"/>
      <c r="R7" s="78"/>
      <c r="S7" s="78"/>
      <c r="T7" s="81"/>
    </row>
    <row r="8" spans="1:23" x14ac:dyDescent="0.2">
      <c r="A8" s="139" t="s">
        <v>543</v>
      </c>
      <c r="B8" s="94"/>
      <c r="C8" s="94" t="s">
        <v>130</v>
      </c>
      <c r="D8" s="94">
        <v>1</v>
      </c>
      <c r="E8" s="96">
        <f t="shared" ref="E8:E16" si="0">SUMIF($D$18:$D$514,$D8,E$18:E$514)</f>
        <v>80335</v>
      </c>
      <c r="F8" s="96">
        <f>+'FY16 Tax Bill'!F8-'FY16 Feb Forecast'!F8</f>
        <v>0</v>
      </c>
      <c r="G8" s="97">
        <f>+'FY16 Tax Bill'!G8-'FY16 Feb Forecast'!G8</f>
        <v>0</v>
      </c>
      <c r="H8" s="98">
        <f>+'FY16 Tax Bill'!H8-'FY16 Feb Forecast'!H8</f>
        <v>0</v>
      </c>
      <c r="I8" s="99">
        <f>+'FY16 Tax Bill'!I8-'FY16 Feb Forecast'!I8</f>
        <v>0</v>
      </c>
      <c r="J8" s="97">
        <f>+'FY16 Tax Bill'!J8-'FY16 Feb Forecast'!J8</f>
        <v>0</v>
      </c>
      <c r="K8" s="98">
        <f>+'FY16 Tax Bill'!K8-'FY16 Feb Forecast'!K8</f>
        <v>0</v>
      </c>
      <c r="L8" s="99">
        <f>+'FY16 Tax Bill'!L8-'FY16 Feb Forecast'!L8</f>
        <v>0</v>
      </c>
      <c r="M8" s="97">
        <f>+'FY16 Tax Bill'!M8-'FY16 Feb Forecast'!M8</f>
        <v>0</v>
      </c>
      <c r="N8" s="98">
        <f>+'FY16 Tax Bill'!N8-'FY16 Feb Forecast'!N8</f>
        <v>0</v>
      </c>
      <c r="O8" s="99">
        <f>+'FY16 Tax Bill'!O8-'FY16 Feb Forecast'!O8</f>
        <v>0</v>
      </c>
      <c r="P8" s="97">
        <f>+'FY16 Tax Bill'!P8-'FY16 Feb Forecast'!P8</f>
        <v>0</v>
      </c>
      <c r="Q8" s="98">
        <f>+'FY16 Tax Bill'!Q8-'FY16 Feb Forecast'!Q8</f>
        <v>0</v>
      </c>
      <c r="R8" s="97">
        <f>+'FY16 Tax Bill'!R8-'FY16 Feb Forecast'!R8</f>
        <v>0</v>
      </c>
      <c r="S8" s="97">
        <f>+'FY16 Tax Bill'!S8-'FY16 Feb Forecast'!S8</f>
        <v>0</v>
      </c>
      <c r="T8" s="100">
        <f>+'FY16 Tax Bill'!T8-'FY16 Feb Forecast'!T8</f>
        <v>0</v>
      </c>
    </row>
    <row r="9" spans="1:23" x14ac:dyDescent="0.2">
      <c r="A9" s="140" t="s">
        <v>543</v>
      </c>
      <c r="B9" s="110"/>
      <c r="C9" s="110" t="s">
        <v>131</v>
      </c>
      <c r="D9" s="110">
        <v>2</v>
      </c>
      <c r="E9" s="104">
        <f t="shared" si="0"/>
        <v>95296</v>
      </c>
      <c r="F9" s="104">
        <f>+'FY16 Tax Bill'!F9-'FY16 Feb Forecast'!F9</f>
        <v>0</v>
      </c>
      <c r="G9" s="105">
        <f>+'FY16 Tax Bill'!G9-'FY16 Feb Forecast'!G9</f>
        <v>0</v>
      </c>
      <c r="H9" s="106">
        <f>+'FY16 Tax Bill'!H9-'FY16 Feb Forecast'!H9</f>
        <v>0</v>
      </c>
      <c r="I9" s="107">
        <f>+'FY16 Tax Bill'!I9-'FY16 Feb Forecast'!I9</f>
        <v>0</v>
      </c>
      <c r="J9" s="105">
        <f>+'FY16 Tax Bill'!J9-'FY16 Feb Forecast'!J9</f>
        <v>0</v>
      </c>
      <c r="K9" s="106">
        <f>+'FY16 Tax Bill'!K9-'FY16 Feb Forecast'!K9</f>
        <v>0</v>
      </c>
      <c r="L9" s="107">
        <f>+'FY16 Tax Bill'!L9-'FY16 Feb Forecast'!L9</f>
        <v>0</v>
      </c>
      <c r="M9" s="105">
        <f>+'FY16 Tax Bill'!M9-'FY16 Feb Forecast'!M9</f>
        <v>0</v>
      </c>
      <c r="N9" s="106">
        <f>+'FY16 Tax Bill'!N9-'FY16 Feb Forecast'!N9</f>
        <v>0</v>
      </c>
      <c r="O9" s="107">
        <f>+'FY16 Tax Bill'!O9-'FY16 Feb Forecast'!O9</f>
        <v>0</v>
      </c>
      <c r="P9" s="105">
        <f>+'FY16 Tax Bill'!P9-'FY16 Feb Forecast'!P9</f>
        <v>0</v>
      </c>
      <c r="Q9" s="106">
        <f>+'FY16 Tax Bill'!Q9-'FY16 Feb Forecast'!Q9</f>
        <v>0</v>
      </c>
      <c r="R9" s="105">
        <f>+'FY16 Tax Bill'!R9-'FY16 Feb Forecast'!R9</f>
        <v>0</v>
      </c>
      <c r="S9" s="105">
        <f>+'FY16 Tax Bill'!S9-'FY16 Feb Forecast'!S9</f>
        <v>0</v>
      </c>
      <c r="T9" s="108">
        <f>+'FY16 Tax Bill'!T9-'FY16 Feb Forecast'!T9</f>
        <v>0</v>
      </c>
    </row>
    <row r="10" spans="1:23" x14ac:dyDescent="0.2">
      <c r="A10" s="140" t="s">
        <v>543</v>
      </c>
      <c r="B10" s="110"/>
      <c r="C10" s="110" t="s">
        <v>132</v>
      </c>
      <c r="D10" s="110">
        <v>3</v>
      </c>
      <c r="E10" s="104">
        <f t="shared" si="0"/>
        <v>286862</v>
      </c>
      <c r="F10" s="104">
        <f>+'FY16 Tax Bill'!F10-'FY16 Feb Forecast'!F10</f>
        <v>-65300</v>
      </c>
      <c r="G10" s="105">
        <f>+'FY16 Tax Bill'!G10-'FY16 Feb Forecast'!G10</f>
        <v>-57272</v>
      </c>
      <c r="H10" s="106">
        <f>+'FY16 Tax Bill'!H10-'FY16 Feb Forecast'!H10</f>
        <v>-8028</v>
      </c>
      <c r="I10" s="107">
        <f>+'FY16 Tax Bill'!I10-'FY16 Feb Forecast'!I10</f>
        <v>0</v>
      </c>
      <c r="J10" s="105">
        <f>+'FY16 Tax Bill'!J10-'FY16 Feb Forecast'!J10</f>
        <v>0</v>
      </c>
      <c r="K10" s="106">
        <f>+'FY16 Tax Bill'!K10-'FY16 Feb Forecast'!K10</f>
        <v>0</v>
      </c>
      <c r="L10" s="107">
        <f>+'FY16 Tax Bill'!L10-'FY16 Feb Forecast'!L10</f>
        <v>0</v>
      </c>
      <c r="M10" s="105">
        <f>+'FY16 Tax Bill'!M10-'FY16 Feb Forecast'!M10</f>
        <v>0</v>
      </c>
      <c r="N10" s="106">
        <f>+'FY16 Tax Bill'!N10-'FY16 Feb Forecast'!N10</f>
        <v>0</v>
      </c>
      <c r="O10" s="107">
        <f>+'FY16 Tax Bill'!O10-'FY16 Feb Forecast'!O10</f>
        <v>-65300</v>
      </c>
      <c r="P10" s="105">
        <f>+'FY16 Tax Bill'!P10-'FY16 Feb Forecast'!P10</f>
        <v>-57272</v>
      </c>
      <c r="Q10" s="106">
        <f>+'FY16 Tax Bill'!Q10-'FY16 Feb Forecast'!Q10</f>
        <v>-8028</v>
      </c>
      <c r="R10" s="105">
        <f>+'FY16 Tax Bill'!R10-'FY16 Feb Forecast'!R10</f>
        <v>-0.22763558784367888</v>
      </c>
      <c r="S10" s="105">
        <f>+'FY16 Tax Bill'!S10-'FY16 Feb Forecast'!S10</f>
        <v>-0.19965000592628712</v>
      </c>
      <c r="T10" s="108">
        <f>+'FY16 Tax Bill'!T10-'FY16 Feb Forecast'!T10</f>
        <v>-2.7985581917420177E-2</v>
      </c>
    </row>
    <row r="11" spans="1:23" x14ac:dyDescent="0.2">
      <c r="A11" s="140" t="s">
        <v>543</v>
      </c>
      <c r="B11" s="110"/>
      <c r="C11" s="110" t="s">
        <v>133</v>
      </c>
      <c r="D11" s="110">
        <v>4</v>
      </c>
      <c r="E11" s="104">
        <f t="shared" si="0"/>
        <v>199708</v>
      </c>
      <c r="F11" s="104">
        <f>+'FY16 Tax Bill'!F11-'FY16 Feb Forecast'!F11</f>
        <v>576464</v>
      </c>
      <c r="G11" s="105">
        <f>+'FY16 Tax Bill'!G11-'FY16 Feb Forecast'!G11</f>
        <v>430354</v>
      </c>
      <c r="H11" s="106">
        <f>+'FY16 Tax Bill'!H11-'FY16 Feb Forecast'!H11</f>
        <v>146110</v>
      </c>
      <c r="I11" s="107">
        <f>+'FY16 Tax Bill'!I11-'FY16 Feb Forecast'!I11</f>
        <v>37193802</v>
      </c>
      <c r="J11" s="105">
        <f>+'FY16 Tax Bill'!J11-'FY16 Feb Forecast'!J11</f>
        <v>29900546</v>
      </c>
      <c r="K11" s="106">
        <f>+'FY16 Tax Bill'!K11-'FY16 Feb Forecast'!K11</f>
        <v>7293256</v>
      </c>
      <c r="L11" s="107">
        <f>+'FY16 Tax Bill'!L11-'FY16 Feb Forecast'!L11</f>
        <v>-21332782</v>
      </c>
      <c r="M11" s="105">
        <f>+'FY16 Tax Bill'!M11-'FY16 Feb Forecast'!M11</f>
        <v>-17706441</v>
      </c>
      <c r="N11" s="106">
        <f>+'FY16 Tax Bill'!N11-'FY16 Feb Forecast'!N11</f>
        <v>-3626341</v>
      </c>
      <c r="O11" s="107">
        <f>+'FY16 Tax Bill'!O11-'FY16 Feb Forecast'!O11</f>
        <v>16437484</v>
      </c>
      <c r="P11" s="105">
        <f>+'FY16 Tax Bill'!P11-'FY16 Feb Forecast'!P11</f>
        <v>12624459</v>
      </c>
      <c r="Q11" s="106">
        <f>+'FY16 Tax Bill'!Q11-'FY16 Feb Forecast'!Q11</f>
        <v>3813025</v>
      </c>
      <c r="R11" s="105">
        <f>+'FY16 Tax Bill'!R11-'FY16 Feb Forecast'!R11</f>
        <v>82.307589080056914</v>
      </c>
      <c r="S11" s="105">
        <f>+'FY16 Tax Bill'!S11-'FY16 Feb Forecast'!S11</f>
        <v>63.214588298916397</v>
      </c>
      <c r="T11" s="108">
        <f>+'FY16 Tax Bill'!T11-'FY16 Feb Forecast'!T11</f>
        <v>19.093000781140461</v>
      </c>
    </row>
    <row r="12" spans="1:23" x14ac:dyDescent="0.2">
      <c r="A12" s="140" t="s">
        <v>543</v>
      </c>
      <c r="B12" s="110"/>
      <c r="C12" s="110" t="s">
        <v>134</v>
      </c>
      <c r="D12" s="110">
        <v>5</v>
      </c>
      <c r="E12" s="104">
        <f t="shared" si="0"/>
        <v>101624</v>
      </c>
      <c r="F12" s="104">
        <f>+'FY16 Tax Bill'!F12-'FY16 Feb Forecast'!F12</f>
        <v>989397</v>
      </c>
      <c r="G12" s="105">
        <f>+'FY16 Tax Bill'!G12-'FY16 Feb Forecast'!G12</f>
        <v>658112</v>
      </c>
      <c r="H12" s="106">
        <f>+'FY16 Tax Bill'!H12-'FY16 Feb Forecast'!H12</f>
        <v>331285</v>
      </c>
      <c r="I12" s="107">
        <f>+'FY16 Tax Bill'!I12-'FY16 Feb Forecast'!I12</f>
        <v>39478680</v>
      </c>
      <c r="J12" s="105">
        <f>+'FY16 Tax Bill'!J12-'FY16 Feb Forecast'!J12</f>
        <v>26925599</v>
      </c>
      <c r="K12" s="106">
        <f>+'FY16 Tax Bill'!K12-'FY16 Feb Forecast'!K12</f>
        <v>12553081</v>
      </c>
      <c r="L12" s="107">
        <f>+'FY16 Tax Bill'!L12-'FY16 Feb Forecast'!L12</f>
        <v>-24667361</v>
      </c>
      <c r="M12" s="105">
        <f>+'FY16 Tax Bill'!M12-'FY16 Feb Forecast'!M12</f>
        <v>-17927923</v>
      </c>
      <c r="N12" s="106">
        <f>+'FY16 Tax Bill'!N12-'FY16 Feb Forecast'!N12</f>
        <v>-6739438</v>
      </c>
      <c r="O12" s="107">
        <f>+'FY16 Tax Bill'!O12-'FY16 Feb Forecast'!O12</f>
        <v>15800716</v>
      </c>
      <c r="P12" s="105">
        <f>+'FY16 Tax Bill'!P12-'FY16 Feb Forecast'!P12</f>
        <v>9655788</v>
      </c>
      <c r="Q12" s="106">
        <f>+'FY16 Tax Bill'!Q12-'FY16 Feb Forecast'!Q12</f>
        <v>6144928</v>
      </c>
      <c r="R12" s="105">
        <f>+'FY16 Tax Bill'!R12-'FY16 Feb Forecast'!R12</f>
        <v>155.48213020546325</v>
      </c>
      <c r="S12" s="105">
        <f>+'FY16 Tax Bill'!S12-'FY16 Feb Forecast'!S12</f>
        <v>95.01483901440605</v>
      </c>
      <c r="T12" s="108">
        <f>+'FY16 Tax Bill'!T12-'FY16 Feb Forecast'!T12</f>
        <v>60.467291191057257</v>
      </c>
    </row>
    <row r="13" spans="1:23" x14ac:dyDescent="0.2">
      <c r="A13" s="140" t="s">
        <v>543</v>
      </c>
      <c r="B13" s="110"/>
      <c r="C13" s="110" t="s">
        <v>135</v>
      </c>
      <c r="D13" s="110">
        <v>6</v>
      </c>
      <c r="E13" s="104">
        <f t="shared" si="0"/>
        <v>92857</v>
      </c>
      <c r="F13" s="104">
        <f>+'FY16 Tax Bill'!F13-'FY16 Feb Forecast'!F13</f>
        <v>864067</v>
      </c>
      <c r="G13" s="105">
        <f>+'FY16 Tax Bill'!G13-'FY16 Feb Forecast'!G13</f>
        <v>563627</v>
      </c>
      <c r="H13" s="106">
        <f>+'FY16 Tax Bill'!H13-'FY16 Feb Forecast'!H13</f>
        <v>300440</v>
      </c>
      <c r="I13" s="107">
        <f>+'FY16 Tax Bill'!I13-'FY16 Feb Forecast'!I13</f>
        <v>39190801</v>
      </c>
      <c r="J13" s="105">
        <f>+'FY16 Tax Bill'!J13-'FY16 Feb Forecast'!J13</f>
        <v>25215494</v>
      </c>
      <c r="K13" s="106">
        <f>+'FY16 Tax Bill'!K13-'FY16 Feb Forecast'!K13</f>
        <v>13975307</v>
      </c>
      <c r="L13" s="107">
        <f>+'FY16 Tax Bill'!L13-'FY16 Feb Forecast'!L13</f>
        <v>-27789126</v>
      </c>
      <c r="M13" s="105">
        <f>+'FY16 Tax Bill'!M13-'FY16 Feb Forecast'!M13</f>
        <v>-22642215</v>
      </c>
      <c r="N13" s="106">
        <f>+'FY16 Tax Bill'!N13-'FY16 Feb Forecast'!N13</f>
        <v>-5146911</v>
      </c>
      <c r="O13" s="107">
        <f>+'FY16 Tax Bill'!O13-'FY16 Feb Forecast'!O13</f>
        <v>12265742</v>
      </c>
      <c r="P13" s="105">
        <f>+'FY16 Tax Bill'!P13-'FY16 Feb Forecast'!P13</f>
        <v>3136906</v>
      </c>
      <c r="Q13" s="106">
        <f>+'FY16 Tax Bill'!Q13-'FY16 Feb Forecast'!Q13</f>
        <v>9128836</v>
      </c>
      <c r="R13" s="105">
        <f>+'FY16 Tax Bill'!R13-'FY16 Feb Forecast'!R13</f>
        <v>132.09280937355288</v>
      </c>
      <c r="S13" s="105">
        <f>+'FY16 Tax Bill'!S13-'FY16 Feb Forecast'!S13</f>
        <v>33.782116587871656</v>
      </c>
      <c r="T13" s="108">
        <f>+'FY16 Tax Bill'!T13-'FY16 Feb Forecast'!T13</f>
        <v>98.310692785681169</v>
      </c>
    </row>
    <row r="14" spans="1:23" x14ac:dyDescent="0.2">
      <c r="A14" s="140" t="s">
        <v>543</v>
      </c>
      <c r="B14" s="110"/>
      <c r="C14" s="110" t="s">
        <v>136</v>
      </c>
      <c r="D14" s="110">
        <v>7</v>
      </c>
      <c r="E14" s="104">
        <f t="shared" si="0"/>
        <v>55972</v>
      </c>
      <c r="F14" s="104">
        <f>+'FY16 Tax Bill'!F14-'FY16 Feb Forecast'!F14</f>
        <v>137075</v>
      </c>
      <c r="G14" s="105">
        <f>+'FY16 Tax Bill'!G14-'FY16 Feb Forecast'!G14</f>
        <v>0</v>
      </c>
      <c r="H14" s="106">
        <f>+'FY16 Tax Bill'!H14-'FY16 Feb Forecast'!H14</f>
        <v>137075</v>
      </c>
      <c r="I14" s="107">
        <f>+'FY16 Tax Bill'!I14-'FY16 Feb Forecast'!I14</f>
        <v>0</v>
      </c>
      <c r="J14" s="105">
        <f>+'FY16 Tax Bill'!J14-'FY16 Feb Forecast'!J14</f>
        <v>0</v>
      </c>
      <c r="K14" s="106">
        <f>+'FY16 Tax Bill'!K14-'FY16 Feb Forecast'!K14</f>
        <v>0</v>
      </c>
      <c r="L14" s="107">
        <f>+'FY16 Tax Bill'!L14-'FY16 Feb Forecast'!L14</f>
        <v>0</v>
      </c>
      <c r="M14" s="105">
        <f>+'FY16 Tax Bill'!M14-'FY16 Feb Forecast'!M14</f>
        <v>0</v>
      </c>
      <c r="N14" s="106">
        <f>+'FY16 Tax Bill'!N14-'FY16 Feb Forecast'!N14</f>
        <v>0</v>
      </c>
      <c r="O14" s="107">
        <f>+'FY16 Tax Bill'!O14-'FY16 Feb Forecast'!O14</f>
        <v>137075</v>
      </c>
      <c r="P14" s="105">
        <f>+'FY16 Tax Bill'!P14-'FY16 Feb Forecast'!P14</f>
        <v>0</v>
      </c>
      <c r="Q14" s="106">
        <f>+'FY16 Tax Bill'!Q14-'FY16 Feb Forecast'!Q14</f>
        <v>137075</v>
      </c>
      <c r="R14" s="105">
        <f>+'FY16 Tax Bill'!R14-'FY16 Feb Forecast'!R14</f>
        <v>2.4489923533195253</v>
      </c>
      <c r="S14" s="105">
        <f>+'FY16 Tax Bill'!S14-'FY16 Feb Forecast'!S14</f>
        <v>0</v>
      </c>
      <c r="T14" s="108">
        <f>+'FY16 Tax Bill'!T14-'FY16 Feb Forecast'!T14</f>
        <v>2.4489923533195253</v>
      </c>
    </row>
    <row r="15" spans="1:23" x14ac:dyDescent="0.2">
      <c r="A15" s="140" t="s">
        <v>543</v>
      </c>
      <c r="B15" s="110"/>
      <c r="C15" s="110" t="s">
        <v>137</v>
      </c>
      <c r="D15" s="110">
        <v>8</v>
      </c>
      <c r="E15" s="104">
        <f t="shared" si="0"/>
        <v>0</v>
      </c>
      <c r="F15" s="104">
        <f>+'FY16 Tax Bill'!F15-'FY16 Feb Forecast'!F15</f>
        <v>0</v>
      </c>
      <c r="G15" s="105">
        <f>+'FY16 Tax Bill'!G15-'FY16 Feb Forecast'!G15</f>
        <v>0</v>
      </c>
      <c r="H15" s="106">
        <f>+'FY16 Tax Bill'!H15-'FY16 Feb Forecast'!H15</f>
        <v>0</v>
      </c>
      <c r="I15" s="107">
        <f>+'FY16 Tax Bill'!I15-'FY16 Feb Forecast'!I15</f>
        <v>0</v>
      </c>
      <c r="J15" s="105">
        <f>+'FY16 Tax Bill'!J15-'FY16 Feb Forecast'!J15</f>
        <v>0</v>
      </c>
      <c r="K15" s="106">
        <f>+'FY16 Tax Bill'!K15-'FY16 Feb Forecast'!K15</f>
        <v>0</v>
      </c>
      <c r="L15" s="107">
        <f>+'FY16 Tax Bill'!L15-'FY16 Feb Forecast'!L15</f>
        <v>0</v>
      </c>
      <c r="M15" s="105">
        <f>+'FY16 Tax Bill'!M15-'FY16 Feb Forecast'!M15</f>
        <v>0</v>
      </c>
      <c r="N15" s="106">
        <f>+'FY16 Tax Bill'!N15-'FY16 Feb Forecast'!N15</f>
        <v>0</v>
      </c>
      <c r="O15" s="107">
        <f>+'FY16 Tax Bill'!O15-'FY16 Feb Forecast'!O15</f>
        <v>0</v>
      </c>
      <c r="P15" s="105">
        <f>+'FY16 Tax Bill'!P15-'FY16 Feb Forecast'!P15</f>
        <v>0</v>
      </c>
      <c r="Q15" s="106">
        <f>+'FY16 Tax Bill'!Q15-'FY16 Feb Forecast'!Q15</f>
        <v>0</v>
      </c>
      <c r="R15" s="105">
        <f>+'FY16 Tax Bill'!R15-'FY16 Feb Forecast'!R15</f>
        <v>0</v>
      </c>
      <c r="S15" s="105">
        <f>+'FY16 Tax Bill'!S15-'FY16 Feb Forecast'!S15</f>
        <v>0</v>
      </c>
      <c r="T15" s="108">
        <f>+'FY16 Tax Bill'!T15-'FY16 Feb Forecast'!T15</f>
        <v>0</v>
      </c>
    </row>
    <row r="16" spans="1:23" ht="13.5" thickBot="1" x14ac:dyDescent="0.25">
      <c r="A16" s="141" t="s">
        <v>543</v>
      </c>
      <c r="B16" s="112"/>
      <c r="C16" s="112" t="s">
        <v>138</v>
      </c>
      <c r="D16" s="112">
        <v>9</v>
      </c>
      <c r="E16" s="114">
        <f t="shared" si="0"/>
        <v>8458</v>
      </c>
      <c r="F16" s="114">
        <f>+'FY16 Tax Bill'!F16-'FY16 Feb Forecast'!F16</f>
        <v>-245636</v>
      </c>
      <c r="G16" s="115">
        <f>+'FY16 Tax Bill'!G16-'FY16 Feb Forecast'!G16</f>
        <v>-284787</v>
      </c>
      <c r="H16" s="116">
        <f>+'FY16 Tax Bill'!H16-'FY16 Feb Forecast'!H16</f>
        <v>39151</v>
      </c>
      <c r="I16" s="117">
        <f>+'FY16 Tax Bill'!I16-'FY16 Feb Forecast'!I16</f>
        <v>-2178503</v>
      </c>
      <c r="J16" s="115">
        <f>+'FY16 Tax Bill'!J16-'FY16 Feb Forecast'!J16</f>
        <v>-4488630</v>
      </c>
      <c r="K16" s="116">
        <f>+'FY16 Tax Bill'!K16-'FY16 Feb Forecast'!K16</f>
        <v>2310127</v>
      </c>
      <c r="L16" s="117">
        <f>+'FY16 Tax Bill'!L16-'FY16 Feb Forecast'!L16</f>
        <v>2336663</v>
      </c>
      <c r="M16" s="115">
        <f>+'FY16 Tax Bill'!M16-'FY16 Feb Forecast'!M16</f>
        <v>2736529</v>
      </c>
      <c r="N16" s="116">
        <f>+'FY16 Tax Bill'!N16-'FY16 Feb Forecast'!N16</f>
        <v>-399866</v>
      </c>
      <c r="O16" s="117">
        <f>+'FY16 Tax Bill'!O16-'FY16 Feb Forecast'!O16</f>
        <v>-87476</v>
      </c>
      <c r="P16" s="115">
        <f>+'FY16 Tax Bill'!P16-'FY16 Feb Forecast'!P16</f>
        <v>-2036888</v>
      </c>
      <c r="Q16" s="116">
        <f>+'FY16 Tax Bill'!Q16-'FY16 Feb Forecast'!Q16</f>
        <v>1949412</v>
      </c>
      <c r="R16" s="115">
        <f>+'FY16 Tax Bill'!R16-'FY16 Feb Forecast'!R16</f>
        <v>-10.342397729959885</v>
      </c>
      <c r="S16" s="115">
        <f>+'FY16 Tax Bill'!S16-'FY16 Feb Forecast'!S16</f>
        <v>-240.82383542208572</v>
      </c>
      <c r="T16" s="118">
        <f>+'FY16 Tax Bill'!T16-'FY16 Feb Forecast'!T16</f>
        <v>230.48143769212584</v>
      </c>
    </row>
    <row r="17" spans="1:20" ht="13.5" thickBot="1" x14ac:dyDescent="0.25">
      <c r="A17" s="120" t="s">
        <v>544</v>
      </c>
      <c r="E17" s="77"/>
      <c r="F17" s="77"/>
      <c r="G17" s="78"/>
      <c r="H17" s="79"/>
      <c r="I17" s="80"/>
      <c r="J17" s="78"/>
      <c r="K17" s="79"/>
      <c r="L17" s="80"/>
      <c r="M17" s="78"/>
      <c r="N17" s="79"/>
      <c r="O17" s="80"/>
      <c r="P17" s="78"/>
      <c r="Q17" s="79"/>
      <c r="R17" s="82"/>
      <c r="S17" s="82"/>
      <c r="T17" s="83"/>
    </row>
    <row r="18" spans="1:20" x14ac:dyDescent="0.2">
      <c r="A18" s="93">
        <v>1</v>
      </c>
      <c r="B18" s="94">
        <v>1</v>
      </c>
      <c r="C18" s="95" t="s">
        <v>139</v>
      </c>
      <c r="D18" s="95">
        <v>5</v>
      </c>
      <c r="E18" s="96">
        <f>+SUMIF('GE16FEB14 Unfudged'!$A$2:$A$498, $A18, 'GE16FEB14 Unfudged'!$D$2:$D$498)</f>
        <v>1285</v>
      </c>
      <c r="F18" s="96">
        <f>+'FY16 Tax Bill'!F18-'FY16 Feb Forecast'!F18</f>
        <v>0</v>
      </c>
      <c r="G18" s="97">
        <f>+'FY16 Tax Bill'!G18-'FY16 Feb Forecast'!G18</f>
        <v>0</v>
      </c>
      <c r="H18" s="98">
        <f>+'FY16 Tax Bill'!H18-'FY16 Feb Forecast'!H18</f>
        <v>0</v>
      </c>
      <c r="I18" s="99">
        <f>+'FY16 Tax Bill'!I18-'FY16 Feb Forecast'!I18</f>
        <v>544840</v>
      </c>
      <c r="J18" s="97">
        <f>+'FY16 Tax Bill'!J18-'FY16 Feb Forecast'!J18</f>
        <v>544840</v>
      </c>
      <c r="K18" s="98">
        <f>+'FY16 Tax Bill'!K18-'FY16 Feb Forecast'!K18</f>
        <v>0</v>
      </c>
      <c r="L18" s="99">
        <f>+'FY16 Tax Bill'!L18-'FY16 Feb Forecast'!L18</f>
        <v>0</v>
      </c>
      <c r="M18" s="97">
        <f>+'FY16 Tax Bill'!M18-'FY16 Feb Forecast'!M18</f>
        <v>0</v>
      </c>
      <c r="N18" s="98">
        <f>+'FY16 Tax Bill'!N18-'FY16 Feb Forecast'!N18</f>
        <v>0</v>
      </c>
      <c r="O18" s="99">
        <f>+'FY16 Tax Bill'!O18-'FY16 Feb Forecast'!O18</f>
        <v>544840</v>
      </c>
      <c r="P18" s="97">
        <f>+'FY16 Tax Bill'!P18-'FY16 Feb Forecast'!P18</f>
        <v>544840</v>
      </c>
      <c r="Q18" s="98">
        <f>+'FY16 Tax Bill'!Q18-'FY16 Feb Forecast'!Q18</f>
        <v>0</v>
      </c>
      <c r="R18" s="97">
        <f>+'FY16 Tax Bill'!R18-'FY16 Feb Forecast'!R18</f>
        <v>424</v>
      </c>
      <c r="S18" s="97">
        <f>+'FY16 Tax Bill'!S18-'FY16 Feb Forecast'!S18</f>
        <v>423.99999999999994</v>
      </c>
      <c r="T18" s="100">
        <f>+'FY16 Tax Bill'!T18-'FY16 Feb Forecast'!T18</f>
        <v>0</v>
      </c>
    </row>
    <row r="19" spans="1:20" x14ac:dyDescent="0.2">
      <c r="A19" s="101">
        <v>1.2</v>
      </c>
      <c r="B19" s="102">
        <v>3</v>
      </c>
      <c r="C19" s="103" t="s">
        <v>140</v>
      </c>
      <c r="D19" s="103">
        <v>1</v>
      </c>
      <c r="E19" s="104">
        <f>+SUMIF('GE16FEB14 Unfudged'!$A$2:$A$498, $A19, 'GE16FEB14 Unfudged'!$D$2:$D$498)</f>
        <v>39607</v>
      </c>
      <c r="F19" s="104">
        <f>+'FY16 Tax Bill'!F19-'FY16 Feb Forecast'!F19</f>
        <v>0</v>
      </c>
      <c r="G19" s="105">
        <f>+'FY16 Tax Bill'!G19-'FY16 Feb Forecast'!G19</f>
        <v>0</v>
      </c>
      <c r="H19" s="106">
        <f>+'FY16 Tax Bill'!H19-'FY16 Feb Forecast'!H19</f>
        <v>0</v>
      </c>
      <c r="I19" s="107">
        <f>+'FY16 Tax Bill'!I19-'FY16 Feb Forecast'!I19</f>
        <v>0</v>
      </c>
      <c r="J19" s="105">
        <f>+'FY16 Tax Bill'!J19-'FY16 Feb Forecast'!J19</f>
        <v>0</v>
      </c>
      <c r="K19" s="106">
        <f>+'FY16 Tax Bill'!K19-'FY16 Feb Forecast'!K19</f>
        <v>0</v>
      </c>
      <c r="L19" s="107">
        <f>+'FY16 Tax Bill'!L19-'FY16 Feb Forecast'!L19</f>
        <v>0</v>
      </c>
      <c r="M19" s="105">
        <f>+'FY16 Tax Bill'!M19-'FY16 Feb Forecast'!M19</f>
        <v>0</v>
      </c>
      <c r="N19" s="106">
        <f>+'FY16 Tax Bill'!N19-'FY16 Feb Forecast'!N19</f>
        <v>0</v>
      </c>
      <c r="O19" s="107">
        <f>+'FY16 Tax Bill'!O19-'FY16 Feb Forecast'!O19</f>
        <v>0</v>
      </c>
      <c r="P19" s="105">
        <f>+'FY16 Tax Bill'!P19-'FY16 Feb Forecast'!P19</f>
        <v>0</v>
      </c>
      <c r="Q19" s="106">
        <f>+'FY16 Tax Bill'!Q19-'FY16 Feb Forecast'!Q19</f>
        <v>0</v>
      </c>
      <c r="R19" s="105">
        <f>+'FY16 Tax Bill'!R19-'FY16 Feb Forecast'!R19</f>
        <v>0</v>
      </c>
      <c r="S19" s="105">
        <f>+'FY16 Tax Bill'!S19-'FY16 Feb Forecast'!S19</f>
        <v>0</v>
      </c>
      <c r="T19" s="108">
        <f>+'FY16 Tax Bill'!T19-'FY16 Feb Forecast'!T19</f>
        <v>0</v>
      </c>
    </row>
    <row r="20" spans="1:20" x14ac:dyDescent="0.2">
      <c r="A20" s="109">
        <v>2</v>
      </c>
      <c r="B20" s="110">
        <v>1</v>
      </c>
      <c r="C20" s="103" t="s">
        <v>141</v>
      </c>
      <c r="D20" s="103">
        <v>6</v>
      </c>
      <c r="E20" s="104">
        <f>+SUMIF('GE16FEB14 Unfudged'!$A$2:$A$498, $A20, 'GE16FEB14 Unfudged'!$D$2:$D$498)</f>
        <v>284</v>
      </c>
      <c r="F20" s="104">
        <f>+'FY16 Tax Bill'!F20-'FY16 Feb Forecast'!F20</f>
        <v>0</v>
      </c>
      <c r="G20" s="105">
        <f>+'FY16 Tax Bill'!G20-'FY16 Feb Forecast'!G20</f>
        <v>0</v>
      </c>
      <c r="H20" s="106">
        <f>+'FY16 Tax Bill'!H20-'FY16 Feb Forecast'!H20</f>
        <v>0</v>
      </c>
      <c r="I20" s="107">
        <f>+'FY16 Tax Bill'!I20-'FY16 Feb Forecast'!I20</f>
        <v>120395</v>
      </c>
      <c r="J20" s="105">
        <f>+'FY16 Tax Bill'!J20-'FY16 Feb Forecast'!J20</f>
        <v>67113</v>
      </c>
      <c r="K20" s="106">
        <f>+'FY16 Tax Bill'!K20-'FY16 Feb Forecast'!K20</f>
        <v>53282</v>
      </c>
      <c r="L20" s="107">
        <f>+'FY16 Tax Bill'!L20-'FY16 Feb Forecast'!L20</f>
        <v>0</v>
      </c>
      <c r="M20" s="105">
        <f>+'FY16 Tax Bill'!M20-'FY16 Feb Forecast'!M20</f>
        <v>0</v>
      </c>
      <c r="N20" s="106">
        <f>+'FY16 Tax Bill'!N20-'FY16 Feb Forecast'!N20</f>
        <v>0</v>
      </c>
      <c r="O20" s="107">
        <f>+'FY16 Tax Bill'!O20-'FY16 Feb Forecast'!O20</f>
        <v>120395</v>
      </c>
      <c r="P20" s="105">
        <f>+'FY16 Tax Bill'!P20-'FY16 Feb Forecast'!P20</f>
        <v>67113</v>
      </c>
      <c r="Q20" s="106">
        <f>+'FY16 Tax Bill'!Q20-'FY16 Feb Forecast'!Q20</f>
        <v>53282</v>
      </c>
      <c r="R20" s="105">
        <f>+'FY16 Tax Bill'!R20-'FY16 Feb Forecast'!R20</f>
        <v>423.92605633802816</v>
      </c>
      <c r="S20" s="105">
        <f>+'FY16 Tax Bill'!S20-'FY16 Feb Forecast'!S20</f>
        <v>236.31338028169017</v>
      </c>
      <c r="T20" s="108">
        <f>+'FY16 Tax Bill'!T20-'FY16 Feb Forecast'!T20</f>
        <v>187.61267605633805</v>
      </c>
    </row>
    <row r="21" spans="1:20" x14ac:dyDescent="0.2">
      <c r="A21" s="109">
        <v>4</v>
      </c>
      <c r="B21" s="110">
        <v>1</v>
      </c>
      <c r="C21" s="103" t="s">
        <v>142</v>
      </c>
      <c r="D21" s="103">
        <v>6</v>
      </c>
      <c r="E21" s="104">
        <f>+SUMIF('GE16FEB14 Unfudged'!$A$2:$A$498, $A21, 'GE16FEB14 Unfudged'!$D$2:$D$498)</f>
        <v>434</v>
      </c>
      <c r="F21" s="104">
        <f>+'FY16 Tax Bill'!F21-'FY16 Feb Forecast'!F21</f>
        <v>0</v>
      </c>
      <c r="G21" s="105">
        <f>+'FY16 Tax Bill'!G21-'FY16 Feb Forecast'!G21</f>
        <v>0</v>
      </c>
      <c r="H21" s="106">
        <f>+'FY16 Tax Bill'!H21-'FY16 Feb Forecast'!H21</f>
        <v>0</v>
      </c>
      <c r="I21" s="107">
        <f>+'FY16 Tax Bill'!I21-'FY16 Feb Forecast'!I21</f>
        <v>184186</v>
      </c>
      <c r="J21" s="105">
        <f>+'FY16 Tax Bill'!J21-'FY16 Feb Forecast'!J21</f>
        <v>184186</v>
      </c>
      <c r="K21" s="106">
        <f>+'FY16 Tax Bill'!K21-'FY16 Feb Forecast'!K21</f>
        <v>0</v>
      </c>
      <c r="L21" s="107">
        <f>+'FY16 Tax Bill'!L21-'FY16 Feb Forecast'!L21</f>
        <v>0</v>
      </c>
      <c r="M21" s="105">
        <f>+'FY16 Tax Bill'!M21-'FY16 Feb Forecast'!M21</f>
        <v>0</v>
      </c>
      <c r="N21" s="106">
        <f>+'FY16 Tax Bill'!N21-'FY16 Feb Forecast'!N21</f>
        <v>0</v>
      </c>
      <c r="O21" s="107">
        <f>+'FY16 Tax Bill'!O21-'FY16 Feb Forecast'!O21</f>
        <v>184186</v>
      </c>
      <c r="P21" s="105">
        <f>+'FY16 Tax Bill'!P21-'FY16 Feb Forecast'!P21</f>
        <v>184186</v>
      </c>
      <c r="Q21" s="106">
        <f>+'FY16 Tax Bill'!Q21-'FY16 Feb Forecast'!Q21</f>
        <v>0</v>
      </c>
      <c r="R21" s="105">
        <f>+'FY16 Tax Bill'!R21-'FY16 Feb Forecast'!R21</f>
        <v>424.39170506912444</v>
      </c>
      <c r="S21" s="105">
        <f>+'FY16 Tax Bill'!S21-'FY16 Feb Forecast'!S21</f>
        <v>424.39170506912444</v>
      </c>
      <c r="T21" s="108">
        <f>+'FY16 Tax Bill'!T21-'FY16 Feb Forecast'!T21</f>
        <v>0</v>
      </c>
    </row>
    <row r="22" spans="1:20" x14ac:dyDescent="0.2">
      <c r="A22" s="109">
        <v>6</v>
      </c>
      <c r="B22" s="110">
        <v>3</v>
      </c>
      <c r="C22" s="103" t="s">
        <v>143</v>
      </c>
      <c r="D22" s="103">
        <v>2</v>
      </c>
      <c r="E22" s="104">
        <f>+SUMIF('GE16FEB14 Unfudged'!$A$2:$A$498, $A22, 'GE16FEB14 Unfudged'!$D$2:$D$498)</f>
        <v>3736</v>
      </c>
      <c r="F22" s="104">
        <f>+'FY16 Tax Bill'!F22-'FY16 Feb Forecast'!F22</f>
        <v>0</v>
      </c>
      <c r="G22" s="105">
        <f>+'FY16 Tax Bill'!G22-'FY16 Feb Forecast'!G22</f>
        <v>0</v>
      </c>
      <c r="H22" s="106">
        <f>+'FY16 Tax Bill'!H22-'FY16 Feb Forecast'!H22</f>
        <v>0</v>
      </c>
      <c r="I22" s="107">
        <f>+'FY16 Tax Bill'!I22-'FY16 Feb Forecast'!I22</f>
        <v>0</v>
      </c>
      <c r="J22" s="105">
        <f>+'FY16 Tax Bill'!J22-'FY16 Feb Forecast'!J22</f>
        <v>0</v>
      </c>
      <c r="K22" s="106">
        <f>+'FY16 Tax Bill'!K22-'FY16 Feb Forecast'!K22</f>
        <v>0</v>
      </c>
      <c r="L22" s="107">
        <f>+'FY16 Tax Bill'!L22-'FY16 Feb Forecast'!L22</f>
        <v>0</v>
      </c>
      <c r="M22" s="105">
        <f>+'FY16 Tax Bill'!M22-'FY16 Feb Forecast'!M22</f>
        <v>0</v>
      </c>
      <c r="N22" s="106">
        <f>+'FY16 Tax Bill'!N22-'FY16 Feb Forecast'!N22</f>
        <v>0</v>
      </c>
      <c r="O22" s="107">
        <f>+'FY16 Tax Bill'!O22-'FY16 Feb Forecast'!O22</f>
        <v>0</v>
      </c>
      <c r="P22" s="105">
        <f>+'FY16 Tax Bill'!P22-'FY16 Feb Forecast'!P22</f>
        <v>0</v>
      </c>
      <c r="Q22" s="106">
        <f>+'FY16 Tax Bill'!Q22-'FY16 Feb Forecast'!Q22</f>
        <v>0</v>
      </c>
      <c r="R22" s="105">
        <f>+'FY16 Tax Bill'!R22-'FY16 Feb Forecast'!R22</f>
        <v>0</v>
      </c>
      <c r="S22" s="105">
        <f>+'FY16 Tax Bill'!S22-'FY16 Feb Forecast'!S22</f>
        <v>0</v>
      </c>
      <c r="T22" s="108">
        <f>+'FY16 Tax Bill'!T22-'FY16 Feb Forecast'!T22</f>
        <v>0</v>
      </c>
    </row>
    <row r="23" spans="1:20" x14ac:dyDescent="0.2">
      <c r="A23" s="109">
        <v>11</v>
      </c>
      <c r="B23" s="110">
        <v>1</v>
      </c>
      <c r="C23" s="103" t="s">
        <v>144</v>
      </c>
      <c r="D23" s="103">
        <v>3</v>
      </c>
      <c r="E23" s="104">
        <f>+SUMIF('GE16FEB14 Unfudged'!$A$2:$A$498, $A23, 'GE16FEB14 Unfudged'!$D$2:$D$498)</f>
        <v>39798</v>
      </c>
      <c r="F23" s="104">
        <f>+'FY16 Tax Bill'!F23-'FY16 Feb Forecast'!F23</f>
        <v>0</v>
      </c>
      <c r="G23" s="105">
        <f>+'FY16 Tax Bill'!G23-'FY16 Feb Forecast'!G23</f>
        <v>0</v>
      </c>
      <c r="H23" s="106">
        <f>+'FY16 Tax Bill'!H23-'FY16 Feb Forecast'!H23</f>
        <v>0</v>
      </c>
      <c r="I23" s="107">
        <f>+'FY16 Tax Bill'!I23-'FY16 Feb Forecast'!I23</f>
        <v>0</v>
      </c>
      <c r="J23" s="105">
        <f>+'FY16 Tax Bill'!J23-'FY16 Feb Forecast'!J23</f>
        <v>0</v>
      </c>
      <c r="K23" s="106">
        <f>+'FY16 Tax Bill'!K23-'FY16 Feb Forecast'!K23</f>
        <v>0</v>
      </c>
      <c r="L23" s="107">
        <f>+'FY16 Tax Bill'!L23-'FY16 Feb Forecast'!L23</f>
        <v>0</v>
      </c>
      <c r="M23" s="105">
        <f>+'FY16 Tax Bill'!M23-'FY16 Feb Forecast'!M23</f>
        <v>0</v>
      </c>
      <c r="N23" s="106">
        <f>+'FY16 Tax Bill'!N23-'FY16 Feb Forecast'!N23</f>
        <v>0</v>
      </c>
      <c r="O23" s="107">
        <f>+'FY16 Tax Bill'!O23-'FY16 Feb Forecast'!O23</f>
        <v>0</v>
      </c>
      <c r="P23" s="105">
        <f>+'FY16 Tax Bill'!P23-'FY16 Feb Forecast'!P23</f>
        <v>0</v>
      </c>
      <c r="Q23" s="106">
        <f>+'FY16 Tax Bill'!Q23-'FY16 Feb Forecast'!Q23</f>
        <v>0</v>
      </c>
      <c r="R23" s="105">
        <f>+'FY16 Tax Bill'!R23-'FY16 Feb Forecast'!R23</f>
        <v>0</v>
      </c>
      <c r="S23" s="105">
        <f>+'FY16 Tax Bill'!S23-'FY16 Feb Forecast'!S23</f>
        <v>0</v>
      </c>
      <c r="T23" s="108">
        <f>+'FY16 Tax Bill'!T23-'FY16 Feb Forecast'!T23</f>
        <v>0</v>
      </c>
    </row>
    <row r="24" spans="1:20" x14ac:dyDescent="0.2">
      <c r="A24" s="109">
        <v>12</v>
      </c>
      <c r="B24" s="110">
        <v>1</v>
      </c>
      <c r="C24" s="103" t="s">
        <v>145</v>
      </c>
      <c r="D24" s="103">
        <v>3</v>
      </c>
      <c r="E24" s="104">
        <f>+SUMIF('GE16FEB14 Unfudged'!$A$2:$A$498, $A24, 'GE16FEB14 Unfudged'!$D$2:$D$498)</f>
        <v>6971</v>
      </c>
      <c r="F24" s="104">
        <f>+'FY16 Tax Bill'!F24-'FY16 Feb Forecast'!F24</f>
        <v>0</v>
      </c>
      <c r="G24" s="105">
        <f>+'FY16 Tax Bill'!G24-'FY16 Feb Forecast'!G24</f>
        <v>0</v>
      </c>
      <c r="H24" s="106">
        <f>+'FY16 Tax Bill'!H24-'FY16 Feb Forecast'!H24</f>
        <v>0</v>
      </c>
      <c r="I24" s="107">
        <f>+'FY16 Tax Bill'!I24-'FY16 Feb Forecast'!I24</f>
        <v>0</v>
      </c>
      <c r="J24" s="105">
        <f>+'FY16 Tax Bill'!J24-'FY16 Feb Forecast'!J24</f>
        <v>0</v>
      </c>
      <c r="K24" s="106">
        <f>+'FY16 Tax Bill'!K24-'FY16 Feb Forecast'!K24</f>
        <v>0</v>
      </c>
      <c r="L24" s="107">
        <f>+'FY16 Tax Bill'!L24-'FY16 Feb Forecast'!L24</f>
        <v>0</v>
      </c>
      <c r="M24" s="105">
        <f>+'FY16 Tax Bill'!M24-'FY16 Feb Forecast'!M24</f>
        <v>0</v>
      </c>
      <c r="N24" s="106">
        <f>+'FY16 Tax Bill'!N24-'FY16 Feb Forecast'!N24</f>
        <v>0</v>
      </c>
      <c r="O24" s="107">
        <f>+'FY16 Tax Bill'!O24-'FY16 Feb Forecast'!O24</f>
        <v>0</v>
      </c>
      <c r="P24" s="105">
        <f>+'FY16 Tax Bill'!P24-'FY16 Feb Forecast'!P24</f>
        <v>0</v>
      </c>
      <c r="Q24" s="106">
        <f>+'FY16 Tax Bill'!Q24-'FY16 Feb Forecast'!Q24</f>
        <v>0</v>
      </c>
      <c r="R24" s="105">
        <f>+'FY16 Tax Bill'!R24-'FY16 Feb Forecast'!R24</f>
        <v>0</v>
      </c>
      <c r="S24" s="105">
        <f>+'FY16 Tax Bill'!S24-'FY16 Feb Forecast'!S24</f>
        <v>0</v>
      </c>
      <c r="T24" s="108">
        <f>+'FY16 Tax Bill'!T24-'FY16 Feb Forecast'!T24</f>
        <v>0</v>
      </c>
    </row>
    <row r="25" spans="1:20" x14ac:dyDescent="0.2">
      <c r="A25" s="109">
        <v>13</v>
      </c>
      <c r="B25" s="110">
        <v>1</v>
      </c>
      <c r="C25" s="103" t="s">
        <v>146</v>
      </c>
      <c r="D25" s="103">
        <v>2</v>
      </c>
      <c r="E25" s="104">
        <f>+SUMIF('GE16FEB14 Unfudged'!$A$2:$A$498, $A25, 'GE16FEB14 Unfudged'!$D$2:$D$498)</f>
        <v>3362</v>
      </c>
      <c r="F25" s="104">
        <f>+'FY16 Tax Bill'!F25-'FY16 Feb Forecast'!F25</f>
        <v>0</v>
      </c>
      <c r="G25" s="105">
        <f>+'FY16 Tax Bill'!G25-'FY16 Feb Forecast'!G25</f>
        <v>0</v>
      </c>
      <c r="H25" s="106">
        <f>+'FY16 Tax Bill'!H25-'FY16 Feb Forecast'!H25</f>
        <v>0</v>
      </c>
      <c r="I25" s="107">
        <f>+'FY16 Tax Bill'!I25-'FY16 Feb Forecast'!I25</f>
        <v>0</v>
      </c>
      <c r="J25" s="105">
        <f>+'FY16 Tax Bill'!J25-'FY16 Feb Forecast'!J25</f>
        <v>0</v>
      </c>
      <c r="K25" s="106">
        <f>+'FY16 Tax Bill'!K25-'FY16 Feb Forecast'!K25</f>
        <v>0</v>
      </c>
      <c r="L25" s="107">
        <f>+'FY16 Tax Bill'!L25-'FY16 Feb Forecast'!L25</f>
        <v>0</v>
      </c>
      <c r="M25" s="105">
        <f>+'FY16 Tax Bill'!M25-'FY16 Feb Forecast'!M25</f>
        <v>0</v>
      </c>
      <c r="N25" s="106">
        <f>+'FY16 Tax Bill'!N25-'FY16 Feb Forecast'!N25</f>
        <v>0</v>
      </c>
      <c r="O25" s="107">
        <f>+'FY16 Tax Bill'!O25-'FY16 Feb Forecast'!O25</f>
        <v>0</v>
      </c>
      <c r="P25" s="105">
        <f>+'FY16 Tax Bill'!P25-'FY16 Feb Forecast'!P25</f>
        <v>0</v>
      </c>
      <c r="Q25" s="106">
        <f>+'FY16 Tax Bill'!Q25-'FY16 Feb Forecast'!Q25</f>
        <v>0</v>
      </c>
      <c r="R25" s="105">
        <f>+'FY16 Tax Bill'!R25-'FY16 Feb Forecast'!R25</f>
        <v>0</v>
      </c>
      <c r="S25" s="105">
        <f>+'FY16 Tax Bill'!S25-'FY16 Feb Forecast'!S25</f>
        <v>0</v>
      </c>
      <c r="T25" s="108">
        <f>+'FY16 Tax Bill'!T25-'FY16 Feb Forecast'!T25</f>
        <v>0</v>
      </c>
    </row>
    <row r="26" spans="1:20" x14ac:dyDescent="0.2">
      <c r="A26" s="109">
        <v>14</v>
      </c>
      <c r="B26" s="110">
        <v>1</v>
      </c>
      <c r="C26" s="103" t="s">
        <v>147</v>
      </c>
      <c r="D26" s="103">
        <v>3</v>
      </c>
      <c r="E26" s="104">
        <f>+SUMIF('GE16FEB14 Unfudged'!$A$2:$A$498, $A26, 'GE16FEB14 Unfudged'!$D$2:$D$498)</f>
        <v>3199</v>
      </c>
      <c r="F26" s="104">
        <f>+'FY16 Tax Bill'!F26-'FY16 Feb Forecast'!F26</f>
        <v>0</v>
      </c>
      <c r="G26" s="105">
        <f>+'FY16 Tax Bill'!G26-'FY16 Feb Forecast'!G26</f>
        <v>0</v>
      </c>
      <c r="H26" s="106">
        <f>+'FY16 Tax Bill'!H26-'FY16 Feb Forecast'!H26</f>
        <v>0</v>
      </c>
      <c r="I26" s="107">
        <f>+'FY16 Tax Bill'!I26-'FY16 Feb Forecast'!I26</f>
        <v>0</v>
      </c>
      <c r="J26" s="105">
        <f>+'FY16 Tax Bill'!J26-'FY16 Feb Forecast'!J26</f>
        <v>0</v>
      </c>
      <c r="K26" s="106">
        <f>+'FY16 Tax Bill'!K26-'FY16 Feb Forecast'!K26</f>
        <v>0</v>
      </c>
      <c r="L26" s="107">
        <f>+'FY16 Tax Bill'!L26-'FY16 Feb Forecast'!L26</f>
        <v>0</v>
      </c>
      <c r="M26" s="105">
        <f>+'FY16 Tax Bill'!M26-'FY16 Feb Forecast'!M26</f>
        <v>0</v>
      </c>
      <c r="N26" s="106">
        <f>+'FY16 Tax Bill'!N26-'FY16 Feb Forecast'!N26</f>
        <v>0</v>
      </c>
      <c r="O26" s="107">
        <f>+'FY16 Tax Bill'!O26-'FY16 Feb Forecast'!O26</f>
        <v>0</v>
      </c>
      <c r="P26" s="105">
        <f>+'FY16 Tax Bill'!P26-'FY16 Feb Forecast'!P26</f>
        <v>0</v>
      </c>
      <c r="Q26" s="106">
        <f>+'FY16 Tax Bill'!Q26-'FY16 Feb Forecast'!Q26</f>
        <v>0</v>
      </c>
      <c r="R26" s="105">
        <f>+'FY16 Tax Bill'!R26-'FY16 Feb Forecast'!R26</f>
        <v>0</v>
      </c>
      <c r="S26" s="105">
        <f>+'FY16 Tax Bill'!S26-'FY16 Feb Forecast'!S26</f>
        <v>0</v>
      </c>
      <c r="T26" s="108">
        <f>+'FY16 Tax Bill'!T26-'FY16 Feb Forecast'!T26</f>
        <v>0</v>
      </c>
    </row>
    <row r="27" spans="1:20" x14ac:dyDescent="0.2">
      <c r="A27" s="109">
        <v>15</v>
      </c>
      <c r="B27" s="110">
        <v>1</v>
      </c>
      <c r="C27" s="103" t="s">
        <v>148</v>
      </c>
      <c r="D27" s="103">
        <v>3</v>
      </c>
      <c r="E27" s="104">
        <f>+SUMIF('GE16FEB14 Unfudged'!$A$2:$A$498, $A27, 'GE16FEB14 Unfudged'!$D$2:$D$498)</f>
        <v>4887</v>
      </c>
      <c r="F27" s="104">
        <f>+'FY16 Tax Bill'!F27-'FY16 Feb Forecast'!F27</f>
        <v>0</v>
      </c>
      <c r="G27" s="105">
        <f>+'FY16 Tax Bill'!G27-'FY16 Feb Forecast'!G27</f>
        <v>0</v>
      </c>
      <c r="H27" s="106">
        <f>+'FY16 Tax Bill'!H27-'FY16 Feb Forecast'!H27</f>
        <v>0</v>
      </c>
      <c r="I27" s="107">
        <f>+'FY16 Tax Bill'!I27-'FY16 Feb Forecast'!I27</f>
        <v>0</v>
      </c>
      <c r="J27" s="105">
        <f>+'FY16 Tax Bill'!J27-'FY16 Feb Forecast'!J27</f>
        <v>0</v>
      </c>
      <c r="K27" s="106">
        <f>+'FY16 Tax Bill'!K27-'FY16 Feb Forecast'!K27</f>
        <v>0</v>
      </c>
      <c r="L27" s="107">
        <f>+'FY16 Tax Bill'!L27-'FY16 Feb Forecast'!L27</f>
        <v>0</v>
      </c>
      <c r="M27" s="105">
        <f>+'FY16 Tax Bill'!M27-'FY16 Feb Forecast'!M27</f>
        <v>0</v>
      </c>
      <c r="N27" s="106">
        <f>+'FY16 Tax Bill'!N27-'FY16 Feb Forecast'!N27</f>
        <v>0</v>
      </c>
      <c r="O27" s="107">
        <f>+'FY16 Tax Bill'!O27-'FY16 Feb Forecast'!O27</f>
        <v>0</v>
      </c>
      <c r="P27" s="105">
        <f>+'FY16 Tax Bill'!P27-'FY16 Feb Forecast'!P27</f>
        <v>0</v>
      </c>
      <c r="Q27" s="106">
        <f>+'FY16 Tax Bill'!Q27-'FY16 Feb Forecast'!Q27</f>
        <v>0</v>
      </c>
      <c r="R27" s="105">
        <f>+'FY16 Tax Bill'!R27-'FY16 Feb Forecast'!R27</f>
        <v>0</v>
      </c>
      <c r="S27" s="105">
        <f>+'FY16 Tax Bill'!S27-'FY16 Feb Forecast'!S27</f>
        <v>0</v>
      </c>
      <c r="T27" s="108">
        <f>+'FY16 Tax Bill'!T27-'FY16 Feb Forecast'!T27</f>
        <v>0</v>
      </c>
    </row>
    <row r="28" spans="1:20" x14ac:dyDescent="0.2">
      <c r="A28" s="109">
        <v>16</v>
      </c>
      <c r="B28" s="110">
        <v>1</v>
      </c>
      <c r="C28" s="103" t="s">
        <v>149</v>
      </c>
      <c r="D28" s="103">
        <v>3</v>
      </c>
      <c r="E28" s="104">
        <f>+SUMIF('GE16FEB14 Unfudged'!$A$2:$A$498, $A28, 'GE16FEB14 Unfudged'!$D$2:$D$498)</f>
        <v>5870</v>
      </c>
      <c r="F28" s="104">
        <f>+'FY16 Tax Bill'!F28-'FY16 Feb Forecast'!F28</f>
        <v>0</v>
      </c>
      <c r="G28" s="105">
        <f>+'FY16 Tax Bill'!G28-'FY16 Feb Forecast'!G28</f>
        <v>0</v>
      </c>
      <c r="H28" s="106">
        <f>+'FY16 Tax Bill'!H28-'FY16 Feb Forecast'!H28</f>
        <v>0</v>
      </c>
      <c r="I28" s="107">
        <f>+'FY16 Tax Bill'!I28-'FY16 Feb Forecast'!I28</f>
        <v>0</v>
      </c>
      <c r="J28" s="105">
        <f>+'FY16 Tax Bill'!J28-'FY16 Feb Forecast'!J28</f>
        <v>0</v>
      </c>
      <c r="K28" s="106">
        <f>+'FY16 Tax Bill'!K28-'FY16 Feb Forecast'!K28</f>
        <v>0</v>
      </c>
      <c r="L28" s="107">
        <f>+'FY16 Tax Bill'!L28-'FY16 Feb Forecast'!L28</f>
        <v>0</v>
      </c>
      <c r="M28" s="105">
        <f>+'FY16 Tax Bill'!M28-'FY16 Feb Forecast'!M28</f>
        <v>0</v>
      </c>
      <c r="N28" s="106">
        <f>+'FY16 Tax Bill'!N28-'FY16 Feb Forecast'!N28</f>
        <v>0</v>
      </c>
      <c r="O28" s="107">
        <f>+'FY16 Tax Bill'!O28-'FY16 Feb Forecast'!O28</f>
        <v>0</v>
      </c>
      <c r="P28" s="105">
        <f>+'FY16 Tax Bill'!P28-'FY16 Feb Forecast'!P28</f>
        <v>0</v>
      </c>
      <c r="Q28" s="106">
        <f>+'FY16 Tax Bill'!Q28-'FY16 Feb Forecast'!Q28</f>
        <v>0</v>
      </c>
      <c r="R28" s="105">
        <f>+'FY16 Tax Bill'!R28-'FY16 Feb Forecast'!R28</f>
        <v>0</v>
      </c>
      <c r="S28" s="105">
        <f>+'FY16 Tax Bill'!S28-'FY16 Feb Forecast'!S28</f>
        <v>0</v>
      </c>
      <c r="T28" s="108">
        <f>+'FY16 Tax Bill'!T28-'FY16 Feb Forecast'!T28</f>
        <v>0</v>
      </c>
    </row>
    <row r="29" spans="1:20" x14ac:dyDescent="0.2">
      <c r="A29" s="109">
        <v>22</v>
      </c>
      <c r="B29" s="110">
        <v>1</v>
      </c>
      <c r="C29" s="103" t="s">
        <v>150</v>
      </c>
      <c r="D29" s="103">
        <v>4</v>
      </c>
      <c r="E29" s="104">
        <f>+SUMIF('GE16FEB14 Unfudged'!$A$2:$A$498, $A29, 'GE16FEB14 Unfudged'!$D$2:$D$498)</f>
        <v>3112</v>
      </c>
      <c r="F29" s="104">
        <f>+'FY16 Tax Bill'!F29-'FY16 Feb Forecast'!F29</f>
        <v>0</v>
      </c>
      <c r="G29" s="105">
        <f>+'FY16 Tax Bill'!G29-'FY16 Feb Forecast'!G29</f>
        <v>0</v>
      </c>
      <c r="H29" s="106">
        <f>+'FY16 Tax Bill'!H29-'FY16 Feb Forecast'!H29</f>
        <v>0</v>
      </c>
      <c r="I29" s="107">
        <f>+'FY16 Tax Bill'!I29-'FY16 Feb Forecast'!I29</f>
        <v>659744</v>
      </c>
      <c r="J29" s="105">
        <f>+'FY16 Tax Bill'!J29-'FY16 Feb Forecast'!J29</f>
        <v>583184</v>
      </c>
      <c r="K29" s="106">
        <f>+'FY16 Tax Bill'!K29-'FY16 Feb Forecast'!K29</f>
        <v>76560</v>
      </c>
      <c r="L29" s="107">
        <f>+'FY16 Tax Bill'!L29-'FY16 Feb Forecast'!L29</f>
        <v>0</v>
      </c>
      <c r="M29" s="105">
        <f>+'FY16 Tax Bill'!M29-'FY16 Feb Forecast'!M29</f>
        <v>0</v>
      </c>
      <c r="N29" s="106">
        <f>+'FY16 Tax Bill'!N29-'FY16 Feb Forecast'!N29</f>
        <v>0</v>
      </c>
      <c r="O29" s="107">
        <f>+'FY16 Tax Bill'!O29-'FY16 Feb Forecast'!O29</f>
        <v>659744</v>
      </c>
      <c r="P29" s="105">
        <f>+'FY16 Tax Bill'!P29-'FY16 Feb Forecast'!P29</f>
        <v>583184</v>
      </c>
      <c r="Q29" s="106">
        <f>+'FY16 Tax Bill'!Q29-'FY16 Feb Forecast'!Q29</f>
        <v>76560</v>
      </c>
      <c r="R29" s="105">
        <f>+'FY16 Tax Bill'!R29-'FY16 Feb Forecast'!R29</f>
        <v>212</v>
      </c>
      <c r="S29" s="105">
        <f>+'FY16 Tax Bill'!S29-'FY16 Feb Forecast'!S29</f>
        <v>187.39845758354761</v>
      </c>
      <c r="T29" s="108">
        <f>+'FY16 Tax Bill'!T29-'FY16 Feb Forecast'!T29</f>
        <v>24.601542416452418</v>
      </c>
    </row>
    <row r="30" spans="1:20" x14ac:dyDescent="0.2">
      <c r="A30" s="109">
        <v>23</v>
      </c>
      <c r="B30" s="110">
        <v>1</v>
      </c>
      <c r="C30" s="103" t="s">
        <v>151</v>
      </c>
      <c r="D30" s="103">
        <v>6</v>
      </c>
      <c r="E30" s="104">
        <f>+SUMIF('GE16FEB14 Unfudged'!$A$2:$A$498, $A30, 'GE16FEB14 Unfudged'!$D$2:$D$498)</f>
        <v>977</v>
      </c>
      <c r="F30" s="104">
        <f>+'FY16 Tax Bill'!F30-'FY16 Feb Forecast'!F30</f>
        <v>17329</v>
      </c>
      <c r="G30" s="105">
        <f>+'FY16 Tax Bill'!G30-'FY16 Feb Forecast'!G30</f>
        <v>11652</v>
      </c>
      <c r="H30" s="106">
        <f>+'FY16 Tax Bill'!H30-'FY16 Feb Forecast'!H30</f>
        <v>5677</v>
      </c>
      <c r="I30" s="107">
        <f>+'FY16 Tax Bill'!I30-'FY16 Feb Forecast'!I30</f>
        <v>414163</v>
      </c>
      <c r="J30" s="105">
        <f>+'FY16 Tax Bill'!J30-'FY16 Feb Forecast'!J30</f>
        <v>278487</v>
      </c>
      <c r="K30" s="106">
        <f>+'FY16 Tax Bill'!K30-'FY16 Feb Forecast'!K30</f>
        <v>135676</v>
      </c>
      <c r="L30" s="107">
        <f>+'FY16 Tax Bill'!L30-'FY16 Feb Forecast'!L30</f>
        <v>-414163</v>
      </c>
      <c r="M30" s="105">
        <f>+'FY16 Tax Bill'!M30-'FY16 Feb Forecast'!M30</f>
        <v>-303878</v>
      </c>
      <c r="N30" s="106">
        <f>+'FY16 Tax Bill'!N30-'FY16 Feb Forecast'!N30</f>
        <v>-110285</v>
      </c>
      <c r="O30" s="107">
        <f>+'FY16 Tax Bill'!O30-'FY16 Feb Forecast'!O30</f>
        <v>17329</v>
      </c>
      <c r="P30" s="105">
        <f>+'FY16 Tax Bill'!P30-'FY16 Feb Forecast'!P30</f>
        <v>-13739</v>
      </c>
      <c r="Q30" s="106">
        <f>+'FY16 Tax Bill'!Q30-'FY16 Feb Forecast'!Q30</f>
        <v>31068</v>
      </c>
      <c r="R30" s="105">
        <f>+'FY16 Tax Bill'!R30-'FY16 Feb Forecast'!R30</f>
        <v>17.736949846468747</v>
      </c>
      <c r="S30" s="105">
        <f>+'FY16 Tax Bill'!S30-'FY16 Feb Forecast'!S30</f>
        <v>-14.062436028659249</v>
      </c>
      <c r="T30" s="108">
        <f>+'FY16 Tax Bill'!T30-'FY16 Feb Forecast'!T30</f>
        <v>31.799385875127939</v>
      </c>
    </row>
    <row r="31" spans="1:20" x14ac:dyDescent="0.2">
      <c r="A31" s="109">
        <v>25</v>
      </c>
      <c r="B31" s="110">
        <v>1</v>
      </c>
      <c r="C31" s="103" t="s">
        <v>152</v>
      </c>
      <c r="D31" s="103">
        <v>6</v>
      </c>
      <c r="E31" s="104">
        <f>+SUMIF('GE16FEB14 Unfudged'!$A$2:$A$498, $A31, 'GE16FEB14 Unfudged'!$D$2:$D$498)</f>
        <v>79</v>
      </c>
      <c r="F31" s="104">
        <f>+'FY16 Tax Bill'!F31-'FY16 Feb Forecast'!F31</f>
        <v>0</v>
      </c>
      <c r="G31" s="105">
        <f>+'FY16 Tax Bill'!G31-'FY16 Feb Forecast'!G31</f>
        <v>0</v>
      </c>
      <c r="H31" s="106">
        <f>+'FY16 Tax Bill'!H31-'FY16 Feb Forecast'!H31</f>
        <v>0</v>
      </c>
      <c r="I31" s="107">
        <f>+'FY16 Tax Bill'!I31-'FY16 Feb Forecast'!I31</f>
        <v>33411</v>
      </c>
      <c r="J31" s="105">
        <f>+'FY16 Tax Bill'!J31-'FY16 Feb Forecast'!J31</f>
        <v>0</v>
      </c>
      <c r="K31" s="106">
        <f>+'FY16 Tax Bill'!K31-'FY16 Feb Forecast'!K31</f>
        <v>33411</v>
      </c>
      <c r="L31" s="107">
        <f>+'FY16 Tax Bill'!L31-'FY16 Feb Forecast'!L31</f>
        <v>0</v>
      </c>
      <c r="M31" s="105">
        <f>+'FY16 Tax Bill'!M31-'FY16 Feb Forecast'!M31</f>
        <v>0</v>
      </c>
      <c r="N31" s="106">
        <f>+'FY16 Tax Bill'!N31-'FY16 Feb Forecast'!N31</f>
        <v>0</v>
      </c>
      <c r="O31" s="107">
        <f>+'FY16 Tax Bill'!O31-'FY16 Feb Forecast'!O31</f>
        <v>33411</v>
      </c>
      <c r="P31" s="105">
        <f>+'FY16 Tax Bill'!P31-'FY16 Feb Forecast'!P31</f>
        <v>0</v>
      </c>
      <c r="Q31" s="106">
        <f>+'FY16 Tax Bill'!Q31-'FY16 Feb Forecast'!Q31</f>
        <v>33411</v>
      </c>
      <c r="R31" s="105">
        <f>+'FY16 Tax Bill'!R31-'FY16 Feb Forecast'!R31</f>
        <v>422.92405063291142</v>
      </c>
      <c r="S31" s="105">
        <f>+'FY16 Tax Bill'!S31-'FY16 Feb Forecast'!S31</f>
        <v>0</v>
      </c>
      <c r="T31" s="108">
        <f>+'FY16 Tax Bill'!T31-'FY16 Feb Forecast'!T31</f>
        <v>422.92405063291142</v>
      </c>
    </row>
    <row r="32" spans="1:20" x14ac:dyDescent="0.2">
      <c r="A32" s="109">
        <v>31</v>
      </c>
      <c r="B32" s="110">
        <v>1</v>
      </c>
      <c r="C32" s="103" t="s">
        <v>153</v>
      </c>
      <c r="D32" s="103">
        <v>4</v>
      </c>
      <c r="E32" s="104">
        <f>+SUMIF('GE16FEB14 Unfudged'!$A$2:$A$498, $A32, 'GE16FEB14 Unfudged'!$D$2:$D$498)</f>
        <v>5578</v>
      </c>
      <c r="F32" s="104">
        <f>+'FY16 Tax Bill'!F32-'FY16 Feb Forecast'!F32</f>
        <v>13165</v>
      </c>
      <c r="G32" s="105">
        <f>+'FY16 Tax Bill'!G32-'FY16 Feb Forecast'!G32</f>
        <v>9549</v>
      </c>
      <c r="H32" s="106">
        <f>+'FY16 Tax Bill'!H32-'FY16 Feb Forecast'!H32</f>
        <v>3616</v>
      </c>
      <c r="I32" s="107">
        <f>+'FY16 Tax Bill'!I32-'FY16 Feb Forecast'!I32</f>
        <v>1182536</v>
      </c>
      <c r="J32" s="105">
        <f>+'FY16 Tax Bill'!J32-'FY16 Feb Forecast'!J32</f>
        <v>857710</v>
      </c>
      <c r="K32" s="106">
        <f>+'FY16 Tax Bill'!K32-'FY16 Feb Forecast'!K32</f>
        <v>324826</v>
      </c>
      <c r="L32" s="107">
        <f>+'FY16 Tax Bill'!L32-'FY16 Feb Forecast'!L32</f>
        <v>-287155</v>
      </c>
      <c r="M32" s="105">
        <f>+'FY16 Tax Bill'!M32-'FY16 Feb Forecast'!M32</f>
        <v>-208278</v>
      </c>
      <c r="N32" s="106">
        <f>+'FY16 Tax Bill'!N32-'FY16 Feb Forecast'!N32</f>
        <v>-78877</v>
      </c>
      <c r="O32" s="107">
        <f>+'FY16 Tax Bill'!O32-'FY16 Feb Forecast'!O32</f>
        <v>908546</v>
      </c>
      <c r="P32" s="105">
        <f>+'FY16 Tax Bill'!P32-'FY16 Feb Forecast'!P32</f>
        <v>658981</v>
      </c>
      <c r="Q32" s="106">
        <f>+'FY16 Tax Bill'!Q32-'FY16 Feb Forecast'!Q32</f>
        <v>249565</v>
      </c>
      <c r="R32" s="105">
        <f>+'FY16 Tax Bill'!R32-'FY16 Feb Forecast'!R32</f>
        <v>162.88024381498747</v>
      </c>
      <c r="S32" s="105">
        <f>+'FY16 Tax Bill'!S32-'FY16 Feb Forecast'!S32</f>
        <v>118.13929723915379</v>
      </c>
      <c r="T32" s="108">
        <f>+'FY16 Tax Bill'!T32-'FY16 Feb Forecast'!T32</f>
        <v>44.740946575833618</v>
      </c>
    </row>
    <row r="33" spans="1:20" x14ac:dyDescent="0.2">
      <c r="A33" s="109">
        <v>32</v>
      </c>
      <c r="B33" s="110">
        <v>1</v>
      </c>
      <c r="C33" s="103" t="s">
        <v>154</v>
      </c>
      <c r="D33" s="103">
        <v>6</v>
      </c>
      <c r="E33" s="104">
        <f>+SUMIF('GE16FEB14 Unfudged'!$A$2:$A$498, $A33, 'GE16FEB14 Unfudged'!$D$2:$D$498)</f>
        <v>540</v>
      </c>
      <c r="F33" s="104">
        <f>+'FY16 Tax Bill'!F33-'FY16 Feb Forecast'!F33</f>
        <v>0</v>
      </c>
      <c r="G33" s="105">
        <f>+'FY16 Tax Bill'!G33-'FY16 Feb Forecast'!G33</f>
        <v>0</v>
      </c>
      <c r="H33" s="106">
        <f>+'FY16 Tax Bill'!H33-'FY16 Feb Forecast'!H33</f>
        <v>0</v>
      </c>
      <c r="I33" s="107">
        <f>+'FY16 Tax Bill'!I33-'FY16 Feb Forecast'!I33</f>
        <v>228981</v>
      </c>
      <c r="J33" s="105">
        <f>+'FY16 Tax Bill'!J33-'FY16 Feb Forecast'!J33</f>
        <v>148797</v>
      </c>
      <c r="K33" s="106">
        <f>+'FY16 Tax Bill'!K33-'FY16 Feb Forecast'!K33</f>
        <v>80184</v>
      </c>
      <c r="L33" s="107">
        <f>+'FY16 Tax Bill'!L33-'FY16 Feb Forecast'!L33</f>
        <v>0</v>
      </c>
      <c r="M33" s="105">
        <f>+'FY16 Tax Bill'!M33-'FY16 Feb Forecast'!M33</f>
        <v>0</v>
      </c>
      <c r="N33" s="106">
        <f>+'FY16 Tax Bill'!N33-'FY16 Feb Forecast'!N33</f>
        <v>0</v>
      </c>
      <c r="O33" s="107">
        <f>+'FY16 Tax Bill'!O33-'FY16 Feb Forecast'!O33</f>
        <v>228981</v>
      </c>
      <c r="P33" s="105">
        <f>+'FY16 Tax Bill'!P33-'FY16 Feb Forecast'!P33</f>
        <v>148797</v>
      </c>
      <c r="Q33" s="106">
        <f>+'FY16 Tax Bill'!Q33-'FY16 Feb Forecast'!Q33</f>
        <v>80184</v>
      </c>
      <c r="R33" s="105">
        <f>+'FY16 Tax Bill'!R33-'FY16 Feb Forecast'!R33</f>
        <v>424.03888888888883</v>
      </c>
      <c r="S33" s="105">
        <f>+'FY16 Tax Bill'!S33-'FY16 Feb Forecast'!S33</f>
        <v>275.55</v>
      </c>
      <c r="T33" s="108">
        <f>+'FY16 Tax Bill'!T33-'FY16 Feb Forecast'!T33</f>
        <v>148.48888888888888</v>
      </c>
    </row>
    <row r="34" spans="1:20" x14ac:dyDescent="0.2">
      <c r="A34" s="109">
        <v>36</v>
      </c>
      <c r="B34" s="110">
        <v>1</v>
      </c>
      <c r="C34" s="103" t="s">
        <v>155</v>
      </c>
      <c r="D34" s="103">
        <v>6</v>
      </c>
      <c r="E34" s="104">
        <f>+SUMIF('GE16FEB14 Unfudged'!$A$2:$A$498, $A34, 'GE16FEB14 Unfudged'!$D$2:$D$498)</f>
        <v>281</v>
      </c>
      <c r="F34" s="104">
        <f>+'FY16 Tax Bill'!F34-'FY16 Feb Forecast'!F34</f>
        <v>0</v>
      </c>
      <c r="G34" s="105">
        <f>+'FY16 Tax Bill'!G34-'FY16 Feb Forecast'!G34</f>
        <v>0</v>
      </c>
      <c r="H34" s="106">
        <f>+'FY16 Tax Bill'!H34-'FY16 Feb Forecast'!H34</f>
        <v>0</v>
      </c>
      <c r="I34" s="107">
        <f>+'FY16 Tax Bill'!I34-'FY16 Feb Forecast'!I34</f>
        <v>119059</v>
      </c>
      <c r="J34" s="105">
        <f>+'FY16 Tax Bill'!J34-'FY16 Feb Forecast'!J34</f>
        <v>60145</v>
      </c>
      <c r="K34" s="106">
        <f>+'FY16 Tax Bill'!K34-'FY16 Feb Forecast'!K34</f>
        <v>58914</v>
      </c>
      <c r="L34" s="107">
        <f>+'FY16 Tax Bill'!L34-'FY16 Feb Forecast'!L34</f>
        <v>0</v>
      </c>
      <c r="M34" s="105">
        <f>+'FY16 Tax Bill'!M34-'FY16 Feb Forecast'!M34</f>
        <v>0</v>
      </c>
      <c r="N34" s="106">
        <f>+'FY16 Tax Bill'!N34-'FY16 Feb Forecast'!N34</f>
        <v>0</v>
      </c>
      <c r="O34" s="107">
        <f>+'FY16 Tax Bill'!O34-'FY16 Feb Forecast'!O34</f>
        <v>119059</v>
      </c>
      <c r="P34" s="105">
        <f>+'FY16 Tax Bill'!P34-'FY16 Feb Forecast'!P34</f>
        <v>60145</v>
      </c>
      <c r="Q34" s="106">
        <f>+'FY16 Tax Bill'!Q34-'FY16 Feb Forecast'!Q34</f>
        <v>58914</v>
      </c>
      <c r="R34" s="105">
        <f>+'FY16 Tax Bill'!R34-'FY16 Feb Forecast'!R34</f>
        <v>423.69750889679722</v>
      </c>
      <c r="S34" s="105">
        <f>+'FY16 Tax Bill'!S34-'FY16 Feb Forecast'!S34</f>
        <v>214.03914590747331</v>
      </c>
      <c r="T34" s="108">
        <f>+'FY16 Tax Bill'!T34-'FY16 Feb Forecast'!T34</f>
        <v>209.65836298932385</v>
      </c>
    </row>
    <row r="35" spans="1:20" x14ac:dyDescent="0.2">
      <c r="A35" s="109">
        <v>38</v>
      </c>
      <c r="B35" s="110">
        <v>1</v>
      </c>
      <c r="C35" s="103" t="s">
        <v>156</v>
      </c>
      <c r="D35" s="103">
        <v>5</v>
      </c>
      <c r="E35" s="104">
        <f>+SUMIF('GE16FEB14 Unfudged'!$A$2:$A$498, $A35, 'GE16FEB14 Unfudged'!$D$2:$D$498)</f>
        <v>1572</v>
      </c>
      <c r="F35" s="104">
        <f>+'FY16 Tax Bill'!F35-'FY16 Feb Forecast'!F35</f>
        <v>12699</v>
      </c>
      <c r="G35" s="105">
        <f>+'FY16 Tax Bill'!G35-'FY16 Feb Forecast'!G35</f>
        <v>8</v>
      </c>
      <c r="H35" s="106">
        <f>+'FY16 Tax Bill'!H35-'FY16 Feb Forecast'!H35</f>
        <v>12691</v>
      </c>
      <c r="I35" s="107">
        <f>+'FY16 Tax Bill'!I35-'FY16 Feb Forecast'!I35</f>
        <v>666698</v>
      </c>
      <c r="J35" s="105">
        <f>+'FY16 Tax Bill'!J35-'FY16 Feb Forecast'!J35</f>
        <v>413</v>
      </c>
      <c r="K35" s="106">
        <f>+'FY16 Tax Bill'!K35-'FY16 Feb Forecast'!K35</f>
        <v>666285</v>
      </c>
      <c r="L35" s="107">
        <f>+'FY16 Tax Bill'!L35-'FY16 Feb Forecast'!L35</f>
        <v>-666698</v>
      </c>
      <c r="M35" s="105">
        <f>+'FY16 Tax Bill'!M35-'FY16 Feb Forecast'!M35</f>
        <v>-70826</v>
      </c>
      <c r="N35" s="106">
        <f>+'FY16 Tax Bill'!N35-'FY16 Feb Forecast'!N35</f>
        <v>-595872</v>
      </c>
      <c r="O35" s="107">
        <f>+'FY16 Tax Bill'!O35-'FY16 Feb Forecast'!O35</f>
        <v>12699</v>
      </c>
      <c r="P35" s="105">
        <f>+'FY16 Tax Bill'!P35-'FY16 Feb Forecast'!P35</f>
        <v>-70405</v>
      </c>
      <c r="Q35" s="106">
        <f>+'FY16 Tax Bill'!Q35-'FY16 Feb Forecast'!Q35</f>
        <v>83104</v>
      </c>
      <c r="R35" s="105">
        <f>+'FY16 Tax Bill'!R35-'FY16 Feb Forecast'!R35</f>
        <v>8.0782442748090943</v>
      </c>
      <c r="S35" s="105">
        <f>+'FY16 Tax Bill'!S35-'FY16 Feb Forecast'!S35</f>
        <v>-44.786895674300254</v>
      </c>
      <c r="T35" s="108">
        <f>+'FY16 Tax Bill'!T35-'FY16 Feb Forecast'!T35</f>
        <v>52.865139949109334</v>
      </c>
    </row>
    <row r="36" spans="1:20" x14ac:dyDescent="0.2">
      <c r="A36" s="109">
        <v>47</v>
      </c>
      <c r="B36" s="110">
        <v>1</v>
      </c>
      <c r="C36" s="103" t="s">
        <v>157</v>
      </c>
      <c r="D36" s="103">
        <v>4</v>
      </c>
      <c r="E36" s="104">
        <f>+SUMIF('GE16FEB14 Unfudged'!$A$2:$A$498, $A36, 'GE16FEB14 Unfudged'!$D$2:$D$498)</f>
        <v>4346</v>
      </c>
      <c r="F36" s="104">
        <f>+'FY16 Tax Bill'!F36-'FY16 Feb Forecast'!F36</f>
        <v>0</v>
      </c>
      <c r="G36" s="105">
        <f>+'FY16 Tax Bill'!G36-'FY16 Feb Forecast'!G36</f>
        <v>0</v>
      </c>
      <c r="H36" s="106">
        <f>+'FY16 Tax Bill'!H36-'FY16 Feb Forecast'!H36</f>
        <v>0</v>
      </c>
      <c r="I36" s="107">
        <f>+'FY16 Tax Bill'!I36-'FY16 Feb Forecast'!I36</f>
        <v>921437</v>
      </c>
      <c r="J36" s="105">
        <f>+'FY16 Tax Bill'!J36-'FY16 Feb Forecast'!J36</f>
        <v>595212</v>
      </c>
      <c r="K36" s="106">
        <f>+'FY16 Tax Bill'!K36-'FY16 Feb Forecast'!K36</f>
        <v>326225</v>
      </c>
      <c r="L36" s="107">
        <f>+'FY16 Tax Bill'!L36-'FY16 Feb Forecast'!L36</f>
        <v>0</v>
      </c>
      <c r="M36" s="105">
        <f>+'FY16 Tax Bill'!M36-'FY16 Feb Forecast'!M36</f>
        <v>0</v>
      </c>
      <c r="N36" s="106">
        <f>+'FY16 Tax Bill'!N36-'FY16 Feb Forecast'!N36</f>
        <v>0</v>
      </c>
      <c r="O36" s="107">
        <f>+'FY16 Tax Bill'!O36-'FY16 Feb Forecast'!O36</f>
        <v>921437</v>
      </c>
      <c r="P36" s="105">
        <f>+'FY16 Tax Bill'!P36-'FY16 Feb Forecast'!P36</f>
        <v>595212</v>
      </c>
      <c r="Q36" s="106">
        <f>+'FY16 Tax Bill'!Q36-'FY16 Feb Forecast'!Q36</f>
        <v>326225</v>
      </c>
      <c r="R36" s="105">
        <f>+'FY16 Tax Bill'!R36-'FY16 Feb Forecast'!R36</f>
        <v>212.01955821445006</v>
      </c>
      <c r="S36" s="105">
        <f>+'FY16 Tax Bill'!S36-'FY16 Feb Forecast'!S36</f>
        <v>136.95628163828809</v>
      </c>
      <c r="T36" s="108">
        <f>+'FY16 Tax Bill'!T36-'FY16 Feb Forecast'!T36</f>
        <v>75.063276576162025</v>
      </c>
    </row>
    <row r="37" spans="1:20" x14ac:dyDescent="0.2">
      <c r="A37" s="109">
        <v>51</v>
      </c>
      <c r="B37" s="110">
        <v>1</v>
      </c>
      <c r="C37" s="103" t="s">
        <v>158</v>
      </c>
      <c r="D37" s="103">
        <v>5</v>
      </c>
      <c r="E37" s="104">
        <f>+SUMIF('GE16FEB14 Unfudged'!$A$2:$A$498, $A37, 'GE16FEB14 Unfudged'!$D$2:$D$498)</f>
        <v>1945</v>
      </c>
      <c r="F37" s="104">
        <f>+'FY16 Tax Bill'!F37-'FY16 Feb Forecast'!F37</f>
        <v>0</v>
      </c>
      <c r="G37" s="105">
        <f>+'FY16 Tax Bill'!G37-'FY16 Feb Forecast'!G37</f>
        <v>0</v>
      </c>
      <c r="H37" s="106">
        <f>+'FY16 Tax Bill'!H37-'FY16 Feb Forecast'!H37</f>
        <v>0</v>
      </c>
      <c r="I37" s="107">
        <f>+'FY16 Tax Bill'!I37-'FY16 Feb Forecast'!I37</f>
        <v>824532</v>
      </c>
      <c r="J37" s="105">
        <f>+'FY16 Tax Bill'!J37-'FY16 Feb Forecast'!J37</f>
        <v>408882</v>
      </c>
      <c r="K37" s="106">
        <f>+'FY16 Tax Bill'!K37-'FY16 Feb Forecast'!K37</f>
        <v>415650</v>
      </c>
      <c r="L37" s="107">
        <f>+'FY16 Tax Bill'!L37-'FY16 Feb Forecast'!L37</f>
        <v>0</v>
      </c>
      <c r="M37" s="105">
        <f>+'FY16 Tax Bill'!M37-'FY16 Feb Forecast'!M37</f>
        <v>0</v>
      </c>
      <c r="N37" s="106">
        <f>+'FY16 Tax Bill'!N37-'FY16 Feb Forecast'!N37</f>
        <v>0</v>
      </c>
      <c r="O37" s="107">
        <f>+'FY16 Tax Bill'!O37-'FY16 Feb Forecast'!O37</f>
        <v>824532</v>
      </c>
      <c r="P37" s="105">
        <f>+'FY16 Tax Bill'!P37-'FY16 Feb Forecast'!P37</f>
        <v>408882</v>
      </c>
      <c r="Q37" s="106">
        <f>+'FY16 Tax Bill'!Q37-'FY16 Feb Forecast'!Q37</f>
        <v>415650</v>
      </c>
      <c r="R37" s="105">
        <f>+'FY16 Tax Bill'!R37-'FY16 Feb Forecast'!R37</f>
        <v>423.92390745501285</v>
      </c>
      <c r="S37" s="105">
        <f>+'FY16 Tax Bill'!S37-'FY16 Feb Forecast'!S37</f>
        <v>210.22210796915169</v>
      </c>
      <c r="T37" s="108">
        <f>+'FY16 Tax Bill'!T37-'FY16 Feb Forecast'!T37</f>
        <v>213.70179948586116</v>
      </c>
    </row>
    <row r="38" spans="1:20" x14ac:dyDescent="0.2">
      <c r="A38" s="109">
        <v>75</v>
      </c>
      <c r="B38" s="110">
        <v>1</v>
      </c>
      <c r="C38" s="103" t="s">
        <v>159</v>
      </c>
      <c r="D38" s="103">
        <v>6</v>
      </c>
      <c r="E38" s="104">
        <f>+SUMIF('GE16FEB14 Unfudged'!$A$2:$A$498, $A38, 'GE16FEB14 Unfudged'!$D$2:$D$498)</f>
        <v>696</v>
      </c>
      <c r="F38" s="104">
        <f>+'FY16 Tax Bill'!F38-'FY16 Feb Forecast'!F38</f>
        <v>9849</v>
      </c>
      <c r="G38" s="105">
        <f>+'FY16 Tax Bill'!G38-'FY16 Feb Forecast'!G38</f>
        <v>8024</v>
      </c>
      <c r="H38" s="106">
        <f>+'FY16 Tax Bill'!H38-'FY16 Feb Forecast'!H38</f>
        <v>1825</v>
      </c>
      <c r="I38" s="107">
        <f>+'FY16 Tax Bill'!I38-'FY16 Feb Forecast'!I38</f>
        <v>295274</v>
      </c>
      <c r="J38" s="105">
        <f>+'FY16 Tax Bill'!J38-'FY16 Feb Forecast'!J38</f>
        <v>240573</v>
      </c>
      <c r="K38" s="106">
        <f>+'FY16 Tax Bill'!K38-'FY16 Feb Forecast'!K38</f>
        <v>54701</v>
      </c>
      <c r="L38" s="107">
        <f>+'FY16 Tax Bill'!L38-'FY16 Feb Forecast'!L38</f>
        <v>-214812</v>
      </c>
      <c r="M38" s="105">
        <f>+'FY16 Tax Bill'!M38-'FY16 Feb Forecast'!M38</f>
        <v>-175017</v>
      </c>
      <c r="N38" s="106">
        <f>+'FY16 Tax Bill'!N38-'FY16 Feb Forecast'!N38</f>
        <v>-39795</v>
      </c>
      <c r="O38" s="107">
        <f>+'FY16 Tax Bill'!O38-'FY16 Feb Forecast'!O38</f>
        <v>90311</v>
      </c>
      <c r="P38" s="105">
        <f>+'FY16 Tax Bill'!P38-'FY16 Feb Forecast'!P38</f>
        <v>73580</v>
      </c>
      <c r="Q38" s="106">
        <f>+'FY16 Tax Bill'!Q38-'FY16 Feb Forecast'!Q38</f>
        <v>16731</v>
      </c>
      <c r="R38" s="105">
        <f>+'FY16 Tax Bill'!R38-'FY16 Feb Forecast'!R38</f>
        <v>129.75718390804593</v>
      </c>
      <c r="S38" s="105">
        <f>+'FY16 Tax Bill'!S38-'FY16 Feb Forecast'!S38</f>
        <v>105.71839080459773</v>
      </c>
      <c r="T38" s="108">
        <f>+'FY16 Tax Bill'!T38-'FY16 Feb Forecast'!T38</f>
        <v>24.038793103448285</v>
      </c>
    </row>
    <row r="39" spans="1:20" x14ac:dyDescent="0.2">
      <c r="A39" s="109">
        <v>77</v>
      </c>
      <c r="B39" s="110">
        <v>1</v>
      </c>
      <c r="C39" s="103" t="s">
        <v>160</v>
      </c>
      <c r="D39" s="103">
        <v>4</v>
      </c>
      <c r="E39" s="104">
        <f>+SUMIF('GE16FEB14 Unfudged'!$A$2:$A$498, $A39, 'GE16FEB14 Unfudged'!$D$2:$D$498)</f>
        <v>8602</v>
      </c>
      <c r="F39" s="104">
        <f>+'FY16 Tax Bill'!F39-'FY16 Feb Forecast'!F39</f>
        <v>79824</v>
      </c>
      <c r="G39" s="105">
        <f>+'FY16 Tax Bill'!G39-'FY16 Feb Forecast'!G39</f>
        <v>79824</v>
      </c>
      <c r="H39" s="106">
        <f>+'FY16 Tax Bill'!H39-'FY16 Feb Forecast'!H39</f>
        <v>0</v>
      </c>
      <c r="I39" s="107">
        <f>+'FY16 Tax Bill'!I39-'FY16 Feb Forecast'!I39</f>
        <v>1823539</v>
      </c>
      <c r="J39" s="105">
        <f>+'FY16 Tax Bill'!J39-'FY16 Feb Forecast'!J39</f>
        <v>1823539</v>
      </c>
      <c r="K39" s="106">
        <f>+'FY16 Tax Bill'!K39-'FY16 Feb Forecast'!K39</f>
        <v>0</v>
      </c>
      <c r="L39" s="107">
        <f>+'FY16 Tax Bill'!L39-'FY16 Feb Forecast'!L39</f>
        <v>-1823539</v>
      </c>
      <c r="M39" s="105">
        <f>+'FY16 Tax Bill'!M39-'FY16 Feb Forecast'!M39</f>
        <v>-1823539</v>
      </c>
      <c r="N39" s="106">
        <f>+'FY16 Tax Bill'!N39-'FY16 Feb Forecast'!N39</f>
        <v>0</v>
      </c>
      <c r="O39" s="107">
        <f>+'FY16 Tax Bill'!O39-'FY16 Feb Forecast'!O39</f>
        <v>79824</v>
      </c>
      <c r="P39" s="105">
        <f>+'FY16 Tax Bill'!P39-'FY16 Feb Forecast'!P39</f>
        <v>79824</v>
      </c>
      <c r="Q39" s="106">
        <f>+'FY16 Tax Bill'!Q39-'FY16 Feb Forecast'!Q39</f>
        <v>0</v>
      </c>
      <c r="R39" s="105">
        <f>+'FY16 Tax Bill'!R39-'FY16 Feb Forecast'!R39</f>
        <v>9.2797023947917978</v>
      </c>
      <c r="S39" s="105">
        <f>+'FY16 Tax Bill'!S39-'FY16 Feb Forecast'!S39</f>
        <v>9.2797023947919115</v>
      </c>
      <c r="T39" s="108">
        <f>+'FY16 Tax Bill'!T39-'FY16 Feb Forecast'!T39</f>
        <v>0</v>
      </c>
    </row>
    <row r="40" spans="1:20" x14ac:dyDescent="0.2">
      <c r="A40" s="109">
        <v>81</v>
      </c>
      <c r="B40" s="110">
        <v>1</v>
      </c>
      <c r="C40" s="103" t="s">
        <v>161</v>
      </c>
      <c r="D40" s="103">
        <v>6</v>
      </c>
      <c r="E40" s="104">
        <f>+SUMIF('GE16FEB14 Unfudged'!$A$2:$A$498, $A40, 'GE16FEB14 Unfudged'!$D$2:$D$498)</f>
        <v>162</v>
      </c>
      <c r="F40" s="104">
        <f>+'FY16 Tax Bill'!F40-'FY16 Feb Forecast'!F40</f>
        <v>764</v>
      </c>
      <c r="G40" s="105">
        <f>+'FY16 Tax Bill'!G40-'FY16 Feb Forecast'!G40</f>
        <v>343</v>
      </c>
      <c r="H40" s="106">
        <f>+'FY16 Tax Bill'!H40-'FY16 Feb Forecast'!H40</f>
        <v>421</v>
      </c>
      <c r="I40" s="107">
        <f>+'FY16 Tax Bill'!I40-'FY16 Feb Forecast'!I40</f>
        <v>68836</v>
      </c>
      <c r="J40" s="105">
        <f>+'FY16 Tax Bill'!J40-'FY16 Feb Forecast'!J40</f>
        <v>30840</v>
      </c>
      <c r="K40" s="106">
        <f>+'FY16 Tax Bill'!K40-'FY16 Feb Forecast'!K40</f>
        <v>37996</v>
      </c>
      <c r="L40" s="107">
        <f>+'FY16 Tax Bill'!L40-'FY16 Feb Forecast'!L40</f>
        <v>-68836</v>
      </c>
      <c r="M40" s="105">
        <f>+'FY16 Tax Bill'!M40-'FY16 Feb Forecast'!M40</f>
        <v>-57116</v>
      </c>
      <c r="N40" s="106">
        <f>+'FY16 Tax Bill'!N40-'FY16 Feb Forecast'!N40</f>
        <v>-11720</v>
      </c>
      <c r="O40" s="107">
        <f>+'FY16 Tax Bill'!O40-'FY16 Feb Forecast'!O40</f>
        <v>764</v>
      </c>
      <c r="P40" s="105">
        <f>+'FY16 Tax Bill'!P40-'FY16 Feb Forecast'!P40</f>
        <v>-25933</v>
      </c>
      <c r="Q40" s="106">
        <f>+'FY16 Tax Bill'!Q40-'FY16 Feb Forecast'!Q40</f>
        <v>26697</v>
      </c>
      <c r="R40" s="105">
        <f>+'FY16 Tax Bill'!R40-'FY16 Feb Forecast'!R40</f>
        <v>4.7160493827159371</v>
      </c>
      <c r="S40" s="105">
        <f>+'FY16 Tax Bill'!S40-'FY16 Feb Forecast'!S40</f>
        <v>-160.08024691358025</v>
      </c>
      <c r="T40" s="108">
        <f>+'FY16 Tax Bill'!T40-'FY16 Feb Forecast'!T40</f>
        <v>164.7962962962963</v>
      </c>
    </row>
    <row r="41" spans="1:20" x14ac:dyDescent="0.2">
      <c r="A41" s="109">
        <v>84</v>
      </c>
      <c r="B41" s="110">
        <v>1</v>
      </c>
      <c r="C41" s="103" t="s">
        <v>162</v>
      </c>
      <c r="D41" s="103">
        <v>6</v>
      </c>
      <c r="E41" s="104">
        <f>+SUMIF('GE16FEB14 Unfudged'!$A$2:$A$498, $A41, 'GE16FEB14 Unfudged'!$D$2:$D$498)</f>
        <v>596</v>
      </c>
      <c r="F41" s="104">
        <f>+'FY16 Tax Bill'!F41-'FY16 Feb Forecast'!F41</f>
        <v>0</v>
      </c>
      <c r="G41" s="105">
        <f>+'FY16 Tax Bill'!G41-'FY16 Feb Forecast'!G41</f>
        <v>0</v>
      </c>
      <c r="H41" s="106">
        <f>+'FY16 Tax Bill'!H41-'FY16 Feb Forecast'!H41</f>
        <v>0</v>
      </c>
      <c r="I41" s="107">
        <f>+'FY16 Tax Bill'!I41-'FY16 Feb Forecast'!I41</f>
        <v>252725</v>
      </c>
      <c r="J41" s="105">
        <f>+'FY16 Tax Bill'!J41-'FY16 Feb Forecast'!J41</f>
        <v>205753</v>
      </c>
      <c r="K41" s="106">
        <f>+'FY16 Tax Bill'!K41-'FY16 Feb Forecast'!K41</f>
        <v>46972</v>
      </c>
      <c r="L41" s="107">
        <f>+'FY16 Tax Bill'!L41-'FY16 Feb Forecast'!L41</f>
        <v>0</v>
      </c>
      <c r="M41" s="105">
        <f>+'FY16 Tax Bill'!M41-'FY16 Feb Forecast'!M41</f>
        <v>0</v>
      </c>
      <c r="N41" s="106">
        <f>+'FY16 Tax Bill'!N41-'FY16 Feb Forecast'!N41</f>
        <v>0</v>
      </c>
      <c r="O41" s="107">
        <f>+'FY16 Tax Bill'!O41-'FY16 Feb Forecast'!O41</f>
        <v>252725</v>
      </c>
      <c r="P41" s="105">
        <f>+'FY16 Tax Bill'!P41-'FY16 Feb Forecast'!P41</f>
        <v>205753</v>
      </c>
      <c r="Q41" s="106">
        <f>+'FY16 Tax Bill'!Q41-'FY16 Feb Forecast'!Q41</f>
        <v>46972</v>
      </c>
      <c r="R41" s="105">
        <f>+'FY16 Tax Bill'!R41-'FY16 Feb Forecast'!R41</f>
        <v>424.03523489932883</v>
      </c>
      <c r="S41" s="105">
        <f>+'FY16 Tax Bill'!S41-'FY16 Feb Forecast'!S41</f>
        <v>345.2231543624161</v>
      </c>
      <c r="T41" s="108">
        <f>+'FY16 Tax Bill'!T41-'FY16 Feb Forecast'!T41</f>
        <v>78.812080536912731</v>
      </c>
    </row>
    <row r="42" spans="1:20" x14ac:dyDescent="0.2">
      <c r="A42" s="109">
        <v>85</v>
      </c>
      <c r="B42" s="110">
        <v>1</v>
      </c>
      <c r="C42" s="103" t="s">
        <v>163</v>
      </c>
      <c r="D42" s="103">
        <v>6</v>
      </c>
      <c r="E42" s="104">
        <f>+SUMIF('GE16FEB14 Unfudged'!$A$2:$A$498, $A42, 'GE16FEB14 Unfudged'!$D$2:$D$498)</f>
        <v>601</v>
      </c>
      <c r="F42" s="104">
        <f>+'FY16 Tax Bill'!F42-'FY16 Feb Forecast'!F42</f>
        <v>11250</v>
      </c>
      <c r="G42" s="105">
        <f>+'FY16 Tax Bill'!G42-'FY16 Feb Forecast'!G42</f>
        <v>5486</v>
      </c>
      <c r="H42" s="106">
        <f>+'FY16 Tax Bill'!H42-'FY16 Feb Forecast'!H42</f>
        <v>5764</v>
      </c>
      <c r="I42" s="107">
        <f>+'FY16 Tax Bill'!I42-'FY16 Feb Forecast'!I42</f>
        <v>254951</v>
      </c>
      <c r="J42" s="105">
        <f>+'FY16 Tax Bill'!J42-'FY16 Feb Forecast'!J42</f>
        <v>124321</v>
      </c>
      <c r="K42" s="106">
        <f>+'FY16 Tax Bill'!K42-'FY16 Feb Forecast'!K42</f>
        <v>130630</v>
      </c>
      <c r="L42" s="107">
        <f>+'FY16 Tax Bill'!L42-'FY16 Feb Forecast'!L42</f>
        <v>-245391</v>
      </c>
      <c r="M42" s="105">
        <f>+'FY16 Tax Bill'!M42-'FY16 Feb Forecast'!M42</f>
        <v>-119660</v>
      </c>
      <c r="N42" s="106">
        <f>+'FY16 Tax Bill'!N42-'FY16 Feb Forecast'!N42</f>
        <v>-125731</v>
      </c>
      <c r="O42" s="107">
        <f>+'FY16 Tax Bill'!O42-'FY16 Feb Forecast'!O42</f>
        <v>20810</v>
      </c>
      <c r="P42" s="105">
        <f>+'FY16 Tax Bill'!P42-'FY16 Feb Forecast'!P42</f>
        <v>10147</v>
      </c>
      <c r="Q42" s="106">
        <f>+'FY16 Tax Bill'!Q42-'FY16 Feb Forecast'!Q42</f>
        <v>10663</v>
      </c>
      <c r="R42" s="105">
        <f>+'FY16 Tax Bill'!R42-'FY16 Feb Forecast'!R42</f>
        <v>34.625623960066605</v>
      </c>
      <c r="S42" s="105">
        <f>+'FY16 Tax Bill'!S42-'FY16 Feb Forecast'!S42</f>
        <v>16.883527454242937</v>
      </c>
      <c r="T42" s="108">
        <f>+'FY16 Tax Bill'!T42-'FY16 Feb Forecast'!T42</f>
        <v>17.742096505823611</v>
      </c>
    </row>
    <row r="43" spans="1:20" x14ac:dyDescent="0.2">
      <c r="A43" s="109">
        <v>88</v>
      </c>
      <c r="B43" s="110">
        <v>1</v>
      </c>
      <c r="C43" s="103" t="s">
        <v>164</v>
      </c>
      <c r="D43" s="103">
        <v>4</v>
      </c>
      <c r="E43" s="104">
        <f>+SUMIF('GE16FEB14 Unfudged'!$A$2:$A$498, $A43, 'GE16FEB14 Unfudged'!$D$2:$D$498)</f>
        <v>2169</v>
      </c>
      <c r="F43" s="104">
        <f>+'FY16 Tax Bill'!F43-'FY16 Feb Forecast'!F43</f>
        <v>17608</v>
      </c>
      <c r="G43" s="105">
        <f>+'FY16 Tax Bill'!G43-'FY16 Feb Forecast'!G43</f>
        <v>17596</v>
      </c>
      <c r="H43" s="106">
        <f>+'FY16 Tax Bill'!H43-'FY16 Feb Forecast'!H43</f>
        <v>12</v>
      </c>
      <c r="I43" s="107">
        <f>+'FY16 Tax Bill'!I43-'FY16 Feb Forecast'!I43</f>
        <v>919571</v>
      </c>
      <c r="J43" s="105">
        <f>+'FY16 Tax Bill'!J43-'FY16 Feb Forecast'!J43</f>
        <v>918912</v>
      </c>
      <c r="K43" s="106">
        <f>+'FY16 Tax Bill'!K43-'FY16 Feb Forecast'!K43</f>
        <v>659</v>
      </c>
      <c r="L43" s="107">
        <f>+'FY16 Tax Bill'!L43-'FY16 Feb Forecast'!L43</f>
        <v>-919571</v>
      </c>
      <c r="M43" s="105">
        <f>+'FY16 Tax Bill'!M43-'FY16 Feb Forecast'!M43</f>
        <v>-919571</v>
      </c>
      <c r="N43" s="106">
        <f>+'FY16 Tax Bill'!N43-'FY16 Feb Forecast'!N43</f>
        <v>0</v>
      </c>
      <c r="O43" s="107">
        <f>+'FY16 Tax Bill'!O43-'FY16 Feb Forecast'!O43</f>
        <v>17608</v>
      </c>
      <c r="P43" s="105">
        <f>+'FY16 Tax Bill'!P43-'FY16 Feb Forecast'!P43</f>
        <v>16937</v>
      </c>
      <c r="Q43" s="106">
        <f>+'FY16 Tax Bill'!Q43-'FY16 Feb Forecast'!Q43</f>
        <v>671</v>
      </c>
      <c r="R43" s="105">
        <f>+'FY16 Tax Bill'!R43-'FY16 Feb Forecast'!R43</f>
        <v>8.118026740433379</v>
      </c>
      <c r="S43" s="105">
        <f>+'FY16 Tax Bill'!S43-'FY16 Feb Forecast'!S43</f>
        <v>7.8086675887504953</v>
      </c>
      <c r="T43" s="108">
        <f>+'FY16 Tax Bill'!T43-'FY16 Feb Forecast'!T43</f>
        <v>0.30935915168281269</v>
      </c>
    </row>
    <row r="44" spans="1:20" x14ac:dyDescent="0.2">
      <c r="A44" s="109">
        <v>91</v>
      </c>
      <c r="B44" s="110">
        <v>1</v>
      </c>
      <c r="C44" s="103" t="s">
        <v>165</v>
      </c>
      <c r="D44" s="103">
        <v>6</v>
      </c>
      <c r="E44" s="104">
        <f>+SUMIF('GE16FEB14 Unfudged'!$A$2:$A$498, $A44, 'GE16FEB14 Unfudged'!$D$2:$D$498)</f>
        <v>877</v>
      </c>
      <c r="F44" s="104">
        <f>+'FY16 Tax Bill'!F44-'FY16 Feb Forecast'!F44</f>
        <v>0</v>
      </c>
      <c r="G44" s="105">
        <f>+'FY16 Tax Bill'!G44-'FY16 Feb Forecast'!G44</f>
        <v>0</v>
      </c>
      <c r="H44" s="106">
        <f>+'FY16 Tax Bill'!H44-'FY16 Feb Forecast'!H44</f>
        <v>0</v>
      </c>
      <c r="I44" s="107">
        <f>+'FY16 Tax Bill'!I44-'FY16 Feb Forecast'!I44</f>
        <v>371763</v>
      </c>
      <c r="J44" s="105">
        <f>+'FY16 Tax Bill'!J44-'FY16 Feb Forecast'!J44</f>
        <v>200047</v>
      </c>
      <c r="K44" s="106">
        <f>+'FY16 Tax Bill'!K44-'FY16 Feb Forecast'!K44</f>
        <v>171716</v>
      </c>
      <c r="L44" s="107">
        <f>+'FY16 Tax Bill'!L44-'FY16 Feb Forecast'!L44</f>
        <v>0</v>
      </c>
      <c r="M44" s="105">
        <f>+'FY16 Tax Bill'!M44-'FY16 Feb Forecast'!M44</f>
        <v>0</v>
      </c>
      <c r="N44" s="106">
        <f>+'FY16 Tax Bill'!N44-'FY16 Feb Forecast'!N44</f>
        <v>0</v>
      </c>
      <c r="O44" s="107">
        <f>+'FY16 Tax Bill'!O44-'FY16 Feb Forecast'!O44</f>
        <v>371763</v>
      </c>
      <c r="P44" s="105">
        <f>+'FY16 Tax Bill'!P44-'FY16 Feb Forecast'!P44</f>
        <v>200047</v>
      </c>
      <c r="Q44" s="106">
        <f>+'FY16 Tax Bill'!Q44-'FY16 Feb Forecast'!Q44</f>
        <v>171716</v>
      </c>
      <c r="R44" s="105">
        <f>+'FY16 Tax Bill'!R44-'FY16 Feb Forecast'!R44</f>
        <v>423.90307867730905</v>
      </c>
      <c r="S44" s="105">
        <f>+'FY16 Tax Bill'!S44-'FY16 Feb Forecast'!S44</f>
        <v>228.1037628278221</v>
      </c>
      <c r="T44" s="108">
        <f>+'FY16 Tax Bill'!T44-'FY16 Feb Forecast'!T44</f>
        <v>195.7993158494869</v>
      </c>
    </row>
    <row r="45" spans="1:20" x14ac:dyDescent="0.2">
      <c r="A45" s="109">
        <v>93</v>
      </c>
      <c r="B45" s="110">
        <v>1</v>
      </c>
      <c r="C45" s="103" t="s">
        <v>166</v>
      </c>
      <c r="D45" s="103">
        <v>6</v>
      </c>
      <c r="E45" s="104">
        <f>+SUMIF('GE16FEB14 Unfudged'!$A$2:$A$498, $A45, 'GE16FEB14 Unfudged'!$D$2:$D$498)</f>
        <v>479</v>
      </c>
      <c r="F45" s="104">
        <f>+'FY16 Tax Bill'!F45-'FY16 Feb Forecast'!F45</f>
        <v>2783</v>
      </c>
      <c r="G45" s="105">
        <f>+'FY16 Tax Bill'!G45-'FY16 Feb Forecast'!G45</f>
        <v>2483</v>
      </c>
      <c r="H45" s="106">
        <f>+'FY16 Tax Bill'!H45-'FY16 Feb Forecast'!H45</f>
        <v>300</v>
      </c>
      <c r="I45" s="107">
        <f>+'FY16 Tax Bill'!I45-'FY16 Feb Forecast'!I45</f>
        <v>203181</v>
      </c>
      <c r="J45" s="105">
        <f>+'FY16 Tax Bill'!J45-'FY16 Feb Forecast'!J45</f>
        <v>181295</v>
      </c>
      <c r="K45" s="106">
        <f>+'FY16 Tax Bill'!K45-'FY16 Feb Forecast'!K45</f>
        <v>21886</v>
      </c>
      <c r="L45" s="107">
        <f>+'FY16 Tax Bill'!L45-'FY16 Feb Forecast'!L45</f>
        <v>-203181</v>
      </c>
      <c r="M45" s="105">
        <f>+'FY16 Tax Bill'!M45-'FY16 Feb Forecast'!M45</f>
        <v>-203181</v>
      </c>
      <c r="N45" s="106">
        <f>+'FY16 Tax Bill'!N45-'FY16 Feb Forecast'!N45</f>
        <v>0</v>
      </c>
      <c r="O45" s="107">
        <f>+'FY16 Tax Bill'!O45-'FY16 Feb Forecast'!O45</f>
        <v>2783</v>
      </c>
      <c r="P45" s="105">
        <f>+'FY16 Tax Bill'!P45-'FY16 Feb Forecast'!P45</f>
        <v>-19403</v>
      </c>
      <c r="Q45" s="106">
        <f>+'FY16 Tax Bill'!Q45-'FY16 Feb Forecast'!Q45</f>
        <v>22186</v>
      </c>
      <c r="R45" s="105">
        <f>+'FY16 Tax Bill'!R45-'FY16 Feb Forecast'!R45</f>
        <v>5.8100208768266839</v>
      </c>
      <c r="S45" s="105">
        <f>+'FY16 Tax Bill'!S45-'FY16 Feb Forecast'!S45</f>
        <v>-40.507306889353003</v>
      </c>
      <c r="T45" s="108">
        <f>+'FY16 Tax Bill'!T45-'FY16 Feb Forecast'!T45</f>
        <v>46.317327766179545</v>
      </c>
    </row>
    <row r="46" spans="1:20" x14ac:dyDescent="0.2">
      <c r="A46" s="109">
        <v>94</v>
      </c>
      <c r="B46" s="110">
        <v>1</v>
      </c>
      <c r="C46" s="103" t="s">
        <v>167</v>
      </c>
      <c r="D46" s="103">
        <v>4</v>
      </c>
      <c r="E46" s="104">
        <f>+SUMIF('GE16FEB14 Unfudged'!$A$2:$A$498, $A46, 'GE16FEB14 Unfudged'!$D$2:$D$498)</f>
        <v>2887</v>
      </c>
      <c r="F46" s="104">
        <f>+'FY16 Tax Bill'!F46-'FY16 Feb Forecast'!F46</f>
        <v>0</v>
      </c>
      <c r="G46" s="105">
        <f>+'FY16 Tax Bill'!G46-'FY16 Feb Forecast'!G46</f>
        <v>0</v>
      </c>
      <c r="H46" s="106">
        <f>+'FY16 Tax Bill'!H46-'FY16 Feb Forecast'!H46</f>
        <v>0</v>
      </c>
      <c r="I46" s="107">
        <f>+'FY16 Tax Bill'!I46-'FY16 Feb Forecast'!I46</f>
        <v>612087</v>
      </c>
      <c r="J46" s="105">
        <f>+'FY16 Tax Bill'!J46-'FY16 Feb Forecast'!J46</f>
        <v>390214</v>
      </c>
      <c r="K46" s="106">
        <f>+'FY16 Tax Bill'!K46-'FY16 Feb Forecast'!K46</f>
        <v>221873</v>
      </c>
      <c r="L46" s="107">
        <f>+'FY16 Tax Bill'!L46-'FY16 Feb Forecast'!L46</f>
        <v>0</v>
      </c>
      <c r="M46" s="105">
        <f>+'FY16 Tax Bill'!M46-'FY16 Feb Forecast'!M46</f>
        <v>0</v>
      </c>
      <c r="N46" s="106">
        <f>+'FY16 Tax Bill'!N46-'FY16 Feb Forecast'!N46</f>
        <v>0</v>
      </c>
      <c r="O46" s="107">
        <f>+'FY16 Tax Bill'!O46-'FY16 Feb Forecast'!O46</f>
        <v>612087</v>
      </c>
      <c r="P46" s="105">
        <f>+'FY16 Tax Bill'!P46-'FY16 Feb Forecast'!P46</f>
        <v>390214</v>
      </c>
      <c r="Q46" s="106">
        <f>+'FY16 Tax Bill'!Q46-'FY16 Feb Forecast'!Q46</f>
        <v>221873</v>
      </c>
      <c r="R46" s="105">
        <f>+'FY16 Tax Bill'!R46-'FY16 Feb Forecast'!R46</f>
        <v>212.01489435400072</v>
      </c>
      <c r="S46" s="105">
        <f>+'FY16 Tax Bill'!S46-'FY16 Feb Forecast'!S46</f>
        <v>135.16245237270522</v>
      </c>
      <c r="T46" s="108">
        <f>+'FY16 Tax Bill'!T46-'FY16 Feb Forecast'!T46</f>
        <v>76.852441981295442</v>
      </c>
    </row>
    <row r="47" spans="1:20" x14ac:dyDescent="0.2">
      <c r="A47" s="109">
        <v>95</v>
      </c>
      <c r="B47" s="110">
        <v>1</v>
      </c>
      <c r="C47" s="103" t="s">
        <v>168</v>
      </c>
      <c r="D47" s="103">
        <v>6</v>
      </c>
      <c r="E47" s="104">
        <f>+SUMIF('GE16FEB14 Unfudged'!$A$2:$A$498, $A47, 'GE16FEB14 Unfudged'!$D$2:$D$498)</f>
        <v>349</v>
      </c>
      <c r="F47" s="104">
        <f>+'FY16 Tax Bill'!F47-'FY16 Feb Forecast'!F47</f>
        <v>0</v>
      </c>
      <c r="G47" s="105">
        <f>+'FY16 Tax Bill'!G47-'FY16 Feb Forecast'!G47</f>
        <v>0</v>
      </c>
      <c r="H47" s="106">
        <f>+'FY16 Tax Bill'!H47-'FY16 Feb Forecast'!H47</f>
        <v>0</v>
      </c>
      <c r="I47" s="107">
        <f>+'FY16 Tax Bill'!I47-'FY16 Feb Forecast'!I47</f>
        <v>147976</v>
      </c>
      <c r="J47" s="105">
        <f>+'FY16 Tax Bill'!J47-'FY16 Feb Forecast'!J47</f>
        <v>108924</v>
      </c>
      <c r="K47" s="106">
        <f>+'FY16 Tax Bill'!K47-'FY16 Feb Forecast'!K47</f>
        <v>39052</v>
      </c>
      <c r="L47" s="107">
        <f>+'FY16 Tax Bill'!L47-'FY16 Feb Forecast'!L47</f>
        <v>0</v>
      </c>
      <c r="M47" s="105">
        <f>+'FY16 Tax Bill'!M47-'FY16 Feb Forecast'!M47</f>
        <v>0</v>
      </c>
      <c r="N47" s="106">
        <f>+'FY16 Tax Bill'!N47-'FY16 Feb Forecast'!N47</f>
        <v>0</v>
      </c>
      <c r="O47" s="107">
        <f>+'FY16 Tax Bill'!O47-'FY16 Feb Forecast'!O47</f>
        <v>147976</v>
      </c>
      <c r="P47" s="105">
        <f>+'FY16 Tax Bill'!P47-'FY16 Feb Forecast'!P47</f>
        <v>108924</v>
      </c>
      <c r="Q47" s="106">
        <f>+'FY16 Tax Bill'!Q47-'FY16 Feb Forecast'!Q47</f>
        <v>39052</v>
      </c>
      <c r="R47" s="105">
        <f>+'FY16 Tax Bill'!R47-'FY16 Feb Forecast'!R47</f>
        <v>424</v>
      </c>
      <c r="S47" s="105">
        <f>+'FY16 Tax Bill'!S47-'FY16 Feb Forecast'!S47</f>
        <v>312.10315186246413</v>
      </c>
      <c r="T47" s="108">
        <f>+'FY16 Tax Bill'!T47-'FY16 Feb Forecast'!T47</f>
        <v>111.89684813753581</v>
      </c>
    </row>
    <row r="48" spans="1:20" x14ac:dyDescent="0.2">
      <c r="A48" s="109">
        <v>97</v>
      </c>
      <c r="B48" s="110">
        <v>1</v>
      </c>
      <c r="C48" s="103" t="s">
        <v>169</v>
      </c>
      <c r="D48" s="103">
        <v>6</v>
      </c>
      <c r="E48" s="104">
        <f>+SUMIF('GE16FEB14 Unfudged'!$A$2:$A$498, $A48, 'GE16FEB14 Unfudged'!$D$2:$D$498)</f>
        <v>689</v>
      </c>
      <c r="F48" s="104">
        <f>+'FY16 Tax Bill'!F48-'FY16 Feb Forecast'!F48</f>
        <v>4632</v>
      </c>
      <c r="G48" s="105">
        <f>+'FY16 Tax Bill'!G48-'FY16 Feb Forecast'!G48</f>
        <v>3666</v>
      </c>
      <c r="H48" s="106">
        <f>+'FY16 Tax Bill'!H48-'FY16 Feb Forecast'!H48</f>
        <v>966</v>
      </c>
      <c r="I48" s="107">
        <f>+'FY16 Tax Bill'!I48-'FY16 Feb Forecast'!I48</f>
        <v>291966</v>
      </c>
      <c r="J48" s="105">
        <f>+'FY16 Tax Bill'!J48-'FY16 Feb Forecast'!J48</f>
        <v>231126</v>
      </c>
      <c r="K48" s="106">
        <f>+'FY16 Tax Bill'!K48-'FY16 Feb Forecast'!K48</f>
        <v>60840</v>
      </c>
      <c r="L48" s="107">
        <f>+'FY16 Tax Bill'!L48-'FY16 Feb Forecast'!L48</f>
        <v>-101045</v>
      </c>
      <c r="M48" s="105">
        <f>+'FY16 Tax Bill'!M48-'FY16 Feb Forecast'!M48</f>
        <v>-79989</v>
      </c>
      <c r="N48" s="106">
        <f>+'FY16 Tax Bill'!N48-'FY16 Feb Forecast'!N48</f>
        <v>-21056</v>
      </c>
      <c r="O48" s="107">
        <f>+'FY16 Tax Bill'!O48-'FY16 Feb Forecast'!O48</f>
        <v>195553</v>
      </c>
      <c r="P48" s="105">
        <f>+'FY16 Tax Bill'!P48-'FY16 Feb Forecast'!P48</f>
        <v>154803</v>
      </c>
      <c r="Q48" s="106">
        <f>+'FY16 Tax Bill'!Q48-'FY16 Feb Forecast'!Q48</f>
        <v>40750</v>
      </c>
      <c r="R48" s="105">
        <f>+'FY16 Tax Bill'!R48-'FY16 Feb Forecast'!R48</f>
        <v>283.82148040638606</v>
      </c>
      <c r="S48" s="105">
        <f>+'FY16 Tax Bill'!S48-'FY16 Feb Forecast'!S48</f>
        <v>224.67779390420907</v>
      </c>
      <c r="T48" s="108">
        <f>+'FY16 Tax Bill'!T48-'FY16 Feb Forecast'!T48</f>
        <v>59.143686502177047</v>
      </c>
    </row>
    <row r="49" spans="1:20" x14ac:dyDescent="0.2">
      <c r="A49" s="109">
        <v>99</v>
      </c>
      <c r="B49" s="110">
        <v>1</v>
      </c>
      <c r="C49" s="103" t="s">
        <v>170</v>
      </c>
      <c r="D49" s="103">
        <v>5</v>
      </c>
      <c r="E49" s="104">
        <f>+SUMIF('GE16FEB14 Unfudged'!$A$2:$A$498, $A49, 'GE16FEB14 Unfudged'!$D$2:$D$498)</f>
        <v>1309</v>
      </c>
      <c r="F49" s="104">
        <f>+'FY16 Tax Bill'!F49-'FY16 Feb Forecast'!F49</f>
        <v>939</v>
      </c>
      <c r="G49" s="105">
        <f>+'FY16 Tax Bill'!G49-'FY16 Feb Forecast'!G49</f>
        <v>637</v>
      </c>
      <c r="H49" s="106">
        <f>+'FY16 Tax Bill'!H49-'FY16 Feb Forecast'!H49</f>
        <v>302</v>
      </c>
      <c r="I49" s="107">
        <f>+'FY16 Tax Bill'!I49-'FY16 Feb Forecast'!I49</f>
        <v>554931</v>
      </c>
      <c r="J49" s="105">
        <f>+'FY16 Tax Bill'!J49-'FY16 Feb Forecast'!J49</f>
        <v>376487</v>
      </c>
      <c r="K49" s="106">
        <f>+'FY16 Tax Bill'!K49-'FY16 Feb Forecast'!K49</f>
        <v>178444</v>
      </c>
      <c r="L49" s="107">
        <f>+'FY16 Tax Bill'!L49-'FY16 Feb Forecast'!L49</f>
        <v>-20483</v>
      </c>
      <c r="M49" s="105">
        <f>+'FY16 Tax Bill'!M49-'FY16 Feb Forecast'!M49</f>
        <v>-13896</v>
      </c>
      <c r="N49" s="106">
        <f>+'FY16 Tax Bill'!N49-'FY16 Feb Forecast'!N49</f>
        <v>-6587</v>
      </c>
      <c r="O49" s="107">
        <f>+'FY16 Tax Bill'!O49-'FY16 Feb Forecast'!O49</f>
        <v>535387</v>
      </c>
      <c r="P49" s="105">
        <f>+'FY16 Tax Bill'!P49-'FY16 Feb Forecast'!P49</f>
        <v>363228</v>
      </c>
      <c r="Q49" s="106">
        <f>+'FY16 Tax Bill'!Q49-'FY16 Feb Forecast'!Q49</f>
        <v>172159</v>
      </c>
      <c r="R49" s="105">
        <f>+'FY16 Tax Bill'!R49-'FY16 Feb Forecast'!R49</f>
        <v>409.00458365164241</v>
      </c>
      <c r="S49" s="105">
        <f>+'FY16 Tax Bill'!S49-'FY16 Feb Forecast'!S49</f>
        <v>277.48510313216195</v>
      </c>
      <c r="T49" s="108">
        <f>+'FY16 Tax Bill'!T49-'FY16 Feb Forecast'!T49</f>
        <v>131.51948051948048</v>
      </c>
    </row>
    <row r="50" spans="1:20" x14ac:dyDescent="0.2">
      <c r="A50" s="109">
        <v>100</v>
      </c>
      <c r="B50" s="110">
        <v>1</v>
      </c>
      <c r="C50" s="103" t="s">
        <v>171</v>
      </c>
      <c r="D50" s="103">
        <v>6</v>
      </c>
      <c r="E50" s="104">
        <f>+SUMIF('GE16FEB14 Unfudged'!$A$2:$A$498, $A50, 'GE16FEB14 Unfudged'!$D$2:$D$498)</f>
        <v>326</v>
      </c>
      <c r="F50" s="104">
        <f>+'FY16 Tax Bill'!F50-'FY16 Feb Forecast'!F50</f>
        <v>3549</v>
      </c>
      <c r="G50" s="105">
        <f>+'FY16 Tax Bill'!G50-'FY16 Feb Forecast'!G50</f>
        <v>3549</v>
      </c>
      <c r="H50" s="106">
        <f>+'FY16 Tax Bill'!H50-'FY16 Feb Forecast'!H50</f>
        <v>0</v>
      </c>
      <c r="I50" s="107">
        <f>+'FY16 Tax Bill'!I50-'FY16 Feb Forecast'!I50</f>
        <v>138054</v>
      </c>
      <c r="J50" s="105">
        <f>+'FY16 Tax Bill'!J50-'FY16 Feb Forecast'!J50</f>
        <v>138054</v>
      </c>
      <c r="K50" s="106">
        <f>+'FY16 Tax Bill'!K50-'FY16 Feb Forecast'!K50</f>
        <v>0</v>
      </c>
      <c r="L50" s="107">
        <f>+'FY16 Tax Bill'!L50-'FY16 Feb Forecast'!L50</f>
        <v>-77421</v>
      </c>
      <c r="M50" s="105">
        <f>+'FY16 Tax Bill'!M50-'FY16 Feb Forecast'!M50</f>
        <v>-77421</v>
      </c>
      <c r="N50" s="106">
        <f>+'FY16 Tax Bill'!N50-'FY16 Feb Forecast'!N50</f>
        <v>0</v>
      </c>
      <c r="O50" s="107">
        <f>+'FY16 Tax Bill'!O50-'FY16 Feb Forecast'!O50</f>
        <v>64182</v>
      </c>
      <c r="P50" s="105">
        <f>+'FY16 Tax Bill'!P50-'FY16 Feb Forecast'!P50</f>
        <v>64182</v>
      </c>
      <c r="Q50" s="106">
        <f>+'FY16 Tax Bill'!Q50-'FY16 Feb Forecast'!Q50</f>
        <v>0</v>
      </c>
      <c r="R50" s="105">
        <f>+'FY16 Tax Bill'!R50-'FY16 Feb Forecast'!R50</f>
        <v>196.87730061349691</v>
      </c>
      <c r="S50" s="105">
        <f>+'FY16 Tax Bill'!S50-'FY16 Feb Forecast'!S50</f>
        <v>196.87730061349691</v>
      </c>
      <c r="T50" s="108">
        <f>+'FY16 Tax Bill'!T50-'FY16 Feb Forecast'!T50</f>
        <v>0</v>
      </c>
    </row>
    <row r="51" spans="1:20" x14ac:dyDescent="0.2">
      <c r="A51" s="109">
        <v>108</v>
      </c>
      <c r="B51" s="110">
        <v>1</v>
      </c>
      <c r="C51" s="103" t="s">
        <v>172</v>
      </c>
      <c r="D51" s="103">
        <v>3</v>
      </c>
      <c r="E51" s="104">
        <f>+SUMIF('GE16FEB14 Unfudged'!$A$2:$A$498, $A51, 'GE16FEB14 Unfudged'!$D$2:$D$498)</f>
        <v>1113</v>
      </c>
      <c r="F51" s="104">
        <f>+'FY16 Tax Bill'!F51-'FY16 Feb Forecast'!F51</f>
        <v>0</v>
      </c>
      <c r="G51" s="105">
        <f>+'FY16 Tax Bill'!G51-'FY16 Feb Forecast'!G51</f>
        <v>0</v>
      </c>
      <c r="H51" s="106">
        <f>+'FY16 Tax Bill'!H51-'FY16 Feb Forecast'!H51</f>
        <v>0</v>
      </c>
      <c r="I51" s="107">
        <f>+'FY16 Tax Bill'!I51-'FY16 Feb Forecast'!I51</f>
        <v>0</v>
      </c>
      <c r="J51" s="105">
        <f>+'FY16 Tax Bill'!J51-'FY16 Feb Forecast'!J51</f>
        <v>0</v>
      </c>
      <c r="K51" s="106">
        <f>+'FY16 Tax Bill'!K51-'FY16 Feb Forecast'!K51</f>
        <v>0</v>
      </c>
      <c r="L51" s="107">
        <f>+'FY16 Tax Bill'!L51-'FY16 Feb Forecast'!L51</f>
        <v>0</v>
      </c>
      <c r="M51" s="105">
        <f>+'FY16 Tax Bill'!M51-'FY16 Feb Forecast'!M51</f>
        <v>0</v>
      </c>
      <c r="N51" s="106">
        <f>+'FY16 Tax Bill'!N51-'FY16 Feb Forecast'!N51</f>
        <v>0</v>
      </c>
      <c r="O51" s="107">
        <f>+'FY16 Tax Bill'!O51-'FY16 Feb Forecast'!O51</f>
        <v>0</v>
      </c>
      <c r="P51" s="105">
        <f>+'FY16 Tax Bill'!P51-'FY16 Feb Forecast'!P51</f>
        <v>0</v>
      </c>
      <c r="Q51" s="106">
        <f>+'FY16 Tax Bill'!Q51-'FY16 Feb Forecast'!Q51</f>
        <v>0</v>
      </c>
      <c r="R51" s="105">
        <f>+'FY16 Tax Bill'!R51-'FY16 Feb Forecast'!R51</f>
        <v>0</v>
      </c>
      <c r="S51" s="105">
        <f>+'FY16 Tax Bill'!S51-'FY16 Feb Forecast'!S51</f>
        <v>0</v>
      </c>
      <c r="T51" s="108">
        <f>+'FY16 Tax Bill'!T51-'FY16 Feb Forecast'!T51</f>
        <v>0</v>
      </c>
    </row>
    <row r="52" spans="1:20" x14ac:dyDescent="0.2">
      <c r="A52" s="109">
        <v>110</v>
      </c>
      <c r="B52" s="110">
        <v>1</v>
      </c>
      <c r="C52" s="103" t="s">
        <v>173</v>
      </c>
      <c r="D52" s="103">
        <v>3</v>
      </c>
      <c r="E52" s="104">
        <f>+SUMIF('GE16FEB14 Unfudged'!$A$2:$A$498, $A52, 'GE16FEB14 Unfudged'!$D$2:$D$498)</f>
        <v>4173</v>
      </c>
      <c r="F52" s="104">
        <f>+'FY16 Tax Bill'!F52-'FY16 Feb Forecast'!F52</f>
        <v>0</v>
      </c>
      <c r="G52" s="105">
        <f>+'FY16 Tax Bill'!G52-'FY16 Feb Forecast'!G52</f>
        <v>0</v>
      </c>
      <c r="H52" s="106">
        <f>+'FY16 Tax Bill'!H52-'FY16 Feb Forecast'!H52</f>
        <v>0</v>
      </c>
      <c r="I52" s="107">
        <f>+'FY16 Tax Bill'!I52-'FY16 Feb Forecast'!I52</f>
        <v>0</v>
      </c>
      <c r="J52" s="105">
        <f>+'FY16 Tax Bill'!J52-'FY16 Feb Forecast'!J52</f>
        <v>0</v>
      </c>
      <c r="K52" s="106">
        <f>+'FY16 Tax Bill'!K52-'FY16 Feb Forecast'!K52</f>
        <v>0</v>
      </c>
      <c r="L52" s="107">
        <f>+'FY16 Tax Bill'!L52-'FY16 Feb Forecast'!L52</f>
        <v>0</v>
      </c>
      <c r="M52" s="105">
        <f>+'FY16 Tax Bill'!M52-'FY16 Feb Forecast'!M52</f>
        <v>0</v>
      </c>
      <c r="N52" s="106">
        <f>+'FY16 Tax Bill'!N52-'FY16 Feb Forecast'!N52</f>
        <v>0</v>
      </c>
      <c r="O52" s="107">
        <f>+'FY16 Tax Bill'!O52-'FY16 Feb Forecast'!O52</f>
        <v>0</v>
      </c>
      <c r="P52" s="105">
        <f>+'FY16 Tax Bill'!P52-'FY16 Feb Forecast'!P52</f>
        <v>0</v>
      </c>
      <c r="Q52" s="106">
        <f>+'FY16 Tax Bill'!Q52-'FY16 Feb Forecast'!Q52</f>
        <v>0</v>
      </c>
      <c r="R52" s="105">
        <f>+'FY16 Tax Bill'!R52-'FY16 Feb Forecast'!R52</f>
        <v>0</v>
      </c>
      <c r="S52" s="105">
        <f>+'FY16 Tax Bill'!S52-'FY16 Feb Forecast'!S52</f>
        <v>0</v>
      </c>
      <c r="T52" s="108">
        <f>+'FY16 Tax Bill'!T52-'FY16 Feb Forecast'!T52</f>
        <v>0</v>
      </c>
    </row>
    <row r="53" spans="1:20" x14ac:dyDescent="0.2">
      <c r="A53" s="109">
        <v>111</v>
      </c>
      <c r="B53" s="110">
        <v>1</v>
      </c>
      <c r="C53" s="103" t="s">
        <v>174</v>
      </c>
      <c r="D53" s="103">
        <v>3</v>
      </c>
      <c r="E53" s="104">
        <f>+SUMIF('GE16FEB14 Unfudged'!$A$2:$A$498, $A53, 'GE16FEB14 Unfudged'!$D$2:$D$498)</f>
        <v>1853</v>
      </c>
      <c r="F53" s="104">
        <f>+'FY16 Tax Bill'!F53-'FY16 Feb Forecast'!F53</f>
        <v>0</v>
      </c>
      <c r="G53" s="105">
        <f>+'FY16 Tax Bill'!G53-'FY16 Feb Forecast'!G53</f>
        <v>0</v>
      </c>
      <c r="H53" s="106">
        <f>+'FY16 Tax Bill'!H53-'FY16 Feb Forecast'!H53</f>
        <v>0</v>
      </c>
      <c r="I53" s="107">
        <f>+'FY16 Tax Bill'!I53-'FY16 Feb Forecast'!I53</f>
        <v>0</v>
      </c>
      <c r="J53" s="105">
        <f>+'FY16 Tax Bill'!J53-'FY16 Feb Forecast'!J53</f>
        <v>0</v>
      </c>
      <c r="K53" s="106">
        <f>+'FY16 Tax Bill'!K53-'FY16 Feb Forecast'!K53</f>
        <v>0</v>
      </c>
      <c r="L53" s="107">
        <f>+'FY16 Tax Bill'!L53-'FY16 Feb Forecast'!L53</f>
        <v>0</v>
      </c>
      <c r="M53" s="105">
        <f>+'FY16 Tax Bill'!M53-'FY16 Feb Forecast'!M53</f>
        <v>0</v>
      </c>
      <c r="N53" s="106">
        <f>+'FY16 Tax Bill'!N53-'FY16 Feb Forecast'!N53</f>
        <v>0</v>
      </c>
      <c r="O53" s="107">
        <f>+'FY16 Tax Bill'!O53-'FY16 Feb Forecast'!O53</f>
        <v>0</v>
      </c>
      <c r="P53" s="105">
        <f>+'FY16 Tax Bill'!P53-'FY16 Feb Forecast'!P53</f>
        <v>0</v>
      </c>
      <c r="Q53" s="106">
        <f>+'FY16 Tax Bill'!Q53-'FY16 Feb Forecast'!Q53</f>
        <v>0</v>
      </c>
      <c r="R53" s="105">
        <f>+'FY16 Tax Bill'!R53-'FY16 Feb Forecast'!R53</f>
        <v>0</v>
      </c>
      <c r="S53" s="105">
        <f>+'FY16 Tax Bill'!S53-'FY16 Feb Forecast'!S53</f>
        <v>0</v>
      </c>
      <c r="T53" s="108">
        <f>+'FY16 Tax Bill'!T53-'FY16 Feb Forecast'!T53</f>
        <v>0</v>
      </c>
    </row>
    <row r="54" spans="1:20" x14ac:dyDescent="0.2">
      <c r="A54" s="109">
        <v>112</v>
      </c>
      <c r="B54" s="110">
        <v>1</v>
      </c>
      <c r="C54" s="103" t="s">
        <v>175</v>
      </c>
      <c r="D54" s="103">
        <v>3</v>
      </c>
      <c r="E54" s="104">
        <f>+SUMIF('GE16FEB14 Unfudged'!$A$2:$A$498, $A54, 'GE16FEB14 Unfudged'!$D$2:$D$498)</f>
        <v>10033</v>
      </c>
      <c r="F54" s="104">
        <f>+'FY16 Tax Bill'!F54-'FY16 Feb Forecast'!F54</f>
        <v>0</v>
      </c>
      <c r="G54" s="105">
        <f>+'FY16 Tax Bill'!G54-'FY16 Feb Forecast'!G54</f>
        <v>0</v>
      </c>
      <c r="H54" s="106">
        <f>+'FY16 Tax Bill'!H54-'FY16 Feb Forecast'!H54</f>
        <v>0</v>
      </c>
      <c r="I54" s="107">
        <f>+'FY16 Tax Bill'!I54-'FY16 Feb Forecast'!I54</f>
        <v>0</v>
      </c>
      <c r="J54" s="105">
        <f>+'FY16 Tax Bill'!J54-'FY16 Feb Forecast'!J54</f>
        <v>0</v>
      </c>
      <c r="K54" s="106">
        <f>+'FY16 Tax Bill'!K54-'FY16 Feb Forecast'!K54</f>
        <v>0</v>
      </c>
      <c r="L54" s="107">
        <f>+'FY16 Tax Bill'!L54-'FY16 Feb Forecast'!L54</f>
        <v>0</v>
      </c>
      <c r="M54" s="105">
        <f>+'FY16 Tax Bill'!M54-'FY16 Feb Forecast'!M54</f>
        <v>0</v>
      </c>
      <c r="N54" s="106">
        <f>+'FY16 Tax Bill'!N54-'FY16 Feb Forecast'!N54</f>
        <v>0</v>
      </c>
      <c r="O54" s="107">
        <f>+'FY16 Tax Bill'!O54-'FY16 Feb Forecast'!O54</f>
        <v>0</v>
      </c>
      <c r="P54" s="105">
        <f>+'FY16 Tax Bill'!P54-'FY16 Feb Forecast'!P54</f>
        <v>0</v>
      </c>
      <c r="Q54" s="106">
        <f>+'FY16 Tax Bill'!Q54-'FY16 Feb Forecast'!Q54</f>
        <v>0</v>
      </c>
      <c r="R54" s="105">
        <f>+'FY16 Tax Bill'!R54-'FY16 Feb Forecast'!R54</f>
        <v>0</v>
      </c>
      <c r="S54" s="105">
        <f>+'FY16 Tax Bill'!S54-'FY16 Feb Forecast'!S54</f>
        <v>0</v>
      </c>
      <c r="T54" s="108">
        <f>+'FY16 Tax Bill'!T54-'FY16 Feb Forecast'!T54</f>
        <v>0</v>
      </c>
    </row>
    <row r="55" spans="1:20" x14ac:dyDescent="0.2">
      <c r="A55" s="109">
        <v>113</v>
      </c>
      <c r="B55" s="110">
        <v>1</v>
      </c>
      <c r="C55" s="103" t="s">
        <v>176</v>
      </c>
      <c r="D55" s="103">
        <v>6</v>
      </c>
      <c r="E55" s="104">
        <f>+SUMIF('GE16FEB14 Unfudged'!$A$2:$A$498, $A55, 'GE16FEB14 Unfudged'!$D$2:$D$498)</f>
        <v>841</v>
      </c>
      <c r="F55" s="104">
        <f>+'FY16 Tax Bill'!F55-'FY16 Feb Forecast'!F55</f>
        <v>0</v>
      </c>
      <c r="G55" s="105">
        <f>+'FY16 Tax Bill'!G55-'FY16 Feb Forecast'!G55</f>
        <v>0</v>
      </c>
      <c r="H55" s="106">
        <f>+'FY16 Tax Bill'!H55-'FY16 Feb Forecast'!H55</f>
        <v>0</v>
      </c>
      <c r="I55" s="107">
        <f>+'FY16 Tax Bill'!I55-'FY16 Feb Forecast'!I55</f>
        <v>356754</v>
      </c>
      <c r="J55" s="105">
        <f>+'FY16 Tax Bill'!J55-'FY16 Feb Forecast'!J55</f>
        <v>356754</v>
      </c>
      <c r="K55" s="106">
        <f>+'FY16 Tax Bill'!K55-'FY16 Feb Forecast'!K55</f>
        <v>0</v>
      </c>
      <c r="L55" s="107">
        <f>+'FY16 Tax Bill'!L55-'FY16 Feb Forecast'!L55</f>
        <v>0</v>
      </c>
      <c r="M55" s="105">
        <f>+'FY16 Tax Bill'!M55-'FY16 Feb Forecast'!M55</f>
        <v>0</v>
      </c>
      <c r="N55" s="106">
        <f>+'FY16 Tax Bill'!N55-'FY16 Feb Forecast'!N55</f>
        <v>0</v>
      </c>
      <c r="O55" s="107">
        <f>+'FY16 Tax Bill'!O55-'FY16 Feb Forecast'!O55</f>
        <v>356754</v>
      </c>
      <c r="P55" s="105">
        <f>+'FY16 Tax Bill'!P55-'FY16 Feb Forecast'!P55</f>
        <v>356754</v>
      </c>
      <c r="Q55" s="106">
        <f>+'FY16 Tax Bill'!Q55-'FY16 Feb Forecast'!Q55</f>
        <v>0</v>
      </c>
      <c r="R55" s="105">
        <f>+'FY16 Tax Bill'!R55-'FY16 Feb Forecast'!R55</f>
        <v>424.20214030915577</v>
      </c>
      <c r="S55" s="105">
        <f>+'FY16 Tax Bill'!S55-'FY16 Feb Forecast'!S55</f>
        <v>424.20214030915577</v>
      </c>
      <c r="T55" s="108">
        <f>+'FY16 Tax Bill'!T55-'FY16 Feb Forecast'!T55</f>
        <v>0</v>
      </c>
    </row>
    <row r="56" spans="1:20" x14ac:dyDescent="0.2">
      <c r="A56" s="109">
        <v>115</v>
      </c>
      <c r="B56" s="110">
        <v>1</v>
      </c>
      <c r="C56" s="103" t="s">
        <v>177</v>
      </c>
      <c r="D56" s="103">
        <v>5</v>
      </c>
      <c r="E56" s="104">
        <f>+SUMIF('GE16FEB14 Unfudged'!$A$2:$A$498, $A56, 'GE16FEB14 Unfudged'!$D$2:$D$498)</f>
        <v>1215</v>
      </c>
      <c r="F56" s="104">
        <f>+'FY16 Tax Bill'!F56-'FY16 Feb Forecast'!F56</f>
        <v>0</v>
      </c>
      <c r="G56" s="105">
        <f>+'FY16 Tax Bill'!G56-'FY16 Feb Forecast'!G56</f>
        <v>0</v>
      </c>
      <c r="H56" s="106">
        <f>+'FY16 Tax Bill'!H56-'FY16 Feb Forecast'!H56</f>
        <v>0</v>
      </c>
      <c r="I56" s="107">
        <f>+'FY16 Tax Bill'!I56-'FY16 Feb Forecast'!I56</f>
        <v>515224</v>
      </c>
      <c r="J56" s="105">
        <f>+'FY16 Tax Bill'!J56-'FY16 Feb Forecast'!J56</f>
        <v>364162</v>
      </c>
      <c r="K56" s="106">
        <f>+'FY16 Tax Bill'!K56-'FY16 Feb Forecast'!K56</f>
        <v>151062</v>
      </c>
      <c r="L56" s="107">
        <f>+'FY16 Tax Bill'!L56-'FY16 Feb Forecast'!L56</f>
        <v>0</v>
      </c>
      <c r="M56" s="105">
        <f>+'FY16 Tax Bill'!M56-'FY16 Feb Forecast'!M56</f>
        <v>0</v>
      </c>
      <c r="N56" s="106">
        <f>+'FY16 Tax Bill'!N56-'FY16 Feb Forecast'!N56</f>
        <v>0</v>
      </c>
      <c r="O56" s="107">
        <f>+'FY16 Tax Bill'!O56-'FY16 Feb Forecast'!O56</f>
        <v>515224</v>
      </c>
      <c r="P56" s="105">
        <f>+'FY16 Tax Bill'!P56-'FY16 Feb Forecast'!P56</f>
        <v>364162</v>
      </c>
      <c r="Q56" s="106">
        <f>+'FY16 Tax Bill'!Q56-'FY16 Feb Forecast'!Q56</f>
        <v>151062</v>
      </c>
      <c r="R56" s="105">
        <f>+'FY16 Tax Bill'!R56-'FY16 Feb Forecast'!R56</f>
        <v>424.05267489711935</v>
      </c>
      <c r="S56" s="105">
        <f>+'FY16 Tax Bill'!S56-'FY16 Feb Forecast'!S56</f>
        <v>299.72181069958845</v>
      </c>
      <c r="T56" s="108">
        <f>+'FY16 Tax Bill'!T56-'FY16 Feb Forecast'!T56</f>
        <v>124.33086419753087</v>
      </c>
    </row>
    <row r="57" spans="1:20" x14ac:dyDescent="0.2">
      <c r="A57" s="109">
        <v>116</v>
      </c>
      <c r="B57" s="110">
        <v>1</v>
      </c>
      <c r="C57" s="103" t="s">
        <v>178</v>
      </c>
      <c r="D57" s="103">
        <v>6</v>
      </c>
      <c r="E57" s="104">
        <f>+SUMIF('GE16FEB14 Unfudged'!$A$2:$A$498, $A57, 'GE16FEB14 Unfudged'!$D$2:$D$498)</f>
        <v>1073</v>
      </c>
      <c r="F57" s="104">
        <f>+'FY16 Tax Bill'!F57-'FY16 Feb Forecast'!F57</f>
        <v>0</v>
      </c>
      <c r="G57" s="105">
        <f>+'FY16 Tax Bill'!G57-'FY16 Feb Forecast'!G57</f>
        <v>0</v>
      </c>
      <c r="H57" s="106">
        <f>+'FY16 Tax Bill'!H57-'FY16 Feb Forecast'!H57</f>
        <v>0</v>
      </c>
      <c r="I57" s="107">
        <f>+'FY16 Tax Bill'!I57-'FY16 Feb Forecast'!I57</f>
        <v>454952</v>
      </c>
      <c r="J57" s="105">
        <f>+'FY16 Tax Bill'!J57-'FY16 Feb Forecast'!J57</f>
        <v>388530</v>
      </c>
      <c r="K57" s="106">
        <f>+'FY16 Tax Bill'!K57-'FY16 Feb Forecast'!K57</f>
        <v>66422</v>
      </c>
      <c r="L57" s="107">
        <f>+'FY16 Tax Bill'!L57-'FY16 Feb Forecast'!L57</f>
        <v>0</v>
      </c>
      <c r="M57" s="105">
        <f>+'FY16 Tax Bill'!M57-'FY16 Feb Forecast'!M57</f>
        <v>0</v>
      </c>
      <c r="N57" s="106">
        <f>+'FY16 Tax Bill'!N57-'FY16 Feb Forecast'!N57</f>
        <v>0</v>
      </c>
      <c r="O57" s="107">
        <f>+'FY16 Tax Bill'!O57-'FY16 Feb Forecast'!O57</f>
        <v>454952</v>
      </c>
      <c r="P57" s="105">
        <f>+'FY16 Tax Bill'!P57-'FY16 Feb Forecast'!P57</f>
        <v>388530</v>
      </c>
      <c r="Q57" s="106">
        <f>+'FY16 Tax Bill'!Q57-'FY16 Feb Forecast'!Q57</f>
        <v>66422</v>
      </c>
      <c r="R57" s="105">
        <f>+'FY16 Tax Bill'!R57-'FY16 Feb Forecast'!R57</f>
        <v>424</v>
      </c>
      <c r="S57" s="105">
        <f>+'FY16 Tax Bill'!S57-'FY16 Feb Forecast'!S57</f>
        <v>362.09692451071766</v>
      </c>
      <c r="T57" s="108">
        <f>+'FY16 Tax Bill'!T57-'FY16 Feb Forecast'!T57</f>
        <v>61.903075489282401</v>
      </c>
    </row>
    <row r="58" spans="1:20" x14ac:dyDescent="0.2">
      <c r="A58" s="109">
        <v>118</v>
      </c>
      <c r="B58" s="110">
        <v>1</v>
      </c>
      <c r="C58" s="103" t="s">
        <v>179</v>
      </c>
      <c r="D58" s="103">
        <v>6</v>
      </c>
      <c r="E58" s="104">
        <f>+SUMIF('GE16FEB14 Unfudged'!$A$2:$A$498, $A58, 'GE16FEB14 Unfudged'!$D$2:$D$498)</f>
        <v>336</v>
      </c>
      <c r="F58" s="104">
        <f>+'FY16 Tax Bill'!F58-'FY16 Feb Forecast'!F58</f>
        <v>6240</v>
      </c>
      <c r="G58" s="105">
        <f>+'FY16 Tax Bill'!G58-'FY16 Feb Forecast'!G58</f>
        <v>6240</v>
      </c>
      <c r="H58" s="106">
        <f>+'FY16 Tax Bill'!H58-'FY16 Feb Forecast'!H58</f>
        <v>0</v>
      </c>
      <c r="I58" s="107">
        <f>+'FY16 Tax Bill'!I58-'FY16 Feb Forecast'!I58</f>
        <v>142485</v>
      </c>
      <c r="J58" s="105">
        <f>+'FY16 Tax Bill'!J58-'FY16 Feb Forecast'!J58</f>
        <v>142485</v>
      </c>
      <c r="K58" s="106">
        <f>+'FY16 Tax Bill'!K58-'FY16 Feb Forecast'!K58</f>
        <v>0</v>
      </c>
      <c r="L58" s="107">
        <f>+'FY16 Tax Bill'!L58-'FY16 Feb Forecast'!L58</f>
        <v>-142486</v>
      </c>
      <c r="M58" s="105">
        <f>+'FY16 Tax Bill'!M58-'FY16 Feb Forecast'!M58</f>
        <v>-142486</v>
      </c>
      <c r="N58" s="106">
        <f>+'FY16 Tax Bill'!N58-'FY16 Feb Forecast'!N58</f>
        <v>0</v>
      </c>
      <c r="O58" s="107">
        <f>+'FY16 Tax Bill'!O58-'FY16 Feb Forecast'!O58</f>
        <v>6239</v>
      </c>
      <c r="P58" s="105">
        <f>+'FY16 Tax Bill'!P58-'FY16 Feb Forecast'!P58</f>
        <v>6239</v>
      </c>
      <c r="Q58" s="106">
        <f>+'FY16 Tax Bill'!Q58-'FY16 Feb Forecast'!Q58</f>
        <v>0</v>
      </c>
      <c r="R58" s="105">
        <f>+'FY16 Tax Bill'!R58-'FY16 Feb Forecast'!R58</f>
        <v>18.568452380952408</v>
      </c>
      <c r="S58" s="105">
        <f>+'FY16 Tax Bill'!S58-'FY16 Feb Forecast'!S58</f>
        <v>18.568452380952408</v>
      </c>
      <c r="T58" s="108">
        <f>+'FY16 Tax Bill'!T58-'FY16 Feb Forecast'!T58</f>
        <v>0</v>
      </c>
    </row>
    <row r="59" spans="1:20" x14ac:dyDescent="0.2">
      <c r="A59" s="109">
        <v>129</v>
      </c>
      <c r="B59" s="110">
        <v>1</v>
      </c>
      <c r="C59" s="103" t="s">
        <v>180</v>
      </c>
      <c r="D59" s="103">
        <v>5</v>
      </c>
      <c r="E59" s="104">
        <f>+SUMIF('GE16FEB14 Unfudged'!$A$2:$A$498, $A59, 'GE16FEB14 Unfudged'!$D$2:$D$498)</f>
        <v>1501</v>
      </c>
      <c r="F59" s="104">
        <f>+'FY16 Tax Bill'!F59-'FY16 Feb Forecast'!F59</f>
        <v>24987</v>
      </c>
      <c r="G59" s="105">
        <f>+'FY16 Tax Bill'!G59-'FY16 Feb Forecast'!G59</f>
        <v>12308</v>
      </c>
      <c r="H59" s="106">
        <f>+'FY16 Tax Bill'!H59-'FY16 Feb Forecast'!H59</f>
        <v>12679</v>
      </c>
      <c r="I59" s="107">
        <f>+'FY16 Tax Bill'!I59-'FY16 Feb Forecast'!I59</f>
        <v>636466</v>
      </c>
      <c r="J59" s="105">
        <f>+'FY16 Tax Bill'!J59-'FY16 Feb Forecast'!J59</f>
        <v>313513</v>
      </c>
      <c r="K59" s="106">
        <f>+'FY16 Tax Bill'!K59-'FY16 Feb Forecast'!K59</f>
        <v>322953</v>
      </c>
      <c r="L59" s="107">
        <f>+'FY16 Tax Bill'!L59-'FY16 Feb Forecast'!L59</f>
        <v>-636466</v>
      </c>
      <c r="M59" s="105">
        <f>+'FY16 Tax Bill'!M59-'FY16 Feb Forecast'!M59</f>
        <v>-399786</v>
      </c>
      <c r="N59" s="106">
        <f>+'FY16 Tax Bill'!N59-'FY16 Feb Forecast'!N59</f>
        <v>-236680</v>
      </c>
      <c r="O59" s="107">
        <f>+'FY16 Tax Bill'!O59-'FY16 Feb Forecast'!O59</f>
        <v>24987</v>
      </c>
      <c r="P59" s="105">
        <f>+'FY16 Tax Bill'!P59-'FY16 Feb Forecast'!P59</f>
        <v>-73965</v>
      </c>
      <c r="Q59" s="106">
        <f>+'FY16 Tax Bill'!Q59-'FY16 Feb Forecast'!Q59</f>
        <v>98952</v>
      </c>
      <c r="R59" s="105">
        <f>+'FY16 Tax Bill'!R59-'FY16 Feb Forecast'!R59</f>
        <v>16.646902065289851</v>
      </c>
      <c r="S59" s="105">
        <f>+'FY16 Tax Bill'!S59-'FY16 Feb Forecast'!S59</f>
        <v>-49.277148567621623</v>
      </c>
      <c r="T59" s="108">
        <f>+'FY16 Tax Bill'!T59-'FY16 Feb Forecast'!T59</f>
        <v>65.924050632911417</v>
      </c>
    </row>
    <row r="60" spans="1:20" x14ac:dyDescent="0.2">
      <c r="A60" s="109">
        <v>138</v>
      </c>
      <c r="B60" s="110">
        <v>1</v>
      </c>
      <c r="C60" s="103" t="s">
        <v>181</v>
      </c>
      <c r="D60" s="103">
        <v>4</v>
      </c>
      <c r="E60" s="104">
        <f>+SUMIF('GE16FEB14 Unfudged'!$A$2:$A$498, $A60, 'GE16FEB14 Unfudged'!$D$2:$D$498)</f>
        <v>3045</v>
      </c>
      <c r="F60" s="104">
        <f>+'FY16 Tax Bill'!F60-'FY16 Feb Forecast'!F60</f>
        <v>0</v>
      </c>
      <c r="G60" s="105">
        <f>+'FY16 Tax Bill'!G60-'FY16 Feb Forecast'!G60</f>
        <v>0</v>
      </c>
      <c r="H60" s="106">
        <f>+'FY16 Tax Bill'!H60-'FY16 Feb Forecast'!H60</f>
        <v>0</v>
      </c>
      <c r="I60" s="107">
        <f>+'FY16 Tax Bill'!I60-'FY16 Feb Forecast'!I60</f>
        <v>645477</v>
      </c>
      <c r="J60" s="105">
        <f>+'FY16 Tax Bill'!J60-'FY16 Feb Forecast'!J60</f>
        <v>448990</v>
      </c>
      <c r="K60" s="106">
        <f>+'FY16 Tax Bill'!K60-'FY16 Feb Forecast'!K60</f>
        <v>196487</v>
      </c>
      <c r="L60" s="107">
        <f>+'FY16 Tax Bill'!L60-'FY16 Feb Forecast'!L60</f>
        <v>0</v>
      </c>
      <c r="M60" s="105">
        <f>+'FY16 Tax Bill'!M60-'FY16 Feb Forecast'!M60</f>
        <v>0</v>
      </c>
      <c r="N60" s="106">
        <f>+'FY16 Tax Bill'!N60-'FY16 Feb Forecast'!N60</f>
        <v>0</v>
      </c>
      <c r="O60" s="107">
        <f>+'FY16 Tax Bill'!O60-'FY16 Feb Forecast'!O60</f>
        <v>645477</v>
      </c>
      <c r="P60" s="105">
        <f>+'FY16 Tax Bill'!P60-'FY16 Feb Forecast'!P60</f>
        <v>448990</v>
      </c>
      <c r="Q60" s="106">
        <f>+'FY16 Tax Bill'!Q60-'FY16 Feb Forecast'!Q60</f>
        <v>196487</v>
      </c>
      <c r="R60" s="105">
        <f>+'FY16 Tax Bill'!R60-'FY16 Feb Forecast'!R60</f>
        <v>211.97931034482758</v>
      </c>
      <c r="S60" s="105">
        <f>+'FY16 Tax Bill'!S60-'FY16 Feb Forecast'!S60</f>
        <v>147.45155993431854</v>
      </c>
      <c r="T60" s="108">
        <f>+'FY16 Tax Bill'!T60-'FY16 Feb Forecast'!T60</f>
        <v>64.527750410508986</v>
      </c>
    </row>
    <row r="61" spans="1:20" x14ac:dyDescent="0.2">
      <c r="A61" s="109">
        <v>139</v>
      </c>
      <c r="B61" s="110">
        <v>1</v>
      </c>
      <c r="C61" s="103" t="s">
        <v>182</v>
      </c>
      <c r="D61" s="103">
        <v>6</v>
      </c>
      <c r="E61" s="104">
        <f>+SUMIF('GE16FEB14 Unfudged'!$A$2:$A$498, $A61, 'GE16FEB14 Unfudged'!$D$2:$D$498)</f>
        <v>997</v>
      </c>
      <c r="F61" s="104">
        <f>+'FY16 Tax Bill'!F61-'FY16 Feb Forecast'!F61</f>
        <v>0</v>
      </c>
      <c r="G61" s="105">
        <f>+'FY16 Tax Bill'!G61-'FY16 Feb Forecast'!G61</f>
        <v>0</v>
      </c>
      <c r="H61" s="106">
        <f>+'FY16 Tax Bill'!H61-'FY16 Feb Forecast'!H61</f>
        <v>0</v>
      </c>
      <c r="I61" s="107">
        <f>+'FY16 Tax Bill'!I61-'FY16 Feb Forecast'!I61</f>
        <v>422643</v>
      </c>
      <c r="J61" s="105">
        <f>+'FY16 Tax Bill'!J61-'FY16 Feb Forecast'!J61</f>
        <v>283910</v>
      </c>
      <c r="K61" s="106">
        <f>+'FY16 Tax Bill'!K61-'FY16 Feb Forecast'!K61</f>
        <v>138733</v>
      </c>
      <c r="L61" s="107">
        <f>+'FY16 Tax Bill'!L61-'FY16 Feb Forecast'!L61</f>
        <v>0</v>
      </c>
      <c r="M61" s="105">
        <f>+'FY16 Tax Bill'!M61-'FY16 Feb Forecast'!M61</f>
        <v>0</v>
      </c>
      <c r="N61" s="106">
        <f>+'FY16 Tax Bill'!N61-'FY16 Feb Forecast'!N61</f>
        <v>0</v>
      </c>
      <c r="O61" s="107">
        <f>+'FY16 Tax Bill'!O61-'FY16 Feb Forecast'!O61</f>
        <v>422643</v>
      </c>
      <c r="P61" s="105">
        <f>+'FY16 Tax Bill'!P61-'FY16 Feb Forecast'!P61</f>
        <v>283910</v>
      </c>
      <c r="Q61" s="106">
        <f>+'FY16 Tax Bill'!Q61-'FY16 Feb Forecast'!Q61</f>
        <v>138733</v>
      </c>
      <c r="R61" s="105">
        <f>+'FY16 Tax Bill'!R61-'FY16 Feb Forecast'!R61</f>
        <v>423.91474423269807</v>
      </c>
      <c r="S61" s="105">
        <f>+'FY16 Tax Bill'!S61-'FY16 Feb Forecast'!S61</f>
        <v>284.7642928786359</v>
      </c>
      <c r="T61" s="108">
        <f>+'FY16 Tax Bill'!T61-'FY16 Feb Forecast'!T61</f>
        <v>139.1504513540622</v>
      </c>
    </row>
    <row r="62" spans="1:20" x14ac:dyDescent="0.2">
      <c r="A62" s="109">
        <v>146</v>
      </c>
      <c r="B62" s="110">
        <v>1</v>
      </c>
      <c r="C62" s="103" t="s">
        <v>183</v>
      </c>
      <c r="D62" s="103">
        <v>6</v>
      </c>
      <c r="E62" s="104">
        <f>+SUMIF('GE16FEB14 Unfudged'!$A$2:$A$498, $A62, 'GE16FEB14 Unfudged'!$D$2:$D$498)</f>
        <v>912</v>
      </c>
      <c r="F62" s="104">
        <f>+'FY16 Tax Bill'!F62-'FY16 Feb Forecast'!F62</f>
        <v>13814</v>
      </c>
      <c r="G62" s="105">
        <f>+'FY16 Tax Bill'!G62-'FY16 Feb Forecast'!G62</f>
        <v>7551</v>
      </c>
      <c r="H62" s="106">
        <f>+'FY16 Tax Bill'!H62-'FY16 Feb Forecast'!H62</f>
        <v>6263</v>
      </c>
      <c r="I62" s="107">
        <f>+'FY16 Tax Bill'!I62-'FY16 Feb Forecast'!I62</f>
        <v>386561</v>
      </c>
      <c r="J62" s="105">
        <f>+'FY16 Tax Bill'!J62-'FY16 Feb Forecast'!J62</f>
        <v>211299</v>
      </c>
      <c r="K62" s="106">
        <f>+'FY16 Tax Bill'!K62-'FY16 Feb Forecast'!K62</f>
        <v>175262</v>
      </c>
      <c r="L62" s="107">
        <f>+'FY16 Tax Bill'!L62-'FY16 Feb Forecast'!L62</f>
        <v>-386560</v>
      </c>
      <c r="M62" s="105">
        <f>+'FY16 Tax Bill'!M62-'FY16 Feb Forecast'!M62</f>
        <v>-307831</v>
      </c>
      <c r="N62" s="106">
        <f>+'FY16 Tax Bill'!N62-'FY16 Feb Forecast'!N62</f>
        <v>-78729</v>
      </c>
      <c r="O62" s="107">
        <f>+'FY16 Tax Bill'!O62-'FY16 Feb Forecast'!O62</f>
        <v>13815</v>
      </c>
      <c r="P62" s="105">
        <f>+'FY16 Tax Bill'!P62-'FY16 Feb Forecast'!P62</f>
        <v>-88981</v>
      </c>
      <c r="Q62" s="106">
        <f>+'FY16 Tax Bill'!Q62-'FY16 Feb Forecast'!Q62</f>
        <v>102796</v>
      </c>
      <c r="R62" s="105">
        <f>+'FY16 Tax Bill'!R62-'FY16 Feb Forecast'!R62</f>
        <v>15.148026315789593</v>
      </c>
      <c r="S62" s="105">
        <f>+'FY16 Tax Bill'!S62-'FY16 Feb Forecast'!S62</f>
        <v>-97.566885964912217</v>
      </c>
      <c r="T62" s="108">
        <f>+'FY16 Tax Bill'!T62-'FY16 Feb Forecast'!T62</f>
        <v>112.71491228070181</v>
      </c>
    </row>
    <row r="63" spans="1:20" x14ac:dyDescent="0.2">
      <c r="A63" s="109">
        <v>150</v>
      </c>
      <c r="B63" s="110">
        <v>1</v>
      </c>
      <c r="C63" s="103" t="s">
        <v>184</v>
      </c>
      <c r="D63" s="103">
        <v>6</v>
      </c>
      <c r="E63" s="104">
        <f>+SUMIF('GE16FEB14 Unfudged'!$A$2:$A$498, $A63, 'GE16FEB14 Unfudged'!$D$2:$D$498)</f>
        <v>970</v>
      </c>
      <c r="F63" s="104">
        <f>+'FY16 Tax Bill'!F63-'FY16 Feb Forecast'!F63</f>
        <v>9355</v>
      </c>
      <c r="G63" s="105">
        <f>+'FY16 Tax Bill'!G63-'FY16 Feb Forecast'!G63</f>
        <v>5302</v>
      </c>
      <c r="H63" s="106">
        <f>+'FY16 Tax Bill'!H63-'FY16 Feb Forecast'!H63</f>
        <v>4053</v>
      </c>
      <c r="I63" s="107">
        <f>+'FY16 Tax Bill'!I63-'FY16 Feb Forecast'!I63</f>
        <v>411280</v>
      </c>
      <c r="J63" s="105">
        <f>+'FY16 Tax Bill'!J63-'FY16 Feb Forecast'!J63</f>
        <v>233107</v>
      </c>
      <c r="K63" s="106">
        <f>+'FY16 Tax Bill'!K63-'FY16 Feb Forecast'!K63</f>
        <v>178173</v>
      </c>
      <c r="L63" s="107">
        <f>+'FY16 Tax Bill'!L63-'FY16 Feb Forecast'!L63</f>
        <v>-204049</v>
      </c>
      <c r="M63" s="105">
        <f>+'FY16 Tax Bill'!M63-'FY16 Feb Forecast'!M63</f>
        <v>-115652</v>
      </c>
      <c r="N63" s="106">
        <f>+'FY16 Tax Bill'!N63-'FY16 Feb Forecast'!N63</f>
        <v>-88397</v>
      </c>
      <c r="O63" s="107">
        <f>+'FY16 Tax Bill'!O63-'FY16 Feb Forecast'!O63</f>
        <v>216586</v>
      </c>
      <c r="P63" s="105">
        <f>+'FY16 Tax Bill'!P63-'FY16 Feb Forecast'!P63</f>
        <v>122757</v>
      </c>
      <c r="Q63" s="106">
        <f>+'FY16 Tax Bill'!Q63-'FY16 Feb Forecast'!Q63</f>
        <v>93829</v>
      </c>
      <c r="R63" s="105">
        <f>+'FY16 Tax Bill'!R63-'FY16 Feb Forecast'!R63</f>
        <v>223.28453608247423</v>
      </c>
      <c r="S63" s="105">
        <f>+'FY16 Tax Bill'!S63-'FY16 Feb Forecast'!S63</f>
        <v>126.55360824742269</v>
      </c>
      <c r="T63" s="108">
        <f>+'FY16 Tax Bill'!T63-'FY16 Feb Forecast'!T63</f>
        <v>96.730927835051546</v>
      </c>
    </row>
    <row r="64" spans="1:20" x14ac:dyDescent="0.2">
      <c r="A64" s="109">
        <v>152</v>
      </c>
      <c r="B64" s="110">
        <v>1</v>
      </c>
      <c r="C64" s="103" t="s">
        <v>185</v>
      </c>
      <c r="D64" s="103">
        <v>4</v>
      </c>
      <c r="E64" s="104">
        <f>+SUMIF('GE16FEB14 Unfudged'!$A$2:$A$498, $A64, 'GE16FEB14 Unfudged'!$D$2:$D$498)</f>
        <v>6224</v>
      </c>
      <c r="F64" s="104">
        <f>+'FY16 Tax Bill'!F64-'FY16 Feb Forecast'!F64</f>
        <v>39839</v>
      </c>
      <c r="G64" s="105">
        <f>+'FY16 Tax Bill'!G64-'FY16 Feb Forecast'!G64</f>
        <v>30172</v>
      </c>
      <c r="H64" s="106">
        <f>+'FY16 Tax Bill'!H64-'FY16 Feb Forecast'!H64</f>
        <v>9667</v>
      </c>
      <c r="I64" s="107">
        <f>+'FY16 Tax Bill'!I64-'FY16 Feb Forecast'!I64</f>
        <v>1319498</v>
      </c>
      <c r="J64" s="105">
        <f>+'FY16 Tax Bill'!J64-'FY16 Feb Forecast'!J64</f>
        <v>999293</v>
      </c>
      <c r="K64" s="106">
        <f>+'FY16 Tax Bill'!K64-'FY16 Feb Forecast'!K64</f>
        <v>320205</v>
      </c>
      <c r="L64" s="107">
        <f>+'FY16 Tax Bill'!L64-'FY16 Feb Forecast'!L64</f>
        <v>-1319498</v>
      </c>
      <c r="M64" s="105">
        <f>+'FY16 Tax Bill'!M64-'FY16 Feb Forecast'!M64</f>
        <v>-999293</v>
      </c>
      <c r="N64" s="106">
        <f>+'FY16 Tax Bill'!N64-'FY16 Feb Forecast'!N64</f>
        <v>-320205</v>
      </c>
      <c r="O64" s="107">
        <f>+'FY16 Tax Bill'!O64-'FY16 Feb Forecast'!O64</f>
        <v>39839</v>
      </c>
      <c r="P64" s="105">
        <f>+'FY16 Tax Bill'!P64-'FY16 Feb Forecast'!P64</f>
        <v>30172</v>
      </c>
      <c r="Q64" s="106">
        <f>+'FY16 Tax Bill'!Q64-'FY16 Feb Forecast'!Q64</f>
        <v>9667</v>
      </c>
      <c r="R64" s="105">
        <f>+'FY16 Tax Bill'!R64-'FY16 Feb Forecast'!R64</f>
        <v>6.4008676092546466</v>
      </c>
      <c r="S64" s="105">
        <f>+'FY16 Tax Bill'!S64-'FY16 Feb Forecast'!S64</f>
        <v>4.8476863753213593</v>
      </c>
      <c r="T64" s="108">
        <f>+'FY16 Tax Bill'!T64-'FY16 Feb Forecast'!T64</f>
        <v>1.5531812339331736</v>
      </c>
    </row>
    <row r="65" spans="1:20" x14ac:dyDescent="0.2">
      <c r="A65" s="109">
        <v>160</v>
      </c>
      <c r="B65" s="110">
        <v>70</v>
      </c>
      <c r="C65" s="103" t="s">
        <v>4</v>
      </c>
      <c r="D65" s="103">
        <v>24</v>
      </c>
      <c r="E65" s="104">
        <f>+SUMIF('GE16FEB14 Unfudged'!$A$2:$A$498, $A65, 'GE16FEB14 Unfudged'!$D$2:$D$498)</f>
        <v>0</v>
      </c>
      <c r="F65" s="104">
        <f>+'FY16 Tax Bill'!F65-'FY16 Feb Forecast'!F65</f>
        <v>0</v>
      </c>
      <c r="G65" s="105">
        <f>+'FY16 Tax Bill'!G65-'FY16 Feb Forecast'!G65</f>
        <v>0</v>
      </c>
      <c r="H65" s="106">
        <f>+'FY16 Tax Bill'!H65-'FY16 Feb Forecast'!H65</f>
        <v>0</v>
      </c>
      <c r="I65" s="107">
        <f>+'FY16 Tax Bill'!I65-'FY16 Feb Forecast'!I65</f>
        <v>0</v>
      </c>
      <c r="J65" s="105">
        <f>+'FY16 Tax Bill'!J65-'FY16 Feb Forecast'!J65</f>
        <v>0</v>
      </c>
      <c r="K65" s="106">
        <f>+'FY16 Tax Bill'!K65-'FY16 Feb Forecast'!K65</f>
        <v>0</v>
      </c>
      <c r="L65" s="107">
        <f>+'FY16 Tax Bill'!L65-'FY16 Feb Forecast'!L65</f>
        <v>0</v>
      </c>
      <c r="M65" s="105">
        <f>+'FY16 Tax Bill'!M65-'FY16 Feb Forecast'!M65</f>
        <v>0</v>
      </c>
      <c r="N65" s="106">
        <f>+'FY16 Tax Bill'!N65-'FY16 Feb Forecast'!N65</f>
        <v>0</v>
      </c>
      <c r="O65" s="107">
        <f>+'FY16 Tax Bill'!O65-'FY16 Feb Forecast'!O65</f>
        <v>0</v>
      </c>
      <c r="P65" s="105">
        <f>+'FY16 Tax Bill'!P65-'FY16 Feb Forecast'!P65</f>
        <v>0</v>
      </c>
      <c r="Q65" s="106">
        <f>+'FY16 Tax Bill'!Q65-'FY16 Feb Forecast'!Q65</f>
        <v>0</v>
      </c>
      <c r="R65" s="105">
        <f>+'FY16 Tax Bill'!R65-'FY16 Feb Forecast'!R65</f>
        <v>0</v>
      </c>
      <c r="S65" s="105">
        <f>+'FY16 Tax Bill'!S65-'FY16 Feb Forecast'!S65</f>
        <v>0</v>
      </c>
      <c r="T65" s="108">
        <f>+'FY16 Tax Bill'!T65-'FY16 Feb Forecast'!T65</f>
        <v>0</v>
      </c>
    </row>
    <row r="66" spans="1:20" x14ac:dyDescent="0.2">
      <c r="A66" s="109">
        <v>160</v>
      </c>
      <c r="B66" s="110">
        <v>1</v>
      </c>
      <c r="C66" s="103" t="s">
        <v>466</v>
      </c>
      <c r="D66" s="103">
        <v>24</v>
      </c>
      <c r="E66" s="104">
        <f>+SUMIF('GE16FEB14 Unfudged'!$A$2:$A$498, $A66, 'GE16FEB14 Unfudged'!$D$2:$D$498)</f>
        <v>0</v>
      </c>
      <c r="F66" s="104">
        <f>+'FY16 Tax Bill'!F66-'FY16 Feb Forecast'!F66</f>
        <v>0</v>
      </c>
      <c r="G66" s="105">
        <f>+'FY16 Tax Bill'!G66-'FY16 Feb Forecast'!G66</f>
        <v>0</v>
      </c>
      <c r="H66" s="106">
        <f>+'FY16 Tax Bill'!H66-'FY16 Feb Forecast'!H66</f>
        <v>0</v>
      </c>
      <c r="I66" s="107">
        <f>+'FY16 Tax Bill'!I66-'FY16 Feb Forecast'!I66</f>
        <v>0</v>
      </c>
      <c r="J66" s="105">
        <f>+'FY16 Tax Bill'!J66-'FY16 Feb Forecast'!J66</f>
        <v>0</v>
      </c>
      <c r="K66" s="106">
        <f>+'FY16 Tax Bill'!K66-'FY16 Feb Forecast'!K66</f>
        <v>0</v>
      </c>
      <c r="L66" s="107">
        <f>+'FY16 Tax Bill'!L66-'FY16 Feb Forecast'!L66</f>
        <v>0</v>
      </c>
      <c r="M66" s="105">
        <f>+'FY16 Tax Bill'!M66-'FY16 Feb Forecast'!M66</f>
        <v>0</v>
      </c>
      <c r="N66" s="106">
        <f>+'FY16 Tax Bill'!N66-'FY16 Feb Forecast'!N66</f>
        <v>0</v>
      </c>
      <c r="O66" s="107">
        <f>+'FY16 Tax Bill'!O66-'FY16 Feb Forecast'!O66</f>
        <v>0</v>
      </c>
      <c r="P66" s="105">
        <f>+'FY16 Tax Bill'!P66-'FY16 Feb Forecast'!P66</f>
        <v>0</v>
      </c>
      <c r="Q66" s="106">
        <f>+'FY16 Tax Bill'!Q66-'FY16 Feb Forecast'!Q66</f>
        <v>0</v>
      </c>
      <c r="R66" s="105">
        <f>+'FY16 Tax Bill'!R66-'FY16 Feb Forecast'!R66</f>
        <v>0</v>
      </c>
      <c r="S66" s="105">
        <f>+'FY16 Tax Bill'!S66-'FY16 Feb Forecast'!S66</f>
        <v>0</v>
      </c>
      <c r="T66" s="108">
        <f>+'FY16 Tax Bill'!T66-'FY16 Feb Forecast'!T66</f>
        <v>0</v>
      </c>
    </row>
    <row r="67" spans="1:20" x14ac:dyDescent="0.2">
      <c r="A67" s="109">
        <v>162</v>
      </c>
      <c r="B67" s="110">
        <v>1</v>
      </c>
      <c r="C67" s="103" t="s">
        <v>186</v>
      </c>
      <c r="D67" s="103">
        <v>6</v>
      </c>
      <c r="E67" s="104">
        <f>+SUMIF('GE16FEB14 Unfudged'!$A$2:$A$498, $A67, 'GE16FEB14 Unfudged'!$D$2:$D$498)</f>
        <v>1049</v>
      </c>
      <c r="F67" s="104">
        <f>+'FY16 Tax Bill'!F67-'FY16 Feb Forecast'!F67</f>
        <v>0</v>
      </c>
      <c r="G67" s="105">
        <f>+'FY16 Tax Bill'!G67-'FY16 Feb Forecast'!G67</f>
        <v>0</v>
      </c>
      <c r="H67" s="106">
        <f>+'FY16 Tax Bill'!H67-'FY16 Feb Forecast'!H67</f>
        <v>0</v>
      </c>
      <c r="I67" s="107">
        <f>+'FY16 Tax Bill'!I67-'FY16 Feb Forecast'!I67</f>
        <v>444882</v>
      </c>
      <c r="J67" s="105">
        <f>+'FY16 Tax Bill'!J67-'FY16 Feb Forecast'!J67</f>
        <v>226514</v>
      </c>
      <c r="K67" s="106">
        <f>+'FY16 Tax Bill'!K67-'FY16 Feb Forecast'!K67</f>
        <v>218368</v>
      </c>
      <c r="L67" s="107">
        <f>+'FY16 Tax Bill'!L67-'FY16 Feb Forecast'!L67</f>
        <v>0</v>
      </c>
      <c r="M67" s="105">
        <f>+'FY16 Tax Bill'!M67-'FY16 Feb Forecast'!M67</f>
        <v>0</v>
      </c>
      <c r="N67" s="106">
        <f>+'FY16 Tax Bill'!N67-'FY16 Feb Forecast'!N67</f>
        <v>0</v>
      </c>
      <c r="O67" s="107">
        <f>+'FY16 Tax Bill'!O67-'FY16 Feb Forecast'!O67</f>
        <v>444882</v>
      </c>
      <c r="P67" s="105">
        <f>+'FY16 Tax Bill'!P67-'FY16 Feb Forecast'!P67</f>
        <v>226514</v>
      </c>
      <c r="Q67" s="106">
        <f>+'FY16 Tax Bill'!Q67-'FY16 Feb Forecast'!Q67</f>
        <v>218368</v>
      </c>
      <c r="R67" s="105">
        <f>+'FY16 Tax Bill'!R67-'FY16 Feb Forecast'!R67</f>
        <v>424.10104861773118</v>
      </c>
      <c r="S67" s="105">
        <f>+'FY16 Tax Bill'!S67-'FY16 Feb Forecast'!S67</f>
        <v>215.93326978074356</v>
      </c>
      <c r="T67" s="108">
        <f>+'FY16 Tax Bill'!T67-'FY16 Feb Forecast'!T67</f>
        <v>208.16777883698762</v>
      </c>
    </row>
    <row r="68" spans="1:20" x14ac:dyDescent="0.2">
      <c r="A68" s="109">
        <v>166</v>
      </c>
      <c r="B68" s="110">
        <v>1</v>
      </c>
      <c r="C68" s="103" t="s">
        <v>187</v>
      </c>
      <c r="D68" s="103">
        <v>6</v>
      </c>
      <c r="E68" s="104">
        <f>+SUMIF('GE16FEB14 Unfudged'!$A$2:$A$498, $A68, 'GE16FEB14 Unfudged'!$D$2:$D$498)</f>
        <v>495</v>
      </c>
      <c r="F68" s="104">
        <f>+'FY16 Tax Bill'!F68-'FY16 Feb Forecast'!F68</f>
        <v>8630</v>
      </c>
      <c r="G68" s="105">
        <f>+'FY16 Tax Bill'!G68-'FY16 Feb Forecast'!G68</f>
        <v>8630</v>
      </c>
      <c r="H68" s="106">
        <f>+'FY16 Tax Bill'!H68-'FY16 Feb Forecast'!H68</f>
        <v>0</v>
      </c>
      <c r="I68" s="107">
        <f>+'FY16 Tax Bill'!I68-'FY16 Feb Forecast'!I68</f>
        <v>210050</v>
      </c>
      <c r="J68" s="105">
        <f>+'FY16 Tax Bill'!J68-'FY16 Feb Forecast'!J68</f>
        <v>210050</v>
      </c>
      <c r="K68" s="106">
        <f>+'FY16 Tax Bill'!K68-'FY16 Feb Forecast'!K68</f>
        <v>0</v>
      </c>
      <c r="L68" s="107">
        <f>+'FY16 Tax Bill'!L68-'FY16 Feb Forecast'!L68</f>
        <v>-210049</v>
      </c>
      <c r="M68" s="105">
        <f>+'FY16 Tax Bill'!M68-'FY16 Feb Forecast'!M68</f>
        <v>-210049</v>
      </c>
      <c r="N68" s="106">
        <f>+'FY16 Tax Bill'!N68-'FY16 Feb Forecast'!N68</f>
        <v>0</v>
      </c>
      <c r="O68" s="107">
        <f>+'FY16 Tax Bill'!O68-'FY16 Feb Forecast'!O68</f>
        <v>8631</v>
      </c>
      <c r="P68" s="105">
        <f>+'FY16 Tax Bill'!P68-'FY16 Feb Forecast'!P68</f>
        <v>8631</v>
      </c>
      <c r="Q68" s="106">
        <f>+'FY16 Tax Bill'!Q68-'FY16 Feb Forecast'!Q68</f>
        <v>0</v>
      </c>
      <c r="R68" s="105">
        <f>+'FY16 Tax Bill'!R68-'FY16 Feb Forecast'!R68</f>
        <v>17.436363636363694</v>
      </c>
      <c r="S68" s="105">
        <f>+'FY16 Tax Bill'!S68-'FY16 Feb Forecast'!S68</f>
        <v>17.436363636363694</v>
      </c>
      <c r="T68" s="108">
        <f>+'FY16 Tax Bill'!T68-'FY16 Feb Forecast'!T68</f>
        <v>0</v>
      </c>
    </row>
    <row r="69" spans="1:20" x14ac:dyDescent="0.2">
      <c r="A69" s="109">
        <v>173</v>
      </c>
      <c r="B69" s="110">
        <v>1</v>
      </c>
      <c r="C69" s="103" t="s">
        <v>188</v>
      </c>
      <c r="D69" s="103">
        <v>6</v>
      </c>
      <c r="E69" s="104">
        <f>+SUMIF('GE16FEB14 Unfudged'!$A$2:$A$498, $A69, 'GE16FEB14 Unfudged'!$D$2:$D$498)</f>
        <v>528</v>
      </c>
      <c r="F69" s="104">
        <f>+'FY16 Tax Bill'!F69-'FY16 Feb Forecast'!F69</f>
        <v>2329</v>
      </c>
      <c r="G69" s="105">
        <f>+'FY16 Tax Bill'!G69-'FY16 Feb Forecast'!G69</f>
        <v>950</v>
      </c>
      <c r="H69" s="106">
        <f>+'FY16 Tax Bill'!H69-'FY16 Feb Forecast'!H69</f>
        <v>1379</v>
      </c>
      <c r="I69" s="107">
        <f>+'FY16 Tax Bill'!I69-'FY16 Feb Forecast'!I69</f>
        <v>223787</v>
      </c>
      <c r="J69" s="105">
        <f>+'FY16 Tax Bill'!J69-'FY16 Feb Forecast'!J69</f>
        <v>91306</v>
      </c>
      <c r="K69" s="106">
        <f>+'FY16 Tax Bill'!K69-'FY16 Feb Forecast'!K69</f>
        <v>132481</v>
      </c>
      <c r="L69" s="107">
        <f>+'FY16 Tax Bill'!L69-'FY16 Feb Forecast'!L69</f>
        <v>-223787</v>
      </c>
      <c r="M69" s="105">
        <f>+'FY16 Tax Bill'!M69-'FY16 Feb Forecast'!M69</f>
        <v>-204349</v>
      </c>
      <c r="N69" s="106">
        <f>+'FY16 Tax Bill'!N69-'FY16 Feb Forecast'!N69</f>
        <v>-19438</v>
      </c>
      <c r="O69" s="107">
        <f>+'FY16 Tax Bill'!O69-'FY16 Feb Forecast'!O69</f>
        <v>2329</v>
      </c>
      <c r="P69" s="105">
        <f>+'FY16 Tax Bill'!P69-'FY16 Feb Forecast'!P69</f>
        <v>-112093</v>
      </c>
      <c r="Q69" s="106">
        <f>+'FY16 Tax Bill'!Q69-'FY16 Feb Forecast'!Q69</f>
        <v>114422</v>
      </c>
      <c r="R69" s="105">
        <f>+'FY16 Tax Bill'!R69-'FY16 Feb Forecast'!R69</f>
        <v>4.4109848484849863</v>
      </c>
      <c r="S69" s="105">
        <f>+'FY16 Tax Bill'!S69-'FY16 Feb Forecast'!S69</f>
        <v>-212.29734848484838</v>
      </c>
      <c r="T69" s="108">
        <f>+'FY16 Tax Bill'!T69-'FY16 Feb Forecast'!T69</f>
        <v>216.70833333333337</v>
      </c>
    </row>
    <row r="70" spans="1:20" x14ac:dyDescent="0.2">
      <c r="A70" s="109">
        <v>177</v>
      </c>
      <c r="B70" s="110">
        <v>1</v>
      </c>
      <c r="C70" s="103" t="s">
        <v>189</v>
      </c>
      <c r="D70" s="103">
        <v>6</v>
      </c>
      <c r="E70" s="104">
        <f>+SUMIF('GE16FEB14 Unfudged'!$A$2:$A$498, $A70, 'GE16FEB14 Unfudged'!$D$2:$D$498)</f>
        <v>1112</v>
      </c>
      <c r="F70" s="104">
        <f>+'FY16 Tax Bill'!F70-'FY16 Feb Forecast'!F70</f>
        <v>12412</v>
      </c>
      <c r="G70" s="105">
        <f>+'FY16 Tax Bill'!G70-'FY16 Feb Forecast'!G70</f>
        <v>7568</v>
      </c>
      <c r="H70" s="106">
        <f>+'FY16 Tax Bill'!H70-'FY16 Feb Forecast'!H70</f>
        <v>4844</v>
      </c>
      <c r="I70" s="107">
        <f>+'FY16 Tax Bill'!I70-'FY16 Feb Forecast'!I70</f>
        <v>471403</v>
      </c>
      <c r="J70" s="105">
        <f>+'FY16 Tax Bill'!J70-'FY16 Feb Forecast'!J70</f>
        <v>287403</v>
      </c>
      <c r="K70" s="106">
        <f>+'FY16 Tax Bill'!K70-'FY16 Feb Forecast'!K70</f>
        <v>184000</v>
      </c>
      <c r="L70" s="107">
        <f>+'FY16 Tax Bill'!L70-'FY16 Feb Forecast'!L70</f>
        <v>-471403</v>
      </c>
      <c r="M70" s="105">
        <f>+'FY16 Tax Bill'!M70-'FY16 Feb Forecast'!M70</f>
        <v>-471403</v>
      </c>
      <c r="N70" s="106">
        <f>+'FY16 Tax Bill'!N70-'FY16 Feb Forecast'!N70</f>
        <v>0</v>
      </c>
      <c r="O70" s="107">
        <f>+'FY16 Tax Bill'!O70-'FY16 Feb Forecast'!O70</f>
        <v>12412</v>
      </c>
      <c r="P70" s="105">
        <f>+'FY16 Tax Bill'!P70-'FY16 Feb Forecast'!P70</f>
        <v>-176432</v>
      </c>
      <c r="Q70" s="106">
        <f>+'FY16 Tax Bill'!Q70-'FY16 Feb Forecast'!Q70</f>
        <v>188844</v>
      </c>
      <c r="R70" s="105">
        <f>+'FY16 Tax Bill'!R70-'FY16 Feb Forecast'!R70</f>
        <v>11.161870503597129</v>
      </c>
      <c r="S70" s="105">
        <f>+'FY16 Tax Bill'!S70-'FY16 Feb Forecast'!S70</f>
        <v>-158.66187050359713</v>
      </c>
      <c r="T70" s="108">
        <f>+'FY16 Tax Bill'!T70-'FY16 Feb Forecast'!T70</f>
        <v>169.8237410071942</v>
      </c>
    </row>
    <row r="71" spans="1:20" x14ac:dyDescent="0.2">
      <c r="A71" s="109">
        <v>181</v>
      </c>
      <c r="B71" s="110">
        <v>1</v>
      </c>
      <c r="C71" s="103" t="s">
        <v>190</v>
      </c>
      <c r="D71" s="103">
        <v>4</v>
      </c>
      <c r="E71" s="104">
        <f>+SUMIF('GE16FEB14 Unfudged'!$A$2:$A$498, $A71, 'GE16FEB14 Unfudged'!$D$2:$D$498)</f>
        <v>6773</v>
      </c>
      <c r="F71" s="104">
        <f>+'FY16 Tax Bill'!F71-'FY16 Feb Forecast'!F71</f>
        <v>0</v>
      </c>
      <c r="G71" s="105">
        <f>+'FY16 Tax Bill'!G71-'FY16 Feb Forecast'!G71</f>
        <v>0</v>
      </c>
      <c r="H71" s="106">
        <f>+'FY16 Tax Bill'!H71-'FY16 Feb Forecast'!H71</f>
        <v>0</v>
      </c>
      <c r="I71" s="107">
        <f>+'FY16 Tax Bill'!I71-'FY16 Feb Forecast'!I71</f>
        <v>1435961</v>
      </c>
      <c r="J71" s="105">
        <f>+'FY16 Tax Bill'!J71-'FY16 Feb Forecast'!J71</f>
        <v>1392921</v>
      </c>
      <c r="K71" s="106">
        <f>+'FY16 Tax Bill'!K71-'FY16 Feb Forecast'!K71</f>
        <v>43040</v>
      </c>
      <c r="L71" s="107">
        <f>+'FY16 Tax Bill'!L71-'FY16 Feb Forecast'!L71</f>
        <v>0</v>
      </c>
      <c r="M71" s="105">
        <f>+'FY16 Tax Bill'!M71-'FY16 Feb Forecast'!M71</f>
        <v>0</v>
      </c>
      <c r="N71" s="106">
        <f>+'FY16 Tax Bill'!N71-'FY16 Feb Forecast'!N71</f>
        <v>0</v>
      </c>
      <c r="O71" s="107">
        <f>+'FY16 Tax Bill'!O71-'FY16 Feb Forecast'!O71</f>
        <v>1435961</v>
      </c>
      <c r="P71" s="105">
        <f>+'FY16 Tax Bill'!P71-'FY16 Feb Forecast'!P71</f>
        <v>1392921</v>
      </c>
      <c r="Q71" s="106">
        <f>+'FY16 Tax Bill'!Q71-'FY16 Feb Forecast'!Q71</f>
        <v>43040</v>
      </c>
      <c r="R71" s="105">
        <f>+'FY16 Tax Bill'!R71-'FY16 Feb Forecast'!R71</f>
        <v>212.01254983020817</v>
      </c>
      <c r="S71" s="105">
        <f>+'FY16 Tax Bill'!S71-'FY16 Feb Forecast'!S71</f>
        <v>205.65790639303111</v>
      </c>
      <c r="T71" s="108">
        <f>+'FY16 Tax Bill'!T71-'FY16 Feb Forecast'!T71</f>
        <v>6.3546434371770033</v>
      </c>
    </row>
    <row r="72" spans="1:20" x14ac:dyDescent="0.2">
      <c r="A72" s="109">
        <v>182</v>
      </c>
      <c r="B72" s="110">
        <v>1</v>
      </c>
      <c r="C72" s="103" t="s">
        <v>191</v>
      </c>
      <c r="D72" s="103">
        <v>5</v>
      </c>
      <c r="E72" s="104">
        <f>+SUMIF('GE16FEB14 Unfudged'!$A$2:$A$498, $A72, 'GE16FEB14 Unfudged'!$D$2:$D$498)</f>
        <v>1204</v>
      </c>
      <c r="F72" s="104">
        <f>+'FY16 Tax Bill'!F72-'FY16 Feb Forecast'!F72</f>
        <v>10796</v>
      </c>
      <c r="G72" s="105">
        <f>+'FY16 Tax Bill'!G72-'FY16 Feb Forecast'!G72</f>
        <v>10796</v>
      </c>
      <c r="H72" s="106">
        <f>+'FY16 Tax Bill'!H72-'FY16 Feb Forecast'!H72</f>
        <v>0</v>
      </c>
      <c r="I72" s="107">
        <f>+'FY16 Tax Bill'!I72-'FY16 Feb Forecast'!I72</f>
        <v>510326</v>
      </c>
      <c r="J72" s="105">
        <f>+'FY16 Tax Bill'!J72-'FY16 Feb Forecast'!J72</f>
        <v>510326</v>
      </c>
      <c r="K72" s="106">
        <f>+'FY16 Tax Bill'!K72-'FY16 Feb Forecast'!K72</f>
        <v>0</v>
      </c>
      <c r="L72" s="107">
        <f>+'FY16 Tax Bill'!L72-'FY16 Feb Forecast'!L72</f>
        <v>-235496</v>
      </c>
      <c r="M72" s="105">
        <f>+'FY16 Tax Bill'!M72-'FY16 Feb Forecast'!M72</f>
        <v>-235496</v>
      </c>
      <c r="N72" s="106">
        <f>+'FY16 Tax Bill'!N72-'FY16 Feb Forecast'!N72</f>
        <v>0</v>
      </c>
      <c r="O72" s="107">
        <f>+'FY16 Tax Bill'!O72-'FY16 Feb Forecast'!O72</f>
        <v>285626</v>
      </c>
      <c r="P72" s="105">
        <f>+'FY16 Tax Bill'!P72-'FY16 Feb Forecast'!P72</f>
        <v>285626</v>
      </c>
      <c r="Q72" s="106">
        <f>+'FY16 Tax Bill'!Q72-'FY16 Feb Forecast'!Q72</f>
        <v>0</v>
      </c>
      <c r="R72" s="105">
        <f>+'FY16 Tax Bill'!R72-'FY16 Feb Forecast'!R72</f>
        <v>237.23089700996672</v>
      </c>
      <c r="S72" s="105">
        <f>+'FY16 Tax Bill'!S72-'FY16 Feb Forecast'!S72</f>
        <v>237.23089700996684</v>
      </c>
      <c r="T72" s="108">
        <f>+'FY16 Tax Bill'!T72-'FY16 Feb Forecast'!T72</f>
        <v>0</v>
      </c>
    </row>
    <row r="73" spans="1:20" x14ac:dyDescent="0.2">
      <c r="A73" s="109">
        <v>186</v>
      </c>
      <c r="B73" s="110">
        <v>1</v>
      </c>
      <c r="C73" s="103" t="s">
        <v>192</v>
      </c>
      <c r="D73" s="103">
        <v>5</v>
      </c>
      <c r="E73" s="104">
        <f>+SUMIF('GE16FEB14 Unfudged'!$A$2:$A$498, $A73, 'GE16FEB14 Unfudged'!$D$2:$D$498)</f>
        <v>1766</v>
      </c>
      <c r="F73" s="104">
        <f>+'FY16 Tax Bill'!F73-'FY16 Feb Forecast'!F73</f>
        <v>0</v>
      </c>
      <c r="G73" s="105">
        <f>+'FY16 Tax Bill'!G73-'FY16 Feb Forecast'!G73</f>
        <v>0</v>
      </c>
      <c r="H73" s="106">
        <f>+'FY16 Tax Bill'!H73-'FY16 Feb Forecast'!H73</f>
        <v>0</v>
      </c>
      <c r="I73" s="107">
        <f>+'FY16 Tax Bill'!I73-'FY16 Feb Forecast'!I73</f>
        <v>748869</v>
      </c>
      <c r="J73" s="105">
        <f>+'FY16 Tax Bill'!J73-'FY16 Feb Forecast'!J73</f>
        <v>748869</v>
      </c>
      <c r="K73" s="106">
        <f>+'FY16 Tax Bill'!K73-'FY16 Feb Forecast'!K73</f>
        <v>0</v>
      </c>
      <c r="L73" s="107">
        <f>+'FY16 Tax Bill'!L73-'FY16 Feb Forecast'!L73</f>
        <v>0</v>
      </c>
      <c r="M73" s="105">
        <f>+'FY16 Tax Bill'!M73-'FY16 Feb Forecast'!M73</f>
        <v>0</v>
      </c>
      <c r="N73" s="106">
        <f>+'FY16 Tax Bill'!N73-'FY16 Feb Forecast'!N73</f>
        <v>0</v>
      </c>
      <c r="O73" s="107">
        <f>+'FY16 Tax Bill'!O73-'FY16 Feb Forecast'!O73</f>
        <v>748869</v>
      </c>
      <c r="P73" s="105">
        <f>+'FY16 Tax Bill'!P73-'FY16 Feb Forecast'!P73</f>
        <v>748869</v>
      </c>
      <c r="Q73" s="106">
        <f>+'FY16 Tax Bill'!Q73-'FY16 Feb Forecast'!Q73</f>
        <v>0</v>
      </c>
      <c r="R73" s="105">
        <f>+'FY16 Tax Bill'!R73-'FY16 Feb Forecast'!R73</f>
        <v>424.04813137032846</v>
      </c>
      <c r="S73" s="105">
        <f>+'FY16 Tax Bill'!S73-'FY16 Feb Forecast'!S73</f>
        <v>424.04813137032835</v>
      </c>
      <c r="T73" s="108">
        <f>+'FY16 Tax Bill'!T73-'FY16 Feb Forecast'!T73</f>
        <v>0</v>
      </c>
    </row>
    <row r="74" spans="1:20" x14ac:dyDescent="0.2">
      <c r="A74" s="109">
        <v>191</v>
      </c>
      <c r="B74" s="110">
        <v>1</v>
      </c>
      <c r="C74" s="103" t="s">
        <v>193</v>
      </c>
      <c r="D74" s="103">
        <v>3</v>
      </c>
      <c r="E74" s="104">
        <f>+SUMIF('GE16FEB14 Unfudged'!$A$2:$A$498, $A74, 'GE16FEB14 Unfudged'!$D$2:$D$498)</f>
        <v>10337</v>
      </c>
      <c r="F74" s="104">
        <f>+'FY16 Tax Bill'!F74-'FY16 Feb Forecast'!F74</f>
        <v>0</v>
      </c>
      <c r="G74" s="105">
        <f>+'FY16 Tax Bill'!G74-'FY16 Feb Forecast'!G74</f>
        <v>0</v>
      </c>
      <c r="H74" s="106">
        <f>+'FY16 Tax Bill'!H74-'FY16 Feb Forecast'!H74</f>
        <v>0</v>
      </c>
      <c r="I74" s="107">
        <f>+'FY16 Tax Bill'!I74-'FY16 Feb Forecast'!I74</f>
        <v>0</v>
      </c>
      <c r="J74" s="105">
        <f>+'FY16 Tax Bill'!J74-'FY16 Feb Forecast'!J74</f>
        <v>0</v>
      </c>
      <c r="K74" s="106">
        <f>+'FY16 Tax Bill'!K74-'FY16 Feb Forecast'!K74</f>
        <v>0</v>
      </c>
      <c r="L74" s="107">
        <f>+'FY16 Tax Bill'!L74-'FY16 Feb Forecast'!L74</f>
        <v>0</v>
      </c>
      <c r="M74" s="105">
        <f>+'FY16 Tax Bill'!M74-'FY16 Feb Forecast'!M74</f>
        <v>0</v>
      </c>
      <c r="N74" s="106">
        <f>+'FY16 Tax Bill'!N74-'FY16 Feb Forecast'!N74</f>
        <v>0</v>
      </c>
      <c r="O74" s="107">
        <f>+'FY16 Tax Bill'!O74-'FY16 Feb Forecast'!O74</f>
        <v>0</v>
      </c>
      <c r="P74" s="105">
        <f>+'FY16 Tax Bill'!P74-'FY16 Feb Forecast'!P74</f>
        <v>0</v>
      </c>
      <c r="Q74" s="106">
        <f>+'FY16 Tax Bill'!Q74-'FY16 Feb Forecast'!Q74</f>
        <v>0</v>
      </c>
      <c r="R74" s="105">
        <f>+'FY16 Tax Bill'!R74-'FY16 Feb Forecast'!R74</f>
        <v>0</v>
      </c>
      <c r="S74" s="105">
        <f>+'FY16 Tax Bill'!S74-'FY16 Feb Forecast'!S74</f>
        <v>0</v>
      </c>
      <c r="T74" s="108">
        <f>+'FY16 Tax Bill'!T74-'FY16 Feb Forecast'!T74</f>
        <v>0</v>
      </c>
    </row>
    <row r="75" spans="1:20" x14ac:dyDescent="0.2">
      <c r="A75" s="109">
        <v>192</v>
      </c>
      <c r="B75" s="110">
        <v>1</v>
      </c>
      <c r="C75" s="103" t="s">
        <v>194</v>
      </c>
      <c r="D75" s="103">
        <v>3</v>
      </c>
      <c r="E75" s="104">
        <f>+SUMIF('GE16FEB14 Unfudged'!$A$2:$A$498, $A75, 'GE16FEB14 Unfudged'!$D$2:$D$498)</f>
        <v>7149</v>
      </c>
      <c r="F75" s="104">
        <f>+'FY16 Tax Bill'!F75-'FY16 Feb Forecast'!F75</f>
        <v>0</v>
      </c>
      <c r="G75" s="105">
        <f>+'FY16 Tax Bill'!G75-'FY16 Feb Forecast'!G75</f>
        <v>0</v>
      </c>
      <c r="H75" s="106">
        <f>+'FY16 Tax Bill'!H75-'FY16 Feb Forecast'!H75</f>
        <v>0</v>
      </c>
      <c r="I75" s="107">
        <f>+'FY16 Tax Bill'!I75-'FY16 Feb Forecast'!I75</f>
        <v>0</v>
      </c>
      <c r="J75" s="105">
        <f>+'FY16 Tax Bill'!J75-'FY16 Feb Forecast'!J75</f>
        <v>0</v>
      </c>
      <c r="K75" s="106">
        <f>+'FY16 Tax Bill'!K75-'FY16 Feb Forecast'!K75</f>
        <v>0</v>
      </c>
      <c r="L75" s="107">
        <f>+'FY16 Tax Bill'!L75-'FY16 Feb Forecast'!L75</f>
        <v>0</v>
      </c>
      <c r="M75" s="105">
        <f>+'FY16 Tax Bill'!M75-'FY16 Feb Forecast'!M75</f>
        <v>0</v>
      </c>
      <c r="N75" s="106">
        <f>+'FY16 Tax Bill'!N75-'FY16 Feb Forecast'!N75</f>
        <v>0</v>
      </c>
      <c r="O75" s="107">
        <f>+'FY16 Tax Bill'!O75-'FY16 Feb Forecast'!O75</f>
        <v>0</v>
      </c>
      <c r="P75" s="105">
        <f>+'FY16 Tax Bill'!P75-'FY16 Feb Forecast'!P75</f>
        <v>0</v>
      </c>
      <c r="Q75" s="106">
        <f>+'FY16 Tax Bill'!Q75-'FY16 Feb Forecast'!Q75</f>
        <v>0</v>
      </c>
      <c r="R75" s="105">
        <f>+'FY16 Tax Bill'!R75-'FY16 Feb Forecast'!R75</f>
        <v>0</v>
      </c>
      <c r="S75" s="105">
        <f>+'FY16 Tax Bill'!S75-'FY16 Feb Forecast'!S75</f>
        <v>0</v>
      </c>
      <c r="T75" s="108">
        <f>+'FY16 Tax Bill'!T75-'FY16 Feb Forecast'!T75</f>
        <v>0</v>
      </c>
    </row>
    <row r="76" spans="1:20" x14ac:dyDescent="0.2">
      <c r="A76" s="109">
        <v>194</v>
      </c>
      <c r="B76" s="110">
        <v>1</v>
      </c>
      <c r="C76" s="103" t="s">
        <v>195</v>
      </c>
      <c r="D76" s="103">
        <v>3</v>
      </c>
      <c r="E76" s="104">
        <f>+SUMIF('GE16FEB14 Unfudged'!$A$2:$A$498, $A76, 'GE16FEB14 Unfudged'!$D$2:$D$498)</f>
        <v>11382</v>
      </c>
      <c r="F76" s="104">
        <f>+'FY16 Tax Bill'!F76-'FY16 Feb Forecast'!F76</f>
        <v>0</v>
      </c>
      <c r="G76" s="105">
        <f>+'FY16 Tax Bill'!G76-'FY16 Feb Forecast'!G76</f>
        <v>0</v>
      </c>
      <c r="H76" s="106">
        <f>+'FY16 Tax Bill'!H76-'FY16 Feb Forecast'!H76</f>
        <v>0</v>
      </c>
      <c r="I76" s="107">
        <f>+'FY16 Tax Bill'!I76-'FY16 Feb Forecast'!I76</f>
        <v>0</v>
      </c>
      <c r="J76" s="105">
        <f>+'FY16 Tax Bill'!J76-'FY16 Feb Forecast'!J76</f>
        <v>0</v>
      </c>
      <c r="K76" s="106">
        <f>+'FY16 Tax Bill'!K76-'FY16 Feb Forecast'!K76</f>
        <v>0</v>
      </c>
      <c r="L76" s="107">
        <f>+'FY16 Tax Bill'!L76-'FY16 Feb Forecast'!L76</f>
        <v>0</v>
      </c>
      <c r="M76" s="105">
        <f>+'FY16 Tax Bill'!M76-'FY16 Feb Forecast'!M76</f>
        <v>0</v>
      </c>
      <c r="N76" s="106">
        <f>+'FY16 Tax Bill'!N76-'FY16 Feb Forecast'!N76</f>
        <v>0</v>
      </c>
      <c r="O76" s="107">
        <f>+'FY16 Tax Bill'!O76-'FY16 Feb Forecast'!O76</f>
        <v>0</v>
      </c>
      <c r="P76" s="105">
        <f>+'FY16 Tax Bill'!P76-'FY16 Feb Forecast'!P76</f>
        <v>0</v>
      </c>
      <c r="Q76" s="106">
        <f>+'FY16 Tax Bill'!Q76-'FY16 Feb Forecast'!Q76</f>
        <v>0</v>
      </c>
      <c r="R76" s="105">
        <f>+'FY16 Tax Bill'!R76-'FY16 Feb Forecast'!R76</f>
        <v>0</v>
      </c>
      <c r="S76" s="105">
        <f>+'FY16 Tax Bill'!S76-'FY16 Feb Forecast'!S76</f>
        <v>0</v>
      </c>
      <c r="T76" s="108">
        <f>+'FY16 Tax Bill'!T76-'FY16 Feb Forecast'!T76</f>
        <v>0</v>
      </c>
    </row>
    <row r="77" spans="1:20" x14ac:dyDescent="0.2">
      <c r="A77" s="109">
        <v>195</v>
      </c>
      <c r="B77" s="110">
        <v>1</v>
      </c>
      <c r="C77" s="103" t="s">
        <v>196</v>
      </c>
      <c r="D77" s="103">
        <v>3</v>
      </c>
      <c r="E77" s="104">
        <f>+SUMIF('GE16FEB14 Unfudged'!$A$2:$A$498, $A77, 'GE16FEB14 Unfudged'!$D$2:$D$498)</f>
        <v>651</v>
      </c>
      <c r="F77" s="104">
        <f>+'FY16 Tax Bill'!F77-'FY16 Feb Forecast'!F77</f>
        <v>0</v>
      </c>
      <c r="G77" s="105">
        <f>+'FY16 Tax Bill'!G77-'FY16 Feb Forecast'!G77</f>
        <v>0</v>
      </c>
      <c r="H77" s="106">
        <f>+'FY16 Tax Bill'!H77-'FY16 Feb Forecast'!H77</f>
        <v>0</v>
      </c>
      <c r="I77" s="107">
        <f>+'FY16 Tax Bill'!I77-'FY16 Feb Forecast'!I77</f>
        <v>0</v>
      </c>
      <c r="J77" s="105">
        <f>+'FY16 Tax Bill'!J77-'FY16 Feb Forecast'!J77</f>
        <v>0</v>
      </c>
      <c r="K77" s="106">
        <f>+'FY16 Tax Bill'!K77-'FY16 Feb Forecast'!K77</f>
        <v>0</v>
      </c>
      <c r="L77" s="107">
        <f>+'FY16 Tax Bill'!L77-'FY16 Feb Forecast'!L77</f>
        <v>0</v>
      </c>
      <c r="M77" s="105">
        <f>+'FY16 Tax Bill'!M77-'FY16 Feb Forecast'!M77</f>
        <v>0</v>
      </c>
      <c r="N77" s="106">
        <f>+'FY16 Tax Bill'!N77-'FY16 Feb Forecast'!N77</f>
        <v>0</v>
      </c>
      <c r="O77" s="107">
        <f>+'FY16 Tax Bill'!O77-'FY16 Feb Forecast'!O77</f>
        <v>0</v>
      </c>
      <c r="P77" s="105">
        <f>+'FY16 Tax Bill'!P77-'FY16 Feb Forecast'!P77</f>
        <v>0</v>
      </c>
      <c r="Q77" s="106">
        <f>+'FY16 Tax Bill'!Q77-'FY16 Feb Forecast'!Q77</f>
        <v>0</v>
      </c>
      <c r="R77" s="105">
        <f>+'FY16 Tax Bill'!R77-'FY16 Feb Forecast'!R77</f>
        <v>0</v>
      </c>
      <c r="S77" s="105">
        <f>+'FY16 Tax Bill'!S77-'FY16 Feb Forecast'!S77</f>
        <v>0</v>
      </c>
      <c r="T77" s="108">
        <f>+'FY16 Tax Bill'!T77-'FY16 Feb Forecast'!T77</f>
        <v>0</v>
      </c>
    </row>
    <row r="78" spans="1:20" x14ac:dyDescent="0.2">
      <c r="A78" s="109">
        <v>196</v>
      </c>
      <c r="B78" s="110">
        <v>1</v>
      </c>
      <c r="C78" s="103" t="s">
        <v>197</v>
      </c>
      <c r="D78" s="103">
        <v>3</v>
      </c>
      <c r="E78" s="104">
        <f>+SUMIF('GE16FEB14 Unfudged'!$A$2:$A$498, $A78, 'GE16FEB14 Unfudged'!$D$2:$D$498)</f>
        <v>29138</v>
      </c>
      <c r="F78" s="104">
        <f>+'FY16 Tax Bill'!F78-'FY16 Feb Forecast'!F78</f>
        <v>0</v>
      </c>
      <c r="G78" s="105">
        <f>+'FY16 Tax Bill'!G78-'FY16 Feb Forecast'!G78</f>
        <v>0</v>
      </c>
      <c r="H78" s="106">
        <f>+'FY16 Tax Bill'!H78-'FY16 Feb Forecast'!H78</f>
        <v>0</v>
      </c>
      <c r="I78" s="107">
        <f>+'FY16 Tax Bill'!I78-'FY16 Feb Forecast'!I78</f>
        <v>0</v>
      </c>
      <c r="J78" s="105">
        <f>+'FY16 Tax Bill'!J78-'FY16 Feb Forecast'!J78</f>
        <v>0</v>
      </c>
      <c r="K78" s="106">
        <f>+'FY16 Tax Bill'!K78-'FY16 Feb Forecast'!K78</f>
        <v>0</v>
      </c>
      <c r="L78" s="107">
        <f>+'FY16 Tax Bill'!L78-'FY16 Feb Forecast'!L78</f>
        <v>0</v>
      </c>
      <c r="M78" s="105">
        <f>+'FY16 Tax Bill'!M78-'FY16 Feb Forecast'!M78</f>
        <v>0</v>
      </c>
      <c r="N78" s="106">
        <f>+'FY16 Tax Bill'!N78-'FY16 Feb Forecast'!N78</f>
        <v>0</v>
      </c>
      <c r="O78" s="107">
        <f>+'FY16 Tax Bill'!O78-'FY16 Feb Forecast'!O78</f>
        <v>0</v>
      </c>
      <c r="P78" s="105">
        <f>+'FY16 Tax Bill'!P78-'FY16 Feb Forecast'!P78</f>
        <v>0</v>
      </c>
      <c r="Q78" s="106">
        <f>+'FY16 Tax Bill'!Q78-'FY16 Feb Forecast'!Q78</f>
        <v>0</v>
      </c>
      <c r="R78" s="105">
        <f>+'FY16 Tax Bill'!R78-'FY16 Feb Forecast'!R78</f>
        <v>0</v>
      </c>
      <c r="S78" s="105">
        <f>+'FY16 Tax Bill'!S78-'FY16 Feb Forecast'!S78</f>
        <v>0</v>
      </c>
      <c r="T78" s="108">
        <f>+'FY16 Tax Bill'!T78-'FY16 Feb Forecast'!T78</f>
        <v>0</v>
      </c>
    </row>
    <row r="79" spans="1:20" x14ac:dyDescent="0.2">
      <c r="A79" s="109">
        <v>197</v>
      </c>
      <c r="B79" s="110">
        <v>1</v>
      </c>
      <c r="C79" s="103" t="s">
        <v>198</v>
      </c>
      <c r="D79" s="103">
        <v>2</v>
      </c>
      <c r="E79" s="104">
        <f>+SUMIF('GE16FEB14 Unfudged'!$A$2:$A$498, $A79, 'GE16FEB14 Unfudged'!$D$2:$D$498)</f>
        <v>5165</v>
      </c>
      <c r="F79" s="104">
        <f>+'FY16 Tax Bill'!F79-'FY16 Feb Forecast'!F79</f>
        <v>0</v>
      </c>
      <c r="G79" s="105">
        <f>+'FY16 Tax Bill'!G79-'FY16 Feb Forecast'!G79</f>
        <v>0</v>
      </c>
      <c r="H79" s="106">
        <f>+'FY16 Tax Bill'!H79-'FY16 Feb Forecast'!H79</f>
        <v>0</v>
      </c>
      <c r="I79" s="107">
        <f>+'FY16 Tax Bill'!I79-'FY16 Feb Forecast'!I79</f>
        <v>0</v>
      </c>
      <c r="J79" s="105">
        <f>+'FY16 Tax Bill'!J79-'FY16 Feb Forecast'!J79</f>
        <v>0</v>
      </c>
      <c r="K79" s="106">
        <f>+'FY16 Tax Bill'!K79-'FY16 Feb Forecast'!K79</f>
        <v>0</v>
      </c>
      <c r="L79" s="107">
        <f>+'FY16 Tax Bill'!L79-'FY16 Feb Forecast'!L79</f>
        <v>0</v>
      </c>
      <c r="M79" s="105">
        <f>+'FY16 Tax Bill'!M79-'FY16 Feb Forecast'!M79</f>
        <v>0</v>
      </c>
      <c r="N79" s="106">
        <f>+'FY16 Tax Bill'!N79-'FY16 Feb Forecast'!N79</f>
        <v>0</v>
      </c>
      <c r="O79" s="107">
        <f>+'FY16 Tax Bill'!O79-'FY16 Feb Forecast'!O79</f>
        <v>0</v>
      </c>
      <c r="P79" s="105">
        <f>+'FY16 Tax Bill'!P79-'FY16 Feb Forecast'!P79</f>
        <v>0</v>
      </c>
      <c r="Q79" s="106">
        <f>+'FY16 Tax Bill'!Q79-'FY16 Feb Forecast'!Q79</f>
        <v>0</v>
      </c>
      <c r="R79" s="105">
        <f>+'FY16 Tax Bill'!R79-'FY16 Feb Forecast'!R79</f>
        <v>0</v>
      </c>
      <c r="S79" s="105">
        <f>+'FY16 Tax Bill'!S79-'FY16 Feb Forecast'!S79</f>
        <v>0</v>
      </c>
      <c r="T79" s="108">
        <f>+'FY16 Tax Bill'!T79-'FY16 Feb Forecast'!T79</f>
        <v>0</v>
      </c>
    </row>
    <row r="80" spans="1:20" x14ac:dyDescent="0.2">
      <c r="A80" s="109">
        <v>199</v>
      </c>
      <c r="B80" s="110">
        <v>1</v>
      </c>
      <c r="C80" s="103" t="s">
        <v>199</v>
      </c>
      <c r="D80" s="103">
        <v>3</v>
      </c>
      <c r="E80" s="104">
        <f>+SUMIF('GE16FEB14 Unfudged'!$A$2:$A$498, $A80, 'GE16FEB14 Unfudged'!$D$2:$D$498)</f>
        <v>4200</v>
      </c>
      <c r="F80" s="104">
        <f>+'FY16 Tax Bill'!F80-'FY16 Feb Forecast'!F80</f>
        <v>0</v>
      </c>
      <c r="G80" s="105">
        <f>+'FY16 Tax Bill'!G80-'FY16 Feb Forecast'!G80</f>
        <v>0</v>
      </c>
      <c r="H80" s="106">
        <f>+'FY16 Tax Bill'!H80-'FY16 Feb Forecast'!H80</f>
        <v>0</v>
      </c>
      <c r="I80" s="107">
        <f>+'FY16 Tax Bill'!I80-'FY16 Feb Forecast'!I80</f>
        <v>0</v>
      </c>
      <c r="J80" s="105">
        <f>+'FY16 Tax Bill'!J80-'FY16 Feb Forecast'!J80</f>
        <v>0</v>
      </c>
      <c r="K80" s="106">
        <f>+'FY16 Tax Bill'!K80-'FY16 Feb Forecast'!K80</f>
        <v>0</v>
      </c>
      <c r="L80" s="107">
        <f>+'FY16 Tax Bill'!L80-'FY16 Feb Forecast'!L80</f>
        <v>0</v>
      </c>
      <c r="M80" s="105">
        <f>+'FY16 Tax Bill'!M80-'FY16 Feb Forecast'!M80</f>
        <v>0</v>
      </c>
      <c r="N80" s="106">
        <f>+'FY16 Tax Bill'!N80-'FY16 Feb Forecast'!N80</f>
        <v>0</v>
      </c>
      <c r="O80" s="107">
        <f>+'FY16 Tax Bill'!O80-'FY16 Feb Forecast'!O80</f>
        <v>0</v>
      </c>
      <c r="P80" s="105">
        <f>+'FY16 Tax Bill'!P80-'FY16 Feb Forecast'!P80</f>
        <v>0</v>
      </c>
      <c r="Q80" s="106">
        <f>+'FY16 Tax Bill'!Q80-'FY16 Feb Forecast'!Q80</f>
        <v>0</v>
      </c>
      <c r="R80" s="105">
        <f>+'FY16 Tax Bill'!R80-'FY16 Feb Forecast'!R80</f>
        <v>0</v>
      </c>
      <c r="S80" s="105">
        <f>+'FY16 Tax Bill'!S80-'FY16 Feb Forecast'!S80</f>
        <v>0</v>
      </c>
      <c r="T80" s="108">
        <f>+'FY16 Tax Bill'!T80-'FY16 Feb Forecast'!T80</f>
        <v>0</v>
      </c>
    </row>
    <row r="81" spans="1:20" x14ac:dyDescent="0.2">
      <c r="A81" s="109">
        <v>200</v>
      </c>
      <c r="B81" s="110">
        <v>1</v>
      </c>
      <c r="C81" s="103" t="s">
        <v>200</v>
      </c>
      <c r="D81" s="103">
        <v>3</v>
      </c>
      <c r="E81" s="104">
        <f>+SUMIF('GE16FEB14 Unfudged'!$A$2:$A$498, $A81, 'GE16FEB14 Unfudged'!$D$2:$D$498)</f>
        <v>4896</v>
      </c>
      <c r="F81" s="104">
        <f>+'FY16 Tax Bill'!F81-'FY16 Feb Forecast'!F81</f>
        <v>0</v>
      </c>
      <c r="G81" s="105">
        <f>+'FY16 Tax Bill'!G81-'FY16 Feb Forecast'!G81</f>
        <v>0</v>
      </c>
      <c r="H81" s="106">
        <f>+'FY16 Tax Bill'!H81-'FY16 Feb Forecast'!H81</f>
        <v>0</v>
      </c>
      <c r="I81" s="107">
        <f>+'FY16 Tax Bill'!I81-'FY16 Feb Forecast'!I81</f>
        <v>0</v>
      </c>
      <c r="J81" s="105">
        <f>+'FY16 Tax Bill'!J81-'FY16 Feb Forecast'!J81</f>
        <v>0</v>
      </c>
      <c r="K81" s="106">
        <f>+'FY16 Tax Bill'!K81-'FY16 Feb Forecast'!K81</f>
        <v>0</v>
      </c>
      <c r="L81" s="107">
        <f>+'FY16 Tax Bill'!L81-'FY16 Feb Forecast'!L81</f>
        <v>0</v>
      </c>
      <c r="M81" s="105">
        <f>+'FY16 Tax Bill'!M81-'FY16 Feb Forecast'!M81</f>
        <v>0</v>
      </c>
      <c r="N81" s="106">
        <f>+'FY16 Tax Bill'!N81-'FY16 Feb Forecast'!N81</f>
        <v>0</v>
      </c>
      <c r="O81" s="107">
        <f>+'FY16 Tax Bill'!O81-'FY16 Feb Forecast'!O81</f>
        <v>0</v>
      </c>
      <c r="P81" s="105">
        <f>+'FY16 Tax Bill'!P81-'FY16 Feb Forecast'!P81</f>
        <v>0</v>
      </c>
      <c r="Q81" s="106">
        <f>+'FY16 Tax Bill'!Q81-'FY16 Feb Forecast'!Q81</f>
        <v>0</v>
      </c>
      <c r="R81" s="105">
        <f>+'FY16 Tax Bill'!R81-'FY16 Feb Forecast'!R81</f>
        <v>0</v>
      </c>
      <c r="S81" s="105">
        <f>+'FY16 Tax Bill'!S81-'FY16 Feb Forecast'!S81</f>
        <v>0</v>
      </c>
      <c r="T81" s="108">
        <f>+'FY16 Tax Bill'!T81-'FY16 Feb Forecast'!T81</f>
        <v>0</v>
      </c>
    </row>
    <row r="82" spans="1:20" x14ac:dyDescent="0.2">
      <c r="A82" s="109">
        <v>203</v>
      </c>
      <c r="B82" s="110">
        <v>1</v>
      </c>
      <c r="C82" s="103" t="s">
        <v>201</v>
      </c>
      <c r="D82" s="103">
        <v>6</v>
      </c>
      <c r="E82" s="104">
        <f>+SUMIF('GE16FEB14 Unfudged'!$A$2:$A$498, $A82, 'GE16FEB14 Unfudged'!$D$2:$D$498)</f>
        <v>798</v>
      </c>
      <c r="F82" s="104">
        <f>+'FY16 Tax Bill'!F82-'FY16 Feb Forecast'!F82</f>
        <v>11490</v>
      </c>
      <c r="G82" s="105">
        <f>+'FY16 Tax Bill'!G82-'FY16 Feb Forecast'!G82</f>
        <v>6930</v>
      </c>
      <c r="H82" s="106">
        <f>+'FY16 Tax Bill'!H82-'FY16 Feb Forecast'!H82</f>
        <v>4560</v>
      </c>
      <c r="I82" s="107">
        <f>+'FY16 Tax Bill'!I82-'FY16 Feb Forecast'!I82</f>
        <v>338288</v>
      </c>
      <c r="J82" s="105">
        <f>+'FY16 Tax Bill'!J82-'FY16 Feb Forecast'!J82</f>
        <v>204028</v>
      </c>
      <c r="K82" s="106">
        <f>+'FY16 Tax Bill'!K82-'FY16 Feb Forecast'!K82</f>
        <v>134260</v>
      </c>
      <c r="L82" s="107">
        <f>+'FY16 Tax Bill'!L82-'FY16 Feb Forecast'!L82</f>
        <v>-338288</v>
      </c>
      <c r="M82" s="105">
        <f>+'FY16 Tax Bill'!M82-'FY16 Feb Forecast'!M82</f>
        <v>-301025</v>
      </c>
      <c r="N82" s="106">
        <f>+'FY16 Tax Bill'!N82-'FY16 Feb Forecast'!N82</f>
        <v>-37263</v>
      </c>
      <c r="O82" s="107">
        <f>+'FY16 Tax Bill'!O82-'FY16 Feb Forecast'!O82</f>
        <v>11490</v>
      </c>
      <c r="P82" s="105">
        <f>+'FY16 Tax Bill'!P82-'FY16 Feb Forecast'!P82</f>
        <v>-90067</v>
      </c>
      <c r="Q82" s="106">
        <f>+'FY16 Tax Bill'!Q82-'FY16 Feb Forecast'!Q82</f>
        <v>101557</v>
      </c>
      <c r="R82" s="105">
        <f>+'FY16 Tax Bill'!R82-'FY16 Feb Forecast'!R82</f>
        <v>14.398496240601389</v>
      </c>
      <c r="S82" s="105">
        <f>+'FY16 Tax Bill'!S82-'FY16 Feb Forecast'!S82</f>
        <v>-112.86591478696744</v>
      </c>
      <c r="T82" s="108">
        <f>+'FY16 Tax Bill'!T82-'FY16 Feb Forecast'!T82</f>
        <v>127.26441102756888</v>
      </c>
    </row>
    <row r="83" spans="1:20" x14ac:dyDescent="0.2">
      <c r="A83" s="109">
        <v>204</v>
      </c>
      <c r="B83" s="110">
        <v>1</v>
      </c>
      <c r="C83" s="103" t="s">
        <v>202</v>
      </c>
      <c r="D83" s="103">
        <v>4</v>
      </c>
      <c r="E83" s="104">
        <f>+SUMIF('GE16FEB14 Unfudged'!$A$2:$A$498, $A83, 'GE16FEB14 Unfudged'!$D$2:$D$498)</f>
        <v>2270</v>
      </c>
      <c r="F83" s="104">
        <f>+'FY16 Tax Bill'!F83-'FY16 Feb Forecast'!F83</f>
        <v>0</v>
      </c>
      <c r="G83" s="105">
        <f>+'FY16 Tax Bill'!G83-'FY16 Feb Forecast'!G83</f>
        <v>0</v>
      </c>
      <c r="H83" s="106">
        <f>+'FY16 Tax Bill'!H83-'FY16 Feb Forecast'!H83</f>
        <v>0</v>
      </c>
      <c r="I83" s="107">
        <f>+'FY16 Tax Bill'!I83-'FY16 Feb Forecast'!I83</f>
        <v>481283</v>
      </c>
      <c r="J83" s="105">
        <f>+'FY16 Tax Bill'!J83-'FY16 Feb Forecast'!J83</f>
        <v>252675</v>
      </c>
      <c r="K83" s="106">
        <f>+'FY16 Tax Bill'!K83-'FY16 Feb Forecast'!K83</f>
        <v>228608</v>
      </c>
      <c r="L83" s="107">
        <f>+'FY16 Tax Bill'!L83-'FY16 Feb Forecast'!L83</f>
        <v>0</v>
      </c>
      <c r="M83" s="105">
        <f>+'FY16 Tax Bill'!M83-'FY16 Feb Forecast'!M83</f>
        <v>0</v>
      </c>
      <c r="N83" s="106">
        <f>+'FY16 Tax Bill'!N83-'FY16 Feb Forecast'!N83</f>
        <v>0</v>
      </c>
      <c r="O83" s="107">
        <f>+'FY16 Tax Bill'!O83-'FY16 Feb Forecast'!O83</f>
        <v>481283</v>
      </c>
      <c r="P83" s="105">
        <f>+'FY16 Tax Bill'!P83-'FY16 Feb Forecast'!P83</f>
        <v>252675</v>
      </c>
      <c r="Q83" s="106">
        <f>+'FY16 Tax Bill'!Q83-'FY16 Feb Forecast'!Q83</f>
        <v>228608</v>
      </c>
      <c r="R83" s="105">
        <f>+'FY16 Tax Bill'!R83-'FY16 Feb Forecast'!R83</f>
        <v>212.01894273127755</v>
      </c>
      <c r="S83" s="105">
        <f>+'FY16 Tax Bill'!S83-'FY16 Feb Forecast'!S83</f>
        <v>111.31057268722469</v>
      </c>
      <c r="T83" s="108">
        <f>+'FY16 Tax Bill'!T83-'FY16 Feb Forecast'!T83</f>
        <v>100.70837004405286</v>
      </c>
    </row>
    <row r="84" spans="1:20" x14ac:dyDescent="0.2">
      <c r="A84" s="109">
        <v>206</v>
      </c>
      <c r="B84" s="110">
        <v>1</v>
      </c>
      <c r="C84" s="103" t="s">
        <v>203</v>
      </c>
      <c r="D84" s="103">
        <v>4</v>
      </c>
      <c r="E84" s="104">
        <f>+SUMIF('GE16FEB14 Unfudged'!$A$2:$A$498, $A84, 'GE16FEB14 Unfudged'!$D$2:$D$498)</f>
        <v>4192</v>
      </c>
      <c r="F84" s="104">
        <f>+'FY16 Tax Bill'!F84-'FY16 Feb Forecast'!F84</f>
        <v>0</v>
      </c>
      <c r="G84" s="105">
        <f>+'FY16 Tax Bill'!G84-'FY16 Feb Forecast'!G84</f>
        <v>0</v>
      </c>
      <c r="H84" s="106">
        <f>+'FY16 Tax Bill'!H84-'FY16 Feb Forecast'!H84</f>
        <v>0</v>
      </c>
      <c r="I84" s="107">
        <f>+'FY16 Tax Bill'!I84-'FY16 Feb Forecast'!I84</f>
        <v>888651</v>
      </c>
      <c r="J84" s="105">
        <f>+'FY16 Tax Bill'!J84-'FY16 Feb Forecast'!J84</f>
        <v>888651</v>
      </c>
      <c r="K84" s="106">
        <f>+'FY16 Tax Bill'!K84-'FY16 Feb Forecast'!K84</f>
        <v>0</v>
      </c>
      <c r="L84" s="107">
        <f>+'FY16 Tax Bill'!L84-'FY16 Feb Forecast'!L84</f>
        <v>0</v>
      </c>
      <c r="M84" s="105">
        <f>+'FY16 Tax Bill'!M84-'FY16 Feb Forecast'!M84</f>
        <v>0</v>
      </c>
      <c r="N84" s="106">
        <f>+'FY16 Tax Bill'!N84-'FY16 Feb Forecast'!N84</f>
        <v>0</v>
      </c>
      <c r="O84" s="107">
        <f>+'FY16 Tax Bill'!O84-'FY16 Feb Forecast'!O84</f>
        <v>888651</v>
      </c>
      <c r="P84" s="105">
        <f>+'FY16 Tax Bill'!P84-'FY16 Feb Forecast'!P84</f>
        <v>888651</v>
      </c>
      <c r="Q84" s="106">
        <f>+'FY16 Tax Bill'!Q84-'FY16 Feb Forecast'!Q84</f>
        <v>0</v>
      </c>
      <c r="R84" s="105">
        <f>+'FY16 Tax Bill'!R84-'FY16 Feb Forecast'!R84</f>
        <v>211.98735687022895</v>
      </c>
      <c r="S84" s="105">
        <f>+'FY16 Tax Bill'!S84-'FY16 Feb Forecast'!S84</f>
        <v>211.98735687022906</v>
      </c>
      <c r="T84" s="108">
        <f>+'FY16 Tax Bill'!T84-'FY16 Feb Forecast'!T84</f>
        <v>0</v>
      </c>
    </row>
    <row r="85" spans="1:20" x14ac:dyDescent="0.2">
      <c r="A85" s="109">
        <v>213</v>
      </c>
      <c r="B85" s="110">
        <v>1</v>
      </c>
      <c r="C85" s="103" t="s">
        <v>204</v>
      </c>
      <c r="D85" s="103">
        <v>6</v>
      </c>
      <c r="E85" s="104">
        <f>+SUMIF('GE16FEB14 Unfudged'!$A$2:$A$498, $A85, 'GE16FEB14 Unfudged'!$D$2:$D$498)</f>
        <v>927</v>
      </c>
      <c r="F85" s="104">
        <f>+'FY16 Tax Bill'!F85-'FY16 Feb Forecast'!F85</f>
        <v>0</v>
      </c>
      <c r="G85" s="105">
        <f>+'FY16 Tax Bill'!G85-'FY16 Feb Forecast'!G85</f>
        <v>0</v>
      </c>
      <c r="H85" s="106">
        <f>+'FY16 Tax Bill'!H85-'FY16 Feb Forecast'!H85</f>
        <v>0</v>
      </c>
      <c r="I85" s="107">
        <f>+'FY16 Tax Bill'!I85-'FY16 Feb Forecast'!I85</f>
        <v>392878</v>
      </c>
      <c r="J85" s="105">
        <f>+'FY16 Tax Bill'!J85-'FY16 Feb Forecast'!J85</f>
        <v>220944</v>
      </c>
      <c r="K85" s="106">
        <f>+'FY16 Tax Bill'!K85-'FY16 Feb Forecast'!K85</f>
        <v>171934</v>
      </c>
      <c r="L85" s="107">
        <f>+'FY16 Tax Bill'!L85-'FY16 Feb Forecast'!L85</f>
        <v>0</v>
      </c>
      <c r="M85" s="105">
        <f>+'FY16 Tax Bill'!M85-'FY16 Feb Forecast'!M85</f>
        <v>0</v>
      </c>
      <c r="N85" s="106">
        <f>+'FY16 Tax Bill'!N85-'FY16 Feb Forecast'!N85</f>
        <v>0</v>
      </c>
      <c r="O85" s="107">
        <f>+'FY16 Tax Bill'!O85-'FY16 Feb Forecast'!O85</f>
        <v>392878</v>
      </c>
      <c r="P85" s="105">
        <f>+'FY16 Tax Bill'!P85-'FY16 Feb Forecast'!P85</f>
        <v>220944</v>
      </c>
      <c r="Q85" s="106">
        <f>+'FY16 Tax Bill'!Q85-'FY16 Feb Forecast'!Q85</f>
        <v>171934</v>
      </c>
      <c r="R85" s="105">
        <f>+'FY16 Tax Bill'!R85-'FY16 Feb Forecast'!R85</f>
        <v>423.81661272923401</v>
      </c>
      <c r="S85" s="105">
        <f>+'FY16 Tax Bill'!S85-'FY16 Feb Forecast'!S85</f>
        <v>238.3430420711974</v>
      </c>
      <c r="T85" s="108">
        <f>+'FY16 Tax Bill'!T85-'FY16 Feb Forecast'!T85</f>
        <v>185.47357065803669</v>
      </c>
    </row>
    <row r="86" spans="1:20" x14ac:dyDescent="0.2">
      <c r="A86" s="109">
        <v>227</v>
      </c>
      <c r="B86" s="110">
        <v>1</v>
      </c>
      <c r="C86" s="103" t="s">
        <v>205</v>
      </c>
      <c r="D86" s="103">
        <v>6</v>
      </c>
      <c r="E86" s="104">
        <f>+SUMIF('GE16FEB14 Unfudged'!$A$2:$A$498, $A86, 'GE16FEB14 Unfudged'!$D$2:$D$498)</f>
        <v>994</v>
      </c>
      <c r="F86" s="104">
        <f>+'FY16 Tax Bill'!F86-'FY16 Feb Forecast'!F86</f>
        <v>15020</v>
      </c>
      <c r="G86" s="105">
        <f>+'FY16 Tax Bill'!G86-'FY16 Feb Forecast'!G86</f>
        <v>9905</v>
      </c>
      <c r="H86" s="106">
        <f>+'FY16 Tax Bill'!H86-'FY16 Feb Forecast'!H86</f>
        <v>5115</v>
      </c>
      <c r="I86" s="107">
        <f>+'FY16 Tax Bill'!I86-'FY16 Feb Forecast'!I86</f>
        <v>421626</v>
      </c>
      <c r="J86" s="105">
        <f>+'FY16 Tax Bill'!J86-'FY16 Feb Forecast'!J86</f>
        <v>278042</v>
      </c>
      <c r="K86" s="106">
        <f>+'FY16 Tax Bill'!K86-'FY16 Feb Forecast'!K86</f>
        <v>143584</v>
      </c>
      <c r="L86" s="107">
        <f>+'FY16 Tax Bill'!L86-'FY16 Feb Forecast'!L86</f>
        <v>-327615</v>
      </c>
      <c r="M86" s="105">
        <f>+'FY16 Tax Bill'!M86-'FY16 Feb Forecast'!M86</f>
        <v>-216046</v>
      </c>
      <c r="N86" s="106">
        <f>+'FY16 Tax Bill'!N86-'FY16 Feb Forecast'!N86</f>
        <v>-111569</v>
      </c>
      <c r="O86" s="107">
        <f>+'FY16 Tax Bill'!O86-'FY16 Feb Forecast'!O86</f>
        <v>109031</v>
      </c>
      <c r="P86" s="105">
        <f>+'FY16 Tax Bill'!P86-'FY16 Feb Forecast'!P86</f>
        <v>71901</v>
      </c>
      <c r="Q86" s="106">
        <f>+'FY16 Tax Bill'!Q86-'FY16 Feb Forecast'!Q86</f>
        <v>37130</v>
      </c>
      <c r="R86" s="105">
        <f>+'FY16 Tax Bill'!R86-'FY16 Feb Forecast'!R86</f>
        <v>109.68913480885317</v>
      </c>
      <c r="S86" s="105">
        <f>+'FY16 Tax Bill'!S86-'FY16 Feb Forecast'!S86</f>
        <v>72.335010060362151</v>
      </c>
      <c r="T86" s="108">
        <f>+'FY16 Tax Bill'!T86-'FY16 Feb Forecast'!T86</f>
        <v>37.35412474849096</v>
      </c>
    </row>
    <row r="87" spans="1:20" x14ac:dyDescent="0.2">
      <c r="A87" s="109">
        <v>229</v>
      </c>
      <c r="B87" s="110">
        <v>1</v>
      </c>
      <c r="C87" s="103" t="s">
        <v>206</v>
      </c>
      <c r="D87" s="103">
        <v>6</v>
      </c>
      <c r="E87" s="104">
        <f>+SUMIF('GE16FEB14 Unfudged'!$A$2:$A$498, $A87, 'GE16FEB14 Unfudged'!$D$2:$D$498)</f>
        <v>342</v>
      </c>
      <c r="F87" s="104">
        <f>+'FY16 Tax Bill'!F87-'FY16 Feb Forecast'!F87</f>
        <v>0</v>
      </c>
      <c r="G87" s="105">
        <f>+'FY16 Tax Bill'!G87-'FY16 Feb Forecast'!G87</f>
        <v>0</v>
      </c>
      <c r="H87" s="106">
        <f>+'FY16 Tax Bill'!H87-'FY16 Feb Forecast'!H87</f>
        <v>0</v>
      </c>
      <c r="I87" s="107">
        <f>+'FY16 Tax Bill'!I87-'FY16 Feb Forecast'!I87</f>
        <v>145008</v>
      </c>
      <c r="J87" s="105">
        <f>+'FY16 Tax Bill'!J87-'FY16 Feb Forecast'!J87</f>
        <v>145008</v>
      </c>
      <c r="K87" s="106">
        <f>+'FY16 Tax Bill'!K87-'FY16 Feb Forecast'!K87</f>
        <v>0</v>
      </c>
      <c r="L87" s="107">
        <f>+'FY16 Tax Bill'!L87-'FY16 Feb Forecast'!L87</f>
        <v>0</v>
      </c>
      <c r="M87" s="105">
        <f>+'FY16 Tax Bill'!M87-'FY16 Feb Forecast'!M87</f>
        <v>0</v>
      </c>
      <c r="N87" s="106">
        <f>+'FY16 Tax Bill'!N87-'FY16 Feb Forecast'!N87</f>
        <v>0</v>
      </c>
      <c r="O87" s="107">
        <f>+'FY16 Tax Bill'!O87-'FY16 Feb Forecast'!O87</f>
        <v>145008</v>
      </c>
      <c r="P87" s="105">
        <f>+'FY16 Tax Bill'!P87-'FY16 Feb Forecast'!P87</f>
        <v>145008</v>
      </c>
      <c r="Q87" s="106">
        <f>+'FY16 Tax Bill'!Q87-'FY16 Feb Forecast'!Q87</f>
        <v>0</v>
      </c>
      <c r="R87" s="105">
        <f>+'FY16 Tax Bill'!R87-'FY16 Feb Forecast'!R87</f>
        <v>424</v>
      </c>
      <c r="S87" s="105">
        <f>+'FY16 Tax Bill'!S87-'FY16 Feb Forecast'!S87</f>
        <v>424</v>
      </c>
      <c r="T87" s="108">
        <f>+'FY16 Tax Bill'!T87-'FY16 Feb Forecast'!T87</f>
        <v>0</v>
      </c>
    </row>
    <row r="88" spans="1:20" x14ac:dyDescent="0.2">
      <c r="A88" s="109">
        <v>238</v>
      </c>
      <c r="B88" s="110">
        <v>1</v>
      </c>
      <c r="C88" s="103" t="s">
        <v>207</v>
      </c>
      <c r="D88" s="103">
        <v>6</v>
      </c>
      <c r="E88" s="104">
        <f>+SUMIF('GE16FEB14 Unfudged'!$A$2:$A$498, $A88, 'GE16FEB14 Unfudged'!$D$2:$D$498)</f>
        <v>258</v>
      </c>
      <c r="F88" s="104">
        <f>+'FY16 Tax Bill'!F88-'FY16 Feb Forecast'!F88</f>
        <v>2019</v>
      </c>
      <c r="G88" s="105">
        <f>+'FY16 Tax Bill'!G88-'FY16 Feb Forecast'!G88</f>
        <v>1190</v>
      </c>
      <c r="H88" s="106">
        <f>+'FY16 Tax Bill'!H88-'FY16 Feb Forecast'!H88</f>
        <v>829</v>
      </c>
      <c r="I88" s="107">
        <f>+'FY16 Tax Bill'!I88-'FY16 Feb Forecast'!I88</f>
        <v>109477</v>
      </c>
      <c r="J88" s="105">
        <f>+'FY16 Tax Bill'!J88-'FY16 Feb Forecast'!J88</f>
        <v>64534</v>
      </c>
      <c r="K88" s="106">
        <f>+'FY16 Tax Bill'!K88-'FY16 Feb Forecast'!K88</f>
        <v>44943</v>
      </c>
      <c r="L88" s="107">
        <f>+'FY16 Tax Bill'!L88-'FY16 Feb Forecast'!L88</f>
        <v>-109477</v>
      </c>
      <c r="M88" s="105">
        <f>+'FY16 Tax Bill'!M88-'FY16 Feb Forecast'!M88</f>
        <v>-109477</v>
      </c>
      <c r="N88" s="106">
        <f>+'FY16 Tax Bill'!N88-'FY16 Feb Forecast'!N88</f>
        <v>0</v>
      </c>
      <c r="O88" s="107">
        <f>+'FY16 Tax Bill'!O88-'FY16 Feb Forecast'!O88</f>
        <v>2019</v>
      </c>
      <c r="P88" s="105">
        <f>+'FY16 Tax Bill'!P88-'FY16 Feb Forecast'!P88</f>
        <v>-43753</v>
      </c>
      <c r="Q88" s="106">
        <f>+'FY16 Tax Bill'!Q88-'FY16 Feb Forecast'!Q88</f>
        <v>45772</v>
      </c>
      <c r="R88" s="105">
        <f>+'FY16 Tax Bill'!R88-'FY16 Feb Forecast'!R88</f>
        <v>7.8255813953489906</v>
      </c>
      <c r="S88" s="105">
        <f>+'FY16 Tax Bill'!S88-'FY16 Feb Forecast'!S88</f>
        <v>-169.58527131782955</v>
      </c>
      <c r="T88" s="108">
        <f>+'FY16 Tax Bill'!T88-'FY16 Feb Forecast'!T88</f>
        <v>177.41085271317831</v>
      </c>
    </row>
    <row r="89" spans="1:20" x14ac:dyDescent="0.2">
      <c r="A89" s="109">
        <v>239</v>
      </c>
      <c r="B89" s="110">
        <v>1</v>
      </c>
      <c r="C89" s="103" t="s">
        <v>208</v>
      </c>
      <c r="D89" s="103">
        <v>6</v>
      </c>
      <c r="E89" s="104">
        <f>+SUMIF('GE16FEB14 Unfudged'!$A$2:$A$498, $A89, 'GE16FEB14 Unfudged'!$D$2:$D$498)</f>
        <v>731</v>
      </c>
      <c r="F89" s="104">
        <f>+'FY16 Tax Bill'!F89-'FY16 Feb Forecast'!F89</f>
        <v>10547</v>
      </c>
      <c r="G89" s="105">
        <f>+'FY16 Tax Bill'!G89-'FY16 Feb Forecast'!G89</f>
        <v>6515</v>
      </c>
      <c r="H89" s="106">
        <f>+'FY16 Tax Bill'!H89-'FY16 Feb Forecast'!H89</f>
        <v>4032</v>
      </c>
      <c r="I89" s="107">
        <f>+'FY16 Tax Bill'!I89-'FY16 Feb Forecast'!I89</f>
        <v>309859</v>
      </c>
      <c r="J89" s="105">
        <f>+'FY16 Tax Bill'!J89-'FY16 Feb Forecast'!J89</f>
        <v>191409</v>
      </c>
      <c r="K89" s="106">
        <f>+'FY16 Tax Bill'!K89-'FY16 Feb Forecast'!K89</f>
        <v>118450</v>
      </c>
      <c r="L89" s="107">
        <f>+'FY16 Tax Bill'!L89-'FY16 Feb Forecast'!L89</f>
        <v>-309859</v>
      </c>
      <c r="M89" s="105">
        <f>+'FY16 Tax Bill'!M89-'FY16 Feb Forecast'!M89</f>
        <v>-276417</v>
      </c>
      <c r="N89" s="106">
        <f>+'FY16 Tax Bill'!N89-'FY16 Feb Forecast'!N89</f>
        <v>-33442</v>
      </c>
      <c r="O89" s="107">
        <f>+'FY16 Tax Bill'!O89-'FY16 Feb Forecast'!O89</f>
        <v>10547</v>
      </c>
      <c r="P89" s="105">
        <f>+'FY16 Tax Bill'!P89-'FY16 Feb Forecast'!P89</f>
        <v>-78493</v>
      </c>
      <c r="Q89" s="106">
        <f>+'FY16 Tax Bill'!Q89-'FY16 Feb Forecast'!Q89</f>
        <v>89040</v>
      </c>
      <c r="R89" s="105">
        <f>+'FY16 Tax Bill'!R89-'FY16 Feb Forecast'!R89</f>
        <v>14.428180574555199</v>
      </c>
      <c r="S89" s="105">
        <f>+'FY16 Tax Bill'!S89-'FY16 Feb Forecast'!S89</f>
        <v>-107.37756497948021</v>
      </c>
      <c r="T89" s="108">
        <f>+'FY16 Tax Bill'!T89-'FY16 Feb Forecast'!T89</f>
        <v>121.80574555403558</v>
      </c>
    </row>
    <row r="90" spans="1:20" x14ac:dyDescent="0.2">
      <c r="A90" s="109">
        <v>241</v>
      </c>
      <c r="B90" s="110">
        <v>1</v>
      </c>
      <c r="C90" s="103" t="s">
        <v>209</v>
      </c>
      <c r="D90" s="103">
        <v>4</v>
      </c>
      <c r="E90" s="104">
        <f>+SUMIF('GE16FEB14 Unfudged'!$A$2:$A$498, $A90, 'GE16FEB14 Unfudged'!$D$2:$D$498)</f>
        <v>3578</v>
      </c>
      <c r="F90" s="104">
        <f>+'FY16 Tax Bill'!F90-'FY16 Feb Forecast'!F90</f>
        <v>10410</v>
      </c>
      <c r="G90" s="105">
        <f>+'FY16 Tax Bill'!G90-'FY16 Feb Forecast'!G90</f>
        <v>6551</v>
      </c>
      <c r="H90" s="106">
        <f>+'FY16 Tax Bill'!H90-'FY16 Feb Forecast'!H90</f>
        <v>3859</v>
      </c>
      <c r="I90" s="107">
        <f>+'FY16 Tax Bill'!I90-'FY16 Feb Forecast'!I90</f>
        <v>758536</v>
      </c>
      <c r="J90" s="105">
        <f>+'FY16 Tax Bill'!J90-'FY16 Feb Forecast'!J90</f>
        <v>477390</v>
      </c>
      <c r="K90" s="106">
        <f>+'FY16 Tax Bill'!K90-'FY16 Feb Forecast'!K90</f>
        <v>281146</v>
      </c>
      <c r="L90" s="107">
        <f>+'FY16 Tax Bill'!L90-'FY16 Feb Forecast'!L90</f>
        <v>-758536</v>
      </c>
      <c r="M90" s="105">
        <f>+'FY16 Tax Bill'!M90-'FY16 Feb Forecast'!M90</f>
        <v>-758536</v>
      </c>
      <c r="N90" s="106">
        <f>+'FY16 Tax Bill'!N90-'FY16 Feb Forecast'!N90</f>
        <v>0</v>
      </c>
      <c r="O90" s="107">
        <f>+'FY16 Tax Bill'!O90-'FY16 Feb Forecast'!O90</f>
        <v>10410</v>
      </c>
      <c r="P90" s="105">
        <f>+'FY16 Tax Bill'!P90-'FY16 Feb Forecast'!P90</f>
        <v>-274595</v>
      </c>
      <c r="Q90" s="106">
        <f>+'FY16 Tax Bill'!Q90-'FY16 Feb Forecast'!Q90</f>
        <v>285005</v>
      </c>
      <c r="R90" s="105">
        <f>+'FY16 Tax Bill'!R90-'FY16 Feb Forecast'!R90</f>
        <v>2.909446618222546</v>
      </c>
      <c r="S90" s="105">
        <f>+'FY16 Tax Bill'!S90-'FY16 Feb Forecast'!S90</f>
        <v>-76.745388485187277</v>
      </c>
      <c r="T90" s="108">
        <f>+'FY16 Tax Bill'!T90-'FY16 Feb Forecast'!T90</f>
        <v>79.65483510340971</v>
      </c>
    </row>
    <row r="91" spans="1:20" x14ac:dyDescent="0.2">
      <c r="A91" s="109">
        <v>242</v>
      </c>
      <c r="B91" s="110">
        <v>1</v>
      </c>
      <c r="C91" s="103" t="s">
        <v>210</v>
      </c>
      <c r="D91" s="103">
        <v>6</v>
      </c>
      <c r="E91" s="104">
        <f>+SUMIF('GE16FEB14 Unfudged'!$A$2:$A$498, $A91, 'GE16FEB14 Unfudged'!$D$2:$D$498)</f>
        <v>541</v>
      </c>
      <c r="F91" s="104">
        <f>+'FY16 Tax Bill'!F91-'FY16 Feb Forecast'!F91</f>
        <v>8873</v>
      </c>
      <c r="G91" s="105">
        <f>+'FY16 Tax Bill'!G91-'FY16 Feb Forecast'!G91</f>
        <v>5085</v>
      </c>
      <c r="H91" s="106">
        <f>+'FY16 Tax Bill'!H91-'FY16 Feb Forecast'!H91</f>
        <v>3788</v>
      </c>
      <c r="I91" s="107">
        <f>+'FY16 Tax Bill'!I91-'FY16 Feb Forecast'!I91</f>
        <v>229320</v>
      </c>
      <c r="J91" s="105">
        <f>+'FY16 Tax Bill'!J91-'FY16 Feb Forecast'!J91</f>
        <v>131435</v>
      </c>
      <c r="K91" s="106">
        <f>+'FY16 Tax Bill'!K91-'FY16 Feb Forecast'!K91</f>
        <v>97885</v>
      </c>
      <c r="L91" s="107">
        <f>+'FY16 Tax Bill'!L91-'FY16 Feb Forecast'!L91</f>
        <v>-229321</v>
      </c>
      <c r="M91" s="105">
        <f>+'FY16 Tax Bill'!M91-'FY16 Feb Forecast'!M91</f>
        <v>-79984</v>
      </c>
      <c r="N91" s="106">
        <f>+'FY16 Tax Bill'!N91-'FY16 Feb Forecast'!N91</f>
        <v>-149337</v>
      </c>
      <c r="O91" s="107">
        <f>+'FY16 Tax Bill'!O91-'FY16 Feb Forecast'!O91</f>
        <v>8872</v>
      </c>
      <c r="P91" s="105">
        <f>+'FY16 Tax Bill'!P91-'FY16 Feb Forecast'!P91</f>
        <v>56536</v>
      </c>
      <c r="Q91" s="106">
        <f>+'FY16 Tax Bill'!Q91-'FY16 Feb Forecast'!Q91</f>
        <v>-47664</v>
      </c>
      <c r="R91" s="105">
        <f>+'FY16 Tax Bill'!R91-'FY16 Feb Forecast'!R91</f>
        <v>16.399260628465754</v>
      </c>
      <c r="S91" s="105">
        <f>+'FY16 Tax Bill'!S91-'FY16 Feb Forecast'!S91</f>
        <v>104.50277264325331</v>
      </c>
      <c r="T91" s="108">
        <f>+'FY16 Tax Bill'!T91-'FY16 Feb Forecast'!T91</f>
        <v>-88.103512014787384</v>
      </c>
    </row>
    <row r="92" spans="1:20" x14ac:dyDescent="0.2">
      <c r="A92" s="109">
        <v>252</v>
      </c>
      <c r="B92" s="110">
        <v>1</v>
      </c>
      <c r="C92" s="103" t="s">
        <v>211</v>
      </c>
      <c r="D92" s="103">
        <v>5</v>
      </c>
      <c r="E92" s="104">
        <f>+SUMIF('GE16FEB14 Unfudged'!$A$2:$A$498, $A92, 'GE16FEB14 Unfudged'!$D$2:$D$498)</f>
        <v>1224</v>
      </c>
      <c r="F92" s="104">
        <f>+'FY16 Tax Bill'!F92-'FY16 Feb Forecast'!F92</f>
        <v>0</v>
      </c>
      <c r="G92" s="105">
        <f>+'FY16 Tax Bill'!G92-'FY16 Feb Forecast'!G92</f>
        <v>0</v>
      </c>
      <c r="H92" s="106">
        <f>+'FY16 Tax Bill'!H92-'FY16 Feb Forecast'!H92</f>
        <v>0</v>
      </c>
      <c r="I92" s="107">
        <f>+'FY16 Tax Bill'!I92-'FY16 Feb Forecast'!I92</f>
        <v>0</v>
      </c>
      <c r="J92" s="105">
        <f>+'FY16 Tax Bill'!J92-'FY16 Feb Forecast'!J92</f>
        <v>0</v>
      </c>
      <c r="K92" s="106">
        <f>+'FY16 Tax Bill'!K92-'FY16 Feb Forecast'!K92</f>
        <v>0</v>
      </c>
      <c r="L92" s="107">
        <f>+'FY16 Tax Bill'!L92-'FY16 Feb Forecast'!L92</f>
        <v>0</v>
      </c>
      <c r="M92" s="105">
        <f>+'FY16 Tax Bill'!M92-'FY16 Feb Forecast'!M92</f>
        <v>0</v>
      </c>
      <c r="N92" s="106">
        <f>+'FY16 Tax Bill'!N92-'FY16 Feb Forecast'!N92</f>
        <v>0</v>
      </c>
      <c r="O92" s="107">
        <f>+'FY16 Tax Bill'!O92-'FY16 Feb Forecast'!O92</f>
        <v>0</v>
      </c>
      <c r="P92" s="105">
        <f>+'FY16 Tax Bill'!P92-'FY16 Feb Forecast'!P92</f>
        <v>0</v>
      </c>
      <c r="Q92" s="106">
        <f>+'FY16 Tax Bill'!Q92-'FY16 Feb Forecast'!Q92</f>
        <v>0</v>
      </c>
      <c r="R92" s="105">
        <f>+'FY16 Tax Bill'!R92-'FY16 Feb Forecast'!R92</f>
        <v>0</v>
      </c>
      <c r="S92" s="105">
        <f>+'FY16 Tax Bill'!S92-'FY16 Feb Forecast'!S92</f>
        <v>0</v>
      </c>
      <c r="T92" s="108">
        <f>+'FY16 Tax Bill'!T92-'FY16 Feb Forecast'!T92</f>
        <v>0</v>
      </c>
    </row>
    <row r="93" spans="1:20" x14ac:dyDescent="0.2">
      <c r="A93" s="109">
        <v>253</v>
      </c>
      <c r="B93" s="110">
        <v>1</v>
      </c>
      <c r="C93" s="103" t="s">
        <v>212</v>
      </c>
      <c r="D93" s="103">
        <v>6</v>
      </c>
      <c r="E93" s="104">
        <f>+SUMIF('GE16FEB14 Unfudged'!$A$2:$A$498, $A93, 'GE16FEB14 Unfudged'!$D$2:$D$498)</f>
        <v>708</v>
      </c>
      <c r="F93" s="104">
        <f>+'FY16 Tax Bill'!F93-'FY16 Feb Forecast'!F93</f>
        <v>6264</v>
      </c>
      <c r="G93" s="105">
        <f>+'FY16 Tax Bill'!G93-'FY16 Feb Forecast'!G93</f>
        <v>3631</v>
      </c>
      <c r="H93" s="106">
        <f>+'FY16 Tax Bill'!H93-'FY16 Feb Forecast'!H93</f>
        <v>2633</v>
      </c>
      <c r="I93" s="107">
        <f>+'FY16 Tax Bill'!I93-'FY16 Feb Forecast'!I93</f>
        <v>300277</v>
      </c>
      <c r="J93" s="105">
        <f>+'FY16 Tax Bill'!J93-'FY16 Feb Forecast'!J93</f>
        <v>174050</v>
      </c>
      <c r="K93" s="106">
        <f>+'FY16 Tax Bill'!K93-'FY16 Feb Forecast'!K93</f>
        <v>126227</v>
      </c>
      <c r="L93" s="107">
        <f>+'FY16 Tax Bill'!L93-'FY16 Feb Forecast'!L93</f>
        <v>-136633</v>
      </c>
      <c r="M93" s="105">
        <f>+'FY16 Tax Bill'!M93-'FY16 Feb Forecast'!M93</f>
        <v>-79197</v>
      </c>
      <c r="N93" s="106">
        <f>+'FY16 Tax Bill'!N93-'FY16 Feb Forecast'!N93</f>
        <v>-57436</v>
      </c>
      <c r="O93" s="107">
        <f>+'FY16 Tax Bill'!O93-'FY16 Feb Forecast'!O93</f>
        <v>169908</v>
      </c>
      <c r="P93" s="105">
        <f>+'FY16 Tax Bill'!P93-'FY16 Feb Forecast'!P93</f>
        <v>98484</v>
      </c>
      <c r="Q93" s="106">
        <f>+'FY16 Tax Bill'!Q93-'FY16 Feb Forecast'!Q93</f>
        <v>71424</v>
      </c>
      <c r="R93" s="105">
        <f>+'FY16 Tax Bill'!R93-'FY16 Feb Forecast'!R93</f>
        <v>239.98305084745755</v>
      </c>
      <c r="S93" s="105">
        <f>+'FY16 Tax Bill'!S93-'FY16 Feb Forecast'!S93</f>
        <v>139.1016949152542</v>
      </c>
      <c r="T93" s="108">
        <f>+'FY16 Tax Bill'!T93-'FY16 Feb Forecast'!T93</f>
        <v>100.88135593220341</v>
      </c>
    </row>
    <row r="94" spans="1:20" x14ac:dyDescent="0.2">
      <c r="A94" s="109">
        <v>255</v>
      </c>
      <c r="B94" s="110">
        <v>1</v>
      </c>
      <c r="C94" s="103" t="s">
        <v>213</v>
      </c>
      <c r="D94" s="103">
        <v>5</v>
      </c>
      <c r="E94" s="104">
        <f>+SUMIF('GE16FEB14 Unfudged'!$A$2:$A$498, $A94, 'GE16FEB14 Unfudged'!$D$2:$D$498)</f>
        <v>1363</v>
      </c>
      <c r="F94" s="104">
        <f>+'FY16 Tax Bill'!F94-'FY16 Feb Forecast'!F94</f>
        <v>25887</v>
      </c>
      <c r="G94" s="105">
        <f>+'FY16 Tax Bill'!G94-'FY16 Feb Forecast'!G94</f>
        <v>17666</v>
      </c>
      <c r="H94" s="106">
        <f>+'FY16 Tax Bill'!H94-'FY16 Feb Forecast'!H94</f>
        <v>8221</v>
      </c>
      <c r="I94" s="107">
        <f>+'FY16 Tax Bill'!I94-'FY16 Feb Forecast'!I94</f>
        <v>577742</v>
      </c>
      <c r="J94" s="105">
        <f>+'FY16 Tax Bill'!J94-'FY16 Feb Forecast'!J94</f>
        <v>394273</v>
      </c>
      <c r="K94" s="106">
        <f>+'FY16 Tax Bill'!K94-'FY16 Feb Forecast'!K94</f>
        <v>183469</v>
      </c>
      <c r="L94" s="107">
        <f>+'FY16 Tax Bill'!L94-'FY16 Feb Forecast'!L94</f>
        <v>-564661</v>
      </c>
      <c r="M94" s="105">
        <f>+'FY16 Tax Bill'!M94-'FY16 Feb Forecast'!M94</f>
        <v>-385346</v>
      </c>
      <c r="N94" s="106">
        <f>+'FY16 Tax Bill'!N94-'FY16 Feb Forecast'!N94</f>
        <v>-179315</v>
      </c>
      <c r="O94" s="107">
        <f>+'FY16 Tax Bill'!O94-'FY16 Feb Forecast'!O94</f>
        <v>38968</v>
      </c>
      <c r="P94" s="105">
        <f>+'FY16 Tax Bill'!P94-'FY16 Feb Forecast'!P94</f>
        <v>26593</v>
      </c>
      <c r="Q94" s="106">
        <f>+'FY16 Tax Bill'!Q94-'FY16 Feb Forecast'!Q94</f>
        <v>12375</v>
      </c>
      <c r="R94" s="105">
        <f>+'FY16 Tax Bill'!R94-'FY16 Feb Forecast'!R94</f>
        <v>28.589875275128293</v>
      </c>
      <c r="S94" s="105">
        <f>+'FY16 Tax Bill'!S94-'FY16 Feb Forecast'!S94</f>
        <v>19.510638297872333</v>
      </c>
      <c r="T94" s="108">
        <f>+'FY16 Tax Bill'!T94-'FY16 Feb Forecast'!T94</f>
        <v>9.0792369772560733</v>
      </c>
    </row>
    <row r="95" spans="1:20" x14ac:dyDescent="0.2">
      <c r="A95" s="109">
        <v>256</v>
      </c>
      <c r="B95" s="110">
        <v>1</v>
      </c>
      <c r="C95" s="103" t="s">
        <v>214</v>
      </c>
      <c r="D95" s="103">
        <v>4</v>
      </c>
      <c r="E95" s="104">
        <f>+SUMIF('GE16FEB14 Unfudged'!$A$2:$A$498, $A95, 'GE16FEB14 Unfudged'!$D$2:$D$498)</f>
        <v>2995</v>
      </c>
      <c r="F95" s="104">
        <f>+'FY16 Tax Bill'!F95-'FY16 Feb Forecast'!F95</f>
        <v>8617</v>
      </c>
      <c r="G95" s="105">
        <f>+'FY16 Tax Bill'!G95-'FY16 Feb Forecast'!G95</f>
        <v>8617</v>
      </c>
      <c r="H95" s="106">
        <f>+'FY16 Tax Bill'!H95-'FY16 Feb Forecast'!H95</f>
        <v>0</v>
      </c>
      <c r="I95" s="107">
        <f>+'FY16 Tax Bill'!I95-'FY16 Feb Forecast'!I95</f>
        <v>635025</v>
      </c>
      <c r="J95" s="105">
        <f>+'FY16 Tax Bill'!J95-'FY16 Feb Forecast'!J95</f>
        <v>635025</v>
      </c>
      <c r="K95" s="106">
        <f>+'FY16 Tax Bill'!K95-'FY16 Feb Forecast'!K95</f>
        <v>0</v>
      </c>
      <c r="L95" s="107">
        <f>+'FY16 Tax Bill'!L95-'FY16 Feb Forecast'!L95</f>
        <v>-635025</v>
      </c>
      <c r="M95" s="105">
        <f>+'FY16 Tax Bill'!M95-'FY16 Feb Forecast'!M95</f>
        <v>-635025</v>
      </c>
      <c r="N95" s="106">
        <f>+'FY16 Tax Bill'!N95-'FY16 Feb Forecast'!N95</f>
        <v>0</v>
      </c>
      <c r="O95" s="107">
        <f>+'FY16 Tax Bill'!O95-'FY16 Feb Forecast'!O95</f>
        <v>8617</v>
      </c>
      <c r="P95" s="105">
        <f>+'FY16 Tax Bill'!P95-'FY16 Feb Forecast'!P95</f>
        <v>8617</v>
      </c>
      <c r="Q95" s="106">
        <f>+'FY16 Tax Bill'!Q95-'FY16 Feb Forecast'!Q95</f>
        <v>0</v>
      </c>
      <c r="R95" s="105">
        <f>+'FY16 Tax Bill'!R95-'FY16 Feb Forecast'!R95</f>
        <v>2.877128547579332</v>
      </c>
      <c r="S95" s="105">
        <f>+'FY16 Tax Bill'!S95-'FY16 Feb Forecast'!S95</f>
        <v>2.877128547579332</v>
      </c>
      <c r="T95" s="108">
        <f>+'FY16 Tax Bill'!T95-'FY16 Feb Forecast'!T95</f>
        <v>0</v>
      </c>
    </row>
    <row r="96" spans="1:20" x14ac:dyDescent="0.2">
      <c r="A96" s="109">
        <v>261</v>
      </c>
      <c r="B96" s="110">
        <v>1</v>
      </c>
      <c r="C96" s="103" t="s">
        <v>215</v>
      </c>
      <c r="D96" s="103">
        <v>6</v>
      </c>
      <c r="E96" s="104">
        <f>+SUMIF('GE16FEB14 Unfudged'!$A$2:$A$498, $A96, 'GE16FEB14 Unfudged'!$D$2:$D$498)</f>
        <v>272</v>
      </c>
      <c r="F96" s="104">
        <f>+'FY16 Tax Bill'!F96-'FY16 Feb Forecast'!F96</f>
        <v>2874</v>
      </c>
      <c r="G96" s="105">
        <f>+'FY16 Tax Bill'!G96-'FY16 Feb Forecast'!G96</f>
        <v>2098</v>
      </c>
      <c r="H96" s="106">
        <f>+'FY16 Tax Bill'!H96-'FY16 Feb Forecast'!H96</f>
        <v>776</v>
      </c>
      <c r="I96" s="107">
        <f>+'FY16 Tax Bill'!I96-'FY16 Feb Forecast'!I96</f>
        <v>115328</v>
      </c>
      <c r="J96" s="105">
        <f>+'FY16 Tax Bill'!J96-'FY16 Feb Forecast'!J96</f>
        <v>84200</v>
      </c>
      <c r="K96" s="106">
        <f>+'FY16 Tax Bill'!K96-'FY16 Feb Forecast'!K96</f>
        <v>31128</v>
      </c>
      <c r="L96" s="107">
        <f>+'FY16 Tax Bill'!L96-'FY16 Feb Forecast'!L96</f>
        <v>-115328</v>
      </c>
      <c r="M96" s="105">
        <f>+'FY16 Tax Bill'!M96-'FY16 Feb Forecast'!M96</f>
        <v>-115328</v>
      </c>
      <c r="N96" s="106">
        <f>+'FY16 Tax Bill'!N96-'FY16 Feb Forecast'!N96</f>
        <v>0</v>
      </c>
      <c r="O96" s="107">
        <f>+'FY16 Tax Bill'!O96-'FY16 Feb Forecast'!O96</f>
        <v>2874</v>
      </c>
      <c r="P96" s="105">
        <f>+'FY16 Tax Bill'!P96-'FY16 Feb Forecast'!P96</f>
        <v>-29030</v>
      </c>
      <c r="Q96" s="106">
        <f>+'FY16 Tax Bill'!Q96-'FY16 Feb Forecast'!Q96</f>
        <v>31904</v>
      </c>
      <c r="R96" s="105">
        <f>+'FY16 Tax Bill'!R96-'FY16 Feb Forecast'!R96</f>
        <v>10.566176470588289</v>
      </c>
      <c r="S96" s="105">
        <f>+'FY16 Tax Bill'!S96-'FY16 Feb Forecast'!S96</f>
        <v>-106.72794117647061</v>
      </c>
      <c r="T96" s="108">
        <f>+'FY16 Tax Bill'!T96-'FY16 Feb Forecast'!T96</f>
        <v>117.29411764705884</v>
      </c>
    </row>
    <row r="97" spans="1:20" x14ac:dyDescent="0.2">
      <c r="A97" s="109">
        <v>264</v>
      </c>
      <c r="B97" s="110">
        <v>1</v>
      </c>
      <c r="C97" s="103" t="s">
        <v>216</v>
      </c>
      <c r="D97" s="103">
        <v>6</v>
      </c>
      <c r="E97" s="104">
        <f>+SUMIF('GE16FEB14 Unfudged'!$A$2:$A$498, $A97, 'GE16FEB14 Unfudged'!$D$2:$D$498)</f>
        <v>119</v>
      </c>
      <c r="F97" s="104">
        <f>+'FY16 Tax Bill'!F97-'FY16 Feb Forecast'!F97</f>
        <v>0</v>
      </c>
      <c r="G97" s="105">
        <f>+'FY16 Tax Bill'!G97-'FY16 Feb Forecast'!G97</f>
        <v>0</v>
      </c>
      <c r="H97" s="106">
        <f>+'FY16 Tax Bill'!H97-'FY16 Feb Forecast'!H97</f>
        <v>0</v>
      </c>
      <c r="I97" s="107">
        <f>+'FY16 Tax Bill'!I97-'FY16 Feb Forecast'!I97</f>
        <v>50392</v>
      </c>
      <c r="J97" s="105">
        <f>+'FY16 Tax Bill'!J97-'FY16 Feb Forecast'!J97</f>
        <v>28172</v>
      </c>
      <c r="K97" s="106">
        <f>+'FY16 Tax Bill'!K97-'FY16 Feb Forecast'!K97</f>
        <v>22220</v>
      </c>
      <c r="L97" s="107">
        <f>+'FY16 Tax Bill'!L97-'FY16 Feb Forecast'!L97</f>
        <v>-50392</v>
      </c>
      <c r="M97" s="105">
        <f>+'FY16 Tax Bill'!M97-'FY16 Feb Forecast'!M97</f>
        <v>-50392</v>
      </c>
      <c r="N97" s="106">
        <f>+'FY16 Tax Bill'!N97-'FY16 Feb Forecast'!N97</f>
        <v>0</v>
      </c>
      <c r="O97" s="107">
        <f>+'FY16 Tax Bill'!O97-'FY16 Feb Forecast'!O97</f>
        <v>0</v>
      </c>
      <c r="P97" s="105">
        <f>+'FY16 Tax Bill'!P97-'FY16 Feb Forecast'!P97</f>
        <v>-22220</v>
      </c>
      <c r="Q97" s="106">
        <f>+'FY16 Tax Bill'!Q97-'FY16 Feb Forecast'!Q97</f>
        <v>22220</v>
      </c>
      <c r="R97" s="105">
        <f>+'FY16 Tax Bill'!R97-'FY16 Feb Forecast'!R97</f>
        <v>0</v>
      </c>
      <c r="S97" s="105">
        <f>+'FY16 Tax Bill'!S97-'FY16 Feb Forecast'!S97</f>
        <v>-186.72268907563034</v>
      </c>
      <c r="T97" s="108">
        <f>+'FY16 Tax Bill'!T97-'FY16 Feb Forecast'!T97</f>
        <v>186.72268907563011</v>
      </c>
    </row>
    <row r="98" spans="1:20" x14ac:dyDescent="0.2">
      <c r="A98" s="109">
        <v>270</v>
      </c>
      <c r="B98" s="110">
        <v>1</v>
      </c>
      <c r="C98" s="103" t="s">
        <v>217</v>
      </c>
      <c r="D98" s="103">
        <v>2</v>
      </c>
      <c r="E98" s="104">
        <f>+SUMIF('GE16FEB14 Unfudged'!$A$2:$A$498, $A98, 'GE16FEB14 Unfudged'!$D$2:$D$498)</f>
        <v>7432</v>
      </c>
      <c r="F98" s="104">
        <f>+'FY16 Tax Bill'!F98-'FY16 Feb Forecast'!F98</f>
        <v>0</v>
      </c>
      <c r="G98" s="105">
        <f>+'FY16 Tax Bill'!G98-'FY16 Feb Forecast'!G98</f>
        <v>0</v>
      </c>
      <c r="H98" s="106">
        <f>+'FY16 Tax Bill'!H98-'FY16 Feb Forecast'!H98</f>
        <v>0</v>
      </c>
      <c r="I98" s="107">
        <f>+'FY16 Tax Bill'!I98-'FY16 Feb Forecast'!I98</f>
        <v>0</v>
      </c>
      <c r="J98" s="105">
        <f>+'FY16 Tax Bill'!J98-'FY16 Feb Forecast'!J98</f>
        <v>0</v>
      </c>
      <c r="K98" s="106">
        <f>+'FY16 Tax Bill'!K98-'FY16 Feb Forecast'!K98</f>
        <v>0</v>
      </c>
      <c r="L98" s="107">
        <f>+'FY16 Tax Bill'!L98-'FY16 Feb Forecast'!L98</f>
        <v>0</v>
      </c>
      <c r="M98" s="105">
        <f>+'FY16 Tax Bill'!M98-'FY16 Feb Forecast'!M98</f>
        <v>0</v>
      </c>
      <c r="N98" s="106">
        <f>+'FY16 Tax Bill'!N98-'FY16 Feb Forecast'!N98</f>
        <v>0</v>
      </c>
      <c r="O98" s="107">
        <f>+'FY16 Tax Bill'!O98-'FY16 Feb Forecast'!O98</f>
        <v>0</v>
      </c>
      <c r="P98" s="105">
        <f>+'FY16 Tax Bill'!P98-'FY16 Feb Forecast'!P98</f>
        <v>0</v>
      </c>
      <c r="Q98" s="106">
        <f>+'FY16 Tax Bill'!Q98-'FY16 Feb Forecast'!Q98</f>
        <v>0</v>
      </c>
      <c r="R98" s="105">
        <f>+'FY16 Tax Bill'!R98-'FY16 Feb Forecast'!R98</f>
        <v>0</v>
      </c>
      <c r="S98" s="105">
        <f>+'FY16 Tax Bill'!S98-'FY16 Feb Forecast'!S98</f>
        <v>0</v>
      </c>
      <c r="T98" s="108">
        <f>+'FY16 Tax Bill'!T98-'FY16 Feb Forecast'!T98</f>
        <v>0</v>
      </c>
    </row>
    <row r="99" spans="1:20" x14ac:dyDescent="0.2">
      <c r="A99" s="109">
        <v>271</v>
      </c>
      <c r="B99" s="110">
        <v>1</v>
      </c>
      <c r="C99" s="103" t="s">
        <v>218</v>
      </c>
      <c r="D99" s="103">
        <v>3</v>
      </c>
      <c r="E99" s="104">
        <f>+SUMIF('GE16FEB14 Unfudged'!$A$2:$A$498, $A99, 'GE16FEB14 Unfudged'!$D$2:$D$498)</f>
        <v>11158</v>
      </c>
      <c r="F99" s="104">
        <f>+'FY16 Tax Bill'!F99-'FY16 Feb Forecast'!F99</f>
        <v>0</v>
      </c>
      <c r="G99" s="105">
        <f>+'FY16 Tax Bill'!G99-'FY16 Feb Forecast'!G99</f>
        <v>0</v>
      </c>
      <c r="H99" s="106">
        <f>+'FY16 Tax Bill'!H99-'FY16 Feb Forecast'!H99</f>
        <v>0</v>
      </c>
      <c r="I99" s="107">
        <f>+'FY16 Tax Bill'!I99-'FY16 Feb Forecast'!I99</f>
        <v>0</v>
      </c>
      <c r="J99" s="105">
        <f>+'FY16 Tax Bill'!J99-'FY16 Feb Forecast'!J99</f>
        <v>0</v>
      </c>
      <c r="K99" s="106">
        <f>+'FY16 Tax Bill'!K99-'FY16 Feb Forecast'!K99</f>
        <v>0</v>
      </c>
      <c r="L99" s="107">
        <f>+'FY16 Tax Bill'!L99-'FY16 Feb Forecast'!L99</f>
        <v>0</v>
      </c>
      <c r="M99" s="105">
        <f>+'FY16 Tax Bill'!M99-'FY16 Feb Forecast'!M99</f>
        <v>0</v>
      </c>
      <c r="N99" s="106">
        <f>+'FY16 Tax Bill'!N99-'FY16 Feb Forecast'!N99</f>
        <v>0</v>
      </c>
      <c r="O99" s="107">
        <f>+'FY16 Tax Bill'!O99-'FY16 Feb Forecast'!O99</f>
        <v>0</v>
      </c>
      <c r="P99" s="105">
        <f>+'FY16 Tax Bill'!P99-'FY16 Feb Forecast'!P99</f>
        <v>0</v>
      </c>
      <c r="Q99" s="106">
        <f>+'FY16 Tax Bill'!Q99-'FY16 Feb Forecast'!Q99</f>
        <v>0</v>
      </c>
      <c r="R99" s="105">
        <f>+'FY16 Tax Bill'!R99-'FY16 Feb Forecast'!R99</f>
        <v>0</v>
      </c>
      <c r="S99" s="105">
        <f>+'FY16 Tax Bill'!S99-'FY16 Feb Forecast'!S99</f>
        <v>0</v>
      </c>
      <c r="T99" s="108">
        <f>+'FY16 Tax Bill'!T99-'FY16 Feb Forecast'!T99</f>
        <v>0</v>
      </c>
    </row>
    <row r="100" spans="1:20" x14ac:dyDescent="0.2">
      <c r="A100" s="109">
        <v>272</v>
      </c>
      <c r="B100" s="110">
        <v>1</v>
      </c>
      <c r="C100" s="103" t="s">
        <v>219</v>
      </c>
      <c r="D100" s="103">
        <v>3</v>
      </c>
      <c r="E100" s="104">
        <f>+SUMIF('GE16FEB14 Unfudged'!$A$2:$A$498, $A100, 'GE16FEB14 Unfudged'!$D$2:$D$498)</f>
        <v>10035</v>
      </c>
      <c r="F100" s="104">
        <f>+'FY16 Tax Bill'!F100-'FY16 Feb Forecast'!F100</f>
        <v>0</v>
      </c>
      <c r="G100" s="105">
        <f>+'FY16 Tax Bill'!G100-'FY16 Feb Forecast'!G100</f>
        <v>0</v>
      </c>
      <c r="H100" s="106">
        <f>+'FY16 Tax Bill'!H100-'FY16 Feb Forecast'!H100</f>
        <v>0</v>
      </c>
      <c r="I100" s="107">
        <f>+'FY16 Tax Bill'!I100-'FY16 Feb Forecast'!I100</f>
        <v>0</v>
      </c>
      <c r="J100" s="105">
        <f>+'FY16 Tax Bill'!J100-'FY16 Feb Forecast'!J100</f>
        <v>0</v>
      </c>
      <c r="K100" s="106">
        <f>+'FY16 Tax Bill'!K100-'FY16 Feb Forecast'!K100</f>
        <v>0</v>
      </c>
      <c r="L100" s="107">
        <f>+'FY16 Tax Bill'!L100-'FY16 Feb Forecast'!L100</f>
        <v>0</v>
      </c>
      <c r="M100" s="105">
        <f>+'FY16 Tax Bill'!M100-'FY16 Feb Forecast'!M100</f>
        <v>0</v>
      </c>
      <c r="N100" s="106">
        <f>+'FY16 Tax Bill'!N100-'FY16 Feb Forecast'!N100</f>
        <v>0</v>
      </c>
      <c r="O100" s="107">
        <f>+'FY16 Tax Bill'!O100-'FY16 Feb Forecast'!O100</f>
        <v>0</v>
      </c>
      <c r="P100" s="105">
        <f>+'FY16 Tax Bill'!P100-'FY16 Feb Forecast'!P100</f>
        <v>0</v>
      </c>
      <c r="Q100" s="106">
        <f>+'FY16 Tax Bill'!Q100-'FY16 Feb Forecast'!Q100</f>
        <v>0</v>
      </c>
      <c r="R100" s="105">
        <f>+'FY16 Tax Bill'!R100-'FY16 Feb Forecast'!R100</f>
        <v>0</v>
      </c>
      <c r="S100" s="105">
        <f>+'FY16 Tax Bill'!S100-'FY16 Feb Forecast'!S100</f>
        <v>0</v>
      </c>
      <c r="T100" s="108">
        <f>+'FY16 Tax Bill'!T100-'FY16 Feb Forecast'!T100</f>
        <v>0</v>
      </c>
    </row>
    <row r="101" spans="1:20" x14ac:dyDescent="0.2">
      <c r="A101" s="109">
        <v>273</v>
      </c>
      <c r="B101" s="110">
        <v>1</v>
      </c>
      <c r="C101" s="103" t="s">
        <v>220</v>
      </c>
      <c r="D101" s="103">
        <v>2</v>
      </c>
      <c r="E101" s="104">
        <f>+SUMIF('GE16FEB14 Unfudged'!$A$2:$A$498, $A101, 'GE16FEB14 Unfudged'!$D$2:$D$498)</f>
        <v>9421</v>
      </c>
      <c r="F101" s="104">
        <f>+'FY16 Tax Bill'!F101-'FY16 Feb Forecast'!F101</f>
        <v>0</v>
      </c>
      <c r="G101" s="105">
        <f>+'FY16 Tax Bill'!G101-'FY16 Feb Forecast'!G101</f>
        <v>0</v>
      </c>
      <c r="H101" s="106">
        <f>+'FY16 Tax Bill'!H101-'FY16 Feb Forecast'!H101</f>
        <v>0</v>
      </c>
      <c r="I101" s="107">
        <f>+'FY16 Tax Bill'!I101-'FY16 Feb Forecast'!I101</f>
        <v>0</v>
      </c>
      <c r="J101" s="105">
        <f>+'FY16 Tax Bill'!J101-'FY16 Feb Forecast'!J101</f>
        <v>0</v>
      </c>
      <c r="K101" s="106">
        <f>+'FY16 Tax Bill'!K101-'FY16 Feb Forecast'!K101</f>
        <v>0</v>
      </c>
      <c r="L101" s="107">
        <f>+'FY16 Tax Bill'!L101-'FY16 Feb Forecast'!L101</f>
        <v>0</v>
      </c>
      <c r="M101" s="105">
        <f>+'FY16 Tax Bill'!M101-'FY16 Feb Forecast'!M101</f>
        <v>0</v>
      </c>
      <c r="N101" s="106">
        <f>+'FY16 Tax Bill'!N101-'FY16 Feb Forecast'!N101</f>
        <v>0</v>
      </c>
      <c r="O101" s="107">
        <f>+'FY16 Tax Bill'!O101-'FY16 Feb Forecast'!O101</f>
        <v>0</v>
      </c>
      <c r="P101" s="105">
        <f>+'FY16 Tax Bill'!P101-'FY16 Feb Forecast'!P101</f>
        <v>0</v>
      </c>
      <c r="Q101" s="106">
        <f>+'FY16 Tax Bill'!Q101-'FY16 Feb Forecast'!Q101</f>
        <v>0</v>
      </c>
      <c r="R101" s="105">
        <f>+'FY16 Tax Bill'!R101-'FY16 Feb Forecast'!R101</f>
        <v>0</v>
      </c>
      <c r="S101" s="105">
        <f>+'FY16 Tax Bill'!S101-'FY16 Feb Forecast'!S101</f>
        <v>0</v>
      </c>
      <c r="T101" s="108">
        <f>+'FY16 Tax Bill'!T101-'FY16 Feb Forecast'!T101</f>
        <v>0</v>
      </c>
    </row>
    <row r="102" spans="1:20" x14ac:dyDescent="0.2">
      <c r="A102" s="109">
        <v>276</v>
      </c>
      <c r="B102" s="110">
        <v>1</v>
      </c>
      <c r="C102" s="103" t="s">
        <v>221</v>
      </c>
      <c r="D102" s="103">
        <v>3</v>
      </c>
      <c r="E102" s="104">
        <f>+SUMIF('GE16FEB14 Unfudged'!$A$2:$A$498, $A102, 'GE16FEB14 Unfudged'!$D$2:$D$498)</f>
        <v>10955</v>
      </c>
      <c r="F102" s="104">
        <f>+'FY16 Tax Bill'!F102-'FY16 Feb Forecast'!F102</f>
        <v>0</v>
      </c>
      <c r="G102" s="105">
        <f>+'FY16 Tax Bill'!G102-'FY16 Feb Forecast'!G102</f>
        <v>0</v>
      </c>
      <c r="H102" s="106">
        <f>+'FY16 Tax Bill'!H102-'FY16 Feb Forecast'!H102</f>
        <v>0</v>
      </c>
      <c r="I102" s="107">
        <f>+'FY16 Tax Bill'!I102-'FY16 Feb Forecast'!I102</f>
        <v>0</v>
      </c>
      <c r="J102" s="105">
        <f>+'FY16 Tax Bill'!J102-'FY16 Feb Forecast'!J102</f>
        <v>0</v>
      </c>
      <c r="K102" s="106">
        <f>+'FY16 Tax Bill'!K102-'FY16 Feb Forecast'!K102</f>
        <v>0</v>
      </c>
      <c r="L102" s="107">
        <f>+'FY16 Tax Bill'!L102-'FY16 Feb Forecast'!L102</f>
        <v>0</v>
      </c>
      <c r="M102" s="105">
        <f>+'FY16 Tax Bill'!M102-'FY16 Feb Forecast'!M102</f>
        <v>0</v>
      </c>
      <c r="N102" s="106">
        <f>+'FY16 Tax Bill'!N102-'FY16 Feb Forecast'!N102</f>
        <v>0</v>
      </c>
      <c r="O102" s="107">
        <f>+'FY16 Tax Bill'!O102-'FY16 Feb Forecast'!O102</f>
        <v>0</v>
      </c>
      <c r="P102" s="105">
        <f>+'FY16 Tax Bill'!P102-'FY16 Feb Forecast'!P102</f>
        <v>0</v>
      </c>
      <c r="Q102" s="106">
        <f>+'FY16 Tax Bill'!Q102-'FY16 Feb Forecast'!Q102</f>
        <v>0</v>
      </c>
      <c r="R102" s="105">
        <f>+'FY16 Tax Bill'!R102-'FY16 Feb Forecast'!R102</f>
        <v>0</v>
      </c>
      <c r="S102" s="105">
        <f>+'FY16 Tax Bill'!S102-'FY16 Feb Forecast'!S102</f>
        <v>0</v>
      </c>
      <c r="T102" s="108">
        <f>+'FY16 Tax Bill'!T102-'FY16 Feb Forecast'!T102</f>
        <v>0</v>
      </c>
    </row>
    <row r="103" spans="1:20" x14ac:dyDescent="0.2">
      <c r="A103" s="109">
        <v>277</v>
      </c>
      <c r="B103" s="110">
        <v>1</v>
      </c>
      <c r="C103" s="103" t="s">
        <v>222</v>
      </c>
      <c r="D103" s="103">
        <v>3</v>
      </c>
      <c r="E103" s="104">
        <f>+SUMIF('GE16FEB14 Unfudged'!$A$2:$A$498, $A103, 'GE16FEB14 Unfudged'!$D$2:$D$498)</f>
        <v>2416</v>
      </c>
      <c r="F103" s="104">
        <f>+'FY16 Tax Bill'!F103-'FY16 Feb Forecast'!F103</f>
        <v>0</v>
      </c>
      <c r="G103" s="105">
        <f>+'FY16 Tax Bill'!G103-'FY16 Feb Forecast'!G103</f>
        <v>0</v>
      </c>
      <c r="H103" s="106">
        <f>+'FY16 Tax Bill'!H103-'FY16 Feb Forecast'!H103</f>
        <v>0</v>
      </c>
      <c r="I103" s="107">
        <f>+'FY16 Tax Bill'!I103-'FY16 Feb Forecast'!I103</f>
        <v>0</v>
      </c>
      <c r="J103" s="105">
        <f>+'FY16 Tax Bill'!J103-'FY16 Feb Forecast'!J103</f>
        <v>0</v>
      </c>
      <c r="K103" s="106">
        <f>+'FY16 Tax Bill'!K103-'FY16 Feb Forecast'!K103</f>
        <v>0</v>
      </c>
      <c r="L103" s="107">
        <f>+'FY16 Tax Bill'!L103-'FY16 Feb Forecast'!L103</f>
        <v>0</v>
      </c>
      <c r="M103" s="105">
        <f>+'FY16 Tax Bill'!M103-'FY16 Feb Forecast'!M103</f>
        <v>0</v>
      </c>
      <c r="N103" s="106">
        <f>+'FY16 Tax Bill'!N103-'FY16 Feb Forecast'!N103</f>
        <v>0</v>
      </c>
      <c r="O103" s="107">
        <f>+'FY16 Tax Bill'!O103-'FY16 Feb Forecast'!O103</f>
        <v>0</v>
      </c>
      <c r="P103" s="105">
        <f>+'FY16 Tax Bill'!P103-'FY16 Feb Forecast'!P103</f>
        <v>0</v>
      </c>
      <c r="Q103" s="106">
        <f>+'FY16 Tax Bill'!Q103-'FY16 Feb Forecast'!Q103</f>
        <v>0</v>
      </c>
      <c r="R103" s="105">
        <f>+'FY16 Tax Bill'!R103-'FY16 Feb Forecast'!R103</f>
        <v>0</v>
      </c>
      <c r="S103" s="105">
        <f>+'FY16 Tax Bill'!S103-'FY16 Feb Forecast'!S103</f>
        <v>0</v>
      </c>
      <c r="T103" s="108">
        <f>+'FY16 Tax Bill'!T103-'FY16 Feb Forecast'!T103</f>
        <v>0</v>
      </c>
    </row>
    <row r="104" spans="1:20" x14ac:dyDescent="0.2">
      <c r="A104" s="109">
        <v>278</v>
      </c>
      <c r="B104" s="110">
        <v>1</v>
      </c>
      <c r="C104" s="103" t="s">
        <v>223</v>
      </c>
      <c r="D104" s="103">
        <v>3</v>
      </c>
      <c r="E104" s="104">
        <f>+SUMIF('GE16FEB14 Unfudged'!$A$2:$A$498, $A104, 'GE16FEB14 Unfudged'!$D$2:$D$498)</f>
        <v>2981</v>
      </c>
      <c r="F104" s="104">
        <f>+'FY16 Tax Bill'!F104-'FY16 Feb Forecast'!F104</f>
        <v>0</v>
      </c>
      <c r="G104" s="105">
        <f>+'FY16 Tax Bill'!G104-'FY16 Feb Forecast'!G104</f>
        <v>0</v>
      </c>
      <c r="H104" s="106">
        <f>+'FY16 Tax Bill'!H104-'FY16 Feb Forecast'!H104</f>
        <v>0</v>
      </c>
      <c r="I104" s="107">
        <f>+'FY16 Tax Bill'!I104-'FY16 Feb Forecast'!I104</f>
        <v>0</v>
      </c>
      <c r="J104" s="105">
        <f>+'FY16 Tax Bill'!J104-'FY16 Feb Forecast'!J104</f>
        <v>0</v>
      </c>
      <c r="K104" s="106">
        <f>+'FY16 Tax Bill'!K104-'FY16 Feb Forecast'!K104</f>
        <v>0</v>
      </c>
      <c r="L104" s="107">
        <f>+'FY16 Tax Bill'!L104-'FY16 Feb Forecast'!L104</f>
        <v>0</v>
      </c>
      <c r="M104" s="105">
        <f>+'FY16 Tax Bill'!M104-'FY16 Feb Forecast'!M104</f>
        <v>0</v>
      </c>
      <c r="N104" s="106">
        <f>+'FY16 Tax Bill'!N104-'FY16 Feb Forecast'!N104</f>
        <v>0</v>
      </c>
      <c r="O104" s="107">
        <f>+'FY16 Tax Bill'!O104-'FY16 Feb Forecast'!O104</f>
        <v>0</v>
      </c>
      <c r="P104" s="105">
        <f>+'FY16 Tax Bill'!P104-'FY16 Feb Forecast'!P104</f>
        <v>0</v>
      </c>
      <c r="Q104" s="106">
        <f>+'FY16 Tax Bill'!Q104-'FY16 Feb Forecast'!Q104</f>
        <v>0</v>
      </c>
      <c r="R104" s="105">
        <f>+'FY16 Tax Bill'!R104-'FY16 Feb Forecast'!R104</f>
        <v>0</v>
      </c>
      <c r="S104" s="105">
        <f>+'FY16 Tax Bill'!S104-'FY16 Feb Forecast'!S104</f>
        <v>0</v>
      </c>
      <c r="T104" s="108">
        <f>+'FY16 Tax Bill'!T104-'FY16 Feb Forecast'!T104</f>
        <v>0</v>
      </c>
    </row>
    <row r="105" spans="1:20" x14ac:dyDescent="0.2">
      <c r="A105" s="109">
        <v>279</v>
      </c>
      <c r="B105" s="110">
        <v>1</v>
      </c>
      <c r="C105" s="103" t="s">
        <v>224</v>
      </c>
      <c r="D105" s="103">
        <v>3</v>
      </c>
      <c r="E105" s="104">
        <f>+SUMIF('GE16FEB14 Unfudged'!$A$2:$A$498, $A105, 'GE16FEB14 Unfudged'!$D$2:$D$498)</f>
        <v>22139</v>
      </c>
      <c r="F105" s="104">
        <f>+'FY16 Tax Bill'!F105-'FY16 Feb Forecast'!F105</f>
        <v>0</v>
      </c>
      <c r="G105" s="105">
        <f>+'FY16 Tax Bill'!G105-'FY16 Feb Forecast'!G105</f>
        <v>0</v>
      </c>
      <c r="H105" s="106">
        <f>+'FY16 Tax Bill'!H105-'FY16 Feb Forecast'!H105</f>
        <v>0</v>
      </c>
      <c r="I105" s="107">
        <f>+'FY16 Tax Bill'!I105-'FY16 Feb Forecast'!I105</f>
        <v>0</v>
      </c>
      <c r="J105" s="105">
        <f>+'FY16 Tax Bill'!J105-'FY16 Feb Forecast'!J105</f>
        <v>0</v>
      </c>
      <c r="K105" s="106">
        <f>+'FY16 Tax Bill'!K105-'FY16 Feb Forecast'!K105</f>
        <v>0</v>
      </c>
      <c r="L105" s="107">
        <f>+'FY16 Tax Bill'!L105-'FY16 Feb Forecast'!L105</f>
        <v>0</v>
      </c>
      <c r="M105" s="105">
        <f>+'FY16 Tax Bill'!M105-'FY16 Feb Forecast'!M105</f>
        <v>0</v>
      </c>
      <c r="N105" s="106">
        <f>+'FY16 Tax Bill'!N105-'FY16 Feb Forecast'!N105</f>
        <v>0</v>
      </c>
      <c r="O105" s="107">
        <f>+'FY16 Tax Bill'!O105-'FY16 Feb Forecast'!O105</f>
        <v>0</v>
      </c>
      <c r="P105" s="105">
        <f>+'FY16 Tax Bill'!P105-'FY16 Feb Forecast'!P105</f>
        <v>0</v>
      </c>
      <c r="Q105" s="106">
        <f>+'FY16 Tax Bill'!Q105-'FY16 Feb Forecast'!Q105</f>
        <v>0</v>
      </c>
      <c r="R105" s="105">
        <f>+'FY16 Tax Bill'!R105-'FY16 Feb Forecast'!R105</f>
        <v>0</v>
      </c>
      <c r="S105" s="105">
        <f>+'FY16 Tax Bill'!S105-'FY16 Feb Forecast'!S105</f>
        <v>0</v>
      </c>
      <c r="T105" s="108">
        <f>+'FY16 Tax Bill'!T105-'FY16 Feb Forecast'!T105</f>
        <v>0</v>
      </c>
    </row>
    <row r="106" spans="1:20" x14ac:dyDescent="0.2">
      <c r="A106" s="109">
        <v>280</v>
      </c>
      <c r="B106" s="110">
        <v>1</v>
      </c>
      <c r="C106" s="103" t="s">
        <v>225</v>
      </c>
      <c r="D106" s="103">
        <v>2</v>
      </c>
      <c r="E106" s="104">
        <f>+SUMIF('GE16FEB14 Unfudged'!$A$2:$A$498, $A106, 'GE16FEB14 Unfudged'!$D$2:$D$498)</f>
        <v>4775</v>
      </c>
      <c r="F106" s="104">
        <f>+'FY16 Tax Bill'!F106-'FY16 Feb Forecast'!F106</f>
        <v>0</v>
      </c>
      <c r="G106" s="105">
        <f>+'FY16 Tax Bill'!G106-'FY16 Feb Forecast'!G106</f>
        <v>0</v>
      </c>
      <c r="H106" s="106">
        <f>+'FY16 Tax Bill'!H106-'FY16 Feb Forecast'!H106</f>
        <v>0</v>
      </c>
      <c r="I106" s="107">
        <f>+'FY16 Tax Bill'!I106-'FY16 Feb Forecast'!I106</f>
        <v>0</v>
      </c>
      <c r="J106" s="105">
        <f>+'FY16 Tax Bill'!J106-'FY16 Feb Forecast'!J106</f>
        <v>0</v>
      </c>
      <c r="K106" s="106">
        <f>+'FY16 Tax Bill'!K106-'FY16 Feb Forecast'!K106</f>
        <v>0</v>
      </c>
      <c r="L106" s="107">
        <f>+'FY16 Tax Bill'!L106-'FY16 Feb Forecast'!L106</f>
        <v>0</v>
      </c>
      <c r="M106" s="105">
        <f>+'FY16 Tax Bill'!M106-'FY16 Feb Forecast'!M106</f>
        <v>0</v>
      </c>
      <c r="N106" s="106">
        <f>+'FY16 Tax Bill'!N106-'FY16 Feb Forecast'!N106</f>
        <v>0</v>
      </c>
      <c r="O106" s="107">
        <f>+'FY16 Tax Bill'!O106-'FY16 Feb Forecast'!O106</f>
        <v>0</v>
      </c>
      <c r="P106" s="105">
        <f>+'FY16 Tax Bill'!P106-'FY16 Feb Forecast'!P106</f>
        <v>0</v>
      </c>
      <c r="Q106" s="106">
        <f>+'FY16 Tax Bill'!Q106-'FY16 Feb Forecast'!Q106</f>
        <v>0</v>
      </c>
      <c r="R106" s="105">
        <f>+'FY16 Tax Bill'!R106-'FY16 Feb Forecast'!R106</f>
        <v>0</v>
      </c>
      <c r="S106" s="105">
        <f>+'FY16 Tax Bill'!S106-'FY16 Feb Forecast'!S106</f>
        <v>0</v>
      </c>
      <c r="T106" s="108">
        <f>+'FY16 Tax Bill'!T106-'FY16 Feb Forecast'!T106</f>
        <v>0</v>
      </c>
    </row>
    <row r="107" spans="1:20" x14ac:dyDescent="0.2">
      <c r="A107" s="109">
        <v>281</v>
      </c>
      <c r="B107" s="110">
        <v>1</v>
      </c>
      <c r="C107" s="103" t="s">
        <v>226</v>
      </c>
      <c r="D107" s="103">
        <v>2</v>
      </c>
      <c r="E107" s="104">
        <f>+SUMIF('GE16FEB14 Unfudged'!$A$2:$A$498, $A107, 'GE16FEB14 Unfudged'!$D$2:$D$498)</f>
        <v>13184</v>
      </c>
      <c r="F107" s="104">
        <f>+'FY16 Tax Bill'!F107-'FY16 Feb Forecast'!F107</f>
        <v>0</v>
      </c>
      <c r="G107" s="105">
        <f>+'FY16 Tax Bill'!G107-'FY16 Feb Forecast'!G107</f>
        <v>0</v>
      </c>
      <c r="H107" s="106">
        <f>+'FY16 Tax Bill'!H107-'FY16 Feb Forecast'!H107</f>
        <v>0</v>
      </c>
      <c r="I107" s="107">
        <f>+'FY16 Tax Bill'!I107-'FY16 Feb Forecast'!I107</f>
        <v>0</v>
      </c>
      <c r="J107" s="105">
        <f>+'FY16 Tax Bill'!J107-'FY16 Feb Forecast'!J107</f>
        <v>0</v>
      </c>
      <c r="K107" s="106">
        <f>+'FY16 Tax Bill'!K107-'FY16 Feb Forecast'!K107</f>
        <v>0</v>
      </c>
      <c r="L107" s="107">
        <f>+'FY16 Tax Bill'!L107-'FY16 Feb Forecast'!L107</f>
        <v>0</v>
      </c>
      <c r="M107" s="105">
        <f>+'FY16 Tax Bill'!M107-'FY16 Feb Forecast'!M107</f>
        <v>0</v>
      </c>
      <c r="N107" s="106">
        <f>+'FY16 Tax Bill'!N107-'FY16 Feb Forecast'!N107</f>
        <v>0</v>
      </c>
      <c r="O107" s="107">
        <f>+'FY16 Tax Bill'!O107-'FY16 Feb Forecast'!O107</f>
        <v>0</v>
      </c>
      <c r="P107" s="105">
        <f>+'FY16 Tax Bill'!P107-'FY16 Feb Forecast'!P107</f>
        <v>0</v>
      </c>
      <c r="Q107" s="106">
        <f>+'FY16 Tax Bill'!Q107-'FY16 Feb Forecast'!Q107</f>
        <v>0</v>
      </c>
      <c r="R107" s="105">
        <f>+'FY16 Tax Bill'!R107-'FY16 Feb Forecast'!R107</f>
        <v>0</v>
      </c>
      <c r="S107" s="105">
        <f>+'FY16 Tax Bill'!S107-'FY16 Feb Forecast'!S107</f>
        <v>0</v>
      </c>
      <c r="T107" s="108">
        <f>+'FY16 Tax Bill'!T107-'FY16 Feb Forecast'!T107</f>
        <v>0</v>
      </c>
    </row>
    <row r="108" spans="1:20" x14ac:dyDescent="0.2">
      <c r="A108" s="109">
        <v>282</v>
      </c>
      <c r="B108" s="110">
        <v>1</v>
      </c>
      <c r="C108" s="103" t="s">
        <v>227</v>
      </c>
      <c r="D108" s="103">
        <v>2</v>
      </c>
      <c r="E108" s="104">
        <f>+SUMIF('GE16FEB14 Unfudged'!$A$2:$A$498, $A108, 'GE16FEB14 Unfudged'!$D$2:$D$498)</f>
        <v>1796</v>
      </c>
      <c r="F108" s="104">
        <f>+'FY16 Tax Bill'!F108-'FY16 Feb Forecast'!F108</f>
        <v>0</v>
      </c>
      <c r="G108" s="105">
        <f>+'FY16 Tax Bill'!G108-'FY16 Feb Forecast'!G108</f>
        <v>0</v>
      </c>
      <c r="H108" s="106">
        <f>+'FY16 Tax Bill'!H108-'FY16 Feb Forecast'!H108</f>
        <v>0</v>
      </c>
      <c r="I108" s="107">
        <f>+'FY16 Tax Bill'!I108-'FY16 Feb Forecast'!I108</f>
        <v>0</v>
      </c>
      <c r="J108" s="105">
        <f>+'FY16 Tax Bill'!J108-'FY16 Feb Forecast'!J108</f>
        <v>0</v>
      </c>
      <c r="K108" s="106">
        <f>+'FY16 Tax Bill'!K108-'FY16 Feb Forecast'!K108</f>
        <v>0</v>
      </c>
      <c r="L108" s="107">
        <f>+'FY16 Tax Bill'!L108-'FY16 Feb Forecast'!L108</f>
        <v>0</v>
      </c>
      <c r="M108" s="105">
        <f>+'FY16 Tax Bill'!M108-'FY16 Feb Forecast'!M108</f>
        <v>0</v>
      </c>
      <c r="N108" s="106">
        <f>+'FY16 Tax Bill'!N108-'FY16 Feb Forecast'!N108</f>
        <v>0</v>
      </c>
      <c r="O108" s="107">
        <f>+'FY16 Tax Bill'!O108-'FY16 Feb Forecast'!O108</f>
        <v>0</v>
      </c>
      <c r="P108" s="105">
        <f>+'FY16 Tax Bill'!P108-'FY16 Feb Forecast'!P108</f>
        <v>0</v>
      </c>
      <c r="Q108" s="106">
        <f>+'FY16 Tax Bill'!Q108-'FY16 Feb Forecast'!Q108</f>
        <v>0</v>
      </c>
      <c r="R108" s="105">
        <f>+'FY16 Tax Bill'!R108-'FY16 Feb Forecast'!R108</f>
        <v>0</v>
      </c>
      <c r="S108" s="105">
        <f>+'FY16 Tax Bill'!S108-'FY16 Feb Forecast'!S108</f>
        <v>0</v>
      </c>
      <c r="T108" s="108">
        <f>+'FY16 Tax Bill'!T108-'FY16 Feb Forecast'!T108</f>
        <v>0</v>
      </c>
    </row>
    <row r="109" spans="1:20" x14ac:dyDescent="0.2">
      <c r="A109" s="109">
        <v>283</v>
      </c>
      <c r="B109" s="110">
        <v>1</v>
      </c>
      <c r="C109" s="103" t="s">
        <v>228</v>
      </c>
      <c r="D109" s="103">
        <v>2</v>
      </c>
      <c r="E109" s="104">
        <f>+SUMIF('GE16FEB14 Unfudged'!$A$2:$A$498, $A109, 'GE16FEB14 Unfudged'!$D$2:$D$498)</f>
        <v>4703</v>
      </c>
      <c r="F109" s="104">
        <f>+'FY16 Tax Bill'!F109-'FY16 Feb Forecast'!F109</f>
        <v>0</v>
      </c>
      <c r="G109" s="105">
        <f>+'FY16 Tax Bill'!G109-'FY16 Feb Forecast'!G109</f>
        <v>0</v>
      </c>
      <c r="H109" s="106">
        <f>+'FY16 Tax Bill'!H109-'FY16 Feb Forecast'!H109</f>
        <v>0</v>
      </c>
      <c r="I109" s="107">
        <f>+'FY16 Tax Bill'!I109-'FY16 Feb Forecast'!I109</f>
        <v>0</v>
      </c>
      <c r="J109" s="105">
        <f>+'FY16 Tax Bill'!J109-'FY16 Feb Forecast'!J109</f>
        <v>0</v>
      </c>
      <c r="K109" s="106">
        <f>+'FY16 Tax Bill'!K109-'FY16 Feb Forecast'!K109</f>
        <v>0</v>
      </c>
      <c r="L109" s="107">
        <f>+'FY16 Tax Bill'!L109-'FY16 Feb Forecast'!L109</f>
        <v>0</v>
      </c>
      <c r="M109" s="105">
        <f>+'FY16 Tax Bill'!M109-'FY16 Feb Forecast'!M109</f>
        <v>0</v>
      </c>
      <c r="N109" s="106">
        <f>+'FY16 Tax Bill'!N109-'FY16 Feb Forecast'!N109</f>
        <v>0</v>
      </c>
      <c r="O109" s="107">
        <f>+'FY16 Tax Bill'!O109-'FY16 Feb Forecast'!O109</f>
        <v>0</v>
      </c>
      <c r="P109" s="105">
        <f>+'FY16 Tax Bill'!P109-'FY16 Feb Forecast'!P109</f>
        <v>0</v>
      </c>
      <c r="Q109" s="106">
        <f>+'FY16 Tax Bill'!Q109-'FY16 Feb Forecast'!Q109</f>
        <v>0</v>
      </c>
      <c r="R109" s="105">
        <f>+'FY16 Tax Bill'!R109-'FY16 Feb Forecast'!R109</f>
        <v>0</v>
      </c>
      <c r="S109" s="105">
        <f>+'FY16 Tax Bill'!S109-'FY16 Feb Forecast'!S109</f>
        <v>0</v>
      </c>
      <c r="T109" s="108">
        <f>+'FY16 Tax Bill'!T109-'FY16 Feb Forecast'!T109</f>
        <v>0</v>
      </c>
    </row>
    <row r="110" spans="1:20" x14ac:dyDescent="0.2">
      <c r="A110" s="109">
        <v>284</v>
      </c>
      <c r="B110" s="110">
        <v>1</v>
      </c>
      <c r="C110" s="103" t="s">
        <v>229</v>
      </c>
      <c r="D110" s="103">
        <v>3</v>
      </c>
      <c r="E110" s="104">
        <f>+SUMIF('GE16FEB14 Unfudged'!$A$2:$A$498, $A110, 'GE16FEB14 Unfudged'!$D$2:$D$498)</f>
        <v>12528</v>
      </c>
      <c r="F110" s="104">
        <f>+'FY16 Tax Bill'!F110-'FY16 Feb Forecast'!F110</f>
        <v>0</v>
      </c>
      <c r="G110" s="105">
        <f>+'FY16 Tax Bill'!G110-'FY16 Feb Forecast'!G110</f>
        <v>0</v>
      </c>
      <c r="H110" s="106">
        <f>+'FY16 Tax Bill'!H110-'FY16 Feb Forecast'!H110</f>
        <v>0</v>
      </c>
      <c r="I110" s="107">
        <f>+'FY16 Tax Bill'!I110-'FY16 Feb Forecast'!I110</f>
        <v>0</v>
      </c>
      <c r="J110" s="105">
        <f>+'FY16 Tax Bill'!J110-'FY16 Feb Forecast'!J110</f>
        <v>0</v>
      </c>
      <c r="K110" s="106">
        <f>+'FY16 Tax Bill'!K110-'FY16 Feb Forecast'!K110</f>
        <v>0</v>
      </c>
      <c r="L110" s="107">
        <f>+'FY16 Tax Bill'!L110-'FY16 Feb Forecast'!L110</f>
        <v>0</v>
      </c>
      <c r="M110" s="105">
        <f>+'FY16 Tax Bill'!M110-'FY16 Feb Forecast'!M110</f>
        <v>0</v>
      </c>
      <c r="N110" s="106">
        <f>+'FY16 Tax Bill'!N110-'FY16 Feb Forecast'!N110</f>
        <v>0</v>
      </c>
      <c r="O110" s="107">
        <f>+'FY16 Tax Bill'!O110-'FY16 Feb Forecast'!O110</f>
        <v>0</v>
      </c>
      <c r="P110" s="105">
        <f>+'FY16 Tax Bill'!P110-'FY16 Feb Forecast'!P110</f>
        <v>0</v>
      </c>
      <c r="Q110" s="106">
        <f>+'FY16 Tax Bill'!Q110-'FY16 Feb Forecast'!Q110</f>
        <v>0</v>
      </c>
      <c r="R110" s="105">
        <f>+'FY16 Tax Bill'!R110-'FY16 Feb Forecast'!R110</f>
        <v>0</v>
      </c>
      <c r="S110" s="105">
        <f>+'FY16 Tax Bill'!S110-'FY16 Feb Forecast'!S110</f>
        <v>0</v>
      </c>
      <c r="T110" s="108">
        <f>+'FY16 Tax Bill'!T110-'FY16 Feb Forecast'!T110</f>
        <v>0</v>
      </c>
    </row>
    <row r="111" spans="1:20" x14ac:dyDescent="0.2">
      <c r="A111" s="109">
        <v>286</v>
      </c>
      <c r="B111" s="110">
        <v>1</v>
      </c>
      <c r="C111" s="103" t="s">
        <v>230</v>
      </c>
      <c r="D111" s="103">
        <v>2</v>
      </c>
      <c r="E111" s="104">
        <f>+SUMIF('GE16FEB14 Unfudged'!$A$2:$A$498, $A111, 'GE16FEB14 Unfudged'!$D$2:$D$498)</f>
        <v>2474</v>
      </c>
      <c r="F111" s="104">
        <f>+'FY16 Tax Bill'!F111-'FY16 Feb Forecast'!F111</f>
        <v>0</v>
      </c>
      <c r="G111" s="105">
        <f>+'FY16 Tax Bill'!G111-'FY16 Feb Forecast'!G111</f>
        <v>0</v>
      </c>
      <c r="H111" s="106">
        <f>+'FY16 Tax Bill'!H111-'FY16 Feb Forecast'!H111</f>
        <v>0</v>
      </c>
      <c r="I111" s="107">
        <f>+'FY16 Tax Bill'!I111-'FY16 Feb Forecast'!I111</f>
        <v>0</v>
      </c>
      <c r="J111" s="105">
        <f>+'FY16 Tax Bill'!J111-'FY16 Feb Forecast'!J111</f>
        <v>0</v>
      </c>
      <c r="K111" s="106">
        <f>+'FY16 Tax Bill'!K111-'FY16 Feb Forecast'!K111</f>
        <v>0</v>
      </c>
      <c r="L111" s="107">
        <f>+'FY16 Tax Bill'!L111-'FY16 Feb Forecast'!L111</f>
        <v>0</v>
      </c>
      <c r="M111" s="105">
        <f>+'FY16 Tax Bill'!M111-'FY16 Feb Forecast'!M111</f>
        <v>0</v>
      </c>
      <c r="N111" s="106">
        <f>+'FY16 Tax Bill'!N111-'FY16 Feb Forecast'!N111</f>
        <v>0</v>
      </c>
      <c r="O111" s="107">
        <f>+'FY16 Tax Bill'!O111-'FY16 Feb Forecast'!O111</f>
        <v>0</v>
      </c>
      <c r="P111" s="105">
        <f>+'FY16 Tax Bill'!P111-'FY16 Feb Forecast'!P111</f>
        <v>0</v>
      </c>
      <c r="Q111" s="106">
        <f>+'FY16 Tax Bill'!Q111-'FY16 Feb Forecast'!Q111</f>
        <v>0</v>
      </c>
      <c r="R111" s="105">
        <f>+'FY16 Tax Bill'!R111-'FY16 Feb Forecast'!R111</f>
        <v>0</v>
      </c>
      <c r="S111" s="105">
        <f>+'FY16 Tax Bill'!S111-'FY16 Feb Forecast'!S111</f>
        <v>0</v>
      </c>
      <c r="T111" s="108">
        <f>+'FY16 Tax Bill'!T111-'FY16 Feb Forecast'!T111</f>
        <v>0</v>
      </c>
    </row>
    <row r="112" spans="1:20" x14ac:dyDescent="0.2">
      <c r="A112" s="109">
        <v>294</v>
      </c>
      <c r="B112" s="110">
        <v>1</v>
      </c>
      <c r="C112" s="103" t="s">
        <v>231</v>
      </c>
      <c r="D112" s="103">
        <v>5</v>
      </c>
      <c r="E112" s="104">
        <f>+SUMIF('GE16FEB14 Unfudged'!$A$2:$A$498, $A112, 'GE16FEB14 Unfudged'!$D$2:$D$498)</f>
        <v>2846</v>
      </c>
      <c r="F112" s="104">
        <f>+'FY16 Tax Bill'!F112-'FY16 Feb Forecast'!F112</f>
        <v>0</v>
      </c>
      <c r="G112" s="105">
        <f>+'FY16 Tax Bill'!G112-'FY16 Feb Forecast'!G112</f>
        <v>0</v>
      </c>
      <c r="H112" s="106">
        <f>+'FY16 Tax Bill'!H112-'FY16 Feb Forecast'!H112</f>
        <v>0</v>
      </c>
      <c r="I112" s="107">
        <f>+'FY16 Tax Bill'!I112-'FY16 Feb Forecast'!I112</f>
        <v>603352</v>
      </c>
      <c r="J112" s="105">
        <f>+'FY16 Tax Bill'!J112-'FY16 Feb Forecast'!J112</f>
        <v>397010</v>
      </c>
      <c r="K112" s="106">
        <f>+'FY16 Tax Bill'!K112-'FY16 Feb Forecast'!K112</f>
        <v>206342</v>
      </c>
      <c r="L112" s="107">
        <f>+'FY16 Tax Bill'!L112-'FY16 Feb Forecast'!L112</f>
        <v>0</v>
      </c>
      <c r="M112" s="105">
        <f>+'FY16 Tax Bill'!M112-'FY16 Feb Forecast'!M112</f>
        <v>0</v>
      </c>
      <c r="N112" s="106">
        <f>+'FY16 Tax Bill'!N112-'FY16 Feb Forecast'!N112</f>
        <v>0</v>
      </c>
      <c r="O112" s="107">
        <f>+'FY16 Tax Bill'!O112-'FY16 Feb Forecast'!O112</f>
        <v>603352</v>
      </c>
      <c r="P112" s="105">
        <f>+'FY16 Tax Bill'!P112-'FY16 Feb Forecast'!P112</f>
        <v>397010</v>
      </c>
      <c r="Q112" s="106">
        <f>+'FY16 Tax Bill'!Q112-'FY16 Feb Forecast'!Q112</f>
        <v>206342</v>
      </c>
      <c r="R112" s="105">
        <f>+'FY16 Tax Bill'!R112-'FY16 Feb Forecast'!R112</f>
        <v>212</v>
      </c>
      <c r="S112" s="105">
        <f>+'FY16 Tax Bill'!S112-'FY16 Feb Forecast'!S112</f>
        <v>139.49754040758955</v>
      </c>
      <c r="T112" s="108">
        <f>+'FY16 Tax Bill'!T112-'FY16 Feb Forecast'!T112</f>
        <v>72.502459592410446</v>
      </c>
    </row>
    <row r="113" spans="1:20" x14ac:dyDescent="0.2">
      <c r="A113" s="109">
        <v>297</v>
      </c>
      <c r="B113" s="110">
        <v>6</v>
      </c>
      <c r="C113" s="103" t="s">
        <v>232</v>
      </c>
      <c r="D113" s="103">
        <v>6</v>
      </c>
      <c r="E113" s="104">
        <f>+SUMIF('GE16FEB14 Unfudged'!$A$2:$A$498, $A113, 'GE16FEB14 Unfudged'!$D$2:$D$498)</f>
        <v>370</v>
      </c>
      <c r="F113" s="104">
        <f>+'FY16 Tax Bill'!F113-'FY16 Feb Forecast'!F113</f>
        <v>3225</v>
      </c>
      <c r="G113" s="105">
        <f>+'FY16 Tax Bill'!G113-'FY16 Feb Forecast'!G113</f>
        <v>1780</v>
      </c>
      <c r="H113" s="106">
        <f>+'FY16 Tax Bill'!H113-'FY16 Feb Forecast'!H113</f>
        <v>1445</v>
      </c>
      <c r="I113" s="107">
        <f>+'FY16 Tax Bill'!I113-'FY16 Feb Forecast'!I113</f>
        <v>156880</v>
      </c>
      <c r="J113" s="105">
        <f>+'FY16 Tax Bill'!J113-'FY16 Feb Forecast'!J113</f>
        <v>86607</v>
      </c>
      <c r="K113" s="106">
        <f>+'FY16 Tax Bill'!K113-'FY16 Feb Forecast'!K113</f>
        <v>70273</v>
      </c>
      <c r="L113" s="107">
        <f>+'FY16 Tax Bill'!L113-'FY16 Feb Forecast'!L113</f>
        <v>-156880</v>
      </c>
      <c r="M113" s="105">
        <f>+'FY16 Tax Bill'!M113-'FY16 Feb Forecast'!M113</f>
        <v>-152321</v>
      </c>
      <c r="N113" s="106">
        <f>+'FY16 Tax Bill'!N113-'FY16 Feb Forecast'!N113</f>
        <v>-4559</v>
      </c>
      <c r="O113" s="107">
        <f>+'FY16 Tax Bill'!O113-'FY16 Feb Forecast'!O113</f>
        <v>3225</v>
      </c>
      <c r="P113" s="105">
        <f>+'FY16 Tax Bill'!P113-'FY16 Feb Forecast'!P113</f>
        <v>-63934</v>
      </c>
      <c r="Q113" s="106">
        <f>+'FY16 Tax Bill'!Q113-'FY16 Feb Forecast'!Q113</f>
        <v>67159</v>
      </c>
      <c r="R113" s="105">
        <f>+'FY16 Tax Bill'!R113-'FY16 Feb Forecast'!R113</f>
        <v>8.7162162162162531</v>
      </c>
      <c r="S113" s="105">
        <f>+'FY16 Tax Bill'!S113-'FY16 Feb Forecast'!S113</f>
        <v>-172.79459459459463</v>
      </c>
      <c r="T113" s="108">
        <f>+'FY16 Tax Bill'!T113-'FY16 Feb Forecast'!T113</f>
        <v>181.51081081081088</v>
      </c>
    </row>
    <row r="114" spans="1:20" x14ac:dyDescent="0.2">
      <c r="A114" s="109">
        <v>299</v>
      </c>
      <c r="B114" s="110">
        <v>1</v>
      </c>
      <c r="C114" s="103" t="s">
        <v>233</v>
      </c>
      <c r="D114" s="103">
        <v>6</v>
      </c>
      <c r="E114" s="104">
        <f>+SUMIF('GE16FEB14 Unfudged'!$A$2:$A$498, $A114, 'GE16FEB14 Unfudged'!$D$2:$D$498)</f>
        <v>722</v>
      </c>
      <c r="F114" s="104">
        <f>+'FY16 Tax Bill'!F114-'FY16 Feb Forecast'!F114</f>
        <v>13482</v>
      </c>
      <c r="G114" s="105">
        <f>+'FY16 Tax Bill'!G114-'FY16 Feb Forecast'!G114</f>
        <v>11622</v>
      </c>
      <c r="H114" s="106">
        <f>+'FY16 Tax Bill'!H114-'FY16 Feb Forecast'!H114</f>
        <v>1860</v>
      </c>
      <c r="I114" s="107">
        <f>+'FY16 Tax Bill'!I114-'FY16 Feb Forecast'!I114</f>
        <v>306213</v>
      </c>
      <c r="J114" s="105">
        <f>+'FY16 Tax Bill'!J114-'FY16 Feb Forecast'!J114</f>
        <v>263963</v>
      </c>
      <c r="K114" s="106">
        <f>+'FY16 Tax Bill'!K114-'FY16 Feb Forecast'!K114</f>
        <v>42250</v>
      </c>
      <c r="L114" s="107">
        <f>+'FY16 Tax Bill'!L114-'FY16 Feb Forecast'!L114</f>
        <v>-306212</v>
      </c>
      <c r="M114" s="105">
        <f>+'FY16 Tax Bill'!M114-'FY16 Feb Forecast'!M114</f>
        <v>-265589</v>
      </c>
      <c r="N114" s="106">
        <f>+'FY16 Tax Bill'!N114-'FY16 Feb Forecast'!N114</f>
        <v>-40623</v>
      </c>
      <c r="O114" s="107">
        <f>+'FY16 Tax Bill'!O114-'FY16 Feb Forecast'!O114</f>
        <v>13483</v>
      </c>
      <c r="P114" s="105">
        <f>+'FY16 Tax Bill'!P114-'FY16 Feb Forecast'!P114</f>
        <v>9996</v>
      </c>
      <c r="Q114" s="106">
        <f>+'FY16 Tax Bill'!Q114-'FY16 Feb Forecast'!Q114</f>
        <v>3487</v>
      </c>
      <c r="R114" s="105">
        <f>+'FY16 Tax Bill'!R114-'FY16 Feb Forecast'!R114</f>
        <v>18.674515235457079</v>
      </c>
      <c r="S114" s="105">
        <f>+'FY16 Tax Bill'!S114-'FY16 Feb Forecast'!S114</f>
        <v>13.844875346260324</v>
      </c>
      <c r="T114" s="108">
        <f>+'FY16 Tax Bill'!T114-'FY16 Feb Forecast'!T114</f>
        <v>4.8296398891966703</v>
      </c>
    </row>
    <row r="115" spans="1:20" x14ac:dyDescent="0.2">
      <c r="A115" s="109">
        <v>300</v>
      </c>
      <c r="B115" s="110">
        <v>1</v>
      </c>
      <c r="C115" s="103" t="s">
        <v>234</v>
      </c>
      <c r="D115" s="103">
        <v>5</v>
      </c>
      <c r="E115" s="104">
        <f>+SUMIF('GE16FEB14 Unfudged'!$A$2:$A$498, $A115, 'GE16FEB14 Unfudged'!$D$2:$D$498)</f>
        <v>1340</v>
      </c>
      <c r="F115" s="104">
        <f>+'FY16 Tax Bill'!F115-'FY16 Feb Forecast'!F115</f>
        <v>18027</v>
      </c>
      <c r="G115" s="105">
        <f>+'FY16 Tax Bill'!G115-'FY16 Feb Forecast'!G115</f>
        <v>17746</v>
      </c>
      <c r="H115" s="106">
        <f>+'FY16 Tax Bill'!H115-'FY16 Feb Forecast'!H115</f>
        <v>281</v>
      </c>
      <c r="I115" s="107">
        <f>+'FY16 Tax Bill'!I115-'FY16 Feb Forecast'!I115</f>
        <v>567990</v>
      </c>
      <c r="J115" s="105">
        <f>+'FY16 Tax Bill'!J115-'FY16 Feb Forecast'!J115</f>
        <v>559134</v>
      </c>
      <c r="K115" s="106">
        <f>+'FY16 Tax Bill'!K115-'FY16 Feb Forecast'!K115</f>
        <v>8856</v>
      </c>
      <c r="L115" s="107">
        <f>+'FY16 Tax Bill'!L115-'FY16 Feb Forecast'!L115</f>
        <v>-397781</v>
      </c>
      <c r="M115" s="105">
        <f>+'FY16 Tax Bill'!M115-'FY16 Feb Forecast'!M115</f>
        <v>-391579</v>
      </c>
      <c r="N115" s="106">
        <f>+'FY16 Tax Bill'!N115-'FY16 Feb Forecast'!N115</f>
        <v>-6202</v>
      </c>
      <c r="O115" s="107">
        <f>+'FY16 Tax Bill'!O115-'FY16 Feb Forecast'!O115</f>
        <v>188236</v>
      </c>
      <c r="P115" s="105">
        <f>+'FY16 Tax Bill'!P115-'FY16 Feb Forecast'!P115</f>
        <v>185301</v>
      </c>
      <c r="Q115" s="106">
        <f>+'FY16 Tax Bill'!Q115-'FY16 Feb Forecast'!Q115</f>
        <v>2935</v>
      </c>
      <c r="R115" s="105">
        <f>+'FY16 Tax Bill'!R115-'FY16 Feb Forecast'!R115</f>
        <v>140.47462686567167</v>
      </c>
      <c r="S115" s="105">
        <f>+'FY16 Tax Bill'!S115-'FY16 Feb Forecast'!S115</f>
        <v>138.28432835820888</v>
      </c>
      <c r="T115" s="108">
        <f>+'FY16 Tax Bill'!T115-'FY16 Feb Forecast'!T115</f>
        <v>2.1902985074626713</v>
      </c>
    </row>
    <row r="116" spans="1:20" x14ac:dyDescent="0.2">
      <c r="A116" s="109">
        <v>306</v>
      </c>
      <c r="B116" s="110">
        <v>1</v>
      </c>
      <c r="C116" s="103" t="s">
        <v>235</v>
      </c>
      <c r="D116" s="103">
        <v>6</v>
      </c>
      <c r="E116" s="104">
        <f>+SUMIF('GE16FEB14 Unfudged'!$A$2:$A$498, $A116, 'GE16FEB14 Unfudged'!$D$2:$D$498)</f>
        <v>278</v>
      </c>
      <c r="F116" s="104">
        <f>+'FY16 Tax Bill'!F116-'FY16 Feb Forecast'!F116</f>
        <v>0</v>
      </c>
      <c r="G116" s="105">
        <f>+'FY16 Tax Bill'!G116-'FY16 Feb Forecast'!G116</f>
        <v>0</v>
      </c>
      <c r="H116" s="106">
        <f>+'FY16 Tax Bill'!H116-'FY16 Feb Forecast'!H116</f>
        <v>0</v>
      </c>
      <c r="I116" s="107">
        <f>+'FY16 Tax Bill'!I116-'FY16 Feb Forecast'!I116</f>
        <v>117872</v>
      </c>
      <c r="J116" s="105">
        <f>+'FY16 Tax Bill'!J116-'FY16 Feb Forecast'!J116</f>
        <v>117872</v>
      </c>
      <c r="K116" s="106">
        <f>+'FY16 Tax Bill'!K116-'FY16 Feb Forecast'!K116</f>
        <v>0</v>
      </c>
      <c r="L116" s="107">
        <f>+'FY16 Tax Bill'!L116-'FY16 Feb Forecast'!L116</f>
        <v>0</v>
      </c>
      <c r="M116" s="105">
        <f>+'FY16 Tax Bill'!M116-'FY16 Feb Forecast'!M116</f>
        <v>0</v>
      </c>
      <c r="N116" s="106">
        <f>+'FY16 Tax Bill'!N116-'FY16 Feb Forecast'!N116</f>
        <v>0</v>
      </c>
      <c r="O116" s="107">
        <f>+'FY16 Tax Bill'!O116-'FY16 Feb Forecast'!O116</f>
        <v>117872</v>
      </c>
      <c r="P116" s="105">
        <f>+'FY16 Tax Bill'!P116-'FY16 Feb Forecast'!P116</f>
        <v>117872</v>
      </c>
      <c r="Q116" s="106">
        <f>+'FY16 Tax Bill'!Q116-'FY16 Feb Forecast'!Q116</f>
        <v>0</v>
      </c>
      <c r="R116" s="105">
        <f>+'FY16 Tax Bill'!R116-'FY16 Feb Forecast'!R116</f>
        <v>424</v>
      </c>
      <c r="S116" s="105">
        <f>+'FY16 Tax Bill'!S116-'FY16 Feb Forecast'!S116</f>
        <v>423.99999999999994</v>
      </c>
      <c r="T116" s="108">
        <f>+'FY16 Tax Bill'!T116-'FY16 Feb Forecast'!T116</f>
        <v>0</v>
      </c>
    </row>
    <row r="117" spans="1:20" x14ac:dyDescent="0.2">
      <c r="A117" s="109">
        <v>308</v>
      </c>
      <c r="B117" s="110">
        <v>1</v>
      </c>
      <c r="C117" s="103" t="s">
        <v>236</v>
      </c>
      <c r="D117" s="103">
        <v>6</v>
      </c>
      <c r="E117" s="104">
        <f>+SUMIF('GE16FEB14 Unfudged'!$A$2:$A$498, $A117, 'GE16FEB14 Unfudged'!$D$2:$D$498)</f>
        <v>610</v>
      </c>
      <c r="F117" s="104">
        <f>+'FY16 Tax Bill'!F117-'FY16 Feb Forecast'!F117</f>
        <v>3371</v>
      </c>
      <c r="G117" s="105">
        <f>+'FY16 Tax Bill'!G117-'FY16 Feb Forecast'!G117</f>
        <v>3371</v>
      </c>
      <c r="H117" s="106">
        <f>+'FY16 Tax Bill'!H117-'FY16 Feb Forecast'!H117</f>
        <v>0</v>
      </c>
      <c r="I117" s="107">
        <f>+'FY16 Tax Bill'!I117-'FY16 Feb Forecast'!I117</f>
        <v>258470</v>
      </c>
      <c r="J117" s="105">
        <f>+'FY16 Tax Bill'!J117-'FY16 Feb Forecast'!J117</f>
        <v>258470</v>
      </c>
      <c r="K117" s="106">
        <f>+'FY16 Tax Bill'!K117-'FY16 Feb Forecast'!K117</f>
        <v>0</v>
      </c>
      <c r="L117" s="107">
        <f>+'FY16 Tax Bill'!L117-'FY16 Feb Forecast'!L117</f>
        <v>-73530</v>
      </c>
      <c r="M117" s="105">
        <f>+'FY16 Tax Bill'!M117-'FY16 Feb Forecast'!M117</f>
        <v>-23734</v>
      </c>
      <c r="N117" s="106">
        <f>+'FY16 Tax Bill'!N117-'FY16 Feb Forecast'!N117</f>
        <v>-49796</v>
      </c>
      <c r="O117" s="107">
        <f>+'FY16 Tax Bill'!O117-'FY16 Feb Forecast'!O117</f>
        <v>188311</v>
      </c>
      <c r="P117" s="105">
        <f>+'FY16 Tax Bill'!P117-'FY16 Feb Forecast'!P117</f>
        <v>238107</v>
      </c>
      <c r="Q117" s="106">
        <f>+'FY16 Tax Bill'!Q117-'FY16 Feb Forecast'!Q117</f>
        <v>-49796</v>
      </c>
      <c r="R117" s="105">
        <f>+'FY16 Tax Bill'!R117-'FY16 Feb Forecast'!R117</f>
        <v>308.70655737704908</v>
      </c>
      <c r="S117" s="105">
        <f>+'FY16 Tax Bill'!S117-'FY16 Feb Forecast'!S117</f>
        <v>390.33934426229501</v>
      </c>
      <c r="T117" s="108">
        <f>+'FY16 Tax Bill'!T117-'FY16 Feb Forecast'!T117</f>
        <v>-81.632786885245878</v>
      </c>
    </row>
    <row r="118" spans="1:20" x14ac:dyDescent="0.2">
      <c r="A118" s="109">
        <v>309</v>
      </c>
      <c r="B118" s="110">
        <v>1</v>
      </c>
      <c r="C118" s="103" t="s">
        <v>237</v>
      </c>
      <c r="D118" s="103">
        <v>5</v>
      </c>
      <c r="E118" s="104">
        <f>+SUMIF('GE16FEB14 Unfudged'!$A$2:$A$498, $A118, 'GE16FEB14 Unfudged'!$D$2:$D$498)</f>
        <v>1635</v>
      </c>
      <c r="F118" s="104">
        <f>+'FY16 Tax Bill'!F118-'FY16 Feb Forecast'!F118</f>
        <v>30654</v>
      </c>
      <c r="G118" s="105">
        <f>+'FY16 Tax Bill'!G118-'FY16 Feb Forecast'!G118</f>
        <v>30654</v>
      </c>
      <c r="H118" s="106">
        <f>+'FY16 Tax Bill'!H118-'FY16 Feb Forecast'!H118</f>
        <v>0</v>
      </c>
      <c r="I118" s="107">
        <f>+'FY16 Tax Bill'!I118-'FY16 Feb Forecast'!I118</f>
        <v>693155</v>
      </c>
      <c r="J118" s="105">
        <f>+'FY16 Tax Bill'!J118-'FY16 Feb Forecast'!J118</f>
        <v>693155</v>
      </c>
      <c r="K118" s="106">
        <f>+'FY16 Tax Bill'!K118-'FY16 Feb Forecast'!K118</f>
        <v>0</v>
      </c>
      <c r="L118" s="107">
        <f>+'FY16 Tax Bill'!L118-'FY16 Feb Forecast'!L118</f>
        <v>-668633</v>
      </c>
      <c r="M118" s="105">
        <f>+'FY16 Tax Bill'!M118-'FY16 Feb Forecast'!M118</f>
        <v>-668633</v>
      </c>
      <c r="N118" s="106">
        <f>+'FY16 Tax Bill'!N118-'FY16 Feb Forecast'!N118</f>
        <v>0</v>
      </c>
      <c r="O118" s="107">
        <f>+'FY16 Tax Bill'!O118-'FY16 Feb Forecast'!O118</f>
        <v>55176</v>
      </c>
      <c r="P118" s="105">
        <f>+'FY16 Tax Bill'!P118-'FY16 Feb Forecast'!P118</f>
        <v>55176</v>
      </c>
      <c r="Q118" s="106">
        <f>+'FY16 Tax Bill'!Q118-'FY16 Feb Forecast'!Q118</f>
        <v>0</v>
      </c>
      <c r="R118" s="105">
        <f>+'FY16 Tax Bill'!R118-'FY16 Feb Forecast'!R118</f>
        <v>33.746788990825621</v>
      </c>
      <c r="S118" s="105">
        <f>+'FY16 Tax Bill'!S118-'FY16 Feb Forecast'!S118</f>
        <v>33.746788990825735</v>
      </c>
      <c r="T118" s="108">
        <f>+'FY16 Tax Bill'!T118-'FY16 Feb Forecast'!T118</f>
        <v>0</v>
      </c>
    </row>
    <row r="119" spans="1:20" x14ac:dyDescent="0.2">
      <c r="A119" s="109">
        <v>314</v>
      </c>
      <c r="B119" s="110">
        <v>1</v>
      </c>
      <c r="C119" s="103" t="s">
        <v>238</v>
      </c>
      <c r="D119" s="103">
        <v>6</v>
      </c>
      <c r="E119" s="104">
        <f>+SUMIF('GE16FEB14 Unfudged'!$A$2:$A$498, $A119, 'GE16FEB14 Unfudged'!$D$2:$D$498)</f>
        <v>930</v>
      </c>
      <c r="F119" s="104">
        <f>+'FY16 Tax Bill'!F119-'FY16 Feb Forecast'!F119</f>
        <v>11736</v>
      </c>
      <c r="G119" s="105">
        <f>+'FY16 Tax Bill'!G119-'FY16 Feb Forecast'!G119</f>
        <v>5966</v>
      </c>
      <c r="H119" s="106">
        <f>+'FY16 Tax Bill'!H119-'FY16 Feb Forecast'!H119</f>
        <v>5770</v>
      </c>
      <c r="I119" s="107">
        <f>+'FY16 Tax Bill'!I119-'FY16 Feb Forecast'!I119</f>
        <v>394235</v>
      </c>
      <c r="J119" s="105">
        <f>+'FY16 Tax Bill'!J119-'FY16 Feb Forecast'!J119</f>
        <v>200411</v>
      </c>
      <c r="K119" s="106">
        <f>+'FY16 Tax Bill'!K119-'FY16 Feb Forecast'!K119</f>
        <v>193824</v>
      </c>
      <c r="L119" s="107">
        <f>+'FY16 Tax Bill'!L119-'FY16 Feb Forecast'!L119</f>
        <v>-255993</v>
      </c>
      <c r="M119" s="105">
        <f>+'FY16 Tax Bill'!M119-'FY16 Feb Forecast'!M119</f>
        <v>-130135</v>
      </c>
      <c r="N119" s="106">
        <f>+'FY16 Tax Bill'!N119-'FY16 Feb Forecast'!N119</f>
        <v>-125858</v>
      </c>
      <c r="O119" s="107">
        <f>+'FY16 Tax Bill'!O119-'FY16 Feb Forecast'!O119</f>
        <v>149978</v>
      </c>
      <c r="P119" s="105">
        <f>+'FY16 Tax Bill'!P119-'FY16 Feb Forecast'!P119</f>
        <v>76242</v>
      </c>
      <c r="Q119" s="106">
        <f>+'FY16 Tax Bill'!Q119-'FY16 Feb Forecast'!Q119</f>
        <v>73736</v>
      </c>
      <c r="R119" s="105">
        <f>+'FY16 Tax Bill'!R119-'FY16 Feb Forecast'!R119</f>
        <v>161.26666666666677</v>
      </c>
      <c r="S119" s="105">
        <f>+'FY16 Tax Bill'!S119-'FY16 Feb Forecast'!S119</f>
        <v>81.98064516129034</v>
      </c>
      <c r="T119" s="108">
        <f>+'FY16 Tax Bill'!T119-'FY16 Feb Forecast'!T119</f>
        <v>79.286021505376311</v>
      </c>
    </row>
    <row r="120" spans="1:20" x14ac:dyDescent="0.2">
      <c r="A120" s="109">
        <v>316</v>
      </c>
      <c r="B120" s="110">
        <v>1</v>
      </c>
      <c r="C120" s="103" t="s">
        <v>239</v>
      </c>
      <c r="D120" s="103">
        <v>5</v>
      </c>
      <c r="E120" s="104">
        <f>+SUMIF('GE16FEB14 Unfudged'!$A$2:$A$498, $A120, 'GE16FEB14 Unfudged'!$D$2:$D$498)</f>
        <v>1129</v>
      </c>
      <c r="F120" s="104">
        <f>+'FY16 Tax Bill'!F120-'FY16 Feb Forecast'!F120</f>
        <v>0</v>
      </c>
      <c r="G120" s="105">
        <f>+'FY16 Tax Bill'!G120-'FY16 Feb Forecast'!G120</f>
        <v>0</v>
      </c>
      <c r="H120" s="106">
        <f>+'FY16 Tax Bill'!H120-'FY16 Feb Forecast'!H120</f>
        <v>0</v>
      </c>
      <c r="I120" s="107">
        <f>+'FY16 Tax Bill'!I120-'FY16 Feb Forecast'!I120</f>
        <v>478569</v>
      </c>
      <c r="J120" s="105">
        <f>+'FY16 Tax Bill'!J120-'FY16 Feb Forecast'!J120</f>
        <v>411959</v>
      </c>
      <c r="K120" s="106">
        <f>+'FY16 Tax Bill'!K120-'FY16 Feb Forecast'!K120</f>
        <v>66610</v>
      </c>
      <c r="L120" s="107">
        <f>+'FY16 Tax Bill'!L120-'FY16 Feb Forecast'!L120</f>
        <v>0</v>
      </c>
      <c r="M120" s="105">
        <f>+'FY16 Tax Bill'!M120-'FY16 Feb Forecast'!M120</f>
        <v>0</v>
      </c>
      <c r="N120" s="106">
        <f>+'FY16 Tax Bill'!N120-'FY16 Feb Forecast'!N120</f>
        <v>0</v>
      </c>
      <c r="O120" s="107">
        <f>+'FY16 Tax Bill'!O120-'FY16 Feb Forecast'!O120</f>
        <v>478569</v>
      </c>
      <c r="P120" s="105">
        <f>+'FY16 Tax Bill'!P120-'FY16 Feb Forecast'!P120</f>
        <v>411959</v>
      </c>
      <c r="Q120" s="106">
        <f>+'FY16 Tax Bill'!Q120-'FY16 Feb Forecast'!Q120</f>
        <v>66610</v>
      </c>
      <c r="R120" s="105">
        <f>+'FY16 Tax Bill'!R120-'FY16 Feb Forecast'!R120</f>
        <v>423.88751107174494</v>
      </c>
      <c r="S120" s="105">
        <f>+'FY16 Tax Bill'!S120-'FY16 Feb Forecast'!S120</f>
        <v>364.88839681133749</v>
      </c>
      <c r="T120" s="108">
        <f>+'FY16 Tax Bill'!T120-'FY16 Feb Forecast'!T120</f>
        <v>58.999114260407453</v>
      </c>
    </row>
    <row r="121" spans="1:20" x14ac:dyDescent="0.2">
      <c r="A121" s="109">
        <v>317</v>
      </c>
      <c r="B121" s="110">
        <v>1</v>
      </c>
      <c r="C121" s="103" t="s">
        <v>240</v>
      </c>
      <c r="D121" s="103">
        <v>6</v>
      </c>
      <c r="E121" s="104">
        <f>+SUMIF('GE16FEB14 Unfudged'!$A$2:$A$498, $A121, 'GE16FEB14 Unfudged'!$D$2:$D$498)</f>
        <v>986</v>
      </c>
      <c r="F121" s="104">
        <f>+'FY16 Tax Bill'!F121-'FY16 Feb Forecast'!F121</f>
        <v>0</v>
      </c>
      <c r="G121" s="105">
        <f>+'FY16 Tax Bill'!G121-'FY16 Feb Forecast'!G121</f>
        <v>0</v>
      </c>
      <c r="H121" s="106">
        <f>+'FY16 Tax Bill'!H121-'FY16 Feb Forecast'!H121</f>
        <v>0</v>
      </c>
      <c r="I121" s="107">
        <f>+'FY16 Tax Bill'!I121-'FY16 Feb Forecast'!I121</f>
        <v>418064</v>
      </c>
      <c r="J121" s="105">
        <f>+'FY16 Tax Bill'!J121-'FY16 Feb Forecast'!J121</f>
        <v>291780</v>
      </c>
      <c r="K121" s="106">
        <f>+'FY16 Tax Bill'!K121-'FY16 Feb Forecast'!K121</f>
        <v>126284</v>
      </c>
      <c r="L121" s="107">
        <f>+'FY16 Tax Bill'!L121-'FY16 Feb Forecast'!L121</f>
        <v>0</v>
      </c>
      <c r="M121" s="105">
        <f>+'FY16 Tax Bill'!M121-'FY16 Feb Forecast'!M121</f>
        <v>0</v>
      </c>
      <c r="N121" s="106">
        <f>+'FY16 Tax Bill'!N121-'FY16 Feb Forecast'!N121</f>
        <v>0</v>
      </c>
      <c r="O121" s="107">
        <f>+'FY16 Tax Bill'!O121-'FY16 Feb Forecast'!O121</f>
        <v>418064</v>
      </c>
      <c r="P121" s="105">
        <f>+'FY16 Tax Bill'!P121-'FY16 Feb Forecast'!P121</f>
        <v>291780</v>
      </c>
      <c r="Q121" s="106">
        <f>+'FY16 Tax Bill'!Q121-'FY16 Feb Forecast'!Q121</f>
        <v>126284</v>
      </c>
      <c r="R121" s="105">
        <f>+'FY16 Tax Bill'!R121-'FY16 Feb Forecast'!R121</f>
        <v>424</v>
      </c>
      <c r="S121" s="105">
        <f>+'FY16 Tax Bill'!S121-'FY16 Feb Forecast'!S121</f>
        <v>295.92292089249497</v>
      </c>
      <c r="T121" s="108">
        <f>+'FY16 Tax Bill'!T121-'FY16 Feb Forecast'!T121</f>
        <v>128.07707910750506</v>
      </c>
    </row>
    <row r="122" spans="1:20" x14ac:dyDescent="0.2">
      <c r="A122" s="109">
        <v>318</v>
      </c>
      <c r="B122" s="110">
        <v>1</v>
      </c>
      <c r="C122" s="103" t="s">
        <v>241</v>
      </c>
      <c r="D122" s="103">
        <v>4</v>
      </c>
      <c r="E122" s="104">
        <f>+SUMIF('GE16FEB14 Unfudged'!$A$2:$A$498, $A122, 'GE16FEB14 Unfudged'!$D$2:$D$498)</f>
        <v>4379</v>
      </c>
      <c r="F122" s="104">
        <f>+'FY16 Tax Bill'!F122-'FY16 Feb Forecast'!F122</f>
        <v>0</v>
      </c>
      <c r="G122" s="105">
        <f>+'FY16 Tax Bill'!G122-'FY16 Feb Forecast'!G122</f>
        <v>0</v>
      </c>
      <c r="H122" s="106">
        <f>+'FY16 Tax Bill'!H122-'FY16 Feb Forecast'!H122</f>
        <v>0</v>
      </c>
      <c r="I122" s="107">
        <f>+'FY16 Tax Bill'!I122-'FY16 Feb Forecast'!I122</f>
        <v>928242</v>
      </c>
      <c r="J122" s="105">
        <f>+'FY16 Tax Bill'!J122-'FY16 Feb Forecast'!J122</f>
        <v>928242</v>
      </c>
      <c r="K122" s="106">
        <f>+'FY16 Tax Bill'!K122-'FY16 Feb Forecast'!K122</f>
        <v>0</v>
      </c>
      <c r="L122" s="107">
        <f>+'FY16 Tax Bill'!L122-'FY16 Feb Forecast'!L122</f>
        <v>0</v>
      </c>
      <c r="M122" s="105">
        <f>+'FY16 Tax Bill'!M122-'FY16 Feb Forecast'!M122</f>
        <v>0</v>
      </c>
      <c r="N122" s="106">
        <f>+'FY16 Tax Bill'!N122-'FY16 Feb Forecast'!N122</f>
        <v>0</v>
      </c>
      <c r="O122" s="107">
        <f>+'FY16 Tax Bill'!O122-'FY16 Feb Forecast'!O122</f>
        <v>928242</v>
      </c>
      <c r="P122" s="105">
        <f>+'FY16 Tax Bill'!P122-'FY16 Feb Forecast'!P122</f>
        <v>928242</v>
      </c>
      <c r="Q122" s="106">
        <f>+'FY16 Tax Bill'!Q122-'FY16 Feb Forecast'!Q122</f>
        <v>0</v>
      </c>
      <c r="R122" s="105">
        <f>+'FY16 Tax Bill'!R122-'FY16 Feb Forecast'!R122</f>
        <v>211.97579356017354</v>
      </c>
      <c r="S122" s="105">
        <f>+'FY16 Tax Bill'!S122-'FY16 Feb Forecast'!S122</f>
        <v>211.97579356017354</v>
      </c>
      <c r="T122" s="108">
        <f>+'FY16 Tax Bill'!T122-'FY16 Feb Forecast'!T122</f>
        <v>0</v>
      </c>
    </row>
    <row r="123" spans="1:20" x14ac:dyDescent="0.2">
      <c r="A123" s="109">
        <v>319</v>
      </c>
      <c r="B123" s="110">
        <v>1</v>
      </c>
      <c r="C123" s="103" t="s">
        <v>242</v>
      </c>
      <c r="D123" s="103">
        <v>6</v>
      </c>
      <c r="E123" s="104">
        <f>+SUMIF('GE16FEB14 Unfudged'!$A$2:$A$498, $A123, 'GE16FEB14 Unfudged'!$D$2:$D$498)</f>
        <v>591</v>
      </c>
      <c r="F123" s="104">
        <f>+'FY16 Tax Bill'!F123-'FY16 Feb Forecast'!F123</f>
        <v>11189</v>
      </c>
      <c r="G123" s="105">
        <f>+'FY16 Tax Bill'!G123-'FY16 Feb Forecast'!G123</f>
        <v>7136</v>
      </c>
      <c r="H123" s="106">
        <f>+'FY16 Tax Bill'!H123-'FY16 Feb Forecast'!H123</f>
        <v>4053</v>
      </c>
      <c r="I123" s="107">
        <f>+'FY16 Tax Bill'!I123-'FY16 Feb Forecast'!I123</f>
        <v>250775</v>
      </c>
      <c r="J123" s="105">
        <f>+'FY16 Tax Bill'!J123-'FY16 Feb Forecast'!J123</f>
        <v>159924</v>
      </c>
      <c r="K123" s="106">
        <f>+'FY16 Tax Bill'!K123-'FY16 Feb Forecast'!K123</f>
        <v>90851</v>
      </c>
      <c r="L123" s="107">
        <f>+'FY16 Tax Bill'!L123-'FY16 Feb Forecast'!L123</f>
        <v>-250775</v>
      </c>
      <c r="M123" s="105">
        <f>+'FY16 Tax Bill'!M123-'FY16 Feb Forecast'!M123</f>
        <v>-159924</v>
      </c>
      <c r="N123" s="106">
        <f>+'FY16 Tax Bill'!N123-'FY16 Feb Forecast'!N123</f>
        <v>-90851</v>
      </c>
      <c r="O123" s="107">
        <f>+'FY16 Tax Bill'!O123-'FY16 Feb Forecast'!O123</f>
        <v>11189</v>
      </c>
      <c r="P123" s="105">
        <f>+'FY16 Tax Bill'!P123-'FY16 Feb Forecast'!P123</f>
        <v>7136</v>
      </c>
      <c r="Q123" s="106">
        <f>+'FY16 Tax Bill'!Q123-'FY16 Feb Forecast'!Q123</f>
        <v>4053</v>
      </c>
      <c r="R123" s="105">
        <f>+'FY16 Tax Bill'!R123-'FY16 Feb Forecast'!R123</f>
        <v>18.93231810490704</v>
      </c>
      <c r="S123" s="105">
        <f>+'FY16 Tax Bill'!S123-'FY16 Feb Forecast'!S123</f>
        <v>12.074450084602347</v>
      </c>
      <c r="T123" s="108">
        <f>+'FY16 Tax Bill'!T123-'FY16 Feb Forecast'!T123</f>
        <v>6.8578680203045792</v>
      </c>
    </row>
    <row r="124" spans="1:20" x14ac:dyDescent="0.2">
      <c r="A124" s="109">
        <v>323</v>
      </c>
      <c r="B124" s="110">
        <v>1</v>
      </c>
      <c r="C124" s="103" t="s">
        <v>243</v>
      </c>
      <c r="D124" s="103">
        <v>6</v>
      </c>
      <c r="E124" s="104">
        <f>+SUMIF('GE16FEB14 Unfudged'!$A$2:$A$498, $A124, 'GE16FEB14 Unfudged'!$D$2:$D$498)</f>
        <v>32</v>
      </c>
      <c r="F124" s="104">
        <f>+'FY16 Tax Bill'!F124-'FY16 Feb Forecast'!F124</f>
        <v>332</v>
      </c>
      <c r="G124" s="105">
        <f>+'FY16 Tax Bill'!G124-'FY16 Feb Forecast'!G124</f>
        <v>332</v>
      </c>
      <c r="H124" s="106">
        <f>+'FY16 Tax Bill'!H124-'FY16 Feb Forecast'!H124</f>
        <v>0</v>
      </c>
      <c r="I124" s="107">
        <f>+'FY16 Tax Bill'!I124-'FY16 Feb Forecast'!I124</f>
        <v>13632</v>
      </c>
      <c r="J124" s="105">
        <f>+'FY16 Tax Bill'!J124-'FY16 Feb Forecast'!J124</f>
        <v>13632</v>
      </c>
      <c r="K124" s="106">
        <f>+'FY16 Tax Bill'!K124-'FY16 Feb Forecast'!K124</f>
        <v>0</v>
      </c>
      <c r="L124" s="107">
        <f>+'FY16 Tax Bill'!L124-'FY16 Feb Forecast'!L124</f>
        <v>-13632</v>
      </c>
      <c r="M124" s="105">
        <f>+'FY16 Tax Bill'!M124-'FY16 Feb Forecast'!M124</f>
        <v>-12359</v>
      </c>
      <c r="N124" s="106">
        <f>+'FY16 Tax Bill'!N124-'FY16 Feb Forecast'!N124</f>
        <v>-1273</v>
      </c>
      <c r="O124" s="107">
        <f>+'FY16 Tax Bill'!O124-'FY16 Feb Forecast'!O124</f>
        <v>332</v>
      </c>
      <c r="P124" s="105">
        <f>+'FY16 Tax Bill'!P124-'FY16 Feb Forecast'!P124</f>
        <v>1605</v>
      </c>
      <c r="Q124" s="106">
        <f>+'FY16 Tax Bill'!Q124-'FY16 Feb Forecast'!Q124</f>
        <v>-1273</v>
      </c>
      <c r="R124" s="105">
        <f>+'FY16 Tax Bill'!R124-'FY16 Feb Forecast'!R124</f>
        <v>10.375</v>
      </c>
      <c r="S124" s="105">
        <f>+'FY16 Tax Bill'!S124-'FY16 Feb Forecast'!S124</f>
        <v>50.15625</v>
      </c>
      <c r="T124" s="108">
        <f>+'FY16 Tax Bill'!T124-'FY16 Feb Forecast'!T124</f>
        <v>-39.78125</v>
      </c>
    </row>
    <row r="125" spans="1:20" x14ac:dyDescent="0.2">
      <c r="A125" s="109">
        <v>330</v>
      </c>
      <c r="B125" s="110">
        <v>1</v>
      </c>
      <c r="C125" s="103" t="s">
        <v>244</v>
      </c>
      <c r="D125" s="103">
        <v>6</v>
      </c>
      <c r="E125" s="104">
        <f>+SUMIF('GE16FEB14 Unfudged'!$A$2:$A$498, $A125, 'GE16FEB14 Unfudged'!$D$2:$D$498)</f>
        <v>290</v>
      </c>
      <c r="F125" s="104">
        <f>+'FY16 Tax Bill'!F125-'FY16 Feb Forecast'!F125</f>
        <v>1149</v>
      </c>
      <c r="G125" s="105">
        <f>+'FY16 Tax Bill'!G125-'FY16 Feb Forecast'!G125</f>
        <v>733</v>
      </c>
      <c r="H125" s="106">
        <f>+'FY16 Tax Bill'!H125-'FY16 Feb Forecast'!H125</f>
        <v>416</v>
      </c>
      <c r="I125" s="107">
        <f>+'FY16 Tax Bill'!I125-'FY16 Feb Forecast'!I125</f>
        <v>122960</v>
      </c>
      <c r="J125" s="105">
        <f>+'FY16 Tax Bill'!J125-'FY16 Feb Forecast'!J125</f>
        <v>78417</v>
      </c>
      <c r="K125" s="106">
        <f>+'FY16 Tax Bill'!K125-'FY16 Feb Forecast'!K125</f>
        <v>44543</v>
      </c>
      <c r="L125" s="107">
        <f>+'FY16 Tax Bill'!L125-'FY16 Feb Forecast'!L125</f>
        <v>-122960</v>
      </c>
      <c r="M125" s="105">
        <f>+'FY16 Tax Bill'!M125-'FY16 Feb Forecast'!M125</f>
        <v>-122960</v>
      </c>
      <c r="N125" s="106">
        <f>+'FY16 Tax Bill'!N125-'FY16 Feb Forecast'!N125</f>
        <v>0</v>
      </c>
      <c r="O125" s="107">
        <f>+'FY16 Tax Bill'!O125-'FY16 Feb Forecast'!O125</f>
        <v>1149</v>
      </c>
      <c r="P125" s="105">
        <f>+'FY16 Tax Bill'!P125-'FY16 Feb Forecast'!P125</f>
        <v>-43810</v>
      </c>
      <c r="Q125" s="106">
        <f>+'FY16 Tax Bill'!Q125-'FY16 Feb Forecast'!Q125</f>
        <v>44959</v>
      </c>
      <c r="R125" s="105">
        <f>+'FY16 Tax Bill'!R125-'FY16 Feb Forecast'!R125</f>
        <v>3.9620689655171191</v>
      </c>
      <c r="S125" s="105">
        <f>+'FY16 Tax Bill'!S125-'FY16 Feb Forecast'!S125</f>
        <v>-151.06896551724117</v>
      </c>
      <c r="T125" s="108">
        <f>+'FY16 Tax Bill'!T125-'FY16 Feb Forecast'!T125</f>
        <v>155.03103448275863</v>
      </c>
    </row>
    <row r="126" spans="1:20" x14ac:dyDescent="0.2">
      <c r="A126" s="109">
        <v>332</v>
      </c>
      <c r="B126" s="110">
        <v>2</v>
      </c>
      <c r="C126" s="103" t="s">
        <v>245</v>
      </c>
      <c r="D126" s="103">
        <v>5</v>
      </c>
      <c r="E126" s="104">
        <f>+SUMIF('GE16FEB14 Unfudged'!$A$2:$A$498, $A126, 'GE16FEB14 Unfudged'!$D$2:$D$498)</f>
        <v>1878</v>
      </c>
      <c r="F126" s="104">
        <f>+'FY16 Tax Bill'!F126-'FY16 Feb Forecast'!F126</f>
        <v>0</v>
      </c>
      <c r="G126" s="105">
        <f>+'FY16 Tax Bill'!G126-'FY16 Feb Forecast'!G126</f>
        <v>0</v>
      </c>
      <c r="H126" s="106">
        <f>+'FY16 Tax Bill'!H126-'FY16 Feb Forecast'!H126</f>
        <v>0</v>
      </c>
      <c r="I126" s="107">
        <f>+'FY16 Tax Bill'!I126-'FY16 Feb Forecast'!I126</f>
        <v>796102</v>
      </c>
      <c r="J126" s="105">
        <f>+'FY16 Tax Bill'!J126-'FY16 Feb Forecast'!J126</f>
        <v>427843</v>
      </c>
      <c r="K126" s="106">
        <f>+'FY16 Tax Bill'!K126-'FY16 Feb Forecast'!K126</f>
        <v>368259</v>
      </c>
      <c r="L126" s="107">
        <f>+'FY16 Tax Bill'!L126-'FY16 Feb Forecast'!L126</f>
        <v>0</v>
      </c>
      <c r="M126" s="105">
        <f>+'FY16 Tax Bill'!M126-'FY16 Feb Forecast'!M126</f>
        <v>0</v>
      </c>
      <c r="N126" s="106">
        <f>+'FY16 Tax Bill'!N126-'FY16 Feb Forecast'!N126</f>
        <v>0</v>
      </c>
      <c r="O126" s="107">
        <f>+'FY16 Tax Bill'!O126-'FY16 Feb Forecast'!O126</f>
        <v>796102</v>
      </c>
      <c r="P126" s="105">
        <f>+'FY16 Tax Bill'!P126-'FY16 Feb Forecast'!P126</f>
        <v>427843</v>
      </c>
      <c r="Q126" s="106">
        <f>+'FY16 Tax Bill'!Q126-'FY16 Feb Forecast'!Q126</f>
        <v>368259</v>
      </c>
      <c r="R126" s="105">
        <f>+'FY16 Tax Bill'!R126-'FY16 Feb Forecast'!R126</f>
        <v>423.90947816826412</v>
      </c>
      <c r="S126" s="105">
        <f>+'FY16 Tax Bill'!S126-'FY16 Feb Forecast'!S126</f>
        <v>227.81842385516507</v>
      </c>
      <c r="T126" s="108">
        <f>+'FY16 Tax Bill'!T126-'FY16 Feb Forecast'!T126</f>
        <v>196.09105431309905</v>
      </c>
    </row>
    <row r="127" spans="1:20" x14ac:dyDescent="0.2">
      <c r="A127" s="109">
        <v>333</v>
      </c>
      <c r="B127" s="110">
        <v>1</v>
      </c>
      <c r="C127" s="103" t="s">
        <v>246</v>
      </c>
      <c r="D127" s="103">
        <v>6</v>
      </c>
      <c r="E127" s="104">
        <f>+SUMIF('GE16FEB14 Unfudged'!$A$2:$A$498, $A127, 'GE16FEB14 Unfudged'!$D$2:$D$498)</f>
        <v>583</v>
      </c>
      <c r="F127" s="104">
        <f>+'FY16 Tax Bill'!F127-'FY16 Feb Forecast'!F127</f>
        <v>0</v>
      </c>
      <c r="G127" s="105">
        <f>+'FY16 Tax Bill'!G127-'FY16 Feb Forecast'!G127</f>
        <v>0</v>
      </c>
      <c r="H127" s="106">
        <f>+'FY16 Tax Bill'!H127-'FY16 Feb Forecast'!H127</f>
        <v>0</v>
      </c>
      <c r="I127" s="107">
        <f>+'FY16 Tax Bill'!I127-'FY16 Feb Forecast'!I127</f>
        <v>247277</v>
      </c>
      <c r="J127" s="105">
        <f>+'FY16 Tax Bill'!J127-'FY16 Feb Forecast'!J127</f>
        <v>98306</v>
      </c>
      <c r="K127" s="106">
        <f>+'FY16 Tax Bill'!K127-'FY16 Feb Forecast'!K127</f>
        <v>148971</v>
      </c>
      <c r="L127" s="107">
        <f>+'FY16 Tax Bill'!L127-'FY16 Feb Forecast'!L127</f>
        <v>0</v>
      </c>
      <c r="M127" s="105">
        <f>+'FY16 Tax Bill'!M127-'FY16 Feb Forecast'!M127</f>
        <v>0</v>
      </c>
      <c r="N127" s="106">
        <f>+'FY16 Tax Bill'!N127-'FY16 Feb Forecast'!N127</f>
        <v>0</v>
      </c>
      <c r="O127" s="107">
        <f>+'FY16 Tax Bill'!O127-'FY16 Feb Forecast'!O127</f>
        <v>247277</v>
      </c>
      <c r="P127" s="105">
        <f>+'FY16 Tax Bill'!P127-'FY16 Feb Forecast'!P127</f>
        <v>98306</v>
      </c>
      <c r="Q127" s="106">
        <f>+'FY16 Tax Bill'!Q127-'FY16 Feb Forecast'!Q127</f>
        <v>148971</v>
      </c>
      <c r="R127" s="105">
        <f>+'FY16 Tax Bill'!R127-'FY16 Feb Forecast'!R127</f>
        <v>424.14579759862778</v>
      </c>
      <c r="S127" s="105">
        <f>+'FY16 Tax Bill'!S127-'FY16 Feb Forecast'!S127</f>
        <v>168.62092624356777</v>
      </c>
      <c r="T127" s="108">
        <f>+'FY16 Tax Bill'!T127-'FY16 Feb Forecast'!T127</f>
        <v>255.52487135505999</v>
      </c>
    </row>
    <row r="128" spans="1:20" x14ac:dyDescent="0.2">
      <c r="A128" s="109">
        <v>345</v>
      </c>
      <c r="B128" s="110">
        <v>1</v>
      </c>
      <c r="C128" s="103" t="s">
        <v>247</v>
      </c>
      <c r="D128" s="103">
        <v>5</v>
      </c>
      <c r="E128" s="104">
        <f>+SUMIF('GE16FEB14 Unfudged'!$A$2:$A$498, $A128, 'GE16FEB14 Unfudged'!$D$2:$D$498)</f>
        <v>1454</v>
      </c>
      <c r="F128" s="104">
        <f>+'FY16 Tax Bill'!F128-'FY16 Feb Forecast'!F128</f>
        <v>20517</v>
      </c>
      <c r="G128" s="105">
        <f>+'FY16 Tax Bill'!G128-'FY16 Feb Forecast'!G128</f>
        <v>20517</v>
      </c>
      <c r="H128" s="106">
        <f>+'FY16 Tax Bill'!H128-'FY16 Feb Forecast'!H128</f>
        <v>0</v>
      </c>
      <c r="I128" s="107">
        <f>+'FY16 Tax Bill'!I128-'FY16 Feb Forecast'!I128</f>
        <v>616326</v>
      </c>
      <c r="J128" s="105">
        <f>+'FY16 Tax Bill'!J128-'FY16 Feb Forecast'!J128</f>
        <v>616326</v>
      </c>
      <c r="K128" s="106">
        <f>+'FY16 Tax Bill'!K128-'FY16 Feb Forecast'!K128</f>
        <v>0</v>
      </c>
      <c r="L128" s="107">
        <f>+'FY16 Tax Bill'!L128-'FY16 Feb Forecast'!L128</f>
        <v>-447520</v>
      </c>
      <c r="M128" s="105">
        <f>+'FY16 Tax Bill'!M128-'FY16 Feb Forecast'!M128</f>
        <v>-447520</v>
      </c>
      <c r="N128" s="106">
        <f>+'FY16 Tax Bill'!N128-'FY16 Feb Forecast'!N128</f>
        <v>0</v>
      </c>
      <c r="O128" s="107">
        <f>+'FY16 Tax Bill'!O128-'FY16 Feb Forecast'!O128</f>
        <v>189323</v>
      </c>
      <c r="P128" s="105">
        <f>+'FY16 Tax Bill'!P128-'FY16 Feb Forecast'!P128</f>
        <v>189323</v>
      </c>
      <c r="Q128" s="106">
        <f>+'FY16 Tax Bill'!Q128-'FY16 Feb Forecast'!Q128</f>
        <v>0</v>
      </c>
      <c r="R128" s="105">
        <f>+'FY16 Tax Bill'!R128-'FY16 Feb Forecast'!R128</f>
        <v>130.20839064649238</v>
      </c>
      <c r="S128" s="105">
        <f>+'FY16 Tax Bill'!S128-'FY16 Feb Forecast'!S128</f>
        <v>130.20839064649238</v>
      </c>
      <c r="T128" s="108">
        <f>+'FY16 Tax Bill'!T128-'FY16 Feb Forecast'!T128</f>
        <v>0</v>
      </c>
    </row>
    <row r="129" spans="1:20" x14ac:dyDescent="0.2">
      <c r="A129" s="109">
        <v>347</v>
      </c>
      <c r="B129" s="110">
        <v>1</v>
      </c>
      <c r="C129" s="103" t="s">
        <v>248</v>
      </c>
      <c r="D129" s="103">
        <v>4</v>
      </c>
      <c r="E129" s="104">
        <f>+SUMIF('GE16FEB14 Unfudged'!$A$2:$A$498, $A129, 'GE16FEB14 Unfudged'!$D$2:$D$498)</f>
        <v>4577</v>
      </c>
      <c r="F129" s="104">
        <f>+'FY16 Tax Bill'!F129-'FY16 Feb Forecast'!F129</f>
        <v>41862</v>
      </c>
      <c r="G129" s="105">
        <f>+'FY16 Tax Bill'!G129-'FY16 Feb Forecast'!G129</f>
        <v>25322</v>
      </c>
      <c r="H129" s="106">
        <f>+'FY16 Tax Bill'!H129-'FY16 Feb Forecast'!H129</f>
        <v>16540</v>
      </c>
      <c r="I129" s="107">
        <f>+'FY16 Tax Bill'!I129-'FY16 Feb Forecast'!I129</f>
        <v>970324</v>
      </c>
      <c r="J129" s="105">
        <f>+'FY16 Tax Bill'!J129-'FY16 Feb Forecast'!J129</f>
        <v>586952</v>
      </c>
      <c r="K129" s="106">
        <f>+'FY16 Tax Bill'!K129-'FY16 Feb Forecast'!K129</f>
        <v>383372</v>
      </c>
      <c r="L129" s="107">
        <f>+'FY16 Tax Bill'!L129-'FY16 Feb Forecast'!L129</f>
        <v>-970324</v>
      </c>
      <c r="M129" s="105">
        <f>+'FY16 Tax Bill'!M129-'FY16 Feb Forecast'!M129</f>
        <v>-586952</v>
      </c>
      <c r="N129" s="106">
        <f>+'FY16 Tax Bill'!N129-'FY16 Feb Forecast'!N129</f>
        <v>-383372</v>
      </c>
      <c r="O129" s="107">
        <f>+'FY16 Tax Bill'!O129-'FY16 Feb Forecast'!O129</f>
        <v>41862</v>
      </c>
      <c r="P129" s="105">
        <f>+'FY16 Tax Bill'!P129-'FY16 Feb Forecast'!P129</f>
        <v>25322</v>
      </c>
      <c r="Q129" s="106">
        <f>+'FY16 Tax Bill'!Q129-'FY16 Feb Forecast'!Q129</f>
        <v>16540</v>
      </c>
      <c r="R129" s="105">
        <f>+'FY16 Tax Bill'!R129-'FY16 Feb Forecast'!R129</f>
        <v>9.1461656106620239</v>
      </c>
      <c r="S129" s="105">
        <f>+'FY16 Tax Bill'!S129-'FY16 Feb Forecast'!S129</f>
        <v>5.5324448328599374</v>
      </c>
      <c r="T129" s="108">
        <f>+'FY16 Tax Bill'!T129-'FY16 Feb Forecast'!T129</f>
        <v>3.6137207778020866</v>
      </c>
    </row>
    <row r="130" spans="1:20" x14ac:dyDescent="0.2">
      <c r="A130" s="109">
        <v>356</v>
      </c>
      <c r="B130" s="110">
        <v>1</v>
      </c>
      <c r="C130" s="103" t="s">
        <v>249</v>
      </c>
      <c r="D130" s="103">
        <v>6</v>
      </c>
      <c r="E130" s="104">
        <f>+SUMIF('GE16FEB14 Unfudged'!$A$2:$A$498, $A130, 'GE16FEB14 Unfudged'!$D$2:$D$498)</f>
        <v>163</v>
      </c>
      <c r="F130" s="104">
        <f>+'FY16 Tax Bill'!F130-'FY16 Feb Forecast'!F130</f>
        <v>0</v>
      </c>
      <c r="G130" s="105">
        <f>+'FY16 Tax Bill'!G130-'FY16 Feb Forecast'!G130</f>
        <v>0</v>
      </c>
      <c r="H130" s="106">
        <f>+'FY16 Tax Bill'!H130-'FY16 Feb Forecast'!H130</f>
        <v>0</v>
      </c>
      <c r="I130" s="107">
        <f>+'FY16 Tax Bill'!I130-'FY16 Feb Forecast'!I130</f>
        <v>68921</v>
      </c>
      <c r="J130" s="105">
        <f>+'FY16 Tax Bill'!J130-'FY16 Feb Forecast'!J130</f>
        <v>26556</v>
      </c>
      <c r="K130" s="106">
        <f>+'FY16 Tax Bill'!K130-'FY16 Feb Forecast'!K130</f>
        <v>42365</v>
      </c>
      <c r="L130" s="107">
        <f>+'FY16 Tax Bill'!L130-'FY16 Feb Forecast'!L130</f>
        <v>-68922</v>
      </c>
      <c r="M130" s="105">
        <f>+'FY16 Tax Bill'!M130-'FY16 Feb Forecast'!M130</f>
        <v>-46703</v>
      </c>
      <c r="N130" s="106">
        <f>+'FY16 Tax Bill'!N130-'FY16 Feb Forecast'!N130</f>
        <v>-22219</v>
      </c>
      <c r="O130" s="107">
        <f>+'FY16 Tax Bill'!O130-'FY16 Feb Forecast'!O130</f>
        <v>-1</v>
      </c>
      <c r="P130" s="105">
        <f>+'FY16 Tax Bill'!P130-'FY16 Feb Forecast'!P130</f>
        <v>-20147</v>
      </c>
      <c r="Q130" s="106">
        <f>+'FY16 Tax Bill'!Q130-'FY16 Feb Forecast'!Q130</f>
        <v>20146</v>
      </c>
      <c r="R130" s="105">
        <f>+'FY16 Tax Bill'!R130-'FY16 Feb Forecast'!R130</f>
        <v>-6.1349693255579041E-3</v>
      </c>
      <c r="S130" s="105">
        <f>+'FY16 Tax Bill'!S130-'FY16 Feb Forecast'!S130</f>
        <v>-123.60122699386488</v>
      </c>
      <c r="T130" s="108">
        <f>+'FY16 Tax Bill'!T130-'FY16 Feb Forecast'!T130</f>
        <v>123.59509202453978</v>
      </c>
    </row>
    <row r="131" spans="1:20" x14ac:dyDescent="0.2">
      <c r="A131" s="109">
        <v>361</v>
      </c>
      <c r="B131" s="110">
        <v>1</v>
      </c>
      <c r="C131" s="103" t="s">
        <v>250</v>
      </c>
      <c r="D131" s="103">
        <v>5</v>
      </c>
      <c r="E131" s="104">
        <f>+SUMIF('GE16FEB14 Unfudged'!$A$2:$A$498, $A131, 'GE16FEB14 Unfudged'!$D$2:$D$498)</f>
        <v>1169</v>
      </c>
      <c r="F131" s="104">
        <f>+'FY16 Tax Bill'!F131-'FY16 Feb Forecast'!F131</f>
        <v>21917</v>
      </c>
      <c r="G131" s="105">
        <f>+'FY16 Tax Bill'!G131-'FY16 Feb Forecast'!G131</f>
        <v>15805</v>
      </c>
      <c r="H131" s="106">
        <f>+'FY16 Tax Bill'!H131-'FY16 Feb Forecast'!H131</f>
        <v>6112</v>
      </c>
      <c r="I131" s="107">
        <f>+'FY16 Tax Bill'!I131-'FY16 Feb Forecast'!I131</f>
        <v>495656</v>
      </c>
      <c r="J131" s="105">
        <f>+'FY16 Tax Bill'!J131-'FY16 Feb Forecast'!J131</f>
        <v>357427</v>
      </c>
      <c r="K131" s="106">
        <f>+'FY16 Tax Bill'!K131-'FY16 Feb Forecast'!K131</f>
        <v>138229</v>
      </c>
      <c r="L131" s="107">
        <f>+'FY16 Tax Bill'!L131-'FY16 Feb Forecast'!L131</f>
        <v>-495656</v>
      </c>
      <c r="M131" s="105">
        <f>+'FY16 Tax Bill'!M131-'FY16 Feb Forecast'!M131</f>
        <v>-360981</v>
      </c>
      <c r="N131" s="106">
        <f>+'FY16 Tax Bill'!N131-'FY16 Feb Forecast'!N131</f>
        <v>-134675</v>
      </c>
      <c r="O131" s="107">
        <f>+'FY16 Tax Bill'!O131-'FY16 Feb Forecast'!O131</f>
        <v>21917</v>
      </c>
      <c r="P131" s="105">
        <f>+'FY16 Tax Bill'!P131-'FY16 Feb Forecast'!P131</f>
        <v>12251</v>
      </c>
      <c r="Q131" s="106">
        <f>+'FY16 Tax Bill'!Q131-'FY16 Feb Forecast'!Q131</f>
        <v>9666</v>
      </c>
      <c r="R131" s="105">
        <f>+'FY16 Tax Bill'!R131-'FY16 Feb Forecast'!R131</f>
        <v>18.748502994011915</v>
      </c>
      <c r="S131" s="105">
        <f>+'FY16 Tax Bill'!S131-'FY16 Feb Forecast'!S131</f>
        <v>10.479897348160875</v>
      </c>
      <c r="T131" s="108">
        <f>+'FY16 Tax Bill'!T131-'FY16 Feb Forecast'!T131</f>
        <v>8.268605645851153</v>
      </c>
    </row>
    <row r="132" spans="1:20" x14ac:dyDescent="0.2">
      <c r="A132" s="109">
        <v>362</v>
      </c>
      <c r="B132" s="110">
        <v>1</v>
      </c>
      <c r="C132" s="103" t="s">
        <v>251</v>
      </c>
      <c r="D132" s="103">
        <v>6</v>
      </c>
      <c r="E132" s="104">
        <f>+SUMIF('GE16FEB14 Unfudged'!$A$2:$A$498, $A132, 'GE16FEB14 Unfudged'!$D$2:$D$498)</f>
        <v>365</v>
      </c>
      <c r="F132" s="104">
        <f>+'FY16 Tax Bill'!F132-'FY16 Feb Forecast'!F132</f>
        <v>0</v>
      </c>
      <c r="G132" s="105">
        <f>+'FY16 Tax Bill'!G132-'FY16 Feb Forecast'!G132</f>
        <v>0</v>
      </c>
      <c r="H132" s="106">
        <f>+'FY16 Tax Bill'!H132-'FY16 Feb Forecast'!H132</f>
        <v>0</v>
      </c>
      <c r="I132" s="107">
        <f>+'FY16 Tax Bill'!I132-'FY16 Feb Forecast'!I132</f>
        <v>154718</v>
      </c>
      <c r="J132" s="105">
        <f>+'FY16 Tax Bill'!J132-'FY16 Feb Forecast'!J132</f>
        <v>77063</v>
      </c>
      <c r="K132" s="106">
        <f>+'FY16 Tax Bill'!K132-'FY16 Feb Forecast'!K132</f>
        <v>77655</v>
      </c>
      <c r="L132" s="107">
        <f>+'FY16 Tax Bill'!L132-'FY16 Feb Forecast'!L132</f>
        <v>0</v>
      </c>
      <c r="M132" s="105">
        <f>+'FY16 Tax Bill'!M132-'FY16 Feb Forecast'!M132</f>
        <v>0</v>
      </c>
      <c r="N132" s="106">
        <f>+'FY16 Tax Bill'!N132-'FY16 Feb Forecast'!N132</f>
        <v>0</v>
      </c>
      <c r="O132" s="107">
        <f>+'FY16 Tax Bill'!O132-'FY16 Feb Forecast'!O132</f>
        <v>154718</v>
      </c>
      <c r="P132" s="105">
        <f>+'FY16 Tax Bill'!P132-'FY16 Feb Forecast'!P132</f>
        <v>77063</v>
      </c>
      <c r="Q132" s="106">
        <f>+'FY16 Tax Bill'!Q132-'FY16 Feb Forecast'!Q132</f>
        <v>77655</v>
      </c>
      <c r="R132" s="105">
        <f>+'FY16 Tax Bill'!R132-'FY16 Feb Forecast'!R132</f>
        <v>423.88493150684934</v>
      </c>
      <c r="S132" s="105">
        <f>+'FY16 Tax Bill'!S132-'FY16 Feb Forecast'!S132</f>
        <v>211.13150684931509</v>
      </c>
      <c r="T132" s="108">
        <f>+'FY16 Tax Bill'!T132-'FY16 Feb Forecast'!T132</f>
        <v>212.75342465753425</v>
      </c>
    </row>
    <row r="133" spans="1:20" x14ac:dyDescent="0.2">
      <c r="A133" s="109">
        <v>363</v>
      </c>
      <c r="B133" s="110">
        <v>1</v>
      </c>
      <c r="C133" s="103" t="s">
        <v>252</v>
      </c>
      <c r="D133" s="103">
        <v>6</v>
      </c>
      <c r="E133" s="104">
        <f>+SUMIF('GE16FEB14 Unfudged'!$A$2:$A$498, $A133, 'GE16FEB14 Unfudged'!$D$2:$D$498)</f>
        <v>351</v>
      </c>
      <c r="F133" s="104">
        <f>+'FY16 Tax Bill'!F133-'FY16 Feb Forecast'!F133</f>
        <v>1640</v>
      </c>
      <c r="G133" s="105">
        <f>+'FY16 Tax Bill'!G133-'FY16 Feb Forecast'!G133</f>
        <v>795</v>
      </c>
      <c r="H133" s="106">
        <f>+'FY16 Tax Bill'!H133-'FY16 Feb Forecast'!H133</f>
        <v>845</v>
      </c>
      <c r="I133" s="107">
        <f>+'FY16 Tax Bill'!I133-'FY16 Feb Forecast'!I133</f>
        <v>148676</v>
      </c>
      <c r="J133" s="105">
        <f>+'FY16 Tax Bill'!J133-'FY16 Feb Forecast'!J133</f>
        <v>72101</v>
      </c>
      <c r="K133" s="106">
        <f>+'FY16 Tax Bill'!K133-'FY16 Feb Forecast'!K133</f>
        <v>76575</v>
      </c>
      <c r="L133" s="107">
        <f>+'FY16 Tax Bill'!L133-'FY16 Feb Forecast'!L133</f>
        <v>-35780</v>
      </c>
      <c r="M133" s="105">
        <f>+'FY16 Tax Bill'!M133-'FY16 Feb Forecast'!M133</f>
        <v>28820</v>
      </c>
      <c r="N133" s="106">
        <f>+'FY16 Tax Bill'!N133-'FY16 Feb Forecast'!N133</f>
        <v>-64600</v>
      </c>
      <c r="O133" s="107">
        <f>+'FY16 Tax Bill'!O133-'FY16 Feb Forecast'!O133</f>
        <v>114536</v>
      </c>
      <c r="P133" s="105">
        <f>+'FY16 Tax Bill'!P133-'FY16 Feb Forecast'!P133</f>
        <v>101716</v>
      </c>
      <c r="Q133" s="106">
        <f>+'FY16 Tax Bill'!Q133-'FY16 Feb Forecast'!Q133</f>
        <v>12820</v>
      </c>
      <c r="R133" s="105">
        <f>+'FY16 Tax Bill'!R133-'FY16 Feb Forecast'!R133</f>
        <v>326.31339031339041</v>
      </c>
      <c r="S133" s="105">
        <f>+'FY16 Tax Bill'!S133-'FY16 Feb Forecast'!S133</f>
        <v>289.78917378917379</v>
      </c>
      <c r="T133" s="108">
        <f>+'FY16 Tax Bill'!T133-'FY16 Feb Forecast'!T133</f>
        <v>36.524216524216513</v>
      </c>
    </row>
    <row r="134" spans="1:20" x14ac:dyDescent="0.2">
      <c r="A134" s="109">
        <v>378</v>
      </c>
      <c r="B134" s="110">
        <v>1</v>
      </c>
      <c r="C134" s="103" t="s">
        <v>253</v>
      </c>
      <c r="D134" s="103">
        <v>6</v>
      </c>
      <c r="E134" s="104">
        <f>+SUMIF('GE16FEB14 Unfudged'!$A$2:$A$498, $A134, 'GE16FEB14 Unfudged'!$D$2:$D$498)</f>
        <v>515</v>
      </c>
      <c r="F134" s="104">
        <f>+'FY16 Tax Bill'!F134-'FY16 Feb Forecast'!F134</f>
        <v>7606</v>
      </c>
      <c r="G134" s="105">
        <f>+'FY16 Tax Bill'!G134-'FY16 Feb Forecast'!G134</f>
        <v>3484</v>
      </c>
      <c r="H134" s="106">
        <f>+'FY16 Tax Bill'!H134-'FY16 Feb Forecast'!H134</f>
        <v>4122</v>
      </c>
      <c r="I134" s="107">
        <f>+'FY16 Tax Bill'!I134-'FY16 Feb Forecast'!I134</f>
        <v>218212</v>
      </c>
      <c r="J134" s="105">
        <f>+'FY16 Tax Bill'!J134-'FY16 Feb Forecast'!J134</f>
        <v>99966</v>
      </c>
      <c r="K134" s="106">
        <f>+'FY16 Tax Bill'!K134-'FY16 Feb Forecast'!K134</f>
        <v>118246</v>
      </c>
      <c r="L134" s="107">
        <f>+'FY16 Tax Bill'!L134-'FY16 Feb Forecast'!L134</f>
        <v>-218212</v>
      </c>
      <c r="M134" s="105">
        <f>+'FY16 Tax Bill'!M134-'FY16 Feb Forecast'!M134</f>
        <v>-150167</v>
      </c>
      <c r="N134" s="106">
        <f>+'FY16 Tax Bill'!N134-'FY16 Feb Forecast'!N134</f>
        <v>-68045</v>
      </c>
      <c r="O134" s="107">
        <f>+'FY16 Tax Bill'!O134-'FY16 Feb Forecast'!O134</f>
        <v>7606</v>
      </c>
      <c r="P134" s="105">
        <f>+'FY16 Tax Bill'!P134-'FY16 Feb Forecast'!P134</f>
        <v>-46717</v>
      </c>
      <c r="Q134" s="106">
        <f>+'FY16 Tax Bill'!Q134-'FY16 Feb Forecast'!Q134</f>
        <v>54323</v>
      </c>
      <c r="R134" s="105">
        <f>+'FY16 Tax Bill'!R134-'FY16 Feb Forecast'!R134</f>
        <v>14.768932038834919</v>
      </c>
      <c r="S134" s="105">
        <f>+'FY16 Tax Bill'!S134-'FY16 Feb Forecast'!S134</f>
        <v>-90.712621359223249</v>
      </c>
      <c r="T134" s="108">
        <f>+'FY16 Tax Bill'!T134-'FY16 Feb Forecast'!T134</f>
        <v>105.48155339805817</v>
      </c>
    </row>
    <row r="135" spans="1:20" x14ac:dyDescent="0.2">
      <c r="A135" s="109">
        <v>381</v>
      </c>
      <c r="B135" s="110">
        <v>1</v>
      </c>
      <c r="C135" s="103" t="s">
        <v>254</v>
      </c>
      <c r="D135" s="103">
        <v>5</v>
      </c>
      <c r="E135" s="104">
        <f>+SUMIF('GE16FEB14 Unfudged'!$A$2:$A$498, $A135, 'GE16FEB14 Unfudged'!$D$2:$D$498)</f>
        <v>1515</v>
      </c>
      <c r="F135" s="104">
        <f>+'FY16 Tax Bill'!F135-'FY16 Feb Forecast'!F135</f>
        <v>0</v>
      </c>
      <c r="G135" s="105">
        <f>+'FY16 Tax Bill'!G135-'FY16 Feb Forecast'!G135</f>
        <v>0</v>
      </c>
      <c r="H135" s="106">
        <f>+'FY16 Tax Bill'!H135-'FY16 Feb Forecast'!H135</f>
        <v>0</v>
      </c>
      <c r="I135" s="107">
        <f>+'FY16 Tax Bill'!I135-'FY16 Feb Forecast'!I135</f>
        <v>642360</v>
      </c>
      <c r="J135" s="105">
        <f>+'FY16 Tax Bill'!J135-'FY16 Feb Forecast'!J135</f>
        <v>642360</v>
      </c>
      <c r="K135" s="106">
        <f>+'FY16 Tax Bill'!K135-'FY16 Feb Forecast'!K135</f>
        <v>0</v>
      </c>
      <c r="L135" s="107">
        <f>+'FY16 Tax Bill'!L135-'FY16 Feb Forecast'!L135</f>
        <v>0</v>
      </c>
      <c r="M135" s="105">
        <f>+'FY16 Tax Bill'!M135-'FY16 Feb Forecast'!M135</f>
        <v>0</v>
      </c>
      <c r="N135" s="106">
        <f>+'FY16 Tax Bill'!N135-'FY16 Feb Forecast'!N135</f>
        <v>0</v>
      </c>
      <c r="O135" s="107">
        <f>+'FY16 Tax Bill'!O135-'FY16 Feb Forecast'!O135</f>
        <v>642360</v>
      </c>
      <c r="P135" s="105">
        <f>+'FY16 Tax Bill'!P135-'FY16 Feb Forecast'!P135</f>
        <v>642360</v>
      </c>
      <c r="Q135" s="106">
        <f>+'FY16 Tax Bill'!Q135-'FY16 Feb Forecast'!Q135</f>
        <v>0</v>
      </c>
      <c r="R135" s="105">
        <f>+'FY16 Tax Bill'!R135-'FY16 Feb Forecast'!R135</f>
        <v>424</v>
      </c>
      <c r="S135" s="105">
        <f>+'FY16 Tax Bill'!S135-'FY16 Feb Forecast'!S135</f>
        <v>424</v>
      </c>
      <c r="T135" s="108">
        <f>+'FY16 Tax Bill'!T135-'FY16 Feb Forecast'!T135</f>
        <v>0</v>
      </c>
    </row>
    <row r="136" spans="1:20" x14ac:dyDescent="0.2">
      <c r="A136" s="109">
        <v>390</v>
      </c>
      <c r="B136" s="110">
        <v>1</v>
      </c>
      <c r="C136" s="103" t="s">
        <v>255</v>
      </c>
      <c r="D136" s="103">
        <v>6</v>
      </c>
      <c r="E136" s="104">
        <f>+SUMIF('GE16FEB14 Unfudged'!$A$2:$A$498, $A136, 'GE16FEB14 Unfudged'!$D$2:$D$498)</f>
        <v>513</v>
      </c>
      <c r="F136" s="104">
        <f>+'FY16 Tax Bill'!F136-'FY16 Feb Forecast'!F136</f>
        <v>9680</v>
      </c>
      <c r="G136" s="105">
        <f>+'FY16 Tax Bill'!G136-'FY16 Feb Forecast'!G136</f>
        <v>7820</v>
      </c>
      <c r="H136" s="106">
        <f>+'FY16 Tax Bill'!H136-'FY16 Feb Forecast'!H136</f>
        <v>1860</v>
      </c>
      <c r="I136" s="107">
        <f>+'FY16 Tax Bill'!I136-'FY16 Feb Forecast'!I136</f>
        <v>217448</v>
      </c>
      <c r="J136" s="105">
        <f>+'FY16 Tax Bill'!J136-'FY16 Feb Forecast'!J136</f>
        <v>175665</v>
      </c>
      <c r="K136" s="106">
        <f>+'FY16 Tax Bill'!K136-'FY16 Feb Forecast'!K136</f>
        <v>41783</v>
      </c>
      <c r="L136" s="107">
        <f>+'FY16 Tax Bill'!L136-'FY16 Feb Forecast'!L136</f>
        <v>-217449</v>
      </c>
      <c r="M136" s="105">
        <f>+'FY16 Tax Bill'!M136-'FY16 Feb Forecast'!M136</f>
        <v>-175892</v>
      </c>
      <c r="N136" s="106">
        <f>+'FY16 Tax Bill'!N136-'FY16 Feb Forecast'!N136</f>
        <v>-41557</v>
      </c>
      <c r="O136" s="107">
        <f>+'FY16 Tax Bill'!O136-'FY16 Feb Forecast'!O136</f>
        <v>9679</v>
      </c>
      <c r="P136" s="105">
        <f>+'FY16 Tax Bill'!P136-'FY16 Feb Forecast'!P136</f>
        <v>7593</v>
      </c>
      <c r="Q136" s="106">
        <f>+'FY16 Tax Bill'!Q136-'FY16 Feb Forecast'!Q136</f>
        <v>2086</v>
      </c>
      <c r="R136" s="105">
        <f>+'FY16 Tax Bill'!R136-'FY16 Feb Forecast'!R136</f>
        <v>18.867446393762179</v>
      </c>
      <c r="S136" s="105">
        <f>+'FY16 Tax Bill'!S136-'FY16 Feb Forecast'!S136</f>
        <v>14.801169590643326</v>
      </c>
      <c r="T136" s="108">
        <f>+'FY16 Tax Bill'!T136-'FY16 Feb Forecast'!T136</f>
        <v>4.0662768031189103</v>
      </c>
    </row>
    <row r="137" spans="1:20" x14ac:dyDescent="0.2">
      <c r="A137" s="109">
        <v>391</v>
      </c>
      <c r="B137" s="110">
        <v>1</v>
      </c>
      <c r="C137" s="103" t="s">
        <v>256</v>
      </c>
      <c r="D137" s="103">
        <v>6</v>
      </c>
      <c r="E137" s="104">
        <f>+SUMIF('GE16FEB14 Unfudged'!$A$2:$A$498, $A137, 'GE16FEB14 Unfudged'!$D$2:$D$498)</f>
        <v>496</v>
      </c>
      <c r="F137" s="104">
        <f>+'FY16 Tax Bill'!F137-'FY16 Feb Forecast'!F137</f>
        <v>9186</v>
      </c>
      <c r="G137" s="105">
        <f>+'FY16 Tax Bill'!G137-'FY16 Feb Forecast'!G137</f>
        <v>9186</v>
      </c>
      <c r="H137" s="106">
        <f>+'FY16 Tax Bill'!H137-'FY16 Feb Forecast'!H137</f>
        <v>0</v>
      </c>
      <c r="I137" s="107">
        <f>+'FY16 Tax Bill'!I137-'FY16 Feb Forecast'!I137</f>
        <v>210474</v>
      </c>
      <c r="J137" s="105">
        <f>+'FY16 Tax Bill'!J137-'FY16 Feb Forecast'!J137</f>
        <v>210474</v>
      </c>
      <c r="K137" s="106">
        <f>+'FY16 Tax Bill'!K137-'FY16 Feb Forecast'!K137</f>
        <v>0</v>
      </c>
      <c r="L137" s="107">
        <f>+'FY16 Tax Bill'!L137-'FY16 Feb Forecast'!L137</f>
        <v>-210474</v>
      </c>
      <c r="M137" s="105">
        <f>+'FY16 Tax Bill'!M137-'FY16 Feb Forecast'!M137</f>
        <v>-210474</v>
      </c>
      <c r="N137" s="106">
        <f>+'FY16 Tax Bill'!N137-'FY16 Feb Forecast'!N137</f>
        <v>0</v>
      </c>
      <c r="O137" s="107">
        <f>+'FY16 Tax Bill'!O137-'FY16 Feb Forecast'!O137</f>
        <v>9186</v>
      </c>
      <c r="P137" s="105">
        <f>+'FY16 Tax Bill'!P137-'FY16 Feb Forecast'!P137</f>
        <v>9186</v>
      </c>
      <c r="Q137" s="106">
        <f>+'FY16 Tax Bill'!Q137-'FY16 Feb Forecast'!Q137</f>
        <v>0</v>
      </c>
      <c r="R137" s="105">
        <f>+'FY16 Tax Bill'!R137-'FY16 Feb Forecast'!R137</f>
        <v>18.520161290322562</v>
      </c>
      <c r="S137" s="105">
        <f>+'FY16 Tax Bill'!S137-'FY16 Feb Forecast'!S137</f>
        <v>18.520161290322676</v>
      </c>
      <c r="T137" s="108">
        <f>+'FY16 Tax Bill'!T137-'FY16 Feb Forecast'!T137</f>
        <v>0</v>
      </c>
    </row>
    <row r="138" spans="1:20" x14ac:dyDescent="0.2">
      <c r="A138" s="109">
        <v>402</v>
      </c>
      <c r="B138" s="110">
        <v>1</v>
      </c>
      <c r="C138" s="103" t="s">
        <v>257</v>
      </c>
      <c r="D138" s="103">
        <v>6</v>
      </c>
      <c r="E138" s="104">
        <f>+SUMIF('GE16FEB14 Unfudged'!$A$2:$A$498, $A138, 'GE16FEB14 Unfudged'!$D$2:$D$498)</f>
        <v>113</v>
      </c>
      <c r="F138" s="104">
        <f>+'FY16 Tax Bill'!F138-'FY16 Feb Forecast'!F138</f>
        <v>0</v>
      </c>
      <c r="G138" s="105">
        <f>+'FY16 Tax Bill'!G138-'FY16 Feb Forecast'!G138</f>
        <v>0</v>
      </c>
      <c r="H138" s="106">
        <f>+'FY16 Tax Bill'!H138-'FY16 Feb Forecast'!H138</f>
        <v>0</v>
      </c>
      <c r="I138" s="107">
        <f>+'FY16 Tax Bill'!I138-'FY16 Feb Forecast'!I138</f>
        <v>47764</v>
      </c>
      <c r="J138" s="105">
        <f>+'FY16 Tax Bill'!J138-'FY16 Feb Forecast'!J138</f>
        <v>29140</v>
      </c>
      <c r="K138" s="106">
        <f>+'FY16 Tax Bill'!K138-'FY16 Feb Forecast'!K138</f>
        <v>18624</v>
      </c>
      <c r="L138" s="107">
        <f>+'FY16 Tax Bill'!L138-'FY16 Feb Forecast'!L138</f>
        <v>-42057</v>
      </c>
      <c r="M138" s="105">
        <f>+'FY16 Tax Bill'!M138-'FY16 Feb Forecast'!M138</f>
        <v>-42057</v>
      </c>
      <c r="N138" s="106">
        <f>+'FY16 Tax Bill'!N138-'FY16 Feb Forecast'!N138</f>
        <v>0</v>
      </c>
      <c r="O138" s="107">
        <f>+'FY16 Tax Bill'!O138-'FY16 Feb Forecast'!O138</f>
        <v>5707</v>
      </c>
      <c r="P138" s="105">
        <f>+'FY16 Tax Bill'!P138-'FY16 Feb Forecast'!P138</f>
        <v>-12917</v>
      </c>
      <c r="Q138" s="106">
        <f>+'FY16 Tax Bill'!Q138-'FY16 Feb Forecast'!Q138</f>
        <v>18624</v>
      </c>
      <c r="R138" s="105">
        <f>+'FY16 Tax Bill'!R138-'FY16 Feb Forecast'!R138</f>
        <v>50.504424778760949</v>
      </c>
      <c r="S138" s="105">
        <f>+'FY16 Tax Bill'!S138-'FY16 Feb Forecast'!S138</f>
        <v>-114.30973451327418</v>
      </c>
      <c r="T138" s="108">
        <f>+'FY16 Tax Bill'!T138-'FY16 Feb Forecast'!T138</f>
        <v>164.81415929203536</v>
      </c>
    </row>
    <row r="139" spans="1:20" x14ac:dyDescent="0.2">
      <c r="A139" s="109">
        <v>403</v>
      </c>
      <c r="B139" s="110">
        <v>1</v>
      </c>
      <c r="C139" s="103" t="s">
        <v>258</v>
      </c>
      <c r="D139" s="103">
        <v>6</v>
      </c>
      <c r="E139" s="104">
        <f>+SUMIF('GE16FEB14 Unfudged'!$A$2:$A$498, $A139, 'GE16FEB14 Unfudged'!$D$2:$D$498)</f>
        <v>176</v>
      </c>
      <c r="F139" s="104">
        <f>+'FY16 Tax Bill'!F139-'FY16 Feb Forecast'!F139</f>
        <v>516</v>
      </c>
      <c r="G139" s="105">
        <f>+'FY16 Tax Bill'!G139-'FY16 Feb Forecast'!G139</f>
        <v>271</v>
      </c>
      <c r="H139" s="106">
        <f>+'FY16 Tax Bill'!H139-'FY16 Feb Forecast'!H139</f>
        <v>245</v>
      </c>
      <c r="I139" s="107">
        <f>+'FY16 Tax Bill'!I139-'FY16 Feb Forecast'!I139</f>
        <v>74454</v>
      </c>
      <c r="J139" s="105">
        <f>+'FY16 Tax Bill'!J139-'FY16 Feb Forecast'!J139</f>
        <v>39114</v>
      </c>
      <c r="K139" s="106">
        <f>+'FY16 Tax Bill'!K139-'FY16 Feb Forecast'!K139</f>
        <v>35340</v>
      </c>
      <c r="L139" s="107">
        <f>+'FY16 Tax Bill'!L139-'FY16 Feb Forecast'!L139</f>
        <v>-74455</v>
      </c>
      <c r="M139" s="105">
        <f>+'FY16 Tax Bill'!M139-'FY16 Feb Forecast'!M139</f>
        <v>-74048</v>
      </c>
      <c r="N139" s="106">
        <f>+'FY16 Tax Bill'!N139-'FY16 Feb Forecast'!N139</f>
        <v>-407</v>
      </c>
      <c r="O139" s="107">
        <f>+'FY16 Tax Bill'!O139-'FY16 Feb Forecast'!O139</f>
        <v>515</v>
      </c>
      <c r="P139" s="105">
        <f>+'FY16 Tax Bill'!P139-'FY16 Feb Forecast'!P139</f>
        <v>-34663</v>
      </c>
      <c r="Q139" s="106">
        <f>+'FY16 Tax Bill'!Q139-'FY16 Feb Forecast'!Q139</f>
        <v>35178</v>
      </c>
      <c r="R139" s="105">
        <f>+'FY16 Tax Bill'!R139-'FY16 Feb Forecast'!R139</f>
        <v>2.9261363636364877</v>
      </c>
      <c r="S139" s="105">
        <f>+'FY16 Tax Bill'!S139-'FY16 Feb Forecast'!S139</f>
        <v>-196.94886363636351</v>
      </c>
      <c r="T139" s="108">
        <f>+'FY16 Tax Bill'!T139-'FY16 Feb Forecast'!T139</f>
        <v>199.875</v>
      </c>
    </row>
    <row r="140" spans="1:20" x14ac:dyDescent="0.2">
      <c r="A140" s="109">
        <v>404</v>
      </c>
      <c r="B140" s="110">
        <v>52</v>
      </c>
      <c r="C140" s="103" t="s">
        <v>259</v>
      </c>
      <c r="D140" s="103">
        <v>6</v>
      </c>
      <c r="E140" s="104">
        <f>+SUMIF('GE16FEB14 Unfudged'!$A$2:$A$498, $A140, 'GE16FEB14 Unfudged'!$D$2:$D$498)</f>
        <v>165</v>
      </c>
      <c r="F140" s="104">
        <f>+'FY16 Tax Bill'!F140-'FY16 Feb Forecast'!F140</f>
        <v>0</v>
      </c>
      <c r="G140" s="105">
        <f>+'FY16 Tax Bill'!G140-'FY16 Feb Forecast'!G140</f>
        <v>0</v>
      </c>
      <c r="H140" s="106">
        <f>+'FY16 Tax Bill'!H140-'FY16 Feb Forecast'!H140</f>
        <v>0</v>
      </c>
      <c r="I140" s="107">
        <f>+'FY16 Tax Bill'!I140-'FY16 Feb Forecast'!I140</f>
        <v>69790</v>
      </c>
      <c r="J140" s="105">
        <f>+'FY16 Tax Bill'!J140-'FY16 Feb Forecast'!J140</f>
        <v>49536</v>
      </c>
      <c r="K140" s="106">
        <f>+'FY16 Tax Bill'!K140-'FY16 Feb Forecast'!K140</f>
        <v>20254</v>
      </c>
      <c r="L140" s="107">
        <f>+'FY16 Tax Bill'!L140-'FY16 Feb Forecast'!L140</f>
        <v>-69790</v>
      </c>
      <c r="M140" s="105">
        <f>+'FY16 Tax Bill'!M140-'FY16 Feb Forecast'!M140</f>
        <v>-69790</v>
      </c>
      <c r="N140" s="106">
        <f>+'FY16 Tax Bill'!N140-'FY16 Feb Forecast'!N140</f>
        <v>0</v>
      </c>
      <c r="O140" s="107">
        <f>+'FY16 Tax Bill'!O140-'FY16 Feb Forecast'!O140</f>
        <v>0</v>
      </c>
      <c r="P140" s="105">
        <f>+'FY16 Tax Bill'!P140-'FY16 Feb Forecast'!P140</f>
        <v>-20254</v>
      </c>
      <c r="Q140" s="106">
        <f>+'FY16 Tax Bill'!Q140-'FY16 Feb Forecast'!Q140</f>
        <v>20254</v>
      </c>
      <c r="R140" s="105">
        <f>+'FY16 Tax Bill'!R140-'FY16 Feb Forecast'!R140</f>
        <v>0</v>
      </c>
      <c r="S140" s="105">
        <f>+'FY16 Tax Bill'!S140-'FY16 Feb Forecast'!S140</f>
        <v>-122.75151515151515</v>
      </c>
      <c r="T140" s="108">
        <f>+'FY16 Tax Bill'!T140-'FY16 Feb Forecast'!T140</f>
        <v>122.75151515151509</v>
      </c>
    </row>
    <row r="141" spans="1:20" x14ac:dyDescent="0.2">
      <c r="A141" s="109">
        <v>413</v>
      </c>
      <c r="B141" s="110">
        <v>52</v>
      </c>
      <c r="C141" s="103" t="s">
        <v>260</v>
      </c>
      <c r="D141" s="103">
        <v>4</v>
      </c>
      <c r="E141" s="104">
        <f>+SUMIF('GE16FEB14 Unfudged'!$A$2:$A$498, $A141, 'GE16FEB14 Unfudged'!$D$2:$D$498)</f>
        <v>2533</v>
      </c>
      <c r="F141" s="104">
        <f>+'FY16 Tax Bill'!F141-'FY16 Feb Forecast'!F141</f>
        <v>20760</v>
      </c>
      <c r="G141" s="105">
        <f>+'FY16 Tax Bill'!G141-'FY16 Feb Forecast'!G141</f>
        <v>16502</v>
      </c>
      <c r="H141" s="106">
        <f>+'FY16 Tax Bill'!H141-'FY16 Feb Forecast'!H141</f>
        <v>4258</v>
      </c>
      <c r="I141" s="107">
        <f>+'FY16 Tax Bill'!I141-'FY16 Feb Forecast'!I141</f>
        <v>537039</v>
      </c>
      <c r="J141" s="105">
        <f>+'FY16 Tax Bill'!J141-'FY16 Feb Forecast'!J141</f>
        <v>426890</v>
      </c>
      <c r="K141" s="106">
        <f>+'FY16 Tax Bill'!K141-'FY16 Feb Forecast'!K141</f>
        <v>110149</v>
      </c>
      <c r="L141" s="107">
        <f>+'FY16 Tax Bill'!L141-'FY16 Feb Forecast'!L141</f>
        <v>-452810</v>
      </c>
      <c r="M141" s="105">
        <f>+'FY16 Tax Bill'!M141-'FY16 Feb Forecast'!M141</f>
        <v>-359936</v>
      </c>
      <c r="N141" s="106">
        <f>+'FY16 Tax Bill'!N141-'FY16 Feb Forecast'!N141</f>
        <v>-92874</v>
      </c>
      <c r="O141" s="107">
        <f>+'FY16 Tax Bill'!O141-'FY16 Feb Forecast'!O141</f>
        <v>104989</v>
      </c>
      <c r="P141" s="105">
        <f>+'FY16 Tax Bill'!P141-'FY16 Feb Forecast'!P141</f>
        <v>83456</v>
      </c>
      <c r="Q141" s="106">
        <f>+'FY16 Tax Bill'!Q141-'FY16 Feb Forecast'!Q141</f>
        <v>21533</v>
      </c>
      <c r="R141" s="105">
        <f>+'FY16 Tax Bill'!R141-'FY16 Feb Forecast'!R141</f>
        <v>41.44848006316613</v>
      </c>
      <c r="S141" s="105">
        <f>+'FY16 Tax Bill'!S141-'FY16 Feb Forecast'!S141</f>
        <v>32.947493091196179</v>
      </c>
      <c r="T141" s="108">
        <f>+'FY16 Tax Bill'!T141-'FY16 Feb Forecast'!T141</f>
        <v>8.5009869719700077</v>
      </c>
    </row>
    <row r="142" spans="1:20" x14ac:dyDescent="0.2">
      <c r="A142" s="109">
        <v>414</v>
      </c>
      <c r="B142" s="110">
        <v>1</v>
      </c>
      <c r="C142" s="103" t="s">
        <v>261</v>
      </c>
      <c r="D142" s="103">
        <v>6</v>
      </c>
      <c r="E142" s="104">
        <f>+SUMIF('GE16FEB14 Unfudged'!$A$2:$A$498, $A142, 'GE16FEB14 Unfudged'!$D$2:$D$498)</f>
        <v>496</v>
      </c>
      <c r="F142" s="104">
        <f>+'FY16 Tax Bill'!F142-'FY16 Feb Forecast'!F142</f>
        <v>9546</v>
      </c>
      <c r="G142" s="105">
        <f>+'FY16 Tax Bill'!G142-'FY16 Feb Forecast'!G142</f>
        <v>4731</v>
      </c>
      <c r="H142" s="106">
        <f>+'FY16 Tax Bill'!H142-'FY16 Feb Forecast'!H142</f>
        <v>4815</v>
      </c>
      <c r="I142" s="107">
        <f>+'FY16 Tax Bill'!I142-'FY16 Feb Forecast'!I142</f>
        <v>210452</v>
      </c>
      <c r="J142" s="105">
        <f>+'FY16 Tax Bill'!J142-'FY16 Feb Forecast'!J142</f>
        <v>104304</v>
      </c>
      <c r="K142" s="106">
        <f>+'FY16 Tax Bill'!K142-'FY16 Feb Forecast'!K142</f>
        <v>106148</v>
      </c>
      <c r="L142" s="107">
        <f>+'FY16 Tax Bill'!L142-'FY16 Feb Forecast'!L142</f>
        <v>-208224</v>
      </c>
      <c r="M142" s="105">
        <f>+'FY16 Tax Bill'!M142-'FY16 Feb Forecast'!M142</f>
        <v>-103200</v>
      </c>
      <c r="N142" s="106">
        <f>+'FY16 Tax Bill'!N142-'FY16 Feb Forecast'!N142</f>
        <v>-105024</v>
      </c>
      <c r="O142" s="107">
        <f>+'FY16 Tax Bill'!O142-'FY16 Feb Forecast'!O142</f>
        <v>11774</v>
      </c>
      <c r="P142" s="105">
        <f>+'FY16 Tax Bill'!P142-'FY16 Feb Forecast'!P142</f>
        <v>5835</v>
      </c>
      <c r="Q142" s="106">
        <f>+'FY16 Tax Bill'!Q142-'FY16 Feb Forecast'!Q142</f>
        <v>5939</v>
      </c>
      <c r="R142" s="105">
        <f>+'FY16 Tax Bill'!R142-'FY16 Feb Forecast'!R142</f>
        <v>23.737903225806463</v>
      </c>
      <c r="S142" s="105">
        <f>+'FY16 Tax Bill'!S142-'FY16 Feb Forecast'!S142</f>
        <v>11.764112903225794</v>
      </c>
      <c r="T142" s="108">
        <f>+'FY16 Tax Bill'!T142-'FY16 Feb Forecast'!T142</f>
        <v>11.973790322580669</v>
      </c>
    </row>
    <row r="143" spans="1:20" x14ac:dyDescent="0.2">
      <c r="A143" s="109">
        <v>415</v>
      </c>
      <c r="B143" s="110">
        <v>1</v>
      </c>
      <c r="C143" s="103" t="s">
        <v>262</v>
      </c>
      <c r="D143" s="103">
        <v>6</v>
      </c>
      <c r="E143" s="104">
        <f>+SUMIF('GE16FEB14 Unfudged'!$A$2:$A$498, $A143, 'GE16FEB14 Unfudged'!$D$2:$D$498)</f>
        <v>165</v>
      </c>
      <c r="F143" s="104">
        <f>+'FY16 Tax Bill'!F143-'FY16 Feb Forecast'!F143</f>
        <v>745</v>
      </c>
      <c r="G143" s="105">
        <f>+'FY16 Tax Bill'!G143-'FY16 Feb Forecast'!G143</f>
        <v>553</v>
      </c>
      <c r="H143" s="106">
        <f>+'FY16 Tax Bill'!H143-'FY16 Feb Forecast'!H143</f>
        <v>192</v>
      </c>
      <c r="I143" s="107">
        <f>+'FY16 Tax Bill'!I143-'FY16 Feb Forecast'!I143</f>
        <v>69790</v>
      </c>
      <c r="J143" s="105">
        <f>+'FY16 Tax Bill'!J143-'FY16 Feb Forecast'!J143</f>
        <v>51854</v>
      </c>
      <c r="K143" s="106">
        <f>+'FY16 Tax Bill'!K143-'FY16 Feb Forecast'!K143</f>
        <v>17936</v>
      </c>
      <c r="L143" s="107">
        <f>+'FY16 Tax Bill'!L143-'FY16 Feb Forecast'!L143</f>
        <v>-69791</v>
      </c>
      <c r="M143" s="105">
        <f>+'FY16 Tax Bill'!M143-'FY16 Feb Forecast'!M143</f>
        <v>-69791</v>
      </c>
      <c r="N143" s="106">
        <f>+'FY16 Tax Bill'!N143-'FY16 Feb Forecast'!N143</f>
        <v>0</v>
      </c>
      <c r="O143" s="107">
        <f>+'FY16 Tax Bill'!O143-'FY16 Feb Forecast'!O143</f>
        <v>744</v>
      </c>
      <c r="P143" s="105">
        <f>+'FY16 Tax Bill'!P143-'FY16 Feb Forecast'!P143</f>
        <v>-17384</v>
      </c>
      <c r="Q143" s="106">
        <f>+'FY16 Tax Bill'!Q143-'FY16 Feb Forecast'!Q143</f>
        <v>18128</v>
      </c>
      <c r="R143" s="105">
        <f>+'FY16 Tax Bill'!R143-'FY16 Feb Forecast'!R143</f>
        <v>4.5090909090909008</v>
      </c>
      <c r="S143" s="105">
        <f>+'FY16 Tax Bill'!S143-'FY16 Feb Forecast'!S143</f>
        <v>-105.35757575757589</v>
      </c>
      <c r="T143" s="108">
        <f>+'FY16 Tax Bill'!T143-'FY16 Feb Forecast'!T143</f>
        <v>109.86666666666667</v>
      </c>
    </row>
    <row r="144" spans="1:20" x14ac:dyDescent="0.2">
      <c r="A144" s="109">
        <v>423</v>
      </c>
      <c r="B144" s="110">
        <v>1</v>
      </c>
      <c r="C144" s="103" t="s">
        <v>263</v>
      </c>
      <c r="D144" s="103">
        <v>4</v>
      </c>
      <c r="E144" s="104">
        <f>+SUMIF('GE16FEB14 Unfudged'!$A$2:$A$498, $A144, 'GE16FEB14 Unfudged'!$D$2:$D$498)</f>
        <v>3139</v>
      </c>
      <c r="F144" s="104">
        <f>+'FY16 Tax Bill'!F144-'FY16 Feb Forecast'!F144</f>
        <v>16170</v>
      </c>
      <c r="G144" s="105">
        <f>+'FY16 Tax Bill'!G144-'FY16 Feb Forecast'!G144</f>
        <v>11420</v>
      </c>
      <c r="H144" s="106">
        <f>+'FY16 Tax Bill'!H144-'FY16 Feb Forecast'!H144</f>
        <v>4750</v>
      </c>
      <c r="I144" s="107">
        <f>+'FY16 Tax Bill'!I144-'FY16 Feb Forecast'!I144</f>
        <v>665553</v>
      </c>
      <c r="J144" s="105">
        <f>+'FY16 Tax Bill'!J144-'FY16 Feb Forecast'!J144</f>
        <v>470072</v>
      </c>
      <c r="K144" s="106">
        <f>+'FY16 Tax Bill'!K144-'FY16 Feb Forecast'!K144</f>
        <v>195481</v>
      </c>
      <c r="L144" s="107">
        <f>+'FY16 Tax Bill'!L144-'FY16 Feb Forecast'!L144</f>
        <v>-665552</v>
      </c>
      <c r="M144" s="105">
        <f>+'FY16 Tax Bill'!M144-'FY16 Feb Forecast'!M144</f>
        <v>-527674</v>
      </c>
      <c r="N144" s="106">
        <f>+'FY16 Tax Bill'!N144-'FY16 Feb Forecast'!N144</f>
        <v>-137878</v>
      </c>
      <c r="O144" s="107">
        <f>+'FY16 Tax Bill'!O144-'FY16 Feb Forecast'!O144</f>
        <v>16171</v>
      </c>
      <c r="P144" s="105">
        <f>+'FY16 Tax Bill'!P144-'FY16 Feb Forecast'!P144</f>
        <v>-46182</v>
      </c>
      <c r="Q144" s="106">
        <f>+'FY16 Tax Bill'!Q144-'FY16 Feb Forecast'!Q144</f>
        <v>62353</v>
      </c>
      <c r="R144" s="105">
        <f>+'FY16 Tax Bill'!R144-'FY16 Feb Forecast'!R144</f>
        <v>5.1516406498883498</v>
      </c>
      <c r="S144" s="105">
        <f>+'FY16 Tax Bill'!S144-'FY16 Feb Forecast'!S144</f>
        <v>-14.712328767123267</v>
      </c>
      <c r="T144" s="108">
        <f>+'FY16 Tax Bill'!T144-'FY16 Feb Forecast'!T144</f>
        <v>19.863969417011788</v>
      </c>
    </row>
    <row r="145" spans="1:20" x14ac:dyDescent="0.2">
      <c r="A145" s="109">
        <v>424</v>
      </c>
      <c r="B145" s="110">
        <v>1</v>
      </c>
      <c r="C145" s="103" t="s">
        <v>264</v>
      </c>
      <c r="D145" s="103">
        <v>6</v>
      </c>
      <c r="E145" s="104">
        <f>+SUMIF('GE16FEB14 Unfudged'!$A$2:$A$498, $A145, 'GE16FEB14 Unfudged'!$D$2:$D$498)</f>
        <v>419</v>
      </c>
      <c r="F145" s="104">
        <f>+'FY16 Tax Bill'!F145-'FY16 Feb Forecast'!F145</f>
        <v>-2166</v>
      </c>
      <c r="G145" s="105">
        <f>+'FY16 Tax Bill'!G145-'FY16 Feb Forecast'!G145</f>
        <v>-1666</v>
      </c>
      <c r="H145" s="106">
        <f>+'FY16 Tax Bill'!H145-'FY16 Feb Forecast'!H145</f>
        <v>-500</v>
      </c>
      <c r="I145" s="107">
        <f>+'FY16 Tax Bill'!I145-'FY16 Feb Forecast'!I145</f>
        <v>0</v>
      </c>
      <c r="J145" s="105">
        <f>+'FY16 Tax Bill'!J145-'FY16 Feb Forecast'!J145</f>
        <v>0</v>
      </c>
      <c r="K145" s="106">
        <f>+'FY16 Tax Bill'!K145-'FY16 Feb Forecast'!K145</f>
        <v>0</v>
      </c>
      <c r="L145" s="107">
        <f>+'FY16 Tax Bill'!L145-'FY16 Feb Forecast'!L145</f>
        <v>0</v>
      </c>
      <c r="M145" s="105">
        <f>+'FY16 Tax Bill'!M145-'FY16 Feb Forecast'!M145</f>
        <v>0</v>
      </c>
      <c r="N145" s="106">
        <f>+'FY16 Tax Bill'!N145-'FY16 Feb Forecast'!N145</f>
        <v>0</v>
      </c>
      <c r="O145" s="107">
        <f>+'FY16 Tax Bill'!O145-'FY16 Feb Forecast'!O145</f>
        <v>-2166</v>
      </c>
      <c r="P145" s="105">
        <f>+'FY16 Tax Bill'!P145-'FY16 Feb Forecast'!P145</f>
        <v>-1666</v>
      </c>
      <c r="Q145" s="106">
        <f>+'FY16 Tax Bill'!Q145-'FY16 Feb Forecast'!Q145</f>
        <v>-500</v>
      </c>
      <c r="R145" s="105">
        <f>+'FY16 Tax Bill'!R145-'FY16 Feb Forecast'!R145</f>
        <v>-5.1694510739857833</v>
      </c>
      <c r="S145" s="105">
        <f>+'FY16 Tax Bill'!S145-'FY16 Feb Forecast'!S145</f>
        <v>-3.9761336515513221</v>
      </c>
      <c r="T145" s="108">
        <f>+'FY16 Tax Bill'!T145-'FY16 Feb Forecast'!T145</f>
        <v>-1.1933174224343475</v>
      </c>
    </row>
    <row r="146" spans="1:20" x14ac:dyDescent="0.2">
      <c r="A146" s="109">
        <v>432</v>
      </c>
      <c r="B146" s="110">
        <v>1</v>
      </c>
      <c r="C146" s="103" t="s">
        <v>265</v>
      </c>
      <c r="D146" s="103">
        <v>6</v>
      </c>
      <c r="E146" s="104">
        <f>+SUMIF('GE16FEB14 Unfudged'!$A$2:$A$498, $A146, 'GE16FEB14 Unfudged'!$D$2:$D$498)</f>
        <v>656</v>
      </c>
      <c r="F146" s="104">
        <f>+'FY16 Tax Bill'!F146-'FY16 Feb Forecast'!F146</f>
        <v>0</v>
      </c>
      <c r="G146" s="105">
        <f>+'FY16 Tax Bill'!G146-'FY16 Feb Forecast'!G146</f>
        <v>0</v>
      </c>
      <c r="H146" s="106">
        <f>+'FY16 Tax Bill'!H146-'FY16 Feb Forecast'!H146</f>
        <v>0</v>
      </c>
      <c r="I146" s="107">
        <f>+'FY16 Tax Bill'!I146-'FY16 Feb Forecast'!I146</f>
        <v>278229</v>
      </c>
      <c r="J146" s="105">
        <f>+'FY16 Tax Bill'!J146-'FY16 Feb Forecast'!J146</f>
        <v>80536</v>
      </c>
      <c r="K146" s="106">
        <f>+'FY16 Tax Bill'!K146-'FY16 Feb Forecast'!K146</f>
        <v>197693</v>
      </c>
      <c r="L146" s="107">
        <f>+'FY16 Tax Bill'!L146-'FY16 Feb Forecast'!L146</f>
        <v>0</v>
      </c>
      <c r="M146" s="105">
        <f>+'FY16 Tax Bill'!M146-'FY16 Feb Forecast'!M146</f>
        <v>0</v>
      </c>
      <c r="N146" s="106">
        <f>+'FY16 Tax Bill'!N146-'FY16 Feb Forecast'!N146</f>
        <v>0</v>
      </c>
      <c r="O146" s="107">
        <f>+'FY16 Tax Bill'!O146-'FY16 Feb Forecast'!O146</f>
        <v>278229</v>
      </c>
      <c r="P146" s="105">
        <f>+'FY16 Tax Bill'!P146-'FY16 Feb Forecast'!P146</f>
        <v>80536</v>
      </c>
      <c r="Q146" s="106">
        <f>+'FY16 Tax Bill'!Q146-'FY16 Feb Forecast'!Q146</f>
        <v>197693</v>
      </c>
      <c r="R146" s="105">
        <f>+'FY16 Tax Bill'!R146-'FY16 Feb Forecast'!R146</f>
        <v>424.1295731707317</v>
      </c>
      <c r="S146" s="105">
        <f>+'FY16 Tax Bill'!S146-'FY16 Feb Forecast'!S146</f>
        <v>122.76829268292684</v>
      </c>
      <c r="T146" s="108">
        <f>+'FY16 Tax Bill'!T146-'FY16 Feb Forecast'!T146</f>
        <v>301.36128048780489</v>
      </c>
    </row>
    <row r="147" spans="1:20" x14ac:dyDescent="0.2">
      <c r="A147" s="109">
        <v>435</v>
      </c>
      <c r="B147" s="110">
        <v>1</v>
      </c>
      <c r="C147" s="103" t="s">
        <v>266</v>
      </c>
      <c r="D147" s="103">
        <v>6</v>
      </c>
      <c r="E147" s="104">
        <f>+SUMIF('GE16FEB14 Unfudged'!$A$2:$A$498, $A147, 'GE16FEB14 Unfudged'!$D$2:$D$498)</f>
        <v>634</v>
      </c>
      <c r="F147" s="104">
        <f>+'FY16 Tax Bill'!F147-'FY16 Feb Forecast'!F147</f>
        <v>0</v>
      </c>
      <c r="G147" s="105">
        <f>+'FY16 Tax Bill'!G147-'FY16 Feb Forecast'!G147</f>
        <v>0</v>
      </c>
      <c r="H147" s="106">
        <f>+'FY16 Tax Bill'!H147-'FY16 Feb Forecast'!H147</f>
        <v>0</v>
      </c>
      <c r="I147" s="107">
        <f>+'FY16 Tax Bill'!I147-'FY16 Feb Forecast'!I147</f>
        <v>268901</v>
      </c>
      <c r="J147" s="105">
        <f>+'FY16 Tax Bill'!J147-'FY16 Feb Forecast'!J147</f>
        <v>118442</v>
      </c>
      <c r="K147" s="106">
        <f>+'FY16 Tax Bill'!K147-'FY16 Feb Forecast'!K147</f>
        <v>150459</v>
      </c>
      <c r="L147" s="107">
        <f>+'FY16 Tax Bill'!L147-'FY16 Feb Forecast'!L147</f>
        <v>0</v>
      </c>
      <c r="M147" s="105">
        <f>+'FY16 Tax Bill'!M147-'FY16 Feb Forecast'!M147</f>
        <v>0</v>
      </c>
      <c r="N147" s="106">
        <f>+'FY16 Tax Bill'!N147-'FY16 Feb Forecast'!N147</f>
        <v>0</v>
      </c>
      <c r="O147" s="107">
        <f>+'FY16 Tax Bill'!O147-'FY16 Feb Forecast'!O147</f>
        <v>268901</v>
      </c>
      <c r="P147" s="105">
        <f>+'FY16 Tax Bill'!P147-'FY16 Feb Forecast'!P147</f>
        <v>118442</v>
      </c>
      <c r="Q147" s="106">
        <f>+'FY16 Tax Bill'!Q147-'FY16 Feb Forecast'!Q147</f>
        <v>150459</v>
      </c>
      <c r="R147" s="105">
        <f>+'FY16 Tax Bill'!R147-'FY16 Feb Forecast'!R147</f>
        <v>424.13406940063089</v>
      </c>
      <c r="S147" s="105">
        <f>+'FY16 Tax Bill'!S147-'FY16 Feb Forecast'!S147</f>
        <v>186.81703470031545</v>
      </c>
      <c r="T147" s="108">
        <f>+'FY16 Tax Bill'!T147-'FY16 Feb Forecast'!T147</f>
        <v>237.31703470031545</v>
      </c>
    </row>
    <row r="148" spans="1:20" x14ac:dyDescent="0.2">
      <c r="A148" s="109">
        <v>441</v>
      </c>
      <c r="B148" s="110">
        <v>1</v>
      </c>
      <c r="C148" s="103" t="s">
        <v>267</v>
      </c>
      <c r="D148" s="103">
        <v>6</v>
      </c>
      <c r="E148" s="104">
        <f>+SUMIF('GE16FEB14 Unfudged'!$A$2:$A$498, $A148, 'GE16FEB14 Unfudged'!$D$2:$D$498)</f>
        <v>432</v>
      </c>
      <c r="F148" s="104">
        <f>+'FY16 Tax Bill'!F148-'FY16 Feb Forecast'!F148</f>
        <v>4021</v>
      </c>
      <c r="G148" s="105">
        <f>+'FY16 Tax Bill'!G148-'FY16 Feb Forecast'!G148</f>
        <v>3203</v>
      </c>
      <c r="H148" s="106">
        <f>+'FY16 Tax Bill'!H148-'FY16 Feb Forecast'!H148</f>
        <v>818</v>
      </c>
      <c r="I148" s="107">
        <f>+'FY16 Tax Bill'!I148-'FY16 Feb Forecast'!I148</f>
        <v>183274</v>
      </c>
      <c r="J148" s="105">
        <f>+'FY16 Tax Bill'!J148-'FY16 Feb Forecast'!J148</f>
        <v>146000</v>
      </c>
      <c r="K148" s="106">
        <f>+'FY16 Tax Bill'!K148-'FY16 Feb Forecast'!K148</f>
        <v>37274</v>
      </c>
      <c r="L148" s="107">
        <f>+'FY16 Tax Bill'!L148-'FY16 Feb Forecast'!L148</f>
        <v>-183274</v>
      </c>
      <c r="M148" s="105">
        <f>+'FY16 Tax Bill'!M148-'FY16 Feb Forecast'!M148</f>
        <v>-183274</v>
      </c>
      <c r="N148" s="106">
        <f>+'FY16 Tax Bill'!N148-'FY16 Feb Forecast'!N148</f>
        <v>0</v>
      </c>
      <c r="O148" s="107">
        <f>+'FY16 Tax Bill'!O148-'FY16 Feb Forecast'!O148</f>
        <v>4021</v>
      </c>
      <c r="P148" s="105">
        <f>+'FY16 Tax Bill'!P148-'FY16 Feb Forecast'!P148</f>
        <v>-34071</v>
      </c>
      <c r="Q148" s="106">
        <f>+'FY16 Tax Bill'!Q148-'FY16 Feb Forecast'!Q148</f>
        <v>38092</v>
      </c>
      <c r="R148" s="105">
        <f>+'FY16 Tax Bill'!R148-'FY16 Feb Forecast'!R148</f>
        <v>9.3078703703702104</v>
      </c>
      <c r="S148" s="105">
        <f>+'FY16 Tax Bill'!S148-'FY16 Feb Forecast'!S148</f>
        <v>-78.868055555555657</v>
      </c>
      <c r="T148" s="108">
        <f>+'FY16 Tax Bill'!T148-'FY16 Feb Forecast'!T148</f>
        <v>88.175925925925924</v>
      </c>
    </row>
    <row r="149" spans="1:20" x14ac:dyDescent="0.2">
      <c r="A149" s="109">
        <v>447</v>
      </c>
      <c r="B149" s="110">
        <v>1</v>
      </c>
      <c r="C149" s="103" t="s">
        <v>268</v>
      </c>
      <c r="D149" s="103">
        <v>6</v>
      </c>
      <c r="E149" s="104">
        <f>+SUMIF('GE16FEB14 Unfudged'!$A$2:$A$498, $A149, 'GE16FEB14 Unfudged'!$D$2:$D$498)</f>
        <v>154</v>
      </c>
      <c r="F149" s="104">
        <f>+'FY16 Tax Bill'!F149-'FY16 Feb Forecast'!F149</f>
        <v>2544</v>
      </c>
      <c r="G149" s="105">
        <f>+'FY16 Tax Bill'!G149-'FY16 Feb Forecast'!G149</f>
        <v>1157</v>
      </c>
      <c r="H149" s="106">
        <f>+'FY16 Tax Bill'!H149-'FY16 Feb Forecast'!H149</f>
        <v>1387</v>
      </c>
      <c r="I149" s="107">
        <f>+'FY16 Tax Bill'!I149-'FY16 Feb Forecast'!I149</f>
        <v>65296</v>
      </c>
      <c r="J149" s="105">
        <f>+'FY16 Tax Bill'!J149-'FY16 Feb Forecast'!J149</f>
        <v>29706</v>
      </c>
      <c r="K149" s="106">
        <f>+'FY16 Tax Bill'!K149-'FY16 Feb Forecast'!K149</f>
        <v>35590</v>
      </c>
      <c r="L149" s="107">
        <f>+'FY16 Tax Bill'!L149-'FY16 Feb Forecast'!L149</f>
        <v>-65296</v>
      </c>
      <c r="M149" s="105">
        <f>+'FY16 Tax Bill'!M149-'FY16 Feb Forecast'!M149</f>
        <v>-38337</v>
      </c>
      <c r="N149" s="106">
        <f>+'FY16 Tax Bill'!N149-'FY16 Feb Forecast'!N149</f>
        <v>-26959</v>
      </c>
      <c r="O149" s="107">
        <f>+'FY16 Tax Bill'!O149-'FY16 Feb Forecast'!O149</f>
        <v>2544</v>
      </c>
      <c r="P149" s="105">
        <f>+'FY16 Tax Bill'!P149-'FY16 Feb Forecast'!P149</f>
        <v>-7474</v>
      </c>
      <c r="Q149" s="106">
        <f>+'FY16 Tax Bill'!Q149-'FY16 Feb Forecast'!Q149</f>
        <v>10018</v>
      </c>
      <c r="R149" s="105">
        <f>+'FY16 Tax Bill'!R149-'FY16 Feb Forecast'!R149</f>
        <v>16.519480519480567</v>
      </c>
      <c r="S149" s="105">
        <f>+'FY16 Tax Bill'!S149-'FY16 Feb Forecast'!S149</f>
        <v>-48.532467532467479</v>
      </c>
      <c r="T149" s="108">
        <f>+'FY16 Tax Bill'!T149-'FY16 Feb Forecast'!T149</f>
        <v>65.051948051948102</v>
      </c>
    </row>
    <row r="150" spans="1:20" x14ac:dyDescent="0.2">
      <c r="A150" s="109">
        <v>458</v>
      </c>
      <c r="B150" s="110">
        <v>1</v>
      </c>
      <c r="C150" s="103" t="s">
        <v>269</v>
      </c>
      <c r="D150" s="103">
        <v>6</v>
      </c>
      <c r="E150" s="104">
        <f>+SUMIF('GE16FEB14 Unfudged'!$A$2:$A$498, $A150, 'GE16FEB14 Unfudged'!$D$2:$D$498)</f>
        <v>215</v>
      </c>
      <c r="F150" s="104">
        <f>+'FY16 Tax Bill'!F150-'FY16 Feb Forecast'!F150</f>
        <v>0</v>
      </c>
      <c r="G150" s="105">
        <f>+'FY16 Tax Bill'!G150-'FY16 Feb Forecast'!G150</f>
        <v>0</v>
      </c>
      <c r="H150" s="106">
        <f>+'FY16 Tax Bill'!H150-'FY16 Feb Forecast'!H150</f>
        <v>0</v>
      </c>
      <c r="I150" s="107">
        <f>+'FY16 Tax Bill'!I150-'FY16 Feb Forecast'!I150</f>
        <v>91075</v>
      </c>
      <c r="J150" s="105">
        <f>+'FY16 Tax Bill'!J150-'FY16 Feb Forecast'!J150</f>
        <v>52254</v>
      </c>
      <c r="K150" s="106">
        <f>+'FY16 Tax Bill'!K150-'FY16 Feb Forecast'!K150</f>
        <v>38821</v>
      </c>
      <c r="L150" s="107">
        <f>+'FY16 Tax Bill'!L150-'FY16 Feb Forecast'!L150</f>
        <v>-91075</v>
      </c>
      <c r="M150" s="105">
        <f>+'FY16 Tax Bill'!M150-'FY16 Feb Forecast'!M150</f>
        <v>-91075</v>
      </c>
      <c r="N150" s="106">
        <f>+'FY16 Tax Bill'!N150-'FY16 Feb Forecast'!N150</f>
        <v>0</v>
      </c>
      <c r="O150" s="107">
        <f>+'FY16 Tax Bill'!O150-'FY16 Feb Forecast'!O150</f>
        <v>0</v>
      </c>
      <c r="P150" s="105">
        <f>+'FY16 Tax Bill'!P150-'FY16 Feb Forecast'!P150</f>
        <v>-38821</v>
      </c>
      <c r="Q150" s="106">
        <f>+'FY16 Tax Bill'!Q150-'FY16 Feb Forecast'!Q150</f>
        <v>38821</v>
      </c>
      <c r="R150" s="105">
        <f>+'FY16 Tax Bill'!R150-'FY16 Feb Forecast'!R150</f>
        <v>0</v>
      </c>
      <c r="S150" s="105">
        <f>+'FY16 Tax Bill'!S150-'FY16 Feb Forecast'!S150</f>
        <v>-180.56279069767447</v>
      </c>
      <c r="T150" s="108">
        <f>+'FY16 Tax Bill'!T150-'FY16 Feb Forecast'!T150</f>
        <v>180.56279069767447</v>
      </c>
    </row>
    <row r="151" spans="1:20" x14ac:dyDescent="0.2">
      <c r="A151" s="109">
        <v>463</v>
      </c>
      <c r="B151" s="110">
        <v>1</v>
      </c>
      <c r="C151" s="103" t="s">
        <v>270</v>
      </c>
      <c r="D151" s="103">
        <v>6</v>
      </c>
      <c r="E151" s="104">
        <f>+SUMIF('GE16FEB14 Unfudged'!$A$2:$A$498, $A151, 'GE16FEB14 Unfudged'!$D$2:$D$498)</f>
        <v>1016</v>
      </c>
      <c r="F151" s="104">
        <f>+'FY16 Tax Bill'!F151-'FY16 Feb Forecast'!F151</f>
        <v>18071</v>
      </c>
      <c r="G151" s="105">
        <f>+'FY16 Tax Bill'!G151-'FY16 Feb Forecast'!G151</f>
        <v>9777</v>
      </c>
      <c r="H151" s="106">
        <f>+'FY16 Tax Bill'!H151-'FY16 Feb Forecast'!H151</f>
        <v>8294</v>
      </c>
      <c r="I151" s="107">
        <f>+'FY16 Tax Bill'!I151-'FY16 Feb Forecast'!I151</f>
        <v>430890</v>
      </c>
      <c r="J151" s="105">
        <f>+'FY16 Tax Bill'!J151-'FY16 Feb Forecast'!J151</f>
        <v>233121</v>
      </c>
      <c r="K151" s="106">
        <f>+'FY16 Tax Bill'!K151-'FY16 Feb Forecast'!K151</f>
        <v>197769</v>
      </c>
      <c r="L151" s="107">
        <f>+'FY16 Tax Bill'!L151-'FY16 Feb Forecast'!L151</f>
        <v>-430890</v>
      </c>
      <c r="M151" s="105">
        <f>+'FY16 Tax Bill'!M151-'FY16 Feb Forecast'!M151</f>
        <v>-265062</v>
      </c>
      <c r="N151" s="106">
        <f>+'FY16 Tax Bill'!N151-'FY16 Feb Forecast'!N151</f>
        <v>-165828</v>
      </c>
      <c r="O151" s="107">
        <f>+'FY16 Tax Bill'!O151-'FY16 Feb Forecast'!O151</f>
        <v>18071</v>
      </c>
      <c r="P151" s="105">
        <f>+'FY16 Tax Bill'!P151-'FY16 Feb Forecast'!P151</f>
        <v>-22164</v>
      </c>
      <c r="Q151" s="106">
        <f>+'FY16 Tax Bill'!Q151-'FY16 Feb Forecast'!Q151</f>
        <v>40235</v>
      </c>
      <c r="R151" s="105">
        <f>+'FY16 Tax Bill'!R151-'FY16 Feb Forecast'!R151</f>
        <v>17.786417322834723</v>
      </c>
      <c r="S151" s="105">
        <f>+'FY16 Tax Bill'!S151-'FY16 Feb Forecast'!S151</f>
        <v>-21.814960629921302</v>
      </c>
      <c r="T151" s="108">
        <f>+'FY16 Tax Bill'!T151-'FY16 Feb Forecast'!T151</f>
        <v>39.601377952755911</v>
      </c>
    </row>
    <row r="152" spans="1:20" x14ac:dyDescent="0.2">
      <c r="A152" s="109">
        <v>465</v>
      </c>
      <c r="B152" s="110">
        <v>1</v>
      </c>
      <c r="C152" s="103" t="s">
        <v>271</v>
      </c>
      <c r="D152" s="103">
        <v>5</v>
      </c>
      <c r="E152" s="104">
        <f>+SUMIF('GE16FEB14 Unfudged'!$A$2:$A$498, $A152, 'GE16FEB14 Unfudged'!$D$2:$D$498)</f>
        <v>1825</v>
      </c>
      <c r="F152" s="104">
        <f>+'FY16 Tax Bill'!F152-'FY16 Feb Forecast'!F152</f>
        <v>32825</v>
      </c>
      <c r="G152" s="105">
        <f>+'FY16 Tax Bill'!G152-'FY16 Feb Forecast'!G152</f>
        <v>22139</v>
      </c>
      <c r="H152" s="106">
        <f>+'FY16 Tax Bill'!H152-'FY16 Feb Forecast'!H152</f>
        <v>10686</v>
      </c>
      <c r="I152" s="107">
        <f>+'FY16 Tax Bill'!I152-'FY16 Feb Forecast'!I152</f>
        <v>773991</v>
      </c>
      <c r="J152" s="105">
        <f>+'FY16 Tax Bill'!J152-'FY16 Feb Forecast'!J152</f>
        <v>522014</v>
      </c>
      <c r="K152" s="106">
        <f>+'FY16 Tax Bill'!K152-'FY16 Feb Forecast'!K152</f>
        <v>251977</v>
      </c>
      <c r="L152" s="107">
        <f>+'FY16 Tax Bill'!L152-'FY16 Feb Forecast'!L152</f>
        <v>-715996</v>
      </c>
      <c r="M152" s="105">
        <f>+'FY16 Tax Bill'!M152-'FY16 Feb Forecast'!M152</f>
        <v>-482900</v>
      </c>
      <c r="N152" s="106">
        <f>+'FY16 Tax Bill'!N152-'FY16 Feb Forecast'!N152</f>
        <v>-233096</v>
      </c>
      <c r="O152" s="107">
        <f>+'FY16 Tax Bill'!O152-'FY16 Feb Forecast'!O152</f>
        <v>90820</v>
      </c>
      <c r="P152" s="105">
        <f>+'FY16 Tax Bill'!P152-'FY16 Feb Forecast'!P152</f>
        <v>61253</v>
      </c>
      <c r="Q152" s="106">
        <f>+'FY16 Tax Bill'!Q152-'FY16 Feb Forecast'!Q152</f>
        <v>29567</v>
      </c>
      <c r="R152" s="105">
        <f>+'FY16 Tax Bill'!R152-'FY16 Feb Forecast'!R152</f>
        <v>49.764383561643854</v>
      </c>
      <c r="S152" s="105">
        <f>+'FY16 Tax Bill'!S152-'FY16 Feb Forecast'!S152</f>
        <v>33.563287671232899</v>
      </c>
      <c r="T152" s="108">
        <f>+'FY16 Tax Bill'!T152-'FY16 Feb Forecast'!T152</f>
        <v>16.201095890410954</v>
      </c>
    </row>
    <row r="153" spans="1:20" x14ac:dyDescent="0.2">
      <c r="A153" s="109">
        <v>466</v>
      </c>
      <c r="B153" s="110">
        <v>1</v>
      </c>
      <c r="C153" s="103" t="s">
        <v>272</v>
      </c>
      <c r="D153" s="103">
        <v>4</v>
      </c>
      <c r="E153" s="104">
        <f>+SUMIF('GE16FEB14 Unfudged'!$A$2:$A$498, $A153, 'GE16FEB14 Unfudged'!$D$2:$D$498)</f>
        <v>2387</v>
      </c>
      <c r="F153" s="104">
        <f>+'FY16 Tax Bill'!F153-'FY16 Feb Forecast'!F153</f>
        <v>-299</v>
      </c>
      <c r="G153" s="105">
        <f>+'FY16 Tax Bill'!G153-'FY16 Feb Forecast'!G153</f>
        <v>-163</v>
      </c>
      <c r="H153" s="106">
        <f>+'FY16 Tax Bill'!H153-'FY16 Feb Forecast'!H153</f>
        <v>-136</v>
      </c>
      <c r="I153" s="107">
        <f>+'FY16 Tax Bill'!I153-'FY16 Feb Forecast'!I153</f>
        <v>505959</v>
      </c>
      <c r="J153" s="105">
        <f>+'FY16 Tax Bill'!J153-'FY16 Feb Forecast'!J153</f>
        <v>275578</v>
      </c>
      <c r="K153" s="106">
        <f>+'FY16 Tax Bill'!K153-'FY16 Feb Forecast'!K153</f>
        <v>230381</v>
      </c>
      <c r="L153" s="107">
        <f>+'FY16 Tax Bill'!L153-'FY16 Feb Forecast'!L153</f>
        <v>0</v>
      </c>
      <c r="M153" s="105">
        <f>+'FY16 Tax Bill'!M153-'FY16 Feb Forecast'!M153</f>
        <v>0</v>
      </c>
      <c r="N153" s="106">
        <f>+'FY16 Tax Bill'!N153-'FY16 Feb Forecast'!N153</f>
        <v>0</v>
      </c>
      <c r="O153" s="107">
        <f>+'FY16 Tax Bill'!O153-'FY16 Feb Forecast'!O153</f>
        <v>505660</v>
      </c>
      <c r="P153" s="105">
        <f>+'FY16 Tax Bill'!P153-'FY16 Feb Forecast'!P153</f>
        <v>275415</v>
      </c>
      <c r="Q153" s="106">
        <f>+'FY16 Tax Bill'!Q153-'FY16 Feb Forecast'!Q153</f>
        <v>230245</v>
      </c>
      <c r="R153" s="105">
        <f>+'FY16 Tax Bill'!R153-'FY16 Feb Forecast'!R153</f>
        <v>211.83912861332215</v>
      </c>
      <c r="S153" s="105">
        <f>+'FY16 Tax Bill'!S153-'FY16 Feb Forecast'!S153</f>
        <v>115.38123167155425</v>
      </c>
      <c r="T153" s="108">
        <f>+'FY16 Tax Bill'!T153-'FY16 Feb Forecast'!T153</f>
        <v>96.457896941767899</v>
      </c>
    </row>
    <row r="154" spans="1:20" x14ac:dyDescent="0.2">
      <c r="A154" s="109">
        <v>473</v>
      </c>
      <c r="B154" s="110">
        <v>1</v>
      </c>
      <c r="C154" s="103" t="s">
        <v>273</v>
      </c>
      <c r="D154" s="103">
        <v>6</v>
      </c>
      <c r="E154" s="104">
        <f>+SUMIF('GE16FEB14 Unfudged'!$A$2:$A$498, $A154, 'GE16FEB14 Unfudged'!$D$2:$D$498)</f>
        <v>514</v>
      </c>
      <c r="F154" s="104">
        <f>+'FY16 Tax Bill'!F154-'FY16 Feb Forecast'!F154</f>
        <v>0</v>
      </c>
      <c r="G154" s="105">
        <f>+'FY16 Tax Bill'!G154-'FY16 Feb Forecast'!G154</f>
        <v>0</v>
      </c>
      <c r="H154" s="106">
        <f>+'FY16 Tax Bill'!H154-'FY16 Feb Forecast'!H154</f>
        <v>0</v>
      </c>
      <c r="I154" s="107">
        <f>+'FY16 Tax Bill'!I154-'FY16 Feb Forecast'!I154</f>
        <v>217766</v>
      </c>
      <c r="J154" s="105">
        <f>+'FY16 Tax Bill'!J154-'FY16 Feb Forecast'!J154</f>
        <v>217766</v>
      </c>
      <c r="K154" s="106">
        <f>+'FY16 Tax Bill'!K154-'FY16 Feb Forecast'!K154</f>
        <v>0</v>
      </c>
      <c r="L154" s="107">
        <f>+'FY16 Tax Bill'!L154-'FY16 Feb Forecast'!L154</f>
        <v>0</v>
      </c>
      <c r="M154" s="105">
        <f>+'FY16 Tax Bill'!M154-'FY16 Feb Forecast'!M154</f>
        <v>0</v>
      </c>
      <c r="N154" s="106">
        <f>+'FY16 Tax Bill'!N154-'FY16 Feb Forecast'!N154</f>
        <v>0</v>
      </c>
      <c r="O154" s="107">
        <f>+'FY16 Tax Bill'!O154-'FY16 Feb Forecast'!O154</f>
        <v>217766</v>
      </c>
      <c r="P154" s="105">
        <f>+'FY16 Tax Bill'!P154-'FY16 Feb Forecast'!P154</f>
        <v>217766</v>
      </c>
      <c r="Q154" s="106">
        <f>+'FY16 Tax Bill'!Q154-'FY16 Feb Forecast'!Q154</f>
        <v>0</v>
      </c>
      <c r="R154" s="105">
        <f>+'FY16 Tax Bill'!R154-'FY16 Feb Forecast'!R154</f>
        <v>423.66926070038903</v>
      </c>
      <c r="S154" s="105">
        <f>+'FY16 Tax Bill'!S154-'FY16 Feb Forecast'!S154</f>
        <v>423.66926070038915</v>
      </c>
      <c r="T154" s="108">
        <f>+'FY16 Tax Bill'!T154-'FY16 Feb Forecast'!T154</f>
        <v>0</v>
      </c>
    </row>
    <row r="155" spans="1:20" x14ac:dyDescent="0.2">
      <c r="A155" s="109">
        <v>477</v>
      </c>
      <c r="B155" s="110">
        <v>1</v>
      </c>
      <c r="C155" s="103" t="s">
        <v>274</v>
      </c>
      <c r="D155" s="103">
        <v>4</v>
      </c>
      <c r="E155" s="104">
        <f>+SUMIF('GE16FEB14 Unfudged'!$A$2:$A$498, $A155, 'GE16FEB14 Unfudged'!$D$2:$D$498)</f>
        <v>3467</v>
      </c>
      <c r="F155" s="104">
        <f>+'FY16 Tax Bill'!F155-'FY16 Feb Forecast'!F155</f>
        <v>0</v>
      </c>
      <c r="G155" s="105">
        <f>+'FY16 Tax Bill'!G155-'FY16 Feb Forecast'!G155</f>
        <v>0</v>
      </c>
      <c r="H155" s="106">
        <f>+'FY16 Tax Bill'!H155-'FY16 Feb Forecast'!H155</f>
        <v>0</v>
      </c>
      <c r="I155" s="107">
        <f>+'FY16 Tax Bill'!I155-'FY16 Feb Forecast'!I155</f>
        <v>734919</v>
      </c>
      <c r="J155" s="105">
        <f>+'FY16 Tax Bill'!J155-'FY16 Feb Forecast'!J155</f>
        <v>429056</v>
      </c>
      <c r="K155" s="106">
        <f>+'FY16 Tax Bill'!K155-'FY16 Feb Forecast'!K155</f>
        <v>305863</v>
      </c>
      <c r="L155" s="107">
        <f>+'FY16 Tax Bill'!L155-'FY16 Feb Forecast'!L155</f>
        <v>0</v>
      </c>
      <c r="M155" s="105">
        <f>+'FY16 Tax Bill'!M155-'FY16 Feb Forecast'!M155</f>
        <v>0</v>
      </c>
      <c r="N155" s="106">
        <f>+'FY16 Tax Bill'!N155-'FY16 Feb Forecast'!N155</f>
        <v>0</v>
      </c>
      <c r="O155" s="107">
        <f>+'FY16 Tax Bill'!O155-'FY16 Feb Forecast'!O155</f>
        <v>734919</v>
      </c>
      <c r="P155" s="105">
        <f>+'FY16 Tax Bill'!P155-'FY16 Feb Forecast'!P155</f>
        <v>429056</v>
      </c>
      <c r="Q155" s="106">
        <f>+'FY16 Tax Bill'!Q155-'FY16 Feb Forecast'!Q155</f>
        <v>305863</v>
      </c>
      <c r="R155" s="105">
        <f>+'FY16 Tax Bill'!R155-'FY16 Feb Forecast'!R155</f>
        <v>211.97548312662241</v>
      </c>
      <c r="S155" s="105">
        <f>+'FY16 Tax Bill'!S155-'FY16 Feb Forecast'!S155</f>
        <v>123.75425439861556</v>
      </c>
      <c r="T155" s="108">
        <f>+'FY16 Tax Bill'!T155-'FY16 Feb Forecast'!T155</f>
        <v>88.221228728006963</v>
      </c>
    </row>
    <row r="156" spans="1:20" x14ac:dyDescent="0.2">
      <c r="A156" s="109">
        <v>480</v>
      </c>
      <c r="B156" s="110">
        <v>1</v>
      </c>
      <c r="C156" s="103" t="s">
        <v>275</v>
      </c>
      <c r="D156" s="103">
        <v>6</v>
      </c>
      <c r="E156" s="104">
        <f>+SUMIF('GE16FEB14 Unfudged'!$A$2:$A$498, $A156, 'GE16FEB14 Unfudged'!$D$2:$D$498)</f>
        <v>651</v>
      </c>
      <c r="F156" s="104">
        <f>+'FY16 Tax Bill'!F156-'FY16 Feb Forecast'!F156</f>
        <v>12191</v>
      </c>
      <c r="G156" s="105">
        <f>+'FY16 Tax Bill'!G156-'FY16 Feb Forecast'!G156</f>
        <v>9428</v>
      </c>
      <c r="H156" s="106">
        <f>+'FY16 Tax Bill'!H156-'FY16 Feb Forecast'!H156</f>
        <v>2763</v>
      </c>
      <c r="I156" s="107">
        <f>+'FY16 Tax Bill'!I156-'FY16 Feb Forecast'!I156</f>
        <v>275918</v>
      </c>
      <c r="J156" s="105">
        <f>+'FY16 Tax Bill'!J156-'FY16 Feb Forecast'!J156</f>
        <v>213388</v>
      </c>
      <c r="K156" s="106">
        <f>+'FY16 Tax Bill'!K156-'FY16 Feb Forecast'!K156</f>
        <v>62530</v>
      </c>
      <c r="L156" s="107">
        <f>+'FY16 Tax Bill'!L156-'FY16 Feb Forecast'!L156</f>
        <v>-275918</v>
      </c>
      <c r="M156" s="105">
        <f>+'FY16 Tax Bill'!M156-'FY16 Feb Forecast'!M156</f>
        <v>-215148</v>
      </c>
      <c r="N156" s="106">
        <f>+'FY16 Tax Bill'!N156-'FY16 Feb Forecast'!N156</f>
        <v>-60770</v>
      </c>
      <c r="O156" s="107">
        <f>+'FY16 Tax Bill'!O156-'FY16 Feb Forecast'!O156</f>
        <v>12191</v>
      </c>
      <c r="P156" s="105">
        <f>+'FY16 Tax Bill'!P156-'FY16 Feb Forecast'!P156</f>
        <v>7668</v>
      </c>
      <c r="Q156" s="106">
        <f>+'FY16 Tax Bill'!Q156-'FY16 Feb Forecast'!Q156</f>
        <v>4523</v>
      </c>
      <c r="R156" s="105">
        <f>+'FY16 Tax Bill'!R156-'FY16 Feb Forecast'!R156</f>
        <v>18.726574500768038</v>
      </c>
      <c r="S156" s="105">
        <f>+'FY16 Tax Bill'!S156-'FY16 Feb Forecast'!S156</f>
        <v>11.778801843317979</v>
      </c>
      <c r="T156" s="108">
        <f>+'FY16 Tax Bill'!T156-'FY16 Feb Forecast'!T156</f>
        <v>6.9477726574500593</v>
      </c>
    </row>
    <row r="157" spans="1:20" x14ac:dyDescent="0.2">
      <c r="A157" s="109">
        <v>482</v>
      </c>
      <c r="B157" s="110">
        <v>1</v>
      </c>
      <c r="C157" s="103" t="s">
        <v>276</v>
      </c>
      <c r="D157" s="103">
        <v>4</v>
      </c>
      <c r="E157" s="104">
        <f>+SUMIF('GE16FEB14 Unfudged'!$A$2:$A$498, $A157, 'GE16FEB14 Unfudged'!$D$2:$D$498)</f>
        <v>2615</v>
      </c>
      <c r="F157" s="104">
        <f>+'FY16 Tax Bill'!F157-'FY16 Feb Forecast'!F157</f>
        <v>16924</v>
      </c>
      <c r="G157" s="105">
        <f>+'FY16 Tax Bill'!G157-'FY16 Feb Forecast'!G157</f>
        <v>10561</v>
      </c>
      <c r="H157" s="106">
        <f>+'FY16 Tax Bill'!H157-'FY16 Feb Forecast'!H157</f>
        <v>6363</v>
      </c>
      <c r="I157" s="107">
        <f>+'FY16 Tax Bill'!I157-'FY16 Feb Forecast'!I157</f>
        <v>554380</v>
      </c>
      <c r="J157" s="105">
        <f>+'FY16 Tax Bill'!J157-'FY16 Feb Forecast'!J157</f>
        <v>345931</v>
      </c>
      <c r="K157" s="106">
        <f>+'FY16 Tax Bill'!K157-'FY16 Feb Forecast'!K157</f>
        <v>208449</v>
      </c>
      <c r="L157" s="107">
        <f>+'FY16 Tax Bill'!L157-'FY16 Feb Forecast'!L157</f>
        <v>-554380</v>
      </c>
      <c r="M157" s="105">
        <f>+'FY16 Tax Bill'!M157-'FY16 Feb Forecast'!M157</f>
        <v>-345931</v>
      </c>
      <c r="N157" s="106">
        <f>+'FY16 Tax Bill'!N157-'FY16 Feb Forecast'!N157</f>
        <v>-208449</v>
      </c>
      <c r="O157" s="107">
        <f>+'FY16 Tax Bill'!O157-'FY16 Feb Forecast'!O157</f>
        <v>16924</v>
      </c>
      <c r="P157" s="105">
        <f>+'FY16 Tax Bill'!P157-'FY16 Feb Forecast'!P157</f>
        <v>10561</v>
      </c>
      <c r="Q157" s="106">
        <f>+'FY16 Tax Bill'!Q157-'FY16 Feb Forecast'!Q157</f>
        <v>6363</v>
      </c>
      <c r="R157" s="105">
        <f>+'FY16 Tax Bill'!R157-'FY16 Feb Forecast'!R157</f>
        <v>6.4718929254302111</v>
      </c>
      <c r="S157" s="105">
        <f>+'FY16 Tax Bill'!S157-'FY16 Feb Forecast'!S157</f>
        <v>4.0386233269598506</v>
      </c>
      <c r="T157" s="108">
        <f>+'FY16 Tax Bill'!T157-'FY16 Feb Forecast'!T157</f>
        <v>2.4332695984703605</v>
      </c>
    </row>
    <row r="158" spans="1:20" x14ac:dyDescent="0.2">
      <c r="A158" s="109">
        <v>484</v>
      </c>
      <c r="B158" s="110">
        <v>1</v>
      </c>
      <c r="C158" s="103" t="s">
        <v>277</v>
      </c>
      <c r="D158" s="103">
        <v>5</v>
      </c>
      <c r="E158" s="104">
        <f>+SUMIF('GE16FEB14 Unfudged'!$A$2:$A$498, $A158, 'GE16FEB14 Unfudged'!$D$2:$D$498)</f>
        <v>1234</v>
      </c>
      <c r="F158" s="104">
        <f>+'FY16 Tax Bill'!F158-'FY16 Feb Forecast'!F158</f>
        <v>9178</v>
      </c>
      <c r="G158" s="105">
        <f>+'FY16 Tax Bill'!G158-'FY16 Feb Forecast'!G158</f>
        <v>4841</v>
      </c>
      <c r="H158" s="106">
        <f>+'FY16 Tax Bill'!H158-'FY16 Feb Forecast'!H158</f>
        <v>4337</v>
      </c>
      <c r="I158" s="107">
        <f>+'FY16 Tax Bill'!I158-'FY16 Feb Forecast'!I158</f>
        <v>523046</v>
      </c>
      <c r="J158" s="105">
        <f>+'FY16 Tax Bill'!J158-'FY16 Feb Forecast'!J158</f>
        <v>275920</v>
      </c>
      <c r="K158" s="106">
        <f>+'FY16 Tax Bill'!K158-'FY16 Feb Forecast'!K158</f>
        <v>247126</v>
      </c>
      <c r="L158" s="107">
        <f>+'FY16 Tax Bill'!L158-'FY16 Feb Forecast'!L158</f>
        <v>-200201</v>
      </c>
      <c r="M158" s="105">
        <f>+'FY16 Tax Bill'!M158-'FY16 Feb Forecast'!M158</f>
        <v>-105611</v>
      </c>
      <c r="N158" s="106">
        <f>+'FY16 Tax Bill'!N158-'FY16 Feb Forecast'!N158</f>
        <v>-94590</v>
      </c>
      <c r="O158" s="107">
        <f>+'FY16 Tax Bill'!O158-'FY16 Feb Forecast'!O158</f>
        <v>332023</v>
      </c>
      <c r="P158" s="105">
        <f>+'FY16 Tax Bill'!P158-'FY16 Feb Forecast'!P158</f>
        <v>175150</v>
      </c>
      <c r="Q158" s="106">
        <f>+'FY16 Tax Bill'!Q158-'FY16 Feb Forecast'!Q158</f>
        <v>156873</v>
      </c>
      <c r="R158" s="105">
        <f>+'FY16 Tax Bill'!R158-'FY16 Feb Forecast'!R158</f>
        <v>269.06239870340357</v>
      </c>
      <c r="S158" s="105">
        <f>+'FY16 Tax Bill'!S158-'FY16 Feb Forecast'!S158</f>
        <v>141.93679092382496</v>
      </c>
      <c r="T158" s="108">
        <f>+'FY16 Tax Bill'!T158-'FY16 Feb Forecast'!T158</f>
        <v>127.12560777957862</v>
      </c>
    </row>
    <row r="159" spans="1:20" x14ac:dyDescent="0.2">
      <c r="A159" s="109">
        <v>485</v>
      </c>
      <c r="B159" s="110">
        <v>1</v>
      </c>
      <c r="C159" s="103" t="s">
        <v>278</v>
      </c>
      <c r="D159" s="103">
        <v>6</v>
      </c>
      <c r="E159" s="104">
        <f>+SUMIF('GE16FEB14 Unfudged'!$A$2:$A$498, $A159, 'GE16FEB14 Unfudged'!$D$2:$D$498)</f>
        <v>941</v>
      </c>
      <c r="F159" s="104">
        <f>+'FY16 Tax Bill'!F159-'FY16 Feb Forecast'!F159</f>
        <v>0</v>
      </c>
      <c r="G159" s="105">
        <f>+'FY16 Tax Bill'!G159-'FY16 Feb Forecast'!G159</f>
        <v>0</v>
      </c>
      <c r="H159" s="106">
        <f>+'FY16 Tax Bill'!H159-'FY16 Feb Forecast'!H159</f>
        <v>0</v>
      </c>
      <c r="I159" s="107">
        <f>+'FY16 Tax Bill'!I159-'FY16 Feb Forecast'!I159</f>
        <v>399175</v>
      </c>
      <c r="J159" s="105">
        <f>+'FY16 Tax Bill'!J159-'FY16 Feb Forecast'!J159</f>
        <v>226967</v>
      </c>
      <c r="K159" s="106">
        <f>+'FY16 Tax Bill'!K159-'FY16 Feb Forecast'!K159</f>
        <v>172208</v>
      </c>
      <c r="L159" s="107">
        <f>+'FY16 Tax Bill'!L159-'FY16 Feb Forecast'!L159</f>
        <v>0</v>
      </c>
      <c r="M159" s="105">
        <f>+'FY16 Tax Bill'!M159-'FY16 Feb Forecast'!M159</f>
        <v>0</v>
      </c>
      <c r="N159" s="106">
        <f>+'FY16 Tax Bill'!N159-'FY16 Feb Forecast'!N159</f>
        <v>0</v>
      </c>
      <c r="O159" s="107">
        <f>+'FY16 Tax Bill'!O159-'FY16 Feb Forecast'!O159</f>
        <v>399175</v>
      </c>
      <c r="P159" s="105">
        <f>+'FY16 Tax Bill'!P159-'FY16 Feb Forecast'!P159</f>
        <v>226967</v>
      </c>
      <c r="Q159" s="106">
        <f>+'FY16 Tax Bill'!Q159-'FY16 Feb Forecast'!Q159</f>
        <v>172208</v>
      </c>
      <c r="R159" s="105">
        <f>+'FY16 Tax Bill'!R159-'FY16 Feb Forecast'!R159</f>
        <v>424.20297555791706</v>
      </c>
      <c r="S159" s="105">
        <f>+'FY16 Tax Bill'!S159-'FY16 Feb Forecast'!S159</f>
        <v>241.19766206163655</v>
      </c>
      <c r="T159" s="108">
        <f>+'FY16 Tax Bill'!T159-'FY16 Feb Forecast'!T159</f>
        <v>183.00531349628056</v>
      </c>
    </row>
    <row r="160" spans="1:20" x14ac:dyDescent="0.2">
      <c r="A160" s="109">
        <v>486</v>
      </c>
      <c r="B160" s="110">
        <v>1</v>
      </c>
      <c r="C160" s="103" t="s">
        <v>279</v>
      </c>
      <c r="D160" s="103">
        <v>6</v>
      </c>
      <c r="E160" s="104">
        <f>+SUMIF('GE16FEB14 Unfudged'!$A$2:$A$498, $A160, 'GE16FEB14 Unfudged'!$D$2:$D$498)</f>
        <v>358</v>
      </c>
      <c r="F160" s="104">
        <f>+'FY16 Tax Bill'!F160-'FY16 Feb Forecast'!F160</f>
        <v>6435</v>
      </c>
      <c r="G160" s="105">
        <f>+'FY16 Tax Bill'!G160-'FY16 Feb Forecast'!G160</f>
        <v>3903</v>
      </c>
      <c r="H160" s="106">
        <f>+'FY16 Tax Bill'!H160-'FY16 Feb Forecast'!H160</f>
        <v>2532</v>
      </c>
      <c r="I160" s="107">
        <f>+'FY16 Tax Bill'!I160-'FY16 Feb Forecast'!I160</f>
        <v>151622</v>
      </c>
      <c r="J160" s="105">
        <f>+'FY16 Tax Bill'!J160-'FY16 Feb Forecast'!J160</f>
        <v>91973</v>
      </c>
      <c r="K160" s="106">
        <f>+'FY16 Tax Bill'!K160-'FY16 Feb Forecast'!K160</f>
        <v>59649</v>
      </c>
      <c r="L160" s="107">
        <f>+'FY16 Tax Bill'!L160-'FY16 Feb Forecast'!L160</f>
        <v>-151622</v>
      </c>
      <c r="M160" s="105">
        <f>+'FY16 Tax Bill'!M160-'FY16 Feb Forecast'!M160</f>
        <v>-100699</v>
      </c>
      <c r="N160" s="106">
        <f>+'FY16 Tax Bill'!N160-'FY16 Feb Forecast'!N160</f>
        <v>-50923</v>
      </c>
      <c r="O160" s="107">
        <f>+'FY16 Tax Bill'!O160-'FY16 Feb Forecast'!O160</f>
        <v>6435</v>
      </c>
      <c r="P160" s="105">
        <f>+'FY16 Tax Bill'!P160-'FY16 Feb Forecast'!P160</f>
        <v>-4823</v>
      </c>
      <c r="Q160" s="106">
        <f>+'FY16 Tax Bill'!Q160-'FY16 Feb Forecast'!Q160</f>
        <v>11258</v>
      </c>
      <c r="R160" s="105">
        <f>+'FY16 Tax Bill'!R160-'FY16 Feb Forecast'!R160</f>
        <v>17.974860335195558</v>
      </c>
      <c r="S160" s="105">
        <f>+'FY16 Tax Bill'!S160-'FY16 Feb Forecast'!S160</f>
        <v>-13.472067039106093</v>
      </c>
      <c r="T160" s="108">
        <f>+'FY16 Tax Bill'!T160-'FY16 Feb Forecast'!T160</f>
        <v>31.446927374301652</v>
      </c>
    </row>
    <row r="161" spans="1:20" x14ac:dyDescent="0.2">
      <c r="A161" s="109">
        <v>487</v>
      </c>
      <c r="B161" s="110">
        <v>1</v>
      </c>
      <c r="C161" s="103" t="s">
        <v>280</v>
      </c>
      <c r="D161" s="103">
        <v>6</v>
      </c>
      <c r="E161" s="104">
        <f>+SUMIF('GE16FEB14 Unfudged'!$A$2:$A$498, $A161, 'GE16FEB14 Unfudged'!$D$2:$D$498)</f>
        <v>364</v>
      </c>
      <c r="F161" s="104">
        <f>+'FY16 Tax Bill'!F161-'FY16 Feb Forecast'!F161</f>
        <v>6402</v>
      </c>
      <c r="G161" s="105">
        <f>+'FY16 Tax Bill'!G161-'FY16 Feb Forecast'!G161</f>
        <v>4408</v>
      </c>
      <c r="H161" s="106">
        <f>+'FY16 Tax Bill'!H161-'FY16 Feb Forecast'!H161</f>
        <v>1994</v>
      </c>
      <c r="I161" s="107">
        <f>+'FY16 Tax Bill'!I161-'FY16 Feb Forecast'!I161</f>
        <v>154463</v>
      </c>
      <c r="J161" s="105">
        <f>+'FY16 Tax Bill'!J161-'FY16 Feb Forecast'!J161</f>
        <v>106332</v>
      </c>
      <c r="K161" s="106">
        <f>+'FY16 Tax Bill'!K161-'FY16 Feb Forecast'!K161</f>
        <v>48131</v>
      </c>
      <c r="L161" s="107">
        <f>+'FY16 Tax Bill'!L161-'FY16 Feb Forecast'!L161</f>
        <v>-154464</v>
      </c>
      <c r="M161" s="105">
        <f>+'FY16 Tax Bill'!M161-'FY16 Feb Forecast'!M161</f>
        <v>-116646</v>
      </c>
      <c r="N161" s="106">
        <f>+'FY16 Tax Bill'!N161-'FY16 Feb Forecast'!N161</f>
        <v>-37818</v>
      </c>
      <c r="O161" s="107">
        <f>+'FY16 Tax Bill'!O161-'FY16 Feb Forecast'!O161</f>
        <v>6401</v>
      </c>
      <c r="P161" s="105">
        <f>+'FY16 Tax Bill'!P161-'FY16 Feb Forecast'!P161</f>
        <v>-5906</v>
      </c>
      <c r="Q161" s="106">
        <f>+'FY16 Tax Bill'!Q161-'FY16 Feb Forecast'!Q161</f>
        <v>12307</v>
      </c>
      <c r="R161" s="105">
        <f>+'FY16 Tax Bill'!R161-'FY16 Feb Forecast'!R161</f>
        <v>17.585164835164846</v>
      </c>
      <c r="S161" s="105">
        <f>+'FY16 Tax Bill'!S161-'FY16 Feb Forecast'!S161</f>
        <v>-16.225274725274744</v>
      </c>
      <c r="T161" s="108">
        <f>+'FY16 Tax Bill'!T161-'FY16 Feb Forecast'!T161</f>
        <v>33.810439560439534</v>
      </c>
    </row>
    <row r="162" spans="1:20" x14ac:dyDescent="0.2">
      <c r="A162" s="109">
        <v>492</v>
      </c>
      <c r="B162" s="110">
        <v>1</v>
      </c>
      <c r="C162" s="103" t="s">
        <v>281</v>
      </c>
      <c r="D162" s="103">
        <v>4</v>
      </c>
      <c r="E162" s="104">
        <f>+SUMIF('GE16FEB14 Unfudged'!$A$2:$A$498, $A162, 'GE16FEB14 Unfudged'!$D$2:$D$498)</f>
        <v>5139</v>
      </c>
      <c r="F162" s="104">
        <f>+'FY16 Tax Bill'!F162-'FY16 Feb Forecast'!F162</f>
        <v>46715</v>
      </c>
      <c r="G162" s="105">
        <f>+'FY16 Tax Bill'!G162-'FY16 Feb Forecast'!G162</f>
        <v>22338</v>
      </c>
      <c r="H162" s="106">
        <f>+'FY16 Tax Bill'!H162-'FY16 Feb Forecast'!H162</f>
        <v>24377</v>
      </c>
      <c r="I162" s="107">
        <f>+'FY16 Tax Bill'!I162-'FY16 Feb Forecast'!I162</f>
        <v>1089383</v>
      </c>
      <c r="J162" s="105">
        <f>+'FY16 Tax Bill'!J162-'FY16 Feb Forecast'!J162</f>
        <v>520922</v>
      </c>
      <c r="K162" s="106">
        <f>+'FY16 Tax Bill'!K162-'FY16 Feb Forecast'!K162</f>
        <v>568461</v>
      </c>
      <c r="L162" s="107">
        <f>+'FY16 Tax Bill'!L162-'FY16 Feb Forecast'!L162</f>
        <v>-1089383</v>
      </c>
      <c r="M162" s="105">
        <f>+'FY16 Tax Bill'!M162-'FY16 Feb Forecast'!M162</f>
        <v>-520922</v>
      </c>
      <c r="N162" s="106">
        <f>+'FY16 Tax Bill'!N162-'FY16 Feb Forecast'!N162</f>
        <v>-568461</v>
      </c>
      <c r="O162" s="107">
        <f>+'FY16 Tax Bill'!O162-'FY16 Feb Forecast'!O162</f>
        <v>46715</v>
      </c>
      <c r="P162" s="105">
        <f>+'FY16 Tax Bill'!P162-'FY16 Feb Forecast'!P162</f>
        <v>22338</v>
      </c>
      <c r="Q162" s="106">
        <f>+'FY16 Tax Bill'!Q162-'FY16 Feb Forecast'!Q162</f>
        <v>24377</v>
      </c>
      <c r="R162" s="105">
        <f>+'FY16 Tax Bill'!R162-'FY16 Feb Forecast'!R162</f>
        <v>9.0902899396770636</v>
      </c>
      <c r="S162" s="105">
        <f>+'FY16 Tax Bill'!S162-'FY16 Feb Forecast'!S162</f>
        <v>4.3467600700525395</v>
      </c>
      <c r="T162" s="108">
        <f>+'FY16 Tax Bill'!T162-'FY16 Feb Forecast'!T162</f>
        <v>4.7435298696244672</v>
      </c>
    </row>
    <row r="163" spans="1:20" x14ac:dyDescent="0.2">
      <c r="A163" s="109">
        <v>495</v>
      </c>
      <c r="B163" s="110">
        <v>1</v>
      </c>
      <c r="C163" s="103" t="s">
        <v>282</v>
      </c>
      <c r="D163" s="103">
        <v>6</v>
      </c>
      <c r="E163" s="104">
        <f>+SUMIF('GE16FEB14 Unfudged'!$A$2:$A$498, $A163, 'GE16FEB14 Unfudged'!$D$2:$D$498)</f>
        <v>435</v>
      </c>
      <c r="F163" s="104">
        <f>+'FY16 Tax Bill'!F163-'FY16 Feb Forecast'!F163</f>
        <v>3894</v>
      </c>
      <c r="G163" s="105">
        <f>+'FY16 Tax Bill'!G163-'FY16 Feb Forecast'!G163</f>
        <v>1745</v>
      </c>
      <c r="H163" s="106">
        <f>+'FY16 Tax Bill'!H163-'FY16 Feb Forecast'!H163</f>
        <v>2149</v>
      </c>
      <c r="I163" s="107">
        <f>+'FY16 Tax Bill'!I163-'FY16 Feb Forecast'!I163</f>
        <v>184398</v>
      </c>
      <c r="J163" s="105">
        <f>+'FY16 Tax Bill'!J163-'FY16 Feb Forecast'!J163</f>
        <v>82595</v>
      </c>
      <c r="K163" s="106">
        <f>+'FY16 Tax Bill'!K163-'FY16 Feb Forecast'!K163</f>
        <v>101803</v>
      </c>
      <c r="L163" s="107">
        <f>+'FY16 Tax Bill'!L163-'FY16 Feb Forecast'!L163</f>
        <v>-184398</v>
      </c>
      <c r="M163" s="105">
        <f>+'FY16 Tax Bill'!M163-'FY16 Feb Forecast'!M163</f>
        <v>-145253</v>
      </c>
      <c r="N163" s="106">
        <f>+'FY16 Tax Bill'!N163-'FY16 Feb Forecast'!N163</f>
        <v>-39145</v>
      </c>
      <c r="O163" s="107">
        <f>+'FY16 Tax Bill'!O163-'FY16 Feb Forecast'!O163</f>
        <v>3894</v>
      </c>
      <c r="P163" s="105">
        <f>+'FY16 Tax Bill'!P163-'FY16 Feb Forecast'!P163</f>
        <v>-60913</v>
      </c>
      <c r="Q163" s="106">
        <f>+'FY16 Tax Bill'!Q163-'FY16 Feb Forecast'!Q163</f>
        <v>64807</v>
      </c>
      <c r="R163" s="105">
        <f>+'FY16 Tax Bill'!R163-'FY16 Feb Forecast'!R163</f>
        <v>8.9517241379310235</v>
      </c>
      <c r="S163" s="105">
        <f>+'FY16 Tax Bill'!S163-'FY16 Feb Forecast'!S163</f>
        <v>-140.02988505747123</v>
      </c>
      <c r="T163" s="108">
        <f>+'FY16 Tax Bill'!T163-'FY16 Feb Forecast'!T163</f>
        <v>148.98160919540226</v>
      </c>
    </row>
    <row r="164" spans="1:20" x14ac:dyDescent="0.2">
      <c r="A164" s="109">
        <v>497</v>
      </c>
      <c r="B164" s="110">
        <v>1</v>
      </c>
      <c r="C164" s="103" t="s">
        <v>283</v>
      </c>
      <c r="D164" s="103">
        <v>6</v>
      </c>
      <c r="E164" s="104">
        <f>+SUMIF('GE16FEB14 Unfudged'!$A$2:$A$498, $A164, 'GE16FEB14 Unfudged'!$D$2:$D$498)</f>
        <v>255</v>
      </c>
      <c r="F164" s="104">
        <f>+'FY16 Tax Bill'!F164-'FY16 Feb Forecast'!F164</f>
        <v>4904</v>
      </c>
      <c r="G164" s="105">
        <f>+'FY16 Tax Bill'!G164-'FY16 Feb Forecast'!G164</f>
        <v>2403</v>
      </c>
      <c r="H164" s="106">
        <f>+'FY16 Tax Bill'!H164-'FY16 Feb Forecast'!H164</f>
        <v>2501</v>
      </c>
      <c r="I164" s="107">
        <f>+'FY16 Tax Bill'!I164-'FY16 Feb Forecast'!I164</f>
        <v>108162</v>
      </c>
      <c r="J164" s="105">
        <f>+'FY16 Tax Bill'!J164-'FY16 Feb Forecast'!J164</f>
        <v>52997</v>
      </c>
      <c r="K164" s="106">
        <f>+'FY16 Tax Bill'!K164-'FY16 Feb Forecast'!K164</f>
        <v>55165</v>
      </c>
      <c r="L164" s="107">
        <f>+'FY16 Tax Bill'!L164-'FY16 Feb Forecast'!L164</f>
        <v>-108163</v>
      </c>
      <c r="M164" s="105">
        <f>+'FY16 Tax Bill'!M164-'FY16 Feb Forecast'!M164</f>
        <v>-52998</v>
      </c>
      <c r="N164" s="106">
        <f>+'FY16 Tax Bill'!N164-'FY16 Feb Forecast'!N164</f>
        <v>-55165</v>
      </c>
      <c r="O164" s="107">
        <f>+'FY16 Tax Bill'!O164-'FY16 Feb Forecast'!O164</f>
        <v>4903</v>
      </c>
      <c r="P164" s="105">
        <f>+'FY16 Tax Bill'!P164-'FY16 Feb Forecast'!P164</f>
        <v>2402</v>
      </c>
      <c r="Q164" s="106">
        <f>+'FY16 Tax Bill'!Q164-'FY16 Feb Forecast'!Q164</f>
        <v>2501</v>
      </c>
      <c r="R164" s="105">
        <f>+'FY16 Tax Bill'!R164-'FY16 Feb Forecast'!R164</f>
        <v>19.227450980392177</v>
      </c>
      <c r="S164" s="105">
        <f>+'FY16 Tax Bill'!S164-'FY16 Feb Forecast'!S164</f>
        <v>9.4196078431372712</v>
      </c>
      <c r="T164" s="108">
        <f>+'FY16 Tax Bill'!T164-'FY16 Feb Forecast'!T164</f>
        <v>9.8078431372549062</v>
      </c>
    </row>
    <row r="165" spans="1:20" x14ac:dyDescent="0.2">
      <c r="A165" s="109">
        <v>499</v>
      </c>
      <c r="B165" s="110">
        <v>1</v>
      </c>
      <c r="C165" s="103" t="s">
        <v>284</v>
      </c>
      <c r="D165" s="103">
        <v>6</v>
      </c>
      <c r="E165" s="104">
        <f>+SUMIF('GE16FEB14 Unfudged'!$A$2:$A$498, $A165, 'GE16FEB14 Unfudged'!$D$2:$D$498)</f>
        <v>305</v>
      </c>
      <c r="F165" s="104">
        <f>+'FY16 Tax Bill'!F165-'FY16 Feb Forecast'!F165</f>
        <v>1004</v>
      </c>
      <c r="G165" s="105">
        <f>+'FY16 Tax Bill'!G165-'FY16 Feb Forecast'!G165</f>
        <v>567</v>
      </c>
      <c r="H165" s="106">
        <f>+'FY16 Tax Bill'!H165-'FY16 Feb Forecast'!H165</f>
        <v>437</v>
      </c>
      <c r="I165" s="107">
        <f>+'FY16 Tax Bill'!I165-'FY16 Feb Forecast'!I165</f>
        <v>129150</v>
      </c>
      <c r="J165" s="105">
        <f>+'FY16 Tax Bill'!J165-'FY16 Feb Forecast'!J165</f>
        <v>72992</v>
      </c>
      <c r="K165" s="106">
        <f>+'FY16 Tax Bill'!K165-'FY16 Feb Forecast'!K165</f>
        <v>56158</v>
      </c>
      <c r="L165" s="107">
        <f>+'FY16 Tax Bill'!L165-'FY16 Feb Forecast'!L165</f>
        <v>-129150</v>
      </c>
      <c r="M165" s="105">
        <f>+'FY16 Tax Bill'!M165-'FY16 Feb Forecast'!M165</f>
        <v>-129150</v>
      </c>
      <c r="N165" s="106">
        <f>+'FY16 Tax Bill'!N165-'FY16 Feb Forecast'!N165</f>
        <v>0</v>
      </c>
      <c r="O165" s="107">
        <f>+'FY16 Tax Bill'!O165-'FY16 Feb Forecast'!O165</f>
        <v>1004</v>
      </c>
      <c r="P165" s="105">
        <f>+'FY16 Tax Bill'!P165-'FY16 Feb Forecast'!P165</f>
        <v>-55591</v>
      </c>
      <c r="Q165" s="106">
        <f>+'FY16 Tax Bill'!Q165-'FY16 Feb Forecast'!Q165</f>
        <v>56595</v>
      </c>
      <c r="R165" s="105">
        <f>+'FY16 Tax Bill'!R165-'FY16 Feb Forecast'!R165</f>
        <v>3.291803278688576</v>
      </c>
      <c r="S165" s="105">
        <f>+'FY16 Tax Bill'!S165-'FY16 Feb Forecast'!S165</f>
        <v>-182.26557377049176</v>
      </c>
      <c r="T165" s="108">
        <f>+'FY16 Tax Bill'!T165-'FY16 Feb Forecast'!T165</f>
        <v>185.55737704918033</v>
      </c>
    </row>
    <row r="166" spans="1:20" x14ac:dyDescent="0.2">
      <c r="A166" s="109">
        <v>500</v>
      </c>
      <c r="B166" s="110">
        <v>1</v>
      </c>
      <c r="C166" s="103" t="s">
        <v>285</v>
      </c>
      <c r="D166" s="103">
        <v>6</v>
      </c>
      <c r="E166" s="104">
        <f>+SUMIF('GE16FEB14 Unfudged'!$A$2:$A$498, $A166, 'GE16FEB14 Unfudged'!$D$2:$D$498)</f>
        <v>450</v>
      </c>
      <c r="F166" s="104">
        <f>+'FY16 Tax Bill'!F166-'FY16 Feb Forecast'!F166</f>
        <v>8643</v>
      </c>
      <c r="G166" s="105">
        <f>+'FY16 Tax Bill'!G166-'FY16 Feb Forecast'!G166</f>
        <v>6791</v>
      </c>
      <c r="H166" s="106">
        <f>+'FY16 Tax Bill'!H166-'FY16 Feb Forecast'!H166</f>
        <v>1852</v>
      </c>
      <c r="I166" s="107">
        <f>+'FY16 Tax Bill'!I166-'FY16 Feb Forecast'!I166</f>
        <v>190588</v>
      </c>
      <c r="J166" s="105">
        <f>+'FY16 Tax Bill'!J166-'FY16 Feb Forecast'!J166</f>
        <v>149746</v>
      </c>
      <c r="K166" s="106">
        <f>+'FY16 Tax Bill'!K166-'FY16 Feb Forecast'!K166</f>
        <v>40842</v>
      </c>
      <c r="L166" s="107">
        <f>+'FY16 Tax Bill'!L166-'FY16 Feb Forecast'!L166</f>
        <v>-190588</v>
      </c>
      <c r="M166" s="105">
        <f>+'FY16 Tax Bill'!M166-'FY16 Feb Forecast'!M166</f>
        <v>-152963</v>
      </c>
      <c r="N166" s="106">
        <f>+'FY16 Tax Bill'!N166-'FY16 Feb Forecast'!N166</f>
        <v>-37625</v>
      </c>
      <c r="O166" s="107">
        <f>+'FY16 Tax Bill'!O166-'FY16 Feb Forecast'!O166</f>
        <v>8643</v>
      </c>
      <c r="P166" s="105">
        <f>+'FY16 Tax Bill'!P166-'FY16 Feb Forecast'!P166</f>
        <v>3574</v>
      </c>
      <c r="Q166" s="106">
        <f>+'FY16 Tax Bill'!Q166-'FY16 Feb Forecast'!Q166</f>
        <v>5069</v>
      </c>
      <c r="R166" s="105">
        <f>+'FY16 Tax Bill'!R166-'FY16 Feb Forecast'!R166</f>
        <v>19.206666666666706</v>
      </c>
      <c r="S166" s="105">
        <f>+'FY16 Tax Bill'!S166-'FY16 Feb Forecast'!S166</f>
        <v>7.942222222222199</v>
      </c>
      <c r="T166" s="108">
        <f>+'FY16 Tax Bill'!T166-'FY16 Feb Forecast'!T166</f>
        <v>11.26444444444445</v>
      </c>
    </row>
    <row r="167" spans="1:20" x14ac:dyDescent="0.2">
      <c r="A167" s="109">
        <v>505</v>
      </c>
      <c r="B167" s="110">
        <v>1</v>
      </c>
      <c r="C167" s="103" t="s">
        <v>286</v>
      </c>
      <c r="D167" s="103">
        <v>6</v>
      </c>
      <c r="E167" s="104">
        <f>+SUMIF('GE16FEB14 Unfudged'!$A$2:$A$498, $A167, 'GE16FEB14 Unfudged'!$D$2:$D$498)</f>
        <v>322</v>
      </c>
      <c r="F167" s="104">
        <f>+'FY16 Tax Bill'!F167-'FY16 Feb Forecast'!F167</f>
        <v>4480</v>
      </c>
      <c r="G167" s="105">
        <f>+'FY16 Tax Bill'!G167-'FY16 Feb Forecast'!G167</f>
        <v>2554</v>
      </c>
      <c r="H167" s="106">
        <f>+'FY16 Tax Bill'!H167-'FY16 Feb Forecast'!H167</f>
        <v>1926</v>
      </c>
      <c r="I167" s="107">
        <f>+'FY16 Tax Bill'!I167-'FY16 Feb Forecast'!I167</f>
        <v>136401</v>
      </c>
      <c r="J167" s="105">
        <f>+'FY16 Tax Bill'!J167-'FY16 Feb Forecast'!J167</f>
        <v>77755</v>
      </c>
      <c r="K167" s="106">
        <f>+'FY16 Tax Bill'!K167-'FY16 Feb Forecast'!K167</f>
        <v>58646</v>
      </c>
      <c r="L167" s="107">
        <f>+'FY16 Tax Bill'!L167-'FY16 Feb Forecast'!L167</f>
        <v>-136401</v>
      </c>
      <c r="M167" s="105">
        <f>+'FY16 Tax Bill'!M167-'FY16 Feb Forecast'!M167</f>
        <v>-124576</v>
      </c>
      <c r="N167" s="106">
        <f>+'FY16 Tax Bill'!N167-'FY16 Feb Forecast'!N167</f>
        <v>-11825</v>
      </c>
      <c r="O167" s="107">
        <f>+'FY16 Tax Bill'!O167-'FY16 Feb Forecast'!O167</f>
        <v>4480</v>
      </c>
      <c r="P167" s="105">
        <f>+'FY16 Tax Bill'!P167-'FY16 Feb Forecast'!P167</f>
        <v>-44267</v>
      </c>
      <c r="Q167" s="106">
        <f>+'FY16 Tax Bill'!Q167-'FY16 Feb Forecast'!Q167</f>
        <v>48747</v>
      </c>
      <c r="R167" s="105">
        <f>+'FY16 Tax Bill'!R167-'FY16 Feb Forecast'!R167</f>
        <v>13.913043478260988</v>
      </c>
      <c r="S167" s="105">
        <f>+'FY16 Tax Bill'!S167-'FY16 Feb Forecast'!S167</f>
        <v>-137.47515527950316</v>
      </c>
      <c r="T167" s="108">
        <f>+'FY16 Tax Bill'!T167-'FY16 Feb Forecast'!T167</f>
        <v>151.38819875776397</v>
      </c>
    </row>
    <row r="168" spans="1:20" x14ac:dyDescent="0.2">
      <c r="A168" s="109">
        <v>507</v>
      </c>
      <c r="B168" s="110">
        <v>1</v>
      </c>
      <c r="C168" s="103" t="s">
        <v>287</v>
      </c>
      <c r="D168" s="103">
        <v>6</v>
      </c>
      <c r="E168" s="104">
        <f>+SUMIF('GE16FEB14 Unfudged'!$A$2:$A$498, $A168, 'GE16FEB14 Unfudged'!$D$2:$D$498)</f>
        <v>387</v>
      </c>
      <c r="F168" s="104">
        <f>+'FY16 Tax Bill'!F168-'FY16 Feb Forecast'!F168</f>
        <v>2852</v>
      </c>
      <c r="G168" s="105">
        <f>+'FY16 Tax Bill'!G168-'FY16 Feb Forecast'!G168</f>
        <v>2378</v>
      </c>
      <c r="H168" s="106">
        <f>+'FY16 Tax Bill'!H168-'FY16 Feb Forecast'!H168</f>
        <v>474</v>
      </c>
      <c r="I168" s="107">
        <f>+'FY16 Tax Bill'!I168-'FY16 Feb Forecast'!I168</f>
        <v>163918</v>
      </c>
      <c r="J168" s="105">
        <f>+'FY16 Tax Bill'!J168-'FY16 Feb Forecast'!J168</f>
        <v>136676</v>
      </c>
      <c r="K168" s="106">
        <f>+'FY16 Tax Bill'!K168-'FY16 Feb Forecast'!K168</f>
        <v>27242</v>
      </c>
      <c r="L168" s="107">
        <f>+'FY16 Tax Bill'!L168-'FY16 Feb Forecast'!L168</f>
        <v>-163919</v>
      </c>
      <c r="M168" s="105">
        <f>+'FY16 Tax Bill'!M168-'FY16 Feb Forecast'!M168</f>
        <v>-163919</v>
      </c>
      <c r="N168" s="106">
        <f>+'FY16 Tax Bill'!N168-'FY16 Feb Forecast'!N168</f>
        <v>0</v>
      </c>
      <c r="O168" s="107">
        <f>+'FY16 Tax Bill'!O168-'FY16 Feb Forecast'!O168</f>
        <v>2851</v>
      </c>
      <c r="P168" s="105">
        <f>+'FY16 Tax Bill'!P168-'FY16 Feb Forecast'!P168</f>
        <v>-24865</v>
      </c>
      <c r="Q168" s="106">
        <f>+'FY16 Tax Bill'!Q168-'FY16 Feb Forecast'!Q168</f>
        <v>27716</v>
      </c>
      <c r="R168" s="105">
        <f>+'FY16 Tax Bill'!R168-'FY16 Feb Forecast'!R168</f>
        <v>7.3669250645993998</v>
      </c>
      <c r="S168" s="105">
        <f>+'FY16 Tax Bill'!S168-'FY16 Feb Forecast'!S168</f>
        <v>-64.250645994831984</v>
      </c>
      <c r="T168" s="108">
        <f>+'FY16 Tax Bill'!T168-'FY16 Feb Forecast'!T168</f>
        <v>71.617571059431498</v>
      </c>
    </row>
    <row r="169" spans="1:20" x14ac:dyDescent="0.2">
      <c r="A169" s="109">
        <v>508</v>
      </c>
      <c r="B169" s="110">
        <v>1</v>
      </c>
      <c r="C169" s="103" t="s">
        <v>288</v>
      </c>
      <c r="D169" s="103">
        <v>5</v>
      </c>
      <c r="E169" s="104">
        <f>+SUMIF('GE16FEB14 Unfudged'!$A$2:$A$498, $A169, 'GE16FEB14 Unfudged'!$D$2:$D$498)</f>
        <v>2102</v>
      </c>
      <c r="F169" s="104">
        <f>+'FY16 Tax Bill'!F169-'FY16 Feb Forecast'!F169</f>
        <v>34838</v>
      </c>
      <c r="G169" s="105">
        <f>+'FY16 Tax Bill'!G169-'FY16 Feb Forecast'!G169</f>
        <v>24672</v>
      </c>
      <c r="H169" s="106">
        <f>+'FY16 Tax Bill'!H169-'FY16 Feb Forecast'!H169</f>
        <v>10166</v>
      </c>
      <c r="I169" s="107">
        <f>+'FY16 Tax Bill'!I169-'FY16 Feb Forecast'!I169</f>
        <v>891333</v>
      </c>
      <c r="J169" s="105">
        <f>+'FY16 Tax Bill'!J169-'FY16 Feb Forecast'!J169</f>
        <v>631229</v>
      </c>
      <c r="K169" s="106">
        <f>+'FY16 Tax Bill'!K169-'FY16 Feb Forecast'!K169</f>
        <v>260104</v>
      </c>
      <c r="L169" s="107">
        <f>+'FY16 Tax Bill'!L169-'FY16 Feb Forecast'!L169</f>
        <v>-891332</v>
      </c>
      <c r="M169" s="105">
        <f>+'FY16 Tax Bill'!M169-'FY16 Feb Forecast'!M169</f>
        <v>-728645</v>
      </c>
      <c r="N169" s="106">
        <f>+'FY16 Tax Bill'!N169-'FY16 Feb Forecast'!N169</f>
        <v>-162687</v>
      </c>
      <c r="O169" s="107">
        <f>+'FY16 Tax Bill'!O169-'FY16 Feb Forecast'!O169</f>
        <v>34839</v>
      </c>
      <c r="P169" s="105">
        <f>+'FY16 Tax Bill'!P169-'FY16 Feb Forecast'!P169</f>
        <v>-72744</v>
      </c>
      <c r="Q169" s="106">
        <f>+'FY16 Tax Bill'!Q169-'FY16 Feb Forecast'!Q169</f>
        <v>107583</v>
      </c>
      <c r="R169" s="105">
        <f>+'FY16 Tax Bill'!R169-'FY16 Feb Forecast'!R169</f>
        <v>16.574215033301698</v>
      </c>
      <c r="S169" s="105">
        <f>+'FY16 Tax Bill'!S169-'FY16 Feb Forecast'!S169</f>
        <v>-34.607040913415858</v>
      </c>
      <c r="T169" s="108">
        <f>+'FY16 Tax Bill'!T169-'FY16 Feb Forecast'!T169</f>
        <v>51.181255946717442</v>
      </c>
    </row>
    <row r="170" spans="1:20" x14ac:dyDescent="0.2">
      <c r="A170" s="109">
        <v>511</v>
      </c>
      <c r="B170" s="110">
        <v>1</v>
      </c>
      <c r="C170" s="103" t="s">
        <v>289</v>
      </c>
      <c r="D170" s="103">
        <v>6</v>
      </c>
      <c r="E170" s="104">
        <f>+SUMIF('GE16FEB14 Unfudged'!$A$2:$A$498, $A170, 'GE16FEB14 Unfudged'!$D$2:$D$498)</f>
        <v>592</v>
      </c>
      <c r="F170" s="104">
        <f>+'FY16 Tax Bill'!F170-'FY16 Feb Forecast'!F170</f>
        <v>7893</v>
      </c>
      <c r="G170" s="105">
        <f>+'FY16 Tax Bill'!G170-'FY16 Feb Forecast'!G170</f>
        <v>3462</v>
      </c>
      <c r="H170" s="106">
        <f>+'FY16 Tax Bill'!H170-'FY16 Feb Forecast'!H170</f>
        <v>4431</v>
      </c>
      <c r="I170" s="107">
        <f>+'FY16 Tax Bill'!I170-'FY16 Feb Forecast'!I170</f>
        <v>251029</v>
      </c>
      <c r="J170" s="105">
        <f>+'FY16 Tax Bill'!J170-'FY16 Feb Forecast'!J170</f>
        <v>110105</v>
      </c>
      <c r="K170" s="106">
        <f>+'FY16 Tax Bill'!K170-'FY16 Feb Forecast'!K170</f>
        <v>140924</v>
      </c>
      <c r="L170" s="107">
        <f>+'FY16 Tax Bill'!L170-'FY16 Feb Forecast'!L170</f>
        <v>-251029</v>
      </c>
      <c r="M170" s="105">
        <f>+'FY16 Tax Bill'!M170-'FY16 Feb Forecast'!M170</f>
        <v>-184767</v>
      </c>
      <c r="N170" s="106">
        <f>+'FY16 Tax Bill'!N170-'FY16 Feb Forecast'!N170</f>
        <v>-66262</v>
      </c>
      <c r="O170" s="107">
        <f>+'FY16 Tax Bill'!O170-'FY16 Feb Forecast'!O170</f>
        <v>7893</v>
      </c>
      <c r="P170" s="105">
        <f>+'FY16 Tax Bill'!P170-'FY16 Feb Forecast'!P170</f>
        <v>-71200</v>
      </c>
      <c r="Q170" s="106">
        <f>+'FY16 Tax Bill'!Q170-'FY16 Feb Forecast'!Q170</f>
        <v>79093</v>
      </c>
      <c r="R170" s="105">
        <f>+'FY16 Tax Bill'!R170-'FY16 Feb Forecast'!R170</f>
        <v>13.33277027027043</v>
      </c>
      <c r="S170" s="105">
        <f>+'FY16 Tax Bill'!S170-'FY16 Feb Forecast'!S170</f>
        <v>-120.27027027027026</v>
      </c>
      <c r="T170" s="108">
        <f>+'FY16 Tax Bill'!T170-'FY16 Feb Forecast'!T170</f>
        <v>133.60304054054052</v>
      </c>
    </row>
    <row r="171" spans="1:20" x14ac:dyDescent="0.2">
      <c r="A171" s="109">
        <v>514</v>
      </c>
      <c r="B171" s="110">
        <v>1</v>
      </c>
      <c r="C171" s="103" t="s">
        <v>290</v>
      </c>
      <c r="D171" s="103">
        <v>6</v>
      </c>
      <c r="E171" s="104">
        <f>+SUMIF('GE16FEB14 Unfudged'!$A$2:$A$498, $A171, 'GE16FEB14 Unfudged'!$D$2:$D$498)</f>
        <v>153</v>
      </c>
      <c r="F171" s="104">
        <f>+'FY16 Tax Bill'!F171-'FY16 Feb Forecast'!F171</f>
        <v>449</v>
      </c>
      <c r="G171" s="105">
        <f>+'FY16 Tax Bill'!G171-'FY16 Feb Forecast'!G171</f>
        <v>225</v>
      </c>
      <c r="H171" s="106">
        <f>+'FY16 Tax Bill'!H171-'FY16 Feb Forecast'!H171</f>
        <v>224</v>
      </c>
      <c r="I171" s="107">
        <f>+'FY16 Tax Bill'!I171-'FY16 Feb Forecast'!I171</f>
        <v>64745</v>
      </c>
      <c r="J171" s="105">
        <f>+'FY16 Tax Bill'!J171-'FY16 Feb Forecast'!J171</f>
        <v>32443</v>
      </c>
      <c r="K171" s="106">
        <f>+'FY16 Tax Bill'!K171-'FY16 Feb Forecast'!K171</f>
        <v>32302</v>
      </c>
      <c r="L171" s="107">
        <f>+'FY16 Tax Bill'!L171-'FY16 Feb Forecast'!L171</f>
        <v>-64745</v>
      </c>
      <c r="M171" s="105">
        <f>+'FY16 Tax Bill'!M171-'FY16 Feb Forecast'!M171</f>
        <v>-64745</v>
      </c>
      <c r="N171" s="106">
        <f>+'FY16 Tax Bill'!N171-'FY16 Feb Forecast'!N171</f>
        <v>0</v>
      </c>
      <c r="O171" s="107">
        <f>+'FY16 Tax Bill'!O171-'FY16 Feb Forecast'!O171</f>
        <v>449</v>
      </c>
      <c r="P171" s="105">
        <f>+'FY16 Tax Bill'!P171-'FY16 Feb Forecast'!P171</f>
        <v>-32077</v>
      </c>
      <c r="Q171" s="106">
        <f>+'FY16 Tax Bill'!Q171-'FY16 Feb Forecast'!Q171</f>
        <v>32526</v>
      </c>
      <c r="R171" s="105">
        <f>+'FY16 Tax Bill'!R171-'FY16 Feb Forecast'!R171</f>
        <v>2.9346405228757249</v>
      </c>
      <c r="S171" s="105">
        <f>+'FY16 Tax Bill'!S171-'FY16 Feb Forecast'!S171</f>
        <v>-209.65359477124184</v>
      </c>
      <c r="T171" s="108">
        <f>+'FY16 Tax Bill'!T171-'FY16 Feb Forecast'!T171</f>
        <v>212.58823529411757</v>
      </c>
    </row>
    <row r="172" spans="1:20" x14ac:dyDescent="0.2">
      <c r="A172" s="109">
        <v>518</v>
      </c>
      <c r="B172" s="110">
        <v>1</v>
      </c>
      <c r="C172" s="103" t="s">
        <v>291</v>
      </c>
      <c r="D172" s="103">
        <v>4</v>
      </c>
      <c r="E172" s="104">
        <f>+SUMIF('GE16FEB14 Unfudged'!$A$2:$A$498, $A172, 'GE16FEB14 Unfudged'!$D$2:$D$498)</f>
        <v>3153</v>
      </c>
      <c r="F172" s="104">
        <f>+'FY16 Tax Bill'!F172-'FY16 Feb Forecast'!F172</f>
        <v>13707</v>
      </c>
      <c r="G172" s="105">
        <f>+'FY16 Tax Bill'!G172-'FY16 Feb Forecast'!G172</f>
        <v>5686</v>
      </c>
      <c r="H172" s="106">
        <f>+'FY16 Tax Bill'!H172-'FY16 Feb Forecast'!H172</f>
        <v>8021</v>
      </c>
      <c r="I172" s="107">
        <f>+'FY16 Tax Bill'!I172-'FY16 Feb Forecast'!I172</f>
        <v>668351</v>
      </c>
      <c r="J172" s="105">
        <f>+'FY16 Tax Bill'!J172-'FY16 Feb Forecast'!J172</f>
        <v>277248</v>
      </c>
      <c r="K172" s="106">
        <f>+'FY16 Tax Bill'!K172-'FY16 Feb Forecast'!K172</f>
        <v>391103</v>
      </c>
      <c r="L172" s="107">
        <f>+'FY16 Tax Bill'!L172-'FY16 Feb Forecast'!L172</f>
        <v>-668351</v>
      </c>
      <c r="M172" s="105">
        <f>+'FY16 Tax Bill'!M172-'FY16 Feb Forecast'!M172</f>
        <v>-393335</v>
      </c>
      <c r="N172" s="106">
        <f>+'FY16 Tax Bill'!N172-'FY16 Feb Forecast'!N172</f>
        <v>-275016</v>
      </c>
      <c r="O172" s="107">
        <f>+'FY16 Tax Bill'!O172-'FY16 Feb Forecast'!O172</f>
        <v>13707</v>
      </c>
      <c r="P172" s="105">
        <f>+'FY16 Tax Bill'!P172-'FY16 Feb Forecast'!P172</f>
        <v>-110401</v>
      </c>
      <c r="Q172" s="106">
        <f>+'FY16 Tax Bill'!Q172-'FY16 Feb Forecast'!Q172</f>
        <v>124108</v>
      </c>
      <c r="R172" s="105">
        <f>+'FY16 Tax Bill'!R172-'FY16 Feb Forecast'!R172</f>
        <v>4.3472882968601425</v>
      </c>
      <c r="S172" s="105">
        <f>+'FY16 Tax Bill'!S172-'FY16 Feb Forecast'!S172</f>
        <v>-35.014589280050757</v>
      </c>
      <c r="T172" s="108">
        <f>+'FY16 Tax Bill'!T172-'FY16 Feb Forecast'!T172</f>
        <v>39.361877576910842</v>
      </c>
    </row>
    <row r="173" spans="1:20" x14ac:dyDescent="0.2">
      <c r="A173" s="109">
        <v>531</v>
      </c>
      <c r="B173" s="110">
        <v>1</v>
      </c>
      <c r="C173" s="103" t="s">
        <v>292</v>
      </c>
      <c r="D173" s="103">
        <v>5</v>
      </c>
      <c r="E173" s="104">
        <f>+SUMIF('GE16FEB14 Unfudged'!$A$2:$A$498, $A173, 'GE16FEB14 Unfudged'!$D$2:$D$498)</f>
        <v>2106</v>
      </c>
      <c r="F173" s="104">
        <f>+'FY16 Tax Bill'!F173-'FY16 Feb Forecast'!F173</f>
        <v>0</v>
      </c>
      <c r="G173" s="105">
        <f>+'FY16 Tax Bill'!G173-'FY16 Feb Forecast'!G173</f>
        <v>0</v>
      </c>
      <c r="H173" s="106">
        <f>+'FY16 Tax Bill'!H173-'FY16 Feb Forecast'!H173</f>
        <v>0</v>
      </c>
      <c r="I173" s="107">
        <f>+'FY16 Tax Bill'!I173-'FY16 Feb Forecast'!I173</f>
        <v>892902</v>
      </c>
      <c r="J173" s="105">
        <f>+'FY16 Tax Bill'!J173-'FY16 Feb Forecast'!J173</f>
        <v>616912</v>
      </c>
      <c r="K173" s="106">
        <f>+'FY16 Tax Bill'!K173-'FY16 Feb Forecast'!K173</f>
        <v>275990</v>
      </c>
      <c r="L173" s="107">
        <f>+'FY16 Tax Bill'!L173-'FY16 Feb Forecast'!L173</f>
        <v>0</v>
      </c>
      <c r="M173" s="105">
        <f>+'FY16 Tax Bill'!M173-'FY16 Feb Forecast'!M173</f>
        <v>0</v>
      </c>
      <c r="N173" s="106">
        <f>+'FY16 Tax Bill'!N173-'FY16 Feb Forecast'!N173</f>
        <v>0</v>
      </c>
      <c r="O173" s="107">
        <f>+'FY16 Tax Bill'!O173-'FY16 Feb Forecast'!O173</f>
        <v>892902</v>
      </c>
      <c r="P173" s="105">
        <f>+'FY16 Tax Bill'!P173-'FY16 Feb Forecast'!P173</f>
        <v>616912</v>
      </c>
      <c r="Q173" s="106">
        <f>+'FY16 Tax Bill'!Q173-'FY16 Feb Forecast'!Q173</f>
        <v>275990</v>
      </c>
      <c r="R173" s="105">
        <f>+'FY16 Tax Bill'!R173-'FY16 Feb Forecast'!R173</f>
        <v>423.98005698005693</v>
      </c>
      <c r="S173" s="105">
        <f>+'FY16 Tax Bill'!S173-'FY16 Feb Forecast'!S173</f>
        <v>292.93067426400756</v>
      </c>
      <c r="T173" s="108">
        <f>+'FY16 Tax Bill'!T173-'FY16 Feb Forecast'!T173</f>
        <v>131.04938271604937</v>
      </c>
    </row>
    <row r="174" spans="1:20" x14ac:dyDescent="0.2">
      <c r="A174" s="109">
        <v>533</v>
      </c>
      <c r="B174" s="110">
        <v>1</v>
      </c>
      <c r="C174" s="103" t="s">
        <v>293</v>
      </c>
      <c r="D174" s="103">
        <v>5</v>
      </c>
      <c r="E174" s="104">
        <f>+SUMIF('GE16FEB14 Unfudged'!$A$2:$A$498, $A174, 'GE16FEB14 Unfudged'!$D$2:$D$498)</f>
        <v>1287</v>
      </c>
      <c r="F174" s="104">
        <f>+'FY16 Tax Bill'!F174-'FY16 Feb Forecast'!F174</f>
        <v>0</v>
      </c>
      <c r="G174" s="105">
        <f>+'FY16 Tax Bill'!G174-'FY16 Feb Forecast'!G174</f>
        <v>0</v>
      </c>
      <c r="H174" s="106">
        <f>+'FY16 Tax Bill'!H174-'FY16 Feb Forecast'!H174</f>
        <v>0</v>
      </c>
      <c r="I174" s="107">
        <f>+'FY16 Tax Bill'!I174-'FY16 Feb Forecast'!I174</f>
        <v>545688</v>
      </c>
      <c r="J174" s="105">
        <f>+'FY16 Tax Bill'!J174-'FY16 Feb Forecast'!J174</f>
        <v>301867</v>
      </c>
      <c r="K174" s="106">
        <f>+'FY16 Tax Bill'!K174-'FY16 Feb Forecast'!K174</f>
        <v>243821</v>
      </c>
      <c r="L174" s="107">
        <f>+'FY16 Tax Bill'!L174-'FY16 Feb Forecast'!L174</f>
        <v>0</v>
      </c>
      <c r="M174" s="105">
        <f>+'FY16 Tax Bill'!M174-'FY16 Feb Forecast'!M174</f>
        <v>0</v>
      </c>
      <c r="N174" s="106">
        <f>+'FY16 Tax Bill'!N174-'FY16 Feb Forecast'!N174</f>
        <v>0</v>
      </c>
      <c r="O174" s="107">
        <f>+'FY16 Tax Bill'!O174-'FY16 Feb Forecast'!O174</f>
        <v>545688</v>
      </c>
      <c r="P174" s="105">
        <f>+'FY16 Tax Bill'!P174-'FY16 Feb Forecast'!P174</f>
        <v>301867</v>
      </c>
      <c r="Q174" s="106">
        <f>+'FY16 Tax Bill'!Q174-'FY16 Feb Forecast'!Q174</f>
        <v>243821</v>
      </c>
      <c r="R174" s="105">
        <f>+'FY16 Tax Bill'!R174-'FY16 Feb Forecast'!R174</f>
        <v>424</v>
      </c>
      <c r="S174" s="105">
        <f>+'FY16 Tax Bill'!S174-'FY16 Feb Forecast'!S174</f>
        <v>234.55089355089356</v>
      </c>
      <c r="T174" s="108">
        <f>+'FY16 Tax Bill'!T174-'FY16 Feb Forecast'!T174</f>
        <v>189.44910644910641</v>
      </c>
    </row>
    <row r="175" spans="1:20" x14ac:dyDescent="0.2">
      <c r="A175" s="109">
        <v>534</v>
      </c>
      <c r="B175" s="110">
        <v>1</v>
      </c>
      <c r="C175" s="103" t="s">
        <v>294</v>
      </c>
      <c r="D175" s="103">
        <v>5</v>
      </c>
      <c r="E175" s="104">
        <f>+SUMIF('GE16FEB14 Unfudged'!$A$2:$A$498, $A175, 'GE16FEB14 Unfudged'!$D$2:$D$498)</f>
        <v>2071</v>
      </c>
      <c r="F175" s="104">
        <f>+'FY16 Tax Bill'!F175-'FY16 Feb Forecast'!F175</f>
        <v>39200</v>
      </c>
      <c r="G175" s="105">
        <f>+'FY16 Tax Bill'!G175-'FY16 Feb Forecast'!G175</f>
        <v>27935</v>
      </c>
      <c r="H175" s="106">
        <f>+'FY16 Tax Bill'!H175-'FY16 Feb Forecast'!H175</f>
        <v>11265</v>
      </c>
      <c r="I175" s="107">
        <f>+'FY16 Tax Bill'!I175-'FY16 Feb Forecast'!I175</f>
        <v>878295</v>
      </c>
      <c r="J175" s="105">
        <f>+'FY16 Tax Bill'!J175-'FY16 Feb Forecast'!J175</f>
        <v>625905</v>
      </c>
      <c r="K175" s="106">
        <f>+'FY16 Tax Bill'!K175-'FY16 Feb Forecast'!K175</f>
        <v>252390</v>
      </c>
      <c r="L175" s="107">
        <f>+'FY16 Tax Bill'!L175-'FY16 Feb Forecast'!L175</f>
        <v>-878295</v>
      </c>
      <c r="M175" s="105">
        <f>+'FY16 Tax Bill'!M175-'FY16 Feb Forecast'!M175</f>
        <v>-625905</v>
      </c>
      <c r="N175" s="106">
        <f>+'FY16 Tax Bill'!N175-'FY16 Feb Forecast'!N175</f>
        <v>-252390</v>
      </c>
      <c r="O175" s="107">
        <f>+'FY16 Tax Bill'!O175-'FY16 Feb Forecast'!O175</f>
        <v>39200</v>
      </c>
      <c r="P175" s="105">
        <f>+'FY16 Tax Bill'!P175-'FY16 Feb Forecast'!P175</f>
        <v>27935</v>
      </c>
      <c r="Q175" s="106">
        <f>+'FY16 Tax Bill'!Q175-'FY16 Feb Forecast'!Q175</f>
        <v>11265</v>
      </c>
      <c r="R175" s="105">
        <f>+'FY16 Tax Bill'!R175-'FY16 Feb Forecast'!R175</f>
        <v>18.928054080154538</v>
      </c>
      <c r="S175" s="105">
        <f>+'FY16 Tax Bill'!S175-'FY16 Feb Forecast'!S175</f>
        <v>13.488652824722408</v>
      </c>
      <c r="T175" s="108">
        <f>+'FY16 Tax Bill'!T175-'FY16 Feb Forecast'!T175</f>
        <v>5.4394012554321876</v>
      </c>
    </row>
    <row r="176" spans="1:20" x14ac:dyDescent="0.2">
      <c r="A176" s="109">
        <v>535</v>
      </c>
      <c r="B176" s="110">
        <v>1</v>
      </c>
      <c r="C176" s="103" t="s">
        <v>295</v>
      </c>
      <c r="D176" s="103">
        <v>4</v>
      </c>
      <c r="E176" s="104">
        <f>+SUMIF('GE16FEB14 Unfudged'!$A$2:$A$498, $A176, 'GE16FEB14 Unfudged'!$D$2:$D$498)</f>
        <v>17934</v>
      </c>
      <c r="F176" s="104">
        <f>+'FY16 Tax Bill'!F176-'FY16 Feb Forecast'!F176</f>
        <v>32839</v>
      </c>
      <c r="G176" s="105">
        <f>+'FY16 Tax Bill'!G176-'FY16 Feb Forecast'!G176</f>
        <v>32839</v>
      </c>
      <c r="H176" s="106">
        <f>+'FY16 Tax Bill'!H176-'FY16 Feb Forecast'!H176</f>
        <v>0</v>
      </c>
      <c r="I176" s="107">
        <f>+'FY16 Tax Bill'!I176-'FY16 Feb Forecast'!I176</f>
        <v>3802093</v>
      </c>
      <c r="J176" s="105">
        <f>+'FY16 Tax Bill'!J176-'FY16 Feb Forecast'!J176</f>
        <v>3802093</v>
      </c>
      <c r="K176" s="106">
        <f>+'FY16 Tax Bill'!K176-'FY16 Feb Forecast'!K176</f>
        <v>0</v>
      </c>
      <c r="L176" s="107">
        <f>+'FY16 Tax Bill'!L176-'FY16 Feb Forecast'!L176</f>
        <v>-773152</v>
      </c>
      <c r="M176" s="105">
        <f>+'FY16 Tax Bill'!M176-'FY16 Feb Forecast'!M176</f>
        <v>-773152</v>
      </c>
      <c r="N176" s="106">
        <f>+'FY16 Tax Bill'!N176-'FY16 Feb Forecast'!N176</f>
        <v>0</v>
      </c>
      <c r="O176" s="107">
        <f>+'FY16 Tax Bill'!O176-'FY16 Feb Forecast'!O176</f>
        <v>3061780</v>
      </c>
      <c r="P176" s="105">
        <f>+'FY16 Tax Bill'!P176-'FY16 Feb Forecast'!P176</f>
        <v>3061780</v>
      </c>
      <c r="Q176" s="106">
        <f>+'FY16 Tax Bill'!Q176-'FY16 Feb Forecast'!Q176</f>
        <v>0</v>
      </c>
      <c r="R176" s="105">
        <f>+'FY16 Tax Bill'!R176-'FY16 Feb Forecast'!R176</f>
        <v>170.7248801159808</v>
      </c>
      <c r="S176" s="105">
        <f>+'FY16 Tax Bill'!S176-'FY16 Feb Forecast'!S176</f>
        <v>170.7248801159808</v>
      </c>
      <c r="T176" s="108">
        <f>+'FY16 Tax Bill'!T176-'FY16 Feb Forecast'!T176</f>
        <v>0</v>
      </c>
    </row>
    <row r="177" spans="1:20" x14ac:dyDescent="0.2">
      <c r="A177" s="109">
        <v>542</v>
      </c>
      <c r="B177" s="110">
        <v>1</v>
      </c>
      <c r="C177" s="103" t="s">
        <v>296</v>
      </c>
      <c r="D177" s="103">
        <v>6</v>
      </c>
      <c r="E177" s="104">
        <f>+SUMIF('GE16FEB14 Unfudged'!$A$2:$A$498, $A177, 'GE16FEB14 Unfudged'!$D$2:$D$498)</f>
        <v>455</v>
      </c>
      <c r="F177" s="104">
        <f>+'FY16 Tax Bill'!F177-'FY16 Feb Forecast'!F177</f>
        <v>6455</v>
      </c>
      <c r="G177" s="105">
        <f>+'FY16 Tax Bill'!G177-'FY16 Feb Forecast'!G177</f>
        <v>6455</v>
      </c>
      <c r="H177" s="106">
        <f>+'FY16 Tax Bill'!H177-'FY16 Feb Forecast'!H177</f>
        <v>0</v>
      </c>
      <c r="I177" s="107">
        <f>+'FY16 Tax Bill'!I177-'FY16 Feb Forecast'!I177</f>
        <v>192772</v>
      </c>
      <c r="J177" s="105">
        <f>+'FY16 Tax Bill'!J177-'FY16 Feb Forecast'!J177</f>
        <v>192772</v>
      </c>
      <c r="K177" s="106">
        <f>+'FY16 Tax Bill'!K177-'FY16 Feb Forecast'!K177</f>
        <v>0</v>
      </c>
      <c r="L177" s="107">
        <f>+'FY16 Tax Bill'!L177-'FY16 Feb Forecast'!L177</f>
        <v>-140801</v>
      </c>
      <c r="M177" s="105">
        <f>+'FY16 Tax Bill'!M177-'FY16 Feb Forecast'!M177</f>
        <v>-140801</v>
      </c>
      <c r="N177" s="106">
        <f>+'FY16 Tax Bill'!N177-'FY16 Feb Forecast'!N177</f>
        <v>0</v>
      </c>
      <c r="O177" s="107">
        <f>+'FY16 Tax Bill'!O177-'FY16 Feb Forecast'!O177</f>
        <v>58426</v>
      </c>
      <c r="P177" s="105">
        <f>+'FY16 Tax Bill'!P177-'FY16 Feb Forecast'!P177</f>
        <v>58426</v>
      </c>
      <c r="Q177" s="106">
        <f>+'FY16 Tax Bill'!Q177-'FY16 Feb Forecast'!Q177</f>
        <v>0</v>
      </c>
      <c r="R177" s="105">
        <f>+'FY16 Tax Bill'!R177-'FY16 Feb Forecast'!R177</f>
        <v>128.40879120879129</v>
      </c>
      <c r="S177" s="105">
        <f>+'FY16 Tax Bill'!S177-'FY16 Feb Forecast'!S177</f>
        <v>128.40879120879117</v>
      </c>
      <c r="T177" s="108">
        <f>+'FY16 Tax Bill'!T177-'FY16 Feb Forecast'!T177</f>
        <v>0</v>
      </c>
    </row>
    <row r="178" spans="1:20" x14ac:dyDescent="0.2">
      <c r="A178" s="109">
        <v>544</v>
      </c>
      <c r="B178" s="110">
        <v>1</v>
      </c>
      <c r="C178" s="103" t="s">
        <v>297</v>
      </c>
      <c r="D178" s="103">
        <v>4</v>
      </c>
      <c r="E178" s="104">
        <f>+SUMIF('GE16FEB14 Unfudged'!$A$2:$A$498, $A178, 'GE16FEB14 Unfudged'!$D$2:$D$498)</f>
        <v>2423</v>
      </c>
      <c r="F178" s="104">
        <f>+'FY16 Tax Bill'!F178-'FY16 Feb Forecast'!F178</f>
        <v>0</v>
      </c>
      <c r="G178" s="105">
        <f>+'FY16 Tax Bill'!G178-'FY16 Feb Forecast'!G178</f>
        <v>0</v>
      </c>
      <c r="H178" s="106">
        <f>+'FY16 Tax Bill'!H178-'FY16 Feb Forecast'!H178</f>
        <v>0</v>
      </c>
      <c r="I178" s="107">
        <f>+'FY16 Tax Bill'!I178-'FY16 Feb Forecast'!I178</f>
        <v>513719</v>
      </c>
      <c r="J178" s="105">
        <f>+'FY16 Tax Bill'!J178-'FY16 Feb Forecast'!J178</f>
        <v>513719</v>
      </c>
      <c r="K178" s="106">
        <f>+'FY16 Tax Bill'!K178-'FY16 Feb Forecast'!K178</f>
        <v>0</v>
      </c>
      <c r="L178" s="107">
        <f>+'FY16 Tax Bill'!L178-'FY16 Feb Forecast'!L178</f>
        <v>0</v>
      </c>
      <c r="M178" s="105">
        <f>+'FY16 Tax Bill'!M178-'FY16 Feb Forecast'!M178</f>
        <v>0</v>
      </c>
      <c r="N178" s="106">
        <f>+'FY16 Tax Bill'!N178-'FY16 Feb Forecast'!N178</f>
        <v>0</v>
      </c>
      <c r="O178" s="107">
        <f>+'FY16 Tax Bill'!O178-'FY16 Feb Forecast'!O178</f>
        <v>513719</v>
      </c>
      <c r="P178" s="105">
        <f>+'FY16 Tax Bill'!P178-'FY16 Feb Forecast'!P178</f>
        <v>513719</v>
      </c>
      <c r="Q178" s="106">
        <f>+'FY16 Tax Bill'!Q178-'FY16 Feb Forecast'!Q178</f>
        <v>0</v>
      </c>
      <c r="R178" s="105">
        <f>+'FY16 Tax Bill'!R178-'FY16 Feb Forecast'!R178</f>
        <v>212.01774659513001</v>
      </c>
      <c r="S178" s="105">
        <f>+'FY16 Tax Bill'!S178-'FY16 Feb Forecast'!S178</f>
        <v>212.01774659513001</v>
      </c>
      <c r="T178" s="108">
        <f>+'FY16 Tax Bill'!T178-'FY16 Feb Forecast'!T178</f>
        <v>0</v>
      </c>
    </row>
    <row r="179" spans="1:20" x14ac:dyDescent="0.2">
      <c r="A179" s="109">
        <v>545</v>
      </c>
      <c r="B179" s="110">
        <v>1</v>
      </c>
      <c r="C179" s="103" t="s">
        <v>298</v>
      </c>
      <c r="D179" s="103">
        <v>6</v>
      </c>
      <c r="E179" s="104">
        <f>+SUMIF('GE16FEB14 Unfudged'!$A$2:$A$498, $A179, 'GE16FEB14 Unfudged'!$D$2:$D$498)</f>
        <v>420</v>
      </c>
      <c r="F179" s="104">
        <f>+'FY16 Tax Bill'!F179-'FY16 Feb Forecast'!F179</f>
        <v>4937</v>
      </c>
      <c r="G179" s="105">
        <f>+'FY16 Tax Bill'!G179-'FY16 Feb Forecast'!G179</f>
        <v>3752</v>
      </c>
      <c r="H179" s="106">
        <f>+'FY16 Tax Bill'!H179-'FY16 Feb Forecast'!H179</f>
        <v>1185</v>
      </c>
      <c r="I179" s="107">
        <f>+'FY16 Tax Bill'!I179-'FY16 Feb Forecast'!I179</f>
        <v>178165</v>
      </c>
      <c r="J179" s="105">
        <f>+'FY16 Tax Bill'!J179-'FY16 Feb Forecast'!J179</f>
        <v>135403</v>
      </c>
      <c r="K179" s="106">
        <f>+'FY16 Tax Bill'!K179-'FY16 Feb Forecast'!K179</f>
        <v>42762</v>
      </c>
      <c r="L179" s="107">
        <f>+'FY16 Tax Bill'!L179-'FY16 Feb Forecast'!L179</f>
        <v>-178164</v>
      </c>
      <c r="M179" s="105">
        <f>+'FY16 Tax Bill'!M179-'FY16 Feb Forecast'!M179</f>
        <v>-178164</v>
      </c>
      <c r="N179" s="106">
        <f>+'FY16 Tax Bill'!N179-'FY16 Feb Forecast'!N179</f>
        <v>0</v>
      </c>
      <c r="O179" s="107">
        <f>+'FY16 Tax Bill'!O179-'FY16 Feb Forecast'!O179</f>
        <v>4938</v>
      </c>
      <c r="P179" s="105">
        <f>+'FY16 Tax Bill'!P179-'FY16 Feb Forecast'!P179</f>
        <v>-39009</v>
      </c>
      <c r="Q179" s="106">
        <f>+'FY16 Tax Bill'!Q179-'FY16 Feb Forecast'!Q179</f>
        <v>43947</v>
      </c>
      <c r="R179" s="105">
        <f>+'FY16 Tax Bill'!R179-'FY16 Feb Forecast'!R179</f>
        <v>11.757142857142981</v>
      </c>
      <c r="S179" s="105">
        <f>+'FY16 Tax Bill'!S179-'FY16 Feb Forecast'!S179</f>
        <v>-92.878571428571377</v>
      </c>
      <c r="T179" s="108">
        <f>+'FY16 Tax Bill'!T179-'FY16 Feb Forecast'!T179</f>
        <v>104.6357142857143</v>
      </c>
    </row>
    <row r="180" spans="1:20" x14ac:dyDescent="0.2">
      <c r="A180" s="109">
        <v>547</v>
      </c>
      <c r="B180" s="110">
        <v>1</v>
      </c>
      <c r="C180" s="103" t="s">
        <v>299</v>
      </c>
      <c r="D180" s="103">
        <v>6</v>
      </c>
      <c r="E180" s="104">
        <f>+SUMIF('GE16FEB14 Unfudged'!$A$2:$A$498, $A180, 'GE16FEB14 Unfudged'!$D$2:$D$498)</f>
        <v>531</v>
      </c>
      <c r="F180" s="104">
        <f>+'FY16 Tax Bill'!F180-'FY16 Feb Forecast'!F180</f>
        <v>6642</v>
      </c>
      <c r="G180" s="105">
        <f>+'FY16 Tax Bill'!G180-'FY16 Feb Forecast'!G180</f>
        <v>4685</v>
      </c>
      <c r="H180" s="106">
        <f>+'FY16 Tax Bill'!H180-'FY16 Feb Forecast'!H180</f>
        <v>1957</v>
      </c>
      <c r="I180" s="107">
        <f>+'FY16 Tax Bill'!I180-'FY16 Feb Forecast'!I180</f>
        <v>225229</v>
      </c>
      <c r="J180" s="105">
        <f>+'FY16 Tax Bill'!J180-'FY16 Feb Forecast'!J180</f>
        <v>158878</v>
      </c>
      <c r="K180" s="106">
        <f>+'FY16 Tax Bill'!K180-'FY16 Feb Forecast'!K180</f>
        <v>66351</v>
      </c>
      <c r="L180" s="107">
        <f>+'FY16 Tax Bill'!L180-'FY16 Feb Forecast'!L180</f>
        <v>-225229</v>
      </c>
      <c r="M180" s="105">
        <f>+'FY16 Tax Bill'!M180-'FY16 Feb Forecast'!M180</f>
        <v>-225229</v>
      </c>
      <c r="N180" s="106">
        <f>+'FY16 Tax Bill'!N180-'FY16 Feb Forecast'!N180</f>
        <v>0</v>
      </c>
      <c r="O180" s="107">
        <f>+'FY16 Tax Bill'!O180-'FY16 Feb Forecast'!O180</f>
        <v>6642</v>
      </c>
      <c r="P180" s="105">
        <f>+'FY16 Tax Bill'!P180-'FY16 Feb Forecast'!P180</f>
        <v>-61666</v>
      </c>
      <c r="Q180" s="106">
        <f>+'FY16 Tax Bill'!Q180-'FY16 Feb Forecast'!Q180</f>
        <v>68308</v>
      </c>
      <c r="R180" s="105">
        <f>+'FY16 Tax Bill'!R180-'FY16 Feb Forecast'!R180</f>
        <v>12.508474576271283</v>
      </c>
      <c r="S180" s="105">
        <f>+'FY16 Tax Bill'!S180-'FY16 Feb Forecast'!S180</f>
        <v>-116.13182674199618</v>
      </c>
      <c r="T180" s="108">
        <f>+'FY16 Tax Bill'!T180-'FY16 Feb Forecast'!T180</f>
        <v>128.6403013182674</v>
      </c>
    </row>
    <row r="181" spans="1:20" x14ac:dyDescent="0.2">
      <c r="A181" s="109">
        <v>548</v>
      </c>
      <c r="B181" s="110">
        <v>1</v>
      </c>
      <c r="C181" s="103" t="s">
        <v>300</v>
      </c>
      <c r="D181" s="103">
        <v>6</v>
      </c>
      <c r="E181" s="104">
        <f>+SUMIF('GE16FEB14 Unfudged'!$A$2:$A$498, $A181, 'GE16FEB14 Unfudged'!$D$2:$D$498)</f>
        <v>976</v>
      </c>
      <c r="F181" s="104">
        <f>+'FY16 Tax Bill'!F181-'FY16 Feb Forecast'!F181</f>
        <v>18908</v>
      </c>
      <c r="G181" s="105">
        <f>+'FY16 Tax Bill'!G181-'FY16 Feb Forecast'!G181</f>
        <v>18547</v>
      </c>
      <c r="H181" s="106">
        <f>+'FY16 Tax Bill'!H181-'FY16 Feb Forecast'!H181</f>
        <v>361</v>
      </c>
      <c r="I181" s="107">
        <f>+'FY16 Tax Bill'!I181-'FY16 Feb Forecast'!I181</f>
        <v>413739</v>
      </c>
      <c r="J181" s="105">
        <f>+'FY16 Tax Bill'!J181-'FY16 Feb Forecast'!J181</f>
        <v>405831</v>
      </c>
      <c r="K181" s="106">
        <f>+'FY16 Tax Bill'!K181-'FY16 Feb Forecast'!K181</f>
        <v>7908</v>
      </c>
      <c r="L181" s="107">
        <f>+'FY16 Tax Bill'!L181-'FY16 Feb Forecast'!L181</f>
        <v>-413740</v>
      </c>
      <c r="M181" s="105">
        <f>+'FY16 Tax Bill'!M181-'FY16 Feb Forecast'!M181</f>
        <v>-405831</v>
      </c>
      <c r="N181" s="106">
        <f>+'FY16 Tax Bill'!N181-'FY16 Feb Forecast'!N181</f>
        <v>-7909</v>
      </c>
      <c r="O181" s="107">
        <f>+'FY16 Tax Bill'!O181-'FY16 Feb Forecast'!O181</f>
        <v>18907</v>
      </c>
      <c r="P181" s="105">
        <f>+'FY16 Tax Bill'!P181-'FY16 Feb Forecast'!P181</f>
        <v>18547</v>
      </c>
      <c r="Q181" s="106">
        <f>+'FY16 Tax Bill'!Q181-'FY16 Feb Forecast'!Q181</f>
        <v>360</v>
      </c>
      <c r="R181" s="105">
        <f>+'FY16 Tax Bill'!R181-'FY16 Feb Forecast'!R181</f>
        <v>19.371926229508176</v>
      </c>
      <c r="S181" s="105">
        <f>+'FY16 Tax Bill'!S181-'FY16 Feb Forecast'!S181</f>
        <v>19.003073770491824</v>
      </c>
      <c r="T181" s="108">
        <f>+'FY16 Tax Bill'!T181-'FY16 Feb Forecast'!T181</f>
        <v>0.36885245901640928</v>
      </c>
    </row>
    <row r="182" spans="1:20" x14ac:dyDescent="0.2">
      <c r="A182" s="109">
        <v>549</v>
      </c>
      <c r="B182" s="110">
        <v>1</v>
      </c>
      <c r="C182" s="103" t="s">
        <v>301</v>
      </c>
      <c r="D182" s="103">
        <v>5</v>
      </c>
      <c r="E182" s="104">
        <f>+SUMIF('GE16FEB14 Unfudged'!$A$2:$A$498, $A182, 'GE16FEB14 Unfudged'!$D$2:$D$498)</f>
        <v>1369</v>
      </c>
      <c r="F182" s="104">
        <f>+'FY16 Tax Bill'!F182-'FY16 Feb Forecast'!F182</f>
        <v>0</v>
      </c>
      <c r="G182" s="105">
        <f>+'FY16 Tax Bill'!G182-'FY16 Feb Forecast'!G182</f>
        <v>0</v>
      </c>
      <c r="H182" s="106">
        <f>+'FY16 Tax Bill'!H182-'FY16 Feb Forecast'!H182</f>
        <v>0</v>
      </c>
      <c r="I182" s="107">
        <f>+'FY16 Tax Bill'!I182-'FY16 Feb Forecast'!I182</f>
        <v>580392</v>
      </c>
      <c r="J182" s="105">
        <f>+'FY16 Tax Bill'!J182-'FY16 Feb Forecast'!J182</f>
        <v>580392</v>
      </c>
      <c r="K182" s="106">
        <f>+'FY16 Tax Bill'!K182-'FY16 Feb Forecast'!K182</f>
        <v>0</v>
      </c>
      <c r="L182" s="107">
        <f>+'FY16 Tax Bill'!L182-'FY16 Feb Forecast'!L182</f>
        <v>0</v>
      </c>
      <c r="M182" s="105">
        <f>+'FY16 Tax Bill'!M182-'FY16 Feb Forecast'!M182</f>
        <v>0</v>
      </c>
      <c r="N182" s="106">
        <f>+'FY16 Tax Bill'!N182-'FY16 Feb Forecast'!N182</f>
        <v>0</v>
      </c>
      <c r="O182" s="107">
        <f>+'FY16 Tax Bill'!O182-'FY16 Feb Forecast'!O182</f>
        <v>580392</v>
      </c>
      <c r="P182" s="105">
        <f>+'FY16 Tax Bill'!P182-'FY16 Feb Forecast'!P182</f>
        <v>580392</v>
      </c>
      <c r="Q182" s="106">
        <f>+'FY16 Tax Bill'!Q182-'FY16 Feb Forecast'!Q182</f>
        <v>0</v>
      </c>
      <c r="R182" s="105">
        <f>+'FY16 Tax Bill'!R182-'FY16 Feb Forecast'!R182</f>
        <v>423.95325054784513</v>
      </c>
      <c r="S182" s="105">
        <f>+'FY16 Tax Bill'!S182-'FY16 Feb Forecast'!S182</f>
        <v>423.95325054784519</v>
      </c>
      <c r="T182" s="108">
        <f>+'FY16 Tax Bill'!T182-'FY16 Feb Forecast'!T182</f>
        <v>0</v>
      </c>
    </row>
    <row r="183" spans="1:20" x14ac:dyDescent="0.2">
      <c r="A183" s="109">
        <v>550</v>
      </c>
      <c r="B183" s="110">
        <v>1</v>
      </c>
      <c r="C183" s="103" t="s">
        <v>302</v>
      </c>
      <c r="D183" s="103">
        <v>6</v>
      </c>
      <c r="E183" s="104">
        <f>+SUMIF('GE16FEB14 Unfudged'!$A$2:$A$498, $A183, 'GE16FEB14 Unfudged'!$D$2:$D$498)</f>
        <v>600</v>
      </c>
      <c r="F183" s="104">
        <f>+'FY16 Tax Bill'!F183-'FY16 Feb Forecast'!F183</f>
        <v>2067</v>
      </c>
      <c r="G183" s="105">
        <f>+'FY16 Tax Bill'!G183-'FY16 Feb Forecast'!G183</f>
        <v>2067</v>
      </c>
      <c r="H183" s="106">
        <f>+'FY16 Tax Bill'!H183-'FY16 Feb Forecast'!H183</f>
        <v>0</v>
      </c>
      <c r="I183" s="107">
        <f>+'FY16 Tax Bill'!I183-'FY16 Feb Forecast'!I183</f>
        <v>254570</v>
      </c>
      <c r="J183" s="105">
        <f>+'FY16 Tax Bill'!J183-'FY16 Feb Forecast'!J183</f>
        <v>254570</v>
      </c>
      <c r="K183" s="106">
        <f>+'FY16 Tax Bill'!K183-'FY16 Feb Forecast'!K183</f>
        <v>0</v>
      </c>
      <c r="L183" s="107">
        <f>+'FY16 Tax Bill'!L183-'FY16 Feb Forecast'!L183</f>
        <v>-45072</v>
      </c>
      <c r="M183" s="105">
        <f>+'FY16 Tax Bill'!M183-'FY16 Feb Forecast'!M183</f>
        <v>-61</v>
      </c>
      <c r="N183" s="106">
        <f>+'FY16 Tax Bill'!N183-'FY16 Feb Forecast'!N183</f>
        <v>-45011</v>
      </c>
      <c r="O183" s="107">
        <f>+'FY16 Tax Bill'!O183-'FY16 Feb Forecast'!O183</f>
        <v>211565</v>
      </c>
      <c r="P183" s="105">
        <f>+'FY16 Tax Bill'!P183-'FY16 Feb Forecast'!P183</f>
        <v>256576</v>
      </c>
      <c r="Q183" s="106">
        <f>+'FY16 Tax Bill'!Q183-'FY16 Feb Forecast'!Q183</f>
        <v>-45011</v>
      </c>
      <c r="R183" s="105">
        <f>+'FY16 Tax Bill'!R183-'FY16 Feb Forecast'!R183</f>
        <v>352.60833333333335</v>
      </c>
      <c r="S183" s="105">
        <f>+'FY16 Tax Bill'!S183-'FY16 Feb Forecast'!S183</f>
        <v>427.62666666666667</v>
      </c>
      <c r="T183" s="108">
        <f>+'FY16 Tax Bill'!T183-'FY16 Feb Forecast'!T183</f>
        <v>-75.018333333333317</v>
      </c>
    </row>
    <row r="184" spans="1:20" x14ac:dyDescent="0.2">
      <c r="A184" s="109">
        <v>553</v>
      </c>
      <c r="B184" s="110">
        <v>1</v>
      </c>
      <c r="C184" s="103" t="s">
        <v>303</v>
      </c>
      <c r="D184" s="103">
        <v>6</v>
      </c>
      <c r="E184" s="104">
        <f>+SUMIF('GE16FEB14 Unfudged'!$A$2:$A$498, $A184, 'GE16FEB14 Unfudged'!$D$2:$D$498)</f>
        <v>791</v>
      </c>
      <c r="F184" s="104">
        <f>+'FY16 Tax Bill'!F184-'FY16 Feb Forecast'!F184</f>
        <v>5882</v>
      </c>
      <c r="G184" s="105">
        <f>+'FY16 Tax Bill'!G184-'FY16 Feb Forecast'!G184</f>
        <v>3383</v>
      </c>
      <c r="H184" s="106">
        <f>+'FY16 Tax Bill'!H184-'FY16 Feb Forecast'!H184</f>
        <v>2499</v>
      </c>
      <c r="I184" s="107">
        <f>+'FY16 Tax Bill'!I184-'FY16 Feb Forecast'!I184</f>
        <v>335299</v>
      </c>
      <c r="J184" s="105">
        <f>+'FY16 Tax Bill'!J184-'FY16 Feb Forecast'!J184</f>
        <v>192863</v>
      </c>
      <c r="K184" s="106">
        <f>+'FY16 Tax Bill'!K184-'FY16 Feb Forecast'!K184</f>
        <v>142436</v>
      </c>
      <c r="L184" s="107">
        <f>+'FY16 Tax Bill'!L184-'FY16 Feb Forecast'!L184</f>
        <v>-128299</v>
      </c>
      <c r="M184" s="105">
        <f>+'FY16 Tax Bill'!M184-'FY16 Feb Forecast'!M184</f>
        <v>-73797</v>
      </c>
      <c r="N184" s="106">
        <f>+'FY16 Tax Bill'!N184-'FY16 Feb Forecast'!N184</f>
        <v>-54502</v>
      </c>
      <c r="O184" s="107">
        <f>+'FY16 Tax Bill'!O184-'FY16 Feb Forecast'!O184</f>
        <v>212882</v>
      </c>
      <c r="P184" s="105">
        <f>+'FY16 Tax Bill'!P184-'FY16 Feb Forecast'!P184</f>
        <v>122449</v>
      </c>
      <c r="Q184" s="106">
        <f>+'FY16 Tax Bill'!Q184-'FY16 Feb Forecast'!Q184</f>
        <v>90433</v>
      </c>
      <c r="R184" s="105">
        <f>+'FY16 Tax Bill'!R184-'FY16 Feb Forecast'!R184</f>
        <v>269.13021491782558</v>
      </c>
      <c r="S184" s="105">
        <f>+'FY16 Tax Bill'!S184-'FY16 Feb Forecast'!S184</f>
        <v>154.80278128950692</v>
      </c>
      <c r="T184" s="108">
        <f>+'FY16 Tax Bill'!T184-'FY16 Feb Forecast'!T184</f>
        <v>114.3274336283186</v>
      </c>
    </row>
    <row r="185" spans="1:20" x14ac:dyDescent="0.2">
      <c r="A185" s="109">
        <v>561</v>
      </c>
      <c r="B185" s="110">
        <v>1</v>
      </c>
      <c r="C185" s="103" t="s">
        <v>304</v>
      </c>
      <c r="D185" s="103">
        <v>6</v>
      </c>
      <c r="E185" s="104">
        <f>+SUMIF('GE16FEB14 Unfudged'!$A$2:$A$498, $A185, 'GE16FEB14 Unfudged'!$D$2:$D$498)</f>
        <v>224</v>
      </c>
      <c r="F185" s="104">
        <f>+'FY16 Tax Bill'!F185-'FY16 Feb Forecast'!F185</f>
        <v>0</v>
      </c>
      <c r="G185" s="105">
        <f>+'FY16 Tax Bill'!G185-'FY16 Feb Forecast'!G185</f>
        <v>0</v>
      </c>
      <c r="H185" s="106">
        <f>+'FY16 Tax Bill'!H185-'FY16 Feb Forecast'!H185</f>
        <v>0</v>
      </c>
      <c r="I185" s="107">
        <f>+'FY16 Tax Bill'!I185-'FY16 Feb Forecast'!I185</f>
        <v>94806</v>
      </c>
      <c r="J185" s="105">
        <f>+'FY16 Tax Bill'!J185-'FY16 Feb Forecast'!J185</f>
        <v>26402</v>
      </c>
      <c r="K185" s="106">
        <f>+'FY16 Tax Bill'!K185-'FY16 Feb Forecast'!K185</f>
        <v>68404</v>
      </c>
      <c r="L185" s="107">
        <f>+'FY16 Tax Bill'!L185-'FY16 Feb Forecast'!L185</f>
        <v>-94806</v>
      </c>
      <c r="M185" s="105">
        <f>+'FY16 Tax Bill'!M185-'FY16 Feb Forecast'!M185</f>
        <v>-46431</v>
      </c>
      <c r="N185" s="106">
        <f>+'FY16 Tax Bill'!N185-'FY16 Feb Forecast'!N185</f>
        <v>-48375</v>
      </c>
      <c r="O185" s="107">
        <f>+'FY16 Tax Bill'!O185-'FY16 Feb Forecast'!O185</f>
        <v>0</v>
      </c>
      <c r="P185" s="105">
        <f>+'FY16 Tax Bill'!P185-'FY16 Feb Forecast'!P185</f>
        <v>-20029</v>
      </c>
      <c r="Q185" s="106">
        <f>+'FY16 Tax Bill'!Q185-'FY16 Feb Forecast'!Q185</f>
        <v>20029</v>
      </c>
      <c r="R185" s="105">
        <f>+'FY16 Tax Bill'!R185-'FY16 Feb Forecast'!R185</f>
        <v>0</v>
      </c>
      <c r="S185" s="105">
        <f>+'FY16 Tax Bill'!S185-'FY16 Feb Forecast'!S185</f>
        <v>-89.415178571428442</v>
      </c>
      <c r="T185" s="108">
        <f>+'FY16 Tax Bill'!T185-'FY16 Feb Forecast'!T185</f>
        <v>89.415178571428442</v>
      </c>
    </row>
    <row r="186" spans="1:20" x14ac:dyDescent="0.2">
      <c r="A186" s="109">
        <v>564</v>
      </c>
      <c r="B186" s="110">
        <v>1</v>
      </c>
      <c r="C186" s="103" t="s">
        <v>305</v>
      </c>
      <c r="D186" s="103">
        <v>5</v>
      </c>
      <c r="E186" s="104">
        <f>+SUMIF('GE16FEB14 Unfudged'!$A$2:$A$498, $A186, 'GE16FEB14 Unfudged'!$D$2:$D$498)</f>
        <v>2178</v>
      </c>
      <c r="F186" s="104">
        <f>+'FY16 Tax Bill'!F186-'FY16 Feb Forecast'!F186</f>
        <v>39735</v>
      </c>
      <c r="G186" s="105">
        <f>+'FY16 Tax Bill'!G186-'FY16 Feb Forecast'!G186</f>
        <v>24179</v>
      </c>
      <c r="H186" s="106">
        <f>+'FY16 Tax Bill'!H186-'FY16 Feb Forecast'!H186</f>
        <v>15556</v>
      </c>
      <c r="I186" s="107">
        <f>+'FY16 Tax Bill'!I186-'FY16 Feb Forecast'!I186</f>
        <v>923387</v>
      </c>
      <c r="J186" s="105">
        <f>+'FY16 Tax Bill'!J186-'FY16 Feb Forecast'!J186</f>
        <v>561894</v>
      </c>
      <c r="K186" s="106">
        <f>+'FY16 Tax Bill'!K186-'FY16 Feb Forecast'!K186</f>
        <v>361493</v>
      </c>
      <c r="L186" s="107">
        <f>+'FY16 Tax Bill'!L186-'FY16 Feb Forecast'!L186</f>
        <v>-923387</v>
      </c>
      <c r="M186" s="105">
        <f>+'FY16 Tax Bill'!M186-'FY16 Feb Forecast'!M186</f>
        <v>-600345</v>
      </c>
      <c r="N186" s="106">
        <f>+'FY16 Tax Bill'!N186-'FY16 Feb Forecast'!N186</f>
        <v>-323042</v>
      </c>
      <c r="O186" s="107">
        <f>+'FY16 Tax Bill'!O186-'FY16 Feb Forecast'!O186</f>
        <v>39735</v>
      </c>
      <c r="P186" s="105">
        <f>+'FY16 Tax Bill'!P186-'FY16 Feb Forecast'!P186</f>
        <v>-14272</v>
      </c>
      <c r="Q186" s="106">
        <f>+'FY16 Tax Bill'!Q186-'FY16 Feb Forecast'!Q186</f>
        <v>54007</v>
      </c>
      <c r="R186" s="105">
        <f>+'FY16 Tax Bill'!R186-'FY16 Feb Forecast'!R186</f>
        <v>18.243801652892557</v>
      </c>
      <c r="S186" s="105">
        <f>+'FY16 Tax Bill'!S186-'FY16 Feb Forecast'!S186</f>
        <v>-6.552800734618927</v>
      </c>
      <c r="T186" s="108">
        <f>+'FY16 Tax Bill'!T186-'FY16 Feb Forecast'!T186</f>
        <v>24.796602387511484</v>
      </c>
    </row>
    <row r="187" spans="1:20" x14ac:dyDescent="0.2">
      <c r="A187" s="109">
        <v>577</v>
      </c>
      <c r="B187" s="110">
        <v>1</v>
      </c>
      <c r="C187" s="103" t="s">
        <v>306</v>
      </c>
      <c r="D187" s="103">
        <v>6</v>
      </c>
      <c r="E187" s="104">
        <f>+SUMIF('GE16FEB14 Unfudged'!$A$2:$A$498, $A187, 'GE16FEB14 Unfudged'!$D$2:$D$498)</f>
        <v>457</v>
      </c>
      <c r="F187" s="104">
        <f>+'FY16 Tax Bill'!F187-'FY16 Feb Forecast'!F187</f>
        <v>0</v>
      </c>
      <c r="G187" s="105">
        <f>+'FY16 Tax Bill'!G187-'FY16 Feb Forecast'!G187</f>
        <v>0</v>
      </c>
      <c r="H187" s="106">
        <f>+'FY16 Tax Bill'!H187-'FY16 Feb Forecast'!H187</f>
        <v>0</v>
      </c>
      <c r="I187" s="107">
        <f>+'FY16 Tax Bill'!I187-'FY16 Feb Forecast'!I187</f>
        <v>193768</v>
      </c>
      <c r="J187" s="105">
        <f>+'FY16 Tax Bill'!J187-'FY16 Feb Forecast'!J187</f>
        <v>118251</v>
      </c>
      <c r="K187" s="106">
        <f>+'FY16 Tax Bill'!K187-'FY16 Feb Forecast'!K187</f>
        <v>75517</v>
      </c>
      <c r="L187" s="107">
        <f>+'FY16 Tax Bill'!L187-'FY16 Feb Forecast'!L187</f>
        <v>0</v>
      </c>
      <c r="M187" s="105">
        <f>+'FY16 Tax Bill'!M187-'FY16 Feb Forecast'!M187</f>
        <v>0</v>
      </c>
      <c r="N187" s="106">
        <f>+'FY16 Tax Bill'!N187-'FY16 Feb Forecast'!N187</f>
        <v>0</v>
      </c>
      <c r="O187" s="107">
        <f>+'FY16 Tax Bill'!O187-'FY16 Feb Forecast'!O187</f>
        <v>193768</v>
      </c>
      <c r="P187" s="105">
        <f>+'FY16 Tax Bill'!P187-'FY16 Feb Forecast'!P187</f>
        <v>118251</v>
      </c>
      <c r="Q187" s="106">
        <f>+'FY16 Tax Bill'!Q187-'FY16 Feb Forecast'!Q187</f>
        <v>75517</v>
      </c>
      <c r="R187" s="105">
        <f>+'FY16 Tax Bill'!R187-'FY16 Feb Forecast'!R187</f>
        <v>424</v>
      </c>
      <c r="S187" s="105">
        <f>+'FY16 Tax Bill'!S187-'FY16 Feb Forecast'!S187</f>
        <v>258.75492341356676</v>
      </c>
      <c r="T187" s="108">
        <f>+'FY16 Tax Bill'!T187-'FY16 Feb Forecast'!T187</f>
        <v>165.24507658643324</v>
      </c>
    </row>
    <row r="188" spans="1:20" x14ac:dyDescent="0.2">
      <c r="A188" s="109">
        <v>578</v>
      </c>
      <c r="B188" s="110">
        <v>1</v>
      </c>
      <c r="C188" s="103" t="s">
        <v>307</v>
      </c>
      <c r="D188" s="103">
        <v>5</v>
      </c>
      <c r="E188" s="104">
        <f>+SUMIF('GE16FEB14 Unfudged'!$A$2:$A$498, $A188, 'GE16FEB14 Unfudged'!$D$2:$D$498)</f>
        <v>1855</v>
      </c>
      <c r="F188" s="104">
        <f>+'FY16 Tax Bill'!F188-'FY16 Feb Forecast'!F188</f>
        <v>31857</v>
      </c>
      <c r="G188" s="105">
        <f>+'FY16 Tax Bill'!G188-'FY16 Feb Forecast'!G188</f>
        <v>19249</v>
      </c>
      <c r="H188" s="106">
        <f>+'FY16 Tax Bill'!H188-'FY16 Feb Forecast'!H188</f>
        <v>12608</v>
      </c>
      <c r="I188" s="107">
        <f>+'FY16 Tax Bill'!I188-'FY16 Feb Forecast'!I188</f>
        <v>786605</v>
      </c>
      <c r="J188" s="105">
        <f>+'FY16 Tax Bill'!J188-'FY16 Feb Forecast'!J188</f>
        <v>475283</v>
      </c>
      <c r="K188" s="106">
        <f>+'FY16 Tax Bill'!K188-'FY16 Feb Forecast'!K188</f>
        <v>311322</v>
      </c>
      <c r="L188" s="107">
        <f>+'FY16 Tax Bill'!L188-'FY16 Feb Forecast'!L188</f>
        <v>-786605</v>
      </c>
      <c r="M188" s="105">
        <f>+'FY16 Tax Bill'!M188-'FY16 Feb Forecast'!M188</f>
        <v>-561969</v>
      </c>
      <c r="N188" s="106">
        <f>+'FY16 Tax Bill'!N188-'FY16 Feb Forecast'!N188</f>
        <v>-224636</v>
      </c>
      <c r="O188" s="107">
        <f>+'FY16 Tax Bill'!O188-'FY16 Feb Forecast'!O188</f>
        <v>31857</v>
      </c>
      <c r="P188" s="105">
        <f>+'FY16 Tax Bill'!P188-'FY16 Feb Forecast'!P188</f>
        <v>-67437</v>
      </c>
      <c r="Q188" s="106">
        <f>+'FY16 Tax Bill'!Q188-'FY16 Feb Forecast'!Q188</f>
        <v>99294</v>
      </c>
      <c r="R188" s="105">
        <f>+'FY16 Tax Bill'!R188-'FY16 Feb Forecast'!R188</f>
        <v>17.173584905660391</v>
      </c>
      <c r="S188" s="105">
        <f>+'FY16 Tax Bill'!S188-'FY16 Feb Forecast'!S188</f>
        <v>-36.354177897574118</v>
      </c>
      <c r="T188" s="108">
        <f>+'FY16 Tax Bill'!T188-'FY16 Feb Forecast'!T188</f>
        <v>53.527762803234509</v>
      </c>
    </row>
    <row r="189" spans="1:20" x14ac:dyDescent="0.2">
      <c r="A189" s="109">
        <v>581</v>
      </c>
      <c r="B189" s="110">
        <v>1</v>
      </c>
      <c r="C189" s="103" t="s">
        <v>308</v>
      </c>
      <c r="D189" s="103">
        <v>6</v>
      </c>
      <c r="E189" s="104">
        <f>+SUMIF('GE16FEB14 Unfudged'!$A$2:$A$498, $A189, 'GE16FEB14 Unfudged'!$D$2:$D$498)</f>
        <v>395</v>
      </c>
      <c r="F189" s="104">
        <f>+'FY16 Tax Bill'!F189-'FY16 Feb Forecast'!F189</f>
        <v>5955</v>
      </c>
      <c r="G189" s="105">
        <f>+'FY16 Tax Bill'!G189-'FY16 Feb Forecast'!G189</f>
        <v>4580</v>
      </c>
      <c r="H189" s="106">
        <f>+'FY16 Tax Bill'!H189-'FY16 Feb Forecast'!H189</f>
        <v>1375</v>
      </c>
      <c r="I189" s="107">
        <f>+'FY16 Tax Bill'!I189-'FY16 Feb Forecast'!I189</f>
        <v>167289</v>
      </c>
      <c r="J189" s="105">
        <f>+'FY16 Tax Bill'!J189-'FY16 Feb Forecast'!J189</f>
        <v>128668</v>
      </c>
      <c r="K189" s="106">
        <f>+'FY16 Tax Bill'!K189-'FY16 Feb Forecast'!K189</f>
        <v>38621</v>
      </c>
      <c r="L189" s="107">
        <f>+'FY16 Tax Bill'!L189-'FY16 Feb Forecast'!L189</f>
        <v>-167289</v>
      </c>
      <c r="M189" s="105">
        <f>+'FY16 Tax Bill'!M189-'FY16 Feb Forecast'!M189</f>
        <v>-152286</v>
      </c>
      <c r="N189" s="106">
        <f>+'FY16 Tax Bill'!N189-'FY16 Feb Forecast'!N189</f>
        <v>-15003</v>
      </c>
      <c r="O189" s="107">
        <f>+'FY16 Tax Bill'!O189-'FY16 Feb Forecast'!O189</f>
        <v>5955</v>
      </c>
      <c r="P189" s="105">
        <f>+'FY16 Tax Bill'!P189-'FY16 Feb Forecast'!P189</f>
        <v>-19038</v>
      </c>
      <c r="Q189" s="106">
        <f>+'FY16 Tax Bill'!Q189-'FY16 Feb Forecast'!Q189</f>
        <v>24993</v>
      </c>
      <c r="R189" s="105">
        <f>+'FY16 Tax Bill'!R189-'FY16 Feb Forecast'!R189</f>
        <v>15.075949367088697</v>
      </c>
      <c r="S189" s="105">
        <f>+'FY16 Tax Bill'!S189-'FY16 Feb Forecast'!S189</f>
        <v>-48.197468354430384</v>
      </c>
      <c r="T189" s="108">
        <f>+'FY16 Tax Bill'!T189-'FY16 Feb Forecast'!T189</f>
        <v>63.273417721518967</v>
      </c>
    </row>
    <row r="190" spans="1:20" x14ac:dyDescent="0.2">
      <c r="A190" s="109">
        <v>592</v>
      </c>
      <c r="B190" s="110">
        <v>1</v>
      </c>
      <c r="C190" s="103" t="s">
        <v>309</v>
      </c>
      <c r="D190" s="103">
        <v>6</v>
      </c>
      <c r="E190" s="104">
        <f>+SUMIF('GE16FEB14 Unfudged'!$A$2:$A$498, $A190, 'GE16FEB14 Unfudged'!$D$2:$D$498)</f>
        <v>129</v>
      </c>
      <c r="F190" s="104">
        <f>+'FY16 Tax Bill'!F190-'FY16 Feb Forecast'!F190</f>
        <v>0</v>
      </c>
      <c r="G190" s="105">
        <f>+'FY16 Tax Bill'!G190-'FY16 Feb Forecast'!G190</f>
        <v>0</v>
      </c>
      <c r="H190" s="106">
        <f>+'FY16 Tax Bill'!H190-'FY16 Feb Forecast'!H190</f>
        <v>0</v>
      </c>
      <c r="I190" s="107">
        <f>+'FY16 Tax Bill'!I190-'FY16 Feb Forecast'!I190</f>
        <v>54484</v>
      </c>
      <c r="J190" s="105">
        <f>+'FY16 Tax Bill'!J190-'FY16 Feb Forecast'!J190</f>
        <v>19031</v>
      </c>
      <c r="K190" s="106">
        <f>+'FY16 Tax Bill'!K190-'FY16 Feb Forecast'!K190</f>
        <v>35453</v>
      </c>
      <c r="L190" s="107">
        <f>+'FY16 Tax Bill'!L190-'FY16 Feb Forecast'!L190</f>
        <v>-54484</v>
      </c>
      <c r="M190" s="105">
        <f>+'FY16 Tax Bill'!M190-'FY16 Feb Forecast'!M190</f>
        <v>-33469</v>
      </c>
      <c r="N190" s="106">
        <f>+'FY16 Tax Bill'!N190-'FY16 Feb Forecast'!N190</f>
        <v>-21015</v>
      </c>
      <c r="O190" s="107">
        <f>+'FY16 Tax Bill'!O190-'FY16 Feb Forecast'!O190</f>
        <v>0</v>
      </c>
      <c r="P190" s="105">
        <f>+'FY16 Tax Bill'!P190-'FY16 Feb Forecast'!P190</f>
        <v>-14438</v>
      </c>
      <c r="Q190" s="106">
        <f>+'FY16 Tax Bill'!Q190-'FY16 Feb Forecast'!Q190</f>
        <v>14438</v>
      </c>
      <c r="R190" s="105">
        <f>+'FY16 Tax Bill'!R190-'FY16 Feb Forecast'!R190</f>
        <v>0</v>
      </c>
      <c r="S190" s="105">
        <f>+'FY16 Tax Bill'!S190-'FY16 Feb Forecast'!S190</f>
        <v>-111.92248062015506</v>
      </c>
      <c r="T190" s="108">
        <f>+'FY16 Tax Bill'!T190-'FY16 Feb Forecast'!T190</f>
        <v>111.92248062015506</v>
      </c>
    </row>
    <row r="191" spans="1:20" x14ac:dyDescent="0.2">
      <c r="A191" s="109">
        <v>593</v>
      </c>
      <c r="B191" s="110">
        <v>1</v>
      </c>
      <c r="C191" s="103" t="s">
        <v>310</v>
      </c>
      <c r="D191" s="103">
        <v>5</v>
      </c>
      <c r="E191" s="104">
        <f>+SUMIF('GE16FEB14 Unfudged'!$A$2:$A$498, $A191, 'GE16FEB14 Unfudged'!$D$2:$D$498)</f>
        <v>1399</v>
      </c>
      <c r="F191" s="104">
        <f>+'FY16 Tax Bill'!F191-'FY16 Feb Forecast'!F191</f>
        <v>10552</v>
      </c>
      <c r="G191" s="105">
        <f>+'FY16 Tax Bill'!G191-'FY16 Feb Forecast'!G191</f>
        <v>5188</v>
      </c>
      <c r="H191" s="106">
        <f>+'FY16 Tax Bill'!H191-'FY16 Feb Forecast'!H191</f>
        <v>5364</v>
      </c>
      <c r="I191" s="107">
        <f>+'FY16 Tax Bill'!I191-'FY16 Feb Forecast'!I191</f>
        <v>593346</v>
      </c>
      <c r="J191" s="105">
        <f>+'FY16 Tax Bill'!J191-'FY16 Feb Forecast'!J191</f>
        <v>291726</v>
      </c>
      <c r="K191" s="106">
        <f>+'FY16 Tax Bill'!K191-'FY16 Feb Forecast'!K191</f>
        <v>301620</v>
      </c>
      <c r="L191" s="107">
        <f>+'FY16 Tax Bill'!L191-'FY16 Feb Forecast'!L191</f>
        <v>-593345</v>
      </c>
      <c r="M191" s="105">
        <f>+'FY16 Tax Bill'!M191-'FY16 Feb Forecast'!M191</f>
        <v>-528394</v>
      </c>
      <c r="N191" s="106">
        <f>+'FY16 Tax Bill'!N191-'FY16 Feb Forecast'!N191</f>
        <v>-64951</v>
      </c>
      <c r="O191" s="107">
        <f>+'FY16 Tax Bill'!O191-'FY16 Feb Forecast'!O191</f>
        <v>10553</v>
      </c>
      <c r="P191" s="105">
        <f>+'FY16 Tax Bill'!P191-'FY16 Feb Forecast'!P191</f>
        <v>-231480</v>
      </c>
      <c r="Q191" s="106">
        <f>+'FY16 Tax Bill'!Q191-'FY16 Feb Forecast'!Q191</f>
        <v>242033</v>
      </c>
      <c r="R191" s="105">
        <f>+'FY16 Tax Bill'!R191-'FY16 Feb Forecast'!R191</f>
        <v>7.5432451751250937</v>
      </c>
      <c r="S191" s="105">
        <f>+'FY16 Tax Bill'!S191-'FY16 Feb Forecast'!S191</f>
        <v>-165.46104360257334</v>
      </c>
      <c r="T191" s="108">
        <f>+'FY16 Tax Bill'!T191-'FY16 Feb Forecast'!T191</f>
        <v>173.00428877769832</v>
      </c>
    </row>
    <row r="192" spans="1:20" x14ac:dyDescent="0.2">
      <c r="A192" s="109">
        <v>595</v>
      </c>
      <c r="B192" s="110">
        <v>1</v>
      </c>
      <c r="C192" s="103" t="s">
        <v>311</v>
      </c>
      <c r="D192" s="103">
        <v>5</v>
      </c>
      <c r="E192" s="104">
        <f>+SUMIF('GE16FEB14 Unfudged'!$A$2:$A$498, $A192, 'GE16FEB14 Unfudged'!$D$2:$D$498)</f>
        <v>1820</v>
      </c>
      <c r="F192" s="104">
        <f>+'FY16 Tax Bill'!F192-'FY16 Feb Forecast'!F192</f>
        <v>31746</v>
      </c>
      <c r="G192" s="105">
        <f>+'FY16 Tax Bill'!G192-'FY16 Feb Forecast'!G192</f>
        <v>19938</v>
      </c>
      <c r="H192" s="106">
        <f>+'FY16 Tax Bill'!H192-'FY16 Feb Forecast'!H192</f>
        <v>11808</v>
      </c>
      <c r="I192" s="107">
        <f>+'FY16 Tax Bill'!I192-'FY16 Feb Forecast'!I192</f>
        <v>771680</v>
      </c>
      <c r="J192" s="105">
        <f>+'FY16 Tax Bill'!J192-'FY16 Feb Forecast'!J192</f>
        <v>484668</v>
      </c>
      <c r="K192" s="106">
        <f>+'FY16 Tax Bill'!K192-'FY16 Feb Forecast'!K192</f>
        <v>287012</v>
      </c>
      <c r="L192" s="107">
        <f>+'FY16 Tax Bill'!L192-'FY16 Feb Forecast'!L192</f>
        <v>-692455</v>
      </c>
      <c r="M192" s="105">
        <f>+'FY16 Tax Bill'!M192-'FY16 Feb Forecast'!M192</f>
        <v>-434909</v>
      </c>
      <c r="N192" s="106">
        <f>+'FY16 Tax Bill'!N192-'FY16 Feb Forecast'!N192</f>
        <v>-257546</v>
      </c>
      <c r="O192" s="107">
        <f>+'FY16 Tax Bill'!O192-'FY16 Feb Forecast'!O192</f>
        <v>110971</v>
      </c>
      <c r="P192" s="105">
        <f>+'FY16 Tax Bill'!P192-'FY16 Feb Forecast'!P192</f>
        <v>69697</v>
      </c>
      <c r="Q192" s="106">
        <f>+'FY16 Tax Bill'!Q192-'FY16 Feb Forecast'!Q192</f>
        <v>41274</v>
      </c>
      <c r="R192" s="105">
        <f>+'FY16 Tax Bill'!R192-'FY16 Feb Forecast'!R192</f>
        <v>60.973076923076974</v>
      </c>
      <c r="S192" s="105">
        <f>+'FY16 Tax Bill'!S192-'FY16 Feb Forecast'!S192</f>
        <v>38.295054945054972</v>
      </c>
      <c r="T192" s="108">
        <f>+'FY16 Tax Bill'!T192-'FY16 Feb Forecast'!T192</f>
        <v>22.678021978022002</v>
      </c>
    </row>
    <row r="193" spans="1:20" x14ac:dyDescent="0.2">
      <c r="A193" s="109">
        <v>599</v>
      </c>
      <c r="B193" s="110">
        <v>1</v>
      </c>
      <c r="C193" s="103" t="s">
        <v>312</v>
      </c>
      <c r="D193" s="103">
        <v>6</v>
      </c>
      <c r="E193" s="104">
        <f>+SUMIF('GE16FEB14 Unfudged'!$A$2:$A$498, $A193, 'GE16FEB14 Unfudged'!$D$2:$D$498)</f>
        <v>476</v>
      </c>
      <c r="F193" s="104">
        <f>+'FY16 Tax Bill'!F193-'FY16 Feb Forecast'!F193</f>
        <v>5992</v>
      </c>
      <c r="G193" s="105">
        <f>+'FY16 Tax Bill'!G193-'FY16 Feb Forecast'!G193</f>
        <v>4014</v>
      </c>
      <c r="H193" s="106">
        <f>+'FY16 Tax Bill'!H193-'FY16 Feb Forecast'!H193</f>
        <v>1978</v>
      </c>
      <c r="I193" s="107">
        <f>+'FY16 Tax Bill'!I193-'FY16 Feb Forecast'!I193</f>
        <v>201654</v>
      </c>
      <c r="J193" s="105">
        <f>+'FY16 Tax Bill'!J193-'FY16 Feb Forecast'!J193</f>
        <v>135093</v>
      </c>
      <c r="K193" s="106">
        <f>+'FY16 Tax Bill'!K193-'FY16 Feb Forecast'!K193</f>
        <v>66561</v>
      </c>
      <c r="L193" s="107">
        <f>+'FY16 Tax Bill'!L193-'FY16 Feb Forecast'!L193</f>
        <v>-201655</v>
      </c>
      <c r="M193" s="105">
        <f>+'FY16 Tax Bill'!M193-'FY16 Feb Forecast'!M193</f>
        <v>-201655</v>
      </c>
      <c r="N193" s="106">
        <f>+'FY16 Tax Bill'!N193-'FY16 Feb Forecast'!N193</f>
        <v>0</v>
      </c>
      <c r="O193" s="107">
        <f>+'FY16 Tax Bill'!O193-'FY16 Feb Forecast'!O193</f>
        <v>5991</v>
      </c>
      <c r="P193" s="105">
        <f>+'FY16 Tax Bill'!P193-'FY16 Feb Forecast'!P193</f>
        <v>-62548</v>
      </c>
      <c r="Q193" s="106">
        <f>+'FY16 Tax Bill'!Q193-'FY16 Feb Forecast'!Q193</f>
        <v>68539</v>
      </c>
      <c r="R193" s="105">
        <f>+'FY16 Tax Bill'!R193-'FY16 Feb Forecast'!R193</f>
        <v>12.586134453781597</v>
      </c>
      <c r="S193" s="105">
        <f>+'FY16 Tax Bill'!S193-'FY16 Feb Forecast'!S193</f>
        <v>-131.40336134453776</v>
      </c>
      <c r="T193" s="108">
        <f>+'FY16 Tax Bill'!T193-'FY16 Feb Forecast'!T193</f>
        <v>143.9894957983193</v>
      </c>
    </row>
    <row r="194" spans="1:20" x14ac:dyDescent="0.2">
      <c r="A194" s="109">
        <v>600</v>
      </c>
      <c r="B194" s="110">
        <v>1</v>
      </c>
      <c r="C194" s="103" t="s">
        <v>313</v>
      </c>
      <c r="D194" s="103">
        <v>6</v>
      </c>
      <c r="E194" s="104">
        <f>+SUMIF('GE16FEB14 Unfudged'!$A$2:$A$498, $A194, 'GE16FEB14 Unfudged'!$D$2:$D$498)</f>
        <v>270</v>
      </c>
      <c r="F194" s="104">
        <f>+'FY16 Tax Bill'!F194-'FY16 Feb Forecast'!F194</f>
        <v>4600</v>
      </c>
      <c r="G194" s="105">
        <f>+'FY16 Tax Bill'!G194-'FY16 Feb Forecast'!G194</f>
        <v>2877</v>
      </c>
      <c r="H194" s="106">
        <f>+'FY16 Tax Bill'!H194-'FY16 Feb Forecast'!H194</f>
        <v>1723</v>
      </c>
      <c r="I194" s="107">
        <f>+'FY16 Tax Bill'!I194-'FY16 Feb Forecast'!I194</f>
        <v>114268</v>
      </c>
      <c r="J194" s="105">
        <f>+'FY16 Tax Bill'!J194-'FY16 Feb Forecast'!J194</f>
        <v>71469</v>
      </c>
      <c r="K194" s="106">
        <f>+'FY16 Tax Bill'!K194-'FY16 Feb Forecast'!K194</f>
        <v>42799</v>
      </c>
      <c r="L194" s="107">
        <f>+'FY16 Tax Bill'!L194-'FY16 Feb Forecast'!L194</f>
        <v>-114268</v>
      </c>
      <c r="M194" s="105">
        <f>+'FY16 Tax Bill'!M194-'FY16 Feb Forecast'!M194</f>
        <v>-35365</v>
      </c>
      <c r="N194" s="106">
        <f>+'FY16 Tax Bill'!N194-'FY16 Feb Forecast'!N194</f>
        <v>-78903</v>
      </c>
      <c r="O194" s="107">
        <f>+'FY16 Tax Bill'!O194-'FY16 Feb Forecast'!O194</f>
        <v>4600</v>
      </c>
      <c r="P194" s="105">
        <f>+'FY16 Tax Bill'!P194-'FY16 Feb Forecast'!P194</f>
        <v>38981</v>
      </c>
      <c r="Q194" s="106">
        <f>+'FY16 Tax Bill'!Q194-'FY16 Feb Forecast'!Q194</f>
        <v>-34381</v>
      </c>
      <c r="R194" s="105">
        <f>+'FY16 Tax Bill'!R194-'FY16 Feb Forecast'!R194</f>
        <v>17.037037037036953</v>
      </c>
      <c r="S194" s="105">
        <f>+'FY16 Tax Bill'!S194-'FY16 Feb Forecast'!S194</f>
        <v>144.37407407407403</v>
      </c>
      <c r="T194" s="108">
        <f>+'FY16 Tax Bill'!T194-'FY16 Feb Forecast'!T194</f>
        <v>-127.33703703703702</v>
      </c>
    </row>
    <row r="195" spans="1:20" x14ac:dyDescent="0.2">
      <c r="A195" s="109">
        <v>601</v>
      </c>
      <c r="B195" s="110">
        <v>1</v>
      </c>
      <c r="C195" s="103" t="s">
        <v>314</v>
      </c>
      <c r="D195" s="103">
        <v>6</v>
      </c>
      <c r="E195" s="104">
        <f>+SUMIF('GE16FEB14 Unfudged'!$A$2:$A$498, $A195, 'GE16FEB14 Unfudged'!$D$2:$D$498)</f>
        <v>682</v>
      </c>
      <c r="F195" s="104">
        <f>+'FY16 Tax Bill'!F195-'FY16 Feb Forecast'!F195</f>
        <v>8902</v>
      </c>
      <c r="G195" s="105">
        <f>+'FY16 Tax Bill'!G195-'FY16 Feb Forecast'!G195</f>
        <v>4677</v>
      </c>
      <c r="H195" s="106">
        <f>+'FY16 Tax Bill'!H195-'FY16 Feb Forecast'!H195</f>
        <v>4225</v>
      </c>
      <c r="I195" s="107">
        <f>+'FY16 Tax Bill'!I195-'FY16 Feb Forecast'!I195</f>
        <v>289338</v>
      </c>
      <c r="J195" s="105">
        <f>+'FY16 Tax Bill'!J195-'FY16 Feb Forecast'!J195</f>
        <v>152023</v>
      </c>
      <c r="K195" s="106">
        <f>+'FY16 Tax Bill'!K195-'FY16 Feb Forecast'!K195</f>
        <v>137315</v>
      </c>
      <c r="L195" s="107">
        <f>+'FY16 Tax Bill'!L195-'FY16 Feb Forecast'!L195</f>
        <v>-289338</v>
      </c>
      <c r="M195" s="105">
        <f>+'FY16 Tax Bill'!M195-'FY16 Feb Forecast'!M195</f>
        <v>-260393</v>
      </c>
      <c r="N195" s="106">
        <f>+'FY16 Tax Bill'!N195-'FY16 Feb Forecast'!N195</f>
        <v>-28945</v>
      </c>
      <c r="O195" s="107">
        <f>+'FY16 Tax Bill'!O195-'FY16 Feb Forecast'!O195</f>
        <v>8902</v>
      </c>
      <c r="P195" s="105">
        <f>+'FY16 Tax Bill'!P195-'FY16 Feb Forecast'!P195</f>
        <v>-103693</v>
      </c>
      <c r="Q195" s="106">
        <f>+'FY16 Tax Bill'!Q195-'FY16 Feb Forecast'!Q195</f>
        <v>112595</v>
      </c>
      <c r="R195" s="105">
        <f>+'FY16 Tax Bill'!R195-'FY16 Feb Forecast'!R195</f>
        <v>13.052785923753618</v>
      </c>
      <c r="S195" s="105">
        <f>+'FY16 Tax Bill'!S195-'FY16 Feb Forecast'!S195</f>
        <v>-152.04252199413486</v>
      </c>
      <c r="T195" s="108">
        <f>+'FY16 Tax Bill'!T195-'FY16 Feb Forecast'!T195</f>
        <v>165.09530791788853</v>
      </c>
    </row>
    <row r="196" spans="1:20" x14ac:dyDescent="0.2">
      <c r="A196" s="109">
        <v>621</v>
      </c>
      <c r="B196" s="110">
        <v>1</v>
      </c>
      <c r="C196" s="103" t="s">
        <v>315</v>
      </c>
      <c r="D196" s="103">
        <v>3</v>
      </c>
      <c r="E196" s="104">
        <f>+SUMIF('GE16FEB14 Unfudged'!$A$2:$A$498, $A196, 'GE16FEB14 Unfudged'!$D$2:$D$498)</f>
        <v>11360</v>
      </c>
      <c r="F196" s="104">
        <f>+'FY16 Tax Bill'!F196-'FY16 Feb Forecast'!F196</f>
        <v>0</v>
      </c>
      <c r="G196" s="105">
        <f>+'FY16 Tax Bill'!G196-'FY16 Feb Forecast'!G196</f>
        <v>0</v>
      </c>
      <c r="H196" s="106">
        <f>+'FY16 Tax Bill'!H196-'FY16 Feb Forecast'!H196</f>
        <v>0</v>
      </c>
      <c r="I196" s="107">
        <f>+'FY16 Tax Bill'!I196-'FY16 Feb Forecast'!I196</f>
        <v>0</v>
      </c>
      <c r="J196" s="105">
        <f>+'FY16 Tax Bill'!J196-'FY16 Feb Forecast'!J196</f>
        <v>0</v>
      </c>
      <c r="K196" s="106">
        <f>+'FY16 Tax Bill'!K196-'FY16 Feb Forecast'!K196</f>
        <v>0</v>
      </c>
      <c r="L196" s="107">
        <f>+'FY16 Tax Bill'!L196-'FY16 Feb Forecast'!L196</f>
        <v>0</v>
      </c>
      <c r="M196" s="105">
        <f>+'FY16 Tax Bill'!M196-'FY16 Feb Forecast'!M196</f>
        <v>0</v>
      </c>
      <c r="N196" s="106">
        <f>+'FY16 Tax Bill'!N196-'FY16 Feb Forecast'!N196</f>
        <v>0</v>
      </c>
      <c r="O196" s="107">
        <f>+'FY16 Tax Bill'!O196-'FY16 Feb Forecast'!O196</f>
        <v>0</v>
      </c>
      <c r="P196" s="105">
        <f>+'FY16 Tax Bill'!P196-'FY16 Feb Forecast'!P196</f>
        <v>0</v>
      </c>
      <c r="Q196" s="106">
        <f>+'FY16 Tax Bill'!Q196-'FY16 Feb Forecast'!Q196</f>
        <v>0</v>
      </c>
      <c r="R196" s="105">
        <f>+'FY16 Tax Bill'!R196-'FY16 Feb Forecast'!R196</f>
        <v>0</v>
      </c>
      <c r="S196" s="105">
        <f>+'FY16 Tax Bill'!S196-'FY16 Feb Forecast'!S196</f>
        <v>0</v>
      </c>
      <c r="T196" s="108">
        <f>+'FY16 Tax Bill'!T196-'FY16 Feb Forecast'!T196</f>
        <v>0</v>
      </c>
    </row>
    <row r="197" spans="1:20" x14ac:dyDescent="0.2">
      <c r="A197" s="109">
        <v>622</v>
      </c>
      <c r="B197" s="110">
        <v>1</v>
      </c>
      <c r="C197" s="103" t="s">
        <v>316</v>
      </c>
      <c r="D197" s="103">
        <v>2</v>
      </c>
      <c r="E197" s="104">
        <f>+SUMIF('GE16FEB14 Unfudged'!$A$2:$A$498, $A197, 'GE16FEB14 Unfudged'!$D$2:$D$498)</f>
        <v>11790</v>
      </c>
      <c r="F197" s="104">
        <f>+'FY16 Tax Bill'!F197-'FY16 Feb Forecast'!F197</f>
        <v>0</v>
      </c>
      <c r="G197" s="105">
        <f>+'FY16 Tax Bill'!G197-'FY16 Feb Forecast'!G197</f>
        <v>0</v>
      </c>
      <c r="H197" s="106">
        <f>+'FY16 Tax Bill'!H197-'FY16 Feb Forecast'!H197</f>
        <v>0</v>
      </c>
      <c r="I197" s="107">
        <f>+'FY16 Tax Bill'!I197-'FY16 Feb Forecast'!I197</f>
        <v>0</v>
      </c>
      <c r="J197" s="105">
        <f>+'FY16 Tax Bill'!J197-'FY16 Feb Forecast'!J197</f>
        <v>0</v>
      </c>
      <c r="K197" s="106">
        <f>+'FY16 Tax Bill'!K197-'FY16 Feb Forecast'!K197</f>
        <v>0</v>
      </c>
      <c r="L197" s="107">
        <f>+'FY16 Tax Bill'!L197-'FY16 Feb Forecast'!L197</f>
        <v>0</v>
      </c>
      <c r="M197" s="105">
        <f>+'FY16 Tax Bill'!M197-'FY16 Feb Forecast'!M197</f>
        <v>0</v>
      </c>
      <c r="N197" s="106">
        <f>+'FY16 Tax Bill'!N197-'FY16 Feb Forecast'!N197</f>
        <v>0</v>
      </c>
      <c r="O197" s="107">
        <f>+'FY16 Tax Bill'!O197-'FY16 Feb Forecast'!O197</f>
        <v>0</v>
      </c>
      <c r="P197" s="105">
        <f>+'FY16 Tax Bill'!P197-'FY16 Feb Forecast'!P197</f>
        <v>0</v>
      </c>
      <c r="Q197" s="106">
        <f>+'FY16 Tax Bill'!Q197-'FY16 Feb Forecast'!Q197</f>
        <v>0</v>
      </c>
      <c r="R197" s="105">
        <f>+'FY16 Tax Bill'!R197-'FY16 Feb Forecast'!R197</f>
        <v>0</v>
      </c>
      <c r="S197" s="105">
        <f>+'FY16 Tax Bill'!S197-'FY16 Feb Forecast'!S197</f>
        <v>0</v>
      </c>
      <c r="T197" s="108">
        <f>+'FY16 Tax Bill'!T197-'FY16 Feb Forecast'!T197</f>
        <v>0</v>
      </c>
    </row>
    <row r="198" spans="1:20" x14ac:dyDescent="0.2">
      <c r="A198" s="109">
        <v>623</v>
      </c>
      <c r="B198" s="110">
        <v>1</v>
      </c>
      <c r="C198" s="103" t="s">
        <v>317</v>
      </c>
      <c r="D198" s="103">
        <v>2</v>
      </c>
      <c r="E198" s="104">
        <f>+SUMIF('GE16FEB14 Unfudged'!$A$2:$A$498, $A198, 'GE16FEB14 Unfudged'!$D$2:$D$498)</f>
        <v>7887</v>
      </c>
      <c r="F198" s="104">
        <f>+'FY16 Tax Bill'!F198-'FY16 Feb Forecast'!F198</f>
        <v>0</v>
      </c>
      <c r="G198" s="105">
        <f>+'FY16 Tax Bill'!G198-'FY16 Feb Forecast'!G198</f>
        <v>0</v>
      </c>
      <c r="H198" s="106">
        <f>+'FY16 Tax Bill'!H198-'FY16 Feb Forecast'!H198</f>
        <v>0</v>
      </c>
      <c r="I198" s="107">
        <f>+'FY16 Tax Bill'!I198-'FY16 Feb Forecast'!I198</f>
        <v>0</v>
      </c>
      <c r="J198" s="105">
        <f>+'FY16 Tax Bill'!J198-'FY16 Feb Forecast'!J198</f>
        <v>0</v>
      </c>
      <c r="K198" s="106">
        <f>+'FY16 Tax Bill'!K198-'FY16 Feb Forecast'!K198</f>
        <v>0</v>
      </c>
      <c r="L198" s="107">
        <f>+'FY16 Tax Bill'!L198-'FY16 Feb Forecast'!L198</f>
        <v>0</v>
      </c>
      <c r="M198" s="105">
        <f>+'FY16 Tax Bill'!M198-'FY16 Feb Forecast'!M198</f>
        <v>0</v>
      </c>
      <c r="N198" s="106">
        <f>+'FY16 Tax Bill'!N198-'FY16 Feb Forecast'!N198</f>
        <v>0</v>
      </c>
      <c r="O198" s="107">
        <f>+'FY16 Tax Bill'!O198-'FY16 Feb Forecast'!O198</f>
        <v>0</v>
      </c>
      <c r="P198" s="105">
        <f>+'FY16 Tax Bill'!P198-'FY16 Feb Forecast'!P198</f>
        <v>0</v>
      </c>
      <c r="Q198" s="106">
        <f>+'FY16 Tax Bill'!Q198-'FY16 Feb Forecast'!Q198</f>
        <v>0</v>
      </c>
      <c r="R198" s="105">
        <f>+'FY16 Tax Bill'!R198-'FY16 Feb Forecast'!R198</f>
        <v>0</v>
      </c>
      <c r="S198" s="105">
        <f>+'FY16 Tax Bill'!S198-'FY16 Feb Forecast'!S198</f>
        <v>0</v>
      </c>
      <c r="T198" s="108">
        <f>+'FY16 Tax Bill'!T198-'FY16 Feb Forecast'!T198</f>
        <v>0</v>
      </c>
    </row>
    <row r="199" spans="1:20" x14ac:dyDescent="0.2">
      <c r="A199" s="109">
        <v>624</v>
      </c>
      <c r="B199" s="110">
        <v>1</v>
      </c>
      <c r="C199" s="103" t="s">
        <v>318</v>
      </c>
      <c r="D199" s="103">
        <v>3</v>
      </c>
      <c r="E199" s="104">
        <f>+SUMIF('GE16FEB14 Unfudged'!$A$2:$A$498, $A199, 'GE16FEB14 Unfudged'!$D$2:$D$498)</f>
        <v>8949</v>
      </c>
      <c r="F199" s="104">
        <f>+'FY16 Tax Bill'!F199-'FY16 Feb Forecast'!F199</f>
        <v>0</v>
      </c>
      <c r="G199" s="105">
        <f>+'FY16 Tax Bill'!G199-'FY16 Feb Forecast'!G199</f>
        <v>0</v>
      </c>
      <c r="H199" s="106">
        <f>+'FY16 Tax Bill'!H199-'FY16 Feb Forecast'!H199</f>
        <v>0</v>
      </c>
      <c r="I199" s="107">
        <f>+'FY16 Tax Bill'!I199-'FY16 Feb Forecast'!I199</f>
        <v>0</v>
      </c>
      <c r="J199" s="105">
        <f>+'FY16 Tax Bill'!J199-'FY16 Feb Forecast'!J199</f>
        <v>0</v>
      </c>
      <c r="K199" s="106">
        <f>+'FY16 Tax Bill'!K199-'FY16 Feb Forecast'!K199</f>
        <v>0</v>
      </c>
      <c r="L199" s="107">
        <f>+'FY16 Tax Bill'!L199-'FY16 Feb Forecast'!L199</f>
        <v>0</v>
      </c>
      <c r="M199" s="105">
        <f>+'FY16 Tax Bill'!M199-'FY16 Feb Forecast'!M199</f>
        <v>0</v>
      </c>
      <c r="N199" s="106">
        <f>+'FY16 Tax Bill'!N199-'FY16 Feb Forecast'!N199</f>
        <v>0</v>
      </c>
      <c r="O199" s="107">
        <f>+'FY16 Tax Bill'!O199-'FY16 Feb Forecast'!O199</f>
        <v>0</v>
      </c>
      <c r="P199" s="105">
        <f>+'FY16 Tax Bill'!P199-'FY16 Feb Forecast'!P199</f>
        <v>0</v>
      </c>
      <c r="Q199" s="106">
        <f>+'FY16 Tax Bill'!Q199-'FY16 Feb Forecast'!Q199</f>
        <v>0</v>
      </c>
      <c r="R199" s="105">
        <f>+'FY16 Tax Bill'!R199-'FY16 Feb Forecast'!R199</f>
        <v>0</v>
      </c>
      <c r="S199" s="105">
        <f>+'FY16 Tax Bill'!S199-'FY16 Feb Forecast'!S199</f>
        <v>0</v>
      </c>
      <c r="T199" s="108">
        <f>+'FY16 Tax Bill'!T199-'FY16 Feb Forecast'!T199</f>
        <v>0</v>
      </c>
    </row>
    <row r="200" spans="1:20" x14ac:dyDescent="0.2">
      <c r="A200" s="109">
        <v>625</v>
      </c>
      <c r="B200" s="110">
        <v>1</v>
      </c>
      <c r="C200" s="103" t="s">
        <v>319</v>
      </c>
      <c r="D200" s="103">
        <v>1</v>
      </c>
      <c r="E200" s="104">
        <f>+SUMIF('GE16FEB14 Unfudged'!$A$2:$A$498, $A200, 'GE16FEB14 Unfudged'!$D$2:$D$498)</f>
        <v>40728</v>
      </c>
      <c r="F200" s="104">
        <f>+'FY16 Tax Bill'!F200-'FY16 Feb Forecast'!F200</f>
        <v>0</v>
      </c>
      <c r="G200" s="105">
        <f>+'FY16 Tax Bill'!G200-'FY16 Feb Forecast'!G200</f>
        <v>0</v>
      </c>
      <c r="H200" s="106">
        <f>+'FY16 Tax Bill'!H200-'FY16 Feb Forecast'!H200</f>
        <v>0</v>
      </c>
      <c r="I200" s="107">
        <f>+'FY16 Tax Bill'!I200-'FY16 Feb Forecast'!I200</f>
        <v>0</v>
      </c>
      <c r="J200" s="105">
        <f>+'FY16 Tax Bill'!J200-'FY16 Feb Forecast'!J200</f>
        <v>0</v>
      </c>
      <c r="K200" s="106">
        <f>+'FY16 Tax Bill'!K200-'FY16 Feb Forecast'!K200</f>
        <v>0</v>
      </c>
      <c r="L200" s="107">
        <f>+'FY16 Tax Bill'!L200-'FY16 Feb Forecast'!L200</f>
        <v>0</v>
      </c>
      <c r="M200" s="105">
        <f>+'FY16 Tax Bill'!M200-'FY16 Feb Forecast'!M200</f>
        <v>0</v>
      </c>
      <c r="N200" s="106">
        <f>+'FY16 Tax Bill'!N200-'FY16 Feb Forecast'!N200</f>
        <v>0</v>
      </c>
      <c r="O200" s="107">
        <f>+'FY16 Tax Bill'!O200-'FY16 Feb Forecast'!O200</f>
        <v>0</v>
      </c>
      <c r="P200" s="105">
        <f>+'FY16 Tax Bill'!P200-'FY16 Feb Forecast'!P200</f>
        <v>0</v>
      </c>
      <c r="Q200" s="106">
        <f>+'FY16 Tax Bill'!Q200-'FY16 Feb Forecast'!Q200</f>
        <v>0</v>
      </c>
      <c r="R200" s="105">
        <f>+'FY16 Tax Bill'!R200-'FY16 Feb Forecast'!R200</f>
        <v>0</v>
      </c>
      <c r="S200" s="105">
        <f>+'FY16 Tax Bill'!S200-'FY16 Feb Forecast'!S200</f>
        <v>0</v>
      </c>
      <c r="T200" s="108">
        <f>+'FY16 Tax Bill'!T200-'FY16 Feb Forecast'!T200</f>
        <v>0</v>
      </c>
    </row>
    <row r="201" spans="1:20" x14ac:dyDescent="0.2">
      <c r="A201" s="109">
        <v>630</v>
      </c>
      <c r="B201" s="110">
        <v>1</v>
      </c>
      <c r="C201" s="103" t="s">
        <v>320</v>
      </c>
      <c r="D201" s="103">
        <v>6</v>
      </c>
      <c r="E201" s="104">
        <f>+SUMIF('GE16FEB14 Unfudged'!$A$2:$A$498, $A201, 'GE16FEB14 Unfudged'!$D$2:$D$498)</f>
        <v>401</v>
      </c>
      <c r="F201" s="104">
        <f>+'FY16 Tax Bill'!F201-'FY16 Feb Forecast'!F201</f>
        <v>2189</v>
      </c>
      <c r="G201" s="105">
        <f>+'FY16 Tax Bill'!G201-'FY16 Feb Forecast'!G201</f>
        <v>815</v>
      </c>
      <c r="H201" s="106">
        <f>+'FY16 Tax Bill'!H201-'FY16 Feb Forecast'!H201</f>
        <v>1374</v>
      </c>
      <c r="I201" s="107">
        <f>+'FY16 Tax Bill'!I201-'FY16 Feb Forecast'!I201</f>
        <v>169854</v>
      </c>
      <c r="J201" s="105">
        <f>+'FY16 Tax Bill'!J201-'FY16 Feb Forecast'!J201</f>
        <v>63271</v>
      </c>
      <c r="K201" s="106">
        <f>+'FY16 Tax Bill'!K201-'FY16 Feb Forecast'!K201</f>
        <v>106583</v>
      </c>
      <c r="L201" s="107">
        <f>+'FY16 Tax Bill'!L201-'FY16 Feb Forecast'!L201</f>
        <v>-169854</v>
      </c>
      <c r="M201" s="105">
        <f>+'FY16 Tax Bill'!M201-'FY16 Feb Forecast'!M201</f>
        <v>-111271</v>
      </c>
      <c r="N201" s="106">
        <f>+'FY16 Tax Bill'!N201-'FY16 Feb Forecast'!N201</f>
        <v>-58583</v>
      </c>
      <c r="O201" s="107">
        <f>+'FY16 Tax Bill'!O201-'FY16 Feb Forecast'!O201</f>
        <v>2189</v>
      </c>
      <c r="P201" s="105">
        <f>+'FY16 Tax Bill'!P201-'FY16 Feb Forecast'!P201</f>
        <v>-47185</v>
      </c>
      <c r="Q201" s="106">
        <f>+'FY16 Tax Bill'!Q201-'FY16 Feb Forecast'!Q201</f>
        <v>49374</v>
      </c>
      <c r="R201" s="105">
        <f>+'FY16 Tax Bill'!R201-'FY16 Feb Forecast'!R201</f>
        <v>5.4588528678305011</v>
      </c>
      <c r="S201" s="105">
        <f>+'FY16 Tax Bill'!S201-'FY16 Feb Forecast'!S201</f>
        <v>-117.66832917705733</v>
      </c>
      <c r="T201" s="108">
        <f>+'FY16 Tax Bill'!T201-'FY16 Feb Forecast'!T201</f>
        <v>123.12718204488783</v>
      </c>
    </row>
    <row r="202" spans="1:20" x14ac:dyDescent="0.2">
      <c r="A202" s="109">
        <v>635</v>
      </c>
      <c r="B202" s="110">
        <v>1</v>
      </c>
      <c r="C202" s="103" t="s">
        <v>321</v>
      </c>
      <c r="D202" s="103">
        <v>6</v>
      </c>
      <c r="E202" s="104">
        <f>+SUMIF('GE16FEB14 Unfudged'!$A$2:$A$498, $A202, 'GE16FEB14 Unfudged'!$D$2:$D$498)</f>
        <v>56</v>
      </c>
      <c r="F202" s="104">
        <f>+'FY16 Tax Bill'!F202-'FY16 Feb Forecast'!F202</f>
        <v>0</v>
      </c>
      <c r="G202" s="105">
        <f>+'FY16 Tax Bill'!G202-'FY16 Feb Forecast'!G202</f>
        <v>0</v>
      </c>
      <c r="H202" s="106">
        <f>+'FY16 Tax Bill'!H202-'FY16 Feb Forecast'!H202</f>
        <v>0</v>
      </c>
      <c r="I202" s="107">
        <f>+'FY16 Tax Bill'!I202-'FY16 Feb Forecast'!I202</f>
        <v>23914</v>
      </c>
      <c r="J202" s="105">
        <f>+'FY16 Tax Bill'!J202-'FY16 Feb Forecast'!J202</f>
        <v>14304</v>
      </c>
      <c r="K202" s="106">
        <f>+'FY16 Tax Bill'!K202-'FY16 Feb Forecast'!K202</f>
        <v>9610</v>
      </c>
      <c r="L202" s="107">
        <f>+'FY16 Tax Bill'!L202-'FY16 Feb Forecast'!L202</f>
        <v>-23914</v>
      </c>
      <c r="M202" s="105">
        <f>+'FY16 Tax Bill'!M202-'FY16 Feb Forecast'!M202</f>
        <v>-23914</v>
      </c>
      <c r="N202" s="106">
        <f>+'FY16 Tax Bill'!N202-'FY16 Feb Forecast'!N202</f>
        <v>0</v>
      </c>
      <c r="O202" s="107">
        <f>+'FY16 Tax Bill'!O202-'FY16 Feb Forecast'!O202</f>
        <v>0</v>
      </c>
      <c r="P202" s="105">
        <f>+'FY16 Tax Bill'!P202-'FY16 Feb Forecast'!P202</f>
        <v>-9610</v>
      </c>
      <c r="Q202" s="106">
        <f>+'FY16 Tax Bill'!Q202-'FY16 Feb Forecast'!Q202</f>
        <v>9610</v>
      </c>
      <c r="R202" s="105">
        <f>+'FY16 Tax Bill'!R202-'FY16 Feb Forecast'!R202</f>
        <v>0</v>
      </c>
      <c r="S202" s="105">
        <f>+'FY16 Tax Bill'!S202-'FY16 Feb Forecast'!S202</f>
        <v>-171.60714285714312</v>
      </c>
      <c r="T202" s="108">
        <f>+'FY16 Tax Bill'!T202-'FY16 Feb Forecast'!T202</f>
        <v>171.60714285714289</v>
      </c>
    </row>
    <row r="203" spans="1:20" x14ac:dyDescent="0.2">
      <c r="A203" s="109">
        <v>640</v>
      </c>
      <c r="B203" s="110">
        <v>1</v>
      </c>
      <c r="C203" s="103" t="s">
        <v>322</v>
      </c>
      <c r="D203" s="103">
        <v>6</v>
      </c>
      <c r="E203" s="104">
        <f>+SUMIF('GE16FEB14 Unfudged'!$A$2:$A$498, $A203, 'GE16FEB14 Unfudged'!$D$2:$D$498)</f>
        <v>372</v>
      </c>
      <c r="F203" s="104">
        <f>+'FY16 Tax Bill'!F203-'FY16 Feb Forecast'!F203</f>
        <v>5360</v>
      </c>
      <c r="G203" s="105">
        <f>+'FY16 Tax Bill'!G203-'FY16 Feb Forecast'!G203</f>
        <v>3124</v>
      </c>
      <c r="H203" s="106">
        <f>+'FY16 Tax Bill'!H203-'FY16 Feb Forecast'!H203</f>
        <v>2236</v>
      </c>
      <c r="I203" s="107">
        <f>+'FY16 Tax Bill'!I203-'FY16 Feb Forecast'!I203</f>
        <v>157813</v>
      </c>
      <c r="J203" s="105">
        <f>+'FY16 Tax Bill'!J203-'FY16 Feb Forecast'!J203</f>
        <v>91996</v>
      </c>
      <c r="K203" s="106">
        <f>+'FY16 Tax Bill'!K203-'FY16 Feb Forecast'!K203</f>
        <v>65817</v>
      </c>
      <c r="L203" s="107">
        <f>+'FY16 Tax Bill'!L203-'FY16 Feb Forecast'!L203</f>
        <v>-157813</v>
      </c>
      <c r="M203" s="105">
        <f>+'FY16 Tax Bill'!M203-'FY16 Feb Forecast'!M203</f>
        <v>-139566</v>
      </c>
      <c r="N203" s="106">
        <f>+'FY16 Tax Bill'!N203-'FY16 Feb Forecast'!N203</f>
        <v>-18247</v>
      </c>
      <c r="O203" s="107">
        <f>+'FY16 Tax Bill'!O203-'FY16 Feb Forecast'!O203</f>
        <v>5360</v>
      </c>
      <c r="P203" s="105">
        <f>+'FY16 Tax Bill'!P203-'FY16 Feb Forecast'!P203</f>
        <v>-44446</v>
      </c>
      <c r="Q203" s="106">
        <f>+'FY16 Tax Bill'!Q203-'FY16 Feb Forecast'!Q203</f>
        <v>49806</v>
      </c>
      <c r="R203" s="105">
        <f>+'FY16 Tax Bill'!R203-'FY16 Feb Forecast'!R203</f>
        <v>14.40860215053749</v>
      </c>
      <c r="S203" s="105">
        <f>+'FY16 Tax Bill'!S203-'FY16 Feb Forecast'!S203</f>
        <v>-119.47849462365593</v>
      </c>
      <c r="T203" s="108">
        <f>+'FY16 Tax Bill'!T203-'FY16 Feb Forecast'!T203</f>
        <v>133.88709677419354</v>
      </c>
    </row>
    <row r="204" spans="1:20" x14ac:dyDescent="0.2">
      <c r="A204" s="109">
        <v>656</v>
      </c>
      <c r="B204" s="110">
        <v>1</v>
      </c>
      <c r="C204" s="103" t="s">
        <v>126</v>
      </c>
      <c r="D204" s="103">
        <v>4</v>
      </c>
      <c r="E204" s="104">
        <f>+SUMIF('GE16FEB14 Unfudged'!$A$2:$A$498, $A204, 'GE16FEB14 Unfudged'!$D$2:$D$498)</f>
        <v>4097</v>
      </c>
      <c r="F204" s="104">
        <f>+'FY16 Tax Bill'!F204-'FY16 Feb Forecast'!F204</f>
        <v>13891</v>
      </c>
      <c r="G204" s="105">
        <f>+'FY16 Tax Bill'!G204-'FY16 Feb Forecast'!G204</f>
        <v>9985</v>
      </c>
      <c r="H204" s="106">
        <f>+'FY16 Tax Bill'!H204-'FY16 Feb Forecast'!H204</f>
        <v>3906</v>
      </c>
      <c r="I204" s="107">
        <f>+'FY16 Tax Bill'!I204-'FY16 Feb Forecast'!I204</f>
        <v>868607</v>
      </c>
      <c r="J204" s="105">
        <f>+'FY16 Tax Bill'!J204-'FY16 Feb Forecast'!J204</f>
        <v>624370</v>
      </c>
      <c r="K204" s="106">
        <f>+'FY16 Tax Bill'!K204-'FY16 Feb Forecast'!K204</f>
        <v>244237</v>
      </c>
      <c r="L204" s="107">
        <f>+'FY16 Tax Bill'!L204-'FY16 Feb Forecast'!L204</f>
        <v>-868606</v>
      </c>
      <c r="M204" s="105">
        <f>+'FY16 Tax Bill'!M204-'FY16 Feb Forecast'!M204</f>
        <v>-834159</v>
      </c>
      <c r="N204" s="106">
        <f>+'FY16 Tax Bill'!N204-'FY16 Feb Forecast'!N204</f>
        <v>-34447</v>
      </c>
      <c r="O204" s="107">
        <f>+'FY16 Tax Bill'!O204-'FY16 Feb Forecast'!O204</f>
        <v>13892</v>
      </c>
      <c r="P204" s="105">
        <f>+'FY16 Tax Bill'!P204-'FY16 Feb Forecast'!P204</f>
        <v>-199804</v>
      </c>
      <c r="Q204" s="106">
        <f>+'FY16 Tax Bill'!Q204-'FY16 Feb Forecast'!Q204</f>
        <v>213696</v>
      </c>
      <c r="R204" s="105">
        <f>+'FY16 Tax Bill'!R204-'FY16 Feb Forecast'!R204</f>
        <v>3.3907737368806465</v>
      </c>
      <c r="S204" s="105">
        <f>+'FY16 Tax Bill'!S204-'FY16 Feb Forecast'!S204</f>
        <v>-48.768367097876421</v>
      </c>
      <c r="T204" s="108">
        <f>+'FY16 Tax Bill'!T204-'FY16 Feb Forecast'!T204</f>
        <v>52.159140834757125</v>
      </c>
    </row>
    <row r="205" spans="1:20" x14ac:dyDescent="0.2">
      <c r="A205" s="109">
        <v>659</v>
      </c>
      <c r="B205" s="110">
        <v>1</v>
      </c>
      <c r="C205" s="103" t="s">
        <v>323</v>
      </c>
      <c r="D205" s="103">
        <v>3</v>
      </c>
      <c r="E205" s="104">
        <f>+SUMIF('GE16FEB14 Unfudged'!$A$2:$A$498, $A205, 'GE16FEB14 Unfudged'!$D$2:$D$498)</f>
        <v>4029</v>
      </c>
      <c r="F205" s="104">
        <f>+'FY16 Tax Bill'!F205-'FY16 Feb Forecast'!F205</f>
        <v>-65300</v>
      </c>
      <c r="G205" s="105">
        <f>+'FY16 Tax Bill'!G205-'FY16 Feb Forecast'!G205</f>
        <v>-57272</v>
      </c>
      <c r="H205" s="106">
        <f>+'FY16 Tax Bill'!H205-'FY16 Feb Forecast'!H205</f>
        <v>-8028</v>
      </c>
      <c r="I205" s="107">
        <f>+'FY16 Tax Bill'!I205-'FY16 Feb Forecast'!I205</f>
        <v>0</v>
      </c>
      <c r="J205" s="105">
        <f>+'FY16 Tax Bill'!J205-'FY16 Feb Forecast'!J205</f>
        <v>0</v>
      </c>
      <c r="K205" s="106">
        <f>+'FY16 Tax Bill'!K205-'FY16 Feb Forecast'!K205</f>
        <v>0</v>
      </c>
      <c r="L205" s="107">
        <f>+'FY16 Tax Bill'!L205-'FY16 Feb Forecast'!L205</f>
        <v>0</v>
      </c>
      <c r="M205" s="105">
        <f>+'FY16 Tax Bill'!M205-'FY16 Feb Forecast'!M205</f>
        <v>0</v>
      </c>
      <c r="N205" s="106">
        <f>+'FY16 Tax Bill'!N205-'FY16 Feb Forecast'!N205</f>
        <v>0</v>
      </c>
      <c r="O205" s="107">
        <f>+'FY16 Tax Bill'!O205-'FY16 Feb Forecast'!O205</f>
        <v>-65300</v>
      </c>
      <c r="P205" s="105">
        <f>+'FY16 Tax Bill'!P205-'FY16 Feb Forecast'!P205</f>
        <v>-57272</v>
      </c>
      <c r="Q205" s="106">
        <f>+'FY16 Tax Bill'!Q205-'FY16 Feb Forecast'!Q205</f>
        <v>-8028</v>
      </c>
      <c r="R205" s="105">
        <f>+'FY16 Tax Bill'!R205-'FY16 Feb Forecast'!R205</f>
        <v>-16.207495656490437</v>
      </c>
      <c r="S205" s="105">
        <f>+'FY16 Tax Bill'!S205-'FY16 Feb Forecast'!S205</f>
        <v>-14.214941672871646</v>
      </c>
      <c r="T205" s="108">
        <f>+'FY16 Tax Bill'!T205-'FY16 Feb Forecast'!T205</f>
        <v>-1.992553983618734</v>
      </c>
    </row>
    <row r="206" spans="1:20" x14ac:dyDescent="0.2">
      <c r="A206" s="109">
        <v>671</v>
      </c>
      <c r="B206" s="110">
        <v>1</v>
      </c>
      <c r="C206" s="103" t="s">
        <v>324</v>
      </c>
      <c r="D206" s="103">
        <v>6</v>
      </c>
      <c r="E206" s="104">
        <f>+SUMIF('GE16FEB14 Unfudged'!$A$2:$A$498, $A206, 'GE16FEB14 Unfudged'!$D$2:$D$498)</f>
        <v>369</v>
      </c>
      <c r="F206" s="104">
        <f>+'FY16 Tax Bill'!F206-'FY16 Feb Forecast'!F206</f>
        <v>2313</v>
      </c>
      <c r="G206" s="105">
        <f>+'FY16 Tax Bill'!G206-'FY16 Feb Forecast'!G206</f>
        <v>1081</v>
      </c>
      <c r="H206" s="106">
        <f>+'FY16 Tax Bill'!H206-'FY16 Feb Forecast'!H206</f>
        <v>1232</v>
      </c>
      <c r="I206" s="107">
        <f>+'FY16 Tax Bill'!I206-'FY16 Feb Forecast'!I206</f>
        <v>156286</v>
      </c>
      <c r="J206" s="105">
        <f>+'FY16 Tax Bill'!J206-'FY16 Feb Forecast'!J206</f>
        <v>73033</v>
      </c>
      <c r="K206" s="106">
        <f>+'FY16 Tax Bill'!K206-'FY16 Feb Forecast'!K206</f>
        <v>83253</v>
      </c>
      <c r="L206" s="107">
        <f>+'FY16 Tax Bill'!L206-'FY16 Feb Forecast'!L206</f>
        <v>-156286</v>
      </c>
      <c r="M206" s="105">
        <f>+'FY16 Tax Bill'!M206-'FY16 Feb Forecast'!M206</f>
        <v>-128437</v>
      </c>
      <c r="N206" s="106">
        <f>+'FY16 Tax Bill'!N206-'FY16 Feb Forecast'!N206</f>
        <v>-27849</v>
      </c>
      <c r="O206" s="107">
        <f>+'FY16 Tax Bill'!O206-'FY16 Feb Forecast'!O206</f>
        <v>2313</v>
      </c>
      <c r="P206" s="105">
        <f>+'FY16 Tax Bill'!P206-'FY16 Feb Forecast'!P206</f>
        <v>-54323</v>
      </c>
      <c r="Q206" s="106">
        <f>+'FY16 Tax Bill'!Q206-'FY16 Feb Forecast'!Q206</f>
        <v>56636</v>
      </c>
      <c r="R206" s="105">
        <f>+'FY16 Tax Bill'!R206-'FY16 Feb Forecast'!R206</f>
        <v>6.2682926829268126</v>
      </c>
      <c r="S206" s="105">
        <f>+'FY16 Tax Bill'!S206-'FY16 Feb Forecast'!S206</f>
        <v>-147.21680216802179</v>
      </c>
      <c r="T206" s="108">
        <f>+'FY16 Tax Bill'!T206-'FY16 Feb Forecast'!T206</f>
        <v>153.48509485094849</v>
      </c>
    </row>
    <row r="207" spans="1:20" x14ac:dyDescent="0.2">
      <c r="A207" s="109">
        <v>676</v>
      </c>
      <c r="B207" s="110">
        <v>1</v>
      </c>
      <c r="C207" s="103" t="s">
        <v>325</v>
      </c>
      <c r="D207" s="103">
        <v>6</v>
      </c>
      <c r="E207" s="104">
        <f>+SUMIF('GE16FEB14 Unfudged'!$A$2:$A$498, $A207, 'GE16FEB14 Unfudged'!$D$2:$D$498)</f>
        <v>218</v>
      </c>
      <c r="F207" s="104">
        <f>+'FY16 Tax Bill'!F207-'FY16 Feb Forecast'!F207</f>
        <v>0</v>
      </c>
      <c r="G207" s="105">
        <f>+'FY16 Tax Bill'!G207-'FY16 Feb Forecast'!G207</f>
        <v>0</v>
      </c>
      <c r="H207" s="106">
        <f>+'FY16 Tax Bill'!H207-'FY16 Feb Forecast'!H207</f>
        <v>0</v>
      </c>
      <c r="I207" s="107">
        <f>+'FY16 Tax Bill'!I207-'FY16 Feb Forecast'!I207</f>
        <v>92241</v>
      </c>
      <c r="J207" s="105">
        <f>+'FY16 Tax Bill'!J207-'FY16 Feb Forecast'!J207</f>
        <v>29247</v>
      </c>
      <c r="K207" s="106">
        <f>+'FY16 Tax Bill'!K207-'FY16 Feb Forecast'!K207</f>
        <v>62994</v>
      </c>
      <c r="L207" s="107">
        <f>+'FY16 Tax Bill'!L207-'FY16 Feb Forecast'!L207</f>
        <v>-92241</v>
      </c>
      <c r="M207" s="105">
        <f>+'FY16 Tax Bill'!M207-'FY16 Feb Forecast'!M207</f>
        <v>-51435</v>
      </c>
      <c r="N207" s="106">
        <f>+'FY16 Tax Bill'!N207-'FY16 Feb Forecast'!N207</f>
        <v>-40806</v>
      </c>
      <c r="O207" s="107">
        <f>+'FY16 Tax Bill'!O207-'FY16 Feb Forecast'!O207</f>
        <v>0</v>
      </c>
      <c r="P207" s="105">
        <f>+'FY16 Tax Bill'!P207-'FY16 Feb Forecast'!P207</f>
        <v>-22188</v>
      </c>
      <c r="Q207" s="106">
        <f>+'FY16 Tax Bill'!Q207-'FY16 Feb Forecast'!Q207</f>
        <v>22188</v>
      </c>
      <c r="R207" s="105">
        <f>+'FY16 Tax Bill'!R207-'FY16 Feb Forecast'!R207</f>
        <v>0</v>
      </c>
      <c r="S207" s="105">
        <f>+'FY16 Tax Bill'!S207-'FY16 Feb Forecast'!S207</f>
        <v>-101.77981651376149</v>
      </c>
      <c r="T207" s="108">
        <f>+'FY16 Tax Bill'!T207-'FY16 Feb Forecast'!T207</f>
        <v>101.77981651376149</v>
      </c>
    </row>
    <row r="208" spans="1:20" x14ac:dyDescent="0.2">
      <c r="A208" s="109">
        <v>682</v>
      </c>
      <c r="B208" s="110">
        <v>1</v>
      </c>
      <c r="C208" s="103" t="s">
        <v>326</v>
      </c>
      <c r="D208" s="103">
        <v>5</v>
      </c>
      <c r="E208" s="104">
        <f>+SUMIF('GE16FEB14 Unfudged'!$A$2:$A$498, $A208, 'GE16FEB14 Unfudged'!$D$2:$D$498)</f>
        <v>1324</v>
      </c>
      <c r="F208" s="104">
        <f>+'FY16 Tax Bill'!F208-'FY16 Feb Forecast'!F208</f>
        <v>25491</v>
      </c>
      <c r="G208" s="105">
        <f>+'FY16 Tax Bill'!G208-'FY16 Feb Forecast'!G208</f>
        <v>11074</v>
      </c>
      <c r="H208" s="106">
        <f>+'FY16 Tax Bill'!H208-'FY16 Feb Forecast'!H208</f>
        <v>14417</v>
      </c>
      <c r="I208" s="107">
        <f>+'FY16 Tax Bill'!I208-'FY16 Feb Forecast'!I208</f>
        <v>561461</v>
      </c>
      <c r="J208" s="105">
        <f>+'FY16 Tax Bill'!J208-'FY16 Feb Forecast'!J208</f>
        <v>243915</v>
      </c>
      <c r="K208" s="106">
        <f>+'FY16 Tax Bill'!K208-'FY16 Feb Forecast'!K208</f>
        <v>317546</v>
      </c>
      <c r="L208" s="107">
        <f>+'FY16 Tax Bill'!L208-'FY16 Feb Forecast'!L208</f>
        <v>-561461</v>
      </c>
      <c r="M208" s="105">
        <f>+'FY16 Tax Bill'!M208-'FY16 Feb Forecast'!M208</f>
        <v>-243915</v>
      </c>
      <c r="N208" s="106">
        <f>+'FY16 Tax Bill'!N208-'FY16 Feb Forecast'!N208</f>
        <v>-317546</v>
      </c>
      <c r="O208" s="107">
        <f>+'FY16 Tax Bill'!O208-'FY16 Feb Forecast'!O208</f>
        <v>25491</v>
      </c>
      <c r="P208" s="105">
        <f>+'FY16 Tax Bill'!P208-'FY16 Feb Forecast'!P208</f>
        <v>11074</v>
      </c>
      <c r="Q208" s="106">
        <f>+'FY16 Tax Bill'!Q208-'FY16 Feb Forecast'!Q208</f>
        <v>14417</v>
      </c>
      <c r="R208" s="105">
        <f>+'FY16 Tax Bill'!R208-'FY16 Feb Forecast'!R208</f>
        <v>19.253021148036169</v>
      </c>
      <c r="S208" s="105">
        <f>+'FY16 Tax Bill'!S208-'FY16 Feb Forecast'!S208</f>
        <v>8.3640483383686046</v>
      </c>
      <c r="T208" s="108">
        <f>+'FY16 Tax Bill'!T208-'FY16 Feb Forecast'!T208</f>
        <v>10.888972809667621</v>
      </c>
    </row>
    <row r="209" spans="1:20" x14ac:dyDescent="0.2">
      <c r="A209" s="109">
        <v>690</v>
      </c>
      <c r="B209" s="110">
        <v>1</v>
      </c>
      <c r="C209" s="103" t="s">
        <v>327</v>
      </c>
      <c r="D209" s="103">
        <v>5</v>
      </c>
      <c r="E209" s="104">
        <f>+SUMIF('GE16FEB14 Unfudged'!$A$2:$A$498, $A209, 'GE16FEB14 Unfudged'!$D$2:$D$498)</f>
        <v>1134</v>
      </c>
      <c r="F209" s="104">
        <f>+'FY16 Tax Bill'!F209-'FY16 Feb Forecast'!F209</f>
        <v>19515</v>
      </c>
      <c r="G209" s="105">
        <f>+'FY16 Tax Bill'!G209-'FY16 Feb Forecast'!G209</f>
        <v>9218</v>
      </c>
      <c r="H209" s="106">
        <f>+'FY16 Tax Bill'!H209-'FY16 Feb Forecast'!H209</f>
        <v>10297</v>
      </c>
      <c r="I209" s="107">
        <f>+'FY16 Tax Bill'!I209-'FY16 Feb Forecast'!I209</f>
        <v>480901</v>
      </c>
      <c r="J209" s="105">
        <f>+'FY16 Tax Bill'!J209-'FY16 Feb Forecast'!J209</f>
        <v>227156</v>
      </c>
      <c r="K209" s="106">
        <f>+'FY16 Tax Bill'!K209-'FY16 Feb Forecast'!K209</f>
        <v>253745</v>
      </c>
      <c r="L209" s="107">
        <f>+'FY16 Tax Bill'!L209-'FY16 Feb Forecast'!L209</f>
        <v>-425665</v>
      </c>
      <c r="M209" s="105">
        <f>+'FY16 Tax Bill'!M209-'FY16 Feb Forecast'!M209</f>
        <v>-201065</v>
      </c>
      <c r="N209" s="106">
        <f>+'FY16 Tax Bill'!N209-'FY16 Feb Forecast'!N209</f>
        <v>-224600</v>
      </c>
      <c r="O209" s="107">
        <f>+'FY16 Tax Bill'!O209-'FY16 Feb Forecast'!O209</f>
        <v>74751</v>
      </c>
      <c r="P209" s="105">
        <f>+'FY16 Tax Bill'!P209-'FY16 Feb Forecast'!P209</f>
        <v>35309</v>
      </c>
      <c r="Q209" s="106">
        <f>+'FY16 Tax Bill'!Q209-'FY16 Feb Forecast'!Q209</f>
        <v>39442</v>
      </c>
      <c r="R209" s="105">
        <f>+'FY16 Tax Bill'!R209-'FY16 Feb Forecast'!R209</f>
        <v>65.917989417989475</v>
      </c>
      <c r="S209" s="105">
        <f>+'FY16 Tax Bill'!S209-'FY16 Feb Forecast'!S209</f>
        <v>31.136684303350989</v>
      </c>
      <c r="T209" s="108">
        <f>+'FY16 Tax Bill'!T209-'FY16 Feb Forecast'!T209</f>
        <v>34.781305114638485</v>
      </c>
    </row>
    <row r="210" spans="1:20" x14ac:dyDescent="0.2">
      <c r="A210" s="109">
        <v>695</v>
      </c>
      <c r="B210" s="110">
        <v>1</v>
      </c>
      <c r="C210" s="103" t="s">
        <v>328</v>
      </c>
      <c r="D210" s="103">
        <v>6</v>
      </c>
      <c r="E210" s="104">
        <f>+SUMIF('GE16FEB14 Unfudged'!$A$2:$A$498, $A210, 'GE16FEB14 Unfudged'!$D$2:$D$498)</f>
        <v>809</v>
      </c>
      <c r="F210" s="104">
        <f>+'FY16 Tax Bill'!F210-'FY16 Feb Forecast'!F210</f>
        <v>12704</v>
      </c>
      <c r="G210" s="105">
        <f>+'FY16 Tax Bill'!G210-'FY16 Feb Forecast'!G210</f>
        <v>5076</v>
      </c>
      <c r="H210" s="106">
        <f>+'FY16 Tax Bill'!H210-'FY16 Feb Forecast'!H210</f>
        <v>7628</v>
      </c>
      <c r="I210" s="107">
        <f>+'FY16 Tax Bill'!I210-'FY16 Feb Forecast'!I210</f>
        <v>342846</v>
      </c>
      <c r="J210" s="105">
        <f>+'FY16 Tax Bill'!J210-'FY16 Feb Forecast'!J210</f>
        <v>136975</v>
      </c>
      <c r="K210" s="106">
        <f>+'FY16 Tax Bill'!K210-'FY16 Feb Forecast'!K210</f>
        <v>205871</v>
      </c>
      <c r="L210" s="107">
        <f>+'FY16 Tax Bill'!L210-'FY16 Feb Forecast'!L210</f>
        <v>-342846</v>
      </c>
      <c r="M210" s="105">
        <f>+'FY16 Tax Bill'!M210-'FY16 Feb Forecast'!M210</f>
        <v>-190220</v>
      </c>
      <c r="N210" s="106">
        <f>+'FY16 Tax Bill'!N210-'FY16 Feb Forecast'!N210</f>
        <v>-152626</v>
      </c>
      <c r="O210" s="107">
        <f>+'FY16 Tax Bill'!O210-'FY16 Feb Forecast'!O210</f>
        <v>12704</v>
      </c>
      <c r="P210" s="105">
        <f>+'FY16 Tax Bill'!P210-'FY16 Feb Forecast'!P210</f>
        <v>-48169</v>
      </c>
      <c r="Q210" s="106">
        <f>+'FY16 Tax Bill'!Q210-'FY16 Feb Forecast'!Q210</f>
        <v>60873</v>
      </c>
      <c r="R210" s="105">
        <f>+'FY16 Tax Bill'!R210-'FY16 Feb Forecast'!R210</f>
        <v>15.703337453646554</v>
      </c>
      <c r="S210" s="105">
        <f>+'FY16 Tax Bill'!S210-'FY16 Feb Forecast'!S210</f>
        <v>-59.54140914709518</v>
      </c>
      <c r="T210" s="108">
        <f>+'FY16 Tax Bill'!T210-'FY16 Feb Forecast'!T210</f>
        <v>75.244746600741564</v>
      </c>
    </row>
    <row r="211" spans="1:20" x14ac:dyDescent="0.2">
      <c r="A211" s="109">
        <v>696</v>
      </c>
      <c r="B211" s="110">
        <v>1</v>
      </c>
      <c r="C211" s="103" t="s">
        <v>329</v>
      </c>
      <c r="D211" s="103">
        <v>6</v>
      </c>
      <c r="E211" s="104">
        <f>+SUMIF('GE16FEB14 Unfudged'!$A$2:$A$498, $A211, 'GE16FEB14 Unfudged'!$D$2:$D$498)</f>
        <v>572</v>
      </c>
      <c r="F211" s="104">
        <f>+'FY16 Tax Bill'!F211-'FY16 Feb Forecast'!F211</f>
        <v>8902</v>
      </c>
      <c r="G211" s="105">
        <f>+'FY16 Tax Bill'!G211-'FY16 Feb Forecast'!G211</f>
        <v>8902</v>
      </c>
      <c r="H211" s="106">
        <f>+'FY16 Tax Bill'!H211-'FY16 Feb Forecast'!H211</f>
        <v>0</v>
      </c>
      <c r="I211" s="107">
        <f>+'FY16 Tax Bill'!I211-'FY16 Feb Forecast'!I211</f>
        <v>242316</v>
      </c>
      <c r="J211" s="105">
        <f>+'FY16 Tax Bill'!J211-'FY16 Feb Forecast'!J211</f>
        <v>242316</v>
      </c>
      <c r="K211" s="106">
        <f>+'FY16 Tax Bill'!K211-'FY16 Feb Forecast'!K211</f>
        <v>0</v>
      </c>
      <c r="L211" s="107">
        <f>+'FY16 Tax Bill'!L211-'FY16 Feb Forecast'!L211</f>
        <v>-242316</v>
      </c>
      <c r="M211" s="105">
        <f>+'FY16 Tax Bill'!M211-'FY16 Feb Forecast'!M211</f>
        <v>-242316</v>
      </c>
      <c r="N211" s="106">
        <f>+'FY16 Tax Bill'!N211-'FY16 Feb Forecast'!N211</f>
        <v>0</v>
      </c>
      <c r="O211" s="107">
        <f>+'FY16 Tax Bill'!O211-'FY16 Feb Forecast'!O211</f>
        <v>8902</v>
      </c>
      <c r="P211" s="105">
        <f>+'FY16 Tax Bill'!P211-'FY16 Feb Forecast'!P211</f>
        <v>8902</v>
      </c>
      <c r="Q211" s="106">
        <f>+'FY16 Tax Bill'!Q211-'FY16 Feb Forecast'!Q211</f>
        <v>0</v>
      </c>
      <c r="R211" s="105">
        <f>+'FY16 Tax Bill'!R211-'FY16 Feb Forecast'!R211</f>
        <v>15.562937062937181</v>
      </c>
      <c r="S211" s="105">
        <f>+'FY16 Tax Bill'!S211-'FY16 Feb Forecast'!S211</f>
        <v>15.562937062937181</v>
      </c>
      <c r="T211" s="108">
        <f>+'FY16 Tax Bill'!T211-'FY16 Feb Forecast'!T211</f>
        <v>0</v>
      </c>
    </row>
    <row r="212" spans="1:20" x14ac:dyDescent="0.2">
      <c r="A212" s="109">
        <v>698</v>
      </c>
      <c r="B212" s="110">
        <v>1</v>
      </c>
      <c r="C212" s="103" t="s">
        <v>330</v>
      </c>
      <c r="D212" s="103">
        <v>6</v>
      </c>
      <c r="E212" s="104">
        <f>+SUMIF('GE16FEB14 Unfudged'!$A$2:$A$498, $A212, 'GE16FEB14 Unfudged'!$D$2:$D$498)</f>
        <v>267</v>
      </c>
      <c r="F212" s="104">
        <f>+'FY16 Tax Bill'!F212-'FY16 Feb Forecast'!F212</f>
        <v>0</v>
      </c>
      <c r="G212" s="105">
        <f>+'FY16 Tax Bill'!G212-'FY16 Feb Forecast'!G212</f>
        <v>0</v>
      </c>
      <c r="H212" s="106">
        <f>+'FY16 Tax Bill'!H212-'FY16 Feb Forecast'!H212</f>
        <v>0</v>
      </c>
      <c r="I212" s="107">
        <f>+'FY16 Tax Bill'!I212-'FY16 Feb Forecast'!I212</f>
        <v>113378</v>
      </c>
      <c r="J212" s="105">
        <f>+'FY16 Tax Bill'!J212-'FY16 Feb Forecast'!J212</f>
        <v>113378</v>
      </c>
      <c r="K212" s="106">
        <f>+'FY16 Tax Bill'!K212-'FY16 Feb Forecast'!K212</f>
        <v>0</v>
      </c>
      <c r="L212" s="107">
        <f>+'FY16 Tax Bill'!L212-'FY16 Feb Forecast'!L212</f>
        <v>0</v>
      </c>
      <c r="M212" s="105">
        <f>+'FY16 Tax Bill'!M212-'FY16 Feb Forecast'!M212</f>
        <v>0</v>
      </c>
      <c r="N212" s="106">
        <f>+'FY16 Tax Bill'!N212-'FY16 Feb Forecast'!N212</f>
        <v>0</v>
      </c>
      <c r="O212" s="107">
        <f>+'FY16 Tax Bill'!O212-'FY16 Feb Forecast'!O212</f>
        <v>113378</v>
      </c>
      <c r="P212" s="105">
        <f>+'FY16 Tax Bill'!P212-'FY16 Feb Forecast'!P212</f>
        <v>113378</v>
      </c>
      <c r="Q212" s="106">
        <f>+'FY16 Tax Bill'!Q212-'FY16 Feb Forecast'!Q212</f>
        <v>0</v>
      </c>
      <c r="R212" s="105">
        <f>+'FY16 Tax Bill'!R212-'FY16 Feb Forecast'!R212</f>
        <v>424.63670411985021</v>
      </c>
      <c r="S212" s="105">
        <f>+'FY16 Tax Bill'!S212-'FY16 Feb Forecast'!S212</f>
        <v>424.63670411985015</v>
      </c>
      <c r="T212" s="108">
        <f>+'FY16 Tax Bill'!T212-'FY16 Feb Forecast'!T212</f>
        <v>0</v>
      </c>
    </row>
    <row r="213" spans="1:20" x14ac:dyDescent="0.2">
      <c r="A213" s="109">
        <v>700</v>
      </c>
      <c r="B213" s="110">
        <v>1</v>
      </c>
      <c r="C213" s="103" t="s">
        <v>331</v>
      </c>
      <c r="D213" s="103">
        <v>4</v>
      </c>
      <c r="E213" s="104">
        <f>+SUMIF('GE16FEB14 Unfudged'!$A$2:$A$498, $A213, 'GE16FEB14 Unfudged'!$D$2:$D$498)</f>
        <v>2155</v>
      </c>
      <c r="F213" s="104">
        <f>+'FY16 Tax Bill'!F213-'FY16 Feb Forecast'!F213</f>
        <v>0</v>
      </c>
      <c r="G213" s="105">
        <f>+'FY16 Tax Bill'!G213-'FY16 Feb Forecast'!G213</f>
        <v>0</v>
      </c>
      <c r="H213" s="106">
        <f>+'FY16 Tax Bill'!H213-'FY16 Feb Forecast'!H213</f>
        <v>0</v>
      </c>
      <c r="I213" s="107">
        <f>+'FY16 Tax Bill'!I213-'FY16 Feb Forecast'!I213</f>
        <v>456797</v>
      </c>
      <c r="J213" s="105">
        <f>+'FY16 Tax Bill'!J213-'FY16 Feb Forecast'!J213</f>
        <v>456797</v>
      </c>
      <c r="K213" s="106">
        <f>+'FY16 Tax Bill'!K213-'FY16 Feb Forecast'!K213</f>
        <v>0</v>
      </c>
      <c r="L213" s="107">
        <f>+'FY16 Tax Bill'!L213-'FY16 Feb Forecast'!L213</f>
        <v>0</v>
      </c>
      <c r="M213" s="105">
        <f>+'FY16 Tax Bill'!M213-'FY16 Feb Forecast'!M213</f>
        <v>0</v>
      </c>
      <c r="N213" s="106">
        <f>+'FY16 Tax Bill'!N213-'FY16 Feb Forecast'!N213</f>
        <v>0</v>
      </c>
      <c r="O213" s="107">
        <f>+'FY16 Tax Bill'!O213-'FY16 Feb Forecast'!O213</f>
        <v>456797</v>
      </c>
      <c r="P213" s="105">
        <f>+'FY16 Tax Bill'!P213-'FY16 Feb Forecast'!P213</f>
        <v>456797</v>
      </c>
      <c r="Q213" s="106">
        <f>+'FY16 Tax Bill'!Q213-'FY16 Feb Forecast'!Q213</f>
        <v>0</v>
      </c>
      <c r="R213" s="105">
        <f>+'FY16 Tax Bill'!R213-'FY16 Feb Forecast'!R213</f>
        <v>211.97076566125293</v>
      </c>
      <c r="S213" s="105">
        <f>+'FY16 Tax Bill'!S213-'FY16 Feb Forecast'!S213</f>
        <v>211.97076566125293</v>
      </c>
      <c r="T213" s="108">
        <f>+'FY16 Tax Bill'!T213-'FY16 Feb Forecast'!T213</f>
        <v>0</v>
      </c>
    </row>
    <row r="214" spans="1:20" x14ac:dyDescent="0.2">
      <c r="A214" s="109">
        <v>701</v>
      </c>
      <c r="B214" s="110">
        <v>1</v>
      </c>
      <c r="C214" s="103" t="s">
        <v>332</v>
      </c>
      <c r="D214" s="103">
        <v>4</v>
      </c>
      <c r="E214" s="104">
        <f>+SUMIF('GE16FEB14 Unfudged'!$A$2:$A$498, $A214, 'GE16FEB14 Unfudged'!$D$2:$D$498)</f>
        <v>2514</v>
      </c>
      <c r="F214" s="104">
        <f>+'FY16 Tax Bill'!F214-'FY16 Feb Forecast'!F214</f>
        <v>23038</v>
      </c>
      <c r="G214" s="105">
        <f>+'FY16 Tax Bill'!G214-'FY16 Feb Forecast'!G214</f>
        <v>15494</v>
      </c>
      <c r="H214" s="106">
        <f>+'FY16 Tax Bill'!H214-'FY16 Feb Forecast'!H214</f>
        <v>7544</v>
      </c>
      <c r="I214" s="107">
        <f>+'FY16 Tax Bill'!I214-'FY16 Feb Forecast'!I214</f>
        <v>533053</v>
      </c>
      <c r="J214" s="105">
        <f>+'FY16 Tax Bill'!J214-'FY16 Feb Forecast'!J214</f>
        <v>358490</v>
      </c>
      <c r="K214" s="106">
        <f>+'FY16 Tax Bill'!K214-'FY16 Feb Forecast'!K214</f>
        <v>174563</v>
      </c>
      <c r="L214" s="107">
        <f>+'FY16 Tax Bill'!L214-'FY16 Feb Forecast'!L214</f>
        <v>-502503</v>
      </c>
      <c r="M214" s="105">
        <f>+'FY16 Tax Bill'!M214-'FY16 Feb Forecast'!M214</f>
        <v>-337944</v>
      </c>
      <c r="N214" s="106">
        <f>+'FY16 Tax Bill'!N214-'FY16 Feb Forecast'!N214</f>
        <v>-164559</v>
      </c>
      <c r="O214" s="107">
        <f>+'FY16 Tax Bill'!O214-'FY16 Feb Forecast'!O214</f>
        <v>53588</v>
      </c>
      <c r="P214" s="105">
        <f>+'FY16 Tax Bill'!P214-'FY16 Feb Forecast'!P214</f>
        <v>36040</v>
      </c>
      <c r="Q214" s="106">
        <f>+'FY16 Tax Bill'!Q214-'FY16 Feb Forecast'!Q214</f>
        <v>17548</v>
      </c>
      <c r="R214" s="105">
        <f>+'FY16 Tax Bill'!R214-'FY16 Feb Forecast'!R214</f>
        <v>21.315831344470894</v>
      </c>
      <c r="S214" s="105">
        <f>+'FY16 Tax Bill'!S214-'FY16 Feb Forecast'!S214</f>
        <v>14.335719968178182</v>
      </c>
      <c r="T214" s="108">
        <f>+'FY16 Tax Bill'!T214-'FY16 Feb Forecast'!T214</f>
        <v>6.9801113762927116</v>
      </c>
    </row>
    <row r="215" spans="1:20" x14ac:dyDescent="0.2">
      <c r="A215" s="109">
        <v>704</v>
      </c>
      <c r="B215" s="110">
        <v>1</v>
      </c>
      <c r="C215" s="103" t="s">
        <v>333</v>
      </c>
      <c r="D215" s="103">
        <v>5</v>
      </c>
      <c r="E215" s="104">
        <f>+SUMIF('GE16FEB14 Unfudged'!$A$2:$A$498, $A215, 'GE16FEB14 Unfudged'!$D$2:$D$498)</f>
        <v>1956</v>
      </c>
      <c r="F215" s="104">
        <f>+'FY16 Tax Bill'!F215-'FY16 Feb Forecast'!F215</f>
        <v>0</v>
      </c>
      <c r="G215" s="105">
        <f>+'FY16 Tax Bill'!G215-'FY16 Feb Forecast'!G215</f>
        <v>0</v>
      </c>
      <c r="H215" s="106">
        <f>+'FY16 Tax Bill'!H215-'FY16 Feb Forecast'!H215</f>
        <v>0</v>
      </c>
      <c r="I215" s="107">
        <f>+'FY16 Tax Bill'!I215-'FY16 Feb Forecast'!I215</f>
        <v>829344</v>
      </c>
      <c r="J215" s="105">
        <f>+'FY16 Tax Bill'!J215-'FY16 Feb Forecast'!J215</f>
        <v>776059</v>
      </c>
      <c r="K215" s="106">
        <f>+'FY16 Tax Bill'!K215-'FY16 Feb Forecast'!K215</f>
        <v>53285</v>
      </c>
      <c r="L215" s="107">
        <f>+'FY16 Tax Bill'!L215-'FY16 Feb Forecast'!L215</f>
        <v>0</v>
      </c>
      <c r="M215" s="105">
        <f>+'FY16 Tax Bill'!M215-'FY16 Feb Forecast'!M215</f>
        <v>0</v>
      </c>
      <c r="N215" s="106">
        <f>+'FY16 Tax Bill'!N215-'FY16 Feb Forecast'!N215</f>
        <v>0</v>
      </c>
      <c r="O215" s="107">
        <f>+'FY16 Tax Bill'!O215-'FY16 Feb Forecast'!O215</f>
        <v>829344</v>
      </c>
      <c r="P215" s="105">
        <f>+'FY16 Tax Bill'!P215-'FY16 Feb Forecast'!P215</f>
        <v>776059</v>
      </c>
      <c r="Q215" s="106">
        <f>+'FY16 Tax Bill'!Q215-'FY16 Feb Forecast'!Q215</f>
        <v>53285</v>
      </c>
      <c r="R215" s="105">
        <f>+'FY16 Tax Bill'!R215-'FY16 Feb Forecast'!R215</f>
        <v>424</v>
      </c>
      <c r="S215" s="105">
        <f>+'FY16 Tax Bill'!S215-'FY16 Feb Forecast'!S215</f>
        <v>396.75817995910018</v>
      </c>
      <c r="T215" s="108">
        <f>+'FY16 Tax Bill'!T215-'FY16 Feb Forecast'!T215</f>
        <v>27.241820040899796</v>
      </c>
    </row>
    <row r="216" spans="1:20" x14ac:dyDescent="0.2">
      <c r="A216" s="109">
        <v>706</v>
      </c>
      <c r="B216" s="110">
        <v>1</v>
      </c>
      <c r="C216" s="103" t="s">
        <v>334</v>
      </c>
      <c r="D216" s="103">
        <v>5</v>
      </c>
      <c r="E216" s="104">
        <f>+SUMIF('GE16FEB14 Unfudged'!$A$2:$A$498, $A216, 'GE16FEB14 Unfudged'!$D$2:$D$498)</f>
        <v>1932</v>
      </c>
      <c r="F216" s="104">
        <f>+'FY16 Tax Bill'!F216-'FY16 Feb Forecast'!F216</f>
        <v>35856</v>
      </c>
      <c r="G216" s="105">
        <f>+'FY16 Tax Bill'!G216-'FY16 Feb Forecast'!G216</f>
        <v>24211</v>
      </c>
      <c r="H216" s="106">
        <f>+'FY16 Tax Bill'!H216-'FY16 Feb Forecast'!H216</f>
        <v>11645</v>
      </c>
      <c r="I216" s="107">
        <f>+'FY16 Tax Bill'!I216-'FY16 Feb Forecast'!I216</f>
        <v>819083</v>
      </c>
      <c r="J216" s="105">
        <f>+'FY16 Tax Bill'!J216-'FY16 Feb Forecast'!J216</f>
        <v>553060</v>
      </c>
      <c r="K216" s="106">
        <f>+'FY16 Tax Bill'!K216-'FY16 Feb Forecast'!K216</f>
        <v>266023</v>
      </c>
      <c r="L216" s="107">
        <f>+'FY16 Tax Bill'!L216-'FY16 Feb Forecast'!L216</f>
        <v>-782109</v>
      </c>
      <c r="M216" s="105">
        <f>+'FY16 Tax Bill'!M216-'FY16 Feb Forecast'!M216</f>
        <v>-528095</v>
      </c>
      <c r="N216" s="106">
        <f>+'FY16 Tax Bill'!N216-'FY16 Feb Forecast'!N216</f>
        <v>-254014</v>
      </c>
      <c r="O216" s="107">
        <f>+'FY16 Tax Bill'!O216-'FY16 Feb Forecast'!O216</f>
        <v>72830</v>
      </c>
      <c r="P216" s="105">
        <f>+'FY16 Tax Bill'!P216-'FY16 Feb Forecast'!P216</f>
        <v>49176</v>
      </c>
      <c r="Q216" s="106">
        <f>+'FY16 Tax Bill'!Q216-'FY16 Feb Forecast'!Q216</f>
        <v>23654</v>
      </c>
      <c r="R216" s="105">
        <f>+'FY16 Tax Bill'!R216-'FY16 Feb Forecast'!R216</f>
        <v>37.696687370600444</v>
      </c>
      <c r="S216" s="105">
        <f>+'FY16 Tax Bill'!S216-'FY16 Feb Forecast'!S216</f>
        <v>25.453416149068346</v>
      </c>
      <c r="T216" s="108">
        <f>+'FY16 Tax Bill'!T216-'FY16 Feb Forecast'!T216</f>
        <v>12.243271221532041</v>
      </c>
    </row>
    <row r="217" spans="1:20" x14ac:dyDescent="0.2">
      <c r="A217" s="109">
        <v>707</v>
      </c>
      <c r="B217" s="110">
        <v>1</v>
      </c>
      <c r="C217" s="103" t="s">
        <v>335</v>
      </c>
      <c r="D217" s="103">
        <v>6</v>
      </c>
      <c r="E217" s="104">
        <f>+SUMIF('GE16FEB14 Unfudged'!$A$2:$A$498, $A217, 'GE16FEB14 Unfudged'!$D$2:$D$498)</f>
        <v>135</v>
      </c>
      <c r="F217" s="104">
        <f>+'FY16 Tax Bill'!F217-'FY16 Feb Forecast'!F217</f>
        <v>1979</v>
      </c>
      <c r="G217" s="105">
        <f>+'FY16 Tax Bill'!G217-'FY16 Feb Forecast'!G217</f>
        <v>4</v>
      </c>
      <c r="H217" s="106">
        <f>+'FY16 Tax Bill'!H217-'FY16 Feb Forecast'!H217</f>
        <v>1975</v>
      </c>
      <c r="I217" s="107">
        <f>+'FY16 Tax Bill'!I217-'FY16 Feb Forecast'!I217</f>
        <v>57282</v>
      </c>
      <c r="J217" s="105">
        <f>+'FY16 Tax Bill'!J217-'FY16 Feb Forecast'!J217</f>
        <v>117</v>
      </c>
      <c r="K217" s="106">
        <f>+'FY16 Tax Bill'!K217-'FY16 Feb Forecast'!K217</f>
        <v>57165</v>
      </c>
      <c r="L217" s="107">
        <f>+'FY16 Tax Bill'!L217-'FY16 Feb Forecast'!L217</f>
        <v>-43171</v>
      </c>
      <c r="M217" s="105">
        <f>+'FY16 Tax Bill'!M217-'FY16 Feb Forecast'!M217</f>
        <v>-88</v>
      </c>
      <c r="N217" s="106">
        <f>+'FY16 Tax Bill'!N217-'FY16 Feb Forecast'!N217</f>
        <v>-43083</v>
      </c>
      <c r="O217" s="107">
        <f>+'FY16 Tax Bill'!O217-'FY16 Feb Forecast'!O217</f>
        <v>16090</v>
      </c>
      <c r="P217" s="105">
        <f>+'FY16 Tax Bill'!P217-'FY16 Feb Forecast'!P217</f>
        <v>33</v>
      </c>
      <c r="Q217" s="106">
        <f>+'FY16 Tax Bill'!Q217-'FY16 Feb Forecast'!Q217</f>
        <v>16057</v>
      </c>
      <c r="R217" s="105">
        <f>+'FY16 Tax Bill'!R217-'FY16 Feb Forecast'!R217</f>
        <v>119.18518518518522</v>
      </c>
      <c r="S217" s="105">
        <f>+'FY16 Tax Bill'!S217-'FY16 Feb Forecast'!S217</f>
        <v>0.24444444444444446</v>
      </c>
      <c r="T217" s="108">
        <f>+'FY16 Tax Bill'!T217-'FY16 Feb Forecast'!T217</f>
        <v>118.94074074074069</v>
      </c>
    </row>
    <row r="218" spans="1:20" x14ac:dyDescent="0.2">
      <c r="A218" s="109">
        <v>709</v>
      </c>
      <c r="B218" s="110">
        <v>1</v>
      </c>
      <c r="C218" s="103" t="s">
        <v>336</v>
      </c>
      <c r="D218" s="103">
        <v>4</v>
      </c>
      <c r="E218" s="104">
        <f>+SUMIF('GE16FEB14 Unfudged'!$A$2:$A$498, $A218, 'GE16FEB14 Unfudged'!$D$2:$D$498)</f>
        <v>9023</v>
      </c>
      <c r="F218" s="104">
        <f>+'FY16 Tax Bill'!F218-'FY16 Feb Forecast'!F218</f>
        <v>0</v>
      </c>
      <c r="G218" s="105">
        <f>+'FY16 Tax Bill'!G218-'FY16 Feb Forecast'!G218</f>
        <v>0</v>
      </c>
      <c r="H218" s="106">
        <f>+'FY16 Tax Bill'!H218-'FY16 Feb Forecast'!H218</f>
        <v>0</v>
      </c>
      <c r="I218" s="107">
        <f>+'FY16 Tax Bill'!I218-'FY16 Feb Forecast'!I218</f>
        <v>1912791</v>
      </c>
      <c r="J218" s="105">
        <f>+'FY16 Tax Bill'!J218-'FY16 Feb Forecast'!J218</f>
        <v>1912791</v>
      </c>
      <c r="K218" s="106">
        <f>+'FY16 Tax Bill'!K218-'FY16 Feb Forecast'!K218</f>
        <v>0</v>
      </c>
      <c r="L218" s="107">
        <f>+'FY16 Tax Bill'!L218-'FY16 Feb Forecast'!L218</f>
        <v>-1912791</v>
      </c>
      <c r="M218" s="105">
        <f>+'FY16 Tax Bill'!M218-'FY16 Feb Forecast'!M218</f>
        <v>-1912791</v>
      </c>
      <c r="N218" s="106">
        <f>+'FY16 Tax Bill'!N218-'FY16 Feb Forecast'!N218</f>
        <v>0</v>
      </c>
      <c r="O218" s="107">
        <f>+'FY16 Tax Bill'!O218-'FY16 Feb Forecast'!O218</f>
        <v>0</v>
      </c>
      <c r="P218" s="105">
        <f>+'FY16 Tax Bill'!P218-'FY16 Feb Forecast'!P218</f>
        <v>0</v>
      </c>
      <c r="Q218" s="106">
        <f>+'FY16 Tax Bill'!Q218-'FY16 Feb Forecast'!Q218</f>
        <v>0</v>
      </c>
      <c r="R218" s="105">
        <f>+'FY16 Tax Bill'!R218-'FY16 Feb Forecast'!R218</f>
        <v>0</v>
      </c>
      <c r="S218" s="105">
        <f>+'FY16 Tax Bill'!S218-'FY16 Feb Forecast'!S218</f>
        <v>0</v>
      </c>
      <c r="T218" s="108">
        <f>+'FY16 Tax Bill'!T218-'FY16 Feb Forecast'!T218</f>
        <v>0</v>
      </c>
    </row>
    <row r="219" spans="1:20" x14ac:dyDescent="0.2">
      <c r="A219" s="109">
        <v>712</v>
      </c>
      <c r="B219" s="110">
        <v>1</v>
      </c>
      <c r="C219" s="103" t="s">
        <v>337</v>
      </c>
      <c r="D219" s="103">
        <v>6</v>
      </c>
      <c r="E219" s="104">
        <f>+SUMIF('GE16FEB14 Unfudged'!$A$2:$A$498, $A219, 'GE16FEB14 Unfudged'!$D$2:$D$498)</f>
        <v>533</v>
      </c>
      <c r="F219" s="104">
        <f>+'FY16 Tax Bill'!F219-'FY16 Feb Forecast'!F219</f>
        <v>9901</v>
      </c>
      <c r="G219" s="105">
        <f>+'FY16 Tax Bill'!G219-'FY16 Feb Forecast'!G219</f>
        <v>7478</v>
      </c>
      <c r="H219" s="106">
        <f>+'FY16 Tax Bill'!H219-'FY16 Feb Forecast'!H219</f>
        <v>2423</v>
      </c>
      <c r="I219" s="107">
        <f>+'FY16 Tax Bill'!I219-'FY16 Feb Forecast'!I219</f>
        <v>226162</v>
      </c>
      <c r="J219" s="105">
        <f>+'FY16 Tax Bill'!J219-'FY16 Feb Forecast'!J219</f>
        <v>170810</v>
      </c>
      <c r="K219" s="106">
        <f>+'FY16 Tax Bill'!K219-'FY16 Feb Forecast'!K219</f>
        <v>55352</v>
      </c>
      <c r="L219" s="107">
        <f>+'FY16 Tax Bill'!L219-'FY16 Feb Forecast'!L219</f>
        <v>-215963</v>
      </c>
      <c r="M219" s="105">
        <f>+'FY16 Tax Bill'!M219-'FY16 Feb Forecast'!M219</f>
        <v>-163108</v>
      </c>
      <c r="N219" s="106">
        <f>+'FY16 Tax Bill'!N219-'FY16 Feb Forecast'!N219</f>
        <v>-52855</v>
      </c>
      <c r="O219" s="107">
        <f>+'FY16 Tax Bill'!O219-'FY16 Feb Forecast'!O219</f>
        <v>20100</v>
      </c>
      <c r="P219" s="105">
        <f>+'FY16 Tax Bill'!P219-'FY16 Feb Forecast'!P219</f>
        <v>15180</v>
      </c>
      <c r="Q219" s="106">
        <f>+'FY16 Tax Bill'!Q219-'FY16 Feb Forecast'!Q219</f>
        <v>4920</v>
      </c>
      <c r="R219" s="105">
        <f>+'FY16 Tax Bill'!R219-'FY16 Feb Forecast'!R219</f>
        <v>37.711069418386501</v>
      </c>
      <c r="S219" s="105">
        <f>+'FY16 Tax Bill'!S219-'FY16 Feb Forecast'!S219</f>
        <v>28.480300187617217</v>
      </c>
      <c r="T219" s="108">
        <f>+'FY16 Tax Bill'!T219-'FY16 Feb Forecast'!T219</f>
        <v>9.2307692307692264</v>
      </c>
    </row>
    <row r="220" spans="1:20" x14ac:dyDescent="0.2">
      <c r="A220" s="109">
        <v>716</v>
      </c>
      <c r="B220" s="110">
        <v>1</v>
      </c>
      <c r="C220" s="103" t="s">
        <v>338</v>
      </c>
      <c r="D220" s="103">
        <v>3</v>
      </c>
      <c r="E220" s="104">
        <f>+SUMIF('GE16FEB14 Unfudged'!$A$2:$A$498, $A220, 'GE16FEB14 Unfudged'!$D$2:$D$498)</f>
        <v>1741</v>
      </c>
      <c r="F220" s="104">
        <f>+'FY16 Tax Bill'!F220-'FY16 Feb Forecast'!F220</f>
        <v>0</v>
      </c>
      <c r="G220" s="105">
        <f>+'FY16 Tax Bill'!G220-'FY16 Feb Forecast'!G220</f>
        <v>0</v>
      </c>
      <c r="H220" s="106">
        <f>+'FY16 Tax Bill'!H220-'FY16 Feb Forecast'!H220</f>
        <v>0</v>
      </c>
      <c r="I220" s="107">
        <f>+'FY16 Tax Bill'!I220-'FY16 Feb Forecast'!I220</f>
        <v>0</v>
      </c>
      <c r="J220" s="105">
        <f>+'FY16 Tax Bill'!J220-'FY16 Feb Forecast'!J220</f>
        <v>0</v>
      </c>
      <c r="K220" s="106">
        <f>+'FY16 Tax Bill'!K220-'FY16 Feb Forecast'!K220</f>
        <v>0</v>
      </c>
      <c r="L220" s="107">
        <f>+'FY16 Tax Bill'!L220-'FY16 Feb Forecast'!L220</f>
        <v>0</v>
      </c>
      <c r="M220" s="105">
        <f>+'FY16 Tax Bill'!M220-'FY16 Feb Forecast'!M220</f>
        <v>0</v>
      </c>
      <c r="N220" s="106">
        <f>+'FY16 Tax Bill'!N220-'FY16 Feb Forecast'!N220</f>
        <v>0</v>
      </c>
      <c r="O220" s="107">
        <f>+'FY16 Tax Bill'!O220-'FY16 Feb Forecast'!O220</f>
        <v>0</v>
      </c>
      <c r="P220" s="105">
        <f>+'FY16 Tax Bill'!P220-'FY16 Feb Forecast'!P220</f>
        <v>0</v>
      </c>
      <c r="Q220" s="106">
        <f>+'FY16 Tax Bill'!Q220-'FY16 Feb Forecast'!Q220</f>
        <v>0</v>
      </c>
      <c r="R220" s="105">
        <f>+'FY16 Tax Bill'!R220-'FY16 Feb Forecast'!R220</f>
        <v>0</v>
      </c>
      <c r="S220" s="105">
        <f>+'FY16 Tax Bill'!S220-'FY16 Feb Forecast'!S220</f>
        <v>0</v>
      </c>
      <c r="T220" s="108">
        <f>+'FY16 Tax Bill'!T220-'FY16 Feb Forecast'!T220</f>
        <v>0</v>
      </c>
    </row>
    <row r="221" spans="1:20" x14ac:dyDescent="0.2">
      <c r="A221" s="109">
        <v>717</v>
      </c>
      <c r="B221" s="110">
        <v>1</v>
      </c>
      <c r="C221" s="103" t="s">
        <v>339</v>
      </c>
      <c r="D221" s="103">
        <v>3</v>
      </c>
      <c r="E221" s="104">
        <f>+SUMIF('GE16FEB14 Unfudged'!$A$2:$A$498, $A221, 'GE16FEB14 Unfudged'!$D$2:$D$498)</f>
        <v>1955</v>
      </c>
      <c r="F221" s="104">
        <f>+'FY16 Tax Bill'!F221-'FY16 Feb Forecast'!F221</f>
        <v>0</v>
      </c>
      <c r="G221" s="105">
        <f>+'FY16 Tax Bill'!G221-'FY16 Feb Forecast'!G221</f>
        <v>0</v>
      </c>
      <c r="H221" s="106">
        <f>+'FY16 Tax Bill'!H221-'FY16 Feb Forecast'!H221</f>
        <v>0</v>
      </c>
      <c r="I221" s="107">
        <f>+'FY16 Tax Bill'!I221-'FY16 Feb Forecast'!I221</f>
        <v>0</v>
      </c>
      <c r="J221" s="105">
        <f>+'FY16 Tax Bill'!J221-'FY16 Feb Forecast'!J221</f>
        <v>0</v>
      </c>
      <c r="K221" s="106">
        <f>+'FY16 Tax Bill'!K221-'FY16 Feb Forecast'!K221</f>
        <v>0</v>
      </c>
      <c r="L221" s="107">
        <f>+'FY16 Tax Bill'!L221-'FY16 Feb Forecast'!L221</f>
        <v>0</v>
      </c>
      <c r="M221" s="105">
        <f>+'FY16 Tax Bill'!M221-'FY16 Feb Forecast'!M221</f>
        <v>0</v>
      </c>
      <c r="N221" s="106">
        <f>+'FY16 Tax Bill'!N221-'FY16 Feb Forecast'!N221</f>
        <v>0</v>
      </c>
      <c r="O221" s="107">
        <f>+'FY16 Tax Bill'!O221-'FY16 Feb Forecast'!O221</f>
        <v>0</v>
      </c>
      <c r="P221" s="105">
        <f>+'FY16 Tax Bill'!P221-'FY16 Feb Forecast'!P221</f>
        <v>0</v>
      </c>
      <c r="Q221" s="106">
        <f>+'FY16 Tax Bill'!Q221-'FY16 Feb Forecast'!Q221</f>
        <v>0</v>
      </c>
      <c r="R221" s="105">
        <f>+'FY16 Tax Bill'!R221-'FY16 Feb Forecast'!R221</f>
        <v>0</v>
      </c>
      <c r="S221" s="105">
        <f>+'FY16 Tax Bill'!S221-'FY16 Feb Forecast'!S221</f>
        <v>0</v>
      </c>
      <c r="T221" s="108">
        <f>+'FY16 Tax Bill'!T221-'FY16 Feb Forecast'!T221</f>
        <v>0</v>
      </c>
    </row>
    <row r="222" spans="1:20" x14ac:dyDescent="0.2">
      <c r="A222" s="109">
        <v>719</v>
      </c>
      <c r="B222" s="110">
        <v>1</v>
      </c>
      <c r="C222" s="103" t="s">
        <v>340</v>
      </c>
      <c r="D222" s="103">
        <v>3</v>
      </c>
      <c r="E222" s="104">
        <f>+SUMIF('GE16FEB14 Unfudged'!$A$2:$A$498, $A222, 'GE16FEB14 Unfudged'!$D$2:$D$498)</f>
        <v>8089</v>
      </c>
      <c r="F222" s="104">
        <f>+'FY16 Tax Bill'!F222-'FY16 Feb Forecast'!F222</f>
        <v>0</v>
      </c>
      <c r="G222" s="105">
        <f>+'FY16 Tax Bill'!G222-'FY16 Feb Forecast'!G222</f>
        <v>0</v>
      </c>
      <c r="H222" s="106">
        <f>+'FY16 Tax Bill'!H222-'FY16 Feb Forecast'!H222</f>
        <v>0</v>
      </c>
      <c r="I222" s="107">
        <f>+'FY16 Tax Bill'!I222-'FY16 Feb Forecast'!I222</f>
        <v>0</v>
      </c>
      <c r="J222" s="105">
        <f>+'FY16 Tax Bill'!J222-'FY16 Feb Forecast'!J222</f>
        <v>0</v>
      </c>
      <c r="K222" s="106">
        <f>+'FY16 Tax Bill'!K222-'FY16 Feb Forecast'!K222</f>
        <v>0</v>
      </c>
      <c r="L222" s="107">
        <f>+'FY16 Tax Bill'!L222-'FY16 Feb Forecast'!L222</f>
        <v>0</v>
      </c>
      <c r="M222" s="105">
        <f>+'FY16 Tax Bill'!M222-'FY16 Feb Forecast'!M222</f>
        <v>0</v>
      </c>
      <c r="N222" s="106">
        <f>+'FY16 Tax Bill'!N222-'FY16 Feb Forecast'!N222</f>
        <v>0</v>
      </c>
      <c r="O222" s="107">
        <f>+'FY16 Tax Bill'!O222-'FY16 Feb Forecast'!O222</f>
        <v>0</v>
      </c>
      <c r="P222" s="105">
        <f>+'FY16 Tax Bill'!P222-'FY16 Feb Forecast'!P222</f>
        <v>0</v>
      </c>
      <c r="Q222" s="106">
        <f>+'FY16 Tax Bill'!Q222-'FY16 Feb Forecast'!Q222</f>
        <v>0</v>
      </c>
      <c r="R222" s="105">
        <f>+'FY16 Tax Bill'!R222-'FY16 Feb Forecast'!R222</f>
        <v>0</v>
      </c>
      <c r="S222" s="105">
        <f>+'FY16 Tax Bill'!S222-'FY16 Feb Forecast'!S222</f>
        <v>0</v>
      </c>
      <c r="T222" s="108">
        <f>+'FY16 Tax Bill'!T222-'FY16 Feb Forecast'!T222</f>
        <v>0</v>
      </c>
    </row>
    <row r="223" spans="1:20" x14ac:dyDescent="0.2">
      <c r="A223" s="109">
        <v>720</v>
      </c>
      <c r="B223" s="110">
        <v>1</v>
      </c>
      <c r="C223" s="103" t="s">
        <v>341</v>
      </c>
      <c r="D223" s="103">
        <v>3</v>
      </c>
      <c r="E223" s="104">
        <f>+SUMIF('GE16FEB14 Unfudged'!$A$2:$A$498, $A223, 'GE16FEB14 Unfudged'!$D$2:$D$498)</f>
        <v>8915</v>
      </c>
      <c r="F223" s="104">
        <f>+'FY16 Tax Bill'!F223-'FY16 Feb Forecast'!F223</f>
        <v>0</v>
      </c>
      <c r="G223" s="105">
        <f>+'FY16 Tax Bill'!G223-'FY16 Feb Forecast'!G223</f>
        <v>0</v>
      </c>
      <c r="H223" s="106">
        <f>+'FY16 Tax Bill'!H223-'FY16 Feb Forecast'!H223</f>
        <v>0</v>
      </c>
      <c r="I223" s="107">
        <f>+'FY16 Tax Bill'!I223-'FY16 Feb Forecast'!I223</f>
        <v>0</v>
      </c>
      <c r="J223" s="105">
        <f>+'FY16 Tax Bill'!J223-'FY16 Feb Forecast'!J223</f>
        <v>0</v>
      </c>
      <c r="K223" s="106">
        <f>+'FY16 Tax Bill'!K223-'FY16 Feb Forecast'!K223</f>
        <v>0</v>
      </c>
      <c r="L223" s="107">
        <f>+'FY16 Tax Bill'!L223-'FY16 Feb Forecast'!L223</f>
        <v>0</v>
      </c>
      <c r="M223" s="105">
        <f>+'FY16 Tax Bill'!M223-'FY16 Feb Forecast'!M223</f>
        <v>0</v>
      </c>
      <c r="N223" s="106">
        <f>+'FY16 Tax Bill'!N223-'FY16 Feb Forecast'!N223</f>
        <v>0</v>
      </c>
      <c r="O223" s="107">
        <f>+'FY16 Tax Bill'!O223-'FY16 Feb Forecast'!O223</f>
        <v>0</v>
      </c>
      <c r="P223" s="105">
        <f>+'FY16 Tax Bill'!P223-'FY16 Feb Forecast'!P223</f>
        <v>0</v>
      </c>
      <c r="Q223" s="106">
        <f>+'FY16 Tax Bill'!Q223-'FY16 Feb Forecast'!Q223</f>
        <v>0</v>
      </c>
      <c r="R223" s="105">
        <f>+'FY16 Tax Bill'!R223-'FY16 Feb Forecast'!R223</f>
        <v>0</v>
      </c>
      <c r="S223" s="105">
        <f>+'FY16 Tax Bill'!S223-'FY16 Feb Forecast'!S223</f>
        <v>0</v>
      </c>
      <c r="T223" s="108">
        <f>+'FY16 Tax Bill'!T223-'FY16 Feb Forecast'!T223</f>
        <v>0</v>
      </c>
    </row>
    <row r="224" spans="1:20" x14ac:dyDescent="0.2">
      <c r="A224" s="109">
        <v>721</v>
      </c>
      <c r="B224" s="110">
        <v>1</v>
      </c>
      <c r="C224" s="103" t="s">
        <v>342</v>
      </c>
      <c r="D224" s="103">
        <v>3</v>
      </c>
      <c r="E224" s="104">
        <f>+SUMIF('GE16FEB14 Unfudged'!$A$2:$A$498, $A224, 'GE16FEB14 Unfudged'!$D$2:$D$498)</f>
        <v>4328</v>
      </c>
      <c r="F224" s="104">
        <f>+'FY16 Tax Bill'!F224-'FY16 Feb Forecast'!F224</f>
        <v>0</v>
      </c>
      <c r="G224" s="105">
        <f>+'FY16 Tax Bill'!G224-'FY16 Feb Forecast'!G224</f>
        <v>0</v>
      </c>
      <c r="H224" s="106">
        <f>+'FY16 Tax Bill'!H224-'FY16 Feb Forecast'!H224</f>
        <v>0</v>
      </c>
      <c r="I224" s="107">
        <f>+'FY16 Tax Bill'!I224-'FY16 Feb Forecast'!I224</f>
        <v>0</v>
      </c>
      <c r="J224" s="105">
        <f>+'FY16 Tax Bill'!J224-'FY16 Feb Forecast'!J224</f>
        <v>0</v>
      </c>
      <c r="K224" s="106">
        <f>+'FY16 Tax Bill'!K224-'FY16 Feb Forecast'!K224</f>
        <v>0</v>
      </c>
      <c r="L224" s="107">
        <f>+'FY16 Tax Bill'!L224-'FY16 Feb Forecast'!L224</f>
        <v>0</v>
      </c>
      <c r="M224" s="105">
        <f>+'FY16 Tax Bill'!M224-'FY16 Feb Forecast'!M224</f>
        <v>0</v>
      </c>
      <c r="N224" s="106">
        <f>+'FY16 Tax Bill'!N224-'FY16 Feb Forecast'!N224</f>
        <v>0</v>
      </c>
      <c r="O224" s="107">
        <f>+'FY16 Tax Bill'!O224-'FY16 Feb Forecast'!O224</f>
        <v>0</v>
      </c>
      <c r="P224" s="105">
        <f>+'FY16 Tax Bill'!P224-'FY16 Feb Forecast'!P224</f>
        <v>0</v>
      </c>
      <c r="Q224" s="106">
        <f>+'FY16 Tax Bill'!Q224-'FY16 Feb Forecast'!Q224</f>
        <v>0</v>
      </c>
      <c r="R224" s="105">
        <f>+'FY16 Tax Bill'!R224-'FY16 Feb Forecast'!R224</f>
        <v>0</v>
      </c>
      <c r="S224" s="105">
        <f>+'FY16 Tax Bill'!S224-'FY16 Feb Forecast'!S224</f>
        <v>0</v>
      </c>
      <c r="T224" s="108">
        <f>+'FY16 Tax Bill'!T224-'FY16 Feb Forecast'!T224</f>
        <v>0</v>
      </c>
    </row>
    <row r="225" spans="1:20" x14ac:dyDescent="0.2">
      <c r="A225" s="109">
        <v>726</v>
      </c>
      <c r="B225" s="110">
        <v>1</v>
      </c>
      <c r="C225" s="103" t="s">
        <v>343</v>
      </c>
      <c r="D225" s="103">
        <v>4</v>
      </c>
      <c r="E225" s="104">
        <f>+SUMIF('GE16FEB14 Unfudged'!$A$2:$A$498, $A225, 'GE16FEB14 Unfudged'!$D$2:$D$498)</f>
        <v>2981</v>
      </c>
      <c r="F225" s="104">
        <f>+'FY16 Tax Bill'!F225-'FY16 Feb Forecast'!F225</f>
        <v>26168</v>
      </c>
      <c r="G225" s="105">
        <f>+'FY16 Tax Bill'!G225-'FY16 Feb Forecast'!G225</f>
        <v>24574</v>
      </c>
      <c r="H225" s="106">
        <f>+'FY16 Tax Bill'!H225-'FY16 Feb Forecast'!H225</f>
        <v>1594</v>
      </c>
      <c r="I225" s="107">
        <f>+'FY16 Tax Bill'!I225-'FY16 Feb Forecast'!I225</f>
        <v>632015</v>
      </c>
      <c r="J225" s="105">
        <f>+'FY16 Tax Bill'!J225-'FY16 Feb Forecast'!J225</f>
        <v>593520</v>
      </c>
      <c r="K225" s="106">
        <f>+'FY16 Tax Bill'!K225-'FY16 Feb Forecast'!K225</f>
        <v>38495</v>
      </c>
      <c r="L225" s="107">
        <f>+'FY16 Tax Bill'!L225-'FY16 Feb Forecast'!L225</f>
        <v>-632014</v>
      </c>
      <c r="M225" s="105">
        <f>+'FY16 Tax Bill'!M225-'FY16 Feb Forecast'!M225</f>
        <v>-593519</v>
      </c>
      <c r="N225" s="106">
        <f>+'FY16 Tax Bill'!N225-'FY16 Feb Forecast'!N225</f>
        <v>-38495</v>
      </c>
      <c r="O225" s="107">
        <f>+'FY16 Tax Bill'!O225-'FY16 Feb Forecast'!O225</f>
        <v>26169</v>
      </c>
      <c r="P225" s="105">
        <f>+'FY16 Tax Bill'!P225-'FY16 Feb Forecast'!P225</f>
        <v>24575</v>
      </c>
      <c r="Q225" s="106">
        <f>+'FY16 Tax Bill'!Q225-'FY16 Feb Forecast'!Q225</f>
        <v>1594</v>
      </c>
      <c r="R225" s="105">
        <f>+'FY16 Tax Bill'!R225-'FY16 Feb Forecast'!R225</f>
        <v>8.7785977859778086</v>
      </c>
      <c r="S225" s="105">
        <f>+'FY16 Tax Bill'!S225-'FY16 Feb Forecast'!S225</f>
        <v>8.2438778933243384</v>
      </c>
      <c r="T225" s="108">
        <f>+'FY16 Tax Bill'!T225-'FY16 Feb Forecast'!T225</f>
        <v>0.5347198926534702</v>
      </c>
    </row>
    <row r="226" spans="1:20" x14ac:dyDescent="0.2">
      <c r="A226" s="109">
        <v>727</v>
      </c>
      <c r="B226" s="110">
        <v>1</v>
      </c>
      <c r="C226" s="103" t="s">
        <v>344</v>
      </c>
      <c r="D226" s="103">
        <v>4</v>
      </c>
      <c r="E226" s="104">
        <f>+SUMIF('GE16FEB14 Unfudged'!$A$2:$A$498, $A226, 'GE16FEB14 Unfudged'!$D$2:$D$498)</f>
        <v>3507</v>
      </c>
      <c r="F226" s="104">
        <f>+'FY16 Tax Bill'!F226-'FY16 Feb Forecast'!F226</f>
        <v>9709</v>
      </c>
      <c r="G226" s="105">
        <f>+'FY16 Tax Bill'!G226-'FY16 Feb Forecast'!G226</f>
        <v>5394</v>
      </c>
      <c r="H226" s="106">
        <f>+'FY16 Tax Bill'!H226-'FY16 Feb Forecast'!H226</f>
        <v>4315</v>
      </c>
      <c r="I226" s="107">
        <f>+'FY16 Tax Bill'!I226-'FY16 Feb Forecast'!I226</f>
        <v>743399</v>
      </c>
      <c r="J226" s="105">
        <f>+'FY16 Tax Bill'!J226-'FY16 Feb Forecast'!J226</f>
        <v>413018</v>
      </c>
      <c r="K226" s="106">
        <f>+'FY16 Tax Bill'!K226-'FY16 Feb Forecast'!K226</f>
        <v>330381</v>
      </c>
      <c r="L226" s="107">
        <f>+'FY16 Tax Bill'!L226-'FY16 Feb Forecast'!L226</f>
        <v>-223300</v>
      </c>
      <c r="M226" s="105">
        <f>+'FY16 Tax Bill'!M226-'FY16 Feb Forecast'!M226</f>
        <v>-124061</v>
      </c>
      <c r="N226" s="106">
        <f>+'FY16 Tax Bill'!N226-'FY16 Feb Forecast'!N226</f>
        <v>-99239</v>
      </c>
      <c r="O226" s="107">
        <f>+'FY16 Tax Bill'!O226-'FY16 Feb Forecast'!O226</f>
        <v>529808</v>
      </c>
      <c r="P226" s="105">
        <f>+'FY16 Tax Bill'!P226-'FY16 Feb Forecast'!P226</f>
        <v>294351</v>
      </c>
      <c r="Q226" s="106">
        <f>+'FY16 Tax Bill'!Q226-'FY16 Feb Forecast'!Q226</f>
        <v>235457</v>
      </c>
      <c r="R226" s="105">
        <f>+'FY16 Tax Bill'!R226-'FY16 Feb Forecast'!R226</f>
        <v>151.07157114342749</v>
      </c>
      <c r="S226" s="105">
        <f>+'FY16 Tax Bill'!S226-'FY16 Feb Forecast'!S226</f>
        <v>83.932420872540604</v>
      </c>
      <c r="T226" s="108">
        <f>+'FY16 Tax Bill'!T226-'FY16 Feb Forecast'!T226</f>
        <v>67.139150270886773</v>
      </c>
    </row>
    <row r="227" spans="1:20" x14ac:dyDescent="0.2">
      <c r="A227" s="109">
        <v>728</v>
      </c>
      <c r="B227" s="110">
        <v>1</v>
      </c>
      <c r="C227" s="103" t="s">
        <v>345</v>
      </c>
      <c r="D227" s="103">
        <v>4</v>
      </c>
      <c r="E227" s="104">
        <f>+SUMIF('GE16FEB14 Unfudged'!$A$2:$A$498, $A227, 'GE16FEB14 Unfudged'!$D$2:$D$498)</f>
        <v>14021</v>
      </c>
      <c r="F227" s="104">
        <f>+'FY16 Tax Bill'!F227-'FY16 Feb Forecast'!F227</f>
        <v>-9953</v>
      </c>
      <c r="G227" s="105">
        <f>+'FY16 Tax Bill'!G227-'FY16 Feb Forecast'!G227</f>
        <v>-6895</v>
      </c>
      <c r="H227" s="106">
        <f>+'FY16 Tax Bill'!H227-'FY16 Feb Forecast'!H227</f>
        <v>-3058</v>
      </c>
      <c r="I227" s="107">
        <f>+'FY16 Tax Bill'!I227-'FY16 Feb Forecast'!I227</f>
        <v>0</v>
      </c>
      <c r="J227" s="105">
        <f>+'FY16 Tax Bill'!J227-'FY16 Feb Forecast'!J227</f>
        <v>0</v>
      </c>
      <c r="K227" s="106">
        <f>+'FY16 Tax Bill'!K227-'FY16 Feb Forecast'!K227</f>
        <v>0</v>
      </c>
      <c r="L227" s="107">
        <f>+'FY16 Tax Bill'!L227-'FY16 Feb Forecast'!L227</f>
        <v>0</v>
      </c>
      <c r="M227" s="105">
        <f>+'FY16 Tax Bill'!M227-'FY16 Feb Forecast'!M227</f>
        <v>0</v>
      </c>
      <c r="N227" s="106">
        <f>+'FY16 Tax Bill'!N227-'FY16 Feb Forecast'!N227</f>
        <v>0</v>
      </c>
      <c r="O227" s="107">
        <f>+'FY16 Tax Bill'!O227-'FY16 Feb Forecast'!O227</f>
        <v>-9953</v>
      </c>
      <c r="P227" s="105">
        <f>+'FY16 Tax Bill'!P227-'FY16 Feb Forecast'!P227</f>
        <v>-6895</v>
      </c>
      <c r="Q227" s="106">
        <f>+'FY16 Tax Bill'!Q227-'FY16 Feb Forecast'!Q227</f>
        <v>-3058</v>
      </c>
      <c r="R227" s="105">
        <f>+'FY16 Tax Bill'!R227-'FY16 Feb Forecast'!R227</f>
        <v>-0.70986377576491577</v>
      </c>
      <c r="S227" s="105">
        <f>+'FY16 Tax Bill'!S227-'FY16 Feb Forecast'!S227</f>
        <v>-0.49176235646530131</v>
      </c>
      <c r="T227" s="108">
        <f>+'FY16 Tax Bill'!T227-'FY16 Feb Forecast'!T227</f>
        <v>-0.21810141929961446</v>
      </c>
    </row>
    <row r="228" spans="1:20" x14ac:dyDescent="0.2">
      <c r="A228" s="109">
        <v>738</v>
      </c>
      <c r="B228" s="110">
        <v>1</v>
      </c>
      <c r="C228" s="103" t="s">
        <v>346</v>
      </c>
      <c r="D228" s="103">
        <v>5</v>
      </c>
      <c r="E228" s="104">
        <f>+SUMIF('GE16FEB14 Unfudged'!$A$2:$A$498, $A228, 'GE16FEB14 Unfudged'!$D$2:$D$498)</f>
        <v>1118</v>
      </c>
      <c r="F228" s="104">
        <f>+'FY16 Tax Bill'!F228-'FY16 Feb Forecast'!F228</f>
        <v>9126</v>
      </c>
      <c r="G228" s="105">
        <f>+'FY16 Tax Bill'!G228-'FY16 Feb Forecast'!G228</f>
        <v>5467</v>
      </c>
      <c r="H228" s="106">
        <f>+'FY16 Tax Bill'!H228-'FY16 Feb Forecast'!H228</f>
        <v>3659</v>
      </c>
      <c r="I228" s="107">
        <f>+'FY16 Tax Bill'!I228-'FY16 Feb Forecast'!I228</f>
        <v>473947</v>
      </c>
      <c r="J228" s="105">
        <f>+'FY16 Tax Bill'!J228-'FY16 Feb Forecast'!J228</f>
        <v>283942</v>
      </c>
      <c r="K228" s="106">
        <f>+'FY16 Tax Bill'!K228-'FY16 Feb Forecast'!K228</f>
        <v>190005</v>
      </c>
      <c r="L228" s="107">
        <f>+'FY16 Tax Bill'!L228-'FY16 Feb Forecast'!L228</f>
        <v>-199058</v>
      </c>
      <c r="M228" s="105">
        <f>+'FY16 Tax Bill'!M228-'FY16 Feb Forecast'!M228</f>
        <v>-119256</v>
      </c>
      <c r="N228" s="106">
        <f>+'FY16 Tax Bill'!N228-'FY16 Feb Forecast'!N228</f>
        <v>-79802</v>
      </c>
      <c r="O228" s="107">
        <f>+'FY16 Tax Bill'!O228-'FY16 Feb Forecast'!O228</f>
        <v>284015</v>
      </c>
      <c r="P228" s="105">
        <f>+'FY16 Tax Bill'!P228-'FY16 Feb Forecast'!P228</f>
        <v>170153</v>
      </c>
      <c r="Q228" s="106">
        <f>+'FY16 Tax Bill'!Q228-'FY16 Feb Forecast'!Q228</f>
        <v>113862</v>
      </c>
      <c r="R228" s="105">
        <f>+'FY16 Tax Bill'!R228-'FY16 Feb Forecast'!R228</f>
        <v>254.03846153846155</v>
      </c>
      <c r="S228" s="105">
        <f>+'FY16 Tax Bill'!S228-'FY16 Feb Forecast'!S228</f>
        <v>152.1940966010734</v>
      </c>
      <c r="T228" s="108">
        <f>+'FY16 Tax Bill'!T228-'FY16 Feb Forecast'!T228</f>
        <v>101.84436493738821</v>
      </c>
    </row>
    <row r="229" spans="1:20" x14ac:dyDescent="0.2">
      <c r="A229" s="109">
        <v>739</v>
      </c>
      <c r="B229" s="110">
        <v>1</v>
      </c>
      <c r="C229" s="103" t="s">
        <v>347</v>
      </c>
      <c r="D229" s="103">
        <v>6</v>
      </c>
      <c r="E229" s="104">
        <f>+SUMIF('GE16FEB14 Unfudged'!$A$2:$A$498, $A229, 'GE16FEB14 Unfudged'!$D$2:$D$498)</f>
        <v>706</v>
      </c>
      <c r="F229" s="104">
        <f>+'FY16 Tax Bill'!F229-'FY16 Feb Forecast'!F229</f>
        <v>10027</v>
      </c>
      <c r="G229" s="105">
        <f>+'FY16 Tax Bill'!G229-'FY16 Feb Forecast'!G229</f>
        <v>7621</v>
      </c>
      <c r="H229" s="106">
        <f>+'FY16 Tax Bill'!H229-'FY16 Feb Forecast'!H229</f>
        <v>2406</v>
      </c>
      <c r="I229" s="107">
        <f>+'FY16 Tax Bill'!I229-'FY16 Feb Forecast'!I229</f>
        <v>299259</v>
      </c>
      <c r="J229" s="105">
        <f>+'FY16 Tax Bill'!J229-'FY16 Feb Forecast'!J229</f>
        <v>227464</v>
      </c>
      <c r="K229" s="106">
        <f>+'FY16 Tax Bill'!K229-'FY16 Feb Forecast'!K229</f>
        <v>71795</v>
      </c>
      <c r="L229" s="107">
        <f>+'FY16 Tax Bill'!L229-'FY16 Feb Forecast'!L229</f>
        <v>-299260</v>
      </c>
      <c r="M229" s="105">
        <f>+'FY16 Tax Bill'!M229-'FY16 Feb Forecast'!M229</f>
        <v>-281578</v>
      </c>
      <c r="N229" s="106">
        <f>+'FY16 Tax Bill'!N229-'FY16 Feb Forecast'!N229</f>
        <v>-17682</v>
      </c>
      <c r="O229" s="107">
        <f>+'FY16 Tax Bill'!O229-'FY16 Feb Forecast'!O229</f>
        <v>10026</v>
      </c>
      <c r="P229" s="105">
        <f>+'FY16 Tax Bill'!P229-'FY16 Feb Forecast'!P229</f>
        <v>-46493</v>
      </c>
      <c r="Q229" s="106">
        <f>+'FY16 Tax Bill'!Q229-'FY16 Feb Forecast'!Q229</f>
        <v>56519</v>
      </c>
      <c r="R229" s="105">
        <f>+'FY16 Tax Bill'!R229-'FY16 Feb Forecast'!R229</f>
        <v>14.201133144475989</v>
      </c>
      <c r="S229" s="105">
        <f>+'FY16 Tax Bill'!S229-'FY16 Feb Forecast'!S229</f>
        <v>-65.854107648725176</v>
      </c>
      <c r="T229" s="108">
        <f>+'FY16 Tax Bill'!T229-'FY16 Feb Forecast'!T229</f>
        <v>80.055240793201165</v>
      </c>
    </row>
    <row r="230" spans="1:20" x14ac:dyDescent="0.2">
      <c r="A230" s="109">
        <v>740</v>
      </c>
      <c r="B230" s="110">
        <v>1</v>
      </c>
      <c r="C230" s="103" t="s">
        <v>348</v>
      </c>
      <c r="D230" s="103">
        <v>5</v>
      </c>
      <c r="E230" s="104">
        <f>+SUMIF('GE16FEB14 Unfudged'!$A$2:$A$498, $A230, 'GE16FEB14 Unfudged'!$D$2:$D$498)</f>
        <v>1502</v>
      </c>
      <c r="F230" s="104">
        <f>+'FY16 Tax Bill'!F230-'FY16 Feb Forecast'!F230</f>
        <v>28724</v>
      </c>
      <c r="G230" s="105">
        <f>+'FY16 Tax Bill'!G230-'FY16 Feb Forecast'!G230</f>
        <v>18172</v>
      </c>
      <c r="H230" s="106">
        <f>+'FY16 Tax Bill'!H230-'FY16 Feb Forecast'!H230</f>
        <v>10552</v>
      </c>
      <c r="I230" s="107">
        <f>+'FY16 Tax Bill'!I230-'FY16 Feb Forecast'!I230</f>
        <v>637018</v>
      </c>
      <c r="J230" s="105">
        <f>+'FY16 Tax Bill'!J230-'FY16 Feb Forecast'!J230</f>
        <v>403025</v>
      </c>
      <c r="K230" s="106">
        <f>+'FY16 Tax Bill'!K230-'FY16 Feb Forecast'!K230</f>
        <v>233993</v>
      </c>
      <c r="L230" s="107">
        <f>+'FY16 Tax Bill'!L230-'FY16 Feb Forecast'!L230</f>
        <v>-637018</v>
      </c>
      <c r="M230" s="105">
        <f>+'FY16 Tax Bill'!M230-'FY16 Feb Forecast'!M230</f>
        <v>-403025</v>
      </c>
      <c r="N230" s="106">
        <f>+'FY16 Tax Bill'!N230-'FY16 Feb Forecast'!N230</f>
        <v>-233993</v>
      </c>
      <c r="O230" s="107">
        <f>+'FY16 Tax Bill'!O230-'FY16 Feb Forecast'!O230</f>
        <v>28724</v>
      </c>
      <c r="P230" s="105">
        <f>+'FY16 Tax Bill'!P230-'FY16 Feb Forecast'!P230</f>
        <v>18172</v>
      </c>
      <c r="Q230" s="106">
        <f>+'FY16 Tax Bill'!Q230-'FY16 Feb Forecast'!Q230</f>
        <v>10552</v>
      </c>
      <c r="R230" s="105">
        <f>+'FY16 Tax Bill'!R230-'FY16 Feb Forecast'!R230</f>
        <v>19.123834886817576</v>
      </c>
      <c r="S230" s="105">
        <f>+'FY16 Tax Bill'!S230-'FY16 Feb Forecast'!S230</f>
        <v>12.098535286284971</v>
      </c>
      <c r="T230" s="108">
        <f>+'FY16 Tax Bill'!T230-'FY16 Feb Forecast'!T230</f>
        <v>7.0252996005326622</v>
      </c>
    </row>
    <row r="231" spans="1:20" x14ac:dyDescent="0.2">
      <c r="A231" s="109">
        <v>741</v>
      </c>
      <c r="B231" s="110">
        <v>1</v>
      </c>
      <c r="C231" s="103" t="s">
        <v>349</v>
      </c>
      <c r="D231" s="103">
        <v>5</v>
      </c>
      <c r="E231" s="104">
        <f>+SUMIF('GE16FEB14 Unfudged'!$A$2:$A$498, $A231, 'GE16FEB14 Unfudged'!$D$2:$D$498)</f>
        <v>1034</v>
      </c>
      <c r="F231" s="104">
        <f>+'FY16 Tax Bill'!F231-'FY16 Feb Forecast'!F231</f>
        <v>19514</v>
      </c>
      <c r="G231" s="105">
        <f>+'FY16 Tax Bill'!G231-'FY16 Feb Forecast'!G231</f>
        <v>15224</v>
      </c>
      <c r="H231" s="106">
        <f>+'FY16 Tax Bill'!H231-'FY16 Feb Forecast'!H231</f>
        <v>4290</v>
      </c>
      <c r="I231" s="107">
        <f>+'FY16 Tax Bill'!I231-'FY16 Feb Forecast'!I231</f>
        <v>438331</v>
      </c>
      <c r="J231" s="105">
        <f>+'FY16 Tax Bill'!J231-'FY16 Feb Forecast'!J231</f>
        <v>341969</v>
      </c>
      <c r="K231" s="106">
        <f>+'FY16 Tax Bill'!K231-'FY16 Feb Forecast'!K231</f>
        <v>96362</v>
      </c>
      <c r="L231" s="107">
        <f>+'FY16 Tax Bill'!L231-'FY16 Feb Forecast'!L231</f>
        <v>-438331</v>
      </c>
      <c r="M231" s="105">
        <f>+'FY16 Tax Bill'!M231-'FY16 Feb Forecast'!M231</f>
        <v>-342478</v>
      </c>
      <c r="N231" s="106">
        <f>+'FY16 Tax Bill'!N231-'FY16 Feb Forecast'!N231</f>
        <v>-95853</v>
      </c>
      <c r="O231" s="107">
        <f>+'FY16 Tax Bill'!O231-'FY16 Feb Forecast'!O231</f>
        <v>19514</v>
      </c>
      <c r="P231" s="105">
        <f>+'FY16 Tax Bill'!P231-'FY16 Feb Forecast'!P231</f>
        <v>14715</v>
      </c>
      <c r="Q231" s="106">
        <f>+'FY16 Tax Bill'!Q231-'FY16 Feb Forecast'!Q231</f>
        <v>4799</v>
      </c>
      <c r="R231" s="105">
        <f>+'FY16 Tax Bill'!R231-'FY16 Feb Forecast'!R231</f>
        <v>18.872340425531888</v>
      </c>
      <c r="S231" s="105">
        <f>+'FY16 Tax Bill'!S231-'FY16 Feb Forecast'!S231</f>
        <v>14.231141199226272</v>
      </c>
      <c r="T231" s="108">
        <f>+'FY16 Tax Bill'!T231-'FY16 Feb Forecast'!T231</f>
        <v>4.6411992263056163</v>
      </c>
    </row>
    <row r="232" spans="1:20" x14ac:dyDescent="0.2">
      <c r="A232" s="109">
        <v>742</v>
      </c>
      <c r="B232" s="110">
        <v>1</v>
      </c>
      <c r="C232" s="103" t="s">
        <v>350</v>
      </c>
      <c r="D232" s="103">
        <v>4</v>
      </c>
      <c r="E232" s="104">
        <f>+SUMIF('GE16FEB14 Unfudged'!$A$2:$A$498, $A232, 'GE16FEB14 Unfudged'!$D$2:$D$498)</f>
        <v>10451</v>
      </c>
      <c r="F232" s="104">
        <f>+'FY16 Tax Bill'!F232-'FY16 Feb Forecast'!F232</f>
        <v>68673</v>
      </c>
      <c r="G232" s="105">
        <f>+'FY16 Tax Bill'!G232-'FY16 Feb Forecast'!G232</f>
        <v>66623</v>
      </c>
      <c r="H232" s="106">
        <f>+'FY16 Tax Bill'!H232-'FY16 Feb Forecast'!H232</f>
        <v>2050</v>
      </c>
      <c r="I232" s="107">
        <f>+'FY16 Tax Bill'!I232-'FY16 Feb Forecast'!I232</f>
        <v>2215569</v>
      </c>
      <c r="J232" s="105">
        <f>+'FY16 Tax Bill'!J232-'FY16 Feb Forecast'!J232</f>
        <v>2149433</v>
      </c>
      <c r="K232" s="106">
        <f>+'FY16 Tax Bill'!K232-'FY16 Feb Forecast'!K232</f>
        <v>66136</v>
      </c>
      <c r="L232" s="107">
        <f>+'FY16 Tax Bill'!L232-'FY16 Feb Forecast'!L232</f>
        <v>-1497913</v>
      </c>
      <c r="M232" s="105">
        <f>+'FY16 Tax Bill'!M232-'FY16 Feb Forecast'!M232</f>
        <v>-1453199</v>
      </c>
      <c r="N232" s="106">
        <f>+'FY16 Tax Bill'!N232-'FY16 Feb Forecast'!N232</f>
        <v>-44714</v>
      </c>
      <c r="O232" s="107">
        <f>+'FY16 Tax Bill'!O232-'FY16 Feb Forecast'!O232</f>
        <v>786329</v>
      </c>
      <c r="P232" s="105">
        <f>+'FY16 Tax Bill'!P232-'FY16 Feb Forecast'!P232</f>
        <v>762857</v>
      </c>
      <c r="Q232" s="106">
        <f>+'FY16 Tax Bill'!Q232-'FY16 Feb Forecast'!Q232</f>
        <v>23472</v>
      </c>
      <c r="R232" s="105">
        <f>+'FY16 Tax Bill'!R232-'FY16 Feb Forecast'!R232</f>
        <v>75.239594297196504</v>
      </c>
      <c r="S232" s="105">
        <f>+'FY16 Tax Bill'!S232-'FY16 Feb Forecast'!S232</f>
        <v>72.993684814850212</v>
      </c>
      <c r="T232" s="108">
        <f>+'FY16 Tax Bill'!T232-'FY16 Feb Forecast'!T232</f>
        <v>2.2459094823462067</v>
      </c>
    </row>
    <row r="233" spans="1:20" x14ac:dyDescent="0.2">
      <c r="A233" s="109">
        <v>743</v>
      </c>
      <c r="B233" s="110">
        <v>1</v>
      </c>
      <c r="C233" s="103" t="s">
        <v>351</v>
      </c>
      <c r="D233" s="103">
        <v>5</v>
      </c>
      <c r="E233" s="104">
        <f>+SUMIF('GE16FEB14 Unfudged'!$A$2:$A$498, $A233, 'GE16FEB14 Unfudged'!$D$2:$D$498)</f>
        <v>886</v>
      </c>
      <c r="F233" s="104">
        <f>+'FY16 Tax Bill'!F233-'FY16 Feb Forecast'!F233</f>
        <v>8845</v>
      </c>
      <c r="G233" s="105">
        <f>+'FY16 Tax Bill'!G233-'FY16 Feb Forecast'!G233</f>
        <v>7943</v>
      </c>
      <c r="H233" s="106">
        <f>+'FY16 Tax Bill'!H233-'FY16 Feb Forecast'!H233</f>
        <v>902</v>
      </c>
      <c r="I233" s="107">
        <f>+'FY16 Tax Bill'!I233-'FY16 Feb Forecast'!I233</f>
        <v>375834</v>
      </c>
      <c r="J233" s="105">
        <f>+'FY16 Tax Bill'!J233-'FY16 Feb Forecast'!J233</f>
        <v>337476</v>
      </c>
      <c r="K233" s="106">
        <f>+'FY16 Tax Bill'!K233-'FY16 Feb Forecast'!K233</f>
        <v>38358</v>
      </c>
      <c r="L233" s="107">
        <f>+'FY16 Tax Bill'!L233-'FY16 Feb Forecast'!L233</f>
        <v>-375833</v>
      </c>
      <c r="M233" s="105">
        <f>+'FY16 Tax Bill'!M233-'FY16 Feb Forecast'!M233</f>
        <v>-375833</v>
      </c>
      <c r="N233" s="106">
        <f>+'FY16 Tax Bill'!N233-'FY16 Feb Forecast'!N233</f>
        <v>0</v>
      </c>
      <c r="O233" s="107">
        <f>+'FY16 Tax Bill'!O233-'FY16 Feb Forecast'!O233</f>
        <v>8846</v>
      </c>
      <c r="P233" s="105">
        <f>+'FY16 Tax Bill'!P233-'FY16 Feb Forecast'!P233</f>
        <v>-30414</v>
      </c>
      <c r="Q233" s="106">
        <f>+'FY16 Tax Bill'!Q233-'FY16 Feb Forecast'!Q233</f>
        <v>39260</v>
      </c>
      <c r="R233" s="105">
        <f>+'FY16 Tax Bill'!R233-'FY16 Feb Forecast'!R233</f>
        <v>9.984198645598326</v>
      </c>
      <c r="S233" s="105">
        <f>+'FY16 Tax Bill'!S233-'FY16 Feb Forecast'!S233</f>
        <v>-34.327313769751754</v>
      </c>
      <c r="T233" s="108">
        <f>+'FY16 Tax Bill'!T233-'FY16 Feb Forecast'!T233</f>
        <v>44.311512415349881</v>
      </c>
    </row>
    <row r="234" spans="1:20" x14ac:dyDescent="0.2">
      <c r="A234" s="109">
        <v>745</v>
      </c>
      <c r="B234" s="110">
        <v>1</v>
      </c>
      <c r="C234" s="103" t="s">
        <v>352</v>
      </c>
      <c r="D234" s="103">
        <v>5</v>
      </c>
      <c r="E234" s="104">
        <f>+SUMIF('GE16FEB14 Unfudged'!$A$2:$A$498, $A234, 'GE16FEB14 Unfudged'!$D$2:$D$498)</f>
        <v>1883</v>
      </c>
      <c r="F234" s="104">
        <f>+'FY16 Tax Bill'!F234-'FY16 Feb Forecast'!F234</f>
        <v>0</v>
      </c>
      <c r="G234" s="105">
        <f>+'FY16 Tax Bill'!G234-'FY16 Feb Forecast'!G234</f>
        <v>0</v>
      </c>
      <c r="H234" s="106">
        <f>+'FY16 Tax Bill'!H234-'FY16 Feb Forecast'!H234</f>
        <v>0</v>
      </c>
      <c r="I234" s="107">
        <f>+'FY16 Tax Bill'!I234-'FY16 Feb Forecast'!I234</f>
        <v>798392</v>
      </c>
      <c r="J234" s="105">
        <f>+'FY16 Tax Bill'!J234-'FY16 Feb Forecast'!J234</f>
        <v>511050</v>
      </c>
      <c r="K234" s="106">
        <f>+'FY16 Tax Bill'!K234-'FY16 Feb Forecast'!K234</f>
        <v>287342</v>
      </c>
      <c r="L234" s="107">
        <f>+'FY16 Tax Bill'!L234-'FY16 Feb Forecast'!L234</f>
        <v>0</v>
      </c>
      <c r="M234" s="105">
        <f>+'FY16 Tax Bill'!M234-'FY16 Feb Forecast'!M234</f>
        <v>0</v>
      </c>
      <c r="N234" s="106">
        <f>+'FY16 Tax Bill'!N234-'FY16 Feb Forecast'!N234</f>
        <v>0</v>
      </c>
      <c r="O234" s="107">
        <f>+'FY16 Tax Bill'!O234-'FY16 Feb Forecast'!O234</f>
        <v>798392</v>
      </c>
      <c r="P234" s="105">
        <f>+'FY16 Tax Bill'!P234-'FY16 Feb Forecast'!P234</f>
        <v>511050</v>
      </c>
      <c r="Q234" s="106">
        <f>+'FY16 Tax Bill'!Q234-'FY16 Feb Forecast'!Q234</f>
        <v>287342</v>
      </c>
      <c r="R234" s="105">
        <f>+'FY16 Tax Bill'!R234-'FY16 Feb Forecast'!R234</f>
        <v>424</v>
      </c>
      <c r="S234" s="105">
        <f>+'FY16 Tax Bill'!S234-'FY16 Feb Forecast'!S234</f>
        <v>271.40201805629317</v>
      </c>
      <c r="T234" s="108">
        <f>+'FY16 Tax Bill'!T234-'FY16 Feb Forecast'!T234</f>
        <v>152.59798194370686</v>
      </c>
    </row>
    <row r="235" spans="1:20" x14ac:dyDescent="0.2">
      <c r="A235" s="109">
        <v>748</v>
      </c>
      <c r="B235" s="110">
        <v>1</v>
      </c>
      <c r="C235" s="103" t="s">
        <v>353</v>
      </c>
      <c r="D235" s="103">
        <v>4</v>
      </c>
      <c r="E235" s="104">
        <f>+SUMIF('GE16FEB14 Unfudged'!$A$2:$A$498, $A235, 'GE16FEB14 Unfudged'!$D$2:$D$498)</f>
        <v>4095</v>
      </c>
      <c r="F235" s="104">
        <f>+'FY16 Tax Bill'!F235-'FY16 Feb Forecast'!F235</f>
        <v>39459</v>
      </c>
      <c r="G235" s="105">
        <f>+'FY16 Tax Bill'!G235-'FY16 Feb Forecast'!G235</f>
        <v>24205</v>
      </c>
      <c r="H235" s="106">
        <f>+'FY16 Tax Bill'!H235-'FY16 Feb Forecast'!H235</f>
        <v>15254</v>
      </c>
      <c r="I235" s="107">
        <f>+'FY16 Tax Bill'!I235-'FY16 Feb Forecast'!I235</f>
        <v>868097</v>
      </c>
      <c r="J235" s="105">
        <f>+'FY16 Tax Bill'!J235-'FY16 Feb Forecast'!J235</f>
        <v>532507</v>
      </c>
      <c r="K235" s="106">
        <f>+'FY16 Tax Bill'!K235-'FY16 Feb Forecast'!K235</f>
        <v>335590</v>
      </c>
      <c r="L235" s="107">
        <f>+'FY16 Tax Bill'!L235-'FY16 Feb Forecast'!L235</f>
        <v>-860686</v>
      </c>
      <c r="M235" s="105">
        <f>+'FY16 Tax Bill'!M235-'FY16 Feb Forecast'!M235</f>
        <v>-527960</v>
      </c>
      <c r="N235" s="106">
        <f>+'FY16 Tax Bill'!N235-'FY16 Feb Forecast'!N235</f>
        <v>-332726</v>
      </c>
      <c r="O235" s="107">
        <f>+'FY16 Tax Bill'!O235-'FY16 Feb Forecast'!O235</f>
        <v>46870</v>
      </c>
      <c r="P235" s="105">
        <f>+'FY16 Tax Bill'!P235-'FY16 Feb Forecast'!P235</f>
        <v>28752</v>
      </c>
      <c r="Q235" s="106">
        <f>+'FY16 Tax Bill'!Q235-'FY16 Feb Forecast'!Q235</f>
        <v>18118</v>
      </c>
      <c r="R235" s="105">
        <f>+'FY16 Tax Bill'!R235-'FY16 Feb Forecast'!R235</f>
        <v>11.445665445665441</v>
      </c>
      <c r="S235" s="105">
        <f>+'FY16 Tax Bill'!S235-'FY16 Feb Forecast'!S235</f>
        <v>7.0212454212453963</v>
      </c>
      <c r="T235" s="108">
        <f>+'FY16 Tax Bill'!T235-'FY16 Feb Forecast'!T235</f>
        <v>4.4244200244199874</v>
      </c>
    </row>
    <row r="236" spans="1:20" x14ac:dyDescent="0.2">
      <c r="A236" s="109">
        <v>750</v>
      </c>
      <c r="B236" s="110">
        <v>1</v>
      </c>
      <c r="C236" s="103" t="s">
        <v>354</v>
      </c>
      <c r="D236" s="103">
        <v>4</v>
      </c>
      <c r="E236" s="104">
        <f>+SUMIF('GE16FEB14 Unfudged'!$A$2:$A$498, $A236, 'GE16FEB14 Unfudged'!$D$2:$D$498)</f>
        <v>2214</v>
      </c>
      <c r="F236" s="104">
        <f>+'FY16 Tax Bill'!F236-'FY16 Feb Forecast'!F236</f>
        <v>708</v>
      </c>
      <c r="G236" s="105">
        <f>+'FY16 Tax Bill'!G236-'FY16 Feb Forecast'!G236</f>
        <v>604</v>
      </c>
      <c r="H236" s="106">
        <f>+'FY16 Tax Bill'!H236-'FY16 Feb Forecast'!H236</f>
        <v>104</v>
      </c>
      <c r="I236" s="107">
        <f>+'FY16 Tax Bill'!I236-'FY16 Feb Forecast'!I236</f>
        <v>469453</v>
      </c>
      <c r="J236" s="105">
        <f>+'FY16 Tax Bill'!J236-'FY16 Feb Forecast'!J236</f>
        <v>401013</v>
      </c>
      <c r="K236" s="106">
        <f>+'FY16 Tax Bill'!K236-'FY16 Feb Forecast'!K236</f>
        <v>68440</v>
      </c>
      <c r="L236" s="107">
        <f>+'FY16 Tax Bill'!L236-'FY16 Feb Forecast'!L236</f>
        <v>-15434</v>
      </c>
      <c r="M236" s="105">
        <f>+'FY16 Tax Bill'!M236-'FY16 Feb Forecast'!M236</f>
        <v>-13184</v>
      </c>
      <c r="N236" s="106">
        <f>+'FY16 Tax Bill'!N236-'FY16 Feb Forecast'!N236</f>
        <v>-2250</v>
      </c>
      <c r="O236" s="107">
        <f>+'FY16 Tax Bill'!O236-'FY16 Feb Forecast'!O236</f>
        <v>454727</v>
      </c>
      <c r="P236" s="105">
        <f>+'FY16 Tax Bill'!P236-'FY16 Feb Forecast'!P236</f>
        <v>388433</v>
      </c>
      <c r="Q236" s="106">
        <f>+'FY16 Tax Bill'!Q236-'FY16 Feb Forecast'!Q236</f>
        <v>66294</v>
      </c>
      <c r="R236" s="105">
        <f>+'FY16 Tax Bill'!R236-'FY16 Feb Forecast'!R236</f>
        <v>205.38708220415538</v>
      </c>
      <c r="S236" s="105">
        <f>+'FY16 Tax Bill'!S236-'FY16 Feb Forecast'!S236</f>
        <v>175.44399277326107</v>
      </c>
      <c r="T236" s="108">
        <f>+'FY16 Tax Bill'!T236-'FY16 Feb Forecast'!T236</f>
        <v>29.943089430894304</v>
      </c>
    </row>
    <row r="237" spans="1:20" x14ac:dyDescent="0.2">
      <c r="A237" s="109">
        <v>756</v>
      </c>
      <c r="B237" s="110">
        <v>1</v>
      </c>
      <c r="C237" s="103" t="s">
        <v>355</v>
      </c>
      <c r="D237" s="103">
        <v>6</v>
      </c>
      <c r="E237" s="104">
        <f>+SUMIF('GE16FEB14 Unfudged'!$A$2:$A$498, $A237, 'GE16FEB14 Unfudged'!$D$2:$D$498)</f>
        <v>746</v>
      </c>
      <c r="F237" s="104">
        <f>+'FY16 Tax Bill'!F237-'FY16 Feb Forecast'!F237</f>
        <v>13165</v>
      </c>
      <c r="G237" s="105">
        <f>+'FY16 Tax Bill'!G237-'FY16 Feb Forecast'!G237</f>
        <v>6685</v>
      </c>
      <c r="H237" s="106">
        <f>+'FY16 Tax Bill'!H237-'FY16 Feb Forecast'!H237</f>
        <v>6480</v>
      </c>
      <c r="I237" s="107">
        <f>+'FY16 Tax Bill'!I237-'FY16 Feb Forecast'!I237</f>
        <v>316240</v>
      </c>
      <c r="J237" s="105">
        <f>+'FY16 Tax Bill'!J237-'FY16 Feb Forecast'!J237</f>
        <v>160593</v>
      </c>
      <c r="K237" s="106">
        <f>+'FY16 Tax Bill'!K237-'FY16 Feb Forecast'!K237</f>
        <v>155647</v>
      </c>
      <c r="L237" s="107">
        <f>+'FY16 Tax Bill'!L237-'FY16 Feb Forecast'!L237</f>
        <v>-316241</v>
      </c>
      <c r="M237" s="105">
        <f>+'FY16 Tax Bill'!M237-'FY16 Feb Forecast'!M237</f>
        <v>-185145</v>
      </c>
      <c r="N237" s="106">
        <f>+'FY16 Tax Bill'!N237-'FY16 Feb Forecast'!N237</f>
        <v>-131096</v>
      </c>
      <c r="O237" s="107">
        <f>+'FY16 Tax Bill'!O237-'FY16 Feb Forecast'!O237</f>
        <v>13164</v>
      </c>
      <c r="P237" s="105">
        <f>+'FY16 Tax Bill'!P237-'FY16 Feb Forecast'!P237</f>
        <v>-17867</v>
      </c>
      <c r="Q237" s="106">
        <f>+'FY16 Tax Bill'!Q237-'FY16 Feb Forecast'!Q237</f>
        <v>31031</v>
      </c>
      <c r="R237" s="105">
        <f>+'FY16 Tax Bill'!R237-'FY16 Feb Forecast'!R237</f>
        <v>17.646112600536185</v>
      </c>
      <c r="S237" s="105">
        <f>+'FY16 Tax Bill'!S237-'FY16 Feb Forecast'!S237</f>
        <v>-23.950402144772113</v>
      </c>
      <c r="T237" s="108">
        <f>+'FY16 Tax Bill'!T237-'FY16 Feb Forecast'!T237</f>
        <v>41.596514745308298</v>
      </c>
    </row>
    <row r="238" spans="1:20" x14ac:dyDescent="0.2">
      <c r="A238" s="109">
        <v>761</v>
      </c>
      <c r="B238" s="110">
        <v>1</v>
      </c>
      <c r="C238" s="103" t="s">
        <v>356</v>
      </c>
      <c r="D238" s="103">
        <v>4</v>
      </c>
      <c r="E238" s="104">
        <f>+SUMIF('GE16FEB14 Unfudged'!$A$2:$A$498, $A238, 'GE16FEB14 Unfudged'!$D$2:$D$498)</f>
        <v>5134</v>
      </c>
      <c r="F238" s="104">
        <f>+'FY16 Tax Bill'!F238-'FY16 Feb Forecast'!F238</f>
        <v>22234</v>
      </c>
      <c r="G238" s="105">
        <f>+'FY16 Tax Bill'!G238-'FY16 Feb Forecast'!G238</f>
        <v>15266</v>
      </c>
      <c r="H238" s="106">
        <f>+'FY16 Tax Bill'!H238-'FY16 Feb Forecast'!H238</f>
        <v>6968</v>
      </c>
      <c r="I238" s="107">
        <f>+'FY16 Tax Bill'!I238-'FY16 Feb Forecast'!I238</f>
        <v>1088323</v>
      </c>
      <c r="J238" s="105">
        <f>+'FY16 Tax Bill'!J238-'FY16 Feb Forecast'!J238</f>
        <v>747252</v>
      </c>
      <c r="K238" s="106">
        <f>+'FY16 Tax Bill'!K238-'FY16 Feb Forecast'!K238</f>
        <v>341071</v>
      </c>
      <c r="L238" s="107">
        <f>+'FY16 Tax Bill'!L238-'FY16 Feb Forecast'!L238</f>
        <v>-1088324</v>
      </c>
      <c r="M238" s="105">
        <f>+'FY16 Tax Bill'!M238-'FY16 Feb Forecast'!M238</f>
        <v>-937368</v>
      </c>
      <c r="N238" s="106">
        <f>+'FY16 Tax Bill'!N238-'FY16 Feb Forecast'!N238</f>
        <v>-150956</v>
      </c>
      <c r="O238" s="107">
        <f>+'FY16 Tax Bill'!O238-'FY16 Feb Forecast'!O238</f>
        <v>22233</v>
      </c>
      <c r="P238" s="105">
        <f>+'FY16 Tax Bill'!P238-'FY16 Feb Forecast'!P238</f>
        <v>-174850</v>
      </c>
      <c r="Q238" s="106">
        <f>+'FY16 Tax Bill'!Q238-'FY16 Feb Forecast'!Q238</f>
        <v>197083</v>
      </c>
      <c r="R238" s="105">
        <f>+'FY16 Tax Bill'!R238-'FY16 Feb Forecast'!R238</f>
        <v>4.3305414881183424</v>
      </c>
      <c r="S238" s="105">
        <f>+'FY16 Tax Bill'!S238-'FY16 Feb Forecast'!S238</f>
        <v>-34.057265290222063</v>
      </c>
      <c r="T238" s="108">
        <f>+'FY16 Tax Bill'!T238-'FY16 Feb Forecast'!T238</f>
        <v>38.387806778340519</v>
      </c>
    </row>
    <row r="239" spans="1:20" x14ac:dyDescent="0.2">
      <c r="A239" s="109">
        <v>763</v>
      </c>
      <c r="B239" s="110">
        <v>1</v>
      </c>
      <c r="C239" s="103" t="s">
        <v>357</v>
      </c>
      <c r="D239" s="103">
        <v>6</v>
      </c>
      <c r="E239" s="104">
        <f>+SUMIF('GE16FEB14 Unfudged'!$A$2:$A$498, $A239, 'GE16FEB14 Unfudged'!$D$2:$D$498)</f>
        <v>928</v>
      </c>
      <c r="F239" s="104">
        <f>+'FY16 Tax Bill'!F239-'FY16 Feb Forecast'!F239</f>
        <v>0</v>
      </c>
      <c r="G239" s="105">
        <f>+'FY16 Tax Bill'!G239-'FY16 Feb Forecast'!G239</f>
        <v>0</v>
      </c>
      <c r="H239" s="106">
        <f>+'FY16 Tax Bill'!H239-'FY16 Feb Forecast'!H239</f>
        <v>0</v>
      </c>
      <c r="I239" s="107">
        <f>+'FY16 Tax Bill'!I239-'FY16 Feb Forecast'!I239</f>
        <v>393302</v>
      </c>
      <c r="J239" s="105">
        <f>+'FY16 Tax Bill'!J239-'FY16 Feb Forecast'!J239</f>
        <v>234465</v>
      </c>
      <c r="K239" s="106">
        <f>+'FY16 Tax Bill'!K239-'FY16 Feb Forecast'!K239</f>
        <v>158837</v>
      </c>
      <c r="L239" s="107">
        <f>+'FY16 Tax Bill'!L239-'FY16 Feb Forecast'!L239</f>
        <v>0</v>
      </c>
      <c r="M239" s="105">
        <f>+'FY16 Tax Bill'!M239-'FY16 Feb Forecast'!M239</f>
        <v>0</v>
      </c>
      <c r="N239" s="106">
        <f>+'FY16 Tax Bill'!N239-'FY16 Feb Forecast'!N239</f>
        <v>0</v>
      </c>
      <c r="O239" s="107">
        <f>+'FY16 Tax Bill'!O239-'FY16 Feb Forecast'!O239</f>
        <v>393302</v>
      </c>
      <c r="P239" s="105">
        <f>+'FY16 Tax Bill'!P239-'FY16 Feb Forecast'!P239</f>
        <v>234465</v>
      </c>
      <c r="Q239" s="106">
        <f>+'FY16 Tax Bill'!Q239-'FY16 Feb Forecast'!Q239</f>
        <v>158837</v>
      </c>
      <c r="R239" s="105">
        <f>+'FY16 Tax Bill'!R239-'FY16 Feb Forecast'!R239</f>
        <v>423.81681034482756</v>
      </c>
      <c r="S239" s="105">
        <f>+'FY16 Tax Bill'!S239-'FY16 Feb Forecast'!S239</f>
        <v>252.65624999999997</v>
      </c>
      <c r="T239" s="108">
        <f>+'FY16 Tax Bill'!T239-'FY16 Feb Forecast'!T239</f>
        <v>171.16056034482762</v>
      </c>
    </row>
    <row r="240" spans="1:20" x14ac:dyDescent="0.2">
      <c r="A240" s="109">
        <v>768</v>
      </c>
      <c r="B240" s="110">
        <v>1</v>
      </c>
      <c r="C240" s="103" t="s">
        <v>358</v>
      </c>
      <c r="D240" s="103">
        <v>6</v>
      </c>
      <c r="E240" s="104">
        <f>+SUMIF('GE16FEB14 Unfudged'!$A$2:$A$498, $A240, 'GE16FEB14 Unfudged'!$D$2:$D$498)</f>
        <v>356</v>
      </c>
      <c r="F240" s="104">
        <f>+'FY16 Tax Bill'!F240-'FY16 Feb Forecast'!F240</f>
        <v>5212</v>
      </c>
      <c r="G240" s="105">
        <f>+'FY16 Tax Bill'!G240-'FY16 Feb Forecast'!G240</f>
        <v>1919</v>
      </c>
      <c r="H240" s="106">
        <f>+'FY16 Tax Bill'!H240-'FY16 Feb Forecast'!H240</f>
        <v>3293</v>
      </c>
      <c r="I240" s="107">
        <f>+'FY16 Tax Bill'!I240-'FY16 Feb Forecast'!I240</f>
        <v>151114</v>
      </c>
      <c r="J240" s="105">
        <f>+'FY16 Tax Bill'!J240-'FY16 Feb Forecast'!J240</f>
        <v>55631</v>
      </c>
      <c r="K240" s="106">
        <f>+'FY16 Tax Bill'!K240-'FY16 Feb Forecast'!K240</f>
        <v>95483</v>
      </c>
      <c r="L240" s="107">
        <f>+'FY16 Tax Bill'!L240-'FY16 Feb Forecast'!L240</f>
        <v>-151113</v>
      </c>
      <c r="M240" s="105">
        <f>+'FY16 Tax Bill'!M240-'FY16 Feb Forecast'!M240</f>
        <v>-84624</v>
      </c>
      <c r="N240" s="106">
        <f>+'FY16 Tax Bill'!N240-'FY16 Feb Forecast'!N240</f>
        <v>-66489</v>
      </c>
      <c r="O240" s="107">
        <f>+'FY16 Tax Bill'!O240-'FY16 Feb Forecast'!O240</f>
        <v>5213</v>
      </c>
      <c r="P240" s="105">
        <f>+'FY16 Tax Bill'!P240-'FY16 Feb Forecast'!P240</f>
        <v>-27074</v>
      </c>
      <c r="Q240" s="106">
        <f>+'FY16 Tax Bill'!Q240-'FY16 Feb Forecast'!Q240</f>
        <v>32287</v>
      </c>
      <c r="R240" s="105">
        <f>+'FY16 Tax Bill'!R240-'FY16 Feb Forecast'!R240</f>
        <v>14.643258426966213</v>
      </c>
      <c r="S240" s="105">
        <f>+'FY16 Tax Bill'!S240-'FY16 Feb Forecast'!S240</f>
        <v>-76.050561797752835</v>
      </c>
      <c r="T240" s="108">
        <f>+'FY16 Tax Bill'!T240-'FY16 Feb Forecast'!T240</f>
        <v>90.693820224719161</v>
      </c>
    </row>
    <row r="241" spans="1:20" x14ac:dyDescent="0.2">
      <c r="A241" s="109">
        <v>771</v>
      </c>
      <c r="B241" s="110">
        <v>1</v>
      </c>
      <c r="C241" s="103" t="s">
        <v>359</v>
      </c>
      <c r="D241" s="103">
        <v>6</v>
      </c>
      <c r="E241" s="104">
        <f>+SUMIF('GE16FEB14 Unfudged'!$A$2:$A$498, $A241, 'GE16FEB14 Unfudged'!$D$2:$D$498)</f>
        <v>172</v>
      </c>
      <c r="F241" s="104">
        <f>+'FY16 Tax Bill'!F241-'FY16 Feb Forecast'!F241</f>
        <v>0</v>
      </c>
      <c r="G241" s="105">
        <f>+'FY16 Tax Bill'!G241-'FY16 Feb Forecast'!G241</f>
        <v>0</v>
      </c>
      <c r="H241" s="106">
        <f>+'FY16 Tax Bill'!H241-'FY16 Feb Forecast'!H241</f>
        <v>0</v>
      </c>
      <c r="I241" s="107">
        <f>+'FY16 Tax Bill'!I241-'FY16 Feb Forecast'!I241</f>
        <v>72758</v>
      </c>
      <c r="J241" s="105">
        <f>+'FY16 Tax Bill'!J241-'FY16 Feb Forecast'!J241</f>
        <v>35245</v>
      </c>
      <c r="K241" s="106">
        <f>+'FY16 Tax Bill'!K241-'FY16 Feb Forecast'!K241</f>
        <v>37513</v>
      </c>
      <c r="L241" s="107">
        <f>+'FY16 Tax Bill'!L241-'FY16 Feb Forecast'!L241</f>
        <v>-72759</v>
      </c>
      <c r="M241" s="105">
        <f>+'FY16 Tax Bill'!M241-'FY16 Feb Forecast'!M241</f>
        <v>-65173</v>
      </c>
      <c r="N241" s="106">
        <f>+'FY16 Tax Bill'!N241-'FY16 Feb Forecast'!N241</f>
        <v>-7586</v>
      </c>
      <c r="O241" s="107">
        <f>+'FY16 Tax Bill'!O241-'FY16 Feb Forecast'!O241</f>
        <v>-1</v>
      </c>
      <c r="P241" s="105">
        <f>+'FY16 Tax Bill'!P241-'FY16 Feb Forecast'!P241</f>
        <v>-29928</v>
      </c>
      <c r="Q241" s="106">
        <f>+'FY16 Tax Bill'!Q241-'FY16 Feb Forecast'!Q241</f>
        <v>29927</v>
      </c>
      <c r="R241" s="105">
        <f>+'FY16 Tax Bill'!R241-'FY16 Feb Forecast'!R241</f>
        <v>-5.8139534885413013E-3</v>
      </c>
      <c r="S241" s="105">
        <f>+'FY16 Tax Bill'!S241-'FY16 Feb Forecast'!S241</f>
        <v>-174</v>
      </c>
      <c r="T241" s="108">
        <f>+'FY16 Tax Bill'!T241-'FY16 Feb Forecast'!T241</f>
        <v>173.99418604651169</v>
      </c>
    </row>
    <row r="242" spans="1:20" x14ac:dyDescent="0.2">
      <c r="A242" s="109">
        <v>775</v>
      </c>
      <c r="B242" s="110">
        <v>1</v>
      </c>
      <c r="C242" s="103" t="s">
        <v>360</v>
      </c>
      <c r="D242" s="103">
        <v>6</v>
      </c>
      <c r="E242" s="104">
        <f>+SUMIF('GE16FEB14 Unfudged'!$A$2:$A$498, $A242, 'GE16FEB14 Unfudged'!$D$2:$D$498)</f>
        <v>633</v>
      </c>
      <c r="F242" s="104">
        <f>+'FY16 Tax Bill'!F242-'FY16 Feb Forecast'!F242</f>
        <v>1565</v>
      </c>
      <c r="G242" s="105">
        <f>+'FY16 Tax Bill'!G242-'FY16 Feb Forecast'!G242</f>
        <v>871</v>
      </c>
      <c r="H242" s="106">
        <f>+'FY16 Tax Bill'!H242-'FY16 Feb Forecast'!H242</f>
        <v>694</v>
      </c>
      <c r="I242" s="107">
        <f>+'FY16 Tax Bill'!I242-'FY16 Feb Forecast'!I242</f>
        <v>268434</v>
      </c>
      <c r="J242" s="105">
        <f>+'FY16 Tax Bill'!J242-'FY16 Feb Forecast'!J242</f>
        <v>149417</v>
      </c>
      <c r="K242" s="106">
        <f>+'FY16 Tax Bill'!K242-'FY16 Feb Forecast'!K242</f>
        <v>119017</v>
      </c>
      <c r="L242" s="107">
        <f>+'FY16 Tax Bill'!L242-'FY16 Feb Forecast'!L242</f>
        <v>-34137</v>
      </c>
      <c r="M242" s="105">
        <f>+'FY16 Tax Bill'!M242-'FY16 Feb Forecast'!M242</f>
        <v>-19002</v>
      </c>
      <c r="N242" s="106">
        <f>+'FY16 Tax Bill'!N242-'FY16 Feb Forecast'!N242</f>
        <v>-15135</v>
      </c>
      <c r="O242" s="107">
        <f>+'FY16 Tax Bill'!O242-'FY16 Feb Forecast'!O242</f>
        <v>235862</v>
      </c>
      <c r="P242" s="105">
        <f>+'FY16 Tax Bill'!P242-'FY16 Feb Forecast'!P242</f>
        <v>131286</v>
      </c>
      <c r="Q242" s="106">
        <f>+'FY16 Tax Bill'!Q242-'FY16 Feb Forecast'!Q242</f>
        <v>104576</v>
      </c>
      <c r="R242" s="105">
        <f>+'FY16 Tax Bill'!R242-'FY16 Feb Forecast'!R242</f>
        <v>372.60979462875201</v>
      </c>
      <c r="S242" s="105">
        <f>+'FY16 Tax Bill'!S242-'FY16 Feb Forecast'!S242</f>
        <v>207.40284360189574</v>
      </c>
      <c r="T242" s="108">
        <f>+'FY16 Tax Bill'!T242-'FY16 Feb Forecast'!T242</f>
        <v>165.20695102685625</v>
      </c>
    </row>
    <row r="243" spans="1:20" x14ac:dyDescent="0.2">
      <c r="A243" s="109">
        <v>777</v>
      </c>
      <c r="B243" s="110">
        <v>1</v>
      </c>
      <c r="C243" s="103" t="s">
        <v>361</v>
      </c>
      <c r="D243" s="103">
        <v>6</v>
      </c>
      <c r="E243" s="104">
        <f>+SUMIF('GE16FEB14 Unfudged'!$A$2:$A$498, $A243, 'GE16FEB14 Unfudged'!$D$2:$D$498)</f>
        <v>922</v>
      </c>
      <c r="F243" s="104">
        <f>+'FY16 Tax Bill'!F243-'FY16 Feb Forecast'!F243</f>
        <v>11274</v>
      </c>
      <c r="G243" s="105">
        <f>+'FY16 Tax Bill'!G243-'FY16 Feb Forecast'!G243</f>
        <v>7270</v>
      </c>
      <c r="H243" s="106">
        <f>+'FY16 Tax Bill'!H243-'FY16 Feb Forecast'!H243</f>
        <v>4004</v>
      </c>
      <c r="I243" s="107">
        <f>+'FY16 Tax Bill'!I243-'FY16 Feb Forecast'!I243</f>
        <v>391013</v>
      </c>
      <c r="J243" s="105">
        <f>+'FY16 Tax Bill'!J243-'FY16 Feb Forecast'!J243</f>
        <v>252170</v>
      </c>
      <c r="K243" s="106">
        <f>+'FY16 Tax Bill'!K243-'FY16 Feb Forecast'!K243</f>
        <v>138843</v>
      </c>
      <c r="L243" s="107">
        <f>+'FY16 Tax Bill'!L243-'FY16 Feb Forecast'!L243</f>
        <v>-391013</v>
      </c>
      <c r="M243" s="105">
        <f>+'FY16 Tax Bill'!M243-'FY16 Feb Forecast'!M243</f>
        <v>-391013</v>
      </c>
      <c r="N243" s="106">
        <f>+'FY16 Tax Bill'!N243-'FY16 Feb Forecast'!N243</f>
        <v>0</v>
      </c>
      <c r="O243" s="107">
        <f>+'FY16 Tax Bill'!O243-'FY16 Feb Forecast'!O243</f>
        <v>11274</v>
      </c>
      <c r="P243" s="105">
        <f>+'FY16 Tax Bill'!P243-'FY16 Feb Forecast'!P243</f>
        <v>-131573</v>
      </c>
      <c r="Q243" s="106">
        <f>+'FY16 Tax Bill'!Q243-'FY16 Feb Forecast'!Q243</f>
        <v>142847</v>
      </c>
      <c r="R243" s="105">
        <f>+'FY16 Tax Bill'!R243-'FY16 Feb Forecast'!R243</f>
        <v>12.227765726681127</v>
      </c>
      <c r="S243" s="105">
        <f>+'FY16 Tax Bill'!S243-'FY16 Feb Forecast'!S243</f>
        <v>-142.70390455531458</v>
      </c>
      <c r="T243" s="108">
        <f>+'FY16 Tax Bill'!T243-'FY16 Feb Forecast'!T243</f>
        <v>154.93167028199571</v>
      </c>
    </row>
    <row r="244" spans="1:20" x14ac:dyDescent="0.2">
      <c r="A244" s="109">
        <v>786</v>
      </c>
      <c r="B244" s="110">
        <v>1</v>
      </c>
      <c r="C244" s="103" t="s">
        <v>362</v>
      </c>
      <c r="D244" s="103">
        <v>6</v>
      </c>
      <c r="E244" s="104">
        <f>+SUMIF('GE16FEB14 Unfudged'!$A$2:$A$498, $A244, 'GE16FEB14 Unfudged'!$D$2:$D$498)</f>
        <v>399</v>
      </c>
      <c r="F244" s="104">
        <f>+'FY16 Tax Bill'!F244-'FY16 Feb Forecast'!F244</f>
        <v>6930</v>
      </c>
      <c r="G244" s="105">
        <f>+'FY16 Tax Bill'!G244-'FY16 Feb Forecast'!G244</f>
        <v>3184</v>
      </c>
      <c r="H244" s="106">
        <f>+'FY16 Tax Bill'!H244-'FY16 Feb Forecast'!H244</f>
        <v>3746</v>
      </c>
      <c r="I244" s="107">
        <f>+'FY16 Tax Bill'!I244-'FY16 Feb Forecast'!I244</f>
        <v>168964</v>
      </c>
      <c r="J244" s="105">
        <f>+'FY16 Tax Bill'!J244-'FY16 Feb Forecast'!J244</f>
        <v>77623</v>
      </c>
      <c r="K244" s="106">
        <f>+'FY16 Tax Bill'!K244-'FY16 Feb Forecast'!K244</f>
        <v>91341</v>
      </c>
      <c r="L244" s="107">
        <f>+'FY16 Tax Bill'!L244-'FY16 Feb Forecast'!L244</f>
        <v>-152713</v>
      </c>
      <c r="M244" s="105">
        <f>+'FY16 Tax Bill'!M244-'FY16 Feb Forecast'!M244</f>
        <v>-53620</v>
      </c>
      <c r="N244" s="106">
        <f>+'FY16 Tax Bill'!N244-'FY16 Feb Forecast'!N244</f>
        <v>-99093</v>
      </c>
      <c r="O244" s="107">
        <f>+'FY16 Tax Bill'!O244-'FY16 Feb Forecast'!O244</f>
        <v>23181</v>
      </c>
      <c r="P244" s="105">
        <f>+'FY16 Tax Bill'!P244-'FY16 Feb Forecast'!P244</f>
        <v>27187</v>
      </c>
      <c r="Q244" s="106">
        <f>+'FY16 Tax Bill'!Q244-'FY16 Feb Forecast'!Q244</f>
        <v>-4006</v>
      </c>
      <c r="R244" s="105">
        <f>+'FY16 Tax Bill'!R244-'FY16 Feb Forecast'!R244</f>
        <v>58.097744360902198</v>
      </c>
      <c r="S244" s="105">
        <f>+'FY16 Tax Bill'!S244-'FY16 Feb Forecast'!S244</f>
        <v>68.137844611528863</v>
      </c>
      <c r="T244" s="108">
        <f>+'FY16 Tax Bill'!T244-'FY16 Feb Forecast'!T244</f>
        <v>-10.040100250626551</v>
      </c>
    </row>
    <row r="245" spans="1:20" x14ac:dyDescent="0.2">
      <c r="A245" s="109">
        <v>787</v>
      </c>
      <c r="B245" s="110">
        <v>1</v>
      </c>
      <c r="C245" s="103" t="s">
        <v>363</v>
      </c>
      <c r="D245" s="103">
        <v>6</v>
      </c>
      <c r="E245" s="104">
        <f>+SUMIF('GE16FEB14 Unfudged'!$A$2:$A$498, $A245, 'GE16FEB14 Unfudged'!$D$2:$D$498)</f>
        <v>396</v>
      </c>
      <c r="F245" s="104">
        <f>+'FY16 Tax Bill'!F245-'FY16 Feb Forecast'!F245</f>
        <v>0</v>
      </c>
      <c r="G245" s="105">
        <f>+'FY16 Tax Bill'!G245-'FY16 Feb Forecast'!G245</f>
        <v>0</v>
      </c>
      <c r="H245" s="106">
        <f>+'FY16 Tax Bill'!H245-'FY16 Feb Forecast'!H245</f>
        <v>0</v>
      </c>
      <c r="I245" s="107">
        <f>+'FY16 Tax Bill'!I245-'FY16 Feb Forecast'!I245</f>
        <v>167989</v>
      </c>
      <c r="J245" s="105">
        <f>+'FY16 Tax Bill'!J245-'FY16 Feb Forecast'!J245</f>
        <v>135457</v>
      </c>
      <c r="K245" s="106">
        <f>+'FY16 Tax Bill'!K245-'FY16 Feb Forecast'!K245</f>
        <v>32532</v>
      </c>
      <c r="L245" s="107">
        <f>+'FY16 Tax Bill'!L245-'FY16 Feb Forecast'!L245</f>
        <v>0</v>
      </c>
      <c r="M245" s="105">
        <f>+'FY16 Tax Bill'!M245-'FY16 Feb Forecast'!M245</f>
        <v>15823</v>
      </c>
      <c r="N245" s="106">
        <f>+'FY16 Tax Bill'!N245-'FY16 Feb Forecast'!N245</f>
        <v>-15823</v>
      </c>
      <c r="O245" s="107">
        <f>+'FY16 Tax Bill'!O245-'FY16 Feb Forecast'!O245</f>
        <v>167989</v>
      </c>
      <c r="P245" s="105">
        <f>+'FY16 Tax Bill'!P245-'FY16 Feb Forecast'!P245</f>
        <v>151280</v>
      </c>
      <c r="Q245" s="106">
        <f>+'FY16 Tax Bill'!Q245-'FY16 Feb Forecast'!Q245</f>
        <v>16709</v>
      </c>
      <c r="R245" s="105">
        <f>+'FY16 Tax Bill'!R245-'FY16 Feb Forecast'!R245</f>
        <v>424.21464646464653</v>
      </c>
      <c r="S245" s="105">
        <f>+'FY16 Tax Bill'!S245-'FY16 Feb Forecast'!S245</f>
        <v>382.02020202020202</v>
      </c>
      <c r="T245" s="108">
        <f>+'FY16 Tax Bill'!T245-'FY16 Feb Forecast'!T245</f>
        <v>42.194444444444429</v>
      </c>
    </row>
    <row r="246" spans="1:20" x14ac:dyDescent="0.2">
      <c r="A246" s="109">
        <v>801</v>
      </c>
      <c r="B246" s="110">
        <v>1</v>
      </c>
      <c r="C246" s="103" t="s">
        <v>364</v>
      </c>
      <c r="D246" s="103">
        <v>6</v>
      </c>
      <c r="E246" s="104">
        <f>+SUMIF('GE16FEB14 Unfudged'!$A$2:$A$498, $A246, 'GE16FEB14 Unfudged'!$D$2:$D$498)</f>
        <v>104</v>
      </c>
      <c r="F246" s="104">
        <f>+'FY16 Tax Bill'!F246-'FY16 Feb Forecast'!F246</f>
        <v>826</v>
      </c>
      <c r="G246" s="105">
        <f>+'FY16 Tax Bill'!G246-'FY16 Feb Forecast'!G246</f>
        <v>327</v>
      </c>
      <c r="H246" s="106">
        <f>+'FY16 Tax Bill'!H246-'FY16 Feb Forecast'!H246</f>
        <v>499</v>
      </c>
      <c r="I246" s="107">
        <f>+'FY16 Tax Bill'!I246-'FY16 Feb Forecast'!I246</f>
        <v>44096</v>
      </c>
      <c r="J246" s="105">
        <f>+'FY16 Tax Bill'!J246-'FY16 Feb Forecast'!J246</f>
        <v>17455</v>
      </c>
      <c r="K246" s="106">
        <f>+'FY16 Tax Bill'!K246-'FY16 Feb Forecast'!K246</f>
        <v>26641</v>
      </c>
      <c r="L246" s="107">
        <f>+'FY16 Tax Bill'!L246-'FY16 Feb Forecast'!L246</f>
        <v>-44096</v>
      </c>
      <c r="M246" s="105">
        <f>+'FY16 Tax Bill'!M246-'FY16 Feb Forecast'!M246</f>
        <v>-30698</v>
      </c>
      <c r="N246" s="106">
        <f>+'FY16 Tax Bill'!N246-'FY16 Feb Forecast'!N246</f>
        <v>-13398</v>
      </c>
      <c r="O246" s="107">
        <f>+'FY16 Tax Bill'!O246-'FY16 Feb Forecast'!O246</f>
        <v>826</v>
      </c>
      <c r="P246" s="105">
        <f>+'FY16 Tax Bill'!P246-'FY16 Feb Forecast'!P246</f>
        <v>-12916</v>
      </c>
      <c r="Q246" s="106">
        <f>+'FY16 Tax Bill'!Q246-'FY16 Feb Forecast'!Q246</f>
        <v>13742</v>
      </c>
      <c r="R246" s="105">
        <f>+'FY16 Tax Bill'!R246-'FY16 Feb Forecast'!R246</f>
        <v>7.9423076923076223</v>
      </c>
      <c r="S246" s="105">
        <f>+'FY16 Tax Bill'!S246-'FY16 Feb Forecast'!S246</f>
        <v>-124.19230769230774</v>
      </c>
      <c r="T246" s="108">
        <f>+'FY16 Tax Bill'!T246-'FY16 Feb Forecast'!T246</f>
        <v>132.13461538461536</v>
      </c>
    </row>
    <row r="247" spans="1:20" x14ac:dyDescent="0.2">
      <c r="A247" s="109">
        <v>803</v>
      </c>
      <c r="B247" s="110">
        <v>1</v>
      </c>
      <c r="C247" s="103" t="s">
        <v>365</v>
      </c>
      <c r="D247" s="103">
        <v>6</v>
      </c>
      <c r="E247" s="104">
        <f>+SUMIF('GE16FEB14 Unfudged'!$A$2:$A$498, $A247, 'GE16FEB14 Unfudged'!$D$2:$D$498)</f>
        <v>366</v>
      </c>
      <c r="F247" s="104">
        <f>+'FY16 Tax Bill'!F247-'FY16 Feb Forecast'!F247</f>
        <v>2429</v>
      </c>
      <c r="G247" s="105">
        <f>+'FY16 Tax Bill'!G247-'FY16 Feb Forecast'!G247</f>
        <v>1214</v>
      </c>
      <c r="H247" s="106">
        <f>+'FY16 Tax Bill'!H247-'FY16 Feb Forecast'!H247</f>
        <v>1215</v>
      </c>
      <c r="I247" s="107">
        <f>+'FY16 Tax Bill'!I247-'FY16 Feb Forecast'!I247</f>
        <v>155057</v>
      </c>
      <c r="J247" s="105">
        <f>+'FY16 Tax Bill'!J247-'FY16 Feb Forecast'!J247</f>
        <v>77493</v>
      </c>
      <c r="K247" s="106">
        <f>+'FY16 Tax Bill'!K247-'FY16 Feb Forecast'!K247</f>
        <v>77564</v>
      </c>
      <c r="L247" s="107">
        <f>+'FY16 Tax Bill'!L247-'FY16 Feb Forecast'!L247</f>
        <v>-155057</v>
      </c>
      <c r="M247" s="105">
        <f>+'FY16 Tax Bill'!M247-'FY16 Feb Forecast'!M247</f>
        <v>-136281</v>
      </c>
      <c r="N247" s="106">
        <f>+'FY16 Tax Bill'!N247-'FY16 Feb Forecast'!N247</f>
        <v>-18776</v>
      </c>
      <c r="O247" s="107">
        <f>+'FY16 Tax Bill'!O247-'FY16 Feb Forecast'!O247</f>
        <v>2429</v>
      </c>
      <c r="P247" s="105">
        <f>+'FY16 Tax Bill'!P247-'FY16 Feb Forecast'!P247</f>
        <v>-57574</v>
      </c>
      <c r="Q247" s="106">
        <f>+'FY16 Tax Bill'!Q247-'FY16 Feb Forecast'!Q247</f>
        <v>60003</v>
      </c>
      <c r="R247" s="105">
        <f>+'FY16 Tax Bill'!R247-'FY16 Feb Forecast'!R247</f>
        <v>6.6366120218578999</v>
      </c>
      <c r="S247" s="105">
        <f>+'FY16 Tax Bill'!S247-'FY16 Feb Forecast'!S247</f>
        <v>-157.30601092896177</v>
      </c>
      <c r="T247" s="108">
        <f>+'FY16 Tax Bill'!T247-'FY16 Feb Forecast'!T247</f>
        <v>163.94262295081967</v>
      </c>
    </row>
    <row r="248" spans="1:20" x14ac:dyDescent="0.2">
      <c r="A248" s="109">
        <v>811</v>
      </c>
      <c r="B248" s="110">
        <v>1</v>
      </c>
      <c r="C248" s="103" t="s">
        <v>366</v>
      </c>
      <c r="D248" s="103">
        <v>6</v>
      </c>
      <c r="E248" s="104">
        <f>+SUMIF('GE16FEB14 Unfudged'!$A$2:$A$498, $A248, 'GE16FEB14 Unfudged'!$D$2:$D$498)</f>
        <v>629</v>
      </c>
      <c r="F248" s="104">
        <f>+'FY16 Tax Bill'!F248-'FY16 Feb Forecast'!F248</f>
        <v>8403</v>
      </c>
      <c r="G248" s="105">
        <f>+'FY16 Tax Bill'!G248-'FY16 Feb Forecast'!G248</f>
        <v>8403</v>
      </c>
      <c r="H248" s="106">
        <f>+'FY16 Tax Bill'!H248-'FY16 Feb Forecast'!H248</f>
        <v>0</v>
      </c>
      <c r="I248" s="107">
        <f>+'FY16 Tax Bill'!I248-'FY16 Feb Forecast'!I248</f>
        <v>266781</v>
      </c>
      <c r="J248" s="105">
        <f>+'FY16 Tax Bill'!J248-'FY16 Feb Forecast'!J248</f>
        <v>266781</v>
      </c>
      <c r="K248" s="106">
        <f>+'FY16 Tax Bill'!K248-'FY16 Feb Forecast'!K248</f>
        <v>0</v>
      </c>
      <c r="L248" s="107">
        <f>+'FY16 Tax Bill'!L248-'FY16 Feb Forecast'!L248</f>
        <v>-266781</v>
      </c>
      <c r="M248" s="105">
        <f>+'FY16 Tax Bill'!M248-'FY16 Feb Forecast'!M248</f>
        <v>-266781</v>
      </c>
      <c r="N248" s="106">
        <f>+'FY16 Tax Bill'!N248-'FY16 Feb Forecast'!N248</f>
        <v>0</v>
      </c>
      <c r="O248" s="107">
        <f>+'FY16 Tax Bill'!O248-'FY16 Feb Forecast'!O248</f>
        <v>8403</v>
      </c>
      <c r="P248" s="105">
        <f>+'FY16 Tax Bill'!P248-'FY16 Feb Forecast'!P248</f>
        <v>8403</v>
      </c>
      <c r="Q248" s="106">
        <f>+'FY16 Tax Bill'!Q248-'FY16 Feb Forecast'!Q248</f>
        <v>0</v>
      </c>
      <c r="R248" s="105">
        <f>+'FY16 Tax Bill'!R248-'FY16 Feb Forecast'!R248</f>
        <v>13.35930047694751</v>
      </c>
      <c r="S248" s="105">
        <f>+'FY16 Tax Bill'!S248-'FY16 Feb Forecast'!S248</f>
        <v>13.35930047694751</v>
      </c>
      <c r="T248" s="108">
        <f>+'FY16 Tax Bill'!T248-'FY16 Feb Forecast'!T248</f>
        <v>0</v>
      </c>
    </row>
    <row r="249" spans="1:20" x14ac:dyDescent="0.2">
      <c r="A249" s="109">
        <v>813</v>
      </c>
      <c r="B249" s="110">
        <v>1</v>
      </c>
      <c r="C249" s="103" t="s">
        <v>367</v>
      </c>
      <c r="D249" s="103">
        <v>5</v>
      </c>
      <c r="E249" s="104">
        <f>+SUMIF('GE16FEB14 Unfudged'!$A$2:$A$498, $A249, 'GE16FEB14 Unfudged'!$D$2:$D$498)</f>
        <v>1314</v>
      </c>
      <c r="F249" s="104">
        <f>+'FY16 Tax Bill'!F249-'FY16 Feb Forecast'!F249</f>
        <v>20462</v>
      </c>
      <c r="G249" s="105">
        <f>+'FY16 Tax Bill'!G249-'FY16 Feb Forecast'!G249</f>
        <v>20462</v>
      </c>
      <c r="H249" s="106">
        <f>+'FY16 Tax Bill'!H249-'FY16 Feb Forecast'!H249</f>
        <v>0</v>
      </c>
      <c r="I249" s="107">
        <f>+'FY16 Tax Bill'!I249-'FY16 Feb Forecast'!I249</f>
        <v>557263</v>
      </c>
      <c r="J249" s="105">
        <f>+'FY16 Tax Bill'!J249-'FY16 Feb Forecast'!J249</f>
        <v>557263</v>
      </c>
      <c r="K249" s="106">
        <f>+'FY16 Tax Bill'!K249-'FY16 Feb Forecast'!K249</f>
        <v>0</v>
      </c>
      <c r="L249" s="107">
        <f>+'FY16 Tax Bill'!L249-'FY16 Feb Forecast'!L249</f>
        <v>-557263</v>
      </c>
      <c r="M249" s="105">
        <f>+'FY16 Tax Bill'!M249-'FY16 Feb Forecast'!M249</f>
        <v>-557263</v>
      </c>
      <c r="N249" s="106">
        <f>+'FY16 Tax Bill'!N249-'FY16 Feb Forecast'!N249</f>
        <v>0</v>
      </c>
      <c r="O249" s="107">
        <f>+'FY16 Tax Bill'!O249-'FY16 Feb Forecast'!O249</f>
        <v>20462</v>
      </c>
      <c r="P249" s="105">
        <f>+'FY16 Tax Bill'!P249-'FY16 Feb Forecast'!P249</f>
        <v>20462</v>
      </c>
      <c r="Q249" s="106">
        <f>+'FY16 Tax Bill'!Q249-'FY16 Feb Forecast'!Q249</f>
        <v>0</v>
      </c>
      <c r="R249" s="105">
        <f>+'FY16 Tax Bill'!R249-'FY16 Feb Forecast'!R249</f>
        <v>15.572298325723068</v>
      </c>
      <c r="S249" s="105">
        <f>+'FY16 Tax Bill'!S249-'FY16 Feb Forecast'!S249</f>
        <v>15.572298325722954</v>
      </c>
      <c r="T249" s="108">
        <f>+'FY16 Tax Bill'!T249-'FY16 Feb Forecast'!T249</f>
        <v>0</v>
      </c>
    </row>
    <row r="250" spans="1:20" x14ac:dyDescent="0.2">
      <c r="A250" s="109">
        <v>815</v>
      </c>
      <c r="B250" s="110">
        <v>1</v>
      </c>
      <c r="C250" s="103" t="s">
        <v>368</v>
      </c>
      <c r="D250" s="103">
        <v>6</v>
      </c>
      <c r="E250" s="104">
        <f>+SUMIF('GE16FEB14 Unfudged'!$A$2:$A$498, $A250, 'GE16FEB14 Unfudged'!$D$2:$D$498)</f>
        <v>0</v>
      </c>
      <c r="F250" s="104">
        <f>+'FY16 Tax Bill'!F250-'FY16 Feb Forecast'!F250</f>
        <v>-237</v>
      </c>
      <c r="G250" s="105">
        <f>+'FY16 Tax Bill'!G250-'FY16 Feb Forecast'!G250</f>
        <v>-237</v>
      </c>
      <c r="H250" s="106">
        <f>+'FY16 Tax Bill'!H250-'FY16 Feb Forecast'!H250</f>
        <v>0</v>
      </c>
      <c r="I250" s="107">
        <f>+'FY16 Tax Bill'!I250-'FY16 Feb Forecast'!I250</f>
        <v>0</v>
      </c>
      <c r="J250" s="105">
        <f>+'FY16 Tax Bill'!J250-'FY16 Feb Forecast'!J250</f>
        <v>0</v>
      </c>
      <c r="K250" s="106">
        <f>+'FY16 Tax Bill'!K250-'FY16 Feb Forecast'!K250</f>
        <v>0</v>
      </c>
      <c r="L250" s="107">
        <f>+'FY16 Tax Bill'!L250-'FY16 Feb Forecast'!L250</f>
        <v>0</v>
      </c>
      <c r="M250" s="105">
        <f>+'FY16 Tax Bill'!M250-'FY16 Feb Forecast'!M250</f>
        <v>0</v>
      </c>
      <c r="N250" s="106">
        <f>+'FY16 Tax Bill'!N250-'FY16 Feb Forecast'!N250</f>
        <v>0</v>
      </c>
      <c r="O250" s="107">
        <f>+'FY16 Tax Bill'!O250-'FY16 Feb Forecast'!O250</f>
        <v>-237</v>
      </c>
      <c r="P250" s="105">
        <f>+'FY16 Tax Bill'!P250-'FY16 Feb Forecast'!P250</f>
        <v>-237</v>
      </c>
      <c r="Q250" s="106">
        <f>+'FY16 Tax Bill'!Q250-'FY16 Feb Forecast'!Q250</f>
        <v>0</v>
      </c>
      <c r="R250" s="105">
        <f>+'FY16 Tax Bill'!R250-'FY16 Feb Forecast'!R250</f>
        <v>0</v>
      </c>
      <c r="S250" s="105">
        <f>+'FY16 Tax Bill'!S250-'FY16 Feb Forecast'!S250</f>
        <v>0</v>
      </c>
      <c r="T250" s="108">
        <f>+'FY16 Tax Bill'!T250-'FY16 Feb Forecast'!T250</f>
        <v>0</v>
      </c>
    </row>
    <row r="251" spans="1:20" x14ac:dyDescent="0.2">
      <c r="A251" s="109">
        <v>818</v>
      </c>
      <c r="B251" s="110">
        <v>1</v>
      </c>
      <c r="C251" s="103" t="s">
        <v>369</v>
      </c>
      <c r="D251" s="103">
        <v>6</v>
      </c>
      <c r="E251" s="104">
        <f>+SUMIF('GE16FEB14 Unfudged'!$A$2:$A$498, $A251, 'GE16FEB14 Unfudged'!$D$2:$D$498)</f>
        <v>526</v>
      </c>
      <c r="F251" s="104">
        <f>+'FY16 Tax Bill'!F251-'FY16 Feb Forecast'!F251</f>
        <v>0</v>
      </c>
      <c r="G251" s="105">
        <f>+'FY16 Tax Bill'!G251-'FY16 Feb Forecast'!G251</f>
        <v>0</v>
      </c>
      <c r="H251" s="106">
        <f>+'FY16 Tax Bill'!H251-'FY16 Feb Forecast'!H251</f>
        <v>0</v>
      </c>
      <c r="I251" s="107">
        <f>+'FY16 Tax Bill'!I251-'FY16 Feb Forecast'!I251</f>
        <v>223109</v>
      </c>
      <c r="J251" s="105">
        <f>+'FY16 Tax Bill'!J251-'FY16 Feb Forecast'!J251</f>
        <v>111253</v>
      </c>
      <c r="K251" s="106">
        <f>+'FY16 Tax Bill'!K251-'FY16 Feb Forecast'!K251</f>
        <v>111856</v>
      </c>
      <c r="L251" s="107">
        <f>+'FY16 Tax Bill'!L251-'FY16 Feb Forecast'!L251</f>
        <v>0</v>
      </c>
      <c r="M251" s="105">
        <f>+'FY16 Tax Bill'!M251-'FY16 Feb Forecast'!M251</f>
        <v>0</v>
      </c>
      <c r="N251" s="106">
        <f>+'FY16 Tax Bill'!N251-'FY16 Feb Forecast'!N251</f>
        <v>0</v>
      </c>
      <c r="O251" s="107">
        <f>+'FY16 Tax Bill'!O251-'FY16 Feb Forecast'!O251</f>
        <v>223109</v>
      </c>
      <c r="P251" s="105">
        <f>+'FY16 Tax Bill'!P251-'FY16 Feb Forecast'!P251</f>
        <v>111253</v>
      </c>
      <c r="Q251" s="106">
        <f>+'FY16 Tax Bill'!Q251-'FY16 Feb Forecast'!Q251</f>
        <v>111856</v>
      </c>
      <c r="R251" s="105">
        <f>+'FY16 Tax Bill'!R251-'FY16 Feb Forecast'!R251</f>
        <v>424.16159695817487</v>
      </c>
      <c r="S251" s="105">
        <f>+'FY16 Tax Bill'!S251-'FY16 Feb Forecast'!S251</f>
        <v>211.50760456273764</v>
      </c>
      <c r="T251" s="108">
        <f>+'FY16 Tax Bill'!T251-'FY16 Feb Forecast'!T251</f>
        <v>212.65399239543723</v>
      </c>
    </row>
    <row r="252" spans="1:20" x14ac:dyDescent="0.2">
      <c r="A252" s="109">
        <v>820</v>
      </c>
      <c r="B252" s="110">
        <v>1</v>
      </c>
      <c r="C252" s="103" t="s">
        <v>370</v>
      </c>
      <c r="D252" s="103">
        <v>6</v>
      </c>
      <c r="E252" s="104">
        <f>+SUMIF('GE16FEB14 Unfudged'!$A$2:$A$498, $A252, 'GE16FEB14 Unfudged'!$D$2:$D$498)</f>
        <v>501</v>
      </c>
      <c r="F252" s="104">
        <f>+'FY16 Tax Bill'!F252-'FY16 Feb Forecast'!F252</f>
        <v>8555</v>
      </c>
      <c r="G252" s="105">
        <f>+'FY16 Tax Bill'!G252-'FY16 Feb Forecast'!G252</f>
        <v>3771</v>
      </c>
      <c r="H252" s="106">
        <f>+'FY16 Tax Bill'!H252-'FY16 Feb Forecast'!H252</f>
        <v>4784</v>
      </c>
      <c r="I252" s="107">
        <f>+'FY16 Tax Bill'!I252-'FY16 Feb Forecast'!I252</f>
        <v>212339</v>
      </c>
      <c r="J252" s="105">
        <f>+'FY16 Tax Bill'!J252-'FY16 Feb Forecast'!J252</f>
        <v>93605</v>
      </c>
      <c r="K252" s="106">
        <f>+'FY16 Tax Bill'!K252-'FY16 Feb Forecast'!K252</f>
        <v>118734</v>
      </c>
      <c r="L252" s="107">
        <f>+'FY16 Tax Bill'!L252-'FY16 Feb Forecast'!L252</f>
        <v>-212339</v>
      </c>
      <c r="M252" s="105">
        <f>+'FY16 Tax Bill'!M252-'FY16 Feb Forecast'!M252</f>
        <v>-114383</v>
      </c>
      <c r="N252" s="106">
        <f>+'FY16 Tax Bill'!N252-'FY16 Feb Forecast'!N252</f>
        <v>-97956</v>
      </c>
      <c r="O252" s="107">
        <f>+'FY16 Tax Bill'!O252-'FY16 Feb Forecast'!O252</f>
        <v>8555</v>
      </c>
      <c r="P252" s="105">
        <f>+'FY16 Tax Bill'!P252-'FY16 Feb Forecast'!P252</f>
        <v>-17007</v>
      </c>
      <c r="Q252" s="106">
        <f>+'FY16 Tax Bill'!Q252-'FY16 Feb Forecast'!Q252</f>
        <v>25562</v>
      </c>
      <c r="R252" s="105">
        <f>+'FY16 Tax Bill'!R252-'FY16 Feb Forecast'!R252</f>
        <v>17.075848303393173</v>
      </c>
      <c r="S252" s="105">
        <f>+'FY16 Tax Bill'!S252-'FY16 Feb Forecast'!S252</f>
        <v>-33.946107784431149</v>
      </c>
      <c r="T252" s="108">
        <f>+'FY16 Tax Bill'!T252-'FY16 Feb Forecast'!T252</f>
        <v>51.021956087824378</v>
      </c>
    </row>
    <row r="253" spans="1:20" x14ac:dyDescent="0.2">
      <c r="A253" s="109">
        <v>821</v>
      </c>
      <c r="B253" s="110">
        <v>1</v>
      </c>
      <c r="C253" s="103" t="s">
        <v>371</v>
      </c>
      <c r="D253" s="103">
        <v>6</v>
      </c>
      <c r="E253" s="104">
        <f>+SUMIF('GE16FEB14 Unfudged'!$A$2:$A$498, $A253, 'GE16FEB14 Unfudged'!$D$2:$D$498)</f>
        <v>1075</v>
      </c>
      <c r="F253" s="104">
        <f>+'FY16 Tax Bill'!F253-'FY16 Feb Forecast'!F253</f>
        <v>0</v>
      </c>
      <c r="G253" s="105">
        <f>+'FY16 Tax Bill'!G253-'FY16 Feb Forecast'!G253</f>
        <v>0</v>
      </c>
      <c r="H253" s="106">
        <f>+'FY16 Tax Bill'!H253-'FY16 Feb Forecast'!H253</f>
        <v>0</v>
      </c>
      <c r="I253" s="107">
        <f>+'FY16 Tax Bill'!I253-'FY16 Feb Forecast'!I253</f>
        <v>455609</v>
      </c>
      <c r="J253" s="105">
        <f>+'FY16 Tax Bill'!J253-'FY16 Feb Forecast'!J253</f>
        <v>156469</v>
      </c>
      <c r="K253" s="106">
        <f>+'FY16 Tax Bill'!K253-'FY16 Feb Forecast'!K253</f>
        <v>299140</v>
      </c>
      <c r="L253" s="107">
        <f>+'FY16 Tax Bill'!L253-'FY16 Feb Forecast'!L253</f>
        <v>0</v>
      </c>
      <c r="M253" s="105">
        <f>+'FY16 Tax Bill'!M253-'FY16 Feb Forecast'!M253</f>
        <v>0</v>
      </c>
      <c r="N253" s="106">
        <f>+'FY16 Tax Bill'!N253-'FY16 Feb Forecast'!N253</f>
        <v>0</v>
      </c>
      <c r="O253" s="107">
        <f>+'FY16 Tax Bill'!O253-'FY16 Feb Forecast'!O253</f>
        <v>455609</v>
      </c>
      <c r="P253" s="105">
        <f>+'FY16 Tax Bill'!P253-'FY16 Feb Forecast'!P253</f>
        <v>156469</v>
      </c>
      <c r="Q253" s="106">
        <f>+'FY16 Tax Bill'!Q253-'FY16 Feb Forecast'!Q253</f>
        <v>299140</v>
      </c>
      <c r="R253" s="105">
        <f>+'FY16 Tax Bill'!R253-'FY16 Feb Forecast'!R253</f>
        <v>423.82232558139532</v>
      </c>
      <c r="S253" s="105">
        <f>+'FY16 Tax Bill'!S253-'FY16 Feb Forecast'!S253</f>
        <v>145.55255813953488</v>
      </c>
      <c r="T253" s="108">
        <f>+'FY16 Tax Bill'!T253-'FY16 Feb Forecast'!T253</f>
        <v>278.26976744186044</v>
      </c>
    </row>
    <row r="254" spans="1:20" x14ac:dyDescent="0.2">
      <c r="A254" s="109">
        <v>829</v>
      </c>
      <c r="B254" s="110">
        <v>1</v>
      </c>
      <c r="C254" s="103" t="s">
        <v>372</v>
      </c>
      <c r="D254" s="103">
        <v>5</v>
      </c>
      <c r="E254" s="104">
        <f>+SUMIF('GE16FEB14 Unfudged'!$A$2:$A$498, $A254, 'GE16FEB14 Unfudged'!$D$2:$D$498)</f>
        <v>2007</v>
      </c>
      <c r="F254" s="104">
        <f>+'FY16 Tax Bill'!F254-'FY16 Feb Forecast'!F254</f>
        <v>38295</v>
      </c>
      <c r="G254" s="105">
        <f>+'FY16 Tax Bill'!G254-'FY16 Feb Forecast'!G254</f>
        <v>25168</v>
      </c>
      <c r="H254" s="106">
        <f>+'FY16 Tax Bill'!H254-'FY16 Feb Forecast'!H254</f>
        <v>13127</v>
      </c>
      <c r="I254" s="107">
        <f>+'FY16 Tax Bill'!I254-'FY16 Feb Forecast'!I254</f>
        <v>850798</v>
      </c>
      <c r="J254" s="105">
        <f>+'FY16 Tax Bill'!J254-'FY16 Feb Forecast'!J254</f>
        <v>559154</v>
      </c>
      <c r="K254" s="106">
        <f>+'FY16 Tax Bill'!K254-'FY16 Feb Forecast'!K254</f>
        <v>291644</v>
      </c>
      <c r="L254" s="107">
        <f>+'FY16 Tax Bill'!L254-'FY16 Feb Forecast'!L254</f>
        <v>-850798</v>
      </c>
      <c r="M254" s="105">
        <f>+'FY16 Tax Bill'!M254-'FY16 Feb Forecast'!M254</f>
        <v>-559154</v>
      </c>
      <c r="N254" s="106">
        <f>+'FY16 Tax Bill'!N254-'FY16 Feb Forecast'!N254</f>
        <v>-291644</v>
      </c>
      <c r="O254" s="107">
        <f>+'FY16 Tax Bill'!O254-'FY16 Feb Forecast'!O254</f>
        <v>38295</v>
      </c>
      <c r="P254" s="105">
        <f>+'FY16 Tax Bill'!P254-'FY16 Feb Forecast'!P254</f>
        <v>25168</v>
      </c>
      <c r="Q254" s="106">
        <f>+'FY16 Tax Bill'!Q254-'FY16 Feb Forecast'!Q254</f>
        <v>13127</v>
      </c>
      <c r="R254" s="105">
        <f>+'FY16 Tax Bill'!R254-'FY16 Feb Forecast'!R254</f>
        <v>19.080717488789219</v>
      </c>
      <c r="S254" s="105">
        <f>+'FY16 Tax Bill'!S254-'FY16 Feb Forecast'!S254</f>
        <v>12.540109616342761</v>
      </c>
      <c r="T254" s="108">
        <f>+'FY16 Tax Bill'!T254-'FY16 Feb Forecast'!T254</f>
        <v>6.5406078724464578</v>
      </c>
    </row>
    <row r="255" spans="1:20" x14ac:dyDescent="0.2">
      <c r="A255" s="109">
        <v>831</v>
      </c>
      <c r="B255" s="110">
        <v>1</v>
      </c>
      <c r="C255" s="103" t="s">
        <v>373</v>
      </c>
      <c r="D255" s="103">
        <v>3</v>
      </c>
      <c r="E255" s="104">
        <f>+SUMIF('GE16FEB14 Unfudged'!$A$2:$A$498, $A255, 'GE16FEB14 Unfudged'!$D$2:$D$498)</f>
        <v>7091</v>
      </c>
      <c r="F255" s="104">
        <f>+'FY16 Tax Bill'!F255-'FY16 Feb Forecast'!F255</f>
        <v>0</v>
      </c>
      <c r="G255" s="105">
        <f>+'FY16 Tax Bill'!G255-'FY16 Feb Forecast'!G255</f>
        <v>0</v>
      </c>
      <c r="H255" s="106">
        <f>+'FY16 Tax Bill'!H255-'FY16 Feb Forecast'!H255</f>
        <v>0</v>
      </c>
      <c r="I255" s="107">
        <f>+'FY16 Tax Bill'!I255-'FY16 Feb Forecast'!I255</f>
        <v>0</v>
      </c>
      <c r="J255" s="105">
        <f>+'FY16 Tax Bill'!J255-'FY16 Feb Forecast'!J255</f>
        <v>0</v>
      </c>
      <c r="K255" s="106">
        <f>+'FY16 Tax Bill'!K255-'FY16 Feb Forecast'!K255</f>
        <v>0</v>
      </c>
      <c r="L255" s="107">
        <f>+'FY16 Tax Bill'!L255-'FY16 Feb Forecast'!L255</f>
        <v>0</v>
      </c>
      <c r="M255" s="105">
        <f>+'FY16 Tax Bill'!M255-'FY16 Feb Forecast'!M255</f>
        <v>0</v>
      </c>
      <c r="N255" s="106">
        <f>+'FY16 Tax Bill'!N255-'FY16 Feb Forecast'!N255</f>
        <v>0</v>
      </c>
      <c r="O255" s="107">
        <f>+'FY16 Tax Bill'!O255-'FY16 Feb Forecast'!O255</f>
        <v>0</v>
      </c>
      <c r="P255" s="105">
        <f>+'FY16 Tax Bill'!P255-'FY16 Feb Forecast'!P255</f>
        <v>0</v>
      </c>
      <c r="Q255" s="106">
        <f>+'FY16 Tax Bill'!Q255-'FY16 Feb Forecast'!Q255</f>
        <v>0</v>
      </c>
      <c r="R255" s="105">
        <f>+'FY16 Tax Bill'!R255-'FY16 Feb Forecast'!R255</f>
        <v>0</v>
      </c>
      <c r="S255" s="105">
        <f>+'FY16 Tax Bill'!S255-'FY16 Feb Forecast'!S255</f>
        <v>0</v>
      </c>
      <c r="T255" s="108">
        <f>+'FY16 Tax Bill'!T255-'FY16 Feb Forecast'!T255</f>
        <v>0</v>
      </c>
    </row>
    <row r="256" spans="1:20" x14ac:dyDescent="0.2">
      <c r="A256" s="109">
        <v>832</v>
      </c>
      <c r="B256" s="110">
        <v>1</v>
      </c>
      <c r="C256" s="103" t="s">
        <v>374</v>
      </c>
      <c r="D256" s="103">
        <v>3</v>
      </c>
      <c r="E256" s="104">
        <f>+SUMIF('GE16FEB14 Unfudged'!$A$2:$A$498, $A256, 'GE16FEB14 Unfudged'!$D$2:$D$498)</f>
        <v>3616</v>
      </c>
      <c r="F256" s="104">
        <f>+'FY16 Tax Bill'!F256-'FY16 Feb Forecast'!F256</f>
        <v>0</v>
      </c>
      <c r="G256" s="105">
        <f>+'FY16 Tax Bill'!G256-'FY16 Feb Forecast'!G256</f>
        <v>0</v>
      </c>
      <c r="H256" s="106">
        <f>+'FY16 Tax Bill'!H256-'FY16 Feb Forecast'!H256</f>
        <v>0</v>
      </c>
      <c r="I256" s="107">
        <f>+'FY16 Tax Bill'!I256-'FY16 Feb Forecast'!I256</f>
        <v>0</v>
      </c>
      <c r="J256" s="105">
        <f>+'FY16 Tax Bill'!J256-'FY16 Feb Forecast'!J256</f>
        <v>0</v>
      </c>
      <c r="K256" s="106">
        <f>+'FY16 Tax Bill'!K256-'FY16 Feb Forecast'!K256</f>
        <v>0</v>
      </c>
      <c r="L256" s="107">
        <f>+'FY16 Tax Bill'!L256-'FY16 Feb Forecast'!L256</f>
        <v>0</v>
      </c>
      <c r="M256" s="105">
        <f>+'FY16 Tax Bill'!M256-'FY16 Feb Forecast'!M256</f>
        <v>0</v>
      </c>
      <c r="N256" s="106">
        <f>+'FY16 Tax Bill'!N256-'FY16 Feb Forecast'!N256</f>
        <v>0</v>
      </c>
      <c r="O256" s="107">
        <f>+'FY16 Tax Bill'!O256-'FY16 Feb Forecast'!O256</f>
        <v>0</v>
      </c>
      <c r="P256" s="105">
        <f>+'FY16 Tax Bill'!P256-'FY16 Feb Forecast'!P256</f>
        <v>0</v>
      </c>
      <c r="Q256" s="106">
        <f>+'FY16 Tax Bill'!Q256-'FY16 Feb Forecast'!Q256</f>
        <v>0</v>
      </c>
      <c r="R256" s="105">
        <f>+'FY16 Tax Bill'!R256-'FY16 Feb Forecast'!R256</f>
        <v>0</v>
      </c>
      <c r="S256" s="105">
        <f>+'FY16 Tax Bill'!S256-'FY16 Feb Forecast'!S256</f>
        <v>0</v>
      </c>
      <c r="T256" s="108">
        <f>+'FY16 Tax Bill'!T256-'FY16 Feb Forecast'!T256</f>
        <v>0</v>
      </c>
    </row>
    <row r="257" spans="1:20" x14ac:dyDescent="0.2">
      <c r="A257" s="109">
        <v>833</v>
      </c>
      <c r="B257" s="110">
        <v>1</v>
      </c>
      <c r="C257" s="103" t="s">
        <v>375</v>
      </c>
      <c r="D257" s="103">
        <v>2</v>
      </c>
      <c r="E257" s="104">
        <f>+SUMIF('GE16FEB14 Unfudged'!$A$2:$A$498, $A257, 'GE16FEB14 Unfudged'!$D$2:$D$498)</f>
        <v>19571</v>
      </c>
      <c r="F257" s="104">
        <f>+'FY16 Tax Bill'!F257-'FY16 Feb Forecast'!F257</f>
        <v>0</v>
      </c>
      <c r="G257" s="105">
        <f>+'FY16 Tax Bill'!G257-'FY16 Feb Forecast'!G257</f>
        <v>0</v>
      </c>
      <c r="H257" s="106">
        <f>+'FY16 Tax Bill'!H257-'FY16 Feb Forecast'!H257</f>
        <v>0</v>
      </c>
      <c r="I257" s="107">
        <f>+'FY16 Tax Bill'!I257-'FY16 Feb Forecast'!I257</f>
        <v>0</v>
      </c>
      <c r="J257" s="105">
        <f>+'FY16 Tax Bill'!J257-'FY16 Feb Forecast'!J257</f>
        <v>0</v>
      </c>
      <c r="K257" s="106">
        <f>+'FY16 Tax Bill'!K257-'FY16 Feb Forecast'!K257</f>
        <v>0</v>
      </c>
      <c r="L257" s="107">
        <f>+'FY16 Tax Bill'!L257-'FY16 Feb Forecast'!L257</f>
        <v>0</v>
      </c>
      <c r="M257" s="105">
        <f>+'FY16 Tax Bill'!M257-'FY16 Feb Forecast'!M257</f>
        <v>0</v>
      </c>
      <c r="N257" s="106">
        <f>+'FY16 Tax Bill'!N257-'FY16 Feb Forecast'!N257</f>
        <v>0</v>
      </c>
      <c r="O257" s="107">
        <f>+'FY16 Tax Bill'!O257-'FY16 Feb Forecast'!O257</f>
        <v>0</v>
      </c>
      <c r="P257" s="105">
        <f>+'FY16 Tax Bill'!P257-'FY16 Feb Forecast'!P257</f>
        <v>0</v>
      </c>
      <c r="Q257" s="106">
        <f>+'FY16 Tax Bill'!Q257-'FY16 Feb Forecast'!Q257</f>
        <v>0</v>
      </c>
      <c r="R257" s="105">
        <f>+'FY16 Tax Bill'!R257-'FY16 Feb Forecast'!R257</f>
        <v>0</v>
      </c>
      <c r="S257" s="105">
        <f>+'FY16 Tax Bill'!S257-'FY16 Feb Forecast'!S257</f>
        <v>0</v>
      </c>
      <c r="T257" s="108">
        <f>+'FY16 Tax Bill'!T257-'FY16 Feb Forecast'!T257</f>
        <v>0</v>
      </c>
    </row>
    <row r="258" spans="1:20" x14ac:dyDescent="0.2">
      <c r="A258" s="109">
        <v>834</v>
      </c>
      <c r="B258" s="110">
        <v>1</v>
      </c>
      <c r="C258" s="103" t="s">
        <v>376</v>
      </c>
      <c r="D258" s="103">
        <v>3</v>
      </c>
      <c r="E258" s="104">
        <f>+SUMIF('GE16FEB14 Unfudged'!$A$2:$A$498, $A258, 'GE16FEB14 Unfudged'!$D$2:$D$498)</f>
        <v>8927</v>
      </c>
      <c r="F258" s="104">
        <f>+'FY16 Tax Bill'!F258-'FY16 Feb Forecast'!F258</f>
        <v>0</v>
      </c>
      <c r="G258" s="105">
        <f>+'FY16 Tax Bill'!G258-'FY16 Feb Forecast'!G258</f>
        <v>0</v>
      </c>
      <c r="H258" s="106">
        <f>+'FY16 Tax Bill'!H258-'FY16 Feb Forecast'!H258</f>
        <v>0</v>
      </c>
      <c r="I258" s="107">
        <f>+'FY16 Tax Bill'!I258-'FY16 Feb Forecast'!I258</f>
        <v>0</v>
      </c>
      <c r="J258" s="105">
        <f>+'FY16 Tax Bill'!J258-'FY16 Feb Forecast'!J258</f>
        <v>0</v>
      </c>
      <c r="K258" s="106">
        <f>+'FY16 Tax Bill'!K258-'FY16 Feb Forecast'!K258</f>
        <v>0</v>
      </c>
      <c r="L258" s="107">
        <f>+'FY16 Tax Bill'!L258-'FY16 Feb Forecast'!L258</f>
        <v>0</v>
      </c>
      <c r="M258" s="105">
        <f>+'FY16 Tax Bill'!M258-'FY16 Feb Forecast'!M258</f>
        <v>0</v>
      </c>
      <c r="N258" s="106">
        <f>+'FY16 Tax Bill'!N258-'FY16 Feb Forecast'!N258</f>
        <v>0</v>
      </c>
      <c r="O258" s="107">
        <f>+'FY16 Tax Bill'!O258-'FY16 Feb Forecast'!O258</f>
        <v>0</v>
      </c>
      <c r="P258" s="105">
        <f>+'FY16 Tax Bill'!P258-'FY16 Feb Forecast'!P258</f>
        <v>0</v>
      </c>
      <c r="Q258" s="106">
        <f>+'FY16 Tax Bill'!Q258-'FY16 Feb Forecast'!Q258</f>
        <v>0</v>
      </c>
      <c r="R258" s="105">
        <f>+'FY16 Tax Bill'!R258-'FY16 Feb Forecast'!R258</f>
        <v>0</v>
      </c>
      <c r="S258" s="105">
        <f>+'FY16 Tax Bill'!S258-'FY16 Feb Forecast'!S258</f>
        <v>0</v>
      </c>
      <c r="T258" s="108">
        <f>+'FY16 Tax Bill'!T258-'FY16 Feb Forecast'!T258</f>
        <v>0</v>
      </c>
    </row>
    <row r="259" spans="1:20" x14ac:dyDescent="0.2">
      <c r="A259" s="109">
        <v>836</v>
      </c>
      <c r="B259" s="110">
        <v>1</v>
      </c>
      <c r="C259" s="103" t="s">
        <v>377</v>
      </c>
      <c r="D259" s="103">
        <v>6</v>
      </c>
      <c r="E259" s="104">
        <f>+SUMIF('GE16FEB14 Unfudged'!$A$2:$A$498, $A259, 'GE16FEB14 Unfudged'!$D$2:$D$498)</f>
        <v>207</v>
      </c>
      <c r="F259" s="104">
        <f>+'FY16 Tax Bill'!F259-'FY16 Feb Forecast'!F259</f>
        <v>-55</v>
      </c>
      <c r="G259" s="105">
        <f>+'FY16 Tax Bill'!G259-'FY16 Feb Forecast'!G259</f>
        <v>-20</v>
      </c>
      <c r="H259" s="106">
        <f>+'FY16 Tax Bill'!H259-'FY16 Feb Forecast'!H259</f>
        <v>-35</v>
      </c>
      <c r="I259" s="107">
        <f>+'FY16 Tax Bill'!I259-'FY16 Feb Forecast'!I259</f>
        <v>87726</v>
      </c>
      <c r="J259" s="105">
        <f>+'FY16 Tax Bill'!J259-'FY16 Feb Forecast'!J259</f>
        <v>32598</v>
      </c>
      <c r="K259" s="106">
        <f>+'FY16 Tax Bill'!K259-'FY16 Feb Forecast'!K259</f>
        <v>55128</v>
      </c>
      <c r="L259" s="107">
        <f>+'FY16 Tax Bill'!L259-'FY16 Feb Forecast'!L259</f>
        <v>-78415</v>
      </c>
      <c r="M259" s="105">
        <f>+'FY16 Tax Bill'!M259-'FY16 Feb Forecast'!M259</f>
        <v>-60283</v>
      </c>
      <c r="N259" s="106">
        <f>+'FY16 Tax Bill'!N259-'FY16 Feb Forecast'!N259</f>
        <v>-18132</v>
      </c>
      <c r="O259" s="107">
        <f>+'FY16 Tax Bill'!O259-'FY16 Feb Forecast'!O259</f>
        <v>9256</v>
      </c>
      <c r="P259" s="105">
        <f>+'FY16 Tax Bill'!P259-'FY16 Feb Forecast'!P259</f>
        <v>-27705</v>
      </c>
      <c r="Q259" s="106">
        <f>+'FY16 Tax Bill'!Q259-'FY16 Feb Forecast'!Q259</f>
        <v>36961</v>
      </c>
      <c r="R259" s="105">
        <f>+'FY16 Tax Bill'!R259-'FY16 Feb Forecast'!R259</f>
        <v>44.714975845410663</v>
      </c>
      <c r="S259" s="105">
        <f>+'FY16 Tax Bill'!S259-'FY16 Feb Forecast'!S259</f>
        <v>-133.84057971014488</v>
      </c>
      <c r="T259" s="108">
        <f>+'FY16 Tax Bill'!T259-'FY16 Feb Forecast'!T259</f>
        <v>178.55555555555554</v>
      </c>
    </row>
    <row r="260" spans="1:20" x14ac:dyDescent="0.2">
      <c r="A260" s="109">
        <v>837</v>
      </c>
      <c r="B260" s="110">
        <v>2</v>
      </c>
      <c r="C260" s="103" t="s">
        <v>378</v>
      </c>
      <c r="D260" s="103">
        <v>6</v>
      </c>
      <c r="E260" s="104">
        <f>+SUMIF('GE16FEB14 Unfudged'!$A$2:$A$498, $A260, 'GE16FEB14 Unfudged'!$D$2:$D$498)</f>
        <v>510</v>
      </c>
      <c r="F260" s="104">
        <f>+'FY16 Tax Bill'!F260-'FY16 Feb Forecast'!F260</f>
        <v>5304</v>
      </c>
      <c r="G260" s="105">
        <f>+'FY16 Tax Bill'!G260-'FY16 Feb Forecast'!G260</f>
        <v>2931</v>
      </c>
      <c r="H260" s="106">
        <f>+'FY16 Tax Bill'!H260-'FY16 Feb Forecast'!H260</f>
        <v>2373</v>
      </c>
      <c r="I260" s="107">
        <f>+'FY16 Tax Bill'!I260-'FY16 Feb Forecast'!I260</f>
        <v>216282</v>
      </c>
      <c r="J260" s="105">
        <f>+'FY16 Tax Bill'!J260-'FY16 Feb Forecast'!J260</f>
        <v>119525</v>
      </c>
      <c r="K260" s="106">
        <f>+'FY16 Tax Bill'!K260-'FY16 Feb Forecast'!K260</f>
        <v>96757</v>
      </c>
      <c r="L260" s="107">
        <f>+'FY16 Tax Bill'!L260-'FY16 Feb Forecast'!L260</f>
        <v>-216282</v>
      </c>
      <c r="M260" s="105">
        <f>+'FY16 Tax Bill'!M260-'FY16 Feb Forecast'!M260</f>
        <v>-210199</v>
      </c>
      <c r="N260" s="106">
        <f>+'FY16 Tax Bill'!N260-'FY16 Feb Forecast'!N260</f>
        <v>-6083</v>
      </c>
      <c r="O260" s="107">
        <f>+'FY16 Tax Bill'!O260-'FY16 Feb Forecast'!O260</f>
        <v>5304</v>
      </c>
      <c r="P260" s="105">
        <f>+'FY16 Tax Bill'!P260-'FY16 Feb Forecast'!P260</f>
        <v>-87743</v>
      </c>
      <c r="Q260" s="106">
        <f>+'FY16 Tax Bill'!Q260-'FY16 Feb Forecast'!Q260</f>
        <v>93047</v>
      </c>
      <c r="R260" s="105">
        <f>+'FY16 Tax Bill'!R260-'FY16 Feb Forecast'!R260</f>
        <v>10.399999999999864</v>
      </c>
      <c r="S260" s="105">
        <f>+'FY16 Tax Bill'!S260-'FY16 Feb Forecast'!S260</f>
        <v>-172.04509803921565</v>
      </c>
      <c r="T260" s="108">
        <f>+'FY16 Tax Bill'!T260-'FY16 Feb Forecast'!T260</f>
        <v>182.44509803921568</v>
      </c>
    </row>
    <row r="261" spans="1:20" x14ac:dyDescent="0.2">
      <c r="A261" s="109">
        <v>840</v>
      </c>
      <c r="B261" s="110">
        <v>1</v>
      </c>
      <c r="C261" s="103" t="s">
        <v>379</v>
      </c>
      <c r="D261" s="103">
        <v>5</v>
      </c>
      <c r="E261" s="104">
        <f>+SUMIF('GE16FEB14 Unfudged'!$A$2:$A$498, $A261, 'GE16FEB14 Unfudged'!$D$2:$D$498)</f>
        <v>1043</v>
      </c>
      <c r="F261" s="104">
        <f>+'FY16 Tax Bill'!F261-'FY16 Feb Forecast'!F261</f>
        <v>16885</v>
      </c>
      <c r="G261" s="105">
        <f>+'FY16 Tax Bill'!G261-'FY16 Feb Forecast'!G261</f>
        <v>7719</v>
      </c>
      <c r="H261" s="106">
        <f>+'FY16 Tax Bill'!H261-'FY16 Feb Forecast'!H261</f>
        <v>9166</v>
      </c>
      <c r="I261" s="107">
        <f>+'FY16 Tax Bill'!I261-'FY16 Feb Forecast'!I261</f>
        <v>442232</v>
      </c>
      <c r="J261" s="105">
        <f>+'FY16 Tax Bill'!J261-'FY16 Feb Forecast'!J261</f>
        <v>202170</v>
      </c>
      <c r="K261" s="106">
        <f>+'FY16 Tax Bill'!K261-'FY16 Feb Forecast'!K261</f>
        <v>240062</v>
      </c>
      <c r="L261" s="107">
        <f>+'FY16 Tax Bill'!L261-'FY16 Feb Forecast'!L261</f>
        <v>-442232</v>
      </c>
      <c r="M261" s="105">
        <f>+'FY16 Tax Bill'!M261-'FY16 Feb Forecast'!M261</f>
        <v>-269032</v>
      </c>
      <c r="N261" s="106">
        <f>+'FY16 Tax Bill'!N261-'FY16 Feb Forecast'!N261</f>
        <v>-173200</v>
      </c>
      <c r="O261" s="107">
        <f>+'FY16 Tax Bill'!O261-'FY16 Feb Forecast'!O261</f>
        <v>16885</v>
      </c>
      <c r="P261" s="105">
        <f>+'FY16 Tax Bill'!P261-'FY16 Feb Forecast'!P261</f>
        <v>-59143</v>
      </c>
      <c r="Q261" s="106">
        <f>+'FY16 Tax Bill'!Q261-'FY16 Feb Forecast'!Q261</f>
        <v>76028</v>
      </c>
      <c r="R261" s="105">
        <f>+'FY16 Tax Bill'!R261-'FY16 Feb Forecast'!R261</f>
        <v>16.188878235858283</v>
      </c>
      <c r="S261" s="105">
        <f>+'FY16 Tax Bill'!S261-'FY16 Feb Forecast'!S261</f>
        <v>-56.704697986577173</v>
      </c>
      <c r="T261" s="108">
        <f>+'FY16 Tax Bill'!T261-'FY16 Feb Forecast'!T261</f>
        <v>72.893576222435286</v>
      </c>
    </row>
    <row r="262" spans="1:20" x14ac:dyDescent="0.2">
      <c r="A262" s="109">
        <v>846</v>
      </c>
      <c r="B262" s="110">
        <v>1</v>
      </c>
      <c r="C262" s="103" t="s">
        <v>380</v>
      </c>
      <c r="D262" s="103">
        <v>6</v>
      </c>
      <c r="E262" s="104">
        <f>+SUMIF('GE16FEB14 Unfudged'!$A$2:$A$498, $A262, 'GE16FEB14 Unfudged'!$D$2:$D$498)</f>
        <v>748</v>
      </c>
      <c r="F262" s="104">
        <f>+'FY16 Tax Bill'!F262-'FY16 Feb Forecast'!F262</f>
        <v>8827</v>
      </c>
      <c r="G262" s="105">
        <f>+'FY16 Tax Bill'!G262-'FY16 Feb Forecast'!G262</f>
        <v>4893</v>
      </c>
      <c r="H262" s="106">
        <f>+'FY16 Tax Bill'!H262-'FY16 Feb Forecast'!H262</f>
        <v>3934</v>
      </c>
      <c r="I262" s="107">
        <f>+'FY16 Tax Bill'!I262-'FY16 Feb Forecast'!I262</f>
        <v>317152</v>
      </c>
      <c r="J262" s="105">
        <f>+'FY16 Tax Bill'!J262-'FY16 Feb Forecast'!J262</f>
        <v>175808</v>
      </c>
      <c r="K262" s="106">
        <f>+'FY16 Tax Bill'!K262-'FY16 Feb Forecast'!K262</f>
        <v>141344</v>
      </c>
      <c r="L262" s="107">
        <f>+'FY16 Tax Bill'!L262-'FY16 Feb Forecast'!L262</f>
        <v>-317152</v>
      </c>
      <c r="M262" s="105">
        <f>+'FY16 Tax Bill'!M262-'FY16 Feb Forecast'!M262</f>
        <v>-309180</v>
      </c>
      <c r="N262" s="106">
        <f>+'FY16 Tax Bill'!N262-'FY16 Feb Forecast'!N262</f>
        <v>-7972</v>
      </c>
      <c r="O262" s="107">
        <f>+'FY16 Tax Bill'!O262-'FY16 Feb Forecast'!O262</f>
        <v>8827</v>
      </c>
      <c r="P262" s="105">
        <f>+'FY16 Tax Bill'!P262-'FY16 Feb Forecast'!P262</f>
        <v>-128479</v>
      </c>
      <c r="Q262" s="106">
        <f>+'FY16 Tax Bill'!Q262-'FY16 Feb Forecast'!Q262</f>
        <v>137306</v>
      </c>
      <c r="R262" s="105">
        <f>+'FY16 Tax Bill'!R262-'FY16 Feb Forecast'!R262</f>
        <v>11.800802139037387</v>
      </c>
      <c r="S262" s="105">
        <f>+'FY16 Tax Bill'!S262-'FY16 Feb Forecast'!S262</f>
        <v>-171.76336898395721</v>
      </c>
      <c r="T262" s="108">
        <f>+'FY16 Tax Bill'!T262-'FY16 Feb Forecast'!T262</f>
        <v>183.56417112299465</v>
      </c>
    </row>
    <row r="263" spans="1:20" x14ac:dyDescent="0.2">
      <c r="A263" s="109">
        <v>850</v>
      </c>
      <c r="B263" s="110">
        <v>1</v>
      </c>
      <c r="C263" s="103" t="s">
        <v>381</v>
      </c>
      <c r="D263" s="103">
        <v>6</v>
      </c>
      <c r="E263" s="104">
        <f>+SUMIF('GE16FEB14 Unfudged'!$A$2:$A$498, $A263, 'GE16FEB14 Unfudged'!$D$2:$D$498)</f>
        <v>291</v>
      </c>
      <c r="F263" s="104">
        <f>+'FY16 Tax Bill'!F263-'FY16 Feb Forecast'!F263</f>
        <v>1039</v>
      </c>
      <c r="G263" s="105">
        <f>+'FY16 Tax Bill'!G263-'FY16 Feb Forecast'!G263</f>
        <v>454</v>
      </c>
      <c r="H263" s="106">
        <f>+'FY16 Tax Bill'!H263-'FY16 Feb Forecast'!H263</f>
        <v>585</v>
      </c>
      <c r="I263" s="107">
        <f>+'FY16 Tax Bill'!I263-'FY16 Feb Forecast'!I263</f>
        <v>123384</v>
      </c>
      <c r="J263" s="105">
        <f>+'FY16 Tax Bill'!J263-'FY16 Feb Forecast'!J263</f>
        <v>53914</v>
      </c>
      <c r="K263" s="106">
        <f>+'FY16 Tax Bill'!K263-'FY16 Feb Forecast'!K263</f>
        <v>69470</v>
      </c>
      <c r="L263" s="107">
        <f>+'FY16 Tax Bill'!L263-'FY16 Feb Forecast'!L263</f>
        <v>-123384</v>
      </c>
      <c r="M263" s="105">
        <f>+'FY16 Tax Bill'!M263-'FY16 Feb Forecast'!M263</f>
        <v>-94814</v>
      </c>
      <c r="N263" s="106">
        <f>+'FY16 Tax Bill'!N263-'FY16 Feb Forecast'!N263</f>
        <v>-28570</v>
      </c>
      <c r="O263" s="107">
        <f>+'FY16 Tax Bill'!O263-'FY16 Feb Forecast'!O263</f>
        <v>1039</v>
      </c>
      <c r="P263" s="105">
        <f>+'FY16 Tax Bill'!P263-'FY16 Feb Forecast'!P263</f>
        <v>-40446</v>
      </c>
      <c r="Q263" s="106">
        <f>+'FY16 Tax Bill'!Q263-'FY16 Feb Forecast'!Q263</f>
        <v>41485</v>
      </c>
      <c r="R263" s="105">
        <f>+'FY16 Tax Bill'!R263-'FY16 Feb Forecast'!R263</f>
        <v>3.5704467353953078</v>
      </c>
      <c r="S263" s="105">
        <f>+'FY16 Tax Bill'!S263-'FY16 Feb Forecast'!S263</f>
        <v>-138.98969072164948</v>
      </c>
      <c r="T263" s="108">
        <f>+'FY16 Tax Bill'!T263-'FY16 Feb Forecast'!T263</f>
        <v>142.56013745704468</v>
      </c>
    </row>
    <row r="264" spans="1:20" x14ac:dyDescent="0.2">
      <c r="A264" s="109">
        <v>852</v>
      </c>
      <c r="B264" s="110">
        <v>1</v>
      </c>
      <c r="C264" s="103" t="s">
        <v>382</v>
      </c>
      <c r="D264" s="103">
        <v>6</v>
      </c>
      <c r="E264" s="104">
        <f>+SUMIF('GE16FEB14 Unfudged'!$A$2:$A$498, $A264, 'GE16FEB14 Unfudged'!$D$2:$D$498)</f>
        <v>125</v>
      </c>
      <c r="F264" s="104">
        <f>+'FY16 Tax Bill'!F264-'FY16 Feb Forecast'!F264</f>
        <v>0</v>
      </c>
      <c r="G264" s="105">
        <f>+'FY16 Tax Bill'!G264-'FY16 Feb Forecast'!G264</f>
        <v>0</v>
      </c>
      <c r="H264" s="106">
        <f>+'FY16 Tax Bill'!H264-'FY16 Feb Forecast'!H264</f>
        <v>0</v>
      </c>
      <c r="I264" s="107">
        <f>+'FY16 Tax Bill'!I264-'FY16 Feb Forecast'!I264</f>
        <v>53000</v>
      </c>
      <c r="J264" s="105">
        <f>+'FY16 Tax Bill'!J264-'FY16 Feb Forecast'!J264</f>
        <v>34248</v>
      </c>
      <c r="K264" s="106">
        <f>+'FY16 Tax Bill'!K264-'FY16 Feb Forecast'!K264</f>
        <v>18752</v>
      </c>
      <c r="L264" s="107">
        <f>+'FY16 Tax Bill'!L264-'FY16 Feb Forecast'!L264</f>
        <v>-53000</v>
      </c>
      <c r="M264" s="105">
        <f>+'FY16 Tax Bill'!M264-'FY16 Feb Forecast'!M264</f>
        <v>-53000</v>
      </c>
      <c r="N264" s="106">
        <f>+'FY16 Tax Bill'!N264-'FY16 Feb Forecast'!N264</f>
        <v>0</v>
      </c>
      <c r="O264" s="107">
        <f>+'FY16 Tax Bill'!O264-'FY16 Feb Forecast'!O264</f>
        <v>0</v>
      </c>
      <c r="P264" s="105">
        <f>+'FY16 Tax Bill'!P264-'FY16 Feb Forecast'!P264</f>
        <v>-18752</v>
      </c>
      <c r="Q264" s="106">
        <f>+'FY16 Tax Bill'!Q264-'FY16 Feb Forecast'!Q264</f>
        <v>18752</v>
      </c>
      <c r="R264" s="105">
        <f>+'FY16 Tax Bill'!R264-'FY16 Feb Forecast'!R264</f>
        <v>0</v>
      </c>
      <c r="S264" s="105">
        <f>+'FY16 Tax Bill'!S264-'FY16 Feb Forecast'!S264</f>
        <v>-150.01600000000008</v>
      </c>
      <c r="T264" s="108">
        <f>+'FY16 Tax Bill'!T264-'FY16 Feb Forecast'!T264</f>
        <v>150.01599999999985</v>
      </c>
    </row>
    <row r="265" spans="1:20" x14ac:dyDescent="0.2">
      <c r="A265" s="109">
        <v>857</v>
      </c>
      <c r="B265" s="110">
        <v>1</v>
      </c>
      <c r="C265" s="103" t="s">
        <v>383</v>
      </c>
      <c r="D265" s="103">
        <v>6</v>
      </c>
      <c r="E265" s="104">
        <f>+SUMIF('GE16FEB14 Unfudged'!$A$2:$A$498, $A265, 'GE16FEB14 Unfudged'!$D$2:$D$498)</f>
        <v>833</v>
      </c>
      <c r="F265" s="104">
        <f>+'FY16 Tax Bill'!F265-'FY16 Feb Forecast'!F265</f>
        <v>15376</v>
      </c>
      <c r="G265" s="105">
        <f>+'FY16 Tax Bill'!G265-'FY16 Feb Forecast'!G265</f>
        <v>9612</v>
      </c>
      <c r="H265" s="106">
        <f>+'FY16 Tax Bill'!H265-'FY16 Feb Forecast'!H265</f>
        <v>5764</v>
      </c>
      <c r="I265" s="107">
        <f>+'FY16 Tax Bill'!I265-'FY16 Feb Forecast'!I265</f>
        <v>353022</v>
      </c>
      <c r="J265" s="105">
        <f>+'FY16 Tax Bill'!J265-'FY16 Feb Forecast'!J265</f>
        <v>220682</v>
      </c>
      <c r="K265" s="106">
        <f>+'FY16 Tax Bill'!K265-'FY16 Feb Forecast'!K265</f>
        <v>132340</v>
      </c>
      <c r="L265" s="107">
        <f>+'FY16 Tax Bill'!L265-'FY16 Feb Forecast'!L265</f>
        <v>-353022</v>
      </c>
      <c r="M265" s="105">
        <f>+'FY16 Tax Bill'!M265-'FY16 Feb Forecast'!M265</f>
        <v>-230039</v>
      </c>
      <c r="N265" s="106">
        <f>+'FY16 Tax Bill'!N265-'FY16 Feb Forecast'!N265</f>
        <v>-122983</v>
      </c>
      <c r="O265" s="107">
        <f>+'FY16 Tax Bill'!O265-'FY16 Feb Forecast'!O265</f>
        <v>15376</v>
      </c>
      <c r="P265" s="105">
        <f>+'FY16 Tax Bill'!P265-'FY16 Feb Forecast'!P265</f>
        <v>255</v>
      </c>
      <c r="Q265" s="106">
        <f>+'FY16 Tax Bill'!Q265-'FY16 Feb Forecast'!Q265</f>
        <v>15121</v>
      </c>
      <c r="R265" s="105">
        <f>+'FY16 Tax Bill'!R265-'FY16 Feb Forecast'!R265</f>
        <v>18.458583433373292</v>
      </c>
      <c r="S265" s="105">
        <f>+'FY16 Tax Bill'!S265-'FY16 Feb Forecast'!S265</f>
        <v>0.30612244897957908</v>
      </c>
      <c r="T265" s="108">
        <f>+'FY16 Tax Bill'!T265-'FY16 Feb Forecast'!T265</f>
        <v>18.15246098439377</v>
      </c>
    </row>
    <row r="266" spans="1:20" x14ac:dyDescent="0.2">
      <c r="A266" s="109">
        <v>858</v>
      </c>
      <c r="B266" s="110">
        <v>1</v>
      </c>
      <c r="C266" s="103" t="s">
        <v>384</v>
      </c>
      <c r="D266" s="103">
        <v>6</v>
      </c>
      <c r="E266" s="104">
        <f>+SUMIF('GE16FEB14 Unfudged'!$A$2:$A$498, $A266, 'GE16FEB14 Unfudged'!$D$2:$D$498)</f>
        <v>1073</v>
      </c>
      <c r="F266" s="104">
        <f>+'FY16 Tax Bill'!F266-'FY16 Feb Forecast'!F266</f>
        <v>1630</v>
      </c>
      <c r="G266" s="105">
        <f>+'FY16 Tax Bill'!G266-'FY16 Feb Forecast'!G266</f>
        <v>928</v>
      </c>
      <c r="H266" s="106">
        <f>+'FY16 Tax Bill'!H266-'FY16 Feb Forecast'!H266</f>
        <v>702</v>
      </c>
      <c r="I266" s="107">
        <f>+'FY16 Tax Bill'!I266-'FY16 Feb Forecast'!I266</f>
        <v>455037</v>
      </c>
      <c r="J266" s="105">
        <f>+'FY16 Tax Bill'!J266-'FY16 Feb Forecast'!J266</f>
        <v>259052</v>
      </c>
      <c r="K266" s="106">
        <f>+'FY16 Tax Bill'!K266-'FY16 Feb Forecast'!K266</f>
        <v>195985</v>
      </c>
      <c r="L266" s="107">
        <f>+'FY16 Tax Bill'!L266-'FY16 Feb Forecast'!L266</f>
        <v>-35555</v>
      </c>
      <c r="M266" s="105">
        <f>+'FY16 Tax Bill'!M266-'FY16 Feb Forecast'!M266</f>
        <v>-20241</v>
      </c>
      <c r="N266" s="106">
        <f>+'FY16 Tax Bill'!N266-'FY16 Feb Forecast'!N266</f>
        <v>-15314</v>
      </c>
      <c r="O266" s="107">
        <f>+'FY16 Tax Bill'!O266-'FY16 Feb Forecast'!O266</f>
        <v>421112</v>
      </c>
      <c r="P266" s="105">
        <f>+'FY16 Tax Bill'!P266-'FY16 Feb Forecast'!P266</f>
        <v>239739</v>
      </c>
      <c r="Q266" s="106">
        <f>+'FY16 Tax Bill'!Q266-'FY16 Feb Forecast'!Q266</f>
        <v>181373</v>
      </c>
      <c r="R266" s="105">
        <f>+'FY16 Tax Bill'!R266-'FY16 Feb Forecast'!R266</f>
        <v>392.46225535880711</v>
      </c>
      <c r="S266" s="105">
        <f>+'FY16 Tax Bill'!S266-'FY16 Feb Forecast'!S266</f>
        <v>223.42870456663559</v>
      </c>
      <c r="T266" s="108">
        <f>+'FY16 Tax Bill'!T266-'FY16 Feb Forecast'!T266</f>
        <v>169.03355079217147</v>
      </c>
    </row>
    <row r="267" spans="1:20" x14ac:dyDescent="0.2">
      <c r="A267" s="109">
        <v>861</v>
      </c>
      <c r="B267" s="110">
        <v>1</v>
      </c>
      <c r="C267" s="103" t="s">
        <v>385</v>
      </c>
      <c r="D267" s="103">
        <v>4</v>
      </c>
      <c r="E267" s="104">
        <f>+SUMIF('GE16FEB14 Unfudged'!$A$2:$A$498, $A267, 'GE16FEB14 Unfudged'!$D$2:$D$498)</f>
        <v>3203</v>
      </c>
      <c r="F267" s="104">
        <f>+'FY16 Tax Bill'!F267-'FY16 Feb Forecast'!F267</f>
        <v>-30743</v>
      </c>
      <c r="G267" s="105">
        <f>+'FY16 Tax Bill'!G267-'FY16 Feb Forecast'!G267</f>
        <v>-30743</v>
      </c>
      <c r="H267" s="106">
        <f>+'FY16 Tax Bill'!H267-'FY16 Feb Forecast'!H267</f>
        <v>0</v>
      </c>
      <c r="I267" s="107">
        <f>+'FY16 Tax Bill'!I267-'FY16 Feb Forecast'!I267</f>
        <v>679015</v>
      </c>
      <c r="J267" s="105">
        <f>+'FY16 Tax Bill'!J267-'FY16 Feb Forecast'!J267</f>
        <v>679015</v>
      </c>
      <c r="K267" s="106">
        <f>+'FY16 Tax Bill'!K267-'FY16 Feb Forecast'!K267</f>
        <v>0</v>
      </c>
      <c r="L267" s="107">
        <f>+'FY16 Tax Bill'!L267-'FY16 Feb Forecast'!L267</f>
        <v>-679015</v>
      </c>
      <c r="M267" s="105">
        <f>+'FY16 Tax Bill'!M267-'FY16 Feb Forecast'!M267</f>
        <v>-679015</v>
      </c>
      <c r="N267" s="106">
        <f>+'FY16 Tax Bill'!N267-'FY16 Feb Forecast'!N267</f>
        <v>0</v>
      </c>
      <c r="O267" s="107">
        <f>+'FY16 Tax Bill'!O267-'FY16 Feb Forecast'!O267</f>
        <v>-30743</v>
      </c>
      <c r="P267" s="105">
        <f>+'FY16 Tax Bill'!P267-'FY16 Feb Forecast'!P267</f>
        <v>-30743</v>
      </c>
      <c r="Q267" s="106">
        <f>+'FY16 Tax Bill'!Q267-'FY16 Feb Forecast'!Q267</f>
        <v>0</v>
      </c>
      <c r="R267" s="105">
        <f>+'FY16 Tax Bill'!R267-'FY16 Feb Forecast'!R267</f>
        <v>-9.5981891976271072</v>
      </c>
      <c r="S267" s="105">
        <f>+'FY16 Tax Bill'!S267-'FY16 Feb Forecast'!S267</f>
        <v>-9.5981891976271072</v>
      </c>
      <c r="T267" s="108">
        <f>+'FY16 Tax Bill'!T267-'FY16 Feb Forecast'!T267</f>
        <v>0</v>
      </c>
    </row>
    <row r="268" spans="1:20" x14ac:dyDescent="0.2">
      <c r="A268" s="109">
        <v>876</v>
      </c>
      <c r="B268" s="110">
        <v>1</v>
      </c>
      <c r="C268" s="103" t="s">
        <v>386</v>
      </c>
      <c r="D268" s="103">
        <v>5</v>
      </c>
      <c r="E268" s="104">
        <f>+SUMIF('GE16FEB14 Unfudged'!$A$2:$A$498, $A268, 'GE16FEB14 Unfudged'!$D$2:$D$498)</f>
        <v>1760</v>
      </c>
      <c r="F268" s="104">
        <f>+'FY16 Tax Bill'!F268-'FY16 Feb Forecast'!F268</f>
        <v>32037</v>
      </c>
      <c r="G268" s="105">
        <f>+'FY16 Tax Bill'!G268-'FY16 Feb Forecast'!G268</f>
        <v>32037</v>
      </c>
      <c r="H268" s="106">
        <f>+'FY16 Tax Bill'!H268-'FY16 Feb Forecast'!H268</f>
        <v>0</v>
      </c>
      <c r="I268" s="107">
        <f>+'FY16 Tax Bill'!I268-'FY16 Feb Forecast'!I268</f>
        <v>746325</v>
      </c>
      <c r="J268" s="105">
        <f>+'FY16 Tax Bill'!J268-'FY16 Feb Forecast'!J268</f>
        <v>746325</v>
      </c>
      <c r="K268" s="106">
        <f>+'FY16 Tax Bill'!K268-'FY16 Feb Forecast'!K268</f>
        <v>0</v>
      </c>
      <c r="L268" s="107">
        <f>+'FY16 Tax Bill'!L268-'FY16 Feb Forecast'!L268</f>
        <v>-705858</v>
      </c>
      <c r="M268" s="105">
        <f>+'FY16 Tax Bill'!M268-'FY16 Feb Forecast'!M268</f>
        <v>-705858</v>
      </c>
      <c r="N268" s="106">
        <f>+'FY16 Tax Bill'!N268-'FY16 Feb Forecast'!N268</f>
        <v>0</v>
      </c>
      <c r="O268" s="107">
        <f>+'FY16 Tax Bill'!O268-'FY16 Feb Forecast'!O268</f>
        <v>72504</v>
      </c>
      <c r="P268" s="105">
        <f>+'FY16 Tax Bill'!P268-'FY16 Feb Forecast'!P268</f>
        <v>72504</v>
      </c>
      <c r="Q268" s="106">
        <f>+'FY16 Tax Bill'!Q268-'FY16 Feb Forecast'!Q268</f>
        <v>0</v>
      </c>
      <c r="R268" s="105">
        <f>+'FY16 Tax Bill'!R268-'FY16 Feb Forecast'!R268</f>
        <v>41.195454545454481</v>
      </c>
      <c r="S268" s="105">
        <f>+'FY16 Tax Bill'!S268-'FY16 Feb Forecast'!S268</f>
        <v>41.195454545454595</v>
      </c>
      <c r="T268" s="108">
        <f>+'FY16 Tax Bill'!T268-'FY16 Feb Forecast'!T268</f>
        <v>0</v>
      </c>
    </row>
    <row r="269" spans="1:20" x14ac:dyDescent="0.2">
      <c r="A269" s="109">
        <v>877</v>
      </c>
      <c r="B269" s="110">
        <v>1</v>
      </c>
      <c r="C269" s="103" t="s">
        <v>387</v>
      </c>
      <c r="D269" s="103">
        <v>4</v>
      </c>
      <c r="E269" s="104">
        <f>+SUMIF('GE16FEB14 Unfudged'!$A$2:$A$498, $A269, 'GE16FEB14 Unfudged'!$D$2:$D$498)</f>
        <v>6265</v>
      </c>
      <c r="F269" s="104">
        <f>+'FY16 Tax Bill'!F269-'FY16 Feb Forecast'!F269</f>
        <v>0</v>
      </c>
      <c r="G269" s="105">
        <f>+'FY16 Tax Bill'!G269-'FY16 Feb Forecast'!G269</f>
        <v>0</v>
      </c>
      <c r="H269" s="106">
        <f>+'FY16 Tax Bill'!H269-'FY16 Feb Forecast'!H269</f>
        <v>0</v>
      </c>
      <c r="I269" s="107">
        <f>+'FY16 Tax Bill'!I269-'FY16 Feb Forecast'!I269</f>
        <v>0</v>
      </c>
      <c r="J269" s="105">
        <f>+'FY16 Tax Bill'!J269-'FY16 Feb Forecast'!J269</f>
        <v>0</v>
      </c>
      <c r="K269" s="106">
        <f>+'FY16 Tax Bill'!K269-'FY16 Feb Forecast'!K269</f>
        <v>0</v>
      </c>
      <c r="L269" s="107">
        <f>+'FY16 Tax Bill'!L269-'FY16 Feb Forecast'!L269</f>
        <v>0</v>
      </c>
      <c r="M269" s="105">
        <f>+'FY16 Tax Bill'!M269-'FY16 Feb Forecast'!M269</f>
        <v>0</v>
      </c>
      <c r="N269" s="106">
        <f>+'FY16 Tax Bill'!N269-'FY16 Feb Forecast'!N269</f>
        <v>0</v>
      </c>
      <c r="O269" s="107">
        <f>+'FY16 Tax Bill'!O269-'FY16 Feb Forecast'!O269</f>
        <v>0</v>
      </c>
      <c r="P269" s="105">
        <f>+'FY16 Tax Bill'!P269-'FY16 Feb Forecast'!P269</f>
        <v>0</v>
      </c>
      <c r="Q269" s="106">
        <f>+'FY16 Tax Bill'!Q269-'FY16 Feb Forecast'!Q269</f>
        <v>0</v>
      </c>
      <c r="R269" s="105">
        <f>+'FY16 Tax Bill'!R269-'FY16 Feb Forecast'!R269</f>
        <v>0</v>
      </c>
      <c r="S269" s="105">
        <f>+'FY16 Tax Bill'!S269-'FY16 Feb Forecast'!S269</f>
        <v>0</v>
      </c>
      <c r="T269" s="108">
        <f>+'FY16 Tax Bill'!T269-'FY16 Feb Forecast'!T269</f>
        <v>0</v>
      </c>
    </row>
    <row r="270" spans="1:20" x14ac:dyDescent="0.2">
      <c r="A270" s="109">
        <v>879</v>
      </c>
      <c r="B270" s="110">
        <v>1</v>
      </c>
      <c r="C270" s="103" t="s">
        <v>388</v>
      </c>
      <c r="D270" s="103">
        <v>4</v>
      </c>
      <c r="E270" s="104">
        <f>+SUMIF('GE16FEB14 Unfudged'!$A$2:$A$498, $A270, 'GE16FEB14 Unfudged'!$D$2:$D$498)</f>
        <v>2551</v>
      </c>
      <c r="F270" s="104">
        <f>+'FY16 Tax Bill'!F270-'FY16 Feb Forecast'!F270</f>
        <v>-13217</v>
      </c>
      <c r="G270" s="105">
        <f>+'FY16 Tax Bill'!G270-'FY16 Feb Forecast'!G270</f>
        <v>-11652</v>
      </c>
      <c r="H270" s="106">
        <f>+'FY16 Tax Bill'!H270-'FY16 Feb Forecast'!H270</f>
        <v>-1565</v>
      </c>
      <c r="I270" s="107">
        <f>+'FY16 Tax Bill'!I270-'FY16 Feb Forecast'!I270</f>
        <v>0</v>
      </c>
      <c r="J270" s="105">
        <f>+'FY16 Tax Bill'!J270-'FY16 Feb Forecast'!J270</f>
        <v>0</v>
      </c>
      <c r="K270" s="106">
        <f>+'FY16 Tax Bill'!K270-'FY16 Feb Forecast'!K270</f>
        <v>0</v>
      </c>
      <c r="L270" s="107">
        <f>+'FY16 Tax Bill'!L270-'FY16 Feb Forecast'!L270</f>
        <v>0</v>
      </c>
      <c r="M270" s="105">
        <f>+'FY16 Tax Bill'!M270-'FY16 Feb Forecast'!M270</f>
        <v>0</v>
      </c>
      <c r="N270" s="106">
        <f>+'FY16 Tax Bill'!N270-'FY16 Feb Forecast'!N270</f>
        <v>0</v>
      </c>
      <c r="O270" s="107">
        <f>+'FY16 Tax Bill'!O270-'FY16 Feb Forecast'!O270</f>
        <v>-13217</v>
      </c>
      <c r="P270" s="105">
        <f>+'FY16 Tax Bill'!P270-'FY16 Feb Forecast'!P270</f>
        <v>-11652</v>
      </c>
      <c r="Q270" s="106">
        <f>+'FY16 Tax Bill'!Q270-'FY16 Feb Forecast'!Q270</f>
        <v>-1565</v>
      </c>
      <c r="R270" s="105">
        <f>+'FY16 Tax Bill'!R270-'FY16 Feb Forecast'!R270</f>
        <v>-5.1811054488437094</v>
      </c>
      <c r="S270" s="105">
        <f>+'FY16 Tax Bill'!S270-'FY16 Feb Forecast'!S270</f>
        <v>-4.5676205409642989</v>
      </c>
      <c r="T270" s="108">
        <f>+'FY16 Tax Bill'!T270-'FY16 Feb Forecast'!T270</f>
        <v>-0.61348490787926835</v>
      </c>
    </row>
    <row r="271" spans="1:20" x14ac:dyDescent="0.2">
      <c r="A271" s="109">
        <v>881</v>
      </c>
      <c r="B271" s="110">
        <v>1</v>
      </c>
      <c r="C271" s="103" t="s">
        <v>389</v>
      </c>
      <c r="D271" s="103">
        <v>5</v>
      </c>
      <c r="E271" s="104">
        <f>+SUMIF('GE16FEB14 Unfudged'!$A$2:$A$498, $A271, 'GE16FEB14 Unfudged'!$D$2:$D$498)</f>
        <v>958</v>
      </c>
      <c r="F271" s="104">
        <f>+'FY16 Tax Bill'!F271-'FY16 Feb Forecast'!F271</f>
        <v>17395</v>
      </c>
      <c r="G271" s="105">
        <f>+'FY16 Tax Bill'!G271-'FY16 Feb Forecast'!G271</f>
        <v>13935</v>
      </c>
      <c r="H271" s="106">
        <f>+'FY16 Tax Bill'!H271-'FY16 Feb Forecast'!H271</f>
        <v>3460</v>
      </c>
      <c r="I271" s="107">
        <f>+'FY16 Tax Bill'!I271-'FY16 Feb Forecast'!I271</f>
        <v>406022</v>
      </c>
      <c r="J271" s="105">
        <f>+'FY16 Tax Bill'!J271-'FY16 Feb Forecast'!J271</f>
        <v>325249</v>
      </c>
      <c r="K271" s="106">
        <f>+'FY16 Tax Bill'!K271-'FY16 Feb Forecast'!K271</f>
        <v>80773</v>
      </c>
      <c r="L271" s="107">
        <f>+'FY16 Tax Bill'!L271-'FY16 Feb Forecast'!L271</f>
        <v>-379439</v>
      </c>
      <c r="M271" s="105">
        <f>+'FY16 Tax Bill'!M271-'FY16 Feb Forecast'!M271</f>
        <v>-303955</v>
      </c>
      <c r="N271" s="106">
        <f>+'FY16 Tax Bill'!N271-'FY16 Feb Forecast'!N271</f>
        <v>-75484</v>
      </c>
      <c r="O271" s="107">
        <f>+'FY16 Tax Bill'!O271-'FY16 Feb Forecast'!O271</f>
        <v>43978</v>
      </c>
      <c r="P271" s="105">
        <f>+'FY16 Tax Bill'!P271-'FY16 Feb Forecast'!P271</f>
        <v>35229</v>
      </c>
      <c r="Q271" s="106">
        <f>+'FY16 Tax Bill'!Q271-'FY16 Feb Forecast'!Q271</f>
        <v>8749</v>
      </c>
      <c r="R271" s="105">
        <f>+'FY16 Tax Bill'!R271-'FY16 Feb Forecast'!R271</f>
        <v>45.906054279749469</v>
      </c>
      <c r="S271" s="105">
        <f>+'FY16 Tax Bill'!S271-'FY16 Feb Forecast'!S271</f>
        <v>36.773486430062576</v>
      </c>
      <c r="T271" s="108">
        <f>+'FY16 Tax Bill'!T271-'FY16 Feb Forecast'!T271</f>
        <v>9.1325678496868363</v>
      </c>
    </row>
    <row r="272" spans="1:20" x14ac:dyDescent="0.2">
      <c r="A272" s="109">
        <v>882</v>
      </c>
      <c r="B272" s="110">
        <v>1</v>
      </c>
      <c r="C272" s="103" t="s">
        <v>390</v>
      </c>
      <c r="D272" s="103">
        <v>4</v>
      </c>
      <c r="E272" s="104">
        <f>+SUMIF('GE16FEB14 Unfudged'!$A$2:$A$498, $A272, 'GE16FEB14 Unfudged'!$D$2:$D$498)</f>
        <v>4422</v>
      </c>
      <c r="F272" s="104">
        <f>+'FY16 Tax Bill'!F272-'FY16 Feb Forecast'!F272</f>
        <v>25360</v>
      </c>
      <c r="G272" s="105">
        <f>+'FY16 Tax Bill'!G272-'FY16 Feb Forecast'!G272</f>
        <v>21435</v>
      </c>
      <c r="H272" s="106">
        <f>+'FY16 Tax Bill'!H272-'FY16 Feb Forecast'!H272</f>
        <v>3925</v>
      </c>
      <c r="I272" s="107">
        <f>+'FY16 Tax Bill'!I272-'FY16 Feb Forecast'!I272</f>
        <v>937379</v>
      </c>
      <c r="J272" s="105">
        <f>+'FY16 Tax Bill'!J272-'FY16 Feb Forecast'!J272</f>
        <v>792301</v>
      </c>
      <c r="K272" s="106">
        <f>+'FY16 Tax Bill'!K272-'FY16 Feb Forecast'!K272</f>
        <v>145078</v>
      </c>
      <c r="L272" s="107">
        <f>+'FY16 Tax Bill'!L272-'FY16 Feb Forecast'!L272</f>
        <v>-937379</v>
      </c>
      <c r="M272" s="105">
        <f>+'FY16 Tax Bill'!M272-'FY16 Feb Forecast'!M272</f>
        <v>-807856</v>
      </c>
      <c r="N272" s="106">
        <f>+'FY16 Tax Bill'!N272-'FY16 Feb Forecast'!N272</f>
        <v>-129523</v>
      </c>
      <c r="O272" s="107">
        <f>+'FY16 Tax Bill'!O272-'FY16 Feb Forecast'!O272</f>
        <v>25360</v>
      </c>
      <c r="P272" s="105">
        <f>+'FY16 Tax Bill'!P272-'FY16 Feb Forecast'!P272</f>
        <v>5880</v>
      </c>
      <c r="Q272" s="106">
        <f>+'FY16 Tax Bill'!Q272-'FY16 Feb Forecast'!Q272</f>
        <v>19480</v>
      </c>
      <c r="R272" s="105">
        <f>+'FY16 Tax Bill'!R272-'FY16 Feb Forecast'!R272</f>
        <v>5.7349615558571259</v>
      </c>
      <c r="S272" s="105">
        <f>+'FY16 Tax Bill'!S272-'FY16 Feb Forecast'!S272</f>
        <v>1.329715061058323</v>
      </c>
      <c r="T272" s="108">
        <f>+'FY16 Tax Bill'!T272-'FY16 Feb Forecast'!T272</f>
        <v>4.405246494798746</v>
      </c>
    </row>
    <row r="273" spans="1:20" x14ac:dyDescent="0.2">
      <c r="A273" s="109">
        <v>883</v>
      </c>
      <c r="B273" s="110">
        <v>1</v>
      </c>
      <c r="C273" s="103" t="s">
        <v>391</v>
      </c>
      <c r="D273" s="103">
        <v>5</v>
      </c>
      <c r="E273" s="104">
        <f>+SUMIF('GE16FEB14 Unfudged'!$A$2:$A$498, $A273, 'GE16FEB14 Unfudged'!$D$2:$D$498)</f>
        <v>1793</v>
      </c>
      <c r="F273" s="104">
        <f>+'FY16 Tax Bill'!F273-'FY16 Feb Forecast'!F273</f>
        <v>0</v>
      </c>
      <c r="G273" s="105">
        <f>+'FY16 Tax Bill'!G273-'FY16 Feb Forecast'!G273</f>
        <v>0</v>
      </c>
      <c r="H273" s="106">
        <f>+'FY16 Tax Bill'!H273-'FY16 Feb Forecast'!H273</f>
        <v>0</v>
      </c>
      <c r="I273" s="107">
        <f>+'FY16 Tax Bill'!I273-'FY16 Feb Forecast'!I273</f>
        <v>0</v>
      </c>
      <c r="J273" s="105">
        <f>+'FY16 Tax Bill'!J273-'FY16 Feb Forecast'!J273</f>
        <v>0</v>
      </c>
      <c r="K273" s="106">
        <f>+'FY16 Tax Bill'!K273-'FY16 Feb Forecast'!K273</f>
        <v>0</v>
      </c>
      <c r="L273" s="107">
        <f>+'FY16 Tax Bill'!L273-'FY16 Feb Forecast'!L273</f>
        <v>0</v>
      </c>
      <c r="M273" s="105">
        <f>+'FY16 Tax Bill'!M273-'FY16 Feb Forecast'!M273</f>
        <v>0</v>
      </c>
      <c r="N273" s="106">
        <f>+'FY16 Tax Bill'!N273-'FY16 Feb Forecast'!N273</f>
        <v>0</v>
      </c>
      <c r="O273" s="107">
        <f>+'FY16 Tax Bill'!O273-'FY16 Feb Forecast'!O273</f>
        <v>0</v>
      </c>
      <c r="P273" s="105">
        <f>+'FY16 Tax Bill'!P273-'FY16 Feb Forecast'!P273</f>
        <v>0</v>
      </c>
      <c r="Q273" s="106">
        <f>+'FY16 Tax Bill'!Q273-'FY16 Feb Forecast'!Q273</f>
        <v>0</v>
      </c>
      <c r="R273" s="105">
        <f>+'FY16 Tax Bill'!R273-'FY16 Feb Forecast'!R273</f>
        <v>0</v>
      </c>
      <c r="S273" s="105">
        <f>+'FY16 Tax Bill'!S273-'FY16 Feb Forecast'!S273</f>
        <v>0</v>
      </c>
      <c r="T273" s="108">
        <f>+'FY16 Tax Bill'!T273-'FY16 Feb Forecast'!T273</f>
        <v>0</v>
      </c>
    </row>
    <row r="274" spans="1:20" x14ac:dyDescent="0.2">
      <c r="A274" s="109">
        <v>885</v>
      </c>
      <c r="B274" s="110">
        <v>1</v>
      </c>
      <c r="C274" s="103" t="s">
        <v>392</v>
      </c>
      <c r="D274" s="103">
        <v>4</v>
      </c>
      <c r="E274" s="104">
        <f>+SUMIF('GE16FEB14 Unfudged'!$A$2:$A$498, $A274, 'GE16FEB14 Unfudged'!$D$2:$D$498)</f>
        <v>6299</v>
      </c>
      <c r="F274" s="104">
        <f>+'FY16 Tax Bill'!F274-'FY16 Feb Forecast'!F274</f>
        <v>54903</v>
      </c>
      <c r="G274" s="105">
        <f>+'FY16 Tax Bill'!G274-'FY16 Feb Forecast'!G274</f>
        <v>29032</v>
      </c>
      <c r="H274" s="106">
        <f>+'FY16 Tax Bill'!H274-'FY16 Feb Forecast'!H274</f>
        <v>25871</v>
      </c>
      <c r="I274" s="107">
        <f>+'FY16 Tax Bill'!I274-'FY16 Feb Forecast'!I274</f>
        <v>1335431</v>
      </c>
      <c r="J274" s="105">
        <f>+'FY16 Tax Bill'!J274-'FY16 Feb Forecast'!J274</f>
        <v>706156</v>
      </c>
      <c r="K274" s="106">
        <f>+'FY16 Tax Bill'!K274-'FY16 Feb Forecast'!K274</f>
        <v>629275</v>
      </c>
      <c r="L274" s="107">
        <f>+'FY16 Tax Bill'!L274-'FY16 Feb Forecast'!L274</f>
        <v>-1197541</v>
      </c>
      <c r="M274" s="105">
        <f>+'FY16 Tax Bill'!M274-'FY16 Feb Forecast'!M274</f>
        <v>-633241</v>
      </c>
      <c r="N274" s="106">
        <f>+'FY16 Tax Bill'!N274-'FY16 Feb Forecast'!N274</f>
        <v>-564300</v>
      </c>
      <c r="O274" s="107">
        <f>+'FY16 Tax Bill'!O274-'FY16 Feb Forecast'!O274</f>
        <v>192793</v>
      </c>
      <c r="P274" s="105">
        <f>+'FY16 Tax Bill'!P274-'FY16 Feb Forecast'!P274</f>
        <v>101947</v>
      </c>
      <c r="Q274" s="106">
        <f>+'FY16 Tax Bill'!Q274-'FY16 Feb Forecast'!Q274</f>
        <v>90846</v>
      </c>
      <c r="R274" s="105">
        <f>+'FY16 Tax Bill'!R274-'FY16 Feb Forecast'!R274</f>
        <v>30.606921733608488</v>
      </c>
      <c r="S274" s="105">
        <f>+'FY16 Tax Bill'!S274-'FY16 Feb Forecast'!S274</f>
        <v>16.184632481346227</v>
      </c>
      <c r="T274" s="108">
        <f>+'FY16 Tax Bill'!T274-'FY16 Feb Forecast'!T274</f>
        <v>14.42228925226226</v>
      </c>
    </row>
    <row r="275" spans="1:20" x14ac:dyDescent="0.2">
      <c r="A275" s="109">
        <v>891</v>
      </c>
      <c r="B275" s="110">
        <v>1</v>
      </c>
      <c r="C275" s="103" t="s">
        <v>393</v>
      </c>
      <c r="D275" s="103">
        <v>6</v>
      </c>
      <c r="E275" s="104">
        <f>+SUMIF('GE16FEB14 Unfudged'!$A$2:$A$498, $A275, 'GE16FEB14 Unfudged'!$D$2:$D$498)</f>
        <v>536</v>
      </c>
      <c r="F275" s="104">
        <f>+'FY16 Tax Bill'!F275-'FY16 Feb Forecast'!F275</f>
        <v>10234</v>
      </c>
      <c r="G275" s="105">
        <f>+'FY16 Tax Bill'!G275-'FY16 Feb Forecast'!G275</f>
        <v>5549</v>
      </c>
      <c r="H275" s="106">
        <f>+'FY16 Tax Bill'!H275-'FY16 Feb Forecast'!H275</f>
        <v>4685</v>
      </c>
      <c r="I275" s="107">
        <f>+'FY16 Tax Bill'!I275-'FY16 Feb Forecast'!I275</f>
        <v>227434</v>
      </c>
      <c r="J275" s="105">
        <f>+'FY16 Tax Bill'!J275-'FY16 Feb Forecast'!J275</f>
        <v>123335</v>
      </c>
      <c r="K275" s="106">
        <f>+'FY16 Tax Bill'!K275-'FY16 Feb Forecast'!K275</f>
        <v>104099</v>
      </c>
      <c r="L275" s="107">
        <f>+'FY16 Tax Bill'!L275-'FY16 Feb Forecast'!L275</f>
        <v>-227434</v>
      </c>
      <c r="M275" s="105">
        <f>+'FY16 Tax Bill'!M275-'FY16 Feb Forecast'!M275</f>
        <v>-123335</v>
      </c>
      <c r="N275" s="106">
        <f>+'FY16 Tax Bill'!N275-'FY16 Feb Forecast'!N275</f>
        <v>-104099</v>
      </c>
      <c r="O275" s="107">
        <f>+'FY16 Tax Bill'!O275-'FY16 Feb Forecast'!O275</f>
        <v>10234</v>
      </c>
      <c r="P275" s="105">
        <f>+'FY16 Tax Bill'!P275-'FY16 Feb Forecast'!P275</f>
        <v>5549</v>
      </c>
      <c r="Q275" s="106">
        <f>+'FY16 Tax Bill'!Q275-'FY16 Feb Forecast'!Q275</f>
        <v>4685</v>
      </c>
      <c r="R275" s="105">
        <f>+'FY16 Tax Bill'!R275-'FY16 Feb Forecast'!R275</f>
        <v>19.093283582089612</v>
      </c>
      <c r="S275" s="105">
        <f>+'FY16 Tax Bill'!S275-'FY16 Feb Forecast'!S275</f>
        <v>10.352611940298516</v>
      </c>
      <c r="T275" s="108">
        <f>+'FY16 Tax Bill'!T275-'FY16 Feb Forecast'!T275</f>
        <v>8.7406716417910388</v>
      </c>
    </row>
    <row r="276" spans="1:20" x14ac:dyDescent="0.2">
      <c r="A276" s="109">
        <v>911</v>
      </c>
      <c r="B276" s="110">
        <v>1</v>
      </c>
      <c r="C276" s="103" t="s">
        <v>394</v>
      </c>
      <c r="D276" s="103">
        <v>4</v>
      </c>
      <c r="E276" s="104">
        <f>+SUMIF('GE16FEB14 Unfudged'!$A$2:$A$498, $A276, 'GE16FEB14 Unfudged'!$D$2:$D$498)</f>
        <v>5663</v>
      </c>
      <c r="F276" s="104">
        <f>+'FY16 Tax Bill'!F276-'FY16 Feb Forecast'!F276</f>
        <v>0</v>
      </c>
      <c r="G276" s="105">
        <f>+'FY16 Tax Bill'!G276-'FY16 Feb Forecast'!G276</f>
        <v>0</v>
      </c>
      <c r="H276" s="106">
        <f>+'FY16 Tax Bill'!H276-'FY16 Feb Forecast'!H276</f>
        <v>0</v>
      </c>
      <c r="I276" s="107">
        <f>+'FY16 Tax Bill'!I276-'FY16 Feb Forecast'!I276</f>
        <v>1200566</v>
      </c>
      <c r="J276" s="105">
        <f>+'FY16 Tax Bill'!J276-'FY16 Feb Forecast'!J276</f>
        <v>693464</v>
      </c>
      <c r="K276" s="106">
        <f>+'FY16 Tax Bill'!K276-'FY16 Feb Forecast'!K276</f>
        <v>507102</v>
      </c>
      <c r="L276" s="107">
        <f>+'FY16 Tax Bill'!L276-'FY16 Feb Forecast'!L276</f>
        <v>0</v>
      </c>
      <c r="M276" s="105">
        <f>+'FY16 Tax Bill'!M276-'FY16 Feb Forecast'!M276</f>
        <v>0</v>
      </c>
      <c r="N276" s="106">
        <f>+'FY16 Tax Bill'!N276-'FY16 Feb Forecast'!N276</f>
        <v>0</v>
      </c>
      <c r="O276" s="107">
        <f>+'FY16 Tax Bill'!O276-'FY16 Feb Forecast'!O276</f>
        <v>1200566</v>
      </c>
      <c r="P276" s="105">
        <f>+'FY16 Tax Bill'!P276-'FY16 Feb Forecast'!P276</f>
        <v>693464</v>
      </c>
      <c r="Q276" s="106">
        <f>+'FY16 Tax Bill'!Q276-'FY16 Feb Forecast'!Q276</f>
        <v>507102</v>
      </c>
      <c r="R276" s="105">
        <f>+'FY16 Tax Bill'!R276-'FY16 Feb Forecast'!R276</f>
        <v>212.00176584849021</v>
      </c>
      <c r="S276" s="105">
        <f>+'FY16 Tax Bill'!S276-'FY16 Feb Forecast'!S276</f>
        <v>122.45523574077345</v>
      </c>
      <c r="T276" s="108">
        <f>+'FY16 Tax Bill'!T276-'FY16 Feb Forecast'!T276</f>
        <v>89.546530107716762</v>
      </c>
    </row>
    <row r="277" spans="1:20" x14ac:dyDescent="0.2">
      <c r="A277" s="109">
        <v>912</v>
      </c>
      <c r="B277" s="110">
        <v>1</v>
      </c>
      <c r="C277" s="103" t="s">
        <v>395</v>
      </c>
      <c r="D277" s="103">
        <v>5</v>
      </c>
      <c r="E277" s="104">
        <f>+SUMIF('GE16FEB14 Unfudged'!$A$2:$A$498, $A277, 'GE16FEB14 Unfudged'!$D$2:$D$498)</f>
        <v>1935</v>
      </c>
      <c r="F277" s="104">
        <f>+'FY16 Tax Bill'!F277-'FY16 Feb Forecast'!F277</f>
        <v>0</v>
      </c>
      <c r="G277" s="105">
        <f>+'FY16 Tax Bill'!G277-'FY16 Feb Forecast'!G277</f>
        <v>0</v>
      </c>
      <c r="H277" s="106">
        <f>+'FY16 Tax Bill'!H277-'FY16 Feb Forecast'!H277</f>
        <v>0</v>
      </c>
      <c r="I277" s="107">
        <f>+'FY16 Tax Bill'!I277-'FY16 Feb Forecast'!I277</f>
        <v>820313</v>
      </c>
      <c r="J277" s="105">
        <f>+'FY16 Tax Bill'!J277-'FY16 Feb Forecast'!J277</f>
        <v>382767</v>
      </c>
      <c r="K277" s="106">
        <f>+'FY16 Tax Bill'!K277-'FY16 Feb Forecast'!K277</f>
        <v>437546</v>
      </c>
      <c r="L277" s="107">
        <f>+'FY16 Tax Bill'!L277-'FY16 Feb Forecast'!L277</f>
        <v>0</v>
      </c>
      <c r="M277" s="105">
        <f>+'FY16 Tax Bill'!M277-'FY16 Feb Forecast'!M277</f>
        <v>0</v>
      </c>
      <c r="N277" s="106">
        <f>+'FY16 Tax Bill'!N277-'FY16 Feb Forecast'!N277</f>
        <v>0</v>
      </c>
      <c r="O277" s="107">
        <f>+'FY16 Tax Bill'!O277-'FY16 Feb Forecast'!O277</f>
        <v>820313</v>
      </c>
      <c r="P277" s="105">
        <f>+'FY16 Tax Bill'!P277-'FY16 Feb Forecast'!P277</f>
        <v>382767</v>
      </c>
      <c r="Q277" s="106">
        <f>+'FY16 Tax Bill'!Q277-'FY16 Feb Forecast'!Q277</f>
        <v>437546</v>
      </c>
      <c r="R277" s="105">
        <f>+'FY16 Tax Bill'!R277-'FY16 Feb Forecast'!R277</f>
        <v>423.93436692506464</v>
      </c>
      <c r="S277" s="105">
        <f>+'FY16 Tax Bill'!S277-'FY16 Feb Forecast'!S277</f>
        <v>197.81240310077519</v>
      </c>
      <c r="T277" s="108">
        <f>+'FY16 Tax Bill'!T277-'FY16 Feb Forecast'!T277</f>
        <v>226.12196382428937</v>
      </c>
    </row>
    <row r="278" spans="1:20" x14ac:dyDescent="0.2">
      <c r="A278" s="109">
        <v>914</v>
      </c>
      <c r="B278" s="110">
        <v>1</v>
      </c>
      <c r="C278" s="103" t="s">
        <v>396</v>
      </c>
      <c r="D278" s="103">
        <v>6</v>
      </c>
      <c r="E278" s="104">
        <f>+SUMIF('GE16FEB14 Unfudged'!$A$2:$A$498, $A278, 'GE16FEB14 Unfudged'!$D$2:$D$498)</f>
        <v>341</v>
      </c>
      <c r="F278" s="104">
        <f>+'FY16 Tax Bill'!F278-'FY16 Feb Forecast'!F278</f>
        <v>0</v>
      </c>
      <c r="G278" s="105">
        <f>+'FY16 Tax Bill'!G278-'FY16 Feb Forecast'!G278</f>
        <v>0</v>
      </c>
      <c r="H278" s="106">
        <f>+'FY16 Tax Bill'!H278-'FY16 Feb Forecast'!H278</f>
        <v>0</v>
      </c>
      <c r="I278" s="107">
        <f>+'FY16 Tax Bill'!I278-'FY16 Feb Forecast'!I278</f>
        <v>144754</v>
      </c>
      <c r="J278" s="105">
        <f>+'FY16 Tax Bill'!J278-'FY16 Feb Forecast'!J278</f>
        <v>66903</v>
      </c>
      <c r="K278" s="106">
        <f>+'FY16 Tax Bill'!K278-'FY16 Feb Forecast'!K278</f>
        <v>77851</v>
      </c>
      <c r="L278" s="107">
        <f>+'FY16 Tax Bill'!L278-'FY16 Feb Forecast'!L278</f>
        <v>-144754</v>
      </c>
      <c r="M278" s="105">
        <f>+'FY16 Tax Bill'!M278-'FY16 Feb Forecast'!M278</f>
        <v>-117656</v>
      </c>
      <c r="N278" s="106">
        <f>+'FY16 Tax Bill'!N278-'FY16 Feb Forecast'!N278</f>
        <v>-27098</v>
      </c>
      <c r="O278" s="107">
        <f>+'FY16 Tax Bill'!O278-'FY16 Feb Forecast'!O278</f>
        <v>0</v>
      </c>
      <c r="P278" s="105">
        <f>+'FY16 Tax Bill'!P278-'FY16 Feb Forecast'!P278</f>
        <v>-50753</v>
      </c>
      <c r="Q278" s="106">
        <f>+'FY16 Tax Bill'!Q278-'FY16 Feb Forecast'!Q278</f>
        <v>50753</v>
      </c>
      <c r="R278" s="105">
        <f>+'FY16 Tax Bill'!R278-'FY16 Feb Forecast'!R278</f>
        <v>0</v>
      </c>
      <c r="S278" s="105">
        <f>+'FY16 Tax Bill'!S278-'FY16 Feb Forecast'!S278</f>
        <v>-148.83577712609986</v>
      </c>
      <c r="T278" s="108">
        <f>+'FY16 Tax Bill'!T278-'FY16 Feb Forecast'!T278</f>
        <v>148.83577712609974</v>
      </c>
    </row>
    <row r="279" spans="1:20" x14ac:dyDescent="0.2">
      <c r="A279" s="109">
        <v>2071</v>
      </c>
      <c r="B279" s="110">
        <v>1</v>
      </c>
      <c r="C279" s="103" t="s">
        <v>397</v>
      </c>
      <c r="D279" s="103">
        <v>6</v>
      </c>
      <c r="E279" s="104">
        <f>+SUMIF('GE16FEB14 Unfudged'!$A$2:$A$498, $A279, 'GE16FEB14 Unfudged'!$D$2:$D$498)</f>
        <v>962</v>
      </c>
      <c r="F279" s="104">
        <f>+'FY16 Tax Bill'!F279-'FY16 Feb Forecast'!F279</f>
        <v>18027</v>
      </c>
      <c r="G279" s="105">
        <f>+'FY16 Tax Bill'!G279-'FY16 Feb Forecast'!G279</f>
        <v>12714</v>
      </c>
      <c r="H279" s="106">
        <f>+'FY16 Tax Bill'!H279-'FY16 Feb Forecast'!H279</f>
        <v>5313</v>
      </c>
      <c r="I279" s="107">
        <f>+'FY16 Tax Bill'!I279-'FY16 Feb Forecast'!I279</f>
        <v>407803</v>
      </c>
      <c r="J279" s="105">
        <f>+'FY16 Tax Bill'!J279-'FY16 Feb Forecast'!J279</f>
        <v>287624</v>
      </c>
      <c r="K279" s="106">
        <f>+'FY16 Tax Bill'!K279-'FY16 Feb Forecast'!K279</f>
        <v>120179</v>
      </c>
      <c r="L279" s="107">
        <f>+'FY16 Tax Bill'!L279-'FY16 Feb Forecast'!L279</f>
        <v>-407803</v>
      </c>
      <c r="M279" s="105">
        <f>+'FY16 Tax Bill'!M279-'FY16 Feb Forecast'!M279</f>
        <v>-290824</v>
      </c>
      <c r="N279" s="106">
        <f>+'FY16 Tax Bill'!N279-'FY16 Feb Forecast'!N279</f>
        <v>-116979</v>
      </c>
      <c r="O279" s="107">
        <f>+'FY16 Tax Bill'!O279-'FY16 Feb Forecast'!O279</f>
        <v>18027</v>
      </c>
      <c r="P279" s="105">
        <f>+'FY16 Tax Bill'!P279-'FY16 Feb Forecast'!P279</f>
        <v>9514</v>
      </c>
      <c r="Q279" s="106">
        <f>+'FY16 Tax Bill'!Q279-'FY16 Feb Forecast'!Q279</f>
        <v>8513</v>
      </c>
      <c r="R279" s="105">
        <f>+'FY16 Tax Bill'!R279-'FY16 Feb Forecast'!R279</f>
        <v>18.739085239085171</v>
      </c>
      <c r="S279" s="105">
        <f>+'FY16 Tax Bill'!S279-'FY16 Feb Forecast'!S279</f>
        <v>9.8898128898127879</v>
      </c>
      <c r="T279" s="108">
        <f>+'FY16 Tax Bill'!T279-'FY16 Feb Forecast'!T279</f>
        <v>8.8492723492723826</v>
      </c>
    </row>
    <row r="280" spans="1:20" x14ac:dyDescent="0.2">
      <c r="A280" s="109">
        <v>2125</v>
      </c>
      <c r="B280" s="110">
        <v>1</v>
      </c>
      <c r="C280" s="103" t="s">
        <v>398</v>
      </c>
      <c r="D280" s="103">
        <v>5</v>
      </c>
      <c r="E280" s="104">
        <f>+SUMIF('GE16FEB14 Unfudged'!$A$2:$A$498, $A280, 'GE16FEB14 Unfudged'!$D$2:$D$498)</f>
        <v>1330</v>
      </c>
      <c r="F280" s="104">
        <f>+'FY16 Tax Bill'!F280-'FY16 Feb Forecast'!F280</f>
        <v>4737</v>
      </c>
      <c r="G280" s="105">
        <f>+'FY16 Tax Bill'!G280-'FY16 Feb Forecast'!G280</f>
        <v>2462</v>
      </c>
      <c r="H280" s="106">
        <f>+'FY16 Tax Bill'!H280-'FY16 Feb Forecast'!H280</f>
        <v>2275</v>
      </c>
      <c r="I280" s="107">
        <f>+'FY16 Tax Bill'!I280-'FY16 Feb Forecast'!I280</f>
        <v>564090</v>
      </c>
      <c r="J280" s="105">
        <f>+'FY16 Tax Bill'!J280-'FY16 Feb Forecast'!J280</f>
        <v>293234</v>
      </c>
      <c r="K280" s="106">
        <f>+'FY16 Tax Bill'!K280-'FY16 Feb Forecast'!K280</f>
        <v>270856</v>
      </c>
      <c r="L280" s="107">
        <f>+'FY16 Tax Bill'!L280-'FY16 Feb Forecast'!L280</f>
        <v>-103306</v>
      </c>
      <c r="M280" s="105">
        <f>+'FY16 Tax Bill'!M280-'FY16 Feb Forecast'!M280</f>
        <v>-53702</v>
      </c>
      <c r="N280" s="106">
        <f>+'FY16 Tax Bill'!N280-'FY16 Feb Forecast'!N280</f>
        <v>-49604</v>
      </c>
      <c r="O280" s="107">
        <f>+'FY16 Tax Bill'!O280-'FY16 Feb Forecast'!O280</f>
        <v>465521</v>
      </c>
      <c r="P280" s="105">
        <f>+'FY16 Tax Bill'!P280-'FY16 Feb Forecast'!P280</f>
        <v>241994</v>
      </c>
      <c r="Q280" s="106">
        <f>+'FY16 Tax Bill'!Q280-'FY16 Feb Forecast'!Q280</f>
        <v>223527</v>
      </c>
      <c r="R280" s="105">
        <f>+'FY16 Tax Bill'!R280-'FY16 Feb Forecast'!R280</f>
        <v>350.01578947368421</v>
      </c>
      <c r="S280" s="105">
        <f>+'FY16 Tax Bill'!S280-'FY16 Feb Forecast'!S280</f>
        <v>181.95037593984961</v>
      </c>
      <c r="T280" s="108">
        <f>+'FY16 Tax Bill'!T280-'FY16 Feb Forecast'!T280</f>
        <v>168.0654135338346</v>
      </c>
    </row>
    <row r="281" spans="1:20" x14ac:dyDescent="0.2">
      <c r="A281" s="109">
        <v>2134</v>
      </c>
      <c r="B281" s="110">
        <v>1</v>
      </c>
      <c r="C281" s="103" t="s">
        <v>399</v>
      </c>
      <c r="D281" s="103">
        <v>6</v>
      </c>
      <c r="E281" s="104">
        <f>+SUMIF('GE16FEB14 Unfudged'!$A$2:$A$498, $A281, 'GE16FEB14 Unfudged'!$D$2:$D$498)</f>
        <v>691</v>
      </c>
      <c r="F281" s="104">
        <f>+'FY16 Tax Bill'!F281-'FY16 Feb Forecast'!F281</f>
        <v>2533</v>
      </c>
      <c r="G281" s="105">
        <f>+'FY16 Tax Bill'!G281-'FY16 Feb Forecast'!G281</f>
        <v>1245</v>
      </c>
      <c r="H281" s="106">
        <f>+'FY16 Tax Bill'!H281-'FY16 Feb Forecast'!H281</f>
        <v>1288</v>
      </c>
      <c r="I281" s="107">
        <f>+'FY16 Tax Bill'!I281-'FY16 Feb Forecast'!I281</f>
        <v>292814</v>
      </c>
      <c r="J281" s="105">
        <f>+'FY16 Tax Bill'!J281-'FY16 Feb Forecast'!J281</f>
        <v>143972</v>
      </c>
      <c r="K281" s="106">
        <f>+'FY16 Tax Bill'!K281-'FY16 Feb Forecast'!K281</f>
        <v>148842</v>
      </c>
      <c r="L281" s="107">
        <f>+'FY16 Tax Bill'!L281-'FY16 Feb Forecast'!L281</f>
        <v>-292814</v>
      </c>
      <c r="M281" s="105">
        <f>+'FY16 Tax Bill'!M281-'FY16 Feb Forecast'!M281</f>
        <v>-253191</v>
      </c>
      <c r="N281" s="106">
        <f>+'FY16 Tax Bill'!N281-'FY16 Feb Forecast'!N281</f>
        <v>-39623</v>
      </c>
      <c r="O281" s="107">
        <f>+'FY16 Tax Bill'!O281-'FY16 Feb Forecast'!O281</f>
        <v>2533</v>
      </c>
      <c r="P281" s="105">
        <f>+'FY16 Tax Bill'!P281-'FY16 Feb Forecast'!P281</f>
        <v>-107974</v>
      </c>
      <c r="Q281" s="106">
        <f>+'FY16 Tax Bill'!Q281-'FY16 Feb Forecast'!Q281</f>
        <v>110507</v>
      </c>
      <c r="R281" s="105">
        <f>+'FY16 Tax Bill'!R281-'FY16 Feb Forecast'!R281</f>
        <v>3.6657018813314153</v>
      </c>
      <c r="S281" s="105">
        <f>+'FY16 Tax Bill'!S281-'FY16 Feb Forecast'!S281</f>
        <v>-156.2575976845153</v>
      </c>
      <c r="T281" s="108">
        <f>+'FY16 Tax Bill'!T281-'FY16 Feb Forecast'!T281</f>
        <v>159.92329956584661</v>
      </c>
    </row>
    <row r="282" spans="1:20" x14ac:dyDescent="0.2">
      <c r="A282" s="109">
        <v>2135</v>
      </c>
      <c r="B282" s="110">
        <v>1</v>
      </c>
      <c r="C282" s="103" t="s">
        <v>400</v>
      </c>
      <c r="D282" s="103">
        <v>5</v>
      </c>
      <c r="E282" s="104">
        <f>+SUMIF('GE16FEB14 Unfudged'!$A$2:$A$498, $A282, 'GE16FEB14 Unfudged'!$D$2:$D$498)</f>
        <v>1117</v>
      </c>
      <c r="F282" s="104">
        <f>+'FY16 Tax Bill'!F282-'FY16 Feb Forecast'!F282</f>
        <v>17314</v>
      </c>
      <c r="G282" s="105">
        <f>+'FY16 Tax Bill'!G282-'FY16 Feb Forecast'!G282</f>
        <v>9584</v>
      </c>
      <c r="H282" s="106">
        <f>+'FY16 Tax Bill'!H282-'FY16 Feb Forecast'!H282</f>
        <v>7730</v>
      </c>
      <c r="I282" s="107">
        <f>+'FY16 Tax Bill'!I282-'FY16 Feb Forecast'!I282</f>
        <v>473693</v>
      </c>
      <c r="J282" s="105">
        <f>+'FY16 Tax Bill'!J282-'FY16 Feb Forecast'!J282</f>
        <v>262207</v>
      </c>
      <c r="K282" s="106">
        <f>+'FY16 Tax Bill'!K282-'FY16 Feb Forecast'!K282</f>
        <v>211486</v>
      </c>
      <c r="L282" s="107">
        <f>+'FY16 Tax Bill'!L282-'FY16 Feb Forecast'!L282</f>
        <v>-473692</v>
      </c>
      <c r="M282" s="105">
        <f>+'FY16 Tax Bill'!M282-'FY16 Feb Forecast'!M282</f>
        <v>-370963</v>
      </c>
      <c r="N282" s="106">
        <f>+'FY16 Tax Bill'!N282-'FY16 Feb Forecast'!N282</f>
        <v>-102729</v>
      </c>
      <c r="O282" s="107">
        <f>+'FY16 Tax Bill'!O282-'FY16 Feb Forecast'!O282</f>
        <v>17315</v>
      </c>
      <c r="P282" s="105">
        <f>+'FY16 Tax Bill'!P282-'FY16 Feb Forecast'!P282</f>
        <v>-99172</v>
      </c>
      <c r="Q282" s="106">
        <f>+'FY16 Tax Bill'!Q282-'FY16 Feb Forecast'!Q282</f>
        <v>116487</v>
      </c>
      <c r="R282" s="105">
        <f>+'FY16 Tax Bill'!R282-'FY16 Feb Forecast'!R282</f>
        <v>15.501342882721701</v>
      </c>
      <c r="S282" s="105">
        <f>+'FY16 Tax Bill'!S282-'FY16 Feb Forecast'!S282</f>
        <v>-88.784243509400085</v>
      </c>
      <c r="T282" s="108">
        <f>+'FY16 Tax Bill'!T282-'FY16 Feb Forecast'!T282</f>
        <v>104.28558639212179</v>
      </c>
    </row>
    <row r="283" spans="1:20" x14ac:dyDescent="0.2">
      <c r="A283" s="109">
        <v>2137</v>
      </c>
      <c r="B283" s="110">
        <v>1</v>
      </c>
      <c r="C283" s="103" t="s">
        <v>401</v>
      </c>
      <c r="D283" s="103">
        <v>6</v>
      </c>
      <c r="E283" s="104">
        <f>+SUMIF('GE16FEB14 Unfudged'!$A$2:$A$498, $A283, 'GE16FEB14 Unfudged'!$D$2:$D$498)</f>
        <v>646</v>
      </c>
      <c r="F283" s="104">
        <f>+'FY16 Tax Bill'!F283-'FY16 Feb Forecast'!F283</f>
        <v>11100</v>
      </c>
      <c r="G283" s="105">
        <f>+'FY16 Tax Bill'!G283-'FY16 Feb Forecast'!G283</f>
        <v>7653</v>
      </c>
      <c r="H283" s="106">
        <f>+'FY16 Tax Bill'!H283-'FY16 Feb Forecast'!H283</f>
        <v>3447</v>
      </c>
      <c r="I283" s="107">
        <f>+'FY16 Tax Bill'!I283-'FY16 Feb Forecast'!I283</f>
        <v>274031</v>
      </c>
      <c r="J283" s="105">
        <f>+'FY16 Tax Bill'!J283-'FY16 Feb Forecast'!J283</f>
        <v>188948</v>
      </c>
      <c r="K283" s="106">
        <f>+'FY16 Tax Bill'!K283-'FY16 Feb Forecast'!K283</f>
        <v>85083</v>
      </c>
      <c r="L283" s="107">
        <f>+'FY16 Tax Bill'!L283-'FY16 Feb Forecast'!L283</f>
        <v>-274032</v>
      </c>
      <c r="M283" s="105">
        <f>+'FY16 Tax Bill'!M283-'FY16 Feb Forecast'!M283</f>
        <v>-212611</v>
      </c>
      <c r="N283" s="106">
        <f>+'FY16 Tax Bill'!N283-'FY16 Feb Forecast'!N283</f>
        <v>-61421</v>
      </c>
      <c r="O283" s="107">
        <f>+'FY16 Tax Bill'!O283-'FY16 Feb Forecast'!O283</f>
        <v>11099</v>
      </c>
      <c r="P283" s="105">
        <f>+'FY16 Tax Bill'!P283-'FY16 Feb Forecast'!P283</f>
        <v>-16010</v>
      </c>
      <c r="Q283" s="106">
        <f>+'FY16 Tax Bill'!Q283-'FY16 Feb Forecast'!Q283</f>
        <v>27109</v>
      </c>
      <c r="R283" s="105">
        <f>+'FY16 Tax Bill'!R283-'FY16 Feb Forecast'!R283</f>
        <v>17.181114551083624</v>
      </c>
      <c r="S283" s="105">
        <f>+'FY16 Tax Bill'!S283-'FY16 Feb Forecast'!S283</f>
        <v>-24.783281733746094</v>
      </c>
      <c r="T283" s="108">
        <f>+'FY16 Tax Bill'!T283-'FY16 Feb Forecast'!T283</f>
        <v>41.964396284829718</v>
      </c>
    </row>
    <row r="284" spans="1:20" x14ac:dyDescent="0.2">
      <c r="A284" s="109">
        <v>2142</v>
      </c>
      <c r="B284" s="110">
        <v>1</v>
      </c>
      <c r="C284" s="103" t="s">
        <v>402</v>
      </c>
      <c r="D284" s="103">
        <v>5</v>
      </c>
      <c r="E284" s="104">
        <f>+SUMIF('GE16FEB14 Unfudged'!$A$2:$A$498, $A284, 'GE16FEB14 Unfudged'!$D$2:$D$498)</f>
        <v>1940</v>
      </c>
      <c r="F284" s="104">
        <f>+'FY16 Tax Bill'!F284-'FY16 Feb Forecast'!F284</f>
        <v>0</v>
      </c>
      <c r="G284" s="105">
        <f>+'FY16 Tax Bill'!G284-'FY16 Feb Forecast'!G284</f>
        <v>0</v>
      </c>
      <c r="H284" s="106">
        <f>+'FY16 Tax Bill'!H284-'FY16 Feb Forecast'!H284</f>
        <v>0</v>
      </c>
      <c r="I284" s="107">
        <f>+'FY16 Tax Bill'!I284-'FY16 Feb Forecast'!I284</f>
        <v>822390</v>
      </c>
      <c r="J284" s="105">
        <f>+'FY16 Tax Bill'!J284-'FY16 Feb Forecast'!J284</f>
        <v>822390</v>
      </c>
      <c r="K284" s="106">
        <f>+'FY16 Tax Bill'!K284-'FY16 Feb Forecast'!K284</f>
        <v>0</v>
      </c>
      <c r="L284" s="107">
        <f>+'FY16 Tax Bill'!L284-'FY16 Feb Forecast'!L284</f>
        <v>0</v>
      </c>
      <c r="M284" s="105">
        <f>+'FY16 Tax Bill'!M284-'FY16 Feb Forecast'!M284</f>
        <v>0</v>
      </c>
      <c r="N284" s="106">
        <f>+'FY16 Tax Bill'!N284-'FY16 Feb Forecast'!N284</f>
        <v>0</v>
      </c>
      <c r="O284" s="107">
        <f>+'FY16 Tax Bill'!O284-'FY16 Feb Forecast'!O284</f>
        <v>822390</v>
      </c>
      <c r="P284" s="105">
        <f>+'FY16 Tax Bill'!P284-'FY16 Feb Forecast'!P284</f>
        <v>822390</v>
      </c>
      <c r="Q284" s="106">
        <f>+'FY16 Tax Bill'!Q284-'FY16 Feb Forecast'!Q284</f>
        <v>0</v>
      </c>
      <c r="R284" s="105">
        <f>+'FY16 Tax Bill'!R284-'FY16 Feb Forecast'!R284</f>
        <v>423.91237113402059</v>
      </c>
      <c r="S284" s="105">
        <f>+'FY16 Tax Bill'!S284-'FY16 Feb Forecast'!S284</f>
        <v>423.91237113402065</v>
      </c>
      <c r="T284" s="108">
        <f>+'FY16 Tax Bill'!T284-'FY16 Feb Forecast'!T284</f>
        <v>0</v>
      </c>
    </row>
    <row r="285" spans="1:20" x14ac:dyDescent="0.2">
      <c r="A285" s="109">
        <v>2143</v>
      </c>
      <c r="B285" s="110">
        <v>1</v>
      </c>
      <c r="C285" s="103" t="s">
        <v>5</v>
      </c>
      <c r="D285" s="103">
        <v>6</v>
      </c>
      <c r="E285" s="104">
        <f>+SUMIF('GE16FEB14 Unfudged'!$A$2:$A$498, $A285, 'GE16FEB14 Unfudged'!$D$2:$D$498)</f>
        <v>910</v>
      </c>
      <c r="F285" s="104">
        <f>+'FY16 Tax Bill'!F285-'FY16 Feb Forecast'!F285</f>
        <v>7675</v>
      </c>
      <c r="G285" s="105">
        <f>+'FY16 Tax Bill'!G285-'FY16 Feb Forecast'!G285</f>
        <v>6722</v>
      </c>
      <c r="H285" s="106">
        <f>+'FY16 Tax Bill'!H285-'FY16 Feb Forecast'!H285</f>
        <v>953</v>
      </c>
      <c r="I285" s="107">
        <f>+'FY16 Tax Bill'!I285-'FY16 Feb Forecast'!I285</f>
        <v>385755</v>
      </c>
      <c r="J285" s="105">
        <f>+'FY16 Tax Bill'!J285-'FY16 Feb Forecast'!J285</f>
        <v>337847</v>
      </c>
      <c r="K285" s="106">
        <f>+'FY16 Tax Bill'!K285-'FY16 Feb Forecast'!K285</f>
        <v>47908</v>
      </c>
      <c r="L285" s="107">
        <f>+'FY16 Tax Bill'!L285-'FY16 Feb Forecast'!L285</f>
        <v>-385756</v>
      </c>
      <c r="M285" s="105">
        <f>+'FY16 Tax Bill'!M285-'FY16 Feb Forecast'!M285</f>
        <v>-385756</v>
      </c>
      <c r="N285" s="106">
        <f>+'FY16 Tax Bill'!N285-'FY16 Feb Forecast'!N285</f>
        <v>0</v>
      </c>
      <c r="O285" s="107">
        <f>+'FY16 Tax Bill'!O285-'FY16 Feb Forecast'!O285</f>
        <v>7674</v>
      </c>
      <c r="P285" s="105">
        <f>+'FY16 Tax Bill'!P285-'FY16 Feb Forecast'!P285</f>
        <v>-41187</v>
      </c>
      <c r="Q285" s="106">
        <f>+'FY16 Tax Bill'!Q285-'FY16 Feb Forecast'!Q285</f>
        <v>48861</v>
      </c>
      <c r="R285" s="105">
        <f>+'FY16 Tax Bill'!R285-'FY16 Feb Forecast'!R285</f>
        <v>8.4329670329670989</v>
      </c>
      <c r="S285" s="105">
        <f>+'FY16 Tax Bill'!S285-'FY16 Feb Forecast'!S285</f>
        <v>-45.260439560439409</v>
      </c>
      <c r="T285" s="108">
        <f>+'FY16 Tax Bill'!T285-'FY16 Feb Forecast'!T285</f>
        <v>53.693406593406564</v>
      </c>
    </row>
    <row r="286" spans="1:20" x14ac:dyDescent="0.2">
      <c r="A286" s="109">
        <v>2144</v>
      </c>
      <c r="B286" s="110">
        <v>1</v>
      </c>
      <c r="C286" s="103" t="s">
        <v>403</v>
      </c>
      <c r="D286" s="103">
        <v>4</v>
      </c>
      <c r="E286" s="104">
        <f>+SUMIF('GE16FEB14 Unfudged'!$A$2:$A$498, $A286, 'GE16FEB14 Unfudged'!$D$2:$D$498)</f>
        <v>3596</v>
      </c>
      <c r="F286" s="104">
        <f>+'FY16 Tax Bill'!F286-'FY16 Feb Forecast'!F286</f>
        <v>-11907</v>
      </c>
      <c r="G286" s="105">
        <f>+'FY16 Tax Bill'!G286-'FY16 Feb Forecast'!G286</f>
        <v>-9782</v>
      </c>
      <c r="H286" s="106">
        <f>+'FY16 Tax Bill'!H286-'FY16 Feb Forecast'!H286</f>
        <v>-2125</v>
      </c>
      <c r="I286" s="107">
        <f>+'FY16 Tax Bill'!I286-'FY16 Feb Forecast'!I286</f>
        <v>0</v>
      </c>
      <c r="J286" s="105">
        <f>+'FY16 Tax Bill'!J286-'FY16 Feb Forecast'!J286</f>
        <v>0</v>
      </c>
      <c r="K286" s="106">
        <f>+'FY16 Tax Bill'!K286-'FY16 Feb Forecast'!K286</f>
        <v>0</v>
      </c>
      <c r="L286" s="107">
        <f>+'FY16 Tax Bill'!L286-'FY16 Feb Forecast'!L286</f>
        <v>0</v>
      </c>
      <c r="M286" s="105">
        <f>+'FY16 Tax Bill'!M286-'FY16 Feb Forecast'!M286</f>
        <v>0</v>
      </c>
      <c r="N286" s="106">
        <f>+'FY16 Tax Bill'!N286-'FY16 Feb Forecast'!N286</f>
        <v>0</v>
      </c>
      <c r="O286" s="107">
        <f>+'FY16 Tax Bill'!O286-'FY16 Feb Forecast'!O286</f>
        <v>-11907</v>
      </c>
      <c r="P286" s="105">
        <f>+'FY16 Tax Bill'!P286-'FY16 Feb Forecast'!P286</f>
        <v>-9782</v>
      </c>
      <c r="Q286" s="106">
        <f>+'FY16 Tax Bill'!Q286-'FY16 Feb Forecast'!Q286</f>
        <v>-2125</v>
      </c>
      <c r="R286" s="105">
        <f>+'FY16 Tax Bill'!R286-'FY16 Feb Forecast'!R286</f>
        <v>-3.3111790878754164</v>
      </c>
      <c r="S286" s="105">
        <f>+'FY16 Tax Bill'!S286-'FY16 Feb Forecast'!S286</f>
        <v>-2.7202447163515444</v>
      </c>
      <c r="T286" s="108">
        <f>+'FY16 Tax Bill'!T286-'FY16 Feb Forecast'!T286</f>
        <v>-0.5909343715239288</v>
      </c>
    </row>
    <row r="287" spans="1:20" x14ac:dyDescent="0.2">
      <c r="A287" s="109">
        <v>2149</v>
      </c>
      <c r="B287" s="110">
        <v>1</v>
      </c>
      <c r="C287" s="103" t="s">
        <v>404</v>
      </c>
      <c r="D287" s="103">
        <v>5</v>
      </c>
      <c r="E287" s="104">
        <f>+SUMIF('GE16FEB14 Unfudged'!$A$2:$A$498, $A287, 'GE16FEB14 Unfudged'!$D$2:$D$498)</f>
        <v>1123</v>
      </c>
      <c r="F287" s="104">
        <f>+'FY16 Tax Bill'!F287-'FY16 Feb Forecast'!F287</f>
        <v>21021</v>
      </c>
      <c r="G287" s="105">
        <f>+'FY16 Tax Bill'!G287-'FY16 Feb Forecast'!G287</f>
        <v>21021</v>
      </c>
      <c r="H287" s="106">
        <f>+'FY16 Tax Bill'!H287-'FY16 Feb Forecast'!H287</f>
        <v>0</v>
      </c>
      <c r="I287" s="107">
        <f>+'FY16 Tax Bill'!I287-'FY16 Feb Forecast'!I287</f>
        <v>476131</v>
      </c>
      <c r="J287" s="105">
        <f>+'FY16 Tax Bill'!J287-'FY16 Feb Forecast'!J287</f>
        <v>476131</v>
      </c>
      <c r="K287" s="106">
        <f>+'FY16 Tax Bill'!K287-'FY16 Feb Forecast'!K287</f>
        <v>0</v>
      </c>
      <c r="L287" s="107">
        <f>+'FY16 Tax Bill'!L287-'FY16 Feb Forecast'!L287</f>
        <v>-476131</v>
      </c>
      <c r="M287" s="105">
        <f>+'FY16 Tax Bill'!M287-'FY16 Feb Forecast'!M287</f>
        <v>-476131</v>
      </c>
      <c r="N287" s="106">
        <f>+'FY16 Tax Bill'!N287-'FY16 Feb Forecast'!N287</f>
        <v>0</v>
      </c>
      <c r="O287" s="107">
        <f>+'FY16 Tax Bill'!O287-'FY16 Feb Forecast'!O287</f>
        <v>21021</v>
      </c>
      <c r="P287" s="105">
        <f>+'FY16 Tax Bill'!P287-'FY16 Feb Forecast'!P287</f>
        <v>21021</v>
      </c>
      <c r="Q287" s="106">
        <f>+'FY16 Tax Bill'!Q287-'FY16 Feb Forecast'!Q287</f>
        <v>0</v>
      </c>
      <c r="R287" s="105">
        <f>+'FY16 Tax Bill'!R287-'FY16 Feb Forecast'!R287</f>
        <v>18.718610863757704</v>
      </c>
      <c r="S287" s="105">
        <f>+'FY16 Tax Bill'!S287-'FY16 Feb Forecast'!S287</f>
        <v>18.718610863757817</v>
      </c>
      <c r="T287" s="108">
        <f>+'FY16 Tax Bill'!T287-'FY16 Feb Forecast'!T287</f>
        <v>0</v>
      </c>
    </row>
    <row r="288" spans="1:20" x14ac:dyDescent="0.2">
      <c r="A288" s="109">
        <v>2154</v>
      </c>
      <c r="B288" s="110">
        <v>1</v>
      </c>
      <c r="C288" s="103" t="s">
        <v>405</v>
      </c>
      <c r="D288" s="103">
        <v>5</v>
      </c>
      <c r="E288" s="104">
        <f>+SUMIF('GE16FEB14 Unfudged'!$A$2:$A$498, $A288, 'GE16FEB14 Unfudged'!$D$2:$D$498)</f>
        <v>1167</v>
      </c>
      <c r="F288" s="104">
        <f>+'FY16 Tax Bill'!F288-'FY16 Feb Forecast'!F288</f>
        <v>21726</v>
      </c>
      <c r="G288" s="105">
        <f>+'FY16 Tax Bill'!G288-'FY16 Feb Forecast'!G288</f>
        <v>12964</v>
      </c>
      <c r="H288" s="106">
        <f>+'FY16 Tax Bill'!H288-'FY16 Feb Forecast'!H288</f>
        <v>8762</v>
      </c>
      <c r="I288" s="107">
        <f>+'FY16 Tax Bill'!I288-'FY16 Feb Forecast'!I288</f>
        <v>494638</v>
      </c>
      <c r="J288" s="105">
        <f>+'FY16 Tax Bill'!J288-'FY16 Feb Forecast'!J288</f>
        <v>295159</v>
      </c>
      <c r="K288" s="106">
        <f>+'FY16 Tax Bill'!K288-'FY16 Feb Forecast'!K288</f>
        <v>199479</v>
      </c>
      <c r="L288" s="107">
        <f>+'FY16 Tax Bill'!L288-'FY16 Feb Forecast'!L288</f>
        <v>-494638</v>
      </c>
      <c r="M288" s="105">
        <f>+'FY16 Tax Bill'!M288-'FY16 Feb Forecast'!M288</f>
        <v>-304310</v>
      </c>
      <c r="N288" s="106">
        <f>+'FY16 Tax Bill'!N288-'FY16 Feb Forecast'!N288</f>
        <v>-190328</v>
      </c>
      <c r="O288" s="107">
        <f>+'FY16 Tax Bill'!O288-'FY16 Feb Forecast'!O288</f>
        <v>21726</v>
      </c>
      <c r="P288" s="105">
        <f>+'FY16 Tax Bill'!P288-'FY16 Feb Forecast'!P288</f>
        <v>3813</v>
      </c>
      <c r="Q288" s="106">
        <f>+'FY16 Tax Bill'!Q288-'FY16 Feb Forecast'!Q288</f>
        <v>17913</v>
      </c>
      <c r="R288" s="105">
        <f>+'FY16 Tax Bill'!R288-'FY16 Feb Forecast'!R288</f>
        <v>18.616966580976964</v>
      </c>
      <c r="S288" s="105">
        <f>+'FY16 Tax Bill'!S288-'FY16 Feb Forecast'!S288</f>
        <v>3.267352185089976</v>
      </c>
      <c r="T288" s="108">
        <f>+'FY16 Tax Bill'!T288-'FY16 Feb Forecast'!T288</f>
        <v>15.349614395886874</v>
      </c>
    </row>
    <row r="289" spans="1:20" x14ac:dyDescent="0.2">
      <c r="A289" s="109">
        <v>2155</v>
      </c>
      <c r="B289" s="110">
        <v>52</v>
      </c>
      <c r="C289" s="103" t="s">
        <v>406</v>
      </c>
      <c r="D289" s="103">
        <v>5</v>
      </c>
      <c r="E289" s="104">
        <f>+SUMIF('GE16FEB14 Unfudged'!$A$2:$A$498, $A289, 'GE16FEB14 Unfudged'!$D$2:$D$498)</f>
        <v>1050</v>
      </c>
      <c r="F289" s="104">
        <f>+'FY16 Tax Bill'!F289-'FY16 Feb Forecast'!F289</f>
        <v>18015</v>
      </c>
      <c r="G289" s="105">
        <f>+'FY16 Tax Bill'!G289-'FY16 Feb Forecast'!G289</f>
        <v>9261</v>
      </c>
      <c r="H289" s="106">
        <f>+'FY16 Tax Bill'!H289-'FY16 Feb Forecast'!H289</f>
        <v>8754</v>
      </c>
      <c r="I289" s="107">
        <f>+'FY16 Tax Bill'!I289-'FY16 Feb Forecast'!I289</f>
        <v>445094</v>
      </c>
      <c r="J289" s="105">
        <f>+'FY16 Tax Bill'!J289-'FY16 Feb Forecast'!J289</f>
        <v>228817</v>
      </c>
      <c r="K289" s="106">
        <f>+'FY16 Tax Bill'!K289-'FY16 Feb Forecast'!K289</f>
        <v>216277</v>
      </c>
      <c r="L289" s="107">
        <f>+'FY16 Tax Bill'!L289-'FY16 Feb Forecast'!L289</f>
        <v>-445094</v>
      </c>
      <c r="M289" s="105">
        <f>+'FY16 Tax Bill'!M289-'FY16 Feb Forecast'!M289</f>
        <v>-277441</v>
      </c>
      <c r="N289" s="106">
        <f>+'FY16 Tax Bill'!N289-'FY16 Feb Forecast'!N289</f>
        <v>-167653</v>
      </c>
      <c r="O289" s="107">
        <f>+'FY16 Tax Bill'!O289-'FY16 Feb Forecast'!O289</f>
        <v>18015</v>
      </c>
      <c r="P289" s="105">
        <f>+'FY16 Tax Bill'!P289-'FY16 Feb Forecast'!P289</f>
        <v>-39363</v>
      </c>
      <c r="Q289" s="106">
        <f>+'FY16 Tax Bill'!Q289-'FY16 Feb Forecast'!Q289</f>
        <v>57378</v>
      </c>
      <c r="R289" s="105">
        <f>+'FY16 Tax Bill'!R289-'FY16 Feb Forecast'!R289</f>
        <v>17.157142857142844</v>
      </c>
      <c r="S289" s="105">
        <f>+'FY16 Tax Bill'!S289-'FY16 Feb Forecast'!S289</f>
        <v>-37.48857142857139</v>
      </c>
      <c r="T289" s="108">
        <f>+'FY16 Tax Bill'!T289-'FY16 Feb Forecast'!T289</f>
        <v>54.645714285714348</v>
      </c>
    </row>
    <row r="290" spans="1:20" x14ac:dyDescent="0.2">
      <c r="A290" s="109">
        <v>2159</v>
      </c>
      <c r="B290" s="110">
        <v>6</v>
      </c>
      <c r="C290" s="103" t="s">
        <v>407</v>
      </c>
      <c r="D290" s="103">
        <v>6</v>
      </c>
      <c r="E290" s="104">
        <f>+SUMIF('GE16FEB14 Unfudged'!$A$2:$A$498, $A290, 'GE16FEB14 Unfudged'!$D$2:$D$498)</f>
        <v>597</v>
      </c>
      <c r="F290" s="104">
        <f>+'FY16 Tax Bill'!F290-'FY16 Feb Forecast'!F290</f>
        <v>7152</v>
      </c>
      <c r="G290" s="105">
        <f>+'FY16 Tax Bill'!G290-'FY16 Feb Forecast'!G290</f>
        <v>4296</v>
      </c>
      <c r="H290" s="106">
        <f>+'FY16 Tax Bill'!H290-'FY16 Feb Forecast'!H290</f>
        <v>2856</v>
      </c>
      <c r="I290" s="107">
        <f>+'FY16 Tax Bill'!I290-'FY16 Feb Forecast'!I290</f>
        <v>253213</v>
      </c>
      <c r="J290" s="105">
        <f>+'FY16 Tax Bill'!J290-'FY16 Feb Forecast'!J290</f>
        <v>152112</v>
      </c>
      <c r="K290" s="106">
        <f>+'FY16 Tax Bill'!K290-'FY16 Feb Forecast'!K290</f>
        <v>101101</v>
      </c>
      <c r="L290" s="107">
        <f>+'FY16 Tax Bill'!L290-'FY16 Feb Forecast'!L290</f>
        <v>-253213</v>
      </c>
      <c r="M290" s="105">
        <f>+'FY16 Tax Bill'!M290-'FY16 Feb Forecast'!M290</f>
        <v>-253213</v>
      </c>
      <c r="N290" s="106">
        <f>+'FY16 Tax Bill'!N290-'FY16 Feb Forecast'!N290</f>
        <v>0</v>
      </c>
      <c r="O290" s="107">
        <f>+'FY16 Tax Bill'!O290-'FY16 Feb Forecast'!O290</f>
        <v>7152</v>
      </c>
      <c r="P290" s="105">
        <f>+'FY16 Tax Bill'!P290-'FY16 Feb Forecast'!P290</f>
        <v>-96805</v>
      </c>
      <c r="Q290" s="106">
        <f>+'FY16 Tax Bill'!Q290-'FY16 Feb Forecast'!Q290</f>
        <v>103957</v>
      </c>
      <c r="R290" s="105">
        <f>+'FY16 Tax Bill'!R290-'FY16 Feb Forecast'!R290</f>
        <v>11.979899497487395</v>
      </c>
      <c r="S290" s="105">
        <f>+'FY16 Tax Bill'!S290-'FY16 Feb Forecast'!S290</f>
        <v>-162.15242881072027</v>
      </c>
      <c r="T290" s="108">
        <f>+'FY16 Tax Bill'!T290-'FY16 Feb Forecast'!T290</f>
        <v>174.13232830820778</v>
      </c>
    </row>
    <row r="291" spans="1:20" x14ac:dyDescent="0.2">
      <c r="A291" s="109">
        <v>2164</v>
      </c>
      <c r="B291" s="110">
        <v>6</v>
      </c>
      <c r="C291" s="103" t="s">
        <v>408</v>
      </c>
      <c r="D291" s="103">
        <v>5</v>
      </c>
      <c r="E291" s="104">
        <f>+SUMIF('GE16FEB14 Unfudged'!$A$2:$A$498, $A291, 'GE16FEB14 Unfudged'!$D$2:$D$498)</f>
        <v>1786</v>
      </c>
      <c r="F291" s="104">
        <f>+'FY16 Tax Bill'!F291-'FY16 Feb Forecast'!F291</f>
        <v>24558</v>
      </c>
      <c r="G291" s="105">
        <f>+'FY16 Tax Bill'!G291-'FY16 Feb Forecast'!G291</f>
        <v>11924</v>
      </c>
      <c r="H291" s="106">
        <f>+'FY16 Tax Bill'!H291-'FY16 Feb Forecast'!H291</f>
        <v>12634</v>
      </c>
      <c r="I291" s="107">
        <f>+'FY16 Tax Bill'!I291-'FY16 Feb Forecast'!I291</f>
        <v>757094</v>
      </c>
      <c r="J291" s="105">
        <f>+'FY16 Tax Bill'!J291-'FY16 Feb Forecast'!J291</f>
        <v>367606</v>
      </c>
      <c r="K291" s="106">
        <f>+'FY16 Tax Bill'!K291-'FY16 Feb Forecast'!K291</f>
        <v>389488</v>
      </c>
      <c r="L291" s="107">
        <f>+'FY16 Tax Bill'!L291-'FY16 Feb Forecast'!L291</f>
        <v>-535680</v>
      </c>
      <c r="M291" s="105">
        <f>+'FY16 Tax Bill'!M291-'FY16 Feb Forecast'!M291</f>
        <v>-260099</v>
      </c>
      <c r="N291" s="106">
        <f>+'FY16 Tax Bill'!N291-'FY16 Feb Forecast'!N291</f>
        <v>-275581</v>
      </c>
      <c r="O291" s="107">
        <f>+'FY16 Tax Bill'!O291-'FY16 Feb Forecast'!O291</f>
        <v>245972</v>
      </c>
      <c r="P291" s="105">
        <f>+'FY16 Tax Bill'!P291-'FY16 Feb Forecast'!P291</f>
        <v>119431</v>
      </c>
      <c r="Q291" s="106">
        <f>+'FY16 Tax Bill'!Q291-'FY16 Feb Forecast'!Q291</f>
        <v>126541</v>
      </c>
      <c r="R291" s="105">
        <f>+'FY16 Tax Bill'!R291-'FY16 Feb Forecast'!R291</f>
        <v>137.72228443449046</v>
      </c>
      <c r="S291" s="105">
        <f>+'FY16 Tax Bill'!S291-'FY16 Feb Forecast'!S291</f>
        <v>66.870660694288915</v>
      </c>
      <c r="T291" s="108">
        <f>+'FY16 Tax Bill'!T291-'FY16 Feb Forecast'!T291</f>
        <v>70.851623740201603</v>
      </c>
    </row>
    <row r="292" spans="1:20" x14ac:dyDescent="0.2">
      <c r="A292" s="109">
        <v>2165</v>
      </c>
      <c r="B292" s="110">
        <v>53</v>
      </c>
      <c r="C292" s="103" t="s">
        <v>409</v>
      </c>
      <c r="D292" s="103">
        <v>5</v>
      </c>
      <c r="E292" s="104">
        <f>+SUMIF('GE16FEB14 Unfudged'!$A$2:$A$498, $A292, 'GE16FEB14 Unfudged'!$D$2:$D$498)</f>
        <v>1056</v>
      </c>
      <c r="F292" s="104">
        <f>+'FY16 Tax Bill'!F292-'FY16 Feb Forecast'!F292</f>
        <v>799</v>
      </c>
      <c r="G292" s="105">
        <f>+'FY16 Tax Bill'!G292-'FY16 Feb Forecast'!G292</f>
        <v>537</v>
      </c>
      <c r="H292" s="106">
        <f>+'FY16 Tax Bill'!H292-'FY16 Feb Forecast'!H292</f>
        <v>262</v>
      </c>
      <c r="I292" s="107">
        <f>+'FY16 Tax Bill'!I292-'FY16 Feb Forecast'!I292</f>
        <v>447659</v>
      </c>
      <c r="J292" s="105">
        <f>+'FY16 Tax Bill'!J292-'FY16 Feb Forecast'!J292</f>
        <v>300504</v>
      </c>
      <c r="K292" s="106">
        <f>+'FY16 Tax Bill'!K292-'FY16 Feb Forecast'!K292</f>
        <v>147155</v>
      </c>
      <c r="L292" s="107">
        <f>+'FY16 Tax Bill'!L292-'FY16 Feb Forecast'!L292</f>
        <v>-17431</v>
      </c>
      <c r="M292" s="105">
        <f>+'FY16 Tax Bill'!M292-'FY16 Feb Forecast'!M292</f>
        <v>-11701</v>
      </c>
      <c r="N292" s="106">
        <f>+'FY16 Tax Bill'!N292-'FY16 Feb Forecast'!N292</f>
        <v>-5730</v>
      </c>
      <c r="O292" s="107">
        <f>+'FY16 Tax Bill'!O292-'FY16 Feb Forecast'!O292</f>
        <v>431027</v>
      </c>
      <c r="P292" s="105">
        <f>+'FY16 Tax Bill'!P292-'FY16 Feb Forecast'!P292</f>
        <v>289340</v>
      </c>
      <c r="Q292" s="106">
        <f>+'FY16 Tax Bill'!Q292-'FY16 Feb Forecast'!Q292</f>
        <v>141687</v>
      </c>
      <c r="R292" s="105">
        <f>+'FY16 Tax Bill'!R292-'FY16 Feb Forecast'!R292</f>
        <v>408.16950757575756</v>
      </c>
      <c r="S292" s="105">
        <f>+'FY16 Tax Bill'!S292-'FY16 Feb Forecast'!S292</f>
        <v>273.99621212121212</v>
      </c>
      <c r="T292" s="108">
        <f>+'FY16 Tax Bill'!T292-'FY16 Feb Forecast'!T292</f>
        <v>134.17329545454544</v>
      </c>
    </row>
    <row r="293" spans="1:20" x14ac:dyDescent="0.2">
      <c r="A293" s="109">
        <v>2167</v>
      </c>
      <c r="B293" s="110">
        <v>52</v>
      </c>
      <c r="C293" s="103" t="s">
        <v>410</v>
      </c>
      <c r="D293" s="103">
        <v>6</v>
      </c>
      <c r="E293" s="104">
        <f>+SUMIF('GE16FEB14 Unfudged'!$A$2:$A$498, $A293, 'GE16FEB14 Unfudged'!$D$2:$D$498)</f>
        <v>700</v>
      </c>
      <c r="F293" s="104">
        <f>+'FY16 Tax Bill'!F293-'FY16 Feb Forecast'!F293</f>
        <v>13000</v>
      </c>
      <c r="G293" s="105">
        <f>+'FY16 Tax Bill'!G293-'FY16 Feb Forecast'!G293</f>
        <v>6164</v>
      </c>
      <c r="H293" s="106">
        <f>+'FY16 Tax Bill'!H293-'FY16 Feb Forecast'!H293</f>
        <v>6836</v>
      </c>
      <c r="I293" s="107">
        <f>+'FY16 Tax Bill'!I293-'FY16 Feb Forecast'!I293</f>
        <v>296970</v>
      </c>
      <c r="J293" s="105">
        <f>+'FY16 Tax Bill'!J293-'FY16 Feb Forecast'!J293</f>
        <v>140798</v>
      </c>
      <c r="K293" s="106">
        <f>+'FY16 Tax Bill'!K293-'FY16 Feb Forecast'!K293</f>
        <v>156172</v>
      </c>
      <c r="L293" s="107">
        <f>+'FY16 Tax Bill'!L293-'FY16 Feb Forecast'!L293</f>
        <v>-296969</v>
      </c>
      <c r="M293" s="105">
        <f>+'FY16 Tax Bill'!M293-'FY16 Feb Forecast'!M293</f>
        <v>-146753</v>
      </c>
      <c r="N293" s="106">
        <f>+'FY16 Tax Bill'!N293-'FY16 Feb Forecast'!N293</f>
        <v>-150216</v>
      </c>
      <c r="O293" s="107">
        <f>+'FY16 Tax Bill'!O293-'FY16 Feb Forecast'!O293</f>
        <v>13001</v>
      </c>
      <c r="P293" s="105">
        <f>+'FY16 Tax Bill'!P293-'FY16 Feb Forecast'!P293</f>
        <v>209</v>
      </c>
      <c r="Q293" s="106">
        <f>+'FY16 Tax Bill'!Q293-'FY16 Feb Forecast'!Q293</f>
        <v>12792</v>
      </c>
      <c r="R293" s="105">
        <f>+'FY16 Tax Bill'!R293-'FY16 Feb Forecast'!R293</f>
        <v>18.57285714285706</v>
      </c>
      <c r="S293" s="105">
        <f>+'FY16 Tax Bill'!S293-'FY16 Feb Forecast'!S293</f>
        <v>0.29857142857139252</v>
      </c>
      <c r="T293" s="108">
        <f>+'FY16 Tax Bill'!T293-'FY16 Feb Forecast'!T293</f>
        <v>18.274285714285725</v>
      </c>
    </row>
    <row r="294" spans="1:20" x14ac:dyDescent="0.2">
      <c r="A294" s="109">
        <v>2168</v>
      </c>
      <c r="B294" s="110">
        <v>52</v>
      </c>
      <c r="C294" s="103" t="s">
        <v>411</v>
      </c>
      <c r="D294" s="103">
        <v>6</v>
      </c>
      <c r="E294" s="104">
        <f>+SUMIF('GE16FEB14 Unfudged'!$A$2:$A$498, $A294, 'GE16FEB14 Unfudged'!$D$2:$D$498)</f>
        <v>1016</v>
      </c>
      <c r="F294" s="104">
        <f>+'FY16 Tax Bill'!F294-'FY16 Feb Forecast'!F294</f>
        <v>7159</v>
      </c>
      <c r="G294" s="105">
        <f>+'FY16 Tax Bill'!G294-'FY16 Feb Forecast'!G294</f>
        <v>4398</v>
      </c>
      <c r="H294" s="106">
        <f>+'FY16 Tax Bill'!H294-'FY16 Feb Forecast'!H294</f>
        <v>2761</v>
      </c>
      <c r="I294" s="107">
        <f>+'FY16 Tax Bill'!I294-'FY16 Feb Forecast'!I294</f>
        <v>430699</v>
      </c>
      <c r="J294" s="105">
        <f>+'FY16 Tax Bill'!J294-'FY16 Feb Forecast'!J294</f>
        <v>264561</v>
      </c>
      <c r="K294" s="106">
        <f>+'FY16 Tax Bill'!K294-'FY16 Feb Forecast'!K294</f>
        <v>166138</v>
      </c>
      <c r="L294" s="107">
        <f>+'FY16 Tax Bill'!L294-'FY16 Feb Forecast'!L294</f>
        <v>-156159</v>
      </c>
      <c r="M294" s="105">
        <f>+'FY16 Tax Bill'!M294-'FY16 Feb Forecast'!M294</f>
        <v>-95922</v>
      </c>
      <c r="N294" s="106">
        <f>+'FY16 Tax Bill'!N294-'FY16 Feb Forecast'!N294</f>
        <v>-60237</v>
      </c>
      <c r="O294" s="107">
        <f>+'FY16 Tax Bill'!O294-'FY16 Feb Forecast'!O294</f>
        <v>281699</v>
      </c>
      <c r="P294" s="105">
        <f>+'FY16 Tax Bill'!P294-'FY16 Feb Forecast'!P294</f>
        <v>173037</v>
      </c>
      <c r="Q294" s="106">
        <f>+'FY16 Tax Bill'!Q294-'FY16 Feb Forecast'!Q294</f>
        <v>108662</v>
      </c>
      <c r="R294" s="105">
        <f>+'FY16 Tax Bill'!R294-'FY16 Feb Forecast'!R294</f>
        <v>277.26279527559052</v>
      </c>
      <c r="S294" s="105">
        <f>+'FY16 Tax Bill'!S294-'FY16 Feb Forecast'!S294</f>
        <v>170.31200787401576</v>
      </c>
      <c r="T294" s="108">
        <f>+'FY16 Tax Bill'!T294-'FY16 Feb Forecast'!T294</f>
        <v>106.95078740157476</v>
      </c>
    </row>
    <row r="295" spans="1:20" x14ac:dyDescent="0.2">
      <c r="A295" s="109">
        <v>2169</v>
      </c>
      <c r="B295" s="110">
        <v>51</v>
      </c>
      <c r="C295" s="103" t="s">
        <v>412</v>
      </c>
      <c r="D295" s="103">
        <v>6</v>
      </c>
      <c r="E295" s="104">
        <f>+SUMIF('GE16FEB14 Unfudged'!$A$2:$A$498, $A295, 'GE16FEB14 Unfudged'!$D$2:$D$498)</f>
        <v>804</v>
      </c>
      <c r="F295" s="104">
        <f>+'FY16 Tax Bill'!F295-'FY16 Feb Forecast'!F295</f>
        <v>8558</v>
      </c>
      <c r="G295" s="105">
        <f>+'FY16 Tax Bill'!G295-'FY16 Feb Forecast'!G295</f>
        <v>4988</v>
      </c>
      <c r="H295" s="106">
        <f>+'FY16 Tax Bill'!H295-'FY16 Feb Forecast'!H295</f>
        <v>3570</v>
      </c>
      <c r="I295" s="107">
        <f>+'FY16 Tax Bill'!I295-'FY16 Feb Forecast'!I295</f>
        <v>340896</v>
      </c>
      <c r="J295" s="105">
        <f>+'FY16 Tax Bill'!J295-'FY16 Feb Forecast'!J295</f>
        <v>198713</v>
      </c>
      <c r="K295" s="106">
        <f>+'FY16 Tax Bill'!K295-'FY16 Feb Forecast'!K295</f>
        <v>142183</v>
      </c>
      <c r="L295" s="107">
        <f>+'FY16 Tax Bill'!L295-'FY16 Feb Forecast'!L295</f>
        <v>-340896</v>
      </c>
      <c r="M295" s="105">
        <f>+'FY16 Tax Bill'!M295-'FY16 Feb Forecast'!M295</f>
        <v>-340896</v>
      </c>
      <c r="N295" s="106">
        <f>+'FY16 Tax Bill'!N295-'FY16 Feb Forecast'!N295</f>
        <v>0</v>
      </c>
      <c r="O295" s="107">
        <f>+'FY16 Tax Bill'!O295-'FY16 Feb Forecast'!O295</f>
        <v>8558</v>
      </c>
      <c r="P295" s="105">
        <f>+'FY16 Tax Bill'!P295-'FY16 Feb Forecast'!P295</f>
        <v>-137195</v>
      </c>
      <c r="Q295" s="106">
        <f>+'FY16 Tax Bill'!Q295-'FY16 Feb Forecast'!Q295</f>
        <v>145753</v>
      </c>
      <c r="R295" s="105">
        <f>+'FY16 Tax Bill'!R295-'FY16 Feb Forecast'!R295</f>
        <v>10.644278606965145</v>
      </c>
      <c r="S295" s="105">
        <f>+'FY16 Tax Bill'!S295-'FY16 Feb Forecast'!S295</f>
        <v>-170.64054726368158</v>
      </c>
      <c r="T295" s="108">
        <f>+'FY16 Tax Bill'!T295-'FY16 Feb Forecast'!T295</f>
        <v>181.28482587064673</v>
      </c>
    </row>
    <row r="296" spans="1:20" x14ac:dyDescent="0.2">
      <c r="A296" s="109">
        <v>2170</v>
      </c>
      <c r="B296" s="110">
        <v>51</v>
      </c>
      <c r="C296" s="103" t="s">
        <v>413</v>
      </c>
      <c r="D296" s="103">
        <v>5</v>
      </c>
      <c r="E296" s="104">
        <f>+SUMIF('GE16FEB14 Unfudged'!$A$2:$A$498, $A296, 'GE16FEB14 Unfudged'!$D$2:$D$498)</f>
        <v>1336</v>
      </c>
      <c r="F296" s="104">
        <f>+'FY16 Tax Bill'!F296-'FY16 Feb Forecast'!F296</f>
        <v>24892</v>
      </c>
      <c r="G296" s="105">
        <f>+'FY16 Tax Bill'!G296-'FY16 Feb Forecast'!G296</f>
        <v>14539</v>
      </c>
      <c r="H296" s="106">
        <f>+'FY16 Tax Bill'!H296-'FY16 Feb Forecast'!H296</f>
        <v>10353</v>
      </c>
      <c r="I296" s="107">
        <f>+'FY16 Tax Bill'!I296-'FY16 Feb Forecast'!I296</f>
        <v>566379</v>
      </c>
      <c r="J296" s="105">
        <f>+'FY16 Tax Bill'!J296-'FY16 Feb Forecast'!J296</f>
        <v>330816</v>
      </c>
      <c r="K296" s="106">
        <f>+'FY16 Tax Bill'!K296-'FY16 Feb Forecast'!K296</f>
        <v>235563</v>
      </c>
      <c r="L296" s="107">
        <f>+'FY16 Tax Bill'!L296-'FY16 Feb Forecast'!L296</f>
        <v>-566379</v>
      </c>
      <c r="M296" s="105">
        <f>+'FY16 Tax Bill'!M296-'FY16 Feb Forecast'!M296</f>
        <v>-341172</v>
      </c>
      <c r="N296" s="106">
        <f>+'FY16 Tax Bill'!N296-'FY16 Feb Forecast'!N296</f>
        <v>-225207</v>
      </c>
      <c r="O296" s="107">
        <f>+'FY16 Tax Bill'!O296-'FY16 Feb Forecast'!O296</f>
        <v>24892</v>
      </c>
      <c r="P296" s="105">
        <f>+'FY16 Tax Bill'!P296-'FY16 Feb Forecast'!P296</f>
        <v>4183</v>
      </c>
      <c r="Q296" s="106">
        <f>+'FY16 Tax Bill'!Q296-'FY16 Feb Forecast'!Q296</f>
        <v>20709</v>
      </c>
      <c r="R296" s="105">
        <f>+'FY16 Tax Bill'!R296-'FY16 Feb Forecast'!R296</f>
        <v>18.631736526946042</v>
      </c>
      <c r="S296" s="105">
        <f>+'FY16 Tax Bill'!S296-'FY16 Feb Forecast'!S296</f>
        <v>3.1309880239521135</v>
      </c>
      <c r="T296" s="108">
        <f>+'FY16 Tax Bill'!T296-'FY16 Feb Forecast'!T296</f>
        <v>15.500748502993986</v>
      </c>
    </row>
    <row r="297" spans="1:20" x14ac:dyDescent="0.2">
      <c r="A297" s="109">
        <v>2171</v>
      </c>
      <c r="B297" s="110">
        <v>83</v>
      </c>
      <c r="C297" s="103" t="s">
        <v>414</v>
      </c>
      <c r="D297" s="103">
        <v>6</v>
      </c>
      <c r="E297" s="104">
        <f>+SUMIF('GE16FEB14 Unfudged'!$A$2:$A$498, $A297, 'GE16FEB14 Unfudged'!$D$2:$D$498)</f>
        <v>261</v>
      </c>
      <c r="F297" s="104">
        <f>+'FY16 Tax Bill'!F297-'FY16 Feb Forecast'!F297</f>
        <v>0</v>
      </c>
      <c r="G297" s="105">
        <f>+'FY16 Tax Bill'!G297-'FY16 Feb Forecast'!G297</f>
        <v>0</v>
      </c>
      <c r="H297" s="106">
        <f>+'FY16 Tax Bill'!H297-'FY16 Feb Forecast'!H297</f>
        <v>0</v>
      </c>
      <c r="I297" s="107">
        <f>+'FY16 Tax Bill'!I297-'FY16 Feb Forecast'!I297</f>
        <v>110494</v>
      </c>
      <c r="J297" s="105">
        <f>+'FY16 Tax Bill'!J297-'FY16 Feb Forecast'!J297</f>
        <v>110494</v>
      </c>
      <c r="K297" s="106">
        <f>+'FY16 Tax Bill'!K297-'FY16 Feb Forecast'!K297</f>
        <v>0</v>
      </c>
      <c r="L297" s="107">
        <f>+'FY16 Tax Bill'!L297-'FY16 Feb Forecast'!L297</f>
        <v>-110495</v>
      </c>
      <c r="M297" s="105">
        <f>+'FY16 Tax Bill'!M297-'FY16 Feb Forecast'!M297</f>
        <v>-105554</v>
      </c>
      <c r="N297" s="106">
        <f>+'FY16 Tax Bill'!N297-'FY16 Feb Forecast'!N297</f>
        <v>-4941</v>
      </c>
      <c r="O297" s="107">
        <f>+'FY16 Tax Bill'!O297-'FY16 Feb Forecast'!O297</f>
        <v>-1</v>
      </c>
      <c r="P297" s="105">
        <f>+'FY16 Tax Bill'!P297-'FY16 Feb Forecast'!P297</f>
        <v>4940</v>
      </c>
      <c r="Q297" s="106">
        <f>+'FY16 Tax Bill'!Q297-'FY16 Feb Forecast'!Q297</f>
        <v>-4941</v>
      </c>
      <c r="R297" s="105">
        <f>+'FY16 Tax Bill'!R297-'FY16 Feb Forecast'!R297</f>
        <v>-3.8314176244966802E-3</v>
      </c>
      <c r="S297" s="105">
        <f>+'FY16 Tax Bill'!S297-'FY16 Feb Forecast'!S297</f>
        <v>18.927203065133881</v>
      </c>
      <c r="T297" s="108">
        <f>+'FY16 Tax Bill'!T297-'FY16 Feb Forecast'!T297</f>
        <v>-18.931034482758605</v>
      </c>
    </row>
    <row r="298" spans="1:20" x14ac:dyDescent="0.2">
      <c r="A298" s="109">
        <v>2172</v>
      </c>
      <c r="B298" s="110">
        <v>52</v>
      </c>
      <c r="C298" s="103" t="s">
        <v>415</v>
      </c>
      <c r="D298" s="103">
        <v>6</v>
      </c>
      <c r="E298" s="104">
        <f>+SUMIF('GE16FEB14 Unfudged'!$A$2:$A$498, $A298, 'GE16FEB14 Unfudged'!$D$2:$D$498)</f>
        <v>844</v>
      </c>
      <c r="F298" s="104">
        <f>+'FY16 Tax Bill'!F298-'FY16 Feb Forecast'!F298</f>
        <v>12412</v>
      </c>
      <c r="G298" s="105">
        <f>+'FY16 Tax Bill'!G298-'FY16 Feb Forecast'!G298</f>
        <v>8599</v>
      </c>
      <c r="H298" s="106">
        <f>+'FY16 Tax Bill'!H298-'FY16 Feb Forecast'!H298</f>
        <v>3813</v>
      </c>
      <c r="I298" s="107">
        <f>+'FY16 Tax Bill'!I298-'FY16 Feb Forecast'!I298</f>
        <v>357686</v>
      </c>
      <c r="J298" s="105">
        <f>+'FY16 Tax Bill'!J298-'FY16 Feb Forecast'!J298</f>
        <v>247832</v>
      </c>
      <c r="K298" s="106">
        <f>+'FY16 Tax Bill'!K298-'FY16 Feb Forecast'!K298</f>
        <v>109854</v>
      </c>
      <c r="L298" s="107">
        <f>+'FY16 Tax Bill'!L298-'FY16 Feb Forecast'!L298</f>
        <v>-357687</v>
      </c>
      <c r="M298" s="105">
        <f>+'FY16 Tax Bill'!M298-'FY16 Feb Forecast'!M298</f>
        <v>-321701</v>
      </c>
      <c r="N298" s="106">
        <f>+'FY16 Tax Bill'!N298-'FY16 Feb Forecast'!N298</f>
        <v>-35986</v>
      </c>
      <c r="O298" s="107">
        <f>+'FY16 Tax Bill'!O298-'FY16 Feb Forecast'!O298</f>
        <v>12411</v>
      </c>
      <c r="P298" s="105">
        <f>+'FY16 Tax Bill'!P298-'FY16 Feb Forecast'!P298</f>
        <v>-65270</v>
      </c>
      <c r="Q298" s="106">
        <f>+'FY16 Tax Bill'!Q298-'FY16 Feb Forecast'!Q298</f>
        <v>77681</v>
      </c>
      <c r="R298" s="105">
        <f>+'FY16 Tax Bill'!R298-'FY16 Feb Forecast'!R298</f>
        <v>14.704976303317608</v>
      </c>
      <c r="S298" s="105">
        <f>+'FY16 Tax Bill'!S298-'FY16 Feb Forecast'!S298</f>
        <v>-77.334123222748872</v>
      </c>
      <c r="T298" s="108">
        <f>+'FY16 Tax Bill'!T298-'FY16 Feb Forecast'!T298</f>
        <v>92.039099526066366</v>
      </c>
    </row>
    <row r="299" spans="1:20" x14ac:dyDescent="0.2">
      <c r="A299" s="109">
        <v>2174</v>
      </c>
      <c r="B299" s="110">
        <v>52</v>
      </c>
      <c r="C299" s="103" t="s">
        <v>416</v>
      </c>
      <c r="D299" s="103">
        <v>6</v>
      </c>
      <c r="E299" s="104">
        <f>+SUMIF('GE16FEB14 Unfudged'!$A$2:$A$498, $A299, 'GE16FEB14 Unfudged'!$D$2:$D$498)</f>
        <v>965</v>
      </c>
      <c r="F299" s="104">
        <f>+'FY16 Tax Bill'!F299-'FY16 Feb Forecast'!F299</f>
        <v>0</v>
      </c>
      <c r="G299" s="105">
        <f>+'FY16 Tax Bill'!G299-'FY16 Feb Forecast'!G299</f>
        <v>0</v>
      </c>
      <c r="H299" s="106">
        <f>+'FY16 Tax Bill'!H299-'FY16 Feb Forecast'!H299</f>
        <v>0</v>
      </c>
      <c r="I299" s="107">
        <f>+'FY16 Tax Bill'!I299-'FY16 Feb Forecast'!I299</f>
        <v>408990</v>
      </c>
      <c r="J299" s="105">
        <f>+'FY16 Tax Bill'!J299-'FY16 Feb Forecast'!J299</f>
        <v>408990</v>
      </c>
      <c r="K299" s="106">
        <f>+'FY16 Tax Bill'!K299-'FY16 Feb Forecast'!K299</f>
        <v>0</v>
      </c>
      <c r="L299" s="107">
        <f>+'FY16 Tax Bill'!L299-'FY16 Feb Forecast'!L299</f>
        <v>0</v>
      </c>
      <c r="M299" s="105">
        <f>+'FY16 Tax Bill'!M299-'FY16 Feb Forecast'!M299</f>
        <v>0</v>
      </c>
      <c r="N299" s="106">
        <f>+'FY16 Tax Bill'!N299-'FY16 Feb Forecast'!N299</f>
        <v>0</v>
      </c>
      <c r="O299" s="107">
        <f>+'FY16 Tax Bill'!O299-'FY16 Feb Forecast'!O299</f>
        <v>408990</v>
      </c>
      <c r="P299" s="105">
        <f>+'FY16 Tax Bill'!P299-'FY16 Feb Forecast'!P299</f>
        <v>408990</v>
      </c>
      <c r="Q299" s="106">
        <f>+'FY16 Tax Bill'!Q299-'FY16 Feb Forecast'!Q299</f>
        <v>0</v>
      </c>
      <c r="R299" s="105">
        <f>+'FY16 Tax Bill'!R299-'FY16 Feb Forecast'!R299</f>
        <v>423.82383419689114</v>
      </c>
      <c r="S299" s="105">
        <f>+'FY16 Tax Bill'!S299-'FY16 Feb Forecast'!S299</f>
        <v>423.82383419689114</v>
      </c>
      <c r="T299" s="108">
        <f>+'FY16 Tax Bill'!T299-'FY16 Feb Forecast'!T299</f>
        <v>0</v>
      </c>
    </row>
    <row r="300" spans="1:20" x14ac:dyDescent="0.2">
      <c r="A300" s="109">
        <v>2176</v>
      </c>
      <c r="B300" s="110">
        <v>70</v>
      </c>
      <c r="C300" s="103" t="s">
        <v>417</v>
      </c>
      <c r="D300" s="103">
        <v>6</v>
      </c>
      <c r="E300" s="104">
        <f>+SUMIF('GE16FEB14 Unfudged'!$A$2:$A$498, $A300, 'GE16FEB14 Unfudged'!$D$2:$D$498)</f>
        <v>457</v>
      </c>
      <c r="F300" s="104">
        <f>+'FY16 Tax Bill'!F300-'FY16 Feb Forecast'!F300</f>
        <v>1334</v>
      </c>
      <c r="G300" s="105">
        <f>+'FY16 Tax Bill'!G300-'FY16 Feb Forecast'!G300</f>
        <v>758</v>
      </c>
      <c r="H300" s="106">
        <f>+'FY16 Tax Bill'!H300-'FY16 Feb Forecast'!H300</f>
        <v>576</v>
      </c>
      <c r="I300" s="107">
        <f>+'FY16 Tax Bill'!I300-'FY16 Feb Forecast'!I300</f>
        <v>193853</v>
      </c>
      <c r="J300" s="105">
        <f>+'FY16 Tax Bill'!J300-'FY16 Feb Forecast'!J300</f>
        <v>110152</v>
      </c>
      <c r="K300" s="106">
        <f>+'FY16 Tax Bill'!K300-'FY16 Feb Forecast'!K300</f>
        <v>83701</v>
      </c>
      <c r="L300" s="107">
        <f>+'FY16 Tax Bill'!L300-'FY16 Feb Forecast'!L300</f>
        <v>-193853</v>
      </c>
      <c r="M300" s="105">
        <f>+'FY16 Tax Bill'!M300-'FY16 Feb Forecast'!M300</f>
        <v>-193853</v>
      </c>
      <c r="N300" s="106">
        <f>+'FY16 Tax Bill'!N300-'FY16 Feb Forecast'!N300</f>
        <v>0</v>
      </c>
      <c r="O300" s="107">
        <f>+'FY16 Tax Bill'!O300-'FY16 Feb Forecast'!O300</f>
        <v>1334</v>
      </c>
      <c r="P300" s="105">
        <f>+'FY16 Tax Bill'!P300-'FY16 Feb Forecast'!P300</f>
        <v>-82943</v>
      </c>
      <c r="Q300" s="106">
        <f>+'FY16 Tax Bill'!Q300-'FY16 Feb Forecast'!Q300</f>
        <v>84277</v>
      </c>
      <c r="R300" s="105">
        <f>+'FY16 Tax Bill'!R300-'FY16 Feb Forecast'!R300</f>
        <v>2.9190371991246593</v>
      </c>
      <c r="S300" s="105">
        <f>+'FY16 Tax Bill'!S300-'FY16 Feb Forecast'!S300</f>
        <v>-181.49452954048138</v>
      </c>
      <c r="T300" s="108">
        <f>+'FY16 Tax Bill'!T300-'FY16 Feb Forecast'!T300</f>
        <v>184.41356673960615</v>
      </c>
    </row>
    <row r="301" spans="1:20" x14ac:dyDescent="0.2">
      <c r="A301" s="109">
        <v>2180</v>
      </c>
      <c r="B301" s="110">
        <v>60</v>
      </c>
      <c r="C301" s="103" t="s">
        <v>418</v>
      </c>
      <c r="D301" s="103">
        <v>6</v>
      </c>
      <c r="E301" s="104">
        <f>+SUMIF('GE16FEB14 Unfudged'!$A$2:$A$498, $A301, 'GE16FEB14 Unfudged'!$D$2:$D$498)</f>
        <v>688</v>
      </c>
      <c r="F301" s="104">
        <f>+'FY16 Tax Bill'!F301-'FY16 Feb Forecast'!F301</f>
        <v>1237</v>
      </c>
      <c r="G301" s="105">
        <f>+'FY16 Tax Bill'!G301-'FY16 Feb Forecast'!G301</f>
        <v>741</v>
      </c>
      <c r="H301" s="106">
        <f>+'FY16 Tax Bill'!H301-'FY16 Feb Forecast'!H301</f>
        <v>496</v>
      </c>
      <c r="I301" s="107">
        <f>+'FY16 Tax Bill'!I301-'FY16 Feb Forecast'!I301</f>
        <v>291839</v>
      </c>
      <c r="J301" s="105">
        <f>+'FY16 Tax Bill'!J301-'FY16 Feb Forecast'!J301</f>
        <v>174894</v>
      </c>
      <c r="K301" s="106">
        <f>+'FY16 Tax Bill'!K301-'FY16 Feb Forecast'!K301</f>
        <v>116945</v>
      </c>
      <c r="L301" s="107">
        <f>+'FY16 Tax Bill'!L301-'FY16 Feb Forecast'!L301</f>
        <v>-291839</v>
      </c>
      <c r="M301" s="105">
        <f>+'FY16 Tax Bill'!M301-'FY16 Feb Forecast'!M301</f>
        <v>-291839</v>
      </c>
      <c r="N301" s="106">
        <f>+'FY16 Tax Bill'!N301-'FY16 Feb Forecast'!N301</f>
        <v>0</v>
      </c>
      <c r="O301" s="107">
        <f>+'FY16 Tax Bill'!O301-'FY16 Feb Forecast'!O301</f>
        <v>1237</v>
      </c>
      <c r="P301" s="105">
        <f>+'FY16 Tax Bill'!P301-'FY16 Feb Forecast'!P301</f>
        <v>-116204</v>
      </c>
      <c r="Q301" s="106">
        <f>+'FY16 Tax Bill'!Q301-'FY16 Feb Forecast'!Q301</f>
        <v>117441</v>
      </c>
      <c r="R301" s="105">
        <f>+'FY16 Tax Bill'!R301-'FY16 Feb Forecast'!R301</f>
        <v>1.7979651162791015</v>
      </c>
      <c r="S301" s="105">
        <f>+'FY16 Tax Bill'!S301-'FY16 Feb Forecast'!S301</f>
        <v>-168.90116279069753</v>
      </c>
      <c r="T301" s="108">
        <f>+'FY16 Tax Bill'!T301-'FY16 Feb Forecast'!T301</f>
        <v>170.69912790697674</v>
      </c>
    </row>
    <row r="302" spans="1:20" x14ac:dyDescent="0.2">
      <c r="A302" s="109">
        <v>2184</v>
      </c>
      <c r="B302" s="110">
        <v>60</v>
      </c>
      <c r="C302" s="103" t="s">
        <v>419</v>
      </c>
      <c r="D302" s="103">
        <v>5</v>
      </c>
      <c r="E302" s="104">
        <f>+SUMIF('GE16FEB14 Unfudged'!$A$2:$A$498, $A302, 'GE16FEB14 Unfudged'!$D$2:$D$498)</f>
        <v>1271</v>
      </c>
      <c r="F302" s="104">
        <f>+'FY16 Tax Bill'!F302-'FY16 Feb Forecast'!F302</f>
        <v>15414</v>
      </c>
      <c r="G302" s="105">
        <f>+'FY16 Tax Bill'!G302-'FY16 Feb Forecast'!G302</f>
        <v>7942</v>
      </c>
      <c r="H302" s="106">
        <f>+'FY16 Tax Bill'!H302-'FY16 Feb Forecast'!H302</f>
        <v>7472</v>
      </c>
      <c r="I302" s="107">
        <f>+'FY16 Tax Bill'!I302-'FY16 Feb Forecast'!I302</f>
        <v>538883</v>
      </c>
      <c r="J302" s="105">
        <f>+'FY16 Tax Bill'!J302-'FY16 Feb Forecast'!J302</f>
        <v>277631</v>
      </c>
      <c r="K302" s="106">
        <f>+'FY16 Tax Bill'!K302-'FY16 Feb Forecast'!K302</f>
        <v>261252</v>
      </c>
      <c r="L302" s="107">
        <f>+'FY16 Tax Bill'!L302-'FY16 Feb Forecast'!L302</f>
        <v>-538883</v>
      </c>
      <c r="M302" s="105">
        <f>+'FY16 Tax Bill'!M302-'FY16 Feb Forecast'!M302</f>
        <v>-488247</v>
      </c>
      <c r="N302" s="106">
        <f>+'FY16 Tax Bill'!N302-'FY16 Feb Forecast'!N302</f>
        <v>-50636</v>
      </c>
      <c r="O302" s="107">
        <f>+'FY16 Tax Bill'!O302-'FY16 Feb Forecast'!O302</f>
        <v>15414</v>
      </c>
      <c r="P302" s="105">
        <f>+'FY16 Tax Bill'!P302-'FY16 Feb Forecast'!P302</f>
        <v>-202674</v>
      </c>
      <c r="Q302" s="106">
        <f>+'FY16 Tax Bill'!Q302-'FY16 Feb Forecast'!Q302</f>
        <v>218088</v>
      </c>
      <c r="R302" s="105">
        <f>+'FY16 Tax Bill'!R302-'FY16 Feb Forecast'!R302</f>
        <v>12.12745869394189</v>
      </c>
      <c r="S302" s="105">
        <f>+'FY16 Tax Bill'!S302-'FY16 Feb Forecast'!S302</f>
        <v>-159.4602675059009</v>
      </c>
      <c r="T302" s="108">
        <f>+'FY16 Tax Bill'!T302-'FY16 Feb Forecast'!T302</f>
        <v>171.58772619984268</v>
      </c>
    </row>
    <row r="303" spans="1:20" x14ac:dyDescent="0.2">
      <c r="A303" s="109">
        <v>2190</v>
      </c>
      <c r="B303" s="110">
        <v>1</v>
      </c>
      <c r="C303" s="103" t="s">
        <v>6</v>
      </c>
      <c r="D303" s="103">
        <v>6</v>
      </c>
      <c r="E303" s="104">
        <f>+SUMIF('GE16FEB14 Unfudged'!$A$2:$A$498, $A303, 'GE16FEB14 Unfudged'!$D$2:$D$498)</f>
        <v>817</v>
      </c>
      <c r="F303" s="104">
        <f>+'FY16 Tax Bill'!F303-'FY16 Feb Forecast'!F303</f>
        <v>8114</v>
      </c>
      <c r="G303" s="105">
        <f>+'FY16 Tax Bill'!G303-'FY16 Feb Forecast'!G303</f>
        <v>4935</v>
      </c>
      <c r="H303" s="106">
        <f>+'FY16 Tax Bill'!H303-'FY16 Feb Forecast'!H303</f>
        <v>3179</v>
      </c>
      <c r="I303" s="107">
        <f>+'FY16 Tax Bill'!I303-'FY16 Feb Forecast'!I303</f>
        <v>346408</v>
      </c>
      <c r="J303" s="105">
        <f>+'FY16 Tax Bill'!J303-'FY16 Feb Forecast'!J303</f>
        <v>210691</v>
      </c>
      <c r="K303" s="106">
        <f>+'FY16 Tax Bill'!K303-'FY16 Feb Forecast'!K303</f>
        <v>135717</v>
      </c>
      <c r="L303" s="107">
        <f>+'FY16 Tax Bill'!L303-'FY16 Feb Forecast'!L303</f>
        <v>-346408</v>
      </c>
      <c r="M303" s="105">
        <f>+'FY16 Tax Bill'!M303-'FY16 Feb Forecast'!M303</f>
        <v>-346408</v>
      </c>
      <c r="N303" s="106">
        <f>+'FY16 Tax Bill'!N303-'FY16 Feb Forecast'!N303</f>
        <v>0</v>
      </c>
      <c r="O303" s="107">
        <f>+'FY16 Tax Bill'!O303-'FY16 Feb Forecast'!O303</f>
        <v>8114</v>
      </c>
      <c r="P303" s="105">
        <f>+'FY16 Tax Bill'!P303-'FY16 Feb Forecast'!P303</f>
        <v>-130782</v>
      </c>
      <c r="Q303" s="106">
        <f>+'FY16 Tax Bill'!Q303-'FY16 Feb Forecast'!Q303</f>
        <v>138896</v>
      </c>
      <c r="R303" s="105">
        <f>+'FY16 Tax Bill'!R303-'FY16 Feb Forecast'!R303</f>
        <v>9.9314565483477963</v>
      </c>
      <c r="S303" s="105">
        <f>+'FY16 Tax Bill'!S303-'FY16 Feb Forecast'!S303</f>
        <v>-160.075887392901</v>
      </c>
      <c r="T303" s="108">
        <f>+'FY16 Tax Bill'!T303-'FY16 Feb Forecast'!T303</f>
        <v>170.00734394124845</v>
      </c>
    </row>
    <row r="304" spans="1:20" x14ac:dyDescent="0.2">
      <c r="A304" s="109">
        <v>2198</v>
      </c>
      <c r="B304" s="110">
        <v>1</v>
      </c>
      <c r="C304" s="103" t="s">
        <v>7</v>
      </c>
      <c r="D304" s="103">
        <v>6</v>
      </c>
      <c r="E304" s="104">
        <f>+SUMIF('GE16FEB14 Unfudged'!$A$2:$A$498, $A304, 'GE16FEB14 Unfudged'!$D$2:$D$498)</f>
        <v>580</v>
      </c>
      <c r="F304" s="104">
        <f>+'FY16 Tax Bill'!F304-'FY16 Feb Forecast'!F304</f>
        <v>7084</v>
      </c>
      <c r="G304" s="105">
        <f>+'FY16 Tax Bill'!G304-'FY16 Feb Forecast'!G304</f>
        <v>5181</v>
      </c>
      <c r="H304" s="106">
        <f>+'FY16 Tax Bill'!H304-'FY16 Feb Forecast'!H304</f>
        <v>1903</v>
      </c>
      <c r="I304" s="107">
        <f>+'FY16 Tax Bill'!I304-'FY16 Feb Forecast'!I304</f>
        <v>246090</v>
      </c>
      <c r="J304" s="105">
        <f>+'FY16 Tax Bill'!J304-'FY16 Feb Forecast'!J304</f>
        <v>179985</v>
      </c>
      <c r="K304" s="106">
        <f>+'FY16 Tax Bill'!K304-'FY16 Feb Forecast'!K304</f>
        <v>66105</v>
      </c>
      <c r="L304" s="107">
        <f>+'FY16 Tax Bill'!L304-'FY16 Feb Forecast'!L304</f>
        <v>-246090</v>
      </c>
      <c r="M304" s="105">
        <f>+'FY16 Tax Bill'!M304-'FY16 Feb Forecast'!M304</f>
        <v>-246090</v>
      </c>
      <c r="N304" s="106">
        <f>+'FY16 Tax Bill'!N304-'FY16 Feb Forecast'!N304</f>
        <v>0</v>
      </c>
      <c r="O304" s="107">
        <f>+'FY16 Tax Bill'!O304-'FY16 Feb Forecast'!O304</f>
        <v>7084</v>
      </c>
      <c r="P304" s="105">
        <f>+'FY16 Tax Bill'!P304-'FY16 Feb Forecast'!P304</f>
        <v>-60924</v>
      </c>
      <c r="Q304" s="106">
        <f>+'FY16 Tax Bill'!Q304-'FY16 Feb Forecast'!Q304</f>
        <v>68008</v>
      </c>
      <c r="R304" s="105">
        <f>+'FY16 Tax Bill'!R304-'FY16 Feb Forecast'!R304</f>
        <v>12.213793103448324</v>
      </c>
      <c r="S304" s="105">
        <f>+'FY16 Tax Bill'!S304-'FY16 Feb Forecast'!S304</f>
        <v>-105.04137931034484</v>
      </c>
      <c r="T304" s="108">
        <f>+'FY16 Tax Bill'!T304-'FY16 Feb Forecast'!T304</f>
        <v>117.2551724137931</v>
      </c>
    </row>
    <row r="305" spans="1:20" x14ac:dyDescent="0.2">
      <c r="A305" s="109">
        <v>2215</v>
      </c>
      <c r="B305" s="110">
        <v>1</v>
      </c>
      <c r="C305" s="103" t="s">
        <v>420</v>
      </c>
      <c r="D305" s="103">
        <v>6</v>
      </c>
      <c r="E305" s="104">
        <f>+SUMIF('GE16FEB14 Unfudged'!$A$2:$A$498, $A305, 'GE16FEB14 Unfudged'!$D$2:$D$498)</f>
        <v>327</v>
      </c>
      <c r="F305" s="104">
        <f>+'FY16 Tax Bill'!F305-'FY16 Feb Forecast'!F305</f>
        <v>883</v>
      </c>
      <c r="G305" s="105">
        <f>+'FY16 Tax Bill'!G305-'FY16 Feb Forecast'!G305</f>
        <v>287</v>
      </c>
      <c r="H305" s="106">
        <f>+'FY16 Tax Bill'!H305-'FY16 Feb Forecast'!H305</f>
        <v>596</v>
      </c>
      <c r="I305" s="107">
        <f>+'FY16 Tax Bill'!I305-'FY16 Feb Forecast'!I305</f>
        <v>138818</v>
      </c>
      <c r="J305" s="105">
        <f>+'FY16 Tax Bill'!J305-'FY16 Feb Forecast'!J305</f>
        <v>45259</v>
      </c>
      <c r="K305" s="106">
        <f>+'FY16 Tax Bill'!K305-'FY16 Feb Forecast'!K305</f>
        <v>93559</v>
      </c>
      <c r="L305" s="107">
        <f>+'FY16 Tax Bill'!L305-'FY16 Feb Forecast'!L305</f>
        <v>-138817</v>
      </c>
      <c r="M305" s="105">
        <f>+'FY16 Tax Bill'!M305-'FY16 Feb Forecast'!M305</f>
        <v>-79593</v>
      </c>
      <c r="N305" s="106">
        <f>+'FY16 Tax Bill'!N305-'FY16 Feb Forecast'!N305</f>
        <v>-59224</v>
      </c>
      <c r="O305" s="107">
        <f>+'FY16 Tax Bill'!O305-'FY16 Feb Forecast'!O305</f>
        <v>884</v>
      </c>
      <c r="P305" s="105">
        <f>+'FY16 Tax Bill'!P305-'FY16 Feb Forecast'!P305</f>
        <v>-34047</v>
      </c>
      <c r="Q305" s="106">
        <f>+'FY16 Tax Bill'!Q305-'FY16 Feb Forecast'!Q305</f>
        <v>34931</v>
      </c>
      <c r="R305" s="105">
        <f>+'FY16 Tax Bill'!R305-'FY16 Feb Forecast'!R305</f>
        <v>2.7033639143730852</v>
      </c>
      <c r="S305" s="105">
        <f>+'FY16 Tax Bill'!S305-'FY16 Feb Forecast'!S305</f>
        <v>-104.11926605504584</v>
      </c>
      <c r="T305" s="108">
        <f>+'FY16 Tax Bill'!T305-'FY16 Feb Forecast'!T305</f>
        <v>106.82262996941904</v>
      </c>
    </row>
    <row r="306" spans="1:20" x14ac:dyDescent="0.2">
      <c r="A306" s="109">
        <v>2310</v>
      </c>
      <c r="B306" s="110">
        <v>1</v>
      </c>
      <c r="C306" s="103" t="s">
        <v>421</v>
      </c>
      <c r="D306" s="103">
        <v>5</v>
      </c>
      <c r="E306" s="104">
        <f>+SUMIF('GE16FEB14 Unfudged'!$A$2:$A$498, $A306, 'GE16FEB14 Unfudged'!$D$2:$D$498)</f>
        <v>1346</v>
      </c>
      <c r="F306" s="104">
        <f>+'FY16 Tax Bill'!F306-'FY16 Feb Forecast'!F306</f>
        <v>21560</v>
      </c>
      <c r="G306" s="105">
        <f>+'FY16 Tax Bill'!G306-'FY16 Feb Forecast'!G306</f>
        <v>9983</v>
      </c>
      <c r="H306" s="106">
        <f>+'FY16 Tax Bill'!H306-'FY16 Feb Forecast'!H306</f>
        <v>11577</v>
      </c>
      <c r="I306" s="107">
        <f>+'FY16 Tax Bill'!I306-'FY16 Feb Forecast'!I306</f>
        <v>570534</v>
      </c>
      <c r="J306" s="105">
        <f>+'FY16 Tax Bill'!J306-'FY16 Feb Forecast'!J306</f>
        <v>264160</v>
      </c>
      <c r="K306" s="106">
        <f>+'FY16 Tax Bill'!K306-'FY16 Feb Forecast'!K306</f>
        <v>306374</v>
      </c>
      <c r="L306" s="107">
        <f>+'FY16 Tax Bill'!L306-'FY16 Feb Forecast'!L306</f>
        <v>-470274</v>
      </c>
      <c r="M306" s="105">
        <f>+'FY16 Tax Bill'!M306-'FY16 Feb Forecast'!M306</f>
        <v>-217739</v>
      </c>
      <c r="N306" s="106">
        <f>+'FY16 Tax Bill'!N306-'FY16 Feb Forecast'!N306</f>
        <v>-252535</v>
      </c>
      <c r="O306" s="107">
        <f>+'FY16 Tax Bill'!O306-'FY16 Feb Forecast'!O306</f>
        <v>121820</v>
      </c>
      <c r="P306" s="105">
        <f>+'FY16 Tax Bill'!P306-'FY16 Feb Forecast'!P306</f>
        <v>56404</v>
      </c>
      <c r="Q306" s="106">
        <f>+'FY16 Tax Bill'!Q306-'FY16 Feb Forecast'!Q306</f>
        <v>65416</v>
      </c>
      <c r="R306" s="105">
        <f>+'FY16 Tax Bill'!R306-'FY16 Feb Forecast'!R306</f>
        <v>90.505200594353596</v>
      </c>
      <c r="S306" s="105">
        <f>+'FY16 Tax Bill'!S306-'FY16 Feb Forecast'!S306</f>
        <v>41.904903417533433</v>
      </c>
      <c r="T306" s="108">
        <f>+'FY16 Tax Bill'!T306-'FY16 Feb Forecast'!T306</f>
        <v>48.600297176820277</v>
      </c>
    </row>
    <row r="307" spans="1:20" x14ac:dyDescent="0.2">
      <c r="A307" s="109">
        <v>2311</v>
      </c>
      <c r="B307" s="110">
        <v>1</v>
      </c>
      <c r="C307" s="103" t="s">
        <v>422</v>
      </c>
      <c r="D307" s="103">
        <v>6</v>
      </c>
      <c r="E307" s="104">
        <f>+SUMIF('GE16FEB14 Unfudged'!$A$2:$A$498, $A307, 'GE16FEB14 Unfudged'!$D$2:$D$498)</f>
        <v>462</v>
      </c>
      <c r="F307" s="104">
        <f>+'FY16 Tax Bill'!F307-'FY16 Feb Forecast'!F307</f>
        <v>4187</v>
      </c>
      <c r="G307" s="105">
        <f>+'FY16 Tax Bill'!G307-'FY16 Feb Forecast'!G307</f>
        <v>4187</v>
      </c>
      <c r="H307" s="106">
        <f>+'FY16 Tax Bill'!H307-'FY16 Feb Forecast'!H307</f>
        <v>0</v>
      </c>
      <c r="I307" s="107">
        <f>+'FY16 Tax Bill'!I307-'FY16 Feb Forecast'!I307</f>
        <v>195782</v>
      </c>
      <c r="J307" s="105">
        <f>+'FY16 Tax Bill'!J307-'FY16 Feb Forecast'!J307</f>
        <v>195782</v>
      </c>
      <c r="K307" s="106">
        <f>+'FY16 Tax Bill'!K307-'FY16 Feb Forecast'!K307</f>
        <v>0</v>
      </c>
      <c r="L307" s="107">
        <f>+'FY16 Tax Bill'!L307-'FY16 Feb Forecast'!L307</f>
        <v>-91316</v>
      </c>
      <c r="M307" s="105">
        <f>+'FY16 Tax Bill'!M307-'FY16 Feb Forecast'!M307</f>
        <v>-90462</v>
      </c>
      <c r="N307" s="106">
        <f>+'FY16 Tax Bill'!N307-'FY16 Feb Forecast'!N307</f>
        <v>-854</v>
      </c>
      <c r="O307" s="107">
        <f>+'FY16 Tax Bill'!O307-'FY16 Feb Forecast'!O307</f>
        <v>108653</v>
      </c>
      <c r="P307" s="105">
        <f>+'FY16 Tax Bill'!P307-'FY16 Feb Forecast'!P307</f>
        <v>109507</v>
      </c>
      <c r="Q307" s="106">
        <f>+'FY16 Tax Bill'!Q307-'FY16 Feb Forecast'!Q307</f>
        <v>-854</v>
      </c>
      <c r="R307" s="105">
        <f>+'FY16 Tax Bill'!R307-'FY16 Feb Forecast'!R307</f>
        <v>235.17965367965371</v>
      </c>
      <c r="S307" s="105">
        <f>+'FY16 Tax Bill'!S307-'FY16 Feb Forecast'!S307</f>
        <v>237.02813852813847</v>
      </c>
      <c r="T307" s="108">
        <f>+'FY16 Tax Bill'!T307-'FY16 Feb Forecast'!T307</f>
        <v>-1.8484848484848442</v>
      </c>
    </row>
    <row r="308" spans="1:20" x14ac:dyDescent="0.2">
      <c r="A308" s="109">
        <v>2342</v>
      </c>
      <c r="B308" s="110">
        <v>1</v>
      </c>
      <c r="C308" s="103" t="s">
        <v>8</v>
      </c>
      <c r="D308" s="103">
        <v>6</v>
      </c>
      <c r="E308" s="104">
        <f>+SUMIF('GE16FEB14 Unfudged'!$A$2:$A$498, $A308, 'GE16FEB14 Unfudged'!$D$2:$D$498)</f>
        <v>784</v>
      </c>
      <c r="F308" s="104">
        <f>+'FY16 Tax Bill'!F308-'FY16 Feb Forecast'!F308</f>
        <v>6385</v>
      </c>
      <c r="G308" s="105">
        <f>+'FY16 Tax Bill'!G308-'FY16 Feb Forecast'!G308</f>
        <v>3859</v>
      </c>
      <c r="H308" s="106">
        <f>+'FY16 Tax Bill'!H308-'FY16 Feb Forecast'!H308</f>
        <v>2526</v>
      </c>
      <c r="I308" s="107">
        <f>+'FY16 Tax Bill'!I308-'FY16 Feb Forecast'!I308</f>
        <v>332416</v>
      </c>
      <c r="J308" s="105">
        <f>+'FY16 Tax Bill'!J308-'FY16 Feb Forecast'!J308</f>
        <v>200927</v>
      </c>
      <c r="K308" s="106">
        <f>+'FY16 Tax Bill'!K308-'FY16 Feb Forecast'!K308</f>
        <v>131489</v>
      </c>
      <c r="L308" s="107">
        <f>+'FY16 Tax Bill'!L308-'FY16 Feb Forecast'!L308</f>
        <v>-332416</v>
      </c>
      <c r="M308" s="105">
        <f>+'FY16 Tax Bill'!M308-'FY16 Feb Forecast'!M308</f>
        <v>-332416</v>
      </c>
      <c r="N308" s="106">
        <f>+'FY16 Tax Bill'!N308-'FY16 Feb Forecast'!N308</f>
        <v>0</v>
      </c>
      <c r="O308" s="107">
        <f>+'FY16 Tax Bill'!O308-'FY16 Feb Forecast'!O308</f>
        <v>6385</v>
      </c>
      <c r="P308" s="105">
        <f>+'FY16 Tax Bill'!P308-'FY16 Feb Forecast'!P308</f>
        <v>-127630</v>
      </c>
      <c r="Q308" s="106">
        <f>+'FY16 Tax Bill'!Q308-'FY16 Feb Forecast'!Q308</f>
        <v>134015</v>
      </c>
      <c r="R308" s="105">
        <f>+'FY16 Tax Bill'!R308-'FY16 Feb Forecast'!R308</f>
        <v>8.1441326530612059</v>
      </c>
      <c r="S308" s="105">
        <f>+'FY16 Tax Bill'!S308-'FY16 Feb Forecast'!S308</f>
        <v>-162.79336734693868</v>
      </c>
      <c r="T308" s="108">
        <f>+'FY16 Tax Bill'!T308-'FY16 Feb Forecast'!T308</f>
        <v>170.9375</v>
      </c>
    </row>
    <row r="309" spans="1:20" x14ac:dyDescent="0.2">
      <c r="A309" s="109">
        <v>2358</v>
      </c>
      <c r="B309" s="110">
        <v>1</v>
      </c>
      <c r="C309" s="103" t="s">
        <v>423</v>
      </c>
      <c r="D309" s="103">
        <v>6</v>
      </c>
      <c r="E309" s="104">
        <f>+SUMIF('GE16FEB14 Unfudged'!$A$2:$A$498, $A309, 'GE16FEB14 Unfudged'!$D$2:$D$498)</f>
        <v>220</v>
      </c>
      <c r="F309" s="104">
        <f>+'FY16 Tax Bill'!F309-'FY16 Feb Forecast'!F309</f>
        <v>1215</v>
      </c>
      <c r="G309" s="105">
        <f>+'FY16 Tax Bill'!G309-'FY16 Feb Forecast'!G309</f>
        <v>518</v>
      </c>
      <c r="H309" s="106">
        <f>+'FY16 Tax Bill'!H309-'FY16 Feb Forecast'!H309</f>
        <v>697</v>
      </c>
      <c r="I309" s="107">
        <f>+'FY16 Tax Bill'!I309-'FY16 Feb Forecast'!I309</f>
        <v>93428</v>
      </c>
      <c r="J309" s="105">
        <f>+'FY16 Tax Bill'!J309-'FY16 Feb Forecast'!J309</f>
        <v>39846</v>
      </c>
      <c r="K309" s="106">
        <f>+'FY16 Tax Bill'!K309-'FY16 Feb Forecast'!K309</f>
        <v>53582</v>
      </c>
      <c r="L309" s="107">
        <f>+'FY16 Tax Bill'!L309-'FY16 Feb Forecast'!L309</f>
        <v>-93428</v>
      </c>
      <c r="M309" s="105">
        <f>+'FY16 Tax Bill'!M309-'FY16 Feb Forecast'!M309</f>
        <v>-70074</v>
      </c>
      <c r="N309" s="106">
        <f>+'FY16 Tax Bill'!N309-'FY16 Feb Forecast'!N309</f>
        <v>-23354</v>
      </c>
      <c r="O309" s="107">
        <f>+'FY16 Tax Bill'!O309-'FY16 Feb Forecast'!O309</f>
        <v>1215</v>
      </c>
      <c r="P309" s="105">
        <f>+'FY16 Tax Bill'!P309-'FY16 Feb Forecast'!P309</f>
        <v>-29710</v>
      </c>
      <c r="Q309" s="106">
        <f>+'FY16 Tax Bill'!Q309-'FY16 Feb Forecast'!Q309</f>
        <v>30925</v>
      </c>
      <c r="R309" s="105">
        <f>+'FY16 Tax Bill'!R309-'FY16 Feb Forecast'!R309</f>
        <v>5.5227272727272521</v>
      </c>
      <c r="S309" s="105">
        <f>+'FY16 Tax Bill'!S309-'FY16 Feb Forecast'!S309</f>
        <v>-135.04545454545462</v>
      </c>
      <c r="T309" s="108">
        <f>+'FY16 Tax Bill'!T309-'FY16 Feb Forecast'!T309</f>
        <v>140.56818181818187</v>
      </c>
    </row>
    <row r="310" spans="1:20" x14ac:dyDescent="0.2">
      <c r="A310" s="109">
        <v>2364</v>
      </c>
      <c r="B310" s="110">
        <v>1</v>
      </c>
      <c r="C310" s="103" t="s">
        <v>424</v>
      </c>
      <c r="D310" s="103">
        <v>6</v>
      </c>
      <c r="E310" s="104">
        <f>+SUMIF('GE16FEB14 Unfudged'!$A$2:$A$498, $A310, 'GE16FEB14 Unfudged'!$D$2:$D$498)</f>
        <v>679</v>
      </c>
      <c r="F310" s="104">
        <f>+'FY16 Tax Bill'!F310-'FY16 Feb Forecast'!F310</f>
        <v>11050</v>
      </c>
      <c r="G310" s="105">
        <f>+'FY16 Tax Bill'!G310-'FY16 Feb Forecast'!G310</f>
        <v>6372</v>
      </c>
      <c r="H310" s="106">
        <f>+'FY16 Tax Bill'!H310-'FY16 Feb Forecast'!H310</f>
        <v>4678</v>
      </c>
      <c r="I310" s="107">
        <f>+'FY16 Tax Bill'!I310-'FY16 Feb Forecast'!I310</f>
        <v>287938</v>
      </c>
      <c r="J310" s="105">
        <f>+'FY16 Tax Bill'!J310-'FY16 Feb Forecast'!J310</f>
        <v>166031</v>
      </c>
      <c r="K310" s="106">
        <f>+'FY16 Tax Bill'!K310-'FY16 Feb Forecast'!K310</f>
        <v>121907</v>
      </c>
      <c r="L310" s="107">
        <f>+'FY16 Tax Bill'!L310-'FY16 Feb Forecast'!L310</f>
        <v>-287938</v>
      </c>
      <c r="M310" s="105">
        <f>+'FY16 Tax Bill'!M310-'FY16 Feb Forecast'!M310</f>
        <v>-217574</v>
      </c>
      <c r="N310" s="106">
        <f>+'FY16 Tax Bill'!N310-'FY16 Feb Forecast'!N310</f>
        <v>-70364</v>
      </c>
      <c r="O310" s="107">
        <f>+'FY16 Tax Bill'!O310-'FY16 Feb Forecast'!O310</f>
        <v>11050</v>
      </c>
      <c r="P310" s="105">
        <f>+'FY16 Tax Bill'!P310-'FY16 Feb Forecast'!P310</f>
        <v>-45171</v>
      </c>
      <c r="Q310" s="106">
        <f>+'FY16 Tax Bill'!Q310-'FY16 Feb Forecast'!Q310</f>
        <v>56221</v>
      </c>
      <c r="R310" s="105">
        <f>+'FY16 Tax Bill'!R310-'FY16 Feb Forecast'!R310</f>
        <v>16.27393225331366</v>
      </c>
      <c r="S310" s="105">
        <f>+'FY16 Tax Bill'!S310-'FY16 Feb Forecast'!S310</f>
        <v>-66.525773195876241</v>
      </c>
      <c r="T310" s="108">
        <f>+'FY16 Tax Bill'!T310-'FY16 Feb Forecast'!T310</f>
        <v>82.799705449190014</v>
      </c>
    </row>
    <row r="311" spans="1:20" x14ac:dyDescent="0.2">
      <c r="A311" s="109">
        <v>2365</v>
      </c>
      <c r="B311" s="110">
        <v>1</v>
      </c>
      <c r="C311" s="103" t="s">
        <v>9</v>
      </c>
      <c r="D311" s="103">
        <v>6</v>
      </c>
      <c r="E311" s="104">
        <f>+SUMIF('GE16FEB14 Unfudged'!$A$2:$A$498, $A311, 'GE16FEB14 Unfudged'!$D$2:$D$498)</f>
        <v>893</v>
      </c>
      <c r="F311" s="104">
        <f>+'FY16 Tax Bill'!F311-'FY16 Feb Forecast'!F311</f>
        <v>14599</v>
      </c>
      <c r="G311" s="105">
        <f>+'FY16 Tax Bill'!G311-'FY16 Feb Forecast'!G311</f>
        <v>8932</v>
      </c>
      <c r="H311" s="106">
        <f>+'FY16 Tax Bill'!H311-'FY16 Feb Forecast'!H311</f>
        <v>5667</v>
      </c>
      <c r="I311" s="107">
        <f>+'FY16 Tax Bill'!I311-'FY16 Feb Forecast'!I311</f>
        <v>378802</v>
      </c>
      <c r="J311" s="105">
        <f>+'FY16 Tax Bill'!J311-'FY16 Feb Forecast'!J311</f>
        <v>231761</v>
      </c>
      <c r="K311" s="106">
        <f>+'FY16 Tax Bill'!K311-'FY16 Feb Forecast'!K311</f>
        <v>147041</v>
      </c>
      <c r="L311" s="107">
        <f>+'FY16 Tax Bill'!L311-'FY16 Feb Forecast'!L311</f>
        <v>-378801</v>
      </c>
      <c r="M311" s="105">
        <f>+'FY16 Tax Bill'!M311-'FY16 Feb Forecast'!M311</f>
        <v>-292269</v>
      </c>
      <c r="N311" s="106">
        <f>+'FY16 Tax Bill'!N311-'FY16 Feb Forecast'!N311</f>
        <v>-86532</v>
      </c>
      <c r="O311" s="107">
        <f>+'FY16 Tax Bill'!O311-'FY16 Feb Forecast'!O311</f>
        <v>14600</v>
      </c>
      <c r="P311" s="105">
        <f>+'FY16 Tax Bill'!P311-'FY16 Feb Forecast'!P311</f>
        <v>-51576</v>
      </c>
      <c r="Q311" s="106">
        <f>+'FY16 Tax Bill'!Q311-'FY16 Feb Forecast'!Q311</f>
        <v>66176</v>
      </c>
      <c r="R311" s="105">
        <f>+'FY16 Tax Bill'!R311-'FY16 Feb Forecast'!R311</f>
        <v>16.349384098544078</v>
      </c>
      <c r="S311" s="105">
        <f>+'FY16 Tax Bill'!S311-'FY16 Feb Forecast'!S311</f>
        <v>-57.755879059350491</v>
      </c>
      <c r="T311" s="108">
        <f>+'FY16 Tax Bill'!T311-'FY16 Feb Forecast'!T311</f>
        <v>74.10526315789474</v>
      </c>
    </row>
    <row r="312" spans="1:20" x14ac:dyDescent="0.2">
      <c r="A312" s="109">
        <v>2396</v>
      </c>
      <c r="B312" s="110">
        <v>1</v>
      </c>
      <c r="C312" s="103" t="s">
        <v>10</v>
      </c>
      <c r="D312" s="103">
        <v>6</v>
      </c>
      <c r="E312" s="104">
        <f>+SUMIF('GE16FEB14 Unfudged'!$A$2:$A$498, $A312, 'GE16FEB14 Unfudged'!$D$2:$D$498)</f>
        <v>841</v>
      </c>
      <c r="F312" s="104">
        <f>+'FY16 Tax Bill'!F312-'FY16 Feb Forecast'!F312</f>
        <v>10107</v>
      </c>
      <c r="G312" s="105">
        <f>+'FY16 Tax Bill'!G312-'FY16 Feb Forecast'!G312</f>
        <v>7176</v>
      </c>
      <c r="H312" s="106">
        <f>+'FY16 Tax Bill'!H312-'FY16 Feb Forecast'!H312</f>
        <v>2931</v>
      </c>
      <c r="I312" s="107">
        <f>+'FY16 Tax Bill'!I312-'FY16 Feb Forecast'!I312</f>
        <v>356754</v>
      </c>
      <c r="J312" s="105">
        <f>+'FY16 Tax Bill'!J312-'FY16 Feb Forecast'!J312</f>
        <v>253307</v>
      </c>
      <c r="K312" s="106">
        <f>+'FY16 Tax Bill'!K312-'FY16 Feb Forecast'!K312</f>
        <v>103447</v>
      </c>
      <c r="L312" s="107">
        <f>+'FY16 Tax Bill'!L312-'FY16 Feb Forecast'!L312</f>
        <v>-356753</v>
      </c>
      <c r="M312" s="105">
        <f>+'FY16 Tax Bill'!M312-'FY16 Feb Forecast'!M312</f>
        <v>-356753</v>
      </c>
      <c r="N312" s="106">
        <f>+'FY16 Tax Bill'!N312-'FY16 Feb Forecast'!N312</f>
        <v>0</v>
      </c>
      <c r="O312" s="107">
        <f>+'FY16 Tax Bill'!O312-'FY16 Feb Forecast'!O312</f>
        <v>10108</v>
      </c>
      <c r="P312" s="105">
        <f>+'FY16 Tax Bill'!P312-'FY16 Feb Forecast'!P312</f>
        <v>-96270</v>
      </c>
      <c r="Q312" s="106">
        <f>+'FY16 Tax Bill'!Q312-'FY16 Feb Forecast'!Q312</f>
        <v>106378</v>
      </c>
      <c r="R312" s="105">
        <f>+'FY16 Tax Bill'!R312-'FY16 Feb Forecast'!R312</f>
        <v>12.019024970273449</v>
      </c>
      <c r="S312" s="105">
        <f>+'FY16 Tax Bill'!S312-'FY16 Feb Forecast'!S312</f>
        <v>-114.47086801426872</v>
      </c>
      <c r="T312" s="108">
        <f>+'FY16 Tax Bill'!T312-'FY16 Feb Forecast'!T312</f>
        <v>126.48989298454222</v>
      </c>
    </row>
    <row r="313" spans="1:20" x14ac:dyDescent="0.2">
      <c r="A313" s="109">
        <v>2397</v>
      </c>
      <c r="B313" s="110">
        <v>1</v>
      </c>
      <c r="C313" s="103" t="s">
        <v>425</v>
      </c>
      <c r="D313" s="103">
        <v>5</v>
      </c>
      <c r="E313" s="104">
        <f>+SUMIF('GE16FEB14 Unfudged'!$A$2:$A$498, $A313, 'GE16FEB14 Unfudged'!$D$2:$D$498)</f>
        <v>1084</v>
      </c>
      <c r="F313" s="104">
        <f>+'FY16 Tax Bill'!F313-'FY16 Feb Forecast'!F313</f>
        <v>-3305</v>
      </c>
      <c r="G313" s="105">
        <f>+'FY16 Tax Bill'!G313-'FY16 Feb Forecast'!G313</f>
        <v>-2417</v>
      </c>
      <c r="H313" s="106">
        <f>+'FY16 Tax Bill'!H313-'FY16 Feb Forecast'!H313</f>
        <v>-888</v>
      </c>
      <c r="I313" s="107">
        <f>+'FY16 Tax Bill'!I313-'FY16 Feb Forecast'!I313</f>
        <v>0</v>
      </c>
      <c r="J313" s="105">
        <f>+'FY16 Tax Bill'!J313-'FY16 Feb Forecast'!J313</f>
        <v>0</v>
      </c>
      <c r="K313" s="106">
        <f>+'FY16 Tax Bill'!K313-'FY16 Feb Forecast'!K313</f>
        <v>0</v>
      </c>
      <c r="L313" s="107">
        <f>+'FY16 Tax Bill'!L313-'FY16 Feb Forecast'!L313</f>
        <v>0</v>
      </c>
      <c r="M313" s="105">
        <f>+'FY16 Tax Bill'!M313-'FY16 Feb Forecast'!M313</f>
        <v>0</v>
      </c>
      <c r="N313" s="106">
        <f>+'FY16 Tax Bill'!N313-'FY16 Feb Forecast'!N313</f>
        <v>0</v>
      </c>
      <c r="O313" s="107">
        <f>+'FY16 Tax Bill'!O313-'FY16 Feb Forecast'!O313</f>
        <v>-3305</v>
      </c>
      <c r="P313" s="105">
        <f>+'FY16 Tax Bill'!P313-'FY16 Feb Forecast'!P313</f>
        <v>-2417</v>
      </c>
      <c r="Q313" s="106">
        <f>+'FY16 Tax Bill'!Q313-'FY16 Feb Forecast'!Q313</f>
        <v>-888</v>
      </c>
      <c r="R313" s="105">
        <f>+'FY16 Tax Bill'!R313-'FY16 Feb Forecast'!R313</f>
        <v>-3.0488929889297651</v>
      </c>
      <c r="S313" s="105">
        <f>+'FY16 Tax Bill'!S313-'FY16 Feb Forecast'!S313</f>
        <v>-2.2297047970479298</v>
      </c>
      <c r="T313" s="108">
        <f>+'FY16 Tax Bill'!T313-'FY16 Feb Forecast'!T313</f>
        <v>-0.81918819188194902</v>
      </c>
    </row>
    <row r="314" spans="1:20" x14ac:dyDescent="0.2">
      <c r="A314" s="109">
        <v>2448</v>
      </c>
      <c r="B314" s="110">
        <v>1</v>
      </c>
      <c r="C314" s="103" t="s">
        <v>426</v>
      </c>
      <c r="D314" s="103">
        <v>6</v>
      </c>
      <c r="E314" s="104">
        <f>+SUMIF('GE16FEB14 Unfudged'!$A$2:$A$498, $A314, 'GE16FEB14 Unfudged'!$D$2:$D$498)</f>
        <v>812</v>
      </c>
      <c r="F314" s="104">
        <f>+'FY16 Tax Bill'!F314-'FY16 Feb Forecast'!F314</f>
        <v>7086</v>
      </c>
      <c r="G314" s="105">
        <f>+'FY16 Tax Bill'!G314-'FY16 Feb Forecast'!G314</f>
        <v>5436</v>
      </c>
      <c r="H314" s="106">
        <f>+'FY16 Tax Bill'!H314-'FY16 Feb Forecast'!H314</f>
        <v>1650</v>
      </c>
      <c r="I314" s="107">
        <f>+'FY16 Tax Bill'!I314-'FY16 Feb Forecast'!I314</f>
        <v>344288</v>
      </c>
      <c r="J314" s="105">
        <f>+'FY16 Tax Bill'!J314-'FY16 Feb Forecast'!J314</f>
        <v>264118</v>
      </c>
      <c r="K314" s="106">
        <f>+'FY16 Tax Bill'!K314-'FY16 Feb Forecast'!K314</f>
        <v>80170</v>
      </c>
      <c r="L314" s="107">
        <f>+'FY16 Tax Bill'!L314-'FY16 Feb Forecast'!L314</f>
        <v>-344288</v>
      </c>
      <c r="M314" s="105">
        <f>+'FY16 Tax Bill'!M314-'FY16 Feb Forecast'!M314</f>
        <v>-344288</v>
      </c>
      <c r="N314" s="106">
        <f>+'FY16 Tax Bill'!N314-'FY16 Feb Forecast'!N314</f>
        <v>0</v>
      </c>
      <c r="O314" s="107">
        <f>+'FY16 Tax Bill'!O314-'FY16 Feb Forecast'!O314</f>
        <v>7086</v>
      </c>
      <c r="P314" s="105">
        <f>+'FY16 Tax Bill'!P314-'FY16 Feb Forecast'!P314</f>
        <v>-74734</v>
      </c>
      <c r="Q314" s="106">
        <f>+'FY16 Tax Bill'!Q314-'FY16 Feb Forecast'!Q314</f>
        <v>81820</v>
      </c>
      <c r="R314" s="105">
        <f>+'FY16 Tax Bill'!R314-'FY16 Feb Forecast'!R314</f>
        <v>8.7266009852216939</v>
      </c>
      <c r="S314" s="105">
        <f>+'FY16 Tax Bill'!S314-'FY16 Feb Forecast'!S314</f>
        <v>-92.036945812807744</v>
      </c>
      <c r="T314" s="108">
        <f>+'FY16 Tax Bill'!T314-'FY16 Feb Forecast'!T314</f>
        <v>100.76354679802955</v>
      </c>
    </row>
    <row r="315" spans="1:20" x14ac:dyDescent="0.2">
      <c r="A315" s="109">
        <v>2527</v>
      </c>
      <c r="B315" s="110">
        <v>1</v>
      </c>
      <c r="C315" s="103" t="s">
        <v>427</v>
      </c>
      <c r="D315" s="103">
        <v>6</v>
      </c>
      <c r="E315" s="104">
        <f>+SUMIF('GE16FEB14 Unfudged'!$A$2:$A$498, $A315, 'GE16FEB14 Unfudged'!$D$2:$D$498)</f>
        <v>300</v>
      </c>
      <c r="F315" s="104">
        <f>+'FY16 Tax Bill'!F315-'FY16 Feb Forecast'!F315</f>
        <v>1823</v>
      </c>
      <c r="G315" s="105">
        <f>+'FY16 Tax Bill'!G315-'FY16 Feb Forecast'!G315</f>
        <v>670</v>
      </c>
      <c r="H315" s="106">
        <f>+'FY16 Tax Bill'!H315-'FY16 Feb Forecast'!H315</f>
        <v>1153</v>
      </c>
      <c r="I315" s="107">
        <f>+'FY16 Tax Bill'!I315-'FY16 Feb Forecast'!I315</f>
        <v>127030</v>
      </c>
      <c r="J315" s="105">
        <f>+'FY16 Tax Bill'!J315-'FY16 Feb Forecast'!J315</f>
        <v>46678</v>
      </c>
      <c r="K315" s="106">
        <f>+'FY16 Tax Bill'!K315-'FY16 Feb Forecast'!K315</f>
        <v>80352</v>
      </c>
      <c r="L315" s="107">
        <f>+'FY16 Tax Bill'!L315-'FY16 Feb Forecast'!L315</f>
        <v>-127030</v>
      </c>
      <c r="M315" s="105">
        <f>+'FY16 Tax Bill'!M315-'FY16 Feb Forecast'!M315</f>
        <v>-82090</v>
      </c>
      <c r="N315" s="106">
        <f>+'FY16 Tax Bill'!N315-'FY16 Feb Forecast'!N315</f>
        <v>-44940</v>
      </c>
      <c r="O315" s="107">
        <f>+'FY16 Tax Bill'!O315-'FY16 Feb Forecast'!O315</f>
        <v>1823</v>
      </c>
      <c r="P315" s="105">
        <f>+'FY16 Tax Bill'!P315-'FY16 Feb Forecast'!P315</f>
        <v>-34742</v>
      </c>
      <c r="Q315" s="106">
        <f>+'FY16 Tax Bill'!Q315-'FY16 Feb Forecast'!Q315</f>
        <v>36565</v>
      </c>
      <c r="R315" s="105">
        <f>+'FY16 Tax Bill'!R315-'FY16 Feb Forecast'!R315</f>
        <v>6.0766666666665969</v>
      </c>
      <c r="S315" s="105">
        <f>+'FY16 Tax Bill'!S315-'FY16 Feb Forecast'!S315</f>
        <v>-115.80666666666673</v>
      </c>
      <c r="T315" s="108">
        <f>+'FY16 Tax Bill'!T315-'FY16 Feb Forecast'!T315</f>
        <v>121.88333333333333</v>
      </c>
    </row>
    <row r="316" spans="1:20" x14ac:dyDescent="0.2">
      <c r="A316" s="109">
        <v>2534</v>
      </c>
      <c r="B316" s="110">
        <v>1</v>
      </c>
      <c r="C316" s="103" t="s">
        <v>11</v>
      </c>
      <c r="D316" s="103">
        <v>6</v>
      </c>
      <c r="E316" s="104">
        <f>+SUMIF('GE16FEB14 Unfudged'!$A$2:$A$498, $A316, 'GE16FEB14 Unfudged'!$D$2:$D$498)</f>
        <v>722</v>
      </c>
      <c r="F316" s="104">
        <f>+'FY16 Tax Bill'!F316-'FY16 Feb Forecast'!F316</f>
        <v>13785</v>
      </c>
      <c r="G316" s="105">
        <f>+'FY16 Tax Bill'!G316-'FY16 Feb Forecast'!G316</f>
        <v>9963</v>
      </c>
      <c r="H316" s="106">
        <f>+'FY16 Tax Bill'!H316-'FY16 Feb Forecast'!H316</f>
        <v>3822</v>
      </c>
      <c r="I316" s="107">
        <f>+'FY16 Tax Bill'!I316-'FY16 Feb Forecast'!I316</f>
        <v>306170</v>
      </c>
      <c r="J316" s="105">
        <f>+'FY16 Tax Bill'!J316-'FY16 Feb Forecast'!J316</f>
        <v>221281</v>
      </c>
      <c r="K316" s="106">
        <f>+'FY16 Tax Bill'!K316-'FY16 Feb Forecast'!K316</f>
        <v>84889</v>
      </c>
      <c r="L316" s="107">
        <f>+'FY16 Tax Bill'!L316-'FY16 Feb Forecast'!L316</f>
        <v>-306171</v>
      </c>
      <c r="M316" s="105">
        <f>+'FY16 Tax Bill'!M316-'FY16 Feb Forecast'!M316</f>
        <v>-221281</v>
      </c>
      <c r="N316" s="106">
        <f>+'FY16 Tax Bill'!N316-'FY16 Feb Forecast'!N316</f>
        <v>-84890</v>
      </c>
      <c r="O316" s="107">
        <f>+'FY16 Tax Bill'!O316-'FY16 Feb Forecast'!O316</f>
        <v>13784</v>
      </c>
      <c r="P316" s="105">
        <f>+'FY16 Tax Bill'!P316-'FY16 Feb Forecast'!P316</f>
        <v>9963</v>
      </c>
      <c r="Q316" s="106">
        <f>+'FY16 Tax Bill'!Q316-'FY16 Feb Forecast'!Q316</f>
        <v>3821</v>
      </c>
      <c r="R316" s="105">
        <f>+'FY16 Tax Bill'!R316-'FY16 Feb Forecast'!R316</f>
        <v>19.091412742382204</v>
      </c>
      <c r="S316" s="105">
        <f>+'FY16 Tax Bill'!S316-'FY16 Feb Forecast'!S316</f>
        <v>13.799168975069279</v>
      </c>
      <c r="T316" s="108">
        <f>+'FY16 Tax Bill'!T316-'FY16 Feb Forecast'!T316</f>
        <v>5.2922437673129821</v>
      </c>
    </row>
    <row r="317" spans="1:20" x14ac:dyDescent="0.2">
      <c r="A317" s="109">
        <v>2536</v>
      </c>
      <c r="B317" s="110">
        <v>1</v>
      </c>
      <c r="C317" s="103" t="s">
        <v>428</v>
      </c>
      <c r="D317" s="103">
        <v>6</v>
      </c>
      <c r="E317" s="104">
        <f>+SUMIF('GE16FEB14 Unfudged'!$A$2:$A$498, $A317, 'GE16FEB14 Unfudged'!$D$2:$D$498)</f>
        <v>218</v>
      </c>
      <c r="F317" s="104">
        <f>+'FY16 Tax Bill'!F317-'FY16 Feb Forecast'!F317</f>
        <v>0</v>
      </c>
      <c r="G317" s="105">
        <f>+'FY16 Tax Bill'!G317-'FY16 Feb Forecast'!G317</f>
        <v>0</v>
      </c>
      <c r="H317" s="106">
        <f>+'FY16 Tax Bill'!H317-'FY16 Feb Forecast'!H317</f>
        <v>0</v>
      </c>
      <c r="I317" s="107">
        <f>+'FY16 Tax Bill'!I317-'FY16 Feb Forecast'!I317</f>
        <v>92474</v>
      </c>
      <c r="J317" s="105">
        <f>+'FY16 Tax Bill'!J317-'FY16 Feb Forecast'!J317</f>
        <v>53899</v>
      </c>
      <c r="K317" s="106">
        <f>+'FY16 Tax Bill'!K317-'FY16 Feb Forecast'!K317</f>
        <v>38575</v>
      </c>
      <c r="L317" s="107">
        <f>+'FY16 Tax Bill'!L317-'FY16 Feb Forecast'!L317</f>
        <v>-92474</v>
      </c>
      <c r="M317" s="105">
        <f>+'FY16 Tax Bill'!M317-'FY16 Feb Forecast'!M317</f>
        <v>-92474</v>
      </c>
      <c r="N317" s="106">
        <f>+'FY16 Tax Bill'!N317-'FY16 Feb Forecast'!N317</f>
        <v>0</v>
      </c>
      <c r="O317" s="107">
        <f>+'FY16 Tax Bill'!O317-'FY16 Feb Forecast'!O317</f>
        <v>0</v>
      </c>
      <c r="P317" s="105">
        <f>+'FY16 Tax Bill'!P317-'FY16 Feb Forecast'!P317</f>
        <v>-38575</v>
      </c>
      <c r="Q317" s="106">
        <f>+'FY16 Tax Bill'!Q317-'FY16 Feb Forecast'!Q317</f>
        <v>38575</v>
      </c>
      <c r="R317" s="105">
        <f>+'FY16 Tax Bill'!R317-'FY16 Feb Forecast'!R317</f>
        <v>0</v>
      </c>
      <c r="S317" s="105">
        <f>+'FY16 Tax Bill'!S317-'FY16 Feb Forecast'!S317</f>
        <v>-176.94954128440349</v>
      </c>
      <c r="T317" s="108">
        <f>+'FY16 Tax Bill'!T317-'FY16 Feb Forecast'!T317</f>
        <v>176.94954128440372</v>
      </c>
    </row>
    <row r="318" spans="1:20" x14ac:dyDescent="0.2">
      <c r="A318" s="109">
        <v>2580</v>
      </c>
      <c r="B318" s="110">
        <v>1</v>
      </c>
      <c r="C318" s="103" t="s">
        <v>429</v>
      </c>
      <c r="D318" s="103">
        <v>6</v>
      </c>
      <c r="E318" s="104">
        <f>+SUMIF('GE16FEB14 Unfudged'!$A$2:$A$498, $A318, 'GE16FEB14 Unfudged'!$D$2:$D$498)</f>
        <v>828</v>
      </c>
      <c r="F318" s="104">
        <f>+'FY16 Tax Bill'!F318-'FY16 Feb Forecast'!F318</f>
        <v>0</v>
      </c>
      <c r="G318" s="105">
        <f>+'FY16 Tax Bill'!G318-'FY16 Feb Forecast'!G318</f>
        <v>0</v>
      </c>
      <c r="H318" s="106">
        <f>+'FY16 Tax Bill'!H318-'FY16 Feb Forecast'!H318</f>
        <v>0</v>
      </c>
      <c r="I318" s="107">
        <f>+'FY16 Tax Bill'!I318-'FY16 Feb Forecast'!I318</f>
        <v>351242</v>
      </c>
      <c r="J318" s="105">
        <f>+'FY16 Tax Bill'!J318-'FY16 Feb Forecast'!J318</f>
        <v>170897</v>
      </c>
      <c r="K318" s="106">
        <f>+'FY16 Tax Bill'!K318-'FY16 Feb Forecast'!K318</f>
        <v>180345</v>
      </c>
      <c r="L318" s="107">
        <f>+'FY16 Tax Bill'!L318-'FY16 Feb Forecast'!L318</f>
        <v>0</v>
      </c>
      <c r="M318" s="105">
        <f>+'FY16 Tax Bill'!M318-'FY16 Feb Forecast'!M318</f>
        <v>0</v>
      </c>
      <c r="N318" s="106">
        <f>+'FY16 Tax Bill'!N318-'FY16 Feb Forecast'!N318</f>
        <v>0</v>
      </c>
      <c r="O318" s="107">
        <f>+'FY16 Tax Bill'!O318-'FY16 Feb Forecast'!O318</f>
        <v>351242</v>
      </c>
      <c r="P318" s="105">
        <f>+'FY16 Tax Bill'!P318-'FY16 Feb Forecast'!P318</f>
        <v>170897</v>
      </c>
      <c r="Q318" s="106">
        <f>+'FY16 Tax Bill'!Q318-'FY16 Feb Forecast'!Q318</f>
        <v>180345</v>
      </c>
      <c r="R318" s="105">
        <f>+'FY16 Tax Bill'!R318-'FY16 Feb Forecast'!R318</f>
        <v>424.20531400966189</v>
      </c>
      <c r="S318" s="105">
        <f>+'FY16 Tax Bill'!S318-'FY16 Feb Forecast'!S318</f>
        <v>206.39734299516908</v>
      </c>
      <c r="T318" s="108">
        <f>+'FY16 Tax Bill'!T318-'FY16 Feb Forecast'!T318</f>
        <v>217.80797101449275</v>
      </c>
    </row>
    <row r="319" spans="1:20" x14ac:dyDescent="0.2">
      <c r="A319" s="109">
        <v>2609</v>
      </c>
      <c r="B319" s="110">
        <v>1</v>
      </c>
      <c r="C319" s="103" t="s">
        <v>430</v>
      </c>
      <c r="D319" s="103">
        <v>6</v>
      </c>
      <c r="E319" s="104">
        <f>+SUMIF('GE16FEB14 Unfudged'!$A$2:$A$498, $A319, 'GE16FEB14 Unfudged'!$D$2:$D$498)</f>
        <v>420</v>
      </c>
      <c r="F319" s="104">
        <f>+'FY16 Tax Bill'!F319-'FY16 Feb Forecast'!F319</f>
        <v>5703</v>
      </c>
      <c r="G319" s="105">
        <f>+'FY16 Tax Bill'!G319-'FY16 Feb Forecast'!G319</f>
        <v>3849</v>
      </c>
      <c r="H319" s="106">
        <f>+'FY16 Tax Bill'!H319-'FY16 Feb Forecast'!H319</f>
        <v>1854</v>
      </c>
      <c r="I319" s="107">
        <f>+'FY16 Tax Bill'!I319-'FY16 Feb Forecast'!I319</f>
        <v>178059</v>
      </c>
      <c r="J319" s="105">
        <f>+'FY16 Tax Bill'!J319-'FY16 Feb Forecast'!J319</f>
        <v>120162</v>
      </c>
      <c r="K319" s="106">
        <f>+'FY16 Tax Bill'!K319-'FY16 Feb Forecast'!K319</f>
        <v>57897</v>
      </c>
      <c r="L319" s="107">
        <f>+'FY16 Tax Bill'!L319-'FY16 Feb Forecast'!L319</f>
        <v>-178059</v>
      </c>
      <c r="M319" s="105">
        <f>+'FY16 Tax Bill'!M319-'FY16 Feb Forecast'!M319</f>
        <v>-169605</v>
      </c>
      <c r="N319" s="106">
        <f>+'FY16 Tax Bill'!N319-'FY16 Feb Forecast'!N319</f>
        <v>-8454</v>
      </c>
      <c r="O319" s="107">
        <f>+'FY16 Tax Bill'!O319-'FY16 Feb Forecast'!O319</f>
        <v>5703</v>
      </c>
      <c r="P319" s="105">
        <f>+'FY16 Tax Bill'!P319-'FY16 Feb Forecast'!P319</f>
        <v>-45594</v>
      </c>
      <c r="Q319" s="106">
        <f>+'FY16 Tax Bill'!Q319-'FY16 Feb Forecast'!Q319</f>
        <v>51297</v>
      </c>
      <c r="R319" s="105">
        <f>+'FY16 Tax Bill'!R319-'FY16 Feb Forecast'!R319</f>
        <v>13.578571428571422</v>
      </c>
      <c r="S319" s="105">
        <f>+'FY16 Tax Bill'!S319-'FY16 Feb Forecast'!S319</f>
        <v>-108.55714285714294</v>
      </c>
      <c r="T319" s="108">
        <f>+'FY16 Tax Bill'!T319-'FY16 Feb Forecast'!T319</f>
        <v>122.1357142857143</v>
      </c>
    </row>
    <row r="320" spans="1:20" x14ac:dyDescent="0.2">
      <c r="A320" s="109">
        <v>2683</v>
      </c>
      <c r="B320" s="110">
        <v>1</v>
      </c>
      <c r="C320" s="103" t="s">
        <v>431</v>
      </c>
      <c r="D320" s="103">
        <v>6</v>
      </c>
      <c r="E320" s="104">
        <f>+SUMIF('GE16FEB14 Unfudged'!$A$2:$A$498, $A320, 'GE16FEB14 Unfudged'!$D$2:$D$498)</f>
        <v>417</v>
      </c>
      <c r="F320" s="104">
        <f>+'FY16 Tax Bill'!F320-'FY16 Feb Forecast'!F320</f>
        <v>4970</v>
      </c>
      <c r="G320" s="105">
        <f>+'FY16 Tax Bill'!G320-'FY16 Feb Forecast'!G320</f>
        <v>1823</v>
      </c>
      <c r="H320" s="106">
        <f>+'FY16 Tax Bill'!H320-'FY16 Feb Forecast'!H320</f>
        <v>3147</v>
      </c>
      <c r="I320" s="107">
        <f>+'FY16 Tax Bill'!I320-'FY16 Feb Forecast'!I320</f>
        <v>176638</v>
      </c>
      <c r="J320" s="105">
        <f>+'FY16 Tax Bill'!J320-'FY16 Feb Forecast'!J320</f>
        <v>64790</v>
      </c>
      <c r="K320" s="106">
        <f>+'FY16 Tax Bill'!K320-'FY16 Feb Forecast'!K320</f>
        <v>111848</v>
      </c>
      <c r="L320" s="107">
        <f>+'FY16 Tax Bill'!L320-'FY16 Feb Forecast'!L320</f>
        <v>-176639</v>
      </c>
      <c r="M320" s="105">
        <f>+'FY16 Tax Bill'!M320-'FY16 Feb Forecast'!M320</f>
        <v>-113941</v>
      </c>
      <c r="N320" s="106">
        <f>+'FY16 Tax Bill'!N320-'FY16 Feb Forecast'!N320</f>
        <v>-62698</v>
      </c>
      <c r="O320" s="107">
        <f>+'FY16 Tax Bill'!O320-'FY16 Feb Forecast'!O320</f>
        <v>4969</v>
      </c>
      <c r="P320" s="105">
        <f>+'FY16 Tax Bill'!P320-'FY16 Feb Forecast'!P320</f>
        <v>-47328</v>
      </c>
      <c r="Q320" s="106">
        <f>+'FY16 Tax Bill'!Q320-'FY16 Feb Forecast'!Q320</f>
        <v>52297</v>
      </c>
      <c r="R320" s="105">
        <f>+'FY16 Tax Bill'!R320-'FY16 Feb Forecast'!R320</f>
        <v>11.916067146282785</v>
      </c>
      <c r="S320" s="105">
        <f>+'FY16 Tax Bill'!S320-'FY16 Feb Forecast'!S320</f>
        <v>-113.49640287769785</v>
      </c>
      <c r="T320" s="108">
        <f>+'FY16 Tax Bill'!T320-'FY16 Feb Forecast'!T320</f>
        <v>125.41247002398086</v>
      </c>
    </row>
    <row r="321" spans="1:20" x14ac:dyDescent="0.2">
      <c r="A321" s="109">
        <v>2687</v>
      </c>
      <c r="B321" s="110">
        <v>1</v>
      </c>
      <c r="C321" s="103" t="s">
        <v>12</v>
      </c>
      <c r="D321" s="103">
        <v>5</v>
      </c>
      <c r="E321" s="104">
        <f>+SUMIF('GE16FEB14 Unfudged'!$A$2:$A$498, $A321, 'GE16FEB14 Unfudged'!$D$2:$D$498)</f>
        <v>1228</v>
      </c>
      <c r="F321" s="104">
        <f>+'FY16 Tax Bill'!F321-'FY16 Feb Forecast'!F321</f>
        <v>-895</v>
      </c>
      <c r="G321" s="105">
        <f>+'FY16 Tax Bill'!G321-'FY16 Feb Forecast'!G321</f>
        <v>-656</v>
      </c>
      <c r="H321" s="106">
        <f>+'FY16 Tax Bill'!H321-'FY16 Feb Forecast'!H321</f>
        <v>-239</v>
      </c>
      <c r="I321" s="107">
        <f>+'FY16 Tax Bill'!I321-'FY16 Feb Forecast'!I321</f>
        <v>0</v>
      </c>
      <c r="J321" s="105">
        <f>+'FY16 Tax Bill'!J321-'FY16 Feb Forecast'!J321</f>
        <v>0</v>
      </c>
      <c r="K321" s="106">
        <f>+'FY16 Tax Bill'!K321-'FY16 Feb Forecast'!K321</f>
        <v>0</v>
      </c>
      <c r="L321" s="107">
        <f>+'FY16 Tax Bill'!L321-'FY16 Feb Forecast'!L321</f>
        <v>0</v>
      </c>
      <c r="M321" s="105">
        <f>+'FY16 Tax Bill'!M321-'FY16 Feb Forecast'!M321</f>
        <v>0</v>
      </c>
      <c r="N321" s="106">
        <f>+'FY16 Tax Bill'!N321-'FY16 Feb Forecast'!N321</f>
        <v>0</v>
      </c>
      <c r="O321" s="107">
        <f>+'FY16 Tax Bill'!O321-'FY16 Feb Forecast'!O321</f>
        <v>-895</v>
      </c>
      <c r="P321" s="105">
        <f>+'FY16 Tax Bill'!P321-'FY16 Feb Forecast'!P321</f>
        <v>-656</v>
      </c>
      <c r="Q321" s="106">
        <f>+'FY16 Tax Bill'!Q321-'FY16 Feb Forecast'!Q321</f>
        <v>-239</v>
      </c>
      <c r="R321" s="105">
        <f>+'FY16 Tax Bill'!R321-'FY16 Feb Forecast'!R321</f>
        <v>-0.72882736156350347</v>
      </c>
      <c r="S321" s="105">
        <f>+'FY16 Tax Bill'!S321-'FY16 Feb Forecast'!S321</f>
        <v>-0.53420195439741747</v>
      </c>
      <c r="T321" s="108">
        <f>+'FY16 Tax Bill'!T321-'FY16 Feb Forecast'!T321</f>
        <v>-0.19462540716614285</v>
      </c>
    </row>
    <row r="322" spans="1:20" x14ac:dyDescent="0.2">
      <c r="A322" s="109">
        <v>2689</v>
      </c>
      <c r="B322" s="110">
        <v>1</v>
      </c>
      <c r="C322" s="103" t="s">
        <v>432</v>
      </c>
      <c r="D322" s="103">
        <v>5</v>
      </c>
      <c r="E322" s="104">
        <f>+SUMIF('GE16FEB14 Unfudged'!$A$2:$A$498, $A322, 'GE16FEB14 Unfudged'!$D$2:$D$498)</f>
        <v>1178</v>
      </c>
      <c r="F322" s="104">
        <f>+'FY16 Tax Bill'!F322-'FY16 Feb Forecast'!F322</f>
        <v>14691</v>
      </c>
      <c r="G322" s="105">
        <f>+'FY16 Tax Bill'!G322-'FY16 Feb Forecast'!G322</f>
        <v>7252</v>
      </c>
      <c r="H322" s="106">
        <f>+'FY16 Tax Bill'!H322-'FY16 Feb Forecast'!H322</f>
        <v>7439</v>
      </c>
      <c r="I322" s="107">
        <f>+'FY16 Tax Bill'!I322-'FY16 Feb Forecast'!I322</f>
        <v>499472</v>
      </c>
      <c r="J322" s="105">
        <f>+'FY16 Tax Bill'!J322-'FY16 Feb Forecast'!J322</f>
        <v>246587</v>
      </c>
      <c r="K322" s="106">
        <f>+'FY16 Tax Bill'!K322-'FY16 Feb Forecast'!K322</f>
        <v>252885</v>
      </c>
      <c r="L322" s="107">
        <f>+'FY16 Tax Bill'!L322-'FY16 Feb Forecast'!L322</f>
        <v>-499472</v>
      </c>
      <c r="M322" s="105">
        <f>+'FY16 Tax Bill'!M322-'FY16 Feb Forecast'!M322</f>
        <v>-433653</v>
      </c>
      <c r="N322" s="106">
        <f>+'FY16 Tax Bill'!N322-'FY16 Feb Forecast'!N322</f>
        <v>-65819</v>
      </c>
      <c r="O322" s="107">
        <f>+'FY16 Tax Bill'!O322-'FY16 Feb Forecast'!O322</f>
        <v>14691</v>
      </c>
      <c r="P322" s="105">
        <f>+'FY16 Tax Bill'!P322-'FY16 Feb Forecast'!P322</f>
        <v>-179814</v>
      </c>
      <c r="Q322" s="106">
        <f>+'FY16 Tax Bill'!Q322-'FY16 Feb Forecast'!Q322</f>
        <v>194505</v>
      </c>
      <c r="R322" s="105">
        <f>+'FY16 Tax Bill'!R322-'FY16 Feb Forecast'!R322</f>
        <v>12.471137521222545</v>
      </c>
      <c r="S322" s="105">
        <f>+'FY16 Tax Bill'!S322-'FY16 Feb Forecast'!S322</f>
        <v>-152.64346349745324</v>
      </c>
      <c r="T322" s="108">
        <f>+'FY16 Tax Bill'!T322-'FY16 Feb Forecast'!T322</f>
        <v>165.11460101867578</v>
      </c>
    </row>
    <row r="323" spans="1:20" x14ac:dyDescent="0.2">
      <c r="A323" s="109">
        <v>2711</v>
      </c>
      <c r="B323" s="110">
        <v>1</v>
      </c>
      <c r="C323" s="103" t="s">
        <v>433</v>
      </c>
      <c r="D323" s="103">
        <v>6</v>
      </c>
      <c r="E323" s="104">
        <f>+SUMIF('GE16FEB14 Unfudged'!$A$2:$A$498, $A323, 'GE16FEB14 Unfudged'!$D$2:$D$498)</f>
        <v>1034</v>
      </c>
      <c r="F323" s="104">
        <f>+'FY16 Tax Bill'!F323-'FY16 Feb Forecast'!F323</f>
        <v>0</v>
      </c>
      <c r="G323" s="105">
        <f>+'FY16 Tax Bill'!G323-'FY16 Feb Forecast'!G323</f>
        <v>0</v>
      </c>
      <c r="H323" s="106">
        <f>+'FY16 Tax Bill'!H323-'FY16 Feb Forecast'!H323</f>
        <v>0</v>
      </c>
      <c r="I323" s="107">
        <f>+'FY16 Tax Bill'!I323-'FY16 Feb Forecast'!I323</f>
        <v>438416</v>
      </c>
      <c r="J323" s="105">
        <f>+'FY16 Tax Bill'!J323-'FY16 Feb Forecast'!J323</f>
        <v>301426</v>
      </c>
      <c r="K323" s="106">
        <f>+'FY16 Tax Bill'!K323-'FY16 Feb Forecast'!K323</f>
        <v>136990</v>
      </c>
      <c r="L323" s="107">
        <f>+'FY16 Tax Bill'!L323-'FY16 Feb Forecast'!L323</f>
        <v>0</v>
      </c>
      <c r="M323" s="105">
        <f>+'FY16 Tax Bill'!M323-'FY16 Feb Forecast'!M323</f>
        <v>0</v>
      </c>
      <c r="N323" s="106">
        <f>+'FY16 Tax Bill'!N323-'FY16 Feb Forecast'!N323</f>
        <v>0</v>
      </c>
      <c r="O323" s="107">
        <f>+'FY16 Tax Bill'!O323-'FY16 Feb Forecast'!O323</f>
        <v>438416</v>
      </c>
      <c r="P323" s="105">
        <f>+'FY16 Tax Bill'!P323-'FY16 Feb Forecast'!P323</f>
        <v>301426</v>
      </c>
      <c r="Q323" s="106">
        <f>+'FY16 Tax Bill'!Q323-'FY16 Feb Forecast'!Q323</f>
        <v>136990</v>
      </c>
      <c r="R323" s="105">
        <f>+'FY16 Tax Bill'!R323-'FY16 Feb Forecast'!R323</f>
        <v>424</v>
      </c>
      <c r="S323" s="105">
        <f>+'FY16 Tax Bill'!S323-'FY16 Feb Forecast'!S323</f>
        <v>291.51450676982591</v>
      </c>
      <c r="T323" s="108">
        <f>+'FY16 Tax Bill'!T323-'FY16 Feb Forecast'!T323</f>
        <v>132.48549323017409</v>
      </c>
    </row>
    <row r="324" spans="1:20" x14ac:dyDescent="0.2">
      <c r="A324" s="109">
        <v>2752</v>
      </c>
      <c r="B324" s="110">
        <v>1</v>
      </c>
      <c r="C324" s="103" t="s">
        <v>434</v>
      </c>
      <c r="D324" s="103">
        <v>5</v>
      </c>
      <c r="E324" s="104">
        <f>+SUMIF('GE16FEB14 Unfudged'!$A$2:$A$498, $A324, 'GE16FEB14 Unfudged'!$D$2:$D$498)</f>
        <v>1964</v>
      </c>
      <c r="F324" s="104">
        <f>+'FY16 Tax Bill'!F324-'FY16 Feb Forecast'!F324</f>
        <v>31212</v>
      </c>
      <c r="G324" s="105">
        <f>+'FY16 Tax Bill'!G324-'FY16 Feb Forecast'!G324</f>
        <v>23555</v>
      </c>
      <c r="H324" s="106">
        <f>+'FY16 Tax Bill'!H324-'FY16 Feb Forecast'!H324</f>
        <v>7657</v>
      </c>
      <c r="I324" s="107">
        <f>+'FY16 Tax Bill'!I324-'FY16 Feb Forecast'!I324</f>
        <v>832672</v>
      </c>
      <c r="J324" s="105">
        <f>+'FY16 Tax Bill'!J324-'FY16 Feb Forecast'!J324</f>
        <v>628413</v>
      </c>
      <c r="K324" s="106">
        <f>+'FY16 Tax Bill'!K324-'FY16 Feb Forecast'!K324</f>
        <v>204259</v>
      </c>
      <c r="L324" s="107">
        <f>+'FY16 Tax Bill'!L324-'FY16 Feb Forecast'!L324</f>
        <v>-832673</v>
      </c>
      <c r="M324" s="105">
        <f>+'FY16 Tax Bill'!M324-'FY16 Feb Forecast'!M324</f>
        <v>-727138</v>
      </c>
      <c r="N324" s="106">
        <f>+'FY16 Tax Bill'!N324-'FY16 Feb Forecast'!N324</f>
        <v>-105535</v>
      </c>
      <c r="O324" s="107">
        <f>+'FY16 Tax Bill'!O324-'FY16 Feb Forecast'!O324</f>
        <v>31211</v>
      </c>
      <c r="P324" s="105">
        <f>+'FY16 Tax Bill'!P324-'FY16 Feb Forecast'!P324</f>
        <v>-75170</v>
      </c>
      <c r="Q324" s="106">
        <f>+'FY16 Tax Bill'!Q324-'FY16 Feb Forecast'!Q324</f>
        <v>106381</v>
      </c>
      <c r="R324" s="105">
        <f>+'FY16 Tax Bill'!R324-'FY16 Feb Forecast'!R324</f>
        <v>15.891547861507206</v>
      </c>
      <c r="S324" s="105">
        <f>+'FY16 Tax Bill'!S324-'FY16 Feb Forecast'!S324</f>
        <v>-38.273930753564173</v>
      </c>
      <c r="T324" s="108">
        <f>+'FY16 Tax Bill'!T324-'FY16 Feb Forecast'!T324</f>
        <v>54.165478615071265</v>
      </c>
    </row>
    <row r="325" spans="1:20" x14ac:dyDescent="0.2">
      <c r="A325" s="109">
        <v>2753</v>
      </c>
      <c r="B325" s="110">
        <v>1</v>
      </c>
      <c r="C325" s="103" t="s">
        <v>435</v>
      </c>
      <c r="D325" s="103">
        <v>5</v>
      </c>
      <c r="E325" s="104">
        <f>+SUMIF('GE16FEB14 Unfudged'!$A$2:$A$498, $A325, 'GE16FEB14 Unfudged'!$D$2:$D$498)</f>
        <v>960</v>
      </c>
      <c r="F325" s="104">
        <f>+'FY16 Tax Bill'!F325-'FY16 Feb Forecast'!F325</f>
        <v>15316</v>
      </c>
      <c r="G325" s="105">
        <f>+'FY16 Tax Bill'!G325-'FY16 Feb Forecast'!G325</f>
        <v>9569</v>
      </c>
      <c r="H325" s="106">
        <f>+'FY16 Tax Bill'!H325-'FY16 Feb Forecast'!H325</f>
        <v>5747</v>
      </c>
      <c r="I325" s="107">
        <f>+'FY16 Tax Bill'!I325-'FY16 Feb Forecast'!I325</f>
        <v>407040</v>
      </c>
      <c r="J325" s="105">
        <f>+'FY16 Tax Bill'!J325-'FY16 Feb Forecast'!J325</f>
        <v>254324</v>
      </c>
      <c r="K325" s="106">
        <f>+'FY16 Tax Bill'!K325-'FY16 Feb Forecast'!K325</f>
        <v>152716</v>
      </c>
      <c r="L325" s="107">
        <f>+'FY16 Tax Bill'!L325-'FY16 Feb Forecast'!L325</f>
        <v>-407040</v>
      </c>
      <c r="M325" s="105">
        <f>+'FY16 Tax Bill'!M325-'FY16 Feb Forecast'!M325</f>
        <v>-326648</v>
      </c>
      <c r="N325" s="106">
        <f>+'FY16 Tax Bill'!N325-'FY16 Feb Forecast'!N325</f>
        <v>-80392</v>
      </c>
      <c r="O325" s="107">
        <f>+'FY16 Tax Bill'!O325-'FY16 Feb Forecast'!O325</f>
        <v>15316</v>
      </c>
      <c r="P325" s="105">
        <f>+'FY16 Tax Bill'!P325-'FY16 Feb Forecast'!P325</f>
        <v>-62755</v>
      </c>
      <c r="Q325" s="106">
        <f>+'FY16 Tax Bill'!Q325-'FY16 Feb Forecast'!Q325</f>
        <v>78071</v>
      </c>
      <c r="R325" s="105">
        <f>+'FY16 Tax Bill'!R325-'FY16 Feb Forecast'!R325</f>
        <v>15.954166666666652</v>
      </c>
      <c r="S325" s="105">
        <f>+'FY16 Tax Bill'!S325-'FY16 Feb Forecast'!S325</f>
        <v>-65.369791666666629</v>
      </c>
      <c r="T325" s="108">
        <f>+'FY16 Tax Bill'!T325-'FY16 Feb Forecast'!T325</f>
        <v>81.323958333333337</v>
      </c>
    </row>
    <row r="326" spans="1:20" x14ac:dyDescent="0.2">
      <c r="A326" s="109">
        <v>2754</v>
      </c>
      <c r="B326" s="110">
        <v>1</v>
      </c>
      <c r="C326" s="103" t="s">
        <v>436</v>
      </c>
      <c r="D326" s="103">
        <v>6</v>
      </c>
      <c r="E326" s="104">
        <f>+SUMIF('GE16FEB14 Unfudged'!$A$2:$A$498, $A326, 'GE16FEB14 Unfudged'!$D$2:$D$498)</f>
        <v>562</v>
      </c>
      <c r="F326" s="104">
        <f>+'FY16 Tax Bill'!F326-'FY16 Feb Forecast'!F326</f>
        <v>7406</v>
      </c>
      <c r="G326" s="105">
        <f>+'FY16 Tax Bill'!G326-'FY16 Feb Forecast'!G326</f>
        <v>3309</v>
      </c>
      <c r="H326" s="106">
        <f>+'FY16 Tax Bill'!H326-'FY16 Feb Forecast'!H326</f>
        <v>4097</v>
      </c>
      <c r="I326" s="107">
        <f>+'FY16 Tax Bill'!I326-'FY16 Feb Forecast'!I326</f>
        <v>238203</v>
      </c>
      <c r="J326" s="105">
        <f>+'FY16 Tax Bill'!J326-'FY16 Feb Forecast'!J326</f>
        <v>106426</v>
      </c>
      <c r="K326" s="106">
        <f>+'FY16 Tax Bill'!K326-'FY16 Feb Forecast'!K326</f>
        <v>131777</v>
      </c>
      <c r="L326" s="107">
        <f>+'FY16 Tax Bill'!L326-'FY16 Feb Forecast'!L326</f>
        <v>-161534</v>
      </c>
      <c r="M326" s="105">
        <f>+'FY16 Tax Bill'!M326-'FY16 Feb Forecast'!M326</f>
        <v>-72171</v>
      </c>
      <c r="N326" s="106">
        <f>+'FY16 Tax Bill'!N326-'FY16 Feb Forecast'!N326</f>
        <v>-89363</v>
      </c>
      <c r="O326" s="107">
        <f>+'FY16 Tax Bill'!O326-'FY16 Feb Forecast'!O326</f>
        <v>84075</v>
      </c>
      <c r="P326" s="105">
        <f>+'FY16 Tax Bill'!P326-'FY16 Feb Forecast'!P326</f>
        <v>37564</v>
      </c>
      <c r="Q326" s="106">
        <f>+'FY16 Tax Bill'!Q326-'FY16 Feb Forecast'!Q326</f>
        <v>46511</v>
      </c>
      <c r="R326" s="105">
        <f>+'FY16 Tax Bill'!R326-'FY16 Feb Forecast'!R326</f>
        <v>149.59964412811382</v>
      </c>
      <c r="S326" s="105">
        <f>+'FY16 Tax Bill'!S326-'FY16 Feb Forecast'!S326</f>
        <v>66.839857651245552</v>
      </c>
      <c r="T326" s="108">
        <f>+'FY16 Tax Bill'!T326-'FY16 Feb Forecast'!T326</f>
        <v>82.759786476868328</v>
      </c>
    </row>
    <row r="327" spans="1:20" x14ac:dyDescent="0.2">
      <c r="A327" s="109">
        <v>2759</v>
      </c>
      <c r="B327" s="110">
        <v>1</v>
      </c>
      <c r="C327" s="103" t="s">
        <v>437</v>
      </c>
      <c r="D327" s="103">
        <v>6</v>
      </c>
      <c r="E327" s="104">
        <f>+SUMIF('GE16FEB14 Unfudged'!$A$2:$A$498, $A327, 'GE16FEB14 Unfudged'!$D$2:$D$498)</f>
        <v>315</v>
      </c>
      <c r="F327" s="104">
        <f>+'FY16 Tax Bill'!F327-'FY16 Feb Forecast'!F327</f>
        <v>4660</v>
      </c>
      <c r="G327" s="105">
        <f>+'FY16 Tax Bill'!G327-'FY16 Feb Forecast'!G327</f>
        <v>2148</v>
      </c>
      <c r="H327" s="106">
        <f>+'FY16 Tax Bill'!H327-'FY16 Feb Forecast'!H327</f>
        <v>2512</v>
      </c>
      <c r="I327" s="107">
        <f>+'FY16 Tax Bill'!I327-'FY16 Feb Forecast'!I327</f>
        <v>133454</v>
      </c>
      <c r="J327" s="105">
        <f>+'FY16 Tax Bill'!J327-'FY16 Feb Forecast'!J327</f>
        <v>61522</v>
      </c>
      <c r="K327" s="106">
        <f>+'FY16 Tax Bill'!K327-'FY16 Feb Forecast'!K327</f>
        <v>71932</v>
      </c>
      <c r="L327" s="107">
        <f>+'FY16 Tax Bill'!L327-'FY16 Feb Forecast'!L327</f>
        <v>-133454</v>
      </c>
      <c r="M327" s="105">
        <f>+'FY16 Tax Bill'!M327-'FY16 Feb Forecast'!M327</f>
        <v>-92229</v>
      </c>
      <c r="N327" s="106">
        <f>+'FY16 Tax Bill'!N327-'FY16 Feb Forecast'!N327</f>
        <v>-41225</v>
      </c>
      <c r="O327" s="107">
        <f>+'FY16 Tax Bill'!O327-'FY16 Feb Forecast'!O327</f>
        <v>4660</v>
      </c>
      <c r="P327" s="105">
        <f>+'FY16 Tax Bill'!P327-'FY16 Feb Forecast'!P327</f>
        <v>-28559</v>
      </c>
      <c r="Q327" s="106">
        <f>+'FY16 Tax Bill'!Q327-'FY16 Feb Forecast'!Q327</f>
        <v>33219</v>
      </c>
      <c r="R327" s="105">
        <f>+'FY16 Tax Bill'!R327-'FY16 Feb Forecast'!R327</f>
        <v>14.793650793650841</v>
      </c>
      <c r="S327" s="105">
        <f>+'FY16 Tax Bill'!S327-'FY16 Feb Forecast'!S327</f>
        <v>-90.663492063492015</v>
      </c>
      <c r="T327" s="108">
        <f>+'FY16 Tax Bill'!T327-'FY16 Feb Forecast'!T327</f>
        <v>105.4571428571428</v>
      </c>
    </row>
    <row r="328" spans="1:20" x14ac:dyDescent="0.2">
      <c r="A328" s="109">
        <v>2769</v>
      </c>
      <c r="B328" s="110">
        <v>1</v>
      </c>
      <c r="C328" s="103" t="s">
        <v>467</v>
      </c>
      <c r="D328" s="103">
        <v>6</v>
      </c>
      <c r="E328" s="104">
        <f>+SUMIF('GE16FEB14 Unfudged'!$A$2:$A$498, $A328, 'GE16FEB14 Unfudged'!$D$2:$D$498)</f>
        <v>1074</v>
      </c>
      <c r="F328" s="104">
        <f>+'FY16 Tax Bill'!F328-'FY16 Feb Forecast'!F328</f>
        <v>18205</v>
      </c>
      <c r="G328" s="105">
        <f>+'FY16 Tax Bill'!G328-'FY16 Feb Forecast'!G328</f>
        <v>13195</v>
      </c>
      <c r="H328" s="106">
        <f>+'FY16 Tax Bill'!H328-'FY16 Feb Forecast'!H328</f>
        <v>5010</v>
      </c>
      <c r="I328" s="107">
        <f>+'FY16 Tax Bill'!I328-'FY16 Feb Forecast'!I328</f>
        <v>455206</v>
      </c>
      <c r="J328" s="105">
        <f>+'FY16 Tax Bill'!J328-'FY16 Feb Forecast'!J328</f>
        <v>329944</v>
      </c>
      <c r="K328" s="106">
        <f>+'FY16 Tax Bill'!K328-'FY16 Feb Forecast'!K328</f>
        <v>125262</v>
      </c>
      <c r="L328" s="107">
        <f>+'FY16 Tax Bill'!L328-'FY16 Feb Forecast'!L328</f>
        <v>-455207</v>
      </c>
      <c r="M328" s="105">
        <f>+'FY16 Tax Bill'!M328-'FY16 Feb Forecast'!M328</f>
        <v>-369137</v>
      </c>
      <c r="N328" s="106">
        <f>+'FY16 Tax Bill'!N328-'FY16 Feb Forecast'!N328</f>
        <v>-86070</v>
      </c>
      <c r="O328" s="107">
        <f>+'FY16 Tax Bill'!O328-'FY16 Feb Forecast'!O328</f>
        <v>18204</v>
      </c>
      <c r="P328" s="105">
        <f>+'FY16 Tax Bill'!P328-'FY16 Feb Forecast'!P328</f>
        <v>-25998</v>
      </c>
      <c r="Q328" s="106">
        <f>+'FY16 Tax Bill'!Q328-'FY16 Feb Forecast'!Q328</f>
        <v>44202</v>
      </c>
      <c r="R328" s="105">
        <f>+'FY16 Tax Bill'!R328-'FY16 Feb Forecast'!R328</f>
        <v>16.949720670391002</v>
      </c>
      <c r="S328" s="105">
        <f>+'FY16 Tax Bill'!S328-'FY16 Feb Forecast'!S328</f>
        <v>-24.206703910614578</v>
      </c>
      <c r="T328" s="108">
        <f>+'FY16 Tax Bill'!T328-'FY16 Feb Forecast'!T328</f>
        <v>41.156424581005581</v>
      </c>
    </row>
    <row r="329" spans="1:20" x14ac:dyDescent="0.2">
      <c r="A329" s="109">
        <v>2805</v>
      </c>
      <c r="B329" s="110">
        <v>1</v>
      </c>
      <c r="C329" s="103" t="s">
        <v>438</v>
      </c>
      <c r="D329" s="103">
        <v>5</v>
      </c>
      <c r="E329" s="104">
        <f>+SUMIF('GE16FEB14 Unfudged'!$A$2:$A$498, $A329, 'GE16FEB14 Unfudged'!$D$2:$D$498)</f>
        <v>1230</v>
      </c>
      <c r="F329" s="104">
        <f>+'FY16 Tax Bill'!F329-'FY16 Feb Forecast'!F329</f>
        <v>12222</v>
      </c>
      <c r="G329" s="105">
        <f>+'FY16 Tax Bill'!G329-'FY16 Feb Forecast'!G329</f>
        <v>9818</v>
      </c>
      <c r="H329" s="106">
        <f>+'FY16 Tax Bill'!H329-'FY16 Feb Forecast'!H329</f>
        <v>2404</v>
      </c>
      <c r="I329" s="107">
        <f>+'FY16 Tax Bill'!I329-'FY16 Feb Forecast'!I329</f>
        <v>521520</v>
      </c>
      <c r="J329" s="105">
        <f>+'FY16 Tax Bill'!J329-'FY16 Feb Forecast'!J329</f>
        <v>418935</v>
      </c>
      <c r="K329" s="106">
        <f>+'FY16 Tax Bill'!K329-'FY16 Feb Forecast'!K329</f>
        <v>102585</v>
      </c>
      <c r="L329" s="107">
        <f>+'FY16 Tax Bill'!L329-'FY16 Feb Forecast'!L329</f>
        <v>-521520</v>
      </c>
      <c r="M329" s="105">
        <f>+'FY16 Tax Bill'!M329-'FY16 Feb Forecast'!M329</f>
        <v>-521520</v>
      </c>
      <c r="N329" s="106">
        <f>+'FY16 Tax Bill'!N329-'FY16 Feb Forecast'!N329</f>
        <v>0</v>
      </c>
      <c r="O329" s="107">
        <f>+'FY16 Tax Bill'!O329-'FY16 Feb Forecast'!O329</f>
        <v>12222</v>
      </c>
      <c r="P329" s="105">
        <f>+'FY16 Tax Bill'!P329-'FY16 Feb Forecast'!P329</f>
        <v>-92767</v>
      </c>
      <c r="Q329" s="106">
        <f>+'FY16 Tax Bill'!Q329-'FY16 Feb Forecast'!Q329</f>
        <v>104989</v>
      </c>
      <c r="R329" s="105">
        <f>+'FY16 Tax Bill'!R329-'FY16 Feb Forecast'!R329</f>
        <v>9.9365853658534888</v>
      </c>
      <c r="S329" s="105">
        <f>+'FY16 Tax Bill'!S329-'FY16 Feb Forecast'!S329</f>
        <v>-75.420325203252105</v>
      </c>
      <c r="T329" s="108">
        <f>+'FY16 Tax Bill'!T329-'FY16 Feb Forecast'!T329</f>
        <v>85.356910569105708</v>
      </c>
    </row>
    <row r="330" spans="1:20" x14ac:dyDescent="0.2">
      <c r="A330" s="109">
        <v>2835</v>
      </c>
      <c r="B330" s="110">
        <v>1</v>
      </c>
      <c r="C330" s="103" t="s">
        <v>439</v>
      </c>
      <c r="D330" s="103">
        <v>6</v>
      </c>
      <c r="E330" s="104">
        <f>+SUMIF('GE16FEB14 Unfudged'!$A$2:$A$498, $A330, 'GE16FEB14 Unfudged'!$D$2:$D$498)</f>
        <v>639</v>
      </c>
      <c r="F330" s="104">
        <f>+'FY16 Tax Bill'!F330-'FY16 Feb Forecast'!F330</f>
        <v>113</v>
      </c>
      <c r="G330" s="105">
        <f>+'FY16 Tax Bill'!G330-'FY16 Feb Forecast'!G330</f>
        <v>85</v>
      </c>
      <c r="H330" s="106">
        <f>+'FY16 Tax Bill'!H330-'FY16 Feb Forecast'!H330</f>
        <v>28</v>
      </c>
      <c r="I330" s="107">
        <f>+'FY16 Tax Bill'!I330-'FY16 Feb Forecast'!I330</f>
        <v>271042</v>
      </c>
      <c r="J330" s="105">
        <f>+'FY16 Tax Bill'!J330-'FY16 Feb Forecast'!J330</f>
        <v>203481</v>
      </c>
      <c r="K330" s="106">
        <f>+'FY16 Tax Bill'!K330-'FY16 Feb Forecast'!K330</f>
        <v>67561</v>
      </c>
      <c r="L330" s="107">
        <f>+'FY16 Tax Bill'!L330-'FY16 Feb Forecast'!L330</f>
        <v>-271042</v>
      </c>
      <c r="M330" s="105">
        <f>+'FY16 Tax Bill'!M330-'FY16 Feb Forecast'!M330</f>
        <v>-271042</v>
      </c>
      <c r="N330" s="106">
        <f>+'FY16 Tax Bill'!N330-'FY16 Feb Forecast'!N330</f>
        <v>0</v>
      </c>
      <c r="O330" s="107">
        <f>+'FY16 Tax Bill'!O330-'FY16 Feb Forecast'!O330</f>
        <v>113</v>
      </c>
      <c r="P330" s="105">
        <f>+'FY16 Tax Bill'!P330-'FY16 Feb Forecast'!P330</f>
        <v>-67476</v>
      </c>
      <c r="Q330" s="106">
        <f>+'FY16 Tax Bill'!Q330-'FY16 Feb Forecast'!Q330</f>
        <v>67589</v>
      </c>
      <c r="R330" s="105">
        <f>+'FY16 Tax Bill'!R330-'FY16 Feb Forecast'!R330</f>
        <v>0.17683881064158413</v>
      </c>
      <c r="S330" s="105">
        <f>+'FY16 Tax Bill'!S330-'FY16 Feb Forecast'!S330</f>
        <v>-105.59624413145548</v>
      </c>
      <c r="T330" s="108">
        <f>+'FY16 Tax Bill'!T330-'FY16 Feb Forecast'!T330</f>
        <v>105.77308294209701</v>
      </c>
    </row>
    <row r="331" spans="1:20" x14ac:dyDescent="0.2">
      <c r="A331" s="109">
        <v>2853</v>
      </c>
      <c r="B331" s="110">
        <v>1</v>
      </c>
      <c r="C331" s="103" t="s">
        <v>440</v>
      </c>
      <c r="D331" s="103">
        <v>6</v>
      </c>
      <c r="E331" s="104">
        <f>+SUMIF('GE16FEB14 Unfudged'!$A$2:$A$498, $A331, 'GE16FEB14 Unfudged'!$D$2:$D$498)</f>
        <v>880</v>
      </c>
      <c r="F331" s="104">
        <f>+'FY16 Tax Bill'!F331-'FY16 Feb Forecast'!F331</f>
        <v>10323</v>
      </c>
      <c r="G331" s="105">
        <f>+'FY16 Tax Bill'!G331-'FY16 Feb Forecast'!G331</f>
        <v>5179</v>
      </c>
      <c r="H331" s="106">
        <f>+'FY16 Tax Bill'!H331-'FY16 Feb Forecast'!H331</f>
        <v>5144</v>
      </c>
      <c r="I331" s="107">
        <f>+'FY16 Tax Bill'!I331-'FY16 Feb Forecast'!I331</f>
        <v>372950</v>
      </c>
      <c r="J331" s="105">
        <f>+'FY16 Tax Bill'!J331-'FY16 Feb Forecast'!J331</f>
        <v>187103</v>
      </c>
      <c r="K331" s="106">
        <f>+'FY16 Tax Bill'!K331-'FY16 Feb Forecast'!K331</f>
        <v>185847</v>
      </c>
      <c r="L331" s="107">
        <f>+'FY16 Tax Bill'!L331-'FY16 Feb Forecast'!L331</f>
        <v>-372950</v>
      </c>
      <c r="M331" s="105">
        <f>+'FY16 Tax Bill'!M331-'FY16 Feb Forecast'!M331</f>
        <v>-329042</v>
      </c>
      <c r="N331" s="106">
        <f>+'FY16 Tax Bill'!N331-'FY16 Feb Forecast'!N331</f>
        <v>-43908</v>
      </c>
      <c r="O331" s="107">
        <f>+'FY16 Tax Bill'!O331-'FY16 Feb Forecast'!O331</f>
        <v>10323</v>
      </c>
      <c r="P331" s="105">
        <f>+'FY16 Tax Bill'!P331-'FY16 Feb Forecast'!P331</f>
        <v>-136760</v>
      </c>
      <c r="Q331" s="106">
        <f>+'FY16 Tax Bill'!Q331-'FY16 Feb Forecast'!Q331</f>
        <v>147083</v>
      </c>
      <c r="R331" s="105">
        <f>+'FY16 Tax Bill'!R331-'FY16 Feb Forecast'!R331</f>
        <v>11.730681818181893</v>
      </c>
      <c r="S331" s="105">
        <f>+'FY16 Tax Bill'!S331-'FY16 Feb Forecast'!S331</f>
        <v>-155.40909090909088</v>
      </c>
      <c r="T331" s="108">
        <f>+'FY16 Tax Bill'!T331-'FY16 Feb Forecast'!T331</f>
        <v>167.13977272727277</v>
      </c>
    </row>
    <row r="332" spans="1:20" x14ac:dyDescent="0.2">
      <c r="A332" s="109">
        <v>2854</v>
      </c>
      <c r="B332" s="110">
        <v>1</v>
      </c>
      <c r="C332" s="103" t="s">
        <v>441</v>
      </c>
      <c r="D332" s="103">
        <v>6</v>
      </c>
      <c r="E332" s="104">
        <f>+SUMIF('GE16FEB14 Unfudged'!$A$2:$A$498, $A332, 'GE16FEB14 Unfudged'!$D$2:$D$498)</f>
        <v>521</v>
      </c>
      <c r="F332" s="104">
        <f>+'FY16 Tax Bill'!F332-'FY16 Feb Forecast'!F332</f>
        <v>9418</v>
      </c>
      <c r="G332" s="105">
        <f>+'FY16 Tax Bill'!G332-'FY16 Feb Forecast'!G332</f>
        <v>3800</v>
      </c>
      <c r="H332" s="106">
        <f>+'FY16 Tax Bill'!H332-'FY16 Feb Forecast'!H332</f>
        <v>5618</v>
      </c>
      <c r="I332" s="107">
        <f>+'FY16 Tax Bill'!I332-'FY16 Feb Forecast'!I332</f>
        <v>221074</v>
      </c>
      <c r="J332" s="105">
        <f>+'FY16 Tax Bill'!J332-'FY16 Feb Forecast'!J332</f>
        <v>89208</v>
      </c>
      <c r="K332" s="106">
        <f>+'FY16 Tax Bill'!K332-'FY16 Feb Forecast'!K332</f>
        <v>131866</v>
      </c>
      <c r="L332" s="107">
        <f>+'FY16 Tax Bill'!L332-'FY16 Feb Forecast'!L332</f>
        <v>-221074</v>
      </c>
      <c r="M332" s="105">
        <f>+'FY16 Tax Bill'!M332-'FY16 Feb Forecast'!M332</f>
        <v>-98374</v>
      </c>
      <c r="N332" s="106">
        <f>+'FY16 Tax Bill'!N332-'FY16 Feb Forecast'!N332</f>
        <v>-122700</v>
      </c>
      <c r="O332" s="107">
        <f>+'FY16 Tax Bill'!O332-'FY16 Feb Forecast'!O332</f>
        <v>9418</v>
      </c>
      <c r="P332" s="105">
        <f>+'FY16 Tax Bill'!P332-'FY16 Feb Forecast'!P332</f>
        <v>-5366</v>
      </c>
      <c r="Q332" s="106">
        <f>+'FY16 Tax Bill'!Q332-'FY16 Feb Forecast'!Q332</f>
        <v>14784</v>
      </c>
      <c r="R332" s="105">
        <f>+'FY16 Tax Bill'!R332-'FY16 Feb Forecast'!R332</f>
        <v>18.076775431861847</v>
      </c>
      <c r="S332" s="105">
        <f>+'FY16 Tax Bill'!S332-'FY16 Feb Forecast'!S332</f>
        <v>-10.299424184261056</v>
      </c>
      <c r="T332" s="108">
        <f>+'FY16 Tax Bill'!T332-'FY16 Feb Forecast'!T332</f>
        <v>28.37619961612279</v>
      </c>
    </row>
    <row r="333" spans="1:20" x14ac:dyDescent="0.2">
      <c r="A333" s="109">
        <v>2856</v>
      </c>
      <c r="B333" s="110">
        <v>1</v>
      </c>
      <c r="C333" s="103" t="s">
        <v>442</v>
      </c>
      <c r="D333" s="103">
        <v>6</v>
      </c>
      <c r="E333" s="104">
        <f>+SUMIF('GE16FEB14 Unfudged'!$A$2:$A$498, $A333, 'GE16FEB14 Unfudged'!$D$2:$D$498)</f>
        <v>313</v>
      </c>
      <c r="F333" s="104">
        <f>+'FY16 Tax Bill'!F333-'FY16 Feb Forecast'!F333</f>
        <v>1194</v>
      </c>
      <c r="G333" s="105">
        <f>+'FY16 Tax Bill'!G333-'FY16 Feb Forecast'!G333</f>
        <v>1095</v>
      </c>
      <c r="H333" s="106">
        <f>+'FY16 Tax Bill'!H333-'FY16 Feb Forecast'!H333</f>
        <v>99</v>
      </c>
      <c r="I333" s="107">
        <f>+'FY16 Tax Bill'!I333-'FY16 Feb Forecast'!I333</f>
        <v>132903</v>
      </c>
      <c r="J333" s="105">
        <f>+'FY16 Tax Bill'!J333-'FY16 Feb Forecast'!J333</f>
        <v>121958</v>
      </c>
      <c r="K333" s="106">
        <f>+'FY16 Tax Bill'!K333-'FY16 Feb Forecast'!K333</f>
        <v>10945</v>
      </c>
      <c r="L333" s="107">
        <f>+'FY16 Tax Bill'!L333-'FY16 Feb Forecast'!L333</f>
        <v>-132903</v>
      </c>
      <c r="M333" s="105">
        <f>+'FY16 Tax Bill'!M333-'FY16 Feb Forecast'!M333</f>
        <v>-132903</v>
      </c>
      <c r="N333" s="106">
        <f>+'FY16 Tax Bill'!N333-'FY16 Feb Forecast'!N333</f>
        <v>0</v>
      </c>
      <c r="O333" s="107">
        <f>+'FY16 Tax Bill'!O333-'FY16 Feb Forecast'!O333</f>
        <v>1194</v>
      </c>
      <c r="P333" s="105">
        <f>+'FY16 Tax Bill'!P333-'FY16 Feb Forecast'!P333</f>
        <v>-9850</v>
      </c>
      <c r="Q333" s="106">
        <f>+'FY16 Tax Bill'!Q333-'FY16 Feb Forecast'!Q333</f>
        <v>11044</v>
      </c>
      <c r="R333" s="105">
        <f>+'FY16 Tax Bill'!R333-'FY16 Feb Forecast'!R333</f>
        <v>3.814696485623017</v>
      </c>
      <c r="S333" s="105">
        <f>+'FY16 Tax Bill'!S333-'FY16 Feb Forecast'!S333</f>
        <v>-31.469648562300108</v>
      </c>
      <c r="T333" s="108">
        <f>+'FY16 Tax Bill'!T333-'FY16 Feb Forecast'!T333</f>
        <v>35.284345047923239</v>
      </c>
    </row>
    <row r="334" spans="1:20" x14ac:dyDescent="0.2">
      <c r="A334" s="109">
        <v>2859</v>
      </c>
      <c r="B334" s="110">
        <v>1</v>
      </c>
      <c r="C334" s="103" t="s">
        <v>443</v>
      </c>
      <c r="D334" s="103">
        <v>5</v>
      </c>
      <c r="E334" s="104">
        <f>+SUMIF('GE16FEB14 Unfudged'!$A$2:$A$498, $A334, 'GE16FEB14 Unfudged'!$D$2:$D$498)</f>
        <v>1759</v>
      </c>
      <c r="F334" s="104">
        <f>+'FY16 Tax Bill'!F334-'FY16 Feb Forecast'!F334</f>
        <v>-3492</v>
      </c>
      <c r="G334" s="105">
        <f>+'FY16 Tax Bill'!G334-'FY16 Feb Forecast'!G334</f>
        <v>-2389</v>
      </c>
      <c r="H334" s="106">
        <f>+'FY16 Tax Bill'!H334-'FY16 Feb Forecast'!H334</f>
        <v>-1103</v>
      </c>
      <c r="I334" s="107">
        <f>+'FY16 Tax Bill'!I334-'FY16 Feb Forecast'!I334</f>
        <v>0</v>
      </c>
      <c r="J334" s="105">
        <f>+'FY16 Tax Bill'!J334-'FY16 Feb Forecast'!J334</f>
        <v>0</v>
      </c>
      <c r="K334" s="106">
        <f>+'FY16 Tax Bill'!K334-'FY16 Feb Forecast'!K334</f>
        <v>0</v>
      </c>
      <c r="L334" s="107">
        <f>+'FY16 Tax Bill'!L334-'FY16 Feb Forecast'!L334</f>
        <v>0</v>
      </c>
      <c r="M334" s="105">
        <f>+'FY16 Tax Bill'!M334-'FY16 Feb Forecast'!M334</f>
        <v>0</v>
      </c>
      <c r="N334" s="106">
        <f>+'FY16 Tax Bill'!N334-'FY16 Feb Forecast'!N334</f>
        <v>0</v>
      </c>
      <c r="O334" s="107">
        <f>+'FY16 Tax Bill'!O334-'FY16 Feb Forecast'!O334</f>
        <v>-3492</v>
      </c>
      <c r="P334" s="105">
        <f>+'FY16 Tax Bill'!P334-'FY16 Feb Forecast'!P334</f>
        <v>-2389</v>
      </c>
      <c r="Q334" s="106">
        <f>+'FY16 Tax Bill'!Q334-'FY16 Feb Forecast'!Q334</f>
        <v>-1103</v>
      </c>
      <c r="R334" s="105">
        <f>+'FY16 Tax Bill'!R334-'FY16 Feb Forecast'!R334</f>
        <v>-1.9852188743603847</v>
      </c>
      <c r="S334" s="105">
        <f>+'FY16 Tax Bill'!S334-'FY16 Feb Forecast'!S334</f>
        <v>-1.3581580443433268</v>
      </c>
      <c r="T334" s="108">
        <f>+'FY16 Tax Bill'!T334-'FY16 Feb Forecast'!T334</f>
        <v>-0.62706083001705792</v>
      </c>
    </row>
    <row r="335" spans="1:20" x14ac:dyDescent="0.2">
      <c r="A335" s="109">
        <v>2860</v>
      </c>
      <c r="B335" s="110">
        <v>1</v>
      </c>
      <c r="C335" s="103" t="s">
        <v>444</v>
      </c>
      <c r="D335" s="103">
        <v>5</v>
      </c>
      <c r="E335" s="104">
        <f>+SUMIF('GE16FEB14 Unfudged'!$A$2:$A$498, $A335, 'GE16FEB14 Unfudged'!$D$2:$D$498)</f>
        <v>1326</v>
      </c>
      <c r="F335" s="104">
        <f>+'FY16 Tax Bill'!F335-'FY16 Feb Forecast'!F335</f>
        <v>24868</v>
      </c>
      <c r="G335" s="105">
        <f>+'FY16 Tax Bill'!G335-'FY16 Feb Forecast'!G335</f>
        <v>13269</v>
      </c>
      <c r="H335" s="106">
        <f>+'FY16 Tax Bill'!H335-'FY16 Feb Forecast'!H335</f>
        <v>11599</v>
      </c>
      <c r="I335" s="107">
        <f>+'FY16 Tax Bill'!I335-'FY16 Feb Forecast'!I335</f>
        <v>562372</v>
      </c>
      <c r="J335" s="105">
        <f>+'FY16 Tax Bill'!J335-'FY16 Feb Forecast'!J335</f>
        <v>300054</v>
      </c>
      <c r="K335" s="106">
        <f>+'FY16 Tax Bill'!K335-'FY16 Feb Forecast'!K335</f>
        <v>262318</v>
      </c>
      <c r="L335" s="107">
        <f>+'FY16 Tax Bill'!L335-'FY16 Feb Forecast'!L335</f>
        <v>-542424</v>
      </c>
      <c r="M335" s="105">
        <f>+'FY16 Tax Bill'!M335-'FY16 Feb Forecast'!M335</f>
        <v>-289411</v>
      </c>
      <c r="N335" s="106">
        <f>+'FY16 Tax Bill'!N335-'FY16 Feb Forecast'!N335</f>
        <v>-253013</v>
      </c>
      <c r="O335" s="107">
        <f>+'FY16 Tax Bill'!O335-'FY16 Feb Forecast'!O335</f>
        <v>44816</v>
      </c>
      <c r="P335" s="105">
        <f>+'FY16 Tax Bill'!P335-'FY16 Feb Forecast'!P335</f>
        <v>23912</v>
      </c>
      <c r="Q335" s="106">
        <f>+'FY16 Tax Bill'!Q335-'FY16 Feb Forecast'!Q335</f>
        <v>20904</v>
      </c>
      <c r="R335" s="105">
        <f>+'FY16 Tax Bill'!R335-'FY16 Feb Forecast'!R335</f>
        <v>33.797888386123759</v>
      </c>
      <c r="S335" s="105">
        <f>+'FY16 Tax Bill'!S335-'FY16 Feb Forecast'!S335</f>
        <v>18.033182503770718</v>
      </c>
      <c r="T335" s="108">
        <f>+'FY16 Tax Bill'!T335-'FY16 Feb Forecast'!T335</f>
        <v>15.764705882352928</v>
      </c>
    </row>
    <row r="336" spans="1:20" x14ac:dyDescent="0.2">
      <c r="A336" s="109">
        <v>2884</v>
      </c>
      <c r="B336" s="110">
        <v>1</v>
      </c>
      <c r="C336" s="103" t="s">
        <v>445</v>
      </c>
      <c r="D336" s="103">
        <v>6</v>
      </c>
      <c r="E336" s="104">
        <f>+SUMIF('GE16FEB14 Unfudged'!$A$2:$A$498, $A336, 'GE16FEB14 Unfudged'!$D$2:$D$498)</f>
        <v>390</v>
      </c>
      <c r="F336" s="104">
        <f>+'FY16 Tax Bill'!F336-'FY16 Feb Forecast'!F336</f>
        <v>705</v>
      </c>
      <c r="G336" s="105">
        <f>+'FY16 Tax Bill'!G336-'FY16 Feb Forecast'!G336</f>
        <v>410</v>
      </c>
      <c r="H336" s="106">
        <f>+'FY16 Tax Bill'!H336-'FY16 Feb Forecast'!H336</f>
        <v>295</v>
      </c>
      <c r="I336" s="107">
        <f>+'FY16 Tax Bill'!I336-'FY16 Feb Forecast'!I336</f>
        <v>165360</v>
      </c>
      <c r="J336" s="105">
        <f>+'FY16 Tax Bill'!J336-'FY16 Feb Forecast'!J336</f>
        <v>96181</v>
      </c>
      <c r="K336" s="106">
        <f>+'FY16 Tax Bill'!K336-'FY16 Feb Forecast'!K336</f>
        <v>69179</v>
      </c>
      <c r="L336" s="107">
        <f>+'FY16 Tax Bill'!L336-'FY16 Feb Forecast'!L336</f>
        <v>-165360</v>
      </c>
      <c r="M336" s="105">
        <f>+'FY16 Tax Bill'!M336-'FY16 Feb Forecast'!M336</f>
        <v>-165360</v>
      </c>
      <c r="N336" s="106">
        <f>+'FY16 Tax Bill'!N336-'FY16 Feb Forecast'!N336</f>
        <v>0</v>
      </c>
      <c r="O336" s="107">
        <f>+'FY16 Tax Bill'!O336-'FY16 Feb Forecast'!O336</f>
        <v>705</v>
      </c>
      <c r="P336" s="105">
        <f>+'FY16 Tax Bill'!P336-'FY16 Feb Forecast'!P336</f>
        <v>-68769</v>
      </c>
      <c r="Q336" s="106">
        <f>+'FY16 Tax Bill'!Q336-'FY16 Feb Forecast'!Q336</f>
        <v>69474</v>
      </c>
      <c r="R336" s="105">
        <f>+'FY16 Tax Bill'!R336-'FY16 Feb Forecast'!R336</f>
        <v>1.8076923076923777</v>
      </c>
      <c r="S336" s="105">
        <f>+'FY16 Tax Bill'!S336-'FY16 Feb Forecast'!S336</f>
        <v>-176.33076923076919</v>
      </c>
      <c r="T336" s="108">
        <f>+'FY16 Tax Bill'!T336-'FY16 Feb Forecast'!T336</f>
        <v>178.13846153846146</v>
      </c>
    </row>
    <row r="337" spans="1:20" x14ac:dyDescent="0.2">
      <c r="A337" s="109">
        <v>2886</v>
      </c>
      <c r="B337" s="110">
        <v>1</v>
      </c>
      <c r="C337" s="103" t="s">
        <v>446</v>
      </c>
      <c r="D337" s="103">
        <v>6</v>
      </c>
      <c r="E337" s="104">
        <f>+SUMIF('GE16FEB14 Unfudged'!$A$2:$A$498, $A337, 'GE16FEB14 Unfudged'!$D$2:$D$498)</f>
        <v>385</v>
      </c>
      <c r="F337" s="104">
        <f>+'FY16 Tax Bill'!F337-'FY16 Feb Forecast'!F337</f>
        <v>6000</v>
      </c>
      <c r="G337" s="105">
        <f>+'FY16 Tax Bill'!G337-'FY16 Feb Forecast'!G337</f>
        <v>4300</v>
      </c>
      <c r="H337" s="106">
        <f>+'FY16 Tax Bill'!H337-'FY16 Feb Forecast'!H337</f>
        <v>1700</v>
      </c>
      <c r="I337" s="107">
        <f>+'FY16 Tax Bill'!I337-'FY16 Feb Forecast'!I337</f>
        <v>163049</v>
      </c>
      <c r="J337" s="105">
        <f>+'FY16 Tax Bill'!J337-'FY16 Feb Forecast'!J337</f>
        <v>116863</v>
      </c>
      <c r="K337" s="106">
        <f>+'FY16 Tax Bill'!K337-'FY16 Feb Forecast'!K337</f>
        <v>46186</v>
      </c>
      <c r="L337" s="107">
        <f>+'FY16 Tax Bill'!L337-'FY16 Feb Forecast'!L337</f>
        <v>-163049</v>
      </c>
      <c r="M337" s="105">
        <f>+'FY16 Tax Bill'!M337-'FY16 Feb Forecast'!M337</f>
        <v>-163049</v>
      </c>
      <c r="N337" s="106">
        <f>+'FY16 Tax Bill'!N337-'FY16 Feb Forecast'!N337</f>
        <v>0</v>
      </c>
      <c r="O337" s="107">
        <f>+'FY16 Tax Bill'!O337-'FY16 Feb Forecast'!O337</f>
        <v>6000</v>
      </c>
      <c r="P337" s="105">
        <f>+'FY16 Tax Bill'!P337-'FY16 Feb Forecast'!P337</f>
        <v>-41886</v>
      </c>
      <c r="Q337" s="106">
        <f>+'FY16 Tax Bill'!Q337-'FY16 Feb Forecast'!Q337</f>
        <v>47886</v>
      </c>
      <c r="R337" s="105">
        <f>+'FY16 Tax Bill'!R337-'FY16 Feb Forecast'!R337</f>
        <v>15.584415584415638</v>
      </c>
      <c r="S337" s="105">
        <f>+'FY16 Tax Bill'!S337-'FY16 Feb Forecast'!S337</f>
        <v>-108.79480519480512</v>
      </c>
      <c r="T337" s="108">
        <f>+'FY16 Tax Bill'!T337-'FY16 Feb Forecast'!T337</f>
        <v>124.37922077922082</v>
      </c>
    </row>
    <row r="338" spans="1:20" x14ac:dyDescent="0.2">
      <c r="A338" s="109">
        <v>2888</v>
      </c>
      <c r="B338" s="110">
        <v>1</v>
      </c>
      <c r="C338" s="103" t="s">
        <v>13</v>
      </c>
      <c r="D338" s="103">
        <v>6</v>
      </c>
      <c r="E338" s="104">
        <f>+SUMIF('GE16FEB14 Unfudged'!$A$2:$A$498, $A338, 'GE16FEB14 Unfudged'!$D$2:$D$498)</f>
        <v>331</v>
      </c>
      <c r="F338" s="104">
        <f>+'FY16 Tax Bill'!F338-'FY16 Feb Forecast'!F338</f>
        <v>4612</v>
      </c>
      <c r="G338" s="105">
        <f>+'FY16 Tax Bill'!G338-'FY16 Feb Forecast'!G338</f>
        <v>2357</v>
      </c>
      <c r="H338" s="106">
        <f>+'FY16 Tax Bill'!H338-'FY16 Feb Forecast'!H338</f>
        <v>2255</v>
      </c>
      <c r="I338" s="107">
        <f>+'FY16 Tax Bill'!I338-'FY16 Feb Forecast'!I338</f>
        <v>140174</v>
      </c>
      <c r="J338" s="105">
        <f>+'FY16 Tax Bill'!J338-'FY16 Feb Forecast'!J338</f>
        <v>71610</v>
      </c>
      <c r="K338" s="106">
        <f>+'FY16 Tax Bill'!K338-'FY16 Feb Forecast'!K338</f>
        <v>68564</v>
      </c>
      <c r="L338" s="107">
        <f>+'FY16 Tax Bill'!L338-'FY16 Feb Forecast'!L338</f>
        <v>-140174</v>
      </c>
      <c r="M338" s="105">
        <f>+'FY16 Tax Bill'!M338-'FY16 Feb Forecast'!M338</f>
        <v>-114800</v>
      </c>
      <c r="N338" s="106">
        <f>+'FY16 Tax Bill'!N338-'FY16 Feb Forecast'!N338</f>
        <v>-25374</v>
      </c>
      <c r="O338" s="107">
        <f>+'FY16 Tax Bill'!O338-'FY16 Feb Forecast'!O338</f>
        <v>4612</v>
      </c>
      <c r="P338" s="105">
        <f>+'FY16 Tax Bill'!P338-'FY16 Feb Forecast'!P338</f>
        <v>-40833</v>
      </c>
      <c r="Q338" s="106">
        <f>+'FY16 Tax Bill'!Q338-'FY16 Feb Forecast'!Q338</f>
        <v>45445</v>
      </c>
      <c r="R338" s="105">
        <f>+'FY16 Tax Bill'!R338-'FY16 Feb Forecast'!R338</f>
        <v>13.933534743202472</v>
      </c>
      <c r="S338" s="105">
        <f>+'FY16 Tax Bill'!S338-'FY16 Feb Forecast'!S338</f>
        <v>-123.36253776435046</v>
      </c>
      <c r="T338" s="108">
        <f>+'FY16 Tax Bill'!T338-'FY16 Feb Forecast'!T338</f>
        <v>137.29607250755282</v>
      </c>
    </row>
    <row r="339" spans="1:20" x14ac:dyDescent="0.2">
      <c r="A339" s="109">
        <v>2889</v>
      </c>
      <c r="B339" s="110">
        <v>1</v>
      </c>
      <c r="C339" s="103" t="s">
        <v>447</v>
      </c>
      <c r="D339" s="103">
        <v>6</v>
      </c>
      <c r="E339" s="104">
        <f>+SUMIF('GE16FEB14 Unfudged'!$A$2:$A$498, $A339, 'GE16FEB14 Unfudged'!$D$2:$D$498)</f>
        <v>657</v>
      </c>
      <c r="F339" s="104">
        <f>+'FY16 Tax Bill'!F339-'FY16 Feb Forecast'!F339</f>
        <v>11893</v>
      </c>
      <c r="G339" s="105">
        <f>+'FY16 Tax Bill'!G339-'FY16 Feb Forecast'!G339</f>
        <v>11893</v>
      </c>
      <c r="H339" s="106">
        <f>+'FY16 Tax Bill'!H339-'FY16 Feb Forecast'!H339</f>
        <v>0</v>
      </c>
      <c r="I339" s="107">
        <f>+'FY16 Tax Bill'!I339-'FY16 Feb Forecast'!I339</f>
        <v>278674</v>
      </c>
      <c r="J339" s="105">
        <f>+'FY16 Tax Bill'!J339-'FY16 Feb Forecast'!J339</f>
        <v>278674</v>
      </c>
      <c r="K339" s="106">
        <f>+'FY16 Tax Bill'!K339-'FY16 Feb Forecast'!K339</f>
        <v>0</v>
      </c>
      <c r="L339" s="107">
        <f>+'FY16 Tax Bill'!L339-'FY16 Feb Forecast'!L339</f>
        <v>-278674</v>
      </c>
      <c r="M339" s="105">
        <f>+'FY16 Tax Bill'!M339-'FY16 Feb Forecast'!M339</f>
        <v>-278674</v>
      </c>
      <c r="N339" s="106">
        <f>+'FY16 Tax Bill'!N339-'FY16 Feb Forecast'!N339</f>
        <v>0</v>
      </c>
      <c r="O339" s="107">
        <f>+'FY16 Tax Bill'!O339-'FY16 Feb Forecast'!O339</f>
        <v>11893</v>
      </c>
      <c r="P339" s="105">
        <f>+'FY16 Tax Bill'!P339-'FY16 Feb Forecast'!P339</f>
        <v>11893</v>
      </c>
      <c r="Q339" s="106">
        <f>+'FY16 Tax Bill'!Q339-'FY16 Feb Forecast'!Q339</f>
        <v>0</v>
      </c>
      <c r="R339" s="105">
        <f>+'FY16 Tax Bill'!R339-'FY16 Feb Forecast'!R339</f>
        <v>18.101978691019781</v>
      </c>
      <c r="S339" s="105">
        <f>+'FY16 Tax Bill'!S339-'FY16 Feb Forecast'!S339</f>
        <v>18.101978691019781</v>
      </c>
      <c r="T339" s="108">
        <f>+'FY16 Tax Bill'!T339-'FY16 Feb Forecast'!T339</f>
        <v>0</v>
      </c>
    </row>
    <row r="340" spans="1:20" x14ac:dyDescent="0.2">
      <c r="A340" s="109">
        <v>2890</v>
      </c>
      <c r="B340" s="110">
        <v>1</v>
      </c>
      <c r="C340" s="103" t="s">
        <v>448</v>
      </c>
      <c r="D340" s="103">
        <v>6</v>
      </c>
      <c r="E340" s="104">
        <f>+SUMIF('GE16FEB14 Unfudged'!$A$2:$A$498, $A340, 'GE16FEB14 Unfudged'!$D$2:$D$498)</f>
        <v>559</v>
      </c>
      <c r="F340" s="104">
        <f>+'FY16 Tax Bill'!F340-'FY16 Feb Forecast'!F340</f>
        <v>0</v>
      </c>
      <c r="G340" s="105">
        <f>+'FY16 Tax Bill'!G340-'FY16 Feb Forecast'!G340</f>
        <v>0</v>
      </c>
      <c r="H340" s="106">
        <f>+'FY16 Tax Bill'!H340-'FY16 Feb Forecast'!H340</f>
        <v>0</v>
      </c>
      <c r="I340" s="107">
        <f>+'FY16 Tax Bill'!I340-'FY16 Feb Forecast'!I340</f>
        <v>236846</v>
      </c>
      <c r="J340" s="105">
        <f>+'FY16 Tax Bill'!J340-'FY16 Feb Forecast'!J340</f>
        <v>135605</v>
      </c>
      <c r="K340" s="106">
        <f>+'FY16 Tax Bill'!K340-'FY16 Feb Forecast'!K340</f>
        <v>101241</v>
      </c>
      <c r="L340" s="107">
        <f>+'FY16 Tax Bill'!L340-'FY16 Feb Forecast'!L340</f>
        <v>-236846</v>
      </c>
      <c r="M340" s="105">
        <f>+'FY16 Tax Bill'!M340-'FY16 Feb Forecast'!M340</f>
        <v>-236846</v>
      </c>
      <c r="N340" s="106">
        <f>+'FY16 Tax Bill'!N340-'FY16 Feb Forecast'!N340</f>
        <v>0</v>
      </c>
      <c r="O340" s="107">
        <f>+'FY16 Tax Bill'!O340-'FY16 Feb Forecast'!O340</f>
        <v>0</v>
      </c>
      <c r="P340" s="105">
        <f>+'FY16 Tax Bill'!P340-'FY16 Feb Forecast'!P340</f>
        <v>-101241</v>
      </c>
      <c r="Q340" s="106">
        <f>+'FY16 Tax Bill'!Q340-'FY16 Feb Forecast'!Q340</f>
        <v>101241</v>
      </c>
      <c r="R340" s="105">
        <f>+'FY16 Tax Bill'!R340-'FY16 Feb Forecast'!R340</f>
        <v>0</v>
      </c>
      <c r="S340" s="105">
        <f>+'FY16 Tax Bill'!S340-'FY16 Feb Forecast'!S340</f>
        <v>-181.11091234347055</v>
      </c>
      <c r="T340" s="108">
        <f>+'FY16 Tax Bill'!T340-'FY16 Feb Forecast'!T340</f>
        <v>181.11091234347043</v>
      </c>
    </row>
    <row r="341" spans="1:20" x14ac:dyDescent="0.2">
      <c r="A341" s="109">
        <v>2895</v>
      </c>
      <c r="B341" s="110">
        <v>1</v>
      </c>
      <c r="C341" s="103" t="s">
        <v>449</v>
      </c>
      <c r="D341" s="103">
        <v>5</v>
      </c>
      <c r="E341" s="104">
        <f>+SUMIF('GE16FEB14 Unfudged'!$A$2:$A$498, $A341, 'GE16FEB14 Unfudged'!$D$2:$D$498)</f>
        <v>1340</v>
      </c>
      <c r="F341" s="104">
        <f>+'FY16 Tax Bill'!F341-'FY16 Feb Forecast'!F341</f>
        <v>20128</v>
      </c>
      <c r="G341" s="105">
        <f>+'FY16 Tax Bill'!G341-'FY16 Feb Forecast'!G341</f>
        <v>12507</v>
      </c>
      <c r="H341" s="106">
        <f>+'FY16 Tax Bill'!H341-'FY16 Feb Forecast'!H341</f>
        <v>7621</v>
      </c>
      <c r="I341" s="107">
        <f>+'FY16 Tax Bill'!I341-'FY16 Feb Forecast'!I341</f>
        <v>567990</v>
      </c>
      <c r="J341" s="105">
        <f>+'FY16 Tax Bill'!J341-'FY16 Feb Forecast'!J341</f>
        <v>352931</v>
      </c>
      <c r="K341" s="106">
        <f>+'FY16 Tax Bill'!K341-'FY16 Feb Forecast'!K341</f>
        <v>215059</v>
      </c>
      <c r="L341" s="107">
        <f>+'FY16 Tax Bill'!L341-'FY16 Feb Forecast'!L341</f>
        <v>-567991</v>
      </c>
      <c r="M341" s="105">
        <f>+'FY16 Tax Bill'!M341-'FY16 Feb Forecast'!M341</f>
        <v>-486791</v>
      </c>
      <c r="N341" s="106">
        <f>+'FY16 Tax Bill'!N341-'FY16 Feb Forecast'!N341</f>
        <v>-81200</v>
      </c>
      <c r="O341" s="107">
        <f>+'FY16 Tax Bill'!O341-'FY16 Feb Forecast'!O341</f>
        <v>20127</v>
      </c>
      <c r="P341" s="105">
        <f>+'FY16 Tax Bill'!P341-'FY16 Feb Forecast'!P341</f>
        <v>-121353</v>
      </c>
      <c r="Q341" s="106">
        <f>+'FY16 Tax Bill'!Q341-'FY16 Feb Forecast'!Q341</f>
        <v>141480</v>
      </c>
      <c r="R341" s="105">
        <f>+'FY16 Tax Bill'!R341-'FY16 Feb Forecast'!R341</f>
        <v>15.020149253731461</v>
      </c>
      <c r="S341" s="105">
        <f>+'FY16 Tax Bill'!S341-'FY16 Feb Forecast'!S341</f>
        <v>-90.561940298507466</v>
      </c>
      <c r="T341" s="108">
        <f>+'FY16 Tax Bill'!T341-'FY16 Feb Forecast'!T341</f>
        <v>105.58208955223887</v>
      </c>
    </row>
    <row r="342" spans="1:20" x14ac:dyDescent="0.2">
      <c r="A342" s="109">
        <v>2897</v>
      </c>
      <c r="B342" s="110">
        <v>1</v>
      </c>
      <c r="C342" s="103" t="s">
        <v>450</v>
      </c>
      <c r="D342" s="103">
        <v>5</v>
      </c>
      <c r="E342" s="104">
        <f>+SUMIF('GE16FEB14 Unfudged'!$A$2:$A$498, $A342, 'GE16FEB14 Unfudged'!$D$2:$D$498)</f>
        <v>1210</v>
      </c>
      <c r="F342" s="104">
        <f>+'FY16 Tax Bill'!F342-'FY16 Feb Forecast'!F342</f>
        <v>17636</v>
      </c>
      <c r="G342" s="105">
        <f>+'FY16 Tax Bill'!G342-'FY16 Feb Forecast'!G342</f>
        <v>8775</v>
      </c>
      <c r="H342" s="106">
        <f>+'FY16 Tax Bill'!H342-'FY16 Feb Forecast'!H342</f>
        <v>8861</v>
      </c>
      <c r="I342" s="107">
        <f>+'FY16 Tax Bill'!I342-'FY16 Feb Forecast'!I342</f>
        <v>513210</v>
      </c>
      <c r="J342" s="105">
        <f>+'FY16 Tax Bill'!J342-'FY16 Feb Forecast'!J342</f>
        <v>255337</v>
      </c>
      <c r="K342" s="106">
        <f>+'FY16 Tax Bill'!K342-'FY16 Feb Forecast'!K342</f>
        <v>257873</v>
      </c>
      <c r="L342" s="107">
        <f>+'FY16 Tax Bill'!L342-'FY16 Feb Forecast'!L342</f>
        <v>-513209</v>
      </c>
      <c r="M342" s="105">
        <f>+'FY16 Tax Bill'!M342-'FY16 Feb Forecast'!M342</f>
        <v>-390024</v>
      </c>
      <c r="N342" s="106">
        <f>+'FY16 Tax Bill'!N342-'FY16 Feb Forecast'!N342</f>
        <v>-123185</v>
      </c>
      <c r="O342" s="107">
        <f>+'FY16 Tax Bill'!O342-'FY16 Feb Forecast'!O342</f>
        <v>17637</v>
      </c>
      <c r="P342" s="105">
        <f>+'FY16 Tax Bill'!P342-'FY16 Feb Forecast'!P342</f>
        <v>-125912</v>
      </c>
      <c r="Q342" s="106">
        <f>+'FY16 Tax Bill'!Q342-'FY16 Feb Forecast'!Q342</f>
        <v>143549</v>
      </c>
      <c r="R342" s="105">
        <f>+'FY16 Tax Bill'!R342-'FY16 Feb Forecast'!R342</f>
        <v>14.576033057851191</v>
      </c>
      <c r="S342" s="105">
        <f>+'FY16 Tax Bill'!S342-'FY16 Feb Forecast'!S342</f>
        <v>-104.0595041322315</v>
      </c>
      <c r="T342" s="108">
        <f>+'FY16 Tax Bill'!T342-'FY16 Feb Forecast'!T342</f>
        <v>118.63553719008257</v>
      </c>
    </row>
    <row r="343" spans="1:20" x14ac:dyDescent="0.2">
      <c r="A343" s="109">
        <v>2898</v>
      </c>
      <c r="B343" s="110">
        <v>1</v>
      </c>
      <c r="C343" s="103" t="s">
        <v>451</v>
      </c>
      <c r="D343" s="103">
        <v>6</v>
      </c>
      <c r="E343" s="104">
        <f>+SUMIF('GE16FEB14 Unfudged'!$A$2:$A$498, $A343, 'GE16FEB14 Unfudged'!$D$2:$D$498)</f>
        <v>425</v>
      </c>
      <c r="F343" s="104">
        <f>+'FY16 Tax Bill'!F343-'FY16 Feb Forecast'!F343</f>
        <v>8107</v>
      </c>
      <c r="G343" s="105">
        <f>+'FY16 Tax Bill'!G343-'FY16 Feb Forecast'!G343</f>
        <v>3718</v>
      </c>
      <c r="H343" s="106">
        <f>+'FY16 Tax Bill'!H343-'FY16 Feb Forecast'!H343</f>
        <v>4389</v>
      </c>
      <c r="I343" s="107">
        <f>+'FY16 Tax Bill'!I343-'FY16 Feb Forecast'!I343</f>
        <v>180370</v>
      </c>
      <c r="J343" s="105">
        <f>+'FY16 Tax Bill'!J343-'FY16 Feb Forecast'!J343</f>
        <v>82727</v>
      </c>
      <c r="K343" s="106">
        <f>+'FY16 Tax Bill'!K343-'FY16 Feb Forecast'!K343</f>
        <v>97643</v>
      </c>
      <c r="L343" s="107">
        <f>+'FY16 Tax Bill'!L343-'FY16 Feb Forecast'!L343</f>
        <v>-180370</v>
      </c>
      <c r="M343" s="105">
        <f>+'FY16 Tax Bill'!M343-'FY16 Feb Forecast'!M343</f>
        <v>-113967</v>
      </c>
      <c r="N343" s="106">
        <f>+'FY16 Tax Bill'!N343-'FY16 Feb Forecast'!N343</f>
        <v>-66403</v>
      </c>
      <c r="O343" s="107">
        <f>+'FY16 Tax Bill'!O343-'FY16 Feb Forecast'!O343</f>
        <v>8107</v>
      </c>
      <c r="P343" s="105">
        <f>+'FY16 Tax Bill'!P343-'FY16 Feb Forecast'!P343</f>
        <v>-27522</v>
      </c>
      <c r="Q343" s="106">
        <f>+'FY16 Tax Bill'!Q343-'FY16 Feb Forecast'!Q343</f>
        <v>35629</v>
      </c>
      <c r="R343" s="105">
        <f>+'FY16 Tax Bill'!R343-'FY16 Feb Forecast'!R343</f>
        <v>19.07529411764699</v>
      </c>
      <c r="S343" s="105">
        <f>+'FY16 Tax Bill'!S343-'FY16 Feb Forecast'!S343</f>
        <v>-64.757647058823522</v>
      </c>
      <c r="T343" s="108">
        <f>+'FY16 Tax Bill'!T343-'FY16 Feb Forecast'!T343</f>
        <v>83.832941176470513</v>
      </c>
    </row>
    <row r="344" spans="1:20" x14ac:dyDescent="0.2">
      <c r="A344" s="109">
        <v>2899</v>
      </c>
      <c r="B344" s="110">
        <v>1</v>
      </c>
      <c r="C344" s="103" t="s">
        <v>14</v>
      </c>
      <c r="D344" s="103">
        <v>5</v>
      </c>
      <c r="E344" s="104">
        <f>+SUMIF('GE16FEB14 Unfudged'!$A$2:$A$498, $A344, 'GE16FEB14 Unfudged'!$D$2:$D$498)</f>
        <v>1550</v>
      </c>
      <c r="F344" s="104">
        <f>+'FY16 Tax Bill'!F344-'FY16 Feb Forecast'!F344</f>
        <v>532</v>
      </c>
      <c r="G344" s="105">
        <f>+'FY16 Tax Bill'!G344-'FY16 Feb Forecast'!G344</f>
        <v>343</v>
      </c>
      <c r="H344" s="106">
        <f>+'FY16 Tax Bill'!H344-'FY16 Feb Forecast'!H344</f>
        <v>189</v>
      </c>
      <c r="I344" s="107">
        <f>+'FY16 Tax Bill'!I344-'FY16 Feb Forecast'!I344</f>
        <v>657030</v>
      </c>
      <c r="J344" s="105">
        <f>+'FY16 Tax Bill'!J344-'FY16 Feb Forecast'!J344</f>
        <v>423413</v>
      </c>
      <c r="K344" s="106">
        <f>+'FY16 Tax Bill'!K344-'FY16 Feb Forecast'!K344</f>
        <v>233617</v>
      </c>
      <c r="L344" s="107">
        <f>+'FY16 Tax Bill'!L344-'FY16 Feb Forecast'!L344</f>
        <v>-11607</v>
      </c>
      <c r="M344" s="105">
        <f>+'FY16 Tax Bill'!M344-'FY16 Feb Forecast'!M344</f>
        <v>-7480</v>
      </c>
      <c r="N344" s="106">
        <f>+'FY16 Tax Bill'!N344-'FY16 Feb Forecast'!N344</f>
        <v>-4127</v>
      </c>
      <c r="O344" s="107">
        <f>+'FY16 Tax Bill'!O344-'FY16 Feb Forecast'!O344</f>
        <v>645955</v>
      </c>
      <c r="P344" s="105">
        <f>+'FY16 Tax Bill'!P344-'FY16 Feb Forecast'!P344</f>
        <v>416276</v>
      </c>
      <c r="Q344" s="106">
        <f>+'FY16 Tax Bill'!Q344-'FY16 Feb Forecast'!Q344</f>
        <v>229679</v>
      </c>
      <c r="R344" s="105">
        <f>+'FY16 Tax Bill'!R344-'FY16 Feb Forecast'!R344</f>
        <v>416.74516129032259</v>
      </c>
      <c r="S344" s="105">
        <f>+'FY16 Tax Bill'!S344-'FY16 Feb Forecast'!S344</f>
        <v>268.56516129032252</v>
      </c>
      <c r="T344" s="108">
        <f>+'FY16 Tax Bill'!T344-'FY16 Feb Forecast'!T344</f>
        <v>148.18</v>
      </c>
    </row>
    <row r="345" spans="1:20" x14ac:dyDescent="0.2">
      <c r="A345" s="109">
        <v>2902</v>
      </c>
      <c r="B345" s="110">
        <v>1</v>
      </c>
      <c r="C345" s="103" t="s">
        <v>452</v>
      </c>
      <c r="D345" s="103">
        <v>6</v>
      </c>
      <c r="E345" s="104">
        <f>+SUMIF('GE16FEB14 Unfudged'!$A$2:$A$498, $A345, 'GE16FEB14 Unfudged'!$D$2:$D$498)</f>
        <v>574</v>
      </c>
      <c r="F345" s="104">
        <f>+'FY16 Tax Bill'!F345-'FY16 Feb Forecast'!F345</f>
        <v>10827</v>
      </c>
      <c r="G345" s="105">
        <f>+'FY16 Tax Bill'!G345-'FY16 Feb Forecast'!G345</f>
        <v>6198</v>
      </c>
      <c r="H345" s="106">
        <f>+'FY16 Tax Bill'!H345-'FY16 Feb Forecast'!H345</f>
        <v>4629</v>
      </c>
      <c r="I345" s="107">
        <f>+'FY16 Tax Bill'!I345-'FY16 Feb Forecast'!I345</f>
        <v>243164</v>
      </c>
      <c r="J345" s="105">
        <f>+'FY16 Tax Bill'!J345-'FY16 Feb Forecast'!J345</f>
        <v>139192</v>
      </c>
      <c r="K345" s="106">
        <f>+'FY16 Tax Bill'!K345-'FY16 Feb Forecast'!K345</f>
        <v>103972</v>
      </c>
      <c r="L345" s="107">
        <f>+'FY16 Tax Bill'!L345-'FY16 Feb Forecast'!L345</f>
        <v>-243164</v>
      </c>
      <c r="M345" s="105">
        <f>+'FY16 Tax Bill'!M345-'FY16 Feb Forecast'!M345</f>
        <v>-139697</v>
      </c>
      <c r="N345" s="106">
        <f>+'FY16 Tax Bill'!N345-'FY16 Feb Forecast'!N345</f>
        <v>-103467</v>
      </c>
      <c r="O345" s="107">
        <f>+'FY16 Tax Bill'!O345-'FY16 Feb Forecast'!O345</f>
        <v>10827</v>
      </c>
      <c r="P345" s="105">
        <f>+'FY16 Tax Bill'!P345-'FY16 Feb Forecast'!P345</f>
        <v>5693</v>
      </c>
      <c r="Q345" s="106">
        <f>+'FY16 Tax Bill'!Q345-'FY16 Feb Forecast'!Q345</f>
        <v>5134</v>
      </c>
      <c r="R345" s="105">
        <f>+'FY16 Tax Bill'!R345-'FY16 Feb Forecast'!R345</f>
        <v>18.862369337979089</v>
      </c>
      <c r="S345" s="105">
        <f>+'FY16 Tax Bill'!S345-'FY16 Feb Forecast'!S345</f>
        <v>9.9181184668989317</v>
      </c>
      <c r="T345" s="108">
        <f>+'FY16 Tax Bill'!T345-'FY16 Feb Forecast'!T345</f>
        <v>8.9442508710801576</v>
      </c>
    </row>
    <row r="346" spans="1:20" x14ac:dyDescent="0.2">
      <c r="A346" s="109">
        <v>2903</v>
      </c>
      <c r="B346" s="110">
        <v>1</v>
      </c>
      <c r="C346" s="103" t="s">
        <v>453</v>
      </c>
      <c r="D346" s="103">
        <v>6</v>
      </c>
      <c r="E346" s="104">
        <f>+SUMIF('GE16FEB14 Unfudged'!$A$2:$A$498, $A346, 'GE16FEB14 Unfudged'!$D$2:$D$498)</f>
        <v>517</v>
      </c>
      <c r="F346" s="104">
        <f>+'FY16 Tax Bill'!F346-'FY16 Feb Forecast'!F346</f>
        <v>6861</v>
      </c>
      <c r="G346" s="105">
        <f>+'FY16 Tax Bill'!G346-'FY16 Feb Forecast'!G346</f>
        <v>3636</v>
      </c>
      <c r="H346" s="106">
        <f>+'FY16 Tax Bill'!H346-'FY16 Feb Forecast'!H346</f>
        <v>3225</v>
      </c>
      <c r="I346" s="107">
        <f>+'FY16 Tax Bill'!I346-'FY16 Feb Forecast'!I346</f>
        <v>219293</v>
      </c>
      <c r="J346" s="105">
        <f>+'FY16 Tax Bill'!J346-'FY16 Feb Forecast'!J346</f>
        <v>116225</v>
      </c>
      <c r="K346" s="106">
        <f>+'FY16 Tax Bill'!K346-'FY16 Feb Forecast'!K346</f>
        <v>103068</v>
      </c>
      <c r="L346" s="107">
        <f>+'FY16 Tax Bill'!L346-'FY16 Feb Forecast'!L346</f>
        <v>-219293</v>
      </c>
      <c r="M346" s="105">
        <f>+'FY16 Tax Bill'!M346-'FY16 Feb Forecast'!M346</f>
        <v>-195971</v>
      </c>
      <c r="N346" s="106">
        <f>+'FY16 Tax Bill'!N346-'FY16 Feb Forecast'!N346</f>
        <v>-23322</v>
      </c>
      <c r="O346" s="107">
        <f>+'FY16 Tax Bill'!O346-'FY16 Feb Forecast'!O346</f>
        <v>6861</v>
      </c>
      <c r="P346" s="105">
        <f>+'FY16 Tax Bill'!P346-'FY16 Feb Forecast'!P346</f>
        <v>-76110</v>
      </c>
      <c r="Q346" s="106">
        <f>+'FY16 Tax Bill'!Q346-'FY16 Feb Forecast'!Q346</f>
        <v>82971</v>
      </c>
      <c r="R346" s="105">
        <f>+'FY16 Tax Bill'!R346-'FY16 Feb Forecast'!R346</f>
        <v>13.270793036750547</v>
      </c>
      <c r="S346" s="105">
        <f>+'FY16 Tax Bill'!S346-'FY16 Feb Forecast'!S346</f>
        <v>-147.2147001934236</v>
      </c>
      <c r="T346" s="108">
        <f>+'FY16 Tax Bill'!T346-'FY16 Feb Forecast'!T346</f>
        <v>160.48549323017414</v>
      </c>
    </row>
    <row r="347" spans="1:20" x14ac:dyDescent="0.2">
      <c r="A347" s="109">
        <v>2904</v>
      </c>
      <c r="B347" s="110">
        <v>1</v>
      </c>
      <c r="C347" s="103" t="s">
        <v>454</v>
      </c>
      <c r="D347" s="103">
        <v>6</v>
      </c>
      <c r="E347" s="104">
        <f>+SUMIF('GE16FEB14 Unfudged'!$A$2:$A$498, $A347, 'GE16FEB14 Unfudged'!$D$2:$D$498)</f>
        <v>794</v>
      </c>
      <c r="F347" s="104">
        <f>+'FY16 Tax Bill'!F347-'FY16 Feb Forecast'!F347</f>
        <v>12531</v>
      </c>
      <c r="G347" s="105">
        <f>+'FY16 Tax Bill'!G347-'FY16 Feb Forecast'!G347</f>
        <v>8021</v>
      </c>
      <c r="H347" s="106">
        <f>+'FY16 Tax Bill'!H347-'FY16 Feb Forecast'!H347</f>
        <v>4510</v>
      </c>
      <c r="I347" s="107">
        <f>+'FY16 Tax Bill'!I347-'FY16 Feb Forecast'!I347</f>
        <v>336741</v>
      </c>
      <c r="J347" s="105">
        <f>+'FY16 Tax Bill'!J347-'FY16 Feb Forecast'!J347</f>
        <v>215557</v>
      </c>
      <c r="K347" s="106">
        <f>+'FY16 Tax Bill'!K347-'FY16 Feb Forecast'!K347</f>
        <v>121184</v>
      </c>
      <c r="L347" s="107">
        <f>+'FY16 Tax Bill'!L347-'FY16 Feb Forecast'!L347</f>
        <v>-336741</v>
      </c>
      <c r="M347" s="105">
        <f>+'FY16 Tax Bill'!M347-'FY16 Feb Forecast'!M347</f>
        <v>-276372</v>
      </c>
      <c r="N347" s="106">
        <f>+'FY16 Tax Bill'!N347-'FY16 Feb Forecast'!N347</f>
        <v>-60369</v>
      </c>
      <c r="O347" s="107">
        <f>+'FY16 Tax Bill'!O347-'FY16 Feb Forecast'!O347</f>
        <v>12531</v>
      </c>
      <c r="P347" s="105">
        <f>+'FY16 Tax Bill'!P347-'FY16 Feb Forecast'!P347</f>
        <v>-52794</v>
      </c>
      <c r="Q347" s="106">
        <f>+'FY16 Tax Bill'!Q347-'FY16 Feb Forecast'!Q347</f>
        <v>65325</v>
      </c>
      <c r="R347" s="105">
        <f>+'FY16 Tax Bill'!R347-'FY16 Feb Forecast'!R347</f>
        <v>15.782115869017616</v>
      </c>
      <c r="S347" s="105">
        <f>+'FY16 Tax Bill'!S347-'FY16 Feb Forecast'!S347</f>
        <v>-66.491183879093228</v>
      </c>
      <c r="T347" s="108">
        <f>+'FY16 Tax Bill'!T347-'FY16 Feb Forecast'!T347</f>
        <v>82.273299748110844</v>
      </c>
    </row>
    <row r="348" spans="1:20" x14ac:dyDescent="0.2">
      <c r="A348" s="109">
        <v>2905</v>
      </c>
      <c r="B348" s="110">
        <v>1</v>
      </c>
      <c r="C348" s="103" t="s">
        <v>15</v>
      </c>
      <c r="D348" s="103">
        <v>5</v>
      </c>
      <c r="E348" s="104">
        <f>+SUMIF('GE16FEB14 Unfudged'!$A$2:$A$498, $A348, 'GE16FEB14 Unfudged'!$D$2:$D$498)</f>
        <v>2098</v>
      </c>
      <c r="F348" s="104">
        <f>+'FY16 Tax Bill'!F348-'FY16 Feb Forecast'!F348</f>
        <v>21949</v>
      </c>
      <c r="G348" s="105">
        <f>+'FY16 Tax Bill'!G348-'FY16 Feb Forecast'!G348</f>
        <v>13361</v>
      </c>
      <c r="H348" s="106">
        <f>+'FY16 Tax Bill'!H348-'FY16 Feb Forecast'!H348</f>
        <v>8588</v>
      </c>
      <c r="I348" s="107">
        <f>+'FY16 Tax Bill'!I348-'FY16 Feb Forecast'!I348</f>
        <v>889722</v>
      </c>
      <c r="J348" s="105">
        <f>+'FY16 Tax Bill'!J348-'FY16 Feb Forecast'!J348</f>
        <v>541581</v>
      </c>
      <c r="K348" s="106">
        <f>+'FY16 Tax Bill'!K348-'FY16 Feb Forecast'!K348</f>
        <v>348141</v>
      </c>
      <c r="L348" s="107">
        <f>+'FY16 Tax Bill'!L348-'FY16 Feb Forecast'!L348</f>
        <v>-479842</v>
      </c>
      <c r="M348" s="105">
        <f>+'FY16 Tax Bill'!M348-'FY16 Feb Forecast'!M348</f>
        <v>-292083</v>
      </c>
      <c r="N348" s="106">
        <f>+'FY16 Tax Bill'!N348-'FY16 Feb Forecast'!N348</f>
        <v>-187759</v>
      </c>
      <c r="O348" s="107">
        <f>+'FY16 Tax Bill'!O348-'FY16 Feb Forecast'!O348</f>
        <v>431829</v>
      </c>
      <c r="P348" s="105">
        <f>+'FY16 Tax Bill'!P348-'FY16 Feb Forecast'!P348</f>
        <v>262859</v>
      </c>
      <c r="Q348" s="106">
        <f>+'FY16 Tax Bill'!Q348-'FY16 Feb Forecast'!Q348</f>
        <v>168970</v>
      </c>
      <c r="R348" s="105">
        <f>+'FY16 Tax Bill'!R348-'FY16 Feb Forecast'!R348</f>
        <v>205.82888465204951</v>
      </c>
      <c r="S348" s="105">
        <f>+'FY16 Tax Bill'!S348-'FY16 Feb Forecast'!S348</f>
        <v>125.2902764537655</v>
      </c>
      <c r="T348" s="108">
        <f>+'FY16 Tax Bill'!T348-'FY16 Feb Forecast'!T348</f>
        <v>80.538608198284123</v>
      </c>
    </row>
    <row r="349" spans="1:20" x14ac:dyDescent="0.2">
      <c r="A349" s="109">
        <v>2906</v>
      </c>
      <c r="B349" s="110">
        <v>1</v>
      </c>
      <c r="C349" s="103" t="s">
        <v>468</v>
      </c>
      <c r="D349" s="103">
        <v>6</v>
      </c>
      <c r="E349" s="104">
        <f>+SUMIF('GE16FEB14 Unfudged'!$A$2:$A$498, $A349, 'GE16FEB14 Unfudged'!$D$2:$D$498)</f>
        <v>412</v>
      </c>
      <c r="F349" s="104">
        <f>+'FY16 Tax Bill'!F349-'FY16 Feb Forecast'!F349</f>
        <v>5817</v>
      </c>
      <c r="G349" s="105">
        <f>+'FY16 Tax Bill'!G349-'FY16 Feb Forecast'!G349</f>
        <v>4624</v>
      </c>
      <c r="H349" s="106">
        <f>+'FY16 Tax Bill'!H349-'FY16 Feb Forecast'!H349</f>
        <v>1193</v>
      </c>
      <c r="I349" s="107">
        <f>+'FY16 Tax Bill'!I349-'FY16 Feb Forecast'!I349</f>
        <v>174518</v>
      </c>
      <c r="J349" s="105">
        <f>+'FY16 Tax Bill'!J349-'FY16 Feb Forecast'!J349</f>
        <v>138730</v>
      </c>
      <c r="K349" s="106">
        <f>+'FY16 Tax Bill'!K349-'FY16 Feb Forecast'!K349</f>
        <v>35788</v>
      </c>
      <c r="L349" s="107">
        <f>+'FY16 Tax Bill'!L349-'FY16 Feb Forecast'!L349</f>
        <v>-174519</v>
      </c>
      <c r="M349" s="105">
        <f>+'FY16 Tax Bill'!M349-'FY16 Feb Forecast'!M349</f>
        <v>-166125</v>
      </c>
      <c r="N349" s="106">
        <f>+'FY16 Tax Bill'!N349-'FY16 Feb Forecast'!N349</f>
        <v>-8394</v>
      </c>
      <c r="O349" s="107">
        <f>+'FY16 Tax Bill'!O349-'FY16 Feb Forecast'!O349</f>
        <v>5816</v>
      </c>
      <c r="P349" s="105">
        <f>+'FY16 Tax Bill'!P349-'FY16 Feb Forecast'!P349</f>
        <v>-22771</v>
      </c>
      <c r="Q349" s="106">
        <f>+'FY16 Tax Bill'!Q349-'FY16 Feb Forecast'!Q349</f>
        <v>28587</v>
      </c>
      <c r="R349" s="105">
        <f>+'FY16 Tax Bill'!R349-'FY16 Feb Forecast'!R349</f>
        <v>14.116504854368941</v>
      </c>
      <c r="S349" s="105">
        <f>+'FY16 Tax Bill'!S349-'FY16 Feb Forecast'!S349</f>
        <v>-55.269417475728233</v>
      </c>
      <c r="T349" s="108">
        <f>+'FY16 Tax Bill'!T349-'FY16 Feb Forecast'!T349</f>
        <v>69.385922330097117</v>
      </c>
    </row>
    <row r="350" spans="1:20" x14ac:dyDescent="0.2">
      <c r="A350" s="109">
        <v>2907</v>
      </c>
      <c r="B350" s="110">
        <v>1</v>
      </c>
      <c r="C350" s="103" t="s">
        <v>469</v>
      </c>
      <c r="D350" s="103">
        <v>6</v>
      </c>
      <c r="E350" s="104">
        <f>+SUMIF('GE16FEB14 Unfudged'!$A$2:$A$498, $A350, 'GE16FEB14 Unfudged'!$D$2:$D$498)</f>
        <v>314</v>
      </c>
      <c r="F350" s="104">
        <f>+'FY16 Tax Bill'!F350-'FY16 Feb Forecast'!F350</f>
        <v>2174</v>
      </c>
      <c r="G350" s="105">
        <f>+'FY16 Tax Bill'!G350-'FY16 Feb Forecast'!G350</f>
        <v>1235</v>
      </c>
      <c r="H350" s="106">
        <f>+'FY16 Tax Bill'!H350-'FY16 Feb Forecast'!H350</f>
        <v>939</v>
      </c>
      <c r="I350" s="107">
        <f>+'FY16 Tax Bill'!I350-'FY16 Feb Forecast'!I350</f>
        <v>133051</v>
      </c>
      <c r="J350" s="105">
        <f>+'FY16 Tax Bill'!J350-'FY16 Feb Forecast'!J350</f>
        <v>75555</v>
      </c>
      <c r="K350" s="106">
        <f>+'FY16 Tax Bill'!K350-'FY16 Feb Forecast'!K350</f>
        <v>57496</v>
      </c>
      <c r="L350" s="107">
        <f>+'FY16 Tax Bill'!L350-'FY16 Feb Forecast'!L350</f>
        <v>-133051</v>
      </c>
      <c r="M350" s="105">
        <f>+'FY16 Tax Bill'!M350-'FY16 Feb Forecast'!M350</f>
        <v>-132924</v>
      </c>
      <c r="N350" s="106">
        <f>+'FY16 Tax Bill'!N350-'FY16 Feb Forecast'!N350</f>
        <v>-127</v>
      </c>
      <c r="O350" s="107">
        <f>+'FY16 Tax Bill'!O350-'FY16 Feb Forecast'!O350</f>
        <v>2174</v>
      </c>
      <c r="P350" s="105">
        <f>+'FY16 Tax Bill'!P350-'FY16 Feb Forecast'!P350</f>
        <v>-56134</v>
      </c>
      <c r="Q350" s="106">
        <f>+'FY16 Tax Bill'!Q350-'FY16 Feb Forecast'!Q350</f>
        <v>58308</v>
      </c>
      <c r="R350" s="105">
        <f>+'FY16 Tax Bill'!R350-'FY16 Feb Forecast'!R350</f>
        <v>6.9235668789808642</v>
      </c>
      <c r="S350" s="105">
        <f>+'FY16 Tax Bill'!S350-'FY16 Feb Forecast'!S350</f>
        <v>-178.77070063694259</v>
      </c>
      <c r="T350" s="108">
        <f>+'FY16 Tax Bill'!T350-'FY16 Feb Forecast'!T350</f>
        <v>185.69426751592363</v>
      </c>
    </row>
    <row r="351" spans="1:20" x14ac:dyDescent="0.2">
      <c r="A351" s="109">
        <v>2908</v>
      </c>
      <c r="B351" s="110">
        <v>1</v>
      </c>
      <c r="C351" s="103" t="s">
        <v>470</v>
      </c>
      <c r="D351" s="103">
        <v>6</v>
      </c>
      <c r="E351" s="104">
        <f>+SUMIF('GE16FEB14 Unfudged'!$A$2:$A$498, $A351, 'GE16FEB14 Unfudged'!$D$2:$D$498)</f>
        <v>503</v>
      </c>
      <c r="F351" s="104">
        <f>+'FY16 Tax Bill'!F351-'FY16 Feb Forecast'!F351</f>
        <v>6808</v>
      </c>
      <c r="G351" s="105">
        <f>+'FY16 Tax Bill'!G351-'FY16 Feb Forecast'!G351</f>
        <v>5153</v>
      </c>
      <c r="H351" s="106">
        <f>+'FY16 Tax Bill'!H351-'FY16 Feb Forecast'!H351</f>
        <v>1655</v>
      </c>
      <c r="I351" s="107">
        <f>+'FY16 Tax Bill'!I351-'FY16 Feb Forecast'!I351</f>
        <v>213357</v>
      </c>
      <c r="J351" s="105">
        <f>+'FY16 Tax Bill'!J351-'FY16 Feb Forecast'!J351</f>
        <v>161479</v>
      </c>
      <c r="K351" s="106">
        <f>+'FY16 Tax Bill'!K351-'FY16 Feb Forecast'!K351</f>
        <v>51878</v>
      </c>
      <c r="L351" s="107">
        <f>+'FY16 Tax Bill'!L351-'FY16 Feb Forecast'!L351</f>
        <v>-213357</v>
      </c>
      <c r="M351" s="105">
        <f>+'FY16 Tax Bill'!M351-'FY16 Feb Forecast'!M351</f>
        <v>-206208</v>
      </c>
      <c r="N351" s="106">
        <f>+'FY16 Tax Bill'!N351-'FY16 Feb Forecast'!N351</f>
        <v>-7149</v>
      </c>
      <c r="O351" s="107">
        <f>+'FY16 Tax Bill'!O351-'FY16 Feb Forecast'!O351</f>
        <v>6808</v>
      </c>
      <c r="P351" s="105">
        <f>+'FY16 Tax Bill'!P351-'FY16 Feb Forecast'!P351</f>
        <v>-39576</v>
      </c>
      <c r="Q351" s="106">
        <f>+'FY16 Tax Bill'!Q351-'FY16 Feb Forecast'!Q351</f>
        <v>46384</v>
      </c>
      <c r="R351" s="105">
        <f>+'FY16 Tax Bill'!R351-'FY16 Feb Forecast'!R351</f>
        <v>13.534791252485093</v>
      </c>
      <c r="S351" s="105">
        <f>+'FY16 Tax Bill'!S351-'FY16 Feb Forecast'!S351</f>
        <v>-78.679920477137216</v>
      </c>
      <c r="T351" s="108">
        <f>+'FY16 Tax Bill'!T351-'FY16 Feb Forecast'!T351</f>
        <v>92.214711729622309</v>
      </c>
    </row>
    <row r="352" spans="1:20" x14ac:dyDescent="0.2">
      <c r="A352" s="109">
        <v>3000</v>
      </c>
      <c r="B352" s="110">
        <v>1</v>
      </c>
      <c r="C352" s="103" t="s">
        <v>16</v>
      </c>
      <c r="D352" s="103">
        <v>9</v>
      </c>
      <c r="E352" s="104">
        <f>+SUMIF('GE16FEB14 Unfudged'!$A$2:$A$498, $A352, 'GE16FEB14 Unfudged'!$D$2:$D$498)</f>
        <v>0</v>
      </c>
      <c r="F352" s="104">
        <f>+'FY16 Tax Bill'!F352-'FY16 Feb Forecast'!F352</f>
        <v>-268983</v>
      </c>
      <c r="G352" s="105">
        <f>+'FY16 Tax Bill'!G352-'FY16 Feb Forecast'!G352</f>
        <v>-252180</v>
      </c>
      <c r="H352" s="106">
        <f>+'FY16 Tax Bill'!H352-'FY16 Feb Forecast'!H352</f>
        <v>-16803</v>
      </c>
      <c r="I352" s="107">
        <f>+'FY16 Tax Bill'!I352-'FY16 Feb Forecast'!I352</f>
        <v>-3322459</v>
      </c>
      <c r="J352" s="105">
        <f>+'FY16 Tax Bill'!J352-'FY16 Feb Forecast'!J352</f>
        <v>-3079461</v>
      </c>
      <c r="K352" s="106">
        <f>+'FY16 Tax Bill'!K352-'FY16 Feb Forecast'!K352</f>
        <v>-242998</v>
      </c>
      <c r="L352" s="107">
        <f>+'FY16 Tax Bill'!L352-'FY16 Feb Forecast'!L352</f>
        <v>3065209</v>
      </c>
      <c r="M352" s="105">
        <f>+'FY16 Tax Bill'!M352-'FY16 Feb Forecast'!M352</f>
        <v>2103259</v>
      </c>
      <c r="N352" s="106">
        <f>+'FY16 Tax Bill'!N352-'FY16 Feb Forecast'!N352</f>
        <v>961950</v>
      </c>
      <c r="O352" s="107">
        <f>+'FY16 Tax Bill'!O352-'FY16 Feb Forecast'!O352</f>
        <v>-526233</v>
      </c>
      <c r="P352" s="105">
        <f>+'FY16 Tax Bill'!P352-'FY16 Feb Forecast'!P352</f>
        <v>-1228382</v>
      </c>
      <c r="Q352" s="106">
        <f>+'FY16 Tax Bill'!Q352-'FY16 Feb Forecast'!Q352</f>
        <v>702149</v>
      </c>
      <c r="R352" s="105">
        <f>+'FY16 Tax Bill'!R352-'FY16 Feb Forecast'!R352</f>
        <v>0</v>
      </c>
      <c r="S352" s="105">
        <f>+'FY16 Tax Bill'!S352-'FY16 Feb Forecast'!S352</f>
        <v>0</v>
      </c>
      <c r="T352" s="108">
        <f>+'FY16 Tax Bill'!T352-'FY16 Feb Forecast'!T352</f>
        <v>0</v>
      </c>
    </row>
    <row r="353" spans="1:20" x14ac:dyDescent="0.2">
      <c r="A353" s="109">
        <v>3999</v>
      </c>
      <c r="B353" s="110">
        <v>1</v>
      </c>
      <c r="C353" s="103" t="s">
        <v>17</v>
      </c>
      <c r="D353" s="103">
        <v>9</v>
      </c>
      <c r="E353" s="104">
        <f>+SUMIF('GE16FEB14 Unfudged'!$A$2:$A$498, $A353, 'GE16FEB14 Unfudged'!$D$2:$D$498)</f>
        <v>8458</v>
      </c>
      <c r="F353" s="104">
        <f>+'FY16 Tax Bill'!F353-'FY16 Feb Forecast'!F353</f>
        <v>23347</v>
      </c>
      <c r="G353" s="105">
        <f>+'FY16 Tax Bill'!G353-'FY16 Feb Forecast'!G353</f>
        <v>-32607</v>
      </c>
      <c r="H353" s="106">
        <f>+'FY16 Tax Bill'!H353-'FY16 Feb Forecast'!H353</f>
        <v>55954</v>
      </c>
      <c r="I353" s="107">
        <f>+'FY16 Tax Bill'!I353-'FY16 Feb Forecast'!I353</f>
        <v>1143956</v>
      </c>
      <c r="J353" s="105">
        <f>+'FY16 Tax Bill'!J353-'FY16 Feb Forecast'!J353</f>
        <v>-1409169</v>
      </c>
      <c r="K353" s="106">
        <f>+'FY16 Tax Bill'!K353-'FY16 Feb Forecast'!K353</f>
        <v>2553125</v>
      </c>
      <c r="L353" s="107">
        <f>+'FY16 Tax Bill'!L353-'FY16 Feb Forecast'!L353</f>
        <v>-728546</v>
      </c>
      <c r="M353" s="105">
        <f>+'FY16 Tax Bill'!M353-'FY16 Feb Forecast'!M353</f>
        <v>633270</v>
      </c>
      <c r="N353" s="106">
        <f>+'FY16 Tax Bill'!N353-'FY16 Feb Forecast'!N353</f>
        <v>-1361816</v>
      </c>
      <c r="O353" s="107">
        <f>+'FY16 Tax Bill'!O353-'FY16 Feb Forecast'!O353</f>
        <v>438757</v>
      </c>
      <c r="P353" s="105">
        <f>+'FY16 Tax Bill'!P353-'FY16 Feb Forecast'!P353</f>
        <v>-808506</v>
      </c>
      <c r="Q353" s="106">
        <f>+'FY16 Tax Bill'!Q353-'FY16 Feb Forecast'!Q353</f>
        <v>1247263</v>
      </c>
      <c r="R353" s="105">
        <f>+'FY16 Tax Bill'!R353-'FY16 Feb Forecast'!R353</f>
        <v>51.874793095294535</v>
      </c>
      <c r="S353" s="105">
        <f>+'FY16 Tax Bill'!S353-'FY16 Feb Forecast'!S353</f>
        <v>-95.590683376684751</v>
      </c>
      <c r="T353" s="108">
        <f>+'FY16 Tax Bill'!T353-'FY16 Feb Forecast'!T353</f>
        <v>147.46547647197895</v>
      </c>
    </row>
    <row r="354" spans="1:20" x14ac:dyDescent="0.2">
      <c r="A354" s="109">
        <v>4000</v>
      </c>
      <c r="B354" s="110">
        <v>1</v>
      </c>
      <c r="C354" s="103" t="s">
        <v>18</v>
      </c>
      <c r="D354" s="103">
        <v>7</v>
      </c>
      <c r="E354" s="104">
        <f>+SUMIF('GE16FEB14 Unfudged'!$A$2:$A$498, $A354, 'GE16FEB14 Unfudged'!$D$2:$D$498)</f>
        <v>132</v>
      </c>
      <c r="F354" s="104">
        <f>+'FY16 Tax Bill'!F354-'FY16 Feb Forecast'!F354</f>
        <v>364</v>
      </c>
      <c r="G354" s="105">
        <f>+'FY16 Tax Bill'!G354-'FY16 Feb Forecast'!G354</f>
        <v>0</v>
      </c>
      <c r="H354" s="106">
        <f>+'FY16 Tax Bill'!H354-'FY16 Feb Forecast'!H354</f>
        <v>364</v>
      </c>
      <c r="I354" s="107">
        <f>+'FY16 Tax Bill'!I354-'FY16 Feb Forecast'!I354</f>
        <v>0</v>
      </c>
      <c r="J354" s="105">
        <f>+'FY16 Tax Bill'!J354-'FY16 Feb Forecast'!J354</f>
        <v>0</v>
      </c>
      <c r="K354" s="106">
        <f>+'FY16 Tax Bill'!K354-'FY16 Feb Forecast'!K354</f>
        <v>0</v>
      </c>
      <c r="L354" s="107">
        <f>+'FY16 Tax Bill'!L354-'FY16 Feb Forecast'!L354</f>
        <v>0</v>
      </c>
      <c r="M354" s="105">
        <f>+'FY16 Tax Bill'!M354-'FY16 Feb Forecast'!M354</f>
        <v>0</v>
      </c>
      <c r="N354" s="106">
        <f>+'FY16 Tax Bill'!N354-'FY16 Feb Forecast'!N354</f>
        <v>0</v>
      </c>
      <c r="O354" s="107">
        <f>+'FY16 Tax Bill'!O354-'FY16 Feb Forecast'!O354</f>
        <v>364</v>
      </c>
      <c r="P354" s="105">
        <f>+'FY16 Tax Bill'!P354-'FY16 Feb Forecast'!P354</f>
        <v>0</v>
      </c>
      <c r="Q354" s="106">
        <f>+'FY16 Tax Bill'!Q354-'FY16 Feb Forecast'!Q354</f>
        <v>364</v>
      </c>
      <c r="R354" s="105">
        <f>+'FY16 Tax Bill'!R354-'FY16 Feb Forecast'!R354</f>
        <v>2.7575757575757649</v>
      </c>
      <c r="S354" s="105">
        <f>+'FY16 Tax Bill'!S354-'FY16 Feb Forecast'!S354</f>
        <v>0</v>
      </c>
      <c r="T354" s="108">
        <f>+'FY16 Tax Bill'!T354-'FY16 Feb Forecast'!T354</f>
        <v>2.7575757575757649</v>
      </c>
    </row>
    <row r="355" spans="1:20" x14ac:dyDescent="0.2">
      <c r="A355" s="109">
        <v>4001</v>
      </c>
      <c r="B355" s="110">
        <v>1</v>
      </c>
      <c r="C355" s="103" t="s">
        <v>19</v>
      </c>
      <c r="D355" s="103">
        <v>7</v>
      </c>
      <c r="E355" s="104">
        <f>+SUMIF('GE16FEB14 Unfudged'!$A$2:$A$498, $A355, 'GE16FEB14 Unfudged'!$D$2:$D$498)</f>
        <v>228</v>
      </c>
      <c r="F355" s="104">
        <f>+'FY16 Tax Bill'!F355-'FY16 Feb Forecast'!F355</f>
        <v>631</v>
      </c>
      <c r="G355" s="105">
        <f>+'FY16 Tax Bill'!G355-'FY16 Feb Forecast'!G355</f>
        <v>0</v>
      </c>
      <c r="H355" s="106">
        <f>+'FY16 Tax Bill'!H355-'FY16 Feb Forecast'!H355</f>
        <v>631</v>
      </c>
      <c r="I355" s="107">
        <f>+'FY16 Tax Bill'!I355-'FY16 Feb Forecast'!I355</f>
        <v>0</v>
      </c>
      <c r="J355" s="105">
        <f>+'FY16 Tax Bill'!J355-'FY16 Feb Forecast'!J355</f>
        <v>0</v>
      </c>
      <c r="K355" s="106">
        <f>+'FY16 Tax Bill'!K355-'FY16 Feb Forecast'!K355</f>
        <v>0</v>
      </c>
      <c r="L355" s="107">
        <f>+'FY16 Tax Bill'!L355-'FY16 Feb Forecast'!L355</f>
        <v>0</v>
      </c>
      <c r="M355" s="105">
        <f>+'FY16 Tax Bill'!M355-'FY16 Feb Forecast'!M355</f>
        <v>0</v>
      </c>
      <c r="N355" s="106">
        <f>+'FY16 Tax Bill'!N355-'FY16 Feb Forecast'!N355</f>
        <v>0</v>
      </c>
      <c r="O355" s="107">
        <f>+'FY16 Tax Bill'!O355-'FY16 Feb Forecast'!O355</f>
        <v>631</v>
      </c>
      <c r="P355" s="105">
        <f>+'FY16 Tax Bill'!P355-'FY16 Feb Forecast'!P355</f>
        <v>0</v>
      </c>
      <c r="Q355" s="106">
        <f>+'FY16 Tax Bill'!Q355-'FY16 Feb Forecast'!Q355</f>
        <v>631</v>
      </c>
      <c r="R355" s="105">
        <f>+'FY16 Tax Bill'!R355-'FY16 Feb Forecast'!R355</f>
        <v>2.7675438596491233</v>
      </c>
      <c r="S355" s="105">
        <f>+'FY16 Tax Bill'!S355-'FY16 Feb Forecast'!S355</f>
        <v>0</v>
      </c>
      <c r="T355" s="108">
        <f>+'FY16 Tax Bill'!T355-'FY16 Feb Forecast'!T355</f>
        <v>2.7675438596491233</v>
      </c>
    </row>
    <row r="356" spans="1:20" x14ac:dyDescent="0.2">
      <c r="A356" s="109">
        <v>4003</v>
      </c>
      <c r="B356" s="110">
        <v>1</v>
      </c>
      <c r="C356" s="103" t="s">
        <v>20</v>
      </c>
      <c r="D356" s="103">
        <v>7</v>
      </c>
      <c r="E356" s="104">
        <f>+SUMIF('GE16FEB14 Unfudged'!$A$2:$A$498, $A356, 'GE16FEB14 Unfudged'!$D$2:$D$498)</f>
        <v>156</v>
      </c>
      <c r="F356" s="104">
        <f>+'FY16 Tax Bill'!F356-'FY16 Feb Forecast'!F356</f>
        <v>430</v>
      </c>
      <c r="G356" s="105">
        <f>+'FY16 Tax Bill'!G356-'FY16 Feb Forecast'!G356</f>
        <v>0</v>
      </c>
      <c r="H356" s="106">
        <f>+'FY16 Tax Bill'!H356-'FY16 Feb Forecast'!H356</f>
        <v>430</v>
      </c>
      <c r="I356" s="107">
        <f>+'FY16 Tax Bill'!I356-'FY16 Feb Forecast'!I356</f>
        <v>0</v>
      </c>
      <c r="J356" s="105">
        <f>+'FY16 Tax Bill'!J356-'FY16 Feb Forecast'!J356</f>
        <v>0</v>
      </c>
      <c r="K356" s="106">
        <f>+'FY16 Tax Bill'!K356-'FY16 Feb Forecast'!K356</f>
        <v>0</v>
      </c>
      <c r="L356" s="107">
        <f>+'FY16 Tax Bill'!L356-'FY16 Feb Forecast'!L356</f>
        <v>0</v>
      </c>
      <c r="M356" s="105">
        <f>+'FY16 Tax Bill'!M356-'FY16 Feb Forecast'!M356</f>
        <v>0</v>
      </c>
      <c r="N356" s="106">
        <f>+'FY16 Tax Bill'!N356-'FY16 Feb Forecast'!N356</f>
        <v>0</v>
      </c>
      <c r="O356" s="107">
        <f>+'FY16 Tax Bill'!O356-'FY16 Feb Forecast'!O356</f>
        <v>430</v>
      </c>
      <c r="P356" s="105">
        <f>+'FY16 Tax Bill'!P356-'FY16 Feb Forecast'!P356</f>
        <v>0</v>
      </c>
      <c r="Q356" s="106">
        <f>+'FY16 Tax Bill'!Q356-'FY16 Feb Forecast'!Q356</f>
        <v>430</v>
      </c>
      <c r="R356" s="105">
        <f>+'FY16 Tax Bill'!R356-'FY16 Feb Forecast'!R356</f>
        <v>2.7564102564102626</v>
      </c>
      <c r="S356" s="105">
        <f>+'FY16 Tax Bill'!S356-'FY16 Feb Forecast'!S356</f>
        <v>0</v>
      </c>
      <c r="T356" s="108">
        <f>+'FY16 Tax Bill'!T356-'FY16 Feb Forecast'!T356</f>
        <v>2.7564102564102626</v>
      </c>
    </row>
    <row r="357" spans="1:20" x14ac:dyDescent="0.2">
      <c r="A357" s="109">
        <v>4004</v>
      </c>
      <c r="B357" s="110">
        <v>1</v>
      </c>
      <c r="C357" s="103" t="s">
        <v>471</v>
      </c>
      <c r="D357" s="103">
        <v>7</v>
      </c>
      <c r="E357" s="104">
        <f>+SUMIF('GE16FEB14 Unfudged'!$A$2:$A$498, $A357, 'GE16FEB14 Unfudged'!$D$2:$D$498)</f>
        <v>161</v>
      </c>
      <c r="F357" s="104">
        <f>+'FY16 Tax Bill'!F357-'FY16 Feb Forecast'!F357</f>
        <v>446</v>
      </c>
      <c r="G357" s="105">
        <f>+'FY16 Tax Bill'!G357-'FY16 Feb Forecast'!G357</f>
        <v>0</v>
      </c>
      <c r="H357" s="106">
        <f>+'FY16 Tax Bill'!H357-'FY16 Feb Forecast'!H357</f>
        <v>446</v>
      </c>
      <c r="I357" s="107">
        <f>+'FY16 Tax Bill'!I357-'FY16 Feb Forecast'!I357</f>
        <v>0</v>
      </c>
      <c r="J357" s="105">
        <f>+'FY16 Tax Bill'!J357-'FY16 Feb Forecast'!J357</f>
        <v>0</v>
      </c>
      <c r="K357" s="106">
        <f>+'FY16 Tax Bill'!K357-'FY16 Feb Forecast'!K357</f>
        <v>0</v>
      </c>
      <c r="L357" s="107">
        <f>+'FY16 Tax Bill'!L357-'FY16 Feb Forecast'!L357</f>
        <v>0</v>
      </c>
      <c r="M357" s="105">
        <f>+'FY16 Tax Bill'!M357-'FY16 Feb Forecast'!M357</f>
        <v>0</v>
      </c>
      <c r="N357" s="106">
        <f>+'FY16 Tax Bill'!N357-'FY16 Feb Forecast'!N357</f>
        <v>0</v>
      </c>
      <c r="O357" s="107">
        <f>+'FY16 Tax Bill'!O357-'FY16 Feb Forecast'!O357</f>
        <v>446</v>
      </c>
      <c r="P357" s="105">
        <f>+'FY16 Tax Bill'!P357-'FY16 Feb Forecast'!P357</f>
        <v>0</v>
      </c>
      <c r="Q357" s="106">
        <f>+'FY16 Tax Bill'!Q357-'FY16 Feb Forecast'!Q357</f>
        <v>446</v>
      </c>
      <c r="R357" s="105">
        <f>+'FY16 Tax Bill'!R357-'FY16 Feb Forecast'!R357</f>
        <v>2.7701863354037215</v>
      </c>
      <c r="S357" s="105">
        <f>+'FY16 Tax Bill'!S357-'FY16 Feb Forecast'!S357</f>
        <v>0</v>
      </c>
      <c r="T357" s="108">
        <f>+'FY16 Tax Bill'!T357-'FY16 Feb Forecast'!T357</f>
        <v>2.7701863354037215</v>
      </c>
    </row>
    <row r="358" spans="1:20" x14ac:dyDescent="0.2">
      <c r="A358" s="109">
        <v>4005</v>
      </c>
      <c r="B358" s="110">
        <v>1</v>
      </c>
      <c r="C358" s="103" t="s">
        <v>472</v>
      </c>
      <c r="D358" s="103">
        <v>7</v>
      </c>
      <c r="E358" s="104">
        <f>+SUMIF('GE16FEB14 Unfudged'!$A$2:$A$498, $A358, 'GE16FEB14 Unfudged'!$D$2:$D$498)</f>
        <v>26</v>
      </c>
      <c r="F358" s="104">
        <f>+'FY16 Tax Bill'!F358-'FY16 Feb Forecast'!F358</f>
        <v>73</v>
      </c>
      <c r="G358" s="105">
        <f>+'FY16 Tax Bill'!G358-'FY16 Feb Forecast'!G358</f>
        <v>0</v>
      </c>
      <c r="H358" s="106">
        <f>+'FY16 Tax Bill'!H358-'FY16 Feb Forecast'!H358</f>
        <v>73</v>
      </c>
      <c r="I358" s="107">
        <f>+'FY16 Tax Bill'!I358-'FY16 Feb Forecast'!I358</f>
        <v>0</v>
      </c>
      <c r="J358" s="105">
        <f>+'FY16 Tax Bill'!J358-'FY16 Feb Forecast'!J358</f>
        <v>0</v>
      </c>
      <c r="K358" s="106">
        <f>+'FY16 Tax Bill'!K358-'FY16 Feb Forecast'!K358</f>
        <v>0</v>
      </c>
      <c r="L358" s="107">
        <f>+'FY16 Tax Bill'!L358-'FY16 Feb Forecast'!L358</f>
        <v>0</v>
      </c>
      <c r="M358" s="105">
        <f>+'FY16 Tax Bill'!M358-'FY16 Feb Forecast'!M358</f>
        <v>0</v>
      </c>
      <c r="N358" s="106">
        <f>+'FY16 Tax Bill'!N358-'FY16 Feb Forecast'!N358</f>
        <v>0</v>
      </c>
      <c r="O358" s="107">
        <f>+'FY16 Tax Bill'!O358-'FY16 Feb Forecast'!O358</f>
        <v>73</v>
      </c>
      <c r="P358" s="105">
        <f>+'FY16 Tax Bill'!P358-'FY16 Feb Forecast'!P358</f>
        <v>0</v>
      </c>
      <c r="Q358" s="106">
        <f>+'FY16 Tax Bill'!Q358-'FY16 Feb Forecast'!Q358</f>
        <v>73</v>
      </c>
      <c r="R358" s="105">
        <f>+'FY16 Tax Bill'!R358-'FY16 Feb Forecast'!R358</f>
        <v>2.8076923076923066</v>
      </c>
      <c r="S358" s="105">
        <f>+'FY16 Tax Bill'!S358-'FY16 Feb Forecast'!S358</f>
        <v>0</v>
      </c>
      <c r="T358" s="108">
        <f>+'FY16 Tax Bill'!T358-'FY16 Feb Forecast'!T358</f>
        <v>2.8076923076923066</v>
      </c>
    </row>
    <row r="359" spans="1:20" x14ac:dyDescent="0.2">
      <c r="A359" s="109">
        <v>4007</v>
      </c>
      <c r="B359" s="110">
        <v>1</v>
      </c>
      <c r="C359" s="103" t="s">
        <v>21</v>
      </c>
      <c r="D359" s="103">
        <v>7</v>
      </c>
      <c r="E359" s="104">
        <f>+SUMIF('GE16FEB14 Unfudged'!$A$2:$A$498, $A359, 'GE16FEB14 Unfudged'!$D$2:$D$498)</f>
        <v>190</v>
      </c>
      <c r="F359" s="104">
        <f>+'FY16 Tax Bill'!F359-'FY16 Feb Forecast'!F359</f>
        <v>524</v>
      </c>
      <c r="G359" s="105">
        <f>+'FY16 Tax Bill'!G359-'FY16 Feb Forecast'!G359</f>
        <v>0</v>
      </c>
      <c r="H359" s="106">
        <f>+'FY16 Tax Bill'!H359-'FY16 Feb Forecast'!H359</f>
        <v>524</v>
      </c>
      <c r="I359" s="107">
        <f>+'FY16 Tax Bill'!I359-'FY16 Feb Forecast'!I359</f>
        <v>0</v>
      </c>
      <c r="J359" s="105">
        <f>+'FY16 Tax Bill'!J359-'FY16 Feb Forecast'!J359</f>
        <v>0</v>
      </c>
      <c r="K359" s="106">
        <f>+'FY16 Tax Bill'!K359-'FY16 Feb Forecast'!K359</f>
        <v>0</v>
      </c>
      <c r="L359" s="107">
        <f>+'FY16 Tax Bill'!L359-'FY16 Feb Forecast'!L359</f>
        <v>0</v>
      </c>
      <c r="M359" s="105">
        <f>+'FY16 Tax Bill'!M359-'FY16 Feb Forecast'!M359</f>
        <v>0</v>
      </c>
      <c r="N359" s="106">
        <f>+'FY16 Tax Bill'!N359-'FY16 Feb Forecast'!N359</f>
        <v>0</v>
      </c>
      <c r="O359" s="107">
        <f>+'FY16 Tax Bill'!O359-'FY16 Feb Forecast'!O359</f>
        <v>524</v>
      </c>
      <c r="P359" s="105">
        <f>+'FY16 Tax Bill'!P359-'FY16 Feb Forecast'!P359</f>
        <v>0</v>
      </c>
      <c r="Q359" s="106">
        <f>+'FY16 Tax Bill'!Q359-'FY16 Feb Forecast'!Q359</f>
        <v>524</v>
      </c>
      <c r="R359" s="105">
        <f>+'FY16 Tax Bill'!R359-'FY16 Feb Forecast'!R359</f>
        <v>2.7578947368421041</v>
      </c>
      <c r="S359" s="105">
        <f>+'FY16 Tax Bill'!S359-'FY16 Feb Forecast'!S359</f>
        <v>0</v>
      </c>
      <c r="T359" s="108">
        <f>+'FY16 Tax Bill'!T359-'FY16 Feb Forecast'!T359</f>
        <v>2.7578947368421041</v>
      </c>
    </row>
    <row r="360" spans="1:20" x14ac:dyDescent="0.2">
      <c r="A360" s="109">
        <v>4008</v>
      </c>
      <c r="B360" s="110">
        <v>1</v>
      </c>
      <c r="C360" s="103" t="s">
        <v>22</v>
      </c>
      <c r="D360" s="103">
        <v>7</v>
      </c>
      <c r="E360" s="104">
        <f>+SUMIF('GE16FEB14 Unfudged'!$A$2:$A$498, $A360, 'GE16FEB14 Unfudged'!$D$2:$D$498)</f>
        <v>670</v>
      </c>
      <c r="F360" s="104">
        <f>+'FY16 Tax Bill'!F360-'FY16 Feb Forecast'!F360</f>
        <v>1850</v>
      </c>
      <c r="G360" s="105">
        <f>+'FY16 Tax Bill'!G360-'FY16 Feb Forecast'!G360</f>
        <v>0</v>
      </c>
      <c r="H360" s="106">
        <f>+'FY16 Tax Bill'!H360-'FY16 Feb Forecast'!H360</f>
        <v>1850</v>
      </c>
      <c r="I360" s="107">
        <f>+'FY16 Tax Bill'!I360-'FY16 Feb Forecast'!I360</f>
        <v>0</v>
      </c>
      <c r="J360" s="105">
        <f>+'FY16 Tax Bill'!J360-'FY16 Feb Forecast'!J360</f>
        <v>0</v>
      </c>
      <c r="K360" s="106">
        <f>+'FY16 Tax Bill'!K360-'FY16 Feb Forecast'!K360</f>
        <v>0</v>
      </c>
      <c r="L360" s="107">
        <f>+'FY16 Tax Bill'!L360-'FY16 Feb Forecast'!L360</f>
        <v>0</v>
      </c>
      <c r="M360" s="105">
        <f>+'FY16 Tax Bill'!M360-'FY16 Feb Forecast'!M360</f>
        <v>0</v>
      </c>
      <c r="N360" s="106">
        <f>+'FY16 Tax Bill'!N360-'FY16 Feb Forecast'!N360</f>
        <v>0</v>
      </c>
      <c r="O360" s="107">
        <f>+'FY16 Tax Bill'!O360-'FY16 Feb Forecast'!O360</f>
        <v>1850</v>
      </c>
      <c r="P360" s="105">
        <f>+'FY16 Tax Bill'!P360-'FY16 Feb Forecast'!P360</f>
        <v>0</v>
      </c>
      <c r="Q360" s="106">
        <f>+'FY16 Tax Bill'!Q360-'FY16 Feb Forecast'!Q360</f>
        <v>1850</v>
      </c>
      <c r="R360" s="105">
        <f>+'FY16 Tax Bill'!R360-'FY16 Feb Forecast'!R360</f>
        <v>2.761194029850742</v>
      </c>
      <c r="S360" s="105">
        <f>+'FY16 Tax Bill'!S360-'FY16 Feb Forecast'!S360</f>
        <v>0</v>
      </c>
      <c r="T360" s="108">
        <f>+'FY16 Tax Bill'!T360-'FY16 Feb Forecast'!T360</f>
        <v>2.761194029850742</v>
      </c>
    </row>
    <row r="361" spans="1:20" x14ac:dyDescent="0.2">
      <c r="A361" s="109">
        <v>4011</v>
      </c>
      <c r="B361" s="110">
        <v>1</v>
      </c>
      <c r="C361" s="103" t="s">
        <v>23</v>
      </c>
      <c r="D361" s="103">
        <v>7</v>
      </c>
      <c r="E361" s="104">
        <f>+SUMIF('GE16FEB14 Unfudged'!$A$2:$A$498, $A361, 'GE16FEB14 Unfudged'!$D$2:$D$498)</f>
        <v>213</v>
      </c>
      <c r="F361" s="104">
        <f>+'FY16 Tax Bill'!F361-'FY16 Feb Forecast'!F361</f>
        <v>587</v>
      </c>
      <c r="G361" s="105">
        <f>+'FY16 Tax Bill'!G361-'FY16 Feb Forecast'!G361</f>
        <v>0</v>
      </c>
      <c r="H361" s="106">
        <f>+'FY16 Tax Bill'!H361-'FY16 Feb Forecast'!H361</f>
        <v>587</v>
      </c>
      <c r="I361" s="107">
        <f>+'FY16 Tax Bill'!I361-'FY16 Feb Forecast'!I361</f>
        <v>0</v>
      </c>
      <c r="J361" s="105">
        <f>+'FY16 Tax Bill'!J361-'FY16 Feb Forecast'!J361</f>
        <v>0</v>
      </c>
      <c r="K361" s="106">
        <f>+'FY16 Tax Bill'!K361-'FY16 Feb Forecast'!K361</f>
        <v>0</v>
      </c>
      <c r="L361" s="107">
        <f>+'FY16 Tax Bill'!L361-'FY16 Feb Forecast'!L361</f>
        <v>0</v>
      </c>
      <c r="M361" s="105">
        <f>+'FY16 Tax Bill'!M361-'FY16 Feb Forecast'!M361</f>
        <v>0</v>
      </c>
      <c r="N361" s="106">
        <f>+'FY16 Tax Bill'!N361-'FY16 Feb Forecast'!N361</f>
        <v>0</v>
      </c>
      <c r="O361" s="107">
        <f>+'FY16 Tax Bill'!O361-'FY16 Feb Forecast'!O361</f>
        <v>587</v>
      </c>
      <c r="P361" s="105">
        <f>+'FY16 Tax Bill'!P361-'FY16 Feb Forecast'!P361</f>
        <v>0</v>
      </c>
      <c r="Q361" s="106">
        <f>+'FY16 Tax Bill'!Q361-'FY16 Feb Forecast'!Q361</f>
        <v>587</v>
      </c>
      <c r="R361" s="105">
        <f>+'FY16 Tax Bill'!R361-'FY16 Feb Forecast'!R361</f>
        <v>2.7558685446009434</v>
      </c>
      <c r="S361" s="105">
        <f>+'FY16 Tax Bill'!S361-'FY16 Feb Forecast'!S361</f>
        <v>0</v>
      </c>
      <c r="T361" s="108">
        <f>+'FY16 Tax Bill'!T361-'FY16 Feb Forecast'!T361</f>
        <v>2.7558685446009434</v>
      </c>
    </row>
    <row r="362" spans="1:20" x14ac:dyDescent="0.2">
      <c r="A362" s="109">
        <v>4015</v>
      </c>
      <c r="B362" s="110">
        <v>1</v>
      </c>
      <c r="C362" s="103" t="s">
        <v>24</v>
      </c>
      <c r="D362" s="103">
        <v>7</v>
      </c>
      <c r="E362" s="104">
        <f>+SUMIF('GE16FEB14 Unfudged'!$A$2:$A$498, $A362, 'GE16FEB14 Unfudged'!$D$2:$D$498)</f>
        <v>840</v>
      </c>
      <c r="F362" s="104">
        <f>+'FY16 Tax Bill'!F362-'FY16 Feb Forecast'!F362</f>
        <v>2317</v>
      </c>
      <c r="G362" s="105">
        <f>+'FY16 Tax Bill'!G362-'FY16 Feb Forecast'!G362</f>
        <v>0</v>
      </c>
      <c r="H362" s="106">
        <f>+'FY16 Tax Bill'!H362-'FY16 Feb Forecast'!H362</f>
        <v>2317</v>
      </c>
      <c r="I362" s="107">
        <f>+'FY16 Tax Bill'!I362-'FY16 Feb Forecast'!I362</f>
        <v>0</v>
      </c>
      <c r="J362" s="105">
        <f>+'FY16 Tax Bill'!J362-'FY16 Feb Forecast'!J362</f>
        <v>0</v>
      </c>
      <c r="K362" s="106">
        <f>+'FY16 Tax Bill'!K362-'FY16 Feb Forecast'!K362</f>
        <v>0</v>
      </c>
      <c r="L362" s="107">
        <f>+'FY16 Tax Bill'!L362-'FY16 Feb Forecast'!L362</f>
        <v>0</v>
      </c>
      <c r="M362" s="105">
        <f>+'FY16 Tax Bill'!M362-'FY16 Feb Forecast'!M362</f>
        <v>0</v>
      </c>
      <c r="N362" s="106">
        <f>+'FY16 Tax Bill'!N362-'FY16 Feb Forecast'!N362</f>
        <v>0</v>
      </c>
      <c r="O362" s="107">
        <f>+'FY16 Tax Bill'!O362-'FY16 Feb Forecast'!O362</f>
        <v>2317</v>
      </c>
      <c r="P362" s="105">
        <f>+'FY16 Tax Bill'!P362-'FY16 Feb Forecast'!P362</f>
        <v>0</v>
      </c>
      <c r="Q362" s="106">
        <f>+'FY16 Tax Bill'!Q362-'FY16 Feb Forecast'!Q362</f>
        <v>2317</v>
      </c>
      <c r="R362" s="105">
        <f>+'FY16 Tax Bill'!R362-'FY16 Feb Forecast'!R362</f>
        <v>2.7583333333333258</v>
      </c>
      <c r="S362" s="105">
        <f>+'FY16 Tax Bill'!S362-'FY16 Feb Forecast'!S362</f>
        <v>0</v>
      </c>
      <c r="T362" s="108">
        <f>+'FY16 Tax Bill'!T362-'FY16 Feb Forecast'!T362</f>
        <v>2.7583333333333258</v>
      </c>
    </row>
    <row r="363" spans="1:20" x14ac:dyDescent="0.2">
      <c r="A363" s="109">
        <v>4016</v>
      </c>
      <c r="B363" s="110">
        <v>1</v>
      </c>
      <c r="C363" s="103" t="s">
        <v>25</v>
      </c>
      <c r="D363" s="103">
        <v>7</v>
      </c>
      <c r="E363" s="104">
        <f>+SUMIF('GE16FEB14 Unfudged'!$A$2:$A$498, $A363, 'GE16FEB14 Unfudged'!$D$2:$D$498)</f>
        <v>229</v>
      </c>
      <c r="F363" s="104">
        <f>+'FY16 Tax Bill'!F363-'FY16 Feb Forecast'!F363</f>
        <v>631</v>
      </c>
      <c r="G363" s="105">
        <f>+'FY16 Tax Bill'!G363-'FY16 Feb Forecast'!G363</f>
        <v>0</v>
      </c>
      <c r="H363" s="106">
        <f>+'FY16 Tax Bill'!H363-'FY16 Feb Forecast'!H363</f>
        <v>631</v>
      </c>
      <c r="I363" s="107">
        <f>+'FY16 Tax Bill'!I363-'FY16 Feb Forecast'!I363</f>
        <v>0</v>
      </c>
      <c r="J363" s="105">
        <f>+'FY16 Tax Bill'!J363-'FY16 Feb Forecast'!J363</f>
        <v>0</v>
      </c>
      <c r="K363" s="106">
        <f>+'FY16 Tax Bill'!K363-'FY16 Feb Forecast'!K363</f>
        <v>0</v>
      </c>
      <c r="L363" s="107">
        <f>+'FY16 Tax Bill'!L363-'FY16 Feb Forecast'!L363</f>
        <v>0</v>
      </c>
      <c r="M363" s="105">
        <f>+'FY16 Tax Bill'!M363-'FY16 Feb Forecast'!M363</f>
        <v>0</v>
      </c>
      <c r="N363" s="106">
        <f>+'FY16 Tax Bill'!N363-'FY16 Feb Forecast'!N363</f>
        <v>0</v>
      </c>
      <c r="O363" s="107">
        <f>+'FY16 Tax Bill'!O363-'FY16 Feb Forecast'!O363</f>
        <v>631</v>
      </c>
      <c r="P363" s="105">
        <f>+'FY16 Tax Bill'!P363-'FY16 Feb Forecast'!P363</f>
        <v>0</v>
      </c>
      <c r="Q363" s="106">
        <f>+'FY16 Tax Bill'!Q363-'FY16 Feb Forecast'!Q363</f>
        <v>631</v>
      </c>
      <c r="R363" s="105">
        <f>+'FY16 Tax Bill'!R363-'FY16 Feb Forecast'!R363</f>
        <v>2.7554585152838484</v>
      </c>
      <c r="S363" s="105">
        <f>+'FY16 Tax Bill'!S363-'FY16 Feb Forecast'!S363</f>
        <v>0</v>
      </c>
      <c r="T363" s="108">
        <f>+'FY16 Tax Bill'!T363-'FY16 Feb Forecast'!T363</f>
        <v>2.7554585152838484</v>
      </c>
    </row>
    <row r="364" spans="1:20" x14ac:dyDescent="0.2">
      <c r="A364" s="109">
        <v>4017</v>
      </c>
      <c r="B364" s="110">
        <v>1</v>
      </c>
      <c r="C364" s="103" t="s">
        <v>473</v>
      </c>
      <c r="D364" s="103">
        <v>7</v>
      </c>
      <c r="E364" s="104">
        <f>+SUMIF('GE16FEB14 Unfudged'!$A$2:$A$498, $A364, 'GE16FEB14 Unfudged'!$D$2:$D$498)</f>
        <v>3422</v>
      </c>
      <c r="F364" s="104">
        <f>+'FY16 Tax Bill'!F364-'FY16 Feb Forecast'!F364</f>
        <v>9445</v>
      </c>
      <c r="G364" s="105">
        <f>+'FY16 Tax Bill'!G364-'FY16 Feb Forecast'!G364</f>
        <v>0</v>
      </c>
      <c r="H364" s="106">
        <f>+'FY16 Tax Bill'!H364-'FY16 Feb Forecast'!H364</f>
        <v>9445</v>
      </c>
      <c r="I364" s="107">
        <f>+'FY16 Tax Bill'!I364-'FY16 Feb Forecast'!I364</f>
        <v>0</v>
      </c>
      <c r="J364" s="105">
        <f>+'FY16 Tax Bill'!J364-'FY16 Feb Forecast'!J364</f>
        <v>0</v>
      </c>
      <c r="K364" s="106">
        <f>+'FY16 Tax Bill'!K364-'FY16 Feb Forecast'!K364</f>
        <v>0</v>
      </c>
      <c r="L364" s="107">
        <f>+'FY16 Tax Bill'!L364-'FY16 Feb Forecast'!L364</f>
        <v>0</v>
      </c>
      <c r="M364" s="105">
        <f>+'FY16 Tax Bill'!M364-'FY16 Feb Forecast'!M364</f>
        <v>0</v>
      </c>
      <c r="N364" s="106">
        <f>+'FY16 Tax Bill'!N364-'FY16 Feb Forecast'!N364</f>
        <v>0</v>
      </c>
      <c r="O364" s="107">
        <f>+'FY16 Tax Bill'!O364-'FY16 Feb Forecast'!O364</f>
        <v>9445</v>
      </c>
      <c r="P364" s="105">
        <f>+'FY16 Tax Bill'!P364-'FY16 Feb Forecast'!P364</f>
        <v>0</v>
      </c>
      <c r="Q364" s="106">
        <f>+'FY16 Tax Bill'!Q364-'FY16 Feb Forecast'!Q364</f>
        <v>9445</v>
      </c>
      <c r="R364" s="105">
        <f>+'FY16 Tax Bill'!R364-'FY16 Feb Forecast'!R364</f>
        <v>2.7600818234950282</v>
      </c>
      <c r="S364" s="105">
        <f>+'FY16 Tax Bill'!S364-'FY16 Feb Forecast'!S364</f>
        <v>0</v>
      </c>
      <c r="T364" s="108">
        <f>+'FY16 Tax Bill'!T364-'FY16 Feb Forecast'!T364</f>
        <v>2.7600818234950282</v>
      </c>
    </row>
    <row r="365" spans="1:20" x14ac:dyDescent="0.2">
      <c r="A365" s="109">
        <v>4018</v>
      </c>
      <c r="B365" s="110">
        <v>1</v>
      </c>
      <c r="C365" s="103" t="s">
        <v>26</v>
      </c>
      <c r="D365" s="103">
        <v>7</v>
      </c>
      <c r="E365" s="104">
        <f>+SUMIF('GE16FEB14 Unfudged'!$A$2:$A$498, $A365, 'GE16FEB14 Unfudged'!$D$2:$D$498)</f>
        <v>437</v>
      </c>
      <c r="F365" s="104">
        <f>+'FY16 Tax Bill'!F365-'FY16 Feb Forecast'!F365</f>
        <v>1205</v>
      </c>
      <c r="G365" s="105">
        <f>+'FY16 Tax Bill'!G365-'FY16 Feb Forecast'!G365</f>
        <v>0</v>
      </c>
      <c r="H365" s="106">
        <f>+'FY16 Tax Bill'!H365-'FY16 Feb Forecast'!H365</f>
        <v>1205</v>
      </c>
      <c r="I365" s="107">
        <f>+'FY16 Tax Bill'!I365-'FY16 Feb Forecast'!I365</f>
        <v>0</v>
      </c>
      <c r="J365" s="105">
        <f>+'FY16 Tax Bill'!J365-'FY16 Feb Forecast'!J365</f>
        <v>0</v>
      </c>
      <c r="K365" s="106">
        <f>+'FY16 Tax Bill'!K365-'FY16 Feb Forecast'!K365</f>
        <v>0</v>
      </c>
      <c r="L365" s="107">
        <f>+'FY16 Tax Bill'!L365-'FY16 Feb Forecast'!L365</f>
        <v>0</v>
      </c>
      <c r="M365" s="105">
        <f>+'FY16 Tax Bill'!M365-'FY16 Feb Forecast'!M365</f>
        <v>0</v>
      </c>
      <c r="N365" s="106">
        <f>+'FY16 Tax Bill'!N365-'FY16 Feb Forecast'!N365</f>
        <v>0</v>
      </c>
      <c r="O365" s="107">
        <f>+'FY16 Tax Bill'!O365-'FY16 Feb Forecast'!O365</f>
        <v>1205</v>
      </c>
      <c r="P365" s="105">
        <f>+'FY16 Tax Bill'!P365-'FY16 Feb Forecast'!P365</f>
        <v>0</v>
      </c>
      <c r="Q365" s="106">
        <f>+'FY16 Tax Bill'!Q365-'FY16 Feb Forecast'!Q365</f>
        <v>1205</v>
      </c>
      <c r="R365" s="105">
        <f>+'FY16 Tax Bill'!R365-'FY16 Feb Forecast'!R365</f>
        <v>2.7574370709382237</v>
      </c>
      <c r="S365" s="105">
        <f>+'FY16 Tax Bill'!S365-'FY16 Feb Forecast'!S365</f>
        <v>0</v>
      </c>
      <c r="T365" s="108">
        <f>+'FY16 Tax Bill'!T365-'FY16 Feb Forecast'!T365</f>
        <v>2.7574370709382237</v>
      </c>
    </row>
    <row r="366" spans="1:20" x14ac:dyDescent="0.2">
      <c r="A366" s="109">
        <v>4020</v>
      </c>
      <c r="B366" s="110">
        <v>1</v>
      </c>
      <c r="C366" s="103" t="s">
        <v>27</v>
      </c>
      <c r="D366" s="103">
        <v>7</v>
      </c>
      <c r="E366" s="104">
        <f>+SUMIF('GE16FEB14 Unfudged'!$A$2:$A$498, $A366, 'GE16FEB14 Unfudged'!$D$2:$D$498)</f>
        <v>1292</v>
      </c>
      <c r="F366" s="104">
        <f>+'FY16 Tax Bill'!F366-'FY16 Feb Forecast'!F366</f>
        <v>3565</v>
      </c>
      <c r="G366" s="105">
        <f>+'FY16 Tax Bill'!G366-'FY16 Feb Forecast'!G366</f>
        <v>0</v>
      </c>
      <c r="H366" s="106">
        <f>+'FY16 Tax Bill'!H366-'FY16 Feb Forecast'!H366</f>
        <v>3565</v>
      </c>
      <c r="I366" s="107">
        <f>+'FY16 Tax Bill'!I366-'FY16 Feb Forecast'!I366</f>
        <v>0</v>
      </c>
      <c r="J366" s="105">
        <f>+'FY16 Tax Bill'!J366-'FY16 Feb Forecast'!J366</f>
        <v>0</v>
      </c>
      <c r="K366" s="106">
        <f>+'FY16 Tax Bill'!K366-'FY16 Feb Forecast'!K366</f>
        <v>0</v>
      </c>
      <c r="L366" s="107">
        <f>+'FY16 Tax Bill'!L366-'FY16 Feb Forecast'!L366</f>
        <v>0</v>
      </c>
      <c r="M366" s="105">
        <f>+'FY16 Tax Bill'!M366-'FY16 Feb Forecast'!M366</f>
        <v>0</v>
      </c>
      <c r="N366" s="106">
        <f>+'FY16 Tax Bill'!N366-'FY16 Feb Forecast'!N366</f>
        <v>0</v>
      </c>
      <c r="O366" s="107">
        <f>+'FY16 Tax Bill'!O366-'FY16 Feb Forecast'!O366</f>
        <v>3565</v>
      </c>
      <c r="P366" s="105">
        <f>+'FY16 Tax Bill'!P366-'FY16 Feb Forecast'!P366</f>
        <v>0</v>
      </c>
      <c r="Q366" s="106">
        <f>+'FY16 Tax Bill'!Q366-'FY16 Feb Forecast'!Q366</f>
        <v>3565</v>
      </c>
      <c r="R366" s="105">
        <f>+'FY16 Tax Bill'!R366-'FY16 Feb Forecast'!R366</f>
        <v>2.7592879256965972</v>
      </c>
      <c r="S366" s="105">
        <f>+'FY16 Tax Bill'!S366-'FY16 Feb Forecast'!S366</f>
        <v>0</v>
      </c>
      <c r="T366" s="108">
        <f>+'FY16 Tax Bill'!T366-'FY16 Feb Forecast'!T366</f>
        <v>2.7592879256965972</v>
      </c>
    </row>
    <row r="367" spans="1:20" x14ac:dyDescent="0.2">
      <c r="A367" s="109">
        <v>4025</v>
      </c>
      <c r="B367" s="110">
        <v>1</v>
      </c>
      <c r="C367" s="103" t="s">
        <v>28</v>
      </c>
      <c r="D367" s="103">
        <v>7</v>
      </c>
      <c r="E367" s="104">
        <f>+SUMIF('GE16FEB14 Unfudged'!$A$2:$A$498, $A367, 'GE16FEB14 Unfudged'!$D$2:$D$498)</f>
        <v>171</v>
      </c>
      <c r="F367" s="104">
        <f>+'FY16 Tax Bill'!F367-'FY16 Feb Forecast'!F367</f>
        <v>472</v>
      </c>
      <c r="G367" s="105">
        <f>+'FY16 Tax Bill'!G367-'FY16 Feb Forecast'!G367</f>
        <v>0</v>
      </c>
      <c r="H367" s="106">
        <f>+'FY16 Tax Bill'!H367-'FY16 Feb Forecast'!H367</f>
        <v>472</v>
      </c>
      <c r="I367" s="107">
        <f>+'FY16 Tax Bill'!I367-'FY16 Feb Forecast'!I367</f>
        <v>0</v>
      </c>
      <c r="J367" s="105">
        <f>+'FY16 Tax Bill'!J367-'FY16 Feb Forecast'!J367</f>
        <v>0</v>
      </c>
      <c r="K367" s="106">
        <f>+'FY16 Tax Bill'!K367-'FY16 Feb Forecast'!K367</f>
        <v>0</v>
      </c>
      <c r="L367" s="107">
        <f>+'FY16 Tax Bill'!L367-'FY16 Feb Forecast'!L367</f>
        <v>0</v>
      </c>
      <c r="M367" s="105">
        <f>+'FY16 Tax Bill'!M367-'FY16 Feb Forecast'!M367</f>
        <v>0</v>
      </c>
      <c r="N367" s="106">
        <f>+'FY16 Tax Bill'!N367-'FY16 Feb Forecast'!N367</f>
        <v>0</v>
      </c>
      <c r="O367" s="107">
        <f>+'FY16 Tax Bill'!O367-'FY16 Feb Forecast'!O367</f>
        <v>472</v>
      </c>
      <c r="P367" s="105">
        <f>+'FY16 Tax Bill'!P367-'FY16 Feb Forecast'!P367</f>
        <v>0</v>
      </c>
      <c r="Q367" s="106">
        <f>+'FY16 Tax Bill'!Q367-'FY16 Feb Forecast'!Q367</f>
        <v>472</v>
      </c>
      <c r="R367" s="105">
        <f>+'FY16 Tax Bill'!R367-'FY16 Feb Forecast'!R367</f>
        <v>2.7602339181286482</v>
      </c>
      <c r="S367" s="105">
        <f>+'FY16 Tax Bill'!S367-'FY16 Feb Forecast'!S367</f>
        <v>0</v>
      </c>
      <c r="T367" s="108">
        <f>+'FY16 Tax Bill'!T367-'FY16 Feb Forecast'!T367</f>
        <v>2.7602339181286482</v>
      </c>
    </row>
    <row r="368" spans="1:20" x14ac:dyDescent="0.2">
      <c r="A368" s="109">
        <v>4026</v>
      </c>
      <c r="B368" s="110">
        <v>1</v>
      </c>
      <c r="C368" s="103" t="s">
        <v>29</v>
      </c>
      <c r="D368" s="103">
        <v>7</v>
      </c>
      <c r="E368" s="104">
        <f>+SUMIF('GE16FEB14 Unfudged'!$A$2:$A$498, $A368, 'GE16FEB14 Unfudged'!$D$2:$D$498)</f>
        <v>119</v>
      </c>
      <c r="F368" s="104">
        <f>+'FY16 Tax Bill'!F368-'FY16 Feb Forecast'!F368</f>
        <v>328</v>
      </c>
      <c r="G368" s="105">
        <f>+'FY16 Tax Bill'!G368-'FY16 Feb Forecast'!G368</f>
        <v>0</v>
      </c>
      <c r="H368" s="106">
        <f>+'FY16 Tax Bill'!H368-'FY16 Feb Forecast'!H368</f>
        <v>328</v>
      </c>
      <c r="I368" s="107">
        <f>+'FY16 Tax Bill'!I368-'FY16 Feb Forecast'!I368</f>
        <v>0</v>
      </c>
      <c r="J368" s="105">
        <f>+'FY16 Tax Bill'!J368-'FY16 Feb Forecast'!J368</f>
        <v>0</v>
      </c>
      <c r="K368" s="106">
        <f>+'FY16 Tax Bill'!K368-'FY16 Feb Forecast'!K368</f>
        <v>0</v>
      </c>
      <c r="L368" s="107">
        <f>+'FY16 Tax Bill'!L368-'FY16 Feb Forecast'!L368</f>
        <v>0</v>
      </c>
      <c r="M368" s="105">
        <f>+'FY16 Tax Bill'!M368-'FY16 Feb Forecast'!M368</f>
        <v>0</v>
      </c>
      <c r="N368" s="106">
        <f>+'FY16 Tax Bill'!N368-'FY16 Feb Forecast'!N368</f>
        <v>0</v>
      </c>
      <c r="O368" s="107">
        <f>+'FY16 Tax Bill'!O368-'FY16 Feb Forecast'!O368</f>
        <v>328</v>
      </c>
      <c r="P368" s="105">
        <f>+'FY16 Tax Bill'!P368-'FY16 Feb Forecast'!P368</f>
        <v>0</v>
      </c>
      <c r="Q368" s="106">
        <f>+'FY16 Tax Bill'!Q368-'FY16 Feb Forecast'!Q368</f>
        <v>328</v>
      </c>
      <c r="R368" s="105">
        <f>+'FY16 Tax Bill'!R368-'FY16 Feb Forecast'!R368</f>
        <v>2.7563025210084078</v>
      </c>
      <c r="S368" s="105">
        <f>+'FY16 Tax Bill'!S368-'FY16 Feb Forecast'!S368</f>
        <v>0</v>
      </c>
      <c r="T368" s="108">
        <f>+'FY16 Tax Bill'!T368-'FY16 Feb Forecast'!T368</f>
        <v>2.7563025210084078</v>
      </c>
    </row>
    <row r="369" spans="1:20" x14ac:dyDescent="0.2">
      <c r="A369" s="109">
        <v>4027</v>
      </c>
      <c r="B369" s="110">
        <v>1</v>
      </c>
      <c r="C369" s="103" t="s">
        <v>30</v>
      </c>
      <c r="D369" s="103">
        <v>7</v>
      </c>
      <c r="E369" s="104">
        <f>+SUMIF('GE16FEB14 Unfudged'!$A$2:$A$498, $A369, 'GE16FEB14 Unfudged'!$D$2:$D$498)</f>
        <v>1118</v>
      </c>
      <c r="F369" s="104">
        <f>+'FY16 Tax Bill'!F369-'FY16 Feb Forecast'!F369</f>
        <v>3086</v>
      </c>
      <c r="G369" s="105">
        <f>+'FY16 Tax Bill'!G369-'FY16 Feb Forecast'!G369</f>
        <v>0</v>
      </c>
      <c r="H369" s="106">
        <f>+'FY16 Tax Bill'!H369-'FY16 Feb Forecast'!H369</f>
        <v>3086</v>
      </c>
      <c r="I369" s="107">
        <f>+'FY16 Tax Bill'!I369-'FY16 Feb Forecast'!I369</f>
        <v>0</v>
      </c>
      <c r="J369" s="105">
        <f>+'FY16 Tax Bill'!J369-'FY16 Feb Forecast'!J369</f>
        <v>0</v>
      </c>
      <c r="K369" s="106">
        <f>+'FY16 Tax Bill'!K369-'FY16 Feb Forecast'!K369</f>
        <v>0</v>
      </c>
      <c r="L369" s="107">
        <f>+'FY16 Tax Bill'!L369-'FY16 Feb Forecast'!L369</f>
        <v>0</v>
      </c>
      <c r="M369" s="105">
        <f>+'FY16 Tax Bill'!M369-'FY16 Feb Forecast'!M369</f>
        <v>0</v>
      </c>
      <c r="N369" s="106">
        <f>+'FY16 Tax Bill'!N369-'FY16 Feb Forecast'!N369</f>
        <v>0</v>
      </c>
      <c r="O369" s="107">
        <f>+'FY16 Tax Bill'!O369-'FY16 Feb Forecast'!O369</f>
        <v>3086</v>
      </c>
      <c r="P369" s="105">
        <f>+'FY16 Tax Bill'!P369-'FY16 Feb Forecast'!P369</f>
        <v>0</v>
      </c>
      <c r="Q369" s="106">
        <f>+'FY16 Tax Bill'!Q369-'FY16 Feb Forecast'!Q369</f>
        <v>3086</v>
      </c>
      <c r="R369" s="105">
        <f>+'FY16 Tax Bill'!R369-'FY16 Feb Forecast'!R369</f>
        <v>2.7602862254024956</v>
      </c>
      <c r="S369" s="105">
        <f>+'FY16 Tax Bill'!S369-'FY16 Feb Forecast'!S369</f>
        <v>0</v>
      </c>
      <c r="T369" s="108">
        <f>+'FY16 Tax Bill'!T369-'FY16 Feb Forecast'!T369</f>
        <v>2.7602862254024956</v>
      </c>
    </row>
    <row r="370" spans="1:20" x14ac:dyDescent="0.2">
      <c r="A370" s="109">
        <v>4029</v>
      </c>
      <c r="B370" s="110">
        <v>1</v>
      </c>
      <c r="C370" s="103" t="s">
        <v>460</v>
      </c>
      <c r="D370" s="103">
        <v>7</v>
      </c>
      <c r="E370" s="104">
        <f>+SUMIF('GE16FEB14 Unfudged'!$A$2:$A$498, $A370, 'GE16FEB14 Unfudged'!$D$2:$D$498)</f>
        <v>377</v>
      </c>
      <c r="F370" s="104">
        <f>+'FY16 Tax Bill'!F370-'FY16 Feb Forecast'!F370</f>
        <v>1040</v>
      </c>
      <c r="G370" s="105">
        <f>+'FY16 Tax Bill'!G370-'FY16 Feb Forecast'!G370</f>
        <v>0</v>
      </c>
      <c r="H370" s="106">
        <f>+'FY16 Tax Bill'!H370-'FY16 Feb Forecast'!H370</f>
        <v>1040</v>
      </c>
      <c r="I370" s="107">
        <f>+'FY16 Tax Bill'!I370-'FY16 Feb Forecast'!I370</f>
        <v>0</v>
      </c>
      <c r="J370" s="105">
        <f>+'FY16 Tax Bill'!J370-'FY16 Feb Forecast'!J370</f>
        <v>0</v>
      </c>
      <c r="K370" s="106">
        <f>+'FY16 Tax Bill'!K370-'FY16 Feb Forecast'!K370</f>
        <v>0</v>
      </c>
      <c r="L370" s="107">
        <f>+'FY16 Tax Bill'!L370-'FY16 Feb Forecast'!L370</f>
        <v>0</v>
      </c>
      <c r="M370" s="105">
        <f>+'FY16 Tax Bill'!M370-'FY16 Feb Forecast'!M370</f>
        <v>0</v>
      </c>
      <c r="N370" s="106">
        <f>+'FY16 Tax Bill'!N370-'FY16 Feb Forecast'!N370</f>
        <v>0</v>
      </c>
      <c r="O370" s="107">
        <f>+'FY16 Tax Bill'!O370-'FY16 Feb Forecast'!O370</f>
        <v>1040</v>
      </c>
      <c r="P370" s="105">
        <f>+'FY16 Tax Bill'!P370-'FY16 Feb Forecast'!P370</f>
        <v>0</v>
      </c>
      <c r="Q370" s="106">
        <f>+'FY16 Tax Bill'!Q370-'FY16 Feb Forecast'!Q370</f>
        <v>1040</v>
      </c>
      <c r="R370" s="105">
        <f>+'FY16 Tax Bill'!R370-'FY16 Feb Forecast'!R370</f>
        <v>2.7586206896551744</v>
      </c>
      <c r="S370" s="105">
        <f>+'FY16 Tax Bill'!S370-'FY16 Feb Forecast'!S370</f>
        <v>0</v>
      </c>
      <c r="T370" s="108">
        <f>+'FY16 Tax Bill'!T370-'FY16 Feb Forecast'!T370</f>
        <v>2.7586206896551744</v>
      </c>
    </row>
    <row r="371" spans="1:20" x14ac:dyDescent="0.2">
      <c r="A371" s="109">
        <v>4030</v>
      </c>
      <c r="B371" s="110">
        <v>1</v>
      </c>
      <c r="C371" s="103" t="s">
        <v>461</v>
      </c>
      <c r="D371" s="103">
        <v>7</v>
      </c>
      <c r="E371" s="104">
        <f>+SUMIF('GE16FEB14 Unfudged'!$A$2:$A$498, $A371, 'GE16FEB14 Unfudged'!$D$2:$D$498)</f>
        <v>355</v>
      </c>
      <c r="F371" s="104">
        <f>+'FY16 Tax Bill'!F371-'FY16 Feb Forecast'!F371</f>
        <v>980</v>
      </c>
      <c r="G371" s="105">
        <f>+'FY16 Tax Bill'!G371-'FY16 Feb Forecast'!G371</f>
        <v>0</v>
      </c>
      <c r="H371" s="106">
        <f>+'FY16 Tax Bill'!H371-'FY16 Feb Forecast'!H371</f>
        <v>980</v>
      </c>
      <c r="I371" s="107">
        <f>+'FY16 Tax Bill'!I371-'FY16 Feb Forecast'!I371</f>
        <v>0</v>
      </c>
      <c r="J371" s="105">
        <f>+'FY16 Tax Bill'!J371-'FY16 Feb Forecast'!J371</f>
        <v>0</v>
      </c>
      <c r="K371" s="106">
        <f>+'FY16 Tax Bill'!K371-'FY16 Feb Forecast'!K371</f>
        <v>0</v>
      </c>
      <c r="L371" s="107">
        <f>+'FY16 Tax Bill'!L371-'FY16 Feb Forecast'!L371</f>
        <v>0</v>
      </c>
      <c r="M371" s="105">
        <f>+'FY16 Tax Bill'!M371-'FY16 Feb Forecast'!M371</f>
        <v>0</v>
      </c>
      <c r="N371" s="106">
        <f>+'FY16 Tax Bill'!N371-'FY16 Feb Forecast'!N371</f>
        <v>0</v>
      </c>
      <c r="O371" s="107">
        <f>+'FY16 Tax Bill'!O371-'FY16 Feb Forecast'!O371</f>
        <v>980</v>
      </c>
      <c r="P371" s="105">
        <f>+'FY16 Tax Bill'!P371-'FY16 Feb Forecast'!P371</f>
        <v>0</v>
      </c>
      <c r="Q371" s="106">
        <f>+'FY16 Tax Bill'!Q371-'FY16 Feb Forecast'!Q371</f>
        <v>980</v>
      </c>
      <c r="R371" s="105">
        <f>+'FY16 Tax Bill'!R371-'FY16 Feb Forecast'!R371</f>
        <v>2.7605633802816953</v>
      </c>
      <c r="S371" s="105">
        <f>+'FY16 Tax Bill'!S371-'FY16 Feb Forecast'!S371</f>
        <v>0</v>
      </c>
      <c r="T371" s="108">
        <f>+'FY16 Tax Bill'!T371-'FY16 Feb Forecast'!T371</f>
        <v>2.7605633802816953</v>
      </c>
    </row>
    <row r="372" spans="1:20" x14ac:dyDescent="0.2">
      <c r="A372" s="109">
        <v>4031</v>
      </c>
      <c r="B372" s="110">
        <v>7</v>
      </c>
      <c r="C372" s="103" t="s">
        <v>474</v>
      </c>
      <c r="D372" s="103">
        <v>7</v>
      </c>
      <c r="E372" s="104">
        <f>+SUMIF('GE16FEB14 Unfudged'!$A$2:$A$498, $A372, 'GE16FEB14 Unfudged'!$D$2:$D$498)</f>
        <v>84</v>
      </c>
      <c r="F372" s="104">
        <f>+'FY16 Tax Bill'!F372-'FY16 Feb Forecast'!F372</f>
        <v>232</v>
      </c>
      <c r="G372" s="105">
        <f>+'FY16 Tax Bill'!G372-'FY16 Feb Forecast'!G372</f>
        <v>0</v>
      </c>
      <c r="H372" s="106">
        <f>+'FY16 Tax Bill'!H372-'FY16 Feb Forecast'!H372</f>
        <v>232</v>
      </c>
      <c r="I372" s="107">
        <f>+'FY16 Tax Bill'!I372-'FY16 Feb Forecast'!I372</f>
        <v>0</v>
      </c>
      <c r="J372" s="105">
        <f>+'FY16 Tax Bill'!J372-'FY16 Feb Forecast'!J372</f>
        <v>0</v>
      </c>
      <c r="K372" s="106">
        <f>+'FY16 Tax Bill'!K372-'FY16 Feb Forecast'!K372</f>
        <v>0</v>
      </c>
      <c r="L372" s="107">
        <f>+'FY16 Tax Bill'!L372-'FY16 Feb Forecast'!L372</f>
        <v>0</v>
      </c>
      <c r="M372" s="105">
        <f>+'FY16 Tax Bill'!M372-'FY16 Feb Forecast'!M372</f>
        <v>0</v>
      </c>
      <c r="N372" s="106">
        <f>+'FY16 Tax Bill'!N372-'FY16 Feb Forecast'!N372</f>
        <v>0</v>
      </c>
      <c r="O372" s="107">
        <f>+'FY16 Tax Bill'!O372-'FY16 Feb Forecast'!O372</f>
        <v>232</v>
      </c>
      <c r="P372" s="105">
        <f>+'FY16 Tax Bill'!P372-'FY16 Feb Forecast'!P372</f>
        <v>0</v>
      </c>
      <c r="Q372" s="106">
        <f>+'FY16 Tax Bill'!Q372-'FY16 Feb Forecast'!Q372</f>
        <v>232</v>
      </c>
      <c r="R372" s="105">
        <f>+'FY16 Tax Bill'!R372-'FY16 Feb Forecast'!R372</f>
        <v>2.7619047619047592</v>
      </c>
      <c r="S372" s="105">
        <f>+'FY16 Tax Bill'!S372-'FY16 Feb Forecast'!S372</f>
        <v>0</v>
      </c>
      <c r="T372" s="108">
        <f>+'FY16 Tax Bill'!T372-'FY16 Feb Forecast'!T372</f>
        <v>2.7619047619047592</v>
      </c>
    </row>
    <row r="373" spans="1:20" x14ac:dyDescent="0.2">
      <c r="A373" s="109">
        <v>4032</v>
      </c>
      <c r="B373" s="110">
        <v>7</v>
      </c>
      <c r="C373" s="103" t="s">
        <v>475</v>
      </c>
      <c r="D373" s="103">
        <v>7</v>
      </c>
      <c r="E373" s="104">
        <f>+SUMIF('GE16FEB14 Unfudged'!$A$2:$A$498, $A373, 'GE16FEB14 Unfudged'!$D$2:$D$498)</f>
        <v>364</v>
      </c>
      <c r="F373" s="104">
        <f>+'FY16 Tax Bill'!F373-'FY16 Feb Forecast'!F373</f>
        <v>1004</v>
      </c>
      <c r="G373" s="105">
        <f>+'FY16 Tax Bill'!G373-'FY16 Feb Forecast'!G373</f>
        <v>0</v>
      </c>
      <c r="H373" s="106">
        <f>+'FY16 Tax Bill'!H373-'FY16 Feb Forecast'!H373</f>
        <v>1004</v>
      </c>
      <c r="I373" s="107">
        <f>+'FY16 Tax Bill'!I373-'FY16 Feb Forecast'!I373</f>
        <v>0</v>
      </c>
      <c r="J373" s="105">
        <f>+'FY16 Tax Bill'!J373-'FY16 Feb Forecast'!J373</f>
        <v>0</v>
      </c>
      <c r="K373" s="106">
        <f>+'FY16 Tax Bill'!K373-'FY16 Feb Forecast'!K373</f>
        <v>0</v>
      </c>
      <c r="L373" s="107">
        <f>+'FY16 Tax Bill'!L373-'FY16 Feb Forecast'!L373</f>
        <v>0</v>
      </c>
      <c r="M373" s="105">
        <f>+'FY16 Tax Bill'!M373-'FY16 Feb Forecast'!M373</f>
        <v>0</v>
      </c>
      <c r="N373" s="106">
        <f>+'FY16 Tax Bill'!N373-'FY16 Feb Forecast'!N373</f>
        <v>0</v>
      </c>
      <c r="O373" s="107">
        <f>+'FY16 Tax Bill'!O373-'FY16 Feb Forecast'!O373</f>
        <v>1004</v>
      </c>
      <c r="P373" s="105">
        <f>+'FY16 Tax Bill'!P373-'FY16 Feb Forecast'!P373</f>
        <v>0</v>
      </c>
      <c r="Q373" s="106">
        <f>+'FY16 Tax Bill'!Q373-'FY16 Feb Forecast'!Q373</f>
        <v>1004</v>
      </c>
      <c r="R373" s="105">
        <f>+'FY16 Tax Bill'!R373-'FY16 Feb Forecast'!R373</f>
        <v>2.758241758241752</v>
      </c>
      <c r="S373" s="105">
        <f>+'FY16 Tax Bill'!S373-'FY16 Feb Forecast'!S373</f>
        <v>0</v>
      </c>
      <c r="T373" s="108">
        <f>+'FY16 Tax Bill'!T373-'FY16 Feb Forecast'!T373</f>
        <v>2.758241758241752</v>
      </c>
    </row>
    <row r="374" spans="1:20" x14ac:dyDescent="0.2">
      <c r="A374" s="109">
        <v>4035</v>
      </c>
      <c r="B374" s="110">
        <v>7</v>
      </c>
      <c r="C374" s="103" t="s">
        <v>476</v>
      </c>
      <c r="D374" s="103">
        <v>7</v>
      </c>
      <c r="E374" s="104">
        <f>+SUMIF('GE16FEB14 Unfudged'!$A$2:$A$498, $A374, 'GE16FEB14 Unfudged'!$D$2:$D$498)</f>
        <v>404</v>
      </c>
      <c r="F374" s="104">
        <f>+'FY16 Tax Bill'!F374-'FY16 Feb Forecast'!F374</f>
        <v>1114</v>
      </c>
      <c r="G374" s="105">
        <f>+'FY16 Tax Bill'!G374-'FY16 Feb Forecast'!G374</f>
        <v>0</v>
      </c>
      <c r="H374" s="106">
        <f>+'FY16 Tax Bill'!H374-'FY16 Feb Forecast'!H374</f>
        <v>1114</v>
      </c>
      <c r="I374" s="107">
        <f>+'FY16 Tax Bill'!I374-'FY16 Feb Forecast'!I374</f>
        <v>0</v>
      </c>
      <c r="J374" s="105">
        <f>+'FY16 Tax Bill'!J374-'FY16 Feb Forecast'!J374</f>
        <v>0</v>
      </c>
      <c r="K374" s="106">
        <f>+'FY16 Tax Bill'!K374-'FY16 Feb Forecast'!K374</f>
        <v>0</v>
      </c>
      <c r="L374" s="107">
        <f>+'FY16 Tax Bill'!L374-'FY16 Feb Forecast'!L374</f>
        <v>0</v>
      </c>
      <c r="M374" s="105">
        <f>+'FY16 Tax Bill'!M374-'FY16 Feb Forecast'!M374</f>
        <v>0</v>
      </c>
      <c r="N374" s="106">
        <f>+'FY16 Tax Bill'!N374-'FY16 Feb Forecast'!N374</f>
        <v>0</v>
      </c>
      <c r="O374" s="107">
        <f>+'FY16 Tax Bill'!O374-'FY16 Feb Forecast'!O374</f>
        <v>1114</v>
      </c>
      <c r="P374" s="105">
        <f>+'FY16 Tax Bill'!P374-'FY16 Feb Forecast'!P374</f>
        <v>0</v>
      </c>
      <c r="Q374" s="106">
        <f>+'FY16 Tax Bill'!Q374-'FY16 Feb Forecast'!Q374</f>
        <v>1114</v>
      </c>
      <c r="R374" s="105">
        <f>+'FY16 Tax Bill'!R374-'FY16 Feb Forecast'!R374</f>
        <v>2.7574257425742559</v>
      </c>
      <c r="S374" s="105">
        <f>+'FY16 Tax Bill'!S374-'FY16 Feb Forecast'!S374</f>
        <v>0</v>
      </c>
      <c r="T374" s="108">
        <f>+'FY16 Tax Bill'!T374-'FY16 Feb Forecast'!T374</f>
        <v>2.7574257425742559</v>
      </c>
    </row>
    <row r="375" spans="1:20" x14ac:dyDescent="0.2">
      <c r="A375" s="109">
        <v>4036</v>
      </c>
      <c r="B375" s="110">
        <v>7</v>
      </c>
      <c r="C375" s="103" t="s">
        <v>31</v>
      </c>
      <c r="D375" s="103">
        <v>7</v>
      </c>
      <c r="E375" s="104">
        <f>+SUMIF('GE16FEB14 Unfudged'!$A$2:$A$498, $A375, 'GE16FEB14 Unfudged'!$D$2:$D$498)</f>
        <v>83</v>
      </c>
      <c r="F375" s="104">
        <f>+'FY16 Tax Bill'!F375-'FY16 Feb Forecast'!F375</f>
        <v>228</v>
      </c>
      <c r="G375" s="105">
        <f>+'FY16 Tax Bill'!G375-'FY16 Feb Forecast'!G375</f>
        <v>0</v>
      </c>
      <c r="H375" s="106">
        <f>+'FY16 Tax Bill'!H375-'FY16 Feb Forecast'!H375</f>
        <v>228</v>
      </c>
      <c r="I375" s="107">
        <f>+'FY16 Tax Bill'!I375-'FY16 Feb Forecast'!I375</f>
        <v>0</v>
      </c>
      <c r="J375" s="105">
        <f>+'FY16 Tax Bill'!J375-'FY16 Feb Forecast'!J375</f>
        <v>0</v>
      </c>
      <c r="K375" s="106">
        <f>+'FY16 Tax Bill'!K375-'FY16 Feb Forecast'!K375</f>
        <v>0</v>
      </c>
      <c r="L375" s="107">
        <f>+'FY16 Tax Bill'!L375-'FY16 Feb Forecast'!L375</f>
        <v>0</v>
      </c>
      <c r="M375" s="105">
        <f>+'FY16 Tax Bill'!M375-'FY16 Feb Forecast'!M375</f>
        <v>0</v>
      </c>
      <c r="N375" s="106">
        <f>+'FY16 Tax Bill'!N375-'FY16 Feb Forecast'!N375</f>
        <v>0</v>
      </c>
      <c r="O375" s="107">
        <f>+'FY16 Tax Bill'!O375-'FY16 Feb Forecast'!O375</f>
        <v>228</v>
      </c>
      <c r="P375" s="105">
        <f>+'FY16 Tax Bill'!P375-'FY16 Feb Forecast'!P375</f>
        <v>0</v>
      </c>
      <c r="Q375" s="106">
        <f>+'FY16 Tax Bill'!Q375-'FY16 Feb Forecast'!Q375</f>
        <v>228</v>
      </c>
      <c r="R375" s="105">
        <f>+'FY16 Tax Bill'!R375-'FY16 Feb Forecast'!R375</f>
        <v>2.7469879518072275</v>
      </c>
      <c r="S375" s="105">
        <f>+'FY16 Tax Bill'!S375-'FY16 Feb Forecast'!S375</f>
        <v>0</v>
      </c>
      <c r="T375" s="108">
        <f>+'FY16 Tax Bill'!T375-'FY16 Feb Forecast'!T375</f>
        <v>2.7469879518072275</v>
      </c>
    </row>
    <row r="376" spans="1:20" x14ac:dyDescent="0.2">
      <c r="A376" s="109">
        <v>4038</v>
      </c>
      <c r="B376" s="110">
        <v>7</v>
      </c>
      <c r="C376" s="103" t="s">
        <v>32</v>
      </c>
      <c r="D376" s="103">
        <v>7</v>
      </c>
      <c r="E376" s="104">
        <f>+SUMIF('GE16FEB14 Unfudged'!$A$2:$A$498, $A376, 'GE16FEB14 Unfudged'!$D$2:$D$498)</f>
        <v>403</v>
      </c>
      <c r="F376" s="104">
        <f>+'FY16 Tax Bill'!F376-'FY16 Feb Forecast'!F376</f>
        <v>1112</v>
      </c>
      <c r="G376" s="105">
        <f>+'FY16 Tax Bill'!G376-'FY16 Feb Forecast'!G376</f>
        <v>0</v>
      </c>
      <c r="H376" s="106">
        <f>+'FY16 Tax Bill'!H376-'FY16 Feb Forecast'!H376</f>
        <v>1112</v>
      </c>
      <c r="I376" s="107">
        <f>+'FY16 Tax Bill'!I376-'FY16 Feb Forecast'!I376</f>
        <v>0</v>
      </c>
      <c r="J376" s="105">
        <f>+'FY16 Tax Bill'!J376-'FY16 Feb Forecast'!J376</f>
        <v>0</v>
      </c>
      <c r="K376" s="106">
        <f>+'FY16 Tax Bill'!K376-'FY16 Feb Forecast'!K376</f>
        <v>0</v>
      </c>
      <c r="L376" s="107">
        <f>+'FY16 Tax Bill'!L376-'FY16 Feb Forecast'!L376</f>
        <v>0</v>
      </c>
      <c r="M376" s="105">
        <f>+'FY16 Tax Bill'!M376-'FY16 Feb Forecast'!M376</f>
        <v>0</v>
      </c>
      <c r="N376" s="106">
        <f>+'FY16 Tax Bill'!N376-'FY16 Feb Forecast'!N376</f>
        <v>0</v>
      </c>
      <c r="O376" s="107">
        <f>+'FY16 Tax Bill'!O376-'FY16 Feb Forecast'!O376</f>
        <v>1112</v>
      </c>
      <c r="P376" s="105">
        <f>+'FY16 Tax Bill'!P376-'FY16 Feb Forecast'!P376</f>
        <v>0</v>
      </c>
      <c r="Q376" s="106">
        <f>+'FY16 Tax Bill'!Q376-'FY16 Feb Forecast'!Q376</f>
        <v>1112</v>
      </c>
      <c r="R376" s="105">
        <f>+'FY16 Tax Bill'!R376-'FY16 Feb Forecast'!R376</f>
        <v>2.7593052109181144</v>
      </c>
      <c r="S376" s="105">
        <f>+'FY16 Tax Bill'!S376-'FY16 Feb Forecast'!S376</f>
        <v>0</v>
      </c>
      <c r="T376" s="108">
        <f>+'FY16 Tax Bill'!T376-'FY16 Feb Forecast'!T376</f>
        <v>2.7593052109181144</v>
      </c>
    </row>
    <row r="377" spans="1:20" x14ac:dyDescent="0.2">
      <c r="A377" s="109">
        <v>4039</v>
      </c>
      <c r="B377" s="110">
        <v>7</v>
      </c>
      <c r="C377" s="103" t="s">
        <v>33</v>
      </c>
      <c r="D377" s="103">
        <v>7</v>
      </c>
      <c r="E377" s="104">
        <f>+SUMIF('GE16FEB14 Unfudged'!$A$2:$A$498, $A377, 'GE16FEB14 Unfudged'!$D$2:$D$498)</f>
        <v>300</v>
      </c>
      <c r="F377" s="104">
        <f>+'FY16 Tax Bill'!F377-'FY16 Feb Forecast'!F377</f>
        <v>828</v>
      </c>
      <c r="G377" s="105">
        <f>+'FY16 Tax Bill'!G377-'FY16 Feb Forecast'!G377</f>
        <v>0</v>
      </c>
      <c r="H377" s="106">
        <f>+'FY16 Tax Bill'!H377-'FY16 Feb Forecast'!H377</f>
        <v>828</v>
      </c>
      <c r="I377" s="107">
        <f>+'FY16 Tax Bill'!I377-'FY16 Feb Forecast'!I377</f>
        <v>0</v>
      </c>
      <c r="J377" s="105">
        <f>+'FY16 Tax Bill'!J377-'FY16 Feb Forecast'!J377</f>
        <v>0</v>
      </c>
      <c r="K377" s="106">
        <f>+'FY16 Tax Bill'!K377-'FY16 Feb Forecast'!K377</f>
        <v>0</v>
      </c>
      <c r="L377" s="107">
        <f>+'FY16 Tax Bill'!L377-'FY16 Feb Forecast'!L377</f>
        <v>0</v>
      </c>
      <c r="M377" s="105">
        <f>+'FY16 Tax Bill'!M377-'FY16 Feb Forecast'!M377</f>
        <v>0</v>
      </c>
      <c r="N377" s="106">
        <f>+'FY16 Tax Bill'!N377-'FY16 Feb Forecast'!N377</f>
        <v>0</v>
      </c>
      <c r="O377" s="107">
        <f>+'FY16 Tax Bill'!O377-'FY16 Feb Forecast'!O377</f>
        <v>828</v>
      </c>
      <c r="P377" s="105">
        <f>+'FY16 Tax Bill'!P377-'FY16 Feb Forecast'!P377</f>
        <v>0</v>
      </c>
      <c r="Q377" s="106">
        <f>+'FY16 Tax Bill'!Q377-'FY16 Feb Forecast'!Q377</f>
        <v>828</v>
      </c>
      <c r="R377" s="105">
        <f>+'FY16 Tax Bill'!R377-'FY16 Feb Forecast'!R377</f>
        <v>2.7600000000000051</v>
      </c>
      <c r="S377" s="105">
        <f>+'FY16 Tax Bill'!S377-'FY16 Feb Forecast'!S377</f>
        <v>0</v>
      </c>
      <c r="T377" s="108">
        <f>+'FY16 Tax Bill'!T377-'FY16 Feb Forecast'!T377</f>
        <v>2.7600000000000051</v>
      </c>
    </row>
    <row r="378" spans="1:20" x14ac:dyDescent="0.2">
      <c r="A378" s="109">
        <v>4042</v>
      </c>
      <c r="B378" s="110">
        <v>7</v>
      </c>
      <c r="C378" s="103" t="s">
        <v>34</v>
      </c>
      <c r="D378" s="103">
        <v>7</v>
      </c>
      <c r="E378" s="104">
        <f>+SUMIF('GE16FEB14 Unfudged'!$A$2:$A$498, $A378, 'GE16FEB14 Unfudged'!$D$2:$D$498)</f>
        <v>243</v>
      </c>
      <c r="F378" s="104">
        <f>+'FY16 Tax Bill'!F378-'FY16 Feb Forecast'!F378</f>
        <v>671</v>
      </c>
      <c r="G378" s="105">
        <f>+'FY16 Tax Bill'!G378-'FY16 Feb Forecast'!G378</f>
        <v>0</v>
      </c>
      <c r="H378" s="106">
        <f>+'FY16 Tax Bill'!H378-'FY16 Feb Forecast'!H378</f>
        <v>671</v>
      </c>
      <c r="I378" s="107">
        <f>+'FY16 Tax Bill'!I378-'FY16 Feb Forecast'!I378</f>
        <v>0</v>
      </c>
      <c r="J378" s="105">
        <f>+'FY16 Tax Bill'!J378-'FY16 Feb Forecast'!J378</f>
        <v>0</v>
      </c>
      <c r="K378" s="106">
        <f>+'FY16 Tax Bill'!K378-'FY16 Feb Forecast'!K378</f>
        <v>0</v>
      </c>
      <c r="L378" s="107">
        <f>+'FY16 Tax Bill'!L378-'FY16 Feb Forecast'!L378</f>
        <v>0</v>
      </c>
      <c r="M378" s="105">
        <f>+'FY16 Tax Bill'!M378-'FY16 Feb Forecast'!M378</f>
        <v>0</v>
      </c>
      <c r="N378" s="106">
        <f>+'FY16 Tax Bill'!N378-'FY16 Feb Forecast'!N378</f>
        <v>0</v>
      </c>
      <c r="O378" s="107">
        <f>+'FY16 Tax Bill'!O378-'FY16 Feb Forecast'!O378</f>
        <v>671</v>
      </c>
      <c r="P378" s="105">
        <f>+'FY16 Tax Bill'!P378-'FY16 Feb Forecast'!P378</f>
        <v>0</v>
      </c>
      <c r="Q378" s="106">
        <f>+'FY16 Tax Bill'!Q378-'FY16 Feb Forecast'!Q378</f>
        <v>671</v>
      </c>
      <c r="R378" s="105">
        <f>+'FY16 Tax Bill'!R378-'FY16 Feb Forecast'!R378</f>
        <v>2.7613168724279831</v>
      </c>
      <c r="S378" s="105">
        <f>+'FY16 Tax Bill'!S378-'FY16 Feb Forecast'!S378</f>
        <v>0</v>
      </c>
      <c r="T378" s="108">
        <f>+'FY16 Tax Bill'!T378-'FY16 Feb Forecast'!T378</f>
        <v>2.7613168724279831</v>
      </c>
    </row>
    <row r="379" spans="1:20" x14ac:dyDescent="0.2">
      <c r="A379" s="109">
        <v>4043</v>
      </c>
      <c r="B379" s="110">
        <v>7</v>
      </c>
      <c r="C379" s="103" t="s">
        <v>35</v>
      </c>
      <c r="D379" s="103">
        <v>7</v>
      </c>
      <c r="E379" s="104">
        <f>+SUMIF('GE16FEB14 Unfudged'!$A$2:$A$498, $A379, 'GE16FEB14 Unfudged'!$D$2:$D$498)</f>
        <v>528</v>
      </c>
      <c r="F379" s="104">
        <f>+'FY16 Tax Bill'!F379-'FY16 Feb Forecast'!F379</f>
        <v>1458</v>
      </c>
      <c r="G379" s="105">
        <f>+'FY16 Tax Bill'!G379-'FY16 Feb Forecast'!G379</f>
        <v>0</v>
      </c>
      <c r="H379" s="106">
        <f>+'FY16 Tax Bill'!H379-'FY16 Feb Forecast'!H379</f>
        <v>1458</v>
      </c>
      <c r="I379" s="107">
        <f>+'FY16 Tax Bill'!I379-'FY16 Feb Forecast'!I379</f>
        <v>0</v>
      </c>
      <c r="J379" s="105">
        <f>+'FY16 Tax Bill'!J379-'FY16 Feb Forecast'!J379</f>
        <v>0</v>
      </c>
      <c r="K379" s="106">
        <f>+'FY16 Tax Bill'!K379-'FY16 Feb Forecast'!K379</f>
        <v>0</v>
      </c>
      <c r="L379" s="107">
        <f>+'FY16 Tax Bill'!L379-'FY16 Feb Forecast'!L379</f>
        <v>0</v>
      </c>
      <c r="M379" s="105">
        <f>+'FY16 Tax Bill'!M379-'FY16 Feb Forecast'!M379</f>
        <v>0</v>
      </c>
      <c r="N379" s="106">
        <f>+'FY16 Tax Bill'!N379-'FY16 Feb Forecast'!N379</f>
        <v>0</v>
      </c>
      <c r="O379" s="107">
        <f>+'FY16 Tax Bill'!O379-'FY16 Feb Forecast'!O379</f>
        <v>1458</v>
      </c>
      <c r="P379" s="105">
        <f>+'FY16 Tax Bill'!P379-'FY16 Feb Forecast'!P379</f>
        <v>0</v>
      </c>
      <c r="Q379" s="106">
        <f>+'FY16 Tax Bill'!Q379-'FY16 Feb Forecast'!Q379</f>
        <v>1458</v>
      </c>
      <c r="R379" s="105">
        <f>+'FY16 Tax Bill'!R379-'FY16 Feb Forecast'!R379</f>
        <v>2.7613636363636402</v>
      </c>
      <c r="S379" s="105">
        <f>+'FY16 Tax Bill'!S379-'FY16 Feb Forecast'!S379</f>
        <v>0</v>
      </c>
      <c r="T379" s="108">
        <f>+'FY16 Tax Bill'!T379-'FY16 Feb Forecast'!T379</f>
        <v>2.7613636363636402</v>
      </c>
    </row>
    <row r="380" spans="1:20" x14ac:dyDescent="0.2">
      <c r="A380" s="109">
        <v>4045</v>
      </c>
      <c r="B380" s="110">
        <v>7</v>
      </c>
      <c r="C380" s="103" t="s">
        <v>36</v>
      </c>
      <c r="D380" s="103">
        <v>7</v>
      </c>
      <c r="E380" s="104">
        <f>+SUMIF('GE16FEB14 Unfudged'!$A$2:$A$498, $A380, 'GE16FEB14 Unfudged'!$D$2:$D$498)</f>
        <v>0</v>
      </c>
      <c r="F380" s="104">
        <f>+'FY16 Tax Bill'!F380-'FY16 Feb Forecast'!F380</f>
        <v>0</v>
      </c>
      <c r="G380" s="105">
        <f>+'FY16 Tax Bill'!G380-'FY16 Feb Forecast'!G380</f>
        <v>0</v>
      </c>
      <c r="H380" s="106">
        <f>+'FY16 Tax Bill'!H380-'FY16 Feb Forecast'!H380</f>
        <v>0</v>
      </c>
      <c r="I380" s="107">
        <f>+'FY16 Tax Bill'!I380-'FY16 Feb Forecast'!I380</f>
        <v>0</v>
      </c>
      <c r="J380" s="105">
        <f>+'FY16 Tax Bill'!J380-'FY16 Feb Forecast'!J380</f>
        <v>0</v>
      </c>
      <c r="K380" s="106">
        <f>+'FY16 Tax Bill'!K380-'FY16 Feb Forecast'!K380</f>
        <v>0</v>
      </c>
      <c r="L380" s="107">
        <f>+'FY16 Tax Bill'!L380-'FY16 Feb Forecast'!L380</f>
        <v>0</v>
      </c>
      <c r="M380" s="105">
        <f>+'FY16 Tax Bill'!M380-'FY16 Feb Forecast'!M380</f>
        <v>0</v>
      </c>
      <c r="N380" s="106">
        <f>+'FY16 Tax Bill'!N380-'FY16 Feb Forecast'!N380</f>
        <v>0</v>
      </c>
      <c r="O380" s="107">
        <f>+'FY16 Tax Bill'!O380-'FY16 Feb Forecast'!O380</f>
        <v>0</v>
      </c>
      <c r="P380" s="105">
        <f>+'FY16 Tax Bill'!P380-'FY16 Feb Forecast'!P380</f>
        <v>0</v>
      </c>
      <c r="Q380" s="106">
        <f>+'FY16 Tax Bill'!Q380-'FY16 Feb Forecast'!Q380</f>
        <v>0</v>
      </c>
      <c r="R380" s="105">
        <f>+'FY16 Tax Bill'!R380-'FY16 Feb Forecast'!R380</f>
        <v>0</v>
      </c>
      <c r="S380" s="105">
        <f>+'FY16 Tax Bill'!S380-'FY16 Feb Forecast'!S380</f>
        <v>0</v>
      </c>
      <c r="T380" s="108">
        <f>+'FY16 Tax Bill'!T380-'FY16 Feb Forecast'!T380</f>
        <v>0</v>
      </c>
    </row>
    <row r="381" spans="1:20" x14ac:dyDescent="0.2">
      <c r="A381" s="109">
        <v>4049</v>
      </c>
      <c r="B381" s="110">
        <v>7</v>
      </c>
      <c r="C381" s="103" t="s">
        <v>462</v>
      </c>
      <c r="D381" s="103">
        <v>7</v>
      </c>
      <c r="E381" s="104">
        <f>+SUMIF('GE16FEB14 Unfudged'!$A$2:$A$498, $A381, 'GE16FEB14 Unfudged'!$D$2:$D$498)</f>
        <v>150</v>
      </c>
      <c r="F381" s="104">
        <f>+'FY16 Tax Bill'!F381-'FY16 Feb Forecast'!F381</f>
        <v>414</v>
      </c>
      <c r="G381" s="105">
        <f>+'FY16 Tax Bill'!G381-'FY16 Feb Forecast'!G381</f>
        <v>0</v>
      </c>
      <c r="H381" s="106">
        <f>+'FY16 Tax Bill'!H381-'FY16 Feb Forecast'!H381</f>
        <v>414</v>
      </c>
      <c r="I381" s="107">
        <f>+'FY16 Tax Bill'!I381-'FY16 Feb Forecast'!I381</f>
        <v>0</v>
      </c>
      <c r="J381" s="105">
        <f>+'FY16 Tax Bill'!J381-'FY16 Feb Forecast'!J381</f>
        <v>0</v>
      </c>
      <c r="K381" s="106">
        <f>+'FY16 Tax Bill'!K381-'FY16 Feb Forecast'!K381</f>
        <v>0</v>
      </c>
      <c r="L381" s="107">
        <f>+'FY16 Tax Bill'!L381-'FY16 Feb Forecast'!L381</f>
        <v>0</v>
      </c>
      <c r="M381" s="105">
        <f>+'FY16 Tax Bill'!M381-'FY16 Feb Forecast'!M381</f>
        <v>0</v>
      </c>
      <c r="N381" s="106">
        <f>+'FY16 Tax Bill'!N381-'FY16 Feb Forecast'!N381</f>
        <v>0</v>
      </c>
      <c r="O381" s="107">
        <f>+'FY16 Tax Bill'!O381-'FY16 Feb Forecast'!O381</f>
        <v>414</v>
      </c>
      <c r="P381" s="105">
        <f>+'FY16 Tax Bill'!P381-'FY16 Feb Forecast'!P381</f>
        <v>0</v>
      </c>
      <c r="Q381" s="106">
        <f>+'FY16 Tax Bill'!Q381-'FY16 Feb Forecast'!Q381</f>
        <v>414</v>
      </c>
      <c r="R381" s="105">
        <f>+'FY16 Tax Bill'!R381-'FY16 Feb Forecast'!R381</f>
        <v>2.7600000000000051</v>
      </c>
      <c r="S381" s="105">
        <f>+'FY16 Tax Bill'!S381-'FY16 Feb Forecast'!S381</f>
        <v>0</v>
      </c>
      <c r="T381" s="108">
        <f>+'FY16 Tax Bill'!T381-'FY16 Feb Forecast'!T381</f>
        <v>2.7600000000000051</v>
      </c>
    </row>
    <row r="382" spans="1:20" x14ac:dyDescent="0.2">
      <c r="A382" s="109">
        <v>4050</v>
      </c>
      <c r="B382" s="110">
        <v>7</v>
      </c>
      <c r="C382" s="103" t="s">
        <v>477</v>
      </c>
      <c r="D382" s="103">
        <v>7</v>
      </c>
      <c r="E382" s="104">
        <f>+SUMIF('GE16FEB14 Unfudged'!$A$2:$A$498, $A382, 'GE16FEB14 Unfudged'!$D$2:$D$498)</f>
        <v>119</v>
      </c>
      <c r="F382" s="104">
        <f>+'FY16 Tax Bill'!F382-'FY16 Feb Forecast'!F382</f>
        <v>327</v>
      </c>
      <c r="G382" s="105">
        <f>+'FY16 Tax Bill'!G382-'FY16 Feb Forecast'!G382</f>
        <v>0</v>
      </c>
      <c r="H382" s="106">
        <f>+'FY16 Tax Bill'!H382-'FY16 Feb Forecast'!H382</f>
        <v>327</v>
      </c>
      <c r="I382" s="107">
        <f>+'FY16 Tax Bill'!I382-'FY16 Feb Forecast'!I382</f>
        <v>0</v>
      </c>
      <c r="J382" s="105">
        <f>+'FY16 Tax Bill'!J382-'FY16 Feb Forecast'!J382</f>
        <v>0</v>
      </c>
      <c r="K382" s="106">
        <f>+'FY16 Tax Bill'!K382-'FY16 Feb Forecast'!K382</f>
        <v>0</v>
      </c>
      <c r="L382" s="107">
        <f>+'FY16 Tax Bill'!L382-'FY16 Feb Forecast'!L382</f>
        <v>0</v>
      </c>
      <c r="M382" s="105">
        <f>+'FY16 Tax Bill'!M382-'FY16 Feb Forecast'!M382</f>
        <v>0</v>
      </c>
      <c r="N382" s="106">
        <f>+'FY16 Tax Bill'!N382-'FY16 Feb Forecast'!N382</f>
        <v>0</v>
      </c>
      <c r="O382" s="107">
        <f>+'FY16 Tax Bill'!O382-'FY16 Feb Forecast'!O382</f>
        <v>327</v>
      </c>
      <c r="P382" s="105">
        <f>+'FY16 Tax Bill'!P382-'FY16 Feb Forecast'!P382</f>
        <v>0</v>
      </c>
      <c r="Q382" s="106">
        <f>+'FY16 Tax Bill'!Q382-'FY16 Feb Forecast'!Q382</f>
        <v>327</v>
      </c>
      <c r="R382" s="105">
        <f>+'FY16 Tax Bill'!R382-'FY16 Feb Forecast'!R382</f>
        <v>2.7478991596638593</v>
      </c>
      <c r="S382" s="105">
        <f>+'FY16 Tax Bill'!S382-'FY16 Feb Forecast'!S382</f>
        <v>0</v>
      </c>
      <c r="T382" s="108">
        <f>+'FY16 Tax Bill'!T382-'FY16 Feb Forecast'!T382</f>
        <v>2.7478991596638593</v>
      </c>
    </row>
    <row r="383" spans="1:20" x14ac:dyDescent="0.2">
      <c r="A383" s="109">
        <v>4052</v>
      </c>
      <c r="B383" s="110">
        <v>7</v>
      </c>
      <c r="C383" s="103" t="s">
        <v>478</v>
      </c>
      <c r="D383" s="103">
        <v>7</v>
      </c>
      <c r="E383" s="104">
        <f>+SUMIF('GE16FEB14 Unfudged'!$A$2:$A$498, $A383, 'GE16FEB14 Unfudged'!$D$2:$D$498)</f>
        <v>0</v>
      </c>
      <c r="F383" s="104">
        <f>+'FY16 Tax Bill'!F383-'FY16 Feb Forecast'!F383</f>
        <v>0</v>
      </c>
      <c r="G383" s="105">
        <f>+'FY16 Tax Bill'!G383-'FY16 Feb Forecast'!G383</f>
        <v>0</v>
      </c>
      <c r="H383" s="106">
        <f>+'FY16 Tax Bill'!H383-'FY16 Feb Forecast'!H383</f>
        <v>0</v>
      </c>
      <c r="I383" s="107">
        <f>+'FY16 Tax Bill'!I383-'FY16 Feb Forecast'!I383</f>
        <v>0</v>
      </c>
      <c r="J383" s="105">
        <f>+'FY16 Tax Bill'!J383-'FY16 Feb Forecast'!J383</f>
        <v>0</v>
      </c>
      <c r="K383" s="106">
        <f>+'FY16 Tax Bill'!K383-'FY16 Feb Forecast'!K383</f>
        <v>0</v>
      </c>
      <c r="L383" s="107">
        <f>+'FY16 Tax Bill'!L383-'FY16 Feb Forecast'!L383</f>
        <v>0</v>
      </c>
      <c r="M383" s="105">
        <f>+'FY16 Tax Bill'!M383-'FY16 Feb Forecast'!M383</f>
        <v>0</v>
      </c>
      <c r="N383" s="106">
        <f>+'FY16 Tax Bill'!N383-'FY16 Feb Forecast'!N383</f>
        <v>0</v>
      </c>
      <c r="O383" s="107">
        <f>+'FY16 Tax Bill'!O383-'FY16 Feb Forecast'!O383</f>
        <v>0</v>
      </c>
      <c r="P383" s="105">
        <f>+'FY16 Tax Bill'!P383-'FY16 Feb Forecast'!P383</f>
        <v>0</v>
      </c>
      <c r="Q383" s="106">
        <f>+'FY16 Tax Bill'!Q383-'FY16 Feb Forecast'!Q383</f>
        <v>0</v>
      </c>
      <c r="R383" s="105">
        <f>+'FY16 Tax Bill'!R383-'FY16 Feb Forecast'!R383</f>
        <v>0</v>
      </c>
      <c r="S383" s="105">
        <f>+'FY16 Tax Bill'!S383-'FY16 Feb Forecast'!S383</f>
        <v>0</v>
      </c>
      <c r="T383" s="108">
        <f>+'FY16 Tax Bill'!T383-'FY16 Feb Forecast'!T383</f>
        <v>0</v>
      </c>
    </row>
    <row r="384" spans="1:20" x14ac:dyDescent="0.2">
      <c r="A384" s="109">
        <v>4053</v>
      </c>
      <c r="B384" s="110">
        <v>7</v>
      </c>
      <c r="C384" s="103" t="s">
        <v>37</v>
      </c>
      <c r="D384" s="103">
        <v>7</v>
      </c>
      <c r="E384" s="104">
        <f>+SUMIF('GE16FEB14 Unfudged'!$A$2:$A$498, $A384, 'GE16FEB14 Unfudged'!$D$2:$D$498)</f>
        <v>478</v>
      </c>
      <c r="F384" s="104">
        <f>+'FY16 Tax Bill'!F384-'FY16 Feb Forecast'!F384</f>
        <v>1320</v>
      </c>
      <c r="G384" s="105">
        <f>+'FY16 Tax Bill'!G384-'FY16 Feb Forecast'!G384</f>
        <v>0</v>
      </c>
      <c r="H384" s="106">
        <f>+'FY16 Tax Bill'!H384-'FY16 Feb Forecast'!H384</f>
        <v>1320</v>
      </c>
      <c r="I384" s="107">
        <f>+'FY16 Tax Bill'!I384-'FY16 Feb Forecast'!I384</f>
        <v>0</v>
      </c>
      <c r="J384" s="105">
        <f>+'FY16 Tax Bill'!J384-'FY16 Feb Forecast'!J384</f>
        <v>0</v>
      </c>
      <c r="K384" s="106">
        <f>+'FY16 Tax Bill'!K384-'FY16 Feb Forecast'!K384</f>
        <v>0</v>
      </c>
      <c r="L384" s="107">
        <f>+'FY16 Tax Bill'!L384-'FY16 Feb Forecast'!L384</f>
        <v>0</v>
      </c>
      <c r="M384" s="105">
        <f>+'FY16 Tax Bill'!M384-'FY16 Feb Forecast'!M384</f>
        <v>0</v>
      </c>
      <c r="N384" s="106">
        <f>+'FY16 Tax Bill'!N384-'FY16 Feb Forecast'!N384</f>
        <v>0</v>
      </c>
      <c r="O384" s="107">
        <f>+'FY16 Tax Bill'!O384-'FY16 Feb Forecast'!O384</f>
        <v>1320</v>
      </c>
      <c r="P384" s="105">
        <f>+'FY16 Tax Bill'!P384-'FY16 Feb Forecast'!P384</f>
        <v>0</v>
      </c>
      <c r="Q384" s="106">
        <f>+'FY16 Tax Bill'!Q384-'FY16 Feb Forecast'!Q384</f>
        <v>1320</v>
      </c>
      <c r="R384" s="105">
        <f>+'FY16 Tax Bill'!R384-'FY16 Feb Forecast'!R384</f>
        <v>2.7615062761506266</v>
      </c>
      <c r="S384" s="105">
        <f>+'FY16 Tax Bill'!S384-'FY16 Feb Forecast'!S384</f>
        <v>0</v>
      </c>
      <c r="T384" s="108">
        <f>+'FY16 Tax Bill'!T384-'FY16 Feb Forecast'!T384</f>
        <v>2.7615062761506266</v>
      </c>
    </row>
    <row r="385" spans="1:20" x14ac:dyDescent="0.2">
      <c r="A385" s="109">
        <v>4054</v>
      </c>
      <c r="B385" s="110">
        <v>7</v>
      </c>
      <c r="C385" s="103" t="s">
        <v>38</v>
      </c>
      <c r="D385" s="103">
        <v>7</v>
      </c>
      <c r="E385" s="104">
        <f>+SUMIF('GE16FEB14 Unfudged'!$A$2:$A$498, $A385, 'GE16FEB14 Unfudged'!$D$2:$D$498)</f>
        <v>69</v>
      </c>
      <c r="F385" s="104">
        <f>+'FY16 Tax Bill'!F385-'FY16 Feb Forecast'!F385</f>
        <v>190</v>
      </c>
      <c r="G385" s="105">
        <f>+'FY16 Tax Bill'!G385-'FY16 Feb Forecast'!G385</f>
        <v>0</v>
      </c>
      <c r="H385" s="106">
        <f>+'FY16 Tax Bill'!H385-'FY16 Feb Forecast'!H385</f>
        <v>190</v>
      </c>
      <c r="I385" s="107">
        <f>+'FY16 Tax Bill'!I385-'FY16 Feb Forecast'!I385</f>
        <v>0</v>
      </c>
      <c r="J385" s="105">
        <f>+'FY16 Tax Bill'!J385-'FY16 Feb Forecast'!J385</f>
        <v>0</v>
      </c>
      <c r="K385" s="106">
        <f>+'FY16 Tax Bill'!K385-'FY16 Feb Forecast'!K385</f>
        <v>0</v>
      </c>
      <c r="L385" s="107">
        <f>+'FY16 Tax Bill'!L385-'FY16 Feb Forecast'!L385</f>
        <v>0</v>
      </c>
      <c r="M385" s="105">
        <f>+'FY16 Tax Bill'!M385-'FY16 Feb Forecast'!M385</f>
        <v>0</v>
      </c>
      <c r="N385" s="106">
        <f>+'FY16 Tax Bill'!N385-'FY16 Feb Forecast'!N385</f>
        <v>0</v>
      </c>
      <c r="O385" s="107">
        <f>+'FY16 Tax Bill'!O385-'FY16 Feb Forecast'!O385</f>
        <v>190</v>
      </c>
      <c r="P385" s="105">
        <f>+'FY16 Tax Bill'!P385-'FY16 Feb Forecast'!P385</f>
        <v>0</v>
      </c>
      <c r="Q385" s="106">
        <f>+'FY16 Tax Bill'!Q385-'FY16 Feb Forecast'!Q385</f>
        <v>190</v>
      </c>
      <c r="R385" s="105">
        <f>+'FY16 Tax Bill'!R385-'FY16 Feb Forecast'!R385</f>
        <v>2.7536231884057969</v>
      </c>
      <c r="S385" s="105">
        <f>+'FY16 Tax Bill'!S385-'FY16 Feb Forecast'!S385</f>
        <v>0</v>
      </c>
      <c r="T385" s="108">
        <f>+'FY16 Tax Bill'!T385-'FY16 Feb Forecast'!T385</f>
        <v>2.7536231884057969</v>
      </c>
    </row>
    <row r="386" spans="1:20" x14ac:dyDescent="0.2">
      <c r="A386" s="109">
        <v>4055</v>
      </c>
      <c r="B386" s="110">
        <v>7</v>
      </c>
      <c r="C386" s="103" t="s">
        <v>39</v>
      </c>
      <c r="D386" s="103">
        <v>7</v>
      </c>
      <c r="E386" s="104">
        <f>+SUMIF('GE16FEB14 Unfudged'!$A$2:$A$498, $A386, 'GE16FEB14 Unfudged'!$D$2:$D$498)</f>
        <v>155</v>
      </c>
      <c r="F386" s="104">
        <f>+'FY16 Tax Bill'!F386-'FY16 Feb Forecast'!F386</f>
        <v>428</v>
      </c>
      <c r="G386" s="105">
        <f>+'FY16 Tax Bill'!G386-'FY16 Feb Forecast'!G386</f>
        <v>0</v>
      </c>
      <c r="H386" s="106">
        <f>+'FY16 Tax Bill'!H386-'FY16 Feb Forecast'!H386</f>
        <v>428</v>
      </c>
      <c r="I386" s="107">
        <f>+'FY16 Tax Bill'!I386-'FY16 Feb Forecast'!I386</f>
        <v>0</v>
      </c>
      <c r="J386" s="105">
        <f>+'FY16 Tax Bill'!J386-'FY16 Feb Forecast'!J386</f>
        <v>0</v>
      </c>
      <c r="K386" s="106">
        <f>+'FY16 Tax Bill'!K386-'FY16 Feb Forecast'!K386</f>
        <v>0</v>
      </c>
      <c r="L386" s="107">
        <f>+'FY16 Tax Bill'!L386-'FY16 Feb Forecast'!L386</f>
        <v>0</v>
      </c>
      <c r="M386" s="105">
        <f>+'FY16 Tax Bill'!M386-'FY16 Feb Forecast'!M386</f>
        <v>0</v>
      </c>
      <c r="N386" s="106">
        <f>+'FY16 Tax Bill'!N386-'FY16 Feb Forecast'!N386</f>
        <v>0</v>
      </c>
      <c r="O386" s="107">
        <f>+'FY16 Tax Bill'!O386-'FY16 Feb Forecast'!O386</f>
        <v>428</v>
      </c>
      <c r="P386" s="105">
        <f>+'FY16 Tax Bill'!P386-'FY16 Feb Forecast'!P386</f>
        <v>0</v>
      </c>
      <c r="Q386" s="106">
        <f>+'FY16 Tax Bill'!Q386-'FY16 Feb Forecast'!Q386</f>
        <v>428</v>
      </c>
      <c r="R386" s="105">
        <f>+'FY16 Tax Bill'!R386-'FY16 Feb Forecast'!R386</f>
        <v>2.7612903225806491</v>
      </c>
      <c r="S386" s="105">
        <f>+'FY16 Tax Bill'!S386-'FY16 Feb Forecast'!S386</f>
        <v>0</v>
      </c>
      <c r="T386" s="108">
        <f>+'FY16 Tax Bill'!T386-'FY16 Feb Forecast'!T386</f>
        <v>2.7612903225806491</v>
      </c>
    </row>
    <row r="387" spans="1:20" x14ac:dyDescent="0.2">
      <c r="A387" s="109">
        <v>4056</v>
      </c>
      <c r="B387" s="110">
        <v>7</v>
      </c>
      <c r="C387" s="103" t="s">
        <v>479</v>
      </c>
      <c r="D387" s="103">
        <v>7</v>
      </c>
      <c r="E387" s="104">
        <f>+SUMIF('GE16FEB14 Unfudged'!$A$2:$A$498, $A387, 'GE16FEB14 Unfudged'!$D$2:$D$498)</f>
        <v>120</v>
      </c>
      <c r="F387" s="104">
        <f>+'FY16 Tax Bill'!F387-'FY16 Feb Forecast'!F387</f>
        <v>331</v>
      </c>
      <c r="G387" s="105">
        <f>+'FY16 Tax Bill'!G387-'FY16 Feb Forecast'!G387</f>
        <v>0</v>
      </c>
      <c r="H387" s="106">
        <f>+'FY16 Tax Bill'!H387-'FY16 Feb Forecast'!H387</f>
        <v>331</v>
      </c>
      <c r="I387" s="107">
        <f>+'FY16 Tax Bill'!I387-'FY16 Feb Forecast'!I387</f>
        <v>0</v>
      </c>
      <c r="J387" s="105">
        <f>+'FY16 Tax Bill'!J387-'FY16 Feb Forecast'!J387</f>
        <v>0</v>
      </c>
      <c r="K387" s="106">
        <f>+'FY16 Tax Bill'!K387-'FY16 Feb Forecast'!K387</f>
        <v>0</v>
      </c>
      <c r="L387" s="107">
        <f>+'FY16 Tax Bill'!L387-'FY16 Feb Forecast'!L387</f>
        <v>0</v>
      </c>
      <c r="M387" s="105">
        <f>+'FY16 Tax Bill'!M387-'FY16 Feb Forecast'!M387</f>
        <v>0</v>
      </c>
      <c r="N387" s="106">
        <f>+'FY16 Tax Bill'!N387-'FY16 Feb Forecast'!N387</f>
        <v>0</v>
      </c>
      <c r="O387" s="107">
        <f>+'FY16 Tax Bill'!O387-'FY16 Feb Forecast'!O387</f>
        <v>331</v>
      </c>
      <c r="P387" s="105">
        <f>+'FY16 Tax Bill'!P387-'FY16 Feb Forecast'!P387</f>
        <v>0</v>
      </c>
      <c r="Q387" s="106">
        <f>+'FY16 Tax Bill'!Q387-'FY16 Feb Forecast'!Q387</f>
        <v>331</v>
      </c>
      <c r="R387" s="105">
        <f>+'FY16 Tax Bill'!R387-'FY16 Feb Forecast'!R387</f>
        <v>2.75833333333334</v>
      </c>
      <c r="S387" s="105">
        <f>+'FY16 Tax Bill'!S387-'FY16 Feb Forecast'!S387</f>
        <v>0</v>
      </c>
      <c r="T387" s="108">
        <f>+'FY16 Tax Bill'!T387-'FY16 Feb Forecast'!T387</f>
        <v>2.75833333333334</v>
      </c>
    </row>
    <row r="388" spans="1:20" x14ac:dyDescent="0.2">
      <c r="A388" s="109">
        <v>4057</v>
      </c>
      <c r="B388" s="110">
        <v>7</v>
      </c>
      <c r="C388" s="103" t="s">
        <v>40</v>
      </c>
      <c r="D388" s="103">
        <v>7</v>
      </c>
      <c r="E388" s="104">
        <f>+SUMIF('GE16FEB14 Unfudged'!$A$2:$A$498, $A388, 'GE16FEB14 Unfudged'!$D$2:$D$498)</f>
        <v>96</v>
      </c>
      <c r="F388" s="104">
        <f>+'FY16 Tax Bill'!F388-'FY16 Feb Forecast'!F388</f>
        <v>264</v>
      </c>
      <c r="G388" s="105">
        <f>+'FY16 Tax Bill'!G388-'FY16 Feb Forecast'!G388</f>
        <v>0</v>
      </c>
      <c r="H388" s="106">
        <f>+'FY16 Tax Bill'!H388-'FY16 Feb Forecast'!H388</f>
        <v>264</v>
      </c>
      <c r="I388" s="107">
        <f>+'FY16 Tax Bill'!I388-'FY16 Feb Forecast'!I388</f>
        <v>0</v>
      </c>
      <c r="J388" s="105">
        <f>+'FY16 Tax Bill'!J388-'FY16 Feb Forecast'!J388</f>
        <v>0</v>
      </c>
      <c r="K388" s="106">
        <f>+'FY16 Tax Bill'!K388-'FY16 Feb Forecast'!K388</f>
        <v>0</v>
      </c>
      <c r="L388" s="107">
        <f>+'FY16 Tax Bill'!L388-'FY16 Feb Forecast'!L388</f>
        <v>0</v>
      </c>
      <c r="M388" s="105">
        <f>+'FY16 Tax Bill'!M388-'FY16 Feb Forecast'!M388</f>
        <v>0</v>
      </c>
      <c r="N388" s="106">
        <f>+'FY16 Tax Bill'!N388-'FY16 Feb Forecast'!N388</f>
        <v>0</v>
      </c>
      <c r="O388" s="107">
        <f>+'FY16 Tax Bill'!O388-'FY16 Feb Forecast'!O388</f>
        <v>264</v>
      </c>
      <c r="P388" s="105">
        <f>+'FY16 Tax Bill'!P388-'FY16 Feb Forecast'!P388</f>
        <v>0</v>
      </c>
      <c r="Q388" s="106">
        <f>+'FY16 Tax Bill'!Q388-'FY16 Feb Forecast'!Q388</f>
        <v>264</v>
      </c>
      <c r="R388" s="105">
        <f>+'FY16 Tax Bill'!R388-'FY16 Feb Forecast'!R388</f>
        <v>2.75</v>
      </c>
      <c r="S388" s="105">
        <f>+'FY16 Tax Bill'!S388-'FY16 Feb Forecast'!S388</f>
        <v>0</v>
      </c>
      <c r="T388" s="108">
        <f>+'FY16 Tax Bill'!T388-'FY16 Feb Forecast'!T388</f>
        <v>2.75</v>
      </c>
    </row>
    <row r="389" spans="1:20" x14ac:dyDescent="0.2">
      <c r="A389" s="109">
        <v>4058</v>
      </c>
      <c r="B389" s="110">
        <v>7</v>
      </c>
      <c r="C389" s="103" t="s">
        <v>480</v>
      </c>
      <c r="D389" s="103">
        <v>7</v>
      </c>
      <c r="E389" s="104">
        <f>+SUMIF('GE16FEB14 Unfudged'!$A$2:$A$498, $A389, 'GE16FEB14 Unfudged'!$D$2:$D$498)</f>
        <v>197</v>
      </c>
      <c r="F389" s="104">
        <f>+'FY16 Tax Bill'!F389-'FY16 Feb Forecast'!F389</f>
        <v>542</v>
      </c>
      <c r="G389" s="105">
        <f>+'FY16 Tax Bill'!G389-'FY16 Feb Forecast'!G389</f>
        <v>0</v>
      </c>
      <c r="H389" s="106">
        <f>+'FY16 Tax Bill'!H389-'FY16 Feb Forecast'!H389</f>
        <v>542</v>
      </c>
      <c r="I389" s="107">
        <f>+'FY16 Tax Bill'!I389-'FY16 Feb Forecast'!I389</f>
        <v>0</v>
      </c>
      <c r="J389" s="105">
        <f>+'FY16 Tax Bill'!J389-'FY16 Feb Forecast'!J389</f>
        <v>0</v>
      </c>
      <c r="K389" s="106">
        <f>+'FY16 Tax Bill'!K389-'FY16 Feb Forecast'!K389</f>
        <v>0</v>
      </c>
      <c r="L389" s="107">
        <f>+'FY16 Tax Bill'!L389-'FY16 Feb Forecast'!L389</f>
        <v>0</v>
      </c>
      <c r="M389" s="105">
        <f>+'FY16 Tax Bill'!M389-'FY16 Feb Forecast'!M389</f>
        <v>0</v>
      </c>
      <c r="N389" s="106">
        <f>+'FY16 Tax Bill'!N389-'FY16 Feb Forecast'!N389</f>
        <v>0</v>
      </c>
      <c r="O389" s="107">
        <f>+'FY16 Tax Bill'!O389-'FY16 Feb Forecast'!O389</f>
        <v>542</v>
      </c>
      <c r="P389" s="105">
        <f>+'FY16 Tax Bill'!P389-'FY16 Feb Forecast'!P389</f>
        <v>0</v>
      </c>
      <c r="Q389" s="106">
        <f>+'FY16 Tax Bill'!Q389-'FY16 Feb Forecast'!Q389</f>
        <v>542</v>
      </c>
      <c r="R389" s="105">
        <f>+'FY16 Tax Bill'!R389-'FY16 Feb Forecast'!R389</f>
        <v>2.7512690355329852</v>
      </c>
      <c r="S389" s="105">
        <f>+'FY16 Tax Bill'!S389-'FY16 Feb Forecast'!S389</f>
        <v>0</v>
      </c>
      <c r="T389" s="108">
        <f>+'FY16 Tax Bill'!T389-'FY16 Feb Forecast'!T389</f>
        <v>2.7512690355329852</v>
      </c>
    </row>
    <row r="390" spans="1:20" x14ac:dyDescent="0.2">
      <c r="A390" s="109">
        <v>4059</v>
      </c>
      <c r="B390" s="110">
        <v>7</v>
      </c>
      <c r="C390" s="103" t="s">
        <v>481</v>
      </c>
      <c r="D390" s="103">
        <v>7</v>
      </c>
      <c r="E390" s="104">
        <f>+SUMIF('GE16FEB14 Unfudged'!$A$2:$A$498, $A390, 'GE16FEB14 Unfudged'!$D$2:$D$498)</f>
        <v>168</v>
      </c>
      <c r="F390" s="104">
        <f>+'FY16 Tax Bill'!F390-'FY16 Feb Forecast'!F390</f>
        <v>464</v>
      </c>
      <c r="G390" s="105">
        <f>+'FY16 Tax Bill'!G390-'FY16 Feb Forecast'!G390</f>
        <v>0</v>
      </c>
      <c r="H390" s="106">
        <f>+'FY16 Tax Bill'!H390-'FY16 Feb Forecast'!H390</f>
        <v>464</v>
      </c>
      <c r="I390" s="107">
        <f>+'FY16 Tax Bill'!I390-'FY16 Feb Forecast'!I390</f>
        <v>0</v>
      </c>
      <c r="J390" s="105">
        <f>+'FY16 Tax Bill'!J390-'FY16 Feb Forecast'!J390</f>
        <v>0</v>
      </c>
      <c r="K390" s="106">
        <f>+'FY16 Tax Bill'!K390-'FY16 Feb Forecast'!K390</f>
        <v>0</v>
      </c>
      <c r="L390" s="107">
        <f>+'FY16 Tax Bill'!L390-'FY16 Feb Forecast'!L390</f>
        <v>0</v>
      </c>
      <c r="M390" s="105">
        <f>+'FY16 Tax Bill'!M390-'FY16 Feb Forecast'!M390</f>
        <v>0</v>
      </c>
      <c r="N390" s="106">
        <f>+'FY16 Tax Bill'!N390-'FY16 Feb Forecast'!N390</f>
        <v>0</v>
      </c>
      <c r="O390" s="107">
        <f>+'FY16 Tax Bill'!O390-'FY16 Feb Forecast'!O390</f>
        <v>464</v>
      </c>
      <c r="P390" s="105">
        <f>+'FY16 Tax Bill'!P390-'FY16 Feb Forecast'!P390</f>
        <v>0</v>
      </c>
      <c r="Q390" s="106">
        <f>+'FY16 Tax Bill'!Q390-'FY16 Feb Forecast'!Q390</f>
        <v>464</v>
      </c>
      <c r="R390" s="105">
        <f>+'FY16 Tax Bill'!R390-'FY16 Feb Forecast'!R390</f>
        <v>2.7619047619047592</v>
      </c>
      <c r="S390" s="105">
        <f>+'FY16 Tax Bill'!S390-'FY16 Feb Forecast'!S390</f>
        <v>0</v>
      </c>
      <c r="T390" s="108">
        <f>+'FY16 Tax Bill'!T390-'FY16 Feb Forecast'!T390</f>
        <v>2.7619047619047592</v>
      </c>
    </row>
    <row r="391" spans="1:20" x14ac:dyDescent="0.2">
      <c r="A391" s="109">
        <v>4064</v>
      </c>
      <c r="B391" s="110">
        <v>7</v>
      </c>
      <c r="C391" s="103" t="s">
        <v>482</v>
      </c>
      <c r="D391" s="103">
        <v>7</v>
      </c>
      <c r="E391" s="104">
        <f>+SUMIF('GE16FEB14 Unfudged'!$A$2:$A$498, $A391, 'GE16FEB14 Unfudged'!$D$2:$D$498)</f>
        <v>108</v>
      </c>
      <c r="F391" s="104">
        <f>+'FY16 Tax Bill'!F391-'FY16 Feb Forecast'!F391</f>
        <v>300</v>
      </c>
      <c r="G391" s="105">
        <f>+'FY16 Tax Bill'!G391-'FY16 Feb Forecast'!G391</f>
        <v>0</v>
      </c>
      <c r="H391" s="106">
        <f>+'FY16 Tax Bill'!H391-'FY16 Feb Forecast'!H391</f>
        <v>300</v>
      </c>
      <c r="I391" s="107">
        <f>+'FY16 Tax Bill'!I391-'FY16 Feb Forecast'!I391</f>
        <v>0</v>
      </c>
      <c r="J391" s="105">
        <f>+'FY16 Tax Bill'!J391-'FY16 Feb Forecast'!J391</f>
        <v>0</v>
      </c>
      <c r="K391" s="106">
        <f>+'FY16 Tax Bill'!K391-'FY16 Feb Forecast'!K391</f>
        <v>0</v>
      </c>
      <c r="L391" s="107">
        <f>+'FY16 Tax Bill'!L391-'FY16 Feb Forecast'!L391</f>
        <v>0</v>
      </c>
      <c r="M391" s="105">
        <f>+'FY16 Tax Bill'!M391-'FY16 Feb Forecast'!M391</f>
        <v>0</v>
      </c>
      <c r="N391" s="106">
        <f>+'FY16 Tax Bill'!N391-'FY16 Feb Forecast'!N391</f>
        <v>0</v>
      </c>
      <c r="O391" s="107">
        <f>+'FY16 Tax Bill'!O391-'FY16 Feb Forecast'!O391</f>
        <v>300</v>
      </c>
      <c r="P391" s="105">
        <f>+'FY16 Tax Bill'!P391-'FY16 Feb Forecast'!P391</f>
        <v>0</v>
      </c>
      <c r="Q391" s="106">
        <f>+'FY16 Tax Bill'!Q391-'FY16 Feb Forecast'!Q391</f>
        <v>300</v>
      </c>
      <c r="R391" s="105">
        <f>+'FY16 Tax Bill'!R391-'FY16 Feb Forecast'!R391</f>
        <v>2.7777777777777715</v>
      </c>
      <c r="S391" s="105">
        <f>+'FY16 Tax Bill'!S391-'FY16 Feb Forecast'!S391</f>
        <v>0</v>
      </c>
      <c r="T391" s="108">
        <f>+'FY16 Tax Bill'!T391-'FY16 Feb Forecast'!T391</f>
        <v>2.7777777777777715</v>
      </c>
    </row>
    <row r="392" spans="1:20" x14ac:dyDescent="0.2">
      <c r="A392" s="109">
        <v>4066</v>
      </c>
      <c r="B392" s="110">
        <v>7</v>
      </c>
      <c r="C392" s="103" t="s">
        <v>41</v>
      </c>
      <c r="D392" s="103">
        <v>7</v>
      </c>
      <c r="E392" s="104">
        <f>+SUMIF('GE16FEB14 Unfudged'!$A$2:$A$498, $A392, 'GE16FEB14 Unfudged'!$D$2:$D$498)</f>
        <v>81</v>
      </c>
      <c r="F392" s="104">
        <f>+'FY16 Tax Bill'!F392-'FY16 Feb Forecast'!F392</f>
        <v>225</v>
      </c>
      <c r="G392" s="105">
        <f>+'FY16 Tax Bill'!G392-'FY16 Feb Forecast'!G392</f>
        <v>0</v>
      </c>
      <c r="H392" s="106">
        <f>+'FY16 Tax Bill'!H392-'FY16 Feb Forecast'!H392</f>
        <v>225</v>
      </c>
      <c r="I392" s="107">
        <f>+'FY16 Tax Bill'!I392-'FY16 Feb Forecast'!I392</f>
        <v>0</v>
      </c>
      <c r="J392" s="105">
        <f>+'FY16 Tax Bill'!J392-'FY16 Feb Forecast'!J392</f>
        <v>0</v>
      </c>
      <c r="K392" s="106">
        <f>+'FY16 Tax Bill'!K392-'FY16 Feb Forecast'!K392</f>
        <v>0</v>
      </c>
      <c r="L392" s="107">
        <f>+'FY16 Tax Bill'!L392-'FY16 Feb Forecast'!L392</f>
        <v>0</v>
      </c>
      <c r="M392" s="105">
        <f>+'FY16 Tax Bill'!M392-'FY16 Feb Forecast'!M392</f>
        <v>0</v>
      </c>
      <c r="N392" s="106">
        <f>+'FY16 Tax Bill'!N392-'FY16 Feb Forecast'!N392</f>
        <v>0</v>
      </c>
      <c r="O392" s="107">
        <f>+'FY16 Tax Bill'!O392-'FY16 Feb Forecast'!O392</f>
        <v>225</v>
      </c>
      <c r="P392" s="105">
        <f>+'FY16 Tax Bill'!P392-'FY16 Feb Forecast'!P392</f>
        <v>0</v>
      </c>
      <c r="Q392" s="106">
        <f>+'FY16 Tax Bill'!Q392-'FY16 Feb Forecast'!Q392</f>
        <v>225</v>
      </c>
      <c r="R392" s="105">
        <f>+'FY16 Tax Bill'!R392-'FY16 Feb Forecast'!R392</f>
        <v>2.7777777777777857</v>
      </c>
      <c r="S392" s="105">
        <f>+'FY16 Tax Bill'!S392-'FY16 Feb Forecast'!S392</f>
        <v>0</v>
      </c>
      <c r="T392" s="108">
        <f>+'FY16 Tax Bill'!T392-'FY16 Feb Forecast'!T392</f>
        <v>2.7777777777777857</v>
      </c>
    </row>
    <row r="393" spans="1:20" x14ac:dyDescent="0.2">
      <c r="A393" s="109">
        <v>4067</v>
      </c>
      <c r="B393" s="110">
        <v>7</v>
      </c>
      <c r="C393" s="103" t="s">
        <v>42</v>
      </c>
      <c r="D393" s="103">
        <v>7</v>
      </c>
      <c r="E393" s="104">
        <f>+SUMIF('GE16FEB14 Unfudged'!$A$2:$A$498, $A393, 'GE16FEB14 Unfudged'!$D$2:$D$498)</f>
        <v>305</v>
      </c>
      <c r="F393" s="104">
        <f>+'FY16 Tax Bill'!F393-'FY16 Feb Forecast'!F393</f>
        <v>841</v>
      </c>
      <c r="G393" s="105">
        <f>+'FY16 Tax Bill'!G393-'FY16 Feb Forecast'!G393</f>
        <v>0</v>
      </c>
      <c r="H393" s="106">
        <f>+'FY16 Tax Bill'!H393-'FY16 Feb Forecast'!H393</f>
        <v>841</v>
      </c>
      <c r="I393" s="107">
        <f>+'FY16 Tax Bill'!I393-'FY16 Feb Forecast'!I393</f>
        <v>0</v>
      </c>
      <c r="J393" s="105">
        <f>+'FY16 Tax Bill'!J393-'FY16 Feb Forecast'!J393</f>
        <v>0</v>
      </c>
      <c r="K393" s="106">
        <f>+'FY16 Tax Bill'!K393-'FY16 Feb Forecast'!K393</f>
        <v>0</v>
      </c>
      <c r="L393" s="107">
        <f>+'FY16 Tax Bill'!L393-'FY16 Feb Forecast'!L393</f>
        <v>0</v>
      </c>
      <c r="M393" s="105">
        <f>+'FY16 Tax Bill'!M393-'FY16 Feb Forecast'!M393</f>
        <v>0</v>
      </c>
      <c r="N393" s="106">
        <f>+'FY16 Tax Bill'!N393-'FY16 Feb Forecast'!N393</f>
        <v>0</v>
      </c>
      <c r="O393" s="107">
        <f>+'FY16 Tax Bill'!O393-'FY16 Feb Forecast'!O393</f>
        <v>841</v>
      </c>
      <c r="P393" s="105">
        <f>+'FY16 Tax Bill'!P393-'FY16 Feb Forecast'!P393</f>
        <v>0</v>
      </c>
      <c r="Q393" s="106">
        <f>+'FY16 Tax Bill'!Q393-'FY16 Feb Forecast'!Q393</f>
        <v>841</v>
      </c>
      <c r="R393" s="105">
        <f>+'FY16 Tax Bill'!R393-'FY16 Feb Forecast'!R393</f>
        <v>2.7573770491803344</v>
      </c>
      <c r="S393" s="105">
        <f>+'FY16 Tax Bill'!S393-'FY16 Feb Forecast'!S393</f>
        <v>0</v>
      </c>
      <c r="T393" s="108">
        <f>+'FY16 Tax Bill'!T393-'FY16 Feb Forecast'!T393</f>
        <v>2.7573770491803344</v>
      </c>
    </row>
    <row r="394" spans="1:20" x14ac:dyDescent="0.2">
      <c r="A394" s="109">
        <v>4068</v>
      </c>
      <c r="B394" s="110">
        <v>7</v>
      </c>
      <c r="C394" s="103" t="s">
        <v>43</v>
      </c>
      <c r="D394" s="103">
        <v>7</v>
      </c>
      <c r="E394" s="104">
        <f>+SUMIF('GE16FEB14 Unfudged'!$A$2:$A$498, $A394, 'GE16FEB14 Unfudged'!$D$2:$D$498)</f>
        <v>388</v>
      </c>
      <c r="F394" s="104">
        <f>+'FY16 Tax Bill'!F394-'FY16 Feb Forecast'!F394</f>
        <v>1071</v>
      </c>
      <c r="G394" s="105">
        <f>+'FY16 Tax Bill'!G394-'FY16 Feb Forecast'!G394</f>
        <v>0</v>
      </c>
      <c r="H394" s="106">
        <f>+'FY16 Tax Bill'!H394-'FY16 Feb Forecast'!H394</f>
        <v>1071</v>
      </c>
      <c r="I394" s="107">
        <f>+'FY16 Tax Bill'!I394-'FY16 Feb Forecast'!I394</f>
        <v>0</v>
      </c>
      <c r="J394" s="105">
        <f>+'FY16 Tax Bill'!J394-'FY16 Feb Forecast'!J394</f>
        <v>0</v>
      </c>
      <c r="K394" s="106">
        <f>+'FY16 Tax Bill'!K394-'FY16 Feb Forecast'!K394</f>
        <v>0</v>
      </c>
      <c r="L394" s="107">
        <f>+'FY16 Tax Bill'!L394-'FY16 Feb Forecast'!L394</f>
        <v>0</v>
      </c>
      <c r="M394" s="105">
        <f>+'FY16 Tax Bill'!M394-'FY16 Feb Forecast'!M394</f>
        <v>0</v>
      </c>
      <c r="N394" s="106">
        <f>+'FY16 Tax Bill'!N394-'FY16 Feb Forecast'!N394</f>
        <v>0</v>
      </c>
      <c r="O394" s="107">
        <f>+'FY16 Tax Bill'!O394-'FY16 Feb Forecast'!O394</f>
        <v>1071</v>
      </c>
      <c r="P394" s="105">
        <f>+'FY16 Tax Bill'!P394-'FY16 Feb Forecast'!P394</f>
        <v>0</v>
      </c>
      <c r="Q394" s="106">
        <f>+'FY16 Tax Bill'!Q394-'FY16 Feb Forecast'!Q394</f>
        <v>1071</v>
      </c>
      <c r="R394" s="105">
        <f>+'FY16 Tax Bill'!R394-'FY16 Feb Forecast'!R394</f>
        <v>2.760309278350519</v>
      </c>
      <c r="S394" s="105">
        <f>+'FY16 Tax Bill'!S394-'FY16 Feb Forecast'!S394</f>
        <v>0</v>
      </c>
      <c r="T394" s="108">
        <f>+'FY16 Tax Bill'!T394-'FY16 Feb Forecast'!T394</f>
        <v>2.760309278350519</v>
      </c>
    </row>
    <row r="395" spans="1:20" x14ac:dyDescent="0.2">
      <c r="A395" s="109">
        <v>4070</v>
      </c>
      <c r="B395" s="110">
        <v>7</v>
      </c>
      <c r="C395" s="103" t="s">
        <v>44</v>
      </c>
      <c r="D395" s="103">
        <v>7</v>
      </c>
      <c r="E395" s="104">
        <f>+SUMIF('GE16FEB14 Unfudged'!$A$2:$A$498, $A395, 'GE16FEB14 Unfudged'!$D$2:$D$498)</f>
        <v>496</v>
      </c>
      <c r="F395" s="104">
        <f>+'FY16 Tax Bill'!F395-'FY16 Feb Forecast'!F395</f>
        <v>1369</v>
      </c>
      <c r="G395" s="105">
        <f>+'FY16 Tax Bill'!G395-'FY16 Feb Forecast'!G395</f>
        <v>0</v>
      </c>
      <c r="H395" s="106">
        <f>+'FY16 Tax Bill'!H395-'FY16 Feb Forecast'!H395</f>
        <v>1369</v>
      </c>
      <c r="I395" s="107">
        <f>+'FY16 Tax Bill'!I395-'FY16 Feb Forecast'!I395</f>
        <v>0</v>
      </c>
      <c r="J395" s="105">
        <f>+'FY16 Tax Bill'!J395-'FY16 Feb Forecast'!J395</f>
        <v>0</v>
      </c>
      <c r="K395" s="106">
        <f>+'FY16 Tax Bill'!K395-'FY16 Feb Forecast'!K395</f>
        <v>0</v>
      </c>
      <c r="L395" s="107">
        <f>+'FY16 Tax Bill'!L395-'FY16 Feb Forecast'!L395</f>
        <v>0</v>
      </c>
      <c r="M395" s="105">
        <f>+'FY16 Tax Bill'!M395-'FY16 Feb Forecast'!M395</f>
        <v>0</v>
      </c>
      <c r="N395" s="106">
        <f>+'FY16 Tax Bill'!N395-'FY16 Feb Forecast'!N395</f>
        <v>0</v>
      </c>
      <c r="O395" s="107">
        <f>+'FY16 Tax Bill'!O395-'FY16 Feb Forecast'!O395</f>
        <v>1369</v>
      </c>
      <c r="P395" s="105">
        <f>+'FY16 Tax Bill'!P395-'FY16 Feb Forecast'!P395</f>
        <v>0</v>
      </c>
      <c r="Q395" s="106">
        <f>+'FY16 Tax Bill'!Q395-'FY16 Feb Forecast'!Q395</f>
        <v>1369</v>
      </c>
      <c r="R395" s="105">
        <f>+'FY16 Tax Bill'!R395-'FY16 Feb Forecast'!R395</f>
        <v>2.7600806451612954</v>
      </c>
      <c r="S395" s="105">
        <f>+'FY16 Tax Bill'!S395-'FY16 Feb Forecast'!S395</f>
        <v>0</v>
      </c>
      <c r="T395" s="108">
        <f>+'FY16 Tax Bill'!T395-'FY16 Feb Forecast'!T395</f>
        <v>2.7600806451612954</v>
      </c>
    </row>
    <row r="396" spans="1:20" x14ac:dyDescent="0.2">
      <c r="A396" s="109">
        <v>4073</v>
      </c>
      <c r="B396" s="110">
        <v>7</v>
      </c>
      <c r="C396" s="103" t="s">
        <v>483</v>
      </c>
      <c r="D396" s="103">
        <v>7</v>
      </c>
      <c r="E396" s="104">
        <f>+SUMIF('GE16FEB14 Unfudged'!$A$2:$A$498, $A396, 'GE16FEB14 Unfudged'!$D$2:$D$498)</f>
        <v>410</v>
      </c>
      <c r="F396" s="104">
        <f>+'FY16 Tax Bill'!F396-'FY16 Feb Forecast'!F396</f>
        <v>1131</v>
      </c>
      <c r="G396" s="105">
        <f>+'FY16 Tax Bill'!G396-'FY16 Feb Forecast'!G396</f>
        <v>0</v>
      </c>
      <c r="H396" s="106">
        <f>+'FY16 Tax Bill'!H396-'FY16 Feb Forecast'!H396</f>
        <v>1131</v>
      </c>
      <c r="I396" s="107">
        <f>+'FY16 Tax Bill'!I396-'FY16 Feb Forecast'!I396</f>
        <v>0</v>
      </c>
      <c r="J396" s="105">
        <f>+'FY16 Tax Bill'!J396-'FY16 Feb Forecast'!J396</f>
        <v>0</v>
      </c>
      <c r="K396" s="106">
        <f>+'FY16 Tax Bill'!K396-'FY16 Feb Forecast'!K396</f>
        <v>0</v>
      </c>
      <c r="L396" s="107">
        <f>+'FY16 Tax Bill'!L396-'FY16 Feb Forecast'!L396</f>
        <v>0</v>
      </c>
      <c r="M396" s="105">
        <f>+'FY16 Tax Bill'!M396-'FY16 Feb Forecast'!M396</f>
        <v>0</v>
      </c>
      <c r="N396" s="106">
        <f>+'FY16 Tax Bill'!N396-'FY16 Feb Forecast'!N396</f>
        <v>0</v>
      </c>
      <c r="O396" s="107">
        <f>+'FY16 Tax Bill'!O396-'FY16 Feb Forecast'!O396</f>
        <v>1131</v>
      </c>
      <c r="P396" s="105">
        <f>+'FY16 Tax Bill'!P396-'FY16 Feb Forecast'!P396</f>
        <v>0</v>
      </c>
      <c r="Q396" s="106">
        <f>+'FY16 Tax Bill'!Q396-'FY16 Feb Forecast'!Q396</f>
        <v>1131</v>
      </c>
      <c r="R396" s="105">
        <f>+'FY16 Tax Bill'!R396-'FY16 Feb Forecast'!R396</f>
        <v>2.7585365853658601</v>
      </c>
      <c r="S396" s="105">
        <f>+'FY16 Tax Bill'!S396-'FY16 Feb Forecast'!S396</f>
        <v>0</v>
      </c>
      <c r="T396" s="108">
        <f>+'FY16 Tax Bill'!T396-'FY16 Feb Forecast'!T396</f>
        <v>2.7585365853658601</v>
      </c>
    </row>
    <row r="397" spans="1:20" x14ac:dyDescent="0.2">
      <c r="A397" s="109">
        <v>4074</v>
      </c>
      <c r="B397" s="110">
        <v>7</v>
      </c>
      <c r="C397" s="103" t="s">
        <v>484</v>
      </c>
      <c r="D397" s="103">
        <v>7</v>
      </c>
      <c r="E397" s="104">
        <f>+SUMIF('GE16FEB14 Unfudged'!$A$2:$A$498, $A397, 'GE16FEB14 Unfudged'!$D$2:$D$498)</f>
        <v>360</v>
      </c>
      <c r="F397" s="104">
        <f>+'FY16 Tax Bill'!F397-'FY16 Feb Forecast'!F397</f>
        <v>994</v>
      </c>
      <c r="G397" s="105">
        <f>+'FY16 Tax Bill'!G397-'FY16 Feb Forecast'!G397</f>
        <v>0</v>
      </c>
      <c r="H397" s="106">
        <f>+'FY16 Tax Bill'!H397-'FY16 Feb Forecast'!H397</f>
        <v>994</v>
      </c>
      <c r="I397" s="107">
        <f>+'FY16 Tax Bill'!I397-'FY16 Feb Forecast'!I397</f>
        <v>0</v>
      </c>
      <c r="J397" s="105">
        <f>+'FY16 Tax Bill'!J397-'FY16 Feb Forecast'!J397</f>
        <v>0</v>
      </c>
      <c r="K397" s="106">
        <f>+'FY16 Tax Bill'!K397-'FY16 Feb Forecast'!K397</f>
        <v>0</v>
      </c>
      <c r="L397" s="107">
        <f>+'FY16 Tax Bill'!L397-'FY16 Feb Forecast'!L397</f>
        <v>0</v>
      </c>
      <c r="M397" s="105">
        <f>+'FY16 Tax Bill'!M397-'FY16 Feb Forecast'!M397</f>
        <v>0</v>
      </c>
      <c r="N397" s="106">
        <f>+'FY16 Tax Bill'!N397-'FY16 Feb Forecast'!N397</f>
        <v>0</v>
      </c>
      <c r="O397" s="107">
        <f>+'FY16 Tax Bill'!O397-'FY16 Feb Forecast'!O397</f>
        <v>994</v>
      </c>
      <c r="P397" s="105">
        <f>+'FY16 Tax Bill'!P397-'FY16 Feb Forecast'!P397</f>
        <v>0</v>
      </c>
      <c r="Q397" s="106">
        <f>+'FY16 Tax Bill'!Q397-'FY16 Feb Forecast'!Q397</f>
        <v>994</v>
      </c>
      <c r="R397" s="105">
        <f>+'FY16 Tax Bill'!R397-'FY16 Feb Forecast'!R397</f>
        <v>2.76111111111112</v>
      </c>
      <c r="S397" s="105">
        <f>+'FY16 Tax Bill'!S397-'FY16 Feb Forecast'!S397</f>
        <v>0</v>
      </c>
      <c r="T397" s="108">
        <f>+'FY16 Tax Bill'!T397-'FY16 Feb Forecast'!T397</f>
        <v>2.76111111111112</v>
      </c>
    </row>
    <row r="398" spans="1:20" x14ac:dyDescent="0.2">
      <c r="A398" s="109">
        <v>4075</v>
      </c>
      <c r="B398" s="110">
        <v>7</v>
      </c>
      <c r="C398" s="103" t="s">
        <v>45</v>
      </c>
      <c r="D398" s="103">
        <v>7</v>
      </c>
      <c r="E398" s="104">
        <f>+SUMIF('GE16FEB14 Unfudged'!$A$2:$A$498, $A398, 'GE16FEB14 Unfudged'!$D$2:$D$498)</f>
        <v>225</v>
      </c>
      <c r="F398" s="104">
        <f>+'FY16 Tax Bill'!F398-'FY16 Feb Forecast'!F398</f>
        <v>621</v>
      </c>
      <c r="G398" s="105">
        <f>+'FY16 Tax Bill'!G398-'FY16 Feb Forecast'!G398</f>
        <v>0</v>
      </c>
      <c r="H398" s="106">
        <f>+'FY16 Tax Bill'!H398-'FY16 Feb Forecast'!H398</f>
        <v>621</v>
      </c>
      <c r="I398" s="107">
        <f>+'FY16 Tax Bill'!I398-'FY16 Feb Forecast'!I398</f>
        <v>0</v>
      </c>
      <c r="J398" s="105">
        <f>+'FY16 Tax Bill'!J398-'FY16 Feb Forecast'!J398</f>
        <v>0</v>
      </c>
      <c r="K398" s="106">
        <f>+'FY16 Tax Bill'!K398-'FY16 Feb Forecast'!K398</f>
        <v>0</v>
      </c>
      <c r="L398" s="107">
        <f>+'FY16 Tax Bill'!L398-'FY16 Feb Forecast'!L398</f>
        <v>0</v>
      </c>
      <c r="M398" s="105">
        <f>+'FY16 Tax Bill'!M398-'FY16 Feb Forecast'!M398</f>
        <v>0</v>
      </c>
      <c r="N398" s="106">
        <f>+'FY16 Tax Bill'!N398-'FY16 Feb Forecast'!N398</f>
        <v>0</v>
      </c>
      <c r="O398" s="107">
        <f>+'FY16 Tax Bill'!O398-'FY16 Feb Forecast'!O398</f>
        <v>621</v>
      </c>
      <c r="P398" s="105">
        <f>+'FY16 Tax Bill'!P398-'FY16 Feb Forecast'!P398</f>
        <v>0</v>
      </c>
      <c r="Q398" s="106">
        <f>+'FY16 Tax Bill'!Q398-'FY16 Feb Forecast'!Q398</f>
        <v>621</v>
      </c>
      <c r="R398" s="105">
        <f>+'FY16 Tax Bill'!R398-'FY16 Feb Forecast'!R398</f>
        <v>2.7599999999999909</v>
      </c>
      <c r="S398" s="105">
        <f>+'FY16 Tax Bill'!S398-'FY16 Feb Forecast'!S398</f>
        <v>0</v>
      </c>
      <c r="T398" s="108">
        <f>+'FY16 Tax Bill'!T398-'FY16 Feb Forecast'!T398</f>
        <v>2.7599999999999909</v>
      </c>
    </row>
    <row r="399" spans="1:20" x14ac:dyDescent="0.2">
      <c r="A399" s="109">
        <v>4077</v>
      </c>
      <c r="B399" s="110">
        <v>7</v>
      </c>
      <c r="C399" s="103" t="s">
        <v>485</v>
      </c>
      <c r="D399" s="103">
        <v>7</v>
      </c>
      <c r="E399" s="104">
        <f>+SUMIF('GE16FEB14 Unfudged'!$A$2:$A$498, $A399, 'GE16FEB14 Unfudged'!$D$2:$D$498)</f>
        <v>524</v>
      </c>
      <c r="F399" s="104">
        <f>+'FY16 Tax Bill'!F399-'FY16 Feb Forecast'!F399</f>
        <v>1447</v>
      </c>
      <c r="G399" s="105">
        <f>+'FY16 Tax Bill'!G399-'FY16 Feb Forecast'!G399</f>
        <v>0</v>
      </c>
      <c r="H399" s="106">
        <f>+'FY16 Tax Bill'!H399-'FY16 Feb Forecast'!H399</f>
        <v>1447</v>
      </c>
      <c r="I399" s="107">
        <f>+'FY16 Tax Bill'!I399-'FY16 Feb Forecast'!I399</f>
        <v>0</v>
      </c>
      <c r="J399" s="105">
        <f>+'FY16 Tax Bill'!J399-'FY16 Feb Forecast'!J399</f>
        <v>0</v>
      </c>
      <c r="K399" s="106">
        <f>+'FY16 Tax Bill'!K399-'FY16 Feb Forecast'!K399</f>
        <v>0</v>
      </c>
      <c r="L399" s="107">
        <f>+'FY16 Tax Bill'!L399-'FY16 Feb Forecast'!L399</f>
        <v>0</v>
      </c>
      <c r="M399" s="105">
        <f>+'FY16 Tax Bill'!M399-'FY16 Feb Forecast'!M399</f>
        <v>0</v>
      </c>
      <c r="N399" s="106">
        <f>+'FY16 Tax Bill'!N399-'FY16 Feb Forecast'!N399</f>
        <v>0</v>
      </c>
      <c r="O399" s="107">
        <f>+'FY16 Tax Bill'!O399-'FY16 Feb Forecast'!O399</f>
        <v>1447</v>
      </c>
      <c r="P399" s="105">
        <f>+'FY16 Tax Bill'!P399-'FY16 Feb Forecast'!P399</f>
        <v>0</v>
      </c>
      <c r="Q399" s="106">
        <f>+'FY16 Tax Bill'!Q399-'FY16 Feb Forecast'!Q399</f>
        <v>1447</v>
      </c>
      <c r="R399" s="105">
        <f>+'FY16 Tax Bill'!R399-'FY16 Feb Forecast'!R399</f>
        <v>2.7614503816793814</v>
      </c>
      <c r="S399" s="105">
        <f>+'FY16 Tax Bill'!S399-'FY16 Feb Forecast'!S399</f>
        <v>0</v>
      </c>
      <c r="T399" s="108">
        <f>+'FY16 Tax Bill'!T399-'FY16 Feb Forecast'!T399</f>
        <v>2.7614503816793814</v>
      </c>
    </row>
    <row r="400" spans="1:20" x14ac:dyDescent="0.2">
      <c r="A400" s="109">
        <v>4078</v>
      </c>
      <c r="B400" s="110">
        <v>7</v>
      </c>
      <c r="C400" s="103" t="s">
        <v>486</v>
      </c>
      <c r="D400" s="103">
        <v>7</v>
      </c>
      <c r="E400" s="104">
        <f>+SUMIF('GE16FEB14 Unfudged'!$A$2:$A$498, $A400, 'GE16FEB14 Unfudged'!$D$2:$D$498)</f>
        <v>501</v>
      </c>
      <c r="F400" s="104">
        <f>+'FY16 Tax Bill'!F400-'FY16 Feb Forecast'!F400</f>
        <v>1383</v>
      </c>
      <c r="G400" s="105">
        <f>+'FY16 Tax Bill'!G400-'FY16 Feb Forecast'!G400</f>
        <v>0</v>
      </c>
      <c r="H400" s="106">
        <f>+'FY16 Tax Bill'!H400-'FY16 Feb Forecast'!H400</f>
        <v>1383</v>
      </c>
      <c r="I400" s="107">
        <f>+'FY16 Tax Bill'!I400-'FY16 Feb Forecast'!I400</f>
        <v>0</v>
      </c>
      <c r="J400" s="105">
        <f>+'FY16 Tax Bill'!J400-'FY16 Feb Forecast'!J400</f>
        <v>0</v>
      </c>
      <c r="K400" s="106">
        <f>+'FY16 Tax Bill'!K400-'FY16 Feb Forecast'!K400</f>
        <v>0</v>
      </c>
      <c r="L400" s="107">
        <f>+'FY16 Tax Bill'!L400-'FY16 Feb Forecast'!L400</f>
        <v>0</v>
      </c>
      <c r="M400" s="105">
        <f>+'FY16 Tax Bill'!M400-'FY16 Feb Forecast'!M400</f>
        <v>0</v>
      </c>
      <c r="N400" s="106">
        <f>+'FY16 Tax Bill'!N400-'FY16 Feb Forecast'!N400</f>
        <v>0</v>
      </c>
      <c r="O400" s="107">
        <f>+'FY16 Tax Bill'!O400-'FY16 Feb Forecast'!O400</f>
        <v>1383</v>
      </c>
      <c r="P400" s="105">
        <f>+'FY16 Tax Bill'!P400-'FY16 Feb Forecast'!P400</f>
        <v>0</v>
      </c>
      <c r="Q400" s="106">
        <f>+'FY16 Tax Bill'!Q400-'FY16 Feb Forecast'!Q400</f>
        <v>1383</v>
      </c>
      <c r="R400" s="105">
        <f>+'FY16 Tax Bill'!R400-'FY16 Feb Forecast'!R400</f>
        <v>2.7604790419161702</v>
      </c>
      <c r="S400" s="105">
        <f>+'FY16 Tax Bill'!S400-'FY16 Feb Forecast'!S400</f>
        <v>0</v>
      </c>
      <c r="T400" s="108">
        <f>+'FY16 Tax Bill'!T400-'FY16 Feb Forecast'!T400</f>
        <v>2.7604790419161702</v>
      </c>
    </row>
    <row r="401" spans="1:20" x14ac:dyDescent="0.2">
      <c r="A401" s="109">
        <v>4079</v>
      </c>
      <c r="B401" s="110">
        <v>7</v>
      </c>
      <c r="C401" s="103" t="s">
        <v>487</v>
      </c>
      <c r="D401" s="103">
        <v>7</v>
      </c>
      <c r="E401" s="104">
        <f>+SUMIF('GE16FEB14 Unfudged'!$A$2:$A$498, $A401, 'GE16FEB14 Unfudged'!$D$2:$D$498)</f>
        <v>124</v>
      </c>
      <c r="F401" s="104">
        <f>+'FY16 Tax Bill'!F401-'FY16 Feb Forecast'!F401</f>
        <v>342</v>
      </c>
      <c r="G401" s="105">
        <f>+'FY16 Tax Bill'!G401-'FY16 Feb Forecast'!G401</f>
        <v>0</v>
      </c>
      <c r="H401" s="106">
        <f>+'FY16 Tax Bill'!H401-'FY16 Feb Forecast'!H401</f>
        <v>342</v>
      </c>
      <c r="I401" s="107">
        <f>+'FY16 Tax Bill'!I401-'FY16 Feb Forecast'!I401</f>
        <v>0</v>
      </c>
      <c r="J401" s="105">
        <f>+'FY16 Tax Bill'!J401-'FY16 Feb Forecast'!J401</f>
        <v>0</v>
      </c>
      <c r="K401" s="106">
        <f>+'FY16 Tax Bill'!K401-'FY16 Feb Forecast'!K401</f>
        <v>0</v>
      </c>
      <c r="L401" s="107">
        <f>+'FY16 Tax Bill'!L401-'FY16 Feb Forecast'!L401</f>
        <v>0</v>
      </c>
      <c r="M401" s="105">
        <f>+'FY16 Tax Bill'!M401-'FY16 Feb Forecast'!M401</f>
        <v>0</v>
      </c>
      <c r="N401" s="106">
        <f>+'FY16 Tax Bill'!N401-'FY16 Feb Forecast'!N401</f>
        <v>0</v>
      </c>
      <c r="O401" s="107">
        <f>+'FY16 Tax Bill'!O401-'FY16 Feb Forecast'!O401</f>
        <v>342</v>
      </c>
      <c r="P401" s="105">
        <f>+'FY16 Tax Bill'!P401-'FY16 Feb Forecast'!P401</f>
        <v>0</v>
      </c>
      <c r="Q401" s="106">
        <f>+'FY16 Tax Bill'!Q401-'FY16 Feb Forecast'!Q401</f>
        <v>342</v>
      </c>
      <c r="R401" s="105">
        <f>+'FY16 Tax Bill'!R401-'FY16 Feb Forecast'!R401</f>
        <v>2.7580645161290249</v>
      </c>
      <c r="S401" s="105">
        <f>+'FY16 Tax Bill'!S401-'FY16 Feb Forecast'!S401</f>
        <v>0</v>
      </c>
      <c r="T401" s="108">
        <f>+'FY16 Tax Bill'!T401-'FY16 Feb Forecast'!T401</f>
        <v>2.7580645161290249</v>
      </c>
    </row>
    <row r="402" spans="1:20" x14ac:dyDescent="0.2">
      <c r="A402" s="109">
        <v>4080</v>
      </c>
      <c r="B402" s="110">
        <v>7</v>
      </c>
      <c r="C402" s="103" t="s">
        <v>46</v>
      </c>
      <c r="D402" s="103">
        <v>7</v>
      </c>
      <c r="E402" s="104">
        <f>+SUMIF('GE16FEB14 Unfudged'!$A$2:$A$498, $A402, 'GE16FEB14 Unfudged'!$D$2:$D$498)</f>
        <v>54</v>
      </c>
      <c r="F402" s="104">
        <f>+'FY16 Tax Bill'!F402-'FY16 Feb Forecast'!F402</f>
        <v>149</v>
      </c>
      <c r="G402" s="105">
        <f>+'FY16 Tax Bill'!G402-'FY16 Feb Forecast'!G402</f>
        <v>0</v>
      </c>
      <c r="H402" s="106">
        <f>+'FY16 Tax Bill'!H402-'FY16 Feb Forecast'!H402</f>
        <v>149</v>
      </c>
      <c r="I402" s="107">
        <f>+'FY16 Tax Bill'!I402-'FY16 Feb Forecast'!I402</f>
        <v>0</v>
      </c>
      <c r="J402" s="105">
        <f>+'FY16 Tax Bill'!J402-'FY16 Feb Forecast'!J402</f>
        <v>0</v>
      </c>
      <c r="K402" s="106">
        <f>+'FY16 Tax Bill'!K402-'FY16 Feb Forecast'!K402</f>
        <v>0</v>
      </c>
      <c r="L402" s="107">
        <f>+'FY16 Tax Bill'!L402-'FY16 Feb Forecast'!L402</f>
        <v>0</v>
      </c>
      <c r="M402" s="105">
        <f>+'FY16 Tax Bill'!M402-'FY16 Feb Forecast'!M402</f>
        <v>0</v>
      </c>
      <c r="N402" s="106">
        <f>+'FY16 Tax Bill'!N402-'FY16 Feb Forecast'!N402</f>
        <v>0</v>
      </c>
      <c r="O402" s="107">
        <f>+'FY16 Tax Bill'!O402-'FY16 Feb Forecast'!O402</f>
        <v>149</v>
      </c>
      <c r="P402" s="105">
        <f>+'FY16 Tax Bill'!P402-'FY16 Feb Forecast'!P402</f>
        <v>0</v>
      </c>
      <c r="Q402" s="106">
        <f>+'FY16 Tax Bill'!Q402-'FY16 Feb Forecast'!Q402</f>
        <v>149</v>
      </c>
      <c r="R402" s="105">
        <f>+'FY16 Tax Bill'!R402-'FY16 Feb Forecast'!R402</f>
        <v>2.7592592592592524</v>
      </c>
      <c r="S402" s="105">
        <f>+'FY16 Tax Bill'!S402-'FY16 Feb Forecast'!S402</f>
        <v>0</v>
      </c>
      <c r="T402" s="108">
        <f>+'FY16 Tax Bill'!T402-'FY16 Feb Forecast'!T402</f>
        <v>2.7592592592592524</v>
      </c>
    </row>
    <row r="403" spans="1:20" x14ac:dyDescent="0.2">
      <c r="A403" s="109">
        <v>4081</v>
      </c>
      <c r="B403" s="110">
        <v>7</v>
      </c>
      <c r="C403" s="103" t="s">
        <v>488</v>
      </c>
      <c r="D403" s="103">
        <v>7</v>
      </c>
      <c r="E403" s="104">
        <f>+SUMIF('GE16FEB14 Unfudged'!$A$2:$A$498, $A403, 'GE16FEB14 Unfudged'!$D$2:$D$498)</f>
        <v>67</v>
      </c>
      <c r="F403" s="104">
        <f>+'FY16 Tax Bill'!F403-'FY16 Feb Forecast'!F403</f>
        <v>184</v>
      </c>
      <c r="G403" s="105">
        <f>+'FY16 Tax Bill'!G403-'FY16 Feb Forecast'!G403</f>
        <v>0</v>
      </c>
      <c r="H403" s="106">
        <f>+'FY16 Tax Bill'!H403-'FY16 Feb Forecast'!H403</f>
        <v>184</v>
      </c>
      <c r="I403" s="107">
        <f>+'FY16 Tax Bill'!I403-'FY16 Feb Forecast'!I403</f>
        <v>0</v>
      </c>
      <c r="J403" s="105">
        <f>+'FY16 Tax Bill'!J403-'FY16 Feb Forecast'!J403</f>
        <v>0</v>
      </c>
      <c r="K403" s="106">
        <f>+'FY16 Tax Bill'!K403-'FY16 Feb Forecast'!K403</f>
        <v>0</v>
      </c>
      <c r="L403" s="107">
        <f>+'FY16 Tax Bill'!L403-'FY16 Feb Forecast'!L403</f>
        <v>0</v>
      </c>
      <c r="M403" s="105">
        <f>+'FY16 Tax Bill'!M403-'FY16 Feb Forecast'!M403</f>
        <v>0</v>
      </c>
      <c r="N403" s="106">
        <f>+'FY16 Tax Bill'!N403-'FY16 Feb Forecast'!N403</f>
        <v>0</v>
      </c>
      <c r="O403" s="107">
        <f>+'FY16 Tax Bill'!O403-'FY16 Feb Forecast'!O403</f>
        <v>184</v>
      </c>
      <c r="P403" s="105">
        <f>+'FY16 Tax Bill'!P403-'FY16 Feb Forecast'!P403</f>
        <v>0</v>
      </c>
      <c r="Q403" s="106">
        <f>+'FY16 Tax Bill'!Q403-'FY16 Feb Forecast'!Q403</f>
        <v>184</v>
      </c>
      <c r="R403" s="105">
        <f>+'FY16 Tax Bill'!R403-'FY16 Feb Forecast'!R403</f>
        <v>2.7462686567164099</v>
      </c>
      <c r="S403" s="105">
        <f>+'FY16 Tax Bill'!S403-'FY16 Feb Forecast'!S403</f>
        <v>0</v>
      </c>
      <c r="T403" s="108">
        <f>+'FY16 Tax Bill'!T403-'FY16 Feb Forecast'!T403</f>
        <v>2.7462686567164099</v>
      </c>
    </row>
    <row r="404" spans="1:20" x14ac:dyDescent="0.2">
      <c r="A404" s="109">
        <v>4082</v>
      </c>
      <c r="B404" s="110">
        <v>7</v>
      </c>
      <c r="C404" s="103" t="s">
        <v>47</v>
      </c>
      <c r="D404" s="103">
        <v>7</v>
      </c>
      <c r="E404" s="104">
        <f>+SUMIF('GE16FEB14 Unfudged'!$A$2:$A$498, $A404, 'GE16FEB14 Unfudged'!$D$2:$D$498)</f>
        <v>600</v>
      </c>
      <c r="F404" s="104">
        <f>+'FY16 Tax Bill'!F404-'FY16 Feb Forecast'!F404</f>
        <v>1656</v>
      </c>
      <c r="G404" s="105">
        <f>+'FY16 Tax Bill'!G404-'FY16 Feb Forecast'!G404</f>
        <v>0</v>
      </c>
      <c r="H404" s="106">
        <f>+'FY16 Tax Bill'!H404-'FY16 Feb Forecast'!H404</f>
        <v>1656</v>
      </c>
      <c r="I404" s="107">
        <f>+'FY16 Tax Bill'!I404-'FY16 Feb Forecast'!I404</f>
        <v>0</v>
      </c>
      <c r="J404" s="105">
        <f>+'FY16 Tax Bill'!J404-'FY16 Feb Forecast'!J404</f>
        <v>0</v>
      </c>
      <c r="K404" s="106">
        <f>+'FY16 Tax Bill'!K404-'FY16 Feb Forecast'!K404</f>
        <v>0</v>
      </c>
      <c r="L404" s="107">
        <f>+'FY16 Tax Bill'!L404-'FY16 Feb Forecast'!L404</f>
        <v>0</v>
      </c>
      <c r="M404" s="105">
        <f>+'FY16 Tax Bill'!M404-'FY16 Feb Forecast'!M404</f>
        <v>0</v>
      </c>
      <c r="N404" s="106">
        <f>+'FY16 Tax Bill'!N404-'FY16 Feb Forecast'!N404</f>
        <v>0</v>
      </c>
      <c r="O404" s="107">
        <f>+'FY16 Tax Bill'!O404-'FY16 Feb Forecast'!O404</f>
        <v>1656</v>
      </c>
      <c r="P404" s="105">
        <f>+'FY16 Tax Bill'!P404-'FY16 Feb Forecast'!P404</f>
        <v>0</v>
      </c>
      <c r="Q404" s="106">
        <f>+'FY16 Tax Bill'!Q404-'FY16 Feb Forecast'!Q404</f>
        <v>1656</v>
      </c>
      <c r="R404" s="105">
        <f>+'FY16 Tax Bill'!R404-'FY16 Feb Forecast'!R404</f>
        <v>2.7600000000000051</v>
      </c>
      <c r="S404" s="105">
        <f>+'FY16 Tax Bill'!S404-'FY16 Feb Forecast'!S404</f>
        <v>0</v>
      </c>
      <c r="T404" s="108">
        <f>+'FY16 Tax Bill'!T404-'FY16 Feb Forecast'!T404</f>
        <v>2.7600000000000051</v>
      </c>
    </row>
    <row r="405" spans="1:20" x14ac:dyDescent="0.2">
      <c r="A405" s="109">
        <v>4083</v>
      </c>
      <c r="B405" s="110">
        <v>7</v>
      </c>
      <c r="C405" s="103" t="s">
        <v>48</v>
      </c>
      <c r="D405" s="103">
        <v>7</v>
      </c>
      <c r="E405" s="104">
        <f>+SUMIF('GE16FEB14 Unfudged'!$A$2:$A$498, $A405, 'GE16FEB14 Unfudged'!$D$2:$D$498)</f>
        <v>102</v>
      </c>
      <c r="F405" s="104">
        <f>+'FY16 Tax Bill'!F405-'FY16 Feb Forecast'!F405</f>
        <v>281</v>
      </c>
      <c r="G405" s="105">
        <f>+'FY16 Tax Bill'!G405-'FY16 Feb Forecast'!G405</f>
        <v>0</v>
      </c>
      <c r="H405" s="106">
        <f>+'FY16 Tax Bill'!H405-'FY16 Feb Forecast'!H405</f>
        <v>281</v>
      </c>
      <c r="I405" s="107">
        <f>+'FY16 Tax Bill'!I405-'FY16 Feb Forecast'!I405</f>
        <v>0</v>
      </c>
      <c r="J405" s="105">
        <f>+'FY16 Tax Bill'!J405-'FY16 Feb Forecast'!J405</f>
        <v>0</v>
      </c>
      <c r="K405" s="106">
        <f>+'FY16 Tax Bill'!K405-'FY16 Feb Forecast'!K405</f>
        <v>0</v>
      </c>
      <c r="L405" s="107">
        <f>+'FY16 Tax Bill'!L405-'FY16 Feb Forecast'!L405</f>
        <v>0</v>
      </c>
      <c r="M405" s="105">
        <f>+'FY16 Tax Bill'!M405-'FY16 Feb Forecast'!M405</f>
        <v>0</v>
      </c>
      <c r="N405" s="106">
        <f>+'FY16 Tax Bill'!N405-'FY16 Feb Forecast'!N405</f>
        <v>0</v>
      </c>
      <c r="O405" s="107">
        <f>+'FY16 Tax Bill'!O405-'FY16 Feb Forecast'!O405</f>
        <v>281</v>
      </c>
      <c r="P405" s="105">
        <f>+'FY16 Tax Bill'!P405-'FY16 Feb Forecast'!P405</f>
        <v>0</v>
      </c>
      <c r="Q405" s="106">
        <f>+'FY16 Tax Bill'!Q405-'FY16 Feb Forecast'!Q405</f>
        <v>281</v>
      </c>
      <c r="R405" s="105">
        <f>+'FY16 Tax Bill'!R405-'FY16 Feb Forecast'!R405</f>
        <v>2.7549019607843235</v>
      </c>
      <c r="S405" s="105">
        <f>+'FY16 Tax Bill'!S405-'FY16 Feb Forecast'!S405</f>
        <v>0</v>
      </c>
      <c r="T405" s="108">
        <f>+'FY16 Tax Bill'!T405-'FY16 Feb Forecast'!T405</f>
        <v>2.7549019607843235</v>
      </c>
    </row>
    <row r="406" spans="1:20" x14ac:dyDescent="0.2">
      <c r="A406" s="109">
        <v>4084</v>
      </c>
      <c r="B406" s="110">
        <v>7</v>
      </c>
      <c r="C406" s="103" t="s">
        <v>49</v>
      </c>
      <c r="D406" s="103">
        <v>7</v>
      </c>
      <c r="E406" s="104">
        <f>+SUMIF('GE16FEB14 Unfudged'!$A$2:$A$498, $A406, 'GE16FEB14 Unfudged'!$D$2:$D$498)</f>
        <v>338</v>
      </c>
      <c r="F406" s="104">
        <f>+'FY16 Tax Bill'!F406-'FY16 Feb Forecast'!F406</f>
        <v>932</v>
      </c>
      <c r="G406" s="105">
        <f>+'FY16 Tax Bill'!G406-'FY16 Feb Forecast'!G406</f>
        <v>0</v>
      </c>
      <c r="H406" s="106">
        <f>+'FY16 Tax Bill'!H406-'FY16 Feb Forecast'!H406</f>
        <v>932</v>
      </c>
      <c r="I406" s="107">
        <f>+'FY16 Tax Bill'!I406-'FY16 Feb Forecast'!I406</f>
        <v>0</v>
      </c>
      <c r="J406" s="105">
        <f>+'FY16 Tax Bill'!J406-'FY16 Feb Forecast'!J406</f>
        <v>0</v>
      </c>
      <c r="K406" s="106">
        <f>+'FY16 Tax Bill'!K406-'FY16 Feb Forecast'!K406</f>
        <v>0</v>
      </c>
      <c r="L406" s="107">
        <f>+'FY16 Tax Bill'!L406-'FY16 Feb Forecast'!L406</f>
        <v>0</v>
      </c>
      <c r="M406" s="105">
        <f>+'FY16 Tax Bill'!M406-'FY16 Feb Forecast'!M406</f>
        <v>0</v>
      </c>
      <c r="N406" s="106">
        <f>+'FY16 Tax Bill'!N406-'FY16 Feb Forecast'!N406</f>
        <v>0</v>
      </c>
      <c r="O406" s="107">
        <f>+'FY16 Tax Bill'!O406-'FY16 Feb Forecast'!O406</f>
        <v>932</v>
      </c>
      <c r="P406" s="105">
        <f>+'FY16 Tax Bill'!P406-'FY16 Feb Forecast'!P406</f>
        <v>0</v>
      </c>
      <c r="Q406" s="106">
        <f>+'FY16 Tax Bill'!Q406-'FY16 Feb Forecast'!Q406</f>
        <v>932</v>
      </c>
      <c r="R406" s="105">
        <f>+'FY16 Tax Bill'!R406-'FY16 Feb Forecast'!R406</f>
        <v>2.7573964497041459</v>
      </c>
      <c r="S406" s="105">
        <f>+'FY16 Tax Bill'!S406-'FY16 Feb Forecast'!S406</f>
        <v>0</v>
      </c>
      <c r="T406" s="108">
        <f>+'FY16 Tax Bill'!T406-'FY16 Feb Forecast'!T406</f>
        <v>2.7573964497041459</v>
      </c>
    </row>
    <row r="407" spans="1:20" x14ac:dyDescent="0.2">
      <c r="A407" s="109">
        <v>4085</v>
      </c>
      <c r="B407" s="110">
        <v>7</v>
      </c>
      <c r="C407" s="103" t="s">
        <v>489</v>
      </c>
      <c r="D407" s="103">
        <v>7</v>
      </c>
      <c r="E407" s="104">
        <f>+SUMIF('GE16FEB14 Unfudged'!$A$2:$A$498, $A407, 'GE16FEB14 Unfudged'!$D$2:$D$498)</f>
        <v>216</v>
      </c>
      <c r="F407" s="104">
        <f>+'FY16 Tax Bill'!F407-'FY16 Feb Forecast'!F407</f>
        <v>596</v>
      </c>
      <c r="G407" s="105">
        <f>+'FY16 Tax Bill'!G407-'FY16 Feb Forecast'!G407</f>
        <v>0</v>
      </c>
      <c r="H407" s="106">
        <f>+'FY16 Tax Bill'!H407-'FY16 Feb Forecast'!H407</f>
        <v>596</v>
      </c>
      <c r="I407" s="107">
        <f>+'FY16 Tax Bill'!I407-'FY16 Feb Forecast'!I407</f>
        <v>0</v>
      </c>
      <c r="J407" s="105">
        <f>+'FY16 Tax Bill'!J407-'FY16 Feb Forecast'!J407</f>
        <v>0</v>
      </c>
      <c r="K407" s="106">
        <f>+'FY16 Tax Bill'!K407-'FY16 Feb Forecast'!K407</f>
        <v>0</v>
      </c>
      <c r="L407" s="107">
        <f>+'FY16 Tax Bill'!L407-'FY16 Feb Forecast'!L407</f>
        <v>0</v>
      </c>
      <c r="M407" s="105">
        <f>+'FY16 Tax Bill'!M407-'FY16 Feb Forecast'!M407</f>
        <v>0</v>
      </c>
      <c r="N407" s="106">
        <f>+'FY16 Tax Bill'!N407-'FY16 Feb Forecast'!N407</f>
        <v>0</v>
      </c>
      <c r="O407" s="107">
        <f>+'FY16 Tax Bill'!O407-'FY16 Feb Forecast'!O407</f>
        <v>596</v>
      </c>
      <c r="P407" s="105">
        <f>+'FY16 Tax Bill'!P407-'FY16 Feb Forecast'!P407</f>
        <v>0</v>
      </c>
      <c r="Q407" s="106">
        <f>+'FY16 Tax Bill'!Q407-'FY16 Feb Forecast'!Q407</f>
        <v>596</v>
      </c>
      <c r="R407" s="105">
        <f>+'FY16 Tax Bill'!R407-'FY16 Feb Forecast'!R407</f>
        <v>2.7592592592592666</v>
      </c>
      <c r="S407" s="105">
        <f>+'FY16 Tax Bill'!S407-'FY16 Feb Forecast'!S407</f>
        <v>0</v>
      </c>
      <c r="T407" s="108">
        <f>+'FY16 Tax Bill'!T407-'FY16 Feb Forecast'!T407</f>
        <v>2.7592592592592666</v>
      </c>
    </row>
    <row r="408" spans="1:20" x14ac:dyDescent="0.2">
      <c r="A408" s="109">
        <v>4086</v>
      </c>
      <c r="B408" s="110">
        <v>7</v>
      </c>
      <c r="C408" s="103" t="s">
        <v>490</v>
      </c>
      <c r="D408" s="103">
        <v>7</v>
      </c>
      <c r="E408" s="104">
        <f>+SUMIF('GE16FEB14 Unfudged'!$A$2:$A$498, $A408, 'GE16FEB14 Unfudged'!$D$2:$D$498)</f>
        <v>365</v>
      </c>
      <c r="F408" s="104">
        <f>+'FY16 Tax Bill'!F408-'FY16 Feb Forecast'!F408</f>
        <v>1007</v>
      </c>
      <c r="G408" s="105">
        <f>+'FY16 Tax Bill'!G408-'FY16 Feb Forecast'!G408</f>
        <v>0</v>
      </c>
      <c r="H408" s="106">
        <f>+'FY16 Tax Bill'!H408-'FY16 Feb Forecast'!H408</f>
        <v>1007</v>
      </c>
      <c r="I408" s="107">
        <f>+'FY16 Tax Bill'!I408-'FY16 Feb Forecast'!I408</f>
        <v>0</v>
      </c>
      <c r="J408" s="105">
        <f>+'FY16 Tax Bill'!J408-'FY16 Feb Forecast'!J408</f>
        <v>0</v>
      </c>
      <c r="K408" s="106">
        <f>+'FY16 Tax Bill'!K408-'FY16 Feb Forecast'!K408</f>
        <v>0</v>
      </c>
      <c r="L408" s="107">
        <f>+'FY16 Tax Bill'!L408-'FY16 Feb Forecast'!L408</f>
        <v>0</v>
      </c>
      <c r="M408" s="105">
        <f>+'FY16 Tax Bill'!M408-'FY16 Feb Forecast'!M408</f>
        <v>0</v>
      </c>
      <c r="N408" s="106">
        <f>+'FY16 Tax Bill'!N408-'FY16 Feb Forecast'!N408</f>
        <v>0</v>
      </c>
      <c r="O408" s="107">
        <f>+'FY16 Tax Bill'!O408-'FY16 Feb Forecast'!O408</f>
        <v>1007</v>
      </c>
      <c r="P408" s="105">
        <f>+'FY16 Tax Bill'!P408-'FY16 Feb Forecast'!P408</f>
        <v>0</v>
      </c>
      <c r="Q408" s="106">
        <f>+'FY16 Tax Bill'!Q408-'FY16 Feb Forecast'!Q408</f>
        <v>1007</v>
      </c>
      <c r="R408" s="105">
        <f>+'FY16 Tax Bill'!R408-'FY16 Feb Forecast'!R408</f>
        <v>2.7589041095890394</v>
      </c>
      <c r="S408" s="105">
        <f>+'FY16 Tax Bill'!S408-'FY16 Feb Forecast'!S408</f>
        <v>0</v>
      </c>
      <c r="T408" s="108">
        <f>+'FY16 Tax Bill'!T408-'FY16 Feb Forecast'!T408</f>
        <v>2.7589041095890394</v>
      </c>
    </row>
    <row r="409" spans="1:20" x14ac:dyDescent="0.2">
      <c r="A409" s="109">
        <v>4087</v>
      </c>
      <c r="B409" s="110">
        <v>7</v>
      </c>
      <c r="C409" s="103" t="s">
        <v>50</v>
      </c>
      <c r="D409" s="103">
        <v>7</v>
      </c>
      <c r="E409" s="104">
        <f>+SUMIF('GE16FEB14 Unfudged'!$A$2:$A$498, $A409, 'GE16FEB14 Unfudged'!$D$2:$D$498)</f>
        <v>98</v>
      </c>
      <c r="F409" s="104">
        <f>+'FY16 Tax Bill'!F409-'FY16 Feb Forecast'!F409</f>
        <v>271</v>
      </c>
      <c r="G409" s="105">
        <f>+'FY16 Tax Bill'!G409-'FY16 Feb Forecast'!G409</f>
        <v>0</v>
      </c>
      <c r="H409" s="106">
        <f>+'FY16 Tax Bill'!H409-'FY16 Feb Forecast'!H409</f>
        <v>271</v>
      </c>
      <c r="I409" s="107">
        <f>+'FY16 Tax Bill'!I409-'FY16 Feb Forecast'!I409</f>
        <v>0</v>
      </c>
      <c r="J409" s="105">
        <f>+'FY16 Tax Bill'!J409-'FY16 Feb Forecast'!J409</f>
        <v>0</v>
      </c>
      <c r="K409" s="106">
        <f>+'FY16 Tax Bill'!K409-'FY16 Feb Forecast'!K409</f>
        <v>0</v>
      </c>
      <c r="L409" s="107">
        <f>+'FY16 Tax Bill'!L409-'FY16 Feb Forecast'!L409</f>
        <v>0</v>
      </c>
      <c r="M409" s="105">
        <f>+'FY16 Tax Bill'!M409-'FY16 Feb Forecast'!M409</f>
        <v>0</v>
      </c>
      <c r="N409" s="106">
        <f>+'FY16 Tax Bill'!N409-'FY16 Feb Forecast'!N409</f>
        <v>0</v>
      </c>
      <c r="O409" s="107">
        <f>+'FY16 Tax Bill'!O409-'FY16 Feb Forecast'!O409</f>
        <v>271</v>
      </c>
      <c r="P409" s="105">
        <f>+'FY16 Tax Bill'!P409-'FY16 Feb Forecast'!P409</f>
        <v>0</v>
      </c>
      <c r="Q409" s="106">
        <f>+'FY16 Tax Bill'!Q409-'FY16 Feb Forecast'!Q409</f>
        <v>271</v>
      </c>
      <c r="R409" s="105">
        <f>+'FY16 Tax Bill'!R409-'FY16 Feb Forecast'!R409</f>
        <v>2.7653061224489903</v>
      </c>
      <c r="S409" s="105">
        <f>+'FY16 Tax Bill'!S409-'FY16 Feb Forecast'!S409</f>
        <v>0</v>
      </c>
      <c r="T409" s="108">
        <f>+'FY16 Tax Bill'!T409-'FY16 Feb Forecast'!T409</f>
        <v>2.7653061224489903</v>
      </c>
    </row>
    <row r="410" spans="1:20" x14ac:dyDescent="0.2">
      <c r="A410" s="109">
        <v>4088</v>
      </c>
      <c r="B410" s="110">
        <v>7</v>
      </c>
      <c r="C410" s="103" t="s">
        <v>51</v>
      </c>
      <c r="D410" s="103">
        <v>7</v>
      </c>
      <c r="E410" s="104">
        <f>+SUMIF('GE16FEB14 Unfudged'!$A$2:$A$498, $A410, 'GE16FEB14 Unfudged'!$D$2:$D$498)</f>
        <v>311</v>
      </c>
      <c r="F410" s="104">
        <f>+'FY16 Tax Bill'!F410-'FY16 Feb Forecast'!F410</f>
        <v>858</v>
      </c>
      <c r="G410" s="105">
        <f>+'FY16 Tax Bill'!G410-'FY16 Feb Forecast'!G410</f>
        <v>0</v>
      </c>
      <c r="H410" s="106">
        <f>+'FY16 Tax Bill'!H410-'FY16 Feb Forecast'!H410</f>
        <v>858</v>
      </c>
      <c r="I410" s="107">
        <f>+'FY16 Tax Bill'!I410-'FY16 Feb Forecast'!I410</f>
        <v>0</v>
      </c>
      <c r="J410" s="105">
        <f>+'FY16 Tax Bill'!J410-'FY16 Feb Forecast'!J410</f>
        <v>0</v>
      </c>
      <c r="K410" s="106">
        <f>+'FY16 Tax Bill'!K410-'FY16 Feb Forecast'!K410</f>
        <v>0</v>
      </c>
      <c r="L410" s="107">
        <f>+'FY16 Tax Bill'!L410-'FY16 Feb Forecast'!L410</f>
        <v>0</v>
      </c>
      <c r="M410" s="105">
        <f>+'FY16 Tax Bill'!M410-'FY16 Feb Forecast'!M410</f>
        <v>0</v>
      </c>
      <c r="N410" s="106">
        <f>+'FY16 Tax Bill'!N410-'FY16 Feb Forecast'!N410</f>
        <v>0</v>
      </c>
      <c r="O410" s="107">
        <f>+'FY16 Tax Bill'!O410-'FY16 Feb Forecast'!O410</f>
        <v>858</v>
      </c>
      <c r="P410" s="105">
        <f>+'FY16 Tax Bill'!P410-'FY16 Feb Forecast'!P410</f>
        <v>0</v>
      </c>
      <c r="Q410" s="106">
        <f>+'FY16 Tax Bill'!Q410-'FY16 Feb Forecast'!Q410</f>
        <v>858</v>
      </c>
      <c r="R410" s="105">
        <f>+'FY16 Tax Bill'!R410-'FY16 Feb Forecast'!R410</f>
        <v>2.7588424437299039</v>
      </c>
      <c r="S410" s="105">
        <f>+'FY16 Tax Bill'!S410-'FY16 Feb Forecast'!S410</f>
        <v>0</v>
      </c>
      <c r="T410" s="108">
        <f>+'FY16 Tax Bill'!T410-'FY16 Feb Forecast'!T410</f>
        <v>2.7588424437299039</v>
      </c>
    </row>
    <row r="411" spans="1:20" x14ac:dyDescent="0.2">
      <c r="A411" s="109">
        <v>4089</v>
      </c>
      <c r="B411" s="110">
        <v>7</v>
      </c>
      <c r="C411" s="103" t="s">
        <v>52</v>
      </c>
      <c r="D411" s="103">
        <v>7</v>
      </c>
      <c r="E411" s="104">
        <f>+SUMIF('GE16FEB14 Unfudged'!$A$2:$A$498, $A411, 'GE16FEB14 Unfudged'!$D$2:$D$498)</f>
        <v>225</v>
      </c>
      <c r="F411" s="104">
        <f>+'FY16 Tax Bill'!F411-'FY16 Feb Forecast'!F411</f>
        <v>621</v>
      </c>
      <c r="G411" s="105">
        <f>+'FY16 Tax Bill'!G411-'FY16 Feb Forecast'!G411</f>
        <v>0</v>
      </c>
      <c r="H411" s="106">
        <f>+'FY16 Tax Bill'!H411-'FY16 Feb Forecast'!H411</f>
        <v>621</v>
      </c>
      <c r="I411" s="107">
        <f>+'FY16 Tax Bill'!I411-'FY16 Feb Forecast'!I411</f>
        <v>0</v>
      </c>
      <c r="J411" s="105">
        <f>+'FY16 Tax Bill'!J411-'FY16 Feb Forecast'!J411</f>
        <v>0</v>
      </c>
      <c r="K411" s="106">
        <f>+'FY16 Tax Bill'!K411-'FY16 Feb Forecast'!K411</f>
        <v>0</v>
      </c>
      <c r="L411" s="107">
        <f>+'FY16 Tax Bill'!L411-'FY16 Feb Forecast'!L411</f>
        <v>0</v>
      </c>
      <c r="M411" s="105">
        <f>+'FY16 Tax Bill'!M411-'FY16 Feb Forecast'!M411</f>
        <v>0</v>
      </c>
      <c r="N411" s="106">
        <f>+'FY16 Tax Bill'!N411-'FY16 Feb Forecast'!N411</f>
        <v>0</v>
      </c>
      <c r="O411" s="107">
        <f>+'FY16 Tax Bill'!O411-'FY16 Feb Forecast'!O411</f>
        <v>621</v>
      </c>
      <c r="P411" s="105">
        <f>+'FY16 Tax Bill'!P411-'FY16 Feb Forecast'!P411</f>
        <v>0</v>
      </c>
      <c r="Q411" s="106">
        <f>+'FY16 Tax Bill'!Q411-'FY16 Feb Forecast'!Q411</f>
        <v>621</v>
      </c>
      <c r="R411" s="105">
        <f>+'FY16 Tax Bill'!R411-'FY16 Feb Forecast'!R411</f>
        <v>2.7599999999999909</v>
      </c>
      <c r="S411" s="105">
        <f>+'FY16 Tax Bill'!S411-'FY16 Feb Forecast'!S411</f>
        <v>0</v>
      </c>
      <c r="T411" s="108">
        <f>+'FY16 Tax Bill'!T411-'FY16 Feb Forecast'!T411</f>
        <v>2.7599999999999909</v>
      </c>
    </row>
    <row r="412" spans="1:20" x14ac:dyDescent="0.2">
      <c r="A412" s="109">
        <v>4090</v>
      </c>
      <c r="B412" s="110">
        <v>7</v>
      </c>
      <c r="C412" s="103" t="s">
        <v>53</v>
      </c>
      <c r="D412" s="103">
        <v>7</v>
      </c>
      <c r="E412" s="104">
        <f>+SUMIF('GE16FEB14 Unfudged'!$A$2:$A$498, $A412, 'GE16FEB14 Unfudged'!$D$2:$D$498)</f>
        <v>180</v>
      </c>
      <c r="F412" s="104">
        <f>+'FY16 Tax Bill'!F412-'FY16 Feb Forecast'!F412</f>
        <v>497</v>
      </c>
      <c r="G412" s="105">
        <f>+'FY16 Tax Bill'!G412-'FY16 Feb Forecast'!G412</f>
        <v>0</v>
      </c>
      <c r="H412" s="106">
        <f>+'FY16 Tax Bill'!H412-'FY16 Feb Forecast'!H412</f>
        <v>497</v>
      </c>
      <c r="I412" s="107">
        <f>+'FY16 Tax Bill'!I412-'FY16 Feb Forecast'!I412</f>
        <v>0</v>
      </c>
      <c r="J412" s="105">
        <f>+'FY16 Tax Bill'!J412-'FY16 Feb Forecast'!J412</f>
        <v>0</v>
      </c>
      <c r="K412" s="106">
        <f>+'FY16 Tax Bill'!K412-'FY16 Feb Forecast'!K412</f>
        <v>0</v>
      </c>
      <c r="L412" s="107">
        <f>+'FY16 Tax Bill'!L412-'FY16 Feb Forecast'!L412</f>
        <v>0</v>
      </c>
      <c r="M412" s="105">
        <f>+'FY16 Tax Bill'!M412-'FY16 Feb Forecast'!M412</f>
        <v>0</v>
      </c>
      <c r="N412" s="106">
        <f>+'FY16 Tax Bill'!N412-'FY16 Feb Forecast'!N412</f>
        <v>0</v>
      </c>
      <c r="O412" s="107">
        <f>+'FY16 Tax Bill'!O412-'FY16 Feb Forecast'!O412</f>
        <v>497</v>
      </c>
      <c r="P412" s="105">
        <f>+'FY16 Tax Bill'!P412-'FY16 Feb Forecast'!P412</f>
        <v>0</v>
      </c>
      <c r="Q412" s="106">
        <f>+'FY16 Tax Bill'!Q412-'FY16 Feb Forecast'!Q412</f>
        <v>497</v>
      </c>
      <c r="R412" s="105">
        <f>+'FY16 Tax Bill'!R412-'FY16 Feb Forecast'!R412</f>
        <v>2.76111111111112</v>
      </c>
      <c r="S412" s="105">
        <f>+'FY16 Tax Bill'!S412-'FY16 Feb Forecast'!S412</f>
        <v>0</v>
      </c>
      <c r="T412" s="108">
        <f>+'FY16 Tax Bill'!T412-'FY16 Feb Forecast'!T412</f>
        <v>2.76111111111112</v>
      </c>
    </row>
    <row r="413" spans="1:20" x14ac:dyDescent="0.2">
      <c r="A413" s="109">
        <v>4091</v>
      </c>
      <c r="B413" s="110">
        <v>7</v>
      </c>
      <c r="C413" s="103" t="s">
        <v>54</v>
      </c>
      <c r="D413" s="103">
        <v>7</v>
      </c>
      <c r="E413" s="104">
        <f>+SUMIF('GE16FEB14 Unfudged'!$A$2:$A$498, $A413, 'GE16FEB14 Unfudged'!$D$2:$D$498)</f>
        <v>140</v>
      </c>
      <c r="F413" s="104">
        <f>+'FY16 Tax Bill'!F413-'FY16 Feb Forecast'!F413</f>
        <v>387</v>
      </c>
      <c r="G413" s="105">
        <f>+'FY16 Tax Bill'!G413-'FY16 Feb Forecast'!G413</f>
        <v>0</v>
      </c>
      <c r="H413" s="106">
        <f>+'FY16 Tax Bill'!H413-'FY16 Feb Forecast'!H413</f>
        <v>387</v>
      </c>
      <c r="I413" s="107">
        <f>+'FY16 Tax Bill'!I413-'FY16 Feb Forecast'!I413</f>
        <v>0</v>
      </c>
      <c r="J413" s="105">
        <f>+'FY16 Tax Bill'!J413-'FY16 Feb Forecast'!J413</f>
        <v>0</v>
      </c>
      <c r="K413" s="106">
        <f>+'FY16 Tax Bill'!K413-'FY16 Feb Forecast'!K413</f>
        <v>0</v>
      </c>
      <c r="L413" s="107">
        <f>+'FY16 Tax Bill'!L413-'FY16 Feb Forecast'!L413</f>
        <v>0</v>
      </c>
      <c r="M413" s="105">
        <f>+'FY16 Tax Bill'!M413-'FY16 Feb Forecast'!M413</f>
        <v>0</v>
      </c>
      <c r="N413" s="106">
        <f>+'FY16 Tax Bill'!N413-'FY16 Feb Forecast'!N413</f>
        <v>0</v>
      </c>
      <c r="O413" s="107">
        <f>+'FY16 Tax Bill'!O413-'FY16 Feb Forecast'!O413</f>
        <v>387</v>
      </c>
      <c r="P413" s="105">
        <f>+'FY16 Tax Bill'!P413-'FY16 Feb Forecast'!P413</f>
        <v>0</v>
      </c>
      <c r="Q413" s="106">
        <f>+'FY16 Tax Bill'!Q413-'FY16 Feb Forecast'!Q413</f>
        <v>387</v>
      </c>
      <c r="R413" s="105">
        <f>+'FY16 Tax Bill'!R413-'FY16 Feb Forecast'!R413</f>
        <v>2.7642857142857196</v>
      </c>
      <c r="S413" s="105">
        <f>+'FY16 Tax Bill'!S413-'FY16 Feb Forecast'!S413</f>
        <v>0</v>
      </c>
      <c r="T413" s="108">
        <f>+'FY16 Tax Bill'!T413-'FY16 Feb Forecast'!T413</f>
        <v>2.7642857142857196</v>
      </c>
    </row>
    <row r="414" spans="1:20" x14ac:dyDescent="0.2">
      <c r="A414" s="109">
        <v>4092</v>
      </c>
      <c r="B414" s="110">
        <v>7</v>
      </c>
      <c r="C414" s="103" t="s">
        <v>55</v>
      </c>
      <c r="D414" s="103">
        <v>7</v>
      </c>
      <c r="E414" s="104">
        <f>+SUMIF('GE16FEB14 Unfudged'!$A$2:$A$498, $A414, 'GE16FEB14 Unfudged'!$D$2:$D$498)</f>
        <v>79</v>
      </c>
      <c r="F414" s="104">
        <f>+'FY16 Tax Bill'!F414-'FY16 Feb Forecast'!F414</f>
        <v>219</v>
      </c>
      <c r="G414" s="105">
        <f>+'FY16 Tax Bill'!G414-'FY16 Feb Forecast'!G414</f>
        <v>0</v>
      </c>
      <c r="H414" s="106">
        <f>+'FY16 Tax Bill'!H414-'FY16 Feb Forecast'!H414</f>
        <v>219</v>
      </c>
      <c r="I414" s="107">
        <f>+'FY16 Tax Bill'!I414-'FY16 Feb Forecast'!I414</f>
        <v>0</v>
      </c>
      <c r="J414" s="105">
        <f>+'FY16 Tax Bill'!J414-'FY16 Feb Forecast'!J414</f>
        <v>0</v>
      </c>
      <c r="K414" s="106">
        <f>+'FY16 Tax Bill'!K414-'FY16 Feb Forecast'!K414</f>
        <v>0</v>
      </c>
      <c r="L414" s="107">
        <f>+'FY16 Tax Bill'!L414-'FY16 Feb Forecast'!L414</f>
        <v>0</v>
      </c>
      <c r="M414" s="105">
        <f>+'FY16 Tax Bill'!M414-'FY16 Feb Forecast'!M414</f>
        <v>0</v>
      </c>
      <c r="N414" s="106">
        <f>+'FY16 Tax Bill'!N414-'FY16 Feb Forecast'!N414</f>
        <v>0</v>
      </c>
      <c r="O414" s="107">
        <f>+'FY16 Tax Bill'!O414-'FY16 Feb Forecast'!O414</f>
        <v>219</v>
      </c>
      <c r="P414" s="105">
        <f>+'FY16 Tax Bill'!P414-'FY16 Feb Forecast'!P414</f>
        <v>0</v>
      </c>
      <c r="Q414" s="106">
        <f>+'FY16 Tax Bill'!Q414-'FY16 Feb Forecast'!Q414</f>
        <v>219</v>
      </c>
      <c r="R414" s="105">
        <f>+'FY16 Tax Bill'!R414-'FY16 Feb Forecast'!R414</f>
        <v>2.7721518987341653</v>
      </c>
      <c r="S414" s="105">
        <f>+'FY16 Tax Bill'!S414-'FY16 Feb Forecast'!S414</f>
        <v>0</v>
      </c>
      <c r="T414" s="108">
        <f>+'FY16 Tax Bill'!T414-'FY16 Feb Forecast'!T414</f>
        <v>2.7721518987341653</v>
      </c>
    </row>
    <row r="415" spans="1:20" x14ac:dyDescent="0.2">
      <c r="A415" s="109">
        <v>4093</v>
      </c>
      <c r="B415" s="110">
        <v>7</v>
      </c>
      <c r="C415" s="103" t="s">
        <v>56</v>
      </c>
      <c r="D415" s="103">
        <v>7</v>
      </c>
      <c r="E415" s="104">
        <f>+SUMIF('GE16FEB14 Unfudged'!$A$2:$A$498, $A415, 'GE16FEB14 Unfudged'!$D$2:$D$498)</f>
        <v>180</v>
      </c>
      <c r="F415" s="104">
        <f>+'FY16 Tax Bill'!F415-'FY16 Feb Forecast'!F415</f>
        <v>497</v>
      </c>
      <c r="G415" s="105">
        <f>+'FY16 Tax Bill'!G415-'FY16 Feb Forecast'!G415</f>
        <v>0</v>
      </c>
      <c r="H415" s="106">
        <f>+'FY16 Tax Bill'!H415-'FY16 Feb Forecast'!H415</f>
        <v>497</v>
      </c>
      <c r="I415" s="107">
        <f>+'FY16 Tax Bill'!I415-'FY16 Feb Forecast'!I415</f>
        <v>0</v>
      </c>
      <c r="J415" s="105">
        <f>+'FY16 Tax Bill'!J415-'FY16 Feb Forecast'!J415</f>
        <v>0</v>
      </c>
      <c r="K415" s="106">
        <f>+'FY16 Tax Bill'!K415-'FY16 Feb Forecast'!K415</f>
        <v>0</v>
      </c>
      <c r="L415" s="107">
        <f>+'FY16 Tax Bill'!L415-'FY16 Feb Forecast'!L415</f>
        <v>0</v>
      </c>
      <c r="M415" s="105">
        <f>+'FY16 Tax Bill'!M415-'FY16 Feb Forecast'!M415</f>
        <v>0</v>
      </c>
      <c r="N415" s="106">
        <f>+'FY16 Tax Bill'!N415-'FY16 Feb Forecast'!N415</f>
        <v>0</v>
      </c>
      <c r="O415" s="107">
        <f>+'FY16 Tax Bill'!O415-'FY16 Feb Forecast'!O415</f>
        <v>497</v>
      </c>
      <c r="P415" s="105">
        <f>+'FY16 Tax Bill'!P415-'FY16 Feb Forecast'!P415</f>
        <v>0</v>
      </c>
      <c r="Q415" s="106">
        <f>+'FY16 Tax Bill'!Q415-'FY16 Feb Forecast'!Q415</f>
        <v>497</v>
      </c>
      <c r="R415" s="105">
        <f>+'FY16 Tax Bill'!R415-'FY16 Feb Forecast'!R415</f>
        <v>2.76111111111112</v>
      </c>
      <c r="S415" s="105">
        <f>+'FY16 Tax Bill'!S415-'FY16 Feb Forecast'!S415</f>
        <v>0</v>
      </c>
      <c r="T415" s="108">
        <f>+'FY16 Tax Bill'!T415-'FY16 Feb Forecast'!T415</f>
        <v>2.76111111111112</v>
      </c>
    </row>
    <row r="416" spans="1:20" x14ac:dyDescent="0.2">
      <c r="A416" s="109">
        <v>4095</v>
      </c>
      <c r="B416" s="110">
        <v>7</v>
      </c>
      <c r="C416" s="103" t="s">
        <v>491</v>
      </c>
      <c r="D416" s="103">
        <v>7</v>
      </c>
      <c r="E416" s="104">
        <f>+SUMIF('GE16FEB14 Unfudged'!$A$2:$A$498, $A416, 'GE16FEB14 Unfudged'!$D$2:$D$498)</f>
        <v>168</v>
      </c>
      <c r="F416" s="104">
        <f>+'FY16 Tax Bill'!F416-'FY16 Feb Forecast'!F416</f>
        <v>464</v>
      </c>
      <c r="G416" s="105">
        <f>+'FY16 Tax Bill'!G416-'FY16 Feb Forecast'!G416</f>
        <v>0</v>
      </c>
      <c r="H416" s="106">
        <f>+'FY16 Tax Bill'!H416-'FY16 Feb Forecast'!H416</f>
        <v>464</v>
      </c>
      <c r="I416" s="107">
        <f>+'FY16 Tax Bill'!I416-'FY16 Feb Forecast'!I416</f>
        <v>0</v>
      </c>
      <c r="J416" s="105">
        <f>+'FY16 Tax Bill'!J416-'FY16 Feb Forecast'!J416</f>
        <v>0</v>
      </c>
      <c r="K416" s="106">
        <f>+'FY16 Tax Bill'!K416-'FY16 Feb Forecast'!K416</f>
        <v>0</v>
      </c>
      <c r="L416" s="107">
        <f>+'FY16 Tax Bill'!L416-'FY16 Feb Forecast'!L416</f>
        <v>0</v>
      </c>
      <c r="M416" s="105">
        <f>+'FY16 Tax Bill'!M416-'FY16 Feb Forecast'!M416</f>
        <v>0</v>
      </c>
      <c r="N416" s="106">
        <f>+'FY16 Tax Bill'!N416-'FY16 Feb Forecast'!N416</f>
        <v>0</v>
      </c>
      <c r="O416" s="107">
        <f>+'FY16 Tax Bill'!O416-'FY16 Feb Forecast'!O416</f>
        <v>464</v>
      </c>
      <c r="P416" s="105">
        <f>+'FY16 Tax Bill'!P416-'FY16 Feb Forecast'!P416</f>
        <v>0</v>
      </c>
      <c r="Q416" s="106">
        <f>+'FY16 Tax Bill'!Q416-'FY16 Feb Forecast'!Q416</f>
        <v>464</v>
      </c>
      <c r="R416" s="105">
        <f>+'FY16 Tax Bill'!R416-'FY16 Feb Forecast'!R416</f>
        <v>2.7619047619047592</v>
      </c>
      <c r="S416" s="105">
        <f>+'FY16 Tax Bill'!S416-'FY16 Feb Forecast'!S416</f>
        <v>0</v>
      </c>
      <c r="T416" s="108">
        <f>+'FY16 Tax Bill'!T416-'FY16 Feb Forecast'!T416</f>
        <v>2.7619047619047592</v>
      </c>
    </row>
    <row r="417" spans="1:20" x14ac:dyDescent="0.2">
      <c r="A417" s="109">
        <v>4097</v>
      </c>
      <c r="B417" s="110">
        <v>7</v>
      </c>
      <c r="C417" s="103" t="s">
        <v>57</v>
      </c>
      <c r="D417" s="103">
        <v>7</v>
      </c>
      <c r="E417" s="104">
        <f>+SUMIF('GE16FEB14 Unfudged'!$A$2:$A$498, $A417, 'GE16FEB14 Unfudged'!$D$2:$D$498)</f>
        <v>270</v>
      </c>
      <c r="F417" s="104">
        <f>+'FY16 Tax Bill'!F417-'FY16 Feb Forecast'!F417</f>
        <v>746</v>
      </c>
      <c r="G417" s="105">
        <f>+'FY16 Tax Bill'!G417-'FY16 Feb Forecast'!G417</f>
        <v>0</v>
      </c>
      <c r="H417" s="106">
        <f>+'FY16 Tax Bill'!H417-'FY16 Feb Forecast'!H417</f>
        <v>746</v>
      </c>
      <c r="I417" s="107">
        <f>+'FY16 Tax Bill'!I417-'FY16 Feb Forecast'!I417</f>
        <v>0</v>
      </c>
      <c r="J417" s="105">
        <f>+'FY16 Tax Bill'!J417-'FY16 Feb Forecast'!J417</f>
        <v>0</v>
      </c>
      <c r="K417" s="106">
        <f>+'FY16 Tax Bill'!K417-'FY16 Feb Forecast'!K417</f>
        <v>0</v>
      </c>
      <c r="L417" s="107">
        <f>+'FY16 Tax Bill'!L417-'FY16 Feb Forecast'!L417</f>
        <v>0</v>
      </c>
      <c r="M417" s="105">
        <f>+'FY16 Tax Bill'!M417-'FY16 Feb Forecast'!M417</f>
        <v>0</v>
      </c>
      <c r="N417" s="106">
        <f>+'FY16 Tax Bill'!N417-'FY16 Feb Forecast'!N417</f>
        <v>0</v>
      </c>
      <c r="O417" s="107">
        <f>+'FY16 Tax Bill'!O417-'FY16 Feb Forecast'!O417</f>
        <v>746</v>
      </c>
      <c r="P417" s="105">
        <f>+'FY16 Tax Bill'!P417-'FY16 Feb Forecast'!P417</f>
        <v>0</v>
      </c>
      <c r="Q417" s="106">
        <f>+'FY16 Tax Bill'!Q417-'FY16 Feb Forecast'!Q417</f>
        <v>746</v>
      </c>
      <c r="R417" s="105">
        <f>+'FY16 Tax Bill'!R417-'FY16 Feb Forecast'!R417</f>
        <v>2.7629629629629733</v>
      </c>
      <c r="S417" s="105">
        <f>+'FY16 Tax Bill'!S417-'FY16 Feb Forecast'!S417</f>
        <v>0</v>
      </c>
      <c r="T417" s="108">
        <f>+'FY16 Tax Bill'!T417-'FY16 Feb Forecast'!T417</f>
        <v>2.7629629629629733</v>
      </c>
    </row>
    <row r="418" spans="1:20" x14ac:dyDescent="0.2">
      <c r="A418" s="109">
        <v>4098</v>
      </c>
      <c r="B418" s="110">
        <v>7</v>
      </c>
      <c r="C418" s="103" t="s">
        <v>58</v>
      </c>
      <c r="D418" s="103">
        <v>7</v>
      </c>
      <c r="E418" s="104">
        <f>+SUMIF('GE16FEB14 Unfudged'!$A$2:$A$498, $A418, 'GE16FEB14 Unfudged'!$D$2:$D$498)</f>
        <v>975</v>
      </c>
      <c r="F418" s="104">
        <f>+'FY16 Tax Bill'!F418-'FY16 Feb Forecast'!F418</f>
        <v>2692</v>
      </c>
      <c r="G418" s="105">
        <f>+'FY16 Tax Bill'!G418-'FY16 Feb Forecast'!G418</f>
        <v>0</v>
      </c>
      <c r="H418" s="106">
        <f>+'FY16 Tax Bill'!H418-'FY16 Feb Forecast'!H418</f>
        <v>2692</v>
      </c>
      <c r="I418" s="107">
        <f>+'FY16 Tax Bill'!I418-'FY16 Feb Forecast'!I418</f>
        <v>0</v>
      </c>
      <c r="J418" s="105">
        <f>+'FY16 Tax Bill'!J418-'FY16 Feb Forecast'!J418</f>
        <v>0</v>
      </c>
      <c r="K418" s="106">
        <f>+'FY16 Tax Bill'!K418-'FY16 Feb Forecast'!K418</f>
        <v>0</v>
      </c>
      <c r="L418" s="107">
        <f>+'FY16 Tax Bill'!L418-'FY16 Feb Forecast'!L418</f>
        <v>0</v>
      </c>
      <c r="M418" s="105">
        <f>+'FY16 Tax Bill'!M418-'FY16 Feb Forecast'!M418</f>
        <v>0</v>
      </c>
      <c r="N418" s="106">
        <f>+'FY16 Tax Bill'!N418-'FY16 Feb Forecast'!N418</f>
        <v>0</v>
      </c>
      <c r="O418" s="107">
        <f>+'FY16 Tax Bill'!O418-'FY16 Feb Forecast'!O418</f>
        <v>2692</v>
      </c>
      <c r="P418" s="105">
        <f>+'FY16 Tax Bill'!P418-'FY16 Feb Forecast'!P418</f>
        <v>0</v>
      </c>
      <c r="Q418" s="106">
        <f>+'FY16 Tax Bill'!Q418-'FY16 Feb Forecast'!Q418</f>
        <v>2692</v>
      </c>
      <c r="R418" s="105">
        <f>+'FY16 Tax Bill'!R418-'FY16 Feb Forecast'!R418</f>
        <v>2.7610256410256397</v>
      </c>
      <c r="S418" s="105">
        <f>+'FY16 Tax Bill'!S418-'FY16 Feb Forecast'!S418</f>
        <v>0</v>
      </c>
      <c r="T418" s="108">
        <f>+'FY16 Tax Bill'!T418-'FY16 Feb Forecast'!T418</f>
        <v>2.7610256410256397</v>
      </c>
    </row>
    <row r="419" spans="1:20" x14ac:dyDescent="0.2">
      <c r="A419" s="109">
        <v>4100</v>
      </c>
      <c r="B419" s="110">
        <v>7</v>
      </c>
      <c r="C419" s="103" t="s">
        <v>59</v>
      </c>
      <c r="D419" s="103">
        <v>7</v>
      </c>
      <c r="E419" s="104">
        <f>+SUMIF('GE16FEB14 Unfudged'!$A$2:$A$498, $A419, 'GE16FEB14 Unfudged'!$D$2:$D$498)</f>
        <v>91</v>
      </c>
      <c r="F419" s="104">
        <f>+'FY16 Tax Bill'!F419-'FY16 Feb Forecast'!F419</f>
        <v>250</v>
      </c>
      <c r="G419" s="105">
        <f>+'FY16 Tax Bill'!G419-'FY16 Feb Forecast'!G419</f>
        <v>0</v>
      </c>
      <c r="H419" s="106">
        <f>+'FY16 Tax Bill'!H419-'FY16 Feb Forecast'!H419</f>
        <v>250</v>
      </c>
      <c r="I419" s="107">
        <f>+'FY16 Tax Bill'!I419-'FY16 Feb Forecast'!I419</f>
        <v>0</v>
      </c>
      <c r="J419" s="105">
        <f>+'FY16 Tax Bill'!J419-'FY16 Feb Forecast'!J419</f>
        <v>0</v>
      </c>
      <c r="K419" s="106">
        <f>+'FY16 Tax Bill'!K419-'FY16 Feb Forecast'!K419</f>
        <v>0</v>
      </c>
      <c r="L419" s="107">
        <f>+'FY16 Tax Bill'!L419-'FY16 Feb Forecast'!L419</f>
        <v>0</v>
      </c>
      <c r="M419" s="105">
        <f>+'FY16 Tax Bill'!M419-'FY16 Feb Forecast'!M419</f>
        <v>0</v>
      </c>
      <c r="N419" s="106">
        <f>+'FY16 Tax Bill'!N419-'FY16 Feb Forecast'!N419</f>
        <v>0</v>
      </c>
      <c r="O419" s="107">
        <f>+'FY16 Tax Bill'!O419-'FY16 Feb Forecast'!O419</f>
        <v>250</v>
      </c>
      <c r="P419" s="105">
        <f>+'FY16 Tax Bill'!P419-'FY16 Feb Forecast'!P419</f>
        <v>0</v>
      </c>
      <c r="Q419" s="106">
        <f>+'FY16 Tax Bill'!Q419-'FY16 Feb Forecast'!Q419</f>
        <v>250</v>
      </c>
      <c r="R419" s="105">
        <f>+'FY16 Tax Bill'!R419-'FY16 Feb Forecast'!R419</f>
        <v>2.7472527472527446</v>
      </c>
      <c r="S419" s="105">
        <f>+'FY16 Tax Bill'!S419-'FY16 Feb Forecast'!S419</f>
        <v>0</v>
      </c>
      <c r="T419" s="108">
        <f>+'FY16 Tax Bill'!T419-'FY16 Feb Forecast'!T419</f>
        <v>2.7472527472527446</v>
      </c>
    </row>
    <row r="420" spans="1:20" x14ac:dyDescent="0.2">
      <c r="A420" s="109">
        <v>4102</v>
      </c>
      <c r="B420" s="110">
        <v>7</v>
      </c>
      <c r="C420" s="103" t="s">
        <v>60</v>
      </c>
      <c r="D420" s="103">
        <v>7</v>
      </c>
      <c r="E420" s="104">
        <f>+SUMIF('GE16FEB14 Unfudged'!$A$2:$A$498, $A420, 'GE16FEB14 Unfudged'!$D$2:$D$498)</f>
        <v>288</v>
      </c>
      <c r="F420" s="104">
        <f>+'FY16 Tax Bill'!F420-'FY16 Feb Forecast'!F420</f>
        <v>794</v>
      </c>
      <c r="G420" s="105">
        <f>+'FY16 Tax Bill'!G420-'FY16 Feb Forecast'!G420</f>
        <v>0</v>
      </c>
      <c r="H420" s="106">
        <f>+'FY16 Tax Bill'!H420-'FY16 Feb Forecast'!H420</f>
        <v>794</v>
      </c>
      <c r="I420" s="107">
        <f>+'FY16 Tax Bill'!I420-'FY16 Feb Forecast'!I420</f>
        <v>0</v>
      </c>
      <c r="J420" s="105">
        <f>+'FY16 Tax Bill'!J420-'FY16 Feb Forecast'!J420</f>
        <v>0</v>
      </c>
      <c r="K420" s="106">
        <f>+'FY16 Tax Bill'!K420-'FY16 Feb Forecast'!K420</f>
        <v>0</v>
      </c>
      <c r="L420" s="107">
        <f>+'FY16 Tax Bill'!L420-'FY16 Feb Forecast'!L420</f>
        <v>0</v>
      </c>
      <c r="M420" s="105">
        <f>+'FY16 Tax Bill'!M420-'FY16 Feb Forecast'!M420</f>
        <v>0</v>
      </c>
      <c r="N420" s="106">
        <f>+'FY16 Tax Bill'!N420-'FY16 Feb Forecast'!N420</f>
        <v>0</v>
      </c>
      <c r="O420" s="107">
        <f>+'FY16 Tax Bill'!O420-'FY16 Feb Forecast'!O420</f>
        <v>794</v>
      </c>
      <c r="P420" s="105">
        <f>+'FY16 Tax Bill'!P420-'FY16 Feb Forecast'!P420</f>
        <v>0</v>
      </c>
      <c r="Q420" s="106">
        <f>+'FY16 Tax Bill'!Q420-'FY16 Feb Forecast'!Q420</f>
        <v>794</v>
      </c>
      <c r="R420" s="105">
        <f>+'FY16 Tax Bill'!R420-'FY16 Feb Forecast'!R420</f>
        <v>2.7569444444444429</v>
      </c>
      <c r="S420" s="105">
        <f>+'FY16 Tax Bill'!S420-'FY16 Feb Forecast'!S420</f>
        <v>0</v>
      </c>
      <c r="T420" s="108">
        <f>+'FY16 Tax Bill'!T420-'FY16 Feb Forecast'!T420</f>
        <v>2.7569444444444429</v>
      </c>
    </row>
    <row r="421" spans="1:20" x14ac:dyDescent="0.2">
      <c r="A421" s="109">
        <v>4103</v>
      </c>
      <c r="B421" s="110">
        <v>7</v>
      </c>
      <c r="C421" s="103" t="s">
        <v>463</v>
      </c>
      <c r="D421" s="103">
        <v>7</v>
      </c>
      <c r="E421" s="104">
        <f>+SUMIF('GE16FEB14 Unfudged'!$A$2:$A$498, $A421, 'GE16FEB14 Unfudged'!$D$2:$D$498)</f>
        <v>1236</v>
      </c>
      <c r="F421" s="104">
        <f>+'FY16 Tax Bill'!F421-'FY16 Feb Forecast'!F421</f>
        <v>3411</v>
      </c>
      <c r="G421" s="105">
        <f>+'FY16 Tax Bill'!G421-'FY16 Feb Forecast'!G421</f>
        <v>0</v>
      </c>
      <c r="H421" s="106">
        <f>+'FY16 Tax Bill'!H421-'FY16 Feb Forecast'!H421</f>
        <v>3411</v>
      </c>
      <c r="I421" s="107">
        <f>+'FY16 Tax Bill'!I421-'FY16 Feb Forecast'!I421</f>
        <v>0</v>
      </c>
      <c r="J421" s="105">
        <f>+'FY16 Tax Bill'!J421-'FY16 Feb Forecast'!J421</f>
        <v>0</v>
      </c>
      <c r="K421" s="106">
        <f>+'FY16 Tax Bill'!K421-'FY16 Feb Forecast'!K421</f>
        <v>0</v>
      </c>
      <c r="L421" s="107">
        <f>+'FY16 Tax Bill'!L421-'FY16 Feb Forecast'!L421</f>
        <v>0</v>
      </c>
      <c r="M421" s="105">
        <f>+'FY16 Tax Bill'!M421-'FY16 Feb Forecast'!M421</f>
        <v>0</v>
      </c>
      <c r="N421" s="106">
        <f>+'FY16 Tax Bill'!N421-'FY16 Feb Forecast'!N421</f>
        <v>0</v>
      </c>
      <c r="O421" s="107">
        <f>+'FY16 Tax Bill'!O421-'FY16 Feb Forecast'!O421</f>
        <v>3411</v>
      </c>
      <c r="P421" s="105">
        <f>+'FY16 Tax Bill'!P421-'FY16 Feb Forecast'!P421</f>
        <v>0</v>
      </c>
      <c r="Q421" s="106">
        <f>+'FY16 Tax Bill'!Q421-'FY16 Feb Forecast'!Q421</f>
        <v>3411</v>
      </c>
      <c r="R421" s="105">
        <f>+'FY16 Tax Bill'!R421-'FY16 Feb Forecast'!R421</f>
        <v>2.7597087378640737</v>
      </c>
      <c r="S421" s="105">
        <f>+'FY16 Tax Bill'!S421-'FY16 Feb Forecast'!S421</f>
        <v>0</v>
      </c>
      <c r="T421" s="108">
        <f>+'FY16 Tax Bill'!T421-'FY16 Feb Forecast'!T421</f>
        <v>2.7597087378640737</v>
      </c>
    </row>
    <row r="422" spans="1:20" x14ac:dyDescent="0.2">
      <c r="A422" s="109">
        <v>4104</v>
      </c>
      <c r="B422" s="110">
        <v>7</v>
      </c>
      <c r="C422" s="103" t="s">
        <v>464</v>
      </c>
      <c r="D422" s="103">
        <v>7</v>
      </c>
      <c r="E422" s="104">
        <f>+SUMIF('GE16FEB14 Unfudged'!$A$2:$A$498, $A422, 'GE16FEB14 Unfudged'!$D$2:$D$498)</f>
        <v>336</v>
      </c>
      <c r="F422" s="104">
        <f>+'FY16 Tax Bill'!F422-'FY16 Feb Forecast'!F422</f>
        <v>927</v>
      </c>
      <c r="G422" s="105">
        <f>+'FY16 Tax Bill'!G422-'FY16 Feb Forecast'!G422</f>
        <v>0</v>
      </c>
      <c r="H422" s="106">
        <f>+'FY16 Tax Bill'!H422-'FY16 Feb Forecast'!H422</f>
        <v>927</v>
      </c>
      <c r="I422" s="107">
        <f>+'FY16 Tax Bill'!I422-'FY16 Feb Forecast'!I422</f>
        <v>0</v>
      </c>
      <c r="J422" s="105">
        <f>+'FY16 Tax Bill'!J422-'FY16 Feb Forecast'!J422</f>
        <v>0</v>
      </c>
      <c r="K422" s="106">
        <f>+'FY16 Tax Bill'!K422-'FY16 Feb Forecast'!K422</f>
        <v>0</v>
      </c>
      <c r="L422" s="107">
        <f>+'FY16 Tax Bill'!L422-'FY16 Feb Forecast'!L422</f>
        <v>0</v>
      </c>
      <c r="M422" s="105">
        <f>+'FY16 Tax Bill'!M422-'FY16 Feb Forecast'!M422</f>
        <v>0</v>
      </c>
      <c r="N422" s="106">
        <f>+'FY16 Tax Bill'!N422-'FY16 Feb Forecast'!N422</f>
        <v>0</v>
      </c>
      <c r="O422" s="107">
        <f>+'FY16 Tax Bill'!O422-'FY16 Feb Forecast'!O422</f>
        <v>927</v>
      </c>
      <c r="P422" s="105">
        <f>+'FY16 Tax Bill'!P422-'FY16 Feb Forecast'!P422</f>
        <v>0</v>
      </c>
      <c r="Q422" s="106">
        <f>+'FY16 Tax Bill'!Q422-'FY16 Feb Forecast'!Q422</f>
        <v>927</v>
      </c>
      <c r="R422" s="105">
        <f>+'FY16 Tax Bill'!R422-'FY16 Feb Forecast'!R422</f>
        <v>2.7589285714285694</v>
      </c>
      <c r="S422" s="105">
        <f>+'FY16 Tax Bill'!S422-'FY16 Feb Forecast'!S422</f>
        <v>0</v>
      </c>
      <c r="T422" s="108">
        <f>+'FY16 Tax Bill'!T422-'FY16 Feb Forecast'!T422</f>
        <v>2.7589285714285694</v>
      </c>
    </row>
    <row r="423" spans="1:20" x14ac:dyDescent="0.2">
      <c r="A423" s="109">
        <v>4105</v>
      </c>
      <c r="B423" s="110">
        <v>7</v>
      </c>
      <c r="C423" s="103" t="s">
        <v>61</v>
      </c>
      <c r="D423" s="103">
        <v>7</v>
      </c>
      <c r="E423" s="104">
        <f>+SUMIF('GE16FEB14 Unfudged'!$A$2:$A$498, $A423, 'GE16FEB14 Unfudged'!$D$2:$D$498)</f>
        <v>417</v>
      </c>
      <c r="F423" s="104">
        <f>+'FY16 Tax Bill'!F423-'FY16 Feb Forecast'!F423</f>
        <v>1152</v>
      </c>
      <c r="G423" s="105">
        <f>+'FY16 Tax Bill'!G423-'FY16 Feb Forecast'!G423</f>
        <v>0</v>
      </c>
      <c r="H423" s="106">
        <f>+'FY16 Tax Bill'!H423-'FY16 Feb Forecast'!H423</f>
        <v>1152</v>
      </c>
      <c r="I423" s="107">
        <f>+'FY16 Tax Bill'!I423-'FY16 Feb Forecast'!I423</f>
        <v>0</v>
      </c>
      <c r="J423" s="105">
        <f>+'FY16 Tax Bill'!J423-'FY16 Feb Forecast'!J423</f>
        <v>0</v>
      </c>
      <c r="K423" s="106">
        <f>+'FY16 Tax Bill'!K423-'FY16 Feb Forecast'!K423</f>
        <v>0</v>
      </c>
      <c r="L423" s="107">
        <f>+'FY16 Tax Bill'!L423-'FY16 Feb Forecast'!L423</f>
        <v>0</v>
      </c>
      <c r="M423" s="105">
        <f>+'FY16 Tax Bill'!M423-'FY16 Feb Forecast'!M423</f>
        <v>0</v>
      </c>
      <c r="N423" s="106">
        <f>+'FY16 Tax Bill'!N423-'FY16 Feb Forecast'!N423</f>
        <v>0</v>
      </c>
      <c r="O423" s="107">
        <f>+'FY16 Tax Bill'!O423-'FY16 Feb Forecast'!O423</f>
        <v>1152</v>
      </c>
      <c r="P423" s="105">
        <f>+'FY16 Tax Bill'!P423-'FY16 Feb Forecast'!P423</f>
        <v>0</v>
      </c>
      <c r="Q423" s="106">
        <f>+'FY16 Tax Bill'!Q423-'FY16 Feb Forecast'!Q423</f>
        <v>1152</v>
      </c>
      <c r="R423" s="105">
        <f>+'FY16 Tax Bill'!R423-'FY16 Feb Forecast'!R423</f>
        <v>2.7625899280575652</v>
      </c>
      <c r="S423" s="105">
        <f>+'FY16 Tax Bill'!S423-'FY16 Feb Forecast'!S423</f>
        <v>0</v>
      </c>
      <c r="T423" s="108">
        <f>+'FY16 Tax Bill'!T423-'FY16 Feb Forecast'!T423</f>
        <v>2.7625899280575652</v>
      </c>
    </row>
    <row r="424" spans="1:20" x14ac:dyDescent="0.2">
      <c r="A424" s="109">
        <v>4106</v>
      </c>
      <c r="B424" s="110">
        <v>7</v>
      </c>
      <c r="C424" s="103" t="s">
        <v>62</v>
      </c>
      <c r="D424" s="103">
        <v>7</v>
      </c>
      <c r="E424" s="104">
        <f>+SUMIF('GE16FEB14 Unfudged'!$A$2:$A$498, $A424, 'GE16FEB14 Unfudged'!$D$2:$D$498)</f>
        <v>265</v>
      </c>
      <c r="F424" s="104">
        <f>+'FY16 Tax Bill'!F424-'FY16 Feb Forecast'!F424</f>
        <v>731</v>
      </c>
      <c r="G424" s="105">
        <f>+'FY16 Tax Bill'!G424-'FY16 Feb Forecast'!G424</f>
        <v>0</v>
      </c>
      <c r="H424" s="106">
        <f>+'FY16 Tax Bill'!H424-'FY16 Feb Forecast'!H424</f>
        <v>731</v>
      </c>
      <c r="I424" s="107">
        <f>+'FY16 Tax Bill'!I424-'FY16 Feb Forecast'!I424</f>
        <v>0</v>
      </c>
      <c r="J424" s="105">
        <f>+'FY16 Tax Bill'!J424-'FY16 Feb Forecast'!J424</f>
        <v>0</v>
      </c>
      <c r="K424" s="106">
        <f>+'FY16 Tax Bill'!K424-'FY16 Feb Forecast'!K424</f>
        <v>0</v>
      </c>
      <c r="L424" s="107">
        <f>+'FY16 Tax Bill'!L424-'FY16 Feb Forecast'!L424</f>
        <v>0</v>
      </c>
      <c r="M424" s="105">
        <f>+'FY16 Tax Bill'!M424-'FY16 Feb Forecast'!M424</f>
        <v>0</v>
      </c>
      <c r="N424" s="106">
        <f>+'FY16 Tax Bill'!N424-'FY16 Feb Forecast'!N424</f>
        <v>0</v>
      </c>
      <c r="O424" s="107">
        <f>+'FY16 Tax Bill'!O424-'FY16 Feb Forecast'!O424</f>
        <v>731</v>
      </c>
      <c r="P424" s="105">
        <f>+'FY16 Tax Bill'!P424-'FY16 Feb Forecast'!P424</f>
        <v>0</v>
      </c>
      <c r="Q424" s="106">
        <f>+'FY16 Tax Bill'!Q424-'FY16 Feb Forecast'!Q424</f>
        <v>731</v>
      </c>
      <c r="R424" s="105">
        <f>+'FY16 Tax Bill'!R424-'FY16 Feb Forecast'!R424</f>
        <v>2.7584905660377359</v>
      </c>
      <c r="S424" s="105">
        <f>+'FY16 Tax Bill'!S424-'FY16 Feb Forecast'!S424</f>
        <v>0</v>
      </c>
      <c r="T424" s="108">
        <f>+'FY16 Tax Bill'!T424-'FY16 Feb Forecast'!T424</f>
        <v>2.7584905660377359</v>
      </c>
    </row>
    <row r="425" spans="1:20" x14ac:dyDescent="0.2">
      <c r="A425" s="109">
        <v>4107</v>
      </c>
      <c r="B425" s="110">
        <v>7</v>
      </c>
      <c r="C425" s="103" t="s">
        <v>63</v>
      </c>
      <c r="D425" s="103">
        <v>7</v>
      </c>
      <c r="E425" s="104">
        <f>+SUMIF('GE16FEB14 Unfudged'!$A$2:$A$498, $A425, 'GE16FEB14 Unfudged'!$D$2:$D$498)</f>
        <v>120</v>
      </c>
      <c r="F425" s="104">
        <f>+'FY16 Tax Bill'!F425-'FY16 Feb Forecast'!F425</f>
        <v>331</v>
      </c>
      <c r="G425" s="105">
        <f>+'FY16 Tax Bill'!G425-'FY16 Feb Forecast'!G425</f>
        <v>0</v>
      </c>
      <c r="H425" s="106">
        <f>+'FY16 Tax Bill'!H425-'FY16 Feb Forecast'!H425</f>
        <v>331</v>
      </c>
      <c r="I425" s="107">
        <f>+'FY16 Tax Bill'!I425-'FY16 Feb Forecast'!I425</f>
        <v>0</v>
      </c>
      <c r="J425" s="105">
        <f>+'FY16 Tax Bill'!J425-'FY16 Feb Forecast'!J425</f>
        <v>0</v>
      </c>
      <c r="K425" s="106">
        <f>+'FY16 Tax Bill'!K425-'FY16 Feb Forecast'!K425</f>
        <v>0</v>
      </c>
      <c r="L425" s="107">
        <f>+'FY16 Tax Bill'!L425-'FY16 Feb Forecast'!L425</f>
        <v>0</v>
      </c>
      <c r="M425" s="105">
        <f>+'FY16 Tax Bill'!M425-'FY16 Feb Forecast'!M425</f>
        <v>0</v>
      </c>
      <c r="N425" s="106">
        <f>+'FY16 Tax Bill'!N425-'FY16 Feb Forecast'!N425</f>
        <v>0</v>
      </c>
      <c r="O425" s="107">
        <f>+'FY16 Tax Bill'!O425-'FY16 Feb Forecast'!O425</f>
        <v>331</v>
      </c>
      <c r="P425" s="105">
        <f>+'FY16 Tax Bill'!P425-'FY16 Feb Forecast'!P425</f>
        <v>0</v>
      </c>
      <c r="Q425" s="106">
        <f>+'FY16 Tax Bill'!Q425-'FY16 Feb Forecast'!Q425</f>
        <v>331</v>
      </c>
      <c r="R425" s="105">
        <f>+'FY16 Tax Bill'!R425-'FY16 Feb Forecast'!R425</f>
        <v>2.75833333333334</v>
      </c>
      <c r="S425" s="105">
        <f>+'FY16 Tax Bill'!S425-'FY16 Feb Forecast'!S425</f>
        <v>0</v>
      </c>
      <c r="T425" s="108">
        <f>+'FY16 Tax Bill'!T425-'FY16 Feb Forecast'!T425</f>
        <v>2.75833333333334</v>
      </c>
    </row>
    <row r="426" spans="1:20" x14ac:dyDescent="0.2">
      <c r="A426" s="109">
        <v>4108</v>
      </c>
      <c r="B426" s="110">
        <v>7</v>
      </c>
      <c r="C426" s="103" t="s">
        <v>492</v>
      </c>
      <c r="D426" s="103">
        <v>7</v>
      </c>
      <c r="E426" s="104">
        <f>+SUMIF('GE16FEB14 Unfudged'!$A$2:$A$498, $A426, 'GE16FEB14 Unfudged'!$D$2:$D$498)</f>
        <v>0</v>
      </c>
      <c r="F426" s="104">
        <f>+'FY16 Tax Bill'!F426-'FY16 Feb Forecast'!F426</f>
        <v>0</v>
      </c>
      <c r="G426" s="105">
        <f>+'FY16 Tax Bill'!G426-'FY16 Feb Forecast'!G426</f>
        <v>0</v>
      </c>
      <c r="H426" s="106">
        <f>+'FY16 Tax Bill'!H426-'FY16 Feb Forecast'!H426</f>
        <v>0</v>
      </c>
      <c r="I426" s="107">
        <f>+'FY16 Tax Bill'!I426-'FY16 Feb Forecast'!I426</f>
        <v>0</v>
      </c>
      <c r="J426" s="105">
        <f>+'FY16 Tax Bill'!J426-'FY16 Feb Forecast'!J426</f>
        <v>0</v>
      </c>
      <c r="K426" s="106">
        <f>+'FY16 Tax Bill'!K426-'FY16 Feb Forecast'!K426</f>
        <v>0</v>
      </c>
      <c r="L426" s="107">
        <f>+'FY16 Tax Bill'!L426-'FY16 Feb Forecast'!L426</f>
        <v>0</v>
      </c>
      <c r="M426" s="105">
        <f>+'FY16 Tax Bill'!M426-'FY16 Feb Forecast'!M426</f>
        <v>0</v>
      </c>
      <c r="N426" s="106">
        <f>+'FY16 Tax Bill'!N426-'FY16 Feb Forecast'!N426</f>
        <v>0</v>
      </c>
      <c r="O426" s="107">
        <f>+'FY16 Tax Bill'!O426-'FY16 Feb Forecast'!O426</f>
        <v>0</v>
      </c>
      <c r="P426" s="105">
        <f>+'FY16 Tax Bill'!P426-'FY16 Feb Forecast'!P426</f>
        <v>0</v>
      </c>
      <c r="Q426" s="106">
        <f>+'FY16 Tax Bill'!Q426-'FY16 Feb Forecast'!Q426</f>
        <v>0</v>
      </c>
      <c r="R426" s="105">
        <f>+'FY16 Tax Bill'!R426-'FY16 Feb Forecast'!R426</f>
        <v>0</v>
      </c>
      <c r="S426" s="105">
        <f>+'FY16 Tax Bill'!S426-'FY16 Feb Forecast'!S426</f>
        <v>0</v>
      </c>
      <c r="T426" s="108">
        <f>+'FY16 Tax Bill'!T426-'FY16 Feb Forecast'!T426</f>
        <v>0</v>
      </c>
    </row>
    <row r="427" spans="1:20" x14ac:dyDescent="0.2">
      <c r="A427" s="109">
        <v>4109</v>
      </c>
      <c r="B427" s="110">
        <v>7</v>
      </c>
      <c r="C427" s="103" t="s">
        <v>64</v>
      </c>
      <c r="D427" s="103">
        <v>7</v>
      </c>
      <c r="E427" s="104">
        <f>+SUMIF('GE16FEB14 Unfudged'!$A$2:$A$498, $A427, 'GE16FEB14 Unfudged'!$D$2:$D$498)</f>
        <v>0</v>
      </c>
      <c r="F427" s="104">
        <f>+'FY16 Tax Bill'!F427-'FY16 Feb Forecast'!F427</f>
        <v>0</v>
      </c>
      <c r="G427" s="105">
        <f>+'FY16 Tax Bill'!G427-'FY16 Feb Forecast'!G427</f>
        <v>0</v>
      </c>
      <c r="H427" s="106">
        <f>+'FY16 Tax Bill'!H427-'FY16 Feb Forecast'!H427</f>
        <v>0</v>
      </c>
      <c r="I427" s="107">
        <f>+'FY16 Tax Bill'!I427-'FY16 Feb Forecast'!I427</f>
        <v>0</v>
      </c>
      <c r="J427" s="105">
        <f>+'FY16 Tax Bill'!J427-'FY16 Feb Forecast'!J427</f>
        <v>0</v>
      </c>
      <c r="K427" s="106">
        <f>+'FY16 Tax Bill'!K427-'FY16 Feb Forecast'!K427</f>
        <v>0</v>
      </c>
      <c r="L427" s="107">
        <f>+'FY16 Tax Bill'!L427-'FY16 Feb Forecast'!L427</f>
        <v>0</v>
      </c>
      <c r="M427" s="105">
        <f>+'FY16 Tax Bill'!M427-'FY16 Feb Forecast'!M427</f>
        <v>0</v>
      </c>
      <c r="N427" s="106">
        <f>+'FY16 Tax Bill'!N427-'FY16 Feb Forecast'!N427</f>
        <v>0</v>
      </c>
      <c r="O427" s="107">
        <f>+'FY16 Tax Bill'!O427-'FY16 Feb Forecast'!O427</f>
        <v>0</v>
      </c>
      <c r="P427" s="105">
        <f>+'FY16 Tax Bill'!P427-'FY16 Feb Forecast'!P427</f>
        <v>0</v>
      </c>
      <c r="Q427" s="106">
        <f>+'FY16 Tax Bill'!Q427-'FY16 Feb Forecast'!Q427</f>
        <v>0</v>
      </c>
      <c r="R427" s="105">
        <f>+'FY16 Tax Bill'!R427-'FY16 Feb Forecast'!R427</f>
        <v>0</v>
      </c>
      <c r="S427" s="105">
        <f>+'FY16 Tax Bill'!S427-'FY16 Feb Forecast'!S427</f>
        <v>0</v>
      </c>
      <c r="T427" s="108">
        <f>+'FY16 Tax Bill'!T427-'FY16 Feb Forecast'!T427</f>
        <v>0</v>
      </c>
    </row>
    <row r="428" spans="1:20" x14ac:dyDescent="0.2">
      <c r="A428" s="109">
        <v>4110</v>
      </c>
      <c r="B428" s="110">
        <v>7</v>
      </c>
      <c r="C428" s="103" t="s">
        <v>493</v>
      </c>
      <c r="D428" s="103">
        <v>7</v>
      </c>
      <c r="E428" s="104">
        <f>+SUMIF('GE16FEB14 Unfudged'!$A$2:$A$498, $A428, 'GE16FEB14 Unfudged'!$D$2:$D$498)</f>
        <v>336</v>
      </c>
      <c r="F428" s="104">
        <f>+'FY16 Tax Bill'!F428-'FY16 Feb Forecast'!F428</f>
        <v>927</v>
      </c>
      <c r="G428" s="105">
        <f>+'FY16 Tax Bill'!G428-'FY16 Feb Forecast'!G428</f>
        <v>0</v>
      </c>
      <c r="H428" s="106">
        <f>+'FY16 Tax Bill'!H428-'FY16 Feb Forecast'!H428</f>
        <v>927</v>
      </c>
      <c r="I428" s="107">
        <f>+'FY16 Tax Bill'!I428-'FY16 Feb Forecast'!I428</f>
        <v>0</v>
      </c>
      <c r="J428" s="105">
        <f>+'FY16 Tax Bill'!J428-'FY16 Feb Forecast'!J428</f>
        <v>0</v>
      </c>
      <c r="K428" s="106">
        <f>+'FY16 Tax Bill'!K428-'FY16 Feb Forecast'!K428</f>
        <v>0</v>
      </c>
      <c r="L428" s="107">
        <f>+'FY16 Tax Bill'!L428-'FY16 Feb Forecast'!L428</f>
        <v>0</v>
      </c>
      <c r="M428" s="105">
        <f>+'FY16 Tax Bill'!M428-'FY16 Feb Forecast'!M428</f>
        <v>0</v>
      </c>
      <c r="N428" s="106">
        <f>+'FY16 Tax Bill'!N428-'FY16 Feb Forecast'!N428</f>
        <v>0</v>
      </c>
      <c r="O428" s="107">
        <f>+'FY16 Tax Bill'!O428-'FY16 Feb Forecast'!O428</f>
        <v>927</v>
      </c>
      <c r="P428" s="105">
        <f>+'FY16 Tax Bill'!P428-'FY16 Feb Forecast'!P428</f>
        <v>0</v>
      </c>
      <c r="Q428" s="106">
        <f>+'FY16 Tax Bill'!Q428-'FY16 Feb Forecast'!Q428</f>
        <v>927</v>
      </c>
      <c r="R428" s="105">
        <f>+'FY16 Tax Bill'!R428-'FY16 Feb Forecast'!R428</f>
        <v>2.7589285714285694</v>
      </c>
      <c r="S428" s="105">
        <f>+'FY16 Tax Bill'!S428-'FY16 Feb Forecast'!S428</f>
        <v>0</v>
      </c>
      <c r="T428" s="108">
        <f>+'FY16 Tax Bill'!T428-'FY16 Feb Forecast'!T428</f>
        <v>2.7589285714285694</v>
      </c>
    </row>
    <row r="429" spans="1:20" x14ac:dyDescent="0.2">
      <c r="A429" s="109">
        <v>4111</v>
      </c>
      <c r="B429" s="110">
        <v>7</v>
      </c>
      <c r="C429" s="103" t="s">
        <v>494</v>
      </c>
      <c r="D429" s="103">
        <v>7</v>
      </c>
      <c r="E429" s="104">
        <f>+SUMIF('GE16FEB14 Unfudged'!$A$2:$A$498, $A429, 'GE16FEB14 Unfudged'!$D$2:$D$498)</f>
        <v>168</v>
      </c>
      <c r="F429" s="104">
        <f>+'FY16 Tax Bill'!F429-'FY16 Feb Forecast'!F429</f>
        <v>464</v>
      </c>
      <c r="G429" s="105">
        <f>+'FY16 Tax Bill'!G429-'FY16 Feb Forecast'!G429</f>
        <v>0</v>
      </c>
      <c r="H429" s="106">
        <f>+'FY16 Tax Bill'!H429-'FY16 Feb Forecast'!H429</f>
        <v>464</v>
      </c>
      <c r="I429" s="107">
        <f>+'FY16 Tax Bill'!I429-'FY16 Feb Forecast'!I429</f>
        <v>0</v>
      </c>
      <c r="J429" s="105">
        <f>+'FY16 Tax Bill'!J429-'FY16 Feb Forecast'!J429</f>
        <v>0</v>
      </c>
      <c r="K429" s="106">
        <f>+'FY16 Tax Bill'!K429-'FY16 Feb Forecast'!K429</f>
        <v>0</v>
      </c>
      <c r="L429" s="107">
        <f>+'FY16 Tax Bill'!L429-'FY16 Feb Forecast'!L429</f>
        <v>0</v>
      </c>
      <c r="M429" s="105">
        <f>+'FY16 Tax Bill'!M429-'FY16 Feb Forecast'!M429</f>
        <v>0</v>
      </c>
      <c r="N429" s="106">
        <f>+'FY16 Tax Bill'!N429-'FY16 Feb Forecast'!N429</f>
        <v>0</v>
      </c>
      <c r="O429" s="107">
        <f>+'FY16 Tax Bill'!O429-'FY16 Feb Forecast'!O429</f>
        <v>464</v>
      </c>
      <c r="P429" s="105">
        <f>+'FY16 Tax Bill'!P429-'FY16 Feb Forecast'!P429</f>
        <v>0</v>
      </c>
      <c r="Q429" s="106">
        <f>+'FY16 Tax Bill'!Q429-'FY16 Feb Forecast'!Q429</f>
        <v>464</v>
      </c>
      <c r="R429" s="105">
        <f>+'FY16 Tax Bill'!R429-'FY16 Feb Forecast'!R429</f>
        <v>2.7619047619047592</v>
      </c>
      <c r="S429" s="105">
        <f>+'FY16 Tax Bill'!S429-'FY16 Feb Forecast'!S429</f>
        <v>0</v>
      </c>
      <c r="T429" s="108">
        <f>+'FY16 Tax Bill'!T429-'FY16 Feb Forecast'!T429</f>
        <v>2.7619047619047592</v>
      </c>
    </row>
    <row r="430" spans="1:20" x14ac:dyDescent="0.2">
      <c r="A430" s="109">
        <v>4112</v>
      </c>
      <c r="B430" s="110">
        <v>7</v>
      </c>
      <c r="C430" s="103" t="s">
        <v>495</v>
      </c>
      <c r="D430" s="103">
        <v>7</v>
      </c>
      <c r="E430" s="104">
        <f>+SUMIF('GE16FEB14 Unfudged'!$A$2:$A$498, $A430, 'GE16FEB14 Unfudged'!$D$2:$D$498)</f>
        <v>768</v>
      </c>
      <c r="F430" s="104">
        <f>+'FY16 Tax Bill'!F430-'FY16 Feb Forecast'!F430</f>
        <v>2120</v>
      </c>
      <c r="G430" s="105">
        <f>+'FY16 Tax Bill'!G430-'FY16 Feb Forecast'!G430</f>
        <v>0</v>
      </c>
      <c r="H430" s="106">
        <f>+'FY16 Tax Bill'!H430-'FY16 Feb Forecast'!H430</f>
        <v>2120</v>
      </c>
      <c r="I430" s="107">
        <f>+'FY16 Tax Bill'!I430-'FY16 Feb Forecast'!I430</f>
        <v>0</v>
      </c>
      <c r="J430" s="105">
        <f>+'FY16 Tax Bill'!J430-'FY16 Feb Forecast'!J430</f>
        <v>0</v>
      </c>
      <c r="K430" s="106">
        <f>+'FY16 Tax Bill'!K430-'FY16 Feb Forecast'!K430</f>
        <v>0</v>
      </c>
      <c r="L430" s="107">
        <f>+'FY16 Tax Bill'!L430-'FY16 Feb Forecast'!L430</f>
        <v>0</v>
      </c>
      <c r="M430" s="105">
        <f>+'FY16 Tax Bill'!M430-'FY16 Feb Forecast'!M430</f>
        <v>0</v>
      </c>
      <c r="N430" s="106">
        <f>+'FY16 Tax Bill'!N430-'FY16 Feb Forecast'!N430</f>
        <v>0</v>
      </c>
      <c r="O430" s="107">
        <f>+'FY16 Tax Bill'!O430-'FY16 Feb Forecast'!O430</f>
        <v>2120</v>
      </c>
      <c r="P430" s="105">
        <f>+'FY16 Tax Bill'!P430-'FY16 Feb Forecast'!P430</f>
        <v>0</v>
      </c>
      <c r="Q430" s="106">
        <f>+'FY16 Tax Bill'!Q430-'FY16 Feb Forecast'!Q430</f>
        <v>2120</v>
      </c>
      <c r="R430" s="105">
        <f>+'FY16 Tax Bill'!R430-'FY16 Feb Forecast'!R430</f>
        <v>2.7604166666666714</v>
      </c>
      <c r="S430" s="105">
        <f>+'FY16 Tax Bill'!S430-'FY16 Feb Forecast'!S430</f>
        <v>0</v>
      </c>
      <c r="T430" s="108">
        <f>+'FY16 Tax Bill'!T430-'FY16 Feb Forecast'!T430</f>
        <v>2.7604166666666714</v>
      </c>
    </row>
    <row r="431" spans="1:20" x14ac:dyDescent="0.2">
      <c r="A431" s="109">
        <v>4113</v>
      </c>
      <c r="B431" s="110">
        <v>7</v>
      </c>
      <c r="C431" s="103" t="s">
        <v>65</v>
      </c>
      <c r="D431" s="103">
        <v>7</v>
      </c>
      <c r="E431" s="104">
        <f>+SUMIF('GE16FEB14 Unfudged'!$A$2:$A$498, $A431, 'GE16FEB14 Unfudged'!$D$2:$D$498)</f>
        <v>80</v>
      </c>
      <c r="F431" s="104">
        <f>+'FY16 Tax Bill'!F431-'FY16 Feb Forecast'!F431</f>
        <v>221</v>
      </c>
      <c r="G431" s="105">
        <f>+'FY16 Tax Bill'!G431-'FY16 Feb Forecast'!G431</f>
        <v>0</v>
      </c>
      <c r="H431" s="106">
        <f>+'FY16 Tax Bill'!H431-'FY16 Feb Forecast'!H431</f>
        <v>221</v>
      </c>
      <c r="I431" s="107">
        <f>+'FY16 Tax Bill'!I431-'FY16 Feb Forecast'!I431</f>
        <v>0</v>
      </c>
      <c r="J431" s="105">
        <f>+'FY16 Tax Bill'!J431-'FY16 Feb Forecast'!J431</f>
        <v>0</v>
      </c>
      <c r="K431" s="106">
        <f>+'FY16 Tax Bill'!K431-'FY16 Feb Forecast'!K431</f>
        <v>0</v>
      </c>
      <c r="L431" s="107">
        <f>+'FY16 Tax Bill'!L431-'FY16 Feb Forecast'!L431</f>
        <v>0</v>
      </c>
      <c r="M431" s="105">
        <f>+'FY16 Tax Bill'!M431-'FY16 Feb Forecast'!M431</f>
        <v>0</v>
      </c>
      <c r="N431" s="106">
        <f>+'FY16 Tax Bill'!N431-'FY16 Feb Forecast'!N431</f>
        <v>0</v>
      </c>
      <c r="O431" s="107">
        <f>+'FY16 Tax Bill'!O431-'FY16 Feb Forecast'!O431</f>
        <v>221</v>
      </c>
      <c r="P431" s="105">
        <f>+'FY16 Tax Bill'!P431-'FY16 Feb Forecast'!P431</f>
        <v>0</v>
      </c>
      <c r="Q431" s="106">
        <f>+'FY16 Tax Bill'!Q431-'FY16 Feb Forecast'!Q431</f>
        <v>221</v>
      </c>
      <c r="R431" s="105">
        <f>+'FY16 Tax Bill'!R431-'FY16 Feb Forecast'!R431</f>
        <v>2.7625000000000028</v>
      </c>
      <c r="S431" s="105">
        <f>+'FY16 Tax Bill'!S431-'FY16 Feb Forecast'!S431</f>
        <v>0</v>
      </c>
      <c r="T431" s="108">
        <f>+'FY16 Tax Bill'!T431-'FY16 Feb Forecast'!T431</f>
        <v>2.7625000000000028</v>
      </c>
    </row>
    <row r="432" spans="1:20" x14ac:dyDescent="0.2">
      <c r="A432" s="109">
        <v>4115</v>
      </c>
      <c r="B432" s="110">
        <v>7</v>
      </c>
      <c r="C432" s="103" t="s">
        <v>496</v>
      </c>
      <c r="D432" s="103">
        <v>7</v>
      </c>
      <c r="E432" s="104">
        <f>+SUMIF('GE16FEB14 Unfudged'!$A$2:$A$498, $A432, 'GE16FEB14 Unfudged'!$D$2:$D$498)</f>
        <v>110</v>
      </c>
      <c r="F432" s="104">
        <f>+'FY16 Tax Bill'!F432-'FY16 Feb Forecast'!F432</f>
        <v>304</v>
      </c>
      <c r="G432" s="105">
        <f>+'FY16 Tax Bill'!G432-'FY16 Feb Forecast'!G432</f>
        <v>0</v>
      </c>
      <c r="H432" s="106">
        <f>+'FY16 Tax Bill'!H432-'FY16 Feb Forecast'!H432</f>
        <v>304</v>
      </c>
      <c r="I432" s="107">
        <f>+'FY16 Tax Bill'!I432-'FY16 Feb Forecast'!I432</f>
        <v>0</v>
      </c>
      <c r="J432" s="105">
        <f>+'FY16 Tax Bill'!J432-'FY16 Feb Forecast'!J432</f>
        <v>0</v>
      </c>
      <c r="K432" s="106">
        <f>+'FY16 Tax Bill'!K432-'FY16 Feb Forecast'!K432</f>
        <v>0</v>
      </c>
      <c r="L432" s="107">
        <f>+'FY16 Tax Bill'!L432-'FY16 Feb Forecast'!L432</f>
        <v>0</v>
      </c>
      <c r="M432" s="105">
        <f>+'FY16 Tax Bill'!M432-'FY16 Feb Forecast'!M432</f>
        <v>0</v>
      </c>
      <c r="N432" s="106">
        <f>+'FY16 Tax Bill'!N432-'FY16 Feb Forecast'!N432</f>
        <v>0</v>
      </c>
      <c r="O432" s="107">
        <f>+'FY16 Tax Bill'!O432-'FY16 Feb Forecast'!O432</f>
        <v>304</v>
      </c>
      <c r="P432" s="105">
        <f>+'FY16 Tax Bill'!P432-'FY16 Feb Forecast'!P432</f>
        <v>0</v>
      </c>
      <c r="Q432" s="106">
        <f>+'FY16 Tax Bill'!Q432-'FY16 Feb Forecast'!Q432</f>
        <v>304</v>
      </c>
      <c r="R432" s="105">
        <f>+'FY16 Tax Bill'!R432-'FY16 Feb Forecast'!R432</f>
        <v>2.7636363636363654</v>
      </c>
      <c r="S432" s="105">
        <f>+'FY16 Tax Bill'!S432-'FY16 Feb Forecast'!S432</f>
        <v>0</v>
      </c>
      <c r="T432" s="108">
        <f>+'FY16 Tax Bill'!T432-'FY16 Feb Forecast'!T432</f>
        <v>2.7636363636363654</v>
      </c>
    </row>
    <row r="433" spans="1:20" x14ac:dyDescent="0.2">
      <c r="A433" s="109">
        <v>4116</v>
      </c>
      <c r="B433" s="110">
        <v>7</v>
      </c>
      <c r="C433" s="103" t="s">
        <v>497</v>
      </c>
      <c r="D433" s="103">
        <v>7</v>
      </c>
      <c r="E433" s="104">
        <f>+SUMIF('GE16FEB14 Unfudged'!$A$2:$A$498, $A433, 'GE16FEB14 Unfudged'!$D$2:$D$498)</f>
        <v>786</v>
      </c>
      <c r="F433" s="104">
        <f>+'FY16 Tax Bill'!F433-'FY16 Feb Forecast'!F433</f>
        <v>2170</v>
      </c>
      <c r="G433" s="105">
        <f>+'FY16 Tax Bill'!G433-'FY16 Feb Forecast'!G433</f>
        <v>0</v>
      </c>
      <c r="H433" s="106">
        <f>+'FY16 Tax Bill'!H433-'FY16 Feb Forecast'!H433</f>
        <v>2170</v>
      </c>
      <c r="I433" s="107">
        <f>+'FY16 Tax Bill'!I433-'FY16 Feb Forecast'!I433</f>
        <v>0</v>
      </c>
      <c r="J433" s="105">
        <f>+'FY16 Tax Bill'!J433-'FY16 Feb Forecast'!J433</f>
        <v>0</v>
      </c>
      <c r="K433" s="106">
        <f>+'FY16 Tax Bill'!K433-'FY16 Feb Forecast'!K433</f>
        <v>0</v>
      </c>
      <c r="L433" s="107">
        <f>+'FY16 Tax Bill'!L433-'FY16 Feb Forecast'!L433</f>
        <v>0</v>
      </c>
      <c r="M433" s="105">
        <f>+'FY16 Tax Bill'!M433-'FY16 Feb Forecast'!M433</f>
        <v>0</v>
      </c>
      <c r="N433" s="106">
        <f>+'FY16 Tax Bill'!N433-'FY16 Feb Forecast'!N433</f>
        <v>0</v>
      </c>
      <c r="O433" s="107">
        <f>+'FY16 Tax Bill'!O433-'FY16 Feb Forecast'!O433</f>
        <v>2170</v>
      </c>
      <c r="P433" s="105">
        <f>+'FY16 Tax Bill'!P433-'FY16 Feb Forecast'!P433</f>
        <v>0</v>
      </c>
      <c r="Q433" s="106">
        <f>+'FY16 Tax Bill'!Q433-'FY16 Feb Forecast'!Q433</f>
        <v>2170</v>
      </c>
      <c r="R433" s="105">
        <f>+'FY16 Tax Bill'!R433-'FY16 Feb Forecast'!R433</f>
        <v>2.7608142493638752</v>
      </c>
      <c r="S433" s="105">
        <f>+'FY16 Tax Bill'!S433-'FY16 Feb Forecast'!S433</f>
        <v>0</v>
      </c>
      <c r="T433" s="108">
        <f>+'FY16 Tax Bill'!T433-'FY16 Feb Forecast'!T433</f>
        <v>2.7608142493638752</v>
      </c>
    </row>
    <row r="434" spans="1:20" x14ac:dyDescent="0.2">
      <c r="A434" s="109">
        <v>4118</v>
      </c>
      <c r="B434" s="110">
        <v>7</v>
      </c>
      <c r="C434" s="103" t="s">
        <v>66</v>
      </c>
      <c r="D434" s="103">
        <v>7</v>
      </c>
      <c r="E434" s="104">
        <f>+SUMIF('GE16FEB14 Unfudged'!$A$2:$A$498, $A434, 'GE16FEB14 Unfudged'!$D$2:$D$498)</f>
        <v>585</v>
      </c>
      <c r="F434" s="104">
        <f>+'FY16 Tax Bill'!F434-'FY16 Feb Forecast'!F434</f>
        <v>1615</v>
      </c>
      <c r="G434" s="105">
        <f>+'FY16 Tax Bill'!G434-'FY16 Feb Forecast'!G434</f>
        <v>0</v>
      </c>
      <c r="H434" s="106">
        <f>+'FY16 Tax Bill'!H434-'FY16 Feb Forecast'!H434</f>
        <v>1615</v>
      </c>
      <c r="I434" s="107">
        <f>+'FY16 Tax Bill'!I434-'FY16 Feb Forecast'!I434</f>
        <v>0</v>
      </c>
      <c r="J434" s="105">
        <f>+'FY16 Tax Bill'!J434-'FY16 Feb Forecast'!J434</f>
        <v>0</v>
      </c>
      <c r="K434" s="106">
        <f>+'FY16 Tax Bill'!K434-'FY16 Feb Forecast'!K434</f>
        <v>0</v>
      </c>
      <c r="L434" s="107">
        <f>+'FY16 Tax Bill'!L434-'FY16 Feb Forecast'!L434</f>
        <v>0</v>
      </c>
      <c r="M434" s="105">
        <f>+'FY16 Tax Bill'!M434-'FY16 Feb Forecast'!M434</f>
        <v>0</v>
      </c>
      <c r="N434" s="106">
        <f>+'FY16 Tax Bill'!N434-'FY16 Feb Forecast'!N434</f>
        <v>0</v>
      </c>
      <c r="O434" s="107">
        <f>+'FY16 Tax Bill'!O434-'FY16 Feb Forecast'!O434</f>
        <v>1615</v>
      </c>
      <c r="P434" s="105">
        <f>+'FY16 Tax Bill'!P434-'FY16 Feb Forecast'!P434</f>
        <v>0</v>
      </c>
      <c r="Q434" s="106">
        <f>+'FY16 Tax Bill'!Q434-'FY16 Feb Forecast'!Q434</f>
        <v>1615</v>
      </c>
      <c r="R434" s="105">
        <f>+'FY16 Tax Bill'!R434-'FY16 Feb Forecast'!R434</f>
        <v>2.7606837606837615</v>
      </c>
      <c r="S434" s="105">
        <f>+'FY16 Tax Bill'!S434-'FY16 Feb Forecast'!S434</f>
        <v>0</v>
      </c>
      <c r="T434" s="108">
        <f>+'FY16 Tax Bill'!T434-'FY16 Feb Forecast'!T434</f>
        <v>2.7606837606837615</v>
      </c>
    </row>
    <row r="435" spans="1:20" x14ac:dyDescent="0.2">
      <c r="A435" s="109">
        <v>4119</v>
      </c>
      <c r="B435" s="110">
        <v>7</v>
      </c>
      <c r="C435" s="103" t="s">
        <v>67</v>
      </c>
      <c r="D435" s="103">
        <v>7</v>
      </c>
      <c r="E435" s="104">
        <f>+SUMIF('GE16FEB14 Unfudged'!$A$2:$A$498, $A435, 'GE16FEB14 Unfudged'!$D$2:$D$498)</f>
        <v>112</v>
      </c>
      <c r="F435" s="104">
        <f>+'FY16 Tax Bill'!F435-'FY16 Feb Forecast'!F435</f>
        <v>308</v>
      </c>
      <c r="G435" s="105">
        <f>+'FY16 Tax Bill'!G435-'FY16 Feb Forecast'!G435</f>
        <v>0</v>
      </c>
      <c r="H435" s="106">
        <f>+'FY16 Tax Bill'!H435-'FY16 Feb Forecast'!H435</f>
        <v>308</v>
      </c>
      <c r="I435" s="107">
        <f>+'FY16 Tax Bill'!I435-'FY16 Feb Forecast'!I435</f>
        <v>0</v>
      </c>
      <c r="J435" s="105">
        <f>+'FY16 Tax Bill'!J435-'FY16 Feb Forecast'!J435</f>
        <v>0</v>
      </c>
      <c r="K435" s="106">
        <f>+'FY16 Tax Bill'!K435-'FY16 Feb Forecast'!K435</f>
        <v>0</v>
      </c>
      <c r="L435" s="107">
        <f>+'FY16 Tax Bill'!L435-'FY16 Feb Forecast'!L435</f>
        <v>0</v>
      </c>
      <c r="M435" s="105">
        <f>+'FY16 Tax Bill'!M435-'FY16 Feb Forecast'!M435</f>
        <v>0</v>
      </c>
      <c r="N435" s="106">
        <f>+'FY16 Tax Bill'!N435-'FY16 Feb Forecast'!N435</f>
        <v>0</v>
      </c>
      <c r="O435" s="107">
        <f>+'FY16 Tax Bill'!O435-'FY16 Feb Forecast'!O435</f>
        <v>308</v>
      </c>
      <c r="P435" s="105">
        <f>+'FY16 Tax Bill'!P435-'FY16 Feb Forecast'!P435</f>
        <v>0</v>
      </c>
      <c r="Q435" s="106">
        <f>+'FY16 Tax Bill'!Q435-'FY16 Feb Forecast'!Q435</f>
        <v>308</v>
      </c>
      <c r="R435" s="105">
        <f>+'FY16 Tax Bill'!R435-'FY16 Feb Forecast'!R435</f>
        <v>2.75</v>
      </c>
      <c r="S435" s="105">
        <f>+'FY16 Tax Bill'!S435-'FY16 Feb Forecast'!S435</f>
        <v>0</v>
      </c>
      <c r="T435" s="108">
        <f>+'FY16 Tax Bill'!T435-'FY16 Feb Forecast'!T435</f>
        <v>2.75</v>
      </c>
    </row>
    <row r="436" spans="1:20" x14ac:dyDescent="0.2">
      <c r="A436" s="109">
        <v>4120</v>
      </c>
      <c r="B436" s="110">
        <v>7</v>
      </c>
      <c r="C436" s="103" t="s">
        <v>68</v>
      </c>
      <c r="D436" s="103">
        <v>7</v>
      </c>
      <c r="E436" s="104">
        <f>+SUMIF('GE16FEB14 Unfudged'!$A$2:$A$498, $A436, 'GE16FEB14 Unfudged'!$D$2:$D$498)</f>
        <v>1247</v>
      </c>
      <c r="F436" s="104">
        <f>+'FY16 Tax Bill'!F436-'FY16 Feb Forecast'!F436</f>
        <v>3442</v>
      </c>
      <c r="G436" s="105">
        <f>+'FY16 Tax Bill'!G436-'FY16 Feb Forecast'!G436</f>
        <v>0</v>
      </c>
      <c r="H436" s="106">
        <f>+'FY16 Tax Bill'!H436-'FY16 Feb Forecast'!H436</f>
        <v>3442</v>
      </c>
      <c r="I436" s="107">
        <f>+'FY16 Tax Bill'!I436-'FY16 Feb Forecast'!I436</f>
        <v>0</v>
      </c>
      <c r="J436" s="105">
        <f>+'FY16 Tax Bill'!J436-'FY16 Feb Forecast'!J436</f>
        <v>0</v>
      </c>
      <c r="K436" s="106">
        <f>+'FY16 Tax Bill'!K436-'FY16 Feb Forecast'!K436</f>
        <v>0</v>
      </c>
      <c r="L436" s="107">
        <f>+'FY16 Tax Bill'!L436-'FY16 Feb Forecast'!L436</f>
        <v>0</v>
      </c>
      <c r="M436" s="105">
        <f>+'FY16 Tax Bill'!M436-'FY16 Feb Forecast'!M436</f>
        <v>0</v>
      </c>
      <c r="N436" s="106">
        <f>+'FY16 Tax Bill'!N436-'FY16 Feb Forecast'!N436</f>
        <v>0</v>
      </c>
      <c r="O436" s="107">
        <f>+'FY16 Tax Bill'!O436-'FY16 Feb Forecast'!O436</f>
        <v>3442</v>
      </c>
      <c r="P436" s="105">
        <f>+'FY16 Tax Bill'!P436-'FY16 Feb Forecast'!P436</f>
        <v>0</v>
      </c>
      <c r="Q436" s="106">
        <f>+'FY16 Tax Bill'!Q436-'FY16 Feb Forecast'!Q436</f>
        <v>3442</v>
      </c>
      <c r="R436" s="105">
        <f>+'FY16 Tax Bill'!R436-'FY16 Feb Forecast'!R436</f>
        <v>2.7602245388933397</v>
      </c>
      <c r="S436" s="105">
        <f>+'FY16 Tax Bill'!S436-'FY16 Feb Forecast'!S436</f>
        <v>0</v>
      </c>
      <c r="T436" s="108">
        <f>+'FY16 Tax Bill'!T436-'FY16 Feb Forecast'!T436</f>
        <v>2.7602245388933397</v>
      </c>
    </row>
    <row r="437" spans="1:20" x14ac:dyDescent="0.2">
      <c r="A437" s="109">
        <v>4121</v>
      </c>
      <c r="B437" s="110">
        <v>7</v>
      </c>
      <c r="C437" s="103" t="s">
        <v>498</v>
      </c>
      <c r="D437" s="103">
        <v>7</v>
      </c>
      <c r="E437" s="104">
        <f>+SUMIF('GE16FEB14 Unfudged'!$A$2:$A$498, $A437, 'GE16FEB14 Unfudged'!$D$2:$D$498)</f>
        <v>456</v>
      </c>
      <c r="F437" s="104">
        <f>+'FY16 Tax Bill'!F437-'FY16 Feb Forecast'!F437</f>
        <v>1259</v>
      </c>
      <c r="G437" s="105">
        <f>+'FY16 Tax Bill'!G437-'FY16 Feb Forecast'!G437</f>
        <v>0</v>
      </c>
      <c r="H437" s="106">
        <f>+'FY16 Tax Bill'!H437-'FY16 Feb Forecast'!H437</f>
        <v>1259</v>
      </c>
      <c r="I437" s="107">
        <f>+'FY16 Tax Bill'!I437-'FY16 Feb Forecast'!I437</f>
        <v>0</v>
      </c>
      <c r="J437" s="105">
        <f>+'FY16 Tax Bill'!J437-'FY16 Feb Forecast'!J437</f>
        <v>0</v>
      </c>
      <c r="K437" s="106">
        <f>+'FY16 Tax Bill'!K437-'FY16 Feb Forecast'!K437</f>
        <v>0</v>
      </c>
      <c r="L437" s="107">
        <f>+'FY16 Tax Bill'!L437-'FY16 Feb Forecast'!L437</f>
        <v>0</v>
      </c>
      <c r="M437" s="105">
        <f>+'FY16 Tax Bill'!M437-'FY16 Feb Forecast'!M437</f>
        <v>0</v>
      </c>
      <c r="N437" s="106">
        <f>+'FY16 Tax Bill'!N437-'FY16 Feb Forecast'!N437</f>
        <v>0</v>
      </c>
      <c r="O437" s="107">
        <f>+'FY16 Tax Bill'!O437-'FY16 Feb Forecast'!O437</f>
        <v>1259</v>
      </c>
      <c r="P437" s="105">
        <f>+'FY16 Tax Bill'!P437-'FY16 Feb Forecast'!P437</f>
        <v>0</v>
      </c>
      <c r="Q437" s="106">
        <f>+'FY16 Tax Bill'!Q437-'FY16 Feb Forecast'!Q437</f>
        <v>1259</v>
      </c>
      <c r="R437" s="105">
        <f>+'FY16 Tax Bill'!R437-'FY16 Feb Forecast'!R437</f>
        <v>2.7609649122806985</v>
      </c>
      <c r="S437" s="105">
        <f>+'FY16 Tax Bill'!S437-'FY16 Feb Forecast'!S437</f>
        <v>0</v>
      </c>
      <c r="T437" s="108">
        <f>+'FY16 Tax Bill'!T437-'FY16 Feb Forecast'!T437</f>
        <v>2.7609649122806985</v>
      </c>
    </row>
    <row r="438" spans="1:20" x14ac:dyDescent="0.2">
      <c r="A438" s="109">
        <v>4122</v>
      </c>
      <c r="B438" s="110">
        <v>7</v>
      </c>
      <c r="C438" s="103" t="s">
        <v>499</v>
      </c>
      <c r="D438" s="103">
        <v>7</v>
      </c>
      <c r="E438" s="104">
        <f>+SUMIF('GE16FEB14 Unfudged'!$A$2:$A$498, $A438, 'GE16FEB14 Unfudged'!$D$2:$D$498)</f>
        <v>943</v>
      </c>
      <c r="F438" s="104">
        <f>+'FY16 Tax Bill'!F438-'FY16 Feb Forecast'!F438</f>
        <v>2602</v>
      </c>
      <c r="G438" s="105">
        <f>+'FY16 Tax Bill'!G438-'FY16 Feb Forecast'!G438</f>
        <v>0</v>
      </c>
      <c r="H438" s="106">
        <f>+'FY16 Tax Bill'!H438-'FY16 Feb Forecast'!H438</f>
        <v>2602</v>
      </c>
      <c r="I438" s="107">
        <f>+'FY16 Tax Bill'!I438-'FY16 Feb Forecast'!I438</f>
        <v>0</v>
      </c>
      <c r="J438" s="105">
        <f>+'FY16 Tax Bill'!J438-'FY16 Feb Forecast'!J438</f>
        <v>0</v>
      </c>
      <c r="K438" s="106">
        <f>+'FY16 Tax Bill'!K438-'FY16 Feb Forecast'!K438</f>
        <v>0</v>
      </c>
      <c r="L438" s="107">
        <f>+'FY16 Tax Bill'!L438-'FY16 Feb Forecast'!L438</f>
        <v>0</v>
      </c>
      <c r="M438" s="105">
        <f>+'FY16 Tax Bill'!M438-'FY16 Feb Forecast'!M438</f>
        <v>0</v>
      </c>
      <c r="N438" s="106">
        <f>+'FY16 Tax Bill'!N438-'FY16 Feb Forecast'!N438</f>
        <v>0</v>
      </c>
      <c r="O438" s="107">
        <f>+'FY16 Tax Bill'!O438-'FY16 Feb Forecast'!O438</f>
        <v>2602</v>
      </c>
      <c r="P438" s="105">
        <f>+'FY16 Tax Bill'!P438-'FY16 Feb Forecast'!P438</f>
        <v>0</v>
      </c>
      <c r="Q438" s="106">
        <f>+'FY16 Tax Bill'!Q438-'FY16 Feb Forecast'!Q438</f>
        <v>2602</v>
      </c>
      <c r="R438" s="105">
        <f>+'FY16 Tax Bill'!R438-'FY16 Feb Forecast'!R438</f>
        <v>2.7592788971367952</v>
      </c>
      <c r="S438" s="105">
        <f>+'FY16 Tax Bill'!S438-'FY16 Feb Forecast'!S438</f>
        <v>0</v>
      </c>
      <c r="T438" s="108">
        <f>+'FY16 Tax Bill'!T438-'FY16 Feb Forecast'!T438</f>
        <v>2.7592788971367952</v>
      </c>
    </row>
    <row r="439" spans="1:20" x14ac:dyDescent="0.2">
      <c r="A439" s="109">
        <v>4123</v>
      </c>
      <c r="B439" s="110">
        <v>7</v>
      </c>
      <c r="C439" s="103" t="s">
        <v>500</v>
      </c>
      <c r="D439" s="103">
        <v>7</v>
      </c>
      <c r="E439" s="104">
        <f>+SUMIF('GE16FEB14 Unfudged'!$A$2:$A$498, $A439, 'GE16FEB14 Unfudged'!$D$2:$D$498)</f>
        <v>46</v>
      </c>
      <c r="F439" s="104">
        <f>+'FY16 Tax Bill'!F439-'FY16 Feb Forecast'!F439</f>
        <v>127</v>
      </c>
      <c r="G439" s="105">
        <f>+'FY16 Tax Bill'!G439-'FY16 Feb Forecast'!G439</f>
        <v>0</v>
      </c>
      <c r="H439" s="106">
        <f>+'FY16 Tax Bill'!H439-'FY16 Feb Forecast'!H439</f>
        <v>127</v>
      </c>
      <c r="I439" s="107">
        <f>+'FY16 Tax Bill'!I439-'FY16 Feb Forecast'!I439</f>
        <v>0</v>
      </c>
      <c r="J439" s="105">
        <f>+'FY16 Tax Bill'!J439-'FY16 Feb Forecast'!J439</f>
        <v>0</v>
      </c>
      <c r="K439" s="106">
        <f>+'FY16 Tax Bill'!K439-'FY16 Feb Forecast'!K439</f>
        <v>0</v>
      </c>
      <c r="L439" s="107">
        <f>+'FY16 Tax Bill'!L439-'FY16 Feb Forecast'!L439</f>
        <v>0</v>
      </c>
      <c r="M439" s="105">
        <f>+'FY16 Tax Bill'!M439-'FY16 Feb Forecast'!M439</f>
        <v>0</v>
      </c>
      <c r="N439" s="106">
        <f>+'FY16 Tax Bill'!N439-'FY16 Feb Forecast'!N439</f>
        <v>0</v>
      </c>
      <c r="O439" s="107">
        <f>+'FY16 Tax Bill'!O439-'FY16 Feb Forecast'!O439</f>
        <v>127</v>
      </c>
      <c r="P439" s="105">
        <f>+'FY16 Tax Bill'!P439-'FY16 Feb Forecast'!P439</f>
        <v>0</v>
      </c>
      <c r="Q439" s="106">
        <f>+'FY16 Tax Bill'!Q439-'FY16 Feb Forecast'!Q439</f>
        <v>127</v>
      </c>
      <c r="R439" s="105">
        <f>+'FY16 Tax Bill'!R439-'FY16 Feb Forecast'!R439</f>
        <v>2.7608695652173907</v>
      </c>
      <c r="S439" s="105">
        <f>+'FY16 Tax Bill'!S439-'FY16 Feb Forecast'!S439</f>
        <v>0</v>
      </c>
      <c r="T439" s="108">
        <f>+'FY16 Tax Bill'!T439-'FY16 Feb Forecast'!T439</f>
        <v>2.7608695652173907</v>
      </c>
    </row>
    <row r="440" spans="1:20" x14ac:dyDescent="0.2">
      <c r="A440" s="109">
        <v>4124</v>
      </c>
      <c r="B440" s="110">
        <v>7</v>
      </c>
      <c r="C440" s="103" t="s">
        <v>69</v>
      </c>
      <c r="D440" s="103">
        <v>7</v>
      </c>
      <c r="E440" s="104">
        <f>+SUMIF('GE16FEB14 Unfudged'!$A$2:$A$498, $A440, 'GE16FEB14 Unfudged'!$D$2:$D$498)</f>
        <v>434</v>
      </c>
      <c r="F440" s="104">
        <f>+'FY16 Tax Bill'!F440-'FY16 Feb Forecast'!F440</f>
        <v>1197</v>
      </c>
      <c r="G440" s="105">
        <f>+'FY16 Tax Bill'!G440-'FY16 Feb Forecast'!G440</f>
        <v>0</v>
      </c>
      <c r="H440" s="106">
        <f>+'FY16 Tax Bill'!H440-'FY16 Feb Forecast'!H440</f>
        <v>1197</v>
      </c>
      <c r="I440" s="107">
        <f>+'FY16 Tax Bill'!I440-'FY16 Feb Forecast'!I440</f>
        <v>0</v>
      </c>
      <c r="J440" s="105">
        <f>+'FY16 Tax Bill'!J440-'FY16 Feb Forecast'!J440</f>
        <v>0</v>
      </c>
      <c r="K440" s="106">
        <f>+'FY16 Tax Bill'!K440-'FY16 Feb Forecast'!K440</f>
        <v>0</v>
      </c>
      <c r="L440" s="107">
        <f>+'FY16 Tax Bill'!L440-'FY16 Feb Forecast'!L440</f>
        <v>0</v>
      </c>
      <c r="M440" s="105">
        <f>+'FY16 Tax Bill'!M440-'FY16 Feb Forecast'!M440</f>
        <v>0</v>
      </c>
      <c r="N440" s="106">
        <f>+'FY16 Tax Bill'!N440-'FY16 Feb Forecast'!N440</f>
        <v>0</v>
      </c>
      <c r="O440" s="107">
        <f>+'FY16 Tax Bill'!O440-'FY16 Feb Forecast'!O440</f>
        <v>1197</v>
      </c>
      <c r="P440" s="105">
        <f>+'FY16 Tax Bill'!P440-'FY16 Feb Forecast'!P440</f>
        <v>0</v>
      </c>
      <c r="Q440" s="106">
        <f>+'FY16 Tax Bill'!Q440-'FY16 Feb Forecast'!Q440</f>
        <v>1197</v>
      </c>
      <c r="R440" s="105">
        <f>+'FY16 Tax Bill'!R440-'FY16 Feb Forecast'!R440</f>
        <v>2.7580645161290249</v>
      </c>
      <c r="S440" s="105">
        <f>+'FY16 Tax Bill'!S440-'FY16 Feb Forecast'!S440</f>
        <v>0</v>
      </c>
      <c r="T440" s="108">
        <f>+'FY16 Tax Bill'!T440-'FY16 Feb Forecast'!T440</f>
        <v>2.7580645161290249</v>
      </c>
    </row>
    <row r="441" spans="1:20" x14ac:dyDescent="0.2">
      <c r="A441" s="109">
        <v>4126</v>
      </c>
      <c r="B441" s="110">
        <v>7</v>
      </c>
      <c r="C441" s="103" t="s">
        <v>70</v>
      </c>
      <c r="D441" s="103">
        <v>7</v>
      </c>
      <c r="E441" s="104">
        <f>+SUMIF('GE16FEB14 Unfudged'!$A$2:$A$498, $A441, 'GE16FEB14 Unfudged'!$D$2:$D$498)</f>
        <v>849</v>
      </c>
      <c r="F441" s="104">
        <f>+'FY16 Tax Bill'!F441-'FY16 Feb Forecast'!F441</f>
        <v>2343</v>
      </c>
      <c r="G441" s="105">
        <f>+'FY16 Tax Bill'!G441-'FY16 Feb Forecast'!G441</f>
        <v>0</v>
      </c>
      <c r="H441" s="106">
        <f>+'FY16 Tax Bill'!H441-'FY16 Feb Forecast'!H441</f>
        <v>2343</v>
      </c>
      <c r="I441" s="107">
        <f>+'FY16 Tax Bill'!I441-'FY16 Feb Forecast'!I441</f>
        <v>0</v>
      </c>
      <c r="J441" s="105">
        <f>+'FY16 Tax Bill'!J441-'FY16 Feb Forecast'!J441</f>
        <v>0</v>
      </c>
      <c r="K441" s="106">
        <f>+'FY16 Tax Bill'!K441-'FY16 Feb Forecast'!K441</f>
        <v>0</v>
      </c>
      <c r="L441" s="107">
        <f>+'FY16 Tax Bill'!L441-'FY16 Feb Forecast'!L441</f>
        <v>0</v>
      </c>
      <c r="M441" s="105">
        <f>+'FY16 Tax Bill'!M441-'FY16 Feb Forecast'!M441</f>
        <v>0</v>
      </c>
      <c r="N441" s="106">
        <f>+'FY16 Tax Bill'!N441-'FY16 Feb Forecast'!N441</f>
        <v>0</v>
      </c>
      <c r="O441" s="107">
        <f>+'FY16 Tax Bill'!O441-'FY16 Feb Forecast'!O441</f>
        <v>2343</v>
      </c>
      <c r="P441" s="105">
        <f>+'FY16 Tax Bill'!P441-'FY16 Feb Forecast'!P441</f>
        <v>0</v>
      </c>
      <c r="Q441" s="106">
        <f>+'FY16 Tax Bill'!Q441-'FY16 Feb Forecast'!Q441</f>
        <v>2343</v>
      </c>
      <c r="R441" s="105">
        <f>+'FY16 Tax Bill'!R441-'FY16 Feb Forecast'!R441</f>
        <v>2.7597173144876308</v>
      </c>
      <c r="S441" s="105">
        <f>+'FY16 Tax Bill'!S441-'FY16 Feb Forecast'!S441</f>
        <v>0</v>
      </c>
      <c r="T441" s="108">
        <f>+'FY16 Tax Bill'!T441-'FY16 Feb Forecast'!T441</f>
        <v>2.7597173144876308</v>
      </c>
    </row>
    <row r="442" spans="1:20" x14ac:dyDescent="0.2">
      <c r="A442" s="109">
        <v>4127</v>
      </c>
      <c r="B442" s="110">
        <v>7</v>
      </c>
      <c r="C442" s="103" t="s">
        <v>71</v>
      </c>
      <c r="D442" s="103">
        <v>7</v>
      </c>
      <c r="E442" s="104">
        <f>+SUMIF('GE16FEB14 Unfudged'!$A$2:$A$498, $A442, 'GE16FEB14 Unfudged'!$D$2:$D$498)</f>
        <v>129</v>
      </c>
      <c r="F442" s="104">
        <f>+'FY16 Tax Bill'!F442-'FY16 Feb Forecast'!F442</f>
        <v>356</v>
      </c>
      <c r="G442" s="105">
        <f>+'FY16 Tax Bill'!G442-'FY16 Feb Forecast'!G442</f>
        <v>0</v>
      </c>
      <c r="H442" s="106">
        <f>+'FY16 Tax Bill'!H442-'FY16 Feb Forecast'!H442</f>
        <v>356</v>
      </c>
      <c r="I442" s="107">
        <f>+'FY16 Tax Bill'!I442-'FY16 Feb Forecast'!I442</f>
        <v>0</v>
      </c>
      <c r="J442" s="105">
        <f>+'FY16 Tax Bill'!J442-'FY16 Feb Forecast'!J442</f>
        <v>0</v>
      </c>
      <c r="K442" s="106">
        <f>+'FY16 Tax Bill'!K442-'FY16 Feb Forecast'!K442</f>
        <v>0</v>
      </c>
      <c r="L442" s="107">
        <f>+'FY16 Tax Bill'!L442-'FY16 Feb Forecast'!L442</f>
        <v>0</v>
      </c>
      <c r="M442" s="105">
        <f>+'FY16 Tax Bill'!M442-'FY16 Feb Forecast'!M442</f>
        <v>0</v>
      </c>
      <c r="N442" s="106">
        <f>+'FY16 Tax Bill'!N442-'FY16 Feb Forecast'!N442</f>
        <v>0</v>
      </c>
      <c r="O442" s="107">
        <f>+'FY16 Tax Bill'!O442-'FY16 Feb Forecast'!O442</f>
        <v>356</v>
      </c>
      <c r="P442" s="105">
        <f>+'FY16 Tax Bill'!P442-'FY16 Feb Forecast'!P442</f>
        <v>0</v>
      </c>
      <c r="Q442" s="106">
        <f>+'FY16 Tax Bill'!Q442-'FY16 Feb Forecast'!Q442</f>
        <v>356</v>
      </c>
      <c r="R442" s="105">
        <f>+'FY16 Tax Bill'!R442-'FY16 Feb Forecast'!R442</f>
        <v>2.759689922480618</v>
      </c>
      <c r="S442" s="105">
        <f>+'FY16 Tax Bill'!S442-'FY16 Feb Forecast'!S442</f>
        <v>0</v>
      </c>
      <c r="T442" s="108">
        <f>+'FY16 Tax Bill'!T442-'FY16 Feb Forecast'!T442</f>
        <v>2.759689922480618</v>
      </c>
    </row>
    <row r="443" spans="1:20" x14ac:dyDescent="0.2">
      <c r="A443" s="109">
        <v>4131</v>
      </c>
      <c r="B443" s="110">
        <v>7</v>
      </c>
      <c r="C443" s="103" t="s">
        <v>72</v>
      </c>
      <c r="D443" s="103">
        <v>7</v>
      </c>
      <c r="E443" s="104">
        <f>+SUMIF('GE16FEB14 Unfudged'!$A$2:$A$498, $A443, 'GE16FEB14 Unfudged'!$D$2:$D$498)</f>
        <v>310</v>
      </c>
      <c r="F443" s="104">
        <f>+'FY16 Tax Bill'!F443-'FY16 Feb Forecast'!F443</f>
        <v>856</v>
      </c>
      <c r="G443" s="105">
        <f>+'FY16 Tax Bill'!G443-'FY16 Feb Forecast'!G443</f>
        <v>0</v>
      </c>
      <c r="H443" s="106">
        <f>+'FY16 Tax Bill'!H443-'FY16 Feb Forecast'!H443</f>
        <v>856</v>
      </c>
      <c r="I443" s="107">
        <f>+'FY16 Tax Bill'!I443-'FY16 Feb Forecast'!I443</f>
        <v>0</v>
      </c>
      <c r="J443" s="105">
        <f>+'FY16 Tax Bill'!J443-'FY16 Feb Forecast'!J443</f>
        <v>0</v>
      </c>
      <c r="K443" s="106">
        <f>+'FY16 Tax Bill'!K443-'FY16 Feb Forecast'!K443</f>
        <v>0</v>
      </c>
      <c r="L443" s="107">
        <f>+'FY16 Tax Bill'!L443-'FY16 Feb Forecast'!L443</f>
        <v>0</v>
      </c>
      <c r="M443" s="105">
        <f>+'FY16 Tax Bill'!M443-'FY16 Feb Forecast'!M443</f>
        <v>0</v>
      </c>
      <c r="N443" s="106">
        <f>+'FY16 Tax Bill'!N443-'FY16 Feb Forecast'!N443</f>
        <v>0</v>
      </c>
      <c r="O443" s="107">
        <f>+'FY16 Tax Bill'!O443-'FY16 Feb Forecast'!O443</f>
        <v>856</v>
      </c>
      <c r="P443" s="105">
        <f>+'FY16 Tax Bill'!P443-'FY16 Feb Forecast'!P443</f>
        <v>0</v>
      </c>
      <c r="Q443" s="106">
        <f>+'FY16 Tax Bill'!Q443-'FY16 Feb Forecast'!Q443</f>
        <v>856</v>
      </c>
      <c r="R443" s="105">
        <f>+'FY16 Tax Bill'!R443-'FY16 Feb Forecast'!R443</f>
        <v>2.7612903225806491</v>
      </c>
      <c r="S443" s="105">
        <f>+'FY16 Tax Bill'!S443-'FY16 Feb Forecast'!S443</f>
        <v>0</v>
      </c>
      <c r="T443" s="108">
        <f>+'FY16 Tax Bill'!T443-'FY16 Feb Forecast'!T443</f>
        <v>2.7612903225806491</v>
      </c>
    </row>
    <row r="444" spans="1:20" x14ac:dyDescent="0.2">
      <c r="A444" s="109">
        <v>4132</v>
      </c>
      <c r="B444" s="110">
        <v>7</v>
      </c>
      <c r="C444" s="103" t="s">
        <v>73</v>
      </c>
      <c r="D444" s="103">
        <v>7</v>
      </c>
      <c r="E444" s="104">
        <f>+SUMIF('GE16FEB14 Unfudged'!$A$2:$A$498, $A444, 'GE16FEB14 Unfudged'!$D$2:$D$498)</f>
        <v>246</v>
      </c>
      <c r="F444" s="104">
        <f>+'FY16 Tax Bill'!F444-'FY16 Feb Forecast'!F444</f>
        <v>679</v>
      </c>
      <c r="G444" s="105">
        <f>+'FY16 Tax Bill'!G444-'FY16 Feb Forecast'!G444</f>
        <v>0</v>
      </c>
      <c r="H444" s="106">
        <f>+'FY16 Tax Bill'!H444-'FY16 Feb Forecast'!H444</f>
        <v>679</v>
      </c>
      <c r="I444" s="107">
        <f>+'FY16 Tax Bill'!I444-'FY16 Feb Forecast'!I444</f>
        <v>0</v>
      </c>
      <c r="J444" s="105">
        <f>+'FY16 Tax Bill'!J444-'FY16 Feb Forecast'!J444</f>
        <v>0</v>
      </c>
      <c r="K444" s="106">
        <f>+'FY16 Tax Bill'!K444-'FY16 Feb Forecast'!K444</f>
        <v>0</v>
      </c>
      <c r="L444" s="107">
        <f>+'FY16 Tax Bill'!L444-'FY16 Feb Forecast'!L444</f>
        <v>0</v>
      </c>
      <c r="M444" s="105">
        <f>+'FY16 Tax Bill'!M444-'FY16 Feb Forecast'!M444</f>
        <v>0</v>
      </c>
      <c r="N444" s="106">
        <f>+'FY16 Tax Bill'!N444-'FY16 Feb Forecast'!N444</f>
        <v>0</v>
      </c>
      <c r="O444" s="107">
        <f>+'FY16 Tax Bill'!O444-'FY16 Feb Forecast'!O444</f>
        <v>679</v>
      </c>
      <c r="P444" s="105">
        <f>+'FY16 Tax Bill'!P444-'FY16 Feb Forecast'!P444</f>
        <v>0</v>
      </c>
      <c r="Q444" s="106">
        <f>+'FY16 Tax Bill'!Q444-'FY16 Feb Forecast'!Q444</f>
        <v>679</v>
      </c>
      <c r="R444" s="105">
        <f>+'FY16 Tax Bill'!R444-'FY16 Feb Forecast'!R444</f>
        <v>2.7601626016260212</v>
      </c>
      <c r="S444" s="105">
        <f>+'FY16 Tax Bill'!S444-'FY16 Feb Forecast'!S444</f>
        <v>0</v>
      </c>
      <c r="T444" s="108">
        <f>+'FY16 Tax Bill'!T444-'FY16 Feb Forecast'!T444</f>
        <v>2.7601626016260212</v>
      </c>
    </row>
    <row r="445" spans="1:20" x14ac:dyDescent="0.2">
      <c r="A445" s="109">
        <v>4133</v>
      </c>
      <c r="B445" s="110">
        <v>7</v>
      </c>
      <c r="C445" s="103" t="s">
        <v>74</v>
      </c>
      <c r="D445" s="103">
        <v>7</v>
      </c>
      <c r="E445" s="104">
        <f>+SUMIF('GE16FEB14 Unfudged'!$A$2:$A$498, $A445, 'GE16FEB14 Unfudged'!$D$2:$D$498)</f>
        <v>297</v>
      </c>
      <c r="F445" s="104">
        <f>+'FY16 Tax Bill'!F445-'FY16 Feb Forecast'!F445</f>
        <v>819</v>
      </c>
      <c r="G445" s="105">
        <f>+'FY16 Tax Bill'!G445-'FY16 Feb Forecast'!G445</f>
        <v>0</v>
      </c>
      <c r="H445" s="106">
        <f>+'FY16 Tax Bill'!H445-'FY16 Feb Forecast'!H445</f>
        <v>819</v>
      </c>
      <c r="I445" s="107">
        <f>+'FY16 Tax Bill'!I445-'FY16 Feb Forecast'!I445</f>
        <v>0</v>
      </c>
      <c r="J445" s="105">
        <f>+'FY16 Tax Bill'!J445-'FY16 Feb Forecast'!J445</f>
        <v>0</v>
      </c>
      <c r="K445" s="106">
        <f>+'FY16 Tax Bill'!K445-'FY16 Feb Forecast'!K445</f>
        <v>0</v>
      </c>
      <c r="L445" s="107">
        <f>+'FY16 Tax Bill'!L445-'FY16 Feb Forecast'!L445</f>
        <v>0</v>
      </c>
      <c r="M445" s="105">
        <f>+'FY16 Tax Bill'!M445-'FY16 Feb Forecast'!M445</f>
        <v>0</v>
      </c>
      <c r="N445" s="106">
        <f>+'FY16 Tax Bill'!N445-'FY16 Feb Forecast'!N445</f>
        <v>0</v>
      </c>
      <c r="O445" s="107">
        <f>+'FY16 Tax Bill'!O445-'FY16 Feb Forecast'!O445</f>
        <v>819</v>
      </c>
      <c r="P445" s="105">
        <f>+'FY16 Tax Bill'!P445-'FY16 Feb Forecast'!P445</f>
        <v>0</v>
      </c>
      <c r="Q445" s="106">
        <f>+'FY16 Tax Bill'!Q445-'FY16 Feb Forecast'!Q445</f>
        <v>819</v>
      </c>
      <c r="R445" s="105">
        <f>+'FY16 Tax Bill'!R445-'FY16 Feb Forecast'!R445</f>
        <v>2.7575757575757507</v>
      </c>
      <c r="S445" s="105">
        <f>+'FY16 Tax Bill'!S445-'FY16 Feb Forecast'!S445</f>
        <v>0</v>
      </c>
      <c r="T445" s="108">
        <f>+'FY16 Tax Bill'!T445-'FY16 Feb Forecast'!T445</f>
        <v>2.7575757575757507</v>
      </c>
    </row>
    <row r="446" spans="1:20" x14ac:dyDescent="0.2">
      <c r="A446" s="109">
        <v>4135</v>
      </c>
      <c r="B446" s="110">
        <v>7</v>
      </c>
      <c r="C446" s="103" t="s">
        <v>465</v>
      </c>
      <c r="D446" s="103">
        <v>7</v>
      </c>
      <c r="E446" s="104">
        <f>+SUMIF('GE16FEB14 Unfudged'!$A$2:$A$498, $A446, 'GE16FEB14 Unfudged'!$D$2:$D$498)</f>
        <v>262</v>
      </c>
      <c r="F446" s="104">
        <f>+'FY16 Tax Bill'!F446-'FY16 Feb Forecast'!F446</f>
        <v>724</v>
      </c>
      <c r="G446" s="105">
        <f>+'FY16 Tax Bill'!G446-'FY16 Feb Forecast'!G446</f>
        <v>0</v>
      </c>
      <c r="H446" s="106">
        <f>+'FY16 Tax Bill'!H446-'FY16 Feb Forecast'!H446</f>
        <v>724</v>
      </c>
      <c r="I446" s="107">
        <f>+'FY16 Tax Bill'!I446-'FY16 Feb Forecast'!I446</f>
        <v>0</v>
      </c>
      <c r="J446" s="105">
        <f>+'FY16 Tax Bill'!J446-'FY16 Feb Forecast'!J446</f>
        <v>0</v>
      </c>
      <c r="K446" s="106">
        <f>+'FY16 Tax Bill'!K446-'FY16 Feb Forecast'!K446</f>
        <v>0</v>
      </c>
      <c r="L446" s="107">
        <f>+'FY16 Tax Bill'!L446-'FY16 Feb Forecast'!L446</f>
        <v>0</v>
      </c>
      <c r="M446" s="105">
        <f>+'FY16 Tax Bill'!M446-'FY16 Feb Forecast'!M446</f>
        <v>0</v>
      </c>
      <c r="N446" s="106">
        <f>+'FY16 Tax Bill'!N446-'FY16 Feb Forecast'!N446</f>
        <v>0</v>
      </c>
      <c r="O446" s="107">
        <f>+'FY16 Tax Bill'!O446-'FY16 Feb Forecast'!O446</f>
        <v>724</v>
      </c>
      <c r="P446" s="105">
        <f>+'FY16 Tax Bill'!P446-'FY16 Feb Forecast'!P446</f>
        <v>0</v>
      </c>
      <c r="Q446" s="106">
        <f>+'FY16 Tax Bill'!Q446-'FY16 Feb Forecast'!Q446</f>
        <v>724</v>
      </c>
      <c r="R446" s="105">
        <f>+'FY16 Tax Bill'!R446-'FY16 Feb Forecast'!R446</f>
        <v>2.7633587786259568</v>
      </c>
      <c r="S446" s="105">
        <f>+'FY16 Tax Bill'!S446-'FY16 Feb Forecast'!S446</f>
        <v>0</v>
      </c>
      <c r="T446" s="108">
        <f>+'FY16 Tax Bill'!T446-'FY16 Feb Forecast'!T446</f>
        <v>2.7633587786259568</v>
      </c>
    </row>
    <row r="447" spans="1:20" x14ac:dyDescent="0.2">
      <c r="A447" s="109">
        <v>4137</v>
      </c>
      <c r="B447" s="110">
        <v>7</v>
      </c>
      <c r="C447" s="103" t="s">
        <v>501</v>
      </c>
      <c r="D447" s="103">
        <v>7</v>
      </c>
      <c r="E447" s="104">
        <f>+SUMIF('GE16FEB14 Unfudged'!$A$2:$A$498, $A447, 'GE16FEB14 Unfudged'!$D$2:$D$498)</f>
        <v>133</v>
      </c>
      <c r="F447" s="104">
        <f>+'FY16 Tax Bill'!F447-'FY16 Feb Forecast'!F447</f>
        <v>368</v>
      </c>
      <c r="G447" s="105">
        <f>+'FY16 Tax Bill'!G447-'FY16 Feb Forecast'!G447</f>
        <v>0</v>
      </c>
      <c r="H447" s="106">
        <f>+'FY16 Tax Bill'!H447-'FY16 Feb Forecast'!H447</f>
        <v>368</v>
      </c>
      <c r="I447" s="107">
        <f>+'FY16 Tax Bill'!I447-'FY16 Feb Forecast'!I447</f>
        <v>0</v>
      </c>
      <c r="J447" s="105">
        <f>+'FY16 Tax Bill'!J447-'FY16 Feb Forecast'!J447</f>
        <v>0</v>
      </c>
      <c r="K447" s="106">
        <f>+'FY16 Tax Bill'!K447-'FY16 Feb Forecast'!K447</f>
        <v>0</v>
      </c>
      <c r="L447" s="107">
        <f>+'FY16 Tax Bill'!L447-'FY16 Feb Forecast'!L447</f>
        <v>0</v>
      </c>
      <c r="M447" s="105">
        <f>+'FY16 Tax Bill'!M447-'FY16 Feb Forecast'!M447</f>
        <v>0</v>
      </c>
      <c r="N447" s="106">
        <f>+'FY16 Tax Bill'!N447-'FY16 Feb Forecast'!N447</f>
        <v>0</v>
      </c>
      <c r="O447" s="107">
        <f>+'FY16 Tax Bill'!O447-'FY16 Feb Forecast'!O447</f>
        <v>368</v>
      </c>
      <c r="P447" s="105">
        <f>+'FY16 Tax Bill'!P447-'FY16 Feb Forecast'!P447</f>
        <v>0</v>
      </c>
      <c r="Q447" s="106">
        <f>+'FY16 Tax Bill'!Q447-'FY16 Feb Forecast'!Q447</f>
        <v>368</v>
      </c>
      <c r="R447" s="105">
        <f>+'FY16 Tax Bill'!R447-'FY16 Feb Forecast'!R447</f>
        <v>2.7669172932330781</v>
      </c>
      <c r="S447" s="105">
        <f>+'FY16 Tax Bill'!S447-'FY16 Feb Forecast'!S447</f>
        <v>0</v>
      </c>
      <c r="T447" s="108">
        <f>+'FY16 Tax Bill'!T447-'FY16 Feb Forecast'!T447</f>
        <v>2.7669172932330781</v>
      </c>
    </row>
    <row r="448" spans="1:20" x14ac:dyDescent="0.2">
      <c r="A448" s="109">
        <v>4138</v>
      </c>
      <c r="B448" s="110">
        <v>7</v>
      </c>
      <c r="C448" s="103" t="s">
        <v>75</v>
      </c>
      <c r="D448" s="103">
        <v>7</v>
      </c>
      <c r="E448" s="104">
        <f>+SUMIF('GE16FEB14 Unfudged'!$A$2:$A$498, $A448, 'GE16FEB14 Unfudged'!$D$2:$D$498)</f>
        <v>47</v>
      </c>
      <c r="F448" s="104">
        <f>+'FY16 Tax Bill'!F448-'FY16 Feb Forecast'!F448</f>
        <v>129</v>
      </c>
      <c r="G448" s="105">
        <f>+'FY16 Tax Bill'!G448-'FY16 Feb Forecast'!G448</f>
        <v>0</v>
      </c>
      <c r="H448" s="106">
        <f>+'FY16 Tax Bill'!H448-'FY16 Feb Forecast'!H448</f>
        <v>129</v>
      </c>
      <c r="I448" s="107">
        <f>+'FY16 Tax Bill'!I448-'FY16 Feb Forecast'!I448</f>
        <v>0</v>
      </c>
      <c r="J448" s="105">
        <f>+'FY16 Tax Bill'!J448-'FY16 Feb Forecast'!J448</f>
        <v>0</v>
      </c>
      <c r="K448" s="106">
        <f>+'FY16 Tax Bill'!K448-'FY16 Feb Forecast'!K448</f>
        <v>0</v>
      </c>
      <c r="L448" s="107">
        <f>+'FY16 Tax Bill'!L448-'FY16 Feb Forecast'!L448</f>
        <v>0</v>
      </c>
      <c r="M448" s="105">
        <f>+'FY16 Tax Bill'!M448-'FY16 Feb Forecast'!M448</f>
        <v>0</v>
      </c>
      <c r="N448" s="106">
        <f>+'FY16 Tax Bill'!N448-'FY16 Feb Forecast'!N448</f>
        <v>0</v>
      </c>
      <c r="O448" s="107">
        <f>+'FY16 Tax Bill'!O448-'FY16 Feb Forecast'!O448</f>
        <v>129</v>
      </c>
      <c r="P448" s="105">
        <f>+'FY16 Tax Bill'!P448-'FY16 Feb Forecast'!P448</f>
        <v>0</v>
      </c>
      <c r="Q448" s="106">
        <f>+'FY16 Tax Bill'!Q448-'FY16 Feb Forecast'!Q448</f>
        <v>129</v>
      </c>
      <c r="R448" s="105">
        <f>+'FY16 Tax Bill'!R448-'FY16 Feb Forecast'!R448</f>
        <v>2.7446808510638192</v>
      </c>
      <c r="S448" s="105">
        <f>+'FY16 Tax Bill'!S448-'FY16 Feb Forecast'!S448</f>
        <v>0</v>
      </c>
      <c r="T448" s="108">
        <f>+'FY16 Tax Bill'!T448-'FY16 Feb Forecast'!T448</f>
        <v>2.7446808510638192</v>
      </c>
    </row>
    <row r="449" spans="1:20" x14ac:dyDescent="0.2">
      <c r="A449" s="109">
        <v>4139</v>
      </c>
      <c r="B449" s="110">
        <v>7</v>
      </c>
      <c r="C449" s="103" t="s">
        <v>76</v>
      </c>
      <c r="D449" s="103">
        <v>7</v>
      </c>
      <c r="E449" s="104">
        <f>+SUMIF('GE16FEB14 Unfudged'!$A$2:$A$498, $A449, 'GE16FEB14 Unfudged'!$D$2:$D$498)</f>
        <v>276</v>
      </c>
      <c r="F449" s="104">
        <f>+'FY16 Tax Bill'!F449-'FY16 Feb Forecast'!F449</f>
        <v>761</v>
      </c>
      <c r="G449" s="105">
        <f>+'FY16 Tax Bill'!G449-'FY16 Feb Forecast'!G449</f>
        <v>0</v>
      </c>
      <c r="H449" s="106">
        <f>+'FY16 Tax Bill'!H449-'FY16 Feb Forecast'!H449</f>
        <v>761</v>
      </c>
      <c r="I449" s="107">
        <f>+'FY16 Tax Bill'!I449-'FY16 Feb Forecast'!I449</f>
        <v>0</v>
      </c>
      <c r="J449" s="105">
        <f>+'FY16 Tax Bill'!J449-'FY16 Feb Forecast'!J449</f>
        <v>0</v>
      </c>
      <c r="K449" s="106">
        <f>+'FY16 Tax Bill'!K449-'FY16 Feb Forecast'!K449</f>
        <v>0</v>
      </c>
      <c r="L449" s="107">
        <f>+'FY16 Tax Bill'!L449-'FY16 Feb Forecast'!L449</f>
        <v>0</v>
      </c>
      <c r="M449" s="105">
        <f>+'FY16 Tax Bill'!M449-'FY16 Feb Forecast'!M449</f>
        <v>0</v>
      </c>
      <c r="N449" s="106">
        <f>+'FY16 Tax Bill'!N449-'FY16 Feb Forecast'!N449</f>
        <v>0</v>
      </c>
      <c r="O449" s="107">
        <f>+'FY16 Tax Bill'!O449-'FY16 Feb Forecast'!O449</f>
        <v>761</v>
      </c>
      <c r="P449" s="105">
        <f>+'FY16 Tax Bill'!P449-'FY16 Feb Forecast'!P449</f>
        <v>0</v>
      </c>
      <c r="Q449" s="106">
        <f>+'FY16 Tax Bill'!Q449-'FY16 Feb Forecast'!Q449</f>
        <v>761</v>
      </c>
      <c r="R449" s="105">
        <f>+'FY16 Tax Bill'!R449-'FY16 Feb Forecast'!R449</f>
        <v>2.7572463768115938</v>
      </c>
      <c r="S449" s="105">
        <f>+'FY16 Tax Bill'!S449-'FY16 Feb Forecast'!S449</f>
        <v>0</v>
      </c>
      <c r="T449" s="108">
        <f>+'FY16 Tax Bill'!T449-'FY16 Feb Forecast'!T449</f>
        <v>2.7572463768115938</v>
      </c>
    </row>
    <row r="450" spans="1:20" x14ac:dyDescent="0.2">
      <c r="A450" s="109">
        <v>4140</v>
      </c>
      <c r="B450" s="110">
        <v>7</v>
      </c>
      <c r="C450" s="103" t="s">
        <v>77</v>
      </c>
      <c r="D450" s="103">
        <v>7</v>
      </c>
      <c r="E450" s="104">
        <f>+SUMIF('GE16FEB14 Unfudged'!$A$2:$A$498, $A450, 'GE16FEB14 Unfudged'!$D$2:$D$498)</f>
        <v>610</v>
      </c>
      <c r="F450" s="104">
        <f>+'FY16 Tax Bill'!F450-'FY16 Feb Forecast'!F450</f>
        <v>1684</v>
      </c>
      <c r="G450" s="105">
        <f>+'FY16 Tax Bill'!G450-'FY16 Feb Forecast'!G450</f>
        <v>0</v>
      </c>
      <c r="H450" s="106">
        <f>+'FY16 Tax Bill'!H450-'FY16 Feb Forecast'!H450</f>
        <v>1684</v>
      </c>
      <c r="I450" s="107">
        <f>+'FY16 Tax Bill'!I450-'FY16 Feb Forecast'!I450</f>
        <v>0</v>
      </c>
      <c r="J450" s="105">
        <f>+'FY16 Tax Bill'!J450-'FY16 Feb Forecast'!J450</f>
        <v>0</v>
      </c>
      <c r="K450" s="106">
        <f>+'FY16 Tax Bill'!K450-'FY16 Feb Forecast'!K450</f>
        <v>0</v>
      </c>
      <c r="L450" s="107">
        <f>+'FY16 Tax Bill'!L450-'FY16 Feb Forecast'!L450</f>
        <v>0</v>
      </c>
      <c r="M450" s="105">
        <f>+'FY16 Tax Bill'!M450-'FY16 Feb Forecast'!M450</f>
        <v>0</v>
      </c>
      <c r="N450" s="106">
        <f>+'FY16 Tax Bill'!N450-'FY16 Feb Forecast'!N450</f>
        <v>0</v>
      </c>
      <c r="O450" s="107">
        <f>+'FY16 Tax Bill'!O450-'FY16 Feb Forecast'!O450</f>
        <v>1684</v>
      </c>
      <c r="P450" s="105">
        <f>+'FY16 Tax Bill'!P450-'FY16 Feb Forecast'!P450</f>
        <v>0</v>
      </c>
      <c r="Q450" s="106">
        <f>+'FY16 Tax Bill'!Q450-'FY16 Feb Forecast'!Q450</f>
        <v>1684</v>
      </c>
      <c r="R450" s="105">
        <f>+'FY16 Tax Bill'!R450-'FY16 Feb Forecast'!R450</f>
        <v>2.7606557377049228</v>
      </c>
      <c r="S450" s="105">
        <f>+'FY16 Tax Bill'!S450-'FY16 Feb Forecast'!S450</f>
        <v>0</v>
      </c>
      <c r="T450" s="108">
        <f>+'FY16 Tax Bill'!T450-'FY16 Feb Forecast'!T450</f>
        <v>2.7606557377049228</v>
      </c>
    </row>
    <row r="451" spans="1:20" x14ac:dyDescent="0.2">
      <c r="A451" s="109">
        <v>4141</v>
      </c>
      <c r="B451" s="110">
        <v>7</v>
      </c>
      <c r="C451" s="103" t="s">
        <v>78</v>
      </c>
      <c r="D451" s="103">
        <v>7</v>
      </c>
      <c r="E451" s="104">
        <f>+SUMIF('GE16FEB14 Unfudged'!$A$2:$A$498, $A451, 'GE16FEB14 Unfudged'!$D$2:$D$498)</f>
        <v>414</v>
      </c>
      <c r="F451" s="104">
        <f>+'FY16 Tax Bill'!F451-'FY16 Feb Forecast'!F451</f>
        <v>1142</v>
      </c>
      <c r="G451" s="105">
        <f>+'FY16 Tax Bill'!G451-'FY16 Feb Forecast'!G451</f>
        <v>0</v>
      </c>
      <c r="H451" s="106">
        <f>+'FY16 Tax Bill'!H451-'FY16 Feb Forecast'!H451</f>
        <v>1142</v>
      </c>
      <c r="I451" s="107">
        <f>+'FY16 Tax Bill'!I451-'FY16 Feb Forecast'!I451</f>
        <v>0</v>
      </c>
      <c r="J451" s="105">
        <f>+'FY16 Tax Bill'!J451-'FY16 Feb Forecast'!J451</f>
        <v>0</v>
      </c>
      <c r="K451" s="106">
        <f>+'FY16 Tax Bill'!K451-'FY16 Feb Forecast'!K451</f>
        <v>0</v>
      </c>
      <c r="L451" s="107">
        <f>+'FY16 Tax Bill'!L451-'FY16 Feb Forecast'!L451</f>
        <v>0</v>
      </c>
      <c r="M451" s="105">
        <f>+'FY16 Tax Bill'!M451-'FY16 Feb Forecast'!M451</f>
        <v>0</v>
      </c>
      <c r="N451" s="106">
        <f>+'FY16 Tax Bill'!N451-'FY16 Feb Forecast'!N451</f>
        <v>0</v>
      </c>
      <c r="O451" s="107">
        <f>+'FY16 Tax Bill'!O451-'FY16 Feb Forecast'!O451</f>
        <v>1142</v>
      </c>
      <c r="P451" s="105">
        <f>+'FY16 Tax Bill'!P451-'FY16 Feb Forecast'!P451</f>
        <v>0</v>
      </c>
      <c r="Q451" s="106">
        <f>+'FY16 Tax Bill'!Q451-'FY16 Feb Forecast'!Q451</f>
        <v>1142</v>
      </c>
      <c r="R451" s="105">
        <f>+'FY16 Tax Bill'!R451-'FY16 Feb Forecast'!R451</f>
        <v>2.7584541062801975</v>
      </c>
      <c r="S451" s="105">
        <f>+'FY16 Tax Bill'!S451-'FY16 Feb Forecast'!S451</f>
        <v>0</v>
      </c>
      <c r="T451" s="108">
        <f>+'FY16 Tax Bill'!T451-'FY16 Feb Forecast'!T451</f>
        <v>2.7584541062801975</v>
      </c>
    </row>
    <row r="452" spans="1:20" x14ac:dyDescent="0.2">
      <c r="A452" s="109">
        <v>4142</v>
      </c>
      <c r="B452" s="110">
        <v>7</v>
      </c>
      <c r="C452" s="103" t="s">
        <v>79</v>
      </c>
      <c r="D452" s="103">
        <v>7</v>
      </c>
      <c r="E452" s="104">
        <f>+SUMIF('GE16FEB14 Unfudged'!$A$2:$A$498, $A452, 'GE16FEB14 Unfudged'!$D$2:$D$498)</f>
        <v>673</v>
      </c>
      <c r="F452" s="104">
        <f>+'FY16 Tax Bill'!F452-'FY16 Feb Forecast'!F452</f>
        <v>1858</v>
      </c>
      <c r="G452" s="105">
        <f>+'FY16 Tax Bill'!G452-'FY16 Feb Forecast'!G452</f>
        <v>0</v>
      </c>
      <c r="H452" s="106">
        <f>+'FY16 Tax Bill'!H452-'FY16 Feb Forecast'!H452</f>
        <v>1858</v>
      </c>
      <c r="I452" s="107">
        <f>+'FY16 Tax Bill'!I452-'FY16 Feb Forecast'!I452</f>
        <v>0</v>
      </c>
      <c r="J452" s="105">
        <f>+'FY16 Tax Bill'!J452-'FY16 Feb Forecast'!J452</f>
        <v>0</v>
      </c>
      <c r="K452" s="106">
        <f>+'FY16 Tax Bill'!K452-'FY16 Feb Forecast'!K452</f>
        <v>0</v>
      </c>
      <c r="L452" s="107">
        <f>+'FY16 Tax Bill'!L452-'FY16 Feb Forecast'!L452</f>
        <v>0</v>
      </c>
      <c r="M452" s="105">
        <f>+'FY16 Tax Bill'!M452-'FY16 Feb Forecast'!M452</f>
        <v>0</v>
      </c>
      <c r="N452" s="106">
        <f>+'FY16 Tax Bill'!N452-'FY16 Feb Forecast'!N452</f>
        <v>0</v>
      </c>
      <c r="O452" s="107">
        <f>+'FY16 Tax Bill'!O452-'FY16 Feb Forecast'!O452</f>
        <v>1858</v>
      </c>
      <c r="P452" s="105">
        <f>+'FY16 Tax Bill'!P452-'FY16 Feb Forecast'!P452</f>
        <v>0</v>
      </c>
      <c r="Q452" s="106">
        <f>+'FY16 Tax Bill'!Q452-'FY16 Feb Forecast'!Q452</f>
        <v>1858</v>
      </c>
      <c r="R452" s="105">
        <f>+'FY16 Tax Bill'!R452-'FY16 Feb Forecast'!R452</f>
        <v>2.7607726597325382</v>
      </c>
      <c r="S452" s="105">
        <f>+'FY16 Tax Bill'!S452-'FY16 Feb Forecast'!S452</f>
        <v>0</v>
      </c>
      <c r="T452" s="108">
        <f>+'FY16 Tax Bill'!T452-'FY16 Feb Forecast'!T452</f>
        <v>2.7607726597325382</v>
      </c>
    </row>
    <row r="453" spans="1:20" x14ac:dyDescent="0.2">
      <c r="A453" s="109">
        <v>4143</v>
      </c>
      <c r="B453" s="110">
        <v>7</v>
      </c>
      <c r="C453" s="103" t="s">
        <v>502</v>
      </c>
      <c r="D453" s="103">
        <v>7</v>
      </c>
      <c r="E453" s="104">
        <f>+SUMIF('GE16FEB14 Unfudged'!$A$2:$A$498, $A453, 'GE16FEB14 Unfudged'!$D$2:$D$498)</f>
        <v>442</v>
      </c>
      <c r="F453" s="104">
        <f>+'FY16 Tax Bill'!F453-'FY16 Feb Forecast'!F453</f>
        <v>1219</v>
      </c>
      <c r="G453" s="105">
        <f>+'FY16 Tax Bill'!G453-'FY16 Feb Forecast'!G453</f>
        <v>0</v>
      </c>
      <c r="H453" s="106">
        <f>+'FY16 Tax Bill'!H453-'FY16 Feb Forecast'!H453</f>
        <v>1219</v>
      </c>
      <c r="I453" s="107">
        <f>+'FY16 Tax Bill'!I453-'FY16 Feb Forecast'!I453</f>
        <v>0</v>
      </c>
      <c r="J453" s="105">
        <f>+'FY16 Tax Bill'!J453-'FY16 Feb Forecast'!J453</f>
        <v>0</v>
      </c>
      <c r="K453" s="106">
        <f>+'FY16 Tax Bill'!K453-'FY16 Feb Forecast'!K453</f>
        <v>0</v>
      </c>
      <c r="L453" s="107">
        <f>+'FY16 Tax Bill'!L453-'FY16 Feb Forecast'!L453</f>
        <v>0</v>
      </c>
      <c r="M453" s="105">
        <f>+'FY16 Tax Bill'!M453-'FY16 Feb Forecast'!M453</f>
        <v>0</v>
      </c>
      <c r="N453" s="106">
        <f>+'FY16 Tax Bill'!N453-'FY16 Feb Forecast'!N453</f>
        <v>0</v>
      </c>
      <c r="O453" s="107">
        <f>+'FY16 Tax Bill'!O453-'FY16 Feb Forecast'!O453</f>
        <v>1219</v>
      </c>
      <c r="P453" s="105">
        <f>+'FY16 Tax Bill'!P453-'FY16 Feb Forecast'!P453</f>
        <v>0</v>
      </c>
      <c r="Q453" s="106">
        <f>+'FY16 Tax Bill'!Q453-'FY16 Feb Forecast'!Q453</f>
        <v>1219</v>
      </c>
      <c r="R453" s="105">
        <f>+'FY16 Tax Bill'!R453-'FY16 Feb Forecast'!R453</f>
        <v>2.7579185520362017</v>
      </c>
      <c r="S453" s="105">
        <f>+'FY16 Tax Bill'!S453-'FY16 Feb Forecast'!S453</f>
        <v>0</v>
      </c>
      <c r="T453" s="108">
        <f>+'FY16 Tax Bill'!T453-'FY16 Feb Forecast'!T453</f>
        <v>2.7579185520362017</v>
      </c>
    </row>
    <row r="454" spans="1:20" x14ac:dyDescent="0.2">
      <c r="A454" s="109">
        <v>4144</v>
      </c>
      <c r="B454" s="110">
        <v>7</v>
      </c>
      <c r="C454" s="103" t="s">
        <v>80</v>
      </c>
      <c r="D454" s="103">
        <v>7</v>
      </c>
      <c r="E454" s="104">
        <f>+SUMIF('GE16FEB14 Unfudged'!$A$2:$A$498, $A454, 'GE16FEB14 Unfudged'!$D$2:$D$498)</f>
        <v>82</v>
      </c>
      <c r="F454" s="104">
        <f>+'FY16 Tax Bill'!F454-'FY16 Feb Forecast'!F454</f>
        <v>225</v>
      </c>
      <c r="G454" s="105">
        <f>+'FY16 Tax Bill'!G454-'FY16 Feb Forecast'!G454</f>
        <v>0</v>
      </c>
      <c r="H454" s="106">
        <f>+'FY16 Tax Bill'!H454-'FY16 Feb Forecast'!H454</f>
        <v>225</v>
      </c>
      <c r="I454" s="107">
        <f>+'FY16 Tax Bill'!I454-'FY16 Feb Forecast'!I454</f>
        <v>0</v>
      </c>
      <c r="J454" s="105">
        <f>+'FY16 Tax Bill'!J454-'FY16 Feb Forecast'!J454</f>
        <v>0</v>
      </c>
      <c r="K454" s="106">
        <f>+'FY16 Tax Bill'!K454-'FY16 Feb Forecast'!K454</f>
        <v>0</v>
      </c>
      <c r="L454" s="107">
        <f>+'FY16 Tax Bill'!L454-'FY16 Feb Forecast'!L454</f>
        <v>0</v>
      </c>
      <c r="M454" s="105">
        <f>+'FY16 Tax Bill'!M454-'FY16 Feb Forecast'!M454</f>
        <v>0</v>
      </c>
      <c r="N454" s="106">
        <f>+'FY16 Tax Bill'!N454-'FY16 Feb Forecast'!N454</f>
        <v>0</v>
      </c>
      <c r="O454" s="107">
        <f>+'FY16 Tax Bill'!O454-'FY16 Feb Forecast'!O454</f>
        <v>225</v>
      </c>
      <c r="P454" s="105">
        <f>+'FY16 Tax Bill'!P454-'FY16 Feb Forecast'!P454</f>
        <v>0</v>
      </c>
      <c r="Q454" s="106">
        <f>+'FY16 Tax Bill'!Q454-'FY16 Feb Forecast'!Q454</f>
        <v>225</v>
      </c>
      <c r="R454" s="105">
        <f>+'FY16 Tax Bill'!R454-'FY16 Feb Forecast'!R454</f>
        <v>2.7439024390243816</v>
      </c>
      <c r="S454" s="105">
        <f>+'FY16 Tax Bill'!S454-'FY16 Feb Forecast'!S454</f>
        <v>0</v>
      </c>
      <c r="T454" s="108">
        <f>+'FY16 Tax Bill'!T454-'FY16 Feb Forecast'!T454</f>
        <v>2.7439024390243816</v>
      </c>
    </row>
    <row r="455" spans="1:20" x14ac:dyDescent="0.2">
      <c r="A455" s="109">
        <v>4145</v>
      </c>
      <c r="B455" s="110">
        <v>7</v>
      </c>
      <c r="C455" s="103" t="s">
        <v>81</v>
      </c>
      <c r="D455" s="103">
        <v>7</v>
      </c>
      <c r="E455" s="104">
        <f>+SUMIF('GE16FEB14 Unfudged'!$A$2:$A$498, $A455, 'GE16FEB14 Unfudged'!$D$2:$D$498)</f>
        <v>30</v>
      </c>
      <c r="F455" s="104">
        <f>+'FY16 Tax Bill'!F455-'FY16 Feb Forecast'!F455</f>
        <v>82</v>
      </c>
      <c r="G455" s="105">
        <f>+'FY16 Tax Bill'!G455-'FY16 Feb Forecast'!G455</f>
        <v>0</v>
      </c>
      <c r="H455" s="106">
        <f>+'FY16 Tax Bill'!H455-'FY16 Feb Forecast'!H455</f>
        <v>82</v>
      </c>
      <c r="I455" s="107">
        <f>+'FY16 Tax Bill'!I455-'FY16 Feb Forecast'!I455</f>
        <v>0</v>
      </c>
      <c r="J455" s="105">
        <f>+'FY16 Tax Bill'!J455-'FY16 Feb Forecast'!J455</f>
        <v>0</v>
      </c>
      <c r="K455" s="106">
        <f>+'FY16 Tax Bill'!K455-'FY16 Feb Forecast'!K455</f>
        <v>0</v>
      </c>
      <c r="L455" s="107">
        <f>+'FY16 Tax Bill'!L455-'FY16 Feb Forecast'!L455</f>
        <v>0</v>
      </c>
      <c r="M455" s="105">
        <f>+'FY16 Tax Bill'!M455-'FY16 Feb Forecast'!M455</f>
        <v>0</v>
      </c>
      <c r="N455" s="106">
        <f>+'FY16 Tax Bill'!N455-'FY16 Feb Forecast'!N455</f>
        <v>0</v>
      </c>
      <c r="O455" s="107">
        <f>+'FY16 Tax Bill'!O455-'FY16 Feb Forecast'!O455</f>
        <v>82</v>
      </c>
      <c r="P455" s="105">
        <f>+'FY16 Tax Bill'!P455-'FY16 Feb Forecast'!P455</f>
        <v>0</v>
      </c>
      <c r="Q455" s="106">
        <f>+'FY16 Tax Bill'!Q455-'FY16 Feb Forecast'!Q455</f>
        <v>82</v>
      </c>
      <c r="R455" s="105">
        <f>+'FY16 Tax Bill'!R455-'FY16 Feb Forecast'!R455</f>
        <v>2.7333333333333201</v>
      </c>
      <c r="S455" s="105">
        <f>+'FY16 Tax Bill'!S455-'FY16 Feb Forecast'!S455</f>
        <v>0</v>
      </c>
      <c r="T455" s="108">
        <f>+'FY16 Tax Bill'!T455-'FY16 Feb Forecast'!T455</f>
        <v>2.7333333333333201</v>
      </c>
    </row>
    <row r="456" spans="1:20" x14ac:dyDescent="0.2">
      <c r="A456" s="109">
        <v>4146</v>
      </c>
      <c r="B456" s="110">
        <v>7</v>
      </c>
      <c r="C456" s="103" t="s">
        <v>503</v>
      </c>
      <c r="D456" s="103">
        <v>7</v>
      </c>
      <c r="E456" s="104">
        <f>+SUMIF('GE16FEB14 Unfudged'!$A$2:$A$498, $A456, 'GE16FEB14 Unfudged'!$D$2:$D$498)</f>
        <v>60</v>
      </c>
      <c r="F456" s="104">
        <f>+'FY16 Tax Bill'!F456-'FY16 Feb Forecast'!F456</f>
        <v>165</v>
      </c>
      <c r="G456" s="105">
        <f>+'FY16 Tax Bill'!G456-'FY16 Feb Forecast'!G456</f>
        <v>0</v>
      </c>
      <c r="H456" s="106">
        <f>+'FY16 Tax Bill'!H456-'FY16 Feb Forecast'!H456</f>
        <v>165</v>
      </c>
      <c r="I456" s="107">
        <f>+'FY16 Tax Bill'!I456-'FY16 Feb Forecast'!I456</f>
        <v>0</v>
      </c>
      <c r="J456" s="105">
        <f>+'FY16 Tax Bill'!J456-'FY16 Feb Forecast'!J456</f>
        <v>0</v>
      </c>
      <c r="K456" s="106">
        <f>+'FY16 Tax Bill'!K456-'FY16 Feb Forecast'!K456</f>
        <v>0</v>
      </c>
      <c r="L456" s="107">
        <f>+'FY16 Tax Bill'!L456-'FY16 Feb Forecast'!L456</f>
        <v>0</v>
      </c>
      <c r="M456" s="105">
        <f>+'FY16 Tax Bill'!M456-'FY16 Feb Forecast'!M456</f>
        <v>0</v>
      </c>
      <c r="N456" s="106">
        <f>+'FY16 Tax Bill'!N456-'FY16 Feb Forecast'!N456</f>
        <v>0</v>
      </c>
      <c r="O456" s="107">
        <f>+'FY16 Tax Bill'!O456-'FY16 Feb Forecast'!O456</f>
        <v>165</v>
      </c>
      <c r="P456" s="105">
        <f>+'FY16 Tax Bill'!P456-'FY16 Feb Forecast'!P456</f>
        <v>0</v>
      </c>
      <c r="Q456" s="106">
        <f>+'FY16 Tax Bill'!Q456-'FY16 Feb Forecast'!Q456</f>
        <v>165</v>
      </c>
      <c r="R456" s="105">
        <f>+'FY16 Tax Bill'!R456-'FY16 Feb Forecast'!R456</f>
        <v>2.75</v>
      </c>
      <c r="S456" s="105">
        <f>+'FY16 Tax Bill'!S456-'FY16 Feb Forecast'!S456</f>
        <v>0</v>
      </c>
      <c r="T456" s="108">
        <f>+'FY16 Tax Bill'!T456-'FY16 Feb Forecast'!T456</f>
        <v>2.75</v>
      </c>
    </row>
    <row r="457" spans="1:20" x14ac:dyDescent="0.2">
      <c r="A457" s="109">
        <v>4150</v>
      </c>
      <c r="B457" s="110">
        <v>7</v>
      </c>
      <c r="C457" s="103" t="s">
        <v>82</v>
      </c>
      <c r="D457" s="103">
        <v>7</v>
      </c>
      <c r="E457" s="104">
        <f>+SUMIF('GE16FEB14 Unfudged'!$A$2:$A$498, $A457, 'GE16FEB14 Unfudged'!$D$2:$D$498)</f>
        <v>142</v>
      </c>
      <c r="F457" s="104">
        <f>+'FY16 Tax Bill'!F457-'FY16 Feb Forecast'!F457</f>
        <v>390</v>
      </c>
      <c r="G457" s="105">
        <f>+'FY16 Tax Bill'!G457-'FY16 Feb Forecast'!G457</f>
        <v>0</v>
      </c>
      <c r="H457" s="106">
        <f>+'FY16 Tax Bill'!H457-'FY16 Feb Forecast'!H457</f>
        <v>390</v>
      </c>
      <c r="I457" s="107">
        <f>+'FY16 Tax Bill'!I457-'FY16 Feb Forecast'!I457</f>
        <v>0</v>
      </c>
      <c r="J457" s="105">
        <f>+'FY16 Tax Bill'!J457-'FY16 Feb Forecast'!J457</f>
        <v>0</v>
      </c>
      <c r="K457" s="106">
        <f>+'FY16 Tax Bill'!K457-'FY16 Feb Forecast'!K457</f>
        <v>0</v>
      </c>
      <c r="L457" s="107">
        <f>+'FY16 Tax Bill'!L457-'FY16 Feb Forecast'!L457</f>
        <v>0</v>
      </c>
      <c r="M457" s="105">
        <f>+'FY16 Tax Bill'!M457-'FY16 Feb Forecast'!M457</f>
        <v>0</v>
      </c>
      <c r="N457" s="106">
        <f>+'FY16 Tax Bill'!N457-'FY16 Feb Forecast'!N457</f>
        <v>0</v>
      </c>
      <c r="O457" s="107">
        <f>+'FY16 Tax Bill'!O457-'FY16 Feb Forecast'!O457</f>
        <v>390</v>
      </c>
      <c r="P457" s="105">
        <f>+'FY16 Tax Bill'!P457-'FY16 Feb Forecast'!P457</f>
        <v>0</v>
      </c>
      <c r="Q457" s="106">
        <f>+'FY16 Tax Bill'!Q457-'FY16 Feb Forecast'!Q457</f>
        <v>390</v>
      </c>
      <c r="R457" s="105">
        <f>+'FY16 Tax Bill'!R457-'FY16 Feb Forecast'!R457</f>
        <v>2.7464788732394396</v>
      </c>
      <c r="S457" s="105">
        <f>+'FY16 Tax Bill'!S457-'FY16 Feb Forecast'!S457</f>
        <v>0</v>
      </c>
      <c r="T457" s="108">
        <f>+'FY16 Tax Bill'!T457-'FY16 Feb Forecast'!T457</f>
        <v>2.7464788732394396</v>
      </c>
    </row>
    <row r="458" spans="1:20" x14ac:dyDescent="0.2">
      <c r="A458" s="109">
        <v>4151</v>
      </c>
      <c r="B458" s="110">
        <v>7</v>
      </c>
      <c r="C458" s="103" t="s">
        <v>83</v>
      </c>
      <c r="D458" s="103">
        <v>7</v>
      </c>
      <c r="E458" s="104">
        <f>+SUMIF('GE16FEB14 Unfudged'!$A$2:$A$498, $A458, 'GE16FEB14 Unfudged'!$D$2:$D$498)</f>
        <v>121</v>
      </c>
      <c r="F458" s="104">
        <f>+'FY16 Tax Bill'!F458-'FY16 Feb Forecast'!F458</f>
        <v>335</v>
      </c>
      <c r="G458" s="105">
        <f>+'FY16 Tax Bill'!G458-'FY16 Feb Forecast'!G458</f>
        <v>0</v>
      </c>
      <c r="H458" s="106">
        <f>+'FY16 Tax Bill'!H458-'FY16 Feb Forecast'!H458</f>
        <v>335</v>
      </c>
      <c r="I458" s="107">
        <f>+'FY16 Tax Bill'!I458-'FY16 Feb Forecast'!I458</f>
        <v>0</v>
      </c>
      <c r="J458" s="105">
        <f>+'FY16 Tax Bill'!J458-'FY16 Feb Forecast'!J458</f>
        <v>0</v>
      </c>
      <c r="K458" s="106">
        <f>+'FY16 Tax Bill'!K458-'FY16 Feb Forecast'!K458</f>
        <v>0</v>
      </c>
      <c r="L458" s="107">
        <f>+'FY16 Tax Bill'!L458-'FY16 Feb Forecast'!L458</f>
        <v>0</v>
      </c>
      <c r="M458" s="105">
        <f>+'FY16 Tax Bill'!M458-'FY16 Feb Forecast'!M458</f>
        <v>0</v>
      </c>
      <c r="N458" s="106">
        <f>+'FY16 Tax Bill'!N458-'FY16 Feb Forecast'!N458</f>
        <v>0</v>
      </c>
      <c r="O458" s="107">
        <f>+'FY16 Tax Bill'!O458-'FY16 Feb Forecast'!O458</f>
        <v>335</v>
      </c>
      <c r="P458" s="105">
        <f>+'FY16 Tax Bill'!P458-'FY16 Feb Forecast'!P458</f>
        <v>0</v>
      </c>
      <c r="Q458" s="106">
        <f>+'FY16 Tax Bill'!Q458-'FY16 Feb Forecast'!Q458</f>
        <v>335</v>
      </c>
      <c r="R458" s="105">
        <f>+'FY16 Tax Bill'!R458-'FY16 Feb Forecast'!R458</f>
        <v>2.7685950413223139</v>
      </c>
      <c r="S458" s="105">
        <f>+'FY16 Tax Bill'!S458-'FY16 Feb Forecast'!S458</f>
        <v>0</v>
      </c>
      <c r="T458" s="108">
        <f>+'FY16 Tax Bill'!T458-'FY16 Feb Forecast'!T458</f>
        <v>2.7685950413223139</v>
      </c>
    </row>
    <row r="459" spans="1:20" x14ac:dyDescent="0.2">
      <c r="A459" s="109">
        <v>4152</v>
      </c>
      <c r="B459" s="110">
        <v>7</v>
      </c>
      <c r="C459" s="103" t="s">
        <v>504</v>
      </c>
      <c r="D459" s="103">
        <v>7</v>
      </c>
      <c r="E459" s="104">
        <f>+SUMIF('GE16FEB14 Unfudged'!$A$2:$A$498, $A459, 'GE16FEB14 Unfudged'!$D$2:$D$498)</f>
        <v>420</v>
      </c>
      <c r="F459" s="104">
        <f>+'FY16 Tax Bill'!F459-'FY16 Feb Forecast'!F459</f>
        <v>1160</v>
      </c>
      <c r="G459" s="105">
        <f>+'FY16 Tax Bill'!G459-'FY16 Feb Forecast'!G459</f>
        <v>0</v>
      </c>
      <c r="H459" s="106">
        <f>+'FY16 Tax Bill'!H459-'FY16 Feb Forecast'!H459</f>
        <v>1160</v>
      </c>
      <c r="I459" s="107">
        <f>+'FY16 Tax Bill'!I459-'FY16 Feb Forecast'!I459</f>
        <v>0</v>
      </c>
      <c r="J459" s="105">
        <f>+'FY16 Tax Bill'!J459-'FY16 Feb Forecast'!J459</f>
        <v>0</v>
      </c>
      <c r="K459" s="106">
        <f>+'FY16 Tax Bill'!K459-'FY16 Feb Forecast'!K459</f>
        <v>0</v>
      </c>
      <c r="L459" s="107">
        <f>+'FY16 Tax Bill'!L459-'FY16 Feb Forecast'!L459</f>
        <v>0</v>
      </c>
      <c r="M459" s="105">
        <f>+'FY16 Tax Bill'!M459-'FY16 Feb Forecast'!M459</f>
        <v>0</v>
      </c>
      <c r="N459" s="106">
        <f>+'FY16 Tax Bill'!N459-'FY16 Feb Forecast'!N459</f>
        <v>0</v>
      </c>
      <c r="O459" s="107">
        <f>+'FY16 Tax Bill'!O459-'FY16 Feb Forecast'!O459</f>
        <v>1160</v>
      </c>
      <c r="P459" s="105">
        <f>+'FY16 Tax Bill'!P459-'FY16 Feb Forecast'!P459</f>
        <v>0</v>
      </c>
      <c r="Q459" s="106">
        <f>+'FY16 Tax Bill'!Q459-'FY16 Feb Forecast'!Q459</f>
        <v>1160</v>
      </c>
      <c r="R459" s="105">
        <f>+'FY16 Tax Bill'!R459-'FY16 Feb Forecast'!R459</f>
        <v>2.7619047619047592</v>
      </c>
      <c r="S459" s="105">
        <f>+'FY16 Tax Bill'!S459-'FY16 Feb Forecast'!S459</f>
        <v>0</v>
      </c>
      <c r="T459" s="108">
        <f>+'FY16 Tax Bill'!T459-'FY16 Feb Forecast'!T459</f>
        <v>2.7619047619047592</v>
      </c>
    </row>
    <row r="460" spans="1:20" x14ac:dyDescent="0.2">
      <c r="A460" s="109">
        <v>4153</v>
      </c>
      <c r="B460" s="110">
        <v>7</v>
      </c>
      <c r="C460" s="103" t="s">
        <v>84</v>
      </c>
      <c r="D460" s="103">
        <v>7</v>
      </c>
      <c r="E460" s="104">
        <f>+SUMIF('GE16FEB14 Unfudged'!$A$2:$A$498, $A460, 'GE16FEB14 Unfudged'!$D$2:$D$498)</f>
        <v>416</v>
      </c>
      <c r="F460" s="104">
        <f>+'FY16 Tax Bill'!F460-'FY16 Feb Forecast'!F460</f>
        <v>1147</v>
      </c>
      <c r="G460" s="105">
        <f>+'FY16 Tax Bill'!G460-'FY16 Feb Forecast'!G460</f>
        <v>0</v>
      </c>
      <c r="H460" s="106">
        <f>+'FY16 Tax Bill'!H460-'FY16 Feb Forecast'!H460</f>
        <v>1147</v>
      </c>
      <c r="I460" s="107">
        <f>+'FY16 Tax Bill'!I460-'FY16 Feb Forecast'!I460</f>
        <v>0</v>
      </c>
      <c r="J460" s="105">
        <f>+'FY16 Tax Bill'!J460-'FY16 Feb Forecast'!J460</f>
        <v>0</v>
      </c>
      <c r="K460" s="106">
        <f>+'FY16 Tax Bill'!K460-'FY16 Feb Forecast'!K460</f>
        <v>0</v>
      </c>
      <c r="L460" s="107">
        <f>+'FY16 Tax Bill'!L460-'FY16 Feb Forecast'!L460</f>
        <v>0</v>
      </c>
      <c r="M460" s="105">
        <f>+'FY16 Tax Bill'!M460-'FY16 Feb Forecast'!M460</f>
        <v>0</v>
      </c>
      <c r="N460" s="106">
        <f>+'FY16 Tax Bill'!N460-'FY16 Feb Forecast'!N460</f>
        <v>0</v>
      </c>
      <c r="O460" s="107">
        <f>+'FY16 Tax Bill'!O460-'FY16 Feb Forecast'!O460</f>
        <v>1147</v>
      </c>
      <c r="P460" s="105">
        <f>+'FY16 Tax Bill'!P460-'FY16 Feb Forecast'!P460</f>
        <v>0</v>
      </c>
      <c r="Q460" s="106">
        <f>+'FY16 Tax Bill'!Q460-'FY16 Feb Forecast'!Q460</f>
        <v>1147</v>
      </c>
      <c r="R460" s="105">
        <f>+'FY16 Tax Bill'!R460-'FY16 Feb Forecast'!R460</f>
        <v>2.757211538461533</v>
      </c>
      <c r="S460" s="105">
        <f>+'FY16 Tax Bill'!S460-'FY16 Feb Forecast'!S460</f>
        <v>0</v>
      </c>
      <c r="T460" s="108">
        <f>+'FY16 Tax Bill'!T460-'FY16 Feb Forecast'!T460</f>
        <v>2.757211538461533</v>
      </c>
    </row>
    <row r="461" spans="1:20" x14ac:dyDescent="0.2">
      <c r="A461" s="109">
        <v>4155</v>
      </c>
      <c r="B461" s="110">
        <v>7</v>
      </c>
      <c r="C461" s="103" t="s">
        <v>505</v>
      </c>
      <c r="D461" s="103">
        <v>7</v>
      </c>
      <c r="E461" s="104">
        <f>+SUMIF('GE16FEB14 Unfudged'!$A$2:$A$498, $A461, 'GE16FEB14 Unfudged'!$D$2:$D$498)</f>
        <v>135</v>
      </c>
      <c r="F461" s="104">
        <f>+'FY16 Tax Bill'!F461-'FY16 Feb Forecast'!F461</f>
        <v>372</v>
      </c>
      <c r="G461" s="105">
        <f>+'FY16 Tax Bill'!G461-'FY16 Feb Forecast'!G461</f>
        <v>0</v>
      </c>
      <c r="H461" s="106">
        <f>+'FY16 Tax Bill'!H461-'FY16 Feb Forecast'!H461</f>
        <v>372</v>
      </c>
      <c r="I461" s="107">
        <f>+'FY16 Tax Bill'!I461-'FY16 Feb Forecast'!I461</f>
        <v>0</v>
      </c>
      <c r="J461" s="105">
        <f>+'FY16 Tax Bill'!J461-'FY16 Feb Forecast'!J461</f>
        <v>0</v>
      </c>
      <c r="K461" s="106">
        <f>+'FY16 Tax Bill'!K461-'FY16 Feb Forecast'!K461</f>
        <v>0</v>
      </c>
      <c r="L461" s="107">
        <f>+'FY16 Tax Bill'!L461-'FY16 Feb Forecast'!L461</f>
        <v>0</v>
      </c>
      <c r="M461" s="105">
        <f>+'FY16 Tax Bill'!M461-'FY16 Feb Forecast'!M461</f>
        <v>0</v>
      </c>
      <c r="N461" s="106">
        <f>+'FY16 Tax Bill'!N461-'FY16 Feb Forecast'!N461</f>
        <v>0</v>
      </c>
      <c r="O461" s="107">
        <f>+'FY16 Tax Bill'!O461-'FY16 Feb Forecast'!O461</f>
        <v>372</v>
      </c>
      <c r="P461" s="105">
        <f>+'FY16 Tax Bill'!P461-'FY16 Feb Forecast'!P461</f>
        <v>0</v>
      </c>
      <c r="Q461" s="106">
        <f>+'FY16 Tax Bill'!Q461-'FY16 Feb Forecast'!Q461</f>
        <v>372</v>
      </c>
      <c r="R461" s="105">
        <f>+'FY16 Tax Bill'!R461-'FY16 Feb Forecast'!R461</f>
        <v>2.75555555555556</v>
      </c>
      <c r="S461" s="105">
        <f>+'FY16 Tax Bill'!S461-'FY16 Feb Forecast'!S461</f>
        <v>0</v>
      </c>
      <c r="T461" s="108">
        <f>+'FY16 Tax Bill'!T461-'FY16 Feb Forecast'!T461</f>
        <v>2.75555555555556</v>
      </c>
    </row>
    <row r="462" spans="1:20" x14ac:dyDescent="0.2">
      <c r="A462" s="109">
        <v>4159</v>
      </c>
      <c r="B462" s="110">
        <v>7</v>
      </c>
      <c r="C462" s="103" t="s">
        <v>85</v>
      </c>
      <c r="D462" s="103">
        <v>7</v>
      </c>
      <c r="E462" s="104">
        <f>+SUMIF('GE16FEB14 Unfudged'!$A$2:$A$498, $A462, 'GE16FEB14 Unfudged'!$D$2:$D$498)</f>
        <v>465</v>
      </c>
      <c r="F462" s="104">
        <f>+'FY16 Tax Bill'!F462-'FY16 Feb Forecast'!F462</f>
        <v>1284</v>
      </c>
      <c r="G462" s="105">
        <f>+'FY16 Tax Bill'!G462-'FY16 Feb Forecast'!G462</f>
        <v>0</v>
      </c>
      <c r="H462" s="106">
        <f>+'FY16 Tax Bill'!H462-'FY16 Feb Forecast'!H462</f>
        <v>1284</v>
      </c>
      <c r="I462" s="107">
        <f>+'FY16 Tax Bill'!I462-'FY16 Feb Forecast'!I462</f>
        <v>0</v>
      </c>
      <c r="J462" s="105">
        <f>+'FY16 Tax Bill'!J462-'FY16 Feb Forecast'!J462</f>
        <v>0</v>
      </c>
      <c r="K462" s="106">
        <f>+'FY16 Tax Bill'!K462-'FY16 Feb Forecast'!K462</f>
        <v>0</v>
      </c>
      <c r="L462" s="107">
        <f>+'FY16 Tax Bill'!L462-'FY16 Feb Forecast'!L462</f>
        <v>0</v>
      </c>
      <c r="M462" s="105">
        <f>+'FY16 Tax Bill'!M462-'FY16 Feb Forecast'!M462</f>
        <v>0</v>
      </c>
      <c r="N462" s="106">
        <f>+'FY16 Tax Bill'!N462-'FY16 Feb Forecast'!N462</f>
        <v>0</v>
      </c>
      <c r="O462" s="107">
        <f>+'FY16 Tax Bill'!O462-'FY16 Feb Forecast'!O462</f>
        <v>1284</v>
      </c>
      <c r="P462" s="105">
        <f>+'FY16 Tax Bill'!P462-'FY16 Feb Forecast'!P462</f>
        <v>0</v>
      </c>
      <c r="Q462" s="106">
        <f>+'FY16 Tax Bill'!Q462-'FY16 Feb Forecast'!Q462</f>
        <v>1284</v>
      </c>
      <c r="R462" s="105">
        <f>+'FY16 Tax Bill'!R462-'FY16 Feb Forecast'!R462</f>
        <v>2.7612903225806491</v>
      </c>
      <c r="S462" s="105">
        <f>+'FY16 Tax Bill'!S462-'FY16 Feb Forecast'!S462</f>
        <v>0</v>
      </c>
      <c r="T462" s="108">
        <f>+'FY16 Tax Bill'!T462-'FY16 Feb Forecast'!T462</f>
        <v>2.7612903225806491</v>
      </c>
    </row>
    <row r="463" spans="1:20" x14ac:dyDescent="0.2">
      <c r="A463" s="109">
        <v>4160</v>
      </c>
      <c r="B463" s="110">
        <v>7</v>
      </c>
      <c r="C463" s="103" t="s">
        <v>86</v>
      </c>
      <c r="D463" s="103">
        <v>7</v>
      </c>
      <c r="E463" s="104">
        <f>+SUMIF('GE16FEB14 Unfudged'!$A$2:$A$498, $A463, 'GE16FEB14 Unfudged'!$D$2:$D$498)</f>
        <v>625</v>
      </c>
      <c r="F463" s="104">
        <f>+'FY16 Tax Bill'!F463-'FY16 Feb Forecast'!F463</f>
        <v>1724</v>
      </c>
      <c r="G463" s="105">
        <f>+'FY16 Tax Bill'!G463-'FY16 Feb Forecast'!G463</f>
        <v>0</v>
      </c>
      <c r="H463" s="106">
        <f>+'FY16 Tax Bill'!H463-'FY16 Feb Forecast'!H463</f>
        <v>1724</v>
      </c>
      <c r="I463" s="107">
        <f>+'FY16 Tax Bill'!I463-'FY16 Feb Forecast'!I463</f>
        <v>0</v>
      </c>
      <c r="J463" s="105">
        <f>+'FY16 Tax Bill'!J463-'FY16 Feb Forecast'!J463</f>
        <v>0</v>
      </c>
      <c r="K463" s="106">
        <f>+'FY16 Tax Bill'!K463-'FY16 Feb Forecast'!K463</f>
        <v>0</v>
      </c>
      <c r="L463" s="107">
        <f>+'FY16 Tax Bill'!L463-'FY16 Feb Forecast'!L463</f>
        <v>0</v>
      </c>
      <c r="M463" s="105">
        <f>+'FY16 Tax Bill'!M463-'FY16 Feb Forecast'!M463</f>
        <v>0</v>
      </c>
      <c r="N463" s="106">
        <f>+'FY16 Tax Bill'!N463-'FY16 Feb Forecast'!N463</f>
        <v>0</v>
      </c>
      <c r="O463" s="107">
        <f>+'FY16 Tax Bill'!O463-'FY16 Feb Forecast'!O463</f>
        <v>1724</v>
      </c>
      <c r="P463" s="105">
        <f>+'FY16 Tax Bill'!P463-'FY16 Feb Forecast'!P463</f>
        <v>0</v>
      </c>
      <c r="Q463" s="106">
        <f>+'FY16 Tax Bill'!Q463-'FY16 Feb Forecast'!Q463</f>
        <v>1724</v>
      </c>
      <c r="R463" s="105">
        <f>+'FY16 Tax Bill'!R463-'FY16 Feb Forecast'!R463</f>
        <v>2.7584000000000088</v>
      </c>
      <c r="S463" s="105">
        <f>+'FY16 Tax Bill'!S463-'FY16 Feb Forecast'!S463</f>
        <v>0</v>
      </c>
      <c r="T463" s="108">
        <f>+'FY16 Tax Bill'!T463-'FY16 Feb Forecast'!T463</f>
        <v>2.7584000000000088</v>
      </c>
    </row>
    <row r="464" spans="1:20" x14ac:dyDescent="0.2">
      <c r="A464" s="109">
        <v>4161</v>
      </c>
      <c r="B464" s="110">
        <v>7</v>
      </c>
      <c r="C464" s="103" t="s">
        <v>87</v>
      </c>
      <c r="D464" s="103">
        <v>7</v>
      </c>
      <c r="E464" s="104">
        <f>+SUMIF('GE16FEB14 Unfudged'!$A$2:$A$498, $A464, 'GE16FEB14 Unfudged'!$D$2:$D$498)</f>
        <v>172</v>
      </c>
      <c r="F464" s="104">
        <f>+'FY16 Tax Bill'!F464-'FY16 Feb Forecast'!F464</f>
        <v>474</v>
      </c>
      <c r="G464" s="105">
        <f>+'FY16 Tax Bill'!G464-'FY16 Feb Forecast'!G464</f>
        <v>0</v>
      </c>
      <c r="H464" s="106">
        <f>+'FY16 Tax Bill'!H464-'FY16 Feb Forecast'!H464</f>
        <v>474</v>
      </c>
      <c r="I464" s="107">
        <f>+'FY16 Tax Bill'!I464-'FY16 Feb Forecast'!I464</f>
        <v>0</v>
      </c>
      <c r="J464" s="105">
        <f>+'FY16 Tax Bill'!J464-'FY16 Feb Forecast'!J464</f>
        <v>0</v>
      </c>
      <c r="K464" s="106">
        <f>+'FY16 Tax Bill'!K464-'FY16 Feb Forecast'!K464</f>
        <v>0</v>
      </c>
      <c r="L464" s="107">
        <f>+'FY16 Tax Bill'!L464-'FY16 Feb Forecast'!L464</f>
        <v>0</v>
      </c>
      <c r="M464" s="105">
        <f>+'FY16 Tax Bill'!M464-'FY16 Feb Forecast'!M464</f>
        <v>0</v>
      </c>
      <c r="N464" s="106">
        <f>+'FY16 Tax Bill'!N464-'FY16 Feb Forecast'!N464</f>
        <v>0</v>
      </c>
      <c r="O464" s="107">
        <f>+'FY16 Tax Bill'!O464-'FY16 Feb Forecast'!O464</f>
        <v>474</v>
      </c>
      <c r="P464" s="105">
        <f>+'FY16 Tax Bill'!P464-'FY16 Feb Forecast'!P464</f>
        <v>0</v>
      </c>
      <c r="Q464" s="106">
        <f>+'FY16 Tax Bill'!Q464-'FY16 Feb Forecast'!Q464</f>
        <v>474</v>
      </c>
      <c r="R464" s="105">
        <f>+'FY16 Tax Bill'!R464-'FY16 Feb Forecast'!R464</f>
        <v>2.7558139534883708</v>
      </c>
      <c r="S464" s="105">
        <f>+'FY16 Tax Bill'!S464-'FY16 Feb Forecast'!S464</f>
        <v>0</v>
      </c>
      <c r="T464" s="108">
        <f>+'FY16 Tax Bill'!T464-'FY16 Feb Forecast'!T464</f>
        <v>2.7558139534883708</v>
      </c>
    </row>
    <row r="465" spans="1:20" x14ac:dyDescent="0.2">
      <c r="A465" s="109">
        <v>4162</v>
      </c>
      <c r="B465" s="110">
        <v>7</v>
      </c>
      <c r="C465" s="103" t="s">
        <v>88</v>
      </c>
      <c r="D465" s="103">
        <v>7</v>
      </c>
      <c r="E465" s="104">
        <f>+SUMIF('GE16FEB14 Unfudged'!$A$2:$A$498, $A465, 'GE16FEB14 Unfudged'!$D$2:$D$498)</f>
        <v>114</v>
      </c>
      <c r="F465" s="104">
        <f>+'FY16 Tax Bill'!F465-'FY16 Feb Forecast'!F465</f>
        <v>314</v>
      </c>
      <c r="G465" s="105">
        <f>+'FY16 Tax Bill'!G465-'FY16 Feb Forecast'!G465</f>
        <v>0</v>
      </c>
      <c r="H465" s="106">
        <f>+'FY16 Tax Bill'!H465-'FY16 Feb Forecast'!H465</f>
        <v>314</v>
      </c>
      <c r="I465" s="107">
        <f>+'FY16 Tax Bill'!I465-'FY16 Feb Forecast'!I465</f>
        <v>0</v>
      </c>
      <c r="J465" s="105">
        <f>+'FY16 Tax Bill'!J465-'FY16 Feb Forecast'!J465</f>
        <v>0</v>
      </c>
      <c r="K465" s="106">
        <f>+'FY16 Tax Bill'!K465-'FY16 Feb Forecast'!K465</f>
        <v>0</v>
      </c>
      <c r="L465" s="107">
        <f>+'FY16 Tax Bill'!L465-'FY16 Feb Forecast'!L465</f>
        <v>0</v>
      </c>
      <c r="M465" s="105">
        <f>+'FY16 Tax Bill'!M465-'FY16 Feb Forecast'!M465</f>
        <v>0</v>
      </c>
      <c r="N465" s="106">
        <f>+'FY16 Tax Bill'!N465-'FY16 Feb Forecast'!N465</f>
        <v>0</v>
      </c>
      <c r="O465" s="107">
        <f>+'FY16 Tax Bill'!O465-'FY16 Feb Forecast'!O465</f>
        <v>314</v>
      </c>
      <c r="P465" s="105">
        <f>+'FY16 Tax Bill'!P465-'FY16 Feb Forecast'!P465</f>
        <v>0</v>
      </c>
      <c r="Q465" s="106">
        <f>+'FY16 Tax Bill'!Q465-'FY16 Feb Forecast'!Q465</f>
        <v>314</v>
      </c>
      <c r="R465" s="105">
        <f>+'FY16 Tax Bill'!R465-'FY16 Feb Forecast'!R465</f>
        <v>2.7543859649122879</v>
      </c>
      <c r="S465" s="105">
        <f>+'FY16 Tax Bill'!S465-'FY16 Feb Forecast'!S465</f>
        <v>0</v>
      </c>
      <c r="T465" s="108">
        <f>+'FY16 Tax Bill'!T465-'FY16 Feb Forecast'!T465</f>
        <v>2.7543859649122879</v>
      </c>
    </row>
    <row r="466" spans="1:20" x14ac:dyDescent="0.2">
      <c r="A466" s="109">
        <v>4163</v>
      </c>
      <c r="B466" s="110">
        <v>7</v>
      </c>
      <c r="C466" s="103" t="s">
        <v>89</v>
      </c>
      <c r="D466" s="103">
        <v>7</v>
      </c>
      <c r="E466" s="104">
        <f>+SUMIF('GE16FEB14 Unfudged'!$A$2:$A$498, $A466, 'GE16FEB14 Unfudged'!$D$2:$D$498)</f>
        <v>258</v>
      </c>
      <c r="F466" s="104">
        <f>+'FY16 Tax Bill'!F466-'FY16 Feb Forecast'!F466</f>
        <v>712</v>
      </c>
      <c r="G466" s="105">
        <f>+'FY16 Tax Bill'!G466-'FY16 Feb Forecast'!G466</f>
        <v>0</v>
      </c>
      <c r="H466" s="106">
        <f>+'FY16 Tax Bill'!H466-'FY16 Feb Forecast'!H466</f>
        <v>712</v>
      </c>
      <c r="I466" s="107">
        <f>+'FY16 Tax Bill'!I466-'FY16 Feb Forecast'!I466</f>
        <v>0</v>
      </c>
      <c r="J466" s="105">
        <f>+'FY16 Tax Bill'!J466-'FY16 Feb Forecast'!J466</f>
        <v>0</v>
      </c>
      <c r="K466" s="106">
        <f>+'FY16 Tax Bill'!K466-'FY16 Feb Forecast'!K466</f>
        <v>0</v>
      </c>
      <c r="L466" s="107">
        <f>+'FY16 Tax Bill'!L466-'FY16 Feb Forecast'!L466</f>
        <v>0</v>
      </c>
      <c r="M466" s="105">
        <f>+'FY16 Tax Bill'!M466-'FY16 Feb Forecast'!M466</f>
        <v>0</v>
      </c>
      <c r="N466" s="106">
        <f>+'FY16 Tax Bill'!N466-'FY16 Feb Forecast'!N466</f>
        <v>0</v>
      </c>
      <c r="O466" s="107">
        <f>+'FY16 Tax Bill'!O466-'FY16 Feb Forecast'!O466</f>
        <v>712</v>
      </c>
      <c r="P466" s="105">
        <f>+'FY16 Tax Bill'!P466-'FY16 Feb Forecast'!P466</f>
        <v>0</v>
      </c>
      <c r="Q466" s="106">
        <f>+'FY16 Tax Bill'!Q466-'FY16 Feb Forecast'!Q466</f>
        <v>712</v>
      </c>
      <c r="R466" s="105">
        <f>+'FY16 Tax Bill'!R466-'FY16 Feb Forecast'!R466</f>
        <v>2.7596899224806322</v>
      </c>
      <c r="S466" s="105">
        <f>+'FY16 Tax Bill'!S466-'FY16 Feb Forecast'!S466</f>
        <v>0</v>
      </c>
      <c r="T466" s="108">
        <f>+'FY16 Tax Bill'!T466-'FY16 Feb Forecast'!T466</f>
        <v>2.7596899224806322</v>
      </c>
    </row>
    <row r="467" spans="1:20" x14ac:dyDescent="0.2">
      <c r="A467" s="109">
        <v>4164</v>
      </c>
      <c r="B467" s="110">
        <v>7</v>
      </c>
      <c r="C467" s="103" t="s">
        <v>90</v>
      </c>
      <c r="D467" s="103">
        <v>7</v>
      </c>
      <c r="E467" s="104">
        <f>+SUMIF('GE16FEB14 Unfudged'!$A$2:$A$498, $A467, 'GE16FEB14 Unfudged'!$D$2:$D$498)</f>
        <v>220</v>
      </c>
      <c r="F467" s="104">
        <f>+'FY16 Tax Bill'!F467-'FY16 Feb Forecast'!F467</f>
        <v>607</v>
      </c>
      <c r="G467" s="105">
        <f>+'FY16 Tax Bill'!G467-'FY16 Feb Forecast'!G467</f>
        <v>0</v>
      </c>
      <c r="H467" s="106">
        <f>+'FY16 Tax Bill'!H467-'FY16 Feb Forecast'!H467</f>
        <v>607</v>
      </c>
      <c r="I467" s="107">
        <f>+'FY16 Tax Bill'!I467-'FY16 Feb Forecast'!I467</f>
        <v>0</v>
      </c>
      <c r="J467" s="105">
        <f>+'FY16 Tax Bill'!J467-'FY16 Feb Forecast'!J467</f>
        <v>0</v>
      </c>
      <c r="K467" s="106">
        <f>+'FY16 Tax Bill'!K467-'FY16 Feb Forecast'!K467</f>
        <v>0</v>
      </c>
      <c r="L467" s="107">
        <f>+'FY16 Tax Bill'!L467-'FY16 Feb Forecast'!L467</f>
        <v>0</v>
      </c>
      <c r="M467" s="105">
        <f>+'FY16 Tax Bill'!M467-'FY16 Feb Forecast'!M467</f>
        <v>0</v>
      </c>
      <c r="N467" s="106">
        <f>+'FY16 Tax Bill'!N467-'FY16 Feb Forecast'!N467</f>
        <v>0</v>
      </c>
      <c r="O467" s="107">
        <f>+'FY16 Tax Bill'!O467-'FY16 Feb Forecast'!O467</f>
        <v>607</v>
      </c>
      <c r="P467" s="105">
        <f>+'FY16 Tax Bill'!P467-'FY16 Feb Forecast'!P467</f>
        <v>0</v>
      </c>
      <c r="Q467" s="106">
        <f>+'FY16 Tax Bill'!Q467-'FY16 Feb Forecast'!Q467</f>
        <v>607</v>
      </c>
      <c r="R467" s="105">
        <f>+'FY16 Tax Bill'!R467-'FY16 Feb Forecast'!R467</f>
        <v>2.759090909090915</v>
      </c>
      <c r="S467" s="105">
        <f>+'FY16 Tax Bill'!S467-'FY16 Feb Forecast'!S467</f>
        <v>0</v>
      </c>
      <c r="T467" s="108">
        <f>+'FY16 Tax Bill'!T467-'FY16 Feb Forecast'!T467</f>
        <v>2.759090909090915</v>
      </c>
    </row>
    <row r="468" spans="1:20" x14ac:dyDescent="0.2">
      <c r="A468" s="109">
        <v>4166</v>
      </c>
      <c r="B468" s="110">
        <v>7</v>
      </c>
      <c r="C468" s="103" t="s">
        <v>91</v>
      </c>
      <c r="D468" s="103">
        <v>7</v>
      </c>
      <c r="E468" s="104">
        <f>+SUMIF('GE16FEB14 Unfudged'!$A$2:$A$498, $A468, 'GE16FEB14 Unfudged'!$D$2:$D$498)</f>
        <v>120</v>
      </c>
      <c r="F468" s="104">
        <f>+'FY16 Tax Bill'!F468-'FY16 Feb Forecast'!F468</f>
        <v>331</v>
      </c>
      <c r="G468" s="105">
        <f>+'FY16 Tax Bill'!G468-'FY16 Feb Forecast'!G468</f>
        <v>0</v>
      </c>
      <c r="H468" s="106">
        <f>+'FY16 Tax Bill'!H468-'FY16 Feb Forecast'!H468</f>
        <v>331</v>
      </c>
      <c r="I468" s="107">
        <f>+'FY16 Tax Bill'!I468-'FY16 Feb Forecast'!I468</f>
        <v>0</v>
      </c>
      <c r="J468" s="105">
        <f>+'FY16 Tax Bill'!J468-'FY16 Feb Forecast'!J468</f>
        <v>0</v>
      </c>
      <c r="K468" s="106">
        <f>+'FY16 Tax Bill'!K468-'FY16 Feb Forecast'!K468</f>
        <v>0</v>
      </c>
      <c r="L468" s="107">
        <f>+'FY16 Tax Bill'!L468-'FY16 Feb Forecast'!L468</f>
        <v>0</v>
      </c>
      <c r="M468" s="105">
        <f>+'FY16 Tax Bill'!M468-'FY16 Feb Forecast'!M468</f>
        <v>0</v>
      </c>
      <c r="N468" s="106">
        <f>+'FY16 Tax Bill'!N468-'FY16 Feb Forecast'!N468</f>
        <v>0</v>
      </c>
      <c r="O468" s="107">
        <f>+'FY16 Tax Bill'!O468-'FY16 Feb Forecast'!O468</f>
        <v>331</v>
      </c>
      <c r="P468" s="105">
        <f>+'FY16 Tax Bill'!P468-'FY16 Feb Forecast'!P468</f>
        <v>0</v>
      </c>
      <c r="Q468" s="106">
        <f>+'FY16 Tax Bill'!Q468-'FY16 Feb Forecast'!Q468</f>
        <v>331</v>
      </c>
      <c r="R468" s="105">
        <f>+'FY16 Tax Bill'!R468-'FY16 Feb Forecast'!R468</f>
        <v>2.75833333333334</v>
      </c>
      <c r="S468" s="105">
        <f>+'FY16 Tax Bill'!S468-'FY16 Feb Forecast'!S468</f>
        <v>0</v>
      </c>
      <c r="T468" s="108">
        <f>+'FY16 Tax Bill'!T468-'FY16 Feb Forecast'!T468</f>
        <v>2.75833333333334</v>
      </c>
    </row>
    <row r="469" spans="1:20" x14ac:dyDescent="0.2">
      <c r="A469" s="109">
        <v>4167</v>
      </c>
      <c r="B469" s="110">
        <v>7</v>
      </c>
      <c r="C469" s="103" t="s">
        <v>92</v>
      </c>
      <c r="D469" s="103">
        <v>7</v>
      </c>
      <c r="E469" s="104">
        <f>+SUMIF('GE16FEB14 Unfudged'!$A$2:$A$498, $A469, 'GE16FEB14 Unfudged'!$D$2:$D$498)</f>
        <v>311</v>
      </c>
      <c r="F469" s="104">
        <f>+'FY16 Tax Bill'!F469-'FY16 Feb Forecast'!F469</f>
        <v>857</v>
      </c>
      <c r="G469" s="105">
        <f>+'FY16 Tax Bill'!G469-'FY16 Feb Forecast'!G469</f>
        <v>0</v>
      </c>
      <c r="H469" s="106">
        <f>+'FY16 Tax Bill'!H469-'FY16 Feb Forecast'!H469</f>
        <v>857</v>
      </c>
      <c r="I469" s="107">
        <f>+'FY16 Tax Bill'!I469-'FY16 Feb Forecast'!I469</f>
        <v>0</v>
      </c>
      <c r="J469" s="105">
        <f>+'FY16 Tax Bill'!J469-'FY16 Feb Forecast'!J469</f>
        <v>0</v>
      </c>
      <c r="K469" s="106">
        <f>+'FY16 Tax Bill'!K469-'FY16 Feb Forecast'!K469</f>
        <v>0</v>
      </c>
      <c r="L469" s="107">
        <f>+'FY16 Tax Bill'!L469-'FY16 Feb Forecast'!L469</f>
        <v>0</v>
      </c>
      <c r="M469" s="105">
        <f>+'FY16 Tax Bill'!M469-'FY16 Feb Forecast'!M469</f>
        <v>0</v>
      </c>
      <c r="N469" s="106">
        <f>+'FY16 Tax Bill'!N469-'FY16 Feb Forecast'!N469</f>
        <v>0</v>
      </c>
      <c r="O469" s="107">
        <f>+'FY16 Tax Bill'!O469-'FY16 Feb Forecast'!O469</f>
        <v>857</v>
      </c>
      <c r="P469" s="105">
        <f>+'FY16 Tax Bill'!P469-'FY16 Feb Forecast'!P469</f>
        <v>0</v>
      </c>
      <c r="Q469" s="106">
        <f>+'FY16 Tax Bill'!Q469-'FY16 Feb Forecast'!Q469</f>
        <v>857</v>
      </c>
      <c r="R469" s="105">
        <f>+'FY16 Tax Bill'!R469-'FY16 Feb Forecast'!R469</f>
        <v>2.7556270096463038</v>
      </c>
      <c r="S469" s="105">
        <f>+'FY16 Tax Bill'!S469-'FY16 Feb Forecast'!S469</f>
        <v>0</v>
      </c>
      <c r="T469" s="108">
        <f>+'FY16 Tax Bill'!T469-'FY16 Feb Forecast'!T469</f>
        <v>2.7556270096463038</v>
      </c>
    </row>
    <row r="470" spans="1:20" x14ac:dyDescent="0.2">
      <c r="A470" s="109">
        <v>4168</v>
      </c>
      <c r="B470" s="110">
        <v>7</v>
      </c>
      <c r="C470" s="103" t="s">
        <v>93</v>
      </c>
      <c r="D470" s="103">
        <v>7</v>
      </c>
      <c r="E470" s="104">
        <f>+SUMIF('GE16FEB14 Unfudged'!$A$2:$A$498, $A470, 'GE16FEB14 Unfudged'!$D$2:$D$498)</f>
        <v>133</v>
      </c>
      <c r="F470" s="104">
        <f>+'FY16 Tax Bill'!F470-'FY16 Feb Forecast'!F470</f>
        <v>367</v>
      </c>
      <c r="G470" s="105">
        <f>+'FY16 Tax Bill'!G470-'FY16 Feb Forecast'!G470</f>
        <v>0</v>
      </c>
      <c r="H470" s="106">
        <f>+'FY16 Tax Bill'!H470-'FY16 Feb Forecast'!H470</f>
        <v>367</v>
      </c>
      <c r="I470" s="107">
        <f>+'FY16 Tax Bill'!I470-'FY16 Feb Forecast'!I470</f>
        <v>0</v>
      </c>
      <c r="J470" s="105">
        <f>+'FY16 Tax Bill'!J470-'FY16 Feb Forecast'!J470</f>
        <v>0</v>
      </c>
      <c r="K470" s="106">
        <f>+'FY16 Tax Bill'!K470-'FY16 Feb Forecast'!K470</f>
        <v>0</v>
      </c>
      <c r="L470" s="107">
        <f>+'FY16 Tax Bill'!L470-'FY16 Feb Forecast'!L470</f>
        <v>0</v>
      </c>
      <c r="M470" s="105">
        <f>+'FY16 Tax Bill'!M470-'FY16 Feb Forecast'!M470</f>
        <v>0</v>
      </c>
      <c r="N470" s="106">
        <f>+'FY16 Tax Bill'!N470-'FY16 Feb Forecast'!N470</f>
        <v>0</v>
      </c>
      <c r="O470" s="107">
        <f>+'FY16 Tax Bill'!O470-'FY16 Feb Forecast'!O470</f>
        <v>367</v>
      </c>
      <c r="P470" s="105">
        <f>+'FY16 Tax Bill'!P470-'FY16 Feb Forecast'!P470</f>
        <v>0</v>
      </c>
      <c r="Q470" s="106">
        <f>+'FY16 Tax Bill'!Q470-'FY16 Feb Forecast'!Q470</f>
        <v>367</v>
      </c>
      <c r="R470" s="105">
        <f>+'FY16 Tax Bill'!R470-'FY16 Feb Forecast'!R470</f>
        <v>2.7593984962405926</v>
      </c>
      <c r="S470" s="105">
        <f>+'FY16 Tax Bill'!S470-'FY16 Feb Forecast'!S470</f>
        <v>0</v>
      </c>
      <c r="T470" s="108">
        <f>+'FY16 Tax Bill'!T470-'FY16 Feb Forecast'!T470</f>
        <v>2.7593984962405926</v>
      </c>
    </row>
    <row r="471" spans="1:20" x14ac:dyDescent="0.2">
      <c r="A471" s="109">
        <v>4169</v>
      </c>
      <c r="B471" s="110">
        <v>7</v>
      </c>
      <c r="C471" s="103" t="s">
        <v>506</v>
      </c>
      <c r="D471" s="103">
        <v>7</v>
      </c>
      <c r="E471" s="104">
        <f>+SUMIF('GE16FEB14 Unfudged'!$A$2:$A$498, $A471, 'GE16FEB14 Unfudged'!$D$2:$D$498)</f>
        <v>291</v>
      </c>
      <c r="F471" s="104">
        <f>+'FY16 Tax Bill'!F471-'FY16 Feb Forecast'!F471</f>
        <v>804</v>
      </c>
      <c r="G471" s="105">
        <f>+'FY16 Tax Bill'!G471-'FY16 Feb Forecast'!G471</f>
        <v>0</v>
      </c>
      <c r="H471" s="106">
        <f>+'FY16 Tax Bill'!H471-'FY16 Feb Forecast'!H471</f>
        <v>804</v>
      </c>
      <c r="I471" s="107">
        <f>+'FY16 Tax Bill'!I471-'FY16 Feb Forecast'!I471</f>
        <v>0</v>
      </c>
      <c r="J471" s="105">
        <f>+'FY16 Tax Bill'!J471-'FY16 Feb Forecast'!J471</f>
        <v>0</v>
      </c>
      <c r="K471" s="106">
        <f>+'FY16 Tax Bill'!K471-'FY16 Feb Forecast'!K471</f>
        <v>0</v>
      </c>
      <c r="L471" s="107">
        <f>+'FY16 Tax Bill'!L471-'FY16 Feb Forecast'!L471</f>
        <v>0</v>
      </c>
      <c r="M471" s="105">
        <f>+'FY16 Tax Bill'!M471-'FY16 Feb Forecast'!M471</f>
        <v>0</v>
      </c>
      <c r="N471" s="106">
        <f>+'FY16 Tax Bill'!N471-'FY16 Feb Forecast'!N471</f>
        <v>0</v>
      </c>
      <c r="O471" s="107">
        <f>+'FY16 Tax Bill'!O471-'FY16 Feb Forecast'!O471</f>
        <v>804</v>
      </c>
      <c r="P471" s="105">
        <f>+'FY16 Tax Bill'!P471-'FY16 Feb Forecast'!P471</f>
        <v>0</v>
      </c>
      <c r="Q471" s="106">
        <f>+'FY16 Tax Bill'!Q471-'FY16 Feb Forecast'!Q471</f>
        <v>804</v>
      </c>
      <c r="R471" s="105">
        <f>+'FY16 Tax Bill'!R471-'FY16 Feb Forecast'!R471</f>
        <v>2.7628865979381487</v>
      </c>
      <c r="S471" s="105">
        <f>+'FY16 Tax Bill'!S471-'FY16 Feb Forecast'!S471</f>
        <v>0</v>
      </c>
      <c r="T471" s="108">
        <f>+'FY16 Tax Bill'!T471-'FY16 Feb Forecast'!T471</f>
        <v>2.7628865979381487</v>
      </c>
    </row>
    <row r="472" spans="1:20" x14ac:dyDescent="0.2">
      <c r="A472" s="109">
        <v>4170</v>
      </c>
      <c r="B472" s="110">
        <v>7</v>
      </c>
      <c r="C472" s="103" t="s">
        <v>94</v>
      </c>
      <c r="D472" s="103">
        <v>7</v>
      </c>
      <c r="E472" s="104">
        <f>+SUMIF('GE16FEB14 Unfudged'!$A$2:$A$498, $A472, 'GE16FEB14 Unfudged'!$D$2:$D$498)</f>
        <v>957</v>
      </c>
      <c r="F472" s="104">
        <f>+'FY16 Tax Bill'!F472-'FY16 Feb Forecast'!F472</f>
        <v>2642</v>
      </c>
      <c r="G472" s="105">
        <f>+'FY16 Tax Bill'!G472-'FY16 Feb Forecast'!G472</f>
        <v>0</v>
      </c>
      <c r="H472" s="106">
        <f>+'FY16 Tax Bill'!H472-'FY16 Feb Forecast'!H472</f>
        <v>2642</v>
      </c>
      <c r="I472" s="107">
        <f>+'FY16 Tax Bill'!I472-'FY16 Feb Forecast'!I472</f>
        <v>0</v>
      </c>
      <c r="J472" s="105">
        <f>+'FY16 Tax Bill'!J472-'FY16 Feb Forecast'!J472</f>
        <v>0</v>
      </c>
      <c r="K472" s="106">
        <f>+'FY16 Tax Bill'!K472-'FY16 Feb Forecast'!K472</f>
        <v>0</v>
      </c>
      <c r="L472" s="107">
        <f>+'FY16 Tax Bill'!L472-'FY16 Feb Forecast'!L472</f>
        <v>0</v>
      </c>
      <c r="M472" s="105">
        <f>+'FY16 Tax Bill'!M472-'FY16 Feb Forecast'!M472</f>
        <v>0</v>
      </c>
      <c r="N472" s="106">
        <f>+'FY16 Tax Bill'!N472-'FY16 Feb Forecast'!N472</f>
        <v>0</v>
      </c>
      <c r="O472" s="107">
        <f>+'FY16 Tax Bill'!O472-'FY16 Feb Forecast'!O472</f>
        <v>2642</v>
      </c>
      <c r="P472" s="105">
        <f>+'FY16 Tax Bill'!P472-'FY16 Feb Forecast'!P472</f>
        <v>0</v>
      </c>
      <c r="Q472" s="106">
        <f>+'FY16 Tax Bill'!Q472-'FY16 Feb Forecast'!Q472</f>
        <v>2642</v>
      </c>
      <c r="R472" s="105">
        <f>+'FY16 Tax Bill'!R472-'FY16 Feb Forecast'!R472</f>
        <v>2.7607105538139933</v>
      </c>
      <c r="S472" s="105">
        <f>+'FY16 Tax Bill'!S472-'FY16 Feb Forecast'!S472</f>
        <v>0</v>
      </c>
      <c r="T472" s="108">
        <f>+'FY16 Tax Bill'!T472-'FY16 Feb Forecast'!T472</f>
        <v>2.7607105538139933</v>
      </c>
    </row>
    <row r="473" spans="1:20" x14ac:dyDescent="0.2">
      <c r="A473" s="109">
        <v>4171</v>
      </c>
      <c r="B473" s="110">
        <v>7</v>
      </c>
      <c r="C473" s="103" t="s">
        <v>95</v>
      </c>
      <c r="D473" s="103">
        <v>7</v>
      </c>
      <c r="E473" s="104">
        <f>+SUMIF('GE16FEB14 Unfudged'!$A$2:$A$498, $A473, 'GE16FEB14 Unfudged'!$D$2:$D$498)</f>
        <v>528</v>
      </c>
      <c r="F473" s="104">
        <f>+'FY16 Tax Bill'!F473-'FY16 Feb Forecast'!F473</f>
        <v>1457</v>
      </c>
      <c r="G473" s="105">
        <f>+'FY16 Tax Bill'!G473-'FY16 Feb Forecast'!G473</f>
        <v>0</v>
      </c>
      <c r="H473" s="106">
        <f>+'FY16 Tax Bill'!H473-'FY16 Feb Forecast'!H473</f>
        <v>1457</v>
      </c>
      <c r="I473" s="107">
        <f>+'FY16 Tax Bill'!I473-'FY16 Feb Forecast'!I473</f>
        <v>0</v>
      </c>
      <c r="J473" s="105">
        <f>+'FY16 Tax Bill'!J473-'FY16 Feb Forecast'!J473</f>
        <v>0</v>
      </c>
      <c r="K473" s="106">
        <f>+'FY16 Tax Bill'!K473-'FY16 Feb Forecast'!K473</f>
        <v>0</v>
      </c>
      <c r="L473" s="107">
        <f>+'FY16 Tax Bill'!L473-'FY16 Feb Forecast'!L473</f>
        <v>0</v>
      </c>
      <c r="M473" s="105">
        <f>+'FY16 Tax Bill'!M473-'FY16 Feb Forecast'!M473</f>
        <v>0</v>
      </c>
      <c r="N473" s="106">
        <f>+'FY16 Tax Bill'!N473-'FY16 Feb Forecast'!N473</f>
        <v>0</v>
      </c>
      <c r="O473" s="107">
        <f>+'FY16 Tax Bill'!O473-'FY16 Feb Forecast'!O473</f>
        <v>1457</v>
      </c>
      <c r="P473" s="105">
        <f>+'FY16 Tax Bill'!P473-'FY16 Feb Forecast'!P473</f>
        <v>0</v>
      </c>
      <c r="Q473" s="106">
        <f>+'FY16 Tax Bill'!Q473-'FY16 Feb Forecast'!Q473</f>
        <v>1457</v>
      </c>
      <c r="R473" s="105">
        <f>+'FY16 Tax Bill'!R473-'FY16 Feb Forecast'!R473</f>
        <v>2.7594696969697026</v>
      </c>
      <c r="S473" s="105">
        <f>+'FY16 Tax Bill'!S473-'FY16 Feb Forecast'!S473</f>
        <v>0</v>
      </c>
      <c r="T473" s="108">
        <f>+'FY16 Tax Bill'!T473-'FY16 Feb Forecast'!T473</f>
        <v>2.7594696969697026</v>
      </c>
    </row>
    <row r="474" spans="1:20" x14ac:dyDescent="0.2">
      <c r="A474" s="109">
        <v>4172</v>
      </c>
      <c r="B474" s="110">
        <v>7</v>
      </c>
      <c r="C474" s="103" t="s">
        <v>96</v>
      </c>
      <c r="D474" s="103">
        <v>7</v>
      </c>
      <c r="E474" s="104">
        <f>+SUMIF('GE16FEB14 Unfudged'!$A$2:$A$498, $A474, 'GE16FEB14 Unfudged'!$D$2:$D$498)</f>
        <v>68</v>
      </c>
      <c r="F474" s="104">
        <f>+'FY16 Tax Bill'!F474-'FY16 Feb Forecast'!F474</f>
        <v>187</v>
      </c>
      <c r="G474" s="105">
        <f>+'FY16 Tax Bill'!G474-'FY16 Feb Forecast'!G474</f>
        <v>0</v>
      </c>
      <c r="H474" s="106">
        <f>+'FY16 Tax Bill'!H474-'FY16 Feb Forecast'!H474</f>
        <v>187</v>
      </c>
      <c r="I474" s="107">
        <f>+'FY16 Tax Bill'!I474-'FY16 Feb Forecast'!I474</f>
        <v>0</v>
      </c>
      <c r="J474" s="105">
        <f>+'FY16 Tax Bill'!J474-'FY16 Feb Forecast'!J474</f>
        <v>0</v>
      </c>
      <c r="K474" s="106">
        <f>+'FY16 Tax Bill'!K474-'FY16 Feb Forecast'!K474</f>
        <v>0</v>
      </c>
      <c r="L474" s="107">
        <f>+'FY16 Tax Bill'!L474-'FY16 Feb Forecast'!L474</f>
        <v>0</v>
      </c>
      <c r="M474" s="105">
        <f>+'FY16 Tax Bill'!M474-'FY16 Feb Forecast'!M474</f>
        <v>0</v>
      </c>
      <c r="N474" s="106">
        <f>+'FY16 Tax Bill'!N474-'FY16 Feb Forecast'!N474</f>
        <v>0</v>
      </c>
      <c r="O474" s="107">
        <f>+'FY16 Tax Bill'!O474-'FY16 Feb Forecast'!O474</f>
        <v>187</v>
      </c>
      <c r="P474" s="105">
        <f>+'FY16 Tax Bill'!P474-'FY16 Feb Forecast'!P474</f>
        <v>0</v>
      </c>
      <c r="Q474" s="106">
        <f>+'FY16 Tax Bill'!Q474-'FY16 Feb Forecast'!Q474</f>
        <v>187</v>
      </c>
      <c r="R474" s="105">
        <f>+'FY16 Tax Bill'!R474-'FY16 Feb Forecast'!R474</f>
        <v>2.75</v>
      </c>
      <c r="S474" s="105">
        <f>+'FY16 Tax Bill'!S474-'FY16 Feb Forecast'!S474</f>
        <v>0</v>
      </c>
      <c r="T474" s="108">
        <f>+'FY16 Tax Bill'!T474-'FY16 Feb Forecast'!T474</f>
        <v>2.75</v>
      </c>
    </row>
    <row r="475" spans="1:20" x14ac:dyDescent="0.2">
      <c r="A475" s="109">
        <v>4173</v>
      </c>
      <c r="B475" s="110">
        <v>7</v>
      </c>
      <c r="C475" s="103" t="s">
        <v>97</v>
      </c>
      <c r="D475" s="103">
        <v>7</v>
      </c>
      <c r="E475" s="104">
        <f>+SUMIF('GE16FEB14 Unfudged'!$A$2:$A$498, $A475, 'GE16FEB14 Unfudged'!$D$2:$D$498)</f>
        <v>0</v>
      </c>
      <c r="F475" s="104">
        <f>+'FY16 Tax Bill'!F475-'FY16 Feb Forecast'!F475</f>
        <v>0</v>
      </c>
      <c r="G475" s="105">
        <f>+'FY16 Tax Bill'!G475-'FY16 Feb Forecast'!G475</f>
        <v>0</v>
      </c>
      <c r="H475" s="106">
        <f>+'FY16 Tax Bill'!H475-'FY16 Feb Forecast'!H475</f>
        <v>0</v>
      </c>
      <c r="I475" s="107">
        <f>+'FY16 Tax Bill'!I475-'FY16 Feb Forecast'!I475</f>
        <v>0</v>
      </c>
      <c r="J475" s="105">
        <f>+'FY16 Tax Bill'!J475-'FY16 Feb Forecast'!J475</f>
        <v>0</v>
      </c>
      <c r="K475" s="106">
        <f>+'FY16 Tax Bill'!K475-'FY16 Feb Forecast'!K475</f>
        <v>0</v>
      </c>
      <c r="L475" s="107">
        <f>+'FY16 Tax Bill'!L475-'FY16 Feb Forecast'!L475</f>
        <v>0</v>
      </c>
      <c r="M475" s="105">
        <f>+'FY16 Tax Bill'!M475-'FY16 Feb Forecast'!M475</f>
        <v>0</v>
      </c>
      <c r="N475" s="106">
        <f>+'FY16 Tax Bill'!N475-'FY16 Feb Forecast'!N475</f>
        <v>0</v>
      </c>
      <c r="O475" s="107">
        <f>+'FY16 Tax Bill'!O475-'FY16 Feb Forecast'!O475</f>
        <v>0</v>
      </c>
      <c r="P475" s="105">
        <f>+'FY16 Tax Bill'!P475-'FY16 Feb Forecast'!P475</f>
        <v>0</v>
      </c>
      <c r="Q475" s="106">
        <f>+'FY16 Tax Bill'!Q475-'FY16 Feb Forecast'!Q475</f>
        <v>0</v>
      </c>
      <c r="R475" s="105">
        <f>+'FY16 Tax Bill'!R475-'FY16 Feb Forecast'!R475</f>
        <v>0</v>
      </c>
      <c r="S475" s="105">
        <f>+'FY16 Tax Bill'!S475-'FY16 Feb Forecast'!S475</f>
        <v>0</v>
      </c>
      <c r="T475" s="108">
        <f>+'FY16 Tax Bill'!T475-'FY16 Feb Forecast'!T475</f>
        <v>0</v>
      </c>
    </row>
    <row r="476" spans="1:20" x14ac:dyDescent="0.2">
      <c r="A476" s="109">
        <v>4174</v>
      </c>
      <c r="B476" s="110">
        <v>7</v>
      </c>
      <c r="C476" s="103" t="s">
        <v>98</v>
      </c>
      <c r="D476" s="103">
        <v>7</v>
      </c>
      <c r="E476" s="104">
        <f>+SUMIF('GE16FEB14 Unfudged'!$A$2:$A$498, $A476, 'GE16FEB14 Unfudged'!$D$2:$D$498)</f>
        <v>0</v>
      </c>
      <c r="F476" s="104">
        <f>+'FY16 Tax Bill'!F476-'FY16 Feb Forecast'!F476</f>
        <v>0</v>
      </c>
      <c r="G476" s="105">
        <f>+'FY16 Tax Bill'!G476-'FY16 Feb Forecast'!G476</f>
        <v>0</v>
      </c>
      <c r="H476" s="106">
        <f>+'FY16 Tax Bill'!H476-'FY16 Feb Forecast'!H476</f>
        <v>0</v>
      </c>
      <c r="I476" s="107">
        <f>+'FY16 Tax Bill'!I476-'FY16 Feb Forecast'!I476</f>
        <v>0</v>
      </c>
      <c r="J476" s="105">
        <f>+'FY16 Tax Bill'!J476-'FY16 Feb Forecast'!J476</f>
        <v>0</v>
      </c>
      <c r="K476" s="106">
        <f>+'FY16 Tax Bill'!K476-'FY16 Feb Forecast'!K476</f>
        <v>0</v>
      </c>
      <c r="L476" s="107">
        <f>+'FY16 Tax Bill'!L476-'FY16 Feb Forecast'!L476</f>
        <v>0</v>
      </c>
      <c r="M476" s="105">
        <f>+'FY16 Tax Bill'!M476-'FY16 Feb Forecast'!M476</f>
        <v>0</v>
      </c>
      <c r="N476" s="106">
        <f>+'FY16 Tax Bill'!N476-'FY16 Feb Forecast'!N476</f>
        <v>0</v>
      </c>
      <c r="O476" s="107">
        <f>+'FY16 Tax Bill'!O476-'FY16 Feb Forecast'!O476</f>
        <v>0</v>
      </c>
      <c r="P476" s="105">
        <f>+'FY16 Tax Bill'!P476-'FY16 Feb Forecast'!P476</f>
        <v>0</v>
      </c>
      <c r="Q476" s="106">
        <f>+'FY16 Tax Bill'!Q476-'FY16 Feb Forecast'!Q476</f>
        <v>0</v>
      </c>
      <c r="R476" s="105">
        <f>+'FY16 Tax Bill'!R476-'FY16 Feb Forecast'!R476</f>
        <v>0</v>
      </c>
      <c r="S476" s="105">
        <f>+'FY16 Tax Bill'!S476-'FY16 Feb Forecast'!S476</f>
        <v>0</v>
      </c>
      <c r="T476" s="108">
        <f>+'FY16 Tax Bill'!T476-'FY16 Feb Forecast'!T476</f>
        <v>0</v>
      </c>
    </row>
    <row r="477" spans="1:20" x14ac:dyDescent="0.2">
      <c r="A477" s="109">
        <v>4177</v>
      </c>
      <c r="B477" s="110">
        <v>7</v>
      </c>
      <c r="C477" s="103" t="s">
        <v>99</v>
      </c>
      <c r="D477" s="103">
        <v>7</v>
      </c>
      <c r="E477" s="104">
        <f>+SUMIF('GE16FEB14 Unfudged'!$A$2:$A$498, $A477, 'GE16FEB14 Unfudged'!$D$2:$D$498)</f>
        <v>55</v>
      </c>
      <c r="F477" s="104">
        <f>+'FY16 Tax Bill'!F477-'FY16 Feb Forecast'!F477</f>
        <v>152</v>
      </c>
      <c r="G477" s="105">
        <f>+'FY16 Tax Bill'!G477-'FY16 Feb Forecast'!G477</f>
        <v>0</v>
      </c>
      <c r="H477" s="106">
        <f>+'FY16 Tax Bill'!H477-'FY16 Feb Forecast'!H477</f>
        <v>152</v>
      </c>
      <c r="I477" s="107">
        <f>+'FY16 Tax Bill'!I477-'FY16 Feb Forecast'!I477</f>
        <v>0</v>
      </c>
      <c r="J477" s="105">
        <f>+'FY16 Tax Bill'!J477-'FY16 Feb Forecast'!J477</f>
        <v>0</v>
      </c>
      <c r="K477" s="106">
        <f>+'FY16 Tax Bill'!K477-'FY16 Feb Forecast'!K477</f>
        <v>0</v>
      </c>
      <c r="L477" s="107">
        <f>+'FY16 Tax Bill'!L477-'FY16 Feb Forecast'!L477</f>
        <v>0</v>
      </c>
      <c r="M477" s="105">
        <f>+'FY16 Tax Bill'!M477-'FY16 Feb Forecast'!M477</f>
        <v>0</v>
      </c>
      <c r="N477" s="106">
        <f>+'FY16 Tax Bill'!N477-'FY16 Feb Forecast'!N477</f>
        <v>0</v>
      </c>
      <c r="O477" s="107">
        <f>+'FY16 Tax Bill'!O477-'FY16 Feb Forecast'!O477</f>
        <v>152</v>
      </c>
      <c r="P477" s="105">
        <f>+'FY16 Tax Bill'!P477-'FY16 Feb Forecast'!P477</f>
        <v>0</v>
      </c>
      <c r="Q477" s="106">
        <f>+'FY16 Tax Bill'!Q477-'FY16 Feb Forecast'!Q477</f>
        <v>152</v>
      </c>
      <c r="R477" s="105">
        <f>+'FY16 Tax Bill'!R477-'FY16 Feb Forecast'!R477</f>
        <v>2.7636363636363654</v>
      </c>
      <c r="S477" s="105">
        <f>+'FY16 Tax Bill'!S477-'FY16 Feb Forecast'!S477</f>
        <v>0</v>
      </c>
      <c r="T477" s="108">
        <f>+'FY16 Tax Bill'!T477-'FY16 Feb Forecast'!T477</f>
        <v>2.7636363636363654</v>
      </c>
    </row>
    <row r="478" spans="1:20" x14ac:dyDescent="0.2">
      <c r="A478" s="109">
        <v>4178</v>
      </c>
      <c r="B478" s="110">
        <v>7</v>
      </c>
      <c r="C478" s="103" t="s">
        <v>100</v>
      </c>
      <c r="D478" s="103">
        <v>7</v>
      </c>
      <c r="E478" s="104">
        <f>+SUMIF('GE16FEB14 Unfudged'!$A$2:$A$498, $A478, 'GE16FEB14 Unfudged'!$D$2:$D$498)</f>
        <v>216</v>
      </c>
      <c r="F478" s="104">
        <f>+'FY16 Tax Bill'!F478-'FY16 Feb Forecast'!F478</f>
        <v>596</v>
      </c>
      <c r="G478" s="105">
        <f>+'FY16 Tax Bill'!G478-'FY16 Feb Forecast'!G478</f>
        <v>0</v>
      </c>
      <c r="H478" s="106">
        <f>+'FY16 Tax Bill'!H478-'FY16 Feb Forecast'!H478</f>
        <v>596</v>
      </c>
      <c r="I478" s="107">
        <f>+'FY16 Tax Bill'!I478-'FY16 Feb Forecast'!I478</f>
        <v>0</v>
      </c>
      <c r="J478" s="105">
        <f>+'FY16 Tax Bill'!J478-'FY16 Feb Forecast'!J478</f>
        <v>0</v>
      </c>
      <c r="K478" s="106">
        <f>+'FY16 Tax Bill'!K478-'FY16 Feb Forecast'!K478</f>
        <v>0</v>
      </c>
      <c r="L478" s="107">
        <f>+'FY16 Tax Bill'!L478-'FY16 Feb Forecast'!L478</f>
        <v>0</v>
      </c>
      <c r="M478" s="105">
        <f>+'FY16 Tax Bill'!M478-'FY16 Feb Forecast'!M478</f>
        <v>0</v>
      </c>
      <c r="N478" s="106">
        <f>+'FY16 Tax Bill'!N478-'FY16 Feb Forecast'!N478</f>
        <v>0</v>
      </c>
      <c r="O478" s="107">
        <f>+'FY16 Tax Bill'!O478-'FY16 Feb Forecast'!O478</f>
        <v>596</v>
      </c>
      <c r="P478" s="105">
        <f>+'FY16 Tax Bill'!P478-'FY16 Feb Forecast'!P478</f>
        <v>0</v>
      </c>
      <c r="Q478" s="106">
        <f>+'FY16 Tax Bill'!Q478-'FY16 Feb Forecast'!Q478</f>
        <v>596</v>
      </c>
      <c r="R478" s="105">
        <f>+'FY16 Tax Bill'!R478-'FY16 Feb Forecast'!R478</f>
        <v>2.7592592592592666</v>
      </c>
      <c r="S478" s="105">
        <f>+'FY16 Tax Bill'!S478-'FY16 Feb Forecast'!S478</f>
        <v>0</v>
      </c>
      <c r="T478" s="108">
        <f>+'FY16 Tax Bill'!T478-'FY16 Feb Forecast'!T478</f>
        <v>2.7592592592592666</v>
      </c>
    </row>
    <row r="479" spans="1:20" x14ac:dyDescent="0.2">
      <c r="A479" s="109">
        <v>4180</v>
      </c>
      <c r="B479" s="110">
        <v>7</v>
      </c>
      <c r="C479" s="103" t="s">
        <v>101</v>
      </c>
      <c r="D479" s="103">
        <v>7</v>
      </c>
      <c r="E479" s="104">
        <f>+SUMIF('GE16FEB14 Unfudged'!$A$2:$A$498, $A479, 'GE16FEB14 Unfudged'!$D$2:$D$498)</f>
        <v>0</v>
      </c>
      <c r="F479" s="104">
        <f>+'FY16 Tax Bill'!F479-'FY16 Feb Forecast'!F479</f>
        <v>0</v>
      </c>
      <c r="G479" s="105">
        <f>+'FY16 Tax Bill'!G479-'FY16 Feb Forecast'!G479</f>
        <v>0</v>
      </c>
      <c r="H479" s="106">
        <f>+'FY16 Tax Bill'!H479-'FY16 Feb Forecast'!H479</f>
        <v>0</v>
      </c>
      <c r="I479" s="107">
        <f>+'FY16 Tax Bill'!I479-'FY16 Feb Forecast'!I479</f>
        <v>0</v>
      </c>
      <c r="J479" s="105">
        <f>+'FY16 Tax Bill'!J479-'FY16 Feb Forecast'!J479</f>
        <v>0</v>
      </c>
      <c r="K479" s="106">
        <f>+'FY16 Tax Bill'!K479-'FY16 Feb Forecast'!K479</f>
        <v>0</v>
      </c>
      <c r="L479" s="107">
        <f>+'FY16 Tax Bill'!L479-'FY16 Feb Forecast'!L479</f>
        <v>0</v>
      </c>
      <c r="M479" s="105">
        <f>+'FY16 Tax Bill'!M479-'FY16 Feb Forecast'!M479</f>
        <v>0</v>
      </c>
      <c r="N479" s="106">
        <f>+'FY16 Tax Bill'!N479-'FY16 Feb Forecast'!N479</f>
        <v>0</v>
      </c>
      <c r="O479" s="107">
        <f>+'FY16 Tax Bill'!O479-'FY16 Feb Forecast'!O479</f>
        <v>0</v>
      </c>
      <c r="P479" s="105">
        <f>+'FY16 Tax Bill'!P479-'FY16 Feb Forecast'!P479</f>
        <v>0</v>
      </c>
      <c r="Q479" s="106">
        <f>+'FY16 Tax Bill'!Q479-'FY16 Feb Forecast'!Q479</f>
        <v>0</v>
      </c>
      <c r="R479" s="105">
        <f>+'FY16 Tax Bill'!R479-'FY16 Feb Forecast'!R479</f>
        <v>0</v>
      </c>
      <c r="S479" s="105">
        <f>+'FY16 Tax Bill'!S479-'FY16 Feb Forecast'!S479</f>
        <v>0</v>
      </c>
      <c r="T479" s="108">
        <f>+'FY16 Tax Bill'!T479-'FY16 Feb Forecast'!T479</f>
        <v>0</v>
      </c>
    </row>
    <row r="480" spans="1:20" x14ac:dyDescent="0.2">
      <c r="A480" s="109">
        <v>4181</v>
      </c>
      <c r="B480" s="110">
        <v>7</v>
      </c>
      <c r="C480" s="103" t="s">
        <v>102</v>
      </c>
      <c r="D480" s="103">
        <v>7</v>
      </c>
      <c r="E480" s="104">
        <f>+SUMIF('GE16FEB14 Unfudged'!$A$2:$A$498, $A480, 'GE16FEB14 Unfudged'!$D$2:$D$498)</f>
        <v>956</v>
      </c>
      <c r="F480" s="104">
        <f>+'FY16 Tax Bill'!F480-'FY16 Feb Forecast'!F480</f>
        <v>2638</v>
      </c>
      <c r="G480" s="105">
        <f>+'FY16 Tax Bill'!G480-'FY16 Feb Forecast'!G480</f>
        <v>0</v>
      </c>
      <c r="H480" s="106">
        <f>+'FY16 Tax Bill'!H480-'FY16 Feb Forecast'!H480</f>
        <v>2638</v>
      </c>
      <c r="I480" s="107">
        <f>+'FY16 Tax Bill'!I480-'FY16 Feb Forecast'!I480</f>
        <v>0</v>
      </c>
      <c r="J480" s="105">
        <f>+'FY16 Tax Bill'!J480-'FY16 Feb Forecast'!J480</f>
        <v>0</v>
      </c>
      <c r="K480" s="106">
        <f>+'FY16 Tax Bill'!K480-'FY16 Feb Forecast'!K480</f>
        <v>0</v>
      </c>
      <c r="L480" s="107">
        <f>+'FY16 Tax Bill'!L480-'FY16 Feb Forecast'!L480</f>
        <v>0</v>
      </c>
      <c r="M480" s="105">
        <f>+'FY16 Tax Bill'!M480-'FY16 Feb Forecast'!M480</f>
        <v>0</v>
      </c>
      <c r="N480" s="106">
        <f>+'FY16 Tax Bill'!N480-'FY16 Feb Forecast'!N480</f>
        <v>0</v>
      </c>
      <c r="O480" s="107">
        <f>+'FY16 Tax Bill'!O480-'FY16 Feb Forecast'!O480</f>
        <v>2638</v>
      </c>
      <c r="P480" s="105">
        <f>+'FY16 Tax Bill'!P480-'FY16 Feb Forecast'!P480</f>
        <v>0</v>
      </c>
      <c r="Q480" s="106">
        <f>+'FY16 Tax Bill'!Q480-'FY16 Feb Forecast'!Q480</f>
        <v>2638</v>
      </c>
      <c r="R480" s="105">
        <f>+'FY16 Tax Bill'!R480-'FY16 Feb Forecast'!R480</f>
        <v>2.7594142259414127</v>
      </c>
      <c r="S480" s="105">
        <f>+'FY16 Tax Bill'!S480-'FY16 Feb Forecast'!S480</f>
        <v>0</v>
      </c>
      <c r="T480" s="108">
        <f>+'FY16 Tax Bill'!T480-'FY16 Feb Forecast'!T480</f>
        <v>2.7594142259414127</v>
      </c>
    </row>
    <row r="481" spans="1:20" x14ac:dyDescent="0.2">
      <c r="A481" s="109">
        <v>4182</v>
      </c>
      <c r="B481" s="110">
        <v>7</v>
      </c>
      <c r="C481" s="103" t="s">
        <v>103</v>
      </c>
      <c r="D481" s="103">
        <v>7</v>
      </c>
      <c r="E481" s="104">
        <f>+SUMIF('GE16FEB14 Unfudged'!$A$2:$A$498, $A481, 'GE16FEB14 Unfudged'!$D$2:$D$498)</f>
        <v>0</v>
      </c>
      <c r="F481" s="104">
        <f>+'FY16 Tax Bill'!F481-'FY16 Feb Forecast'!F481</f>
        <v>0</v>
      </c>
      <c r="G481" s="105">
        <f>+'FY16 Tax Bill'!G481-'FY16 Feb Forecast'!G481</f>
        <v>0</v>
      </c>
      <c r="H481" s="106">
        <f>+'FY16 Tax Bill'!H481-'FY16 Feb Forecast'!H481</f>
        <v>0</v>
      </c>
      <c r="I481" s="107">
        <f>+'FY16 Tax Bill'!I481-'FY16 Feb Forecast'!I481</f>
        <v>0</v>
      </c>
      <c r="J481" s="105">
        <f>+'FY16 Tax Bill'!J481-'FY16 Feb Forecast'!J481</f>
        <v>0</v>
      </c>
      <c r="K481" s="106">
        <f>+'FY16 Tax Bill'!K481-'FY16 Feb Forecast'!K481</f>
        <v>0</v>
      </c>
      <c r="L481" s="107">
        <f>+'FY16 Tax Bill'!L481-'FY16 Feb Forecast'!L481</f>
        <v>0</v>
      </c>
      <c r="M481" s="105">
        <f>+'FY16 Tax Bill'!M481-'FY16 Feb Forecast'!M481</f>
        <v>0</v>
      </c>
      <c r="N481" s="106">
        <f>+'FY16 Tax Bill'!N481-'FY16 Feb Forecast'!N481</f>
        <v>0</v>
      </c>
      <c r="O481" s="107">
        <f>+'FY16 Tax Bill'!O481-'FY16 Feb Forecast'!O481</f>
        <v>0</v>
      </c>
      <c r="P481" s="105">
        <f>+'FY16 Tax Bill'!P481-'FY16 Feb Forecast'!P481</f>
        <v>0</v>
      </c>
      <c r="Q481" s="106">
        <f>+'FY16 Tax Bill'!Q481-'FY16 Feb Forecast'!Q481</f>
        <v>0</v>
      </c>
      <c r="R481" s="105">
        <f>+'FY16 Tax Bill'!R481-'FY16 Feb Forecast'!R481</f>
        <v>0</v>
      </c>
      <c r="S481" s="105">
        <f>+'FY16 Tax Bill'!S481-'FY16 Feb Forecast'!S481</f>
        <v>0</v>
      </c>
      <c r="T481" s="108">
        <f>+'FY16 Tax Bill'!T481-'FY16 Feb Forecast'!T481</f>
        <v>0</v>
      </c>
    </row>
    <row r="482" spans="1:20" x14ac:dyDescent="0.2">
      <c r="A482" s="109">
        <v>4183</v>
      </c>
      <c r="B482" s="110">
        <v>7</v>
      </c>
      <c r="C482" s="103" t="s">
        <v>104</v>
      </c>
      <c r="D482" s="103">
        <v>7</v>
      </c>
      <c r="E482" s="104">
        <f>+SUMIF('GE16FEB14 Unfudged'!$A$2:$A$498, $A482, 'GE16FEB14 Unfudged'!$D$2:$D$498)</f>
        <v>172</v>
      </c>
      <c r="F482" s="104">
        <f>+'FY16 Tax Bill'!F482-'FY16 Feb Forecast'!F482</f>
        <v>473</v>
      </c>
      <c r="G482" s="105">
        <f>+'FY16 Tax Bill'!G482-'FY16 Feb Forecast'!G482</f>
        <v>0</v>
      </c>
      <c r="H482" s="106">
        <f>+'FY16 Tax Bill'!H482-'FY16 Feb Forecast'!H482</f>
        <v>473</v>
      </c>
      <c r="I482" s="107">
        <f>+'FY16 Tax Bill'!I482-'FY16 Feb Forecast'!I482</f>
        <v>0</v>
      </c>
      <c r="J482" s="105">
        <f>+'FY16 Tax Bill'!J482-'FY16 Feb Forecast'!J482</f>
        <v>0</v>
      </c>
      <c r="K482" s="106">
        <f>+'FY16 Tax Bill'!K482-'FY16 Feb Forecast'!K482</f>
        <v>0</v>
      </c>
      <c r="L482" s="107">
        <f>+'FY16 Tax Bill'!L482-'FY16 Feb Forecast'!L482</f>
        <v>0</v>
      </c>
      <c r="M482" s="105">
        <f>+'FY16 Tax Bill'!M482-'FY16 Feb Forecast'!M482</f>
        <v>0</v>
      </c>
      <c r="N482" s="106">
        <f>+'FY16 Tax Bill'!N482-'FY16 Feb Forecast'!N482</f>
        <v>0</v>
      </c>
      <c r="O482" s="107">
        <f>+'FY16 Tax Bill'!O482-'FY16 Feb Forecast'!O482</f>
        <v>473</v>
      </c>
      <c r="P482" s="105">
        <f>+'FY16 Tax Bill'!P482-'FY16 Feb Forecast'!P482</f>
        <v>0</v>
      </c>
      <c r="Q482" s="106">
        <f>+'FY16 Tax Bill'!Q482-'FY16 Feb Forecast'!Q482</f>
        <v>473</v>
      </c>
      <c r="R482" s="105">
        <f>+'FY16 Tax Bill'!R482-'FY16 Feb Forecast'!R482</f>
        <v>2.75</v>
      </c>
      <c r="S482" s="105">
        <f>+'FY16 Tax Bill'!S482-'FY16 Feb Forecast'!S482</f>
        <v>0</v>
      </c>
      <c r="T482" s="108">
        <f>+'FY16 Tax Bill'!T482-'FY16 Feb Forecast'!T482</f>
        <v>2.75</v>
      </c>
    </row>
    <row r="483" spans="1:20" x14ac:dyDescent="0.2">
      <c r="A483" s="109">
        <v>4184</v>
      </c>
      <c r="B483" s="110">
        <v>7</v>
      </c>
      <c r="C483" s="103" t="s">
        <v>105</v>
      </c>
      <c r="D483" s="103">
        <v>7</v>
      </c>
      <c r="E483" s="104">
        <f>+SUMIF('GE16FEB14 Unfudged'!$A$2:$A$498, $A483, 'GE16FEB14 Unfudged'!$D$2:$D$498)</f>
        <v>783</v>
      </c>
      <c r="F483" s="104">
        <f>+'FY16 Tax Bill'!F483-'FY16 Feb Forecast'!F483</f>
        <v>2161</v>
      </c>
      <c r="G483" s="105">
        <f>+'FY16 Tax Bill'!G483-'FY16 Feb Forecast'!G483</f>
        <v>0</v>
      </c>
      <c r="H483" s="106">
        <f>+'FY16 Tax Bill'!H483-'FY16 Feb Forecast'!H483</f>
        <v>2161</v>
      </c>
      <c r="I483" s="107">
        <f>+'FY16 Tax Bill'!I483-'FY16 Feb Forecast'!I483</f>
        <v>0</v>
      </c>
      <c r="J483" s="105">
        <f>+'FY16 Tax Bill'!J483-'FY16 Feb Forecast'!J483</f>
        <v>0</v>
      </c>
      <c r="K483" s="106">
        <f>+'FY16 Tax Bill'!K483-'FY16 Feb Forecast'!K483</f>
        <v>0</v>
      </c>
      <c r="L483" s="107">
        <f>+'FY16 Tax Bill'!L483-'FY16 Feb Forecast'!L483</f>
        <v>0</v>
      </c>
      <c r="M483" s="105">
        <f>+'FY16 Tax Bill'!M483-'FY16 Feb Forecast'!M483</f>
        <v>0</v>
      </c>
      <c r="N483" s="106">
        <f>+'FY16 Tax Bill'!N483-'FY16 Feb Forecast'!N483</f>
        <v>0</v>
      </c>
      <c r="O483" s="107">
        <f>+'FY16 Tax Bill'!O483-'FY16 Feb Forecast'!O483</f>
        <v>2161</v>
      </c>
      <c r="P483" s="105">
        <f>+'FY16 Tax Bill'!P483-'FY16 Feb Forecast'!P483</f>
        <v>0</v>
      </c>
      <c r="Q483" s="106">
        <f>+'FY16 Tax Bill'!Q483-'FY16 Feb Forecast'!Q483</f>
        <v>2161</v>
      </c>
      <c r="R483" s="105">
        <f>+'FY16 Tax Bill'!R483-'FY16 Feb Forecast'!R483</f>
        <v>2.7598978288633447</v>
      </c>
      <c r="S483" s="105">
        <f>+'FY16 Tax Bill'!S483-'FY16 Feb Forecast'!S483</f>
        <v>0</v>
      </c>
      <c r="T483" s="108">
        <f>+'FY16 Tax Bill'!T483-'FY16 Feb Forecast'!T483</f>
        <v>2.7598978288633447</v>
      </c>
    </row>
    <row r="484" spans="1:20" x14ac:dyDescent="0.2">
      <c r="A484" s="109">
        <v>4185</v>
      </c>
      <c r="B484" s="110">
        <v>7</v>
      </c>
      <c r="C484" s="103" t="s">
        <v>106</v>
      </c>
      <c r="D484" s="103">
        <v>7</v>
      </c>
      <c r="E484" s="104">
        <f>+SUMIF('GE16FEB14 Unfudged'!$A$2:$A$498, $A484, 'GE16FEB14 Unfudged'!$D$2:$D$498)</f>
        <v>545</v>
      </c>
      <c r="F484" s="104">
        <f>+'FY16 Tax Bill'!F484-'FY16 Feb Forecast'!F484</f>
        <v>1503</v>
      </c>
      <c r="G484" s="105">
        <f>+'FY16 Tax Bill'!G484-'FY16 Feb Forecast'!G484</f>
        <v>0</v>
      </c>
      <c r="H484" s="106">
        <f>+'FY16 Tax Bill'!H484-'FY16 Feb Forecast'!H484</f>
        <v>1503</v>
      </c>
      <c r="I484" s="107">
        <f>+'FY16 Tax Bill'!I484-'FY16 Feb Forecast'!I484</f>
        <v>0</v>
      </c>
      <c r="J484" s="105">
        <f>+'FY16 Tax Bill'!J484-'FY16 Feb Forecast'!J484</f>
        <v>0</v>
      </c>
      <c r="K484" s="106">
        <f>+'FY16 Tax Bill'!K484-'FY16 Feb Forecast'!K484</f>
        <v>0</v>
      </c>
      <c r="L484" s="107">
        <f>+'FY16 Tax Bill'!L484-'FY16 Feb Forecast'!L484</f>
        <v>0</v>
      </c>
      <c r="M484" s="105">
        <f>+'FY16 Tax Bill'!M484-'FY16 Feb Forecast'!M484</f>
        <v>0</v>
      </c>
      <c r="N484" s="106">
        <f>+'FY16 Tax Bill'!N484-'FY16 Feb Forecast'!N484</f>
        <v>0</v>
      </c>
      <c r="O484" s="107">
        <f>+'FY16 Tax Bill'!O484-'FY16 Feb Forecast'!O484</f>
        <v>1503</v>
      </c>
      <c r="P484" s="105">
        <f>+'FY16 Tax Bill'!P484-'FY16 Feb Forecast'!P484</f>
        <v>0</v>
      </c>
      <c r="Q484" s="106">
        <f>+'FY16 Tax Bill'!Q484-'FY16 Feb Forecast'!Q484</f>
        <v>1503</v>
      </c>
      <c r="R484" s="105">
        <f>+'FY16 Tax Bill'!R484-'FY16 Feb Forecast'!R484</f>
        <v>2.7577981651376149</v>
      </c>
      <c r="S484" s="105">
        <f>+'FY16 Tax Bill'!S484-'FY16 Feb Forecast'!S484</f>
        <v>0</v>
      </c>
      <c r="T484" s="108">
        <f>+'FY16 Tax Bill'!T484-'FY16 Feb Forecast'!T484</f>
        <v>2.7577981651376149</v>
      </c>
    </row>
    <row r="485" spans="1:20" x14ac:dyDescent="0.2">
      <c r="A485" s="109">
        <v>4186</v>
      </c>
      <c r="B485" s="110">
        <v>7</v>
      </c>
      <c r="C485" s="103" t="s">
        <v>107</v>
      </c>
      <c r="D485" s="103">
        <v>7</v>
      </c>
      <c r="E485" s="104">
        <f>+SUMIF('GE16FEB14 Unfudged'!$A$2:$A$498, $A485, 'GE16FEB14 Unfudged'!$D$2:$D$498)</f>
        <v>435</v>
      </c>
      <c r="F485" s="104">
        <f>+'FY16 Tax Bill'!F485-'FY16 Feb Forecast'!F485</f>
        <v>1200</v>
      </c>
      <c r="G485" s="105">
        <f>+'FY16 Tax Bill'!G485-'FY16 Feb Forecast'!G485</f>
        <v>0</v>
      </c>
      <c r="H485" s="106">
        <f>+'FY16 Tax Bill'!H485-'FY16 Feb Forecast'!H485</f>
        <v>1200</v>
      </c>
      <c r="I485" s="107">
        <f>+'FY16 Tax Bill'!I485-'FY16 Feb Forecast'!I485</f>
        <v>0</v>
      </c>
      <c r="J485" s="105">
        <f>+'FY16 Tax Bill'!J485-'FY16 Feb Forecast'!J485</f>
        <v>0</v>
      </c>
      <c r="K485" s="106">
        <f>+'FY16 Tax Bill'!K485-'FY16 Feb Forecast'!K485</f>
        <v>0</v>
      </c>
      <c r="L485" s="107">
        <f>+'FY16 Tax Bill'!L485-'FY16 Feb Forecast'!L485</f>
        <v>0</v>
      </c>
      <c r="M485" s="105">
        <f>+'FY16 Tax Bill'!M485-'FY16 Feb Forecast'!M485</f>
        <v>0</v>
      </c>
      <c r="N485" s="106">
        <f>+'FY16 Tax Bill'!N485-'FY16 Feb Forecast'!N485</f>
        <v>0</v>
      </c>
      <c r="O485" s="107">
        <f>+'FY16 Tax Bill'!O485-'FY16 Feb Forecast'!O485</f>
        <v>1200</v>
      </c>
      <c r="P485" s="105">
        <f>+'FY16 Tax Bill'!P485-'FY16 Feb Forecast'!P485</f>
        <v>0</v>
      </c>
      <c r="Q485" s="106">
        <f>+'FY16 Tax Bill'!Q485-'FY16 Feb Forecast'!Q485</f>
        <v>1200</v>
      </c>
      <c r="R485" s="105">
        <f>+'FY16 Tax Bill'!R485-'FY16 Feb Forecast'!R485</f>
        <v>2.7586206896551744</v>
      </c>
      <c r="S485" s="105">
        <f>+'FY16 Tax Bill'!S485-'FY16 Feb Forecast'!S485</f>
        <v>0</v>
      </c>
      <c r="T485" s="108">
        <f>+'FY16 Tax Bill'!T485-'FY16 Feb Forecast'!T485</f>
        <v>2.7586206896551744</v>
      </c>
    </row>
    <row r="486" spans="1:20" x14ac:dyDescent="0.2">
      <c r="A486" s="109">
        <v>4187</v>
      </c>
      <c r="B486" s="110">
        <v>7</v>
      </c>
      <c r="C486" s="103" t="s">
        <v>108</v>
      </c>
      <c r="D486" s="103">
        <v>7</v>
      </c>
      <c r="E486" s="104">
        <f>+SUMIF('GE16FEB14 Unfudged'!$A$2:$A$498, $A486, 'GE16FEB14 Unfudged'!$D$2:$D$498)</f>
        <v>101</v>
      </c>
      <c r="F486" s="104">
        <f>+'FY16 Tax Bill'!F486-'FY16 Feb Forecast'!F486</f>
        <v>279</v>
      </c>
      <c r="G486" s="105">
        <f>+'FY16 Tax Bill'!G486-'FY16 Feb Forecast'!G486</f>
        <v>0</v>
      </c>
      <c r="H486" s="106">
        <f>+'FY16 Tax Bill'!H486-'FY16 Feb Forecast'!H486</f>
        <v>279</v>
      </c>
      <c r="I486" s="107">
        <f>+'FY16 Tax Bill'!I486-'FY16 Feb Forecast'!I486</f>
        <v>0</v>
      </c>
      <c r="J486" s="105">
        <f>+'FY16 Tax Bill'!J486-'FY16 Feb Forecast'!J486</f>
        <v>0</v>
      </c>
      <c r="K486" s="106">
        <f>+'FY16 Tax Bill'!K486-'FY16 Feb Forecast'!K486</f>
        <v>0</v>
      </c>
      <c r="L486" s="107">
        <f>+'FY16 Tax Bill'!L486-'FY16 Feb Forecast'!L486</f>
        <v>0</v>
      </c>
      <c r="M486" s="105">
        <f>+'FY16 Tax Bill'!M486-'FY16 Feb Forecast'!M486</f>
        <v>0</v>
      </c>
      <c r="N486" s="106">
        <f>+'FY16 Tax Bill'!N486-'FY16 Feb Forecast'!N486</f>
        <v>0</v>
      </c>
      <c r="O486" s="107">
        <f>+'FY16 Tax Bill'!O486-'FY16 Feb Forecast'!O486</f>
        <v>279</v>
      </c>
      <c r="P486" s="105">
        <f>+'FY16 Tax Bill'!P486-'FY16 Feb Forecast'!P486</f>
        <v>0</v>
      </c>
      <c r="Q486" s="106">
        <f>+'FY16 Tax Bill'!Q486-'FY16 Feb Forecast'!Q486</f>
        <v>279</v>
      </c>
      <c r="R486" s="105">
        <f>+'FY16 Tax Bill'!R486-'FY16 Feb Forecast'!R486</f>
        <v>2.7623762376237693</v>
      </c>
      <c r="S486" s="105">
        <f>+'FY16 Tax Bill'!S486-'FY16 Feb Forecast'!S486</f>
        <v>0</v>
      </c>
      <c r="T486" s="108">
        <f>+'FY16 Tax Bill'!T486-'FY16 Feb Forecast'!T486</f>
        <v>2.7623762376237693</v>
      </c>
    </row>
    <row r="487" spans="1:20" x14ac:dyDescent="0.2">
      <c r="A487" s="109">
        <v>4188</v>
      </c>
      <c r="B487" s="110">
        <v>7</v>
      </c>
      <c r="C487" s="103" t="s">
        <v>109</v>
      </c>
      <c r="D487" s="103">
        <v>7</v>
      </c>
      <c r="E487" s="104">
        <f>+SUMIF('GE16FEB14 Unfudged'!$A$2:$A$498, $A487, 'GE16FEB14 Unfudged'!$D$2:$D$498)</f>
        <v>621</v>
      </c>
      <c r="F487" s="104">
        <f>+'FY16 Tax Bill'!F487-'FY16 Feb Forecast'!F487</f>
        <v>1714</v>
      </c>
      <c r="G487" s="105">
        <f>+'FY16 Tax Bill'!G487-'FY16 Feb Forecast'!G487</f>
        <v>0</v>
      </c>
      <c r="H487" s="106">
        <f>+'FY16 Tax Bill'!H487-'FY16 Feb Forecast'!H487</f>
        <v>1714</v>
      </c>
      <c r="I487" s="107">
        <f>+'FY16 Tax Bill'!I487-'FY16 Feb Forecast'!I487</f>
        <v>0</v>
      </c>
      <c r="J487" s="105">
        <f>+'FY16 Tax Bill'!J487-'FY16 Feb Forecast'!J487</f>
        <v>0</v>
      </c>
      <c r="K487" s="106">
        <f>+'FY16 Tax Bill'!K487-'FY16 Feb Forecast'!K487</f>
        <v>0</v>
      </c>
      <c r="L487" s="107">
        <f>+'FY16 Tax Bill'!L487-'FY16 Feb Forecast'!L487</f>
        <v>0</v>
      </c>
      <c r="M487" s="105">
        <f>+'FY16 Tax Bill'!M487-'FY16 Feb Forecast'!M487</f>
        <v>0</v>
      </c>
      <c r="N487" s="106">
        <f>+'FY16 Tax Bill'!N487-'FY16 Feb Forecast'!N487</f>
        <v>0</v>
      </c>
      <c r="O487" s="107">
        <f>+'FY16 Tax Bill'!O487-'FY16 Feb Forecast'!O487</f>
        <v>1714</v>
      </c>
      <c r="P487" s="105">
        <f>+'FY16 Tax Bill'!P487-'FY16 Feb Forecast'!P487</f>
        <v>0</v>
      </c>
      <c r="Q487" s="106">
        <f>+'FY16 Tax Bill'!Q487-'FY16 Feb Forecast'!Q487</f>
        <v>1714</v>
      </c>
      <c r="R487" s="105">
        <f>+'FY16 Tax Bill'!R487-'FY16 Feb Forecast'!R487</f>
        <v>2.7600644122383358</v>
      </c>
      <c r="S487" s="105">
        <f>+'FY16 Tax Bill'!S487-'FY16 Feb Forecast'!S487</f>
        <v>0</v>
      </c>
      <c r="T487" s="108">
        <f>+'FY16 Tax Bill'!T487-'FY16 Feb Forecast'!T487</f>
        <v>2.7600644122383358</v>
      </c>
    </row>
    <row r="488" spans="1:20" x14ac:dyDescent="0.2">
      <c r="A488" s="109">
        <v>4189</v>
      </c>
      <c r="B488" s="110">
        <v>7</v>
      </c>
      <c r="C488" s="103" t="s">
        <v>110</v>
      </c>
      <c r="D488" s="103">
        <v>7</v>
      </c>
      <c r="E488" s="104">
        <f>+SUMIF('GE16FEB14 Unfudged'!$A$2:$A$498, $A488, 'GE16FEB14 Unfudged'!$D$2:$D$498)</f>
        <v>210</v>
      </c>
      <c r="F488" s="104">
        <f>+'FY16 Tax Bill'!F488-'FY16 Feb Forecast'!F488</f>
        <v>580</v>
      </c>
      <c r="G488" s="105">
        <f>+'FY16 Tax Bill'!G488-'FY16 Feb Forecast'!G488</f>
        <v>0</v>
      </c>
      <c r="H488" s="106">
        <f>+'FY16 Tax Bill'!H488-'FY16 Feb Forecast'!H488</f>
        <v>580</v>
      </c>
      <c r="I488" s="107">
        <f>+'FY16 Tax Bill'!I488-'FY16 Feb Forecast'!I488</f>
        <v>0</v>
      </c>
      <c r="J488" s="105">
        <f>+'FY16 Tax Bill'!J488-'FY16 Feb Forecast'!J488</f>
        <v>0</v>
      </c>
      <c r="K488" s="106">
        <f>+'FY16 Tax Bill'!K488-'FY16 Feb Forecast'!K488</f>
        <v>0</v>
      </c>
      <c r="L488" s="107">
        <f>+'FY16 Tax Bill'!L488-'FY16 Feb Forecast'!L488</f>
        <v>0</v>
      </c>
      <c r="M488" s="105">
        <f>+'FY16 Tax Bill'!M488-'FY16 Feb Forecast'!M488</f>
        <v>0</v>
      </c>
      <c r="N488" s="106">
        <f>+'FY16 Tax Bill'!N488-'FY16 Feb Forecast'!N488</f>
        <v>0</v>
      </c>
      <c r="O488" s="107">
        <f>+'FY16 Tax Bill'!O488-'FY16 Feb Forecast'!O488</f>
        <v>580</v>
      </c>
      <c r="P488" s="105">
        <f>+'FY16 Tax Bill'!P488-'FY16 Feb Forecast'!P488</f>
        <v>0</v>
      </c>
      <c r="Q488" s="106">
        <f>+'FY16 Tax Bill'!Q488-'FY16 Feb Forecast'!Q488</f>
        <v>580</v>
      </c>
      <c r="R488" s="105">
        <f>+'FY16 Tax Bill'!R488-'FY16 Feb Forecast'!R488</f>
        <v>2.7619047619047734</v>
      </c>
      <c r="S488" s="105">
        <f>+'FY16 Tax Bill'!S488-'FY16 Feb Forecast'!S488</f>
        <v>0</v>
      </c>
      <c r="T488" s="108">
        <f>+'FY16 Tax Bill'!T488-'FY16 Feb Forecast'!T488</f>
        <v>2.7619047619047734</v>
      </c>
    </row>
    <row r="489" spans="1:20" x14ac:dyDescent="0.2">
      <c r="A489" s="109">
        <v>4190</v>
      </c>
      <c r="B489" s="110">
        <v>7</v>
      </c>
      <c r="C489" s="103" t="s">
        <v>507</v>
      </c>
      <c r="D489" s="103">
        <v>7</v>
      </c>
      <c r="E489" s="104">
        <f>+SUMIF('GE16FEB14 Unfudged'!$A$2:$A$498, $A489, 'GE16FEB14 Unfudged'!$D$2:$D$498)</f>
        <v>114</v>
      </c>
      <c r="F489" s="104">
        <f>+'FY16 Tax Bill'!F489-'FY16 Feb Forecast'!F489</f>
        <v>314</v>
      </c>
      <c r="G489" s="105">
        <f>+'FY16 Tax Bill'!G489-'FY16 Feb Forecast'!G489</f>
        <v>0</v>
      </c>
      <c r="H489" s="106">
        <f>+'FY16 Tax Bill'!H489-'FY16 Feb Forecast'!H489</f>
        <v>314</v>
      </c>
      <c r="I489" s="107">
        <f>+'FY16 Tax Bill'!I489-'FY16 Feb Forecast'!I489</f>
        <v>0</v>
      </c>
      <c r="J489" s="105">
        <f>+'FY16 Tax Bill'!J489-'FY16 Feb Forecast'!J489</f>
        <v>0</v>
      </c>
      <c r="K489" s="106">
        <f>+'FY16 Tax Bill'!K489-'FY16 Feb Forecast'!K489</f>
        <v>0</v>
      </c>
      <c r="L489" s="107">
        <f>+'FY16 Tax Bill'!L489-'FY16 Feb Forecast'!L489</f>
        <v>0</v>
      </c>
      <c r="M489" s="105">
        <f>+'FY16 Tax Bill'!M489-'FY16 Feb Forecast'!M489</f>
        <v>0</v>
      </c>
      <c r="N489" s="106">
        <f>+'FY16 Tax Bill'!N489-'FY16 Feb Forecast'!N489</f>
        <v>0</v>
      </c>
      <c r="O489" s="107">
        <f>+'FY16 Tax Bill'!O489-'FY16 Feb Forecast'!O489</f>
        <v>314</v>
      </c>
      <c r="P489" s="105">
        <f>+'FY16 Tax Bill'!P489-'FY16 Feb Forecast'!P489</f>
        <v>0</v>
      </c>
      <c r="Q489" s="106">
        <f>+'FY16 Tax Bill'!Q489-'FY16 Feb Forecast'!Q489</f>
        <v>314</v>
      </c>
      <c r="R489" s="105">
        <f>+'FY16 Tax Bill'!R489-'FY16 Feb Forecast'!R489</f>
        <v>2.7543859649122737</v>
      </c>
      <c r="S489" s="105">
        <f>+'FY16 Tax Bill'!S489-'FY16 Feb Forecast'!S489</f>
        <v>0</v>
      </c>
      <c r="T489" s="108">
        <f>+'FY16 Tax Bill'!T489-'FY16 Feb Forecast'!T489</f>
        <v>2.7543859649122737</v>
      </c>
    </row>
    <row r="490" spans="1:20" x14ac:dyDescent="0.2">
      <c r="A490" s="109">
        <v>4191</v>
      </c>
      <c r="B490" s="110">
        <v>7</v>
      </c>
      <c r="C490" s="103" t="s">
        <v>111</v>
      </c>
      <c r="D490" s="103">
        <v>7</v>
      </c>
      <c r="E490" s="104">
        <f>+SUMIF('GE16FEB14 Unfudged'!$A$2:$A$498, $A490, 'GE16FEB14 Unfudged'!$D$2:$D$498)</f>
        <v>268</v>
      </c>
      <c r="F490" s="104">
        <f>+'FY16 Tax Bill'!F490-'FY16 Feb Forecast'!F490</f>
        <v>740</v>
      </c>
      <c r="G490" s="105">
        <f>+'FY16 Tax Bill'!G490-'FY16 Feb Forecast'!G490</f>
        <v>0</v>
      </c>
      <c r="H490" s="106">
        <f>+'FY16 Tax Bill'!H490-'FY16 Feb Forecast'!H490</f>
        <v>740</v>
      </c>
      <c r="I490" s="107">
        <f>+'FY16 Tax Bill'!I490-'FY16 Feb Forecast'!I490</f>
        <v>0</v>
      </c>
      <c r="J490" s="105">
        <f>+'FY16 Tax Bill'!J490-'FY16 Feb Forecast'!J490</f>
        <v>0</v>
      </c>
      <c r="K490" s="106">
        <f>+'FY16 Tax Bill'!K490-'FY16 Feb Forecast'!K490</f>
        <v>0</v>
      </c>
      <c r="L490" s="107">
        <f>+'FY16 Tax Bill'!L490-'FY16 Feb Forecast'!L490</f>
        <v>0</v>
      </c>
      <c r="M490" s="105">
        <f>+'FY16 Tax Bill'!M490-'FY16 Feb Forecast'!M490</f>
        <v>0</v>
      </c>
      <c r="N490" s="106">
        <f>+'FY16 Tax Bill'!N490-'FY16 Feb Forecast'!N490</f>
        <v>0</v>
      </c>
      <c r="O490" s="107">
        <f>+'FY16 Tax Bill'!O490-'FY16 Feb Forecast'!O490</f>
        <v>740</v>
      </c>
      <c r="P490" s="105">
        <f>+'FY16 Tax Bill'!P490-'FY16 Feb Forecast'!P490</f>
        <v>0</v>
      </c>
      <c r="Q490" s="106">
        <f>+'FY16 Tax Bill'!Q490-'FY16 Feb Forecast'!Q490</f>
        <v>740</v>
      </c>
      <c r="R490" s="105">
        <f>+'FY16 Tax Bill'!R490-'FY16 Feb Forecast'!R490</f>
        <v>2.761194029850742</v>
      </c>
      <c r="S490" s="105">
        <f>+'FY16 Tax Bill'!S490-'FY16 Feb Forecast'!S490</f>
        <v>0</v>
      </c>
      <c r="T490" s="108">
        <f>+'FY16 Tax Bill'!T490-'FY16 Feb Forecast'!T490</f>
        <v>2.761194029850742</v>
      </c>
    </row>
    <row r="491" spans="1:20" x14ac:dyDescent="0.2">
      <c r="A491" s="109">
        <v>4192</v>
      </c>
      <c r="B491" s="110">
        <v>7</v>
      </c>
      <c r="C491" s="103" t="s">
        <v>112</v>
      </c>
      <c r="D491" s="103">
        <v>7</v>
      </c>
      <c r="E491" s="104">
        <f>+SUMIF('GE16FEB14 Unfudged'!$A$2:$A$498, $A491, 'GE16FEB14 Unfudged'!$D$2:$D$498)</f>
        <v>428</v>
      </c>
      <c r="F491" s="104">
        <f>+'FY16 Tax Bill'!F491-'FY16 Feb Forecast'!F491</f>
        <v>1180</v>
      </c>
      <c r="G491" s="105">
        <f>+'FY16 Tax Bill'!G491-'FY16 Feb Forecast'!G491</f>
        <v>0</v>
      </c>
      <c r="H491" s="106">
        <f>+'FY16 Tax Bill'!H491-'FY16 Feb Forecast'!H491</f>
        <v>1180</v>
      </c>
      <c r="I491" s="107">
        <f>+'FY16 Tax Bill'!I491-'FY16 Feb Forecast'!I491</f>
        <v>0</v>
      </c>
      <c r="J491" s="105">
        <f>+'FY16 Tax Bill'!J491-'FY16 Feb Forecast'!J491</f>
        <v>0</v>
      </c>
      <c r="K491" s="106">
        <f>+'FY16 Tax Bill'!K491-'FY16 Feb Forecast'!K491</f>
        <v>0</v>
      </c>
      <c r="L491" s="107">
        <f>+'FY16 Tax Bill'!L491-'FY16 Feb Forecast'!L491</f>
        <v>0</v>
      </c>
      <c r="M491" s="105">
        <f>+'FY16 Tax Bill'!M491-'FY16 Feb Forecast'!M491</f>
        <v>0</v>
      </c>
      <c r="N491" s="106">
        <f>+'FY16 Tax Bill'!N491-'FY16 Feb Forecast'!N491</f>
        <v>0</v>
      </c>
      <c r="O491" s="107">
        <f>+'FY16 Tax Bill'!O491-'FY16 Feb Forecast'!O491</f>
        <v>1180</v>
      </c>
      <c r="P491" s="105">
        <f>+'FY16 Tax Bill'!P491-'FY16 Feb Forecast'!P491</f>
        <v>0</v>
      </c>
      <c r="Q491" s="106">
        <f>+'FY16 Tax Bill'!Q491-'FY16 Feb Forecast'!Q491</f>
        <v>1180</v>
      </c>
      <c r="R491" s="105">
        <f>+'FY16 Tax Bill'!R491-'FY16 Feb Forecast'!R491</f>
        <v>2.7570093457944012</v>
      </c>
      <c r="S491" s="105">
        <f>+'FY16 Tax Bill'!S491-'FY16 Feb Forecast'!S491</f>
        <v>0</v>
      </c>
      <c r="T491" s="108">
        <f>+'FY16 Tax Bill'!T491-'FY16 Feb Forecast'!T491</f>
        <v>2.7570093457944012</v>
      </c>
    </row>
    <row r="492" spans="1:20" x14ac:dyDescent="0.2">
      <c r="A492" s="109">
        <v>4193</v>
      </c>
      <c r="B492" s="110">
        <v>7</v>
      </c>
      <c r="C492" s="103" t="s">
        <v>508</v>
      </c>
      <c r="D492" s="103">
        <v>7</v>
      </c>
      <c r="E492" s="104">
        <f>+SUMIF('GE16FEB14 Unfudged'!$A$2:$A$498, $A492, 'GE16FEB14 Unfudged'!$D$2:$D$498)</f>
        <v>369</v>
      </c>
      <c r="F492" s="104">
        <f>+'FY16 Tax Bill'!F492-'FY16 Feb Forecast'!F492</f>
        <v>1019</v>
      </c>
      <c r="G492" s="105">
        <f>+'FY16 Tax Bill'!G492-'FY16 Feb Forecast'!G492</f>
        <v>0</v>
      </c>
      <c r="H492" s="106">
        <f>+'FY16 Tax Bill'!H492-'FY16 Feb Forecast'!H492</f>
        <v>1019</v>
      </c>
      <c r="I492" s="107">
        <f>+'FY16 Tax Bill'!I492-'FY16 Feb Forecast'!I492</f>
        <v>0</v>
      </c>
      <c r="J492" s="105">
        <f>+'FY16 Tax Bill'!J492-'FY16 Feb Forecast'!J492</f>
        <v>0</v>
      </c>
      <c r="K492" s="106">
        <f>+'FY16 Tax Bill'!K492-'FY16 Feb Forecast'!K492</f>
        <v>0</v>
      </c>
      <c r="L492" s="107">
        <f>+'FY16 Tax Bill'!L492-'FY16 Feb Forecast'!L492</f>
        <v>0</v>
      </c>
      <c r="M492" s="105">
        <f>+'FY16 Tax Bill'!M492-'FY16 Feb Forecast'!M492</f>
        <v>0</v>
      </c>
      <c r="N492" s="106">
        <f>+'FY16 Tax Bill'!N492-'FY16 Feb Forecast'!N492</f>
        <v>0</v>
      </c>
      <c r="O492" s="107">
        <f>+'FY16 Tax Bill'!O492-'FY16 Feb Forecast'!O492</f>
        <v>1019</v>
      </c>
      <c r="P492" s="105">
        <f>+'FY16 Tax Bill'!P492-'FY16 Feb Forecast'!P492</f>
        <v>0</v>
      </c>
      <c r="Q492" s="106">
        <f>+'FY16 Tax Bill'!Q492-'FY16 Feb Forecast'!Q492</f>
        <v>1019</v>
      </c>
      <c r="R492" s="105">
        <f>+'FY16 Tax Bill'!R492-'FY16 Feb Forecast'!R492</f>
        <v>2.761517615176146</v>
      </c>
      <c r="S492" s="105">
        <f>+'FY16 Tax Bill'!S492-'FY16 Feb Forecast'!S492</f>
        <v>0</v>
      </c>
      <c r="T492" s="108">
        <f>+'FY16 Tax Bill'!T492-'FY16 Feb Forecast'!T492</f>
        <v>2.761517615176146</v>
      </c>
    </row>
    <row r="493" spans="1:20" x14ac:dyDescent="0.2">
      <c r="A493" s="109">
        <v>4194</v>
      </c>
      <c r="B493" s="110">
        <v>7</v>
      </c>
      <c r="C493" s="103" t="s">
        <v>113</v>
      </c>
      <c r="D493" s="103">
        <v>7</v>
      </c>
      <c r="E493" s="104">
        <f>+SUMIF('GE16FEB14 Unfudged'!$A$2:$A$498, $A493, 'GE16FEB14 Unfudged'!$D$2:$D$498)</f>
        <v>345</v>
      </c>
      <c r="F493" s="104">
        <f>+'FY16 Tax Bill'!F493-'FY16 Feb Forecast'!F493</f>
        <v>952</v>
      </c>
      <c r="G493" s="105">
        <f>+'FY16 Tax Bill'!G493-'FY16 Feb Forecast'!G493</f>
        <v>0</v>
      </c>
      <c r="H493" s="106">
        <f>+'FY16 Tax Bill'!H493-'FY16 Feb Forecast'!H493</f>
        <v>952</v>
      </c>
      <c r="I493" s="107">
        <f>+'FY16 Tax Bill'!I493-'FY16 Feb Forecast'!I493</f>
        <v>0</v>
      </c>
      <c r="J493" s="105">
        <f>+'FY16 Tax Bill'!J493-'FY16 Feb Forecast'!J493</f>
        <v>0</v>
      </c>
      <c r="K493" s="106">
        <f>+'FY16 Tax Bill'!K493-'FY16 Feb Forecast'!K493</f>
        <v>0</v>
      </c>
      <c r="L493" s="107">
        <f>+'FY16 Tax Bill'!L493-'FY16 Feb Forecast'!L493</f>
        <v>0</v>
      </c>
      <c r="M493" s="105">
        <f>+'FY16 Tax Bill'!M493-'FY16 Feb Forecast'!M493</f>
        <v>0</v>
      </c>
      <c r="N493" s="106">
        <f>+'FY16 Tax Bill'!N493-'FY16 Feb Forecast'!N493</f>
        <v>0</v>
      </c>
      <c r="O493" s="107">
        <f>+'FY16 Tax Bill'!O493-'FY16 Feb Forecast'!O493</f>
        <v>952</v>
      </c>
      <c r="P493" s="105">
        <f>+'FY16 Tax Bill'!P493-'FY16 Feb Forecast'!P493</f>
        <v>0</v>
      </c>
      <c r="Q493" s="106">
        <f>+'FY16 Tax Bill'!Q493-'FY16 Feb Forecast'!Q493</f>
        <v>952</v>
      </c>
      <c r="R493" s="105">
        <f>+'FY16 Tax Bill'!R493-'FY16 Feb Forecast'!R493</f>
        <v>2.7594202898550719</v>
      </c>
      <c r="S493" s="105">
        <f>+'FY16 Tax Bill'!S493-'FY16 Feb Forecast'!S493</f>
        <v>0</v>
      </c>
      <c r="T493" s="108">
        <f>+'FY16 Tax Bill'!T493-'FY16 Feb Forecast'!T493</f>
        <v>2.7594202898550719</v>
      </c>
    </row>
    <row r="494" spans="1:20" x14ac:dyDescent="0.2">
      <c r="A494" s="109">
        <v>4195</v>
      </c>
      <c r="B494" s="110">
        <v>7</v>
      </c>
      <c r="C494" s="103" t="s">
        <v>459</v>
      </c>
      <c r="D494" s="103">
        <v>7</v>
      </c>
      <c r="E494" s="104">
        <f>+SUMIF('GE16FEB14 Unfudged'!$A$2:$A$498, $A494, 'GE16FEB14 Unfudged'!$D$2:$D$498)</f>
        <v>37</v>
      </c>
      <c r="F494" s="104">
        <f>+'FY16 Tax Bill'!F494-'FY16 Feb Forecast'!F494</f>
        <v>102</v>
      </c>
      <c r="G494" s="105">
        <f>+'FY16 Tax Bill'!G494-'FY16 Feb Forecast'!G494</f>
        <v>0</v>
      </c>
      <c r="H494" s="106">
        <f>+'FY16 Tax Bill'!H494-'FY16 Feb Forecast'!H494</f>
        <v>102</v>
      </c>
      <c r="I494" s="107">
        <f>+'FY16 Tax Bill'!I494-'FY16 Feb Forecast'!I494</f>
        <v>0</v>
      </c>
      <c r="J494" s="105">
        <f>+'FY16 Tax Bill'!J494-'FY16 Feb Forecast'!J494</f>
        <v>0</v>
      </c>
      <c r="K494" s="106">
        <f>+'FY16 Tax Bill'!K494-'FY16 Feb Forecast'!K494</f>
        <v>0</v>
      </c>
      <c r="L494" s="107">
        <f>+'FY16 Tax Bill'!L494-'FY16 Feb Forecast'!L494</f>
        <v>0</v>
      </c>
      <c r="M494" s="105">
        <f>+'FY16 Tax Bill'!M494-'FY16 Feb Forecast'!M494</f>
        <v>0</v>
      </c>
      <c r="N494" s="106">
        <f>+'FY16 Tax Bill'!N494-'FY16 Feb Forecast'!N494</f>
        <v>0</v>
      </c>
      <c r="O494" s="107">
        <f>+'FY16 Tax Bill'!O494-'FY16 Feb Forecast'!O494</f>
        <v>102</v>
      </c>
      <c r="P494" s="105">
        <f>+'FY16 Tax Bill'!P494-'FY16 Feb Forecast'!P494</f>
        <v>0</v>
      </c>
      <c r="Q494" s="106">
        <f>+'FY16 Tax Bill'!Q494-'FY16 Feb Forecast'!Q494</f>
        <v>102</v>
      </c>
      <c r="R494" s="105">
        <f>+'FY16 Tax Bill'!R494-'FY16 Feb Forecast'!R494</f>
        <v>2.7567567567567579</v>
      </c>
      <c r="S494" s="105">
        <f>+'FY16 Tax Bill'!S494-'FY16 Feb Forecast'!S494</f>
        <v>0</v>
      </c>
      <c r="T494" s="108">
        <f>+'FY16 Tax Bill'!T494-'FY16 Feb Forecast'!T494</f>
        <v>2.7567567567567579</v>
      </c>
    </row>
    <row r="495" spans="1:20" x14ac:dyDescent="0.2">
      <c r="A495" s="109">
        <v>4197</v>
      </c>
      <c r="B495" s="110">
        <v>7</v>
      </c>
      <c r="C495" s="103" t="s">
        <v>114</v>
      </c>
      <c r="D495" s="103">
        <v>7</v>
      </c>
      <c r="E495" s="104">
        <f>+SUMIF('GE16FEB14 Unfudged'!$A$2:$A$498, $A495, 'GE16FEB14 Unfudged'!$D$2:$D$498)</f>
        <v>0</v>
      </c>
      <c r="F495" s="104">
        <f>+'FY16 Tax Bill'!F495-'FY16 Feb Forecast'!F495</f>
        <v>0</v>
      </c>
      <c r="G495" s="105">
        <f>+'FY16 Tax Bill'!G495-'FY16 Feb Forecast'!G495</f>
        <v>0</v>
      </c>
      <c r="H495" s="106">
        <f>+'FY16 Tax Bill'!H495-'FY16 Feb Forecast'!H495</f>
        <v>0</v>
      </c>
      <c r="I495" s="107">
        <f>+'FY16 Tax Bill'!I495-'FY16 Feb Forecast'!I495</f>
        <v>0</v>
      </c>
      <c r="J495" s="105">
        <f>+'FY16 Tax Bill'!J495-'FY16 Feb Forecast'!J495</f>
        <v>0</v>
      </c>
      <c r="K495" s="106">
        <f>+'FY16 Tax Bill'!K495-'FY16 Feb Forecast'!K495</f>
        <v>0</v>
      </c>
      <c r="L495" s="107">
        <f>+'FY16 Tax Bill'!L495-'FY16 Feb Forecast'!L495</f>
        <v>0</v>
      </c>
      <c r="M495" s="105">
        <f>+'FY16 Tax Bill'!M495-'FY16 Feb Forecast'!M495</f>
        <v>0</v>
      </c>
      <c r="N495" s="106">
        <f>+'FY16 Tax Bill'!N495-'FY16 Feb Forecast'!N495</f>
        <v>0</v>
      </c>
      <c r="O495" s="107">
        <f>+'FY16 Tax Bill'!O495-'FY16 Feb Forecast'!O495</f>
        <v>0</v>
      </c>
      <c r="P495" s="105">
        <f>+'FY16 Tax Bill'!P495-'FY16 Feb Forecast'!P495</f>
        <v>0</v>
      </c>
      <c r="Q495" s="106">
        <f>+'FY16 Tax Bill'!Q495-'FY16 Feb Forecast'!Q495</f>
        <v>0</v>
      </c>
      <c r="R495" s="105">
        <f>+'FY16 Tax Bill'!R495-'FY16 Feb Forecast'!R495</f>
        <v>0</v>
      </c>
      <c r="S495" s="105">
        <f>+'FY16 Tax Bill'!S495-'FY16 Feb Forecast'!S495</f>
        <v>0</v>
      </c>
      <c r="T495" s="108">
        <f>+'FY16 Tax Bill'!T495-'FY16 Feb Forecast'!T495</f>
        <v>0</v>
      </c>
    </row>
    <row r="496" spans="1:20" x14ac:dyDescent="0.2">
      <c r="A496" s="109">
        <v>4198</v>
      </c>
      <c r="B496" s="110">
        <v>7</v>
      </c>
      <c r="C496" s="103" t="s">
        <v>115</v>
      </c>
      <c r="D496" s="103">
        <v>7</v>
      </c>
      <c r="E496" s="104">
        <f>+SUMIF('GE16FEB14 Unfudged'!$A$2:$A$498, $A496, 'GE16FEB14 Unfudged'!$D$2:$D$498)</f>
        <v>151</v>
      </c>
      <c r="F496" s="104">
        <f>+'FY16 Tax Bill'!F496-'FY16 Feb Forecast'!F496</f>
        <v>418</v>
      </c>
      <c r="G496" s="105">
        <f>+'FY16 Tax Bill'!G496-'FY16 Feb Forecast'!G496</f>
        <v>0</v>
      </c>
      <c r="H496" s="106">
        <f>+'FY16 Tax Bill'!H496-'FY16 Feb Forecast'!H496</f>
        <v>418</v>
      </c>
      <c r="I496" s="107">
        <f>+'FY16 Tax Bill'!I496-'FY16 Feb Forecast'!I496</f>
        <v>0</v>
      </c>
      <c r="J496" s="105">
        <f>+'FY16 Tax Bill'!J496-'FY16 Feb Forecast'!J496</f>
        <v>0</v>
      </c>
      <c r="K496" s="106">
        <f>+'FY16 Tax Bill'!K496-'FY16 Feb Forecast'!K496</f>
        <v>0</v>
      </c>
      <c r="L496" s="107">
        <f>+'FY16 Tax Bill'!L496-'FY16 Feb Forecast'!L496</f>
        <v>0</v>
      </c>
      <c r="M496" s="105">
        <f>+'FY16 Tax Bill'!M496-'FY16 Feb Forecast'!M496</f>
        <v>0</v>
      </c>
      <c r="N496" s="106">
        <f>+'FY16 Tax Bill'!N496-'FY16 Feb Forecast'!N496</f>
        <v>0</v>
      </c>
      <c r="O496" s="107">
        <f>+'FY16 Tax Bill'!O496-'FY16 Feb Forecast'!O496</f>
        <v>418</v>
      </c>
      <c r="P496" s="105">
        <f>+'FY16 Tax Bill'!P496-'FY16 Feb Forecast'!P496</f>
        <v>0</v>
      </c>
      <c r="Q496" s="106">
        <f>+'FY16 Tax Bill'!Q496-'FY16 Feb Forecast'!Q496</f>
        <v>418</v>
      </c>
      <c r="R496" s="105">
        <f>+'FY16 Tax Bill'!R496-'FY16 Feb Forecast'!R496</f>
        <v>2.7682119205298079</v>
      </c>
      <c r="S496" s="105">
        <f>+'FY16 Tax Bill'!S496-'FY16 Feb Forecast'!S496</f>
        <v>0</v>
      </c>
      <c r="T496" s="108">
        <f>+'FY16 Tax Bill'!T496-'FY16 Feb Forecast'!T496</f>
        <v>2.7682119205298079</v>
      </c>
    </row>
    <row r="497" spans="1:20" x14ac:dyDescent="0.2">
      <c r="A497" s="109">
        <v>4199</v>
      </c>
      <c r="B497" s="110">
        <v>7</v>
      </c>
      <c r="C497" s="103" t="s">
        <v>116</v>
      </c>
      <c r="D497" s="103">
        <v>7</v>
      </c>
      <c r="E497" s="104">
        <f>+SUMIF('GE16FEB14 Unfudged'!$A$2:$A$498, $A497, 'GE16FEB14 Unfudged'!$D$2:$D$498)</f>
        <v>869</v>
      </c>
      <c r="F497" s="104">
        <f>+'FY16 Tax Bill'!F497-'FY16 Feb Forecast'!F497</f>
        <v>2398</v>
      </c>
      <c r="G497" s="105">
        <f>+'FY16 Tax Bill'!G497-'FY16 Feb Forecast'!G497</f>
        <v>0</v>
      </c>
      <c r="H497" s="106">
        <f>+'FY16 Tax Bill'!H497-'FY16 Feb Forecast'!H497</f>
        <v>2398</v>
      </c>
      <c r="I497" s="107">
        <f>+'FY16 Tax Bill'!I497-'FY16 Feb Forecast'!I497</f>
        <v>0</v>
      </c>
      <c r="J497" s="105">
        <f>+'FY16 Tax Bill'!J497-'FY16 Feb Forecast'!J497</f>
        <v>0</v>
      </c>
      <c r="K497" s="106">
        <f>+'FY16 Tax Bill'!K497-'FY16 Feb Forecast'!K497</f>
        <v>0</v>
      </c>
      <c r="L497" s="107">
        <f>+'FY16 Tax Bill'!L497-'FY16 Feb Forecast'!L497</f>
        <v>0</v>
      </c>
      <c r="M497" s="105">
        <f>+'FY16 Tax Bill'!M497-'FY16 Feb Forecast'!M497</f>
        <v>0</v>
      </c>
      <c r="N497" s="106">
        <f>+'FY16 Tax Bill'!N497-'FY16 Feb Forecast'!N497</f>
        <v>0</v>
      </c>
      <c r="O497" s="107">
        <f>+'FY16 Tax Bill'!O497-'FY16 Feb Forecast'!O497</f>
        <v>2398</v>
      </c>
      <c r="P497" s="105">
        <f>+'FY16 Tax Bill'!P497-'FY16 Feb Forecast'!P497</f>
        <v>0</v>
      </c>
      <c r="Q497" s="106">
        <f>+'FY16 Tax Bill'!Q497-'FY16 Feb Forecast'!Q497</f>
        <v>2398</v>
      </c>
      <c r="R497" s="105">
        <f>+'FY16 Tax Bill'!R497-'FY16 Feb Forecast'!R497</f>
        <v>2.7594936708860729</v>
      </c>
      <c r="S497" s="105">
        <f>+'FY16 Tax Bill'!S497-'FY16 Feb Forecast'!S497</f>
        <v>0</v>
      </c>
      <c r="T497" s="108">
        <f>+'FY16 Tax Bill'!T497-'FY16 Feb Forecast'!T497</f>
        <v>2.7594936708860729</v>
      </c>
    </row>
    <row r="498" spans="1:20" x14ac:dyDescent="0.2">
      <c r="A498" s="109">
        <v>4200</v>
      </c>
      <c r="B498" s="110">
        <v>7</v>
      </c>
      <c r="C498" s="103" t="s">
        <v>117</v>
      </c>
      <c r="D498" s="103">
        <v>7</v>
      </c>
      <c r="E498" s="104">
        <f>+SUMIF('GE16FEB14 Unfudged'!$A$2:$A$498, $A498, 'GE16FEB14 Unfudged'!$D$2:$D$498)</f>
        <v>206</v>
      </c>
      <c r="F498" s="104">
        <f>+'FY16 Tax Bill'!F498-'FY16 Feb Forecast'!F498</f>
        <v>567</v>
      </c>
      <c r="G498" s="105">
        <f>+'FY16 Tax Bill'!G498-'FY16 Feb Forecast'!G498</f>
        <v>0</v>
      </c>
      <c r="H498" s="106">
        <f>+'FY16 Tax Bill'!H498-'FY16 Feb Forecast'!H498</f>
        <v>567</v>
      </c>
      <c r="I498" s="107">
        <f>+'FY16 Tax Bill'!I498-'FY16 Feb Forecast'!I498</f>
        <v>0</v>
      </c>
      <c r="J498" s="105">
        <f>+'FY16 Tax Bill'!J498-'FY16 Feb Forecast'!J498</f>
        <v>0</v>
      </c>
      <c r="K498" s="106">
        <f>+'FY16 Tax Bill'!K498-'FY16 Feb Forecast'!K498</f>
        <v>0</v>
      </c>
      <c r="L498" s="107">
        <f>+'FY16 Tax Bill'!L498-'FY16 Feb Forecast'!L498</f>
        <v>0</v>
      </c>
      <c r="M498" s="105">
        <f>+'FY16 Tax Bill'!M498-'FY16 Feb Forecast'!M498</f>
        <v>0</v>
      </c>
      <c r="N498" s="106">
        <f>+'FY16 Tax Bill'!N498-'FY16 Feb Forecast'!N498</f>
        <v>0</v>
      </c>
      <c r="O498" s="107">
        <f>+'FY16 Tax Bill'!O498-'FY16 Feb Forecast'!O498</f>
        <v>567</v>
      </c>
      <c r="P498" s="105">
        <f>+'FY16 Tax Bill'!P498-'FY16 Feb Forecast'!P498</f>
        <v>0</v>
      </c>
      <c r="Q498" s="106">
        <f>+'FY16 Tax Bill'!Q498-'FY16 Feb Forecast'!Q498</f>
        <v>567</v>
      </c>
      <c r="R498" s="105">
        <f>+'FY16 Tax Bill'!R498-'FY16 Feb Forecast'!R498</f>
        <v>2.7524271844660149</v>
      </c>
      <c r="S498" s="105">
        <f>+'FY16 Tax Bill'!S498-'FY16 Feb Forecast'!S498</f>
        <v>0</v>
      </c>
      <c r="T498" s="108">
        <f>+'FY16 Tax Bill'!T498-'FY16 Feb Forecast'!T498</f>
        <v>2.7524271844660149</v>
      </c>
    </row>
    <row r="499" spans="1:20" x14ac:dyDescent="0.2">
      <c r="A499" s="109">
        <v>4201</v>
      </c>
      <c r="B499" s="110">
        <v>7</v>
      </c>
      <c r="C499" s="103" t="s">
        <v>455</v>
      </c>
      <c r="D499" s="103">
        <v>7</v>
      </c>
      <c r="E499" s="104">
        <f>+SUMIF('GE16FEB14 Unfudged'!$A$2:$A$498, $A499, 'GE16FEB14 Unfudged'!$D$2:$D$498)</f>
        <v>91</v>
      </c>
      <c r="F499" s="104">
        <f>+'FY16 Tax Bill'!F499-'FY16 Feb Forecast'!F499</f>
        <v>251</v>
      </c>
      <c r="G499" s="105">
        <f>+'FY16 Tax Bill'!G499-'FY16 Feb Forecast'!G499</f>
        <v>0</v>
      </c>
      <c r="H499" s="106">
        <f>+'FY16 Tax Bill'!H499-'FY16 Feb Forecast'!H499</f>
        <v>251</v>
      </c>
      <c r="I499" s="107">
        <f>+'FY16 Tax Bill'!I499-'FY16 Feb Forecast'!I499</f>
        <v>0</v>
      </c>
      <c r="J499" s="105">
        <f>+'FY16 Tax Bill'!J499-'FY16 Feb Forecast'!J499</f>
        <v>0</v>
      </c>
      <c r="K499" s="106">
        <f>+'FY16 Tax Bill'!K499-'FY16 Feb Forecast'!K499</f>
        <v>0</v>
      </c>
      <c r="L499" s="107">
        <f>+'FY16 Tax Bill'!L499-'FY16 Feb Forecast'!L499</f>
        <v>0</v>
      </c>
      <c r="M499" s="105">
        <f>+'FY16 Tax Bill'!M499-'FY16 Feb Forecast'!M499</f>
        <v>0</v>
      </c>
      <c r="N499" s="106">
        <f>+'FY16 Tax Bill'!N499-'FY16 Feb Forecast'!N499</f>
        <v>0</v>
      </c>
      <c r="O499" s="107">
        <f>+'FY16 Tax Bill'!O499-'FY16 Feb Forecast'!O499</f>
        <v>251</v>
      </c>
      <c r="P499" s="105">
        <f>+'FY16 Tax Bill'!P499-'FY16 Feb Forecast'!P499</f>
        <v>0</v>
      </c>
      <c r="Q499" s="106">
        <f>+'FY16 Tax Bill'!Q499-'FY16 Feb Forecast'!Q499</f>
        <v>251</v>
      </c>
      <c r="R499" s="105">
        <f>+'FY16 Tax Bill'!R499-'FY16 Feb Forecast'!R499</f>
        <v>2.7582417582417662</v>
      </c>
      <c r="S499" s="105">
        <f>+'FY16 Tax Bill'!S499-'FY16 Feb Forecast'!S499</f>
        <v>0</v>
      </c>
      <c r="T499" s="108">
        <f>+'FY16 Tax Bill'!T499-'FY16 Feb Forecast'!T499</f>
        <v>2.7582417582417662</v>
      </c>
    </row>
    <row r="500" spans="1:20" x14ac:dyDescent="0.2">
      <c r="A500" s="109">
        <v>4202</v>
      </c>
      <c r="B500" s="110">
        <v>7</v>
      </c>
      <c r="C500" s="103" t="s">
        <v>118</v>
      </c>
      <c r="D500" s="103">
        <v>7</v>
      </c>
      <c r="E500" s="104">
        <f>+SUMIF('GE16FEB14 Unfudged'!$A$2:$A$498, $A500, 'GE16FEB14 Unfudged'!$D$2:$D$498)</f>
        <v>0</v>
      </c>
      <c r="F500" s="104">
        <f>+'FY16 Tax Bill'!F500-'FY16 Feb Forecast'!F500</f>
        <v>0</v>
      </c>
      <c r="G500" s="105">
        <f>+'FY16 Tax Bill'!G500-'FY16 Feb Forecast'!G500</f>
        <v>0</v>
      </c>
      <c r="H500" s="106">
        <f>+'FY16 Tax Bill'!H500-'FY16 Feb Forecast'!H500</f>
        <v>0</v>
      </c>
      <c r="I500" s="107">
        <f>+'FY16 Tax Bill'!I500-'FY16 Feb Forecast'!I500</f>
        <v>0</v>
      </c>
      <c r="J500" s="105">
        <f>+'FY16 Tax Bill'!J500-'FY16 Feb Forecast'!J500</f>
        <v>0</v>
      </c>
      <c r="K500" s="106">
        <f>+'FY16 Tax Bill'!K500-'FY16 Feb Forecast'!K500</f>
        <v>0</v>
      </c>
      <c r="L500" s="107">
        <f>+'FY16 Tax Bill'!L500-'FY16 Feb Forecast'!L500</f>
        <v>0</v>
      </c>
      <c r="M500" s="105">
        <f>+'FY16 Tax Bill'!M500-'FY16 Feb Forecast'!M500</f>
        <v>0</v>
      </c>
      <c r="N500" s="106">
        <f>+'FY16 Tax Bill'!N500-'FY16 Feb Forecast'!N500</f>
        <v>0</v>
      </c>
      <c r="O500" s="107">
        <f>+'FY16 Tax Bill'!O500-'FY16 Feb Forecast'!O500</f>
        <v>0</v>
      </c>
      <c r="P500" s="105">
        <f>+'FY16 Tax Bill'!P500-'FY16 Feb Forecast'!P500</f>
        <v>0</v>
      </c>
      <c r="Q500" s="106">
        <f>+'FY16 Tax Bill'!Q500-'FY16 Feb Forecast'!Q500</f>
        <v>0</v>
      </c>
      <c r="R500" s="105">
        <f>+'FY16 Tax Bill'!R500-'FY16 Feb Forecast'!R500</f>
        <v>0</v>
      </c>
      <c r="S500" s="105">
        <f>+'FY16 Tax Bill'!S500-'FY16 Feb Forecast'!S500</f>
        <v>0</v>
      </c>
      <c r="T500" s="108">
        <f>+'FY16 Tax Bill'!T500-'FY16 Feb Forecast'!T500</f>
        <v>0</v>
      </c>
    </row>
    <row r="501" spans="1:20" x14ac:dyDescent="0.2">
      <c r="A501" s="109">
        <v>4203</v>
      </c>
      <c r="B501" s="110">
        <v>7</v>
      </c>
      <c r="C501" s="103" t="s">
        <v>119</v>
      </c>
      <c r="D501" s="103">
        <v>7</v>
      </c>
      <c r="E501" s="104">
        <f>+SUMIF('GE16FEB14 Unfudged'!$A$2:$A$498, $A501, 'GE16FEB14 Unfudged'!$D$2:$D$498)</f>
        <v>97</v>
      </c>
      <c r="F501" s="104">
        <f>+'FY16 Tax Bill'!F501-'FY16 Feb Forecast'!F501</f>
        <v>268</v>
      </c>
      <c r="G501" s="105">
        <f>+'FY16 Tax Bill'!G501-'FY16 Feb Forecast'!G501</f>
        <v>0</v>
      </c>
      <c r="H501" s="106">
        <f>+'FY16 Tax Bill'!H501-'FY16 Feb Forecast'!H501</f>
        <v>268</v>
      </c>
      <c r="I501" s="107">
        <f>+'FY16 Tax Bill'!I501-'FY16 Feb Forecast'!I501</f>
        <v>0</v>
      </c>
      <c r="J501" s="105">
        <f>+'FY16 Tax Bill'!J501-'FY16 Feb Forecast'!J501</f>
        <v>0</v>
      </c>
      <c r="K501" s="106">
        <f>+'FY16 Tax Bill'!K501-'FY16 Feb Forecast'!K501</f>
        <v>0</v>
      </c>
      <c r="L501" s="107">
        <f>+'FY16 Tax Bill'!L501-'FY16 Feb Forecast'!L501</f>
        <v>0</v>
      </c>
      <c r="M501" s="105">
        <f>+'FY16 Tax Bill'!M501-'FY16 Feb Forecast'!M501</f>
        <v>0</v>
      </c>
      <c r="N501" s="106">
        <f>+'FY16 Tax Bill'!N501-'FY16 Feb Forecast'!N501</f>
        <v>0</v>
      </c>
      <c r="O501" s="107">
        <f>+'FY16 Tax Bill'!O501-'FY16 Feb Forecast'!O501</f>
        <v>268</v>
      </c>
      <c r="P501" s="105">
        <f>+'FY16 Tax Bill'!P501-'FY16 Feb Forecast'!P501</f>
        <v>0</v>
      </c>
      <c r="Q501" s="106">
        <f>+'FY16 Tax Bill'!Q501-'FY16 Feb Forecast'!Q501</f>
        <v>268</v>
      </c>
      <c r="R501" s="105">
        <f>+'FY16 Tax Bill'!R501-'FY16 Feb Forecast'!R501</f>
        <v>2.7628865979381345</v>
      </c>
      <c r="S501" s="105">
        <f>+'FY16 Tax Bill'!S501-'FY16 Feb Forecast'!S501</f>
        <v>0</v>
      </c>
      <c r="T501" s="108">
        <f>+'FY16 Tax Bill'!T501-'FY16 Feb Forecast'!T501</f>
        <v>2.7628865979381345</v>
      </c>
    </row>
    <row r="502" spans="1:20" x14ac:dyDescent="0.2">
      <c r="A502" s="109">
        <v>4204</v>
      </c>
      <c r="B502" s="110">
        <v>7</v>
      </c>
      <c r="C502" s="103" t="s">
        <v>120</v>
      </c>
      <c r="D502" s="103">
        <v>7</v>
      </c>
      <c r="E502" s="104">
        <f>+SUMIF('GE16FEB14 Unfudged'!$A$2:$A$498, $A502, 'GE16FEB14 Unfudged'!$D$2:$D$498)</f>
        <v>216</v>
      </c>
      <c r="F502" s="104">
        <f>+'FY16 Tax Bill'!F502-'FY16 Feb Forecast'!F502</f>
        <v>596</v>
      </c>
      <c r="G502" s="105">
        <f>+'FY16 Tax Bill'!G502-'FY16 Feb Forecast'!G502</f>
        <v>0</v>
      </c>
      <c r="H502" s="106">
        <f>+'FY16 Tax Bill'!H502-'FY16 Feb Forecast'!H502</f>
        <v>596</v>
      </c>
      <c r="I502" s="107">
        <f>+'FY16 Tax Bill'!I502-'FY16 Feb Forecast'!I502</f>
        <v>0</v>
      </c>
      <c r="J502" s="105">
        <f>+'FY16 Tax Bill'!J502-'FY16 Feb Forecast'!J502</f>
        <v>0</v>
      </c>
      <c r="K502" s="106">
        <f>+'FY16 Tax Bill'!K502-'FY16 Feb Forecast'!K502</f>
        <v>0</v>
      </c>
      <c r="L502" s="107">
        <f>+'FY16 Tax Bill'!L502-'FY16 Feb Forecast'!L502</f>
        <v>0</v>
      </c>
      <c r="M502" s="105">
        <f>+'FY16 Tax Bill'!M502-'FY16 Feb Forecast'!M502</f>
        <v>0</v>
      </c>
      <c r="N502" s="106">
        <f>+'FY16 Tax Bill'!N502-'FY16 Feb Forecast'!N502</f>
        <v>0</v>
      </c>
      <c r="O502" s="107">
        <f>+'FY16 Tax Bill'!O502-'FY16 Feb Forecast'!O502</f>
        <v>596</v>
      </c>
      <c r="P502" s="105">
        <f>+'FY16 Tax Bill'!P502-'FY16 Feb Forecast'!P502</f>
        <v>0</v>
      </c>
      <c r="Q502" s="106">
        <f>+'FY16 Tax Bill'!Q502-'FY16 Feb Forecast'!Q502</f>
        <v>596</v>
      </c>
      <c r="R502" s="105">
        <f>+'FY16 Tax Bill'!R502-'FY16 Feb Forecast'!R502</f>
        <v>2.7592592592592666</v>
      </c>
      <c r="S502" s="105">
        <f>+'FY16 Tax Bill'!S502-'FY16 Feb Forecast'!S502</f>
        <v>0</v>
      </c>
      <c r="T502" s="108">
        <f>+'FY16 Tax Bill'!T502-'FY16 Feb Forecast'!T502</f>
        <v>2.7592592592592666</v>
      </c>
    </row>
    <row r="503" spans="1:20" x14ac:dyDescent="0.2">
      <c r="A503" s="109">
        <v>4205</v>
      </c>
      <c r="B503" s="110">
        <v>7</v>
      </c>
      <c r="C503" s="103" t="s">
        <v>121</v>
      </c>
      <c r="D503" s="103">
        <v>7</v>
      </c>
      <c r="E503" s="104">
        <f>+SUMIF('GE16FEB14 Unfudged'!$A$2:$A$498, $A503, 'GE16FEB14 Unfudged'!$D$2:$D$498)</f>
        <v>189</v>
      </c>
      <c r="F503" s="104">
        <f>+'FY16 Tax Bill'!F503-'FY16 Feb Forecast'!F503</f>
        <v>522</v>
      </c>
      <c r="G503" s="105">
        <f>+'FY16 Tax Bill'!G503-'FY16 Feb Forecast'!G503</f>
        <v>0</v>
      </c>
      <c r="H503" s="106">
        <f>+'FY16 Tax Bill'!H503-'FY16 Feb Forecast'!H503</f>
        <v>522</v>
      </c>
      <c r="I503" s="107">
        <f>+'FY16 Tax Bill'!I503-'FY16 Feb Forecast'!I503</f>
        <v>0</v>
      </c>
      <c r="J503" s="105">
        <f>+'FY16 Tax Bill'!J503-'FY16 Feb Forecast'!J503</f>
        <v>0</v>
      </c>
      <c r="K503" s="106">
        <f>+'FY16 Tax Bill'!K503-'FY16 Feb Forecast'!K503</f>
        <v>0</v>
      </c>
      <c r="L503" s="107">
        <f>+'FY16 Tax Bill'!L503-'FY16 Feb Forecast'!L503</f>
        <v>0</v>
      </c>
      <c r="M503" s="105">
        <f>+'FY16 Tax Bill'!M503-'FY16 Feb Forecast'!M503</f>
        <v>0</v>
      </c>
      <c r="N503" s="106">
        <f>+'FY16 Tax Bill'!N503-'FY16 Feb Forecast'!N503</f>
        <v>0</v>
      </c>
      <c r="O503" s="107">
        <f>+'FY16 Tax Bill'!O503-'FY16 Feb Forecast'!O503</f>
        <v>522</v>
      </c>
      <c r="P503" s="105">
        <f>+'FY16 Tax Bill'!P503-'FY16 Feb Forecast'!P503</f>
        <v>0</v>
      </c>
      <c r="Q503" s="106">
        <f>+'FY16 Tax Bill'!Q503-'FY16 Feb Forecast'!Q503</f>
        <v>522</v>
      </c>
      <c r="R503" s="105">
        <f>+'FY16 Tax Bill'!R503-'FY16 Feb Forecast'!R503</f>
        <v>2.7619047619047592</v>
      </c>
      <c r="S503" s="105">
        <f>+'FY16 Tax Bill'!S503-'FY16 Feb Forecast'!S503</f>
        <v>0</v>
      </c>
      <c r="T503" s="108">
        <f>+'FY16 Tax Bill'!T503-'FY16 Feb Forecast'!T503</f>
        <v>2.7619047619047592</v>
      </c>
    </row>
    <row r="504" spans="1:20" x14ac:dyDescent="0.2">
      <c r="A504" s="109">
        <v>4207</v>
      </c>
      <c r="B504" s="110">
        <v>7</v>
      </c>
      <c r="C504" s="103" t="s">
        <v>509</v>
      </c>
      <c r="D504" s="103">
        <v>7</v>
      </c>
      <c r="E504" s="104">
        <f>+SUMIF('GE16FEB14 Unfudged'!$A$2:$A$498, $A504, 'GE16FEB14 Unfudged'!$D$2:$D$498)</f>
        <v>70</v>
      </c>
      <c r="F504" s="104">
        <f>+'FY16 Tax Bill'!F504-'FY16 Feb Forecast'!F504</f>
        <v>192</v>
      </c>
      <c r="G504" s="105">
        <f>+'FY16 Tax Bill'!G504-'FY16 Feb Forecast'!G504</f>
        <v>0</v>
      </c>
      <c r="H504" s="106">
        <f>+'FY16 Tax Bill'!H504-'FY16 Feb Forecast'!H504</f>
        <v>192</v>
      </c>
      <c r="I504" s="107">
        <f>+'FY16 Tax Bill'!I504-'FY16 Feb Forecast'!I504</f>
        <v>0</v>
      </c>
      <c r="J504" s="105">
        <f>+'FY16 Tax Bill'!J504-'FY16 Feb Forecast'!J504</f>
        <v>0</v>
      </c>
      <c r="K504" s="106">
        <f>+'FY16 Tax Bill'!K504-'FY16 Feb Forecast'!K504</f>
        <v>0</v>
      </c>
      <c r="L504" s="107">
        <f>+'FY16 Tax Bill'!L504-'FY16 Feb Forecast'!L504</f>
        <v>0</v>
      </c>
      <c r="M504" s="105">
        <f>+'FY16 Tax Bill'!M504-'FY16 Feb Forecast'!M504</f>
        <v>0</v>
      </c>
      <c r="N504" s="106">
        <f>+'FY16 Tax Bill'!N504-'FY16 Feb Forecast'!N504</f>
        <v>0</v>
      </c>
      <c r="O504" s="107">
        <f>+'FY16 Tax Bill'!O504-'FY16 Feb Forecast'!O504</f>
        <v>192</v>
      </c>
      <c r="P504" s="105">
        <f>+'FY16 Tax Bill'!P504-'FY16 Feb Forecast'!P504</f>
        <v>0</v>
      </c>
      <c r="Q504" s="106">
        <f>+'FY16 Tax Bill'!Q504-'FY16 Feb Forecast'!Q504</f>
        <v>192</v>
      </c>
      <c r="R504" s="105">
        <f>+'FY16 Tax Bill'!R504-'FY16 Feb Forecast'!R504</f>
        <v>2.7428571428571473</v>
      </c>
      <c r="S504" s="105">
        <f>+'FY16 Tax Bill'!S504-'FY16 Feb Forecast'!S504</f>
        <v>0</v>
      </c>
      <c r="T504" s="108">
        <f>+'FY16 Tax Bill'!T504-'FY16 Feb Forecast'!T504</f>
        <v>2.7428571428571473</v>
      </c>
    </row>
    <row r="505" spans="1:20" x14ac:dyDescent="0.2">
      <c r="A505" s="109">
        <v>4208</v>
      </c>
      <c r="B505" s="110">
        <v>7</v>
      </c>
      <c r="C505" s="103" t="s">
        <v>122</v>
      </c>
      <c r="D505" s="103">
        <v>7</v>
      </c>
      <c r="E505" s="104">
        <f>+SUMIF('GE16FEB14 Unfudged'!$A$2:$A$498, $A505, 'GE16FEB14 Unfudged'!$D$2:$D$498)</f>
        <v>143</v>
      </c>
      <c r="F505" s="104">
        <f>+'FY16 Tax Bill'!F505-'FY16 Feb Forecast'!F505</f>
        <v>393</v>
      </c>
      <c r="G505" s="105">
        <f>+'FY16 Tax Bill'!G505-'FY16 Feb Forecast'!G505</f>
        <v>0</v>
      </c>
      <c r="H505" s="106">
        <f>+'FY16 Tax Bill'!H505-'FY16 Feb Forecast'!H505</f>
        <v>393</v>
      </c>
      <c r="I505" s="107">
        <f>+'FY16 Tax Bill'!I505-'FY16 Feb Forecast'!I505</f>
        <v>0</v>
      </c>
      <c r="J505" s="105">
        <f>+'FY16 Tax Bill'!J505-'FY16 Feb Forecast'!J505</f>
        <v>0</v>
      </c>
      <c r="K505" s="106">
        <f>+'FY16 Tax Bill'!K505-'FY16 Feb Forecast'!K505</f>
        <v>0</v>
      </c>
      <c r="L505" s="107">
        <f>+'FY16 Tax Bill'!L505-'FY16 Feb Forecast'!L505</f>
        <v>0</v>
      </c>
      <c r="M505" s="105">
        <f>+'FY16 Tax Bill'!M505-'FY16 Feb Forecast'!M505</f>
        <v>0</v>
      </c>
      <c r="N505" s="106">
        <f>+'FY16 Tax Bill'!N505-'FY16 Feb Forecast'!N505</f>
        <v>0</v>
      </c>
      <c r="O505" s="107">
        <f>+'FY16 Tax Bill'!O505-'FY16 Feb Forecast'!O505</f>
        <v>393</v>
      </c>
      <c r="P505" s="105">
        <f>+'FY16 Tax Bill'!P505-'FY16 Feb Forecast'!P505</f>
        <v>0</v>
      </c>
      <c r="Q505" s="106">
        <f>+'FY16 Tax Bill'!Q505-'FY16 Feb Forecast'!Q505</f>
        <v>393</v>
      </c>
      <c r="R505" s="105">
        <f>+'FY16 Tax Bill'!R505-'FY16 Feb Forecast'!R505</f>
        <v>2.7482517482517466</v>
      </c>
      <c r="S505" s="105">
        <f>+'FY16 Tax Bill'!S505-'FY16 Feb Forecast'!S505</f>
        <v>0</v>
      </c>
      <c r="T505" s="108">
        <f>+'FY16 Tax Bill'!T505-'FY16 Feb Forecast'!T505</f>
        <v>2.7482517482517466</v>
      </c>
    </row>
    <row r="506" spans="1:20" x14ac:dyDescent="0.2">
      <c r="A506" s="109">
        <v>4209</v>
      </c>
      <c r="B506" s="110">
        <v>7</v>
      </c>
      <c r="C506" s="103" t="s">
        <v>123</v>
      </c>
      <c r="D506" s="103">
        <v>7</v>
      </c>
      <c r="E506" s="104">
        <f>+SUMIF('GE16FEB14 Unfudged'!$A$2:$A$498, $A506, 'GE16FEB14 Unfudged'!$D$2:$D$498)</f>
        <v>273</v>
      </c>
      <c r="F506" s="104">
        <f>+'FY16 Tax Bill'!F506-'FY16 Feb Forecast'!F506</f>
        <v>754</v>
      </c>
      <c r="G506" s="105">
        <f>+'FY16 Tax Bill'!G506-'FY16 Feb Forecast'!G506</f>
        <v>0</v>
      </c>
      <c r="H506" s="106">
        <f>+'FY16 Tax Bill'!H506-'FY16 Feb Forecast'!H506</f>
        <v>754</v>
      </c>
      <c r="I506" s="107">
        <f>+'FY16 Tax Bill'!I506-'FY16 Feb Forecast'!I506</f>
        <v>0</v>
      </c>
      <c r="J506" s="105">
        <f>+'FY16 Tax Bill'!J506-'FY16 Feb Forecast'!J506</f>
        <v>0</v>
      </c>
      <c r="K506" s="106">
        <f>+'FY16 Tax Bill'!K506-'FY16 Feb Forecast'!K506</f>
        <v>0</v>
      </c>
      <c r="L506" s="107">
        <f>+'FY16 Tax Bill'!L506-'FY16 Feb Forecast'!L506</f>
        <v>0</v>
      </c>
      <c r="M506" s="105">
        <f>+'FY16 Tax Bill'!M506-'FY16 Feb Forecast'!M506</f>
        <v>0</v>
      </c>
      <c r="N506" s="106">
        <f>+'FY16 Tax Bill'!N506-'FY16 Feb Forecast'!N506</f>
        <v>0</v>
      </c>
      <c r="O506" s="107">
        <f>+'FY16 Tax Bill'!O506-'FY16 Feb Forecast'!O506</f>
        <v>754</v>
      </c>
      <c r="P506" s="105">
        <f>+'FY16 Tax Bill'!P506-'FY16 Feb Forecast'!P506</f>
        <v>0</v>
      </c>
      <c r="Q506" s="106">
        <f>+'FY16 Tax Bill'!Q506-'FY16 Feb Forecast'!Q506</f>
        <v>754</v>
      </c>
      <c r="R506" s="105">
        <f>+'FY16 Tax Bill'!R506-'FY16 Feb Forecast'!R506</f>
        <v>2.7619047619047734</v>
      </c>
      <c r="S506" s="105">
        <f>+'FY16 Tax Bill'!S506-'FY16 Feb Forecast'!S506</f>
        <v>0</v>
      </c>
      <c r="T506" s="108">
        <f>+'FY16 Tax Bill'!T506-'FY16 Feb Forecast'!T506</f>
        <v>2.7619047619047734</v>
      </c>
    </row>
    <row r="507" spans="1:20" x14ac:dyDescent="0.2">
      <c r="A507" s="109">
        <v>4210</v>
      </c>
      <c r="B507" s="110">
        <v>7</v>
      </c>
      <c r="C507" s="103" t="s">
        <v>510</v>
      </c>
      <c r="D507" s="103">
        <v>7</v>
      </c>
      <c r="E507" s="104">
        <f>+SUMIF('GE16FEB14 Unfudged'!$A$2:$A$498, $A507, 'GE16FEB14 Unfudged'!$D$2:$D$498)</f>
        <v>182</v>
      </c>
      <c r="F507" s="104">
        <f>+'FY16 Tax Bill'!F507-'FY16 Feb Forecast'!F507</f>
        <v>503</v>
      </c>
      <c r="G507" s="105">
        <f>+'FY16 Tax Bill'!G507-'FY16 Feb Forecast'!G507</f>
        <v>0</v>
      </c>
      <c r="H507" s="106">
        <f>+'FY16 Tax Bill'!H507-'FY16 Feb Forecast'!H507</f>
        <v>503</v>
      </c>
      <c r="I507" s="107">
        <f>+'FY16 Tax Bill'!I507-'FY16 Feb Forecast'!I507</f>
        <v>0</v>
      </c>
      <c r="J507" s="105">
        <f>+'FY16 Tax Bill'!J507-'FY16 Feb Forecast'!J507</f>
        <v>0</v>
      </c>
      <c r="K507" s="106">
        <f>+'FY16 Tax Bill'!K507-'FY16 Feb Forecast'!K507</f>
        <v>0</v>
      </c>
      <c r="L507" s="107">
        <f>+'FY16 Tax Bill'!L507-'FY16 Feb Forecast'!L507</f>
        <v>0</v>
      </c>
      <c r="M507" s="105">
        <f>+'FY16 Tax Bill'!M507-'FY16 Feb Forecast'!M507</f>
        <v>0</v>
      </c>
      <c r="N507" s="106">
        <f>+'FY16 Tax Bill'!N507-'FY16 Feb Forecast'!N507</f>
        <v>0</v>
      </c>
      <c r="O507" s="107">
        <f>+'FY16 Tax Bill'!O507-'FY16 Feb Forecast'!O507</f>
        <v>503</v>
      </c>
      <c r="P507" s="105">
        <f>+'FY16 Tax Bill'!P507-'FY16 Feb Forecast'!P507</f>
        <v>0</v>
      </c>
      <c r="Q507" s="106">
        <f>+'FY16 Tax Bill'!Q507-'FY16 Feb Forecast'!Q507</f>
        <v>503</v>
      </c>
      <c r="R507" s="105">
        <f>+'FY16 Tax Bill'!R507-'FY16 Feb Forecast'!R507</f>
        <v>2.7637362637362628</v>
      </c>
      <c r="S507" s="105">
        <f>+'FY16 Tax Bill'!S507-'FY16 Feb Forecast'!S507</f>
        <v>0</v>
      </c>
      <c r="T507" s="108">
        <f>+'FY16 Tax Bill'!T507-'FY16 Feb Forecast'!T507</f>
        <v>2.7637362637362628</v>
      </c>
    </row>
    <row r="508" spans="1:20" x14ac:dyDescent="0.2">
      <c r="A508" s="109">
        <v>4211</v>
      </c>
      <c r="B508" s="110">
        <v>7</v>
      </c>
      <c r="C508" s="103" t="s">
        <v>511</v>
      </c>
      <c r="D508" s="103">
        <v>7</v>
      </c>
      <c r="E508" s="104">
        <f>+SUMIF('GE16FEB14 Unfudged'!$A$2:$A$498, $A508, 'GE16FEB14 Unfudged'!$D$2:$D$498)</f>
        <v>49</v>
      </c>
      <c r="F508" s="104">
        <f>+'FY16 Tax Bill'!F508-'FY16 Feb Forecast'!F508</f>
        <v>135</v>
      </c>
      <c r="G508" s="105">
        <f>+'FY16 Tax Bill'!G508-'FY16 Feb Forecast'!G508</f>
        <v>0</v>
      </c>
      <c r="H508" s="106">
        <f>+'FY16 Tax Bill'!H508-'FY16 Feb Forecast'!H508</f>
        <v>135</v>
      </c>
      <c r="I508" s="107">
        <f>+'FY16 Tax Bill'!I508-'FY16 Feb Forecast'!I508</f>
        <v>0</v>
      </c>
      <c r="J508" s="105">
        <f>+'FY16 Tax Bill'!J508-'FY16 Feb Forecast'!J508</f>
        <v>0</v>
      </c>
      <c r="K508" s="106">
        <f>+'FY16 Tax Bill'!K508-'FY16 Feb Forecast'!K508</f>
        <v>0</v>
      </c>
      <c r="L508" s="107">
        <f>+'FY16 Tax Bill'!L508-'FY16 Feb Forecast'!L508</f>
        <v>0</v>
      </c>
      <c r="M508" s="105">
        <f>+'FY16 Tax Bill'!M508-'FY16 Feb Forecast'!M508</f>
        <v>0</v>
      </c>
      <c r="N508" s="106">
        <f>+'FY16 Tax Bill'!N508-'FY16 Feb Forecast'!N508</f>
        <v>0</v>
      </c>
      <c r="O508" s="107">
        <f>+'FY16 Tax Bill'!O508-'FY16 Feb Forecast'!O508</f>
        <v>135</v>
      </c>
      <c r="P508" s="105">
        <f>+'FY16 Tax Bill'!P508-'FY16 Feb Forecast'!P508</f>
        <v>0</v>
      </c>
      <c r="Q508" s="106">
        <f>+'FY16 Tax Bill'!Q508-'FY16 Feb Forecast'!Q508</f>
        <v>135</v>
      </c>
      <c r="R508" s="105">
        <f>+'FY16 Tax Bill'!R508-'FY16 Feb Forecast'!R508</f>
        <v>2.7551020408163254</v>
      </c>
      <c r="S508" s="105">
        <f>+'FY16 Tax Bill'!S508-'FY16 Feb Forecast'!S508</f>
        <v>0</v>
      </c>
      <c r="T508" s="108">
        <f>+'FY16 Tax Bill'!T508-'FY16 Feb Forecast'!T508</f>
        <v>2.7551020408163254</v>
      </c>
    </row>
    <row r="509" spans="1:20" x14ac:dyDescent="0.2">
      <c r="A509" s="109">
        <v>4212</v>
      </c>
      <c r="B509" s="110">
        <v>7</v>
      </c>
      <c r="C509" s="103" t="s">
        <v>512</v>
      </c>
      <c r="D509" s="103">
        <v>7</v>
      </c>
      <c r="E509" s="104">
        <f>+SUMIF('GE16FEB14 Unfudged'!$A$2:$A$498, $A509, 'GE16FEB14 Unfudged'!$D$2:$D$498)</f>
        <v>96</v>
      </c>
      <c r="F509" s="104">
        <f>+'FY16 Tax Bill'!F509-'FY16 Feb Forecast'!F509</f>
        <v>264</v>
      </c>
      <c r="G509" s="105">
        <f>+'FY16 Tax Bill'!G509-'FY16 Feb Forecast'!G509</f>
        <v>0</v>
      </c>
      <c r="H509" s="106">
        <f>+'FY16 Tax Bill'!H509-'FY16 Feb Forecast'!H509</f>
        <v>264</v>
      </c>
      <c r="I509" s="107">
        <f>+'FY16 Tax Bill'!I509-'FY16 Feb Forecast'!I509</f>
        <v>0</v>
      </c>
      <c r="J509" s="105">
        <f>+'FY16 Tax Bill'!J509-'FY16 Feb Forecast'!J509</f>
        <v>0</v>
      </c>
      <c r="K509" s="106">
        <f>+'FY16 Tax Bill'!K509-'FY16 Feb Forecast'!K509</f>
        <v>0</v>
      </c>
      <c r="L509" s="107">
        <f>+'FY16 Tax Bill'!L509-'FY16 Feb Forecast'!L509</f>
        <v>0</v>
      </c>
      <c r="M509" s="105">
        <f>+'FY16 Tax Bill'!M509-'FY16 Feb Forecast'!M509</f>
        <v>0</v>
      </c>
      <c r="N509" s="106">
        <f>+'FY16 Tax Bill'!N509-'FY16 Feb Forecast'!N509</f>
        <v>0</v>
      </c>
      <c r="O509" s="107">
        <f>+'FY16 Tax Bill'!O509-'FY16 Feb Forecast'!O509</f>
        <v>264</v>
      </c>
      <c r="P509" s="105">
        <f>+'FY16 Tax Bill'!P509-'FY16 Feb Forecast'!P509</f>
        <v>0</v>
      </c>
      <c r="Q509" s="106">
        <f>+'FY16 Tax Bill'!Q509-'FY16 Feb Forecast'!Q509</f>
        <v>264</v>
      </c>
      <c r="R509" s="105">
        <f>+'FY16 Tax Bill'!R509-'FY16 Feb Forecast'!R509</f>
        <v>2.75</v>
      </c>
      <c r="S509" s="105">
        <f>+'FY16 Tax Bill'!S509-'FY16 Feb Forecast'!S509</f>
        <v>0</v>
      </c>
      <c r="T509" s="108">
        <f>+'FY16 Tax Bill'!T509-'FY16 Feb Forecast'!T509</f>
        <v>2.75</v>
      </c>
    </row>
    <row r="510" spans="1:20" x14ac:dyDescent="0.2">
      <c r="A510" s="109">
        <v>4213</v>
      </c>
      <c r="B510" s="110">
        <v>7</v>
      </c>
      <c r="C510" s="103" t="s">
        <v>513</v>
      </c>
      <c r="D510" s="103">
        <v>7</v>
      </c>
      <c r="E510" s="104">
        <f>+SUMIF('GE16FEB14 Unfudged'!$A$2:$A$498, $A510, 'GE16FEB14 Unfudged'!$D$2:$D$498)</f>
        <v>35</v>
      </c>
      <c r="F510" s="104">
        <f>+'FY16 Tax Bill'!F510-'FY16 Feb Forecast'!F510</f>
        <v>96</v>
      </c>
      <c r="G510" s="105">
        <f>+'FY16 Tax Bill'!G510-'FY16 Feb Forecast'!G510</f>
        <v>0</v>
      </c>
      <c r="H510" s="106">
        <f>+'FY16 Tax Bill'!H510-'FY16 Feb Forecast'!H510</f>
        <v>96</v>
      </c>
      <c r="I510" s="107">
        <f>+'FY16 Tax Bill'!I510-'FY16 Feb Forecast'!I510</f>
        <v>0</v>
      </c>
      <c r="J510" s="105">
        <f>+'FY16 Tax Bill'!J510-'FY16 Feb Forecast'!J510</f>
        <v>0</v>
      </c>
      <c r="K510" s="106">
        <f>+'FY16 Tax Bill'!K510-'FY16 Feb Forecast'!K510</f>
        <v>0</v>
      </c>
      <c r="L510" s="107">
        <f>+'FY16 Tax Bill'!L510-'FY16 Feb Forecast'!L510</f>
        <v>0</v>
      </c>
      <c r="M510" s="105">
        <f>+'FY16 Tax Bill'!M510-'FY16 Feb Forecast'!M510</f>
        <v>0</v>
      </c>
      <c r="N510" s="106">
        <f>+'FY16 Tax Bill'!N510-'FY16 Feb Forecast'!N510</f>
        <v>0</v>
      </c>
      <c r="O510" s="107">
        <f>+'FY16 Tax Bill'!O510-'FY16 Feb Forecast'!O510</f>
        <v>96</v>
      </c>
      <c r="P510" s="105">
        <f>+'FY16 Tax Bill'!P510-'FY16 Feb Forecast'!P510</f>
        <v>0</v>
      </c>
      <c r="Q510" s="106">
        <f>+'FY16 Tax Bill'!Q510-'FY16 Feb Forecast'!Q510</f>
        <v>96</v>
      </c>
      <c r="R510" s="105">
        <f>+'FY16 Tax Bill'!R510-'FY16 Feb Forecast'!R510</f>
        <v>2.7428571428571473</v>
      </c>
      <c r="S510" s="105">
        <f>+'FY16 Tax Bill'!S510-'FY16 Feb Forecast'!S510</f>
        <v>0</v>
      </c>
      <c r="T510" s="108">
        <f>+'FY16 Tax Bill'!T510-'FY16 Feb Forecast'!T510</f>
        <v>2.7428571428571473</v>
      </c>
    </row>
    <row r="511" spans="1:20" x14ac:dyDescent="0.2">
      <c r="A511" s="109">
        <v>4214</v>
      </c>
      <c r="B511" s="110">
        <v>7</v>
      </c>
      <c r="C511" s="103" t="s">
        <v>514</v>
      </c>
      <c r="D511" s="103">
        <v>7</v>
      </c>
      <c r="E511" s="104">
        <f>+SUMIF('GE16FEB14 Unfudged'!$A$2:$A$498, $A511, 'GE16FEB14 Unfudged'!$D$2:$D$498)</f>
        <v>34</v>
      </c>
      <c r="F511" s="104">
        <f>+'FY16 Tax Bill'!F511-'FY16 Feb Forecast'!F511</f>
        <v>94</v>
      </c>
      <c r="G511" s="105">
        <f>+'FY16 Tax Bill'!G511-'FY16 Feb Forecast'!G511</f>
        <v>0</v>
      </c>
      <c r="H511" s="106">
        <f>+'FY16 Tax Bill'!H511-'FY16 Feb Forecast'!H511</f>
        <v>94</v>
      </c>
      <c r="I511" s="107">
        <f>+'FY16 Tax Bill'!I511-'FY16 Feb Forecast'!I511</f>
        <v>0</v>
      </c>
      <c r="J511" s="105">
        <f>+'FY16 Tax Bill'!J511-'FY16 Feb Forecast'!J511</f>
        <v>0</v>
      </c>
      <c r="K511" s="106">
        <f>+'FY16 Tax Bill'!K511-'FY16 Feb Forecast'!K511</f>
        <v>0</v>
      </c>
      <c r="L511" s="107">
        <f>+'FY16 Tax Bill'!L511-'FY16 Feb Forecast'!L511</f>
        <v>0</v>
      </c>
      <c r="M511" s="105">
        <f>+'FY16 Tax Bill'!M511-'FY16 Feb Forecast'!M511</f>
        <v>0</v>
      </c>
      <c r="N511" s="106">
        <f>+'FY16 Tax Bill'!N511-'FY16 Feb Forecast'!N511</f>
        <v>0</v>
      </c>
      <c r="O511" s="107">
        <f>+'FY16 Tax Bill'!O511-'FY16 Feb Forecast'!O511</f>
        <v>94</v>
      </c>
      <c r="P511" s="105">
        <f>+'FY16 Tax Bill'!P511-'FY16 Feb Forecast'!P511</f>
        <v>0</v>
      </c>
      <c r="Q511" s="106">
        <f>+'FY16 Tax Bill'!Q511-'FY16 Feb Forecast'!Q511</f>
        <v>94</v>
      </c>
      <c r="R511" s="105">
        <f>+'FY16 Tax Bill'!R511-'FY16 Feb Forecast'!R511</f>
        <v>2.764705882352942</v>
      </c>
      <c r="S511" s="105">
        <f>+'FY16 Tax Bill'!S511-'FY16 Feb Forecast'!S511</f>
        <v>0</v>
      </c>
      <c r="T511" s="108">
        <f>+'FY16 Tax Bill'!T511-'FY16 Feb Forecast'!T511</f>
        <v>2.764705882352942</v>
      </c>
    </row>
    <row r="512" spans="1:20" x14ac:dyDescent="0.2">
      <c r="A512" s="109">
        <v>4218</v>
      </c>
      <c r="B512" s="110">
        <v>7</v>
      </c>
      <c r="C512" s="103" t="s">
        <v>515</v>
      </c>
      <c r="D512" s="103">
        <v>7</v>
      </c>
      <c r="E512" s="104">
        <f>+SUMIF('GE16FEB14 Unfudged'!$A$2:$A$498, $A512, 'GE16FEB14 Unfudged'!$D$2:$D$498)</f>
        <v>121</v>
      </c>
      <c r="F512" s="104">
        <f>+'FY16 Tax Bill'!F512-'FY16 Feb Forecast'!F512</f>
        <v>335</v>
      </c>
      <c r="G512" s="105">
        <f>+'FY16 Tax Bill'!G512-'FY16 Feb Forecast'!G512</f>
        <v>0</v>
      </c>
      <c r="H512" s="106">
        <f>+'FY16 Tax Bill'!H512-'FY16 Feb Forecast'!H512</f>
        <v>335</v>
      </c>
      <c r="I512" s="107">
        <f>+'FY16 Tax Bill'!I512-'FY16 Feb Forecast'!I512</f>
        <v>0</v>
      </c>
      <c r="J512" s="105">
        <f>+'FY16 Tax Bill'!J512-'FY16 Feb Forecast'!J512</f>
        <v>0</v>
      </c>
      <c r="K512" s="106">
        <f>+'FY16 Tax Bill'!K512-'FY16 Feb Forecast'!K512</f>
        <v>0</v>
      </c>
      <c r="L512" s="107">
        <f>+'FY16 Tax Bill'!L512-'FY16 Feb Forecast'!L512</f>
        <v>0</v>
      </c>
      <c r="M512" s="105">
        <f>+'FY16 Tax Bill'!M512-'FY16 Feb Forecast'!M512</f>
        <v>0</v>
      </c>
      <c r="N512" s="106">
        <f>+'FY16 Tax Bill'!N512-'FY16 Feb Forecast'!N512</f>
        <v>0</v>
      </c>
      <c r="O512" s="107">
        <f>+'FY16 Tax Bill'!O512-'FY16 Feb Forecast'!O512</f>
        <v>335</v>
      </c>
      <c r="P512" s="105">
        <f>+'FY16 Tax Bill'!P512-'FY16 Feb Forecast'!P512</f>
        <v>0</v>
      </c>
      <c r="Q512" s="106">
        <f>+'FY16 Tax Bill'!Q512-'FY16 Feb Forecast'!Q512</f>
        <v>335</v>
      </c>
      <c r="R512" s="105">
        <f>+'FY16 Tax Bill'!R512-'FY16 Feb Forecast'!R512</f>
        <v>2.7685950413223139</v>
      </c>
      <c r="S512" s="105">
        <f>+'FY16 Tax Bill'!S512-'FY16 Feb Forecast'!S512</f>
        <v>0</v>
      </c>
      <c r="T512" s="108">
        <f>+'FY16 Tax Bill'!T512-'FY16 Feb Forecast'!T512</f>
        <v>2.7685950413223139</v>
      </c>
    </row>
    <row r="513" spans="1:20" x14ac:dyDescent="0.2">
      <c r="A513" s="109">
        <v>4999</v>
      </c>
      <c r="B513" s="110">
        <v>7</v>
      </c>
      <c r="C513" s="103" t="s">
        <v>124</v>
      </c>
      <c r="D513" s="103">
        <v>7</v>
      </c>
      <c r="E513" s="104">
        <f>+SUMIF('GE16FEB14 Unfudged'!$A$2:$A$498, $A513, 'GE16FEB14 Unfudged'!$D$2:$D$498)</f>
        <v>6328</v>
      </c>
      <c r="F513" s="104">
        <f>+'FY16 Tax Bill'!F513-'FY16 Feb Forecast'!F513</f>
        <v>78</v>
      </c>
      <c r="G513" s="105">
        <f>+'FY16 Tax Bill'!G513-'FY16 Feb Forecast'!G513</f>
        <v>0</v>
      </c>
      <c r="H513" s="106">
        <f>+'FY16 Tax Bill'!H513-'FY16 Feb Forecast'!H513</f>
        <v>78</v>
      </c>
      <c r="I513" s="107">
        <f>+'FY16 Tax Bill'!I513-'FY16 Feb Forecast'!I513</f>
        <v>0</v>
      </c>
      <c r="J513" s="105">
        <f>+'FY16 Tax Bill'!J513-'FY16 Feb Forecast'!J513</f>
        <v>0</v>
      </c>
      <c r="K513" s="106">
        <f>+'FY16 Tax Bill'!K513-'FY16 Feb Forecast'!K513</f>
        <v>0</v>
      </c>
      <c r="L513" s="107">
        <f>+'FY16 Tax Bill'!L513-'FY16 Feb Forecast'!L513</f>
        <v>0</v>
      </c>
      <c r="M513" s="105">
        <f>+'FY16 Tax Bill'!M513-'FY16 Feb Forecast'!M513</f>
        <v>0</v>
      </c>
      <c r="N513" s="106">
        <f>+'FY16 Tax Bill'!N513-'FY16 Feb Forecast'!N513</f>
        <v>0</v>
      </c>
      <c r="O513" s="107">
        <f>+'FY16 Tax Bill'!O513-'FY16 Feb Forecast'!O513</f>
        <v>78</v>
      </c>
      <c r="P513" s="105">
        <f>+'FY16 Tax Bill'!P513-'FY16 Feb Forecast'!P513</f>
        <v>0</v>
      </c>
      <c r="Q513" s="106">
        <f>+'FY16 Tax Bill'!Q513-'FY16 Feb Forecast'!Q513</f>
        <v>78</v>
      </c>
      <c r="R513" s="105">
        <f>+'FY16 Tax Bill'!R513-'FY16 Feb Forecast'!R513</f>
        <v>1.2326169405810106E-2</v>
      </c>
      <c r="S513" s="105">
        <f>+'FY16 Tax Bill'!S513-'FY16 Feb Forecast'!S513</f>
        <v>0</v>
      </c>
      <c r="T513" s="108">
        <f>+'FY16 Tax Bill'!T513-'FY16 Feb Forecast'!T513</f>
        <v>1.2326169405810106E-2</v>
      </c>
    </row>
    <row r="514" spans="1:20" ht="13.5" thickBot="1" x14ac:dyDescent="0.25">
      <c r="A514" s="111">
        <v>6000</v>
      </c>
      <c r="B514" s="112">
        <v>7</v>
      </c>
      <c r="C514" s="113" t="s">
        <v>516</v>
      </c>
      <c r="D514" s="113">
        <v>24</v>
      </c>
      <c r="E514" s="114">
        <f>+SUMIF('GE16FEB14 Unfudged'!$A$2:$A$498, $A514, 'GE16FEB14 Unfudged'!$D$2:$D$498)</f>
        <v>0</v>
      </c>
      <c r="F514" s="114">
        <f>+'FY16 Tax Bill'!F514-'FY16 Feb Forecast'!F514</f>
        <v>0</v>
      </c>
      <c r="G514" s="115">
        <f>+'FY16 Tax Bill'!G514-'FY16 Feb Forecast'!G514</f>
        <v>0</v>
      </c>
      <c r="H514" s="116">
        <f>+'FY16 Tax Bill'!H514-'FY16 Feb Forecast'!H514</f>
        <v>0</v>
      </c>
      <c r="I514" s="117">
        <f>+'FY16 Tax Bill'!I514-'FY16 Feb Forecast'!I514</f>
        <v>0</v>
      </c>
      <c r="J514" s="115">
        <f>+'FY16 Tax Bill'!J514-'FY16 Feb Forecast'!J514</f>
        <v>0</v>
      </c>
      <c r="K514" s="116">
        <f>+'FY16 Tax Bill'!K514-'FY16 Feb Forecast'!K514</f>
        <v>0</v>
      </c>
      <c r="L514" s="117">
        <f>+'FY16 Tax Bill'!L514-'FY16 Feb Forecast'!L514</f>
        <v>0</v>
      </c>
      <c r="M514" s="115">
        <f>+'FY16 Tax Bill'!M514-'FY16 Feb Forecast'!M514</f>
        <v>0</v>
      </c>
      <c r="N514" s="116">
        <f>+'FY16 Tax Bill'!N514-'FY16 Feb Forecast'!N514</f>
        <v>0</v>
      </c>
      <c r="O514" s="117">
        <f>+'FY16 Tax Bill'!O514-'FY16 Feb Forecast'!O514</f>
        <v>0</v>
      </c>
      <c r="P514" s="115">
        <f>+'FY16 Tax Bill'!P514-'FY16 Feb Forecast'!P514</f>
        <v>0</v>
      </c>
      <c r="Q514" s="116">
        <f>+'FY16 Tax Bill'!Q514-'FY16 Feb Forecast'!Q514</f>
        <v>0</v>
      </c>
      <c r="R514" s="115">
        <f>+'FY16 Tax Bill'!R514-'FY16 Feb Forecast'!R514</f>
        <v>0</v>
      </c>
      <c r="S514" s="115">
        <f>+'FY16 Tax Bill'!S514-'FY16 Feb Forecast'!S514</f>
        <v>0</v>
      </c>
      <c r="T514" s="118">
        <f>+'FY16 Tax Bill'!T514-'FY16 Feb Forecast'!T514</f>
        <v>0</v>
      </c>
    </row>
    <row r="515" spans="1:20" x14ac:dyDescent="0.2">
      <c r="A515" s="66" t="s">
        <v>545</v>
      </c>
    </row>
  </sheetData>
  <printOptions gridLines="1"/>
  <pageMargins left="0.25" right="0.25" top="0.75" bottom="0.5" header="0.3" footer="0.3"/>
  <pageSetup scale="82" fitToHeight="0" orientation="landscape" r:id="rId1"/>
  <headerFooter>
    <oddHeader>&amp;LMDE School Finance&amp;C&amp;"Arial,Bold"2014 TAX BILL (Laws 2014, Chapter 150)
Impact on FY 2016 Maximum School District Revenue, Aid and Levy
&amp;R3/26/2014</oddHead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517"/>
  <sheetViews>
    <sheetView zoomScale="75" zoomScaleNormal="75" workbookViewId="0">
      <pane xSplit="5" ySplit="20" topLeftCell="O485" activePane="bottomRight" state="frozen"/>
      <selection pane="topRight" activeCell="F1" sqref="F1"/>
      <selection pane="bottomLeft" activeCell="A21" sqref="A21"/>
      <selection pane="bottomRight" activeCell="U21" sqref="U21:AC517"/>
    </sheetView>
  </sheetViews>
  <sheetFormatPr defaultRowHeight="15" x14ac:dyDescent="0.25"/>
  <cols>
    <col min="1" max="1" width="5.85546875" bestFit="1" customWidth="1"/>
    <col min="2" max="2" width="3.5703125" hidden="1" customWidth="1"/>
    <col min="3" max="3" width="41.28515625" bestFit="1" customWidth="1"/>
    <col min="4" max="4" width="3.5703125" hidden="1" customWidth="1"/>
    <col min="5" max="5" width="8.7109375" bestFit="1" customWidth="1"/>
    <col min="6" max="6" width="12.7109375" bestFit="1" customWidth="1"/>
    <col min="7" max="8" width="11.5703125" bestFit="1" customWidth="1"/>
    <col min="9" max="10" width="12.7109375" bestFit="1" customWidth="1"/>
    <col min="11" max="11" width="11.5703125" bestFit="1" customWidth="1"/>
    <col min="12" max="14" width="12.7109375" bestFit="1" customWidth="1"/>
    <col min="15" max="15" width="14.42578125" bestFit="1" customWidth="1"/>
    <col min="16" max="17" width="12.7109375" bestFit="1" customWidth="1"/>
    <col min="18" max="18" width="9.140625" bestFit="1" customWidth="1"/>
    <col min="19" max="19" width="7" bestFit="1" customWidth="1"/>
    <col min="20" max="20" width="6.42578125" bestFit="1" customWidth="1"/>
    <col min="21" max="21" width="12.7109375" bestFit="1" customWidth="1"/>
    <col min="22" max="23" width="11.5703125" bestFit="1" customWidth="1"/>
    <col min="24" max="25" width="12.7109375" bestFit="1" customWidth="1"/>
    <col min="26" max="26" width="11.5703125" bestFit="1" customWidth="1"/>
    <col min="27" max="29" width="12.7109375" bestFit="1" customWidth="1"/>
    <col min="30" max="30" width="14.42578125" bestFit="1" customWidth="1"/>
    <col min="31" max="32" width="12.7109375" bestFit="1" customWidth="1"/>
    <col min="33" max="33" width="9.140625" bestFit="1" customWidth="1"/>
    <col min="34" max="34" width="7" bestFit="1" customWidth="1"/>
    <col min="35" max="35" width="6.42578125" bestFit="1" customWidth="1"/>
    <col min="36" max="36" width="12.140625" bestFit="1" customWidth="1"/>
    <col min="37" max="37" width="11" bestFit="1" customWidth="1"/>
    <col min="38" max="38" width="12.140625" bestFit="1" customWidth="1"/>
    <col min="39" max="39" width="12.7109375" bestFit="1" customWidth="1"/>
    <col min="40" max="41" width="11.5703125" bestFit="1" customWidth="1"/>
    <col min="42" max="44" width="12.140625" bestFit="1" customWidth="1"/>
    <col min="45" max="47" width="11.5703125" bestFit="1" customWidth="1"/>
    <col min="48" max="48" width="9.140625" bestFit="1" customWidth="1"/>
    <col min="49" max="50" width="5.85546875" bestFit="1" customWidth="1"/>
  </cols>
  <sheetData>
    <row r="1" spans="3:50" s="1" customFormat="1" ht="15.75" thickBot="1" x14ac:dyDescent="0.3"/>
    <row r="2" spans="3:50" s="2" customFormat="1" ht="19.5" thickBot="1" x14ac:dyDescent="0.35">
      <c r="F2" s="145" t="s">
        <v>518</v>
      </c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7"/>
      <c r="U2" s="145" t="s">
        <v>532</v>
      </c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7"/>
      <c r="AJ2" s="145" t="s">
        <v>530</v>
      </c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7"/>
    </row>
    <row r="3" spans="3:50" s="1" customFormat="1" x14ac:dyDescent="0.25">
      <c r="E3" s="4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5"/>
      <c r="AJ3" s="3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5"/>
    </row>
    <row r="4" spans="3:50" s="1" customFormat="1" ht="15.75" thickBot="1" x14ac:dyDescent="0.3">
      <c r="E4" s="10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  <c r="AJ4" s="3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5"/>
    </row>
    <row r="5" spans="3:50" s="1" customFormat="1" x14ac:dyDescent="0.25">
      <c r="E5" s="6"/>
      <c r="F5" s="6"/>
      <c r="G5" s="7"/>
      <c r="H5" s="53"/>
      <c r="I5" s="48" t="s">
        <v>528</v>
      </c>
      <c r="J5" s="7" t="s">
        <v>528</v>
      </c>
      <c r="K5" s="53" t="s">
        <v>528</v>
      </c>
      <c r="L5" s="48" t="s">
        <v>128</v>
      </c>
      <c r="M5" s="7" t="s">
        <v>128</v>
      </c>
      <c r="N5" s="53" t="s">
        <v>128</v>
      </c>
      <c r="O5" s="48" t="s">
        <v>127</v>
      </c>
      <c r="P5" s="7" t="s">
        <v>127</v>
      </c>
      <c r="Q5" s="53" t="s">
        <v>127</v>
      </c>
      <c r="R5" s="7" t="s">
        <v>127</v>
      </c>
      <c r="S5" s="7" t="s">
        <v>127</v>
      </c>
      <c r="T5" s="8" t="s">
        <v>127</v>
      </c>
      <c r="U5" s="6"/>
      <c r="V5" s="7"/>
      <c r="W5" s="53"/>
      <c r="X5" s="48" t="s">
        <v>528</v>
      </c>
      <c r="Y5" s="7" t="s">
        <v>528</v>
      </c>
      <c r="Z5" s="53" t="s">
        <v>528</v>
      </c>
      <c r="AA5" s="48" t="s">
        <v>128</v>
      </c>
      <c r="AB5" s="7" t="s">
        <v>128</v>
      </c>
      <c r="AC5" s="53" t="s">
        <v>128</v>
      </c>
      <c r="AD5" s="48" t="s">
        <v>127</v>
      </c>
      <c r="AE5" s="7" t="s">
        <v>127</v>
      </c>
      <c r="AF5" s="53" t="s">
        <v>127</v>
      </c>
      <c r="AG5" s="7" t="s">
        <v>127</v>
      </c>
      <c r="AH5" s="7" t="s">
        <v>127</v>
      </c>
      <c r="AI5" s="8" t="s">
        <v>127</v>
      </c>
      <c r="AJ5" s="6"/>
      <c r="AK5" s="7"/>
      <c r="AL5" s="53"/>
      <c r="AM5" s="48" t="s">
        <v>528</v>
      </c>
      <c r="AN5" s="7" t="s">
        <v>528</v>
      </c>
      <c r="AO5" s="53" t="s">
        <v>528</v>
      </c>
      <c r="AP5" s="48" t="s">
        <v>128</v>
      </c>
      <c r="AQ5" s="7" t="s">
        <v>128</v>
      </c>
      <c r="AR5" s="53" t="s">
        <v>128</v>
      </c>
      <c r="AS5" s="48" t="s">
        <v>127</v>
      </c>
      <c r="AT5" s="7" t="s">
        <v>127</v>
      </c>
      <c r="AU5" s="53" t="s">
        <v>127</v>
      </c>
      <c r="AV5" s="7" t="s">
        <v>127</v>
      </c>
      <c r="AW5" s="7" t="s">
        <v>127</v>
      </c>
      <c r="AX5" s="8" t="s">
        <v>127</v>
      </c>
    </row>
    <row r="6" spans="3:50" s="1" customFormat="1" x14ac:dyDescent="0.25">
      <c r="E6" s="3" t="s">
        <v>525</v>
      </c>
      <c r="F6" s="3" t="s">
        <v>125</v>
      </c>
      <c r="G6" s="4" t="s">
        <v>125</v>
      </c>
      <c r="H6" s="54" t="s">
        <v>125</v>
      </c>
      <c r="I6" s="49" t="s">
        <v>125</v>
      </c>
      <c r="J6" s="4" t="s">
        <v>529</v>
      </c>
      <c r="K6" s="54" t="s">
        <v>125</v>
      </c>
      <c r="L6" s="49" t="s">
        <v>129</v>
      </c>
      <c r="M6" s="4" t="s">
        <v>129</v>
      </c>
      <c r="N6" s="54" t="s">
        <v>129</v>
      </c>
      <c r="O6" s="49" t="s">
        <v>526</v>
      </c>
      <c r="P6" s="4" t="s">
        <v>526</v>
      </c>
      <c r="Q6" s="54" t="s">
        <v>526</v>
      </c>
      <c r="R6" s="4" t="s">
        <v>0</v>
      </c>
      <c r="S6" s="4" t="s">
        <v>1</v>
      </c>
      <c r="T6" s="5" t="s">
        <v>2</v>
      </c>
      <c r="U6" s="3" t="s">
        <v>125</v>
      </c>
      <c r="V6" s="4" t="s">
        <v>125</v>
      </c>
      <c r="W6" s="54" t="s">
        <v>125</v>
      </c>
      <c r="X6" s="49" t="s">
        <v>125</v>
      </c>
      <c r="Y6" s="4" t="s">
        <v>529</v>
      </c>
      <c r="Z6" s="54" t="s">
        <v>125</v>
      </c>
      <c r="AA6" s="49" t="s">
        <v>129</v>
      </c>
      <c r="AB6" s="4" t="s">
        <v>129</v>
      </c>
      <c r="AC6" s="54" t="s">
        <v>129</v>
      </c>
      <c r="AD6" s="49" t="s">
        <v>526</v>
      </c>
      <c r="AE6" s="4" t="s">
        <v>526</v>
      </c>
      <c r="AF6" s="54" t="s">
        <v>526</v>
      </c>
      <c r="AG6" s="4" t="s">
        <v>0</v>
      </c>
      <c r="AH6" s="4" t="s">
        <v>1</v>
      </c>
      <c r="AI6" s="5" t="s">
        <v>2</v>
      </c>
      <c r="AJ6" s="3" t="s">
        <v>125</v>
      </c>
      <c r="AK6" s="4" t="s">
        <v>125</v>
      </c>
      <c r="AL6" s="54" t="s">
        <v>125</v>
      </c>
      <c r="AM6" s="49" t="s">
        <v>125</v>
      </c>
      <c r="AN6" s="4" t="s">
        <v>529</v>
      </c>
      <c r="AO6" s="54" t="s">
        <v>125</v>
      </c>
      <c r="AP6" s="49" t="s">
        <v>129</v>
      </c>
      <c r="AQ6" s="4" t="s">
        <v>129</v>
      </c>
      <c r="AR6" s="54" t="s">
        <v>129</v>
      </c>
      <c r="AS6" s="49" t="s">
        <v>526</v>
      </c>
      <c r="AT6" s="4" t="s">
        <v>526</v>
      </c>
      <c r="AU6" s="54" t="s">
        <v>526</v>
      </c>
      <c r="AV6" s="4" t="s">
        <v>0</v>
      </c>
      <c r="AW6" s="4" t="s">
        <v>1</v>
      </c>
      <c r="AX6" s="5" t="s">
        <v>2</v>
      </c>
    </row>
    <row r="7" spans="3:50" s="1" customFormat="1" ht="15.75" thickBot="1" x14ac:dyDescent="0.3">
      <c r="E7" s="72" t="s">
        <v>537</v>
      </c>
      <c r="F7" s="9" t="s">
        <v>0</v>
      </c>
      <c r="G7" s="10" t="s">
        <v>1</v>
      </c>
      <c r="H7" s="55" t="s">
        <v>2</v>
      </c>
      <c r="I7" s="50" t="s">
        <v>0</v>
      </c>
      <c r="J7" s="10" t="s">
        <v>1</v>
      </c>
      <c r="K7" s="55" t="s">
        <v>2</v>
      </c>
      <c r="L7" s="50" t="s">
        <v>0</v>
      </c>
      <c r="M7" s="10" t="s">
        <v>1</v>
      </c>
      <c r="N7" s="55" t="s">
        <v>2</v>
      </c>
      <c r="O7" s="50" t="s">
        <v>0</v>
      </c>
      <c r="P7" s="10" t="s">
        <v>1</v>
      </c>
      <c r="Q7" s="55" t="s">
        <v>2</v>
      </c>
      <c r="R7" s="10" t="s">
        <v>527</v>
      </c>
      <c r="S7" s="10" t="s">
        <v>527</v>
      </c>
      <c r="T7" s="11" t="s">
        <v>527</v>
      </c>
      <c r="U7" s="9" t="s">
        <v>0</v>
      </c>
      <c r="V7" s="10" t="s">
        <v>1</v>
      </c>
      <c r="W7" s="55" t="s">
        <v>2</v>
      </c>
      <c r="X7" s="50" t="s">
        <v>0</v>
      </c>
      <c r="Y7" s="10" t="s">
        <v>1</v>
      </c>
      <c r="Z7" s="55" t="s">
        <v>2</v>
      </c>
      <c r="AA7" s="50" t="s">
        <v>0</v>
      </c>
      <c r="AB7" s="10" t="s">
        <v>1</v>
      </c>
      <c r="AC7" s="55" t="s">
        <v>2</v>
      </c>
      <c r="AD7" s="50" t="s">
        <v>0</v>
      </c>
      <c r="AE7" s="10" t="s">
        <v>1</v>
      </c>
      <c r="AF7" s="55" t="s">
        <v>2</v>
      </c>
      <c r="AG7" s="10" t="s">
        <v>527</v>
      </c>
      <c r="AH7" s="10" t="s">
        <v>527</v>
      </c>
      <c r="AI7" s="11" t="s">
        <v>527</v>
      </c>
      <c r="AJ7" s="9" t="s">
        <v>0</v>
      </c>
      <c r="AK7" s="10" t="s">
        <v>1</v>
      </c>
      <c r="AL7" s="55" t="s">
        <v>2</v>
      </c>
      <c r="AM7" s="50" t="s">
        <v>0</v>
      </c>
      <c r="AN7" s="10" t="s">
        <v>1</v>
      </c>
      <c r="AO7" s="55" t="s">
        <v>2</v>
      </c>
      <c r="AP7" s="50" t="s">
        <v>0</v>
      </c>
      <c r="AQ7" s="10" t="s">
        <v>1</v>
      </c>
      <c r="AR7" s="55" t="s">
        <v>2</v>
      </c>
      <c r="AS7" s="50" t="s">
        <v>0</v>
      </c>
      <c r="AT7" s="10" t="s">
        <v>1</v>
      </c>
      <c r="AU7" s="55" t="s">
        <v>2</v>
      </c>
      <c r="AV7" s="10" t="s">
        <v>527</v>
      </c>
      <c r="AW7" s="10" t="s">
        <v>527</v>
      </c>
      <c r="AX7" s="11" t="s">
        <v>527</v>
      </c>
    </row>
    <row r="8" spans="3:50" x14ac:dyDescent="0.25">
      <c r="E8" s="15"/>
      <c r="F8" s="15"/>
      <c r="G8" s="13"/>
      <c r="H8" s="56"/>
      <c r="I8" s="51"/>
      <c r="J8" s="13"/>
      <c r="K8" s="56"/>
      <c r="L8" s="51"/>
      <c r="M8" s="13"/>
      <c r="N8" s="56"/>
      <c r="O8" s="51"/>
      <c r="P8" s="13"/>
      <c r="Q8" s="56"/>
      <c r="R8" s="13"/>
      <c r="S8" s="13"/>
      <c r="T8" s="16"/>
      <c r="U8" s="15"/>
      <c r="V8" s="13"/>
      <c r="W8" s="56"/>
      <c r="X8" s="51"/>
      <c r="Y8" s="13"/>
      <c r="Z8" s="56"/>
      <c r="AA8" s="51"/>
      <c r="AB8" s="13"/>
      <c r="AC8" s="56"/>
      <c r="AD8" s="51"/>
      <c r="AE8" s="13"/>
      <c r="AF8" s="56"/>
      <c r="AG8" s="13"/>
      <c r="AH8" s="13"/>
      <c r="AI8" s="16"/>
      <c r="AJ8" s="15"/>
      <c r="AK8" s="13"/>
      <c r="AL8" s="56"/>
      <c r="AM8" s="51"/>
      <c r="AN8" s="13"/>
      <c r="AO8" s="56"/>
      <c r="AP8" s="51"/>
      <c r="AQ8" s="13"/>
      <c r="AR8" s="56"/>
      <c r="AS8" s="51"/>
      <c r="AT8" s="13"/>
      <c r="AU8" s="56"/>
      <c r="AV8" s="13"/>
      <c r="AW8" s="13"/>
      <c r="AX8" s="16"/>
    </row>
    <row r="9" spans="3:50" x14ac:dyDescent="0.25">
      <c r="C9" t="s">
        <v>531</v>
      </c>
      <c r="E9" s="15">
        <f>SUM(E21:E517)</f>
        <v>921112</v>
      </c>
      <c r="F9" s="15">
        <f>SUM(F21:F517)</f>
        <v>106775552</v>
      </c>
      <c r="G9" s="13">
        <f>SUM(G21:G517)</f>
        <v>78879395</v>
      </c>
      <c r="H9" s="56">
        <f>SUM(H21:H517)</f>
        <v>27896157</v>
      </c>
      <c r="I9" s="51">
        <f t="shared" ref="I9:Q9" si="0">SUM(I21:I517)</f>
        <v>245125421</v>
      </c>
      <c r="J9" s="13">
        <f t="shared" si="0"/>
        <v>207462464</v>
      </c>
      <c r="K9" s="56">
        <f t="shared" si="0"/>
        <v>37662957</v>
      </c>
      <c r="L9" s="51">
        <f t="shared" si="0"/>
        <v>781257518</v>
      </c>
      <c r="M9" s="13">
        <f t="shared" si="0"/>
        <v>597059968</v>
      </c>
      <c r="N9" s="56">
        <f t="shared" si="0"/>
        <v>184197550</v>
      </c>
      <c r="O9" s="51">
        <f t="shared" si="0"/>
        <v>1133158491</v>
      </c>
      <c r="P9" s="13">
        <f t="shared" si="0"/>
        <v>883401827</v>
      </c>
      <c r="Q9" s="56">
        <f t="shared" si="0"/>
        <v>249756664</v>
      </c>
      <c r="R9" s="13">
        <f>+IF($E9=0, 0, O9/$E9)</f>
        <v>1230.2070660245442</v>
      </c>
      <c r="S9" s="13">
        <f>+IF($E9=0, 0, P9/$E9)</f>
        <v>959.06016532191529</v>
      </c>
      <c r="T9" s="16">
        <f>+IF($E9=0, 0, Q9/$E9)</f>
        <v>271.14690070262901</v>
      </c>
      <c r="U9" s="15">
        <f>SUM(U21:U517)</f>
        <v>109031619</v>
      </c>
      <c r="V9" s="13">
        <f>SUM(V21:V517)</f>
        <v>80189429</v>
      </c>
      <c r="W9" s="56">
        <f>SUM(W21:W517)</f>
        <v>28842190</v>
      </c>
      <c r="X9" s="51">
        <f t="shared" ref="X9:AC9" si="1">SUM(X21:X517)</f>
        <v>358810201</v>
      </c>
      <c r="Y9" s="13">
        <f t="shared" si="1"/>
        <v>285015473</v>
      </c>
      <c r="Z9" s="56">
        <f t="shared" si="1"/>
        <v>73794728</v>
      </c>
      <c r="AA9" s="51">
        <f t="shared" si="1"/>
        <v>709804912</v>
      </c>
      <c r="AB9" s="13">
        <f t="shared" si="1"/>
        <v>541519918</v>
      </c>
      <c r="AC9" s="56">
        <f t="shared" si="1"/>
        <v>168284994</v>
      </c>
      <c r="AD9" s="51">
        <f t="shared" ref="AD9:AF9" si="2">SUM(AD21:AD517)</f>
        <v>1177646732</v>
      </c>
      <c r="AE9" s="13">
        <f t="shared" si="2"/>
        <v>906724820</v>
      </c>
      <c r="AF9" s="56">
        <f t="shared" si="2"/>
        <v>270921912</v>
      </c>
      <c r="AG9" s="13">
        <f>+IF($E9=0, 0, AD9/$E9)</f>
        <v>1278.5054716473132</v>
      </c>
      <c r="AH9" s="13">
        <f>+IF($E9=0, 0, AE9/$E9)</f>
        <v>984.38063992218099</v>
      </c>
      <c r="AI9" s="16">
        <f>+IF($E9=0, 0, AF9/$E9)</f>
        <v>294.12483172513225</v>
      </c>
      <c r="AJ9" s="15">
        <f>+U9-F9</f>
        <v>2256067</v>
      </c>
      <c r="AK9" s="13">
        <f t="shared" ref="AK9:AX9" si="3">+V9-G9</f>
        <v>1310034</v>
      </c>
      <c r="AL9" s="56">
        <f t="shared" si="3"/>
        <v>946033</v>
      </c>
      <c r="AM9" s="51">
        <f t="shared" si="3"/>
        <v>113684780</v>
      </c>
      <c r="AN9" s="13">
        <f t="shared" si="3"/>
        <v>77553009</v>
      </c>
      <c r="AO9" s="56">
        <f t="shared" si="3"/>
        <v>36131771</v>
      </c>
      <c r="AP9" s="51">
        <f t="shared" si="3"/>
        <v>-71452606</v>
      </c>
      <c r="AQ9" s="13">
        <f t="shared" si="3"/>
        <v>-55540050</v>
      </c>
      <c r="AR9" s="56">
        <f t="shared" si="3"/>
        <v>-15912556</v>
      </c>
      <c r="AS9" s="51">
        <f>+AD9-O9</f>
        <v>44488241</v>
      </c>
      <c r="AT9" s="13">
        <f t="shared" si="3"/>
        <v>23322993</v>
      </c>
      <c r="AU9" s="56">
        <f t="shared" si="3"/>
        <v>21165248</v>
      </c>
      <c r="AV9" s="13">
        <f t="shared" si="3"/>
        <v>48.298405622768996</v>
      </c>
      <c r="AW9" s="13">
        <f t="shared" si="3"/>
        <v>25.320474600265698</v>
      </c>
      <c r="AX9" s="16">
        <f t="shared" si="3"/>
        <v>22.977931022503242</v>
      </c>
    </row>
    <row r="10" spans="3:50" x14ac:dyDescent="0.25">
      <c r="E10" s="15"/>
      <c r="F10" s="15"/>
      <c r="G10" s="13"/>
      <c r="H10" s="56"/>
      <c r="I10" s="51"/>
      <c r="J10" s="13"/>
      <c r="K10" s="56"/>
      <c r="L10" s="51"/>
      <c r="M10" s="13"/>
      <c r="N10" s="56"/>
      <c r="O10" s="51"/>
      <c r="P10" s="13"/>
      <c r="Q10" s="56"/>
      <c r="R10" s="13"/>
      <c r="S10" s="13"/>
      <c r="T10" s="16"/>
      <c r="U10" s="15"/>
      <c r="V10" s="13"/>
      <c r="W10" s="56"/>
      <c r="X10" s="51"/>
      <c r="Y10" s="13"/>
      <c r="Z10" s="56"/>
      <c r="AA10" s="51"/>
      <c r="AB10" s="13"/>
      <c r="AC10" s="56"/>
      <c r="AD10" s="51"/>
      <c r="AE10" s="13"/>
      <c r="AF10" s="56"/>
      <c r="AG10" s="13"/>
      <c r="AH10" s="13"/>
      <c r="AI10" s="16"/>
      <c r="AJ10" s="15"/>
      <c r="AK10" s="13"/>
      <c r="AL10" s="56"/>
      <c r="AM10" s="51"/>
      <c r="AN10" s="13"/>
      <c r="AO10" s="56"/>
      <c r="AP10" s="51"/>
      <c r="AQ10" s="13"/>
      <c r="AR10" s="56"/>
      <c r="AS10" s="51"/>
      <c r="AT10" s="13"/>
      <c r="AU10" s="56"/>
      <c r="AV10" s="13"/>
      <c r="AW10" s="13"/>
      <c r="AX10" s="16"/>
    </row>
    <row r="11" spans="3:50" x14ac:dyDescent="0.25">
      <c r="C11" t="s">
        <v>130</v>
      </c>
      <c r="D11">
        <v>1</v>
      </c>
      <c r="E11" s="15">
        <f t="shared" ref="E11:H19" si="4">SUMIF($D$21:$D$517,$D11,E$21:E$517)</f>
        <v>80335</v>
      </c>
      <c r="F11" s="15">
        <f t="shared" si="4"/>
        <v>4016730</v>
      </c>
      <c r="G11" s="13">
        <f t="shared" si="4"/>
        <v>3409709</v>
      </c>
      <c r="H11" s="56">
        <f t="shared" si="4"/>
        <v>607021</v>
      </c>
      <c r="I11" s="51">
        <f t="shared" ref="I11:N19" si="5">SUMIF($D$21:$D$517,$D11,I$21:I$517)</f>
        <v>34061870</v>
      </c>
      <c r="J11" s="13">
        <f t="shared" si="5"/>
        <v>28914332</v>
      </c>
      <c r="K11" s="56">
        <f t="shared" si="5"/>
        <v>5147538</v>
      </c>
      <c r="L11" s="51">
        <f t="shared" si="5"/>
        <v>82021892</v>
      </c>
      <c r="M11" s="13">
        <f t="shared" si="5"/>
        <v>67568650</v>
      </c>
      <c r="N11" s="56">
        <f t="shared" si="5"/>
        <v>14453242</v>
      </c>
      <c r="O11" s="51">
        <f>+F11+I11+L11</f>
        <v>120100492</v>
      </c>
      <c r="P11" s="13">
        <f>+G11+J11+M11</f>
        <v>99892691</v>
      </c>
      <c r="Q11" s="56">
        <f t="shared" ref="Q11" si="6">+H11+K11+N11</f>
        <v>20207801</v>
      </c>
      <c r="R11" s="13">
        <f t="shared" ref="R11:T17" si="7">+IF($E11=0, 0, O11/$E11)</f>
        <v>1494.9958548577831</v>
      </c>
      <c r="S11" s="13">
        <f t="shared" si="7"/>
        <v>1243.4516835750296</v>
      </c>
      <c r="T11" s="16">
        <f t="shared" si="7"/>
        <v>251.54417128275347</v>
      </c>
      <c r="U11" s="15">
        <f t="shared" ref="U11:AC19" si="8">SUMIF($D$21:$D$517,$D11,U$21:U$517)</f>
        <v>4016730</v>
      </c>
      <c r="V11" s="13">
        <f t="shared" si="8"/>
        <v>3409709</v>
      </c>
      <c r="W11" s="56">
        <f t="shared" si="8"/>
        <v>607021</v>
      </c>
      <c r="X11" s="51">
        <f t="shared" si="8"/>
        <v>34061870</v>
      </c>
      <c r="Y11" s="13">
        <f t="shared" si="8"/>
        <v>28914332</v>
      </c>
      <c r="Z11" s="56">
        <f t="shared" si="8"/>
        <v>5147538</v>
      </c>
      <c r="AA11" s="51">
        <f t="shared" si="8"/>
        <v>82021892</v>
      </c>
      <c r="AB11" s="13">
        <f t="shared" si="8"/>
        <v>67568650</v>
      </c>
      <c r="AC11" s="56">
        <f t="shared" si="8"/>
        <v>14453242</v>
      </c>
      <c r="AD11" s="51">
        <f>+U11+X11+AA11</f>
        <v>120100492</v>
      </c>
      <c r="AE11" s="13">
        <f>+V11+Y11+AB11</f>
        <v>99892691</v>
      </c>
      <c r="AF11" s="56">
        <f t="shared" ref="AF11:AF19" si="9">+W11+Z11+AC11</f>
        <v>20207801</v>
      </c>
      <c r="AG11" s="13">
        <f t="shared" ref="AG11:AI17" si="10">+IF($E11=0, 0, AD11/$E11)</f>
        <v>1494.9958548577831</v>
      </c>
      <c r="AH11" s="13">
        <f t="shared" si="10"/>
        <v>1243.4516835750296</v>
      </c>
      <c r="AI11" s="16">
        <f t="shared" si="10"/>
        <v>251.54417128275347</v>
      </c>
      <c r="AJ11" s="15">
        <f t="shared" ref="AJ11:AJ19" si="11">+U11-F11</f>
        <v>0</v>
      </c>
      <c r="AK11" s="13">
        <f t="shared" ref="AK11:AK19" si="12">+V11-G11</f>
        <v>0</v>
      </c>
      <c r="AL11" s="56">
        <f t="shared" ref="AL11:AL19" si="13">+W11-H11</f>
        <v>0</v>
      </c>
      <c r="AM11" s="51">
        <f t="shared" ref="AM11:AM19" si="14">+X11-I11</f>
        <v>0</v>
      </c>
      <c r="AN11" s="13">
        <f t="shared" ref="AN11:AN19" si="15">+Y11-J11</f>
        <v>0</v>
      </c>
      <c r="AO11" s="56">
        <f t="shared" ref="AO11:AO19" si="16">+Z11-K11</f>
        <v>0</v>
      </c>
      <c r="AP11" s="51">
        <f t="shared" ref="AP11:AP19" si="17">+AA11-L11</f>
        <v>0</v>
      </c>
      <c r="AQ11" s="13">
        <f t="shared" ref="AQ11:AQ19" si="18">+AB11-M11</f>
        <v>0</v>
      </c>
      <c r="AR11" s="56">
        <f t="shared" ref="AR11:AR19" si="19">+AC11-N11</f>
        <v>0</v>
      </c>
      <c r="AS11" s="51">
        <f t="shared" ref="AS11:AS19" si="20">+AD11-O11</f>
        <v>0</v>
      </c>
      <c r="AT11" s="13">
        <f>+AE11-P11</f>
        <v>0</v>
      </c>
      <c r="AU11" s="56">
        <f t="shared" ref="AU11:AU19" si="21">+AF11-Q11</f>
        <v>0</v>
      </c>
      <c r="AV11" s="13">
        <f t="shared" ref="AV11:AV19" si="22">+AG11-R11</f>
        <v>0</v>
      </c>
      <c r="AW11" s="13">
        <f t="shared" ref="AW11:AW19" si="23">+AH11-S11</f>
        <v>0</v>
      </c>
      <c r="AX11" s="16">
        <f t="shared" ref="AX11:AX19" si="24">+AI11-T11</f>
        <v>0</v>
      </c>
    </row>
    <row r="12" spans="3:50" x14ac:dyDescent="0.25">
      <c r="C12" t="s">
        <v>131</v>
      </c>
      <c r="D12">
        <v>2</v>
      </c>
      <c r="E12" s="15">
        <f t="shared" si="4"/>
        <v>95296</v>
      </c>
      <c r="F12" s="15">
        <f t="shared" si="4"/>
        <v>10087609</v>
      </c>
      <c r="G12" s="13">
        <f t="shared" si="4"/>
        <v>9084281</v>
      </c>
      <c r="H12" s="56">
        <f t="shared" si="4"/>
        <v>1003328</v>
      </c>
      <c r="I12" s="51">
        <f t="shared" si="5"/>
        <v>40405271</v>
      </c>
      <c r="J12" s="13">
        <f t="shared" si="5"/>
        <v>37193191</v>
      </c>
      <c r="K12" s="56">
        <f t="shared" si="5"/>
        <v>3212080</v>
      </c>
      <c r="L12" s="51">
        <f t="shared" si="5"/>
        <v>106269709</v>
      </c>
      <c r="M12" s="13">
        <f t="shared" si="5"/>
        <v>94440497</v>
      </c>
      <c r="N12" s="56">
        <f t="shared" si="5"/>
        <v>11829212</v>
      </c>
      <c r="O12" s="51">
        <f t="shared" ref="O12:O19" si="25">+F12+I12+L12</f>
        <v>156762589</v>
      </c>
      <c r="P12" s="13">
        <f t="shared" ref="P12:P19" si="26">+G12+J12+M12</f>
        <v>140717969</v>
      </c>
      <c r="Q12" s="56">
        <f t="shared" ref="Q12:Q19" si="27">+H12+K12+N12</f>
        <v>16044620</v>
      </c>
      <c r="R12" s="13">
        <f t="shared" si="7"/>
        <v>1645.007020231699</v>
      </c>
      <c r="S12" s="13">
        <f t="shared" si="7"/>
        <v>1476.6408768468771</v>
      </c>
      <c r="T12" s="16">
        <f t="shared" si="7"/>
        <v>168.36614338482204</v>
      </c>
      <c r="U12" s="15">
        <f t="shared" si="8"/>
        <v>10087609</v>
      </c>
      <c r="V12" s="13">
        <f t="shared" si="8"/>
        <v>9084281</v>
      </c>
      <c r="W12" s="56">
        <f t="shared" si="8"/>
        <v>1003328</v>
      </c>
      <c r="X12" s="51">
        <f t="shared" si="8"/>
        <v>40405271</v>
      </c>
      <c r="Y12" s="13">
        <f t="shared" si="8"/>
        <v>37193191</v>
      </c>
      <c r="Z12" s="56">
        <f t="shared" si="8"/>
        <v>3212080</v>
      </c>
      <c r="AA12" s="51">
        <f t="shared" si="8"/>
        <v>106269709</v>
      </c>
      <c r="AB12" s="13">
        <f t="shared" si="8"/>
        <v>94440497</v>
      </c>
      <c r="AC12" s="56">
        <f t="shared" si="8"/>
        <v>11829212</v>
      </c>
      <c r="AD12" s="51">
        <f t="shared" ref="AD12:AD19" si="28">+U12+X12+AA12</f>
        <v>156762589</v>
      </c>
      <c r="AE12" s="13">
        <f t="shared" ref="AE12:AE19" si="29">+V12+Y12+AB12</f>
        <v>140717969</v>
      </c>
      <c r="AF12" s="56">
        <f t="shared" si="9"/>
        <v>16044620</v>
      </c>
      <c r="AG12" s="13">
        <f t="shared" si="10"/>
        <v>1645.007020231699</v>
      </c>
      <c r="AH12" s="13">
        <f t="shared" si="10"/>
        <v>1476.6408768468771</v>
      </c>
      <c r="AI12" s="16">
        <f t="shared" si="10"/>
        <v>168.36614338482204</v>
      </c>
      <c r="AJ12" s="15">
        <f t="shared" si="11"/>
        <v>0</v>
      </c>
      <c r="AK12" s="13">
        <f t="shared" si="12"/>
        <v>0</v>
      </c>
      <c r="AL12" s="56">
        <f t="shared" si="13"/>
        <v>0</v>
      </c>
      <c r="AM12" s="51">
        <f t="shared" si="14"/>
        <v>0</v>
      </c>
      <c r="AN12" s="13">
        <f t="shared" si="15"/>
        <v>0</v>
      </c>
      <c r="AO12" s="56">
        <f t="shared" si="16"/>
        <v>0</v>
      </c>
      <c r="AP12" s="51">
        <f t="shared" si="17"/>
        <v>0</v>
      </c>
      <c r="AQ12" s="13">
        <f t="shared" si="18"/>
        <v>0</v>
      </c>
      <c r="AR12" s="56">
        <f t="shared" si="19"/>
        <v>0</v>
      </c>
      <c r="AS12" s="51">
        <f t="shared" si="20"/>
        <v>0</v>
      </c>
      <c r="AT12" s="13">
        <f t="shared" ref="AT12:AT19" si="30">+AE12-P12</f>
        <v>0</v>
      </c>
      <c r="AU12" s="56">
        <f t="shared" si="21"/>
        <v>0</v>
      </c>
      <c r="AV12" s="13">
        <f t="shared" si="22"/>
        <v>0</v>
      </c>
      <c r="AW12" s="13">
        <f t="shared" si="23"/>
        <v>0</v>
      </c>
      <c r="AX12" s="16">
        <f t="shared" si="24"/>
        <v>0</v>
      </c>
    </row>
    <row r="13" spans="3:50" x14ac:dyDescent="0.25">
      <c r="C13" t="s">
        <v>132</v>
      </c>
      <c r="D13">
        <v>3</v>
      </c>
      <c r="E13" s="15">
        <f t="shared" si="4"/>
        <v>286862</v>
      </c>
      <c r="F13" s="15">
        <f t="shared" si="4"/>
        <v>32447767</v>
      </c>
      <c r="G13" s="13">
        <f t="shared" si="4"/>
        <v>28447251</v>
      </c>
      <c r="H13" s="56">
        <f t="shared" si="4"/>
        <v>4000516</v>
      </c>
      <c r="I13" s="51">
        <f t="shared" si="5"/>
        <v>121629744</v>
      </c>
      <c r="J13" s="13">
        <f t="shared" si="5"/>
        <v>108437428</v>
      </c>
      <c r="K13" s="56">
        <f t="shared" si="5"/>
        <v>13192316</v>
      </c>
      <c r="L13" s="51">
        <f t="shared" si="5"/>
        <v>284810801</v>
      </c>
      <c r="M13" s="13">
        <f t="shared" si="5"/>
        <v>241082865</v>
      </c>
      <c r="N13" s="56">
        <f t="shared" si="5"/>
        <v>43727936</v>
      </c>
      <c r="O13" s="51">
        <f t="shared" si="25"/>
        <v>438888312</v>
      </c>
      <c r="P13" s="13">
        <f t="shared" si="26"/>
        <v>377967544</v>
      </c>
      <c r="Q13" s="56">
        <f t="shared" si="27"/>
        <v>60920768</v>
      </c>
      <c r="R13" s="13">
        <f t="shared" si="7"/>
        <v>1529.9632297062699</v>
      </c>
      <c r="S13" s="13">
        <f t="shared" si="7"/>
        <v>1317.5936303867365</v>
      </c>
      <c r="T13" s="16">
        <f t="shared" si="7"/>
        <v>212.36959931953342</v>
      </c>
      <c r="U13" s="15">
        <f t="shared" si="8"/>
        <v>32382467</v>
      </c>
      <c r="V13" s="13">
        <f t="shared" si="8"/>
        <v>28389979</v>
      </c>
      <c r="W13" s="56">
        <f t="shared" si="8"/>
        <v>3992488</v>
      </c>
      <c r="X13" s="51">
        <f t="shared" si="8"/>
        <v>121629744</v>
      </c>
      <c r="Y13" s="13">
        <f t="shared" si="8"/>
        <v>108437428</v>
      </c>
      <c r="Z13" s="56">
        <f t="shared" si="8"/>
        <v>13192316</v>
      </c>
      <c r="AA13" s="51">
        <f t="shared" si="8"/>
        <v>284810801</v>
      </c>
      <c r="AB13" s="13">
        <f t="shared" si="8"/>
        <v>241082865</v>
      </c>
      <c r="AC13" s="56">
        <f t="shared" si="8"/>
        <v>43727936</v>
      </c>
      <c r="AD13" s="51">
        <f t="shared" si="28"/>
        <v>438823012</v>
      </c>
      <c r="AE13" s="13">
        <f t="shared" si="29"/>
        <v>377910272</v>
      </c>
      <c r="AF13" s="56">
        <f t="shared" si="9"/>
        <v>60912740</v>
      </c>
      <c r="AG13" s="13">
        <f t="shared" si="10"/>
        <v>1529.7355941184262</v>
      </c>
      <c r="AH13" s="13">
        <f t="shared" si="10"/>
        <v>1317.3939803808103</v>
      </c>
      <c r="AI13" s="16">
        <f t="shared" si="10"/>
        <v>212.341613737616</v>
      </c>
      <c r="AJ13" s="15">
        <f t="shared" si="11"/>
        <v>-65300</v>
      </c>
      <c r="AK13" s="13">
        <f t="shared" si="12"/>
        <v>-57272</v>
      </c>
      <c r="AL13" s="56">
        <f t="shared" si="13"/>
        <v>-8028</v>
      </c>
      <c r="AM13" s="51">
        <f t="shared" si="14"/>
        <v>0</v>
      </c>
      <c r="AN13" s="13">
        <f t="shared" si="15"/>
        <v>0</v>
      </c>
      <c r="AO13" s="56">
        <f t="shared" si="16"/>
        <v>0</v>
      </c>
      <c r="AP13" s="51">
        <f t="shared" si="17"/>
        <v>0</v>
      </c>
      <c r="AQ13" s="13">
        <f t="shared" si="18"/>
        <v>0</v>
      </c>
      <c r="AR13" s="56">
        <f t="shared" si="19"/>
        <v>0</v>
      </c>
      <c r="AS13" s="51">
        <f t="shared" si="20"/>
        <v>-65300</v>
      </c>
      <c r="AT13" s="13">
        <f t="shared" si="30"/>
        <v>-57272</v>
      </c>
      <c r="AU13" s="56">
        <f t="shared" si="21"/>
        <v>-8028</v>
      </c>
      <c r="AV13" s="13">
        <f t="shared" si="22"/>
        <v>-0.22763558784367888</v>
      </c>
      <c r="AW13" s="13">
        <f t="shared" si="23"/>
        <v>-0.19965000592628712</v>
      </c>
      <c r="AX13" s="16">
        <f t="shared" si="24"/>
        <v>-2.7985581917420177E-2</v>
      </c>
    </row>
    <row r="14" spans="3:50" x14ac:dyDescent="0.25">
      <c r="C14" t="s">
        <v>133</v>
      </c>
      <c r="D14">
        <v>4</v>
      </c>
      <c r="E14" s="15">
        <f t="shared" si="4"/>
        <v>199708</v>
      </c>
      <c r="F14" s="15">
        <f t="shared" si="4"/>
        <v>26041447</v>
      </c>
      <c r="G14" s="13">
        <f t="shared" si="4"/>
        <v>20430567</v>
      </c>
      <c r="H14" s="56">
        <f t="shared" si="4"/>
        <v>5610880</v>
      </c>
      <c r="I14" s="51">
        <f t="shared" si="5"/>
        <v>47481818</v>
      </c>
      <c r="J14" s="13">
        <f t="shared" si="5"/>
        <v>37095969</v>
      </c>
      <c r="K14" s="56">
        <f t="shared" si="5"/>
        <v>10385849</v>
      </c>
      <c r="L14" s="51">
        <f t="shared" si="5"/>
        <v>103221608</v>
      </c>
      <c r="M14" s="13">
        <f t="shared" si="5"/>
        <v>63908894</v>
      </c>
      <c r="N14" s="56">
        <f t="shared" si="5"/>
        <v>39312714</v>
      </c>
      <c r="O14" s="51">
        <f t="shared" si="25"/>
        <v>176744873</v>
      </c>
      <c r="P14" s="13">
        <f t="shared" si="26"/>
        <v>121435430</v>
      </c>
      <c r="Q14" s="56">
        <f t="shared" si="27"/>
        <v>55309443</v>
      </c>
      <c r="R14" s="13">
        <f t="shared" si="7"/>
        <v>885.01648907404808</v>
      </c>
      <c r="S14" s="13">
        <f t="shared" si="7"/>
        <v>608.06492479019369</v>
      </c>
      <c r="T14" s="16">
        <f t="shared" si="7"/>
        <v>276.95156428385445</v>
      </c>
      <c r="U14" s="15">
        <f t="shared" si="8"/>
        <v>26617911</v>
      </c>
      <c r="V14" s="13">
        <f t="shared" si="8"/>
        <v>20860921</v>
      </c>
      <c r="W14" s="56">
        <f t="shared" si="8"/>
        <v>5756990</v>
      </c>
      <c r="X14" s="51">
        <f t="shared" si="8"/>
        <v>84675620</v>
      </c>
      <c r="Y14" s="13">
        <f t="shared" si="8"/>
        <v>66996515</v>
      </c>
      <c r="Z14" s="56">
        <f t="shared" si="8"/>
        <v>17679105</v>
      </c>
      <c r="AA14" s="51">
        <f t="shared" si="8"/>
        <v>81888826</v>
      </c>
      <c r="AB14" s="13">
        <f t="shared" si="8"/>
        <v>46202453</v>
      </c>
      <c r="AC14" s="56">
        <f t="shared" si="8"/>
        <v>35686373</v>
      </c>
      <c r="AD14" s="51">
        <f t="shared" si="28"/>
        <v>193182357</v>
      </c>
      <c r="AE14" s="13">
        <f t="shared" si="29"/>
        <v>134059889</v>
      </c>
      <c r="AF14" s="56">
        <f t="shared" si="9"/>
        <v>59122468</v>
      </c>
      <c r="AG14" s="13">
        <f t="shared" si="10"/>
        <v>967.324078154105</v>
      </c>
      <c r="AH14" s="13">
        <f t="shared" si="10"/>
        <v>671.27951308911008</v>
      </c>
      <c r="AI14" s="16">
        <f t="shared" si="10"/>
        <v>296.04456506499491</v>
      </c>
      <c r="AJ14" s="15">
        <f t="shared" si="11"/>
        <v>576464</v>
      </c>
      <c r="AK14" s="13">
        <f t="shared" si="12"/>
        <v>430354</v>
      </c>
      <c r="AL14" s="56">
        <f t="shared" si="13"/>
        <v>146110</v>
      </c>
      <c r="AM14" s="51">
        <f t="shared" si="14"/>
        <v>37193802</v>
      </c>
      <c r="AN14" s="13">
        <f t="shared" si="15"/>
        <v>29900546</v>
      </c>
      <c r="AO14" s="56">
        <f t="shared" si="16"/>
        <v>7293256</v>
      </c>
      <c r="AP14" s="51">
        <f t="shared" si="17"/>
        <v>-21332782</v>
      </c>
      <c r="AQ14" s="13">
        <f t="shared" si="18"/>
        <v>-17706441</v>
      </c>
      <c r="AR14" s="56">
        <f t="shared" si="19"/>
        <v>-3626341</v>
      </c>
      <c r="AS14" s="51">
        <f t="shared" si="20"/>
        <v>16437484</v>
      </c>
      <c r="AT14" s="13">
        <f t="shared" si="30"/>
        <v>12624459</v>
      </c>
      <c r="AU14" s="56">
        <f t="shared" si="21"/>
        <v>3813025</v>
      </c>
      <c r="AV14" s="13">
        <f t="shared" si="22"/>
        <v>82.307589080056914</v>
      </c>
      <c r="AW14" s="13">
        <f t="shared" si="23"/>
        <v>63.214588298916397</v>
      </c>
      <c r="AX14" s="16">
        <f t="shared" si="24"/>
        <v>19.093000781140461</v>
      </c>
    </row>
    <row r="15" spans="3:50" x14ac:dyDescent="0.25">
      <c r="C15" t="s">
        <v>134</v>
      </c>
      <c r="D15">
        <v>5</v>
      </c>
      <c r="E15" s="15">
        <f t="shared" si="4"/>
        <v>101624</v>
      </c>
      <c r="F15" s="15">
        <f t="shared" si="4"/>
        <v>13061574</v>
      </c>
      <c r="G15" s="13">
        <f t="shared" si="4"/>
        <v>9109814</v>
      </c>
      <c r="H15" s="56">
        <f t="shared" si="4"/>
        <v>3951760</v>
      </c>
      <c r="I15" s="51">
        <f t="shared" si="5"/>
        <v>3608303</v>
      </c>
      <c r="J15" s="13">
        <f t="shared" si="5"/>
        <v>2797224</v>
      </c>
      <c r="K15" s="56">
        <f t="shared" si="5"/>
        <v>811079</v>
      </c>
      <c r="L15" s="51">
        <f t="shared" si="5"/>
        <v>64769230</v>
      </c>
      <c r="M15" s="13">
        <f t="shared" si="5"/>
        <v>36354812</v>
      </c>
      <c r="N15" s="56">
        <f t="shared" si="5"/>
        <v>28414418</v>
      </c>
      <c r="O15" s="51">
        <f t="shared" si="25"/>
        <v>81439107</v>
      </c>
      <c r="P15" s="13">
        <f t="shared" si="26"/>
        <v>48261850</v>
      </c>
      <c r="Q15" s="56">
        <f t="shared" si="27"/>
        <v>33177257</v>
      </c>
      <c r="R15" s="13">
        <f t="shared" si="7"/>
        <v>801.37671219396998</v>
      </c>
      <c r="S15" s="13">
        <f t="shared" si="7"/>
        <v>474.90602613555853</v>
      </c>
      <c r="T15" s="16">
        <f t="shared" si="7"/>
        <v>326.47068605841139</v>
      </c>
      <c r="U15" s="15">
        <f t="shared" si="8"/>
        <v>14050971</v>
      </c>
      <c r="V15" s="13">
        <f t="shared" si="8"/>
        <v>9767926</v>
      </c>
      <c r="W15" s="56">
        <f t="shared" si="8"/>
        <v>4283045</v>
      </c>
      <c r="X15" s="51">
        <f t="shared" si="8"/>
        <v>43086983</v>
      </c>
      <c r="Y15" s="13">
        <f t="shared" si="8"/>
        <v>29722823</v>
      </c>
      <c r="Z15" s="56">
        <f t="shared" si="8"/>
        <v>13364160</v>
      </c>
      <c r="AA15" s="51">
        <f t="shared" si="8"/>
        <v>40101869</v>
      </c>
      <c r="AB15" s="13">
        <f t="shared" si="8"/>
        <v>18426889</v>
      </c>
      <c r="AC15" s="56">
        <f t="shared" si="8"/>
        <v>21674980</v>
      </c>
      <c r="AD15" s="51">
        <f t="shared" si="28"/>
        <v>97239823</v>
      </c>
      <c r="AE15" s="13">
        <f t="shared" si="29"/>
        <v>57917638</v>
      </c>
      <c r="AF15" s="56">
        <f t="shared" si="9"/>
        <v>39322185</v>
      </c>
      <c r="AG15" s="13">
        <f t="shared" si="10"/>
        <v>956.85884239943323</v>
      </c>
      <c r="AH15" s="13">
        <f t="shared" si="10"/>
        <v>569.92086514996458</v>
      </c>
      <c r="AI15" s="16">
        <f t="shared" si="10"/>
        <v>386.93797724946864</v>
      </c>
      <c r="AJ15" s="15">
        <f t="shared" si="11"/>
        <v>989397</v>
      </c>
      <c r="AK15" s="13">
        <f t="shared" si="12"/>
        <v>658112</v>
      </c>
      <c r="AL15" s="56">
        <f t="shared" si="13"/>
        <v>331285</v>
      </c>
      <c r="AM15" s="51">
        <f t="shared" si="14"/>
        <v>39478680</v>
      </c>
      <c r="AN15" s="13">
        <f t="shared" si="15"/>
        <v>26925599</v>
      </c>
      <c r="AO15" s="56">
        <f t="shared" si="16"/>
        <v>12553081</v>
      </c>
      <c r="AP15" s="51">
        <f t="shared" si="17"/>
        <v>-24667361</v>
      </c>
      <c r="AQ15" s="13">
        <f t="shared" si="18"/>
        <v>-17927923</v>
      </c>
      <c r="AR15" s="56">
        <f t="shared" si="19"/>
        <v>-6739438</v>
      </c>
      <c r="AS15" s="51">
        <f t="shared" si="20"/>
        <v>15800716</v>
      </c>
      <c r="AT15" s="13">
        <f t="shared" si="30"/>
        <v>9655788</v>
      </c>
      <c r="AU15" s="56">
        <f t="shared" si="21"/>
        <v>6144928</v>
      </c>
      <c r="AV15" s="13">
        <f t="shared" si="22"/>
        <v>155.48213020546325</v>
      </c>
      <c r="AW15" s="13">
        <f t="shared" si="23"/>
        <v>95.01483901440605</v>
      </c>
      <c r="AX15" s="16">
        <f t="shared" si="24"/>
        <v>60.467291191057257</v>
      </c>
    </row>
    <row r="16" spans="3:50" x14ac:dyDescent="0.25">
      <c r="C16" t="s">
        <v>135</v>
      </c>
      <c r="D16">
        <v>6</v>
      </c>
      <c r="E16" s="15">
        <f t="shared" si="4"/>
        <v>92857</v>
      </c>
      <c r="F16" s="15">
        <f t="shared" si="4"/>
        <v>10778201</v>
      </c>
      <c r="G16" s="13">
        <f t="shared" si="4"/>
        <v>7006886</v>
      </c>
      <c r="H16" s="56">
        <f t="shared" si="4"/>
        <v>3771315</v>
      </c>
      <c r="I16" s="51">
        <f t="shared" si="5"/>
        <v>177444</v>
      </c>
      <c r="J16" s="13">
        <f t="shared" si="5"/>
        <v>136479</v>
      </c>
      <c r="K16" s="56">
        <f t="shared" si="5"/>
        <v>40965</v>
      </c>
      <c r="L16" s="51">
        <f t="shared" si="5"/>
        <v>85404065</v>
      </c>
      <c r="M16" s="13">
        <f t="shared" si="5"/>
        <v>53507252</v>
      </c>
      <c r="N16" s="56">
        <f t="shared" si="5"/>
        <v>31896813</v>
      </c>
      <c r="O16" s="51">
        <f t="shared" si="25"/>
        <v>96359710</v>
      </c>
      <c r="P16" s="13">
        <f t="shared" si="26"/>
        <v>60650617</v>
      </c>
      <c r="Q16" s="56">
        <f t="shared" si="27"/>
        <v>35709093</v>
      </c>
      <c r="R16" s="13">
        <f t="shared" si="7"/>
        <v>1037.7215503408468</v>
      </c>
      <c r="S16" s="13">
        <f t="shared" si="7"/>
        <v>653.16149563307022</v>
      </c>
      <c r="T16" s="16">
        <f t="shared" si="7"/>
        <v>384.56005470777649</v>
      </c>
      <c r="U16" s="15">
        <f t="shared" si="8"/>
        <v>11642268</v>
      </c>
      <c r="V16" s="13">
        <f t="shared" si="8"/>
        <v>7570513</v>
      </c>
      <c r="W16" s="56">
        <f t="shared" si="8"/>
        <v>4071755</v>
      </c>
      <c r="X16" s="51">
        <f t="shared" si="8"/>
        <v>39368245</v>
      </c>
      <c r="Y16" s="13">
        <f t="shared" si="8"/>
        <v>25351973</v>
      </c>
      <c r="Z16" s="56">
        <f t="shared" si="8"/>
        <v>14016272</v>
      </c>
      <c r="AA16" s="51">
        <f t="shared" si="8"/>
        <v>57614939</v>
      </c>
      <c r="AB16" s="13">
        <f t="shared" si="8"/>
        <v>30865037</v>
      </c>
      <c r="AC16" s="56">
        <f t="shared" si="8"/>
        <v>26749902</v>
      </c>
      <c r="AD16" s="51">
        <f t="shared" si="28"/>
        <v>108625452</v>
      </c>
      <c r="AE16" s="13">
        <f t="shared" si="29"/>
        <v>63787523</v>
      </c>
      <c r="AF16" s="56">
        <f t="shared" si="9"/>
        <v>44837929</v>
      </c>
      <c r="AG16" s="13">
        <f t="shared" si="10"/>
        <v>1169.8143597143996</v>
      </c>
      <c r="AH16" s="13">
        <f t="shared" si="10"/>
        <v>686.94361222094187</v>
      </c>
      <c r="AI16" s="16">
        <f t="shared" si="10"/>
        <v>482.87074749345766</v>
      </c>
      <c r="AJ16" s="15">
        <f t="shared" si="11"/>
        <v>864067</v>
      </c>
      <c r="AK16" s="13">
        <f t="shared" si="12"/>
        <v>563627</v>
      </c>
      <c r="AL16" s="56">
        <f t="shared" si="13"/>
        <v>300440</v>
      </c>
      <c r="AM16" s="51">
        <f t="shared" si="14"/>
        <v>39190801</v>
      </c>
      <c r="AN16" s="13">
        <f t="shared" si="15"/>
        <v>25215494</v>
      </c>
      <c r="AO16" s="56">
        <f t="shared" si="16"/>
        <v>13975307</v>
      </c>
      <c r="AP16" s="51">
        <f t="shared" si="17"/>
        <v>-27789126</v>
      </c>
      <c r="AQ16" s="13">
        <f t="shared" si="18"/>
        <v>-22642215</v>
      </c>
      <c r="AR16" s="56">
        <f t="shared" si="19"/>
        <v>-5146911</v>
      </c>
      <c r="AS16" s="51">
        <f t="shared" si="20"/>
        <v>12265742</v>
      </c>
      <c r="AT16" s="13">
        <f t="shared" si="30"/>
        <v>3136906</v>
      </c>
      <c r="AU16" s="56">
        <f t="shared" si="21"/>
        <v>9128836</v>
      </c>
      <c r="AV16" s="13">
        <f t="shared" si="22"/>
        <v>132.09280937355288</v>
      </c>
      <c r="AW16" s="13">
        <f t="shared" si="23"/>
        <v>33.782116587871656</v>
      </c>
      <c r="AX16" s="16">
        <f t="shared" si="24"/>
        <v>98.310692785681169</v>
      </c>
    </row>
    <row r="17" spans="1:50" x14ac:dyDescent="0.25">
      <c r="C17" t="s">
        <v>136</v>
      </c>
      <c r="D17">
        <v>7</v>
      </c>
      <c r="E17" s="15">
        <f t="shared" si="4"/>
        <v>55972</v>
      </c>
      <c r="F17" s="15">
        <f t="shared" si="4"/>
        <v>6487360</v>
      </c>
      <c r="G17" s="13">
        <f t="shared" si="4"/>
        <v>0</v>
      </c>
      <c r="H17" s="56">
        <f t="shared" si="4"/>
        <v>6487360</v>
      </c>
      <c r="I17" s="51">
        <f t="shared" si="5"/>
        <v>0</v>
      </c>
      <c r="J17" s="13">
        <f t="shared" si="5"/>
        <v>0</v>
      </c>
      <c r="K17" s="56">
        <f t="shared" si="5"/>
        <v>0</v>
      </c>
      <c r="L17" s="51">
        <f t="shared" si="5"/>
        <v>0</v>
      </c>
      <c r="M17" s="13">
        <f t="shared" si="5"/>
        <v>0</v>
      </c>
      <c r="N17" s="56">
        <f t="shared" si="5"/>
        <v>0</v>
      </c>
      <c r="O17" s="51">
        <f t="shared" si="25"/>
        <v>6487360</v>
      </c>
      <c r="P17" s="13">
        <f t="shared" si="26"/>
        <v>0</v>
      </c>
      <c r="Q17" s="56">
        <f t="shared" si="27"/>
        <v>6487360</v>
      </c>
      <c r="R17" s="13">
        <f t="shared" si="7"/>
        <v>115.90366611877367</v>
      </c>
      <c r="S17" s="13">
        <f t="shared" si="7"/>
        <v>0</v>
      </c>
      <c r="T17" s="16">
        <f t="shared" si="7"/>
        <v>115.90366611877367</v>
      </c>
      <c r="U17" s="15">
        <f t="shared" si="8"/>
        <v>6624435</v>
      </c>
      <c r="V17" s="13">
        <f t="shared" si="8"/>
        <v>0</v>
      </c>
      <c r="W17" s="56">
        <f t="shared" si="8"/>
        <v>6624435</v>
      </c>
      <c r="X17" s="51">
        <f t="shared" si="8"/>
        <v>0</v>
      </c>
      <c r="Y17" s="13">
        <f t="shared" si="8"/>
        <v>0</v>
      </c>
      <c r="Z17" s="56">
        <f t="shared" si="8"/>
        <v>0</v>
      </c>
      <c r="AA17" s="51">
        <f t="shared" si="8"/>
        <v>0</v>
      </c>
      <c r="AB17" s="13">
        <f t="shared" si="8"/>
        <v>0</v>
      </c>
      <c r="AC17" s="56">
        <f t="shared" si="8"/>
        <v>0</v>
      </c>
      <c r="AD17" s="51">
        <f t="shared" si="28"/>
        <v>6624435</v>
      </c>
      <c r="AE17" s="13">
        <f t="shared" si="29"/>
        <v>0</v>
      </c>
      <c r="AF17" s="56">
        <f t="shared" si="9"/>
        <v>6624435</v>
      </c>
      <c r="AG17" s="13">
        <f t="shared" si="10"/>
        <v>118.3526584720932</v>
      </c>
      <c r="AH17" s="13">
        <f t="shared" si="10"/>
        <v>0</v>
      </c>
      <c r="AI17" s="16">
        <f t="shared" si="10"/>
        <v>118.3526584720932</v>
      </c>
      <c r="AJ17" s="15">
        <f t="shared" si="11"/>
        <v>137075</v>
      </c>
      <c r="AK17" s="13">
        <f t="shared" si="12"/>
        <v>0</v>
      </c>
      <c r="AL17" s="56">
        <f t="shared" si="13"/>
        <v>137075</v>
      </c>
      <c r="AM17" s="51">
        <f t="shared" si="14"/>
        <v>0</v>
      </c>
      <c r="AN17" s="13">
        <f t="shared" si="15"/>
        <v>0</v>
      </c>
      <c r="AO17" s="56">
        <f t="shared" si="16"/>
        <v>0</v>
      </c>
      <c r="AP17" s="51">
        <f t="shared" si="17"/>
        <v>0</v>
      </c>
      <c r="AQ17" s="13">
        <f t="shared" si="18"/>
        <v>0</v>
      </c>
      <c r="AR17" s="56">
        <f t="shared" si="19"/>
        <v>0</v>
      </c>
      <c r="AS17" s="51">
        <f t="shared" si="20"/>
        <v>137075</v>
      </c>
      <c r="AT17" s="13">
        <f t="shared" si="30"/>
        <v>0</v>
      </c>
      <c r="AU17" s="56">
        <f t="shared" si="21"/>
        <v>137075</v>
      </c>
      <c r="AV17" s="13">
        <f t="shared" si="22"/>
        <v>2.4489923533195253</v>
      </c>
      <c r="AW17" s="13">
        <f t="shared" si="23"/>
        <v>0</v>
      </c>
      <c r="AX17" s="16">
        <f t="shared" si="24"/>
        <v>2.4489923533195253</v>
      </c>
    </row>
    <row r="18" spans="1:50" x14ac:dyDescent="0.25">
      <c r="C18" t="s">
        <v>137</v>
      </c>
      <c r="D18">
        <v>8</v>
      </c>
      <c r="E18" s="15">
        <f t="shared" si="4"/>
        <v>0</v>
      </c>
      <c r="F18" s="15">
        <f t="shared" si="4"/>
        <v>0</v>
      </c>
      <c r="G18" s="13">
        <f t="shared" si="4"/>
        <v>0</v>
      </c>
      <c r="H18" s="56">
        <f t="shared" si="4"/>
        <v>0</v>
      </c>
      <c r="I18" s="51">
        <f t="shared" si="5"/>
        <v>0</v>
      </c>
      <c r="J18" s="13">
        <f t="shared" si="5"/>
        <v>0</v>
      </c>
      <c r="K18" s="56">
        <f t="shared" si="5"/>
        <v>0</v>
      </c>
      <c r="L18" s="51">
        <f t="shared" si="5"/>
        <v>0</v>
      </c>
      <c r="M18" s="13">
        <f t="shared" si="5"/>
        <v>0</v>
      </c>
      <c r="N18" s="56">
        <f t="shared" si="5"/>
        <v>0</v>
      </c>
      <c r="O18" s="51">
        <f t="shared" si="25"/>
        <v>0</v>
      </c>
      <c r="P18" s="13">
        <f t="shared" si="26"/>
        <v>0</v>
      </c>
      <c r="Q18" s="56">
        <f t="shared" si="27"/>
        <v>0</v>
      </c>
      <c r="R18" s="13">
        <f t="shared" ref="R18" si="31">+IF($E18=0, 0, O18/$E18*1000)</f>
        <v>0</v>
      </c>
      <c r="S18" s="13">
        <f t="shared" ref="S18" si="32">+IF($E18=0, 0, P18/$E18*1000)</f>
        <v>0</v>
      </c>
      <c r="T18" s="16">
        <f t="shared" ref="T18" si="33">+IF($E18=0, 0, Q18/$E18*1000)</f>
        <v>0</v>
      </c>
      <c r="U18" s="15">
        <f t="shared" si="8"/>
        <v>0</v>
      </c>
      <c r="V18" s="13">
        <f t="shared" si="8"/>
        <v>0</v>
      </c>
      <c r="W18" s="56">
        <f t="shared" si="8"/>
        <v>0</v>
      </c>
      <c r="X18" s="51">
        <f t="shared" si="8"/>
        <v>0</v>
      </c>
      <c r="Y18" s="13">
        <f t="shared" si="8"/>
        <v>0</v>
      </c>
      <c r="Z18" s="56">
        <f t="shared" si="8"/>
        <v>0</v>
      </c>
      <c r="AA18" s="51">
        <f t="shared" si="8"/>
        <v>0</v>
      </c>
      <c r="AB18" s="13">
        <f t="shared" si="8"/>
        <v>0</v>
      </c>
      <c r="AC18" s="56">
        <f t="shared" si="8"/>
        <v>0</v>
      </c>
      <c r="AD18" s="51">
        <f t="shared" si="28"/>
        <v>0</v>
      </c>
      <c r="AE18" s="13">
        <f t="shared" si="29"/>
        <v>0</v>
      </c>
      <c r="AF18" s="56">
        <f t="shared" si="9"/>
        <v>0</v>
      </c>
      <c r="AG18" s="13">
        <f t="shared" ref="AG18" si="34">+IF($E18=0, 0, AD18/$E18*1000)</f>
        <v>0</v>
      </c>
      <c r="AH18" s="13">
        <f t="shared" ref="AH18" si="35">+IF($E18=0, 0, AE18/$E18*1000)</f>
        <v>0</v>
      </c>
      <c r="AI18" s="16">
        <f t="shared" ref="AI18" si="36">+IF($E18=0, 0, AF18/$E18*1000)</f>
        <v>0</v>
      </c>
      <c r="AJ18" s="15">
        <f t="shared" si="11"/>
        <v>0</v>
      </c>
      <c r="AK18" s="13">
        <f t="shared" si="12"/>
        <v>0</v>
      </c>
      <c r="AL18" s="56">
        <f t="shared" si="13"/>
        <v>0</v>
      </c>
      <c r="AM18" s="51">
        <f t="shared" si="14"/>
        <v>0</v>
      </c>
      <c r="AN18" s="13">
        <f t="shared" si="15"/>
        <v>0</v>
      </c>
      <c r="AO18" s="56">
        <f t="shared" si="16"/>
        <v>0</v>
      </c>
      <c r="AP18" s="51">
        <f t="shared" si="17"/>
        <v>0</v>
      </c>
      <c r="AQ18" s="13">
        <f t="shared" si="18"/>
        <v>0</v>
      </c>
      <c r="AR18" s="56">
        <f t="shared" si="19"/>
        <v>0</v>
      </c>
      <c r="AS18" s="51">
        <f t="shared" si="20"/>
        <v>0</v>
      </c>
      <c r="AT18" s="13">
        <f t="shared" si="30"/>
        <v>0</v>
      </c>
      <c r="AU18" s="56">
        <f t="shared" si="21"/>
        <v>0</v>
      </c>
      <c r="AV18" s="13">
        <f t="shared" si="22"/>
        <v>0</v>
      </c>
      <c r="AW18" s="13">
        <f t="shared" si="23"/>
        <v>0</v>
      </c>
      <c r="AX18" s="16">
        <f t="shared" si="24"/>
        <v>0</v>
      </c>
    </row>
    <row r="19" spans="1:50" x14ac:dyDescent="0.25">
      <c r="C19" t="s">
        <v>138</v>
      </c>
      <c r="D19">
        <v>9</v>
      </c>
      <c r="E19" s="15">
        <f t="shared" si="4"/>
        <v>8458</v>
      </c>
      <c r="F19" s="15">
        <f t="shared" si="4"/>
        <v>3854864</v>
      </c>
      <c r="G19" s="13">
        <f t="shared" si="4"/>
        <v>1390887</v>
      </c>
      <c r="H19" s="56">
        <f t="shared" si="4"/>
        <v>2463977</v>
      </c>
      <c r="I19" s="51">
        <f t="shared" si="5"/>
        <v>-2239029</v>
      </c>
      <c r="J19" s="13">
        <f t="shared" si="5"/>
        <v>-7112159</v>
      </c>
      <c r="K19" s="56">
        <f t="shared" si="5"/>
        <v>4873130</v>
      </c>
      <c r="L19" s="51">
        <f t="shared" si="5"/>
        <v>54760213</v>
      </c>
      <c r="M19" s="13">
        <f t="shared" si="5"/>
        <v>40196998</v>
      </c>
      <c r="N19" s="56">
        <f t="shared" si="5"/>
        <v>14563215</v>
      </c>
      <c r="O19" s="51">
        <f t="shared" si="25"/>
        <v>56376048</v>
      </c>
      <c r="P19" s="13">
        <f t="shared" si="26"/>
        <v>34475726</v>
      </c>
      <c r="Q19" s="56">
        <f t="shared" si="27"/>
        <v>21900322</v>
      </c>
      <c r="R19" s="13">
        <f>+IF($E19=0, 0, O19/$E19)</f>
        <v>6665.4112083234804</v>
      </c>
      <c r="S19" s="13">
        <f>+IF($E19=0, 0, P19/$E19)</f>
        <v>4076.108536296997</v>
      </c>
      <c r="T19" s="16">
        <f>+IF($E19=0, 0, Q19/$E19)</f>
        <v>2589.3026720264838</v>
      </c>
      <c r="U19" s="15">
        <f t="shared" si="8"/>
        <v>3609228</v>
      </c>
      <c r="V19" s="13">
        <f t="shared" si="8"/>
        <v>1106100</v>
      </c>
      <c r="W19" s="56">
        <f t="shared" si="8"/>
        <v>2503128</v>
      </c>
      <c r="X19" s="51">
        <f t="shared" si="8"/>
        <v>-4417532</v>
      </c>
      <c r="Y19" s="13">
        <f t="shared" si="8"/>
        <v>-11600789</v>
      </c>
      <c r="Z19" s="56">
        <f t="shared" si="8"/>
        <v>7183257</v>
      </c>
      <c r="AA19" s="51">
        <f t="shared" si="8"/>
        <v>57096876</v>
      </c>
      <c r="AB19" s="13">
        <f t="shared" si="8"/>
        <v>42933527</v>
      </c>
      <c r="AC19" s="56">
        <f t="shared" si="8"/>
        <v>14163349</v>
      </c>
      <c r="AD19" s="51">
        <f t="shared" si="28"/>
        <v>56288572</v>
      </c>
      <c r="AE19" s="13">
        <f t="shared" si="29"/>
        <v>32438838</v>
      </c>
      <c r="AF19" s="56">
        <f t="shared" si="9"/>
        <v>23849734</v>
      </c>
      <c r="AG19" s="13">
        <f>+IF($E19=0, 0, AD19/$E19)</f>
        <v>6655.0688105935205</v>
      </c>
      <c r="AH19" s="13">
        <f>+IF($E19=0, 0, AE19/$E19)</f>
        <v>3835.2847008749113</v>
      </c>
      <c r="AI19" s="16">
        <f>+IF($E19=0, 0, AF19/$E19)</f>
        <v>2819.7841097186097</v>
      </c>
      <c r="AJ19" s="15">
        <f t="shared" si="11"/>
        <v>-245636</v>
      </c>
      <c r="AK19" s="13">
        <f t="shared" si="12"/>
        <v>-284787</v>
      </c>
      <c r="AL19" s="56">
        <f t="shared" si="13"/>
        <v>39151</v>
      </c>
      <c r="AM19" s="51">
        <f t="shared" si="14"/>
        <v>-2178503</v>
      </c>
      <c r="AN19" s="13">
        <f t="shared" si="15"/>
        <v>-4488630</v>
      </c>
      <c r="AO19" s="56">
        <f t="shared" si="16"/>
        <v>2310127</v>
      </c>
      <c r="AP19" s="51">
        <f t="shared" si="17"/>
        <v>2336663</v>
      </c>
      <c r="AQ19" s="13">
        <f t="shared" si="18"/>
        <v>2736529</v>
      </c>
      <c r="AR19" s="56">
        <f t="shared" si="19"/>
        <v>-399866</v>
      </c>
      <c r="AS19" s="51">
        <f t="shared" si="20"/>
        <v>-87476</v>
      </c>
      <c r="AT19" s="13">
        <f t="shared" si="30"/>
        <v>-2036888</v>
      </c>
      <c r="AU19" s="56">
        <f t="shared" si="21"/>
        <v>1949412</v>
      </c>
      <c r="AV19" s="13">
        <f t="shared" si="22"/>
        <v>-10.342397729959885</v>
      </c>
      <c r="AW19" s="13">
        <f t="shared" si="23"/>
        <v>-240.82383542208572</v>
      </c>
      <c r="AX19" s="16">
        <f t="shared" si="24"/>
        <v>230.48143769212584</v>
      </c>
    </row>
    <row r="20" spans="1:50" x14ac:dyDescent="0.25">
      <c r="E20" s="15"/>
      <c r="F20" s="15"/>
      <c r="G20" s="13"/>
      <c r="H20" s="56"/>
      <c r="I20" s="51"/>
      <c r="J20" s="13"/>
      <c r="K20" s="56"/>
      <c r="L20" s="51"/>
      <c r="M20" s="13"/>
      <c r="N20" s="56"/>
      <c r="O20" s="51"/>
      <c r="P20" s="13"/>
      <c r="Q20" s="56"/>
      <c r="R20" s="12"/>
      <c r="S20" s="12"/>
      <c r="T20" s="14"/>
      <c r="U20" s="15"/>
      <c r="V20" s="13"/>
      <c r="W20" s="56"/>
      <c r="X20" s="51"/>
      <c r="Y20" s="13"/>
      <c r="Z20" s="56"/>
      <c r="AA20" s="51"/>
      <c r="AB20" s="13"/>
      <c r="AC20" s="56"/>
      <c r="AD20" s="51"/>
      <c r="AE20" s="13"/>
      <c r="AF20" s="56"/>
      <c r="AG20" s="12"/>
      <c r="AH20" s="12"/>
      <c r="AI20" s="14"/>
      <c r="AJ20" s="15"/>
      <c r="AK20" s="13"/>
      <c r="AL20" s="56"/>
      <c r="AM20" s="51"/>
      <c r="AN20" s="13"/>
      <c r="AO20" s="56"/>
      <c r="AP20" s="51"/>
      <c r="AQ20" s="13"/>
      <c r="AR20" s="56"/>
      <c r="AS20" s="51"/>
      <c r="AT20" s="13"/>
      <c r="AU20" s="56"/>
      <c r="AV20" s="12"/>
      <c r="AW20" s="12"/>
      <c r="AX20" s="14"/>
    </row>
    <row r="21" spans="1:50" x14ac:dyDescent="0.25">
      <c r="A21" s="20">
        <v>1</v>
      </c>
      <c r="B21">
        <v>1</v>
      </c>
      <c r="C21" s="23" t="s">
        <v>139</v>
      </c>
      <c r="D21" s="23">
        <v>5</v>
      </c>
      <c r="E21" s="15">
        <f>+SUMIF('GE16FEB14 Unfudged'!$A$2:$A$498, $A21, 'GE16FEB14 Unfudged'!$D$2:$D$498)</f>
        <v>1285</v>
      </c>
      <c r="F21" s="15">
        <f>+SUMIF('GE16FEB14 Unfudged'!$A$2:$A$498, 'Tax Bill Summary'!$A21, 'GE16FEB14 Unfudged'!E$2:E$498)</f>
        <v>185040</v>
      </c>
      <c r="G21" s="13">
        <f>+SUMIF('GE16FEB14 Unfudged'!$A$2:$A$498, 'Tax Bill Summary'!$A21, 'GE16FEB14 Unfudged'!F$2:F$498)</f>
        <v>185040</v>
      </c>
      <c r="H21" s="56">
        <f>+F21-G21</f>
        <v>0</v>
      </c>
      <c r="I21" s="51">
        <f>+SUMIF('GE16FEB14 Unfudged'!$A$2:$A$498, 'Tax Bill Summary'!$A21, 'GE16FEB14 Unfudged'!G$2:G$498)</f>
        <v>0</v>
      </c>
      <c r="J21" s="13">
        <f>+SUMIF('GE16FEB14 Unfudged'!$A$2:$A$498, 'Tax Bill Summary'!$A21, 'GE16FEB14 Unfudged'!H$2:H$498)</f>
        <v>0</v>
      </c>
      <c r="K21" s="56">
        <f>+I21-J21</f>
        <v>0</v>
      </c>
      <c r="L21" s="51">
        <f>+SUMIF('GE16FEB14 Unfudged'!$A$2:$A$498, 'Tax Bill Summary'!$A21, 'GE16FEB14 Unfudged'!I$2:IF$498)</f>
        <v>385500</v>
      </c>
      <c r="M21" s="13">
        <f>+SUMIF('GE16FEB14 Unfudged'!$A$2:$A$498, 'Tax Bill Summary'!$A21, 'GE16FEB14 Unfudged'!J$2:IG$498)</f>
        <v>260672</v>
      </c>
      <c r="N21" s="56">
        <f>+L21-M21</f>
        <v>124828</v>
      </c>
      <c r="O21" s="51">
        <f t="shared" ref="O21" si="37">+F21+I21+L21</f>
        <v>570540</v>
      </c>
      <c r="P21" s="13">
        <f t="shared" ref="P21" si="38">+G21+J21+M21</f>
        <v>445712</v>
      </c>
      <c r="Q21" s="56">
        <f t="shared" ref="Q21" si="39">+H21+K21+N21</f>
        <v>124828</v>
      </c>
      <c r="R21" s="13">
        <f>+IF($E21=0, 0, O21/$E21)</f>
        <v>444</v>
      </c>
      <c r="S21" s="13">
        <f>+IF($E21=0, 0, P21/$E21)</f>
        <v>346.85758754863815</v>
      </c>
      <c r="T21" s="16">
        <f>+IF($E21=0, 0, Q21/$E21)</f>
        <v>97.142412451361864</v>
      </c>
      <c r="U21" s="15">
        <f>+SUMIF('GE16FEB14 Tax Bill Unfudged'!$A$2:$A$498, 'Tax Bill Summary'!$A21, 'GE16FEB14 Tax Bill Unfudged'!E$2:E$498)</f>
        <v>185040</v>
      </c>
      <c r="V21" s="13">
        <f>+SUMIF('GE16FEB14 Tax Bill Unfudged'!$A$2:$A$498, 'Tax Bill Summary'!$A21, 'GE16FEB14 Tax Bill Unfudged'!F$2:F$498)</f>
        <v>185040</v>
      </c>
      <c r="W21" s="56">
        <f>+U21-V21</f>
        <v>0</v>
      </c>
      <c r="X21" s="51">
        <f>+SUMIF('GE16FEB14 Tax Bill Unfudged'!$A$2:$A$498, 'Tax Bill Summary'!$A21, 'GE16FEB14 Tax Bill Unfudged'!G$2:G$498)</f>
        <v>544840</v>
      </c>
      <c r="Y21" s="13">
        <f>+SUMIF('GE16FEB14 Tax Bill Unfudged'!$A$2:$A$498, 'Tax Bill Summary'!$A21, 'GE16FEB14 Tax Bill Unfudged'!H$2:H$498)</f>
        <v>544840</v>
      </c>
      <c r="Z21" s="56">
        <f>+X21-Y21</f>
        <v>0</v>
      </c>
      <c r="AA21" s="51">
        <f>+SUMIF('GE16FEB14 Tax Bill Unfudged'!$A$2:$A$498, 'Tax Bill Summary'!$A21, 'GE16FEB14 Tax Bill Unfudged'!I$2:I$498)</f>
        <v>385500</v>
      </c>
      <c r="AB21" s="13">
        <f>+SUMIF('GE16FEB14 Tax Bill Unfudged'!$A$2:$A$498, 'Tax Bill Summary'!$A21, 'GE16FEB14 Tax Bill Unfudged'!J$2:J$498)</f>
        <v>260672</v>
      </c>
      <c r="AC21" s="56">
        <f>+AA21-AB21</f>
        <v>124828</v>
      </c>
      <c r="AD21" s="51">
        <f t="shared" ref="AD21" si="40">+U21+X21+AA21</f>
        <v>1115380</v>
      </c>
      <c r="AE21" s="13">
        <f t="shared" ref="AE21" si="41">+V21+Y21+AB21</f>
        <v>990552</v>
      </c>
      <c r="AF21" s="56">
        <f t="shared" ref="AF21" si="42">+W21+Z21+AC21</f>
        <v>124828</v>
      </c>
      <c r="AG21" s="13">
        <f>+IF($E21=0, 0, AD21/$E21)</f>
        <v>868</v>
      </c>
      <c r="AH21" s="13">
        <f>+IF($E21=0, 0, AE21/$E21)</f>
        <v>770.85758754863809</v>
      </c>
      <c r="AI21" s="16">
        <f>+IF($E21=0, 0, AF21/$E21)</f>
        <v>97.142412451361864</v>
      </c>
      <c r="AJ21" s="15">
        <f>+U21-F21</f>
        <v>0</v>
      </c>
      <c r="AK21" s="13">
        <f t="shared" ref="AK21" si="43">+V21-G21</f>
        <v>0</v>
      </c>
      <c r="AL21" s="56">
        <f t="shared" ref="AL21" si="44">+W21-H21</f>
        <v>0</v>
      </c>
      <c r="AM21" s="51">
        <f t="shared" ref="AM21" si="45">+X21-I21</f>
        <v>544840</v>
      </c>
      <c r="AN21" s="13">
        <f t="shared" ref="AN21" si="46">+Y21-J21</f>
        <v>544840</v>
      </c>
      <c r="AO21" s="56">
        <f t="shared" ref="AO21" si="47">+Z21-K21</f>
        <v>0</v>
      </c>
      <c r="AP21" s="51">
        <f t="shared" ref="AP21" si="48">+AA21-L21</f>
        <v>0</v>
      </c>
      <c r="AQ21" s="13">
        <f t="shared" ref="AQ21" si="49">+AB21-M21</f>
        <v>0</v>
      </c>
      <c r="AR21" s="56">
        <f t="shared" ref="AR21" si="50">+AC21-N21</f>
        <v>0</v>
      </c>
      <c r="AS21" s="51">
        <f t="shared" ref="AS21" si="51">+AD21-O21</f>
        <v>544840</v>
      </c>
      <c r="AT21" s="13">
        <f t="shared" ref="AT21" si="52">+AE21-P21</f>
        <v>544840</v>
      </c>
      <c r="AU21" s="56">
        <f t="shared" ref="AU21" si="53">+AF21-Q21</f>
        <v>0</v>
      </c>
      <c r="AV21" s="13">
        <f>+AG21-R21</f>
        <v>424</v>
      </c>
      <c r="AW21" s="13">
        <f t="shared" ref="AW21" si="54">+AH21-S21</f>
        <v>423.99999999999994</v>
      </c>
      <c r="AX21" s="16">
        <f t="shared" ref="AX21" si="55">+AI21-T21</f>
        <v>0</v>
      </c>
    </row>
    <row r="22" spans="1:50" s="1" customFormat="1" x14ac:dyDescent="0.25">
      <c r="A22" s="22">
        <v>1.2</v>
      </c>
      <c r="B22" s="1">
        <v>3</v>
      </c>
      <c r="C22" s="23" t="s">
        <v>140</v>
      </c>
      <c r="D22" s="23">
        <v>1</v>
      </c>
      <c r="E22" s="15">
        <f>+SUMIF('GE16FEB14 Unfudged'!$A$2:$A$498, $A22, 'GE16FEB14 Unfudged'!$D$2:$D$498)</f>
        <v>39607</v>
      </c>
      <c r="F22" s="15">
        <f>+SUMIF('GE16FEB14 Unfudged'!$A$2:$A$498, 'Tax Bill Summary'!$A22, 'GE16FEB14 Unfudged'!E$2:E$498)</f>
        <v>1980330</v>
      </c>
      <c r="G22" s="13">
        <f>+SUMIF('GE16FEB14 Unfudged'!$A$2:$A$498, 'Tax Bill Summary'!$A22, 'GE16FEB14 Unfudged'!F$2:F$498)</f>
        <v>1980330</v>
      </c>
      <c r="H22" s="56">
        <f t="shared" ref="H22:H85" si="56">+F22-G22</f>
        <v>0</v>
      </c>
      <c r="I22" s="51">
        <f>+SUMIF('GE16FEB14 Unfudged'!$A$2:$A$498, 'Tax Bill Summary'!$A22, 'GE16FEB14 Unfudged'!G$2:G$498)</f>
        <v>16793198</v>
      </c>
      <c r="J22" s="13">
        <f>+SUMIF('GE16FEB14 Unfudged'!$A$2:$A$498, 'Tax Bill Summary'!$A22, 'GE16FEB14 Unfudged'!H$2:H$498)</f>
        <v>16793198</v>
      </c>
      <c r="K22" s="56">
        <f t="shared" ref="K22:K85" si="57">+I22-J22</f>
        <v>0</v>
      </c>
      <c r="L22" s="51">
        <f>+SUMIF('GE16FEB14 Unfudged'!$A$2:$A$498, 'Tax Bill Summary'!$A22, 'GE16FEB14 Unfudged'!I$2:IF$498)</f>
        <v>55978780</v>
      </c>
      <c r="M22" s="13">
        <f>+SUMIF('GE16FEB14 Unfudged'!$A$2:$A$498, 'Tax Bill Summary'!$A22, 'GE16FEB14 Unfudged'!J$2:IG$498)</f>
        <v>52894542</v>
      </c>
      <c r="N22" s="56">
        <f t="shared" ref="N22:N85" si="58">+L22-M22</f>
        <v>3084238</v>
      </c>
      <c r="O22" s="51">
        <f t="shared" ref="O22:O85" si="59">+F22+I22+L22</f>
        <v>74752308</v>
      </c>
      <c r="P22" s="13">
        <f t="shared" ref="P22:P85" si="60">+G22+J22+M22</f>
        <v>71668070</v>
      </c>
      <c r="Q22" s="56">
        <f t="shared" ref="Q22:Q85" si="61">+H22+K22+N22</f>
        <v>3084238</v>
      </c>
      <c r="R22" s="13">
        <f t="shared" ref="R22:R85" si="62">+IF($E22=0, 0, O22/$E22)</f>
        <v>1887.3509228166738</v>
      </c>
      <c r="S22" s="13">
        <f t="shared" ref="S22:S85" si="63">+IF($E22=0, 0, P22/$E22)</f>
        <v>1809.4798899184489</v>
      </c>
      <c r="T22" s="16">
        <f t="shared" ref="T22:T85" si="64">+IF($E22=0, 0, Q22/$E22)</f>
        <v>77.871032898225067</v>
      </c>
      <c r="U22" s="15">
        <f>+SUMIF('GE16FEB14 Tax Bill Unfudged'!$A$2:$A$498, 'Tax Bill Summary'!$A22, 'GE16FEB14 Tax Bill Unfudged'!E$2:E$498)</f>
        <v>1980330</v>
      </c>
      <c r="V22" s="13">
        <f>+SUMIF('GE16FEB14 Tax Bill Unfudged'!$A$2:$A$498, 'Tax Bill Summary'!$A22, 'GE16FEB14 Tax Bill Unfudged'!F$2:F$498)</f>
        <v>1980330</v>
      </c>
      <c r="W22" s="56">
        <f t="shared" ref="W22:W85" si="65">+U22-V22</f>
        <v>0</v>
      </c>
      <c r="X22" s="51">
        <f>+SUMIF('GE16FEB14 Tax Bill Unfudged'!$A$2:$A$498, 'Tax Bill Summary'!$A22, 'GE16FEB14 Tax Bill Unfudged'!G$2:G$498)</f>
        <v>16793198</v>
      </c>
      <c r="Y22" s="13">
        <f>+SUMIF('GE16FEB14 Tax Bill Unfudged'!$A$2:$A$498, 'Tax Bill Summary'!$A22, 'GE16FEB14 Tax Bill Unfudged'!H$2:H$498)</f>
        <v>16793198</v>
      </c>
      <c r="Z22" s="56">
        <f t="shared" ref="Z22:Z85" si="66">+X22-Y22</f>
        <v>0</v>
      </c>
      <c r="AA22" s="51">
        <f>+SUMIF('GE16FEB14 Tax Bill Unfudged'!$A$2:$A$498, 'Tax Bill Summary'!$A22, 'GE16FEB14 Tax Bill Unfudged'!I$2:I$498)</f>
        <v>55978780</v>
      </c>
      <c r="AB22" s="13">
        <f>+SUMIF('GE16FEB14 Tax Bill Unfudged'!$A$2:$A$498, 'Tax Bill Summary'!$A22, 'GE16FEB14 Tax Bill Unfudged'!J$2:J$498)</f>
        <v>52894542</v>
      </c>
      <c r="AC22" s="56">
        <f t="shared" ref="AC22:AC85" si="67">+AA22-AB22</f>
        <v>3084238</v>
      </c>
      <c r="AD22" s="51">
        <f t="shared" ref="AD22:AD85" si="68">+U22+X22+AA22</f>
        <v>74752308</v>
      </c>
      <c r="AE22" s="13">
        <f t="shared" ref="AE22:AE85" si="69">+V22+Y22+AB22</f>
        <v>71668070</v>
      </c>
      <c r="AF22" s="56">
        <f t="shared" ref="AF22:AF85" si="70">+W22+Z22+AC22</f>
        <v>3084238</v>
      </c>
      <c r="AG22" s="13">
        <f t="shared" ref="AG22:AG85" si="71">+IF($E22=0, 0, AD22/$E22)</f>
        <v>1887.3509228166738</v>
      </c>
      <c r="AH22" s="13">
        <f t="shared" ref="AH22:AH85" si="72">+IF($E22=0, 0, AE22/$E22)</f>
        <v>1809.4798899184489</v>
      </c>
      <c r="AI22" s="16">
        <f t="shared" ref="AI22:AI85" si="73">+IF($E22=0, 0, AF22/$E22)</f>
        <v>77.871032898225067</v>
      </c>
      <c r="AJ22" s="15">
        <f t="shared" ref="AJ22:AJ85" si="74">+U22-F22</f>
        <v>0</v>
      </c>
      <c r="AK22" s="13">
        <f t="shared" ref="AK22:AK85" si="75">+V22-G22</f>
        <v>0</v>
      </c>
      <c r="AL22" s="56">
        <f t="shared" ref="AL22:AL85" si="76">+W22-H22</f>
        <v>0</v>
      </c>
      <c r="AM22" s="51">
        <f t="shared" ref="AM22:AM85" si="77">+X22-I22</f>
        <v>0</v>
      </c>
      <c r="AN22" s="13">
        <f t="shared" ref="AN22:AN85" si="78">+Y22-J22</f>
        <v>0</v>
      </c>
      <c r="AO22" s="56">
        <f t="shared" ref="AO22:AO85" si="79">+Z22-K22</f>
        <v>0</v>
      </c>
      <c r="AP22" s="51">
        <f t="shared" ref="AP22:AP85" si="80">+AA22-L22</f>
        <v>0</v>
      </c>
      <c r="AQ22" s="13">
        <f t="shared" ref="AQ22:AQ85" si="81">+AB22-M22</f>
        <v>0</v>
      </c>
      <c r="AR22" s="56">
        <f t="shared" ref="AR22:AR85" si="82">+AC22-N22</f>
        <v>0</v>
      </c>
      <c r="AS22" s="51">
        <f t="shared" ref="AS22:AS85" si="83">+AD22-O22</f>
        <v>0</v>
      </c>
      <c r="AT22" s="13">
        <f t="shared" ref="AT22:AT85" si="84">+AE22-P22</f>
        <v>0</v>
      </c>
      <c r="AU22" s="56">
        <f t="shared" ref="AU22:AU85" si="85">+AF22-Q22</f>
        <v>0</v>
      </c>
      <c r="AV22" s="13">
        <f t="shared" ref="AV22:AV85" si="86">+AG22-R22</f>
        <v>0</v>
      </c>
      <c r="AW22" s="13">
        <f t="shared" ref="AW22:AW85" si="87">+AH22-S22</f>
        <v>0</v>
      </c>
      <c r="AX22" s="16">
        <f t="shared" ref="AX22:AX85" si="88">+AI22-T22</f>
        <v>0</v>
      </c>
    </row>
    <row r="23" spans="1:50" x14ac:dyDescent="0.25">
      <c r="A23" s="20">
        <v>2</v>
      </c>
      <c r="B23">
        <v>1</v>
      </c>
      <c r="C23" s="23" t="s">
        <v>141</v>
      </c>
      <c r="D23" s="23">
        <v>6</v>
      </c>
      <c r="E23" s="15">
        <f>+SUMIF('GE16FEB14 Unfudged'!$A$2:$A$498, $A23, 'GE16FEB14 Unfudged'!$D$2:$D$498)</f>
        <v>284</v>
      </c>
      <c r="F23" s="15">
        <f>+SUMIF('GE16FEB14 Unfudged'!$A$2:$A$498, 'Tax Bill Summary'!$A23, 'GE16FEB14 Unfudged'!E$2:E$498)</f>
        <v>40889</v>
      </c>
      <c r="G23" s="13">
        <f>+SUMIF('GE16FEB14 Unfudged'!$A$2:$A$498, 'Tax Bill Summary'!$A23, 'GE16FEB14 Unfudged'!F$2:F$498)</f>
        <v>22793</v>
      </c>
      <c r="H23" s="56">
        <f t="shared" si="56"/>
        <v>18096</v>
      </c>
      <c r="I23" s="51">
        <f>+SUMIF('GE16FEB14 Unfudged'!$A$2:$A$498, 'Tax Bill Summary'!$A23, 'GE16FEB14 Unfudged'!G$2:G$498)</f>
        <v>0</v>
      </c>
      <c r="J23" s="13">
        <f>+SUMIF('GE16FEB14 Unfudged'!$A$2:$A$498, 'Tax Bill Summary'!$A23, 'GE16FEB14 Unfudged'!H$2:H$498)</f>
        <v>0</v>
      </c>
      <c r="K23" s="56">
        <f t="shared" si="57"/>
        <v>0</v>
      </c>
      <c r="L23" s="51">
        <f>+SUMIF('GE16FEB14 Unfudged'!$A$2:$A$498, 'Tax Bill Summary'!$A23, 'GE16FEB14 Unfudged'!I$2:IF$498)</f>
        <v>85185</v>
      </c>
      <c r="M23" s="13">
        <f>+SUMIF('GE16FEB14 Unfudged'!$A$2:$A$498, 'Tax Bill Summary'!$A23, 'GE16FEB14 Unfudged'!J$2:IG$498)</f>
        <v>27520</v>
      </c>
      <c r="N23" s="56">
        <f t="shared" si="58"/>
        <v>57665</v>
      </c>
      <c r="O23" s="51">
        <f t="shared" si="59"/>
        <v>126074</v>
      </c>
      <c r="P23" s="13">
        <f t="shared" si="60"/>
        <v>50313</v>
      </c>
      <c r="Q23" s="56">
        <f t="shared" si="61"/>
        <v>75761</v>
      </c>
      <c r="R23" s="13">
        <f t="shared" si="62"/>
        <v>443.92253521126759</v>
      </c>
      <c r="S23" s="13">
        <f t="shared" si="63"/>
        <v>177.15845070422534</v>
      </c>
      <c r="T23" s="16">
        <f t="shared" si="64"/>
        <v>266.76408450704224</v>
      </c>
      <c r="U23" s="15">
        <f>+SUMIF('GE16FEB14 Tax Bill Unfudged'!$A$2:$A$498, 'Tax Bill Summary'!$A23, 'GE16FEB14 Tax Bill Unfudged'!E$2:E$498)</f>
        <v>40889</v>
      </c>
      <c r="V23" s="13">
        <f>+SUMIF('GE16FEB14 Tax Bill Unfudged'!$A$2:$A$498, 'Tax Bill Summary'!$A23, 'GE16FEB14 Tax Bill Unfudged'!F$2:F$498)</f>
        <v>22793</v>
      </c>
      <c r="W23" s="56">
        <f t="shared" si="65"/>
        <v>18096</v>
      </c>
      <c r="X23" s="51">
        <f>+SUMIF('GE16FEB14 Tax Bill Unfudged'!$A$2:$A$498, 'Tax Bill Summary'!$A23, 'GE16FEB14 Tax Bill Unfudged'!G$2:G$498)</f>
        <v>120395</v>
      </c>
      <c r="Y23" s="13">
        <f>+SUMIF('GE16FEB14 Tax Bill Unfudged'!$A$2:$A$498, 'Tax Bill Summary'!$A23, 'GE16FEB14 Tax Bill Unfudged'!H$2:H$498)</f>
        <v>67113</v>
      </c>
      <c r="Z23" s="56">
        <f t="shared" si="66"/>
        <v>53282</v>
      </c>
      <c r="AA23" s="51">
        <f>+SUMIF('GE16FEB14 Tax Bill Unfudged'!$A$2:$A$498, 'Tax Bill Summary'!$A23, 'GE16FEB14 Tax Bill Unfudged'!I$2:I$498)</f>
        <v>85185</v>
      </c>
      <c r="AB23" s="13">
        <f>+SUMIF('GE16FEB14 Tax Bill Unfudged'!$A$2:$A$498, 'Tax Bill Summary'!$A23, 'GE16FEB14 Tax Bill Unfudged'!J$2:J$498)</f>
        <v>27520</v>
      </c>
      <c r="AC23" s="56">
        <f t="shared" si="67"/>
        <v>57665</v>
      </c>
      <c r="AD23" s="51">
        <f t="shared" si="68"/>
        <v>246469</v>
      </c>
      <c r="AE23" s="13">
        <f t="shared" si="69"/>
        <v>117426</v>
      </c>
      <c r="AF23" s="56">
        <f t="shared" si="70"/>
        <v>129043</v>
      </c>
      <c r="AG23" s="13">
        <f t="shared" si="71"/>
        <v>867.84859154929575</v>
      </c>
      <c r="AH23" s="13">
        <f t="shared" si="72"/>
        <v>413.47183098591552</v>
      </c>
      <c r="AI23" s="16">
        <f t="shared" si="73"/>
        <v>454.37676056338029</v>
      </c>
      <c r="AJ23" s="15">
        <f t="shared" si="74"/>
        <v>0</v>
      </c>
      <c r="AK23" s="13">
        <f t="shared" si="75"/>
        <v>0</v>
      </c>
      <c r="AL23" s="56">
        <f t="shared" si="76"/>
        <v>0</v>
      </c>
      <c r="AM23" s="51">
        <f t="shared" si="77"/>
        <v>120395</v>
      </c>
      <c r="AN23" s="13">
        <f t="shared" si="78"/>
        <v>67113</v>
      </c>
      <c r="AO23" s="56">
        <f t="shared" si="79"/>
        <v>53282</v>
      </c>
      <c r="AP23" s="51">
        <f t="shared" si="80"/>
        <v>0</v>
      </c>
      <c r="AQ23" s="13">
        <f t="shared" si="81"/>
        <v>0</v>
      </c>
      <c r="AR23" s="56">
        <f t="shared" si="82"/>
        <v>0</v>
      </c>
      <c r="AS23" s="51">
        <f t="shared" si="83"/>
        <v>120395</v>
      </c>
      <c r="AT23" s="13">
        <f t="shared" si="84"/>
        <v>67113</v>
      </c>
      <c r="AU23" s="56">
        <f t="shared" si="85"/>
        <v>53282</v>
      </c>
      <c r="AV23" s="13">
        <f t="shared" si="86"/>
        <v>423.92605633802816</v>
      </c>
      <c r="AW23" s="13">
        <f t="shared" si="87"/>
        <v>236.31338028169017</v>
      </c>
      <c r="AX23" s="16">
        <f t="shared" si="88"/>
        <v>187.61267605633805</v>
      </c>
    </row>
    <row r="24" spans="1:50" x14ac:dyDescent="0.25">
      <c r="A24" s="20">
        <v>4</v>
      </c>
      <c r="B24">
        <v>1</v>
      </c>
      <c r="C24" s="23" t="s">
        <v>142</v>
      </c>
      <c r="D24" s="23">
        <v>6</v>
      </c>
      <c r="E24" s="15">
        <f>+SUMIF('GE16FEB14 Unfudged'!$A$2:$A$498, $A24, 'GE16FEB14 Unfudged'!$D$2:$D$498)</f>
        <v>434</v>
      </c>
      <c r="F24" s="15">
        <f>+SUMIF('GE16FEB14 Unfudged'!$A$2:$A$498, 'Tax Bill Summary'!$A24, 'GE16FEB14 Unfudged'!E$2:E$498)</f>
        <v>62554</v>
      </c>
      <c r="G24" s="13">
        <f>+SUMIF('GE16FEB14 Unfudged'!$A$2:$A$498, 'Tax Bill Summary'!$A24, 'GE16FEB14 Unfudged'!F$2:F$498)</f>
        <v>62554</v>
      </c>
      <c r="H24" s="56">
        <f t="shared" si="56"/>
        <v>0</v>
      </c>
      <c r="I24" s="51">
        <f>+SUMIF('GE16FEB14 Unfudged'!$A$2:$A$498, 'Tax Bill Summary'!$A24, 'GE16FEB14 Unfudged'!G$2:G$498)</f>
        <v>0</v>
      </c>
      <c r="J24" s="13">
        <f>+SUMIF('GE16FEB14 Unfudged'!$A$2:$A$498, 'Tax Bill Summary'!$A24, 'GE16FEB14 Unfudged'!H$2:H$498)</f>
        <v>0</v>
      </c>
      <c r="K24" s="56">
        <f t="shared" si="57"/>
        <v>0</v>
      </c>
      <c r="L24" s="51">
        <f>+SUMIF('GE16FEB14 Unfudged'!$A$2:$A$498, 'Tax Bill Summary'!$A24, 'GE16FEB14 Unfudged'!I$2:IF$498)</f>
        <v>130320</v>
      </c>
      <c r="M24" s="13">
        <f>+SUMIF('GE16FEB14 Unfudged'!$A$2:$A$498, 'Tax Bill Summary'!$A24, 'GE16FEB14 Unfudged'!J$2:IG$498)</f>
        <v>77314</v>
      </c>
      <c r="N24" s="56">
        <f t="shared" si="58"/>
        <v>53006</v>
      </c>
      <c r="O24" s="51">
        <f t="shared" si="59"/>
        <v>192874</v>
      </c>
      <c r="P24" s="13">
        <f t="shared" si="60"/>
        <v>139868</v>
      </c>
      <c r="Q24" s="56">
        <f t="shared" si="61"/>
        <v>53006</v>
      </c>
      <c r="R24" s="13">
        <f t="shared" si="62"/>
        <v>444.41013824884794</v>
      </c>
      <c r="S24" s="13">
        <f t="shared" si="63"/>
        <v>322.27649769585253</v>
      </c>
      <c r="T24" s="16">
        <f t="shared" si="64"/>
        <v>122.13364055299539</v>
      </c>
      <c r="U24" s="15">
        <f>+SUMIF('GE16FEB14 Tax Bill Unfudged'!$A$2:$A$498, 'Tax Bill Summary'!$A24, 'GE16FEB14 Tax Bill Unfudged'!E$2:E$498)</f>
        <v>62554</v>
      </c>
      <c r="V24" s="13">
        <f>+SUMIF('GE16FEB14 Tax Bill Unfudged'!$A$2:$A$498, 'Tax Bill Summary'!$A24, 'GE16FEB14 Tax Bill Unfudged'!F$2:F$498)</f>
        <v>62554</v>
      </c>
      <c r="W24" s="56">
        <f t="shared" si="65"/>
        <v>0</v>
      </c>
      <c r="X24" s="51">
        <f>+SUMIF('GE16FEB14 Tax Bill Unfudged'!$A$2:$A$498, 'Tax Bill Summary'!$A24, 'GE16FEB14 Tax Bill Unfudged'!G$2:G$498)</f>
        <v>184186</v>
      </c>
      <c r="Y24" s="13">
        <f>+SUMIF('GE16FEB14 Tax Bill Unfudged'!$A$2:$A$498, 'Tax Bill Summary'!$A24, 'GE16FEB14 Tax Bill Unfudged'!H$2:H$498)</f>
        <v>184186</v>
      </c>
      <c r="Z24" s="56">
        <f t="shared" si="66"/>
        <v>0</v>
      </c>
      <c r="AA24" s="51">
        <f>+SUMIF('GE16FEB14 Tax Bill Unfudged'!$A$2:$A$498, 'Tax Bill Summary'!$A24, 'GE16FEB14 Tax Bill Unfudged'!I$2:I$498)</f>
        <v>130320</v>
      </c>
      <c r="AB24" s="13">
        <f>+SUMIF('GE16FEB14 Tax Bill Unfudged'!$A$2:$A$498, 'Tax Bill Summary'!$A24, 'GE16FEB14 Tax Bill Unfudged'!J$2:J$498)</f>
        <v>77314</v>
      </c>
      <c r="AC24" s="56">
        <f t="shared" si="67"/>
        <v>53006</v>
      </c>
      <c r="AD24" s="51">
        <f t="shared" si="68"/>
        <v>377060</v>
      </c>
      <c r="AE24" s="13">
        <f t="shared" si="69"/>
        <v>324054</v>
      </c>
      <c r="AF24" s="56">
        <f t="shared" si="70"/>
        <v>53006</v>
      </c>
      <c r="AG24" s="13">
        <f t="shared" si="71"/>
        <v>868.80184331797238</v>
      </c>
      <c r="AH24" s="13">
        <f t="shared" si="72"/>
        <v>746.66820276497697</v>
      </c>
      <c r="AI24" s="16">
        <f t="shared" si="73"/>
        <v>122.13364055299539</v>
      </c>
      <c r="AJ24" s="15">
        <f t="shared" si="74"/>
        <v>0</v>
      </c>
      <c r="AK24" s="13">
        <f t="shared" si="75"/>
        <v>0</v>
      </c>
      <c r="AL24" s="56">
        <f t="shared" si="76"/>
        <v>0</v>
      </c>
      <c r="AM24" s="51">
        <f t="shared" si="77"/>
        <v>184186</v>
      </c>
      <c r="AN24" s="13">
        <f t="shared" si="78"/>
        <v>184186</v>
      </c>
      <c r="AO24" s="56">
        <f t="shared" si="79"/>
        <v>0</v>
      </c>
      <c r="AP24" s="51">
        <f t="shared" si="80"/>
        <v>0</v>
      </c>
      <c r="AQ24" s="13">
        <f t="shared" si="81"/>
        <v>0</v>
      </c>
      <c r="AR24" s="56">
        <f t="shared" si="82"/>
        <v>0</v>
      </c>
      <c r="AS24" s="51">
        <f t="shared" si="83"/>
        <v>184186</v>
      </c>
      <c r="AT24" s="13">
        <f t="shared" si="84"/>
        <v>184186</v>
      </c>
      <c r="AU24" s="56">
        <f t="shared" si="85"/>
        <v>0</v>
      </c>
      <c r="AV24" s="13">
        <f t="shared" si="86"/>
        <v>424.39170506912444</v>
      </c>
      <c r="AW24" s="13">
        <f t="shared" si="87"/>
        <v>424.39170506912444</v>
      </c>
      <c r="AX24" s="16">
        <f t="shared" si="88"/>
        <v>0</v>
      </c>
    </row>
    <row r="25" spans="1:50" x14ac:dyDescent="0.25">
      <c r="A25" s="20">
        <v>6</v>
      </c>
      <c r="B25">
        <v>3</v>
      </c>
      <c r="C25" s="23" t="s">
        <v>143</v>
      </c>
      <c r="D25" s="23">
        <v>2</v>
      </c>
      <c r="E25" s="15">
        <f>+SUMIF('GE16FEB14 Unfudged'!$A$2:$A$498, $A25, 'GE16FEB14 Unfudged'!$D$2:$D$498)</f>
        <v>3736</v>
      </c>
      <c r="F25" s="15">
        <f>+SUMIF('GE16FEB14 Unfudged'!$A$2:$A$498, 'Tax Bill Summary'!$A25, 'GE16FEB14 Unfudged'!E$2:E$498)</f>
        <v>557934</v>
      </c>
      <c r="G25" s="13">
        <f>+SUMIF('GE16FEB14 Unfudged'!$A$2:$A$498, 'Tax Bill Summary'!$A25, 'GE16FEB14 Unfudged'!F$2:F$498)</f>
        <v>396251</v>
      </c>
      <c r="H25" s="56">
        <f t="shared" si="56"/>
        <v>161683</v>
      </c>
      <c r="I25" s="51">
        <f>+SUMIF('GE16FEB14 Unfudged'!$A$2:$A$498, 'Tax Bill Summary'!$A25, 'GE16FEB14 Unfudged'!G$2:G$498)</f>
        <v>1584234</v>
      </c>
      <c r="J25" s="13">
        <f>+SUMIF('GE16FEB14 Unfudged'!$A$2:$A$498, 'Tax Bill Summary'!$A25, 'GE16FEB14 Unfudged'!H$2:H$498)</f>
        <v>1125142</v>
      </c>
      <c r="K25" s="56">
        <f t="shared" si="57"/>
        <v>459092</v>
      </c>
      <c r="L25" s="51">
        <f>+SUMIF('GE16FEB14 Unfudged'!$A$2:$A$498, 'Tax Bill Summary'!$A25, 'GE16FEB14 Unfudged'!I$2:IF$498)</f>
        <v>2005625</v>
      </c>
      <c r="M25" s="13">
        <f>+SUMIF('GE16FEB14 Unfudged'!$A$2:$A$498, 'Tax Bill Summary'!$A25, 'GE16FEB14 Unfudged'!J$2:IG$498)</f>
        <v>1089699</v>
      </c>
      <c r="N25" s="56">
        <f t="shared" si="58"/>
        <v>915926</v>
      </c>
      <c r="O25" s="51">
        <f t="shared" si="59"/>
        <v>4147793</v>
      </c>
      <c r="P25" s="13">
        <f t="shared" si="60"/>
        <v>2611092</v>
      </c>
      <c r="Q25" s="56">
        <f t="shared" si="61"/>
        <v>1536701</v>
      </c>
      <c r="R25" s="13">
        <f t="shared" si="62"/>
        <v>1110.2229657387579</v>
      </c>
      <c r="S25" s="13">
        <f t="shared" si="63"/>
        <v>698.90042826552462</v>
      </c>
      <c r="T25" s="16">
        <f t="shared" si="64"/>
        <v>411.32253747323341</v>
      </c>
      <c r="U25" s="15">
        <f>+SUMIF('GE16FEB14 Tax Bill Unfudged'!$A$2:$A$498, 'Tax Bill Summary'!$A25, 'GE16FEB14 Tax Bill Unfudged'!E$2:E$498)</f>
        <v>557934</v>
      </c>
      <c r="V25" s="13">
        <f>+SUMIF('GE16FEB14 Tax Bill Unfudged'!$A$2:$A$498, 'Tax Bill Summary'!$A25, 'GE16FEB14 Tax Bill Unfudged'!F$2:F$498)</f>
        <v>396251</v>
      </c>
      <c r="W25" s="56">
        <f t="shared" si="65"/>
        <v>161683</v>
      </c>
      <c r="X25" s="51">
        <f>+SUMIF('GE16FEB14 Tax Bill Unfudged'!$A$2:$A$498, 'Tax Bill Summary'!$A25, 'GE16FEB14 Tax Bill Unfudged'!G$2:G$498)</f>
        <v>1584234</v>
      </c>
      <c r="Y25" s="13">
        <f>+SUMIF('GE16FEB14 Tax Bill Unfudged'!$A$2:$A$498, 'Tax Bill Summary'!$A25, 'GE16FEB14 Tax Bill Unfudged'!H$2:H$498)</f>
        <v>1125142</v>
      </c>
      <c r="Z25" s="56">
        <f t="shared" si="66"/>
        <v>459092</v>
      </c>
      <c r="AA25" s="51">
        <f>+SUMIF('GE16FEB14 Tax Bill Unfudged'!$A$2:$A$498, 'Tax Bill Summary'!$A25, 'GE16FEB14 Tax Bill Unfudged'!I$2:I$498)</f>
        <v>2005625</v>
      </c>
      <c r="AB25" s="13">
        <f>+SUMIF('GE16FEB14 Tax Bill Unfudged'!$A$2:$A$498, 'Tax Bill Summary'!$A25, 'GE16FEB14 Tax Bill Unfudged'!J$2:J$498)</f>
        <v>1089699</v>
      </c>
      <c r="AC25" s="56">
        <f t="shared" si="67"/>
        <v>915926</v>
      </c>
      <c r="AD25" s="51">
        <f t="shared" si="68"/>
        <v>4147793</v>
      </c>
      <c r="AE25" s="13">
        <f t="shared" si="69"/>
        <v>2611092</v>
      </c>
      <c r="AF25" s="56">
        <f t="shared" si="70"/>
        <v>1536701</v>
      </c>
      <c r="AG25" s="13">
        <f t="shared" si="71"/>
        <v>1110.2229657387579</v>
      </c>
      <c r="AH25" s="13">
        <f t="shared" si="72"/>
        <v>698.90042826552462</v>
      </c>
      <c r="AI25" s="16">
        <f t="shared" si="73"/>
        <v>411.32253747323341</v>
      </c>
      <c r="AJ25" s="15">
        <f t="shared" si="74"/>
        <v>0</v>
      </c>
      <c r="AK25" s="13">
        <f t="shared" si="75"/>
        <v>0</v>
      </c>
      <c r="AL25" s="56">
        <f t="shared" si="76"/>
        <v>0</v>
      </c>
      <c r="AM25" s="51">
        <f t="shared" si="77"/>
        <v>0</v>
      </c>
      <c r="AN25" s="13">
        <f t="shared" si="78"/>
        <v>0</v>
      </c>
      <c r="AO25" s="56">
        <f t="shared" si="79"/>
        <v>0</v>
      </c>
      <c r="AP25" s="51">
        <f t="shared" si="80"/>
        <v>0</v>
      </c>
      <c r="AQ25" s="13">
        <f t="shared" si="81"/>
        <v>0</v>
      </c>
      <c r="AR25" s="56">
        <f t="shared" si="82"/>
        <v>0</v>
      </c>
      <c r="AS25" s="51">
        <f t="shared" si="83"/>
        <v>0</v>
      </c>
      <c r="AT25" s="13">
        <f t="shared" si="84"/>
        <v>0</v>
      </c>
      <c r="AU25" s="56">
        <f t="shared" si="85"/>
        <v>0</v>
      </c>
      <c r="AV25" s="13">
        <f t="shared" si="86"/>
        <v>0</v>
      </c>
      <c r="AW25" s="13">
        <f t="shared" si="87"/>
        <v>0</v>
      </c>
      <c r="AX25" s="16">
        <f t="shared" si="88"/>
        <v>0</v>
      </c>
    </row>
    <row r="26" spans="1:50" x14ac:dyDescent="0.25">
      <c r="A26" s="20">
        <v>11</v>
      </c>
      <c r="B26">
        <v>1</v>
      </c>
      <c r="C26" s="23" t="s">
        <v>144</v>
      </c>
      <c r="D26" s="23">
        <v>3</v>
      </c>
      <c r="E26" s="15">
        <f>+SUMIF('GE16FEB14 Unfudged'!$A$2:$A$498, $A26, 'GE16FEB14 Unfudged'!$D$2:$D$498)</f>
        <v>39798</v>
      </c>
      <c r="F26" s="15">
        <f>+SUMIF('GE16FEB14 Unfudged'!$A$2:$A$498, 'Tax Bill Summary'!$A26, 'GE16FEB14 Unfudged'!E$2:E$498)</f>
        <v>4558334</v>
      </c>
      <c r="G26" s="13">
        <f>+SUMIF('GE16FEB14 Unfudged'!$A$2:$A$498, 'Tax Bill Summary'!$A26, 'GE16FEB14 Unfudged'!F$2:F$498)</f>
        <v>3244342</v>
      </c>
      <c r="H26" s="56">
        <f t="shared" si="56"/>
        <v>1313992</v>
      </c>
      <c r="I26" s="51">
        <f>+SUMIF('GE16FEB14 Unfudged'!$A$2:$A$498, 'Tax Bill Summary'!$A26, 'GE16FEB14 Unfudged'!G$2:G$498)</f>
        <v>16874267</v>
      </c>
      <c r="J26" s="13">
        <f>+SUMIF('GE16FEB14 Unfudged'!$A$2:$A$498, 'Tax Bill Summary'!$A26, 'GE16FEB14 Unfudged'!H$2:H$498)</f>
        <v>12010067</v>
      </c>
      <c r="K26" s="56">
        <f t="shared" si="57"/>
        <v>4864200</v>
      </c>
      <c r="L26" s="51">
        <f>+SUMIF('GE16FEB14 Unfudged'!$A$2:$A$498, 'Tax Bill Summary'!$A26, 'GE16FEB14 Unfudged'!I$2:IF$498)</f>
        <v>39397832</v>
      </c>
      <c r="M26" s="13">
        <f>+SUMIF('GE16FEB14 Unfudged'!$A$2:$A$498, 'Tax Bill Summary'!$A26, 'GE16FEB14 Unfudged'!J$2:IG$498)</f>
        <v>27106091</v>
      </c>
      <c r="N26" s="56">
        <f t="shared" si="58"/>
        <v>12291741</v>
      </c>
      <c r="O26" s="51">
        <f t="shared" si="59"/>
        <v>60830433</v>
      </c>
      <c r="P26" s="13">
        <f t="shared" si="60"/>
        <v>42360500</v>
      </c>
      <c r="Q26" s="56">
        <f t="shared" si="61"/>
        <v>18469933</v>
      </c>
      <c r="R26" s="13">
        <f t="shared" si="62"/>
        <v>1528.4796472184532</v>
      </c>
      <c r="S26" s="13">
        <f t="shared" si="63"/>
        <v>1064.3876576712398</v>
      </c>
      <c r="T26" s="16">
        <f t="shared" si="64"/>
        <v>464.09198954721342</v>
      </c>
      <c r="U26" s="15">
        <f>+SUMIF('GE16FEB14 Tax Bill Unfudged'!$A$2:$A$498, 'Tax Bill Summary'!$A26, 'GE16FEB14 Tax Bill Unfudged'!E$2:E$498)</f>
        <v>4558334</v>
      </c>
      <c r="V26" s="13">
        <f>+SUMIF('GE16FEB14 Tax Bill Unfudged'!$A$2:$A$498, 'Tax Bill Summary'!$A26, 'GE16FEB14 Tax Bill Unfudged'!F$2:F$498)</f>
        <v>3244342</v>
      </c>
      <c r="W26" s="56">
        <f t="shared" si="65"/>
        <v>1313992</v>
      </c>
      <c r="X26" s="51">
        <f>+SUMIF('GE16FEB14 Tax Bill Unfudged'!$A$2:$A$498, 'Tax Bill Summary'!$A26, 'GE16FEB14 Tax Bill Unfudged'!G$2:G$498)</f>
        <v>16874267</v>
      </c>
      <c r="Y26" s="13">
        <f>+SUMIF('GE16FEB14 Tax Bill Unfudged'!$A$2:$A$498, 'Tax Bill Summary'!$A26, 'GE16FEB14 Tax Bill Unfudged'!H$2:H$498)</f>
        <v>12010067</v>
      </c>
      <c r="Z26" s="56">
        <f t="shared" si="66"/>
        <v>4864200</v>
      </c>
      <c r="AA26" s="51">
        <f>+SUMIF('GE16FEB14 Tax Bill Unfudged'!$A$2:$A$498, 'Tax Bill Summary'!$A26, 'GE16FEB14 Tax Bill Unfudged'!I$2:I$498)</f>
        <v>39397832</v>
      </c>
      <c r="AB26" s="13">
        <f>+SUMIF('GE16FEB14 Tax Bill Unfudged'!$A$2:$A$498, 'Tax Bill Summary'!$A26, 'GE16FEB14 Tax Bill Unfudged'!J$2:J$498)</f>
        <v>27106091</v>
      </c>
      <c r="AC26" s="56">
        <f t="shared" si="67"/>
        <v>12291741</v>
      </c>
      <c r="AD26" s="51">
        <f t="shared" si="68"/>
        <v>60830433</v>
      </c>
      <c r="AE26" s="13">
        <f t="shared" si="69"/>
        <v>42360500</v>
      </c>
      <c r="AF26" s="56">
        <f t="shared" si="70"/>
        <v>18469933</v>
      </c>
      <c r="AG26" s="13">
        <f t="shared" si="71"/>
        <v>1528.4796472184532</v>
      </c>
      <c r="AH26" s="13">
        <f t="shared" si="72"/>
        <v>1064.3876576712398</v>
      </c>
      <c r="AI26" s="16">
        <f t="shared" si="73"/>
        <v>464.09198954721342</v>
      </c>
      <c r="AJ26" s="15">
        <f t="shared" si="74"/>
        <v>0</v>
      </c>
      <c r="AK26" s="13">
        <f t="shared" si="75"/>
        <v>0</v>
      </c>
      <c r="AL26" s="56">
        <f t="shared" si="76"/>
        <v>0</v>
      </c>
      <c r="AM26" s="51">
        <f t="shared" si="77"/>
        <v>0</v>
      </c>
      <c r="AN26" s="13">
        <f t="shared" si="78"/>
        <v>0</v>
      </c>
      <c r="AO26" s="56">
        <f t="shared" si="79"/>
        <v>0</v>
      </c>
      <c r="AP26" s="51">
        <f t="shared" si="80"/>
        <v>0</v>
      </c>
      <c r="AQ26" s="13">
        <f t="shared" si="81"/>
        <v>0</v>
      </c>
      <c r="AR26" s="56">
        <f t="shared" si="82"/>
        <v>0</v>
      </c>
      <c r="AS26" s="51">
        <f t="shared" si="83"/>
        <v>0</v>
      </c>
      <c r="AT26" s="13">
        <f t="shared" si="84"/>
        <v>0</v>
      </c>
      <c r="AU26" s="56">
        <f t="shared" si="85"/>
        <v>0</v>
      </c>
      <c r="AV26" s="13">
        <f t="shared" si="86"/>
        <v>0</v>
      </c>
      <c r="AW26" s="13">
        <f t="shared" si="87"/>
        <v>0</v>
      </c>
      <c r="AX26" s="16">
        <f t="shared" si="88"/>
        <v>0</v>
      </c>
    </row>
    <row r="27" spans="1:50" x14ac:dyDescent="0.25">
      <c r="A27" s="20">
        <v>12</v>
      </c>
      <c r="B27">
        <v>1</v>
      </c>
      <c r="C27" s="23" t="s">
        <v>145</v>
      </c>
      <c r="D27" s="23">
        <v>3</v>
      </c>
      <c r="E27" s="15">
        <f>+SUMIF('GE16FEB14 Unfudged'!$A$2:$A$498, $A27, 'GE16FEB14 Unfudged'!$D$2:$D$498)</f>
        <v>6971</v>
      </c>
      <c r="F27" s="15">
        <f>+SUMIF('GE16FEB14 Unfudged'!$A$2:$A$498, 'Tax Bill Summary'!$A27, 'GE16FEB14 Unfudged'!E$2:E$498)</f>
        <v>1079123</v>
      </c>
      <c r="G27" s="13">
        <f>+SUMIF('GE16FEB14 Unfudged'!$A$2:$A$498, 'Tax Bill Summary'!$A27, 'GE16FEB14 Unfudged'!F$2:F$498)</f>
        <v>838445</v>
      </c>
      <c r="H27" s="56">
        <f t="shared" si="56"/>
        <v>240678</v>
      </c>
      <c r="I27" s="51">
        <f>+SUMIF('GE16FEB14 Unfudged'!$A$2:$A$498, 'Tax Bill Summary'!$A27, 'GE16FEB14 Unfudged'!G$2:G$498)</f>
        <v>2955789</v>
      </c>
      <c r="J27" s="13">
        <f>+SUMIF('GE16FEB14 Unfudged'!$A$2:$A$498, 'Tax Bill Summary'!$A27, 'GE16FEB14 Unfudged'!H$2:H$498)</f>
        <v>2296557</v>
      </c>
      <c r="K27" s="56">
        <f t="shared" si="57"/>
        <v>659232</v>
      </c>
      <c r="L27" s="51">
        <f>+SUMIF('GE16FEB14 Unfudged'!$A$2:$A$498, 'Tax Bill Summary'!$A27, 'GE16FEB14 Unfudged'!I$2:IF$498)</f>
        <v>3244954</v>
      </c>
      <c r="M27" s="13">
        <f>+SUMIF('GE16FEB14 Unfudged'!$A$2:$A$498, 'Tax Bill Summary'!$A27, 'GE16FEB14 Unfudged'!J$2:IG$498)</f>
        <v>1838023</v>
      </c>
      <c r="N27" s="56">
        <f t="shared" si="58"/>
        <v>1406931</v>
      </c>
      <c r="O27" s="51">
        <f t="shared" si="59"/>
        <v>7279866</v>
      </c>
      <c r="P27" s="13">
        <f t="shared" si="60"/>
        <v>4973025</v>
      </c>
      <c r="Q27" s="56">
        <f t="shared" si="61"/>
        <v>2306841</v>
      </c>
      <c r="R27" s="13">
        <f t="shared" si="62"/>
        <v>1044.3072729880935</v>
      </c>
      <c r="S27" s="13">
        <f t="shared" si="63"/>
        <v>713.38760579543828</v>
      </c>
      <c r="T27" s="16">
        <f t="shared" si="64"/>
        <v>330.91966719265531</v>
      </c>
      <c r="U27" s="15">
        <f>+SUMIF('GE16FEB14 Tax Bill Unfudged'!$A$2:$A$498, 'Tax Bill Summary'!$A27, 'GE16FEB14 Tax Bill Unfudged'!E$2:E$498)</f>
        <v>1079123</v>
      </c>
      <c r="V27" s="13">
        <f>+SUMIF('GE16FEB14 Tax Bill Unfudged'!$A$2:$A$498, 'Tax Bill Summary'!$A27, 'GE16FEB14 Tax Bill Unfudged'!F$2:F$498)</f>
        <v>838445</v>
      </c>
      <c r="W27" s="56">
        <f t="shared" si="65"/>
        <v>240678</v>
      </c>
      <c r="X27" s="51">
        <f>+SUMIF('GE16FEB14 Tax Bill Unfudged'!$A$2:$A$498, 'Tax Bill Summary'!$A27, 'GE16FEB14 Tax Bill Unfudged'!G$2:G$498)</f>
        <v>2955789</v>
      </c>
      <c r="Y27" s="13">
        <f>+SUMIF('GE16FEB14 Tax Bill Unfudged'!$A$2:$A$498, 'Tax Bill Summary'!$A27, 'GE16FEB14 Tax Bill Unfudged'!H$2:H$498)</f>
        <v>2296557</v>
      </c>
      <c r="Z27" s="56">
        <f t="shared" si="66"/>
        <v>659232</v>
      </c>
      <c r="AA27" s="51">
        <f>+SUMIF('GE16FEB14 Tax Bill Unfudged'!$A$2:$A$498, 'Tax Bill Summary'!$A27, 'GE16FEB14 Tax Bill Unfudged'!I$2:I$498)</f>
        <v>3244954</v>
      </c>
      <c r="AB27" s="13">
        <f>+SUMIF('GE16FEB14 Tax Bill Unfudged'!$A$2:$A$498, 'Tax Bill Summary'!$A27, 'GE16FEB14 Tax Bill Unfudged'!J$2:J$498)</f>
        <v>1838023</v>
      </c>
      <c r="AC27" s="56">
        <f t="shared" si="67"/>
        <v>1406931</v>
      </c>
      <c r="AD27" s="51">
        <f t="shared" si="68"/>
        <v>7279866</v>
      </c>
      <c r="AE27" s="13">
        <f t="shared" si="69"/>
        <v>4973025</v>
      </c>
      <c r="AF27" s="56">
        <f t="shared" si="70"/>
        <v>2306841</v>
      </c>
      <c r="AG27" s="13">
        <f t="shared" si="71"/>
        <v>1044.3072729880935</v>
      </c>
      <c r="AH27" s="13">
        <f t="shared" si="72"/>
        <v>713.38760579543828</v>
      </c>
      <c r="AI27" s="16">
        <f t="shared" si="73"/>
        <v>330.91966719265531</v>
      </c>
      <c r="AJ27" s="15">
        <f t="shared" si="74"/>
        <v>0</v>
      </c>
      <c r="AK27" s="13">
        <f t="shared" si="75"/>
        <v>0</v>
      </c>
      <c r="AL27" s="56">
        <f t="shared" si="76"/>
        <v>0</v>
      </c>
      <c r="AM27" s="51">
        <f t="shared" si="77"/>
        <v>0</v>
      </c>
      <c r="AN27" s="13">
        <f t="shared" si="78"/>
        <v>0</v>
      </c>
      <c r="AO27" s="56">
        <f t="shared" si="79"/>
        <v>0</v>
      </c>
      <c r="AP27" s="51">
        <f t="shared" si="80"/>
        <v>0</v>
      </c>
      <c r="AQ27" s="13">
        <f t="shared" si="81"/>
        <v>0</v>
      </c>
      <c r="AR27" s="56">
        <f t="shared" si="82"/>
        <v>0</v>
      </c>
      <c r="AS27" s="51">
        <f t="shared" si="83"/>
        <v>0</v>
      </c>
      <c r="AT27" s="13">
        <f t="shared" si="84"/>
        <v>0</v>
      </c>
      <c r="AU27" s="56">
        <f t="shared" si="85"/>
        <v>0</v>
      </c>
      <c r="AV27" s="13">
        <f t="shared" si="86"/>
        <v>0</v>
      </c>
      <c r="AW27" s="13">
        <f t="shared" si="87"/>
        <v>0</v>
      </c>
      <c r="AX27" s="16">
        <f t="shared" si="88"/>
        <v>0</v>
      </c>
    </row>
    <row r="28" spans="1:50" x14ac:dyDescent="0.25">
      <c r="A28" s="20">
        <v>13</v>
      </c>
      <c r="B28">
        <v>1</v>
      </c>
      <c r="C28" s="23" t="s">
        <v>146</v>
      </c>
      <c r="D28" s="23">
        <v>2</v>
      </c>
      <c r="E28" s="15">
        <f>+SUMIF('GE16FEB14 Unfudged'!$A$2:$A$498, $A28, 'GE16FEB14 Unfudged'!$D$2:$D$498)</f>
        <v>3362</v>
      </c>
      <c r="F28" s="15">
        <f>+SUMIF('GE16FEB14 Unfudged'!$A$2:$A$498, 'Tax Bill Summary'!$A28, 'GE16FEB14 Unfudged'!E$2:E$498)</f>
        <v>483364</v>
      </c>
      <c r="G28" s="13">
        <f>+SUMIF('GE16FEB14 Unfudged'!$A$2:$A$498, 'Tax Bill Summary'!$A28, 'GE16FEB14 Unfudged'!F$2:F$498)</f>
        <v>360094</v>
      </c>
      <c r="H28" s="56">
        <f t="shared" si="56"/>
        <v>123270</v>
      </c>
      <c r="I28" s="51">
        <f>+SUMIF('GE16FEB14 Unfudged'!$A$2:$A$498, 'Tax Bill Summary'!$A28, 'GE16FEB14 Unfudged'!G$2:G$498)</f>
        <v>1425361</v>
      </c>
      <c r="J28" s="13">
        <f>+SUMIF('GE16FEB14 Unfudged'!$A$2:$A$498, 'Tax Bill Summary'!$A28, 'GE16FEB14 Unfudged'!H$2:H$498)</f>
        <v>1061860</v>
      </c>
      <c r="K28" s="56">
        <f t="shared" si="57"/>
        <v>363501</v>
      </c>
      <c r="L28" s="51">
        <f>+SUMIF('GE16FEB14 Unfudged'!$A$2:$A$498, 'Tax Bill Summary'!$A28, 'GE16FEB14 Unfudged'!I$2:IF$498)</f>
        <v>2047040</v>
      </c>
      <c r="M28" s="13">
        <f>+SUMIF('GE16FEB14 Unfudged'!$A$2:$A$498, 'Tax Bill Summary'!$A28, 'GE16FEB14 Unfudged'!J$2:IG$498)</f>
        <v>1209102</v>
      </c>
      <c r="N28" s="56">
        <f t="shared" si="58"/>
        <v>837938</v>
      </c>
      <c r="O28" s="51">
        <f t="shared" si="59"/>
        <v>3955765</v>
      </c>
      <c r="P28" s="13">
        <f t="shared" si="60"/>
        <v>2631056</v>
      </c>
      <c r="Q28" s="56">
        <f t="shared" si="61"/>
        <v>1324709</v>
      </c>
      <c r="R28" s="13">
        <f t="shared" si="62"/>
        <v>1176.6106484235574</v>
      </c>
      <c r="S28" s="13">
        <f t="shared" si="63"/>
        <v>782.58655562165382</v>
      </c>
      <c r="T28" s="16">
        <f t="shared" si="64"/>
        <v>394.02409280190363</v>
      </c>
      <c r="U28" s="15">
        <f>+SUMIF('GE16FEB14 Tax Bill Unfudged'!$A$2:$A$498, 'Tax Bill Summary'!$A28, 'GE16FEB14 Tax Bill Unfudged'!E$2:E$498)</f>
        <v>483364</v>
      </c>
      <c r="V28" s="13">
        <f>+SUMIF('GE16FEB14 Tax Bill Unfudged'!$A$2:$A$498, 'Tax Bill Summary'!$A28, 'GE16FEB14 Tax Bill Unfudged'!F$2:F$498)</f>
        <v>360094</v>
      </c>
      <c r="W28" s="56">
        <f t="shared" si="65"/>
        <v>123270</v>
      </c>
      <c r="X28" s="51">
        <f>+SUMIF('GE16FEB14 Tax Bill Unfudged'!$A$2:$A$498, 'Tax Bill Summary'!$A28, 'GE16FEB14 Tax Bill Unfudged'!G$2:G$498)</f>
        <v>1425361</v>
      </c>
      <c r="Y28" s="13">
        <f>+SUMIF('GE16FEB14 Tax Bill Unfudged'!$A$2:$A$498, 'Tax Bill Summary'!$A28, 'GE16FEB14 Tax Bill Unfudged'!H$2:H$498)</f>
        <v>1061860</v>
      </c>
      <c r="Z28" s="56">
        <f t="shared" si="66"/>
        <v>363501</v>
      </c>
      <c r="AA28" s="51">
        <f>+SUMIF('GE16FEB14 Tax Bill Unfudged'!$A$2:$A$498, 'Tax Bill Summary'!$A28, 'GE16FEB14 Tax Bill Unfudged'!I$2:I$498)</f>
        <v>2047040</v>
      </c>
      <c r="AB28" s="13">
        <f>+SUMIF('GE16FEB14 Tax Bill Unfudged'!$A$2:$A$498, 'Tax Bill Summary'!$A28, 'GE16FEB14 Tax Bill Unfudged'!J$2:J$498)</f>
        <v>1209102</v>
      </c>
      <c r="AC28" s="56">
        <f t="shared" si="67"/>
        <v>837938</v>
      </c>
      <c r="AD28" s="51">
        <f t="shared" si="68"/>
        <v>3955765</v>
      </c>
      <c r="AE28" s="13">
        <f t="shared" si="69"/>
        <v>2631056</v>
      </c>
      <c r="AF28" s="56">
        <f t="shared" si="70"/>
        <v>1324709</v>
      </c>
      <c r="AG28" s="13">
        <f t="shared" si="71"/>
        <v>1176.6106484235574</v>
      </c>
      <c r="AH28" s="13">
        <f t="shared" si="72"/>
        <v>782.58655562165382</v>
      </c>
      <c r="AI28" s="16">
        <f t="shared" si="73"/>
        <v>394.02409280190363</v>
      </c>
      <c r="AJ28" s="15">
        <f t="shared" si="74"/>
        <v>0</v>
      </c>
      <c r="AK28" s="13">
        <f t="shared" si="75"/>
        <v>0</v>
      </c>
      <c r="AL28" s="56">
        <f t="shared" si="76"/>
        <v>0</v>
      </c>
      <c r="AM28" s="51">
        <f t="shared" si="77"/>
        <v>0</v>
      </c>
      <c r="AN28" s="13">
        <f t="shared" si="78"/>
        <v>0</v>
      </c>
      <c r="AO28" s="56">
        <f t="shared" si="79"/>
        <v>0</v>
      </c>
      <c r="AP28" s="51">
        <f t="shared" si="80"/>
        <v>0</v>
      </c>
      <c r="AQ28" s="13">
        <f t="shared" si="81"/>
        <v>0</v>
      </c>
      <c r="AR28" s="56">
        <f t="shared" si="82"/>
        <v>0</v>
      </c>
      <c r="AS28" s="51">
        <f t="shared" si="83"/>
        <v>0</v>
      </c>
      <c r="AT28" s="13">
        <f t="shared" si="84"/>
        <v>0</v>
      </c>
      <c r="AU28" s="56">
        <f t="shared" si="85"/>
        <v>0</v>
      </c>
      <c r="AV28" s="13">
        <f t="shared" si="86"/>
        <v>0</v>
      </c>
      <c r="AW28" s="13">
        <f t="shared" si="87"/>
        <v>0</v>
      </c>
      <c r="AX28" s="16">
        <f t="shared" si="88"/>
        <v>0</v>
      </c>
    </row>
    <row r="29" spans="1:50" x14ac:dyDescent="0.25">
      <c r="A29" s="20">
        <v>14</v>
      </c>
      <c r="B29">
        <v>1</v>
      </c>
      <c r="C29" s="23" t="s">
        <v>147</v>
      </c>
      <c r="D29" s="23">
        <v>3</v>
      </c>
      <c r="E29" s="15">
        <f>+SUMIF('GE16FEB14 Unfudged'!$A$2:$A$498, $A29, 'GE16FEB14 Unfudged'!$D$2:$D$498)</f>
        <v>3199</v>
      </c>
      <c r="F29" s="15">
        <f>+SUMIF('GE16FEB14 Unfudged'!$A$2:$A$498, 'Tax Bill Summary'!$A29, 'GE16FEB14 Unfudged'!E$2:E$498)</f>
        <v>491056</v>
      </c>
      <c r="G29" s="13">
        <f>+SUMIF('GE16FEB14 Unfudged'!$A$2:$A$498, 'Tax Bill Summary'!$A29, 'GE16FEB14 Unfudged'!F$2:F$498)</f>
        <v>338747</v>
      </c>
      <c r="H29" s="56">
        <f t="shared" si="56"/>
        <v>152309</v>
      </c>
      <c r="I29" s="51">
        <f>+SUMIF('GE16FEB14 Unfudged'!$A$2:$A$498, 'Tax Bill Summary'!$A29, 'GE16FEB14 Unfudged'!G$2:G$498)</f>
        <v>1356206</v>
      </c>
      <c r="J29" s="13">
        <f>+SUMIF('GE16FEB14 Unfudged'!$A$2:$A$498, 'Tax Bill Summary'!$A29, 'GE16FEB14 Unfudged'!H$2:H$498)</f>
        <v>935555</v>
      </c>
      <c r="K29" s="56">
        <f t="shared" si="57"/>
        <v>420651</v>
      </c>
      <c r="L29" s="51">
        <f>+SUMIF('GE16FEB14 Unfudged'!$A$2:$A$498, 'Tax Bill Summary'!$A29, 'GE16FEB14 Unfudged'!I$2:IF$498)</f>
        <v>1542013</v>
      </c>
      <c r="M29" s="13">
        <f>+SUMIF('GE16FEB14 Unfudged'!$A$2:$A$498, 'Tax Bill Summary'!$A29, 'GE16FEB14 Unfudged'!J$2:IG$498)</f>
        <v>785411</v>
      </c>
      <c r="N29" s="56">
        <f t="shared" si="58"/>
        <v>756602</v>
      </c>
      <c r="O29" s="51">
        <f t="shared" si="59"/>
        <v>3389275</v>
      </c>
      <c r="P29" s="13">
        <f t="shared" si="60"/>
        <v>2059713</v>
      </c>
      <c r="Q29" s="56">
        <f t="shared" si="61"/>
        <v>1329562</v>
      </c>
      <c r="R29" s="13">
        <f t="shared" si="62"/>
        <v>1059.4795248515161</v>
      </c>
      <c r="S29" s="13">
        <f t="shared" si="63"/>
        <v>643.86151922475779</v>
      </c>
      <c r="T29" s="16">
        <f t="shared" si="64"/>
        <v>415.61800562675836</v>
      </c>
      <c r="U29" s="15">
        <f>+SUMIF('GE16FEB14 Tax Bill Unfudged'!$A$2:$A$498, 'Tax Bill Summary'!$A29, 'GE16FEB14 Tax Bill Unfudged'!E$2:E$498)</f>
        <v>491056</v>
      </c>
      <c r="V29" s="13">
        <f>+SUMIF('GE16FEB14 Tax Bill Unfudged'!$A$2:$A$498, 'Tax Bill Summary'!$A29, 'GE16FEB14 Tax Bill Unfudged'!F$2:F$498)</f>
        <v>338747</v>
      </c>
      <c r="W29" s="56">
        <f t="shared" si="65"/>
        <v>152309</v>
      </c>
      <c r="X29" s="51">
        <f>+SUMIF('GE16FEB14 Tax Bill Unfudged'!$A$2:$A$498, 'Tax Bill Summary'!$A29, 'GE16FEB14 Tax Bill Unfudged'!G$2:G$498)</f>
        <v>1356206</v>
      </c>
      <c r="Y29" s="13">
        <f>+SUMIF('GE16FEB14 Tax Bill Unfudged'!$A$2:$A$498, 'Tax Bill Summary'!$A29, 'GE16FEB14 Tax Bill Unfudged'!H$2:H$498)</f>
        <v>935555</v>
      </c>
      <c r="Z29" s="56">
        <f t="shared" si="66"/>
        <v>420651</v>
      </c>
      <c r="AA29" s="51">
        <f>+SUMIF('GE16FEB14 Tax Bill Unfudged'!$A$2:$A$498, 'Tax Bill Summary'!$A29, 'GE16FEB14 Tax Bill Unfudged'!I$2:I$498)</f>
        <v>1542013</v>
      </c>
      <c r="AB29" s="13">
        <f>+SUMIF('GE16FEB14 Tax Bill Unfudged'!$A$2:$A$498, 'Tax Bill Summary'!$A29, 'GE16FEB14 Tax Bill Unfudged'!J$2:J$498)</f>
        <v>785411</v>
      </c>
      <c r="AC29" s="56">
        <f t="shared" si="67"/>
        <v>756602</v>
      </c>
      <c r="AD29" s="51">
        <f t="shared" si="68"/>
        <v>3389275</v>
      </c>
      <c r="AE29" s="13">
        <f t="shared" si="69"/>
        <v>2059713</v>
      </c>
      <c r="AF29" s="56">
        <f t="shared" si="70"/>
        <v>1329562</v>
      </c>
      <c r="AG29" s="13">
        <f t="shared" si="71"/>
        <v>1059.4795248515161</v>
      </c>
      <c r="AH29" s="13">
        <f t="shared" si="72"/>
        <v>643.86151922475779</v>
      </c>
      <c r="AI29" s="16">
        <f t="shared" si="73"/>
        <v>415.61800562675836</v>
      </c>
      <c r="AJ29" s="15">
        <f t="shared" si="74"/>
        <v>0</v>
      </c>
      <c r="AK29" s="13">
        <f t="shared" si="75"/>
        <v>0</v>
      </c>
      <c r="AL29" s="56">
        <f t="shared" si="76"/>
        <v>0</v>
      </c>
      <c r="AM29" s="51">
        <f t="shared" si="77"/>
        <v>0</v>
      </c>
      <c r="AN29" s="13">
        <f t="shared" si="78"/>
        <v>0</v>
      </c>
      <c r="AO29" s="56">
        <f t="shared" si="79"/>
        <v>0</v>
      </c>
      <c r="AP29" s="51">
        <f t="shared" si="80"/>
        <v>0</v>
      </c>
      <c r="AQ29" s="13">
        <f t="shared" si="81"/>
        <v>0</v>
      </c>
      <c r="AR29" s="56">
        <f t="shared" si="82"/>
        <v>0</v>
      </c>
      <c r="AS29" s="51">
        <f t="shared" si="83"/>
        <v>0</v>
      </c>
      <c r="AT29" s="13">
        <f t="shared" si="84"/>
        <v>0</v>
      </c>
      <c r="AU29" s="56">
        <f t="shared" si="85"/>
        <v>0</v>
      </c>
      <c r="AV29" s="13">
        <f t="shared" si="86"/>
        <v>0</v>
      </c>
      <c r="AW29" s="13">
        <f t="shared" si="87"/>
        <v>0</v>
      </c>
      <c r="AX29" s="16">
        <f t="shared" si="88"/>
        <v>0</v>
      </c>
    </row>
    <row r="30" spans="1:50" x14ac:dyDescent="0.25">
      <c r="A30" s="20">
        <v>15</v>
      </c>
      <c r="B30">
        <v>1</v>
      </c>
      <c r="C30" s="23" t="s">
        <v>148</v>
      </c>
      <c r="D30" s="23">
        <v>3</v>
      </c>
      <c r="E30" s="15">
        <f>+SUMIF('GE16FEB14 Unfudged'!$A$2:$A$498, $A30, 'GE16FEB14 Unfudged'!$D$2:$D$498)</f>
        <v>4887</v>
      </c>
      <c r="F30" s="15">
        <f>+SUMIF('GE16FEB14 Unfudged'!$A$2:$A$498, 'Tax Bill Summary'!$A30, 'GE16FEB14 Unfudged'!E$2:E$498)</f>
        <v>818573</v>
      </c>
      <c r="G30" s="13">
        <f>+SUMIF('GE16FEB14 Unfudged'!$A$2:$A$498, 'Tax Bill Summary'!$A30, 'GE16FEB14 Unfudged'!F$2:F$498)</f>
        <v>601361</v>
      </c>
      <c r="H30" s="56">
        <f t="shared" si="56"/>
        <v>217212</v>
      </c>
      <c r="I30" s="51">
        <f>+SUMIF('GE16FEB14 Unfudged'!$A$2:$A$498, 'Tax Bill Summary'!$A30, 'GE16FEB14 Unfudged'!G$2:G$498)</f>
        <v>2072088</v>
      </c>
      <c r="J30" s="13">
        <f>+SUMIF('GE16FEB14 Unfudged'!$A$2:$A$498, 'Tax Bill Summary'!$A30, 'GE16FEB14 Unfudged'!H$2:H$498)</f>
        <v>1522250</v>
      </c>
      <c r="K30" s="56">
        <f t="shared" si="57"/>
        <v>549838</v>
      </c>
      <c r="L30" s="51">
        <f>+SUMIF('GE16FEB14 Unfudged'!$A$2:$A$498, 'Tax Bill Summary'!$A30, 'GE16FEB14 Unfudged'!I$2:IF$498)</f>
        <v>1466100</v>
      </c>
      <c r="M30" s="13">
        <f>+SUMIF('GE16FEB14 Unfudged'!$A$2:$A$498, 'Tax Bill Summary'!$A30, 'GE16FEB14 Unfudged'!J$2:IG$498)</f>
        <v>624207</v>
      </c>
      <c r="N30" s="56">
        <f t="shared" si="58"/>
        <v>841893</v>
      </c>
      <c r="O30" s="51">
        <f t="shared" si="59"/>
        <v>4356761</v>
      </c>
      <c r="P30" s="13">
        <f t="shared" si="60"/>
        <v>2747818</v>
      </c>
      <c r="Q30" s="56">
        <f t="shared" si="61"/>
        <v>1608943</v>
      </c>
      <c r="R30" s="13">
        <f t="shared" si="62"/>
        <v>891.50010231225701</v>
      </c>
      <c r="S30" s="13">
        <f t="shared" si="63"/>
        <v>562.27092285655817</v>
      </c>
      <c r="T30" s="16">
        <f t="shared" si="64"/>
        <v>329.22917945569878</v>
      </c>
      <c r="U30" s="15">
        <f>+SUMIF('GE16FEB14 Tax Bill Unfudged'!$A$2:$A$498, 'Tax Bill Summary'!$A30, 'GE16FEB14 Tax Bill Unfudged'!E$2:E$498)</f>
        <v>818573</v>
      </c>
      <c r="V30" s="13">
        <f>+SUMIF('GE16FEB14 Tax Bill Unfudged'!$A$2:$A$498, 'Tax Bill Summary'!$A30, 'GE16FEB14 Tax Bill Unfudged'!F$2:F$498)</f>
        <v>601361</v>
      </c>
      <c r="W30" s="56">
        <f t="shared" si="65"/>
        <v>217212</v>
      </c>
      <c r="X30" s="51">
        <f>+SUMIF('GE16FEB14 Tax Bill Unfudged'!$A$2:$A$498, 'Tax Bill Summary'!$A30, 'GE16FEB14 Tax Bill Unfudged'!G$2:G$498)</f>
        <v>2072088</v>
      </c>
      <c r="Y30" s="13">
        <f>+SUMIF('GE16FEB14 Tax Bill Unfudged'!$A$2:$A$498, 'Tax Bill Summary'!$A30, 'GE16FEB14 Tax Bill Unfudged'!H$2:H$498)</f>
        <v>1522250</v>
      </c>
      <c r="Z30" s="56">
        <f t="shared" si="66"/>
        <v>549838</v>
      </c>
      <c r="AA30" s="51">
        <f>+SUMIF('GE16FEB14 Tax Bill Unfudged'!$A$2:$A$498, 'Tax Bill Summary'!$A30, 'GE16FEB14 Tax Bill Unfudged'!I$2:I$498)</f>
        <v>1466100</v>
      </c>
      <c r="AB30" s="13">
        <f>+SUMIF('GE16FEB14 Tax Bill Unfudged'!$A$2:$A$498, 'Tax Bill Summary'!$A30, 'GE16FEB14 Tax Bill Unfudged'!J$2:J$498)</f>
        <v>624207</v>
      </c>
      <c r="AC30" s="56">
        <f t="shared" si="67"/>
        <v>841893</v>
      </c>
      <c r="AD30" s="51">
        <f t="shared" si="68"/>
        <v>4356761</v>
      </c>
      <c r="AE30" s="13">
        <f t="shared" si="69"/>
        <v>2747818</v>
      </c>
      <c r="AF30" s="56">
        <f t="shared" si="70"/>
        <v>1608943</v>
      </c>
      <c r="AG30" s="13">
        <f t="shared" si="71"/>
        <v>891.50010231225701</v>
      </c>
      <c r="AH30" s="13">
        <f t="shared" si="72"/>
        <v>562.27092285655817</v>
      </c>
      <c r="AI30" s="16">
        <f t="shared" si="73"/>
        <v>329.22917945569878</v>
      </c>
      <c r="AJ30" s="15">
        <f t="shared" si="74"/>
        <v>0</v>
      </c>
      <c r="AK30" s="13">
        <f t="shared" si="75"/>
        <v>0</v>
      </c>
      <c r="AL30" s="56">
        <f t="shared" si="76"/>
        <v>0</v>
      </c>
      <c r="AM30" s="51">
        <f t="shared" si="77"/>
        <v>0</v>
      </c>
      <c r="AN30" s="13">
        <f t="shared" si="78"/>
        <v>0</v>
      </c>
      <c r="AO30" s="56">
        <f t="shared" si="79"/>
        <v>0</v>
      </c>
      <c r="AP30" s="51">
        <f t="shared" si="80"/>
        <v>0</v>
      </c>
      <c r="AQ30" s="13">
        <f t="shared" si="81"/>
        <v>0</v>
      </c>
      <c r="AR30" s="56">
        <f t="shared" si="82"/>
        <v>0</v>
      </c>
      <c r="AS30" s="51">
        <f t="shared" si="83"/>
        <v>0</v>
      </c>
      <c r="AT30" s="13">
        <f t="shared" si="84"/>
        <v>0</v>
      </c>
      <c r="AU30" s="56">
        <f t="shared" si="85"/>
        <v>0</v>
      </c>
      <c r="AV30" s="13">
        <f t="shared" si="86"/>
        <v>0</v>
      </c>
      <c r="AW30" s="13">
        <f t="shared" si="87"/>
        <v>0</v>
      </c>
      <c r="AX30" s="16">
        <f t="shared" si="88"/>
        <v>0</v>
      </c>
    </row>
    <row r="31" spans="1:50" x14ac:dyDescent="0.25">
      <c r="A31" s="20">
        <v>16</v>
      </c>
      <c r="B31">
        <v>1</v>
      </c>
      <c r="C31" s="23" t="s">
        <v>149</v>
      </c>
      <c r="D31" s="23">
        <v>3</v>
      </c>
      <c r="E31" s="15">
        <f>+SUMIF('GE16FEB14 Unfudged'!$A$2:$A$498, $A31, 'GE16FEB14 Unfudged'!$D$2:$D$498)</f>
        <v>5870</v>
      </c>
      <c r="F31" s="15">
        <f>+SUMIF('GE16FEB14 Unfudged'!$A$2:$A$498, 'Tax Bill Summary'!$A31, 'GE16FEB14 Unfudged'!E$2:E$498)</f>
        <v>922757</v>
      </c>
      <c r="G31" s="13">
        <f>+SUMIF('GE16FEB14 Unfudged'!$A$2:$A$498, 'Tax Bill Summary'!$A31, 'GE16FEB14 Unfudged'!F$2:F$498)</f>
        <v>898386</v>
      </c>
      <c r="H31" s="56">
        <f t="shared" si="56"/>
        <v>24371</v>
      </c>
      <c r="I31" s="51">
        <f>+SUMIF('GE16FEB14 Unfudged'!$A$2:$A$498, 'Tax Bill Summary'!$A31, 'GE16FEB14 Unfudged'!G$2:G$498)</f>
        <v>2488689</v>
      </c>
      <c r="J31" s="13">
        <f>+SUMIF('GE16FEB14 Unfudged'!$A$2:$A$498, 'Tax Bill Summary'!$A31, 'GE16FEB14 Unfudged'!H$2:H$498)</f>
        <v>2422960</v>
      </c>
      <c r="K31" s="56">
        <f t="shared" si="57"/>
        <v>65729</v>
      </c>
      <c r="L31" s="51">
        <f>+SUMIF('GE16FEB14 Unfudged'!$A$2:$A$498, 'Tax Bill Summary'!$A31, 'GE16FEB14 Unfudged'!I$2:IF$498)</f>
        <v>2547619</v>
      </c>
      <c r="M31" s="13">
        <f>+SUMIF('GE16FEB14 Unfudged'!$A$2:$A$498, 'Tax Bill Summary'!$A31, 'GE16FEB14 Unfudged'!J$2:IG$498)</f>
        <v>1759524</v>
      </c>
      <c r="N31" s="56">
        <f t="shared" si="58"/>
        <v>788095</v>
      </c>
      <c r="O31" s="51">
        <f t="shared" si="59"/>
        <v>5959065</v>
      </c>
      <c r="P31" s="13">
        <f t="shared" si="60"/>
        <v>5080870</v>
      </c>
      <c r="Q31" s="56">
        <f t="shared" si="61"/>
        <v>878195</v>
      </c>
      <c r="R31" s="13">
        <f t="shared" si="62"/>
        <v>1015.1729131175468</v>
      </c>
      <c r="S31" s="13">
        <f t="shared" si="63"/>
        <v>865.56558773424194</v>
      </c>
      <c r="T31" s="16">
        <f t="shared" si="64"/>
        <v>149.60732538330495</v>
      </c>
      <c r="U31" s="15">
        <f>+SUMIF('GE16FEB14 Tax Bill Unfudged'!$A$2:$A$498, 'Tax Bill Summary'!$A31, 'GE16FEB14 Tax Bill Unfudged'!E$2:E$498)</f>
        <v>922757</v>
      </c>
      <c r="V31" s="13">
        <f>+SUMIF('GE16FEB14 Tax Bill Unfudged'!$A$2:$A$498, 'Tax Bill Summary'!$A31, 'GE16FEB14 Tax Bill Unfudged'!F$2:F$498)</f>
        <v>898386</v>
      </c>
      <c r="W31" s="56">
        <f t="shared" si="65"/>
        <v>24371</v>
      </c>
      <c r="X31" s="51">
        <f>+SUMIF('GE16FEB14 Tax Bill Unfudged'!$A$2:$A$498, 'Tax Bill Summary'!$A31, 'GE16FEB14 Tax Bill Unfudged'!G$2:G$498)</f>
        <v>2488689</v>
      </c>
      <c r="Y31" s="13">
        <f>+SUMIF('GE16FEB14 Tax Bill Unfudged'!$A$2:$A$498, 'Tax Bill Summary'!$A31, 'GE16FEB14 Tax Bill Unfudged'!H$2:H$498)</f>
        <v>2422960</v>
      </c>
      <c r="Z31" s="56">
        <f t="shared" si="66"/>
        <v>65729</v>
      </c>
      <c r="AA31" s="51">
        <f>+SUMIF('GE16FEB14 Tax Bill Unfudged'!$A$2:$A$498, 'Tax Bill Summary'!$A31, 'GE16FEB14 Tax Bill Unfudged'!I$2:I$498)</f>
        <v>2547619</v>
      </c>
      <c r="AB31" s="13">
        <f>+SUMIF('GE16FEB14 Tax Bill Unfudged'!$A$2:$A$498, 'Tax Bill Summary'!$A31, 'GE16FEB14 Tax Bill Unfudged'!J$2:J$498)</f>
        <v>1759524</v>
      </c>
      <c r="AC31" s="56">
        <f t="shared" si="67"/>
        <v>788095</v>
      </c>
      <c r="AD31" s="51">
        <f t="shared" si="68"/>
        <v>5959065</v>
      </c>
      <c r="AE31" s="13">
        <f t="shared" si="69"/>
        <v>5080870</v>
      </c>
      <c r="AF31" s="56">
        <f t="shared" si="70"/>
        <v>878195</v>
      </c>
      <c r="AG31" s="13">
        <f t="shared" si="71"/>
        <v>1015.1729131175468</v>
      </c>
      <c r="AH31" s="13">
        <f t="shared" si="72"/>
        <v>865.56558773424194</v>
      </c>
      <c r="AI31" s="16">
        <f t="shared" si="73"/>
        <v>149.60732538330495</v>
      </c>
      <c r="AJ31" s="15">
        <f t="shared" si="74"/>
        <v>0</v>
      </c>
      <c r="AK31" s="13">
        <f t="shared" si="75"/>
        <v>0</v>
      </c>
      <c r="AL31" s="56">
        <f t="shared" si="76"/>
        <v>0</v>
      </c>
      <c r="AM31" s="51">
        <f t="shared" si="77"/>
        <v>0</v>
      </c>
      <c r="AN31" s="13">
        <f t="shared" si="78"/>
        <v>0</v>
      </c>
      <c r="AO31" s="56">
        <f t="shared" si="79"/>
        <v>0</v>
      </c>
      <c r="AP31" s="51">
        <f t="shared" si="80"/>
        <v>0</v>
      </c>
      <c r="AQ31" s="13">
        <f t="shared" si="81"/>
        <v>0</v>
      </c>
      <c r="AR31" s="56">
        <f t="shared" si="82"/>
        <v>0</v>
      </c>
      <c r="AS31" s="51">
        <f t="shared" si="83"/>
        <v>0</v>
      </c>
      <c r="AT31" s="13">
        <f t="shared" si="84"/>
        <v>0</v>
      </c>
      <c r="AU31" s="56">
        <f t="shared" si="85"/>
        <v>0</v>
      </c>
      <c r="AV31" s="13">
        <f t="shared" si="86"/>
        <v>0</v>
      </c>
      <c r="AW31" s="13">
        <f t="shared" si="87"/>
        <v>0</v>
      </c>
      <c r="AX31" s="16">
        <f t="shared" si="88"/>
        <v>0</v>
      </c>
    </row>
    <row r="32" spans="1:50" x14ac:dyDescent="0.25">
      <c r="A32" s="20">
        <v>22</v>
      </c>
      <c r="B32">
        <v>1</v>
      </c>
      <c r="C32" s="23" t="s">
        <v>150</v>
      </c>
      <c r="D32" s="23">
        <v>4</v>
      </c>
      <c r="E32" s="15">
        <f>+SUMIF('GE16FEB14 Unfudged'!$A$2:$A$498, $A32, 'GE16FEB14 Unfudged'!$D$2:$D$498)</f>
        <v>3112</v>
      </c>
      <c r="F32" s="15">
        <f>+SUMIF('GE16FEB14 Unfudged'!$A$2:$A$498, 'Tax Bill Summary'!$A32, 'GE16FEB14 Unfudged'!E$2:E$498)</f>
        <v>448128</v>
      </c>
      <c r="G32" s="13">
        <f>+SUMIF('GE16FEB14 Unfudged'!$A$2:$A$498, 'Tax Bill Summary'!$A32, 'GE16FEB14 Unfudged'!F$2:F$498)</f>
        <v>396125</v>
      </c>
      <c r="H32" s="56">
        <f t="shared" si="56"/>
        <v>52003</v>
      </c>
      <c r="I32" s="51">
        <f>+SUMIF('GE16FEB14 Unfudged'!$A$2:$A$498, 'Tax Bill Summary'!$A32, 'GE16FEB14 Unfudged'!G$2:G$498)</f>
        <v>659744</v>
      </c>
      <c r="J32" s="13">
        <f>+SUMIF('GE16FEB14 Unfudged'!$A$2:$A$498, 'Tax Bill Summary'!$A32, 'GE16FEB14 Unfudged'!H$2:H$498)</f>
        <v>583184</v>
      </c>
      <c r="K32" s="56">
        <f t="shared" si="57"/>
        <v>76560</v>
      </c>
      <c r="L32" s="51">
        <f>+SUMIF('GE16FEB14 Unfudged'!$A$2:$A$498, 'Tax Bill Summary'!$A32, 'GE16FEB14 Unfudged'!I$2:IF$498)</f>
        <v>933600</v>
      </c>
      <c r="M32" s="13">
        <f>+SUMIF('GE16FEB14 Unfudged'!$A$2:$A$498, 'Tax Bill Summary'!$A32, 'GE16FEB14 Unfudged'!J$2:IG$498)</f>
        <v>478276</v>
      </c>
      <c r="N32" s="56">
        <f t="shared" si="58"/>
        <v>455324</v>
      </c>
      <c r="O32" s="51">
        <f t="shared" si="59"/>
        <v>2041472</v>
      </c>
      <c r="P32" s="13">
        <f t="shared" si="60"/>
        <v>1457585</v>
      </c>
      <c r="Q32" s="56">
        <f t="shared" si="61"/>
        <v>583887</v>
      </c>
      <c r="R32" s="13">
        <f t="shared" si="62"/>
        <v>656</v>
      </c>
      <c r="S32" s="13">
        <f t="shared" si="63"/>
        <v>468.37564267352184</v>
      </c>
      <c r="T32" s="16">
        <f t="shared" si="64"/>
        <v>187.62435732647816</v>
      </c>
      <c r="U32" s="15">
        <f>+SUMIF('GE16FEB14 Tax Bill Unfudged'!$A$2:$A$498, 'Tax Bill Summary'!$A32, 'GE16FEB14 Tax Bill Unfudged'!E$2:E$498)</f>
        <v>448128</v>
      </c>
      <c r="V32" s="13">
        <f>+SUMIF('GE16FEB14 Tax Bill Unfudged'!$A$2:$A$498, 'Tax Bill Summary'!$A32, 'GE16FEB14 Tax Bill Unfudged'!F$2:F$498)</f>
        <v>396125</v>
      </c>
      <c r="W32" s="56">
        <f t="shared" si="65"/>
        <v>52003</v>
      </c>
      <c r="X32" s="51">
        <f>+SUMIF('GE16FEB14 Tax Bill Unfudged'!$A$2:$A$498, 'Tax Bill Summary'!$A32, 'GE16FEB14 Tax Bill Unfudged'!G$2:G$498)</f>
        <v>1319488</v>
      </c>
      <c r="Y32" s="13">
        <f>+SUMIF('GE16FEB14 Tax Bill Unfudged'!$A$2:$A$498, 'Tax Bill Summary'!$A32, 'GE16FEB14 Tax Bill Unfudged'!H$2:H$498)</f>
        <v>1166368</v>
      </c>
      <c r="Z32" s="56">
        <f t="shared" si="66"/>
        <v>153120</v>
      </c>
      <c r="AA32" s="51">
        <f>+SUMIF('GE16FEB14 Tax Bill Unfudged'!$A$2:$A$498, 'Tax Bill Summary'!$A32, 'GE16FEB14 Tax Bill Unfudged'!I$2:I$498)</f>
        <v>933600</v>
      </c>
      <c r="AB32" s="13">
        <f>+SUMIF('GE16FEB14 Tax Bill Unfudged'!$A$2:$A$498, 'Tax Bill Summary'!$A32, 'GE16FEB14 Tax Bill Unfudged'!J$2:J$498)</f>
        <v>478276</v>
      </c>
      <c r="AC32" s="56">
        <f t="shared" si="67"/>
        <v>455324</v>
      </c>
      <c r="AD32" s="51">
        <f t="shared" si="68"/>
        <v>2701216</v>
      </c>
      <c r="AE32" s="13">
        <f t="shared" si="69"/>
        <v>2040769</v>
      </c>
      <c r="AF32" s="56">
        <f t="shared" si="70"/>
        <v>660447</v>
      </c>
      <c r="AG32" s="13">
        <f t="shared" si="71"/>
        <v>868</v>
      </c>
      <c r="AH32" s="13">
        <f t="shared" si="72"/>
        <v>655.77410025706945</v>
      </c>
      <c r="AI32" s="16">
        <f t="shared" si="73"/>
        <v>212.22589974293058</v>
      </c>
      <c r="AJ32" s="15">
        <f t="shared" si="74"/>
        <v>0</v>
      </c>
      <c r="AK32" s="13">
        <f t="shared" si="75"/>
        <v>0</v>
      </c>
      <c r="AL32" s="56">
        <f t="shared" si="76"/>
        <v>0</v>
      </c>
      <c r="AM32" s="51">
        <f t="shared" si="77"/>
        <v>659744</v>
      </c>
      <c r="AN32" s="13">
        <f t="shared" si="78"/>
        <v>583184</v>
      </c>
      <c r="AO32" s="56">
        <f t="shared" si="79"/>
        <v>76560</v>
      </c>
      <c r="AP32" s="51">
        <f t="shared" si="80"/>
        <v>0</v>
      </c>
      <c r="AQ32" s="13">
        <f t="shared" si="81"/>
        <v>0</v>
      </c>
      <c r="AR32" s="56">
        <f t="shared" si="82"/>
        <v>0</v>
      </c>
      <c r="AS32" s="51">
        <f t="shared" si="83"/>
        <v>659744</v>
      </c>
      <c r="AT32" s="13">
        <f t="shared" si="84"/>
        <v>583184</v>
      </c>
      <c r="AU32" s="56">
        <f t="shared" si="85"/>
        <v>76560</v>
      </c>
      <c r="AV32" s="13">
        <f t="shared" si="86"/>
        <v>212</v>
      </c>
      <c r="AW32" s="13">
        <f t="shared" si="87"/>
        <v>187.39845758354761</v>
      </c>
      <c r="AX32" s="16">
        <f t="shared" si="88"/>
        <v>24.601542416452418</v>
      </c>
    </row>
    <row r="33" spans="1:50" x14ac:dyDescent="0.25">
      <c r="A33" s="20">
        <v>23</v>
      </c>
      <c r="B33">
        <v>1</v>
      </c>
      <c r="C33" s="23" t="s">
        <v>151</v>
      </c>
      <c r="D33" s="23">
        <v>6</v>
      </c>
      <c r="E33" s="15">
        <f>+SUMIF('GE16FEB14 Unfudged'!$A$2:$A$498, $A33, 'GE16FEB14 Unfudged'!$D$2:$D$498)</f>
        <v>977</v>
      </c>
      <c r="F33" s="15">
        <f>+SUMIF('GE16FEB14 Unfudged'!$A$2:$A$498, 'Tax Bill Summary'!$A33, 'GE16FEB14 Unfudged'!E$2:E$498)</f>
        <v>116506</v>
      </c>
      <c r="G33" s="13">
        <f>+SUMIF('GE16FEB14 Unfudged'!$A$2:$A$498, 'Tax Bill Summary'!$A33, 'GE16FEB14 Unfudged'!F$2:F$498)</f>
        <v>78340</v>
      </c>
      <c r="H33" s="56">
        <f t="shared" si="56"/>
        <v>38166</v>
      </c>
      <c r="I33" s="51">
        <f>+SUMIF('GE16FEB14 Unfudged'!$A$2:$A$498, 'Tax Bill Summary'!$A33, 'GE16FEB14 Unfudged'!G$2:G$498)</f>
        <v>0</v>
      </c>
      <c r="J33" s="13">
        <f>+SUMIF('GE16FEB14 Unfudged'!$A$2:$A$498, 'Tax Bill Summary'!$A33, 'GE16FEB14 Unfudged'!H$2:H$498)</f>
        <v>0</v>
      </c>
      <c r="K33" s="56">
        <f t="shared" si="57"/>
        <v>0</v>
      </c>
      <c r="L33" s="51">
        <f>+SUMIF('GE16FEB14 Unfudged'!$A$2:$A$498, 'Tax Bill Summary'!$A33, 'GE16FEB14 Unfudged'!I$2:IF$498)</f>
        <v>819877</v>
      </c>
      <c r="M33" s="13">
        <f>+SUMIF('GE16FEB14 Unfudged'!$A$2:$A$498, 'Tax Bill Summary'!$A33, 'GE16FEB14 Unfudged'!J$2:IG$498)</f>
        <v>493836</v>
      </c>
      <c r="N33" s="56">
        <f t="shared" si="58"/>
        <v>326041</v>
      </c>
      <c r="O33" s="51">
        <f t="shared" si="59"/>
        <v>936383</v>
      </c>
      <c r="P33" s="13">
        <f t="shared" si="60"/>
        <v>572176</v>
      </c>
      <c r="Q33" s="56">
        <f t="shared" si="61"/>
        <v>364207</v>
      </c>
      <c r="R33" s="13">
        <f t="shared" si="62"/>
        <v>958.42681678607983</v>
      </c>
      <c r="S33" s="13">
        <f t="shared" si="63"/>
        <v>585.64585465711366</v>
      </c>
      <c r="T33" s="16">
        <f t="shared" si="64"/>
        <v>372.78096212896622</v>
      </c>
      <c r="U33" s="15">
        <f>+SUMIF('GE16FEB14 Tax Bill Unfudged'!$A$2:$A$498, 'Tax Bill Summary'!$A33, 'GE16FEB14 Tax Bill Unfudged'!E$2:E$498)</f>
        <v>133835</v>
      </c>
      <c r="V33" s="13">
        <f>+SUMIF('GE16FEB14 Tax Bill Unfudged'!$A$2:$A$498, 'Tax Bill Summary'!$A33, 'GE16FEB14 Tax Bill Unfudged'!F$2:F$498)</f>
        <v>89992</v>
      </c>
      <c r="W33" s="56">
        <f t="shared" si="65"/>
        <v>43843</v>
      </c>
      <c r="X33" s="51">
        <f>+SUMIF('GE16FEB14 Tax Bill Unfudged'!$A$2:$A$498, 'Tax Bill Summary'!$A33, 'GE16FEB14 Tax Bill Unfudged'!G$2:G$498)</f>
        <v>414163</v>
      </c>
      <c r="Y33" s="13">
        <f>+SUMIF('GE16FEB14 Tax Bill Unfudged'!$A$2:$A$498, 'Tax Bill Summary'!$A33, 'GE16FEB14 Tax Bill Unfudged'!H$2:H$498)</f>
        <v>278487</v>
      </c>
      <c r="Z33" s="56">
        <f t="shared" si="66"/>
        <v>135676</v>
      </c>
      <c r="AA33" s="51">
        <f>+SUMIF('GE16FEB14 Tax Bill Unfudged'!$A$2:$A$498, 'Tax Bill Summary'!$A33, 'GE16FEB14 Tax Bill Unfudged'!I$2:I$498)</f>
        <v>405714</v>
      </c>
      <c r="AB33" s="13">
        <f>+SUMIF('GE16FEB14 Tax Bill Unfudged'!$A$2:$A$498, 'Tax Bill Summary'!$A33, 'GE16FEB14 Tax Bill Unfudged'!J$2:J$498)</f>
        <v>189958</v>
      </c>
      <c r="AC33" s="56">
        <f t="shared" si="67"/>
        <v>215756</v>
      </c>
      <c r="AD33" s="51">
        <f t="shared" si="68"/>
        <v>953712</v>
      </c>
      <c r="AE33" s="13">
        <f t="shared" si="69"/>
        <v>558437</v>
      </c>
      <c r="AF33" s="56">
        <f t="shared" si="70"/>
        <v>395275</v>
      </c>
      <c r="AG33" s="13">
        <f t="shared" si="71"/>
        <v>976.16376663254857</v>
      </c>
      <c r="AH33" s="13">
        <f t="shared" si="72"/>
        <v>571.58341862845441</v>
      </c>
      <c r="AI33" s="16">
        <f t="shared" si="73"/>
        <v>404.58034800409416</v>
      </c>
      <c r="AJ33" s="15">
        <f t="shared" si="74"/>
        <v>17329</v>
      </c>
      <c r="AK33" s="13">
        <f t="shared" si="75"/>
        <v>11652</v>
      </c>
      <c r="AL33" s="56">
        <f t="shared" si="76"/>
        <v>5677</v>
      </c>
      <c r="AM33" s="51">
        <f t="shared" si="77"/>
        <v>414163</v>
      </c>
      <c r="AN33" s="13">
        <f t="shared" si="78"/>
        <v>278487</v>
      </c>
      <c r="AO33" s="56">
        <f t="shared" si="79"/>
        <v>135676</v>
      </c>
      <c r="AP33" s="51">
        <f t="shared" si="80"/>
        <v>-414163</v>
      </c>
      <c r="AQ33" s="13">
        <f t="shared" si="81"/>
        <v>-303878</v>
      </c>
      <c r="AR33" s="56">
        <f t="shared" si="82"/>
        <v>-110285</v>
      </c>
      <c r="AS33" s="51">
        <f t="shared" si="83"/>
        <v>17329</v>
      </c>
      <c r="AT33" s="13">
        <f t="shared" si="84"/>
        <v>-13739</v>
      </c>
      <c r="AU33" s="56">
        <f t="shared" si="85"/>
        <v>31068</v>
      </c>
      <c r="AV33" s="13">
        <f t="shared" si="86"/>
        <v>17.736949846468747</v>
      </c>
      <c r="AW33" s="13">
        <f t="shared" si="87"/>
        <v>-14.062436028659249</v>
      </c>
      <c r="AX33" s="16">
        <f t="shared" si="88"/>
        <v>31.799385875127939</v>
      </c>
    </row>
    <row r="34" spans="1:50" x14ac:dyDescent="0.25">
      <c r="A34" s="20">
        <v>25</v>
      </c>
      <c r="B34">
        <v>1</v>
      </c>
      <c r="C34" s="23" t="s">
        <v>152</v>
      </c>
      <c r="D34" s="23">
        <v>6</v>
      </c>
      <c r="E34" s="15">
        <f>+SUMIF('GE16FEB14 Unfudged'!$A$2:$A$498, $A34, 'GE16FEB14 Unfudged'!$D$2:$D$498)</f>
        <v>79</v>
      </c>
      <c r="F34" s="15">
        <f>+SUMIF('GE16FEB14 Unfudged'!$A$2:$A$498, 'Tax Bill Summary'!$A34, 'GE16FEB14 Unfudged'!E$2:E$498)</f>
        <v>11347</v>
      </c>
      <c r="G34" s="13">
        <f>+SUMIF('GE16FEB14 Unfudged'!$A$2:$A$498, 'Tax Bill Summary'!$A34, 'GE16FEB14 Unfudged'!F$2:F$498)</f>
        <v>0</v>
      </c>
      <c r="H34" s="56">
        <f t="shared" si="56"/>
        <v>11347</v>
      </c>
      <c r="I34" s="51">
        <f>+SUMIF('GE16FEB14 Unfudged'!$A$2:$A$498, 'Tax Bill Summary'!$A34, 'GE16FEB14 Unfudged'!G$2:G$498)</f>
        <v>0</v>
      </c>
      <c r="J34" s="13">
        <f>+SUMIF('GE16FEB14 Unfudged'!$A$2:$A$498, 'Tax Bill Summary'!$A34, 'GE16FEB14 Unfudged'!H$2:H$498)</f>
        <v>0</v>
      </c>
      <c r="K34" s="56">
        <f t="shared" si="57"/>
        <v>0</v>
      </c>
      <c r="L34" s="51">
        <f>+SUMIF('GE16FEB14 Unfudged'!$A$2:$A$498, 'Tax Bill Summary'!$A34, 'GE16FEB14 Unfudged'!I$2:IF$498)</f>
        <v>23640</v>
      </c>
      <c r="M34" s="13">
        <f>+SUMIF('GE16FEB14 Unfudged'!$A$2:$A$498, 'Tax Bill Summary'!$A34, 'GE16FEB14 Unfudged'!J$2:IG$498)</f>
        <v>0</v>
      </c>
      <c r="N34" s="56">
        <f t="shared" si="58"/>
        <v>23640</v>
      </c>
      <c r="O34" s="51">
        <f t="shared" si="59"/>
        <v>34987</v>
      </c>
      <c r="P34" s="13">
        <f t="shared" si="60"/>
        <v>0</v>
      </c>
      <c r="Q34" s="56">
        <f t="shared" si="61"/>
        <v>34987</v>
      </c>
      <c r="R34" s="13">
        <f t="shared" si="62"/>
        <v>442.87341772151899</v>
      </c>
      <c r="S34" s="13">
        <f t="shared" si="63"/>
        <v>0</v>
      </c>
      <c r="T34" s="16">
        <f t="shared" si="64"/>
        <v>442.87341772151899</v>
      </c>
      <c r="U34" s="15">
        <f>+SUMIF('GE16FEB14 Tax Bill Unfudged'!$A$2:$A$498, 'Tax Bill Summary'!$A34, 'GE16FEB14 Tax Bill Unfudged'!E$2:E$498)</f>
        <v>11347</v>
      </c>
      <c r="V34" s="13">
        <f>+SUMIF('GE16FEB14 Tax Bill Unfudged'!$A$2:$A$498, 'Tax Bill Summary'!$A34, 'GE16FEB14 Tax Bill Unfudged'!F$2:F$498)</f>
        <v>0</v>
      </c>
      <c r="W34" s="56">
        <f t="shared" si="65"/>
        <v>11347</v>
      </c>
      <c r="X34" s="51">
        <f>+SUMIF('GE16FEB14 Tax Bill Unfudged'!$A$2:$A$498, 'Tax Bill Summary'!$A34, 'GE16FEB14 Tax Bill Unfudged'!G$2:G$498)</f>
        <v>33411</v>
      </c>
      <c r="Y34" s="13">
        <f>+SUMIF('GE16FEB14 Tax Bill Unfudged'!$A$2:$A$498, 'Tax Bill Summary'!$A34, 'GE16FEB14 Tax Bill Unfudged'!H$2:H$498)</f>
        <v>0</v>
      </c>
      <c r="Z34" s="56">
        <f t="shared" si="66"/>
        <v>33411</v>
      </c>
      <c r="AA34" s="51">
        <f>+SUMIF('GE16FEB14 Tax Bill Unfudged'!$A$2:$A$498, 'Tax Bill Summary'!$A34, 'GE16FEB14 Tax Bill Unfudged'!I$2:I$498)</f>
        <v>23640</v>
      </c>
      <c r="AB34" s="13">
        <f>+SUMIF('GE16FEB14 Tax Bill Unfudged'!$A$2:$A$498, 'Tax Bill Summary'!$A34, 'GE16FEB14 Tax Bill Unfudged'!J$2:J$498)</f>
        <v>0</v>
      </c>
      <c r="AC34" s="56">
        <f t="shared" si="67"/>
        <v>23640</v>
      </c>
      <c r="AD34" s="51">
        <f t="shared" si="68"/>
        <v>68398</v>
      </c>
      <c r="AE34" s="13">
        <f t="shared" si="69"/>
        <v>0</v>
      </c>
      <c r="AF34" s="56">
        <f t="shared" si="70"/>
        <v>68398</v>
      </c>
      <c r="AG34" s="13">
        <f t="shared" si="71"/>
        <v>865.79746835443041</v>
      </c>
      <c r="AH34" s="13">
        <f t="shared" si="72"/>
        <v>0</v>
      </c>
      <c r="AI34" s="16">
        <f t="shared" si="73"/>
        <v>865.79746835443041</v>
      </c>
      <c r="AJ34" s="15">
        <f t="shared" si="74"/>
        <v>0</v>
      </c>
      <c r="AK34" s="13">
        <f t="shared" si="75"/>
        <v>0</v>
      </c>
      <c r="AL34" s="56">
        <f t="shared" si="76"/>
        <v>0</v>
      </c>
      <c r="AM34" s="51">
        <f t="shared" si="77"/>
        <v>33411</v>
      </c>
      <c r="AN34" s="13">
        <f t="shared" si="78"/>
        <v>0</v>
      </c>
      <c r="AO34" s="56">
        <f t="shared" si="79"/>
        <v>33411</v>
      </c>
      <c r="AP34" s="51">
        <f t="shared" si="80"/>
        <v>0</v>
      </c>
      <c r="AQ34" s="13">
        <f t="shared" si="81"/>
        <v>0</v>
      </c>
      <c r="AR34" s="56">
        <f t="shared" si="82"/>
        <v>0</v>
      </c>
      <c r="AS34" s="51">
        <f t="shared" si="83"/>
        <v>33411</v>
      </c>
      <c r="AT34" s="13">
        <f t="shared" si="84"/>
        <v>0</v>
      </c>
      <c r="AU34" s="56">
        <f t="shared" si="85"/>
        <v>33411</v>
      </c>
      <c r="AV34" s="13">
        <f t="shared" si="86"/>
        <v>422.92405063291142</v>
      </c>
      <c r="AW34" s="13">
        <f t="shared" si="87"/>
        <v>0</v>
      </c>
      <c r="AX34" s="16">
        <f t="shared" si="88"/>
        <v>422.92405063291142</v>
      </c>
    </row>
    <row r="35" spans="1:50" x14ac:dyDescent="0.25">
      <c r="A35" s="20">
        <v>31</v>
      </c>
      <c r="B35">
        <v>1</v>
      </c>
      <c r="C35" s="23" t="s">
        <v>153</v>
      </c>
      <c r="D35" s="23">
        <v>4</v>
      </c>
      <c r="E35" s="15">
        <f>+SUMIF('GE16FEB14 Unfudged'!$A$2:$A$498, $A35, 'GE16FEB14 Unfudged'!$D$2:$D$498)</f>
        <v>5578</v>
      </c>
      <c r="F35" s="15">
        <f>+SUMIF('GE16FEB14 Unfudged'!$A$2:$A$498, 'Tax Bill Summary'!$A35, 'GE16FEB14 Unfudged'!E$2:E$498)</f>
        <v>790067</v>
      </c>
      <c r="G35" s="13">
        <f>+SUMIF('GE16FEB14 Unfudged'!$A$2:$A$498, 'Tax Bill Summary'!$A35, 'GE16FEB14 Unfudged'!F$2:F$498)</f>
        <v>573047</v>
      </c>
      <c r="H35" s="56">
        <f t="shared" si="56"/>
        <v>217020</v>
      </c>
      <c r="I35" s="51">
        <f>+SUMIF('GE16FEB14 Unfudged'!$A$2:$A$498, 'Tax Bill Summary'!$A35, 'GE16FEB14 Unfudged'!G$2:G$498)</f>
        <v>1182536</v>
      </c>
      <c r="J35" s="13">
        <f>+SUMIF('GE16FEB14 Unfudged'!$A$2:$A$498, 'Tax Bill Summary'!$A35, 'GE16FEB14 Unfudged'!H$2:H$498)</f>
        <v>857710</v>
      </c>
      <c r="K35" s="56">
        <f t="shared" si="57"/>
        <v>324826</v>
      </c>
      <c r="L35" s="51">
        <f>+SUMIF('GE16FEB14 Unfudged'!$A$2:$A$498, 'Tax Bill Summary'!$A35, 'GE16FEB14 Unfudged'!I$2:IF$498)</f>
        <v>1960555</v>
      </c>
      <c r="M35" s="13">
        <f>+SUMIF('GE16FEB14 Unfudged'!$A$2:$A$498, 'Tax Bill Summary'!$A35, 'GE16FEB14 Unfudged'!J$2:IG$498)</f>
        <v>911696</v>
      </c>
      <c r="N35" s="56">
        <f t="shared" si="58"/>
        <v>1048859</v>
      </c>
      <c r="O35" s="51">
        <f t="shared" si="59"/>
        <v>3933158</v>
      </c>
      <c r="P35" s="13">
        <f t="shared" si="60"/>
        <v>2342453</v>
      </c>
      <c r="Q35" s="56">
        <f t="shared" si="61"/>
        <v>1590705</v>
      </c>
      <c r="R35" s="13">
        <f t="shared" si="62"/>
        <v>705.11975618501253</v>
      </c>
      <c r="S35" s="13">
        <f t="shared" si="63"/>
        <v>419.94496235209755</v>
      </c>
      <c r="T35" s="16">
        <f t="shared" si="64"/>
        <v>285.17479383291504</v>
      </c>
      <c r="U35" s="15">
        <f>+SUMIF('GE16FEB14 Tax Bill Unfudged'!$A$2:$A$498, 'Tax Bill Summary'!$A35, 'GE16FEB14 Tax Bill Unfudged'!E$2:E$498)</f>
        <v>803232</v>
      </c>
      <c r="V35" s="13">
        <f>+SUMIF('GE16FEB14 Tax Bill Unfudged'!$A$2:$A$498, 'Tax Bill Summary'!$A35, 'GE16FEB14 Tax Bill Unfudged'!F$2:F$498)</f>
        <v>582596</v>
      </c>
      <c r="W35" s="56">
        <f t="shared" si="65"/>
        <v>220636</v>
      </c>
      <c r="X35" s="51">
        <f>+SUMIF('GE16FEB14 Tax Bill Unfudged'!$A$2:$A$498, 'Tax Bill Summary'!$A35, 'GE16FEB14 Tax Bill Unfudged'!G$2:G$498)</f>
        <v>2365072</v>
      </c>
      <c r="Y35" s="13">
        <f>+SUMIF('GE16FEB14 Tax Bill Unfudged'!$A$2:$A$498, 'Tax Bill Summary'!$A35, 'GE16FEB14 Tax Bill Unfudged'!H$2:H$498)</f>
        <v>1715420</v>
      </c>
      <c r="Z35" s="56">
        <f t="shared" si="66"/>
        <v>649652</v>
      </c>
      <c r="AA35" s="51">
        <f>+SUMIF('GE16FEB14 Tax Bill Unfudged'!$A$2:$A$498, 'Tax Bill Summary'!$A35, 'GE16FEB14 Tax Bill Unfudged'!I$2:I$498)</f>
        <v>1673400</v>
      </c>
      <c r="AB35" s="13">
        <f>+SUMIF('GE16FEB14 Tax Bill Unfudged'!$A$2:$A$498, 'Tax Bill Summary'!$A35, 'GE16FEB14 Tax Bill Unfudged'!J$2:J$498)</f>
        <v>703418</v>
      </c>
      <c r="AC35" s="56">
        <f t="shared" si="67"/>
        <v>969982</v>
      </c>
      <c r="AD35" s="51">
        <f t="shared" si="68"/>
        <v>4841704</v>
      </c>
      <c r="AE35" s="13">
        <f t="shared" si="69"/>
        <v>3001434</v>
      </c>
      <c r="AF35" s="56">
        <f t="shared" si="70"/>
        <v>1840270</v>
      </c>
      <c r="AG35" s="13">
        <f t="shared" si="71"/>
        <v>868</v>
      </c>
      <c r="AH35" s="13">
        <f t="shared" si="72"/>
        <v>538.08425959125134</v>
      </c>
      <c r="AI35" s="16">
        <f t="shared" si="73"/>
        <v>329.91574040874866</v>
      </c>
      <c r="AJ35" s="15">
        <f t="shared" si="74"/>
        <v>13165</v>
      </c>
      <c r="AK35" s="13">
        <f t="shared" si="75"/>
        <v>9549</v>
      </c>
      <c r="AL35" s="56">
        <f t="shared" si="76"/>
        <v>3616</v>
      </c>
      <c r="AM35" s="51">
        <f t="shared" si="77"/>
        <v>1182536</v>
      </c>
      <c r="AN35" s="13">
        <f t="shared" si="78"/>
        <v>857710</v>
      </c>
      <c r="AO35" s="56">
        <f t="shared" si="79"/>
        <v>324826</v>
      </c>
      <c r="AP35" s="51">
        <f t="shared" si="80"/>
        <v>-287155</v>
      </c>
      <c r="AQ35" s="13">
        <f t="shared" si="81"/>
        <v>-208278</v>
      </c>
      <c r="AR35" s="56">
        <f t="shared" si="82"/>
        <v>-78877</v>
      </c>
      <c r="AS35" s="51">
        <f t="shared" si="83"/>
        <v>908546</v>
      </c>
      <c r="AT35" s="13">
        <f t="shared" si="84"/>
        <v>658981</v>
      </c>
      <c r="AU35" s="56">
        <f t="shared" si="85"/>
        <v>249565</v>
      </c>
      <c r="AV35" s="13">
        <f t="shared" si="86"/>
        <v>162.88024381498747</v>
      </c>
      <c r="AW35" s="13">
        <f t="shared" si="87"/>
        <v>118.13929723915379</v>
      </c>
      <c r="AX35" s="16">
        <f t="shared" si="88"/>
        <v>44.740946575833618</v>
      </c>
    </row>
    <row r="36" spans="1:50" x14ac:dyDescent="0.25">
      <c r="A36" s="20">
        <v>32</v>
      </c>
      <c r="B36">
        <v>1</v>
      </c>
      <c r="C36" s="23" t="s">
        <v>154</v>
      </c>
      <c r="D36" s="23">
        <v>6</v>
      </c>
      <c r="E36" s="15">
        <f>+SUMIF('GE16FEB14 Unfudged'!$A$2:$A$498, $A36, 'GE16FEB14 Unfudged'!$D$2:$D$498)</f>
        <v>540</v>
      </c>
      <c r="F36" s="15">
        <f>+SUMIF('GE16FEB14 Unfudged'!$A$2:$A$498, 'Tax Bill Summary'!$A36, 'GE16FEB14 Unfudged'!E$2:E$498)</f>
        <v>77768</v>
      </c>
      <c r="G36" s="13">
        <f>+SUMIF('GE16FEB14 Unfudged'!$A$2:$A$498, 'Tax Bill Summary'!$A36, 'GE16FEB14 Unfudged'!F$2:F$498)</f>
        <v>50535</v>
      </c>
      <c r="H36" s="56">
        <f t="shared" si="56"/>
        <v>27233</v>
      </c>
      <c r="I36" s="51">
        <f>+SUMIF('GE16FEB14 Unfudged'!$A$2:$A$498, 'Tax Bill Summary'!$A36, 'GE16FEB14 Unfudged'!G$2:G$498)</f>
        <v>0</v>
      </c>
      <c r="J36" s="13">
        <f>+SUMIF('GE16FEB14 Unfudged'!$A$2:$A$498, 'Tax Bill Summary'!$A36, 'GE16FEB14 Unfudged'!H$2:H$498)</f>
        <v>0</v>
      </c>
      <c r="K36" s="56">
        <f t="shared" si="57"/>
        <v>0</v>
      </c>
      <c r="L36" s="51">
        <f>+SUMIF('GE16FEB14 Unfudged'!$A$2:$A$498, 'Tax Bill Summary'!$A36, 'GE16FEB14 Unfudged'!I$2:IF$498)</f>
        <v>162015</v>
      </c>
      <c r="M36" s="13">
        <f>+SUMIF('GE16FEB14 Unfudged'!$A$2:$A$498, 'Tax Bill Summary'!$A36, 'GE16FEB14 Unfudged'!J$2:IG$498)</f>
        <v>61015</v>
      </c>
      <c r="N36" s="56">
        <f t="shared" si="58"/>
        <v>101000</v>
      </c>
      <c r="O36" s="51">
        <f t="shared" si="59"/>
        <v>239783</v>
      </c>
      <c r="P36" s="13">
        <f t="shared" si="60"/>
        <v>111550</v>
      </c>
      <c r="Q36" s="56">
        <f t="shared" si="61"/>
        <v>128233</v>
      </c>
      <c r="R36" s="13">
        <f t="shared" si="62"/>
        <v>444.0425925925926</v>
      </c>
      <c r="S36" s="13">
        <f t="shared" si="63"/>
        <v>206.57407407407408</v>
      </c>
      <c r="T36" s="16">
        <f t="shared" si="64"/>
        <v>237.46851851851852</v>
      </c>
      <c r="U36" s="15">
        <f>+SUMIF('GE16FEB14 Tax Bill Unfudged'!$A$2:$A$498, 'Tax Bill Summary'!$A36, 'GE16FEB14 Tax Bill Unfudged'!E$2:E$498)</f>
        <v>77768</v>
      </c>
      <c r="V36" s="13">
        <f>+SUMIF('GE16FEB14 Tax Bill Unfudged'!$A$2:$A$498, 'Tax Bill Summary'!$A36, 'GE16FEB14 Tax Bill Unfudged'!F$2:F$498)</f>
        <v>50535</v>
      </c>
      <c r="W36" s="56">
        <f t="shared" si="65"/>
        <v>27233</v>
      </c>
      <c r="X36" s="51">
        <f>+SUMIF('GE16FEB14 Tax Bill Unfudged'!$A$2:$A$498, 'Tax Bill Summary'!$A36, 'GE16FEB14 Tax Bill Unfudged'!G$2:G$498)</f>
        <v>228981</v>
      </c>
      <c r="Y36" s="13">
        <f>+SUMIF('GE16FEB14 Tax Bill Unfudged'!$A$2:$A$498, 'Tax Bill Summary'!$A36, 'GE16FEB14 Tax Bill Unfudged'!H$2:H$498)</f>
        <v>148797</v>
      </c>
      <c r="Z36" s="56">
        <f t="shared" si="66"/>
        <v>80184</v>
      </c>
      <c r="AA36" s="51">
        <f>+SUMIF('GE16FEB14 Tax Bill Unfudged'!$A$2:$A$498, 'Tax Bill Summary'!$A36, 'GE16FEB14 Tax Bill Unfudged'!I$2:I$498)</f>
        <v>162015</v>
      </c>
      <c r="AB36" s="13">
        <f>+SUMIF('GE16FEB14 Tax Bill Unfudged'!$A$2:$A$498, 'Tax Bill Summary'!$A36, 'GE16FEB14 Tax Bill Unfudged'!J$2:J$498)</f>
        <v>61015</v>
      </c>
      <c r="AC36" s="56">
        <f t="shared" si="67"/>
        <v>101000</v>
      </c>
      <c r="AD36" s="51">
        <f t="shared" si="68"/>
        <v>468764</v>
      </c>
      <c r="AE36" s="13">
        <f t="shared" si="69"/>
        <v>260347</v>
      </c>
      <c r="AF36" s="56">
        <f t="shared" si="70"/>
        <v>208417</v>
      </c>
      <c r="AG36" s="13">
        <f t="shared" si="71"/>
        <v>868.08148148148143</v>
      </c>
      <c r="AH36" s="13">
        <f t="shared" si="72"/>
        <v>482.12407407407409</v>
      </c>
      <c r="AI36" s="16">
        <f t="shared" si="73"/>
        <v>385.9574074074074</v>
      </c>
      <c r="AJ36" s="15">
        <f t="shared" si="74"/>
        <v>0</v>
      </c>
      <c r="AK36" s="13">
        <f t="shared" si="75"/>
        <v>0</v>
      </c>
      <c r="AL36" s="56">
        <f t="shared" si="76"/>
        <v>0</v>
      </c>
      <c r="AM36" s="51">
        <f t="shared" si="77"/>
        <v>228981</v>
      </c>
      <c r="AN36" s="13">
        <f t="shared" si="78"/>
        <v>148797</v>
      </c>
      <c r="AO36" s="56">
        <f t="shared" si="79"/>
        <v>80184</v>
      </c>
      <c r="AP36" s="51">
        <f t="shared" si="80"/>
        <v>0</v>
      </c>
      <c r="AQ36" s="13">
        <f t="shared" si="81"/>
        <v>0</v>
      </c>
      <c r="AR36" s="56">
        <f t="shared" si="82"/>
        <v>0</v>
      </c>
      <c r="AS36" s="51">
        <f t="shared" si="83"/>
        <v>228981</v>
      </c>
      <c r="AT36" s="13">
        <f t="shared" si="84"/>
        <v>148797</v>
      </c>
      <c r="AU36" s="56">
        <f t="shared" si="85"/>
        <v>80184</v>
      </c>
      <c r="AV36" s="13">
        <f t="shared" si="86"/>
        <v>424.03888888888883</v>
      </c>
      <c r="AW36" s="13">
        <f t="shared" si="87"/>
        <v>275.55</v>
      </c>
      <c r="AX36" s="16">
        <f t="shared" si="88"/>
        <v>148.48888888888888</v>
      </c>
    </row>
    <row r="37" spans="1:50" x14ac:dyDescent="0.25">
      <c r="A37" s="20">
        <v>36</v>
      </c>
      <c r="B37">
        <v>1</v>
      </c>
      <c r="C37" s="23" t="s">
        <v>155</v>
      </c>
      <c r="D37" s="23">
        <v>6</v>
      </c>
      <c r="E37" s="15">
        <f>+SUMIF('GE16FEB14 Unfudged'!$A$2:$A$498, $A37, 'GE16FEB14 Unfudged'!$D$2:$D$498)</f>
        <v>281</v>
      </c>
      <c r="F37" s="15">
        <f>+SUMIF('GE16FEB14 Unfudged'!$A$2:$A$498, 'Tax Bill Summary'!$A37, 'GE16FEB14 Unfudged'!E$2:E$498)</f>
        <v>40435</v>
      </c>
      <c r="G37" s="13">
        <f>+SUMIF('GE16FEB14 Unfudged'!$A$2:$A$498, 'Tax Bill Summary'!$A37, 'GE16FEB14 Unfudged'!F$2:F$498)</f>
        <v>20427</v>
      </c>
      <c r="H37" s="56">
        <f t="shared" si="56"/>
        <v>20008</v>
      </c>
      <c r="I37" s="51">
        <f>+SUMIF('GE16FEB14 Unfudged'!$A$2:$A$498, 'Tax Bill Summary'!$A37, 'GE16FEB14 Unfudged'!G$2:G$498)</f>
        <v>0</v>
      </c>
      <c r="J37" s="13">
        <f>+SUMIF('GE16FEB14 Unfudged'!$A$2:$A$498, 'Tax Bill Summary'!$A37, 'GE16FEB14 Unfudged'!H$2:H$498)</f>
        <v>0</v>
      </c>
      <c r="K37" s="56">
        <f t="shared" si="57"/>
        <v>0</v>
      </c>
      <c r="L37" s="51">
        <f>+SUMIF('GE16FEB14 Unfudged'!$A$2:$A$498, 'Tax Bill Summary'!$A37, 'GE16FEB14 Unfudged'!I$2:IF$498)</f>
        <v>84240</v>
      </c>
      <c r="M37" s="13">
        <f>+SUMIF('GE16FEB14 Unfudged'!$A$2:$A$498, 'Tax Bill Summary'!$A37, 'GE16FEB14 Unfudged'!J$2:IG$498)</f>
        <v>24663</v>
      </c>
      <c r="N37" s="56">
        <f t="shared" si="58"/>
        <v>59577</v>
      </c>
      <c r="O37" s="51">
        <f t="shared" si="59"/>
        <v>124675</v>
      </c>
      <c r="P37" s="13">
        <f t="shared" si="60"/>
        <v>45090</v>
      </c>
      <c r="Q37" s="56">
        <f t="shared" si="61"/>
        <v>79585</v>
      </c>
      <c r="R37" s="13">
        <f t="shared" si="62"/>
        <v>443.6832740213523</v>
      </c>
      <c r="S37" s="13">
        <f t="shared" si="63"/>
        <v>160.46263345195729</v>
      </c>
      <c r="T37" s="16">
        <f t="shared" si="64"/>
        <v>283.22064056939502</v>
      </c>
      <c r="U37" s="15">
        <f>+SUMIF('GE16FEB14 Tax Bill Unfudged'!$A$2:$A$498, 'Tax Bill Summary'!$A37, 'GE16FEB14 Tax Bill Unfudged'!E$2:E$498)</f>
        <v>40435</v>
      </c>
      <c r="V37" s="13">
        <f>+SUMIF('GE16FEB14 Tax Bill Unfudged'!$A$2:$A$498, 'Tax Bill Summary'!$A37, 'GE16FEB14 Tax Bill Unfudged'!F$2:F$498)</f>
        <v>20427</v>
      </c>
      <c r="W37" s="56">
        <f t="shared" si="65"/>
        <v>20008</v>
      </c>
      <c r="X37" s="51">
        <f>+SUMIF('GE16FEB14 Tax Bill Unfudged'!$A$2:$A$498, 'Tax Bill Summary'!$A37, 'GE16FEB14 Tax Bill Unfudged'!G$2:G$498)</f>
        <v>119059</v>
      </c>
      <c r="Y37" s="13">
        <f>+SUMIF('GE16FEB14 Tax Bill Unfudged'!$A$2:$A$498, 'Tax Bill Summary'!$A37, 'GE16FEB14 Tax Bill Unfudged'!H$2:H$498)</f>
        <v>60145</v>
      </c>
      <c r="Z37" s="56">
        <f t="shared" si="66"/>
        <v>58914</v>
      </c>
      <c r="AA37" s="51">
        <f>+SUMIF('GE16FEB14 Tax Bill Unfudged'!$A$2:$A$498, 'Tax Bill Summary'!$A37, 'GE16FEB14 Tax Bill Unfudged'!I$2:I$498)</f>
        <v>84240</v>
      </c>
      <c r="AB37" s="13">
        <f>+SUMIF('GE16FEB14 Tax Bill Unfudged'!$A$2:$A$498, 'Tax Bill Summary'!$A37, 'GE16FEB14 Tax Bill Unfudged'!J$2:J$498)</f>
        <v>24663</v>
      </c>
      <c r="AC37" s="56">
        <f t="shared" si="67"/>
        <v>59577</v>
      </c>
      <c r="AD37" s="51">
        <f t="shared" si="68"/>
        <v>243734</v>
      </c>
      <c r="AE37" s="13">
        <f t="shared" si="69"/>
        <v>105235</v>
      </c>
      <c r="AF37" s="56">
        <f t="shared" si="70"/>
        <v>138499</v>
      </c>
      <c r="AG37" s="13">
        <f t="shared" si="71"/>
        <v>867.38078291814952</v>
      </c>
      <c r="AH37" s="13">
        <f t="shared" si="72"/>
        <v>374.5017793594306</v>
      </c>
      <c r="AI37" s="16">
        <f t="shared" si="73"/>
        <v>492.87900355871886</v>
      </c>
      <c r="AJ37" s="15">
        <f t="shared" si="74"/>
        <v>0</v>
      </c>
      <c r="AK37" s="13">
        <f t="shared" si="75"/>
        <v>0</v>
      </c>
      <c r="AL37" s="56">
        <f t="shared" si="76"/>
        <v>0</v>
      </c>
      <c r="AM37" s="51">
        <f t="shared" si="77"/>
        <v>119059</v>
      </c>
      <c r="AN37" s="13">
        <f t="shared" si="78"/>
        <v>60145</v>
      </c>
      <c r="AO37" s="56">
        <f t="shared" si="79"/>
        <v>58914</v>
      </c>
      <c r="AP37" s="51">
        <f t="shared" si="80"/>
        <v>0</v>
      </c>
      <c r="AQ37" s="13">
        <f t="shared" si="81"/>
        <v>0</v>
      </c>
      <c r="AR37" s="56">
        <f t="shared" si="82"/>
        <v>0</v>
      </c>
      <c r="AS37" s="51">
        <f t="shared" si="83"/>
        <v>119059</v>
      </c>
      <c r="AT37" s="13">
        <f t="shared" si="84"/>
        <v>60145</v>
      </c>
      <c r="AU37" s="56">
        <f t="shared" si="85"/>
        <v>58914</v>
      </c>
      <c r="AV37" s="13">
        <f t="shared" si="86"/>
        <v>423.69750889679722</v>
      </c>
      <c r="AW37" s="13">
        <f t="shared" si="87"/>
        <v>214.03914590747331</v>
      </c>
      <c r="AX37" s="16">
        <f t="shared" si="88"/>
        <v>209.65836298932385</v>
      </c>
    </row>
    <row r="38" spans="1:50" x14ac:dyDescent="0.25">
      <c r="A38" s="20">
        <v>38</v>
      </c>
      <c r="B38">
        <v>1</v>
      </c>
      <c r="C38" s="23" t="s">
        <v>156</v>
      </c>
      <c r="D38" s="23">
        <v>5</v>
      </c>
      <c r="E38" s="15">
        <f>+SUMIF('GE16FEB14 Unfudged'!$A$2:$A$498, $A38, 'GE16FEB14 Unfudged'!$D$2:$D$498)</f>
        <v>1572</v>
      </c>
      <c r="F38" s="15">
        <f>+SUMIF('GE16FEB14 Unfudged'!$A$2:$A$498, 'Tax Bill Summary'!$A38, 'GE16FEB14 Unfudged'!E$2:E$498)</f>
        <v>140199</v>
      </c>
      <c r="G38" s="13">
        <f>+SUMIF('GE16FEB14 Unfudged'!$A$2:$A$498, 'Tax Bill Summary'!$A38, 'GE16FEB14 Unfudged'!F$2:F$498)</f>
        <v>87</v>
      </c>
      <c r="H38" s="56">
        <f t="shared" si="56"/>
        <v>140112</v>
      </c>
      <c r="I38" s="51">
        <f>+SUMIF('GE16FEB14 Unfudged'!$A$2:$A$498, 'Tax Bill Summary'!$A38, 'GE16FEB14 Unfudged'!G$2:G$498)</f>
        <v>0</v>
      </c>
      <c r="J38" s="13">
        <f>+SUMIF('GE16FEB14 Unfudged'!$A$2:$A$498, 'Tax Bill Summary'!$A38, 'GE16FEB14 Unfudged'!H$2:H$498)</f>
        <v>0</v>
      </c>
      <c r="K38" s="56">
        <f t="shared" si="57"/>
        <v>0</v>
      </c>
      <c r="L38" s="51">
        <f>+SUMIF('GE16FEB14 Unfudged'!$A$2:$A$498, 'Tax Bill Summary'!$A38, 'GE16FEB14 Unfudged'!I$2:IF$498)</f>
        <v>2352515</v>
      </c>
      <c r="M38" s="13">
        <f>+SUMIF('GE16FEB14 Unfudged'!$A$2:$A$498, 'Tax Bill Summary'!$A38, 'GE16FEB14 Unfudged'!J$2:IG$498)</f>
        <v>71978</v>
      </c>
      <c r="N38" s="56">
        <f t="shared" si="58"/>
        <v>2280537</v>
      </c>
      <c r="O38" s="51">
        <f t="shared" si="59"/>
        <v>2492714</v>
      </c>
      <c r="P38" s="13">
        <f t="shared" si="60"/>
        <v>72065</v>
      </c>
      <c r="Q38" s="56">
        <f t="shared" si="61"/>
        <v>2420649</v>
      </c>
      <c r="R38" s="13">
        <f t="shared" si="62"/>
        <v>1585.6959287531806</v>
      </c>
      <c r="S38" s="13">
        <f t="shared" si="63"/>
        <v>45.842875318066156</v>
      </c>
      <c r="T38" s="16">
        <f t="shared" si="64"/>
        <v>1539.8530534351146</v>
      </c>
      <c r="U38" s="15">
        <f>+SUMIF('GE16FEB14 Tax Bill Unfudged'!$A$2:$A$498, 'Tax Bill Summary'!$A38, 'GE16FEB14 Tax Bill Unfudged'!E$2:E$498)</f>
        <v>152898</v>
      </c>
      <c r="V38" s="13">
        <f>+SUMIF('GE16FEB14 Tax Bill Unfudged'!$A$2:$A$498, 'Tax Bill Summary'!$A38, 'GE16FEB14 Tax Bill Unfudged'!F$2:F$498)</f>
        <v>95</v>
      </c>
      <c r="W38" s="56">
        <f t="shared" si="65"/>
        <v>152803</v>
      </c>
      <c r="X38" s="51">
        <f>+SUMIF('GE16FEB14 Tax Bill Unfudged'!$A$2:$A$498, 'Tax Bill Summary'!$A38, 'GE16FEB14 Tax Bill Unfudged'!G$2:G$498)</f>
        <v>666698</v>
      </c>
      <c r="Y38" s="13">
        <f>+SUMIF('GE16FEB14 Tax Bill Unfudged'!$A$2:$A$498, 'Tax Bill Summary'!$A38, 'GE16FEB14 Tax Bill Unfudged'!H$2:H$498)</f>
        <v>413</v>
      </c>
      <c r="Z38" s="56">
        <f t="shared" si="66"/>
        <v>666285</v>
      </c>
      <c r="AA38" s="51">
        <f>+SUMIF('GE16FEB14 Tax Bill Unfudged'!$A$2:$A$498, 'Tax Bill Summary'!$A38, 'GE16FEB14 Tax Bill Unfudged'!I$2:I$498)</f>
        <v>1685817</v>
      </c>
      <c r="AB38" s="13">
        <f>+SUMIF('GE16FEB14 Tax Bill Unfudged'!$A$2:$A$498, 'Tax Bill Summary'!$A38, 'GE16FEB14 Tax Bill Unfudged'!J$2:J$498)</f>
        <v>1152</v>
      </c>
      <c r="AC38" s="56">
        <f t="shared" si="67"/>
        <v>1684665</v>
      </c>
      <c r="AD38" s="51">
        <f t="shared" si="68"/>
        <v>2505413</v>
      </c>
      <c r="AE38" s="13">
        <f t="shared" si="69"/>
        <v>1660</v>
      </c>
      <c r="AF38" s="56">
        <f t="shared" si="70"/>
        <v>2503753</v>
      </c>
      <c r="AG38" s="13">
        <f t="shared" si="71"/>
        <v>1593.7741730279897</v>
      </c>
      <c r="AH38" s="13">
        <f t="shared" si="72"/>
        <v>1.0559796437659033</v>
      </c>
      <c r="AI38" s="16">
        <f t="shared" si="73"/>
        <v>1592.7181933842239</v>
      </c>
      <c r="AJ38" s="15">
        <f t="shared" si="74"/>
        <v>12699</v>
      </c>
      <c r="AK38" s="13">
        <f t="shared" si="75"/>
        <v>8</v>
      </c>
      <c r="AL38" s="56">
        <f t="shared" si="76"/>
        <v>12691</v>
      </c>
      <c r="AM38" s="51">
        <f t="shared" si="77"/>
        <v>666698</v>
      </c>
      <c r="AN38" s="13">
        <f t="shared" si="78"/>
        <v>413</v>
      </c>
      <c r="AO38" s="56">
        <f t="shared" si="79"/>
        <v>666285</v>
      </c>
      <c r="AP38" s="51">
        <f t="shared" si="80"/>
        <v>-666698</v>
      </c>
      <c r="AQ38" s="13">
        <f t="shared" si="81"/>
        <v>-70826</v>
      </c>
      <c r="AR38" s="56">
        <f t="shared" si="82"/>
        <v>-595872</v>
      </c>
      <c r="AS38" s="51">
        <f t="shared" si="83"/>
        <v>12699</v>
      </c>
      <c r="AT38" s="13">
        <f t="shared" si="84"/>
        <v>-70405</v>
      </c>
      <c r="AU38" s="56">
        <f t="shared" si="85"/>
        <v>83104</v>
      </c>
      <c r="AV38" s="13">
        <f t="shared" si="86"/>
        <v>8.0782442748090943</v>
      </c>
      <c r="AW38" s="13">
        <f t="shared" si="87"/>
        <v>-44.786895674300254</v>
      </c>
      <c r="AX38" s="16">
        <f t="shared" si="88"/>
        <v>52.865139949109334</v>
      </c>
    </row>
    <row r="39" spans="1:50" x14ac:dyDescent="0.25">
      <c r="A39" s="20">
        <v>47</v>
      </c>
      <c r="B39">
        <v>1</v>
      </c>
      <c r="C39" s="23" t="s">
        <v>157</v>
      </c>
      <c r="D39" s="23">
        <v>4</v>
      </c>
      <c r="E39" s="15">
        <f>+SUMIF('GE16FEB14 Unfudged'!$A$2:$A$498, $A39, 'GE16FEB14 Unfudged'!$D$2:$D$498)</f>
        <v>4346</v>
      </c>
      <c r="F39" s="15">
        <f>+SUMIF('GE16FEB14 Unfudged'!$A$2:$A$498, 'Tax Bill Summary'!$A39, 'GE16FEB14 Unfudged'!E$2:E$498)</f>
        <v>625882</v>
      </c>
      <c r="G39" s="13">
        <f>+SUMIF('GE16FEB14 Unfudged'!$A$2:$A$498, 'Tax Bill Summary'!$A39, 'GE16FEB14 Unfudged'!F$2:F$498)</f>
        <v>404296</v>
      </c>
      <c r="H39" s="56">
        <f t="shared" si="56"/>
        <v>221586</v>
      </c>
      <c r="I39" s="51">
        <f>+SUMIF('GE16FEB14 Unfudged'!$A$2:$A$498, 'Tax Bill Summary'!$A39, 'GE16FEB14 Unfudged'!G$2:G$498)</f>
        <v>921437</v>
      </c>
      <c r="J39" s="13">
        <f>+SUMIF('GE16FEB14 Unfudged'!$A$2:$A$498, 'Tax Bill Summary'!$A39, 'GE16FEB14 Unfudged'!H$2:H$498)</f>
        <v>595213</v>
      </c>
      <c r="K39" s="56">
        <f t="shared" si="57"/>
        <v>326224</v>
      </c>
      <c r="L39" s="51">
        <f>+SUMIF('GE16FEB14 Unfudged'!$A$2:$A$498, 'Tax Bill Summary'!$A39, 'GE16FEB14 Unfudged'!I$2:IF$498)</f>
        <v>1303920</v>
      </c>
      <c r="M39" s="13">
        <f>+SUMIF('GE16FEB14 Unfudged'!$A$2:$A$498, 'Tax Bill Summary'!$A39, 'GE16FEB14 Unfudged'!J$2:IG$498)</f>
        <v>488141</v>
      </c>
      <c r="N39" s="56">
        <f t="shared" si="58"/>
        <v>815779</v>
      </c>
      <c r="O39" s="51">
        <f t="shared" si="59"/>
        <v>2851239</v>
      </c>
      <c r="P39" s="13">
        <f t="shared" si="60"/>
        <v>1487650</v>
      </c>
      <c r="Q39" s="56">
        <f t="shared" si="61"/>
        <v>1363589</v>
      </c>
      <c r="R39" s="13">
        <f t="shared" si="62"/>
        <v>656.06051541647491</v>
      </c>
      <c r="S39" s="13">
        <f t="shared" si="63"/>
        <v>342.30326737229638</v>
      </c>
      <c r="T39" s="16">
        <f t="shared" si="64"/>
        <v>313.75724804417854</v>
      </c>
      <c r="U39" s="15">
        <f>+SUMIF('GE16FEB14 Tax Bill Unfudged'!$A$2:$A$498, 'Tax Bill Summary'!$A39, 'GE16FEB14 Tax Bill Unfudged'!E$2:E$498)</f>
        <v>625882</v>
      </c>
      <c r="V39" s="13">
        <f>+SUMIF('GE16FEB14 Tax Bill Unfudged'!$A$2:$A$498, 'Tax Bill Summary'!$A39, 'GE16FEB14 Tax Bill Unfudged'!F$2:F$498)</f>
        <v>404296</v>
      </c>
      <c r="W39" s="56">
        <f t="shared" si="65"/>
        <v>221586</v>
      </c>
      <c r="X39" s="51">
        <f>+SUMIF('GE16FEB14 Tax Bill Unfudged'!$A$2:$A$498, 'Tax Bill Summary'!$A39, 'GE16FEB14 Tax Bill Unfudged'!G$2:G$498)</f>
        <v>1842874</v>
      </c>
      <c r="Y39" s="13">
        <f>+SUMIF('GE16FEB14 Tax Bill Unfudged'!$A$2:$A$498, 'Tax Bill Summary'!$A39, 'GE16FEB14 Tax Bill Unfudged'!H$2:H$498)</f>
        <v>1190425</v>
      </c>
      <c r="Z39" s="56">
        <f t="shared" si="66"/>
        <v>652449</v>
      </c>
      <c r="AA39" s="51">
        <f>+SUMIF('GE16FEB14 Tax Bill Unfudged'!$A$2:$A$498, 'Tax Bill Summary'!$A39, 'GE16FEB14 Tax Bill Unfudged'!I$2:I$498)</f>
        <v>1303920</v>
      </c>
      <c r="AB39" s="13">
        <f>+SUMIF('GE16FEB14 Tax Bill Unfudged'!$A$2:$A$498, 'Tax Bill Summary'!$A39, 'GE16FEB14 Tax Bill Unfudged'!J$2:J$498)</f>
        <v>488141</v>
      </c>
      <c r="AC39" s="56">
        <f t="shared" si="67"/>
        <v>815779</v>
      </c>
      <c r="AD39" s="51">
        <f t="shared" si="68"/>
        <v>3772676</v>
      </c>
      <c r="AE39" s="13">
        <f t="shared" si="69"/>
        <v>2082862</v>
      </c>
      <c r="AF39" s="56">
        <f t="shared" si="70"/>
        <v>1689814</v>
      </c>
      <c r="AG39" s="13">
        <f t="shared" si="71"/>
        <v>868.08007363092497</v>
      </c>
      <c r="AH39" s="13">
        <f t="shared" si="72"/>
        <v>479.25954901058446</v>
      </c>
      <c r="AI39" s="16">
        <f t="shared" si="73"/>
        <v>388.82052462034056</v>
      </c>
      <c r="AJ39" s="15">
        <f t="shared" si="74"/>
        <v>0</v>
      </c>
      <c r="AK39" s="13">
        <f t="shared" si="75"/>
        <v>0</v>
      </c>
      <c r="AL39" s="56">
        <f t="shared" si="76"/>
        <v>0</v>
      </c>
      <c r="AM39" s="51">
        <f t="shared" si="77"/>
        <v>921437</v>
      </c>
      <c r="AN39" s="13">
        <f t="shared" si="78"/>
        <v>595212</v>
      </c>
      <c r="AO39" s="56">
        <f t="shared" si="79"/>
        <v>326225</v>
      </c>
      <c r="AP39" s="51">
        <f t="shared" si="80"/>
        <v>0</v>
      </c>
      <c r="AQ39" s="13">
        <f t="shared" si="81"/>
        <v>0</v>
      </c>
      <c r="AR39" s="56">
        <f t="shared" si="82"/>
        <v>0</v>
      </c>
      <c r="AS39" s="51">
        <f t="shared" si="83"/>
        <v>921437</v>
      </c>
      <c r="AT39" s="13">
        <f t="shared" si="84"/>
        <v>595212</v>
      </c>
      <c r="AU39" s="56">
        <f t="shared" si="85"/>
        <v>326225</v>
      </c>
      <c r="AV39" s="13">
        <f t="shared" si="86"/>
        <v>212.01955821445006</v>
      </c>
      <c r="AW39" s="13">
        <f t="shared" si="87"/>
        <v>136.95628163828809</v>
      </c>
      <c r="AX39" s="16">
        <f t="shared" si="88"/>
        <v>75.063276576162025</v>
      </c>
    </row>
    <row r="40" spans="1:50" x14ac:dyDescent="0.25">
      <c r="A40" s="20">
        <v>51</v>
      </c>
      <c r="B40">
        <v>1</v>
      </c>
      <c r="C40" s="23" t="s">
        <v>158</v>
      </c>
      <c r="D40" s="23">
        <v>5</v>
      </c>
      <c r="E40" s="15">
        <f>+SUMIF('GE16FEB14 Unfudged'!$A$2:$A$498, $A40, 'GE16FEB14 Unfudged'!$D$2:$D$498)</f>
        <v>1945</v>
      </c>
      <c r="F40" s="15">
        <f>+SUMIF('GE16FEB14 Unfudged'!$A$2:$A$498, 'Tax Bill Summary'!$A40, 'GE16FEB14 Unfudged'!E$2:E$498)</f>
        <v>280030</v>
      </c>
      <c r="G40" s="13">
        <f>+SUMIF('GE16FEB14 Unfudged'!$A$2:$A$498, 'Tax Bill Summary'!$A40, 'GE16FEB14 Unfudged'!F$2:F$498)</f>
        <v>138866</v>
      </c>
      <c r="H40" s="56">
        <f t="shared" si="56"/>
        <v>141164</v>
      </c>
      <c r="I40" s="51">
        <f>+SUMIF('GE16FEB14 Unfudged'!$A$2:$A$498, 'Tax Bill Summary'!$A40, 'GE16FEB14 Unfudged'!G$2:G$498)</f>
        <v>0</v>
      </c>
      <c r="J40" s="13">
        <f>+SUMIF('GE16FEB14 Unfudged'!$A$2:$A$498, 'Tax Bill Summary'!$A40, 'GE16FEB14 Unfudged'!H$2:H$498)</f>
        <v>0</v>
      </c>
      <c r="K40" s="56">
        <f t="shared" si="57"/>
        <v>0</v>
      </c>
      <c r="L40" s="51">
        <f>+SUMIF('GE16FEB14 Unfudged'!$A$2:$A$498, 'Tax Bill Summary'!$A40, 'GE16FEB14 Unfudged'!I$2:IF$498)</f>
        <v>583395</v>
      </c>
      <c r="M40" s="13">
        <f>+SUMIF('GE16FEB14 Unfudged'!$A$2:$A$498, 'Tax Bill Summary'!$A40, 'GE16FEB14 Unfudged'!J$2:IG$498)</f>
        <v>167664</v>
      </c>
      <c r="N40" s="56">
        <f t="shared" si="58"/>
        <v>415731</v>
      </c>
      <c r="O40" s="51">
        <f t="shared" si="59"/>
        <v>863425</v>
      </c>
      <c r="P40" s="13">
        <f t="shared" si="60"/>
        <v>306530</v>
      </c>
      <c r="Q40" s="56">
        <f t="shared" si="61"/>
        <v>556895</v>
      </c>
      <c r="R40" s="13">
        <f t="shared" si="62"/>
        <v>443.92030848329051</v>
      </c>
      <c r="S40" s="13">
        <f t="shared" si="63"/>
        <v>157.59897172236504</v>
      </c>
      <c r="T40" s="16">
        <f t="shared" si="64"/>
        <v>286.32133676092548</v>
      </c>
      <c r="U40" s="15">
        <f>+SUMIF('GE16FEB14 Tax Bill Unfudged'!$A$2:$A$498, 'Tax Bill Summary'!$A40, 'GE16FEB14 Tax Bill Unfudged'!E$2:E$498)</f>
        <v>280030</v>
      </c>
      <c r="V40" s="13">
        <f>+SUMIF('GE16FEB14 Tax Bill Unfudged'!$A$2:$A$498, 'Tax Bill Summary'!$A40, 'GE16FEB14 Tax Bill Unfudged'!F$2:F$498)</f>
        <v>138866</v>
      </c>
      <c r="W40" s="56">
        <f t="shared" si="65"/>
        <v>141164</v>
      </c>
      <c r="X40" s="51">
        <f>+SUMIF('GE16FEB14 Tax Bill Unfudged'!$A$2:$A$498, 'Tax Bill Summary'!$A40, 'GE16FEB14 Tax Bill Unfudged'!G$2:G$498)</f>
        <v>824532</v>
      </c>
      <c r="Y40" s="13">
        <f>+SUMIF('GE16FEB14 Tax Bill Unfudged'!$A$2:$A$498, 'Tax Bill Summary'!$A40, 'GE16FEB14 Tax Bill Unfudged'!H$2:H$498)</f>
        <v>408882</v>
      </c>
      <c r="Z40" s="56">
        <f t="shared" si="66"/>
        <v>415650</v>
      </c>
      <c r="AA40" s="51">
        <f>+SUMIF('GE16FEB14 Tax Bill Unfudged'!$A$2:$A$498, 'Tax Bill Summary'!$A40, 'GE16FEB14 Tax Bill Unfudged'!I$2:I$498)</f>
        <v>583395</v>
      </c>
      <c r="AB40" s="13">
        <f>+SUMIF('GE16FEB14 Tax Bill Unfudged'!$A$2:$A$498, 'Tax Bill Summary'!$A40, 'GE16FEB14 Tax Bill Unfudged'!J$2:J$498)</f>
        <v>167664</v>
      </c>
      <c r="AC40" s="56">
        <f t="shared" si="67"/>
        <v>415731</v>
      </c>
      <c r="AD40" s="51">
        <f t="shared" si="68"/>
        <v>1687957</v>
      </c>
      <c r="AE40" s="13">
        <f t="shared" si="69"/>
        <v>715412</v>
      </c>
      <c r="AF40" s="56">
        <f t="shared" si="70"/>
        <v>972545</v>
      </c>
      <c r="AG40" s="13">
        <f t="shared" si="71"/>
        <v>867.84421593830336</v>
      </c>
      <c r="AH40" s="13">
        <f t="shared" si="72"/>
        <v>367.82107969151673</v>
      </c>
      <c r="AI40" s="16">
        <f t="shared" si="73"/>
        <v>500.02313624678663</v>
      </c>
      <c r="AJ40" s="15">
        <f t="shared" si="74"/>
        <v>0</v>
      </c>
      <c r="AK40" s="13">
        <f t="shared" si="75"/>
        <v>0</v>
      </c>
      <c r="AL40" s="56">
        <f t="shared" si="76"/>
        <v>0</v>
      </c>
      <c r="AM40" s="51">
        <f t="shared" si="77"/>
        <v>824532</v>
      </c>
      <c r="AN40" s="13">
        <f t="shared" si="78"/>
        <v>408882</v>
      </c>
      <c r="AO40" s="56">
        <f t="shared" si="79"/>
        <v>415650</v>
      </c>
      <c r="AP40" s="51">
        <f t="shared" si="80"/>
        <v>0</v>
      </c>
      <c r="AQ40" s="13">
        <f t="shared" si="81"/>
        <v>0</v>
      </c>
      <c r="AR40" s="56">
        <f t="shared" si="82"/>
        <v>0</v>
      </c>
      <c r="AS40" s="51">
        <f t="shared" si="83"/>
        <v>824532</v>
      </c>
      <c r="AT40" s="13">
        <f t="shared" si="84"/>
        <v>408882</v>
      </c>
      <c r="AU40" s="56">
        <f t="shared" si="85"/>
        <v>415650</v>
      </c>
      <c r="AV40" s="13">
        <f t="shared" si="86"/>
        <v>423.92390745501285</v>
      </c>
      <c r="AW40" s="13">
        <f t="shared" si="87"/>
        <v>210.22210796915169</v>
      </c>
      <c r="AX40" s="16">
        <f t="shared" si="88"/>
        <v>213.70179948586116</v>
      </c>
    </row>
    <row r="41" spans="1:50" x14ac:dyDescent="0.25">
      <c r="A41" s="20">
        <v>75</v>
      </c>
      <c r="B41">
        <v>1</v>
      </c>
      <c r="C41" s="23" t="s">
        <v>159</v>
      </c>
      <c r="D41" s="23">
        <v>6</v>
      </c>
      <c r="E41" s="15">
        <f>+SUMIF('GE16FEB14 Unfudged'!$A$2:$A$498, $A41, 'GE16FEB14 Unfudged'!$D$2:$D$498)</f>
        <v>696</v>
      </c>
      <c r="F41" s="15">
        <f>+SUMIF('GE16FEB14 Unfudged'!$A$2:$A$498, 'Tax Bill Summary'!$A41, 'GE16FEB14 Unfudged'!E$2:E$498)</f>
        <v>90433</v>
      </c>
      <c r="G41" s="13">
        <f>+SUMIF('GE16FEB14 Unfudged'!$A$2:$A$498, 'Tax Bill Summary'!$A41, 'GE16FEB14 Unfudged'!F$2:F$498)</f>
        <v>73680</v>
      </c>
      <c r="H41" s="56">
        <f t="shared" si="56"/>
        <v>16753</v>
      </c>
      <c r="I41" s="51">
        <f>+SUMIF('GE16FEB14 Unfudged'!$A$2:$A$498, 'Tax Bill Summary'!$A41, 'GE16FEB14 Unfudged'!G$2:G$498)</f>
        <v>0</v>
      </c>
      <c r="J41" s="13">
        <f>+SUMIF('GE16FEB14 Unfudged'!$A$2:$A$498, 'Tax Bill Summary'!$A41, 'GE16FEB14 Unfudged'!H$2:H$498)</f>
        <v>0</v>
      </c>
      <c r="K41" s="56">
        <f t="shared" si="57"/>
        <v>0</v>
      </c>
      <c r="L41" s="51">
        <f>+SUMIF('GE16FEB14 Unfudged'!$A$2:$A$498, 'Tax Bill Summary'!$A41, 'GE16FEB14 Unfudged'!I$2:IF$498)</f>
        <v>423732</v>
      </c>
      <c r="M41" s="13">
        <f>+SUMIF('GE16FEB14 Unfudged'!$A$2:$A$498, 'Tax Bill Summary'!$A41, 'GE16FEB14 Unfudged'!J$2:IG$498)</f>
        <v>273665</v>
      </c>
      <c r="N41" s="56">
        <f t="shared" si="58"/>
        <v>150067</v>
      </c>
      <c r="O41" s="51">
        <f t="shared" si="59"/>
        <v>514165</v>
      </c>
      <c r="P41" s="13">
        <f t="shared" si="60"/>
        <v>347345</v>
      </c>
      <c r="Q41" s="56">
        <f t="shared" si="61"/>
        <v>166820</v>
      </c>
      <c r="R41" s="13">
        <f t="shared" si="62"/>
        <v>738.74281609195407</v>
      </c>
      <c r="S41" s="13">
        <f t="shared" si="63"/>
        <v>499.05890804597703</v>
      </c>
      <c r="T41" s="16">
        <f t="shared" si="64"/>
        <v>239.68390804597701</v>
      </c>
      <c r="U41" s="15">
        <f>+SUMIF('GE16FEB14 Tax Bill Unfudged'!$A$2:$A$498, 'Tax Bill Summary'!$A41, 'GE16FEB14 Tax Bill Unfudged'!E$2:E$498)</f>
        <v>100282</v>
      </c>
      <c r="V41" s="13">
        <f>+SUMIF('GE16FEB14 Tax Bill Unfudged'!$A$2:$A$498, 'Tax Bill Summary'!$A41, 'GE16FEB14 Tax Bill Unfudged'!F$2:F$498)</f>
        <v>81704</v>
      </c>
      <c r="W41" s="56">
        <f t="shared" si="65"/>
        <v>18578</v>
      </c>
      <c r="X41" s="51">
        <f>+SUMIF('GE16FEB14 Tax Bill Unfudged'!$A$2:$A$498, 'Tax Bill Summary'!$A41, 'GE16FEB14 Tax Bill Unfudged'!G$2:G$498)</f>
        <v>295274</v>
      </c>
      <c r="Y41" s="13">
        <f>+SUMIF('GE16FEB14 Tax Bill Unfudged'!$A$2:$A$498, 'Tax Bill Summary'!$A41, 'GE16FEB14 Tax Bill Unfudged'!H$2:H$498)</f>
        <v>240573</v>
      </c>
      <c r="Z41" s="56">
        <f t="shared" si="66"/>
        <v>54701</v>
      </c>
      <c r="AA41" s="51">
        <f>+SUMIF('GE16FEB14 Tax Bill Unfudged'!$A$2:$A$498, 'Tax Bill Summary'!$A41, 'GE16FEB14 Tax Bill Unfudged'!I$2:I$498)</f>
        <v>208920</v>
      </c>
      <c r="AB41" s="13">
        <f>+SUMIF('GE16FEB14 Tax Bill Unfudged'!$A$2:$A$498, 'Tax Bill Summary'!$A41, 'GE16FEB14 Tax Bill Unfudged'!J$2:J$498)</f>
        <v>98648</v>
      </c>
      <c r="AC41" s="56">
        <f t="shared" si="67"/>
        <v>110272</v>
      </c>
      <c r="AD41" s="51">
        <f t="shared" si="68"/>
        <v>604476</v>
      </c>
      <c r="AE41" s="13">
        <f t="shared" si="69"/>
        <v>420925</v>
      </c>
      <c r="AF41" s="56">
        <f t="shared" si="70"/>
        <v>183551</v>
      </c>
      <c r="AG41" s="13">
        <f t="shared" si="71"/>
        <v>868.5</v>
      </c>
      <c r="AH41" s="13">
        <f t="shared" si="72"/>
        <v>604.77729885057477</v>
      </c>
      <c r="AI41" s="16">
        <f t="shared" si="73"/>
        <v>263.72270114942529</v>
      </c>
      <c r="AJ41" s="15">
        <f t="shared" si="74"/>
        <v>9849</v>
      </c>
      <c r="AK41" s="13">
        <f t="shared" si="75"/>
        <v>8024</v>
      </c>
      <c r="AL41" s="56">
        <f t="shared" si="76"/>
        <v>1825</v>
      </c>
      <c r="AM41" s="51">
        <f t="shared" si="77"/>
        <v>295274</v>
      </c>
      <c r="AN41" s="13">
        <f t="shared" si="78"/>
        <v>240573</v>
      </c>
      <c r="AO41" s="56">
        <f t="shared" si="79"/>
        <v>54701</v>
      </c>
      <c r="AP41" s="51">
        <f t="shared" si="80"/>
        <v>-214812</v>
      </c>
      <c r="AQ41" s="13">
        <f t="shared" si="81"/>
        <v>-175017</v>
      </c>
      <c r="AR41" s="56">
        <f t="shared" si="82"/>
        <v>-39795</v>
      </c>
      <c r="AS41" s="51">
        <f t="shared" si="83"/>
        <v>90311</v>
      </c>
      <c r="AT41" s="13">
        <f t="shared" si="84"/>
        <v>73580</v>
      </c>
      <c r="AU41" s="56">
        <f t="shared" si="85"/>
        <v>16731</v>
      </c>
      <c r="AV41" s="13">
        <f t="shared" si="86"/>
        <v>129.75718390804593</v>
      </c>
      <c r="AW41" s="13">
        <f t="shared" si="87"/>
        <v>105.71839080459773</v>
      </c>
      <c r="AX41" s="16">
        <f t="shared" si="88"/>
        <v>24.038793103448285</v>
      </c>
    </row>
    <row r="42" spans="1:50" x14ac:dyDescent="0.25">
      <c r="A42" s="20">
        <v>77</v>
      </c>
      <c r="B42">
        <v>1</v>
      </c>
      <c r="C42" s="23" t="s">
        <v>160</v>
      </c>
      <c r="D42" s="23">
        <v>4</v>
      </c>
      <c r="E42" s="15">
        <f>+SUMIF('GE16FEB14 Unfudged'!$A$2:$A$498, $A42, 'GE16FEB14 Unfudged'!$D$2:$D$498)</f>
        <v>8602</v>
      </c>
      <c r="F42" s="15">
        <f>+SUMIF('GE16FEB14 Unfudged'!$A$2:$A$498, 'Tax Bill Summary'!$A42, 'GE16FEB14 Unfudged'!E$2:E$498)</f>
        <v>1143257</v>
      </c>
      <c r="G42" s="13">
        <f>+SUMIF('GE16FEB14 Unfudged'!$A$2:$A$498, 'Tax Bill Summary'!$A42, 'GE16FEB14 Unfudged'!F$2:F$498)</f>
        <v>1143257</v>
      </c>
      <c r="H42" s="56">
        <f t="shared" si="56"/>
        <v>0</v>
      </c>
      <c r="I42" s="51">
        <f>+SUMIF('GE16FEB14 Unfudged'!$A$2:$A$498, 'Tax Bill Summary'!$A42, 'GE16FEB14 Unfudged'!G$2:G$498)</f>
        <v>1823539</v>
      </c>
      <c r="J42" s="13">
        <f>+SUMIF('GE16FEB14 Unfudged'!$A$2:$A$498, 'Tax Bill Summary'!$A42, 'GE16FEB14 Unfudged'!H$2:H$498)</f>
        <v>1823539</v>
      </c>
      <c r="K42" s="56">
        <f t="shared" si="57"/>
        <v>0</v>
      </c>
      <c r="L42" s="51">
        <f>+SUMIF('GE16FEB14 Unfudged'!$A$2:$A$498, 'Tax Bill Summary'!$A42, 'GE16FEB14 Unfudged'!I$2:IF$498)</f>
        <v>4660777</v>
      </c>
      <c r="M42" s="13">
        <f>+SUMIF('GE16FEB14 Unfudged'!$A$2:$A$498, 'Tax Bill Summary'!$A42, 'GE16FEB14 Unfudged'!J$2:IG$498)</f>
        <v>3619421</v>
      </c>
      <c r="N42" s="56">
        <f t="shared" si="58"/>
        <v>1041356</v>
      </c>
      <c r="O42" s="51">
        <f t="shared" si="59"/>
        <v>7627573</v>
      </c>
      <c r="P42" s="13">
        <f t="shared" si="60"/>
        <v>6586217</v>
      </c>
      <c r="Q42" s="56">
        <f t="shared" si="61"/>
        <v>1041356</v>
      </c>
      <c r="R42" s="13">
        <f t="shared" si="62"/>
        <v>886.7208788653802</v>
      </c>
      <c r="S42" s="13">
        <f t="shared" si="63"/>
        <v>765.66112531969304</v>
      </c>
      <c r="T42" s="16">
        <f t="shared" si="64"/>
        <v>121.05975354568704</v>
      </c>
      <c r="U42" s="15">
        <f>+SUMIF('GE16FEB14 Tax Bill Unfudged'!$A$2:$A$498, 'Tax Bill Summary'!$A42, 'GE16FEB14 Tax Bill Unfudged'!E$2:E$498)</f>
        <v>1223081</v>
      </c>
      <c r="V42" s="13">
        <f>+SUMIF('GE16FEB14 Tax Bill Unfudged'!$A$2:$A$498, 'Tax Bill Summary'!$A42, 'GE16FEB14 Tax Bill Unfudged'!F$2:F$498)</f>
        <v>1223081</v>
      </c>
      <c r="W42" s="56">
        <f t="shared" si="65"/>
        <v>0</v>
      </c>
      <c r="X42" s="51">
        <f>+SUMIF('GE16FEB14 Tax Bill Unfudged'!$A$2:$A$498, 'Tax Bill Summary'!$A42, 'GE16FEB14 Tax Bill Unfudged'!G$2:G$498)</f>
        <v>3647078</v>
      </c>
      <c r="Y42" s="13">
        <f>+SUMIF('GE16FEB14 Tax Bill Unfudged'!$A$2:$A$498, 'Tax Bill Summary'!$A42, 'GE16FEB14 Tax Bill Unfudged'!H$2:H$498)</f>
        <v>3647078</v>
      </c>
      <c r="Z42" s="56">
        <f t="shared" si="66"/>
        <v>0</v>
      </c>
      <c r="AA42" s="51">
        <f>+SUMIF('GE16FEB14 Tax Bill Unfudged'!$A$2:$A$498, 'Tax Bill Summary'!$A42, 'GE16FEB14 Tax Bill Unfudged'!I$2:I$498)</f>
        <v>2837238</v>
      </c>
      <c r="AB42" s="13">
        <f>+SUMIF('GE16FEB14 Tax Bill Unfudged'!$A$2:$A$498, 'Tax Bill Summary'!$A42, 'GE16FEB14 Tax Bill Unfudged'!J$2:J$498)</f>
        <v>1795882</v>
      </c>
      <c r="AC42" s="56">
        <f t="shared" si="67"/>
        <v>1041356</v>
      </c>
      <c r="AD42" s="51">
        <f t="shared" si="68"/>
        <v>7707397</v>
      </c>
      <c r="AE42" s="13">
        <f t="shared" si="69"/>
        <v>6666041</v>
      </c>
      <c r="AF42" s="56">
        <f t="shared" si="70"/>
        <v>1041356</v>
      </c>
      <c r="AG42" s="13">
        <f t="shared" si="71"/>
        <v>896.000581260172</v>
      </c>
      <c r="AH42" s="13">
        <f t="shared" si="72"/>
        <v>774.94082771448495</v>
      </c>
      <c r="AI42" s="16">
        <f t="shared" si="73"/>
        <v>121.05975354568704</v>
      </c>
      <c r="AJ42" s="15">
        <f t="shared" si="74"/>
        <v>79824</v>
      </c>
      <c r="AK42" s="13">
        <f t="shared" si="75"/>
        <v>79824</v>
      </c>
      <c r="AL42" s="56">
        <f t="shared" si="76"/>
        <v>0</v>
      </c>
      <c r="AM42" s="51">
        <f t="shared" si="77"/>
        <v>1823539</v>
      </c>
      <c r="AN42" s="13">
        <f t="shared" si="78"/>
        <v>1823539</v>
      </c>
      <c r="AO42" s="56">
        <f t="shared" si="79"/>
        <v>0</v>
      </c>
      <c r="AP42" s="51">
        <f t="shared" si="80"/>
        <v>-1823539</v>
      </c>
      <c r="AQ42" s="13">
        <f t="shared" si="81"/>
        <v>-1823539</v>
      </c>
      <c r="AR42" s="56">
        <f t="shared" si="82"/>
        <v>0</v>
      </c>
      <c r="AS42" s="51">
        <f t="shared" si="83"/>
        <v>79824</v>
      </c>
      <c r="AT42" s="13">
        <f t="shared" si="84"/>
        <v>79824</v>
      </c>
      <c r="AU42" s="56">
        <f t="shared" si="85"/>
        <v>0</v>
      </c>
      <c r="AV42" s="13">
        <f t="shared" si="86"/>
        <v>9.2797023947917978</v>
      </c>
      <c r="AW42" s="13">
        <f t="shared" si="87"/>
        <v>9.2797023947919115</v>
      </c>
      <c r="AX42" s="16">
        <f t="shared" si="88"/>
        <v>0</v>
      </c>
    </row>
    <row r="43" spans="1:50" x14ac:dyDescent="0.25">
      <c r="A43" s="20">
        <v>81</v>
      </c>
      <c r="B43">
        <v>1</v>
      </c>
      <c r="C43" s="23" t="s">
        <v>161</v>
      </c>
      <c r="D43" s="23">
        <v>6</v>
      </c>
      <c r="E43" s="15">
        <f>+SUMIF('GE16FEB14 Unfudged'!$A$2:$A$498, $A43, 'GE16FEB14 Unfudged'!$D$2:$D$498)</f>
        <v>162</v>
      </c>
      <c r="F43" s="15">
        <f>+SUMIF('GE16FEB14 Unfudged'!$A$2:$A$498, 'Tax Bill Summary'!$A43, 'GE16FEB14 Unfudged'!E$2:E$498)</f>
        <v>12770</v>
      </c>
      <c r="G43" s="13">
        <f>+SUMIF('GE16FEB14 Unfudged'!$A$2:$A$498, 'Tax Bill Summary'!$A43, 'GE16FEB14 Unfudged'!F$2:F$498)</f>
        <v>5721</v>
      </c>
      <c r="H43" s="56">
        <f t="shared" si="56"/>
        <v>7049</v>
      </c>
      <c r="I43" s="51">
        <f>+SUMIF('GE16FEB14 Unfudged'!$A$2:$A$498, 'Tax Bill Summary'!$A43, 'GE16FEB14 Unfudged'!G$2:G$498)</f>
        <v>0</v>
      </c>
      <c r="J43" s="13">
        <f>+SUMIF('GE16FEB14 Unfudged'!$A$2:$A$498, 'Tax Bill Summary'!$A43, 'GE16FEB14 Unfudged'!H$2:H$498)</f>
        <v>0</v>
      </c>
      <c r="K43" s="56">
        <f t="shared" si="57"/>
        <v>0</v>
      </c>
      <c r="L43" s="51">
        <f>+SUMIF('GE16FEB14 Unfudged'!$A$2:$A$498, 'Tax Bill Summary'!$A43, 'GE16FEB14 Unfudged'!I$2:IF$498)</f>
        <v>280102</v>
      </c>
      <c r="M43" s="13">
        <f>+SUMIF('GE16FEB14 Unfudged'!$A$2:$A$498, 'Tax Bill Summary'!$A43, 'GE16FEB14 Unfudged'!J$2:IG$498)</f>
        <v>168388</v>
      </c>
      <c r="N43" s="56">
        <f t="shared" si="58"/>
        <v>111714</v>
      </c>
      <c r="O43" s="51">
        <f t="shared" si="59"/>
        <v>292872</v>
      </c>
      <c r="P43" s="13">
        <f t="shared" si="60"/>
        <v>174109</v>
      </c>
      <c r="Q43" s="56">
        <f t="shared" si="61"/>
        <v>118763</v>
      </c>
      <c r="R43" s="13">
        <f t="shared" si="62"/>
        <v>1807.851851851852</v>
      </c>
      <c r="S43" s="13">
        <f t="shared" si="63"/>
        <v>1074.7469135802469</v>
      </c>
      <c r="T43" s="16">
        <f t="shared" si="64"/>
        <v>733.10493827160496</v>
      </c>
      <c r="U43" s="15">
        <f>+SUMIF('GE16FEB14 Tax Bill Unfudged'!$A$2:$A$498, 'Tax Bill Summary'!$A43, 'GE16FEB14 Tax Bill Unfudged'!E$2:E$498)</f>
        <v>13534</v>
      </c>
      <c r="V43" s="13">
        <f>+SUMIF('GE16FEB14 Tax Bill Unfudged'!$A$2:$A$498, 'Tax Bill Summary'!$A43, 'GE16FEB14 Tax Bill Unfudged'!F$2:F$498)</f>
        <v>6064</v>
      </c>
      <c r="W43" s="56">
        <f t="shared" si="65"/>
        <v>7470</v>
      </c>
      <c r="X43" s="51">
        <f>+SUMIF('GE16FEB14 Tax Bill Unfudged'!$A$2:$A$498, 'Tax Bill Summary'!$A43, 'GE16FEB14 Tax Bill Unfudged'!G$2:G$498)</f>
        <v>68836</v>
      </c>
      <c r="Y43" s="13">
        <f>+SUMIF('GE16FEB14 Tax Bill Unfudged'!$A$2:$A$498, 'Tax Bill Summary'!$A43, 'GE16FEB14 Tax Bill Unfudged'!H$2:H$498)</f>
        <v>30840</v>
      </c>
      <c r="Z43" s="56">
        <f t="shared" si="66"/>
        <v>37996</v>
      </c>
      <c r="AA43" s="51">
        <f>+SUMIF('GE16FEB14 Tax Bill Unfudged'!$A$2:$A$498, 'Tax Bill Summary'!$A43, 'GE16FEB14 Tax Bill Unfudged'!I$2:I$498)</f>
        <v>211266</v>
      </c>
      <c r="AB43" s="13">
        <f>+SUMIF('GE16FEB14 Tax Bill Unfudged'!$A$2:$A$498, 'Tax Bill Summary'!$A43, 'GE16FEB14 Tax Bill Unfudged'!J$2:J$498)</f>
        <v>111272</v>
      </c>
      <c r="AC43" s="56">
        <f t="shared" si="67"/>
        <v>99994</v>
      </c>
      <c r="AD43" s="51">
        <f t="shared" si="68"/>
        <v>293636</v>
      </c>
      <c r="AE43" s="13">
        <f t="shared" si="69"/>
        <v>148176</v>
      </c>
      <c r="AF43" s="56">
        <f t="shared" si="70"/>
        <v>145460</v>
      </c>
      <c r="AG43" s="13">
        <f t="shared" si="71"/>
        <v>1812.5679012345679</v>
      </c>
      <c r="AH43" s="13">
        <f t="shared" si="72"/>
        <v>914.66666666666663</v>
      </c>
      <c r="AI43" s="16">
        <f t="shared" si="73"/>
        <v>897.90123456790127</v>
      </c>
      <c r="AJ43" s="15">
        <f t="shared" si="74"/>
        <v>764</v>
      </c>
      <c r="AK43" s="13">
        <f t="shared" si="75"/>
        <v>343</v>
      </c>
      <c r="AL43" s="56">
        <f t="shared" si="76"/>
        <v>421</v>
      </c>
      <c r="AM43" s="51">
        <f t="shared" si="77"/>
        <v>68836</v>
      </c>
      <c r="AN43" s="13">
        <f t="shared" si="78"/>
        <v>30840</v>
      </c>
      <c r="AO43" s="56">
        <f t="shared" si="79"/>
        <v>37996</v>
      </c>
      <c r="AP43" s="51">
        <f t="shared" si="80"/>
        <v>-68836</v>
      </c>
      <c r="AQ43" s="13">
        <f t="shared" si="81"/>
        <v>-57116</v>
      </c>
      <c r="AR43" s="56">
        <f t="shared" si="82"/>
        <v>-11720</v>
      </c>
      <c r="AS43" s="51">
        <f t="shared" si="83"/>
        <v>764</v>
      </c>
      <c r="AT43" s="13">
        <f t="shared" si="84"/>
        <v>-25933</v>
      </c>
      <c r="AU43" s="56">
        <f t="shared" si="85"/>
        <v>26697</v>
      </c>
      <c r="AV43" s="13">
        <f t="shared" si="86"/>
        <v>4.7160493827159371</v>
      </c>
      <c r="AW43" s="13">
        <f t="shared" si="87"/>
        <v>-160.08024691358025</v>
      </c>
      <c r="AX43" s="16">
        <f t="shared" si="88"/>
        <v>164.7962962962963</v>
      </c>
    </row>
    <row r="44" spans="1:50" x14ac:dyDescent="0.25">
      <c r="A44" s="20">
        <v>84</v>
      </c>
      <c r="B44">
        <v>1</v>
      </c>
      <c r="C44" s="23" t="s">
        <v>162</v>
      </c>
      <c r="D44" s="23">
        <v>6</v>
      </c>
      <c r="E44" s="15">
        <f>+SUMIF('GE16FEB14 Unfudged'!$A$2:$A$498, $A44, 'GE16FEB14 Unfudged'!$D$2:$D$498)</f>
        <v>596</v>
      </c>
      <c r="F44" s="15">
        <f>+SUMIF('GE16FEB14 Unfudged'!$A$2:$A$498, 'Tax Bill Summary'!$A44, 'GE16FEB14 Unfudged'!E$2:E$498)</f>
        <v>85832</v>
      </c>
      <c r="G44" s="13">
        <f>+SUMIF('GE16FEB14 Unfudged'!$A$2:$A$498, 'Tax Bill Summary'!$A44, 'GE16FEB14 Unfudged'!F$2:F$498)</f>
        <v>69879</v>
      </c>
      <c r="H44" s="56">
        <f t="shared" si="56"/>
        <v>15953</v>
      </c>
      <c r="I44" s="51">
        <f>+SUMIF('GE16FEB14 Unfudged'!$A$2:$A$498, 'Tax Bill Summary'!$A44, 'GE16FEB14 Unfudged'!G$2:G$498)</f>
        <v>0</v>
      </c>
      <c r="J44" s="13">
        <f>+SUMIF('GE16FEB14 Unfudged'!$A$2:$A$498, 'Tax Bill Summary'!$A44, 'GE16FEB14 Unfudged'!H$2:H$498)</f>
        <v>0</v>
      </c>
      <c r="K44" s="56">
        <f t="shared" si="57"/>
        <v>0</v>
      </c>
      <c r="L44" s="51">
        <f>+SUMIF('GE16FEB14 Unfudged'!$A$2:$A$498, 'Tax Bill Summary'!$A44, 'GE16FEB14 Unfudged'!I$2:IF$498)</f>
        <v>178815</v>
      </c>
      <c r="M44" s="13">
        <f>+SUMIF('GE16FEB14 Unfudged'!$A$2:$A$498, 'Tax Bill Summary'!$A44, 'GE16FEB14 Unfudged'!J$2:IG$498)</f>
        <v>84370</v>
      </c>
      <c r="N44" s="56">
        <f t="shared" si="58"/>
        <v>94445</v>
      </c>
      <c r="O44" s="51">
        <f t="shared" si="59"/>
        <v>264647</v>
      </c>
      <c r="P44" s="13">
        <f t="shared" si="60"/>
        <v>154249</v>
      </c>
      <c r="Q44" s="56">
        <f t="shared" si="61"/>
        <v>110398</v>
      </c>
      <c r="R44" s="13">
        <f t="shared" si="62"/>
        <v>444.03859060402687</v>
      </c>
      <c r="S44" s="13">
        <f t="shared" si="63"/>
        <v>258.80704697986579</v>
      </c>
      <c r="T44" s="16">
        <f t="shared" si="64"/>
        <v>185.23154362416108</v>
      </c>
      <c r="U44" s="15">
        <f>+SUMIF('GE16FEB14 Tax Bill Unfudged'!$A$2:$A$498, 'Tax Bill Summary'!$A44, 'GE16FEB14 Tax Bill Unfudged'!E$2:E$498)</f>
        <v>85832</v>
      </c>
      <c r="V44" s="13">
        <f>+SUMIF('GE16FEB14 Tax Bill Unfudged'!$A$2:$A$498, 'Tax Bill Summary'!$A44, 'GE16FEB14 Tax Bill Unfudged'!F$2:F$498)</f>
        <v>69879</v>
      </c>
      <c r="W44" s="56">
        <f t="shared" si="65"/>
        <v>15953</v>
      </c>
      <c r="X44" s="51">
        <f>+SUMIF('GE16FEB14 Tax Bill Unfudged'!$A$2:$A$498, 'Tax Bill Summary'!$A44, 'GE16FEB14 Tax Bill Unfudged'!G$2:G$498)</f>
        <v>252725</v>
      </c>
      <c r="Y44" s="13">
        <f>+SUMIF('GE16FEB14 Tax Bill Unfudged'!$A$2:$A$498, 'Tax Bill Summary'!$A44, 'GE16FEB14 Tax Bill Unfudged'!H$2:H$498)</f>
        <v>205753</v>
      </c>
      <c r="Z44" s="56">
        <f t="shared" si="66"/>
        <v>46972</v>
      </c>
      <c r="AA44" s="51">
        <f>+SUMIF('GE16FEB14 Tax Bill Unfudged'!$A$2:$A$498, 'Tax Bill Summary'!$A44, 'GE16FEB14 Tax Bill Unfudged'!I$2:I$498)</f>
        <v>178815</v>
      </c>
      <c r="AB44" s="13">
        <f>+SUMIF('GE16FEB14 Tax Bill Unfudged'!$A$2:$A$498, 'Tax Bill Summary'!$A44, 'GE16FEB14 Tax Bill Unfudged'!J$2:J$498)</f>
        <v>84370</v>
      </c>
      <c r="AC44" s="56">
        <f t="shared" si="67"/>
        <v>94445</v>
      </c>
      <c r="AD44" s="51">
        <f t="shared" si="68"/>
        <v>517372</v>
      </c>
      <c r="AE44" s="13">
        <f t="shared" si="69"/>
        <v>360002</v>
      </c>
      <c r="AF44" s="56">
        <f t="shared" si="70"/>
        <v>157370</v>
      </c>
      <c r="AG44" s="13">
        <f t="shared" si="71"/>
        <v>868.07382550335569</v>
      </c>
      <c r="AH44" s="13">
        <f t="shared" si="72"/>
        <v>604.03020134228188</v>
      </c>
      <c r="AI44" s="16">
        <f t="shared" si="73"/>
        <v>264.04362416107381</v>
      </c>
      <c r="AJ44" s="15">
        <f t="shared" si="74"/>
        <v>0</v>
      </c>
      <c r="AK44" s="13">
        <f t="shared" si="75"/>
        <v>0</v>
      </c>
      <c r="AL44" s="56">
        <f t="shared" si="76"/>
        <v>0</v>
      </c>
      <c r="AM44" s="51">
        <f t="shared" si="77"/>
        <v>252725</v>
      </c>
      <c r="AN44" s="13">
        <f t="shared" si="78"/>
        <v>205753</v>
      </c>
      <c r="AO44" s="56">
        <f t="shared" si="79"/>
        <v>46972</v>
      </c>
      <c r="AP44" s="51">
        <f t="shared" si="80"/>
        <v>0</v>
      </c>
      <c r="AQ44" s="13">
        <f t="shared" si="81"/>
        <v>0</v>
      </c>
      <c r="AR44" s="56">
        <f t="shared" si="82"/>
        <v>0</v>
      </c>
      <c r="AS44" s="51">
        <f t="shared" si="83"/>
        <v>252725</v>
      </c>
      <c r="AT44" s="13">
        <f t="shared" si="84"/>
        <v>205753</v>
      </c>
      <c r="AU44" s="56">
        <f t="shared" si="85"/>
        <v>46972</v>
      </c>
      <c r="AV44" s="13">
        <f t="shared" si="86"/>
        <v>424.03523489932883</v>
      </c>
      <c r="AW44" s="13">
        <f t="shared" si="87"/>
        <v>345.2231543624161</v>
      </c>
      <c r="AX44" s="16">
        <f t="shared" si="88"/>
        <v>78.812080536912731</v>
      </c>
    </row>
    <row r="45" spans="1:50" x14ac:dyDescent="0.25">
      <c r="A45" s="20">
        <v>85</v>
      </c>
      <c r="B45">
        <v>1</v>
      </c>
      <c r="C45" s="23" t="s">
        <v>163</v>
      </c>
      <c r="D45" s="23">
        <v>6</v>
      </c>
      <c r="E45" s="15">
        <f>+SUMIF('GE16FEB14 Unfudged'!$A$2:$A$498, $A45, 'GE16FEB14 Unfudged'!$D$2:$D$498)</f>
        <v>601</v>
      </c>
      <c r="F45" s="15">
        <f>+SUMIF('GE16FEB14 Unfudged'!$A$2:$A$498, 'Tax Bill Summary'!$A45, 'GE16FEB14 Unfudged'!E$2:E$498)</f>
        <v>75337</v>
      </c>
      <c r="G45" s="13">
        <f>+SUMIF('GE16FEB14 Unfudged'!$A$2:$A$498, 'Tax Bill Summary'!$A45, 'GE16FEB14 Unfudged'!F$2:F$498)</f>
        <v>36736</v>
      </c>
      <c r="H45" s="56">
        <f t="shared" si="56"/>
        <v>38601</v>
      </c>
      <c r="I45" s="51">
        <f>+SUMIF('GE16FEB14 Unfudged'!$A$2:$A$498, 'Tax Bill Summary'!$A45, 'GE16FEB14 Unfudged'!G$2:G$498)</f>
        <v>0</v>
      </c>
      <c r="J45" s="13">
        <f>+SUMIF('GE16FEB14 Unfudged'!$A$2:$A$498, 'Tax Bill Summary'!$A45, 'GE16FEB14 Unfudged'!H$2:H$498)</f>
        <v>0</v>
      </c>
      <c r="K45" s="56">
        <f t="shared" si="57"/>
        <v>0</v>
      </c>
      <c r="L45" s="51">
        <f>+SUMIF('GE16FEB14 Unfudged'!$A$2:$A$498, 'Tax Bill Summary'!$A45, 'GE16FEB14 Unfudged'!I$2:IF$498)</f>
        <v>425781</v>
      </c>
      <c r="M45" s="13">
        <f>+SUMIF('GE16FEB14 Unfudged'!$A$2:$A$498, 'Tax Bill Summary'!$A45, 'GE16FEB14 Unfudged'!J$2:IG$498)</f>
        <v>170639</v>
      </c>
      <c r="N45" s="56">
        <f t="shared" si="58"/>
        <v>255142</v>
      </c>
      <c r="O45" s="51">
        <f t="shared" si="59"/>
        <v>501118</v>
      </c>
      <c r="P45" s="13">
        <f t="shared" si="60"/>
        <v>207375</v>
      </c>
      <c r="Q45" s="56">
        <f t="shared" si="61"/>
        <v>293743</v>
      </c>
      <c r="R45" s="13">
        <f t="shared" si="62"/>
        <v>833.80698835274541</v>
      </c>
      <c r="S45" s="13">
        <f t="shared" si="63"/>
        <v>345.04991680532447</v>
      </c>
      <c r="T45" s="16">
        <f t="shared" si="64"/>
        <v>488.75707154742099</v>
      </c>
      <c r="U45" s="15">
        <f>+SUMIF('GE16FEB14 Tax Bill Unfudged'!$A$2:$A$498, 'Tax Bill Summary'!$A45, 'GE16FEB14 Tax Bill Unfudged'!E$2:E$498)</f>
        <v>86587</v>
      </c>
      <c r="V45" s="13">
        <f>+SUMIF('GE16FEB14 Tax Bill Unfudged'!$A$2:$A$498, 'Tax Bill Summary'!$A45, 'GE16FEB14 Tax Bill Unfudged'!F$2:F$498)</f>
        <v>42222</v>
      </c>
      <c r="W45" s="56">
        <f t="shared" si="65"/>
        <v>44365</v>
      </c>
      <c r="X45" s="51">
        <f>+SUMIF('GE16FEB14 Tax Bill Unfudged'!$A$2:$A$498, 'Tax Bill Summary'!$A45, 'GE16FEB14 Tax Bill Unfudged'!G$2:G$498)</f>
        <v>254951</v>
      </c>
      <c r="Y45" s="13">
        <f>+SUMIF('GE16FEB14 Tax Bill Unfudged'!$A$2:$A$498, 'Tax Bill Summary'!$A45, 'GE16FEB14 Tax Bill Unfudged'!H$2:H$498)</f>
        <v>124321</v>
      </c>
      <c r="Z45" s="56">
        <f t="shared" si="66"/>
        <v>130630</v>
      </c>
      <c r="AA45" s="51">
        <f>+SUMIF('GE16FEB14 Tax Bill Unfudged'!$A$2:$A$498, 'Tax Bill Summary'!$A45, 'GE16FEB14 Tax Bill Unfudged'!I$2:I$498)</f>
        <v>180390</v>
      </c>
      <c r="AB45" s="13">
        <f>+SUMIF('GE16FEB14 Tax Bill Unfudged'!$A$2:$A$498, 'Tax Bill Summary'!$A45, 'GE16FEB14 Tax Bill Unfudged'!J$2:J$498)</f>
        <v>50979</v>
      </c>
      <c r="AC45" s="56">
        <f t="shared" si="67"/>
        <v>129411</v>
      </c>
      <c r="AD45" s="51">
        <f t="shared" si="68"/>
        <v>521928</v>
      </c>
      <c r="AE45" s="13">
        <f t="shared" si="69"/>
        <v>217522</v>
      </c>
      <c r="AF45" s="56">
        <f t="shared" si="70"/>
        <v>304406</v>
      </c>
      <c r="AG45" s="13">
        <f t="shared" si="71"/>
        <v>868.43261231281201</v>
      </c>
      <c r="AH45" s="13">
        <f t="shared" si="72"/>
        <v>361.93344425956741</v>
      </c>
      <c r="AI45" s="16">
        <f t="shared" si="73"/>
        <v>506.4991680532446</v>
      </c>
      <c r="AJ45" s="15">
        <f t="shared" si="74"/>
        <v>11250</v>
      </c>
      <c r="AK45" s="13">
        <f t="shared" si="75"/>
        <v>5486</v>
      </c>
      <c r="AL45" s="56">
        <f t="shared" si="76"/>
        <v>5764</v>
      </c>
      <c r="AM45" s="51">
        <f t="shared" si="77"/>
        <v>254951</v>
      </c>
      <c r="AN45" s="13">
        <f t="shared" si="78"/>
        <v>124321</v>
      </c>
      <c r="AO45" s="56">
        <f t="shared" si="79"/>
        <v>130630</v>
      </c>
      <c r="AP45" s="51">
        <f t="shared" si="80"/>
        <v>-245391</v>
      </c>
      <c r="AQ45" s="13">
        <f t="shared" si="81"/>
        <v>-119660</v>
      </c>
      <c r="AR45" s="56">
        <f t="shared" si="82"/>
        <v>-125731</v>
      </c>
      <c r="AS45" s="51">
        <f t="shared" si="83"/>
        <v>20810</v>
      </c>
      <c r="AT45" s="13">
        <f t="shared" si="84"/>
        <v>10147</v>
      </c>
      <c r="AU45" s="56">
        <f t="shared" si="85"/>
        <v>10663</v>
      </c>
      <c r="AV45" s="13">
        <f t="shared" si="86"/>
        <v>34.625623960066605</v>
      </c>
      <c r="AW45" s="13">
        <f t="shared" si="87"/>
        <v>16.883527454242937</v>
      </c>
      <c r="AX45" s="16">
        <f t="shared" si="88"/>
        <v>17.742096505823611</v>
      </c>
    </row>
    <row r="46" spans="1:50" x14ac:dyDescent="0.25">
      <c r="A46" s="20">
        <v>88</v>
      </c>
      <c r="B46">
        <v>1</v>
      </c>
      <c r="C46" s="23" t="s">
        <v>164</v>
      </c>
      <c r="D46" s="23">
        <v>4</v>
      </c>
      <c r="E46" s="15">
        <f>+SUMIF('GE16FEB14 Unfudged'!$A$2:$A$498, $A46, 'GE16FEB14 Unfudged'!$D$2:$D$498)</f>
        <v>2169</v>
      </c>
      <c r="F46" s="15">
        <f>+SUMIF('GE16FEB14 Unfudged'!$A$2:$A$498, 'Tax Bill Summary'!$A46, 'GE16FEB14 Unfudged'!E$2:E$498)</f>
        <v>193659</v>
      </c>
      <c r="G46" s="13">
        <f>+SUMIF('GE16FEB14 Unfudged'!$A$2:$A$498, 'Tax Bill Summary'!$A46, 'GE16FEB14 Unfudged'!F$2:F$498)</f>
        <v>193520</v>
      </c>
      <c r="H46" s="56">
        <f t="shared" si="56"/>
        <v>139</v>
      </c>
      <c r="I46" s="51">
        <f>+SUMIF('GE16FEB14 Unfudged'!$A$2:$A$498, 'Tax Bill Summary'!$A46, 'GE16FEB14 Unfudged'!G$2:G$498)</f>
        <v>0</v>
      </c>
      <c r="J46" s="13">
        <f>+SUMIF('GE16FEB14 Unfudged'!$A$2:$A$498, 'Tax Bill Summary'!$A46, 'GE16FEB14 Unfudged'!H$2:H$498)</f>
        <v>0</v>
      </c>
      <c r="K46" s="56">
        <f t="shared" si="57"/>
        <v>0</v>
      </c>
      <c r="L46" s="51">
        <f>+SUMIF('GE16FEB14 Unfudged'!$A$2:$A$498, 'Tax Bill Summary'!$A46, 'GE16FEB14 Unfudged'!I$2:IF$498)</f>
        <v>3238604</v>
      </c>
      <c r="M46" s="13">
        <f>+SUMIF('GE16FEB14 Unfudged'!$A$2:$A$498, 'Tax Bill Summary'!$A46, 'GE16FEB14 Unfudged'!J$2:IG$498)</f>
        <v>2964054</v>
      </c>
      <c r="N46" s="56">
        <f t="shared" si="58"/>
        <v>274550</v>
      </c>
      <c r="O46" s="51">
        <f t="shared" si="59"/>
        <v>3432263</v>
      </c>
      <c r="P46" s="13">
        <f t="shared" si="60"/>
        <v>3157574</v>
      </c>
      <c r="Q46" s="56">
        <f t="shared" si="61"/>
        <v>274689</v>
      </c>
      <c r="R46" s="13">
        <f t="shared" si="62"/>
        <v>1582.4172429691102</v>
      </c>
      <c r="S46" s="13">
        <f t="shared" si="63"/>
        <v>1455.7740894421393</v>
      </c>
      <c r="T46" s="16">
        <f t="shared" si="64"/>
        <v>126.64315352697095</v>
      </c>
      <c r="U46" s="15">
        <f>+SUMIF('GE16FEB14 Tax Bill Unfudged'!$A$2:$A$498, 'Tax Bill Summary'!$A46, 'GE16FEB14 Tax Bill Unfudged'!E$2:E$498)</f>
        <v>211267</v>
      </c>
      <c r="V46" s="13">
        <f>+SUMIF('GE16FEB14 Tax Bill Unfudged'!$A$2:$A$498, 'Tax Bill Summary'!$A46, 'GE16FEB14 Tax Bill Unfudged'!F$2:F$498)</f>
        <v>211116</v>
      </c>
      <c r="W46" s="56">
        <f t="shared" si="65"/>
        <v>151</v>
      </c>
      <c r="X46" s="51">
        <f>+SUMIF('GE16FEB14 Tax Bill Unfudged'!$A$2:$A$498, 'Tax Bill Summary'!$A46, 'GE16FEB14 Tax Bill Unfudged'!G$2:G$498)</f>
        <v>919571</v>
      </c>
      <c r="Y46" s="13">
        <f>+SUMIF('GE16FEB14 Tax Bill Unfudged'!$A$2:$A$498, 'Tax Bill Summary'!$A46, 'GE16FEB14 Tax Bill Unfudged'!H$2:H$498)</f>
        <v>918912</v>
      </c>
      <c r="Z46" s="56">
        <f t="shared" si="66"/>
        <v>659</v>
      </c>
      <c r="AA46" s="51">
        <f>+SUMIF('GE16FEB14 Tax Bill Unfudged'!$A$2:$A$498, 'Tax Bill Summary'!$A46, 'GE16FEB14 Tax Bill Unfudged'!I$2:I$498)</f>
        <v>2319033</v>
      </c>
      <c r="AB46" s="13">
        <f>+SUMIF('GE16FEB14 Tax Bill Unfudged'!$A$2:$A$498, 'Tax Bill Summary'!$A46, 'GE16FEB14 Tax Bill Unfudged'!J$2:J$498)</f>
        <v>2044483</v>
      </c>
      <c r="AC46" s="56">
        <f t="shared" si="67"/>
        <v>274550</v>
      </c>
      <c r="AD46" s="51">
        <f t="shared" si="68"/>
        <v>3449871</v>
      </c>
      <c r="AE46" s="13">
        <f t="shared" si="69"/>
        <v>3174511</v>
      </c>
      <c r="AF46" s="56">
        <f t="shared" si="70"/>
        <v>275360</v>
      </c>
      <c r="AG46" s="13">
        <f t="shared" si="71"/>
        <v>1590.5352697095436</v>
      </c>
      <c r="AH46" s="13">
        <f t="shared" si="72"/>
        <v>1463.5827570308898</v>
      </c>
      <c r="AI46" s="16">
        <f t="shared" si="73"/>
        <v>126.95251267865376</v>
      </c>
      <c r="AJ46" s="15">
        <f t="shared" si="74"/>
        <v>17608</v>
      </c>
      <c r="AK46" s="13">
        <f t="shared" si="75"/>
        <v>17596</v>
      </c>
      <c r="AL46" s="56">
        <f t="shared" si="76"/>
        <v>12</v>
      </c>
      <c r="AM46" s="51">
        <f t="shared" si="77"/>
        <v>919571</v>
      </c>
      <c r="AN46" s="13">
        <f t="shared" si="78"/>
        <v>918912</v>
      </c>
      <c r="AO46" s="56">
        <f t="shared" si="79"/>
        <v>659</v>
      </c>
      <c r="AP46" s="51">
        <f t="shared" si="80"/>
        <v>-919571</v>
      </c>
      <c r="AQ46" s="13">
        <f t="shared" si="81"/>
        <v>-919571</v>
      </c>
      <c r="AR46" s="56">
        <f t="shared" si="82"/>
        <v>0</v>
      </c>
      <c r="AS46" s="51">
        <f t="shared" si="83"/>
        <v>17608</v>
      </c>
      <c r="AT46" s="13">
        <f t="shared" si="84"/>
        <v>16937</v>
      </c>
      <c r="AU46" s="56">
        <f t="shared" si="85"/>
        <v>671</v>
      </c>
      <c r="AV46" s="13">
        <f t="shared" si="86"/>
        <v>8.118026740433379</v>
      </c>
      <c r="AW46" s="13">
        <f t="shared" si="87"/>
        <v>7.8086675887504953</v>
      </c>
      <c r="AX46" s="16">
        <f t="shared" si="88"/>
        <v>0.30935915168281269</v>
      </c>
    </row>
    <row r="47" spans="1:50" x14ac:dyDescent="0.25">
      <c r="A47" s="20">
        <v>91</v>
      </c>
      <c r="B47">
        <v>1</v>
      </c>
      <c r="C47" s="23" t="s">
        <v>165</v>
      </c>
      <c r="D47" s="23">
        <v>6</v>
      </c>
      <c r="E47" s="15">
        <f>+SUMIF('GE16FEB14 Unfudged'!$A$2:$A$498, $A47, 'GE16FEB14 Unfudged'!$D$2:$D$498)</f>
        <v>877</v>
      </c>
      <c r="F47" s="15">
        <f>+SUMIF('GE16FEB14 Unfudged'!$A$2:$A$498, 'Tax Bill Summary'!$A47, 'GE16FEB14 Unfudged'!E$2:E$498)</f>
        <v>126259</v>
      </c>
      <c r="G47" s="13">
        <f>+SUMIF('GE16FEB14 Unfudged'!$A$2:$A$498, 'Tax Bill Summary'!$A47, 'GE16FEB14 Unfudged'!F$2:F$498)</f>
        <v>67941</v>
      </c>
      <c r="H47" s="56">
        <f t="shared" si="56"/>
        <v>58318</v>
      </c>
      <c r="I47" s="51">
        <f>+SUMIF('GE16FEB14 Unfudged'!$A$2:$A$498, 'Tax Bill Summary'!$A47, 'GE16FEB14 Unfudged'!G$2:G$498)</f>
        <v>0</v>
      </c>
      <c r="J47" s="13">
        <f>+SUMIF('GE16FEB14 Unfudged'!$A$2:$A$498, 'Tax Bill Summary'!$A47, 'GE16FEB14 Unfudged'!H$2:H$498)</f>
        <v>0</v>
      </c>
      <c r="K47" s="56">
        <f t="shared" si="57"/>
        <v>0</v>
      </c>
      <c r="L47" s="51">
        <f>+SUMIF('GE16FEB14 Unfudged'!$A$2:$A$498, 'Tax Bill Summary'!$A47, 'GE16FEB14 Unfudged'!I$2:IF$498)</f>
        <v>263040</v>
      </c>
      <c r="M47" s="13">
        <f>+SUMIF('GE16FEB14 Unfudged'!$A$2:$A$498, 'Tax Bill Summary'!$A47, 'GE16FEB14 Unfudged'!J$2:IG$498)</f>
        <v>82031</v>
      </c>
      <c r="N47" s="56">
        <f t="shared" si="58"/>
        <v>181009</v>
      </c>
      <c r="O47" s="51">
        <f t="shared" si="59"/>
        <v>389299</v>
      </c>
      <c r="P47" s="13">
        <f t="shared" si="60"/>
        <v>149972</v>
      </c>
      <c r="Q47" s="56">
        <f t="shared" si="61"/>
        <v>239327</v>
      </c>
      <c r="R47" s="13">
        <f t="shared" si="62"/>
        <v>443.89851767388825</v>
      </c>
      <c r="S47" s="13">
        <f t="shared" si="63"/>
        <v>171.00570125427595</v>
      </c>
      <c r="T47" s="16">
        <f t="shared" si="64"/>
        <v>272.8928164196123</v>
      </c>
      <c r="U47" s="15">
        <f>+SUMIF('GE16FEB14 Tax Bill Unfudged'!$A$2:$A$498, 'Tax Bill Summary'!$A47, 'GE16FEB14 Tax Bill Unfudged'!E$2:E$498)</f>
        <v>126259</v>
      </c>
      <c r="V47" s="13">
        <f>+SUMIF('GE16FEB14 Tax Bill Unfudged'!$A$2:$A$498, 'Tax Bill Summary'!$A47, 'GE16FEB14 Tax Bill Unfudged'!F$2:F$498)</f>
        <v>67941</v>
      </c>
      <c r="W47" s="56">
        <f t="shared" si="65"/>
        <v>58318</v>
      </c>
      <c r="X47" s="51">
        <f>+SUMIF('GE16FEB14 Tax Bill Unfudged'!$A$2:$A$498, 'Tax Bill Summary'!$A47, 'GE16FEB14 Tax Bill Unfudged'!G$2:G$498)</f>
        <v>371763</v>
      </c>
      <c r="Y47" s="13">
        <f>+SUMIF('GE16FEB14 Tax Bill Unfudged'!$A$2:$A$498, 'Tax Bill Summary'!$A47, 'GE16FEB14 Tax Bill Unfudged'!H$2:H$498)</f>
        <v>200047</v>
      </c>
      <c r="Z47" s="56">
        <f t="shared" si="66"/>
        <v>171716</v>
      </c>
      <c r="AA47" s="51">
        <f>+SUMIF('GE16FEB14 Tax Bill Unfudged'!$A$2:$A$498, 'Tax Bill Summary'!$A47, 'GE16FEB14 Tax Bill Unfudged'!I$2:I$498)</f>
        <v>263040</v>
      </c>
      <c r="AB47" s="13">
        <f>+SUMIF('GE16FEB14 Tax Bill Unfudged'!$A$2:$A$498, 'Tax Bill Summary'!$A47, 'GE16FEB14 Tax Bill Unfudged'!J$2:J$498)</f>
        <v>82031</v>
      </c>
      <c r="AC47" s="56">
        <f t="shared" si="67"/>
        <v>181009</v>
      </c>
      <c r="AD47" s="51">
        <f t="shared" si="68"/>
        <v>761062</v>
      </c>
      <c r="AE47" s="13">
        <f t="shared" si="69"/>
        <v>350019</v>
      </c>
      <c r="AF47" s="56">
        <f t="shared" si="70"/>
        <v>411043</v>
      </c>
      <c r="AG47" s="13">
        <f t="shared" si="71"/>
        <v>867.8015963511973</v>
      </c>
      <c r="AH47" s="13">
        <f t="shared" si="72"/>
        <v>399.10946408209804</v>
      </c>
      <c r="AI47" s="16">
        <f t="shared" si="73"/>
        <v>468.6921322690992</v>
      </c>
      <c r="AJ47" s="15">
        <f t="shared" si="74"/>
        <v>0</v>
      </c>
      <c r="AK47" s="13">
        <f t="shared" si="75"/>
        <v>0</v>
      </c>
      <c r="AL47" s="56">
        <f t="shared" si="76"/>
        <v>0</v>
      </c>
      <c r="AM47" s="51">
        <f t="shared" si="77"/>
        <v>371763</v>
      </c>
      <c r="AN47" s="13">
        <f t="shared" si="78"/>
        <v>200047</v>
      </c>
      <c r="AO47" s="56">
        <f t="shared" si="79"/>
        <v>171716</v>
      </c>
      <c r="AP47" s="51">
        <f t="shared" si="80"/>
        <v>0</v>
      </c>
      <c r="AQ47" s="13">
        <f t="shared" si="81"/>
        <v>0</v>
      </c>
      <c r="AR47" s="56">
        <f t="shared" si="82"/>
        <v>0</v>
      </c>
      <c r="AS47" s="51">
        <f t="shared" si="83"/>
        <v>371763</v>
      </c>
      <c r="AT47" s="13">
        <f t="shared" si="84"/>
        <v>200047</v>
      </c>
      <c r="AU47" s="56">
        <f t="shared" si="85"/>
        <v>171716</v>
      </c>
      <c r="AV47" s="13">
        <f t="shared" si="86"/>
        <v>423.90307867730905</v>
      </c>
      <c r="AW47" s="13">
        <f t="shared" si="87"/>
        <v>228.1037628278221</v>
      </c>
      <c r="AX47" s="16">
        <f t="shared" si="88"/>
        <v>195.7993158494869</v>
      </c>
    </row>
    <row r="48" spans="1:50" x14ac:dyDescent="0.25">
      <c r="A48" s="20">
        <v>93</v>
      </c>
      <c r="B48">
        <v>1</v>
      </c>
      <c r="C48" s="23" t="s">
        <v>166</v>
      </c>
      <c r="D48" s="23">
        <v>6</v>
      </c>
      <c r="E48" s="15">
        <f>+SUMIF('GE16FEB14 Unfudged'!$A$2:$A$498, $A48, 'GE16FEB14 Unfudged'!$D$2:$D$498)</f>
        <v>479</v>
      </c>
      <c r="F48" s="15">
        <f>+SUMIF('GE16FEB14 Unfudged'!$A$2:$A$498, 'Tax Bill Summary'!$A48, 'GE16FEB14 Unfudged'!E$2:E$498)</f>
        <v>39338</v>
      </c>
      <c r="G48" s="13">
        <f>+SUMIF('GE16FEB14 Unfudged'!$A$2:$A$498, 'Tax Bill Summary'!$A48, 'GE16FEB14 Unfudged'!F$2:F$498)</f>
        <v>35101</v>
      </c>
      <c r="H48" s="56">
        <f t="shared" si="56"/>
        <v>4237</v>
      </c>
      <c r="I48" s="51">
        <f>+SUMIF('GE16FEB14 Unfudged'!$A$2:$A$498, 'Tax Bill Summary'!$A48, 'GE16FEB14 Unfudged'!G$2:G$498)</f>
        <v>0</v>
      </c>
      <c r="J48" s="13">
        <f>+SUMIF('GE16FEB14 Unfudged'!$A$2:$A$498, 'Tax Bill Summary'!$A48, 'GE16FEB14 Unfudged'!H$2:H$498)</f>
        <v>0</v>
      </c>
      <c r="K48" s="56">
        <f t="shared" si="57"/>
        <v>0</v>
      </c>
      <c r="L48" s="51">
        <f>+SUMIF('GE16FEB14 Unfudged'!$A$2:$A$498, 'Tax Bill Summary'!$A48, 'GE16FEB14 Unfudged'!I$2:IF$498)</f>
        <v>790848</v>
      </c>
      <c r="M48" s="13">
        <f>+SUMIF('GE16FEB14 Unfudged'!$A$2:$A$498, 'Tax Bill Summary'!$A48, 'GE16FEB14 Unfudged'!J$2:IG$498)</f>
        <v>697685</v>
      </c>
      <c r="N48" s="56">
        <f t="shared" si="58"/>
        <v>93163</v>
      </c>
      <c r="O48" s="51">
        <f t="shared" si="59"/>
        <v>830186</v>
      </c>
      <c r="P48" s="13">
        <f t="shared" si="60"/>
        <v>732786</v>
      </c>
      <c r="Q48" s="56">
        <f t="shared" si="61"/>
        <v>97400</v>
      </c>
      <c r="R48" s="13">
        <f t="shared" si="62"/>
        <v>1733.1649269311065</v>
      </c>
      <c r="S48" s="13">
        <f t="shared" si="63"/>
        <v>1529.8246346555325</v>
      </c>
      <c r="T48" s="16">
        <f t="shared" si="64"/>
        <v>203.34029227557411</v>
      </c>
      <c r="U48" s="15">
        <f>+SUMIF('GE16FEB14 Tax Bill Unfudged'!$A$2:$A$498, 'Tax Bill Summary'!$A48, 'GE16FEB14 Tax Bill Unfudged'!E$2:E$498)</f>
        <v>42121</v>
      </c>
      <c r="V48" s="13">
        <f>+SUMIF('GE16FEB14 Tax Bill Unfudged'!$A$2:$A$498, 'Tax Bill Summary'!$A48, 'GE16FEB14 Tax Bill Unfudged'!F$2:F$498)</f>
        <v>37584</v>
      </c>
      <c r="W48" s="56">
        <f t="shared" si="65"/>
        <v>4537</v>
      </c>
      <c r="X48" s="51">
        <f>+SUMIF('GE16FEB14 Tax Bill Unfudged'!$A$2:$A$498, 'Tax Bill Summary'!$A48, 'GE16FEB14 Tax Bill Unfudged'!G$2:G$498)</f>
        <v>203181</v>
      </c>
      <c r="Y48" s="13">
        <f>+SUMIF('GE16FEB14 Tax Bill Unfudged'!$A$2:$A$498, 'Tax Bill Summary'!$A48, 'GE16FEB14 Tax Bill Unfudged'!H$2:H$498)</f>
        <v>181295</v>
      </c>
      <c r="Z48" s="56">
        <f t="shared" si="66"/>
        <v>21886</v>
      </c>
      <c r="AA48" s="51">
        <f>+SUMIF('GE16FEB14 Tax Bill Unfudged'!$A$2:$A$498, 'Tax Bill Summary'!$A48, 'GE16FEB14 Tax Bill Unfudged'!I$2:I$498)</f>
        <v>587667</v>
      </c>
      <c r="AB48" s="13">
        <f>+SUMIF('GE16FEB14 Tax Bill Unfudged'!$A$2:$A$498, 'Tax Bill Summary'!$A48, 'GE16FEB14 Tax Bill Unfudged'!J$2:J$498)</f>
        <v>494504</v>
      </c>
      <c r="AC48" s="56">
        <f t="shared" si="67"/>
        <v>93163</v>
      </c>
      <c r="AD48" s="51">
        <f t="shared" si="68"/>
        <v>832969</v>
      </c>
      <c r="AE48" s="13">
        <f t="shared" si="69"/>
        <v>713383</v>
      </c>
      <c r="AF48" s="56">
        <f t="shared" si="70"/>
        <v>119586</v>
      </c>
      <c r="AG48" s="13">
        <f t="shared" si="71"/>
        <v>1738.9749478079332</v>
      </c>
      <c r="AH48" s="13">
        <f t="shared" si="72"/>
        <v>1489.3173277661795</v>
      </c>
      <c r="AI48" s="16">
        <f t="shared" si="73"/>
        <v>249.65762004175366</v>
      </c>
      <c r="AJ48" s="15">
        <f t="shared" si="74"/>
        <v>2783</v>
      </c>
      <c r="AK48" s="13">
        <f t="shared" si="75"/>
        <v>2483</v>
      </c>
      <c r="AL48" s="56">
        <f t="shared" si="76"/>
        <v>300</v>
      </c>
      <c r="AM48" s="51">
        <f t="shared" si="77"/>
        <v>203181</v>
      </c>
      <c r="AN48" s="13">
        <f t="shared" si="78"/>
        <v>181295</v>
      </c>
      <c r="AO48" s="56">
        <f t="shared" si="79"/>
        <v>21886</v>
      </c>
      <c r="AP48" s="51">
        <f t="shared" si="80"/>
        <v>-203181</v>
      </c>
      <c r="AQ48" s="13">
        <f t="shared" si="81"/>
        <v>-203181</v>
      </c>
      <c r="AR48" s="56">
        <f t="shared" si="82"/>
        <v>0</v>
      </c>
      <c r="AS48" s="51">
        <f t="shared" si="83"/>
        <v>2783</v>
      </c>
      <c r="AT48" s="13">
        <f t="shared" si="84"/>
        <v>-19403</v>
      </c>
      <c r="AU48" s="56">
        <f t="shared" si="85"/>
        <v>22186</v>
      </c>
      <c r="AV48" s="13">
        <f t="shared" si="86"/>
        <v>5.8100208768266839</v>
      </c>
      <c r="AW48" s="13">
        <f t="shared" si="87"/>
        <v>-40.507306889353003</v>
      </c>
      <c r="AX48" s="16">
        <f t="shared" si="88"/>
        <v>46.317327766179545</v>
      </c>
    </row>
    <row r="49" spans="1:50" x14ac:dyDescent="0.25">
      <c r="A49" s="20">
        <v>94</v>
      </c>
      <c r="B49">
        <v>1</v>
      </c>
      <c r="C49" s="23" t="s">
        <v>167</v>
      </c>
      <c r="D49" s="23">
        <v>4</v>
      </c>
      <c r="E49" s="15">
        <f>+SUMIF('GE16FEB14 Unfudged'!$A$2:$A$498, $A49, 'GE16FEB14 Unfudged'!$D$2:$D$498)</f>
        <v>2887</v>
      </c>
      <c r="F49" s="15">
        <f>+SUMIF('GE16FEB14 Unfudged'!$A$2:$A$498, 'Tax Bill Summary'!$A49, 'GE16FEB14 Unfudged'!E$2:E$498)</f>
        <v>415757</v>
      </c>
      <c r="G49" s="13">
        <f>+SUMIF('GE16FEB14 Unfudged'!$A$2:$A$498, 'Tax Bill Summary'!$A49, 'GE16FEB14 Unfudged'!F$2:F$498)</f>
        <v>265051</v>
      </c>
      <c r="H49" s="56">
        <f t="shared" si="56"/>
        <v>150706</v>
      </c>
      <c r="I49" s="51">
        <f>+SUMIF('GE16FEB14 Unfudged'!$A$2:$A$498, 'Tax Bill Summary'!$A49, 'GE16FEB14 Unfudged'!G$2:G$498)</f>
        <v>612086</v>
      </c>
      <c r="J49" s="13">
        <f>+SUMIF('GE16FEB14 Unfudged'!$A$2:$A$498, 'Tax Bill Summary'!$A49, 'GE16FEB14 Unfudged'!H$2:H$498)</f>
        <v>390213</v>
      </c>
      <c r="K49" s="56">
        <f t="shared" si="57"/>
        <v>221873</v>
      </c>
      <c r="L49" s="51">
        <f>+SUMIF('GE16FEB14 Unfudged'!$A$2:$A$498, 'Tax Bill Summary'!$A49, 'GE16FEB14 Unfudged'!I$2:IF$498)</f>
        <v>866160</v>
      </c>
      <c r="M49" s="13">
        <f>+SUMIF('GE16FEB14 Unfudged'!$A$2:$A$498, 'Tax Bill Summary'!$A49, 'GE16FEB14 Unfudged'!J$2:IG$498)</f>
        <v>320018</v>
      </c>
      <c r="N49" s="56">
        <f t="shared" si="58"/>
        <v>546142</v>
      </c>
      <c r="O49" s="51">
        <f t="shared" si="59"/>
        <v>1894003</v>
      </c>
      <c r="P49" s="13">
        <f t="shared" si="60"/>
        <v>975282</v>
      </c>
      <c r="Q49" s="56">
        <f t="shared" si="61"/>
        <v>918721</v>
      </c>
      <c r="R49" s="13">
        <f t="shared" si="62"/>
        <v>656.04537582265323</v>
      </c>
      <c r="S49" s="13">
        <f t="shared" si="63"/>
        <v>337.81849670938692</v>
      </c>
      <c r="T49" s="16">
        <f t="shared" si="64"/>
        <v>318.22687911326636</v>
      </c>
      <c r="U49" s="15">
        <f>+SUMIF('GE16FEB14 Tax Bill Unfudged'!$A$2:$A$498, 'Tax Bill Summary'!$A49, 'GE16FEB14 Tax Bill Unfudged'!E$2:E$498)</f>
        <v>415757</v>
      </c>
      <c r="V49" s="13">
        <f>+SUMIF('GE16FEB14 Tax Bill Unfudged'!$A$2:$A$498, 'Tax Bill Summary'!$A49, 'GE16FEB14 Tax Bill Unfudged'!F$2:F$498)</f>
        <v>265051</v>
      </c>
      <c r="W49" s="56">
        <f t="shared" si="65"/>
        <v>150706</v>
      </c>
      <c r="X49" s="51">
        <f>+SUMIF('GE16FEB14 Tax Bill Unfudged'!$A$2:$A$498, 'Tax Bill Summary'!$A49, 'GE16FEB14 Tax Bill Unfudged'!G$2:G$498)</f>
        <v>1224173</v>
      </c>
      <c r="Y49" s="13">
        <f>+SUMIF('GE16FEB14 Tax Bill Unfudged'!$A$2:$A$498, 'Tax Bill Summary'!$A49, 'GE16FEB14 Tax Bill Unfudged'!H$2:H$498)</f>
        <v>780427</v>
      </c>
      <c r="Z49" s="56">
        <f t="shared" si="66"/>
        <v>443746</v>
      </c>
      <c r="AA49" s="51">
        <f>+SUMIF('GE16FEB14 Tax Bill Unfudged'!$A$2:$A$498, 'Tax Bill Summary'!$A49, 'GE16FEB14 Tax Bill Unfudged'!I$2:I$498)</f>
        <v>866160</v>
      </c>
      <c r="AB49" s="13">
        <f>+SUMIF('GE16FEB14 Tax Bill Unfudged'!$A$2:$A$498, 'Tax Bill Summary'!$A49, 'GE16FEB14 Tax Bill Unfudged'!J$2:J$498)</f>
        <v>320018</v>
      </c>
      <c r="AC49" s="56">
        <f t="shared" si="67"/>
        <v>546142</v>
      </c>
      <c r="AD49" s="51">
        <f t="shared" si="68"/>
        <v>2506090</v>
      </c>
      <c r="AE49" s="13">
        <f t="shared" si="69"/>
        <v>1365496</v>
      </c>
      <c r="AF49" s="56">
        <f t="shared" si="70"/>
        <v>1140594</v>
      </c>
      <c r="AG49" s="13">
        <f t="shared" si="71"/>
        <v>868.06027017665394</v>
      </c>
      <c r="AH49" s="13">
        <f t="shared" si="72"/>
        <v>472.98094908209214</v>
      </c>
      <c r="AI49" s="16">
        <f t="shared" si="73"/>
        <v>395.07932109456181</v>
      </c>
      <c r="AJ49" s="15">
        <f t="shared" si="74"/>
        <v>0</v>
      </c>
      <c r="AK49" s="13">
        <f t="shared" si="75"/>
        <v>0</v>
      </c>
      <c r="AL49" s="56">
        <f t="shared" si="76"/>
        <v>0</v>
      </c>
      <c r="AM49" s="51">
        <f t="shared" si="77"/>
        <v>612087</v>
      </c>
      <c r="AN49" s="13">
        <f t="shared" si="78"/>
        <v>390214</v>
      </c>
      <c r="AO49" s="56">
        <f t="shared" si="79"/>
        <v>221873</v>
      </c>
      <c r="AP49" s="51">
        <f t="shared" si="80"/>
        <v>0</v>
      </c>
      <c r="AQ49" s="13">
        <f t="shared" si="81"/>
        <v>0</v>
      </c>
      <c r="AR49" s="56">
        <f t="shared" si="82"/>
        <v>0</v>
      </c>
      <c r="AS49" s="51">
        <f t="shared" si="83"/>
        <v>612087</v>
      </c>
      <c r="AT49" s="13">
        <f t="shared" si="84"/>
        <v>390214</v>
      </c>
      <c r="AU49" s="56">
        <f t="shared" si="85"/>
        <v>221873</v>
      </c>
      <c r="AV49" s="13">
        <f t="shared" si="86"/>
        <v>212.01489435400072</v>
      </c>
      <c r="AW49" s="13">
        <f t="shared" si="87"/>
        <v>135.16245237270522</v>
      </c>
      <c r="AX49" s="16">
        <f t="shared" si="88"/>
        <v>76.852441981295442</v>
      </c>
    </row>
    <row r="50" spans="1:50" x14ac:dyDescent="0.25">
      <c r="A50" s="20">
        <v>95</v>
      </c>
      <c r="B50">
        <v>1</v>
      </c>
      <c r="C50" s="23" t="s">
        <v>168</v>
      </c>
      <c r="D50" s="23">
        <v>6</v>
      </c>
      <c r="E50" s="15">
        <f>+SUMIF('GE16FEB14 Unfudged'!$A$2:$A$498, $A50, 'GE16FEB14 Unfudged'!$D$2:$D$498)</f>
        <v>349</v>
      </c>
      <c r="F50" s="15">
        <f>+SUMIF('GE16FEB14 Unfudged'!$A$2:$A$498, 'Tax Bill Summary'!$A50, 'GE16FEB14 Unfudged'!E$2:E$498)</f>
        <v>50256</v>
      </c>
      <c r="G50" s="13">
        <f>+SUMIF('GE16FEB14 Unfudged'!$A$2:$A$498, 'Tax Bill Summary'!$A50, 'GE16FEB14 Unfudged'!F$2:F$498)</f>
        <v>36993</v>
      </c>
      <c r="H50" s="56">
        <f t="shared" si="56"/>
        <v>13263</v>
      </c>
      <c r="I50" s="51">
        <f>+SUMIF('GE16FEB14 Unfudged'!$A$2:$A$498, 'Tax Bill Summary'!$A50, 'GE16FEB14 Unfudged'!G$2:G$498)</f>
        <v>0</v>
      </c>
      <c r="J50" s="13">
        <f>+SUMIF('GE16FEB14 Unfudged'!$A$2:$A$498, 'Tax Bill Summary'!$A50, 'GE16FEB14 Unfudged'!H$2:H$498)</f>
        <v>0</v>
      </c>
      <c r="K50" s="56">
        <f t="shared" si="57"/>
        <v>0</v>
      </c>
      <c r="L50" s="51">
        <f>+SUMIF('GE16FEB14 Unfudged'!$A$2:$A$498, 'Tax Bill Summary'!$A50, 'GE16FEB14 Unfudged'!I$2:IF$498)</f>
        <v>104700</v>
      </c>
      <c r="M50" s="13">
        <f>+SUMIF('GE16FEB14 Unfudged'!$A$2:$A$498, 'Tax Bill Summary'!$A50, 'GE16FEB14 Unfudged'!J$2:IG$498)</f>
        <v>44665</v>
      </c>
      <c r="N50" s="56">
        <f t="shared" si="58"/>
        <v>60035</v>
      </c>
      <c r="O50" s="51">
        <f t="shared" si="59"/>
        <v>154956</v>
      </c>
      <c r="P50" s="13">
        <f t="shared" si="60"/>
        <v>81658</v>
      </c>
      <c r="Q50" s="56">
        <f t="shared" si="61"/>
        <v>73298</v>
      </c>
      <c r="R50" s="13">
        <f t="shared" si="62"/>
        <v>444</v>
      </c>
      <c r="S50" s="13">
        <f t="shared" si="63"/>
        <v>233.97707736389685</v>
      </c>
      <c r="T50" s="16">
        <f t="shared" si="64"/>
        <v>210.02292263610315</v>
      </c>
      <c r="U50" s="15">
        <f>+SUMIF('GE16FEB14 Tax Bill Unfudged'!$A$2:$A$498, 'Tax Bill Summary'!$A50, 'GE16FEB14 Tax Bill Unfudged'!E$2:E$498)</f>
        <v>50256</v>
      </c>
      <c r="V50" s="13">
        <f>+SUMIF('GE16FEB14 Tax Bill Unfudged'!$A$2:$A$498, 'Tax Bill Summary'!$A50, 'GE16FEB14 Tax Bill Unfudged'!F$2:F$498)</f>
        <v>36993</v>
      </c>
      <c r="W50" s="56">
        <f t="shared" si="65"/>
        <v>13263</v>
      </c>
      <c r="X50" s="51">
        <f>+SUMIF('GE16FEB14 Tax Bill Unfudged'!$A$2:$A$498, 'Tax Bill Summary'!$A50, 'GE16FEB14 Tax Bill Unfudged'!G$2:G$498)</f>
        <v>147976</v>
      </c>
      <c r="Y50" s="13">
        <f>+SUMIF('GE16FEB14 Tax Bill Unfudged'!$A$2:$A$498, 'Tax Bill Summary'!$A50, 'GE16FEB14 Tax Bill Unfudged'!H$2:H$498)</f>
        <v>108924</v>
      </c>
      <c r="Z50" s="56">
        <f t="shared" si="66"/>
        <v>39052</v>
      </c>
      <c r="AA50" s="51">
        <f>+SUMIF('GE16FEB14 Tax Bill Unfudged'!$A$2:$A$498, 'Tax Bill Summary'!$A50, 'GE16FEB14 Tax Bill Unfudged'!I$2:I$498)</f>
        <v>104700</v>
      </c>
      <c r="AB50" s="13">
        <f>+SUMIF('GE16FEB14 Tax Bill Unfudged'!$A$2:$A$498, 'Tax Bill Summary'!$A50, 'GE16FEB14 Tax Bill Unfudged'!J$2:J$498)</f>
        <v>44665</v>
      </c>
      <c r="AC50" s="56">
        <f t="shared" si="67"/>
        <v>60035</v>
      </c>
      <c r="AD50" s="51">
        <f t="shared" si="68"/>
        <v>302932</v>
      </c>
      <c r="AE50" s="13">
        <f t="shared" si="69"/>
        <v>190582</v>
      </c>
      <c r="AF50" s="56">
        <f t="shared" si="70"/>
        <v>112350</v>
      </c>
      <c r="AG50" s="13">
        <f t="shared" si="71"/>
        <v>868</v>
      </c>
      <c r="AH50" s="13">
        <f t="shared" si="72"/>
        <v>546.08022922636098</v>
      </c>
      <c r="AI50" s="16">
        <f t="shared" si="73"/>
        <v>321.91977077363896</v>
      </c>
      <c r="AJ50" s="15">
        <f t="shared" si="74"/>
        <v>0</v>
      </c>
      <c r="AK50" s="13">
        <f t="shared" si="75"/>
        <v>0</v>
      </c>
      <c r="AL50" s="56">
        <f t="shared" si="76"/>
        <v>0</v>
      </c>
      <c r="AM50" s="51">
        <f t="shared" si="77"/>
        <v>147976</v>
      </c>
      <c r="AN50" s="13">
        <f t="shared" si="78"/>
        <v>108924</v>
      </c>
      <c r="AO50" s="56">
        <f t="shared" si="79"/>
        <v>39052</v>
      </c>
      <c r="AP50" s="51">
        <f t="shared" si="80"/>
        <v>0</v>
      </c>
      <c r="AQ50" s="13">
        <f t="shared" si="81"/>
        <v>0</v>
      </c>
      <c r="AR50" s="56">
        <f t="shared" si="82"/>
        <v>0</v>
      </c>
      <c r="AS50" s="51">
        <f t="shared" si="83"/>
        <v>147976</v>
      </c>
      <c r="AT50" s="13">
        <f t="shared" si="84"/>
        <v>108924</v>
      </c>
      <c r="AU50" s="56">
        <f t="shared" si="85"/>
        <v>39052</v>
      </c>
      <c r="AV50" s="13">
        <f t="shared" si="86"/>
        <v>424</v>
      </c>
      <c r="AW50" s="13">
        <f t="shared" si="87"/>
        <v>312.10315186246413</v>
      </c>
      <c r="AX50" s="16">
        <f t="shared" si="88"/>
        <v>111.89684813753581</v>
      </c>
    </row>
    <row r="51" spans="1:50" x14ac:dyDescent="0.25">
      <c r="A51" s="20">
        <v>97</v>
      </c>
      <c r="B51">
        <v>1</v>
      </c>
      <c r="C51" s="23" t="s">
        <v>169</v>
      </c>
      <c r="D51" s="23">
        <v>6</v>
      </c>
      <c r="E51" s="15">
        <f>+SUMIF('GE16FEB14 Unfudged'!$A$2:$A$498, $A51, 'GE16FEB14 Unfudged'!$D$2:$D$498)</f>
        <v>689</v>
      </c>
      <c r="F51" s="15">
        <f>+SUMIF('GE16FEB14 Unfudged'!$A$2:$A$498, 'Tax Bill Summary'!$A51, 'GE16FEB14 Unfudged'!E$2:E$498)</f>
        <v>94526</v>
      </c>
      <c r="G51" s="13">
        <f>+SUMIF('GE16FEB14 Unfudged'!$A$2:$A$498, 'Tax Bill Summary'!$A51, 'GE16FEB14 Unfudged'!F$2:F$498)</f>
        <v>74829</v>
      </c>
      <c r="H51" s="56">
        <f t="shared" si="56"/>
        <v>19697</v>
      </c>
      <c r="I51" s="51">
        <f>+SUMIF('GE16FEB14 Unfudged'!$A$2:$A$498, 'Tax Bill Summary'!$A51, 'GE16FEB14 Unfudged'!G$2:G$498)</f>
        <v>0</v>
      </c>
      <c r="J51" s="13">
        <f>+SUMIF('GE16FEB14 Unfudged'!$A$2:$A$498, 'Tax Bill Summary'!$A51, 'GE16FEB14 Unfudged'!H$2:H$498)</f>
        <v>0</v>
      </c>
      <c r="K51" s="56">
        <f t="shared" si="57"/>
        <v>0</v>
      </c>
      <c r="L51" s="51">
        <f>+SUMIF('GE16FEB14 Unfudged'!$A$2:$A$498, 'Tax Bill Summary'!$A51, 'GE16FEB14 Unfudged'!I$2:IF$498)</f>
        <v>307625</v>
      </c>
      <c r="M51" s="13">
        <f>+SUMIF('GE16FEB14 Unfudged'!$A$2:$A$498, 'Tax Bill Summary'!$A51, 'GE16FEB14 Unfudged'!J$2:IG$498)</f>
        <v>174764</v>
      </c>
      <c r="N51" s="56">
        <f t="shared" si="58"/>
        <v>132861</v>
      </c>
      <c r="O51" s="51">
        <f t="shared" si="59"/>
        <v>402151</v>
      </c>
      <c r="P51" s="13">
        <f t="shared" si="60"/>
        <v>249593</v>
      </c>
      <c r="Q51" s="56">
        <f t="shared" si="61"/>
        <v>152558</v>
      </c>
      <c r="R51" s="13">
        <f t="shared" si="62"/>
        <v>583.67343976777943</v>
      </c>
      <c r="S51" s="13">
        <f t="shared" si="63"/>
        <v>362.25399129172712</v>
      </c>
      <c r="T51" s="16">
        <f t="shared" si="64"/>
        <v>221.41944847605225</v>
      </c>
      <c r="U51" s="15">
        <f>+SUMIF('GE16FEB14 Tax Bill Unfudged'!$A$2:$A$498, 'Tax Bill Summary'!$A51, 'GE16FEB14 Tax Bill Unfudged'!E$2:E$498)</f>
        <v>99158</v>
      </c>
      <c r="V51" s="13">
        <f>+SUMIF('GE16FEB14 Tax Bill Unfudged'!$A$2:$A$498, 'Tax Bill Summary'!$A51, 'GE16FEB14 Tax Bill Unfudged'!F$2:F$498)</f>
        <v>78495</v>
      </c>
      <c r="W51" s="56">
        <f t="shared" si="65"/>
        <v>20663</v>
      </c>
      <c r="X51" s="51">
        <f>+SUMIF('GE16FEB14 Tax Bill Unfudged'!$A$2:$A$498, 'Tax Bill Summary'!$A51, 'GE16FEB14 Tax Bill Unfudged'!G$2:G$498)</f>
        <v>291966</v>
      </c>
      <c r="Y51" s="13">
        <f>+SUMIF('GE16FEB14 Tax Bill Unfudged'!$A$2:$A$498, 'Tax Bill Summary'!$A51, 'GE16FEB14 Tax Bill Unfudged'!H$2:H$498)</f>
        <v>231126</v>
      </c>
      <c r="Z51" s="56">
        <f t="shared" si="66"/>
        <v>60840</v>
      </c>
      <c r="AA51" s="51">
        <f>+SUMIF('GE16FEB14 Tax Bill Unfudged'!$A$2:$A$498, 'Tax Bill Summary'!$A51, 'GE16FEB14 Tax Bill Unfudged'!I$2:I$498)</f>
        <v>206580</v>
      </c>
      <c r="AB51" s="13">
        <f>+SUMIF('GE16FEB14 Tax Bill Unfudged'!$A$2:$A$498, 'Tax Bill Summary'!$A51, 'GE16FEB14 Tax Bill Unfudged'!J$2:J$498)</f>
        <v>94775</v>
      </c>
      <c r="AC51" s="56">
        <f t="shared" si="67"/>
        <v>111805</v>
      </c>
      <c r="AD51" s="51">
        <f t="shared" si="68"/>
        <v>597704</v>
      </c>
      <c r="AE51" s="13">
        <f t="shared" si="69"/>
        <v>404396</v>
      </c>
      <c r="AF51" s="56">
        <f t="shared" si="70"/>
        <v>193308</v>
      </c>
      <c r="AG51" s="13">
        <f t="shared" si="71"/>
        <v>867.49492017416549</v>
      </c>
      <c r="AH51" s="13">
        <f t="shared" si="72"/>
        <v>586.93178519593619</v>
      </c>
      <c r="AI51" s="16">
        <f t="shared" si="73"/>
        <v>280.5631349782293</v>
      </c>
      <c r="AJ51" s="15">
        <f t="shared" si="74"/>
        <v>4632</v>
      </c>
      <c r="AK51" s="13">
        <f t="shared" si="75"/>
        <v>3666</v>
      </c>
      <c r="AL51" s="56">
        <f t="shared" si="76"/>
        <v>966</v>
      </c>
      <c r="AM51" s="51">
        <f t="shared" si="77"/>
        <v>291966</v>
      </c>
      <c r="AN51" s="13">
        <f t="shared" si="78"/>
        <v>231126</v>
      </c>
      <c r="AO51" s="56">
        <f t="shared" si="79"/>
        <v>60840</v>
      </c>
      <c r="AP51" s="51">
        <f t="shared" si="80"/>
        <v>-101045</v>
      </c>
      <c r="AQ51" s="13">
        <f t="shared" si="81"/>
        <v>-79989</v>
      </c>
      <c r="AR51" s="56">
        <f t="shared" si="82"/>
        <v>-21056</v>
      </c>
      <c r="AS51" s="51">
        <f t="shared" si="83"/>
        <v>195553</v>
      </c>
      <c r="AT51" s="13">
        <f t="shared" si="84"/>
        <v>154803</v>
      </c>
      <c r="AU51" s="56">
        <f t="shared" si="85"/>
        <v>40750</v>
      </c>
      <c r="AV51" s="13">
        <f t="shared" si="86"/>
        <v>283.82148040638606</v>
      </c>
      <c r="AW51" s="13">
        <f t="shared" si="87"/>
        <v>224.67779390420907</v>
      </c>
      <c r="AX51" s="16">
        <f t="shared" si="88"/>
        <v>59.143686502177047</v>
      </c>
    </row>
    <row r="52" spans="1:50" x14ac:dyDescent="0.25">
      <c r="A52" s="20">
        <v>99</v>
      </c>
      <c r="B52">
        <v>1</v>
      </c>
      <c r="C52" s="23" t="s">
        <v>170</v>
      </c>
      <c r="D52" s="23">
        <v>5</v>
      </c>
      <c r="E52" s="15">
        <f>+SUMIF('GE16FEB14 Unfudged'!$A$2:$A$498, $A52, 'GE16FEB14 Unfudged'!$D$2:$D$498)</f>
        <v>1309</v>
      </c>
      <c r="F52" s="15">
        <f>+SUMIF('GE16FEB14 Unfudged'!$A$2:$A$498, 'Tax Bill Summary'!$A52, 'GE16FEB14 Unfudged'!E$2:E$498)</f>
        <v>187528</v>
      </c>
      <c r="G52" s="13">
        <f>+SUMIF('GE16FEB14 Unfudged'!$A$2:$A$498, 'Tax Bill Summary'!$A52, 'GE16FEB14 Unfudged'!F$2:F$498)</f>
        <v>127226</v>
      </c>
      <c r="H52" s="56">
        <f t="shared" si="56"/>
        <v>60302</v>
      </c>
      <c r="I52" s="51">
        <f>+SUMIF('GE16FEB14 Unfudged'!$A$2:$A$498, 'Tax Bill Summary'!$A52, 'GE16FEB14 Unfudged'!G$2:G$498)</f>
        <v>0</v>
      </c>
      <c r="J52" s="13">
        <f>+SUMIF('GE16FEB14 Unfudged'!$A$2:$A$498, 'Tax Bill Summary'!$A52, 'GE16FEB14 Unfudged'!H$2:H$498)</f>
        <v>0</v>
      </c>
      <c r="K52" s="56">
        <f t="shared" si="57"/>
        <v>0</v>
      </c>
      <c r="L52" s="51">
        <f>+SUMIF('GE16FEB14 Unfudged'!$A$2:$A$498, 'Tax Bill Summary'!$A52, 'GE16FEB14 Unfudged'!I$2:IF$498)</f>
        <v>413123</v>
      </c>
      <c r="M52" s="13">
        <f>+SUMIF('GE16FEB14 Unfudged'!$A$2:$A$498, 'Tax Bill Summary'!$A52, 'GE16FEB14 Unfudged'!J$2:IG$498)</f>
        <v>168277</v>
      </c>
      <c r="N52" s="56">
        <f t="shared" si="58"/>
        <v>244846</v>
      </c>
      <c r="O52" s="51">
        <f t="shared" si="59"/>
        <v>600651</v>
      </c>
      <c r="P52" s="13">
        <f t="shared" si="60"/>
        <v>295503</v>
      </c>
      <c r="Q52" s="56">
        <f t="shared" si="61"/>
        <v>305148</v>
      </c>
      <c r="R52" s="13">
        <f t="shared" si="62"/>
        <v>458.86249045072577</v>
      </c>
      <c r="S52" s="13">
        <f t="shared" si="63"/>
        <v>225.74713521772344</v>
      </c>
      <c r="T52" s="16">
        <f t="shared" si="64"/>
        <v>233.1153552330023</v>
      </c>
      <c r="U52" s="15">
        <f>+SUMIF('GE16FEB14 Tax Bill Unfudged'!$A$2:$A$498, 'Tax Bill Summary'!$A52, 'GE16FEB14 Tax Bill Unfudged'!E$2:E$498)</f>
        <v>188467</v>
      </c>
      <c r="V52" s="13">
        <f>+SUMIF('GE16FEB14 Tax Bill Unfudged'!$A$2:$A$498, 'Tax Bill Summary'!$A52, 'GE16FEB14 Tax Bill Unfudged'!F$2:F$498)</f>
        <v>127863</v>
      </c>
      <c r="W52" s="56">
        <f t="shared" si="65"/>
        <v>60604</v>
      </c>
      <c r="X52" s="51">
        <f>+SUMIF('GE16FEB14 Tax Bill Unfudged'!$A$2:$A$498, 'Tax Bill Summary'!$A52, 'GE16FEB14 Tax Bill Unfudged'!G$2:G$498)</f>
        <v>554931</v>
      </c>
      <c r="Y52" s="13">
        <f>+SUMIF('GE16FEB14 Tax Bill Unfudged'!$A$2:$A$498, 'Tax Bill Summary'!$A52, 'GE16FEB14 Tax Bill Unfudged'!H$2:H$498)</f>
        <v>376487</v>
      </c>
      <c r="Z52" s="56">
        <f t="shared" si="66"/>
        <v>178444</v>
      </c>
      <c r="AA52" s="51">
        <f>+SUMIF('GE16FEB14 Tax Bill Unfudged'!$A$2:$A$498, 'Tax Bill Summary'!$A52, 'GE16FEB14 Tax Bill Unfudged'!I$2:I$498)</f>
        <v>392640</v>
      </c>
      <c r="AB52" s="13">
        <f>+SUMIF('GE16FEB14 Tax Bill Unfudged'!$A$2:$A$498, 'Tax Bill Summary'!$A52, 'GE16FEB14 Tax Bill Unfudged'!J$2:J$498)</f>
        <v>154381</v>
      </c>
      <c r="AC52" s="56">
        <f t="shared" si="67"/>
        <v>238259</v>
      </c>
      <c r="AD52" s="51">
        <f t="shared" si="68"/>
        <v>1136038</v>
      </c>
      <c r="AE52" s="13">
        <f t="shared" si="69"/>
        <v>658731</v>
      </c>
      <c r="AF52" s="56">
        <f t="shared" si="70"/>
        <v>477307</v>
      </c>
      <c r="AG52" s="13">
        <f t="shared" si="71"/>
        <v>867.86707410236818</v>
      </c>
      <c r="AH52" s="13">
        <f t="shared" si="72"/>
        <v>503.23223834988539</v>
      </c>
      <c r="AI52" s="16">
        <f t="shared" si="73"/>
        <v>364.63483575248279</v>
      </c>
      <c r="AJ52" s="15">
        <f t="shared" si="74"/>
        <v>939</v>
      </c>
      <c r="AK52" s="13">
        <f t="shared" si="75"/>
        <v>637</v>
      </c>
      <c r="AL52" s="56">
        <f t="shared" si="76"/>
        <v>302</v>
      </c>
      <c r="AM52" s="51">
        <f t="shared" si="77"/>
        <v>554931</v>
      </c>
      <c r="AN52" s="13">
        <f t="shared" si="78"/>
        <v>376487</v>
      </c>
      <c r="AO52" s="56">
        <f t="shared" si="79"/>
        <v>178444</v>
      </c>
      <c r="AP52" s="51">
        <f t="shared" si="80"/>
        <v>-20483</v>
      </c>
      <c r="AQ52" s="13">
        <f t="shared" si="81"/>
        <v>-13896</v>
      </c>
      <c r="AR52" s="56">
        <f t="shared" si="82"/>
        <v>-6587</v>
      </c>
      <c r="AS52" s="51">
        <f t="shared" si="83"/>
        <v>535387</v>
      </c>
      <c r="AT52" s="13">
        <f t="shared" si="84"/>
        <v>363228</v>
      </c>
      <c r="AU52" s="56">
        <f t="shared" si="85"/>
        <v>172159</v>
      </c>
      <c r="AV52" s="13">
        <f t="shared" si="86"/>
        <v>409.00458365164241</v>
      </c>
      <c r="AW52" s="13">
        <f t="shared" si="87"/>
        <v>277.48510313216195</v>
      </c>
      <c r="AX52" s="16">
        <f t="shared" si="88"/>
        <v>131.51948051948048</v>
      </c>
    </row>
    <row r="53" spans="1:50" x14ac:dyDescent="0.25">
      <c r="A53" s="20">
        <v>100</v>
      </c>
      <c r="B53">
        <v>1</v>
      </c>
      <c r="C53" s="23" t="s">
        <v>171</v>
      </c>
      <c r="D53" s="23">
        <v>6</v>
      </c>
      <c r="E53" s="15">
        <f>+SUMIF('GE16FEB14 Unfudged'!$A$2:$A$498, $A53, 'GE16FEB14 Unfudged'!$D$2:$D$498)</f>
        <v>326</v>
      </c>
      <c r="F53" s="15">
        <f>+SUMIF('GE16FEB14 Unfudged'!$A$2:$A$498, 'Tax Bill Summary'!$A53, 'GE16FEB14 Unfudged'!E$2:E$498)</f>
        <v>43337</v>
      </c>
      <c r="G53" s="13">
        <f>+SUMIF('GE16FEB14 Unfudged'!$A$2:$A$498, 'Tax Bill Summary'!$A53, 'GE16FEB14 Unfudged'!F$2:F$498)</f>
        <v>43337</v>
      </c>
      <c r="H53" s="56">
        <f t="shared" si="56"/>
        <v>0</v>
      </c>
      <c r="I53" s="51">
        <f>+SUMIF('GE16FEB14 Unfudged'!$A$2:$A$498, 'Tax Bill Summary'!$A53, 'GE16FEB14 Unfudged'!G$2:G$498)</f>
        <v>0</v>
      </c>
      <c r="J53" s="13">
        <f>+SUMIF('GE16FEB14 Unfudged'!$A$2:$A$498, 'Tax Bill Summary'!$A53, 'GE16FEB14 Unfudged'!H$2:H$498)</f>
        <v>0</v>
      </c>
      <c r="K53" s="56">
        <f t="shared" si="57"/>
        <v>0</v>
      </c>
      <c r="L53" s="51">
        <f>+SUMIF('GE16FEB14 Unfudged'!$A$2:$A$498, 'Tax Bill Summary'!$A53, 'GE16FEB14 Unfudged'!I$2:IF$498)</f>
        <v>175101</v>
      </c>
      <c r="M53" s="13">
        <f>+SUMIF('GE16FEB14 Unfudged'!$A$2:$A$498, 'Tax Bill Summary'!$A53, 'GE16FEB14 Unfudged'!J$2:IG$498)</f>
        <v>150831</v>
      </c>
      <c r="N53" s="56">
        <f t="shared" si="58"/>
        <v>24270</v>
      </c>
      <c r="O53" s="51">
        <f t="shared" si="59"/>
        <v>218438</v>
      </c>
      <c r="P53" s="13">
        <f t="shared" si="60"/>
        <v>194168</v>
      </c>
      <c r="Q53" s="56">
        <f t="shared" si="61"/>
        <v>24270</v>
      </c>
      <c r="R53" s="13">
        <f t="shared" si="62"/>
        <v>670.05521472392638</v>
      </c>
      <c r="S53" s="13">
        <f t="shared" si="63"/>
        <v>595.60736196319021</v>
      </c>
      <c r="T53" s="16">
        <f t="shared" si="64"/>
        <v>74.447852760736197</v>
      </c>
      <c r="U53" s="15">
        <f>+SUMIF('GE16FEB14 Tax Bill Unfudged'!$A$2:$A$498, 'Tax Bill Summary'!$A53, 'GE16FEB14 Tax Bill Unfudged'!E$2:E$498)</f>
        <v>46886</v>
      </c>
      <c r="V53" s="13">
        <f>+SUMIF('GE16FEB14 Tax Bill Unfudged'!$A$2:$A$498, 'Tax Bill Summary'!$A53, 'GE16FEB14 Tax Bill Unfudged'!F$2:F$498)</f>
        <v>46886</v>
      </c>
      <c r="W53" s="56">
        <f t="shared" si="65"/>
        <v>0</v>
      </c>
      <c r="X53" s="51">
        <f>+SUMIF('GE16FEB14 Tax Bill Unfudged'!$A$2:$A$498, 'Tax Bill Summary'!$A53, 'GE16FEB14 Tax Bill Unfudged'!G$2:G$498)</f>
        <v>138054</v>
      </c>
      <c r="Y53" s="13">
        <f>+SUMIF('GE16FEB14 Tax Bill Unfudged'!$A$2:$A$498, 'Tax Bill Summary'!$A53, 'GE16FEB14 Tax Bill Unfudged'!H$2:H$498)</f>
        <v>138054</v>
      </c>
      <c r="Z53" s="56">
        <f t="shared" si="66"/>
        <v>0</v>
      </c>
      <c r="AA53" s="51">
        <f>+SUMIF('GE16FEB14 Tax Bill Unfudged'!$A$2:$A$498, 'Tax Bill Summary'!$A53, 'GE16FEB14 Tax Bill Unfudged'!I$2:I$498)</f>
        <v>97680</v>
      </c>
      <c r="AB53" s="13">
        <f>+SUMIF('GE16FEB14 Tax Bill Unfudged'!$A$2:$A$498, 'Tax Bill Summary'!$A53, 'GE16FEB14 Tax Bill Unfudged'!J$2:J$498)</f>
        <v>73410</v>
      </c>
      <c r="AC53" s="56">
        <f t="shared" si="67"/>
        <v>24270</v>
      </c>
      <c r="AD53" s="51">
        <f t="shared" si="68"/>
        <v>282620</v>
      </c>
      <c r="AE53" s="13">
        <f t="shared" si="69"/>
        <v>258350</v>
      </c>
      <c r="AF53" s="56">
        <f t="shared" si="70"/>
        <v>24270</v>
      </c>
      <c r="AG53" s="13">
        <f t="shared" si="71"/>
        <v>866.9325153374233</v>
      </c>
      <c r="AH53" s="13">
        <f t="shared" si="72"/>
        <v>792.48466257668713</v>
      </c>
      <c r="AI53" s="16">
        <f t="shared" si="73"/>
        <v>74.447852760736197</v>
      </c>
      <c r="AJ53" s="15">
        <f t="shared" si="74"/>
        <v>3549</v>
      </c>
      <c r="AK53" s="13">
        <f t="shared" si="75"/>
        <v>3549</v>
      </c>
      <c r="AL53" s="56">
        <f t="shared" si="76"/>
        <v>0</v>
      </c>
      <c r="AM53" s="51">
        <f t="shared" si="77"/>
        <v>138054</v>
      </c>
      <c r="AN53" s="13">
        <f t="shared" si="78"/>
        <v>138054</v>
      </c>
      <c r="AO53" s="56">
        <f t="shared" si="79"/>
        <v>0</v>
      </c>
      <c r="AP53" s="51">
        <f t="shared" si="80"/>
        <v>-77421</v>
      </c>
      <c r="AQ53" s="13">
        <f t="shared" si="81"/>
        <v>-77421</v>
      </c>
      <c r="AR53" s="56">
        <f t="shared" si="82"/>
        <v>0</v>
      </c>
      <c r="AS53" s="51">
        <f t="shared" si="83"/>
        <v>64182</v>
      </c>
      <c r="AT53" s="13">
        <f t="shared" si="84"/>
        <v>64182</v>
      </c>
      <c r="AU53" s="56">
        <f t="shared" si="85"/>
        <v>0</v>
      </c>
      <c r="AV53" s="13">
        <f t="shared" si="86"/>
        <v>196.87730061349691</v>
      </c>
      <c r="AW53" s="13">
        <f t="shared" si="87"/>
        <v>196.87730061349691</v>
      </c>
      <c r="AX53" s="16">
        <f t="shared" si="88"/>
        <v>0</v>
      </c>
    </row>
    <row r="54" spans="1:50" x14ac:dyDescent="0.25">
      <c r="A54" s="20">
        <v>108</v>
      </c>
      <c r="B54">
        <v>1</v>
      </c>
      <c r="C54" s="23" t="s">
        <v>172</v>
      </c>
      <c r="D54" s="23">
        <v>3</v>
      </c>
      <c r="E54" s="15">
        <f>+SUMIF('GE16FEB14 Unfudged'!$A$2:$A$498, $A54, 'GE16FEB14 Unfudged'!$D$2:$D$498)</f>
        <v>1113</v>
      </c>
      <c r="F54" s="15">
        <f>+SUMIF('GE16FEB14 Unfudged'!$A$2:$A$498, 'Tax Bill Summary'!$A54, 'GE16FEB14 Unfudged'!E$2:E$498)</f>
        <v>186428</v>
      </c>
      <c r="G54" s="13">
        <f>+SUMIF('GE16FEB14 Unfudged'!$A$2:$A$498, 'Tax Bill Summary'!$A54, 'GE16FEB14 Unfudged'!F$2:F$498)</f>
        <v>149836</v>
      </c>
      <c r="H54" s="56">
        <f t="shared" si="56"/>
        <v>36592</v>
      </c>
      <c r="I54" s="51">
        <f>+SUMIF('GE16FEB14 Unfudged'!$A$2:$A$498, 'Tax Bill Summary'!$A54, 'GE16FEB14 Unfudged'!G$2:G$498)</f>
        <v>471912</v>
      </c>
      <c r="J54" s="13">
        <f>+SUMIF('GE16FEB14 Unfudged'!$A$2:$A$498, 'Tax Bill Summary'!$A54, 'GE16FEB14 Unfudged'!H$2:H$498)</f>
        <v>379287</v>
      </c>
      <c r="K54" s="56">
        <f t="shared" si="57"/>
        <v>92625</v>
      </c>
      <c r="L54" s="51">
        <f>+SUMIF('GE16FEB14 Unfudged'!$A$2:$A$498, 'Tax Bill Summary'!$A54, 'GE16FEB14 Unfudged'!I$2:IF$498)</f>
        <v>333900</v>
      </c>
      <c r="M54" s="13">
        <f>+SUMIF('GE16FEB14 Unfudged'!$A$2:$A$498, 'Tax Bill Summary'!$A54, 'GE16FEB14 Unfudged'!J$2:IG$498)</f>
        <v>155529</v>
      </c>
      <c r="N54" s="56">
        <f t="shared" si="58"/>
        <v>178371</v>
      </c>
      <c r="O54" s="51">
        <f t="shared" si="59"/>
        <v>992240</v>
      </c>
      <c r="P54" s="13">
        <f t="shared" si="60"/>
        <v>684652</v>
      </c>
      <c r="Q54" s="56">
        <f t="shared" si="61"/>
        <v>307588</v>
      </c>
      <c r="R54" s="13">
        <f t="shared" si="62"/>
        <v>891.50044923629832</v>
      </c>
      <c r="S54" s="13">
        <f t="shared" si="63"/>
        <v>615.14106019766393</v>
      </c>
      <c r="T54" s="16">
        <f t="shared" si="64"/>
        <v>276.35938903863433</v>
      </c>
      <c r="U54" s="15">
        <f>+SUMIF('GE16FEB14 Tax Bill Unfudged'!$A$2:$A$498, 'Tax Bill Summary'!$A54, 'GE16FEB14 Tax Bill Unfudged'!E$2:E$498)</f>
        <v>186428</v>
      </c>
      <c r="V54" s="13">
        <f>+SUMIF('GE16FEB14 Tax Bill Unfudged'!$A$2:$A$498, 'Tax Bill Summary'!$A54, 'GE16FEB14 Tax Bill Unfudged'!F$2:F$498)</f>
        <v>149836</v>
      </c>
      <c r="W54" s="56">
        <f t="shared" si="65"/>
        <v>36592</v>
      </c>
      <c r="X54" s="51">
        <f>+SUMIF('GE16FEB14 Tax Bill Unfudged'!$A$2:$A$498, 'Tax Bill Summary'!$A54, 'GE16FEB14 Tax Bill Unfudged'!G$2:G$498)</f>
        <v>471912</v>
      </c>
      <c r="Y54" s="13">
        <f>+SUMIF('GE16FEB14 Tax Bill Unfudged'!$A$2:$A$498, 'Tax Bill Summary'!$A54, 'GE16FEB14 Tax Bill Unfudged'!H$2:H$498)</f>
        <v>379287</v>
      </c>
      <c r="Z54" s="56">
        <f t="shared" si="66"/>
        <v>92625</v>
      </c>
      <c r="AA54" s="51">
        <f>+SUMIF('GE16FEB14 Tax Bill Unfudged'!$A$2:$A$498, 'Tax Bill Summary'!$A54, 'GE16FEB14 Tax Bill Unfudged'!I$2:I$498)</f>
        <v>333900</v>
      </c>
      <c r="AB54" s="13">
        <f>+SUMIF('GE16FEB14 Tax Bill Unfudged'!$A$2:$A$498, 'Tax Bill Summary'!$A54, 'GE16FEB14 Tax Bill Unfudged'!J$2:J$498)</f>
        <v>155529</v>
      </c>
      <c r="AC54" s="56">
        <f t="shared" si="67"/>
        <v>178371</v>
      </c>
      <c r="AD54" s="51">
        <f t="shared" si="68"/>
        <v>992240</v>
      </c>
      <c r="AE54" s="13">
        <f t="shared" si="69"/>
        <v>684652</v>
      </c>
      <c r="AF54" s="56">
        <f t="shared" si="70"/>
        <v>307588</v>
      </c>
      <c r="AG54" s="13">
        <f t="shared" si="71"/>
        <v>891.50044923629832</v>
      </c>
      <c r="AH54" s="13">
        <f t="shared" si="72"/>
        <v>615.14106019766393</v>
      </c>
      <c r="AI54" s="16">
        <f t="shared" si="73"/>
        <v>276.35938903863433</v>
      </c>
      <c r="AJ54" s="15">
        <f t="shared" si="74"/>
        <v>0</v>
      </c>
      <c r="AK54" s="13">
        <f t="shared" si="75"/>
        <v>0</v>
      </c>
      <c r="AL54" s="56">
        <f t="shared" si="76"/>
        <v>0</v>
      </c>
      <c r="AM54" s="51">
        <f t="shared" si="77"/>
        <v>0</v>
      </c>
      <c r="AN54" s="13">
        <f t="shared" si="78"/>
        <v>0</v>
      </c>
      <c r="AO54" s="56">
        <f t="shared" si="79"/>
        <v>0</v>
      </c>
      <c r="AP54" s="51">
        <f t="shared" si="80"/>
        <v>0</v>
      </c>
      <c r="AQ54" s="13">
        <f t="shared" si="81"/>
        <v>0</v>
      </c>
      <c r="AR54" s="56">
        <f t="shared" si="82"/>
        <v>0</v>
      </c>
      <c r="AS54" s="51">
        <f t="shared" si="83"/>
        <v>0</v>
      </c>
      <c r="AT54" s="13">
        <f t="shared" si="84"/>
        <v>0</v>
      </c>
      <c r="AU54" s="56">
        <f t="shared" si="85"/>
        <v>0</v>
      </c>
      <c r="AV54" s="13">
        <f t="shared" si="86"/>
        <v>0</v>
      </c>
      <c r="AW54" s="13">
        <f t="shared" si="87"/>
        <v>0</v>
      </c>
      <c r="AX54" s="16">
        <f t="shared" si="88"/>
        <v>0</v>
      </c>
    </row>
    <row r="55" spans="1:50" x14ac:dyDescent="0.25">
      <c r="A55" s="20">
        <v>110</v>
      </c>
      <c r="B55">
        <v>1</v>
      </c>
      <c r="C55" s="23" t="s">
        <v>173</v>
      </c>
      <c r="D55" s="23">
        <v>3</v>
      </c>
      <c r="E55" s="15">
        <f>+SUMIF('GE16FEB14 Unfudged'!$A$2:$A$498, $A55, 'GE16FEB14 Unfudged'!$D$2:$D$498)</f>
        <v>4173</v>
      </c>
      <c r="F55" s="15">
        <f>+SUMIF('GE16FEB14 Unfudged'!$A$2:$A$498, 'Tax Bill Summary'!$A55, 'GE16FEB14 Unfudged'!E$2:E$498)</f>
        <v>695111</v>
      </c>
      <c r="G55" s="13">
        <f>+SUMIF('GE16FEB14 Unfudged'!$A$2:$A$498, 'Tax Bill Summary'!$A55, 'GE16FEB14 Unfudged'!F$2:F$498)</f>
        <v>563675</v>
      </c>
      <c r="H55" s="56">
        <f t="shared" si="56"/>
        <v>131436</v>
      </c>
      <c r="I55" s="51">
        <f>+SUMIF('GE16FEB14 Unfudged'!$A$2:$A$498, 'Tax Bill Summary'!$A55, 'GE16FEB14 Unfudged'!G$2:G$498)</f>
        <v>1769140</v>
      </c>
      <c r="J55" s="13">
        <f>+SUMIF('GE16FEB14 Unfudged'!$A$2:$A$498, 'Tax Bill Summary'!$A55, 'GE16FEB14 Unfudged'!H$2:H$498)</f>
        <v>1434620</v>
      </c>
      <c r="K55" s="56">
        <f t="shared" si="57"/>
        <v>334520</v>
      </c>
      <c r="L55" s="51">
        <f>+SUMIF('GE16FEB14 Unfudged'!$A$2:$A$498, 'Tax Bill Summary'!$A55, 'GE16FEB14 Unfudged'!I$2:IF$498)</f>
        <v>1301027</v>
      </c>
      <c r="M55" s="13">
        <f>+SUMIF('GE16FEB14 Unfudged'!$A$2:$A$498, 'Tax Bill Summary'!$A55, 'GE16FEB14 Unfudged'!J$2:IG$498)</f>
        <v>628233</v>
      </c>
      <c r="N55" s="56">
        <f t="shared" si="58"/>
        <v>672794</v>
      </c>
      <c r="O55" s="51">
        <f t="shared" si="59"/>
        <v>3765278</v>
      </c>
      <c r="P55" s="13">
        <f t="shared" si="60"/>
        <v>2626528</v>
      </c>
      <c r="Q55" s="56">
        <f t="shared" si="61"/>
        <v>1138750</v>
      </c>
      <c r="R55" s="13">
        <f t="shared" si="62"/>
        <v>902.29523124850232</v>
      </c>
      <c r="S55" s="13">
        <f t="shared" si="63"/>
        <v>629.41001677450276</v>
      </c>
      <c r="T55" s="16">
        <f t="shared" si="64"/>
        <v>272.8852144739995</v>
      </c>
      <c r="U55" s="15">
        <f>+SUMIF('GE16FEB14 Tax Bill Unfudged'!$A$2:$A$498, 'Tax Bill Summary'!$A55, 'GE16FEB14 Tax Bill Unfudged'!E$2:E$498)</f>
        <v>695111</v>
      </c>
      <c r="V55" s="13">
        <f>+SUMIF('GE16FEB14 Tax Bill Unfudged'!$A$2:$A$498, 'Tax Bill Summary'!$A55, 'GE16FEB14 Tax Bill Unfudged'!F$2:F$498)</f>
        <v>563675</v>
      </c>
      <c r="W55" s="56">
        <f t="shared" si="65"/>
        <v>131436</v>
      </c>
      <c r="X55" s="51">
        <f>+SUMIF('GE16FEB14 Tax Bill Unfudged'!$A$2:$A$498, 'Tax Bill Summary'!$A55, 'GE16FEB14 Tax Bill Unfudged'!G$2:G$498)</f>
        <v>1769140</v>
      </c>
      <c r="Y55" s="13">
        <f>+SUMIF('GE16FEB14 Tax Bill Unfudged'!$A$2:$A$498, 'Tax Bill Summary'!$A55, 'GE16FEB14 Tax Bill Unfudged'!H$2:H$498)</f>
        <v>1434620</v>
      </c>
      <c r="Z55" s="56">
        <f t="shared" si="66"/>
        <v>334520</v>
      </c>
      <c r="AA55" s="51">
        <f>+SUMIF('GE16FEB14 Tax Bill Unfudged'!$A$2:$A$498, 'Tax Bill Summary'!$A55, 'GE16FEB14 Tax Bill Unfudged'!I$2:I$498)</f>
        <v>1301027</v>
      </c>
      <c r="AB55" s="13">
        <f>+SUMIF('GE16FEB14 Tax Bill Unfudged'!$A$2:$A$498, 'Tax Bill Summary'!$A55, 'GE16FEB14 Tax Bill Unfudged'!J$2:J$498)</f>
        <v>628233</v>
      </c>
      <c r="AC55" s="56">
        <f t="shared" si="67"/>
        <v>672794</v>
      </c>
      <c r="AD55" s="51">
        <f t="shared" si="68"/>
        <v>3765278</v>
      </c>
      <c r="AE55" s="13">
        <f t="shared" si="69"/>
        <v>2626528</v>
      </c>
      <c r="AF55" s="56">
        <f t="shared" si="70"/>
        <v>1138750</v>
      </c>
      <c r="AG55" s="13">
        <f t="shared" si="71"/>
        <v>902.29523124850232</v>
      </c>
      <c r="AH55" s="13">
        <f t="shared" si="72"/>
        <v>629.41001677450276</v>
      </c>
      <c r="AI55" s="16">
        <f t="shared" si="73"/>
        <v>272.8852144739995</v>
      </c>
      <c r="AJ55" s="15">
        <f t="shared" si="74"/>
        <v>0</v>
      </c>
      <c r="AK55" s="13">
        <f t="shared" si="75"/>
        <v>0</v>
      </c>
      <c r="AL55" s="56">
        <f t="shared" si="76"/>
        <v>0</v>
      </c>
      <c r="AM55" s="51">
        <f t="shared" si="77"/>
        <v>0</v>
      </c>
      <c r="AN55" s="13">
        <f t="shared" si="78"/>
        <v>0</v>
      </c>
      <c r="AO55" s="56">
        <f t="shared" si="79"/>
        <v>0</v>
      </c>
      <c r="AP55" s="51">
        <f t="shared" si="80"/>
        <v>0</v>
      </c>
      <c r="AQ55" s="13">
        <f t="shared" si="81"/>
        <v>0</v>
      </c>
      <c r="AR55" s="56">
        <f t="shared" si="82"/>
        <v>0</v>
      </c>
      <c r="AS55" s="51">
        <f t="shared" si="83"/>
        <v>0</v>
      </c>
      <c r="AT55" s="13">
        <f t="shared" si="84"/>
        <v>0</v>
      </c>
      <c r="AU55" s="56">
        <f t="shared" si="85"/>
        <v>0</v>
      </c>
      <c r="AV55" s="13">
        <f t="shared" si="86"/>
        <v>0</v>
      </c>
      <c r="AW55" s="13">
        <f t="shared" si="87"/>
        <v>0</v>
      </c>
      <c r="AX55" s="16">
        <f t="shared" si="88"/>
        <v>0</v>
      </c>
    </row>
    <row r="56" spans="1:50" x14ac:dyDescent="0.25">
      <c r="A56" s="20">
        <v>111</v>
      </c>
      <c r="B56">
        <v>1</v>
      </c>
      <c r="C56" s="23" t="s">
        <v>174</v>
      </c>
      <c r="D56" s="23">
        <v>3</v>
      </c>
      <c r="E56" s="15">
        <f>+SUMIF('GE16FEB14 Unfudged'!$A$2:$A$498, $A56, 'GE16FEB14 Unfudged'!$D$2:$D$498)</f>
        <v>1853</v>
      </c>
      <c r="F56" s="15">
        <f>+SUMIF('GE16FEB14 Unfudged'!$A$2:$A$498, 'Tax Bill Summary'!$A56, 'GE16FEB14 Unfudged'!E$2:E$498)</f>
        <v>308959</v>
      </c>
      <c r="G56" s="13">
        <f>+SUMIF('GE16FEB14 Unfudged'!$A$2:$A$498, 'Tax Bill Summary'!$A56, 'GE16FEB14 Unfudged'!F$2:F$498)</f>
        <v>240244</v>
      </c>
      <c r="H56" s="56">
        <f t="shared" si="56"/>
        <v>68715</v>
      </c>
      <c r="I56" s="51">
        <f>+SUMIF('GE16FEB14 Unfudged'!$A$2:$A$498, 'Tax Bill Summary'!$A56, 'GE16FEB14 Unfudged'!G$2:G$498)</f>
        <v>785672</v>
      </c>
      <c r="J56" s="13">
        <f>+SUMIF('GE16FEB14 Unfudged'!$A$2:$A$498, 'Tax Bill Summary'!$A56, 'GE16FEB14 Unfudged'!H$2:H$498)</f>
        <v>610932</v>
      </c>
      <c r="K56" s="56">
        <f t="shared" si="57"/>
        <v>174740</v>
      </c>
      <c r="L56" s="51">
        <f>+SUMIF('GE16FEB14 Unfudged'!$A$2:$A$498, 'Tax Bill Summary'!$A56, 'GE16FEB14 Unfudged'!I$2:IF$498)</f>
        <v>574374</v>
      </c>
      <c r="M56" s="13">
        <f>+SUMIF('GE16FEB14 Unfudged'!$A$2:$A$498, 'Tax Bill Summary'!$A56, 'GE16FEB14 Unfudged'!J$2:IG$498)</f>
        <v>264881</v>
      </c>
      <c r="N56" s="56">
        <f t="shared" si="58"/>
        <v>309493</v>
      </c>
      <c r="O56" s="51">
        <f t="shared" si="59"/>
        <v>1669005</v>
      </c>
      <c r="P56" s="13">
        <f t="shared" si="60"/>
        <v>1116057</v>
      </c>
      <c r="Q56" s="56">
        <f t="shared" si="61"/>
        <v>552948</v>
      </c>
      <c r="R56" s="13">
        <f t="shared" si="62"/>
        <v>900.7042633567188</v>
      </c>
      <c r="S56" s="13">
        <f t="shared" si="63"/>
        <v>602.29735563950351</v>
      </c>
      <c r="T56" s="16">
        <f t="shared" si="64"/>
        <v>298.40690771721535</v>
      </c>
      <c r="U56" s="15">
        <f>+SUMIF('GE16FEB14 Tax Bill Unfudged'!$A$2:$A$498, 'Tax Bill Summary'!$A56, 'GE16FEB14 Tax Bill Unfudged'!E$2:E$498)</f>
        <v>308959</v>
      </c>
      <c r="V56" s="13">
        <f>+SUMIF('GE16FEB14 Tax Bill Unfudged'!$A$2:$A$498, 'Tax Bill Summary'!$A56, 'GE16FEB14 Tax Bill Unfudged'!F$2:F$498)</f>
        <v>240244</v>
      </c>
      <c r="W56" s="56">
        <f t="shared" si="65"/>
        <v>68715</v>
      </c>
      <c r="X56" s="51">
        <f>+SUMIF('GE16FEB14 Tax Bill Unfudged'!$A$2:$A$498, 'Tax Bill Summary'!$A56, 'GE16FEB14 Tax Bill Unfudged'!G$2:G$498)</f>
        <v>785672</v>
      </c>
      <c r="Y56" s="13">
        <f>+SUMIF('GE16FEB14 Tax Bill Unfudged'!$A$2:$A$498, 'Tax Bill Summary'!$A56, 'GE16FEB14 Tax Bill Unfudged'!H$2:H$498)</f>
        <v>610932</v>
      </c>
      <c r="Z56" s="56">
        <f t="shared" si="66"/>
        <v>174740</v>
      </c>
      <c r="AA56" s="51">
        <f>+SUMIF('GE16FEB14 Tax Bill Unfudged'!$A$2:$A$498, 'Tax Bill Summary'!$A56, 'GE16FEB14 Tax Bill Unfudged'!I$2:I$498)</f>
        <v>574374</v>
      </c>
      <c r="AB56" s="13">
        <f>+SUMIF('GE16FEB14 Tax Bill Unfudged'!$A$2:$A$498, 'Tax Bill Summary'!$A56, 'GE16FEB14 Tax Bill Unfudged'!J$2:J$498)</f>
        <v>264881</v>
      </c>
      <c r="AC56" s="56">
        <f t="shared" si="67"/>
        <v>309493</v>
      </c>
      <c r="AD56" s="51">
        <f t="shared" si="68"/>
        <v>1669005</v>
      </c>
      <c r="AE56" s="13">
        <f t="shared" si="69"/>
        <v>1116057</v>
      </c>
      <c r="AF56" s="56">
        <f t="shared" si="70"/>
        <v>552948</v>
      </c>
      <c r="AG56" s="13">
        <f t="shared" si="71"/>
        <v>900.7042633567188</v>
      </c>
      <c r="AH56" s="13">
        <f t="shared" si="72"/>
        <v>602.29735563950351</v>
      </c>
      <c r="AI56" s="16">
        <f t="shared" si="73"/>
        <v>298.40690771721535</v>
      </c>
      <c r="AJ56" s="15">
        <f t="shared" si="74"/>
        <v>0</v>
      </c>
      <c r="AK56" s="13">
        <f t="shared" si="75"/>
        <v>0</v>
      </c>
      <c r="AL56" s="56">
        <f t="shared" si="76"/>
        <v>0</v>
      </c>
      <c r="AM56" s="51">
        <f t="shared" si="77"/>
        <v>0</v>
      </c>
      <c r="AN56" s="13">
        <f t="shared" si="78"/>
        <v>0</v>
      </c>
      <c r="AO56" s="56">
        <f t="shared" si="79"/>
        <v>0</v>
      </c>
      <c r="AP56" s="51">
        <f t="shared" si="80"/>
        <v>0</v>
      </c>
      <c r="AQ56" s="13">
        <f t="shared" si="81"/>
        <v>0</v>
      </c>
      <c r="AR56" s="56">
        <f t="shared" si="82"/>
        <v>0</v>
      </c>
      <c r="AS56" s="51">
        <f t="shared" si="83"/>
        <v>0</v>
      </c>
      <c r="AT56" s="13">
        <f t="shared" si="84"/>
        <v>0</v>
      </c>
      <c r="AU56" s="56">
        <f t="shared" si="85"/>
        <v>0</v>
      </c>
      <c r="AV56" s="13">
        <f t="shared" si="86"/>
        <v>0</v>
      </c>
      <c r="AW56" s="13">
        <f t="shared" si="87"/>
        <v>0</v>
      </c>
      <c r="AX56" s="16">
        <f t="shared" si="88"/>
        <v>0</v>
      </c>
    </row>
    <row r="57" spans="1:50" x14ac:dyDescent="0.25">
      <c r="A57" s="20">
        <v>112</v>
      </c>
      <c r="B57">
        <v>1</v>
      </c>
      <c r="C57" s="23" t="s">
        <v>175</v>
      </c>
      <c r="D57" s="23">
        <v>3</v>
      </c>
      <c r="E57" s="15">
        <f>+SUMIF('GE16FEB14 Unfudged'!$A$2:$A$498, $A57, 'GE16FEB14 Unfudged'!$D$2:$D$498)</f>
        <v>10033</v>
      </c>
      <c r="F57" s="15">
        <f>+SUMIF('GE16FEB14 Unfudged'!$A$2:$A$498, 'Tax Bill Summary'!$A57, 'GE16FEB14 Unfudged'!E$2:E$498)</f>
        <v>1275834</v>
      </c>
      <c r="G57" s="13">
        <f>+SUMIF('GE16FEB14 Unfudged'!$A$2:$A$498, 'Tax Bill Summary'!$A57, 'GE16FEB14 Unfudged'!F$2:F$498)</f>
        <v>1260515</v>
      </c>
      <c r="H57" s="56">
        <f t="shared" si="56"/>
        <v>15319</v>
      </c>
      <c r="I57" s="51">
        <f>+SUMIF('GE16FEB14 Unfudged'!$A$2:$A$498, 'Tax Bill Summary'!$A57, 'GE16FEB14 Unfudged'!G$2:G$498)</f>
        <v>4253928</v>
      </c>
      <c r="J57" s="13">
        <f>+SUMIF('GE16FEB14 Unfudged'!$A$2:$A$498, 'Tax Bill Summary'!$A57, 'GE16FEB14 Unfudged'!H$2:H$498)</f>
        <v>4202851</v>
      </c>
      <c r="K57" s="56">
        <f t="shared" si="57"/>
        <v>51077</v>
      </c>
      <c r="L57" s="51">
        <f>+SUMIF('GE16FEB14 Unfudged'!$A$2:$A$498, 'Tax Bill Summary'!$A57, 'GE16FEB14 Unfudged'!I$2:IF$498)</f>
        <v>8281516</v>
      </c>
      <c r="M57" s="13">
        <f>+SUMIF('GE16FEB14 Unfudged'!$A$2:$A$498, 'Tax Bill Summary'!$A57, 'GE16FEB14 Unfudged'!J$2:IG$498)</f>
        <v>6939650</v>
      </c>
      <c r="N57" s="56">
        <f t="shared" si="58"/>
        <v>1341866</v>
      </c>
      <c r="O57" s="51">
        <f t="shared" si="59"/>
        <v>13811278</v>
      </c>
      <c r="P57" s="13">
        <f t="shared" si="60"/>
        <v>12403016</v>
      </c>
      <c r="Q57" s="56">
        <f t="shared" si="61"/>
        <v>1408262</v>
      </c>
      <c r="R57" s="13">
        <f t="shared" si="62"/>
        <v>1376.5850692714043</v>
      </c>
      <c r="S57" s="13">
        <f t="shared" si="63"/>
        <v>1236.2220671783116</v>
      </c>
      <c r="T57" s="16">
        <f t="shared" si="64"/>
        <v>140.3630020930928</v>
      </c>
      <c r="U57" s="15">
        <f>+SUMIF('GE16FEB14 Tax Bill Unfudged'!$A$2:$A$498, 'Tax Bill Summary'!$A57, 'GE16FEB14 Tax Bill Unfudged'!E$2:E$498)</f>
        <v>1275834</v>
      </c>
      <c r="V57" s="13">
        <f>+SUMIF('GE16FEB14 Tax Bill Unfudged'!$A$2:$A$498, 'Tax Bill Summary'!$A57, 'GE16FEB14 Tax Bill Unfudged'!F$2:F$498)</f>
        <v>1260515</v>
      </c>
      <c r="W57" s="56">
        <f t="shared" si="65"/>
        <v>15319</v>
      </c>
      <c r="X57" s="51">
        <f>+SUMIF('GE16FEB14 Tax Bill Unfudged'!$A$2:$A$498, 'Tax Bill Summary'!$A57, 'GE16FEB14 Tax Bill Unfudged'!G$2:G$498)</f>
        <v>4253928</v>
      </c>
      <c r="Y57" s="13">
        <f>+SUMIF('GE16FEB14 Tax Bill Unfudged'!$A$2:$A$498, 'Tax Bill Summary'!$A57, 'GE16FEB14 Tax Bill Unfudged'!H$2:H$498)</f>
        <v>4202851</v>
      </c>
      <c r="Z57" s="56">
        <f t="shared" si="66"/>
        <v>51077</v>
      </c>
      <c r="AA57" s="51">
        <f>+SUMIF('GE16FEB14 Tax Bill Unfudged'!$A$2:$A$498, 'Tax Bill Summary'!$A57, 'GE16FEB14 Tax Bill Unfudged'!I$2:I$498)</f>
        <v>8281516</v>
      </c>
      <c r="AB57" s="13">
        <f>+SUMIF('GE16FEB14 Tax Bill Unfudged'!$A$2:$A$498, 'Tax Bill Summary'!$A57, 'GE16FEB14 Tax Bill Unfudged'!J$2:J$498)</f>
        <v>6939650</v>
      </c>
      <c r="AC57" s="56">
        <f t="shared" si="67"/>
        <v>1341866</v>
      </c>
      <c r="AD57" s="51">
        <f t="shared" si="68"/>
        <v>13811278</v>
      </c>
      <c r="AE57" s="13">
        <f t="shared" si="69"/>
        <v>12403016</v>
      </c>
      <c r="AF57" s="56">
        <f t="shared" si="70"/>
        <v>1408262</v>
      </c>
      <c r="AG57" s="13">
        <f t="shared" si="71"/>
        <v>1376.5850692714043</v>
      </c>
      <c r="AH57" s="13">
        <f t="shared" si="72"/>
        <v>1236.2220671783116</v>
      </c>
      <c r="AI57" s="16">
        <f t="shared" si="73"/>
        <v>140.3630020930928</v>
      </c>
      <c r="AJ57" s="15">
        <f t="shared" si="74"/>
        <v>0</v>
      </c>
      <c r="AK57" s="13">
        <f t="shared" si="75"/>
        <v>0</v>
      </c>
      <c r="AL57" s="56">
        <f t="shared" si="76"/>
        <v>0</v>
      </c>
      <c r="AM57" s="51">
        <f t="shared" si="77"/>
        <v>0</v>
      </c>
      <c r="AN57" s="13">
        <f t="shared" si="78"/>
        <v>0</v>
      </c>
      <c r="AO57" s="56">
        <f t="shared" si="79"/>
        <v>0</v>
      </c>
      <c r="AP57" s="51">
        <f t="shared" si="80"/>
        <v>0</v>
      </c>
      <c r="AQ57" s="13">
        <f t="shared" si="81"/>
        <v>0</v>
      </c>
      <c r="AR57" s="56">
        <f t="shared" si="82"/>
        <v>0</v>
      </c>
      <c r="AS57" s="51">
        <f t="shared" si="83"/>
        <v>0</v>
      </c>
      <c r="AT57" s="13">
        <f t="shared" si="84"/>
        <v>0</v>
      </c>
      <c r="AU57" s="56">
        <f t="shared" si="85"/>
        <v>0</v>
      </c>
      <c r="AV57" s="13">
        <f t="shared" si="86"/>
        <v>0</v>
      </c>
      <c r="AW57" s="13">
        <f t="shared" si="87"/>
        <v>0</v>
      </c>
      <c r="AX57" s="16">
        <f t="shared" si="88"/>
        <v>0</v>
      </c>
    </row>
    <row r="58" spans="1:50" x14ac:dyDescent="0.25">
      <c r="A58" s="20">
        <v>113</v>
      </c>
      <c r="B58">
        <v>1</v>
      </c>
      <c r="C58" s="23" t="s">
        <v>176</v>
      </c>
      <c r="D58" s="23">
        <v>6</v>
      </c>
      <c r="E58" s="15">
        <f>+SUMIF('GE16FEB14 Unfudged'!$A$2:$A$498, $A58, 'GE16FEB14 Unfudged'!$D$2:$D$498)</f>
        <v>841</v>
      </c>
      <c r="F58" s="15">
        <f>+SUMIF('GE16FEB14 Unfudged'!$A$2:$A$498, 'Tax Bill Summary'!$A58, 'GE16FEB14 Unfudged'!E$2:E$498)</f>
        <v>121162</v>
      </c>
      <c r="G58" s="13">
        <f>+SUMIF('GE16FEB14 Unfudged'!$A$2:$A$498, 'Tax Bill Summary'!$A58, 'GE16FEB14 Unfudged'!F$2:F$498)</f>
        <v>121162</v>
      </c>
      <c r="H58" s="56">
        <f t="shared" si="56"/>
        <v>0</v>
      </c>
      <c r="I58" s="51">
        <f>+SUMIF('GE16FEB14 Unfudged'!$A$2:$A$498, 'Tax Bill Summary'!$A58, 'GE16FEB14 Unfudged'!G$2:G$498)</f>
        <v>0</v>
      </c>
      <c r="J58" s="13">
        <f>+SUMIF('GE16FEB14 Unfudged'!$A$2:$A$498, 'Tax Bill Summary'!$A58, 'GE16FEB14 Unfudged'!H$2:H$498)</f>
        <v>0</v>
      </c>
      <c r="K58" s="56">
        <f t="shared" si="57"/>
        <v>0</v>
      </c>
      <c r="L58" s="51">
        <f>+SUMIF('GE16FEB14 Unfudged'!$A$2:$A$498, 'Tax Bill Summary'!$A58, 'GE16FEB14 Unfudged'!I$2:IF$498)</f>
        <v>252420</v>
      </c>
      <c r="M58" s="13">
        <f>+SUMIF('GE16FEB14 Unfudged'!$A$2:$A$498, 'Tax Bill Summary'!$A58, 'GE16FEB14 Unfudged'!J$2:IG$498)</f>
        <v>232302</v>
      </c>
      <c r="N58" s="56">
        <f t="shared" si="58"/>
        <v>20118</v>
      </c>
      <c r="O58" s="51">
        <f t="shared" si="59"/>
        <v>373582</v>
      </c>
      <c r="P58" s="13">
        <f t="shared" si="60"/>
        <v>353464</v>
      </c>
      <c r="Q58" s="56">
        <f t="shared" si="61"/>
        <v>20118</v>
      </c>
      <c r="R58" s="13">
        <f t="shared" si="62"/>
        <v>444.21165279429249</v>
      </c>
      <c r="S58" s="13">
        <f t="shared" si="63"/>
        <v>420.29013079667061</v>
      </c>
      <c r="T58" s="16">
        <f t="shared" si="64"/>
        <v>23.92152199762188</v>
      </c>
      <c r="U58" s="15">
        <f>+SUMIF('GE16FEB14 Tax Bill Unfudged'!$A$2:$A$498, 'Tax Bill Summary'!$A58, 'GE16FEB14 Tax Bill Unfudged'!E$2:E$498)</f>
        <v>121162</v>
      </c>
      <c r="V58" s="13">
        <f>+SUMIF('GE16FEB14 Tax Bill Unfudged'!$A$2:$A$498, 'Tax Bill Summary'!$A58, 'GE16FEB14 Tax Bill Unfudged'!F$2:F$498)</f>
        <v>121162</v>
      </c>
      <c r="W58" s="56">
        <f t="shared" si="65"/>
        <v>0</v>
      </c>
      <c r="X58" s="51">
        <f>+SUMIF('GE16FEB14 Tax Bill Unfudged'!$A$2:$A$498, 'Tax Bill Summary'!$A58, 'GE16FEB14 Tax Bill Unfudged'!G$2:G$498)</f>
        <v>356754</v>
      </c>
      <c r="Y58" s="13">
        <f>+SUMIF('GE16FEB14 Tax Bill Unfudged'!$A$2:$A$498, 'Tax Bill Summary'!$A58, 'GE16FEB14 Tax Bill Unfudged'!H$2:H$498)</f>
        <v>356754</v>
      </c>
      <c r="Z58" s="56">
        <f t="shared" si="66"/>
        <v>0</v>
      </c>
      <c r="AA58" s="51">
        <f>+SUMIF('GE16FEB14 Tax Bill Unfudged'!$A$2:$A$498, 'Tax Bill Summary'!$A58, 'GE16FEB14 Tax Bill Unfudged'!I$2:I$498)</f>
        <v>252420</v>
      </c>
      <c r="AB58" s="13">
        <f>+SUMIF('GE16FEB14 Tax Bill Unfudged'!$A$2:$A$498, 'Tax Bill Summary'!$A58, 'GE16FEB14 Tax Bill Unfudged'!J$2:J$498)</f>
        <v>232302</v>
      </c>
      <c r="AC58" s="56">
        <f t="shared" si="67"/>
        <v>20118</v>
      </c>
      <c r="AD58" s="51">
        <f t="shared" si="68"/>
        <v>730336</v>
      </c>
      <c r="AE58" s="13">
        <f t="shared" si="69"/>
        <v>710218</v>
      </c>
      <c r="AF58" s="56">
        <f t="shared" si="70"/>
        <v>20118</v>
      </c>
      <c r="AG58" s="13">
        <f t="shared" si="71"/>
        <v>868.41379310344826</v>
      </c>
      <c r="AH58" s="13">
        <f t="shared" si="72"/>
        <v>844.49227110582638</v>
      </c>
      <c r="AI58" s="16">
        <f t="shared" si="73"/>
        <v>23.92152199762188</v>
      </c>
      <c r="AJ58" s="15">
        <f t="shared" si="74"/>
        <v>0</v>
      </c>
      <c r="AK58" s="13">
        <f t="shared" si="75"/>
        <v>0</v>
      </c>
      <c r="AL58" s="56">
        <f t="shared" si="76"/>
        <v>0</v>
      </c>
      <c r="AM58" s="51">
        <f t="shared" si="77"/>
        <v>356754</v>
      </c>
      <c r="AN58" s="13">
        <f t="shared" si="78"/>
        <v>356754</v>
      </c>
      <c r="AO58" s="56">
        <f t="shared" si="79"/>
        <v>0</v>
      </c>
      <c r="AP58" s="51">
        <f t="shared" si="80"/>
        <v>0</v>
      </c>
      <c r="AQ58" s="13">
        <f t="shared" si="81"/>
        <v>0</v>
      </c>
      <c r="AR58" s="56">
        <f t="shared" si="82"/>
        <v>0</v>
      </c>
      <c r="AS58" s="51">
        <f t="shared" si="83"/>
        <v>356754</v>
      </c>
      <c r="AT58" s="13">
        <f t="shared" si="84"/>
        <v>356754</v>
      </c>
      <c r="AU58" s="56">
        <f t="shared" si="85"/>
        <v>0</v>
      </c>
      <c r="AV58" s="13">
        <f t="shared" si="86"/>
        <v>424.20214030915577</v>
      </c>
      <c r="AW58" s="13">
        <f t="shared" si="87"/>
        <v>424.20214030915577</v>
      </c>
      <c r="AX58" s="16">
        <f t="shared" si="88"/>
        <v>0</v>
      </c>
    </row>
    <row r="59" spans="1:50" x14ac:dyDescent="0.25">
      <c r="A59" s="20">
        <v>115</v>
      </c>
      <c r="B59">
        <v>1</v>
      </c>
      <c r="C59" s="23" t="s">
        <v>177</v>
      </c>
      <c r="D59" s="23">
        <v>5</v>
      </c>
      <c r="E59" s="15">
        <f>+SUMIF('GE16FEB14 Unfudged'!$A$2:$A$498, $A59, 'GE16FEB14 Unfudged'!$D$2:$D$498)</f>
        <v>1215</v>
      </c>
      <c r="F59" s="15">
        <f>+SUMIF('GE16FEB14 Unfudged'!$A$2:$A$498, 'Tax Bill Summary'!$A59, 'GE16FEB14 Unfudged'!E$2:E$498)</f>
        <v>174982</v>
      </c>
      <c r="G59" s="13">
        <f>+SUMIF('GE16FEB14 Unfudged'!$A$2:$A$498, 'Tax Bill Summary'!$A59, 'GE16FEB14 Unfudged'!F$2:F$498)</f>
        <v>123678</v>
      </c>
      <c r="H59" s="56">
        <f t="shared" si="56"/>
        <v>51304</v>
      </c>
      <c r="I59" s="51">
        <f>+SUMIF('GE16FEB14 Unfudged'!$A$2:$A$498, 'Tax Bill Summary'!$A59, 'GE16FEB14 Unfudged'!G$2:G$498)</f>
        <v>0</v>
      </c>
      <c r="J59" s="13">
        <f>+SUMIF('GE16FEB14 Unfudged'!$A$2:$A$498, 'Tax Bill Summary'!$A59, 'GE16FEB14 Unfudged'!H$2:H$498)</f>
        <v>0</v>
      </c>
      <c r="K59" s="56">
        <f t="shared" si="57"/>
        <v>0</v>
      </c>
      <c r="L59" s="51">
        <f>+SUMIF('GE16FEB14 Unfudged'!$A$2:$A$498, 'Tax Bill Summary'!$A59, 'GE16FEB14 Unfudged'!I$2:IF$498)</f>
        <v>364545</v>
      </c>
      <c r="M59" s="13">
        <f>+SUMIF('GE16FEB14 Unfudged'!$A$2:$A$498, 'Tax Bill Summary'!$A59, 'GE16FEB14 Unfudged'!J$2:IG$498)</f>
        <v>149327</v>
      </c>
      <c r="N59" s="56">
        <f t="shared" si="58"/>
        <v>215218</v>
      </c>
      <c r="O59" s="51">
        <f t="shared" si="59"/>
        <v>539527</v>
      </c>
      <c r="P59" s="13">
        <f t="shared" si="60"/>
        <v>273005</v>
      </c>
      <c r="Q59" s="56">
        <f t="shared" si="61"/>
        <v>266522</v>
      </c>
      <c r="R59" s="13">
        <f t="shared" si="62"/>
        <v>444.05514403292182</v>
      </c>
      <c r="S59" s="13">
        <f t="shared" si="63"/>
        <v>224.6954732510288</v>
      </c>
      <c r="T59" s="16">
        <f t="shared" si="64"/>
        <v>219.35967078189302</v>
      </c>
      <c r="U59" s="15">
        <f>+SUMIF('GE16FEB14 Tax Bill Unfudged'!$A$2:$A$498, 'Tax Bill Summary'!$A59, 'GE16FEB14 Tax Bill Unfudged'!E$2:E$498)</f>
        <v>174982</v>
      </c>
      <c r="V59" s="13">
        <f>+SUMIF('GE16FEB14 Tax Bill Unfudged'!$A$2:$A$498, 'Tax Bill Summary'!$A59, 'GE16FEB14 Tax Bill Unfudged'!F$2:F$498)</f>
        <v>123678</v>
      </c>
      <c r="W59" s="56">
        <f t="shared" si="65"/>
        <v>51304</v>
      </c>
      <c r="X59" s="51">
        <f>+SUMIF('GE16FEB14 Tax Bill Unfudged'!$A$2:$A$498, 'Tax Bill Summary'!$A59, 'GE16FEB14 Tax Bill Unfudged'!G$2:G$498)</f>
        <v>515224</v>
      </c>
      <c r="Y59" s="13">
        <f>+SUMIF('GE16FEB14 Tax Bill Unfudged'!$A$2:$A$498, 'Tax Bill Summary'!$A59, 'GE16FEB14 Tax Bill Unfudged'!H$2:H$498)</f>
        <v>364162</v>
      </c>
      <c r="Z59" s="56">
        <f t="shared" si="66"/>
        <v>151062</v>
      </c>
      <c r="AA59" s="51">
        <f>+SUMIF('GE16FEB14 Tax Bill Unfudged'!$A$2:$A$498, 'Tax Bill Summary'!$A59, 'GE16FEB14 Tax Bill Unfudged'!I$2:I$498)</f>
        <v>364545</v>
      </c>
      <c r="AB59" s="13">
        <f>+SUMIF('GE16FEB14 Tax Bill Unfudged'!$A$2:$A$498, 'Tax Bill Summary'!$A59, 'GE16FEB14 Tax Bill Unfudged'!J$2:J$498)</f>
        <v>149327</v>
      </c>
      <c r="AC59" s="56">
        <f t="shared" si="67"/>
        <v>215218</v>
      </c>
      <c r="AD59" s="51">
        <f t="shared" si="68"/>
        <v>1054751</v>
      </c>
      <c r="AE59" s="13">
        <f t="shared" si="69"/>
        <v>637167</v>
      </c>
      <c r="AF59" s="56">
        <f t="shared" si="70"/>
        <v>417584</v>
      </c>
      <c r="AG59" s="13">
        <f t="shared" si="71"/>
        <v>868.10781893004116</v>
      </c>
      <c r="AH59" s="13">
        <f t="shared" si="72"/>
        <v>524.41728395061727</v>
      </c>
      <c r="AI59" s="16">
        <f t="shared" si="73"/>
        <v>343.69053497942389</v>
      </c>
      <c r="AJ59" s="15">
        <f t="shared" si="74"/>
        <v>0</v>
      </c>
      <c r="AK59" s="13">
        <f t="shared" si="75"/>
        <v>0</v>
      </c>
      <c r="AL59" s="56">
        <f t="shared" si="76"/>
        <v>0</v>
      </c>
      <c r="AM59" s="51">
        <f t="shared" si="77"/>
        <v>515224</v>
      </c>
      <c r="AN59" s="13">
        <f t="shared" si="78"/>
        <v>364162</v>
      </c>
      <c r="AO59" s="56">
        <f t="shared" si="79"/>
        <v>151062</v>
      </c>
      <c r="AP59" s="51">
        <f t="shared" si="80"/>
        <v>0</v>
      </c>
      <c r="AQ59" s="13">
        <f t="shared" si="81"/>
        <v>0</v>
      </c>
      <c r="AR59" s="56">
        <f t="shared" si="82"/>
        <v>0</v>
      </c>
      <c r="AS59" s="51">
        <f t="shared" si="83"/>
        <v>515224</v>
      </c>
      <c r="AT59" s="13">
        <f t="shared" si="84"/>
        <v>364162</v>
      </c>
      <c r="AU59" s="56">
        <f t="shared" si="85"/>
        <v>151062</v>
      </c>
      <c r="AV59" s="13">
        <f t="shared" si="86"/>
        <v>424.05267489711935</v>
      </c>
      <c r="AW59" s="13">
        <f t="shared" si="87"/>
        <v>299.72181069958845</v>
      </c>
      <c r="AX59" s="16">
        <f t="shared" si="88"/>
        <v>124.33086419753087</v>
      </c>
    </row>
    <row r="60" spans="1:50" x14ac:dyDescent="0.25">
      <c r="A60" s="20">
        <v>116</v>
      </c>
      <c r="B60">
        <v>1</v>
      </c>
      <c r="C60" s="23" t="s">
        <v>178</v>
      </c>
      <c r="D60" s="23">
        <v>6</v>
      </c>
      <c r="E60" s="15">
        <f>+SUMIF('GE16FEB14 Unfudged'!$A$2:$A$498, $A60, 'GE16FEB14 Unfudged'!$D$2:$D$498)</f>
        <v>1073</v>
      </c>
      <c r="F60" s="15">
        <f>+SUMIF('GE16FEB14 Unfudged'!$A$2:$A$498, 'Tax Bill Summary'!$A60, 'GE16FEB14 Unfudged'!E$2:E$498)</f>
        <v>154512</v>
      </c>
      <c r="G60" s="13">
        <f>+SUMIF('GE16FEB14 Unfudged'!$A$2:$A$498, 'Tax Bill Summary'!$A60, 'GE16FEB14 Unfudged'!F$2:F$498)</f>
        <v>131954</v>
      </c>
      <c r="H60" s="56">
        <f t="shared" si="56"/>
        <v>22558</v>
      </c>
      <c r="I60" s="51">
        <f>+SUMIF('GE16FEB14 Unfudged'!$A$2:$A$498, 'Tax Bill Summary'!$A60, 'GE16FEB14 Unfudged'!G$2:G$498)</f>
        <v>0</v>
      </c>
      <c r="J60" s="13">
        <f>+SUMIF('GE16FEB14 Unfudged'!$A$2:$A$498, 'Tax Bill Summary'!$A60, 'GE16FEB14 Unfudged'!H$2:H$498)</f>
        <v>0</v>
      </c>
      <c r="K60" s="56">
        <f t="shared" si="57"/>
        <v>0</v>
      </c>
      <c r="L60" s="51">
        <f>+SUMIF('GE16FEB14 Unfudged'!$A$2:$A$498, 'Tax Bill Summary'!$A60, 'GE16FEB14 Unfudged'!I$2:IF$498)</f>
        <v>321900</v>
      </c>
      <c r="M60" s="13">
        <f>+SUMIF('GE16FEB14 Unfudged'!$A$2:$A$498, 'Tax Bill Summary'!$A60, 'GE16FEB14 Unfudged'!J$2:IG$498)</f>
        <v>159319</v>
      </c>
      <c r="N60" s="56">
        <f t="shared" si="58"/>
        <v>162581</v>
      </c>
      <c r="O60" s="51">
        <f t="shared" si="59"/>
        <v>476412</v>
      </c>
      <c r="P60" s="13">
        <f t="shared" si="60"/>
        <v>291273</v>
      </c>
      <c r="Q60" s="56">
        <f t="shared" si="61"/>
        <v>185139</v>
      </c>
      <c r="R60" s="13">
        <f t="shared" si="62"/>
        <v>444</v>
      </c>
      <c r="S60" s="13">
        <f t="shared" si="63"/>
        <v>271.45666356011185</v>
      </c>
      <c r="T60" s="16">
        <f t="shared" si="64"/>
        <v>172.54333643988815</v>
      </c>
      <c r="U60" s="15">
        <f>+SUMIF('GE16FEB14 Tax Bill Unfudged'!$A$2:$A$498, 'Tax Bill Summary'!$A60, 'GE16FEB14 Tax Bill Unfudged'!E$2:E$498)</f>
        <v>154512</v>
      </c>
      <c r="V60" s="13">
        <f>+SUMIF('GE16FEB14 Tax Bill Unfudged'!$A$2:$A$498, 'Tax Bill Summary'!$A60, 'GE16FEB14 Tax Bill Unfudged'!F$2:F$498)</f>
        <v>131954</v>
      </c>
      <c r="W60" s="56">
        <f t="shared" si="65"/>
        <v>22558</v>
      </c>
      <c r="X60" s="51">
        <f>+SUMIF('GE16FEB14 Tax Bill Unfudged'!$A$2:$A$498, 'Tax Bill Summary'!$A60, 'GE16FEB14 Tax Bill Unfudged'!G$2:G$498)</f>
        <v>454952</v>
      </c>
      <c r="Y60" s="13">
        <f>+SUMIF('GE16FEB14 Tax Bill Unfudged'!$A$2:$A$498, 'Tax Bill Summary'!$A60, 'GE16FEB14 Tax Bill Unfudged'!H$2:H$498)</f>
        <v>388530</v>
      </c>
      <c r="Z60" s="56">
        <f t="shared" si="66"/>
        <v>66422</v>
      </c>
      <c r="AA60" s="51">
        <f>+SUMIF('GE16FEB14 Tax Bill Unfudged'!$A$2:$A$498, 'Tax Bill Summary'!$A60, 'GE16FEB14 Tax Bill Unfudged'!I$2:I$498)</f>
        <v>321900</v>
      </c>
      <c r="AB60" s="13">
        <f>+SUMIF('GE16FEB14 Tax Bill Unfudged'!$A$2:$A$498, 'Tax Bill Summary'!$A60, 'GE16FEB14 Tax Bill Unfudged'!J$2:J$498)</f>
        <v>159319</v>
      </c>
      <c r="AC60" s="56">
        <f t="shared" si="67"/>
        <v>162581</v>
      </c>
      <c r="AD60" s="51">
        <f t="shared" si="68"/>
        <v>931364</v>
      </c>
      <c r="AE60" s="13">
        <f t="shared" si="69"/>
        <v>679803</v>
      </c>
      <c r="AF60" s="56">
        <f t="shared" si="70"/>
        <v>251561</v>
      </c>
      <c r="AG60" s="13">
        <f t="shared" si="71"/>
        <v>868</v>
      </c>
      <c r="AH60" s="13">
        <f t="shared" si="72"/>
        <v>633.55358807082951</v>
      </c>
      <c r="AI60" s="16">
        <f t="shared" si="73"/>
        <v>234.44641192917055</v>
      </c>
      <c r="AJ60" s="15">
        <f t="shared" si="74"/>
        <v>0</v>
      </c>
      <c r="AK60" s="13">
        <f t="shared" si="75"/>
        <v>0</v>
      </c>
      <c r="AL60" s="56">
        <f t="shared" si="76"/>
        <v>0</v>
      </c>
      <c r="AM60" s="51">
        <f t="shared" si="77"/>
        <v>454952</v>
      </c>
      <c r="AN60" s="13">
        <f t="shared" si="78"/>
        <v>388530</v>
      </c>
      <c r="AO60" s="56">
        <f t="shared" si="79"/>
        <v>66422</v>
      </c>
      <c r="AP60" s="51">
        <f t="shared" si="80"/>
        <v>0</v>
      </c>
      <c r="AQ60" s="13">
        <f t="shared" si="81"/>
        <v>0</v>
      </c>
      <c r="AR60" s="56">
        <f t="shared" si="82"/>
        <v>0</v>
      </c>
      <c r="AS60" s="51">
        <f t="shared" si="83"/>
        <v>454952</v>
      </c>
      <c r="AT60" s="13">
        <f t="shared" si="84"/>
        <v>388530</v>
      </c>
      <c r="AU60" s="56">
        <f t="shared" si="85"/>
        <v>66422</v>
      </c>
      <c r="AV60" s="13">
        <f t="shared" si="86"/>
        <v>424</v>
      </c>
      <c r="AW60" s="13">
        <f t="shared" si="87"/>
        <v>362.09692451071766</v>
      </c>
      <c r="AX60" s="16">
        <f t="shared" si="88"/>
        <v>61.903075489282401</v>
      </c>
    </row>
    <row r="61" spans="1:50" x14ac:dyDescent="0.25">
      <c r="A61" s="20">
        <v>118</v>
      </c>
      <c r="B61">
        <v>1</v>
      </c>
      <c r="C61" s="23" t="s">
        <v>179</v>
      </c>
      <c r="D61" s="23">
        <v>6</v>
      </c>
      <c r="E61" s="15">
        <f>+SUMIF('GE16FEB14 Unfudged'!$A$2:$A$498, $A61, 'GE16FEB14 Unfudged'!$D$2:$D$498)</f>
        <v>336</v>
      </c>
      <c r="F61" s="15">
        <f>+SUMIF('GE16FEB14 Unfudged'!$A$2:$A$498, 'Tax Bill Summary'!$A61, 'GE16FEB14 Unfudged'!E$2:E$498)</f>
        <v>40946</v>
      </c>
      <c r="G61" s="13">
        <f>+SUMIF('GE16FEB14 Unfudged'!$A$2:$A$498, 'Tax Bill Summary'!$A61, 'GE16FEB14 Unfudged'!F$2:F$498)</f>
        <v>40946</v>
      </c>
      <c r="H61" s="56">
        <f t="shared" si="56"/>
        <v>0</v>
      </c>
      <c r="I61" s="51">
        <f>+SUMIF('GE16FEB14 Unfudged'!$A$2:$A$498, 'Tax Bill Summary'!$A61, 'GE16FEB14 Unfudged'!G$2:G$498)</f>
        <v>0</v>
      </c>
      <c r="J61" s="13">
        <f>+SUMIF('GE16FEB14 Unfudged'!$A$2:$A$498, 'Tax Bill Summary'!$A61, 'GE16FEB14 Unfudged'!H$2:H$498)</f>
        <v>0</v>
      </c>
      <c r="K61" s="56">
        <f t="shared" si="57"/>
        <v>0</v>
      </c>
      <c r="L61" s="51">
        <f>+SUMIF('GE16FEB14 Unfudged'!$A$2:$A$498, 'Tax Bill Summary'!$A61, 'GE16FEB14 Unfudged'!I$2:IF$498)</f>
        <v>263215</v>
      </c>
      <c r="M61" s="13">
        <f>+SUMIF('GE16FEB14 Unfudged'!$A$2:$A$498, 'Tax Bill Summary'!$A61, 'GE16FEB14 Unfudged'!J$2:IG$498)</f>
        <v>263215</v>
      </c>
      <c r="N61" s="56">
        <f t="shared" si="58"/>
        <v>0</v>
      </c>
      <c r="O61" s="51">
        <f t="shared" si="59"/>
        <v>304161</v>
      </c>
      <c r="P61" s="13">
        <f t="shared" si="60"/>
        <v>304161</v>
      </c>
      <c r="Q61" s="56">
        <f t="shared" si="61"/>
        <v>0</v>
      </c>
      <c r="R61" s="13">
        <f t="shared" si="62"/>
        <v>905.24107142857144</v>
      </c>
      <c r="S61" s="13">
        <f t="shared" si="63"/>
        <v>905.24107142857144</v>
      </c>
      <c r="T61" s="16">
        <f t="shared" si="64"/>
        <v>0</v>
      </c>
      <c r="U61" s="15">
        <f>+SUMIF('GE16FEB14 Tax Bill Unfudged'!$A$2:$A$498, 'Tax Bill Summary'!$A61, 'GE16FEB14 Tax Bill Unfudged'!E$2:E$498)</f>
        <v>47186</v>
      </c>
      <c r="V61" s="13">
        <f>+SUMIF('GE16FEB14 Tax Bill Unfudged'!$A$2:$A$498, 'Tax Bill Summary'!$A61, 'GE16FEB14 Tax Bill Unfudged'!F$2:F$498)</f>
        <v>47186</v>
      </c>
      <c r="W61" s="56">
        <f t="shared" si="65"/>
        <v>0</v>
      </c>
      <c r="X61" s="51">
        <f>+SUMIF('GE16FEB14 Tax Bill Unfudged'!$A$2:$A$498, 'Tax Bill Summary'!$A61, 'GE16FEB14 Tax Bill Unfudged'!G$2:G$498)</f>
        <v>142485</v>
      </c>
      <c r="Y61" s="13">
        <f>+SUMIF('GE16FEB14 Tax Bill Unfudged'!$A$2:$A$498, 'Tax Bill Summary'!$A61, 'GE16FEB14 Tax Bill Unfudged'!H$2:H$498)</f>
        <v>142485</v>
      </c>
      <c r="Z61" s="56">
        <f t="shared" si="66"/>
        <v>0</v>
      </c>
      <c r="AA61" s="51">
        <f>+SUMIF('GE16FEB14 Tax Bill Unfudged'!$A$2:$A$498, 'Tax Bill Summary'!$A61, 'GE16FEB14 Tax Bill Unfudged'!I$2:I$498)</f>
        <v>120729</v>
      </c>
      <c r="AB61" s="13">
        <f>+SUMIF('GE16FEB14 Tax Bill Unfudged'!$A$2:$A$498, 'Tax Bill Summary'!$A61, 'GE16FEB14 Tax Bill Unfudged'!J$2:J$498)</f>
        <v>120729</v>
      </c>
      <c r="AC61" s="56">
        <f t="shared" si="67"/>
        <v>0</v>
      </c>
      <c r="AD61" s="51">
        <f t="shared" si="68"/>
        <v>310400</v>
      </c>
      <c r="AE61" s="13">
        <f t="shared" si="69"/>
        <v>310400</v>
      </c>
      <c r="AF61" s="56">
        <f t="shared" si="70"/>
        <v>0</v>
      </c>
      <c r="AG61" s="13">
        <f t="shared" si="71"/>
        <v>923.80952380952385</v>
      </c>
      <c r="AH61" s="13">
        <f t="shared" si="72"/>
        <v>923.80952380952385</v>
      </c>
      <c r="AI61" s="16">
        <f t="shared" si="73"/>
        <v>0</v>
      </c>
      <c r="AJ61" s="15">
        <f t="shared" si="74"/>
        <v>6240</v>
      </c>
      <c r="AK61" s="13">
        <f t="shared" si="75"/>
        <v>6240</v>
      </c>
      <c r="AL61" s="56">
        <f t="shared" si="76"/>
        <v>0</v>
      </c>
      <c r="AM61" s="51">
        <f t="shared" si="77"/>
        <v>142485</v>
      </c>
      <c r="AN61" s="13">
        <f t="shared" si="78"/>
        <v>142485</v>
      </c>
      <c r="AO61" s="56">
        <f t="shared" si="79"/>
        <v>0</v>
      </c>
      <c r="AP61" s="51">
        <f t="shared" si="80"/>
        <v>-142486</v>
      </c>
      <c r="AQ61" s="13">
        <f t="shared" si="81"/>
        <v>-142486</v>
      </c>
      <c r="AR61" s="56">
        <f t="shared" si="82"/>
        <v>0</v>
      </c>
      <c r="AS61" s="51">
        <f t="shared" si="83"/>
        <v>6239</v>
      </c>
      <c r="AT61" s="13">
        <f t="shared" si="84"/>
        <v>6239</v>
      </c>
      <c r="AU61" s="56">
        <f t="shared" si="85"/>
        <v>0</v>
      </c>
      <c r="AV61" s="13">
        <f t="shared" si="86"/>
        <v>18.568452380952408</v>
      </c>
      <c r="AW61" s="13">
        <f t="shared" si="87"/>
        <v>18.568452380952408</v>
      </c>
      <c r="AX61" s="16">
        <f t="shared" si="88"/>
        <v>0</v>
      </c>
    </row>
    <row r="62" spans="1:50" x14ac:dyDescent="0.25">
      <c r="A62" s="20">
        <v>129</v>
      </c>
      <c r="B62">
        <v>1</v>
      </c>
      <c r="C62" s="23" t="s">
        <v>180</v>
      </c>
      <c r="D62" s="23">
        <v>5</v>
      </c>
      <c r="E62" s="15">
        <f>+SUMIF('GE16FEB14 Unfudged'!$A$2:$A$498, $A62, 'GE16FEB14 Unfudged'!$D$2:$D$498)</f>
        <v>1501</v>
      </c>
      <c r="F62" s="15">
        <f>+SUMIF('GE16FEB14 Unfudged'!$A$2:$A$498, 'Tax Bill Summary'!$A62, 'GE16FEB14 Unfudged'!E$2:E$498)</f>
        <v>173917</v>
      </c>
      <c r="G62" s="13">
        <f>+SUMIF('GE16FEB14 Unfudged'!$A$2:$A$498, 'Tax Bill Summary'!$A62, 'GE16FEB14 Unfudged'!F$2:F$498)</f>
        <v>85669</v>
      </c>
      <c r="H62" s="56">
        <f t="shared" si="56"/>
        <v>88248</v>
      </c>
      <c r="I62" s="51">
        <f>+SUMIF('GE16FEB14 Unfudged'!$A$2:$A$498, 'Tax Bill Summary'!$A62, 'GE16FEB14 Unfudged'!G$2:G$498)</f>
        <v>0</v>
      </c>
      <c r="J62" s="13">
        <f>+SUMIF('GE16FEB14 Unfudged'!$A$2:$A$498, 'Tax Bill Summary'!$A62, 'GE16FEB14 Unfudged'!H$2:H$498)</f>
        <v>0</v>
      </c>
      <c r="K62" s="56">
        <f t="shared" si="57"/>
        <v>0</v>
      </c>
      <c r="L62" s="51">
        <f>+SUMIF('GE16FEB14 Unfudged'!$A$2:$A$498, 'Tax Bill Summary'!$A62, 'GE16FEB14 Unfudged'!I$2:IF$498)</f>
        <v>1371705</v>
      </c>
      <c r="M62" s="13">
        <f>+SUMIF('GE16FEB14 Unfudged'!$A$2:$A$498, 'Tax Bill Summary'!$A62, 'GE16FEB14 Unfudged'!J$2:IG$498)</f>
        <v>668686</v>
      </c>
      <c r="N62" s="56">
        <f t="shared" si="58"/>
        <v>703019</v>
      </c>
      <c r="O62" s="51">
        <f t="shared" si="59"/>
        <v>1545622</v>
      </c>
      <c r="P62" s="13">
        <f t="shared" si="60"/>
        <v>754355</v>
      </c>
      <c r="Q62" s="56">
        <f t="shared" si="61"/>
        <v>791267</v>
      </c>
      <c r="R62" s="13">
        <f t="shared" si="62"/>
        <v>1029.728181212525</v>
      </c>
      <c r="S62" s="13">
        <f t="shared" si="63"/>
        <v>502.56828780812793</v>
      </c>
      <c r="T62" s="16">
        <f t="shared" si="64"/>
        <v>527.15989340439705</v>
      </c>
      <c r="U62" s="15">
        <f>+SUMIF('GE16FEB14 Tax Bill Unfudged'!$A$2:$A$498, 'Tax Bill Summary'!$A62, 'GE16FEB14 Tax Bill Unfudged'!E$2:E$498)</f>
        <v>198904</v>
      </c>
      <c r="V62" s="13">
        <f>+SUMIF('GE16FEB14 Tax Bill Unfudged'!$A$2:$A$498, 'Tax Bill Summary'!$A62, 'GE16FEB14 Tax Bill Unfudged'!F$2:F$498)</f>
        <v>97977</v>
      </c>
      <c r="W62" s="56">
        <f t="shared" si="65"/>
        <v>100927</v>
      </c>
      <c r="X62" s="51">
        <f>+SUMIF('GE16FEB14 Tax Bill Unfudged'!$A$2:$A$498, 'Tax Bill Summary'!$A62, 'GE16FEB14 Tax Bill Unfudged'!G$2:G$498)</f>
        <v>636466</v>
      </c>
      <c r="Y62" s="13">
        <f>+SUMIF('GE16FEB14 Tax Bill Unfudged'!$A$2:$A$498, 'Tax Bill Summary'!$A62, 'GE16FEB14 Tax Bill Unfudged'!H$2:H$498)</f>
        <v>313513</v>
      </c>
      <c r="Z62" s="56">
        <f t="shared" si="66"/>
        <v>322953</v>
      </c>
      <c r="AA62" s="51">
        <f>+SUMIF('GE16FEB14 Tax Bill Unfudged'!$A$2:$A$498, 'Tax Bill Summary'!$A62, 'GE16FEB14 Tax Bill Unfudged'!I$2:I$498)</f>
        <v>735239</v>
      </c>
      <c r="AB62" s="13">
        <f>+SUMIF('GE16FEB14 Tax Bill Unfudged'!$A$2:$A$498, 'Tax Bill Summary'!$A62, 'GE16FEB14 Tax Bill Unfudged'!J$2:J$498)</f>
        <v>268900</v>
      </c>
      <c r="AC62" s="56">
        <f t="shared" si="67"/>
        <v>466339</v>
      </c>
      <c r="AD62" s="51">
        <f t="shared" si="68"/>
        <v>1570609</v>
      </c>
      <c r="AE62" s="13">
        <f t="shared" si="69"/>
        <v>680390</v>
      </c>
      <c r="AF62" s="56">
        <f t="shared" si="70"/>
        <v>890219</v>
      </c>
      <c r="AG62" s="13">
        <f t="shared" si="71"/>
        <v>1046.3750832778148</v>
      </c>
      <c r="AH62" s="13">
        <f t="shared" si="72"/>
        <v>453.29113924050631</v>
      </c>
      <c r="AI62" s="16">
        <f t="shared" si="73"/>
        <v>593.08394403730847</v>
      </c>
      <c r="AJ62" s="15">
        <f t="shared" si="74"/>
        <v>24987</v>
      </c>
      <c r="AK62" s="13">
        <f t="shared" si="75"/>
        <v>12308</v>
      </c>
      <c r="AL62" s="56">
        <f t="shared" si="76"/>
        <v>12679</v>
      </c>
      <c r="AM62" s="51">
        <f t="shared" si="77"/>
        <v>636466</v>
      </c>
      <c r="AN62" s="13">
        <f t="shared" si="78"/>
        <v>313513</v>
      </c>
      <c r="AO62" s="56">
        <f t="shared" si="79"/>
        <v>322953</v>
      </c>
      <c r="AP62" s="51">
        <f t="shared" si="80"/>
        <v>-636466</v>
      </c>
      <c r="AQ62" s="13">
        <f t="shared" si="81"/>
        <v>-399786</v>
      </c>
      <c r="AR62" s="56">
        <f t="shared" si="82"/>
        <v>-236680</v>
      </c>
      <c r="AS62" s="51">
        <f t="shared" si="83"/>
        <v>24987</v>
      </c>
      <c r="AT62" s="13">
        <f t="shared" si="84"/>
        <v>-73965</v>
      </c>
      <c r="AU62" s="56">
        <f t="shared" si="85"/>
        <v>98952</v>
      </c>
      <c r="AV62" s="13">
        <f t="shared" si="86"/>
        <v>16.646902065289851</v>
      </c>
      <c r="AW62" s="13">
        <f t="shared" si="87"/>
        <v>-49.277148567621623</v>
      </c>
      <c r="AX62" s="16">
        <f t="shared" si="88"/>
        <v>65.924050632911417</v>
      </c>
    </row>
    <row r="63" spans="1:50" x14ac:dyDescent="0.25">
      <c r="A63" s="20">
        <v>138</v>
      </c>
      <c r="B63">
        <v>1</v>
      </c>
      <c r="C63" s="23" t="s">
        <v>181</v>
      </c>
      <c r="D63" s="23">
        <v>4</v>
      </c>
      <c r="E63" s="15">
        <f>+SUMIF('GE16FEB14 Unfudged'!$A$2:$A$498, $A63, 'GE16FEB14 Unfudged'!$D$2:$D$498)</f>
        <v>3045</v>
      </c>
      <c r="F63" s="15">
        <f>+SUMIF('GE16FEB14 Unfudged'!$A$2:$A$498, 'Tax Bill Summary'!$A63, 'GE16FEB14 Unfudged'!E$2:E$498)</f>
        <v>438437</v>
      </c>
      <c r="G63" s="13">
        <f>+SUMIF('GE16FEB14 Unfudged'!$A$2:$A$498, 'Tax Bill Summary'!$A63, 'GE16FEB14 Unfudged'!F$2:F$498)</f>
        <v>304974</v>
      </c>
      <c r="H63" s="56">
        <f t="shared" si="56"/>
        <v>133463</v>
      </c>
      <c r="I63" s="51">
        <f>+SUMIF('GE16FEB14 Unfudged'!$A$2:$A$498, 'Tax Bill Summary'!$A63, 'GE16FEB14 Unfudged'!G$2:G$498)</f>
        <v>645476</v>
      </c>
      <c r="J63" s="13">
        <f>+SUMIF('GE16FEB14 Unfudged'!$A$2:$A$498, 'Tax Bill Summary'!$A63, 'GE16FEB14 Unfudged'!H$2:H$498)</f>
        <v>448990</v>
      </c>
      <c r="K63" s="56">
        <f t="shared" si="57"/>
        <v>196486</v>
      </c>
      <c r="L63" s="51">
        <f>+SUMIF('GE16FEB14 Unfudged'!$A$2:$A$498, 'Tax Bill Summary'!$A63, 'GE16FEB14 Unfudged'!I$2:IF$498)</f>
        <v>913410</v>
      </c>
      <c r="M63" s="13">
        <f>+SUMIF('GE16FEB14 Unfudged'!$A$2:$A$498, 'Tax Bill Summary'!$A63, 'GE16FEB14 Unfudged'!J$2:IG$498)</f>
        <v>368222</v>
      </c>
      <c r="N63" s="56">
        <f t="shared" si="58"/>
        <v>545188</v>
      </c>
      <c r="O63" s="51">
        <f t="shared" si="59"/>
        <v>1997323</v>
      </c>
      <c r="P63" s="13">
        <f t="shared" si="60"/>
        <v>1122186</v>
      </c>
      <c r="Q63" s="56">
        <f t="shared" si="61"/>
        <v>875137</v>
      </c>
      <c r="R63" s="13">
        <f t="shared" si="62"/>
        <v>655.9353037766831</v>
      </c>
      <c r="S63" s="13">
        <f t="shared" si="63"/>
        <v>368.53399014778324</v>
      </c>
      <c r="T63" s="16">
        <f t="shared" si="64"/>
        <v>287.40131362889986</v>
      </c>
      <c r="U63" s="15">
        <f>+SUMIF('GE16FEB14 Tax Bill Unfudged'!$A$2:$A$498, 'Tax Bill Summary'!$A63, 'GE16FEB14 Tax Bill Unfudged'!E$2:E$498)</f>
        <v>438437</v>
      </c>
      <c r="V63" s="13">
        <f>+SUMIF('GE16FEB14 Tax Bill Unfudged'!$A$2:$A$498, 'Tax Bill Summary'!$A63, 'GE16FEB14 Tax Bill Unfudged'!F$2:F$498)</f>
        <v>304974</v>
      </c>
      <c r="W63" s="56">
        <f t="shared" si="65"/>
        <v>133463</v>
      </c>
      <c r="X63" s="51">
        <f>+SUMIF('GE16FEB14 Tax Bill Unfudged'!$A$2:$A$498, 'Tax Bill Summary'!$A63, 'GE16FEB14 Tax Bill Unfudged'!G$2:G$498)</f>
        <v>1290953</v>
      </c>
      <c r="Y63" s="13">
        <f>+SUMIF('GE16FEB14 Tax Bill Unfudged'!$A$2:$A$498, 'Tax Bill Summary'!$A63, 'GE16FEB14 Tax Bill Unfudged'!H$2:H$498)</f>
        <v>897980</v>
      </c>
      <c r="Z63" s="56">
        <f t="shared" si="66"/>
        <v>392973</v>
      </c>
      <c r="AA63" s="51">
        <f>+SUMIF('GE16FEB14 Tax Bill Unfudged'!$A$2:$A$498, 'Tax Bill Summary'!$A63, 'GE16FEB14 Tax Bill Unfudged'!I$2:I$498)</f>
        <v>913410</v>
      </c>
      <c r="AB63" s="13">
        <f>+SUMIF('GE16FEB14 Tax Bill Unfudged'!$A$2:$A$498, 'Tax Bill Summary'!$A63, 'GE16FEB14 Tax Bill Unfudged'!J$2:J$498)</f>
        <v>368222</v>
      </c>
      <c r="AC63" s="56">
        <f t="shared" si="67"/>
        <v>545188</v>
      </c>
      <c r="AD63" s="51">
        <f t="shared" si="68"/>
        <v>2642800</v>
      </c>
      <c r="AE63" s="13">
        <f t="shared" si="69"/>
        <v>1571176</v>
      </c>
      <c r="AF63" s="56">
        <f t="shared" si="70"/>
        <v>1071624</v>
      </c>
      <c r="AG63" s="13">
        <f t="shared" si="71"/>
        <v>867.91461412151068</v>
      </c>
      <c r="AH63" s="13">
        <f t="shared" si="72"/>
        <v>515.98555008210178</v>
      </c>
      <c r="AI63" s="16">
        <f t="shared" si="73"/>
        <v>351.92906403940884</v>
      </c>
      <c r="AJ63" s="15">
        <f t="shared" si="74"/>
        <v>0</v>
      </c>
      <c r="AK63" s="13">
        <f t="shared" si="75"/>
        <v>0</v>
      </c>
      <c r="AL63" s="56">
        <f t="shared" si="76"/>
        <v>0</v>
      </c>
      <c r="AM63" s="51">
        <f t="shared" si="77"/>
        <v>645477</v>
      </c>
      <c r="AN63" s="13">
        <f t="shared" si="78"/>
        <v>448990</v>
      </c>
      <c r="AO63" s="56">
        <f t="shared" si="79"/>
        <v>196487</v>
      </c>
      <c r="AP63" s="51">
        <f t="shared" si="80"/>
        <v>0</v>
      </c>
      <c r="AQ63" s="13">
        <f t="shared" si="81"/>
        <v>0</v>
      </c>
      <c r="AR63" s="56">
        <f t="shared" si="82"/>
        <v>0</v>
      </c>
      <c r="AS63" s="51">
        <f t="shared" si="83"/>
        <v>645477</v>
      </c>
      <c r="AT63" s="13">
        <f t="shared" si="84"/>
        <v>448990</v>
      </c>
      <c r="AU63" s="56">
        <f t="shared" si="85"/>
        <v>196487</v>
      </c>
      <c r="AV63" s="13">
        <f t="shared" si="86"/>
        <v>211.97931034482758</v>
      </c>
      <c r="AW63" s="13">
        <f t="shared" si="87"/>
        <v>147.45155993431854</v>
      </c>
      <c r="AX63" s="16">
        <f t="shared" si="88"/>
        <v>64.527750410508986</v>
      </c>
    </row>
    <row r="64" spans="1:50" x14ac:dyDescent="0.25">
      <c r="A64" s="20">
        <v>139</v>
      </c>
      <c r="B64">
        <v>1</v>
      </c>
      <c r="C64" s="23" t="s">
        <v>182</v>
      </c>
      <c r="D64" s="23">
        <v>6</v>
      </c>
      <c r="E64" s="15">
        <f>+SUMIF('GE16FEB14 Unfudged'!$A$2:$A$498, $A64, 'GE16FEB14 Unfudged'!$D$2:$D$498)</f>
        <v>997</v>
      </c>
      <c r="F64" s="15">
        <f>+SUMIF('GE16FEB14 Unfudged'!$A$2:$A$498, 'Tax Bill Summary'!$A64, 'GE16FEB14 Unfudged'!E$2:E$498)</f>
        <v>143539</v>
      </c>
      <c r="G64" s="13">
        <f>+SUMIF('GE16FEB14 Unfudged'!$A$2:$A$498, 'Tax Bill Summary'!$A64, 'GE16FEB14 Unfudged'!F$2:F$498)</f>
        <v>96422</v>
      </c>
      <c r="H64" s="56">
        <f t="shared" si="56"/>
        <v>47117</v>
      </c>
      <c r="I64" s="51">
        <f>+SUMIF('GE16FEB14 Unfudged'!$A$2:$A$498, 'Tax Bill Summary'!$A64, 'GE16FEB14 Unfudged'!G$2:G$498)</f>
        <v>0</v>
      </c>
      <c r="J64" s="13">
        <f>+SUMIF('GE16FEB14 Unfudged'!$A$2:$A$498, 'Tax Bill Summary'!$A64, 'GE16FEB14 Unfudged'!H$2:H$498)</f>
        <v>0</v>
      </c>
      <c r="K64" s="56">
        <f t="shared" si="57"/>
        <v>0</v>
      </c>
      <c r="L64" s="51">
        <f>+SUMIF('GE16FEB14 Unfudged'!$A$2:$A$498, 'Tax Bill Summary'!$A64, 'GE16FEB14 Unfudged'!I$2:IF$498)</f>
        <v>299040</v>
      </c>
      <c r="M64" s="13">
        <f>+SUMIF('GE16FEB14 Unfudged'!$A$2:$A$498, 'Tax Bill Summary'!$A64, 'GE16FEB14 Unfudged'!J$2:IG$498)</f>
        <v>116419</v>
      </c>
      <c r="N64" s="56">
        <f t="shared" si="58"/>
        <v>182621</v>
      </c>
      <c r="O64" s="51">
        <f t="shared" si="59"/>
        <v>442579</v>
      </c>
      <c r="P64" s="13">
        <f t="shared" si="60"/>
        <v>212841</v>
      </c>
      <c r="Q64" s="56">
        <f t="shared" si="61"/>
        <v>229738</v>
      </c>
      <c r="R64" s="13">
        <f t="shared" si="62"/>
        <v>443.91073219658978</v>
      </c>
      <c r="S64" s="13">
        <f t="shared" si="63"/>
        <v>213.48144433299899</v>
      </c>
      <c r="T64" s="16">
        <f t="shared" si="64"/>
        <v>230.42928786359076</v>
      </c>
      <c r="U64" s="15">
        <f>+SUMIF('GE16FEB14 Tax Bill Unfudged'!$A$2:$A$498, 'Tax Bill Summary'!$A64, 'GE16FEB14 Tax Bill Unfudged'!E$2:E$498)</f>
        <v>143539</v>
      </c>
      <c r="V64" s="13">
        <f>+SUMIF('GE16FEB14 Tax Bill Unfudged'!$A$2:$A$498, 'Tax Bill Summary'!$A64, 'GE16FEB14 Tax Bill Unfudged'!F$2:F$498)</f>
        <v>96422</v>
      </c>
      <c r="W64" s="56">
        <f t="shared" si="65"/>
        <v>47117</v>
      </c>
      <c r="X64" s="51">
        <f>+SUMIF('GE16FEB14 Tax Bill Unfudged'!$A$2:$A$498, 'Tax Bill Summary'!$A64, 'GE16FEB14 Tax Bill Unfudged'!G$2:G$498)</f>
        <v>422643</v>
      </c>
      <c r="Y64" s="13">
        <f>+SUMIF('GE16FEB14 Tax Bill Unfudged'!$A$2:$A$498, 'Tax Bill Summary'!$A64, 'GE16FEB14 Tax Bill Unfudged'!H$2:H$498)</f>
        <v>283910</v>
      </c>
      <c r="Z64" s="56">
        <f t="shared" si="66"/>
        <v>138733</v>
      </c>
      <c r="AA64" s="51">
        <f>+SUMIF('GE16FEB14 Tax Bill Unfudged'!$A$2:$A$498, 'Tax Bill Summary'!$A64, 'GE16FEB14 Tax Bill Unfudged'!I$2:I$498)</f>
        <v>299040</v>
      </c>
      <c r="AB64" s="13">
        <f>+SUMIF('GE16FEB14 Tax Bill Unfudged'!$A$2:$A$498, 'Tax Bill Summary'!$A64, 'GE16FEB14 Tax Bill Unfudged'!J$2:J$498)</f>
        <v>116419</v>
      </c>
      <c r="AC64" s="56">
        <f t="shared" si="67"/>
        <v>182621</v>
      </c>
      <c r="AD64" s="51">
        <f t="shared" si="68"/>
        <v>865222</v>
      </c>
      <c r="AE64" s="13">
        <f t="shared" si="69"/>
        <v>496751</v>
      </c>
      <c r="AF64" s="56">
        <f t="shared" si="70"/>
        <v>368471</v>
      </c>
      <c r="AG64" s="13">
        <f t="shared" si="71"/>
        <v>867.82547642928785</v>
      </c>
      <c r="AH64" s="13">
        <f t="shared" si="72"/>
        <v>498.24573721163489</v>
      </c>
      <c r="AI64" s="16">
        <f t="shared" si="73"/>
        <v>369.57973921765296</v>
      </c>
      <c r="AJ64" s="15">
        <f t="shared" si="74"/>
        <v>0</v>
      </c>
      <c r="AK64" s="13">
        <f t="shared" si="75"/>
        <v>0</v>
      </c>
      <c r="AL64" s="56">
        <f t="shared" si="76"/>
        <v>0</v>
      </c>
      <c r="AM64" s="51">
        <f t="shared" si="77"/>
        <v>422643</v>
      </c>
      <c r="AN64" s="13">
        <f t="shared" si="78"/>
        <v>283910</v>
      </c>
      <c r="AO64" s="56">
        <f t="shared" si="79"/>
        <v>138733</v>
      </c>
      <c r="AP64" s="51">
        <f t="shared" si="80"/>
        <v>0</v>
      </c>
      <c r="AQ64" s="13">
        <f t="shared" si="81"/>
        <v>0</v>
      </c>
      <c r="AR64" s="56">
        <f t="shared" si="82"/>
        <v>0</v>
      </c>
      <c r="AS64" s="51">
        <f t="shared" si="83"/>
        <v>422643</v>
      </c>
      <c r="AT64" s="13">
        <f t="shared" si="84"/>
        <v>283910</v>
      </c>
      <c r="AU64" s="56">
        <f t="shared" si="85"/>
        <v>138733</v>
      </c>
      <c r="AV64" s="13">
        <f t="shared" si="86"/>
        <v>423.91474423269807</v>
      </c>
      <c r="AW64" s="13">
        <f t="shared" si="87"/>
        <v>284.7642928786359</v>
      </c>
      <c r="AX64" s="16">
        <f t="shared" si="88"/>
        <v>139.1504513540622</v>
      </c>
    </row>
    <row r="65" spans="1:50" x14ac:dyDescent="0.25">
      <c r="A65" s="20">
        <v>146</v>
      </c>
      <c r="B65">
        <v>1</v>
      </c>
      <c r="C65" s="23" t="s">
        <v>183</v>
      </c>
      <c r="D65" s="23">
        <v>6</v>
      </c>
      <c r="E65" s="15">
        <f>+SUMIF('GE16FEB14 Unfudged'!$A$2:$A$498, $A65, 'GE16FEB14 Unfudged'!$D$2:$D$498)</f>
        <v>912</v>
      </c>
      <c r="F65" s="15">
        <f>+SUMIF('GE16FEB14 Unfudged'!$A$2:$A$498, 'Tax Bill Summary'!$A65, 'GE16FEB14 Unfudged'!E$2:E$498)</f>
        <v>101385</v>
      </c>
      <c r="G65" s="13">
        <f>+SUMIF('GE16FEB14 Unfudged'!$A$2:$A$498, 'Tax Bill Summary'!$A65, 'GE16FEB14 Unfudged'!F$2:F$498)</f>
        <v>55418</v>
      </c>
      <c r="H65" s="56">
        <f t="shared" si="56"/>
        <v>45967</v>
      </c>
      <c r="I65" s="51">
        <f>+SUMIF('GE16FEB14 Unfudged'!$A$2:$A$498, 'Tax Bill Summary'!$A65, 'GE16FEB14 Unfudged'!G$2:G$498)</f>
        <v>0</v>
      </c>
      <c r="J65" s="13">
        <f>+SUMIF('GE16FEB14 Unfudged'!$A$2:$A$498, 'Tax Bill Summary'!$A65, 'GE16FEB14 Unfudged'!H$2:H$498)</f>
        <v>0</v>
      </c>
      <c r="K65" s="56">
        <f t="shared" si="57"/>
        <v>0</v>
      </c>
      <c r="L65" s="51">
        <f>+SUMIF('GE16FEB14 Unfudged'!$A$2:$A$498, 'Tax Bill Summary'!$A65, 'GE16FEB14 Unfudged'!I$2:IF$498)</f>
        <v>925685</v>
      </c>
      <c r="M65" s="13">
        <f>+SUMIF('GE16FEB14 Unfudged'!$A$2:$A$498, 'Tax Bill Summary'!$A65, 'GE16FEB14 Unfudged'!J$2:IG$498)</f>
        <v>539663</v>
      </c>
      <c r="N65" s="56">
        <f t="shared" si="58"/>
        <v>386022</v>
      </c>
      <c r="O65" s="51">
        <f t="shared" si="59"/>
        <v>1027070</v>
      </c>
      <c r="P65" s="13">
        <f t="shared" si="60"/>
        <v>595081</v>
      </c>
      <c r="Q65" s="56">
        <f t="shared" si="61"/>
        <v>431989</v>
      </c>
      <c r="R65" s="13">
        <f t="shared" si="62"/>
        <v>1126.1732456140351</v>
      </c>
      <c r="S65" s="13">
        <f t="shared" si="63"/>
        <v>652.50109649122805</v>
      </c>
      <c r="T65" s="16">
        <f t="shared" si="64"/>
        <v>473.67214912280701</v>
      </c>
      <c r="U65" s="15">
        <f>+SUMIF('GE16FEB14 Tax Bill Unfudged'!$A$2:$A$498, 'Tax Bill Summary'!$A65, 'GE16FEB14 Tax Bill Unfudged'!E$2:E$498)</f>
        <v>115199</v>
      </c>
      <c r="V65" s="13">
        <f>+SUMIF('GE16FEB14 Tax Bill Unfudged'!$A$2:$A$498, 'Tax Bill Summary'!$A65, 'GE16FEB14 Tax Bill Unfudged'!F$2:F$498)</f>
        <v>62969</v>
      </c>
      <c r="W65" s="56">
        <f t="shared" si="65"/>
        <v>52230</v>
      </c>
      <c r="X65" s="51">
        <f>+SUMIF('GE16FEB14 Tax Bill Unfudged'!$A$2:$A$498, 'Tax Bill Summary'!$A65, 'GE16FEB14 Tax Bill Unfudged'!G$2:G$498)</f>
        <v>386561</v>
      </c>
      <c r="Y65" s="13">
        <f>+SUMIF('GE16FEB14 Tax Bill Unfudged'!$A$2:$A$498, 'Tax Bill Summary'!$A65, 'GE16FEB14 Tax Bill Unfudged'!H$2:H$498)</f>
        <v>211299</v>
      </c>
      <c r="Z65" s="56">
        <f t="shared" si="66"/>
        <v>175262</v>
      </c>
      <c r="AA65" s="51">
        <f>+SUMIF('GE16FEB14 Tax Bill Unfudged'!$A$2:$A$498, 'Tax Bill Summary'!$A65, 'GE16FEB14 Tax Bill Unfudged'!I$2:I$498)</f>
        <v>539125</v>
      </c>
      <c r="AB65" s="13">
        <f>+SUMIF('GE16FEB14 Tax Bill Unfudged'!$A$2:$A$498, 'Tax Bill Summary'!$A65, 'GE16FEB14 Tax Bill Unfudged'!J$2:J$498)</f>
        <v>231832</v>
      </c>
      <c r="AC65" s="56">
        <f t="shared" si="67"/>
        <v>307293</v>
      </c>
      <c r="AD65" s="51">
        <f t="shared" si="68"/>
        <v>1040885</v>
      </c>
      <c r="AE65" s="13">
        <f t="shared" si="69"/>
        <v>506100</v>
      </c>
      <c r="AF65" s="56">
        <f t="shared" si="70"/>
        <v>534785</v>
      </c>
      <c r="AG65" s="13">
        <f t="shared" si="71"/>
        <v>1141.3212719298247</v>
      </c>
      <c r="AH65" s="13">
        <f t="shared" si="72"/>
        <v>554.93421052631584</v>
      </c>
      <c r="AI65" s="16">
        <f t="shared" si="73"/>
        <v>586.38706140350882</v>
      </c>
      <c r="AJ65" s="15">
        <f t="shared" si="74"/>
        <v>13814</v>
      </c>
      <c r="AK65" s="13">
        <f t="shared" si="75"/>
        <v>7551</v>
      </c>
      <c r="AL65" s="56">
        <f t="shared" si="76"/>
        <v>6263</v>
      </c>
      <c r="AM65" s="51">
        <f t="shared" si="77"/>
        <v>386561</v>
      </c>
      <c r="AN65" s="13">
        <f t="shared" si="78"/>
        <v>211299</v>
      </c>
      <c r="AO65" s="56">
        <f t="shared" si="79"/>
        <v>175262</v>
      </c>
      <c r="AP65" s="51">
        <f t="shared" si="80"/>
        <v>-386560</v>
      </c>
      <c r="AQ65" s="13">
        <f t="shared" si="81"/>
        <v>-307831</v>
      </c>
      <c r="AR65" s="56">
        <f t="shared" si="82"/>
        <v>-78729</v>
      </c>
      <c r="AS65" s="51">
        <f t="shared" si="83"/>
        <v>13815</v>
      </c>
      <c r="AT65" s="13">
        <f t="shared" si="84"/>
        <v>-88981</v>
      </c>
      <c r="AU65" s="56">
        <f t="shared" si="85"/>
        <v>102796</v>
      </c>
      <c r="AV65" s="13">
        <f t="shared" si="86"/>
        <v>15.148026315789593</v>
      </c>
      <c r="AW65" s="13">
        <f t="shared" si="87"/>
        <v>-97.566885964912217</v>
      </c>
      <c r="AX65" s="16">
        <f t="shared" si="88"/>
        <v>112.71491228070181</v>
      </c>
    </row>
    <row r="66" spans="1:50" x14ac:dyDescent="0.25">
      <c r="A66" s="20">
        <v>150</v>
      </c>
      <c r="B66">
        <v>1</v>
      </c>
      <c r="C66" s="23" t="s">
        <v>184</v>
      </c>
      <c r="D66" s="23">
        <v>6</v>
      </c>
      <c r="E66" s="15">
        <f>+SUMIF('GE16FEB14 Unfudged'!$A$2:$A$498, $A66, 'GE16FEB14 Unfudged'!$D$2:$D$498)</f>
        <v>970</v>
      </c>
      <c r="F66" s="15">
        <f>+SUMIF('GE16FEB14 Unfudged'!$A$2:$A$498, 'Tax Bill Summary'!$A66, 'GE16FEB14 Unfudged'!E$2:E$498)</f>
        <v>130325</v>
      </c>
      <c r="G66" s="13">
        <f>+SUMIF('GE16FEB14 Unfudged'!$A$2:$A$498, 'Tax Bill Summary'!$A66, 'GE16FEB14 Unfudged'!F$2:F$498)</f>
        <v>73866</v>
      </c>
      <c r="H66" s="56">
        <f t="shared" si="56"/>
        <v>56459</v>
      </c>
      <c r="I66" s="51">
        <f>+SUMIF('GE16FEB14 Unfudged'!$A$2:$A$498, 'Tax Bill Summary'!$A66, 'GE16FEB14 Unfudged'!G$2:G$498)</f>
        <v>0</v>
      </c>
      <c r="J66" s="13">
        <f>+SUMIF('GE16FEB14 Unfudged'!$A$2:$A$498, 'Tax Bill Summary'!$A66, 'GE16FEB14 Unfudged'!H$2:H$498)</f>
        <v>0</v>
      </c>
      <c r="K66" s="56">
        <f t="shared" si="57"/>
        <v>0</v>
      </c>
      <c r="L66" s="51">
        <f>+SUMIF('GE16FEB14 Unfudged'!$A$2:$A$498, 'Tax Bill Summary'!$A66, 'GE16FEB14 Unfudged'!I$2:IF$498)</f>
        <v>495049</v>
      </c>
      <c r="M66" s="13">
        <f>+SUMIF('GE16FEB14 Unfudged'!$A$2:$A$498, 'Tax Bill Summary'!$A66, 'GE16FEB14 Unfudged'!J$2:IG$498)</f>
        <v>211239</v>
      </c>
      <c r="N66" s="56">
        <f t="shared" si="58"/>
        <v>283810</v>
      </c>
      <c r="O66" s="51">
        <f t="shared" si="59"/>
        <v>625374</v>
      </c>
      <c r="P66" s="13">
        <f t="shared" si="60"/>
        <v>285105</v>
      </c>
      <c r="Q66" s="56">
        <f t="shared" si="61"/>
        <v>340269</v>
      </c>
      <c r="R66" s="13">
        <f t="shared" si="62"/>
        <v>644.71546391752577</v>
      </c>
      <c r="S66" s="13">
        <f t="shared" si="63"/>
        <v>293.92268041237111</v>
      </c>
      <c r="T66" s="16">
        <f t="shared" si="64"/>
        <v>350.79278350515466</v>
      </c>
      <c r="U66" s="15">
        <f>+SUMIF('GE16FEB14 Tax Bill Unfudged'!$A$2:$A$498, 'Tax Bill Summary'!$A66, 'GE16FEB14 Tax Bill Unfudged'!E$2:E$498)</f>
        <v>139680</v>
      </c>
      <c r="V66" s="13">
        <f>+SUMIF('GE16FEB14 Tax Bill Unfudged'!$A$2:$A$498, 'Tax Bill Summary'!$A66, 'GE16FEB14 Tax Bill Unfudged'!F$2:F$498)</f>
        <v>79168</v>
      </c>
      <c r="W66" s="56">
        <f t="shared" si="65"/>
        <v>60512</v>
      </c>
      <c r="X66" s="51">
        <f>+SUMIF('GE16FEB14 Tax Bill Unfudged'!$A$2:$A$498, 'Tax Bill Summary'!$A66, 'GE16FEB14 Tax Bill Unfudged'!G$2:G$498)</f>
        <v>411280</v>
      </c>
      <c r="Y66" s="13">
        <f>+SUMIF('GE16FEB14 Tax Bill Unfudged'!$A$2:$A$498, 'Tax Bill Summary'!$A66, 'GE16FEB14 Tax Bill Unfudged'!H$2:H$498)</f>
        <v>233107</v>
      </c>
      <c r="Z66" s="56">
        <f t="shared" si="66"/>
        <v>178173</v>
      </c>
      <c r="AA66" s="51">
        <f>+SUMIF('GE16FEB14 Tax Bill Unfudged'!$A$2:$A$498, 'Tax Bill Summary'!$A66, 'GE16FEB14 Tax Bill Unfudged'!I$2:I$498)</f>
        <v>291000</v>
      </c>
      <c r="AB66" s="13">
        <f>+SUMIF('GE16FEB14 Tax Bill Unfudged'!$A$2:$A$498, 'Tax Bill Summary'!$A66, 'GE16FEB14 Tax Bill Unfudged'!J$2:J$498)</f>
        <v>95587</v>
      </c>
      <c r="AC66" s="56">
        <f t="shared" si="67"/>
        <v>195413</v>
      </c>
      <c r="AD66" s="51">
        <f t="shared" si="68"/>
        <v>841960</v>
      </c>
      <c r="AE66" s="13">
        <f t="shared" si="69"/>
        <v>407862</v>
      </c>
      <c r="AF66" s="56">
        <f t="shared" si="70"/>
        <v>434098</v>
      </c>
      <c r="AG66" s="13">
        <f t="shared" si="71"/>
        <v>868</v>
      </c>
      <c r="AH66" s="13">
        <f t="shared" si="72"/>
        <v>420.47628865979379</v>
      </c>
      <c r="AI66" s="16">
        <f t="shared" si="73"/>
        <v>447.52371134020621</v>
      </c>
      <c r="AJ66" s="15">
        <f t="shared" si="74"/>
        <v>9355</v>
      </c>
      <c r="AK66" s="13">
        <f t="shared" si="75"/>
        <v>5302</v>
      </c>
      <c r="AL66" s="56">
        <f t="shared" si="76"/>
        <v>4053</v>
      </c>
      <c r="AM66" s="51">
        <f t="shared" si="77"/>
        <v>411280</v>
      </c>
      <c r="AN66" s="13">
        <f t="shared" si="78"/>
        <v>233107</v>
      </c>
      <c r="AO66" s="56">
        <f t="shared" si="79"/>
        <v>178173</v>
      </c>
      <c r="AP66" s="51">
        <f t="shared" si="80"/>
        <v>-204049</v>
      </c>
      <c r="AQ66" s="13">
        <f t="shared" si="81"/>
        <v>-115652</v>
      </c>
      <c r="AR66" s="56">
        <f t="shared" si="82"/>
        <v>-88397</v>
      </c>
      <c r="AS66" s="51">
        <f t="shared" si="83"/>
        <v>216586</v>
      </c>
      <c r="AT66" s="13">
        <f t="shared" si="84"/>
        <v>122757</v>
      </c>
      <c r="AU66" s="56">
        <f t="shared" si="85"/>
        <v>93829</v>
      </c>
      <c r="AV66" s="13">
        <f t="shared" si="86"/>
        <v>223.28453608247423</v>
      </c>
      <c r="AW66" s="13">
        <f t="shared" si="87"/>
        <v>126.55360824742269</v>
      </c>
      <c r="AX66" s="16">
        <f t="shared" si="88"/>
        <v>96.730927835051546</v>
      </c>
    </row>
    <row r="67" spans="1:50" x14ac:dyDescent="0.25">
      <c r="A67" s="20">
        <v>152</v>
      </c>
      <c r="B67">
        <v>1</v>
      </c>
      <c r="C67" s="23" t="s">
        <v>185</v>
      </c>
      <c r="D67" s="23">
        <v>4</v>
      </c>
      <c r="E67" s="15">
        <f>+SUMIF('GE16FEB14 Unfudged'!$A$2:$A$498, $A67, 'GE16FEB14 Unfudged'!$D$2:$D$498)</f>
        <v>6224</v>
      </c>
      <c r="F67" s="15">
        <f>+SUMIF('GE16FEB14 Unfudged'!$A$2:$A$498, 'Tax Bill Summary'!$A67, 'GE16FEB14 Unfudged'!E$2:E$498)</f>
        <v>771418</v>
      </c>
      <c r="G67" s="13">
        <f>+SUMIF('GE16FEB14 Unfudged'!$A$2:$A$498, 'Tax Bill Summary'!$A67, 'GE16FEB14 Unfudged'!F$2:F$498)</f>
        <v>584216</v>
      </c>
      <c r="H67" s="56">
        <f t="shared" si="56"/>
        <v>187202</v>
      </c>
      <c r="I67" s="51">
        <f>+SUMIF('GE16FEB14 Unfudged'!$A$2:$A$498, 'Tax Bill Summary'!$A67, 'GE16FEB14 Unfudged'!G$2:G$498)</f>
        <v>1319499</v>
      </c>
      <c r="J67" s="13">
        <f>+SUMIF('GE16FEB14 Unfudged'!$A$2:$A$498, 'Tax Bill Summary'!$A67, 'GE16FEB14 Unfudged'!H$2:H$498)</f>
        <v>999293</v>
      </c>
      <c r="K67" s="56">
        <f t="shared" si="57"/>
        <v>320206</v>
      </c>
      <c r="L67" s="51">
        <f>+SUMIF('GE16FEB14 Unfudged'!$A$2:$A$498, 'Tax Bill Summary'!$A67, 'GE16FEB14 Unfudged'!I$2:IF$498)</f>
        <v>4590361</v>
      </c>
      <c r="M67" s="13">
        <f>+SUMIF('GE16FEB14 Unfudged'!$A$2:$A$498, 'Tax Bill Summary'!$A67, 'GE16FEB14 Unfudged'!J$2:IG$498)</f>
        <v>2881847</v>
      </c>
      <c r="N67" s="56">
        <f t="shared" si="58"/>
        <v>1708514</v>
      </c>
      <c r="O67" s="51">
        <f t="shared" si="59"/>
        <v>6681278</v>
      </c>
      <c r="P67" s="13">
        <f t="shared" si="60"/>
        <v>4465356</v>
      </c>
      <c r="Q67" s="56">
        <f t="shared" si="61"/>
        <v>2215922</v>
      </c>
      <c r="R67" s="13">
        <f t="shared" si="62"/>
        <v>1073.4701156812339</v>
      </c>
      <c r="S67" s="13">
        <f t="shared" si="63"/>
        <v>717.44151670951157</v>
      </c>
      <c r="T67" s="16">
        <f t="shared" si="64"/>
        <v>356.02859897172237</v>
      </c>
      <c r="U67" s="15">
        <f>+SUMIF('GE16FEB14 Tax Bill Unfudged'!$A$2:$A$498, 'Tax Bill Summary'!$A67, 'GE16FEB14 Tax Bill Unfudged'!E$2:E$498)</f>
        <v>811257</v>
      </c>
      <c r="V67" s="13">
        <f>+SUMIF('GE16FEB14 Tax Bill Unfudged'!$A$2:$A$498, 'Tax Bill Summary'!$A67, 'GE16FEB14 Tax Bill Unfudged'!F$2:F$498)</f>
        <v>614388</v>
      </c>
      <c r="W67" s="56">
        <f t="shared" si="65"/>
        <v>196869</v>
      </c>
      <c r="X67" s="51">
        <f>+SUMIF('GE16FEB14 Tax Bill Unfudged'!$A$2:$A$498, 'Tax Bill Summary'!$A67, 'GE16FEB14 Tax Bill Unfudged'!G$2:G$498)</f>
        <v>2638997</v>
      </c>
      <c r="Y67" s="13">
        <f>+SUMIF('GE16FEB14 Tax Bill Unfudged'!$A$2:$A$498, 'Tax Bill Summary'!$A67, 'GE16FEB14 Tax Bill Unfudged'!H$2:H$498)</f>
        <v>1998586</v>
      </c>
      <c r="Z67" s="56">
        <f t="shared" si="66"/>
        <v>640411</v>
      </c>
      <c r="AA67" s="51">
        <f>+SUMIF('GE16FEB14 Tax Bill Unfudged'!$A$2:$A$498, 'Tax Bill Summary'!$A67, 'GE16FEB14 Tax Bill Unfudged'!I$2:I$498)</f>
        <v>3270863</v>
      </c>
      <c r="AB67" s="13">
        <f>+SUMIF('GE16FEB14 Tax Bill Unfudged'!$A$2:$A$498, 'Tax Bill Summary'!$A67, 'GE16FEB14 Tax Bill Unfudged'!J$2:J$498)</f>
        <v>1882554</v>
      </c>
      <c r="AC67" s="56">
        <f t="shared" si="67"/>
        <v>1388309</v>
      </c>
      <c r="AD67" s="51">
        <f t="shared" si="68"/>
        <v>6721117</v>
      </c>
      <c r="AE67" s="13">
        <f t="shared" si="69"/>
        <v>4495528</v>
      </c>
      <c r="AF67" s="56">
        <f t="shared" si="70"/>
        <v>2225589</v>
      </c>
      <c r="AG67" s="13">
        <f t="shared" si="71"/>
        <v>1079.8709832904885</v>
      </c>
      <c r="AH67" s="13">
        <f t="shared" si="72"/>
        <v>722.28920308483293</v>
      </c>
      <c r="AI67" s="16">
        <f t="shared" si="73"/>
        <v>357.58178020565555</v>
      </c>
      <c r="AJ67" s="15">
        <f t="shared" si="74"/>
        <v>39839</v>
      </c>
      <c r="AK67" s="13">
        <f t="shared" si="75"/>
        <v>30172</v>
      </c>
      <c r="AL67" s="56">
        <f t="shared" si="76"/>
        <v>9667</v>
      </c>
      <c r="AM67" s="51">
        <f t="shared" si="77"/>
        <v>1319498</v>
      </c>
      <c r="AN67" s="13">
        <f t="shared" si="78"/>
        <v>999293</v>
      </c>
      <c r="AO67" s="56">
        <f t="shared" si="79"/>
        <v>320205</v>
      </c>
      <c r="AP67" s="51">
        <f t="shared" si="80"/>
        <v>-1319498</v>
      </c>
      <c r="AQ67" s="13">
        <f t="shared" si="81"/>
        <v>-999293</v>
      </c>
      <c r="AR67" s="56">
        <f t="shared" si="82"/>
        <v>-320205</v>
      </c>
      <c r="AS67" s="51">
        <f t="shared" si="83"/>
        <v>39839</v>
      </c>
      <c r="AT67" s="13">
        <f t="shared" si="84"/>
        <v>30172</v>
      </c>
      <c r="AU67" s="56">
        <f t="shared" si="85"/>
        <v>9667</v>
      </c>
      <c r="AV67" s="13">
        <f t="shared" si="86"/>
        <v>6.4008676092546466</v>
      </c>
      <c r="AW67" s="13">
        <f t="shared" si="87"/>
        <v>4.8476863753213593</v>
      </c>
      <c r="AX67" s="16">
        <f t="shared" si="88"/>
        <v>1.5531812339331736</v>
      </c>
    </row>
    <row r="68" spans="1:50" x14ac:dyDescent="0.25">
      <c r="A68" s="20">
        <v>160</v>
      </c>
      <c r="B68">
        <v>70</v>
      </c>
      <c r="C68" s="23" t="s">
        <v>4</v>
      </c>
      <c r="D68" s="23">
        <v>24</v>
      </c>
      <c r="E68" s="15">
        <f>+SUMIF('GE16FEB14 Unfudged'!$A$2:$A$498, $A68, 'GE16FEB14 Unfudged'!$D$2:$D$498)</f>
        <v>0</v>
      </c>
      <c r="F68" s="15">
        <f>+SUMIF('GE16FEB14 Unfudged'!$A$2:$A$498, 'Tax Bill Summary'!$A68, 'GE16FEB14 Unfudged'!E$2:E$498)</f>
        <v>0</v>
      </c>
      <c r="G68" s="13">
        <f>+SUMIF('GE16FEB14 Unfudged'!$A$2:$A$498, 'Tax Bill Summary'!$A68, 'GE16FEB14 Unfudged'!F$2:F$498)</f>
        <v>0</v>
      </c>
      <c r="H68" s="56">
        <f t="shared" si="56"/>
        <v>0</v>
      </c>
      <c r="I68" s="51">
        <f>+SUMIF('GE16FEB14 Unfudged'!$A$2:$A$498, 'Tax Bill Summary'!$A68, 'GE16FEB14 Unfudged'!G$2:G$498)</f>
        <v>0</v>
      </c>
      <c r="J68" s="13">
        <f>+SUMIF('GE16FEB14 Unfudged'!$A$2:$A$498, 'Tax Bill Summary'!$A68, 'GE16FEB14 Unfudged'!H$2:H$498)</f>
        <v>0</v>
      </c>
      <c r="K68" s="56">
        <f t="shared" si="57"/>
        <v>0</v>
      </c>
      <c r="L68" s="51">
        <f>+SUMIF('GE16FEB14 Unfudged'!$A$2:$A$498, 'Tax Bill Summary'!$A68, 'GE16FEB14 Unfudged'!I$2:IF$498)</f>
        <v>0</v>
      </c>
      <c r="M68" s="13">
        <f>+SUMIF('GE16FEB14 Unfudged'!$A$2:$A$498, 'Tax Bill Summary'!$A68, 'GE16FEB14 Unfudged'!J$2:IG$498)</f>
        <v>0</v>
      </c>
      <c r="N68" s="56">
        <f t="shared" si="58"/>
        <v>0</v>
      </c>
      <c r="O68" s="51">
        <f t="shared" si="59"/>
        <v>0</v>
      </c>
      <c r="P68" s="13">
        <f t="shared" si="60"/>
        <v>0</v>
      </c>
      <c r="Q68" s="56">
        <f t="shared" si="61"/>
        <v>0</v>
      </c>
      <c r="R68" s="13">
        <f t="shared" si="62"/>
        <v>0</v>
      </c>
      <c r="S68" s="13">
        <f t="shared" si="63"/>
        <v>0</v>
      </c>
      <c r="T68" s="16">
        <f t="shared" si="64"/>
        <v>0</v>
      </c>
      <c r="U68" s="15">
        <f>+SUMIF('GE16FEB14 Tax Bill Unfudged'!$A$2:$A$498, 'Tax Bill Summary'!$A68, 'GE16FEB14 Tax Bill Unfudged'!E$2:E$498)</f>
        <v>0</v>
      </c>
      <c r="V68" s="13">
        <f>+SUMIF('GE16FEB14 Tax Bill Unfudged'!$A$2:$A$498, 'Tax Bill Summary'!$A68, 'GE16FEB14 Tax Bill Unfudged'!F$2:F$498)</f>
        <v>0</v>
      </c>
      <c r="W68" s="56">
        <f t="shared" si="65"/>
        <v>0</v>
      </c>
      <c r="X68" s="51">
        <f>+SUMIF('GE16FEB14 Tax Bill Unfudged'!$A$2:$A$498, 'Tax Bill Summary'!$A68, 'GE16FEB14 Tax Bill Unfudged'!G$2:G$498)</f>
        <v>0</v>
      </c>
      <c r="Y68" s="13">
        <f>+SUMIF('GE16FEB14 Tax Bill Unfudged'!$A$2:$A$498, 'Tax Bill Summary'!$A68, 'GE16FEB14 Tax Bill Unfudged'!H$2:H$498)</f>
        <v>0</v>
      </c>
      <c r="Z68" s="56">
        <f t="shared" si="66"/>
        <v>0</v>
      </c>
      <c r="AA68" s="51">
        <f>+SUMIF('GE16FEB14 Tax Bill Unfudged'!$A$2:$A$498, 'Tax Bill Summary'!$A68, 'GE16FEB14 Tax Bill Unfudged'!I$2:I$498)</f>
        <v>0</v>
      </c>
      <c r="AB68" s="13">
        <f>+SUMIF('GE16FEB14 Tax Bill Unfudged'!$A$2:$A$498, 'Tax Bill Summary'!$A68, 'GE16FEB14 Tax Bill Unfudged'!J$2:J$498)</f>
        <v>0</v>
      </c>
      <c r="AC68" s="56">
        <f t="shared" si="67"/>
        <v>0</v>
      </c>
      <c r="AD68" s="51">
        <f t="shared" si="68"/>
        <v>0</v>
      </c>
      <c r="AE68" s="13">
        <f t="shared" si="69"/>
        <v>0</v>
      </c>
      <c r="AF68" s="56">
        <f t="shared" si="70"/>
        <v>0</v>
      </c>
      <c r="AG68" s="13">
        <f t="shared" si="71"/>
        <v>0</v>
      </c>
      <c r="AH68" s="13">
        <f t="shared" si="72"/>
        <v>0</v>
      </c>
      <c r="AI68" s="16">
        <f t="shared" si="73"/>
        <v>0</v>
      </c>
      <c r="AJ68" s="15">
        <f t="shared" si="74"/>
        <v>0</v>
      </c>
      <c r="AK68" s="13">
        <f t="shared" si="75"/>
        <v>0</v>
      </c>
      <c r="AL68" s="56">
        <f t="shared" si="76"/>
        <v>0</v>
      </c>
      <c r="AM68" s="51">
        <f t="shared" si="77"/>
        <v>0</v>
      </c>
      <c r="AN68" s="13">
        <f t="shared" si="78"/>
        <v>0</v>
      </c>
      <c r="AO68" s="56">
        <f t="shared" si="79"/>
        <v>0</v>
      </c>
      <c r="AP68" s="51">
        <f t="shared" si="80"/>
        <v>0</v>
      </c>
      <c r="AQ68" s="13">
        <f t="shared" si="81"/>
        <v>0</v>
      </c>
      <c r="AR68" s="56">
        <f t="shared" si="82"/>
        <v>0</v>
      </c>
      <c r="AS68" s="51">
        <f t="shared" si="83"/>
        <v>0</v>
      </c>
      <c r="AT68" s="13">
        <f t="shared" si="84"/>
        <v>0</v>
      </c>
      <c r="AU68" s="56">
        <f t="shared" si="85"/>
        <v>0</v>
      </c>
      <c r="AV68" s="13">
        <f t="shared" si="86"/>
        <v>0</v>
      </c>
      <c r="AW68" s="13">
        <f t="shared" si="87"/>
        <v>0</v>
      </c>
      <c r="AX68" s="16">
        <f t="shared" si="88"/>
        <v>0</v>
      </c>
    </row>
    <row r="69" spans="1:50" x14ac:dyDescent="0.25">
      <c r="A69" s="20">
        <v>160</v>
      </c>
      <c r="B69">
        <v>1</v>
      </c>
      <c r="C69" s="23" t="s">
        <v>466</v>
      </c>
      <c r="D69" s="23">
        <v>24</v>
      </c>
      <c r="E69" s="15">
        <f>+SUMIF('GE16FEB14 Unfudged'!$A$2:$A$498, $A69, 'GE16FEB14 Unfudged'!$D$2:$D$498)</f>
        <v>0</v>
      </c>
      <c r="F69" s="15">
        <f>+SUMIF('GE16FEB14 Unfudged'!$A$2:$A$498, 'Tax Bill Summary'!$A69, 'GE16FEB14 Unfudged'!E$2:E$498)</f>
        <v>0</v>
      </c>
      <c r="G69" s="13">
        <f>+SUMIF('GE16FEB14 Unfudged'!$A$2:$A$498, 'Tax Bill Summary'!$A69, 'GE16FEB14 Unfudged'!F$2:F$498)</f>
        <v>0</v>
      </c>
      <c r="H69" s="56">
        <f t="shared" si="56"/>
        <v>0</v>
      </c>
      <c r="I69" s="51">
        <f>+SUMIF('GE16FEB14 Unfudged'!$A$2:$A$498, 'Tax Bill Summary'!$A69, 'GE16FEB14 Unfudged'!G$2:G$498)</f>
        <v>0</v>
      </c>
      <c r="J69" s="13">
        <f>+SUMIF('GE16FEB14 Unfudged'!$A$2:$A$498, 'Tax Bill Summary'!$A69, 'GE16FEB14 Unfudged'!H$2:H$498)</f>
        <v>0</v>
      </c>
      <c r="K69" s="56">
        <f t="shared" si="57"/>
        <v>0</v>
      </c>
      <c r="L69" s="51">
        <f>+SUMIF('GE16FEB14 Unfudged'!$A$2:$A$498, 'Tax Bill Summary'!$A69, 'GE16FEB14 Unfudged'!I$2:IF$498)</f>
        <v>0</v>
      </c>
      <c r="M69" s="13">
        <f>+SUMIF('GE16FEB14 Unfudged'!$A$2:$A$498, 'Tax Bill Summary'!$A69, 'GE16FEB14 Unfudged'!J$2:IG$498)</f>
        <v>0</v>
      </c>
      <c r="N69" s="56">
        <f t="shared" si="58"/>
        <v>0</v>
      </c>
      <c r="O69" s="51">
        <f t="shared" si="59"/>
        <v>0</v>
      </c>
      <c r="P69" s="13">
        <f t="shared" si="60"/>
        <v>0</v>
      </c>
      <c r="Q69" s="56">
        <f t="shared" si="61"/>
        <v>0</v>
      </c>
      <c r="R69" s="13">
        <f t="shared" si="62"/>
        <v>0</v>
      </c>
      <c r="S69" s="13">
        <f t="shared" si="63"/>
        <v>0</v>
      </c>
      <c r="T69" s="16">
        <f t="shared" si="64"/>
        <v>0</v>
      </c>
      <c r="U69" s="15">
        <f>+SUMIF('GE16FEB14 Tax Bill Unfudged'!$A$2:$A$498, 'Tax Bill Summary'!$A69, 'GE16FEB14 Tax Bill Unfudged'!E$2:E$498)</f>
        <v>0</v>
      </c>
      <c r="V69" s="13">
        <f>+SUMIF('GE16FEB14 Tax Bill Unfudged'!$A$2:$A$498, 'Tax Bill Summary'!$A69, 'GE16FEB14 Tax Bill Unfudged'!F$2:F$498)</f>
        <v>0</v>
      </c>
      <c r="W69" s="56">
        <f t="shared" si="65"/>
        <v>0</v>
      </c>
      <c r="X69" s="51">
        <f>+SUMIF('GE16FEB14 Tax Bill Unfudged'!$A$2:$A$498, 'Tax Bill Summary'!$A69, 'GE16FEB14 Tax Bill Unfudged'!G$2:G$498)</f>
        <v>0</v>
      </c>
      <c r="Y69" s="13">
        <f>+SUMIF('GE16FEB14 Tax Bill Unfudged'!$A$2:$A$498, 'Tax Bill Summary'!$A69, 'GE16FEB14 Tax Bill Unfudged'!H$2:H$498)</f>
        <v>0</v>
      </c>
      <c r="Z69" s="56">
        <f t="shared" si="66"/>
        <v>0</v>
      </c>
      <c r="AA69" s="51">
        <f>+SUMIF('GE16FEB14 Tax Bill Unfudged'!$A$2:$A$498, 'Tax Bill Summary'!$A69, 'GE16FEB14 Tax Bill Unfudged'!I$2:I$498)</f>
        <v>0</v>
      </c>
      <c r="AB69" s="13">
        <f>+SUMIF('GE16FEB14 Tax Bill Unfudged'!$A$2:$A$498, 'Tax Bill Summary'!$A69, 'GE16FEB14 Tax Bill Unfudged'!J$2:J$498)</f>
        <v>0</v>
      </c>
      <c r="AC69" s="56">
        <f t="shared" si="67"/>
        <v>0</v>
      </c>
      <c r="AD69" s="51">
        <f t="shared" si="68"/>
        <v>0</v>
      </c>
      <c r="AE69" s="13">
        <f t="shared" si="69"/>
        <v>0</v>
      </c>
      <c r="AF69" s="56">
        <f t="shared" si="70"/>
        <v>0</v>
      </c>
      <c r="AG69" s="13">
        <f t="shared" si="71"/>
        <v>0</v>
      </c>
      <c r="AH69" s="13">
        <f t="shared" si="72"/>
        <v>0</v>
      </c>
      <c r="AI69" s="16">
        <f t="shared" si="73"/>
        <v>0</v>
      </c>
      <c r="AJ69" s="15">
        <f t="shared" si="74"/>
        <v>0</v>
      </c>
      <c r="AK69" s="13">
        <f t="shared" si="75"/>
        <v>0</v>
      </c>
      <c r="AL69" s="56">
        <f t="shared" si="76"/>
        <v>0</v>
      </c>
      <c r="AM69" s="51">
        <f t="shared" si="77"/>
        <v>0</v>
      </c>
      <c r="AN69" s="13">
        <f t="shared" si="78"/>
        <v>0</v>
      </c>
      <c r="AO69" s="56">
        <f t="shared" si="79"/>
        <v>0</v>
      </c>
      <c r="AP69" s="51">
        <f t="shared" si="80"/>
        <v>0</v>
      </c>
      <c r="AQ69" s="13">
        <f t="shared" si="81"/>
        <v>0</v>
      </c>
      <c r="AR69" s="56">
        <f t="shared" si="82"/>
        <v>0</v>
      </c>
      <c r="AS69" s="51">
        <f t="shared" si="83"/>
        <v>0</v>
      </c>
      <c r="AT69" s="13">
        <f t="shared" si="84"/>
        <v>0</v>
      </c>
      <c r="AU69" s="56">
        <f t="shared" si="85"/>
        <v>0</v>
      </c>
      <c r="AV69" s="13">
        <f t="shared" si="86"/>
        <v>0</v>
      </c>
      <c r="AW69" s="13">
        <f t="shared" si="87"/>
        <v>0</v>
      </c>
      <c r="AX69" s="16">
        <f t="shared" si="88"/>
        <v>0</v>
      </c>
    </row>
    <row r="70" spans="1:50" x14ac:dyDescent="0.25">
      <c r="A70" s="20">
        <v>162</v>
      </c>
      <c r="B70">
        <v>1</v>
      </c>
      <c r="C70" s="23" t="s">
        <v>186</v>
      </c>
      <c r="D70" s="23">
        <v>6</v>
      </c>
      <c r="E70" s="15">
        <f>+SUMIF('GE16FEB14 Unfudged'!$A$2:$A$498, $A70, 'GE16FEB14 Unfudged'!$D$2:$D$498)</f>
        <v>1049</v>
      </c>
      <c r="F70" s="15">
        <f>+SUMIF('GE16FEB14 Unfudged'!$A$2:$A$498, 'Tax Bill Summary'!$A70, 'GE16FEB14 Unfudged'!E$2:E$498)</f>
        <v>151093</v>
      </c>
      <c r="G70" s="13">
        <f>+SUMIF('GE16FEB14 Unfudged'!$A$2:$A$498, 'Tax Bill Summary'!$A70, 'GE16FEB14 Unfudged'!F$2:F$498)</f>
        <v>76930</v>
      </c>
      <c r="H70" s="56">
        <f t="shared" si="56"/>
        <v>74163</v>
      </c>
      <c r="I70" s="51">
        <f>+SUMIF('GE16FEB14 Unfudged'!$A$2:$A$498, 'Tax Bill Summary'!$A70, 'GE16FEB14 Unfudged'!G$2:G$498)</f>
        <v>0</v>
      </c>
      <c r="J70" s="13">
        <f>+SUMIF('GE16FEB14 Unfudged'!$A$2:$A$498, 'Tax Bill Summary'!$A70, 'GE16FEB14 Unfudged'!H$2:H$498)</f>
        <v>0</v>
      </c>
      <c r="K70" s="56">
        <f t="shared" si="57"/>
        <v>0</v>
      </c>
      <c r="L70" s="51">
        <f>+SUMIF('GE16FEB14 Unfudged'!$A$2:$A$498, 'Tax Bill Summary'!$A70, 'GE16FEB14 Unfudged'!I$2:IF$498)</f>
        <v>314775</v>
      </c>
      <c r="M70" s="13">
        <f>+SUMIF('GE16FEB14 Unfudged'!$A$2:$A$498, 'Tax Bill Summary'!$A70, 'GE16FEB14 Unfudged'!J$2:IG$498)</f>
        <v>92883</v>
      </c>
      <c r="N70" s="56">
        <f t="shared" si="58"/>
        <v>221892</v>
      </c>
      <c r="O70" s="51">
        <f t="shared" si="59"/>
        <v>465868</v>
      </c>
      <c r="P70" s="13">
        <f t="shared" si="60"/>
        <v>169813</v>
      </c>
      <c r="Q70" s="56">
        <f t="shared" si="61"/>
        <v>296055</v>
      </c>
      <c r="R70" s="13">
        <f t="shared" si="62"/>
        <v>444.10676835081028</v>
      </c>
      <c r="S70" s="13">
        <f t="shared" si="63"/>
        <v>161.88083889418493</v>
      </c>
      <c r="T70" s="16">
        <f t="shared" si="64"/>
        <v>282.22592945662535</v>
      </c>
      <c r="U70" s="15">
        <f>+SUMIF('GE16FEB14 Tax Bill Unfudged'!$A$2:$A$498, 'Tax Bill Summary'!$A70, 'GE16FEB14 Tax Bill Unfudged'!E$2:E$498)</f>
        <v>151093</v>
      </c>
      <c r="V70" s="13">
        <f>+SUMIF('GE16FEB14 Tax Bill Unfudged'!$A$2:$A$498, 'Tax Bill Summary'!$A70, 'GE16FEB14 Tax Bill Unfudged'!F$2:F$498)</f>
        <v>76930</v>
      </c>
      <c r="W70" s="56">
        <f t="shared" si="65"/>
        <v>74163</v>
      </c>
      <c r="X70" s="51">
        <f>+SUMIF('GE16FEB14 Tax Bill Unfudged'!$A$2:$A$498, 'Tax Bill Summary'!$A70, 'GE16FEB14 Tax Bill Unfudged'!G$2:G$498)</f>
        <v>444882</v>
      </c>
      <c r="Y70" s="13">
        <f>+SUMIF('GE16FEB14 Tax Bill Unfudged'!$A$2:$A$498, 'Tax Bill Summary'!$A70, 'GE16FEB14 Tax Bill Unfudged'!H$2:H$498)</f>
        <v>226514</v>
      </c>
      <c r="Z70" s="56">
        <f t="shared" si="66"/>
        <v>218368</v>
      </c>
      <c r="AA70" s="51">
        <f>+SUMIF('GE16FEB14 Tax Bill Unfudged'!$A$2:$A$498, 'Tax Bill Summary'!$A70, 'GE16FEB14 Tax Bill Unfudged'!I$2:I$498)</f>
        <v>314775</v>
      </c>
      <c r="AB70" s="13">
        <f>+SUMIF('GE16FEB14 Tax Bill Unfudged'!$A$2:$A$498, 'Tax Bill Summary'!$A70, 'GE16FEB14 Tax Bill Unfudged'!J$2:J$498)</f>
        <v>92883</v>
      </c>
      <c r="AC70" s="56">
        <f t="shared" si="67"/>
        <v>221892</v>
      </c>
      <c r="AD70" s="51">
        <f t="shared" si="68"/>
        <v>910750</v>
      </c>
      <c r="AE70" s="13">
        <f t="shared" si="69"/>
        <v>396327</v>
      </c>
      <c r="AF70" s="56">
        <f t="shared" si="70"/>
        <v>514423</v>
      </c>
      <c r="AG70" s="13">
        <f t="shared" si="71"/>
        <v>868.20781696854147</v>
      </c>
      <c r="AH70" s="13">
        <f t="shared" si="72"/>
        <v>377.81410867492849</v>
      </c>
      <c r="AI70" s="16">
        <f t="shared" si="73"/>
        <v>490.39370829361297</v>
      </c>
      <c r="AJ70" s="15">
        <f t="shared" si="74"/>
        <v>0</v>
      </c>
      <c r="AK70" s="13">
        <f t="shared" si="75"/>
        <v>0</v>
      </c>
      <c r="AL70" s="56">
        <f t="shared" si="76"/>
        <v>0</v>
      </c>
      <c r="AM70" s="51">
        <f t="shared" si="77"/>
        <v>444882</v>
      </c>
      <c r="AN70" s="13">
        <f t="shared" si="78"/>
        <v>226514</v>
      </c>
      <c r="AO70" s="56">
        <f t="shared" si="79"/>
        <v>218368</v>
      </c>
      <c r="AP70" s="51">
        <f t="shared" si="80"/>
        <v>0</v>
      </c>
      <c r="AQ70" s="13">
        <f t="shared" si="81"/>
        <v>0</v>
      </c>
      <c r="AR70" s="56">
        <f t="shared" si="82"/>
        <v>0</v>
      </c>
      <c r="AS70" s="51">
        <f t="shared" si="83"/>
        <v>444882</v>
      </c>
      <c r="AT70" s="13">
        <f t="shared" si="84"/>
        <v>226514</v>
      </c>
      <c r="AU70" s="56">
        <f t="shared" si="85"/>
        <v>218368</v>
      </c>
      <c r="AV70" s="13">
        <f t="shared" si="86"/>
        <v>424.10104861773118</v>
      </c>
      <c r="AW70" s="13">
        <f t="shared" si="87"/>
        <v>215.93326978074356</v>
      </c>
      <c r="AX70" s="16">
        <f t="shared" si="88"/>
        <v>208.16777883698762</v>
      </c>
    </row>
    <row r="71" spans="1:50" x14ac:dyDescent="0.25">
      <c r="A71" s="20">
        <v>166</v>
      </c>
      <c r="B71">
        <v>1</v>
      </c>
      <c r="C71" s="23" t="s">
        <v>187</v>
      </c>
      <c r="D71" s="23">
        <v>6</v>
      </c>
      <c r="E71" s="15">
        <f>+SUMIF('GE16FEB14 Unfudged'!$A$2:$A$498, $A71, 'GE16FEB14 Unfudged'!$D$2:$D$498)</f>
        <v>495</v>
      </c>
      <c r="F71" s="15">
        <f>+SUMIF('GE16FEB14 Unfudged'!$A$2:$A$498, 'Tax Bill Summary'!$A71, 'GE16FEB14 Unfudged'!E$2:E$498)</f>
        <v>58595</v>
      </c>
      <c r="G71" s="13">
        <f>+SUMIF('GE16FEB14 Unfudged'!$A$2:$A$498, 'Tax Bill Summary'!$A71, 'GE16FEB14 Unfudged'!F$2:F$498)</f>
        <v>58595</v>
      </c>
      <c r="H71" s="56">
        <f t="shared" si="56"/>
        <v>0</v>
      </c>
      <c r="I71" s="51">
        <f>+SUMIF('GE16FEB14 Unfudged'!$A$2:$A$498, 'Tax Bill Summary'!$A71, 'GE16FEB14 Unfudged'!G$2:G$498)</f>
        <v>0</v>
      </c>
      <c r="J71" s="13">
        <f>+SUMIF('GE16FEB14 Unfudged'!$A$2:$A$498, 'Tax Bill Summary'!$A71, 'GE16FEB14 Unfudged'!H$2:H$498)</f>
        <v>0</v>
      </c>
      <c r="K71" s="56">
        <f t="shared" si="57"/>
        <v>0</v>
      </c>
      <c r="L71" s="51">
        <f>+SUMIF('GE16FEB14 Unfudged'!$A$2:$A$498, 'Tax Bill Summary'!$A71, 'GE16FEB14 Unfudged'!I$2:IF$498)</f>
        <v>426569</v>
      </c>
      <c r="M71" s="13">
        <f>+SUMIF('GE16FEB14 Unfudged'!$A$2:$A$498, 'Tax Bill Summary'!$A71, 'GE16FEB14 Unfudged'!J$2:IG$498)</f>
        <v>426569</v>
      </c>
      <c r="N71" s="56">
        <f t="shared" si="58"/>
        <v>0</v>
      </c>
      <c r="O71" s="51">
        <f t="shared" si="59"/>
        <v>485164</v>
      </c>
      <c r="P71" s="13">
        <f t="shared" si="60"/>
        <v>485164</v>
      </c>
      <c r="Q71" s="56">
        <f t="shared" si="61"/>
        <v>0</v>
      </c>
      <c r="R71" s="13">
        <f t="shared" si="62"/>
        <v>980.12929292929289</v>
      </c>
      <c r="S71" s="13">
        <f t="shared" si="63"/>
        <v>980.12929292929289</v>
      </c>
      <c r="T71" s="16">
        <f t="shared" si="64"/>
        <v>0</v>
      </c>
      <c r="U71" s="15">
        <f>+SUMIF('GE16FEB14 Tax Bill Unfudged'!$A$2:$A$498, 'Tax Bill Summary'!$A71, 'GE16FEB14 Tax Bill Unfudged'!E$2:E$498)</f>
        <v>67225</v>
      </c>
      <c r="V71" s="13">
        <f>+SUMIF('GE16FEB14 Tax Bill Unfudged'!$A$2:$A$498, 'Tax Bill Summary'!$A71, 'GE16FEB14 Tax Bill Unfudged'!F$2:F$498)</f>
        <v>67225</v>
      </c>
      <c r="W71" s="56">
        <f t="shared" si="65"/>
        <v>0</v>
      </c>
      <c r="X71" s="51">
        <f>+SUMIF('GE16FEB14 Tax Bill Unfudged'!$A$2:$A$498, 'Tax Bill Summary'!$A71, 'GE16FEB14 Tax Bill Unfudged'!G$2:G$498)</f>
        <v>210050</v>
      </c>
      <c r="Y71" s="13">
        <f>+SUMIF('GE16FEB14 Tax Bill Unfudged'!$A$2:$A$498, 'Tax Bill Summary'!$A71, 'GE16FEB14 Tax Bill Unfudged'!H$2:H$498)</f>
        <v>210050</v>
      </c>
      <c r="Z71" s="56">
        <f t="shared" si="66"/>
        <v>0</v>
      </c>
      <c r="AA71" s="51">
        <f>+SUMIF('GE16FEB14 Tax Bill Unfudged'!$A$2:$A$498, 'Tax Bill Summary'!$A71, 'GE16FEB14 Tax Bill Unfudged'!I$2:I$498)</f>
        <v>216520</v>
      </c>
      <c r="AB71" s="13">
        <f>+SUMIF('GE16FEB14 Tax Bill Unfudged'!$A$2:$A$498, 'Tax Bill Summary'!$A71, 'GE16FEB14 Tax Bill Unfudged'!J$2:J$498)</f>
        <v>216520</v>
      </c>
      <c r="AC71" s="56">
        <f t="shared" si="67"/>
        <v>0</v>
      </c>
      <c r="AD71" s="51">
        <f t="shared" si="68"/>
        <v>493795</v>
      </c>
      <c r="AE71" s="13">
        <f t="shared" si="69"/>
        <v>493795</v>
      </c>
      <c r="AF71" s="56">
        <f t="shared" si="70"/>
        <v>0</v>
      </c>
      <c r="AG71" s="13">
        <f t="shared" si="71"/>
        <v>997.56565656565658</v>
      </c>
      <c r="AH71" s="13">
        <f t="shared" si="72"/>
        <v>997.56565656565658</v>
      </c>
      <c r="AI71" s="16">
        <f t="shared" si="73"/>
        <v>0</v>
      </c>
      <c r="AJ71" s="15">
        <f t="shared" si="74"/>
        <v>8630</v>
      </c>
      <c r="AK71" s="13">
        <f t="shared" si="75"/>
        <v>8630</v>
      </c>
      <c r="AL71" s="56">
        <f t="shared" si="76"/>
        <v>0</v>
      </c>
      <c r="AM71" s="51">
        <f t="shared" si="77"/>
        <v>210050</v>
      </c>
      <c r="AN71" s="13">
        <f t="shared" si="78"/>
        <v>210050</v>
      </c>
      <c r="AO71" s="56">
        <f t="shared" si="79"/>
        <v>0</v>
      </c>
      <c r="AP71" s="51">
        <f t="shared" si="80"/>
        <v>-210049</v>
      </c>
      <c r="AQ71" s="13">
        <f t="shared" si="81"/>
        <v>-210049</v>
      </c>
      <c r="AR71" s="56">
        <f t="shared" si="82"/>
        <v>0</v>
      </c>
      <c r="AS71" s="51">
        <f t="shared" si="83"/>
        <v>8631</v>
      </c>
      <c r="AT71" s="13">
        <f t="shared" si="84"/>
        <v>8631</v>
      </c>
      <c r="AU71" s="56">
        <f t="shared" si="85"/>
        <v>0</v>
      </c>
      <c r="AV71" s="13">
        <f t="shared" si="86"/>
        <v>17.436363636363694</v>
      </c>
      <c r="AW71" s="13">
        <f t="shared" si="87"/>
        <v>17.436363636363694</v>
      </c>
      <c r="AX71" s="16">
        <f t="shared" si="88"/>
        <v>0</v>
      </c>
    </row>
    <row r="72" spans="1:50" x14ac:dyDescent="0.25">
      <c r="A72" s="20">
        <v>173</v>
      </c>
      <c r="B72">
        <v>1</v>
      </c>
      <c r="C72" s="23" t="s">
        <v>188</v>
      </c>
      <c r="D72" s="23">
        <v>6</v>
      </c>
      <c r="E72" s="15">
        <f>+SUMIF('GE16FEB14 Unfudged'!$A$2:$A$498, $A72, 'GE16FEB14 Unfudged'!$D$2:$D$498)</f>
        <v>528</v>
      </c>
      <c r="F72" s="15">
        <f>+SUMIF('GE16FEB14 Unfudged'!$A$2:$A$498, 'Tax Bill Summary'!$A72, 'GE16FEB14 Unfudged'!E$2:E$498)</f>
        <v>41035</v>
      </c>
      <c r="G72" s="13">
        <f>+SUMIF('GE16FEB14 Unfudged'!$A$2:$A$498, 'Tax Bill Summary'!$A72, 'GE16FEB14 Unfudged'!F$2:F$498)</f>
        <v>16743</v>
      </c>
      <c r="H72" s="56">
        <f t="shared" si="56"/>
        <v>24292</v>
      </c>
      <c r="I72" s="51">
        <f>+SUMIF('GE16FEB14 Unfudged'!$A$2:$A$498, 'Tax Bill Summary'!$A72, 'GE16FEB14 Unfudged'!G$2:G$498)</f>
        <v>0</v>
      </c>
      <c r="J72" s="13">
        <f>+SUMIF('GE16FEB14 Unfudged'!$A$2:$A$498, 'Tax Bill Summary'!$A72, 'GE16FEB14 Unfudged'!H$2:H$498)</f>
        <v>0</v>
      </c>
      <c r="K72" s="56">
        <f t="shared" si="57"/>
        <v>0</v>
      </c>
      <c r="L72" s="51">
        <f>+SUMIF('GE16FEB14 Unfudged'!$A$2:$A$498, 'Tax Bill Summary'!$A72, 'GE16FEB14 Unfudged'!I$2:IF$498)</f>
        <v>921074</v>
      </c>
      <c r="M72" s="13">
        <f>+SUMIF('GE16FEB14 Unfudged'!$A$2:$A$498, 'Tax Bill Summary'!$A72, 'GE16FEB14 Unfudged'!J$2:IG$498)</f>
        <v>553351</v>
      </c>
      <c r="N72" s="56">
        <f t="shared" si="58"/>
        <v>367723</v>
      </c>
      <c r="O72" s="51">
        <f t="shared" si="59"/>
        <v>962109</v>
      </c>
      <c r="P72" s="13">
        <f t="shared" si="60"/>
        <v>570094</v>
      </c>
      <c r="Q72" s="56">
        <f t="shared" si="61"/>
        <v>392015</v>
      </c>
      <c r="R72" s="13">
        <f t="shared" si="62"/>
        <v>1822.1761363636363</v>
      </c>
      <c r="S72" s="13">
        <f t="shared" si="63"/>
        <v>1079.7234848484848</v>
      </c>
      <c r="T72" s="16">
        <f t="shared" si="64"/>
        <v>742.4526515151515</v>
      </c>
      <c r="U72" s="15">
        <f>+SUMIF('GE16FEB14 Tax Bill Unfudged'!$A$2:$A$498, 'Tax Bill Summary'!$A72, 'GE16FEB14 Tax Bill Unfudged'!E$2:E$498)</f>
        <v>43364</v>
      </c>
      <c r="V72" s="13">
        <f>+SUMIF('GE16FEB14 Tax Bill Unfudged'!$A$2:$A$498, 'Tax Bill Summary'!$A72, 'GE16FEB14 Tax Bill Unfudged'!F$2:F$498)</f>
        <v>17693</v>
      </c>
      <c r="W72" s="56">
        <f t="shared" si="65"/>
        <v>25671</v>
      </c>
      <c r="X72" s="51">
        <f>+SUMIF('GE16FEB14 Tax Bill Unfudged'!$A$2:$A$498, 'Tax Bill Summary'!$A72, 'GE16FEB14 Tax Bill Unfudged'!G$2:G$498)</f>
        <v>223787</v>
      </c>
      <c r="Y72" s="13">
        <f>+SUMIF('GE16FEB14 Tax Bill Unfudged'!$A$2:$A$498, 'Tax Bill Summary'!$A72, 'GE16FEB14 Tax Bill Unfudged'!H$2:H$498)</f>
        <v>91306</v>
      </c>
      <c r="Z72" s="56">
        <f t="shared" si="66"/>
        <v>132481</v>
      </c>
      <c r="AA72" s="51">
        <f>+SUMIF('GE16FEB14 Tax Bill Unfudged'!$A$2:$A$498, 'Tax Bill Summary'!$A72, 'GE16FEB14 Tax Bill Unfudged'!I$2:I$498)</f>
        <v>697287</v>
      </c>
      <c r="AB72" s="13">
        <f>+SUMIF('GE16FEB14 Tax Bill Unfudged'!$A$2:$A$498, 'Tax Bill Summary'!$A72, 'GE16FEB14 Tax Bill Unfudged'!J$2:J$498)</f>
        <v>349002</v>
      </c>
      <c r="AC72" s="56">
        <f t="shared" si="67"/>
        <v>348285</v>
      </c>
      <c r="AD72" s="51">
        <f t="shared" si="68"/>
        <v>964438</v>
      </c>
      <c r="AE72" s="13">
        <f t="shared" si="69"/>
        <v>458001</v>
      </c>
      <c r="AF72" s="56">
        <f t="shared" si="70"/>
        <v>506437</v>
      </c>
      <c r="AG72" s="13">
        <f t="shared" si="71"/>
        <v>1826.5871212121212</v>
      </c>
      <c r="AH72" s="13">
        <f t="shared" si="72"/>
        <v>867.42613636363637</v>
      </c>
      <c r="AI72" s="16">
        <f t="shared" si="73"/>
        <v>959.16098484848487</v>
      </c>
      <c r="AJ72" s="15">
        <f t="shared" si="74"/>
        <v>2329</v>
      </c>
      <c r="AK72" s="13">
        <f t="shared" si="75"/>
        <v>950</v>
      </c>
      <c r="AL72" s="56">
        <f t="shared" si="76"/>
        <v>1379</v>
      </c>
      <c r="AM72" s="51">
        <f t="shared" si="77"/>
        <v>223787</v>
      </c>
      <c r="AN72" s="13">
        <f t="shared" si="78"/>
        <v>91306</v>
      </c>
      <c r="AO72" s="56">
        <f t="shared" si="79"/>
        <v>132481</v>
      </c>
      <c r="AP72" s="51">
        <f t="shared" si="80"/>
        <v>-223787</v>
      </c>
      <c r="AQ72" s="13">
        <f t="shared" si="81"/>
        <v>-204349</v>
      </c>
      <c r="AR72" s="56">
        <f t="shared" si="82"/>
        <v>-19438</v>
      </c>
      <c r="AS72" s="51">
        <f t="shared" si="83"/>
        <v>2329</v>
      </c>
      <c r="AT72" s="13">
        <f t="shared" si="84"/>
        <v>-112093</v>
      </c>
      <c r="AU72" s="56">
        <f t="shared" si="85"/>
        <v>114422</v>
      </c>
      <c r="AV72" s="13">
        <f t="shared" si="86"/>
        <v>4.4109848484849863</v>
      </c>
      <c r="AW72" s="13">
        <f t="shared" si="87"/>
        <v>-212.29734848484838</v>
      </c>
      <c r="AX72" s="16">
        <f t="shared" si="88"/>
        <v>216.70833333333337</v>
      </c>
    </row>
    <row r="73" spans="1:50" x14ac:dyDescent="0.25">
      <c r="A73" s="20">
        <v>177</v>
      </c>
      <c r="B73">
        <v>1</v>
      </c>
      <c r="C73" s="23" t="s">
        <v>189</v>
      </c>
      <c r="D73" s="23">
        <v>6</v>
      </c>
      <c r="E73" s="15">
        <f>+SUMIF('GE16FEB14 Unfudged'!$A$2:$A$498, $A73, 'GE16FEB14 Unfudged'!$D$2:$D$498)</f>
        <v>1112</v>
      </c>
      <c r="F73" s="15">
        <f>+SUMIF('GE16FEB14 Unfudged'!$A$2:$A$498, 'Tax Bill Summary'!$A73, 'GE16FEB14 Unfudged'!E$2:E$498)</f>
        <v>109826</v>
      </c>
      <c r="G73" s="13">
        <f>+SUMIF('GE16FEB14 Unfudged'!$A$2:$A$498, 'Tax Bill Summary'!$A73, 'GE16FEB14 Unfudged'!F$2:F$498)</f>
        <v>66958</v>
      </c>
      <c r="H73" s="56">
        <f t="shared" si="56"/>
        <v>42868</v>
      </c>
      <c r="I73" s="51">
        <f>+SUMIF('GE16FEB14 Unfudged'!$A$2:$A$498, 'Tax Bill Summary'!$A73, 'GE16FEB14 Unfudged'!G$2:G$498)</f>
        <v>0</v>
      </c>
      <c r="J73" s="13">
        <f>+SUMIF('GE16FEB14 Unfudged'!$A$2:$A$498, 'Tax Bill Summary'!$A73, 'GE16FEB14 Unfudged'!H$2:H$498)</f>
        <v>0</v>
      </c>
      <c r="K73" s="56">
        <f t="shared" si="57"/>
        <v>0</v>
      </c>
      <c r="L73" s="51">
        <f>+SUMIF('GE16FEB14 Unfudged'!$A$2:$A$498, 'Tax Bill Summary'!$A73, 'GE16FEB14 Unfudged'!I$2:IF$498)</f>
        <v>1430108</v>
      </c>
      <c r="M73" s="13">
        <f>+SUMIF('GE16FEB14 Unfudged'!$A$2:$A$498, 'Tax Bill Summary'!$A73, 'GE16FEB14 Unfudged'!J$2:IG$498)</f>
        <v>1014796</v>
      </c>
      <c r="N73" s="56">
        <f t="shared" si="58"/>
        <v>415312</v>
      </c>
      <c r="O73" s="51">
        <f t="shared" si="59"/>
        <v>1539934</v>
      </c>
      <c r="P73" s="13">
        <f t="shared" si="60"/>
        <v>1081754</v>
      </c>
      <c r="Q73" s="56">
        <f t="shared" si="61"/>
        <v>458180</v>
      </c>
      <c r="R73" s="13">
        <f t="shared" si="62"/>
        <v>1384.8327338129495</v>
      </c>
      <c r="S73" s="13">
        <f t="shared" si="63"/>
        <v>972.80035971223026</v>
      </c>
      <c r="T73" s="16">
        <f t="shared" si="64"/>
        <v>412.03237410071944</v>
      </c>
      <c r="U73" s="15">
        <f>+SUMIF('GE16FEB14 Tax Bill Unfudged'!$A$2:$A$498, 'Tax Bill Summary'!$A73, 'GE16FEB14 Tax Bill Unfudged'!E$2:E$498)</f>
        <v>122238</v>
      </c>
      <c r="V73" s="13">
        <f>+SUMIF('GE16FEB14 Tax Bill Unfudged'!$A$2:$A$498, 'Tax Bill Summary'!$A73, 'GE16FEB14 Tax Bill Unfudged'!F$2:F$498)</f>
        <v>74526</v>
      </c>
      <c r="W73" s="56">
        <f t="shared" si="65"/>
        <v>47712</v>
      </c>
      <c r="X73" s="51">
        <f>+SUMIF('GE16FEB14 Tax Bill Unfudged'!$A$2:$A$498, 'Tax Bill Summary'!$A73, 'GE16FEB14 Tax Bill Unfudged'!G$2:G$498)</f>
        <v>471403</v>
      </c>
      <c r="Y73" s="13">
        <f>+SUMIF('GE16FEB14 Tax Bill Unfudged'!$A$2:$A$498, 'Tax Bill Summary'!$A73, 'GE16FEB14 Tax Bill Unfudged'!H$2:H$498)</f>
        <v>287403</v>
      </c>
      <c r="Z73" s="56">
        <f t="shared" si="66"/>
        <v>184000</v>
      </c>
      <c r="AA73" s="51">
        <f>+SUMIF('GE16FEB14 Tax Bill Unfudged'!$A$2:$A$498, 'Tax Bill Summary'!$A73, 'GE16FEB14 Tax Bill Unfudged'!I$2:I$498)</f>
        <v>958705</v>
      </c>
      <c r="AB73" s="13">
        <f>+SUMIF('GE16FEB14 Tax Bill Unfudged'!$A$2:$A$498, 'Tax Bill Summary'!$A73, 'GE16FEB14 Tax Bill Unfudged'!J$2:J$498)</f>
        <v>543393</v>
      </c>
      <c r="AC73" s="56">
        <f t="shared" si="67"/>
        <v>415312</v>
      </c>
      <c r="AD73" s="51">
        <f t="shared" si="68"/>
        <v>1552346</v>
      </c>
      <c r="AE73" s="13">
        <f t="shared" si="69"/>
        <v>905322</v>
      </c>
      <c r="AF73" s="56">
        <f t="shared" si="70"/>
        <v>647024</v>
      </c>
      <c r="AG73" s="13">
        <f t="shared" si="71"/>
        <v>1395.9946043165467</v>
      </c>
      <c r="AH73" s="13">
        <f t="shared" si="72"/>
        <v>814.13848920863313</v>
      </c>
      <c r="AI73" s="16">
        <f t="shared" si="73"/>
        <v>581.85611510791364</v>
      </c>
      <c r="AJ73" s="15">
        <f t="shared" si="74"/>
        <v>12412</v>
      </c>
      <c r="AK73" s="13">
        <f t="shared" si="75"/>
        <v>7568</v>
      </c>
      <c r="AL73" s="56">
        <f t="shared" si="76"/>
        <v>4844</v>
      </c>
      <c r="AM73" s="51">
        <f t="shared" si="77"/>
        <v>471403</v>
      </c>
      <c r="AN73" s="13">
        <f t="shared" si="78"/>
        <v>287403</v>
      </c>
      <c r="AO73" s="56">
        <f t="shared" si="79"/>
        <v>184000</v>
      </c>
      <c r="AP73" s="51">
        <f t="shared" si="80"/>
        <v>-471403</v>
      </c>
      <c r="AQ73" s="13">
        <f t="shared" si="81"/>
        <v>-471403</v>
      </c>
      <c r="AR73" s="56">
        <f t="shared" si="82"/>
        <v>0</v>
      </c>
      <c r="AS73" s="51">
        <f t="shared" si="83"/>
        <v>12412</v>
      </c>
      <c r="AT73" s="13">
        <f t="shared" si="84"/>
        <v>-176432</v>
      </c>
      <c r="AU73" s="56">
        <f t="shared" si="85"/>
        <v>188844</v>
      </c>
      <c r="AV73" s="13">
        <f t="shared" si="86"/>
        <v>11.161870503597129</v>
      </c>
      <c r="AW73" s="13">
        <f t="shared" si="87"/>
        <v>-158.66187050359713</v>
      </c>
      <c r="AX73" s="16">
        <f t="shared" si="88"/>
        <v>169.8237410071942</v>
      </c>
    </row>
    <row r="74" spans="1:50" x14ac:dyDescent="0.25">
      <c r="A74" s="20">
        <v>181</v>
      </c>
      <c r="B74">
        <v>1</v>
      </c>
      <c r="C74" s="23" t="s">
        <v>190</v>
      </c>
      <c r="D74" s="23">
        <v>4</v>
      </c>
      <c r="E74" s="15">
        <f>+SUMIF('GE16FEB14 Unfudged'!$A$2:$A$498, $A74, 'GE16FEB14 Unfudged'!$D$2:$D$498)</f>
        <v>6773</v>
      </c>
      <c r="F74" s="15">
        <f>+SUMIF('GE16FEB14 Unfudged'!$A$2:$A$498, 'Tax Bill Summary'!$A74, 'GE16FEB14 Unfudged'!E$2:E$498)</f>
        <v>975370</v>
      </c>
      <c r="G74" s="13">
        <f>+SUMIF('GE16FEB14 Unfudged'!$A$2:$A$498, 'Tax Bill Summary'!$A74, 'GE16FEB14 Unfudged'!F$2:F$498)</f>
        <v>946135</v>
      </c>
      <c r="H74" s="56">
        <f t="shared" si="56"/>
        <v>29235</v>
      </c>
      <c r="I74" s="51">
        <f>+SUMIF('GE16FEB14 Unfudged'!$A$2:$A$498, 'Tax Bill Summary'!$A74, 'GE16FEB14 Unfudged'!G$2:G$498)</f>
        <v>1435961</v>
      </c>
      <c r="J74" s="13">
        <f>+SUMIF('GE16FEB14 Unfudged'!$A$2:$A$498, 'Tax Bill Summary'!$A74, 'GE16FEB14 Unfudged'!H$2:H$498)</f>
        <v>1392921</v>
      </c>
      <c r="K74" s="56">
        <f t="shared" si="57"/>
        <v>43040</v>
      </c>
      <c r="L74" s="51">
        <f>+SUMIF('GE16FEB14 Unfudged'!$A$2:$A$498, 'Tax Bill Summary'!$A74, 'GE16FEB14 Unfudged'!I$2:IF$498)</f>
        <v>2032020</v>
      </c>
      <c r="M74" s="13">
        <f>+SUMIF('GE16FEB14 Unfudged'!$A$2:$A$498, 'Tax Bill Summary'!$A74, 'GE16FEB14 Unfudged'!J$2:IG$498)</f>
        <v>1142350</v>
      </c>
      <c r="N74" s="56">
        <f t="shared" si="58"/>
        <v>889670</v>
      </c>
      <c r="O74" s="51">
        <f t="shared" si="59"/>
        <v>4443351</v>
      </c>
      <c r="P74" s="13">
        <f t="shared" si="60"/>
        <v>3481406</v>
      </c>
      <c r="Q74" s="56">
        <f t="shared" si="61"/>
        <v>961945</v>
      </c>
      <c r="R74" s="13">
        <f t="shared" si="62"/>
        <v>656.03883065111472</v>
      </c>
      <c r="S74" s="13">
        <f t="shared" si="63"/>
        <v>514.01240218514693</v>
      </c>
      <c r="T74" s="16">
        <f t="shared" si="64"/>
        <v>142.02642846596783</v>
      </c>
      <c r="U74" s="15">
        <f>+SUMIF('GE16FEB14 Tax Bill Unfudged'!$A$2:$A$498, 'Tax Bill Summary'!$A74, 'GE16FEB14 Tax Bill Unfudged'!E$2:E$498)</f>
        <v>975370</v>
      </c>
      <c r="V74" s="13">
        <f>+SUMIF('GE16FEB14 Tax Bill Unfudged'!$A$2:$A$498, 'Tax Bill Summary'!$A74, 'GE16FEB14 Tax Bill Unfudged'!F$2:F$498)</f>
        <v>946135</v>
      </c>
      <c r="W74" s="56">
        <f t="shared" si="65"/>
        <v>29235</v>
      </c>
      <c r="X74" s="51">
        <f>+SUMIF('GE16FEB14 Tax Bill Unfudged'!$A$2:$A$498, 'Tax Bill Summary'!$A74, 'GE16FEB14 Tax Bill Unfudged'!G$2:G$498)</f>
        <v>2871922</v>
      </c>
      <c r="Y74" s="13">
        <f>+SUMIF('GE16FEB14 Tax Bill Unfudged'!$A$2:$A$498, 'Tax Bill Summary'!$A74, 'GE16FEB14 Tax Bill Unfudged'!H$2:H$498)</f>
        <v>2785842</v>
      </c>
      <c r="Z74" s="56">
        <f t="shared" si="66"/>
        <v>86080</v>
      </c>
      <c r="AA74" s="51">
        <f>+SUMIF('GE16FEB14 Tax Bill Unfudged'!$A$2:$A$498, 'Tax Bill Summary'!$A74, 'GE16FEB14 Tax Bill Unfudged'!I$2:I$498)</f>
        <v>2032020</v>
      </c>
      <c r="AB74" s="13">
        <f>+SUMIF('GE16FEB14 Tax Bill Unfudged'!$A$2:$A$498, 'Tax Bill Summary'!$A74, 'GE16FEB14 Tax Bill Unfudged'!J$2:J$498)</f>
        <v>1142350</v>
      </c>
      <c r="AC74" s="56">
        <f t="shared" si="67"/>
        <v>889670</v>
      </c>
      <c r="AD74" s="51">
        <f t="shared" si="68"/>
        <v>5879312</v>
      </c>
      <c r="AE74" s="13">
        <f t="shared" si="69"/>
        <v>4874327</v>
      </c>
      <c r="AF74" s="56">
        <f t="shared" si="70"/>
        <v>1004985</v>
      </c>
      <c r="AG74" s="13">
        <f t="shared" si="71"/>
        <v>868.05138048132289</v>
      </c>
      <c r="AH74" s="13">
        <f t="shared" si="72"/>
        <v>719.67030857817804</v>
      </c>
      <c r="AI74" s="16">
        <f t="shared" si="73"/>
        <v>148.38107190314483</v>
      </c>
      <c r="AJ74" s="15">
        <f t="shared" si="74"/>
        <v>0</v>
      </c>
      <c r="AK74" s="13">
        <f t="shared" si="75"/>
        <v>0</v>
      </c>
      <c r="AL74" s="56">
        <f t="shared" si="76"/>
        <v>0</v>
      </c>
      <c r="AM74" s="51">
        <f t="shared" si="77"/>
        <v>1435961</v>
      </c>
      <c r="AN74" s="13">
        <f t="shared" si="78"/>
        <v>1392921</v>
      </c>
      <c r="AO74" s="56">
        <f t="shared" si="79"/>
        <v>43040</v>
      </c>
      <c r="AP74" s="51">
        <f t="shared" si="80"/>
        <v>0</v>
      </c>
      <c r="AQ74" s="13">
        <f t="shared" si="81"/>
        <v>0</v>
      </c>
      <c r="AR74" s="56">
        <f t="shared" si="82"/>
        <v>0</v>
      </c>
      <c r="AS74" s="51">
        <f t="shared" si="83"/>
        <v>1435961</v>
      </c>
      <c r="AT74" s="13">
        <f t="shared" si="84"/>
        <v>1392921</v>
      </c>
      <c r="AU74" s="56">
        <f t="shared" si="85"/>
        <v>43040</v>
      </c>
      <c r="AV74" s="13">
        <f t="shared" si="86"/>
        <v>212.01254983020817</v>
      </c>
      <c r="AW74" s="13">
        <f t="shared" si="87"/>
        <v>205.65790639303111</v>
      </c>
      <c r="AX74" s="16">
        <f t="shared" si="88"/>
        <v>6.3546434371770033</v>
      </c>
    </row>
    <row r="75" spans="1:50" x14ac:dyDescent="0.25">
      <c r="A75" s="20">
        <v>182</v>
      </c>
      <c r="B75">
        <v>1</v>
      </c>
      <c r="C75" s="23" t="s">
        <v>191</v>
      </c>
      <c r="D75" s="23">
        <v>5</v>
      </c>
      <c r="E75" s="15">
        <f>+SUMIF('GE16FEB14 Unfudged'!$A$2:$A$498, $A75, 'GE16FEB14 Unfudged'!$D$2:$D$498)</f>
        <v>1204</v>
      </c>
      <c r="F75" s="15">
        <f>+SUMIF('GE16FEB14 Unfudged'!$A$2:$A$498, 'Tax Bill Summary'!$A75, 'GE16FEB14 Unfudged'!E$2:E$498)</f>
        <v>162522</v>
      </c>
      <c r="G75" s="13">
        <f>+SUMIF('GE16FEB14 Unfudged'!$A$2:$A$498, 'Tax Bill Summary'!$A75, 'GE16FEB14 Unfudged'!F$2:F$498)</f>
        <v>162522</v>
      </c>
      <c r="H75" s="56">
        <f t="shared" si="56"/>
        <v>0</v>
      </c>
      <c r="I75" s="51">
        <f>+SUMIF('GE16FEB14 Unfudged'!$A$2:$A$498, 'Tax Bill Summary'!$A75, 'GE16FEB14 Unfudged'!G$2:G$498)</f>
        <v>0</v>
      </c>
      <c r="J75" s="13">
        <f>+SUMIF('GE16FEB14 Unfudged'!$A$2:$A$498, 'Tax Bill Summary'!$A75, 'GE16FEB14 Unfudged'!H$2:H$498)</f>
        <v>0</v>
      </c>
      <c r="K75" s="56">
        <f t="shared" si="57"/>
        <v>0</v>
      </c>
      <c r="L75" s="51">
        <f>+SUMIF('GE16FEB14 Unfudged'!$A$2:$A$498, 'Tax Bill Summary'!$A75, 'GE16FEB14 Unfudged'!I$2:IF$498)</f>
        <v>596576</v>
      </c>
      <c r="M75" s="13">
        <f>+SUMIF('GE16FEB14 Unfudged'!$A$2:$A$498, 'Tax Bill Summary'!$A75, 'GE16FEB14 Unfudged'!J$2:IG$498)</f>
        <v>484363</v>
      </c>
      <c r="N75" s="56">
        <f t="shared" si="58"/>
        <v>112213</v>
      </c>
      <c r="O75" s="51">
        <f t="shared" si="59"/>
        <v>759098</v>
      </c>
      <c r="P75" s="13">
        <f t="shared" si="60"/>
        <v>646885</v>
      </c>
      <c r="Q75" s="56">
        <f t="shared" si="61"/>
        <v>112213</v>
      </c>
      <c r="R75" s="13">
        <f t="shared" si="62"/>
        <v>630.48006644518273</v>
      </c>
      <c r="S75" s="13">
        <f t="shared" si="63"/>
        <v>537.27990033222591</v>
      </c>
      <c r="T75" s="16">
        <f t="shared" si="64"/>
        <v>93.200166112956808</v>
      </c>
      <c r="U75" s="15">
        <f>+SUMIF('GE16FEB14 Tax Bill Unfudged'!$A$2:$A$498, 'Tax Bill Summary'!$A75, 'GE16FEB14 Tax Bill Unfudged'!E$2:E$498)</f>
        <v>173318</v>
      </c>
      <c r="V75" s="13">
        <f>+SUMIF('GE16FEB14 Tax Bill Unfudged'!$A$2:$A$498, 'Tax Bill Summary'!$A75, 'GE16FEB14 Tax Bill Unfudged'!F$2:F$498)</f>
        <v>173318</v>
      </c>
      <c r="W75" s="56">
        <f t="shared" si="65"/>
        <v>0</v>
      </c>
      <c r="X75" s="51">
        <f>+SUMIF('GE16FEB14 Tax Bill Unfudged'!$A$2:$A$498, 'Tax Bill Summary'!$A75, 'GE16FEB14 Tax Bill Unfudged'!G$2:G$498)</f>
        <v>510326</v>
      </c>
      <c r="Y75" s="13">
        <f>+SUMIF('GE16FEB14 Tax Bill Unfudged'!$A$2:$A$498, 'Tax Bill Summary'!$A75, 'GE16FEB14 Tax Bill Unfudged'!H$2:H$498)</f>
        <v>510326</v>
      </c>
      <c r="Z75" s="56">
        <f t="shared" si="66"/>
        <v>0</v>
      </c>
      <c r="AA75" s="51">
        <f>+SUMIF('GE16FEB14 Tax Bill Unfudged'!$A$2:$A$498, 'Tax Bill Summary'!$A75, 'GE16FEB14 Tax Bill Unfudged'!I$2:I$498)</f>
        <v>361080</v>
      </c>
      <c r="AB75" s="13">
        <f>+SUMIF('GE16FEB14 Tax Bill Unfudged'!$A$2:$A$498, 'Tax Bill Summary'!$A75, 'GE16FEB14 Tax Bill Unfudged'!J$2:J$498)</f>
        <v>248867</v>
      </c>
      <c r="AC75" s="56">
        <f t="shared" si="67"/>
        <v>112213</v>
      </c>
      <c r="AD75" s="51">
        <f t="shared" si="68"/>
        <v>1044724</v>
      </c>
      <c r="AE75" s="13">
        <f t="shared" si="69"/>
        <v>932511</v>
      </c>
      <c r="AF75" s="56">
        <f t="shared" si="70"/>
        <v>112213</v>
      </c>
      <c r="AG75" s="13">
        <f t="shared" si="71"/>
        <v>867.71096345514945</v>
      </c>
      <c r="AH75" s="13">
        <f t="shared" si="72"/>
        <v>774.51079734219275</v>
      </c>
      <c r="AI75" s="16">
        <f t="shared" si="73"/>
        <v>93.200166112956808</v>
      </c>
      <c r="AJ75" s="15">
        <f t="shared" si="74"/>
        <v>10796</v>
      </c>
      <c r="AK75" s="13">
        <f t="shared" si="75"/>
        <v>10796</v>
      </c>
      <c r="AL75" s="56">
        <f t="shared" si="76"/>
        <v>0</v>
      </c>
      <c r="AM75" s="51">
        <f t="shared" si="77"/>
        <v>510326</v>
      </c>
      <c r="AN75" s="13">
        <f t="shared" si="78"/>
        <v>510326</v>
      </c>
      <c r="AO75" s="56">
        <f t="shared" si="79"/>
        <v>0</v>
      </c>
      <c r="AP75" s="51">
        <f t="shared" si="80"/>
        <v>-235496</v>
      </c>
      <c r="AQ75" s="13">
        <f t="shared" si="81"/>
        <v>-235496</v>
      </c>
      <c r="AR75" s="56">
        <f t="shared" si="82"/>
        <v>0</v>
      </c>
      <c r="AS75" s="51">
        <f t="shared" si="83"/>
        <v>285626</v>
      </c>
      <c r="AT75" s="13">
        <f t="shared" si="84"/>
        <v>285626</v>
      </c>
      <c r="AU75" s="56">
        <f t="shared" si="85"/>
        <v>0</v>
      </c>
      <c r="AV75" s="13">
        <f t="shared" si="86"/>
        <v>237.23089700996672</v>
      </c>
      <c r="AW75" s="13">
        <f t="shared" si="87"/>
        <v>237.23089700996684</v>
      </c>
      <c r="AX75" s="16">
        <f t="shared" si="88"/>
        <v>0</v>
      </c>
    </row>
    <row r="76" spans="1:50" x14ac:dyDescent="0.25">
      <c r="A76" s="20">
        <v>186</v>
      </c>
      <c r="B76">
        <v>1</v>
      </c>
      <c r="C76" s="23" t="s">
        <v>192</v>
      </c>
      <c r="D76" s="23">
        <v>5</v>
      </c>
      <c r="E76" s="15">
        <f>+SUMIF('GE16FEB14 Unfudged'!$A$2:$A$498, $A76, 'GE16FEB14 Unfudged'!$D$2:$D$498)</f>
        <v>1766</v>
      </c>
      <c r="F76" s="15">
        <f>+SUMIF('GE16FEB14 Unfudged'!$A$2:$A$498, 'Tax Bill Summary'!$A76, 'GE16FEB14 Unfudged'!E$2:E$498)</f>
        <v>254333</v>
      </c>
      <c r="G76" s="13">
        <f>+SUMIF('GE16FEB14 Unfudged'!$A$2:$A$498, 'Tax Bill Summary'!$A76, 'GE16FEB14 Unfudged'!F$2:F$498)</f>
        <v>254333</v>
      </c>
      <c r="H76" s="56">
        <f t="shared" si="56"/>
        <v>0</v>
      </c>
      <c r="I76" s="51">
        <f>+SUMIF('GE16FEB14 Unfudged'!$A$2:$A$498, 'Tax Bill Summary'!$A76, 'GE16FEB14 Unfudged'!G$2:G$498)</f>
        <v>0</v>
      </c>
      <c r="J76" s="13">
        <f>+SUMIF('GE16FEB14 Unfudged'!$A$2:$A$498, 'Tax Bill Summary'!$A76, 'GE16FEB14 Unfudged'!H$2:H$498)</f>
        <v>0</v>
      </c>
      <c r="K76" s="56">
        <f t="shared" si="57"/>
        <v>0</v>
      </c>
      <c r="L76" s="51">
        <f>+SUMIF('GE16FEB14 Unfudged'!$A$2:$A$498, 'Tax Bill Summary'!$A76, 'GE16FEB14 Unfudged'!I$2:IF$498)</f>
        <v>529860</v>
      </c>
      <c r="M76" s="13">
        <f>+SUMIF('GE16FEB14 Unfudged'!$A$2:$A$498, 'Tax Bill Summary'!$A76, 'GE16FEB14 Unfudged'!J$2:IG$498)</f>
        <v>422909</v>
      </c>
      <c r="N76" s="56">
        <f t="shared" si="58"/>
        <v>106951</v>
      </c>
      <c r="O76" s="51">
        <f t="shared" si="59"/>
        <v>784193</v>
      </c>
      <c r="P76" s="13">
        <f t="shared" si="60"/>
        <v>677242</v>
      </c>
      <c r="Q76" s="56">
        <f t="shared" si="61"/>
        <v>106951</v>
      </c>
      <c r="R76" s="13">
        <f t="shared" si="62"/>
        <v>444.05039637599094</v>
      </c>
      <c r="S76" s="13">
        <f t="shared" si="63"/>
        <v>383.48924122310308</v>
      </c>
      <c r="T76" s="16">
        <f t="shared" si="64"/>
        <v>60.561155152887885</v>
      </c>
      <c r="U76" s="15">
        <f>+SUMIF('GE16FEB14 Tax Bill Unfudged'!$A$2:$A$498, 'Tax Bill Summary'!$A76, 'GE16FEB14 Tax Bill Unfudged'!E$2:E$498)</f>
        <v>254333</v>
      </c>
      <c r="V76" s="13">
        <f>+SUMIF('GE16FEB14 Tax Bill Unfudged'!$A$2:$A$498, 'Tax Bill Summary'!$A76, 'GE16FEB14 Tax Bill Unfudged'!F$2:F$498)</f>
        <v>254333</v>
      </c>
      <c r="W76" s="56">
        <f t="shared" si="65"/>
        <v>0</v>
      </c>
      <c r="X76" s="51">
        <f>+SUMIF('GE16FEB14 Tax Bill Unfudged'!$A$2:$A$498, 'Tax Bill Summary'!$A76, 'GE16FEB14 Tax Bill Unfudged'!G$2:G$498)</f>
        <v>748869</v>
      </c>
      <c r="Y76" s="13">
        <f>+SUMIF('GE16FEB14 Tax Bill Unfudged'!$A$2:$A$498, 'Tax Bill Summary'!$A76, 'GE16FEB14 Tax Bill Unfudged'!H$2:H$498)</f>
        <v>748869</v>
      </c>
      <c r="Z76" s="56">
        <f t="shared" si="66"/>
        <v>0</v>
      </c>
      <c r="AA76" s="51">
        <f>+SUMIF('GE16FEB14 Tax Bill Unfudged'!$A$2:$A$498, 'Tax Bill Summary'!$A76, 'GE16FEB14 Tax Bill Unfudged'!I$2:I$498)</f>
        <v>529860</v>
      </c>
      <c r="AB76" s="13">
        <f>+SUMIF('GE16FEB14 Tax Bill Unfudged'!$A$2:$A$498, 'Tax Bill Summary'!$A76, 'GE16FEB14 Tax Bill Unfudged'!J$2:J$498)</f>
        <v>422909</v>
      </c>
      <c r="AC76" s="56">
        <f t="shared" si="67"/>
        <v>106951</v>
      </c>
      <c r="AD76" s="51">
        <f t="shared" si="68"/>
        <v>1533062</v>
      </c>
      <c r="AE76" s="13">
        <f t="shared" si="69"/>
        <v>1426111</v>
      </c>
      <c r="AF76" s="56">
        <f t="shared" si="70"/>
        <v>106951</v>
      </c>
      <c r="AG76" s="13">
        <f t="shared" si="71"/>
        <v>868.09852774631941</v>
      </c>
      <c r="AH76" s="13">
        <f t="shared" si="72"/>
        <v>807.53737259343143</v>
      </c>
      <c r="AI76" s="16">
        <f t="shared" si="73"/>
        <v>60.561155152887885</v>
      </c>
      <c r="AJ76" s="15">
        <f t="shared" si="74"/>
        <v>0</v>
      </c>
      <c r="AK76" s="13">
        <f t="shared" si="75"/>
        <v>0</v>
      </c>
      <c r="AL76" s="56">
        <f t="shared" si="76"/>
        <v>0</v>
      </c>
      <c r="AM76" s="51">
        <f t="shared" si="77"/>
        <v>748869</v>
      </c>
      <c r="AN76" s="13">
        <f t="shared" si="78"/>
        <v>748869</v>
      </c>
      <c r="AO76" s="56">
        <f t="shared" si="79"/>
        <v>0</v>
      </c>
      <c r="AP76" s="51">
        <f t="shared" si="80"/>
        <v>0</v>
      </c>
      <c r="AQ76" s="13">
        <f t="shared" si="81"/>
        <v>0</v>
      </c>
      <c r="AR76" s="56">
        <f t="shared" si="82"/>
        <v>0</v>
      </c>
      <c r="AS76" s="51">
        <f t="shared" si="83"/>
        <v>748869</v>
      </c>
      <c r="AT76" s="13">
        <f t="shared" si="84"/>
        <v>748869</v>
      </c>
      <c r="AU76" s="56">
        <f t="shared" si="85"/>
        <v>0</v>
      </c>
      <c r="AV76" s="13">
        <f t="shared" si="86"/>
        <v>424.04813137032846</v>
      </c>
      <c r="AW76" s="13">
        <f t="shared" si="87"/>
        <v>424.04813137032835</v>
      </c>
      <c r="AX76" s="16">
        <f t="shared" si="88"/>
        <v>0</v>
      </c>
    </row>
    <row r="77" spans="1:50" x14ac:dyDescent="0.25">
      <c r="A77" s="20">
        <v>191</v>
      </c>
      <c r="B77">
        <v>1</v>
      </c>
      <c r="C77" s="23" t="s">
        <v>193</v>
      </c>
      <c r="D77" s="23">
        <v>3</v>
      </c>
      <c r="E77" s="15">
        <f>+SUMIF('GE16FEB14 Unfudged'!$A$2:$A$498, $A77, 'GE16FEB14 Unfudged'!$D$2:$D$498)</f>
        <v>10337</v>
      </c>
      <c r="F77" s="15">
        <f>+SUMIF('GE16FEB14 Unfudged'!$A$2:$A$498, 'Tax Bill Summary'!$A77, 'GE16FEB14 Unfudged'!E$2:E$498)</f>
        <v>969093</v>
      </c>
      <c r="G77" s="13">
        <f>+SUMIF('GE16FEB14 Unfudged'!$A$2:$A$498, 'Tax Bill Summary'!$A77, 'GE16FEB14 Unfudged'!F$2:F$498)</f>
        <v>960711</v>
      </c>
      <c r="H77" s="56">
        <f t="shared" si="56"/>
        <v>8382</v>
      </c>
      <c r="I77" s="51">
        <f>+SUMIF('GE16FEB14 Unfudged'!$A$2:$A$498, 'Tax Bill Summary'!$A77, 'GE16FEB14 Unfudged'!G$2:G$498)</f>
        <v>4382888</v>
      </c>
      <c r="J77" s="13">
        <f>+SUMIF('GE16FEB14 Unfudged'!$A$2:$A$498, 'Tax Bill Summary'!$A77, 'GE16FEB14 Unfudged'!H$2:H$498)</f>
        <v>4344981</v>
      </c>
      <c r="K77" s="56">
        <f t="shared" si="57"/>
        <v>37907</v>
      </c>
      <c r="L77" s="51">
        <f>+SUMIF('GE16FEB14 Unfudged'!$A$2:$A$498, 'Tax Bill Summary'!$A77, 'GE16FEB14 Unfudged'!I$2:IF$498)</f>
        <v>13032373</v>
      </c>
      <c r="M77" s="13">
        <f>+SUMIF('GE16FEB14 Unfudged'!$A$2:$A$498, 'Tax Bill Summary'!$A77, 'GE16FEB14 Unfudged'!J$2:IG$498)</f>
        <v>11671832</v>
      </c>
      <c r="N77" s="56">
        <f t="shared" si="58"/>
        <v>1360541</v>
      </c>
      <c r="O77" s="51">
        <f t="shared" si="59"/>
        <v>18384354</v>
      </c>
      <c r="P77" s="13">
        <f t="shared" si="60"/>
        <v>16977524</v>
      </c>
      <c r="Q77" s="56">
        <f t="shared" si="61"/>
        <v>1406830</v>
      </c>
      <c r="R77" s="13">
        <f t="shared" si="62"/>
        <v>1778.4999516300668</v>
      </c>
      <c r="S77" s="13">
        <f t="shared" si="63"/>
        <v>1642.4034052433008</v>
      </c>
      <c r="T77" s="16">
        <f t="shared" si="64"/>
        <v>136.09654638676599</v>
      </c>
      <c r="U77" s="15">
        <f>+SUMIF('GE16FEB14 Tax Bill Unfudged'!$A$2:$A$498, 'Tax Bill Summary'!$A77, 'GE16FEB14 Tax Bill Unfudged'!E$2:E$498)</f>
        <v>969093</v>
      </c>
      <c r="V77" s="13">
        <f>+SUMIF('GE16FEB14 Tax Bill Unfudged'!$A$2:$A$498, 'Tax Bill Summary'!$A77, 'GE16FEB14 Tax Bill Unfudged'!F$2:F$498)</f>
        <v>960711</v>
      </c>
      <c r="W77" s="56">
        <f t="shared" si="65"/>
        <v>8382</v>
      </c>
      <c r="X77" s="51">
        <f>+SUMIF('GE16FEB14 Tax Bill Unfudged'!$A$2:$A$498, 'Tax Bill Summary'!$A77, 'GE16FEB14 Tax Bill Unfudged'!G$2:G$498)</f>
        <v>4382888</v>
      </c>
      <c r="Y77" s="13">
        <f>+SUMIF('GE16FEB14 Tax Bill Unfudged'!$A$2:$A$498, 'Tax Bill Summary'!$A77, 'GE16FEB14 Tax Bill Unfudged'!H$2:H$498)</f>
        <v>4344981</v>
      </c>
      <c r="Z77" s="56">
        <f t="shared" si="66"/>
        <v>37907</v>
      </c>
      <c r="AA77" s="51">
        <f>+SUMIF('GE16FEB14 Tax Bill Unfudged'!$A$2:$A$498, 'Tax Bill Summary'!$A77, 'GE16FEB14 Tax Bill Unfudged'!I$2:I$498)</f>
        <v>13032373</v>
      </c>
      <c r="AB77" s="13">
        <f>+SUMIF('GE16FEB14 Tax Bill Unfudged'!$A$2:$A$498, 'Tax Bill Summary'!$A77, 'GE16FEB14 Tax Bill Unfudged'!J$2:J$498)</f>
        <v>11671832</v>
      </c>
      <c r="AC77" s="56">
        <f t="shared" si="67"/>
        <v>1360541</v>
      </c>
      <c r="AD77" s="51">
        <f t="shared" si="68"/>
        <v>18384354</v>
      </c>
      <c r="AE77" s="13">
        <f t="shared" si="69"/>
        <v>16977524</v>
      </c>
      <c r="AF77" s="56">
        <f t="shared" si="70"/>
        <v>1406830</v>
      </c>
      <c r="AG77" s="13">
        <f t="shared" si="71"/>
        <v>1778.4999516300668</v>
      </c>
      <c r="AH77" s="13">
        <f t="shared" si="72"/>
        <v>1642.4034052433008</v>
      </c>
      <c r="AI77" s="16">
        <f t="shared" si="73"/>
        <v>136.09654638676599</v>
      </c>
      <c r="AJ77" s="15">
        <f t="shared" si="74"/>
        <v>0</v>
      </c>
      <c r="AK77" s="13">
        <f t="shared" si="75"/>
        <v>0</v>
      </c>
      <c r="AL77" s="56">
        <f t="shared" si="76"/>
        <v>0</v>
      </c>
      <c r="AM77" s="51">
        <f t="shared" si="77"/>
        <v>0</v>
      </c>
      <c r="AN77" s="13">
        <f t="shared" si="78"/>
        <v>0</v>
      </c>
      <c r="AO77" s="56">
        <f t="shared" si="79"/>
        <v>0</v>
      </c>
      <c r="AP77" s="51">
        <f t="shared" si="80"/>
        <v>0</v>
      </c>
      <c r="AQ77" s="13">
        <f t="shared" si="81"/>
        <v>0</v>
      </c>
      <c r="AR77" s="56">
        <f t="shared" si="82"/>
        <v>0</v>
      </c>
      <c r="AS77" s="51">
        <f t="shared" si="83"/>
        <v>0</v>
      </c>
      <c r="AT77" s="13">
        <f t="shared" si="84"/>
        <v>0</v>
      </c>
      <c r="AU77" s="56">
        <f t="shared" si="85"/>
        <v>0</v>
      </c>
      <c r="AV77" s="13">
        <f t="shared" si="86"/>
        <v>0</v>
      </c>
      <c r="AW77" s="13">
        <f t="shared" si="87"/>
        <v>0</v>
      </c>
      <c r="AX77" s="16">
        <f t="shared" si="88"/>
        <v>0</v>
      </c>
    </row>
    <row r="78" spans="1:50" x14ac:dyDescent="0.25">
      <c r="A78" s="20">
        <v>192</v>
      </c>
      <c r="B78">
        <v>1</v>
      </c>
      <c r="C78" s="23" t="s">
        <v>194</v>
      </c>
      <c r="D78" s="23">
        <v>3</v>
      </c>
      <c r="E78" s="15">
        <f>+SUMIF('GE16FEB14 Unfudged'!$A$2:$A$498, $A78, 'GE16FEB14 Unfudged'!$D$2:$D$498)</f>
        <v>7149</v>
      </c>
      <c r="F78" s="15">
        <f>+SUMIF('GE16FEB14 Unfudged'!$A$2:$A$498, 'Tax Bill Summary'!$A78, 'GE16FEB14 Unfudged'!E$2:E$498)</f>
        <v>1190533</v>
      </c>
      <c r="G78" s="13">
        <f>+SUMIF('GE16FEB14 Unfudged'!$A$2:$A$498, 'Tax Bill Summary'!$A78, 'GE16FEB14 Unfudged'!F$2:F$498)</f>
        <v>707441</v>
      </c>
      <c r="H78" s="56">
        <f t="shared" si="56"/>
        <v>483092</v>
      </c>
      <c r="I78" s="51">
        <f>+SUMIF('GE16FEB14 Unfudged'!$A$2:$A$498, 'Tax Bill Summary'!$A78, 'GE16FEB14 Unfudged'!G$2:G$498)</f>
        <v>3031346</v>
      </c>
      <c r="J78" s="13">
        <f>+SUMIF('GE16FEB14 Unfudged'!$A$2:$A$498, 'Tax Bill Summary'!$A78, 'GE16FEB14 Unfudged'!H$2:H$498)</f>
        <v>1801294</v>
      </c>
      <c r="K78" s="56">
        <f t="shared" si="57"/>
        <v>1230052</v>
      </c>
      <c r="L78" s="51">
        <f>+SUMIF('GE16FEB14 Unfudged'!$A$2:$A$498, 'Tax Bill Summary'!$A78, 'GE16FEB14 Unfudged'!I$2:IF$498)</f>
        <v>2235903</v>
      </c>
      <c r="M78" s="13">
        <f>+SUMIF('GE16FEB14 Unfudged'!$A$2:$A$498, 'Tax Bill Summary'!$A78, 'GE16FEB14 Unfudged'!J$2:IG$498)</f>
        <v>792755</v>
      </c>
      <c r="N78" s="56">
        <f t="shared" si="58"/>
        <v>1443148</v>
      </c>
      <c r="O78" s="51">
        <f t="shared" si="59"/>
        <v>6457782</v>
      </c>
      <c r="P78" s="13">
        <f t="shared" si="60"/>
        <v>3301490</v>
      </c>
      <c r="Q78" s="56">
        <f t="shared" si="61"/>
        <v>3156292</v>
      </c>
      <c r="R78" s="13">
        <f t="shared" si="62"/>
        <v>903.31263113722196</v>
      </c>
      <c r="S78" s="13">
        <f t="shared" si="63"/>
        <v>461.81144215974263</v>
      </c>
      <c r="T78" s="16">
        <f t="shared" si="64"/>
        <v>441.50118897747939</v>
      </c>
      <c r="U78" s="15">
        <f>+SUMIF('GE16FEB14 Tax Bill Unfudged'!$A$2:$A$498, 'Tax Bill Summary'!$A78, 'GE16FEB14 Tax Bill Unfudged'!E$2:E$498)</f>
        <v>1190533</v>
      </c>
      <c r="V78" s="13">
        <f>+SUMIF('GE16FEB14 Tax Bill Unfudged'!$A$2:$A$498, 'Tax Bill Summary'!$A78, 'GE16FEB14 Tax Bill Unfudged'!F$2:F$498)</f>
        <v>707441</v>
      </c>
      <c r="W78" s="56">
        <f t="shared" si="65"/>
        <v>483092</v>
      </c>
      <c r="X78" s="51">
        <f>+SUMIF('GE16FEB14 Tax Bill Unfudged'!$A$2:$A$498, 'Tax Bill Summary'!$A78, 'GE16FEB14 Tax Bill Unfudged'!G$2:G$498)</f>
        <v>3031346</v>
      </c>
      <c r="Y78" s="13">
        <f>+SUMIF('GE16FEB14 Tax Bill Unfudged'!$A$2:$A$498, 'Tax Bill Summary'!$A78, 'GE16FEB14 Tax Bill Unfudged'!H$2:H$498)</f>
        <v>1801294</v>
      </c>
      <c r="Z78" s="56">
        <f t="shared" si="66"/>
        <v>1230052</v>
      </c>
      <c r="AA78" s="51">
        <f>+SUMIF('GE16FEB14 Tax Bill Unfudged'!$A$2:$A$498, 'Tax Bill Summary'!$A78, 'GE16FEB14 Tax Bill Unfudged'!I$2:I$498)</f>
        <v>2235903</v>
      </c>
      <c r="AB78" s="13">
        <f>+SUMIF('GE16FEB14 Tax Bill Unfudged'!$A$2:$A$498, 'Tax Bill Summary'!$A78, 'GE16FEB14 Tax Bill Unfudged'!J$2:J$498)</f>
        <v>792755</v>
      </c>
      <c r="AC78" s="56">
        <f t="shared" si="67"/>
        <v>1443148</v>
      </c>
      <c r="AD78" s="51">
        <f t="shared" si="68"/>
        <v>6457782</v>
      </c>
      <c r="AE78" s="13">
        <f t="shared" si="69"/>
        <v>3301490</v>
      </c>
      <c r="AF78" s="56">
        <f t="shared" si="70"/>
        <v>3156292</v>
      </c>
      <c r="AG78" s="13">
        <f t="shared" si="71"/>
        <v>903.31263113722196</v>
      </c>
      <c r="AH78" s="13">
        <f t="shared" si="72"/>
        <v>461.81144215974263</v>
      </c>
      <c r="AI78" s="16">
        <f t="shared" si="73"/>
        <v>441.50118897747939</v>
      </c>
      <c r="AJ78" s="15">
        <f t="shared" si="74"/>
        <v>0</v>
      </c>
      <c r="AK78" s="13">
        <f t="shared" si="75"/>
        <v>0</v>
      </c>
      <c r="AL78" s="56">
        <f t="shared" si="76"/>
        <v>0</v>
      </c>
      <c r="AM78" s="51">
        <f t="shared" si="77"/>
        <v>0</v>
      </c>
      <c r="AN78" s="13">
        <f t="shared" si="78"/>
        <v>0</v>
      </c>
      <c r="AO78" s="56">
        <f t="shared" si="79"/>
        <v>0</v>
      </c>
      <c r="AP78" s="51">
        <f t="shared" si="80"/>
        <v>0</v>
      </c>
      <c r="AQ78" s="13">
        <f t="shared" si="81"/>
        <v>0</v>
      </c>
      <c r="AR78" s="56">
        <f t="shared" si="82"/>
        <v>0</v>
      </c>
      <c r="AS78" s="51">
        <f t="shared" si="83"/>
        <v>0</v>
      </c>
      <c r="AT78" s="13">
        <f t="shared" si="84"/>
        <v>0</v>
      </c>
      <c r="AU78" s="56">
        <f t="shared" si="85"/>
        <v>0</v>
      </c>
      <c r="AV78" s="13">
        <f t="shared" si="86"/>
        <v>0</v>
      </c>
      <c r="AW78" s="13">
        <f t="shared" si="87"/>
        <v>0</v>
      </c>
      <c r="AX78" s="16">
        <f t="shared" si="88"/>
        <v>0</v>
      </c>
    </row>
    <row r="79" spans="1:50" x14ac:dyDescent="0.25">
      <c r="A79" s="20">
        <v>194</v>
      </c>
      <c r="B79">
        <v>1</v>
      </c>
      <c r="C79" s="23" t="s">
        <v>195</v>
      </c>
      <c r="D79" s="23">
        <v>3</v>
      </c>
      <c r="E79" s="15">
        <f>+SUMIF('GE16FEB14 Unfudged'!$A$2:$A$498, $A79, 'GE16FEB14 Unfudged'!$D$2:$D$498)</f>
        <v>11382</v>
      </c>
      <c r="F79" s="15">
        <f>+SUMIF('GE16FEB14 Unfudged'!$A$2:$A$498, 'Tax Bill Summary'!$A79, 'GE16FEB14 Unfudged'!E$2:E$498)</f>
        <v>1208380</v>
      </c>
      <c r="G79" s="13">
        <f>+SUMIF('GE16FEB14 Unfudged'!$A$2:$A$498, 'Tax Bill Summary'!$A79, 'GE16FEB14 Unfudged'!F$2:F$498)</f>
        <v>1113583</v>
      </c>
      <c r="H79" s="56">
        <f t="shared" si="56"/>
        <v>94797</v>
      </c>
      <c r="I79" s="51">
        <f>+SUMIF('GE16FEB14 Unfudged'!$A$2:$A$498, 'Tax Bill Summary'!$A79, 'GE16FEB14 Unfudged'!G$2:G$498)</f>
        <v>4826053</v>
      </c>
      <c r="J79" s="13">
        <f>+SUMIF('GE16FEB14 Unfudged'!$A$2:$A$498, 'Tax Bill Summary'!$A79, 'GE16FEB14 Unfudged'!H$2:H$498)</f>
        <v>4447453</v>
      </c>
      <c r="K79" s="56">
        <f t="shared" si="57"/>
        <v>378600</v>
      </c>
      <c r="L79" s="51">
        <f>+SUMIF('GE16FEB14 Unfudged'!$A$2:$A$498, 'Tax Bill Summary'!$A79, 'GE16FEB14 Unfudged'!I$2:IF$498)</f>
        <v>12509379</v>
      </c>
      <c r="M79" s="13">
        <f>+SUMIF('GE16FEB14 Unfudged'!$A$2:$A$498, 'Tax Bill Summary'!$A79, 'GE16FEB14 Unfudged'!J$2:IG$498)</f>
        <v>10507676</v>
      </c>
      <c r="N79" s="56">
        <f t="shared" si="58"/>
        <v>2001703</v>
      </c>
      <c r="O79" s="51">
        <f t="shared" si="59"/>
        <v>18543812</v>
      </c>
      <c r="P79" s="13">
        <f t="shared" si="60"/>
        <v>16068712</v>
      </c>
      <c r="Q79" s="56">
        <f t="shared" si="61"/>
        <v>2475100</v>
      </c>
      <c r="R79" s="13">
        <f t="shared" si="62"/>
        <v>1629.2226322263223</v>
      </c>
      <c r="S79" s="13">
        <f t="shared" si="63"/>
        <v>1411.7652433667195</v>
      </c>
      <c r="T79" s="16">
        <f t="shared" si="64"/>
        <v>217.45738885960287</v>
      </c>
      <c r="U79" s="15">
        <f>+SUMIF('GE16FEB14 Tax Bill Unfudged'!$A$2:$A$498, 'Tax Bill Summary'!$A79, 'GE16FEB14 Tax Bill Unfudged'!E$2:E$498)</f>
        <v>1208380</v>
      </c>
      <c r="V79" s="13">
        <f>+SUMIF('GE16FEB14 Tax Bill Unfudged'!$A$2:$A$498, 'Tax Bill Summary'!$A79, 'GE16FEB14 Tax Bill Unfudged'!F$2:F$498)</f>
        <v>1113583</v>
      </c>
      <c r="W79" s="56">
        <f t="shared" si="65"/>
        <v>94797</v>
      </c>
      <c r="X79" s="51">
        <f>+SUMIF('GE16FEB14 Tax Bill Unfudged'!$A$2:$A$498, 'Tax Bill Summary'!$A79, 'GE16FEB14 Tax Bill Unfudged'!G$2:G$498)</f>
        <v>4826053</v>
      </c>
      <c r="Y79" s="13">
        <f>+SUMIF('GE16FEB14 Tax Bill Unfudged'!$A$2:$A$498, 'Tax Bill Summary'!$A79, 'GE16FEB14 Tax Bill Unfudged'!H$2:H$498)</f>
        <v>4447453</v>
      </c>
      <c r="Z79" s="56">
        <f t="shared" si="66"/>
        <v>378600</v>
      </c>
      <c r="AA79" s="51">
        <f>+SUMIF('GE16FEB14 Tax Bill Unfudged'!$A$2:$A$498, 'Tax Bill Summary'!$A79, 'GE16FEB14 Tax Bill Unfudged'!I$2:I$498)</f>
        <v>12509379</v>
      </c>
      <c r="AB79" s="13">
        <f>+SUMIF('GE16FEB14 Tax Bill Unfudged'!$A$2:$A$498, 'Tax Bill Summary'!$A79, 'GE16FEB14 Tax Bill Unfudged'!J$2:J$498)</f>
        <v>10507676</v>
      </c>
      <c r="AC79" s="56">
        <f t="shared" si="67"/>
        <v>2001703</v>
      </c>
      <c r="AD79" s="51">
        <f t="shared" si="68"/>
        <v>18543812</v>
      </c>
      <c r="AE79" s="13">
        <f t="shared" si="69"/>
        <v>16068712</v>
      </c>
      <c r="AF79" s="56">
        <f t="shared" si="70"/>
        <v>2475100</v>
      </c>
      <c r="AG79" s="13">
        <f t="shared" si="71"/>
        <v>1629.2226322263223</v>
      </c>
      <c r="AH79" s="13">
        <f t="shared" si="72"/>
        <v>1411.7652433667195</v>
      </c>
      <c r="AI79" s="16">
        <f t="shared" si="73"/>
        <v>217.45738885960287</v>
      </c>
      <c r="AJ79" s="15">
        <f t="shared" si="74"/>
        <v>0</v>
      </c>
      <c r="AK79" s="13">
        <f t="shared" si="75"/>
        <v>0</v>
      </c>
      <c r="AL79" s="56">
        <f t="shared" si="76"/>
        <v>0</v>
      </c>
      <c r="AM79" s="51">
        <f t="shared" si="77"/>
        <v>0</v>
      </c>
      <c r="AN79" s="13">
        <f t="shared" si="78"/>
        <v>0</v>
      </c>
      <c r="AO79" s="56">
        <f t="shared" si="79"/>
        <v>0</v>
      </c>
      <c r="AP79" s="51">
        <f t="shared" si="80"/>
        <v>0</v>
      </c>
      <c r="AQ79" s="13">
        <f t="shared" si="81"/>
        <v>0</v>
      </c>
      <c r="AR79" s="56">
        <f t="shared" si="82"/>
        <v>0</v>
      </c>
      <c r="AS79" s="51">
        <f t="shared" si="83"/>
        <v>0</v>
      </c>
      <c r="AT79" s="13">
        <f t="shared" si="84"/>
        <v>0</v>
      </c>
      <c r="AU79" s="56">
        <f t="shared" si="85"/>
        <v>0</v>
      </c>
      <c r="AV79" s="13">
        <f t="shared" si="86"/>
        <v>0</v>
      </c>
      <c r="AW79" s="13">
        <f t="shared" si="87"/>
        <v>0</v>
      </c>
      <c r="AX79" s="16">
        <f t="shared" si="88"/>
        <v>0</v>
      </c>
    </row>
    <row r="80" spans="1:50" x14ac:dyDescent="0.25">
      <c r="A80" s="20">
        <v>195</v>
      </c>
      <c r="B80">
        <v>1</v>
      </c>
      <c r="C80" s="23" t="s">
        <v>196</v>
      </c>
      <c r="D80" s="23">
        <v>3</v>
      </c>
      <c r="E80" s="15">
        <f>+SUMIF('GE16FEB14 Unfudged'!$A$2:$A$498, $A80, 'GE16FEB14 Unfudged'!$D$2:$D$498)</f>
        <v>651</v>
      </c>
      <c r="F80" s="15">
        <f>+SUMIF('GE16FEB14 Unfudged'!$A$2:$A$498, 'Tax Bill Summary'!$A80, 'GE16FEB14 Unfudged'!E$2:E$498)</f>
        <v>109076</v>
      </c>
      <c r="G80" s="13">
        <f>+SUMIF('GE16FEB14 Unfudged'!$A$2:$A$498, 'Tax Bill Summary'!$A80, 'GE16FEB14 Unfudged'!F$2:F$498)</f>
        <v>109076</v>
      </c>
      <c r="H80" s="56">
        <f t="shared" si="56"/>
        <v>0</v>
      </c>
      <c r="I80" s="51">
        <f>+SUMIF('GE16FEB14 Unfudged'!$A$2:$A$498, 'Tax Bill Summary'!$A80, 'GE16FEB14 Unfudged'!G$2:G$498)</f>
        <v>276109</v>
      </c>
      <c r="J80" s="13">
        <f>+SUMIF('GE16FEB14 Unfudged'!$A$2:$A$498, 'Tax Bill Summary'!$A80, 'GE16FEB14 Unfudged'!H$2:H$498)</f>
        <v>276109</v>
      </c>
      <c r="K80" s="56">
        <f t="shared" si="57"/>
        <v>0</v>
      </c>
      <c r="L80" s="51">
        <f>+SUMIF('GE16FEB14 Unfudged'!$A$2:$A$498, 'Tax Bill Summary'!$A80, 'GE16FEB14 Unfudged'!I$2:IF$498)</f>
        <v>195360</v>
      </c>
      <c r="M80" s="13">
        <f>+SUMIF('GE16FEB14 Unfudged'!$A$2:$A$498, 'Tax Bill Summary'!$A80, 'GE16FEB14 Unfudged'!J$2:IG$498)</f>
        <v>68966</v>
      </c>
      <c r="N80" s="56">
        <f t="shared" si="58"/>
        <v>126394</v>
      </c>
      <c r="O80" s="51">
        <f t="shared" si="59"/>
        <v>580545</v>
      </c>
      <c r="P80" s="13">
        <f t="shared" si="60"/>
        <v>454151</v>
      </c>
      <c r="Q80" s="56">
        <f t="shared" si="61"/>
        <v>126394</v>
      </c>
      <c r="R80" s="13">
        <f t="shared" si="62"/>
        <v>891.77419354838707</v>
      </c>
      <c r="S80" s="13">
        <f t="shared" si="63"/>
        <v>697.62058371735793</v>
      </c>
      <c r="T80" s="16">
        <f t="shared" si="64"/>
        <v>194.15360983102917</v>
      </c>
      <c r="U80" s="15">
        <f>+SUMIF('GE16FEB14 Tax Bill Unfudged'!$A$2:$A$498, 'Tax Bill Summary'!$A80, 'GE16FEB14 Tax Bill Unfudged'!E$2:E$498)</f>
        <v>109076</v>
      </c>
      <c r="V80" s="13">
        <f>+SUMIF('GE16FEB14 Tax Bill Unfudged'!$A$2:$A$498, 'Tax Bill Summary'!$A80, 'GE16FEB14 Tax Bill Unfudged'!F$2:F$498)</f>
        <v>109076</v>
      </c>
      <c r="W80" s="56">
        <f t="shared" si="65"/>
        <v>0</v>
      </c>
      <c r="X80" s="51">
        <f>+SUMIF('GE16FEB14 Tax Bill Unfudged'!$A$2:$A$498, 'Tax Bill Summary'!$A80, 'GE16FEB14 Tax Bill Unfudged'!G$2:G$498)</f>
        <v>276109</v>
      </c>
      <c r="Y80" s="13">
        <f>+SUMIF('GE16FEB14 Tax Bill Unfudged'!$A$2:$A$498, 'Tax Bill Summary'!$A80, 'GE16FEB14 Tax Bill Unfudged'!H$2:H$498)</f>
        <v>276109</v>
      </c>
      <c r="Z80" s="56">
        <f t="shared" si="66"/>
        <v>0</v>
      </c>
      <c r="AA80" s="51">
        <f>+SUMIF('GE16FEB14 Tax Bill Unfudged'!$A$2:$A$498, 'Tax Bill Summary'!$A80, 'GE16FEB14 Tax Bill Unfudged'!I$2:I$498)</f>
        <v>195360</v>
      </c>
      <c r="AB80" s="13">
        <f>+SUMIF('GE16FEB14 Tax Bill Unfudged'!$A$2:$A$498, 'Tax Bill Summary'!$A80, 'GE16FEB14 Tax Bill Unfudged'!J$2:J$498)</f>
        <v>68966</v>
      </c>
      <c r="AC80" s="56">
        <f t="shared" si="67"/>
        <v>126394</v>
      </c>
      <c r="AD80" s="51">
        <f t="shared" si="68"/>
        <v>580545</v>
      </c>
      <c r="AE80" s="13">
        <f t="shared" si="69"/>
        <v>454151</v>
      </c>
      <c r="AF80" s="56">
        <f t="shared" si="70"/>
        <v>126394</v>
      </c>
      <c r="AG80" s="13">
        <f t="shared" si="71"/>
        <v>891.77419354838707</v>
      </c>
      <c r="AH80" s="13">
        <f t="shared" si="72"/>
        <v>697.62058371735793</v>
      </c>
      <c r="AI80" s="16">
        <f t="shared" si="73"/>
        <v>194.15360983102917</v>
      </c>
      <c r="AJ80" s="15">
        <f t="shared" si="74"/>
        <v>0</v>
      </c>
      <c r="AK80" s="13">
        <f t="shared" si="75"/>
        <v>0</v>
      </c>
      <c r="AL80" s="56">
        <f t="shared" si="76"/>
        <v>0</v>
      </c>
      <c r="AM80" s="51">
        <f t="shared" si="77"/>
        <v>0</v>
      </c>
      <c r="AN80" s="13">
        <f t="shared" si="78"/>
        <v>0</v>
      </c>
      <c r="AO80" s="56">
        <f t="shared" si="79"/>
        <v>0</v>
      </c>
      <c r="AP80" s="51">
        <f t="shared" si="80"/>
        <v>0</v>
      </c>
      <c r="AQ80" s="13">
        <f t="shared" si="81"/>
        <v>0</v>
      </c>
      <c r="AR80" s="56">
        <f t="shared" si="82"/>
        <v>0</v>
      </c>
      <c r="AS80" s="51">
        <f t="shared" si="83"/>
        <v>0</v>
      </c>
      <c r="AT80" s="13">
        <f t="shared" si="84"/>
        <v>0</v>
      </c>
      <c r="AU80" s="56">
        <f t="shared" si="85"/>
        <v>0</v>
      </c>
      <c r="AV80" s="13">
        <f t="shared" si="86"/>
        <v>0</v>
      </c>
      <c r="AW80" s="13">
        <f t="shared" si="87"/>
        <v>0</v>
      </c>
      <c r="AX80" s="16">
        <f t="shared" si="88"/>
        <v>0</v>
      </c>
    </row>
    <row r="81" spans="1:50" x14ac:dyDescent="0.25">
      <c r="A81" s="20">
        <v>196</v>
      </c>
      <c r="B81">
        <v>1</v>
      </c>
      <c r="C81" s="23" t="s">
        <v>197</v>
      </c>
      <c r="D81" s="23">
        <v>3</v>
      </c>
      <c r="E81" s="15">
        <f>+SUMIF('GE16FEB14 Unfudged'!$A$2:$A$498, $A81, 'GE16FEB14 Unfudged'!$D$2:$D$498)</f>
        <v>29138</v>
      </c>
      <c r="F81" s="15">
        <f>+SUMIF('GE16FEB14 Unfudged'!$A$2:$A$498, 'Tax Bill Summary'!$A81, 'GE16FEB14 Unfudged'!E$2:E$498)</f>
        <v>3160820</v>
      </c>
      <c r="G81" s="13">
        <f>+SUMIF('GE16FEB14 Unfudged'!$A$2:$A$498, 'Tax Bill Summary'!$A81, 'GE16FEB14 Unfudged'!F$2:F$498)</f>
        <v>2816235</v>
      </c>
      <c r="H81" s="56">
        <f t="shared" si="56"/>
        <v>344585</v>
      </c>
      <c r="I81" s="51">
        <f>+SUMIF('GE16FEB14 Unfudged'!$A$2:$A$498, 'Tax Bill Summary'!$A81, 'GE16FEB14 Unfudged'!G$2:G$498)</f>
        <v>12354682</v>
      </c>
      <c r="J81" s="13">
        <f>+SUMIF('GE16FEB14 Unfudged'!$A$2:$A$498, 'Tax Bill Summary'!$A81, 'GE16FEB14 Unfudged'!H$2:H$498)</f>
        <v>11007805</v>
      </c>
      <c r="K81" s="56">
        <f t="shared" si="57"/>
        <v>1346877</v>
      </c>
      <c r="L81" s="51">
        <f>+SUMIF('GE16FEB14 Unfudged'!$A$2:$A$498, 'Tax Bill Summary'!$A81, 'GE16FEB14 Unfudged'!I$2:IF$498)</f>
        <v>31146327</v>
      </c>
      <c r="M81" s="13">
        <f>+SUMIF('GE16FEB14 Unfudged'!$A$2:$A$498, 'Tax Bill Summary'!$A81, 'GE16FEB14 Unfudged'!J$2:IG$498)</f>
        <v>25457387</v>
      </c>
      <c r="N81" s="56">
        <f t="shared" si="58"/>
        <v>5688940</v>
      </c>
      <c r="O81" s="51">
        <f t="shared" si="59"/>
        <v>46661829</v>
      </c>
      <c r="P81" s="13">
        <f t="shared" si="60"/>
        <v>39281427</v>
      </c>
      <c r="Q81" s="56">
        <f t="shared" si="61"/>
        <v>7380402</v>
      </c>
      <c r="R81" s="13">
        <f t="shared" si="62"/>
        <v>1601.4080925252249</v>
      </c>
      <c r="S81" s="13">
        <f t="shared" si="63"/>
        <v>1348.1167890726886</v>
      </c>
      <c r="T81" s="16">
        <f t="shared" si="64"/>
        <v>253.2913034525362</v>
      </c>
      <c r="U81" s="15">
        <f>+SUMIF('GE16FEB14 Tax Bill Unfudged'!$A$2:$A$498, 'Tax Bill Summary'!$A81, 'GE16FEB14 Tax Bill Unfudged'!E$2:E$498)</f>
        <v>3160820</v>
      </c>
      <c r="V81" s="13">
        <f>+SUMIF('GE16FEB14 Tax Bill Unfudged'!$A$2:$A$498, 'Tax Bill Summary'!$A81, 'GE16FEB14 Tax Bill Unfudged'!F$2:F$498)</f>
        <v>2816235</v>
      </c>
      <c r="W81" s="56">
        <f t="shared" si="65"/>
        <v>344585</v>
      </c>
      <c r="X81" s="51">
        <f>+SUMIF('GE16FEB14 Tax Bill Unfudged'!$A$2:$A$498, 'Tax Bill Summary'!$A81, 'GE16FEB14 Tax Bill Unfudged'!G$2:G$498)</f>
        <v>12354682</v>
      </c>
      <c r="Y81" s="13">
        <f>+SUMIF('GE16FEB14 Tax Bill Unfudged'!$A$2:$A$498, 'Tax Bill Summary'!$A81, 'GE16FEB14 Tax Bill Unfudged'!H$2:H$498)</f>
        <v>11007805</v>
      </c>
      <c r="Z81" s="56">
        <f t="shared" si="66"/>
        <v>1346877</v>
      </c>
      <c r="AA81" s="51">
        <f>+SUMIF('GE16FEB14 Tax Bill Unfudged'!$A$2:$A$498, 'Tax Bill Summary'!$A81, 'GE16FEB14 Tax Bill Unfudged'!I$2:I$498)</f>
        <v>31146327</v>
      </c>
      <c r="AB81" s="13">
        <f>+SUMIF('GE16FEB14 Tax Bill Unfudged'!$A$2:$A$498, 'Tax Bill Summary'!$A81, 'GE16FEB14 Tax Bill Unfudged'!J$2:J$498)</f>
        <v>25457387</v>
      </c>
      <c r="AC81" s="56">
        <f t="shared" si="67"/>
        <v>5688940</v>
      </c>
      <c r="AD81" s="51">
        <f t="shared" si="68"/>
        <v>46661829</v>
      </c>
      <c r="AE81" s="13">
        <f t="shared" si="69"/>
        <v>39281427</v>
      </c>
      <c r="AF81" s="56">
        <f t="shared" si="70"/>
        <v>7380402</v>
      </c>
      <c r="AG81" s="13">
        <f t="shared" si="71"/>
        <v>1601.4080925252249</v>
      </c>
      <c r="AH81" s="13">
        <f t="shared" si="72"/>
        <v>1348.1167890726886</v>
      </c>
      <c r="AI81" s="16">
        <f t="shared" si="73"/>
        <v>253.2913034525362</v>
      </c>
      <c r="AJ81" s="15">
        <f t="shared" si="74"/>
        <v>0</v>
      </c>
      <c r="AK81" s="13">
        <f t="shared" si="75"/>
        <v>0</v>
      </c>
      <c r="AL81" s="56">
        <f t="shared" si="76"/>
        <v>0</v>
      </c>
      <c r="AM81" s="51">
        <f t="shared" si="77"/>
        <v>0</v>
      </c>
      <c r="AN81" s="13">
        <f t="shared" si="78"/>
        <v>0</v>
      </c>
      <c r="AO81" s="56">
        <f t="shared" si="79"/>
        <v>0</v>
      </c>
      <c r="AP81" s="51">
        <f t="shared" si="80"/>
        <v>0</v>
      </c>
      <c r="AQ81" s="13">
        <f t="shared" si="81"/>
        <v>0</v>
      </c>
      <c r="AR81" s="56">
        <f t="shared" si="82"/>
        <v>0</v>
      </c>
      <c r="AS81" s="51">
        <f t="shared" si="83"/>
        <v>0</v>
      </c>
      <c r="AT81" s="13">
        <f t="shared" si="84"/>
        <v>0</v>
      </c>
      <c r="AU81" s="56">
        <f t="shared" si="85"/>
        <v>0</v>
      </c>
      <c r="AV81" s="13">
        <f t="shared" si="86"/>
        <v>0</v>
      </c>
      <c r="AW81" s="13">
        <f t="shared" si="87"/>
        <v>0</v>
      </c>
      <c r="AX81" s="16">
        <f t="shared" si="88"/>
        <v>0</v>
      </c>
    </row>
    <row r="82" spans="1:50" x14ac:dyDescent="0.25">
      <c r="A82" s="20">
        <v>197</v>
      </c>
      <c r="B82">
        <v>1</v>
      </c>
      <c r="C82" s="23" t="s">
        <v>198</v>
      </c>
      <c r="D82" s="23">
        <v>2</v>
      </c>
      <c r="E82" s="15">
        <f>+SUMIF('GE16FEB14 Unfudged'!$A$2:$A$498, $A82, 'GE16FEB14 Unfudged'!$D$2:$D$498)</f>
        <v>5165</v>
      </c>
      <c r="F82" s="15">
        <f>+SUMIF('GE16FEB14 Unfudged'!$A$2:$A$498, 'Tax Bill Summary'!$A82, 'GE16FEB14 Unfudged'!E$2:E$498)</f>
        <v>443384</v>
      </c>
      <c r="G82" s="13">
        <f>+SUMIF('GE16FEB14 Unfudged'!$A$2:$A$498, 'Tax Bill Summary'!$A82, 'GE16FEB14 Unfudged'!F$2:F$498)</f>
        <v>443384</v>
      </c>
      <c r="H82" s="56">
        <f t="shared" si="56"/>
        <v>0</v>
      </c>
      <c r="I82" s="51">
        <f>+SUMIF('GE16FEB14 Unfudged'!$A$2:$A$498, 'Tax Bill Summary'!$A82, 'GE16FEB14 Unfudged'!G$2:G$498)</f>
        <v>2190130</v>
      </c>
      <c r="J82" s="13">
        <f>+SUMIF('GE16FEB14 Unfudged'!$A$2:$A$498, 'Tax Bill Summary'!$A82, 'GE16FEB14 Unfudged'!H$2:H$498)</f>
        <v>2190130</v>
      </c>
      <c r="K82" s="56">
        <f t="shared" si="57"/>
        <v>0</v>
      </c>
      <c r="L82" s="51">
        <f>+SUMIF('GE16FEB14 Unfudged'!$A$2:$A$498, 'Tax Bill Summary'!$A82, 'GE16FEB14 Unfudged'!I$2:IF$498)</f>
        <v>7044727</v>
      </c>
      <c r="M82" s="13">
        <f>+SUMIF('GE16FEB14 Unfudged'!$A$2:$A$498, 'Tax Bill Summary'!$A82, 'GE16FEB14 Unfudged'!J$2:IG$498)</f>
        <v>7043675</v>
      </c>
      <c r="N82" s="56">
        <f t="shared" si="58"/>
        <v>1052</v>
      </c>
      <c r="O82" s="51">
        <f t="shared" si="59"/>
        <v>9678241</v>
      </c>
      <c r="P82" s="13">
        <f t="shared" si="60"/>
        <v>9677189</v>
      </c>
      <c r="Q82" s="56">
        <f t="shared" si="61"/>
        <v>1052</v>
      </c>
      <c r="R82" s="13">
        <f t="shared" si="62"/>
        <v>1873.8123910939012</v>
      </c>
      <c r="S82" s="13">
        <f t="shared" si="63"/>
        <v>1873.6087124878993</v>
      </c>
      <c r="T82" s="16">
        <f t="shared" si="64"/>
        <v>0.2036786060019361</v>
      </c>
      <c r="U82" s="15">
        <f>+SUMIF('GE16FEB14 Tax Bill Unfudged'!$A$2:$A$498, 'Tax Bill Summary'!$A82, 'GE16FEB14 Tax Bill Unfudged'!E$2:E$498)</f>
        <v>443384</v>
      </c>
      <c r="V82" s="13">
        <f>+SUMIF('GE16FEB14 Tax Bill Unfudged'!$A$2:$A$498, 'Tax Bill Summary'!$A82, 'GE16FEB14 Tax Bill Unfudged'!F$2:F$498)</f>
        <v>443384</v>
      </c>
      <c r="W82" s="56">
        <f t="shared" si="65"/>
        <v>0</v>
      </c>
      <c r="X82" s="51">
        <f>+SUMIF('GE16FEB14 Tax Bill Unfudged'!$A$2:$A$498, 'Tax Bill Summary'!$A82, 'GE16FEB14 Tax Bill Unfudged'!G$2:G$498)</f>
        <v>2190130</v>
      </c>
      <c r="Y82" s="13">
        <f>+SUMIF('GE16FEB14 Tax Bill Unfudged'!$A$2:$A$498, 'Tax Bill Summary'!$A82, 'GE16FEB14 Tax Bill Unfudged'!H$2:H$498)</f>
        <v>2190130</v>
      </c>
      <c r="Z82" s="56">
        <f t="shared" si="66"/>
        <v>0</v>
      </c>
      <c r="AA82" s="51">
        <f>+SUMIF('GE16FEB14 Tax Bill Unfudged'!$A$2:$A$498, 'Tax Bill Summary'!$A82, 'GE16FEB14 Tax Bill Unfudged'!I$2:I$498)</f>
        <v>7044727</v>
      </c>
      <c r="AB82" s="13">
        <f>+SUMIF('GE16FEB14 Tax Bill Unfudged'!$A$2:$A$498, 'Tax Bill Summary'!$A82, 'GE16FEB14 Tax Bill Unfudged'!J$2:J$498)</f>
        <v>7043675</v>
      </c>
      <c r="AC82" s="56">
        <f t="shared" si="67"/>
        <v>1052</v>
      </c>
      <c r="AD82" s="51">
        <f t="shared" si="68"/>
        <v>9678241</v>
      </c>
      <c r="AE82" s="13">
        <f t="shared" si="69"/>
        <v>9677189</v>
      </c>
      <c r="AF82" s="56">
        <f t="shared" si="70"/>
        <v>1052</v>
      </c>
      <c r="AG82" s="13">
        <f t="shared" si="71"/>
        <v>1873.8123910939012</v>
      </c>
      <c r="AH82" s="13">
        <f t="shared" si="72"/>
        <v>1873.6087124878993</v>
      </c>
      <c r="AI82" s="16">
        <f t="shared" si="73"/>
        <v>0.2036786060019361</v>
      </c>
      <c r="AJ82" s="15">
        <f t="shared" si="74"/>
        <v>0</v>
      </c>
      <c r="AK82" s="13">
        <f t="shared" si="75"/>
        <v>0</v>
      </c>
      <c r="AL82" s="56">
        <f t="shared" si="76"/>
        <v>0</v>
      </c>
      <c r="AM82" s="51">
        <f t="shared" si="77"/>
        <v>0</v>
      </c>
      <c r="AN82" s="13">
        <f t="shared" si="78"/>
        <v>0</v>
      </c>
      <c r="AO82" s="56">
        <f t="shared" si="79"/>
        <v>0</v>
      </c>
      <c r="AP82" s="51">
        <f t="shared" si="80"/>
        <v>0</v>
      </c>
      <c r="AQ82" s="13">
        <f t="shared" si="81"/>
        <v>0</v>
      </c>
      <c r="AR82" s="56">
        <f t="shared" si="82"/>
        <v>0</v>
      </c>
      <c r="AS82" s="51">
        <f t="shared" si="83"/>
        <v>0</v>
      </c>
      <c r="AT82" s="13">
        <f t="shared" si="84"/>
        <v>0</v>
      </c>
      <c r="AU82" s="56">
        <f t="shared" si="85"/>
        <v>0</v>
      </c>
      <c r="AV82" s="13">
        <f t="shared" si="86"/>
        <v>0</v>
      </c>
      <c r="AW82" s="13">
        <f t="shared" si="87"/>
        <v>0</v>
      </c>
      <c r="AX82" s="16">
        <f t="shared" si="88"/>
        <v>0</v>
      </c>
    </row>
    <row r="83" spans="1:50" x14ac:dyDescent="0.25">
      <c r="A83" s="20">
        <v>199</v>
      </c>
      <c r="B83">
        <v>1</v>
      </c>
      <c r="C83" s="23" t="s">
        <v>199</v>
      </c>
      <c r="D83" s="23">
        <v>3</v>
      </c>
      <c r="E83" s="15">
        <f>+SUMIF('GE16FEB14 Unfudged'!$A$2:$A$498, $A83, 'GE16FEB14 Unfudged'!$D$2:$D$498)</f>
        <v>4200</v>
      </c>
      <c r="F83" s="15">
        <f>+SUMIF('GE16FEB14 Unfudged'!$A$2:$A$498, 'Tax Bill Summary'!$A83, 'GE16FEB14 Unfudged'!E$2:E$498)</f>
        <v>618418</v>
      </c>
      <c r="G83" s="13">
        <f>+SUMIF('GE16FEB14 Unfudged'!$A$2:$A$498, 'Tax Bill Summary'!$A83, 'GE16FEB14 Unfudged'!F$2:F$498)</f>
        <v>617040</v>
      </c>
      <c r="H83" s="56">
        <f t="shared" si="56"/>
        <v>1378</v>
      </c>
      <c r="I83" s="51">
        <f>+SUMIF('GE16FEB14 Unfudged'!$A$2:$A$498, 'Tax Bill Summary'!$A83, 'GE16FEB14 Unfudged'!G$2:G$498)</f>
        <v>1780885</v>
      </c>
      <c r="J83" s="13">
        <f>+SUMIF('GE16FEB14 Unfudged'!$A$2:$A$498, 'Tax Bill Summary'!$A83, 'GE16FEB14 Unfudged'!H$2:H$498)</f>
        <v>1776918</v>
      </c>
      <c r="K83" s="56">
        <f t="shared" si="57"/>
        <v>3967</v>
      </c>
      <c r="L83" s="51">
        <f>+SUMIF('GE16FEB14 Unfudged'!$A$2:$A$498, 'Tax Bill Summary'!$A83, 'GE16FEB14 Unfudged'!I$2:IF$498)</f>
        <v>2368871</v>
      </c>
      <c r="M83" s="13">
        <f>+SUMIF('GE16FEB14 Unfudged'!$A$2:$A$498, 'Tax Bill Summary'!$A83, 'GE16FEB14 Unfudged'!J$2:IG$498)</f>
        <v>1834977</v>
      </c>
      <c r="N83" s="56">
        <f t="shared" si="58"/>
        <v>533894</v>
      </c>
      <c r="O83" s="51">
        <f t="shared" si="59"/>
        <v>4768174</v>
      </c>
      <c r="P83" s="13">
        <f t="shared" si="60"/>
        <v>4228935</v>
      </c>
      <c r="Q83" s="56">
        <f t="shared" si="61"/>
        <v>539239</v>
      </c>
      <c r="R83" s="13">
        <f t="shared" si="62"/>
        <v>1135.2795238095239</v>
      </c>
      <c r="S83" s="13">
        <f t="shared" si="63"/>
        <v>1006.8892857142857</v>
      </c>
      <c r="T83" s="16">
        <f t="shared" si="64"/>
        <v>128.39023809523809</v>
      </c>
      <c r="U83" s="15">
        <f>+SUMIF('GE16FEB14 Tax Bill Unfudged'!$A$2:$A$498, 'Tax Bill Summary'!$A83, 'GE16FEB14 Tax Bill Unfudged'!E$2:E$498)</f>
        <v>618418</v>
      </c>
      <c r="V83" s="13">
        <f>+SUMIF('GE16FEB14 Tax Bill Unfudged'!$A$2:$A$498, 'Tax Bill Summary'!$A83, 'GE16FEB14 Tax Bill Unfudged'!F$2:F$498)</f>
        <v>617040</v>
      </c>
      <c r="W83" s="56">
        <f t="shared" si="65"/>
        <v>1378</v>
      </c>
      <c r="X83" s="51">
        <f>+SUMIF('GE16FEB14 Tax Bill Unfudged'!$A$2:$A$498, 'Tax Bill Summary'!$A83, 'GE16FEB14 Tax Bill Unfudged'!G$2:G$498)</f>
        <v>1780885</v>
      </c>
      <c r="Y83" s="13">
        <f>+SUMIF('GE16FEB14 Tax Bill Unfudged'!$A$2:$A$498, 'Tax Bill Summary'!$A83, 'GE16FEB14 Tax Bill Unfudged'!H$2:H$498)</f>
        <v>1776918</v>
      </c>
      <c r="Z83" s="56">
        <f t="shared" si="66"/>
        <v>3967</v>
      </c>
      <c r="AA83" s="51">
        <f>+SUMIF('GE16FEB14 Tax Bill Unfudged'!$A$2:$A$498, 'Tax Bill Summary'!$A83, 'GE16FEB14 Tax Bill Unfudged'!I$2:I$498)</f>
        <v>2368871</v>
      </c>
      <c r="AB83" s="13">
        <f>+SUMIF('GE16FEB14 Tax Bill Unfudged'!$A$2:$A$498, 'Tax Bill Summary'!$A83, 'GE16FEB14 Tax Bill Unfudged'!J$2:J$498)</f>
        <v>1834977</v>
      </c>
      <c r="AC83" s="56">
        <f t="shared" si="67"/>
        <v>533894</v>
      </c>
      <c r="AD83" s="51">
        <f t="shared" si="68"/>
        <v>4768174</v>
      </c>
      <c r="AE83" s="13">
        <f t="shared" si="69"/>
        <v>4228935</v>
      </c>
      <c r="AF83" s="56">
        <f t="shared" si="70"/>
        <v>539239</v>
      </c>
      <c r="AG83" s="13">
        <f t="shared" si="71"/>
        <v>1135.2795238095239</v>
      </c>
      <c r="AH83" s="13">
        <f t="shared" si="72"/>
        <v>1006.8892857142857</v>
      </c>
      <c r="AI83" s="16">
        <f t="shared" si="73"/>
        <v>128.39023809523809</v>
      </c>
      <c r="AJ83" s="15">
        <f t="shared" si="74"/>
        <v>0</v>
      </c>
      <c r="AK83" s="13">
        <f t="shared" si="75"/>
        <v>0</v>
      </c>
      <c r="AL83" s="56">
        <f t="shared" si="76"/>
        <v>0</v>
      </c>
      <c r="AM83" s="51">
        <f t="shared" si="77"/>
        <v>0</v>
      </c>
      <c r="AN83" s="13">
        <f t="shared" si="78"/>
        <v>0</v>
      </c>
      <c r="AO83" s="56">
        <f t="shared" si="79"/>
        <v>0</v>
      </c>
      <c r="AP83" s="51">
        <f t="shared" si="80"/>
        <v>0</v>
      </c>
      <c r="AQ83" s="13">
        <f t="shared" si="81"/>
        <v>0</v>
      </c>
      <c r="AR83" s="56">
        <f t="shared" si="82"/>
        <v>0</v>
      </c>
      <c r="AS83" s="51">
        <f t="shared" si="83"/>
        <v>0</v>
      </c>
      <c r="AT83" s="13">
        <f t="shared" si="84"/>
        <v>0</v>
      </c>
      <c r="AU83" s="56">
        <f t="shared" si="85"/>
        <v>0</v>
      </c>
      <c r="AV83" s="13">
        <f t="shared" si="86"/>
        <v>0</v>
      </c>
      <c r="AW83" s="13">
        <f t="shared" si="87"/>
        <v>0</v>
      </c>
      <c r="AX83" s="16">
        <f t="shared" si="88"/>
        <v>0</v>
      </c>
    </row>
    <row r="84" spans="1:50" x14ac:dyDescent="0.25">
      <c r="A84" s="20">
        <v>200</v>
      </c>
      <c r="B84">
        <v>1</v>
      </c>
      <c r="C84" s="23" t="s">
        <v>200</v>
      </c>
      <c r="D84" s="23">
        <v>3</v>
      </c>
      <c r="E84" s="15">
        <f>+SUMIF('GE16FEB14 Unfudged'!$A$2:$A$498, $A84, 'GE16FEB14 Unfudged'!$D$2:$D$498)</f>
        <v>4896</v>
      </c>
      <c r="F84" s="15">
        <f>+SUMIF('GE16FEB14 Unfudged'!$A$2:$A$498, 'Tax Bill Summary'!$A84, 'GE16FEB14 Unfudged'!E$2:E$498)</f>
        <v>468940</v>
      </c>
      <c r="G84" s="13">
        <f>+SUMIF('GE16FEB14 Unfudged'!$A$2:$A$498, 'Tax Bill Summary'!$A84, 'GE16FEB14 Unfudged'!F$2:F$498)</f>
        <v>426879</v>
      </c>
      <c r="H84" s="56">
        <f t="shared" si="56"/>
        <v>42061</v>
      </c>
      <c r="I84" s="51">
        <f>+SUMIF('GE16FEB14 Unfudged'!$A$2:$A$498, 'Tax Bill Summary'!$A84, 'GE16FEB14 Unfudged'!G$2:G$498)</f>
        <v>2075904</v>
      </c>
      <c r="J84" s="13">
        <f>+SUMIF('GE16FEB14 Unfudged'!$A$2:$A$498, 'Tax Bill Summary'!$A84, 'GE16FEB14 Unfudged'!H$2:H$498)</f>
        <v>1889707</v>
      </c>
      <c r="K84" s="56">
        <f t="shared" si="57"/>
        <v>186197</v>
      </c>
      <c r="L84" s="51">
        <f>+SUMIF('GE16FEB14 Unfudged'!$A$2:$A$498, 'Tax Bill Summary'!$A84, 'GE16FEB14 Unfudged'!I$2:IF$498)</f>
        <v>6043133</v>
      </c>
      <c r="M84" s="13">
        <f>+SUMIF('GE16FEB14 Unfudged'!$A$2:$A$498, 'Tax Bill Summary'!$A84, 'GE16FEB14 Unfudged'!J$2:IG$498)</f>
        <v>5147212</v>
      </c>
      <c r="N84" s="56">
        <f t="shared" si="58"/>
        <v>895921</v>
      </c>
      <c r="O84" s="51">
        <f t="shared" si="59"/>
        <v>8587977</v>
      </c>
      <c r="P84" s="13">
        <f t="shared" si="60"/>
        <v>7463798</v>
      </c>
      <c r="Q84" s="56">
        <f t="shared" si="61"/>
        <v>1124179</v>
      </c>
      <c r="R84" s="13">
        <f t="shared" si="62"/>
        <v>1754.0802696078431</v>
      </c>
      <c r="S84" s="13">
        <f t="shared" si="63"/>
        <v>1524.4685457516339</v>
      </c>
      <c r="T84" s="16">
        <f t="shared" si="64"/>
        <v>229.61172385620915</v>
      </c>
      <c r="U84" s="15">
        <f>+SUMIF('GE16FEB14 Tax Bill Unfudged'!$A$2:$A$498, 'Tax Bill Summary'!$A84, 'GE16FEB14 Tax Bill Unfudged'!E$2:E$498)</f>
        <v>468940</v>
      </c>
      <c r="V84" s="13">
        <f>+SUMIF('GE16FEB14 Tax Bill Unfudged'!$A$2:$A$498, 'Tax Bill Summary'!$A84, 'GE16FEB14 Tax Bill Unfudged'!F$2:F$498)</f>
        <v>426879</v>
      </c>
      <c r="W84" s="56">
        <f t="shared" si="65"/>
        <v>42061</v>
      </c>
      <c r="X84" s="51">
        <f>+SUMIF('GE16FEB14 Tax Bill Unfudged'!$A$2:$A$498, 'Tax Bill Summary'!$A84, 'GE16FEB14 Tax Bill Unfudged'!G$2:G$498)</f>
        <v>2075904</v>
      </c>
      <c r="Y84" s="13">
        <f>+SUMIF('GE16FEB14 Tax Bill Unfudged'!$A$2:$A$498, 'Tax Bill Summary'!$A84, 'GE16FEB14 Tax Bill Unfudged'!H$2:H$498)</f>
        <v>1889707</v>
      </c>
      <c r="Z84" s="56">
        <f t="shared" si="66"/>
        <v>186197</v>
      </c>
      <c r="AA84" s="51">
        <f>+SUMIF('GE16FEB14 Tax Bill Unfudged'!$A$2:$A$498, 'Tax Bill Summary'!$A84, 'GE16FEB14 Tax Bill Unfudged'!I$2:I$498)</f>
        <v>6043133</v>
      </c>
      <c r="AB84" s="13">
        <f>+SUMIF('GE16FEB14 Tax Bill Unfudged'!$A$2:$A$498, 'Tax Bill Summary'!$A84, 'GE16FEB14 Tax Bill Unfudged'!J$2:J$498)</f>
        <v>5147212</v>
      </c>
      <c r="AC84" s="56">
        <f t="shared" si="67"/>
        <v>895921</v>
      </c>
      <c r="AD84" s="51">
        <f t="shared" si="68"/>
        <v>8587977</v>
      </c>
      <c r="AE84" s="13">
        <f t="shared" si="69"/>
        <v>7463798</v>
      </c>
      <c r="AF84" s="56">
        <f t="shared" si="70"/>
        <v>1124179</v>
      </c>
      <c r="AG84" s="13">
        <f t="shared" si="71"/>
        <v>1754.0802696078431</v>
      </c>
      <c r="AH84" s="13">
        <f t="shared" si="72"/>
        <v>1524.4685457516339</v>
      </c>
      <c r="AI84" s="16">
        <f t="shared" si="73"/>
        <v>229.61172385620915</v>
      </c>
      <c r="AJ84" s="15">
        <f t="shared" si="74"/>
        <v>0</v>
      </c>
      <c r="AK84" s="13">
        <f t="shared" si="75"/>
        <v>0</v>
      </c>
      <c r="AL84" s="56">
        <f t="shared" si="76"/>
        <v>0</v>
      </c>
      <c r="AM84" s="51">
        <f t="shared" si="77"/>
        <v>0</v>
      </c>
      <c r="AN84" s="13">
        <f t="shared" si="78"/>
        <v>0</v>
      </c>
      <c r="AO84" s="56">
        <f t="shared" si="79"/>
        <v>0</v>
      </c>
      <c r="AP84" s="51">
        <f t="shared" si="80"/>
        <v>0</v>
      </c>
      <c r="AQ84" s="13">
        <f t="shared" si="81"/>
        <v>0</v>
      </c>
      <c r="AR84" s="56">
        <f t="shared" si="82"/>
        <v>0</v>
      </c>
      <c r="AS84" s="51">
        <f t="shared" si="83"/>
        <v>0</v>
      </c>
      <c r="AT84" s="13">
        <f t="shared" si="84"/>
        <v>0</v>
      </c>
      <c r="AU84" s="56">
        <f t="shared" si="85"/>
        <v>0</v>
      </c>
      <c r="AV84" s="13">
        <f t="shared" si="86"/>
        <v>0</v>
      </c>
      <c r="AW84" s="13">
        <f t="shared" si="87"/>
        <v>0</v>
      </c>
      <c r="AX84" s="16">
        <f t="shared" si="88"/>
        <v>0</v>
      </c>
    </row>
    <row r="85" spans="1:50" x14ac:dyDescent="0.25">
      <c r="A85" s="20">
        <v>203</v>
      </c>
      <c r="B85">
        <v>1</v>
      </c>
      <c r="C85" s="23" t="s">
        <v>201</v>
      </c>
      <c r="D85" s="23">
        <v>6</v>
      </c>
      <c r="E85" s="15">
        <f>+SUMIF('GE16FEB14 Unfudged'!$A$2:$A$498, $A85, 'GE16FEB14 Unfudged'!$D$2:$D$498)</f>
        <v>798</v>
      </c>
      <c r="F85" s="15">
        <f>+SUMIF('GE16FEB14 Unfudged'!$A$2:$A$498, 'Tax Bill Summary'!$A85, 'GE16FEB14 Unfudged'!E$2:E$498)</f>
        <v>86860</v>
      </c>
      <c r="G85" s="13">
        <f>+SUMIF('GE16FEB14 Unfudged'!$A$2:$A$498, 'Tax Bill Summary'!$A85, 'GE16FEB14 Unfudged'!F$2:F$498)</f>
        <v>52387</v>
      </c>
      <c r="H85" s="56">
        <f t="shared" si="56"/>
        <v>34473</v>
      </c>
      <c r="I85" s="51">
        <f>+SUMIF('GE16FEB14 Unfudged'!$A$2:$A$498, 'Tax Bill Summary'!$A85, 'GE16FEB14 Unfudged'!G$2:G$498)</f>
        <v>0</v>
      </c>
      <c r="J85" s="13">
        <f>+SUMIF('GE16FEB14 Unfudged'!$A$2:$A$498, 'Tax Bill Summary'!$A85, 'GE16FEB14 Unfudged'!H$2:H$498)</f>
        <v>0</v>
      </c>
      <c r="K85" s="56">
        <f t="shared" si="57"/>
        <v>0</v>
      </c>
      <c r="L85" s="51">
        <f>+SUMIF('GE16FEB14 Unfudged'!$A$2:$A$498, 'Tax Bill Summary'!$A85, 'GE16FEB14 Unfudged'!I$2:IF$498)</f>
        <v>850763</v>
      </c>
      <c r="M85" s="13">
        <f>+SUMIF('GE16FEB14 Unfudged'!$A$2:$A$498, 'Tax Bill Summary'!$A85, 'GE16FEB14 Unfudged'!J$2:IG$498)</f>
        <v>549412</v>
      </c>
      <c r="N85" s="56">
        <f t="shared" si="58"/>
        <v>301351</v>
      </c>
      <c r="O85" s="51">
        <f t="shared" si="59"/>
        <v>937623</v>
      </c>
      <c r="P85" s="13">
        <f t="shared" si="60"/>
        <v>601799</v>
      </c>
      <c r="Q85" s="56">
        <f t="shared" si="61"/>
        <v>335824</v>
      </c>
      <c r="R85" s="13">
        <f t="shared" si="62"/>
        <v>1174.9661654135339</v>
      </c>
      <c r="S85" s="13">
        <f t="shared" si="63"/>
        <v>754.13408521303256</v>
      </c>
      <c r="T85" s="16">
        <f t="shared" si="64"/>
        <v>420.83208020050125</v>
      </c>
      <c r="U85" s="15">
        <f>+SUMIF('GE16FEB14 Tax Bill Unfudged'!$A$2:$A$498, 'Tax Bill Summary'!$A85, 'GE16FEB14 Tax Bill Unfudged'!E$2:E$498)</f>
        <v>98350</v>
      </c>
      <c r="V85" s="13">
        <f>+SUMIF('GE16FEB14 Tax Bill Unfudged'!$A$2:$A$498, 'Tax Bill Summary'!$A85, 'GE16FEB14 Tax Bill Unfudged'!F$2:F$498)</f>
        <v>59317</v>
      </c>
      <c r="W85" s="56">
        <f t="shared" si="65"/>
        <v>39033</v>
      </c>
      <c r="X85" s="51">
        <f>+SUMIF('GE16FEB14 Tax Bill Unfudged'!$A$2:$A$498, 'Tax Bill Summary'!$A85, 'GE16FEB14 Tax Bill Unfudged'!G$2:G$498)</f>
        <v>338288</v>
      </c>
      <c r="Y85" s="13">
        <f>+SUMIF('GE16FEB14 Tax Bill Unfudged'!$A$2:$A$498, 'Tax Bill Summary'!$A85, 'GE16FEB14 Tax Bill Unfudged'!H$2:H$498)</f>
        <v>204028</v>
      </c>
      <c r="Z85" s="56">
        <f t="shared" si="66"/>
        <v>134260</v>
      </c>
      <c r="AA85" s="51">
        <f>+SUMIF('GE16FEB14 Tax Bill Unfudged'!$A$2:$A$498, 'Tax Bill Summary'!$A85, 'GE16FEB14 Tax Bill Unfudged'!I$2:I$498)</f>
        <v>512475</v>
      </c>
      <c r="AB85" s="13">
        <f>+SUMIF('GE16FEB14 Tax Bill Unfudged'!$A$2:$A$498, 'Tax Bill Summary'!$A85, 'GE16FEB14 Tax Bill Unfudged'!J$2:J$498)</f>
        <v>248387</v>
      </c>
      <c r="AC85" s="56">
        <f t="shared" si="67"/>
        <v>264088</v>
      </c>
      <c r="AD85" s="51">
        <f t="shared" si="68"/>
        <v>949113</v>
      </c>
      <c r="AE85" s="13">
        <f t="shared" si="69"/>
        <v>511732</v>
      </c>
      <c r="AF85" s="56">
        <f t="shared" si="70"/>
        <v>437381</v>
      </c>
      <c r="AG85" s="13">
        <f t="shared" si="71"/>
        <v>1189.3646616541353</v>
      </c>
      <c r="AH85" s="13">
        <f t="shared" si="72"/>
        <v>641.26817042606513</v>
      </c>
      <c r="AI85" s="16">
        <f t="shared" si="73"/>
        <v>548.09649122807014</v>
      </c>
      <c r="AJ85" s="15">
        <f t="shared" si="74"/>
        <v>11490</v>
      </c>
      <c r="AK85" s="13">
        <f t="shared" si="75"/>
        <v>6930</v>
      </c>
      <c r="AL85" s="56">
        <f t="shared" si="76"/>
        <v>4560</v>
      </c>
      <c r="AM85" s="51">
        <f t="shared" si="77"/>
        <v>338288</v>
      </c>
      <c r="AN85" s="13">
        <f t="shared" si="78"/>
        <v>204028</v>
      </c>
      <c r="AO85" s="56">
        <f t="shared" si="79"/>
        <v>134260</v>
      </c>
      <c r="AP85" s="51">
        <f t="shared" si="80"/>
        <v>-338288</v>
      </c>
      <c r="AQ85" s="13">
        <f t="shared" si="81"/>
        <v>-301025</v>
      </c>
      <c r="AR85" s="56">
        <f t="shared" si="82"/>
        <v>-37263</v>
      </c>
      <c r="AS85" s="51">
        <f t="shared" si="83"/>
        <v>11490</v>
      </c>
      <c r="AT85" s="13">
        <f t="shared" si="84"/>
        <v>-90067</v>
      </c>
      <c r="AU85" s="56">
        <f t="shared" si="85"/>
        <v>101557</v>
      </c>
      <c r="AV85" s="13">
        <f t="shared" si="86"/>
        <v>14.398496240601389</v>
      </c>
      <c r="AW85" s="13">
        <f t="shared" si="87"/>
        <v>-112.86591478696744</v>
      </c>
      <c r="AX85" s="16">
        <f t="shared" si="88"/>
        <v>127.26441102756888</v>
      </c>
    </row>
    <row r="86" spans="1:50" x14ac:dyDescent="0.25">
      <c r="A86" s="20">
        <v>204</v>
      </c>
      <c r="B86">
        <v>1</v>
      </c>
      <c r="C86" s="23" t="s">
        <v>202</v>
      </c>
      <c r="D86" s="23">
        <v>4</v>
      </c>
      <c r="E86" s="15">
        <f>+SUMIF('GE16FEB14 Unfudged'!$A$2:$A$498, $A86, 'GE16FEB14 Unfudged'!$D$2:$D$498)</f>
        <v>2270</v>
      </c>
      <c r="F86" s="15">
        <f>+SUMIF('GE16FEB14 Unfudged'!$A$2:$A$498, 'Tax Bill Summary'!$A86, 'GE16FEB14 Unfudged'!E$2:E$498)</f>
        <v>326909</v>
      </c>
      <c r="G86" s="13">
        <f>+SUMIF('GE16FEB14 Unfudged'!$A$2:$A$498, 'Tax Bill Summary'!$A86, 'GE16FEB14 Unfudged'!F$2:F$498)</f>
        <v>171628</v>
      </c>
      <c r="H86" s="56">
        <f t="shared" ref="H86:H149" si="89">+F86-G86</f>
        <v>155281</v>
      </c>
      <c r="I86" s="51">
        <f>+SUMIF('GE16FEB14 Unfudged'!$A$2:$A$498, 'Tax Bill Summary'!$A86, 'GE16FEB14 Unfudged'!G$2:G$498)</f>
        <v>481282</v>
      </c>
      <c r="J86" s="13">
        <f>+SUMIF('GE16FEB14 Unfudged'!$A$2:$A$498, 'Tax Bill Summary'!$A86, 'GE16FEB14 Unfudged'!H$2:H$498)</f>
        <v>252674</v>
      </c>
      <c r="K86" s="56">
        <f t="shared" ref="K86:K149" si="90">+I86-J86</f>
        <v>228608</v>
      </c>
      <c r="L86" s="51">
        <f>+SUMIF('GE16FEB14 Unfudged'!$A$2:$A$498, 'Tax Bill Summary'!$A86, 'GE16FEB14 Unfudged'!I$2:IF$498)</f>
        <v>681060</v>
      </c>
      <c r="M86" s="13">
        <f>+SUMIF('GE16FEB14 Unfudged'!$A$2:$A$498, 'Tax Bill Summary'!$A86, 'GE16FEB14 Unfudged'!J$2:IG$498)</f>
        <v>207221</v>
      </c>
      <c r="N86" s="56">
        <f t="shared" ref="N86:N149" si="91">+L86-M86</f>
        <v>473839</v>
      </c>
      <c r="O86" s="51">
        <f t="shared" ref="O86:O149" si="92">+F86+I86+L86</f>
        <v>1489251</v>
      </c>
      <c r="P86" s="13">
        <f t="shared" ref="P86:P149" si="93">+G86+J86+M86</f>
        <v>631523</v>
      </c>
      <c r="Q86" s="56">
        <f t="shared" ref="Q86:Q149" si="94">+H86+K86+N86</f>
        <v>857728</v>
      </c>
      <c r="R86" s="13">
        <f t="shared" ref="R86:R149" si="95">+IF($E86=0, 0, O86/$E86)</f>
        <v>656.0577092511013</v>
      </c>
      <c r="S86" s="13">
        <f t="shared" ref="S86:S149" si="96">+IF($E86=0, 0, P86/$E86)</f>
        <v>278.20396475770923</v>
      </c>
      <c r="T86" s="16">
        <f t="shared" ref="T86:T149" si="97">+IF($E86=0, 0, Q86/$E86)</f>
        <v>377.85374449339207</v>
      </c>
      <c r="U86" s="15">
        <f>+SUMIF('GE16FEB14 Tax Bill Unfudged'!$A$2:$A$498, 'Tax Bill Summary'!$A86, 'GE16FEB14 Tax Bill Unfudged'!E$2:E$498)</f>
        <v>326909</v>
      </c>
      <c r="V86" s="13">
        <f>+SUMIF('GE16FEB14 Tax Bill Unfudged'!$A$2:$A$498, 'Tax Bill Summary'!$A86, 'GE16FEB14 Tax Bill Unfudged'!F$2:F$498)</f>
        <v>171628</v>
      </c>
      <c r="W86" s="56">
        <f t="shared" ref="W86:W149" si="98">+U86-V86</f>
        <v>155281</v>
      </c>
      <c r="X86" s="51">
        <f>+SUMIF('GE16FEB14 Tax Bill Unfudged'!$A$2:$A$498, 'Tax Bill Summary'!$A86, 'GE16FEB14 Tax Bill Unfudged'!G$2:G$498)</f>
        <v>962565</v>
      </c>
      <c r="Y86" s="13">
        <f>+SUMIF('GE16FEB14 Tax Bill Unfudged'!$A$2:$A$498, 'Tax Bill Summary'!$A86, 'GE16FEB14 Tax Bill Unfudged'!H$2:H$498)</f>
        <v>505349</v>
      </c>
      <c r="Z86" s="56">
        <f t="shared" ref="Z86:Z149" si="99">+X86-Y86</f>
        <v>457216</v>
      </c>
      <c r="AA86" s="51">
        <f>+SUMIF('GE16FEB14 Tax Bill Unfudged'!$A$2:$A$498, 'Tax Bill Summary'!$A86, 'GE16FEB14 Tax Bill Unfudged'!I$2:I$498)</f>
        <v>681060</v>
      </c>
      <c r="AB86" s="13">
        <f>+SUMIF('GE16FEB14 Tax Bill Unfudged'!$A$2:$A$498, 'Tax Bill Summary'!$A86, 'GE16FEB14 Tax Bill Unfudged'!J$2:J$498)</f>
        <v>207221</v>
      </c>
      <c r="AC86" s="56">
        <f t="shared" ref="AC86:AC149" si="100">+AA86-AB86</f>
        <v>473839</v>
      </c>
      <c r="AD86" s="51">
        <f t="shared" ref="AD86:AD149" si="101">+U86+X86+AA86</f>
        <v>1970534</v>
      </c>
      <c r="AE86" s="13">
        <f t="shared" ref="AE86:AE149" si="102">+V86+Y86+AB86</f>
        <v>884198</v>
      </c>
      <c r="AF86" s="56">
        <f t="shared" ref="AF86:AF149" si="103">+W86+Z86+AC86</f>
        <v>1086336</v>
      </c>
      <c r="AG86" s="13">
        <f t="shared" ref="AG86:AG149" si="104">+IF($E86=0, 0, AD86/$E86)</f>
        <v>868.07665198237885</v>
      </c>
      <c r="AH86" s="13">
        <f t="shared" ref="AH86:AH149" si="105">+IF($E86=0, 0, AE86/$E86)</f>
        <v>389.51453744493392</v>
      </c>
      <c r="AI86" s="16">
        <f t="shared" ref="AI86:AI149" si="106">+IF($E86=0, 0, AF86/$E86)</f>
        <v>478.56211453744493</v>
      </c>
      <c r="AJ86" s="15">
        <f t="shared" ref="AJ86:AJ149" si="107">+U86-F86</f>
        <v>0</v>
      </c>
      <c r="AK86" s="13">
        <f t="shared" ref="AK86:AK149" si="108">+V86-G86</f>
        <v>0</v>
      </c>
      <c r="AL86" s="56">
        <f t="shared" ref="AL86:AL149" si="109">+W86-H86</f>
        <v>0</v>
      </c>
      <c r="AM86" s="51">
        <f t="shared" ref="AM86:AM149" si="110">+X86-I86</f>
        <v>481283</v>
      </c>
      <c r="AN86" s="13">
        <f t="shared" ref="AN86:AN149" si="111">+Y86-J86</f>
        <v>252675</v>
      </c>
      <c r="AO86" s="56">
        <f t="shared" ref="AO86:AO149" si="112">+Z86-K86</f>
        <v>228608</v>
      </c>
      <c r="AP86" s="51">
        <f t="shared" ref="AP86:AP149" si="113">+AA86-L86</f>
        <v>0</v>
      </c>
      <c r="AQ86" s="13">
        <f t="shared" ref="AQ86:AQ149" si="114">+AB86-M86</f>
        <v>0</v>
      </c>
      <c r="AR86" s="56">
        <f t="shared" ref="AR86:AR149" si="115">+AC86-N86</f>
        <v>0</v>
      </c>
      <c r="AS86" s="51">
        <f t="shared" ref="AS86:AS149" si="116">+AD86-O86</f>
        <v>481283</v>
      </c>
      <c r="AT86" s="13">
        <f t="shared" ref="AT86:AT149" si="117">+AE86-P86</f>
        <v>252675</v>
      </c>
      <c r="AU86" s="56">
        <f t="shared" ref="AU86:AU149" si="118">+AF86-Q86</f>
        <v>228608</v>
      </c>
      <c r="AV86" s="13">
        <f t="shared" ref="AV86:AV149" si="119">+AG86-R86</f>
        <v>212.01894273127755</v>
      </c>
      <c r="AW86" s="13">
        <f t="shared" ref="AW86:AW149" si="120">+AH86-S86</f>
        <v>111.31057268722469</v>
      </c>
      <c r="AX86" s="16">
        <f t="shared" ref="AX86:AX149" si="121">+AI86-T86</f>
        <v>100.70837004405286</v>
      </c>
    </row>
    <row r="87" spans="1:50" x14ac:dyDescent="0.25">
      <c r="A87" s="20">
        <v>206</v>
      </c>
      <c r="B87">
        <v>1</v>
      </c>
      <c r="C87" s="23" t="s">
        <v>203</v>
      </c>
      <c r="D87" s="23">
        <v>4</v>
      </c>
      <c r="E87" s="15">
        <f>+SUMIF('GE16FEB14 Unfudged'!$A$2:$A$498, $A87, 'GE16FEB14 Unfudged'!$D$2:$D$498)</f>
        <v>4192</v>
      </c>
      <c r="F87" s="15">
        <f>+SUMIF('GE16FEB14 Unfudged'!$A$2:$A$498, 'Tax Bill Summary'!$A87, 'GE16FEB14 Unfudged'!E$2:E$498)</f>
        <v>603613</v>
      </c>
      <c r="G87" s="13">
        <f>+SUMIF('GE16FEB14 Unfudged'!$A$2:$A$498, 'Tax Bill Summary'!$A87, 'GE16FEB14 Unfudged'!F$2:F$498)</f>
        <v>603613</v>
      </c>
      <c r="H87" s="56">
        <f t="shared" si="89"/>
        <v>0</v>
      </c>
      <c r="I87" s="51">
        <f>+SUMIF('GE16FEB14 Unfudged'!$A$2:$A$498, 'Tax Bill Summary'!$A87, 'GE16FEB14 Unfudged'!G$2:G$498)</f>
        <v>888651</v>
      </c>
      <c r="J87" s="13">
        <f>+SUMIF('GE16FEB14 Unfudged'!$A$2:$A$498, 'Tax Bill Summary'!$A87, 'GE16FEB14 Unfudged'!H$2:H$498)</f>
        <v>888651</v>
      </c>
      <c r="K87" s="56">
        <f t="shared" si="90"/>
        <v>0</v>
      </c>
      <c r="L87" s="51">
        <f>+SUMIF('GE16FEB14 Unfudged'!$A$2:$A$498, 'Tax Bill Summary'!$A87, 'GE16FEB14 Unfudged'!I$2:IF$498)</f>
        <v>1257525</v>
      </c>
      <c r="M87" s="13">
        <f>+SUMIF('GE16FEB14 Unfudged'!$A$2:$A$498, 'Tax Bill Summary'!$A87, 'GE16FEB14 Unfudged'!J$2:IG$498)</f>
        <v>871552</v>
      </c>
      <c r="N87" s="56">
        <f t="shared" si="91"/>
        <v>385973</v>
      </c>
      <c r="O87" s="51">
        <f t="shared" si="92"/>
        <v>2749789</v>
      </c>
      <c r="P87" s="13">
        <f t="shared" si="93"/>
        <v>2363816</v>
      </c>
      <c r="Q87" s="56">
        <f t="shared" si="94"/>
        <v>385973</v>
      </c>
      <c r="R87" s="13">
        <f t="shared" si="95"/>
        <v>655.96111641221376</v>
      </c>
      <c r="S87" s="13">
        <f t="shared" si="96"/>
        <v>563.88740458015263</v>
      </c>
      <c r="T87" s="16">
        <f t="shared" si="97"/>
        <v>92.073711832061065</v>
      </c>
      <c r="U87" s="15">
        <f>+SUMIF('GE16FEB14 Tax Bill Unfudged'!$A$2:$A$498, 'Tax Bill Summary'!$A87, 'GE16FEB14 Tax Bill Unfudged'!E$2:E$498)</f>
        <v>603613</v>
      </c>
      <c r="V87" s="13">
        <f>+SUMIF('GE16FEB14 Tax Bill Unfudged'!$A$2:$A$498, 'Tax Bill Summary'!$A87, 'GE16FEB14 Tax Bill Unfudged'!F$2:F$498)</f>
        <v>603613</v>
      </c>
      <c r="W87" s="56">
        <f t="shared" si="98"/>
        <v>0</v>
      </c>
      <c r="X87" s="51">
        <f>+SUMIF('GE16FEB14 Tax Bill Unfudged'!$A$2:$A$498, 'Tax Bill Summary'!$A87, 'GE16FEB14 Tax Bill Unfudged'!G$2:G$498)</f>
        <v>1777302</v>
      </c>
      <c r="Y87" s="13">
        <f>+SUMIF('GE16FEB14 Tax Bill Unfudged'!$A$2:$A$498, 'Tax Bill Summary'!$A87, 'GE16FEB14 Tax Bill Unfudged'!H$2:H$498)</f>
        <v>1777302</v>
      </c>
      <c r="Z87" s="56">
        <f t="shared" si="99"/>
        <v>0</v>
      </c>
      <c r="AA87" s="51">
        <f>+SUMIF('GE16FEB14 Tax Bill Unfudged'!$A$2:$A$498, 'Tax Bill Summary'!$A87, 'GE16FEB14 Tax Bill Unfudged'!I$2:I$498)</f>
        <v>1257525</v>
      </c>
      <c r="AB87" s="13">
        <f>+SUMIF('GE16FEB14 Tax Bill Unfudged'!$A$2:$A$498, 'Tax Bill Summary'!$A87, 'GE16FEB14 Tax Bill Unfudged'!J$2:J$498)</f>
        <v>871552</v>
      </c>
      <c r="AC87" s="56">
        <f t="shared" si="100"/>
        <v>385973</v>
      </c>
      <c r="AD87" s="51">
        <f t="shared" si="101"/>
        <v>3638440</v>
      </c>
      <c r="AE87" s="13">
        <f t="shared" si="102"/>
        <v>3252467</v>
      </c>
      <c r="AF87" s="56">
        <f t="shared" si="103"/>
        <v>385973</v>
      </c>
      <c r="AG87" s="13">
        <f t="shared" si="104"/>
        <v>867.94847328244271</v>
      </c>
      <c r="AH87" s="13">
        <f t="shared" si="105"/>
        <v>775.8747614503817</v>
      </c>
      <c r="AI87" s="16">
        <f t="shared" si="106"/>
        <v>92.073711832061065</v>
      </c>
      <c r="AJ87" s="15">
        <f t="shared" si="107"/>
        <v>0</v>
      </c>
      <c r="AK87" s="13">
        <f t="shared" si="108"/>
        <v>0</v>
      </c>
      <c r="AL87" s="56">
        <f t="shared" si="109"/>
        <v>0</v>
      </c>
      <c r="AM87" s="51">
        <f t="shared" si="110"/>
        <v>888651</v>
      </c>
      <c r="AN87" s="13">
        <f t="shared" si="111"/>
        <v>888651</v>
      </c>
      <c r="AO87" s="56">
        <f t="shared" si="112"/>
        <v>0</v>
      </c>
      <c r="AP87" s="51">
        <f t="shared" si="113"/>
        <v>0</v>
      </c>
      <c r="AQ87" s="13">
        <f t="shared" si="114"/>
        <v>0</v>
      </c>
      <c r="AR87" s="56">
        <f t="shared" si="115"/>
        <v>0</v>
      </c>
      <c r="AS87" s="51">
        <f t="shared" si="116"/>
        <v>888651</v>
      </c>
      <c r="AT87" s="13">
        <f t="shared" si="117"/>
        <v>888651</v>
      </c>
      <c r="AU87" s="56">
        <f t="shared" si="118"/>
        <v>0</v>
      </c>
      <c r="AV87" s="13">
        <f t="shared" si="119"/>
        <v>211.98735687022895</v>
      </c>
      <c r="AW87" s="13">
        <f t="shared" si="120"/>
        <v>211.98735687022906</v>
      </c>
      <c r="AX87" s="16">
        <f t="shared" si="121"/>
        <v>0</v>
      </c>
    </row>
    <row r="88" spans="1:50" x14ac:dyDescent="0.25">
      <c r="A88" s="20">
        <v>213</v>
      </c>
      <c r="B88">
        <v>1</v>
      </c>
      <c r="C88" s="23" t="s">
        <v>204</v>
      </c>
      <c r="D88" s="23">
        <v>6</v>
      </c>
      <c r="E88" s="15">
        <f>+SUMIF('GE16FEB14 Unfudged'!$A$2:$A$498, $A88, 'GE16FEB14 Unfudged'!$D$2:$D$498)</f>
        <v>927</v>
      </c>
      <c r="F88" s="15">
        <f>+SUMIF('GE16FEB14 Unfudged'!$A$2:$A$498, 'Tax Bill Summary'!$A88, 'GE16FEB14 Unfudged'!E$2:E$498)</f>
        <v>133430</v>
      </c>
      <c r="G88" s="13">
        <f>+SUMIF('GE16FEB14 Unfudged'!$A$2:$A$498, 'Tax Bill Summary'!$A88, 'GE16FEB14 Unfudged'!F$2:F$498)</f>
        <v>75037</v>
      </c>
      <c r="H88" s="56">
        <f t="shared" si="89"/>
        <v>58393</v>
      </c>
      <c r="I88" s="51">
        <f>+SUMIF('GE16FEB14 Unfudged'!$A$2:$A$498, 'Tax Bill Summary'!$A88, 'GE16FEB14 Unfudged'!G$2:G$498)</f>
        <v>0</v>
      </c>
      <c r="J88" s="13">
        <f>+SUMIF('GE16FEB14 Unfudged'!$A$2:$A$498, 'Tax Bill Summary'!$A88, 'GE16FEB14 Unfudged'!H$2:H$498)</f>
        <v>0</v>
      </c>
      <c r="K88" s="56">
        <f t="shared" si="90"/>
        <v>0</v>
      </c>
      <c r="L88" s="51">
        <f>+SUMIF('GE16FEB14 Unfudged'!$A$2:$A$498, 'Tax Bill Summary'!$A88, 'GE16FEB14 Unfudged'!I$2:IF$498)</f>
        <v>277980</v>
      </c>
      <c r="M88" s="13">
        <f>+SUMIF('GE16FEB14 Unfudged'!$A$2:$A$498, 'Tax Bill Summary'!$A88, 'GE16FEB14 Unfudged'!J$2:IG$498)</f>
        <v>90599</v>
      </c>
      <c r="N88" s="56">
        <f t="shared" si="91"/>
        <v>187381</v>
      </c>
      <c r="O88" s="51">
        <f t="shared" si="92"/>
        <v>411410</v>
      </c>
      <c r="P88" s="13">
        <f t="shared" si="93"/>
        <v>165636</v>
      </c>
      <c r="Q88" s="56">
        <f t="shared" si="94"/>
        <v>245774</v>
      </c>
      <c r="R88" s="13">
        <f t="shared" si="95"/>
        <v>443.8079827400216</v>
      </c>
      <c r="S88" s="13">
        <f t="shared" si="96"/>
        <v>178.67961165048544</v>
      </c>
      <c r="T88" s="16">
        <f t="shared" si="97"/>
        <v>265.12837108953613</v>
      </c>
      <c r="U88" s="15">
        <f>+SUMIF('GE16FEB14 Tax Bill Unfudged'!$A$2:$A$498, 'Tax Bill Summary'!$A88, 'GE16FEB14 Tax Bill Unfudged'!E$2:E$498)</f>
        <v>133430</v>
      </c>
      <c r="V88" s="13">
        <f>+SUMIF('GE16FEB14 Tax Bill Unfudged'!$A$2:$A$498, 'Tax Bill Summary'!$A88, 'GE16FEB14 Tax Bill Unfudged'!F$2:F$498)</f>
        <v>75037</v>
      </c>
      <c r="W88" s="56">
        <f t="shared" si="98"/>
        <v>58393</v>
      </c>
      <c r="X88" s="51">
        <f>+SUMIF('GE16FEB14 Tax Bill Unfudged'!$A$2:$A$498, 'Tax Bill Summary'!$A88, 'GE16FEB14 Tax Bill Unfudged'!G$2:G$498)</f>
        <v>392878</v>
      </c>
      <c r="Y88" s="13">
        <f>+SUMIF('GE16FEB14 Tax Bill Unfudged'!$A$2:$A$498, 'Tax Bill Summary'!$A88, 'GE16FEB14 Tax Bill Unfudged'!H$2:H$498)</f>
        <v>220944</v>
      </c>
      <c r="Z88" s="56">
        <f t="shared" si="99"/>
        <v>171934</v>
      </c>
      <c r="AA88" s="51">
        <f>+SUMIF('GE16FEB14 Tax Bill Unfudged'!$A$2:$A$498, 'Tax Bill Summary'!$A88, 'GE16FEB14 Tax Bill Unfudged'!I$2:I$498)</f>
        <v>277980</v>
      </c>
      <c r="AB88" s="13">
        <f>+SUMIF('GE16FEB14 Tax Bill Unfudged'!$A$2:$A$498, 'Tax Bill Summary'!$A88, 'GE16FEB14 Tax Bill Unfudged'!J$2:J$498)</f>
        <v>90599</v>
      </c>
      <c r="AC88" s="56">
        <f t="shared" si="100"/>
        <v>187381</v>
      </c>
      <c r="AD88" s="51">
        <f t="shared" si="101"/>
        <v>804288</v>
      </c>
      <c r="AE88" s="13">
        <f t="shared" si="102"/>
        <v>386580</v>
      </c>
      <c r="AF88" s="56">
        <f t="shared" si="103"/>
        <v>417708</v>
      </c>
      <c r="AG88" s="13">
        <f t="shared" si="104"/>
        <v>867.62459546925561</v>
      </c>
      <c r="AH88" s="13">
        <f t="shared" si="105"/>
        <v>417.02265372168284</v>
      </c>
      <c r="AI88" s="16">
        <f t="shared" si="106"/>
        <v>450.60194174757282</v>
      </c>
      <c r="AJ88" s="15">
        <f t="shared" si="107"/>
        <v>0</v>
      </c>
      <c r="AK88" s="13">
        <f t="shared" si="108"/>
        <v>0</v>
      </c>
      <c r="AL88" s="56">
        <f t="shared" si="109"/>
        <v>0</v>
      </c>
      <c r="AM88" s="51">
        <f t="shared" si="110"/>
        <v>392878</v>
      </c>
      <c r="AN88" s="13">
        <f t="shared" si="111"/>
        <v>220944</v>
      </c>
      <c r="AO88" s="56">
        <f t="shared" si="112"/>
        <v>171934</v>
      </c>
      <c r="AP88" s="51">
        <f t="shared" si="113"/>
        <v>0</v>
      </c>
      <c r="AQ88" s="13">
        <f t="shared" si="114"/>
        <v>0</v>
      </c>
      <c r="AR88" s="56">
        <f t="shared" si="115"/>
        <v>0</v>
      </c>
      <c r="AS88" s="51">
        <f t="shared" si="116"/>
        <v>392878</v>
      </c>
      <c r="AT88" s="13">
        <f t="shared" si="117"/>
        <v>220944</v>
      </c>
      <c r="AU88" s="56">
        <f t="shared" si="118"/>
        <v>171934</v>
      </c>
      <c r="AV88" s="13">
        <f t="shared" si="119"/>
        <v>423.81661272923401</v>
      </c>
      <c r="AW88" s="13">
        <f t="shared" si="120"/>
        <v>238.3430420711974</v>
      </c>
      <c r="AX88" s="16">
        <f t="shared" si="121"/>
        <v>185.47357065803669</v>
      </c>
    </row>
    <row r="89" spans="1:50" x14ac:dyDescent="0.25">
      <c r="A89" s="20">
        <v>227</v>
      </c>
      <c r="B89">
        <v>1</v>
      </c>
      <c r="C89" s="23" t="s">
        <v>205</v>
      </c>
      <c r="D89" s="23">
        <v>6</v>
      </c>
      <c r="E89" s="15">
        <f>+SUMIF('GE16FEB14 Unfudged'!$A$2:$A$498, $A89, 'GE16FEB14 Unfudged'!$D$2:$D$498)</f>
        <v>994</v>
      </c>
      <c r="F89" s="15">
        <f>+SUMIF('GE16FEB14 Unfudged'!$A$2:$A$498, 'Tax Bill Summary'!$A89, 'GE16FEB14 Unfudged'!E$2:E$498)</f>
        <v>128174</v>
      </c>
      <c r="G89" s="13">
        <f>+SUMIF('GE16FEB14 Unfudged'!$A$2:$A$498, 'Tax Bill Summary'!$A89, 'GE16FEB14 Unfudged'!F$2:F$498)</f>
        <v>84525</v>
      </c>
      <c r="H89" s="56">
        <f t="shared" si="89"/>
        <v>43649</v>
      </c>
      <c r="I89" s="51">
        <f>+SUMIF('GE16FEB14 Unfudged'!$A$2:$A$498, 'Tax Bill Summary'!$A89, 'GE16FEB14 Unfudged'!G$2:G$498)</f>
        <v>0</v>
      </c>
      <c r="J89" s="13">
        <f>+SUMIF('GE16FEB14 Unfudged'!$A$2:$A$498, 'Tax Bill Summary'!$A89, 'GE16FEB14 Unfudged'!H$2:H$498)</f>
        <v>0</v>
      </c>
      <c r="K89" s="56">
        <f t="shared" si="90"/>
        <v>0</v>
      </c>
      <c r="L89" s="51">
        <f>+SUMIF('GE16FEB14 Unfudged'!$A$2:$A$498, 'Tax Bill Summary'!$A89, 'GE16FEB14 Unfudged'!I$2:IF$498)</f>
        <v>625935</v>
      </c>
      <c r="M89" s="13">
        <f>+SUMIF('GE16FEB14 Unfudged'!$A$2:$A$498, 'Tax Bill Summary'!$A89, 'GE16FEB14 Unfudged'!J$2:IG$498)</f>
        <v>330059</v>
      </c>
      <c r="N89" s="56">
        <f t="shared" si="91"/>
        <v>295876</v>
      </c>
      <c r="O89" s="51">
        <f t="shared" si="92"/>
        <v>754109</v>
      </c>
      <c r="P89" s="13">
        <f t="shared" si="93"/>
        <v>414584</v>
      </c>
      <c r="Q89" s="56">
        <f t="shared" si="94"/>
        <v>339525</v>
      </c>
      <c r="R89" s="13">
        <f t="shared" si="95"/>
        <v>758.66096579476857</v>
      </c>
      <c r="S89" s="13">
        <f t="shared" si="96"/>
        <v>417.08651911468814</v>
      </c>
      <c r="T89" s="16">
        <f t="shared" si="97"/>
        <v>341.57444668008048</v>
      </c>
      <c r="U89" s="15">
        <f>+SUMIF('GE16FEB14 Tax Bill Unfudged'!$A$2:$A$498, 'Tax Bill Summary'!$A89, 'GE16FEB14 Tax Bill Unfudged'!E$2:E$498)</f>
        <v>143194</v>
      </c>
      <c r="V89" s="13">
        <f>+SUMIF('GE16FEB14 Tax Bill Unfudged'!$A$2:$A$498, 'Tax Bill Summary'!$A89, 'GE16FEB14 Tax Bill Unfudged'!F$2:F$498)</f>
        <v>94430</v>
      </c>
      <c r="W89" s="56">
        <f t="shared" si="98"/>
        <v>48764</v>
      </c>
      <c r="X89" s="51">
        <f>+SUMIF('GE16FEB14 Tax Bill Unfudged'!$A$2:$A$498, 'Tax Bill Summary'!$A89, 'GE16FEB14 Tax Bill Unfudged'!G$2:G$498)</f>
        <v>421626</v>
      </c>
      <c r="Y89" s="13">
        <f>+SUMIF('GE16FEB14 Tax Bill Unfudged'!$A$2:$A$498, 'Tax Bill Summary'!$A89, 'GE16FEB14 Tax Bill Unfudged'!H$2:H$498)</f>
        <v>278042</v>
      </c>
      <c r="Z89" s="56">
        <f t="shared" si="99"/>
        <v>143584</v>
      </c>
      <c r="AA89" s="51">
        <f>+SUMIF('GE16FEB14 Tax Bill Unfudged'!$A$2:$A$498, 'Tax Bill Summary'!$A89, 'GE16FEB14 Tax Bill Unfudged'!I$2:I$498)</f>
        <v>298320</v>
      </c>
      <c r="AB89" s="13">
        <f>+SUMIF('GE16FEB14 Tax Bill Unfudged'!$A$2:$A$498, 'Tax Bill Summary'!$A89, 'GE16FEB14 Tax Bill Unfudged'!J$2:J$498)</f>
        <v>114013</v>
      </c>
      <c r="AC89" s="56">
        <f t="shared" si="100"/>
        <v>184307</v>
      </c>
      <c r="AD89" s="51">
        <f t="shared" si="101"/>
        <v>863140</v>
      </c>
      <c r="AE89" s="13">
        <f t="shared" si="102"/>
        <v>486485</v>
      </c>
      <c r="AF89" s="56">
        <f t="shared" si="103"/>
        <v>376655</v>
      </c>
      <c r="AG89" s="13">
        <f t="shared" si="104"/>
        <v>868.35010060362174</v>
      </c>
      <c r="AH89" s="13">
        <f t="shared" si="105"/>
        <v>489.4215291750503</v>
      </c>
      <c r="AI89" s="16">
        <f t="shared" si="106"/>
        <v>378.92857142857144</v>
      </c>
      <c r="AJ89" s="15">
        <f t="shared" si="107"/>
        <v>15020</v>
      </c>
      <c r="AK89" s="13">
        <f t="shared" si="108"/>
        <v>9905</v>
      </c>
      <c r="AL89" s="56">
        <f t="shared" si="109"/>
        <v>5115</v>
      </c>
      <c r="AM89" s="51">
        <f t="shared" si="110"/>
        <v>421626</v>
      </c>
      <c r="AN89" s="13">
        <f t="shared" si="111"/>
        <v>278042</v>
      </c>
      <c r="AO89" s="56">
        <f t="shared" si="112"/>
        <v>143584</v>
      </c>
      <c r="AP89" s="51">
        <f t="shared" si="113"/>
        <v>-327615</v>
      </c>
      <c r="AQ89" s="13">
        <f t="shared" si="114"/>
        <v>-216046</v>
      </c>
      <c r="AR89" s="56">
        <f t="shared" si="115"/>
        <v>-111569</v>
      </c>
      <c r="AS89" s="51">
        <f t="shared" si="116"/>
        <v>109031</v>
      </c>
      <c r="AT89" s="13">
        <f t="shared" si="117"/>
        <v>71901</v>
      </c>
      <c r="AU89" s="56">
        <f t="shared" si="118"/>
        <v>37130</v>
      </c>
      <c r="AV89" s="13">
        <f t="shared" si="119"/>
        <v>109.68913480885317</v>
      </c>
      <c r="AW89" s="13">
        <f t="shared" si="120"/>
        <v>72.335010060362151</v>
      </c>
      <c r="AX89" s="16">
        <f t="shared" si="121"/>
        <v>37.35412474849096</v>
      </c>
    </row>
    <row r="90" spans="1:50" x14ac:dyDescent="0.25">
      <c r="A90" s="20">
        <v>229</v>
      </c>
      <c r="B90">
        <v>1</v>
      </c>
      <c r="C90" s="23" t="s">
        <v>206</v>
      </c>
      <c r="D90" s="23">
        <v>6</v>
      </c>
      <c r="E90" s="15">
        <f>+SUMIF('GE16FEB14 Unfudged'!$A$2:$A$498, $A90, 'GE16FEB14 Unfudged'!$D$2:$D$498)</f>
        <v>342</v>
      </c>
      <c r="F90" s="15">
        <f>+SUMIF('GE16FEB14 Unfudged'!$A$2:$A$498, 'Tax Bill Summary'!$A90, 'GE16FEB14 Unfudged'!E$2:E$498)</f>
        <v>49248</v>
      </c>
      <c r="G90" s="13">
        <f>+SUMIF('GE16FEB14 Unfudged'!$A$2:$A$498, 'Tax Bill Summary'!$A90, 'GE16FEB14 Unfudged'!F$2:F$498)</f>
        <v>49248</v>
      </c>
      <c r="H90" s="56">
        <f t="shared" si="89"/>
        <v>0</v>
      </c>
      <c r="I90" s="51">
        <f>+SUMIF('GE16FEB14 Unfudged'!$A$2:$A$498, 'Tax Bill Summary'!$A90, 'GE16FEB14 Unfudged'!G$2:G$498)</f>
        <v>0</v>
      </c>
      <c r="J90" s="13">
        <f>+SUMIF('GE16FEB14 Unfudged'!$A$2:$A$498, 'Tax Bill Summary'!$A90, 'GE16FEB14 Unfudged'!H$2:H$498)</f>
        <v>0</v>
      </c>
      <c r="K90" s="56">
        <f t="shared" si="90"/>
        <v>0</v>
      </c>
      <c r="L90" s="51">
        <f>+SUMIF('GE16FEB14 Unfudged'!$A$2:$A$498, 'Tax Bill Summary'!$A90, 'GE16FEB14 Unfudged'!I$2:IF$498)</f>
        <v>102600</v>
      </c>
      <c r="M90" s="13">
        <f>+SUMIF('GE16FEB14 Unfudged'!$A$2:$A$498, 'Tax Bill Summary'!$A90, 'GE16FEB14 Unfudged'!J$2:IG$498)</f>
        <v>57812</v>
      </c>
      <c r="N90" s="56">
        <f t="shared" si="91"/>
        <v>44788</v>
      </c>
      <c r="O90" s="51">
        <f t="shared" si="92"/>
        <v>151848</v>
      </c>
      <c r="P90" s="13">
        <f t="shared" si="93"/>
        <v>107060</v>
      </c>
      <c r="Q90" s="56">
        <f t="shared" si="94"/>
        <v>44788</v>
      </c>
      <c r="R90" s="13">
        <f t="shared" si="95"/>
        <v>444</v>
      </c>
      <c r="S90" s="13">
        <f t="shared" si="96"/>
        <v>313.04093567251459</v>
      </c>
      <c r="T90" s="16">
        <f t="shared" si="97"/>
        <v>130.95906432748538</v>
      </c>
      <c r="U90" s="15">
        <f>+SUMIF('GE16FEB14 Tax Bill Unfudged'!$A$2:$A$498, 'Tax Bill Summary'!$A90, 'GE16FEB14 Tax Bill Unfudged'!E$2:E$498)</f>
        <v>49248</v>
      </c>
      <c r="V90" s="13">
        <f>+SUMIF('GE16FEB14 Tax Bill Unfudged'!$A$2:$A$498, 'Tax Bill Summary'!$A90, 'GE16FEB14 Tax Bill Unfudged'!F$2:F$498)</f>
        <v>49248</v>
      </c>
      <c r="W90" s="56">
        <f t="shared" si="98"/>
        <v>0</v>
      </c>
      <c r="X90" s="51">
        <f>+SUMIF('GE16FEB14 Tax Bill Unfudged'!$A$2:$A$498, 'Tax Bill Summary'!$A90, 'GE16FEB14 Tax Bill Unfudged'!G$2:G$498)</f>
        <v>145008</v>
      </c>
      <c r="Y90" s="13">
        <f>+SUMIF('GE16FEB14 Tax Bill Unfudged'!$A$2:$A$498, 'Tax Bill Summary'!$A90, 'GE16FEB14 Tax Bill Unfudged'!H$2:H$498)</f>
        <v>145008</v>
      </c>
      <c r="Z90" s="56">
        <f t="shared" si="99"/>
        <v>0</v>
      </c>
      <c r="AA90" s="51">
        <f>+SUMIF('GE16FEB14 Tax Bill Unfudged'!$A$2:$A$498, 'Tax Bill Summary'!$A90, 'GE16FEB14 Tax Bill Unfudged'!I$2:I$498)</f>
        <v>102600</v>
      </c>
      <c r="AB90" s="13">
        <f>+SUMIF('GE16FEB14 Tax Bill Unfudged'!$A$2:$A$498, 'Tax Bill Summary'!$A90, 'GE16FEB14 Tax Bill Unfudged'!J$2:J$498)</f>
        <v>57812</v>
      </c>
      <c r="AC90" s="56">
        <f t="shared" si="100"/>
        <v>44788</v>
      </c>
      <c r="AD90" s="51">
        <f t="shared" si="101"/>
        <v>296856</v>
      </c>
      <c r="AE90" s="13">
        <f t="shared" si="102"/>
        <v>252068</v>
      </c>
      <c r="AF90" s="56">
        <f t="shared" si="103"/>
        <v>44788</v>
      </c>
      <c r="AG90" s="13">
        <f t="shared" si="104"/>
        <v>868</v>
      </c>
      <c r="AH90" s="13">
        <f t="shared" si="105"/>
        <v>737.04093567251459</v>
      </c>
      <c r="AI90" s="16">
        <f t="shared" si="106"/>
        <v>130.95906432748538</v>
      </c>
      <c r="AJ90" s="15">
        <f t="shared" si="107"/>
        <v>0</v>
      </c>
      <c r="AK90" s="13">
        <f t="shared" si="108"/>
        <v>0</v>
      </c>
      <c r="AL90" s="56">
        <f t="shared" si="109"/>
        <v>0</v>
      </c>
      <c r="AM90" s="51">
        <f t="shared" si="110"/>
        <v>145008</v>
      </c>
      <c r="AN90" s="13">
        <f t="shared" si="111"/>
        <v>145008</v>
      </c>
      <c r="AO90" s="56">
        <f t="shared" si="112"/>
        <v>0</v>
      </c>
      <c r="AP90" s="51">
        <f t="shared" si="113"/>
        <v>0</v>
      </c>
      <c r="AQ90" s="13">
        <f t="shared" si="114"/>
        <v>0</v>
      </c>
      <c r="AR90" s="56">
        <f t="shared" si="115"/>
        <v>0</v>
      </c>
      <c r="AS90" s="51">
        <f t="shared" si="116"/>
        <v>145008</v>
      </c>
      <c r="AT90" s="13">
        <f t="shared" si="117"/>
        <v>145008</v>
      </c>
      <c r="AU90" s="56">
        <f t="shared" si="118"/>
        <v>0</v>
      </c>
      <c r="AV90" s="13">
        <f t="shared" si="119"/>
        <v>424</v>
      </c>
      <c r="AW90" s="13">
        <f t="shared" si="120"/>
        <v>424</v>
      </c>
      <c r="AX90" s="16">
        <f t="shared" si="121"/>
        <v>0</v>
      </c>
    </row>
    <row r="91" spans="1:50" x14ac:dyDescent="0.25">
      <c r="A91" s="20">
        <v>238</v>
      </c>
      <c r="B91">
        <v>1</v>
      </c>
      <c r="C91" s="23" t="s">
        <v>207</v>
      </c>
      <c r="D91" s="23">
        <v>6</v>
      </c>
      <c r="E91" s="15">
        <f>+SUMIF('GE16FEB14 Unfudged'!$A$2:$A$498, $A91, 'GE16FEB14 Unfudged'!$D$2:$D$498)</f>
        <v>258</v>
      </c>
      <c r="F91" s="15">
        <f>+SUMIF('GE16FEB14 Unfudged'!$A$2:$A$498, 'Tax Bill Summary'!$A91, 'GE16FEB14 Unfudged'!E$2:E$498)</f>
        <v>22815</v>
      </c>
      <c r="G91" s="13">
        <f>+SUMIF('GE16FEB14 Unfudged'!$A$2:$A$498, 'Tax Bill Summary'!$A91, 'GE16FEB14 Unfudged'!F$2:F$498)</f>
        <v>13449</v>
      </c>
      <c r="H91" s="56">
        <f t="shared" si="89"/>
        <v>9366</v>
      </c>
      <c r="I91" s="51">
        <f>+SUMIF('GE16FEB14 Unfudged'!$A$2:$A$498, 'Tax Bill Summary'!$A91, 'GE16FEB14 Unfudged'!G$2:G$498)</f>
        <v>0</v>
      </c>
      <c r="J91" s="13">
        <f>+SUMIF('GE16FEB14 Unfudged'!$A$2:$A$498, 'Tax Bill Summary'!$A91, 'GE16FEB14 Unfudged'!H$2:H$498)</f>
        <v>0</v>
      </c>
      <c r="K91" s="56">
        <f t="shared" si="90"/>
        <v>0</v>
      </c>
      <c r="L91" s="51">
        <f>+SUMIF('GE16FEB14 Unfudged'!$A$2:$A$498, 'Tax Bill Summary'!$A91, 'GE16FEB14 Unfudged'!I$2:IF$498)</f>
        <v>390817</v>
      </c>
      <c r="M91" s="13">
        <f>+SUMIF('GE16FEB14 Unfudged'!$A$2:$A$498, 'Tax Bill Summary'!$A91, 'GE16FEB14 Unfudged'!J$2:IG$498)</f>
        <v>291060</v>
      </c>
      <c r="N91" s="56">
        <f t="shared" si="91"/>
        <v>99757</v>
      </c>
      <c r="O91" s="51">
        <f t="shared" si="92"/>
        <v>413632</v>
      </c>
      <c r="P91" s="13">
        <f t="shared" si="93"/>
        <v>304509</v>
      </c>
      <c r="Q91" s="56">
        <f t="shared" si="94"/>
        <v>109123</v>
      </c>
      <c r="R91" s="13">
        <f t="shared" si="95"/>
        <v>1603.2248062015503</v>
      </c>
      <c r="S91" s="13">
        <f t="shared" si="96"/>
        <v>1180.2674418604652</v>
      </c>
      <c r="T91" s="16">
        <f t="shared" si="97"/>
        <v>422.95736434108528</v>
      </c>
      <c r="U91" s="15">
        <f>+SUMIF('GE16FEB14 Tax Bill Unfudged'!$A$2:$A$498, 'Tax Bill Summary'!$A91, 'GE16FEB14 Tax Bill Unfudged'!E$2:E$498)</f>
        <v>24834</v>
      </c>
      <c r="V91" s="13">
        <f>+SUMIF('GE16FEB14 Tax Bill Unfudged'!$A$2:$A$498, 'Tax Bill Summary'!$A91, 'GE16FEB14 Tax Bill Unfudged'!F$2:F$498)</f>
        <v>14639</v>
      </c>
      <c r="W91" s="56">
        <f t="shared" si="98"/>
        <v>10195</v>
      </c>
      <c r="X91" s="51">
        <f>+SUMIF('GE16FEB14 Tax Bill Unfudged'!$A$2:$A$498, 'Tax Bill Summary'!$A91, 'GE16FEB14 Tax Bill Unfudged'!G$2:G$498)</f>
        <v>109477</v>
      </c>
      <c r="Y91" s="13">
        <f>+SUMIF('GE16FEB14 Tax Bill Unfudged'!$A$2:$A$498, 'Tax Bill Summary'!$A91, 'GE16FEB14 Tax Bill Unfudged'!H$2:H$498)</f>
        <v>64534</v>
      </c>
      <c r="Z91" s="56">
        <f t="shared" si="99"/>
        <v>44943</v>
      </c>
      <c r="AA91" s="51">
        <f>+SUMIF('GE16FEB14 Tax Bill Unfudged'!$A$2:$A$498, 'Tax Bill Summary'!$A91, 'GE16FEB14 Tax Bill Unfudged'!I$2:I$498)</f>
        <v>281340</v>
      </c>
      <c r="AB91" s="13">
        <f>+SUMIF('GE16FEB14 Tax Bill Unfudged'!$A$2:$A$498, 'Tax Bill Summary'!$A91, 'GE16FEB14 Tax Bill Unfudged'!J$2:J$498)</f>
        <v>181583</v>
      </c>
      <c r="AC91" s="56">
        <f t="shared" si="100"/>
        <v>99757</v>
      </c>
      <c r="AD91" s="51">
        <f t="shared" si="101"/>
        <v>415651</v>
      </c>
      <c r="AE91" s="13">
        <f t="shared" si="102"/>
        <v>260756</v>
      </c>
      <c r="AF91" s="56">
        <f t="shared" si="103"/>
        <v>154895</v>
      </c>
      <c r="AG91" s="13">
        <f t="shared" si="104"/>
        <v>1611.0503875968993</v>
      </c>
      <c r="AH91" s="13">
        <f t="shared" si="105"/>
        <v>1010.6821705426356</v>
      </c>
      <c r="AI91" s="16">
        <f t="shared" si="106"/>
        <v>600.3682170542636</v>
      </c>
      <c r="AJ91" s="15">
        <f t="shared" si="107"/>
        <v>2019</v>
      </c>
      <c r="AK91" s="13">
        <f t="shared" si="108"/>
        <v>1190</v>
      </c>
      <c r="AL91" s="56">
        <f t="shared" si="109"/>
        <v>829</v>
      </c>
      <c r="AM91" s="51">
        <f t="shared" si="110"/>
        <v>109477</v>
      </c>
      <c r="AN91" s="13">
        <f t="shared" si="111"/>
        <v>64534</v>
      </c>
      <c r="AO91" s="56">
        <f t="shared" si="112"/>
        <v>44943</v>
      </c>
      <c r="AP91" s="51">
        <f t="shared" si="113"/>
        <v>-109477</v>
      </c>
      <c r="AQ91" s="13">
        <f t="shared" si="114"/>
        <v>-109477</v>
      </c>
      <c r="AR91" s="56">
        <f t="shared" si="115"/>
        <v>0</v>
      </c>
      <c r="AS91" s="51">
        <f t="shared" si="116"/>
        <v>2019</v>
      </c>
      <c r="AT91" s="13">
        <f t="shared" si="117"/>
        <v>-43753</v>
      </c>
      <c r="AU91" s="56">
        <f t="shared" si="118"/>
        <v>45772</v>
      </c>
      <c r="AV91" s="13">
        <f t="shared" si="119"/>
        <v>7.8255813953489906</v>
      </c>
      <c r="AW91" s="13">
        <f t="shared" si="120"/>
        <v>-169.58527131782955</v>
      </c>
      <c r="AX91" s="16">
        <f t="shared" si="121"/>
        <v>177.41085271317831</v>
      </c>
    </row>
    <row r="92" spans="1:50" x14ac:dyDescent="0.25">
      <c r="A92" s="20">
        <v>239</v>
      </c>
      <c r="B92">
        <v>1</v>
      </c>
      <c r="C92" s="23" t="s">
        <v>208</v>
      </c>
      <c r="D92" s="23">
        <v>6</v>
      </c>
      <c r="E92" s="15">
        <f>+SUMIF('GE16FEB14 Unfudged'!$A$2:$A$498, $A92, 'GE16FEB14 Unfudged'!$D$2:$D$498)</f>
        <v>731</v>
      </c>
      <c r="F92" s="15">
        <f>+SUMIF('GE16FEB14 Unfudged'!$A$2:$A$498, 'Tax Bill Summary'!$A92, 'GE16FEB14 Unfudged'!E$2:E$498)</f>
        <v>79628</v>
      </c>
      <c r="G92" s="13">
        <f>+SUMIF('GE16FEB14 Unfudged'!$A$2:$A$498, 'Tax Bill Summary'!$A92, 'GE16FEB14 Unfudged'!F$2:F$498)</f>
        <v>49189</v>
      </c>
      <c r="H92" s="56">
        <f t="shared" si="89"/>
        <v>30439</v>
      </c>
      <c r="I92" s="51">
        <f>+SUMIF('GE16FEB14 Unfudged'!$A$2:$A$498, 'Tax Bill Summary'!$A92, 'GE16FEB14 Unfudged'!G$2:G$498)</f>
        <v>0</v>
      </c>
      <c r="J92" s="13">
        <f>+SUMIF('GE16FEB14 Unfudged'!$A$2:$A$498, 'Tax Bill Summary'!$A92, 'GE16FEB14 Unfudged'!H$2:H$498)</f>
        <v>0</v>
      </c>
      <c r="K92" s="56">
        <f t="shared" si="90"/>
        <v>0</v>
      </c>
      <c r="L92" s="51">
        <f>+SUMIF('GE16FEB14 Unfudged'!$A$2:$A$498, 'Tax Bill Summary'!$A92, 'GE16FEB14 Unfudged'!I$2:IF$498)</f>
        <v>777783</v>
      </c>
      <c r="M92" s="13">
        <f>+SUMIF('GE16FEB14 Unfudged'!$A$2:$A$498, 'Tax Bill Summary'!$A92, 'GE16FEB14 Unfudged'!J$2:IG$498)</f>
        <v>508524</v>
      </c>
      <c r="N92" s="56">
        <f t="shared" si="91"/>
        <v>269259</v>
      </c>
      <c r="O92" s="51">
        <f t="shared" si="92"/>
        <v>857411</v>
      </c>
      <c r="P92" s="13">
        <f t="shared" si="93"/>
        <v>557713</v>
      </c>
      <c r="Q92" s="56">
        <f t="shared" si="94"/>
        <v>299698</v>
      </c>
      <c r="R92" s="13">
        <f t="shared" si="95"/>
        <v>1172.9288645690835</v>
      </c>
      <c r="S92" s="13">
        <f t="shared" si="96"/>
        <v>762.94528043775654</v>
      </c>
      <c r="T92" s="16">
        <f t="shared" si="97"/>
        <v>409.98358413132695</v>
      </c>
      <c r="U92" s="15">
        <f>+SUMIF('GE16FEB14 Tax Bill Unfudged'!$A$2:$A$498, 'Tax Bill Summary'!$A92, 'GE16FEB14 Tax Bill Unfudged'!E$2:E$498)</f>
        <v>90175</v>
      </c>
      <c r="V92" s="13">
        <f>+SUMIF('GE16FEB14 Tax Bill Unfudged'!$A$2:$A$498, 'Tax Bill Summary'!$A92, 'GE16FEB14 Tax Bill Unfudged'!F$2:F$498)</f>
        <v>55704</v>
      </c>
      <c r="W92" s="56">
        <f t="shared" si="98"/>
        <v>34471</v>
      </c>
      <c r="X92" s="51">
        <f>+SUMIF('GE16FEB14 Tax Bill Unfudged'!$A$2:$A$498, 'Tax Bill Summary'!$A92, 'GE16FEB14 Tax Bill Unfudged'!G$2:G$498)</f>
        <v>309859</v>
      </c>
      <c r="Y92" s="13">
        <f>+SUMIF('GE16FEB14 Tax Bill Unfudged'!$A$2:$A$498, 'Tax Bill Summary'!$A92, 'GE16FEB14 Tax Bill Unfudged'!H$2:H$498)</f>
        <v>191409</v>
      </c>
      <c r="Z92" s="56">
        <f t="shared" si="99"/>
        <v>118450</v>
      </c>
      <c r="AA92" s="51">
        <f>+SUMIF('GE16FEB14 Tax Bill Unfudged'!$A$2:$A$498, 'Tax Bill Summary'!$A92, 'GE16FEB14 Tax Bill Unfudged'!I$2:I$498)</f>
        <v>467924</v>
      </c>
      <c r="AB92" s="13">
        <f>+SUMIF('GE16FEB14 Tax Bill Unfudged'!$A$2:$A$498, 'Tax Bill Summary'!$A92, 'GE16FEB14 Tax Bill Unfudged'!J$2:J$498)</f>
        <v>232107</v>
      </c>
      <c r="AC92" s="56">
        <f t="shared" si="100"/>
        <v>235817</v>
      </c>
      <c r="AD92" s="51">
        <f t="shared" si="101"/>
        <v>867958</v>
      </c>
      <c r="AE92" s="13">
        <f t="shared" si="102"/>
        <v>479220</v>
      </c>
      <c r="AF92" s="56">
        <f t="shared" si="103"/>
        <v>388738</v>
      </c>
      <c r="AG92" s="13">
        <f t="shared" si="104"/>
        <v>1187.3570451436387</v>
      </c>
      <c r="AH92" s="13">
        <f t="shared" si="105"/>
        <v>655.56771545827633</v>
      </c>
      <c r="AI92" s="16">
        <f t="shared" si="106"/>
        <v>531.78932968536253</v>
      </c>
      <c r="AJ92" s="15">
        <f t="shared" si="107"/>
        <v>10547</v>
      </c>
      <c r="AK92" s="13">
        <f t="shared" si="108"/>
        <v>6515</v>
      </c>
      <c r="AL92" s="56">
        <f t="shared" si="109"/>
        <v>4032</v>
      </c>
      <c r="AM92" s="51">
        <f t="shared" si="110"/>
        <v>309859</v>
      </c>
      <c r="AN92" s="13">
        <f t="shared" si="111"/>
        <v>191409</v>
      </c>
      <c r="AO92" s="56">
        <f t="shared" si="112"/>
        <v>118450</v>
      </c>
      <c r="AP92" s="51">
        <f t="shared" si="113"/>
        <v>-309859</v>
      </c>
      <c r="AQ92" s="13">
        <f t="shared" si="114"/>
        <v>-276417</v>
      </c>
      <c r="AR92" s="56">
        <f t="shared" si="115"/>
        <v>-33442</v>
      </c>
      <c r="AS92" s="51">
        <f t="shared" si="116"/>
        <v>10547</v>
      </c>
      <c r="AT92" s="13">
        <f t="shared" si="117"/>
        <v>-78493</v>
      </c>
      <c r="AU92" s="56">
        <f t="shared" si="118"/>
        <v>89040</v>
      </c>
      <c r="AV92" s="13">
        <f t="shared" si="119"/>
        <v>14.428180574555199</v>
      </c>
      <c r="AW92" s="13">
        <f t="shared" si="120"/>
        <v>-107.37756497948021</v>
      </c>
      <c r="AX92" s="16">
        <f t="shared" si="121"/>
        <v>121.80574555403558</v>
      </c>
    </row>
    <row r="93" spans="1:50" x14ac:dyDescent="0.25">
      <c r="A93" s="20">
        <v>241</v>
      </c>
      <c r="B93">
        <v>1</v>
      </c>
      <c r="C93" s="23" t="s">
        <v>209</v>
      </c>
      <c r="D93" s="23">
        <v>4</v>
      </c>
      <c r="E93" s="15">
        <f>+SUMIF('GE16FEB14 Unfudged'!$A$2:$A$498, $A93, 'GE16FEB14 Unfudged'!$D$2:$D$498)</f>
        <v>3578</v>
      </c>
      <c r="F93" s="15">
        <f>+SUMIF('GE16FEB14 Unfudged'!$A$2:$A$498, 'Tax Bill Summary'!$A93, 'GE16FEB14 Unfudged'!E$2:E$498)</f>
        <v>404543</v>
      </c>
      <c r="G93" s="13">
        <f>+SUMIF('GE16FEB14 Unfudged'!$A$2:$A$498, 'Tax Bill Summary'!$A93, 'GE16FEB14 Unfudged'!F$2:F$498)</f>
        <v>254602</v>
      </c>
      <c r="H93" s="56">
        <f t="shared" si="89"/>
        <v>149941</v>
      </c>
      <c r="I93" s="51">
        <f>+SUMIF('GE16FEB14 Unfudged'!$A$2:$A$498, 'Tax Bill Summary'!$A93, 'GE16FEB14 Unfudged'!G$2:G$498)</f>
        <v>758536</v>
      </c>
      <c r="J93" s="13">
        <f>+SUMIF('GE16FEB14 Unfudged'!$A$2:$A$498, 'Tax Bill Summary'!$A93, 'GE16FEB14 Unfudged'!H$2:H$498)</f>
        <v>477390</v>
      </c>
      <c r="K93" s="56">
        <f t="shared" si="90"/>
        <v>281146</v>
      </c>
      <c r="L93" s="51">
        <f>+SUMIF('GE16FEB14 Unfudged'!$A$2:$A$498, 'Tax Bill Summary'!$A93, 'GE16FEB14 Unfudged'!I$2:IF$498)</f>
        <v>3487763</v>
      </c>
      <c r="M93" s="13">
        <f>+SUMIF('GE16FEB14 Unfudged'!$A$2:$A$498, 'Tax Bill Summary'!$A93, 'GE16FEB14 Unfudged'!J$2:IG$498)</f>
        <v>2195842</v>
      </c>
      <c r="N93" s="56">
        <f t="shared" si="91"/>
        <v>1291921</v>
      </c>
      <c r="O93" s="51">
        <f t="shared" si="92"/>
        <v>4650842</v>
      </c>
      <c r="P93" s="13">
        <f t="shared" si="93"/>
        <v>2927834</v>
      </c>
      <c r="Q93" s="56">
        <f t="shared" si="94"/>
        <v>1723008</v>
      </c>
      <c r="R93" s="13">
        <f t="shared" si="95"/>
        <v>1299.8440469536054</v>
      </c>
      <c r="S93" s="13">
        <f t="shared" si="96"/>
        <v>818.28787031861373</v>
      </c>
      <c r="T93" s="16">
        <f t="shared" si="97"/>
        <v>481.55617663499163</v>
      </c>
      <c r="U93" s="15">
        <f>+SUMIF('GE16FEB14 Tax Bill Unfudged'!$A$2:$A$498, 'Tax Bill Summary'!$A93, 'GE16FEB14 Tax Bill Unfudged'!E$2:E$498)</f>
        <v>414953</v>
      </c>
      <c r="V93" s="13">
        <f>+SUMIF('GE16FEB14 Tax Bill Unfudged'!$A$2:$A$498, 'Tax Bill Summary'!$A93, 'GE16FEB14 Tax Bill Unfudged'!F$2:F$498)</f>
        <v>261153</v>
      </c>
      <c r="W93" s="56">
        <f t="shared" si="98"/>
        <v>153800</v>
      </c>
      <c r="X93" s="51">
        <f>+SUMIF('GE16FEB14 Tax Bill Unfudged'!$A$2:$A$498, 'Tax Bill Summary'!$A93, 'GE16FEB14 Tax Bill Unfudged'!G$2:G$498)</f>
        <v>1517072</v>
      </c>
      <c r="Y93" s="13">
        <f>+SUMIF('GE16FEB14 Tax Bill Unfudged'!$A$2:$A$498, 'Tax Bill Summary'!$A93, 'GE16FEB14 Tax Bill Unfudged'!H$2:H$498)</f>
        <v>954780</v>
      </c>
      <c r="Z93" s="56">
        <f t="shared" si="99"/>
        <v>562292</v>
      </c>
      <c r="AA93" s="51">
        <f>+SUMIF('GE16FEB14 Tax Bill Unfudged'!$A$2:$A$498, 'Tax Bill Summary'!$A93, 'GE16FEB14 Tax Bill Unfudged'!I$2:I$498)</f>
        <v>2729227</v>
      </c>
      <c r="AB93" s="13">
        <f>+SUMIF('GE16FEB14 Tax Bill Unfudged'!$A$2:$A$498, 'Tax Bill Summary'!$A93, 'GE16FEB14 Tax Bill Unfudged'!J$2:J$498)</f>
        <v>1437306</v>
      </c>
      <c r="AC93" s="56">
        <f t="shared" si="100"/>
        <v>1291921</v>
      </c>
      <c r="AD93" s="51">
        <f t="shared" si="101"/>
        <v>4661252</v>
      </c>
      <c r="AE93" s="13">
        <f t="shared" si="102"/>
        <v>2653239</v>
      </c>
      <c r="AF93" s="56">
        <f t="shared" si="103"/>
        <v>2008013</v>
      </c>
      <c r="AG93" s="13">
        <f t="shared" si="104"/>
        <v>1302.7534935718279</v>
      </c>
      <c r="AH93" s="13">
        <f t="shared" si="105"/>
        <v>741.54248183342645</v>
      </c>
      <c r="AI93" s="16">
        <f t="shared" si="106"/>
        <v>561.21101173840134</v>
      </c>
      <c r="AJ93" s="15">
        <f t="shared" si="107"/>
        <v>10410</v>
      </c>
      <c r="AK93" s="13">
        <f t="shared" si="108"/>
        <v>6551</v>
      </c>
      <c r="AL93" s="56">
        <f t="shared" si="109"/>
        <v>3859</v>
      </c>
      <c r="AM93" s="51">
        <f t="shared" si="110"/>
        <v>758536</v>
      </c>
      <c r="AN93" s="13">
        <f t="shared" si="111"/>
        <v>477390</v>
      </c>
      <c r="AO93" s="56">
        <f t="shared" si="112"/>
        <v>281146</v>
      </c>
      <c r="AP93" s="51">
        <f t="shared" si="113"/>
        <v>-758536</v>
      </c>
      <c r="AQ93" s="13">
        <f t="shared" si="114"/>
        <v>-758536</v>
      </c>
      <c r="AR93" s="56">
        <f t="shared" si="115"/>
        <v>0</v>
      </c>
      <c r="AS93" s="51">
        <f t="shared" si="116"/>
        <v>10410</v>
      </c>
      <c r="AT93" s="13">
        <f t="shared" si="117"/>
        <v>-274595</v>
      </c>
      <c r="AU93" s="56">
        <f t="shared" si="118"/>
        <v>285005</v>
      </c>
      <c r="AV93" s="13">
        <f t="shared" si="119"/>
        <v>2.909446618222546</v>
      </c>
      <c r="AW93" s="13">
        <f t="shared" si="120"/>
        <v>-76.745388485187277</v>
      </c>
      <c r="AX93" s="16">
        <f t="shared" si="121"/>
        <v>79.65483510340971</v>
      </c>
    </row>
    <row r="94" spans="1:50" x14ac:dyDescent="0.25">
      <c r="A94" s="20">
        <v>242</v>
      </c>
      <c r="B94">
        <v>1</v>
      </c>
      <c r="C94" s="23" t="s">
        <v>210</v>
      </c>
      <c r="D94" s="23">
        <v>6</v>
      </c>
      <c r="E94" s="15">
        <f>+SUMIF('GE16FEB14 Unfudged'!$A$2:$A$498, $A94, 'GE16FEB14 Unfudged'!$D$2:$D$498)</f>
        <v>541</v>
      </c>
      <c r="F94" s="15">
        <f>+SUMIF('GE16FEB14 Unfudged'!$A$2:$A$498, 'Tax Bill Summary'!$A94, 'GE16FEB14 Unfudged'!E$2:E$498)</f>
        <v>62262</v>
      </c>
      <c r="G94" s="13">
        <f>+SUMIF('GE16FEB14 Unfudged'!$A$2:$A$498, 'Tax Bill Summary'!$A94, 'GE16FEB14 Unfudged'!F$2:F$498)</f>
        <v>35686</v>
      </c>
      <c r="H94" s="56">
        <f t="shared" si="89"/>
        <v>26576</v>
      </c>
      <c r="I94" s="51">
        <f>+SUMIF('GE16FEB14 Unfudged'!$A$2:$A$498, 'Tax Bill Summary'!$A94, 'GE16FEB14 Unfudged'!G$2:G$498)</f>
        <v>0</v>
      </c>
      <c r="J94" s="13">
        <f>+SUMIF('GE16FEB14 Unfudged'!$A$2:$A$498, 'Tax Bill Summary'!$A94, 'GE16FEB14 Unfudged'!H$2:H$498)</f>
        <v>0</v>
      </c>
      <c r="K94" s="56">
        <f t="shared" si="90"/>
        <v>0</v>
      </c>
      <c r="L94" s="51">
        <f>+SUMIF('GE16FEB14 Unfudged'!$A$2:$A$498, 'Tax Bill Summary'!$A94, 'GE16FEB14 Unfudged'!I$2:IF$498)</f>
        <v>502991</v>
      </c>
      <c r="M94" s="13">
        <f>+SUMIF('GE16FEB14 Unfudged'!$A$2:$A$498, 'Tax Bill Summary'!$A94, 'GE16FEB14 Unfudged'!J$2:IG$498)</f>
        <v>197738</v>
      </c>
      <c r="N94" s="56">
        <f t="shared" si="91"/>
        <v>305253</v>
      </c>
      <c r="O94" s="51">
        <f t="shared" si="92"/>
        <v>565253</v>
      </c>
      <c r="P94" s="13">
        <f t="shared" si="93"/>
        <v>233424</v>
      </c>
      <c r="Q94" s="56">
        <f t="shared" si="94"/>
        <v>331829</v>
      </c>
      <c r="R94" s="13">
        <f t="shared" si="95"/>
        <v>1044.829944547135</v>
      </c>
      <c r="S94" s="13">
        <f t="shared" si="96"/>
        <v>431.4676524953789</v>
      </c>
      <c r="T94" s="16">
        <f t="shared" si="97"/>
        <v>613.36229205175596</v>
      </c>
      <c r="U94" s="15">
        <f>+SUMIF('GE16FEB14 Tax Bill Unfudged'!$A$2:$A$498, 'Tax Bill Summary'!$A94, 'GE16FEB14 Tax Bill Unfudged'!E$2:E$498)</f>
        <v>71135</v>
      </c>
      <c r="V94" s="13">
        <f>+SUMIF('GE16FEB14 Tax Bill Unfudged'!$A$2:$A$498, 'Tax Bill Summary'!$A94, 'GE16FEB14 Tax Bill Unfudged'!F$2:F$498)</f>
        <v>40771</v>
      </c>
      <c r="W94" s="56">
        <f t="shared" si="98"/>
        <v>30364</v>
      </c>
      <c r="X94" s="51">
        <f>+SUMIF('GE16FEB14 Tax Bill Unfudged'!$A$2:$A$498, 'Tax Bill Summary'!$A94, 'GE16FEB14 Tax Bill Unfudged'!G$2:G$498)</f>
        <v>229320</v>
      </c>
      <c r="Y94" s="13">
        <f>+SUMIF('GE16FEB14 Tax Bill Unfudged'!$A$2:$A$498, 'Tax Bill Summary'!$A94, 'GE16FEB14 Tax Bill Unfudged'!H$2:H$498)</f>
        <v>131435</v>
      </c>
      <c r="Z94" s="56">
        <f t="shared" si="99"/>
        <v>97885</v>
      </c>
      <c r="AA94" s="51">
        <f>+SUMIF('GE16FEB14 Tax Bill Unfudged'!$A$2:$A$498, 'Tax Bill Summary'!$A94, 'GE16FEB14 Tax Bill Unfudged'!I$2:I$498)</f>
        <v>273670</v>
      </c>
      <c r="AB94" s="13">
        <f>+SUMIF('GE16FEB14 Tax Bill Unfudged'!$A$2:$A$498, 'Tax Bill Summary'!$A94, 'GE16FEB14 Tax Bill Unfudged'!J$2:J$498)</f>
        <v>117754</v>
      </c>
      <c r="AC94" s="56">
        <f t="shared" si="100"/>
        <v>155916</v>
      </c>
      <c r="AD94" s="51">
        <f t="shared" si="101"/>
        <v>574125</v>
      </c>
      <c r="AE94" s="13">
        <f t="shared" si="102"/>
        <v>289960</v>
      </c>
      <c r="AF94" s="56">
        <f t="shared" si="103"/>
        <v>284165</v>
      </c>
      <c r="AG94" s="13">
        <f t="shared" si="104"/>
        <v>1061.2292051756008</v>
      </c>
      <c r="AH94" s="13">
        <f t="shared" si="105"/>
        <v>535.97042513863221</v>
      </c>
      <c r="AI94" s="16">
        <f t="shared" si="106"/>
        <v>525.25878003696857</v>
      </c>
      <c r="AJ94" s="15">
        <f t="shared" si="107"/>
        <v>8873</v>
      </c>
      <c r="AK94" s="13">
        <f t="shared" si="108"/>
        <v>5085</v>
      </c>
      <c r="AL94" s="56">
        <f t="shared" si="109"/>
        <v>3788</v>
      </c>
      <c r="AM94" s="51">
        <f t="shared" si="110"/>
        <v>229320</v>
      </c>
      <c r="AN94" s="13">
        <f t="shared" si="111"/>
        <v>131435</v>
      </c>
      <c r="AO94" s="56">
        <f t="shared" si="112"/>
        <v>97885</v>
      </c>
      <c r="AP94" s="51">
        <f t="shared" si="113"/>
        <v>-229321</v>
      </c>
      <c r="AQ94" s="13">
        <f t="shared" si="114"/>
        <v>-79984</v>
      </c>
      <c r="AR94" s="56">
        <f t="shared" si="115"/>
        <v>-149337</v>
      </c>
      <c r="AS94" s="51">
        <f t="shared" si="116"/>
        <v>8872</v>
      </c>
      <c r="AT94" s="13">
        <f t="shared" si="117"/>
        <v>56536</v>
      </c>
      <c r="AU94" s="56">
        <f t="shared" si="118"/>
        <v>-47664</v>
      </c>
      <c r="AV94" s="13">
        <f t="shared" si="119"/>
        <v>16.399260628465754</v>
      </c>
      <c r="AW94" s="13">
        <f t="shared" si="120"/>
        <v>104.50277264325331</v>
      </c>
      <c r="AX94" s="16">
        <f t="shared" si="121"/>
        <v>-88.103512014787384</v>
      </c>
    </row>
    <row r="95" spans="1:50" x14ac:dyDescent="0.25">
      <c r="A95" s="20">
        <v>252</v>
      </c>
      <c r="B95">
        <v>1</v>
      </c>
      <c r="C95" s="23" t="s">
        <v>211</v>
      </c>
      <c r="D95" s="23">
        <v>5</v>
      </c>
      <c r="E95" s="15">
        <f>+SUMIF('GE16FEB14 Unfudged'!$A$2:$A$498, $A95, 'GE16FEB14 Unfudged'!$D$2:$D$498)</f>
        <v>1224</v>
      </c>
      <c r="F95" s="15">
        <f>+SUMIF('GE16FEB14 Unfudged'!$A$2:$A$498, 'Tax Bill Summary'!$A95, 'GE16FEB14 Unfudged'!E$2:E$498)</f>
        <v>176221</v>
      </c>
      <c r="G95" s="13">
        <f>+SUMIF('GE16FEB14 Unfudged'!$A$2:$A$498, 'Tax Bill Summary'!$A95, 'GE16FEB14 Unfudged'!F$2:F$498)</f>
        <v>176221</v>
      </c>
      <c r="H95" s="56">
        <f t="shared" si="89"/>
        <v>0</v>
      </c>
      <c r="I95" s="51">
        <f>+SUMIF('GE16FEB14 Unfudged'!$A$2:$A$498, 'Tax Bill Summary'!$A95, 'GE16FEB14 Unfudged'!G$2:G$498)</f>
        <v>518870</v>
      </c>
      <c r="J95" s="13">
        <f>+SUMIF('GE16FEB14 Unfudged'!$A$2:$A$498, 'Tax Bill Summary'!$A95, 'GE16FEB14 Unfudged'!H$2:H$498)</f>
        <v>518870</v>
      </c>
      <c r="K95" s="56">
        <f t="shared" si="90"/>
        <v>0</v>
      </c>
      <c r="L95" s="51">
        <f>+SUMIF('GE16FEB14 Unfudged'!$A$2:$A$498, 'Tax Bill Summary'!$A95, 'GE16FEB14 Unfudged'!I$2:IF$498)</f>
        <v>367125</v>
      </c>
      <c r="M95" s="13">
        <f>+SUMIF('GE16FEB14 Unfudged'!$A$2:$A$498, 'Tax Bill Summary'!$A95, 'GE16FEB14 Unfudged'!J$2:IG$498)</f>
        <v>221954</v>
      </c>
      <c r="N95" s="56">
        <f t="shared" si="91"/>
        <v>145171</v>
      </c>
      <c r="O95" s="51">
        <f t="shared" si="92"/>
        <v>1062216</v>
      </c>
      <c r="P95" s="13">
        <f t="shared" si="93"/>
        <v>917045</v>
      </c>
      <c r="Q95" s="56">
        <f t="shared" si="94"/>
        <v>145171</v>
      </c>
      <c r="R95" s="13">
        <f t="shared" si="95"/>
        <v>867.82352941176475</v>
      </c>
      <c r="S95" s="13">
        <f t="shared" si="96"/>
        <v>749.21977124183002</v>
      </c>
      <c r="T95" s="16">
        <f t="shared" si="97"/>
        <v>118.60375816993464</v>
      </c>
      <c r="U95" s="15">
        <f>+SUMIF('GE16FEB14 Tax Bill Unfudged'!$A$2:$A$498, 'Tax Bill Summary'!$A95, 'GE16FEB14 Tax Bill Unfudged'!E$2:E$498)</f>
        <v>176221</v>
      </c>
      <c r="V95" s="13">
        <f>+SUMIF('GE16FEB14 Tax Bill Unfudged'!$A$2:$A$498, 'Tax Bill Summary'!$A95, 'GE16FEB14 Tax Bill Unfudged'!F$2:F$498)</f>
        <v>176221</v>
      </c>
      <c r="W95" s="56">
        <f t="shared" si="98"/>
        <v>0</v>
      </c>
      <c r="X95" s="51">
        <f>+SUMIF('GE16FEB14 Tax Bill Unfudged'!$A$2:$A$498, 'Tax Bill Summary'!$A95, 'GE16FEB14 Tax Bill Unfudged'!G$2:G$498)</f>
        <v>518870</v>
      </c>
      <c r="Y95" s="13">
        <f>+SUMIF('GE16FEB14 Tax Bill Unfudged'!$A$2:$A$498, 'Tax Bill Summary'!$A95, 'GE16FEB14 Tax Bill Unfudged'!H$2:H$498)</f>
        <v>518870</v>
      </c>
      <c r="Z95" s="56">
        <f t="shared" si="99"/>
        <v>0</v>
      </c>
      <c r="AA95" s="51">
        <f>+SUMIF('GE16FEB14 Tax Bill Unfudged'!$A$2:$A$498, 'Tax Bill Summary'!$A95, 'GE16FEB14 Tax Bill Unfudged'!I$2:I$498)</f>
        <v>367125</v>
      </c>
      <c r="AB95" s="13">
        <f>+SUMIF('GE16FEB14 Tax Bill Unfudged'!$A$2:$A$498, 'Tax Bill Summary'!$A95, 'GE16FEB14 Tax Bill Unfudged'!J$2:J$498)</f>
        <v>221954</v>
      </c>
      <c r="AC95" s="56">
        <f t="shared" si="100"/>
        <v>145171</v>
      </c>
      <c r="AD95" s="51">
        <f t="shared" si="101"/>
        <v>1062216</v>
      </c>
      <c r="AE95" s="13">
        <f t="shared" si="102"/>
        <v>917045</v>
      </c>
      <c r="AF95" s="56">
        <f t="shared" si="103"/>
        <v>145171</v>
      </c>
      <c r="AG95" s="13">
        <f t="shared" si="104"/>
        <v>867.82352941176475</v>
      </c>
      <c r="AH95" s="13">
        <f t="shared" si="105"/>
        <v>749.21977124183002</v>
      </c>
      <c r="AI95" s="16">
        <f t="shared" si="106"/>
        <v>118.60375816993464</v>
      </c>
      <c r="AJ95" s="15">
        <f t="shared" si="107"/>
        <v>0</v>
      </c>
      <c r="AK95" s="13">
        <f t="shared" si="108"/>
        <v>0</v>
      </c>
      <c r="AL95" s="56">
        <f t="shared" si="109"/>
        <v>0</v>
      </c>
      <c r="AM95" s="51">
        <f t="shared" si="110"/>
        <v>0</v>
      </c>
      <c r="AN95" s="13">
        <f t="shared" si="111"/>
        <v>0</v>
      </c>
      <c r="AO95" s="56">
        <f t="shared" si="112"/>
        <v>0</v>
      </c>
      <c r="AP95" s="51">
        <f t="shared" si="113"/>
        <v>0</v>
      </c>
      <c r="AQ95" s="13">
        <f t="shared" si="114"/>
        <v>0</v>
      </c>
      <c r="AR95" s="56">
        <f t="shared" si="115"/>
        <v>0</v>
      </c>
      <c r="AS95" s="51">
        <f t="shared" si="116"/>
        <v>0</v>
      </c>
      <c r="AT95" s="13">
        <f t="shared" si="117"/>
        <v>0</v>
      </c>
      <c r="AU95" s="56">
        <f t="shared" si="118"/>
        <v>0</v>
      </c>
      <c r="AV95" s="13">
        <f t="shared" si="119"/>
        <v>0</v>
      </c>
      <c r="AW95" s="13">
        <f t="shared" si="120"/>
        <v>0</v>
      </c>
      <c r="AX95" s="16">
        <f t="shared" si="121"/>
        <v>0</v>
      </c>
    </row>
    <row r="96" spans="1:50" x14ac:dyDescent="0.25">
      <c r="A96" s="20">
        <v>253</v>
      </c>
      <c r="B96">
        <v>1</v>
      </c>
      <c r="C96" s="23" t="s">
        <v>212</v>
      </c>
      <c r="D96" s="23">
        <v>6</v>
      </c>
      <c r="E96" s="15">
        <f>+SUMIF('GE16FEB14 Unfudged'!$A$2:$A$498, $A96, 'GE16FEB14 Unfudged'!$D$2:$D$498)</f>
        <v>708</v>
      </c>
      <c r="F96" s="15">
        <f>+SUMIF('GE16FEB14 Unfudged'!$A$2:$A$498, 'Tax Bill Summary'!$A96, 'GE16FEB14 Unfudged'!E$2:E$498)</f>
        <v>95717</v>
      </c>
      <c r="G96" s="13">
        <f>+SUMIF('GE16FEB14 Unfudged'!$A$2:$A$498, 'Tax Bill Summary'!$A96, 'GE16FEB14 Unfudged'!F$2:F$498)</f>
        <v>55480</v>
      </c>
      <c r="H96" s="56">
        <f t="shared" si="89"/>
        <v>40237</v>
      </c>
      <c r="I96" s="51">
        <f>+SUMIF('GE16FEB14 Unfudged'!$A$2:$A$498, 'Tax Bill Summary'!$A96, 'GE16FEB14 Unfudged'!G$2:G$498)</f>
        <v>0</v>
      </c>
      <c r="J96" s="13">
        <f>+SUMIF('GE16FEB14 Unfudged'!$A$2:$A$498, 'Tax Bill Summary'!$A96, 'GE16FEB14 Unfudged'!H$2:H$498)</f>
        <v>0</v>
      </c>
      <c r="K96" s="56">
        <f t="shared" si="90"/>
        <v>0</v>
      </c>
      <c r="L96" s="51">
        <f>+SUMIF('GE16FEB14 Unfudged'!$A$2:$A$498, 'Tax Bill Summary'!$A96, 'GE16FEB14 Unfudged'!I$2:IF$498)</f>
        <v>349093</v>
      </c>
      <c r="M96" s="13">
        <f>+SUMIF('GE16FEB14 Unfudged'!$A$2:$A$498, 'Tax Bill Summary'!$A96, 'GE16FEB14 Unfudged'!J$2:IG$498)</f>
        <v>150567</v>
      </c>
      <c r="N96" s="56">
        <f t="shared" si="91"/>
        <v>198526</v>
      </c>
      <c r="O96" s="51">
        <f t="shared" si="92"/>
        <v>444810</v>
      </c>
      <c r="P96" s="13">
        <f t="shared" si="93"/>
        <v>206047</v>
      </c>
      <c r="Q96" s="56">
        <f t="shared" si="94"/>
        <v>238763</v>
      </c>
      <c r="R96" s="13">
        <f t="shared" si="95"/>
        <v>628.26271186440681</v>
      </c>
      <c r="S96" s="13">
        <f t="shared" si="96"/>
        <v>291.02683615819211</v>
      </c>
      <c r="T96" s="16">
        <f t="shared" si="97"/>
        <v>337.2358757062147</v>
      </c>
      <c r="U96" s="15">
        <f>+SUMIF('GE16FEB14 Tax Bill Unfudged'!$A$2:$A$498, 'Tax Bill Summary'!$A96, 'GE16FEB14 Tax Bill Unfudged'!E$2:E$498)</f>
        <v>101981</v>
      </c>
      <c r="V96" s="13">
        <f>+SUMIF('GE16FEB14 Tax Bill Unfudged'!$A$2:$A$498, 'Tax Bill Summary'!$A96, 'GE16FEB14 Tax Bill Unfudged'!F$2:F$498)</f>
        <v>59111</v>
      </c>
      <c r="W96" s="56">
        <f t="shared" si="98"/>
        <v>42870</v>
      </c>
      <c r="X96" s="51">
        <f>+SUMIF('GE16FEB14 Tax Bill Unfudged'!$A$2:$A$498, 'Tax Bill Summary'!$A96, 'GE16FEB14 Tax Bill Unfudged'!G$2:G$498)</f>
        <v>300277</v>
      </c>
      <c r="Y96" s="13">
        <f>+SUMIF('GE16FEB14 Tax Bill Unfudged'!$A$2:$A$498, 'Tax Bill Summary'!$A96, 'GE16FEB14 Tax Bill Unfudged'!H$2:H$498)</f>
        <v>174050</v>
      </c>
      <c r="Z96" s="56">
        <f t="shared" si="99"/>
        <v>126227</v>
      </c>
      <c r="AA96" s="51">
        <f>+SUMIF('GE16FEB14 Tax Bill Unfudged'!$A$2:$A$498, 'Tax Bill Summary'!$A96, 'GE16FEB14 Tax Bill Unfudged'!I$2:I$498)</f>
        <v>212460</v>
      </c>
      <c r="AB96" s="13">
        <f>+SUMIF('GE16FEB14 Tax Bill Unfudged'!$A$2:$A$498, 'Tax Bill Summary'!$A96, 'GE16FEB14 Tax Bill Unfudged'!J$2:J$498)</f>
        <v>71370</v>
      </c>
      <c r="AC96" s="56">
        <f t="shared" si="100"/>
        <v>141090</v>
      </c>
      <c r="AD96" s="51">
        <f t="shared" si="101"/>
        <v>614718</v>
      </c>
      <c r="AE96" s="13">
        <f t="shared" si="102"/>
        <v>304531</v>
      </c>
      <c r="AF96" s="56">
        <f t="shared" si="103"/>
        <v>310187</v>
      </c>
      <c r="AG96" s="13">
        <f t="shared" si="104"/>
        <v>868.24576271186436</v>
      </c>
      <c r="AH96" s="13">
        <f t="shared" si="105"/>
        <v>430.12853107344631</v>
      </c>
      <c r="AI96" s="16">
        <f t="shared" si="106"/>
        <v>438.1172316384181</v>
      </c>
      <c r="AJ96" s="15">
        <f t="shared" si="107"/>
        <v>6264</v>
      </c>
      <c r="AK96" s="13">
        <f t="shared" si="108"/>
        <v>3631</v>
      </c>
      <c r="AL96" s="56">
        <f t="shared" si="109"/>
        <v>2633</v>
      </c>
      <c r="AM96" s="51">
        <f t="shared" si="110"/>
        <v>300277</v>
      </c>
      <c r="AN96" s="13">
        <f t="shared" si="111"/>
        <v>174050</v>
      </c>
      <c r="AO96" s="56">
        <f t="shared" si="112"/>
        <v>126227</v>
      </c>
      <c r="AP96" s="51">
        <f t="shared" si="113"/>
        <v>-136633</v>
      </c>
      <c r="AQ96" s="13">
        <f t="shared" si="114"/>
        <v>-79197</v>
      </c>
      <c r="AR96" s="56">
        <f t="shared" si="115"/>
        <v>-57436</v>
      </c>
      <c r="AS96" s="51">
        <f t="shared" si="116"/>
        <v>169908</v>
      </c>
      <c r="AT96" s="13">
        <f t="shared" si="117"/>
        <v>98484</v>
      </c>
      <c r="AU96" s="56">
        <f t="shared" si="118"/>
        <v>71424</v>
      </c>
      <c r="AV96" s="13">
        <f t="shared" si="119"/>
        <v>239.98305084745755</v>
      </c>
      <c r="AW96" s="13">
        <f t="shared" si="120"/>
        <v>139.1016949152542</v>
      </c>
      <c r="AX96" s="16">
        <f t="shared" si="121"/>
        <v>100.88135593220341</v>
      </c>
    </row>
    <row r="97" spans="1:50" x14ac:dyDescent="0.25">
      <c r="A97" s="20">
        <v>255</v>
      </c>
      <c r="B97">
        <v>1</v>
      </c>
      <c r="C97" s="23" t="s">
        <v>213</v>
      </c>
      <c r="D97" s="23">
        <v>5</v>
      </c>
      <c r="E97" s="15">
        <f>+SUMIF('GE16FEB14 Unfudged'!$A$2:$A$498, $A97, 'GE16FEB14 Unfudged'!$D$2:$D$498)</f>
        <v>1363</v>
      </c>
      <c r="F97" s="15">
        <f>+SUMIF('GE16FEB14 Unfudged'!$A$2:$A$498, 'Tax Bill Summary'!$A97, 'GE16FEB14 Unfudged'!E$2:E$498)</f>
        <v>170327</v>
      </c>
      <c r="G97" s="13">
        <f>+SUMIF('GE16FEB14 Unfudged'!$A$2:$A$498, 'Tax Bill Summary'!$A97, 'GE16FEB14 Unfudged'!F$2:F$498)</f>
        <v>116238</v>
      </c>
      <c r="H97" s="56">
        <f t="shared" si="89"/>
        <v>54089</v>
      </c>
      <c r="I97" s="51">
        <f>+SUMIF('GE16FEB14 Unfudged'!$A$2:$A$498, 'Tax Bill Summary'!$A97, 'GE16FEB14 Unfudged'!G$2:G$498)</f>
        <v>0</v>
      </c>
      <c r="J97" s="13">
        <f>+SUMIF('GE16FEB14 Unfudged'!$A$2:$A$498, 'Tax Bill Summary'!$A97, 'GE16FEB14 Unfudged'!H$2:H$498)</f>
        <v>0</v>
      </c>
      <c r="K97" s="56">
        <f t="shared" si="90"/>
        <v>0</v>
      </c>
      <c r="L97" s="51">
        <f>+SUMIF('GE16FEB14 Unfudged'!$A$2:$A$498, 'Tax Bill Summary'!$A97, 'GE16FEB14 Unfudged'!I$2:IF$498)</f>
        <v>973441</v>
      </c>
      <c r="M97" s="13">
        <f>+SUMIF('GE16FEB14 Unfudged'!$A$2:$A$498, 'Tax Bill Summary'!$A97, 'GE16FEB14 Unfudged'!J$2:IG$498)</f>
        <v>547020</v>
      </c>
      <c r="N97" s="56">
        <f t="shared" si="91"/>
        <v>426421</v>
      </c>
      <c r="O97" s="51">
        <f t="shared" si="92"/>
        <v>1143768</v>
      </c>
      <c r="P97" s="13">
        <f t="shared" si="93"/>
        <v>663258</v>
      </c>
      <c r="Q97" s="56">
        <f t="shared" si="94"/>
        <v>480510</v>
      </c>
      <c r="R97" s="13">
        <f t="shared" si="95"/>
        <v>839.15480557593548</v>
      </c>
      <c r="S97" s="13">
        <f t="shared" si="96"/>
        <v>486.61628760088041</v>
      </c>
      <c r="T97" s="16">
        <f t="shared" si="97"/>
        <v>352.53851797505502</v>
      </c>
      <c r="U97" s="15">
        <f>+SUMIF('GE16FEB14 Tax Bill Unfudged'!$A$2:$A$498, 'Tax Bill Summary'!$A97, 'GE16FEB14 Tax Bill Unfudged'!E$2:E$498)</f>
        <v>196214</v>
      </c>
      <c r="V97" s="13">
        <f>+SUMIF('GE16FEB14 Tax Bill Unfudged'!$A$2:$A$498, 'Tax Bill Summary'!$A97, 'GE16FEB14 Tax Bill Unfudged'!F$2:F$498)</f>
        <v>133904</v>
      </c>
      <c r="W97" s="56">
        <f t="shared" si="98"/>
        <v>62310</v>
      </c>
      <c r="X97" s="51">
        <f>+SUMIF('GE16FEB14 Tax Bill Unfudged'!$A$2:$A$498, 'Tax Bill Summary'!$A97, 'GE16FEB14 Tax Bill Unfudged'!G$2:G$498)</f>
        <v>577742</v>
      </c>
      <c r="Y97" s="13">
        <f>+SUMIF('GE16FEB14 Tax Bill Unfudged'!$A$2:$A$498, 'Tax Bill Summary'!$A97, 'GE16FEB14 Tax Bill Unfudged'!H$2:H$498)</f>
        <v>394273</v>
      </c>
      <c r="Z97" s="56">
        <f t="shared" si="99"/>
        <v>183469</v>
      </c>
      <c r="AA97" s="51">
        <f>+SUMIF('GE16FEB14 Tax Bill Unfudged'!$A$2:$A$498, 'Tax Bill Summary'!$A97, 'GE16FEB14 Tax Bill Unfudged'!I$2:I$498)</f>
        <v>408780</v>
      </c>
      <c r="AB97" s="13">
        <f>+SUMIF('GE16FEB14 Tax Bill Unfudged'!$A$2:$A$498, 'Tax Bill Summary'!$A97, 'GE16FEB14 Tax Bill Unfudged'!J$2:J$498)</f>
        <v>161674</v>
      </c>
      <c r="AC97" s="56">
        <f t="shared" si="100"/>
        <v>247106</v>
      </c>
      <c r="AD97" s="51">
        <f t="shared" si="101"/>
        <v>1182736</v>
      </c>
      <c r="AE97" s="13">
        <f t="shared" si="102"/>
        <v>689851</v>
      </c>
      <c r="AF97" s="56">
        <f t="shared" si="103"/>
        <v>492885</v>
      </c>
      <c r="AG97" s="13">
        <f t="shared" si="104"/>
        <v>867.74468085106378</v>
      </c>
      <c r="AH97" s="13">
        <f t="shared" si="105"/>
        <v>506.12692589875275</v>
      </c>
      <c r="AI97" s="16">
        <f t="shared" si="106"/>
        <v>361.61775495231109</v>
      </c>
      <c r="AJ97" s="15">
        <f t="shared" si="107"/>
        <v>25887</v>
      </c>
      <c r="AK97" s="13">
        <f t="shared" si="108"/>
        <v>17666</v>
      </c>
      <c r="AL97" s="56">
        <f t="shared" si="109"/>
        <v>8221</v>
      </c>
      <c r="AM97" s="51">
        <f t="shared" si="110"/>
        <v>577742</v>
      </c>
      <c r="AN97" s="13">
        <f t="shared" si="111"/>
        <v>394273</v>
      </c>
      <c r="AO97" s="56">
        <f t="shared" si="112"/>
        <v>183469</v>
      </c>
      <c r="AP97" s="51">
        <f t="shared" si="113"/>
        <v>-564661</v>
      </c>
      <c r="AQ97" s="13">
        <f t="shared" si="114"/>
        <v>-385346</v>
      </c>
      <c r="AR97" s="56">
        <f t="shared" si="115"/>
        <v>-179315</v>
      </c>
      <c r="AS97" s="51">
        <f t="shared" si="116"/>
        <v>38968</v>
      </c>
      <c r="AT97" s="13">
        <f t="shared" si="117"/>
        <v>26593</v>
      </c>
      <c r="AU97" s="56">
        <f t="shared" si="118"/>
        <v>12375</v>
      </c>
      <c r="AV97" s="13">
        <f t="shared" si="119"/>
        <v>28.589875275128293</v>
      </c>
      <c r="AW97" s="13">
        <f t="shared" si="120"/>
        <v>19.510638297872333</v>
      </c>
      <c r="AX97" s="16">
        <f t="shared" si="121"/>
        <v>9.0792369772560733</v>
      </c>
    </row>
    <row r="98" spans="1:50" x14ac:dyDescent="0.25">
      <c r="A98" s="20">
        <v>256</v>
      </c>
      <c r="B98">
        <v>1</v>
      </c>
      <c r="C98" s="23" t="s">
        <v>214</v>
      </c>
      <c r="D98" s="23">
        <v>4</v>
      </c>
      <c r="E98" s="15">
        <f>+SUMIF('GE16FEB14 Unfudged'!$A$2:$A$498, $A98, 'GE16FEB14 Unfudged'!$D$2:$D$498)</f>
        <v>2995</v>
      </c>
      <c r="F98" s="15">
        <f>+SUMIF('GE16FEB14 Unfudged'!$A$2:$A$498, 'Tax Bill Summary'!$A98, 'GE16FEB14 Unfudged'!E$2:E$498)</f>
        <v>338370</v>
      </c>
      <c r="G98" s="13">
        <f>+SUMIF('GE16FEB14 Unfudged'!$A$2:$A$498, 'Tax Bill Summary'!$A98, 'GE16FEB14 Unfudged'!F$2:F$498)</f>
        <v>338370</v>
      </c>
      <c r="H98" s="56">
        <f t="shared" si="89"/>
        <v>0</v>
      </c>
      <c r="I98" s="51">
        <f>+SUMIF('GE16FEB14 Unfudged'!$A$2:$A$498, 'Tax Bill Summary'!$A98, 'GE16FEB14 Unfudged'!G$2:G$498)</f>
        <v>635025</v>
      </c>
      <c r="J98" s="13">
        <f>+SUMIF('GE16FEB14 Unfudged'!$A$2:$A$498, 'Tax Bill Summary'!$A98, 'GE16FEB14 Unfudged'!H$2:H$498)</f>
        <v>635025</v>
      </c>
      <c r="K98" s="56">
        <f t="shared" si="90"/>
        <v>0</v>
      </c>
      <c r="L98" s="51">
        <f>+SUMIF('GE16FEB14 Unfudged'!$A$2:$A$498, 'Tax Bill Summary'!$A98, 'GE16FEB14 Unfudged'!I$2:IF$498)</f>
        <v>2926446</v>
      </c>
      <c r="M98" s="13">
        <f>+SUMIF('GE16FEB14 Unfudged'!$A$2:$A$498, 'Tax Bill Summary'!$A98, 'GE16FEB14 Unfudged'!J$2:IG$498)</f>
        <v>2665338</v>
      </c>
      <c r="N98" s="56">
        <f t="shared" si="91"/>
        <v>261108</v>
      </c>
      <c r="O98" s="51">
        <f t="shared" si="92"/>
        <v>3899841</v>
      </c>
      <c r="P98" s="13">
        <f t="shared" si="93"/>
        <v>3638733</v>
      </c>
      <c r="Q98" s="56">
        <f t="shared" si="94"/>
        <v>261108</v>
      </c>
      <c r="R98" s="13">
        <f t="shared" si="95"/>
        <v>1302.1171953255425</v>
      </c>
      <c r="S98" s="13">
        <f t="shared" si="96"/>
        <v>1214.9358931552588</v>
      </c>
      <c r="T98" s="16">
        <f t="shared" si="97"/>
        <v>87.1813021702838</v>
      </c>
      <c r="U98" s="15">
        <f>+SUMIF('GE16FEB14 Tax Bill Unfudged'!$A$2:$A$498, 'Tax Bill Summary'!$A98, 'GE16FEB14 Tax Bill Unfudged'!E$2:E$498)</f>
        <v>346987</v>
      </c>
      <c r="V98" s="13">
        <f>+SUMIF('GE16FEB14 Tax Bill Unfudged'!$A$2:$A$498, 'Tax Bill Summary'!$A98, 'GE16FEB14 Tax Bill Unfudged'!F$2:F$498)</f>
        <v>346987</v>
      </c>
      <c r="W98" s="56">
        <f t="shared" si="98"/>
        <v>0</v>
      </c>
      <c r="X98" s="51">
        <f>+SUMIF('GE16FEB14 Tax Bill Unfudged'!$A$2:$A$498, 'Tax Bill Summary'!$A98, 'GE16FEB14 Tax Bill Unfudged'!G$2:G$498)</f>
        <v>1270050</v>
      </c>
      <c r="Y98" s="13">
        <f>+SUMIF('GE16FEB14 Tax Bill Unfudged'!$A$2:$A$498, 'Tax Bill Summary'!$A98, 'GE16FEB14 Tax Bill Unfudged'!H$2:H$498)</f>
        <v>1270050</v>
      </c>
      <c r="Z98" s="56">
        <f t="shared" si="99"/>
        <v>0</v>
      </c>
      <c r="AA98" s="51">
        <f>+SUMIF('GE16FEB14 Tax Bill Unfudged'!$A$2:$A$498, 'Tax Bill Summary'!$A98, 'GE16FEB14 Tax Bill Unfudged'!I$2:I$498)</f>
        <v>2291421</v>
      </c>
      <c r="AB98" s="13">
        <f>+SUMIF('GE16FEB14 Tax Bill Unfudged'!$A$2:$A$498, 'Tax Bill Summary'!$A98, 'GE16FEB14 Tax Bill Unfudged'!J$2:J$498)</f>
        <v>2030313</v>
      </c>
      <c r="AC98" s="56">
        <f t="shared" si="100"/>
        <v>261108</v>
      </c>
      <c r="AD98" s="51">
        <f t="shared" si="101"/>
        <v>3908458</v>
      </c>
      <c r="AE98" s="13">
        <f t="shared" si="102"/>
        <v>3647350</v>
      </c>
      <c r="AF98" s="56">
        <f t="shared" si="103"/>
        <v>261108</v>
      </c>
      <c r="AG98" s="13">
        <f t="shared" si="104"/>
        <v>1304.9943238731219</v>
      </c>
      <c r="AH98" s="13">
        <f t="shared" si="105"/>
        <v>1217.8130217028381</v>
      </c>
      <c r="AI98" s="16">
        <f t="shared" si="106"/>
        <v>87.1813021702838</v>
      </c>
      <c r="AJ98" s="15">
        <f t="shared" si="107"/>
        <v>8617</v>
      </c>
      <c r="AK98" s="13">
        <f t="shared" si="108"/>
        <v>8617</v>
      </c>
      <c r="AL98" s="56">
        <f t="shared" si="109"/>
        <v>0</v>
      </c>
      <c r="AM98" s="51">
        <f t="shared" si="110"/>
        <v>635025</v>
      </c>
      <c r="AN98" s="13">
        <f t="shared" si="111"/>
        <v>635025</v>
      </c>
      <c r="AO98" s="56">
        <f t="shared" si="112"/>
        <v>0</v>
      </c>
      <c r="AP98" s="51">
        <f t="shared" si="113"/>
        <v>-635025</v>
      </c>
      <c r="AQ98" s="13">
        <f t="shared" si="114"/>
        <v>-635025</v>
      </c>
      <c r="AR98" s="56">
        <f t="shared" si="115"/>
        <v>0</v>
      </c>
      <c r="AS98" s="51">
        <f t="shared" si="116"/>
        <v>8617</v>
      </c>
      <c r="AT98" s="13">
        <f t="shared" si="117"/>
        <v>8617</v>
      </c>
      <c r="AU98" s="56">
        <f t="shared" si="118"/>
        <v>0</v>
      </c>
      <c r="AV98" s="13">
        <f t="shared" si="119"/>
        <v>2.877128547579332</v>
      </c>
      <c r="AW98" s="13">
        <f t="shared" si="120"/>
        <v>2.877128547579332</v>
      </c>
      <c r="AX98" s="16">
        <f t="shared" si="121"/>
        <v>0</v>
      </c>
    </row>
    <row r="99" spans="1:50" x14ac:dyDescent="0.25">
      <c r="A99" s="20">
        <v>261</v>
      </c>
      <c r="B99">
        <v>1</v>
      </c>
      <c r="C99" s="23" t="s">
        <v>215</v>
      </c>
      <c r="D99" s="23">
        <v>6</v>
      </c>
      <c r="E99" s="15">
        <f>+SUMIF('GE16FEB14 Unfudged'!$A$2:$A$498, $A99, 'GE16FEB14 Unfudged'!$D$2:$D$498)</f>
        <v>272</v>
      </c>
      <c r="F99" s="15">
        <f>+SUMIF('GE16FEB14 Unfudged'!$A$2:$A$498, 'Tax Bill Summary'!$A99, 'GE16FEB14 Unfudged'!E$2:E$498)</f>
        <v>26362</v>
      </c>
      <c r="G99" s="13">
        <f>+SUMIF('GE16FEB14 Unfudged'!$A$2:$A$498, 'Tax Bill Summary'!$A99, 'GE16FEB14 Unfudged'!F$2:F$498)</f>
        <v>19247</v>
      </c>
      <c r="H99" s="56">
        <f t="shared" si="89"/>
        <v>7115</v>
      </c>
      <c r="I99" s="51">
        <f>+SUMIF('GE16FEB14 Unfudged'!$A$2:$A$498, 'Tax Bill Summary'!$A99, 'GE16FEB14 Unfudged'!G$2:G$498)</f>
        <v>0</v>
      </c>
      <c r="J99" s="13">
        <f>+SUMIF('GE16FEB14 Unfudged'!$A$2:$A$498, 'Tax Bill Summary'!$A99, 'GE16FEB14 Unfudged'!H$2:H$498)</f>
        <v>0</v>
      </c>
      <c r="K99" s="56">
        <f t="shared" si="90"/>
        <v>0</v>
      </c>
      <c r="L99" s="51">
        <f>+SUMIF('GE16FEB14 Unfudged'!$A$2:$A$498, 'Tax Bill Summary'!$A99, 'GE16FEB14 Unfudged'!I$2:IF$498)</f>
        <v>360933</v>
      </c>
      <c r="M99" s="13">
        <f>+SUMIF('GE16FEB14 Unfudged'!$A$2:$A$498, 'Tax Bill Summary'!$A99, 'GE16FEB14 Unfudged'!J$2:IG$498)</f>
        <v>280089</v>
      </c>
      <c r="N99" s="56">
        <f t="shared" si="91"/>
        <v>80844</v>
      </c>
      <c r="O99" s="51">
        <f t="shared" si="92"/>
        <v>387295</v>
      </c>
      <c r="P99" s="13">
        <f t="shared" si="93"/>
        <v>299336</v>
      </c>
      <c r="Q99" s="56">
        <f t="shared" si="94"/>
        <v>87959</v>
      </c>
      <c r="R99" s="13">
        <f t="shared" si="95"/>
        <v>1423.8786764705883</v>
      </c>
      <c r="S99" s="13">
        <f t="shared" si="96"/>
        <v>1100.5</v>
      </c>
      <c r="T99" s="16">
        <f t="shared" si="97"/>
        <v>323.37867647058823</v>
      </c>
      <c r="U99" s="15">
        <f>+SUMIF('GE16FEB14 Tax Bill Unfudged'!$A$2:$A$498, 'Tax Bill Summary'!$A99, 'GE16FEB14 Tax Bill Unfudged'!E$2:E$498)</f>
        <v>29236</v>
      </c>
      <c r="V99" s="13">
        <f>+SUMIF('GE16FEB14 Tax Bill Unfudged'!$A$2:$A$498, 'Tax Bill Summary'!$A99, 'GE16FEB14 Tax Bill Unfudged'!F$2:F$498)</f>
        <v>21345</v>
      </c>
      <c r="W99" s="56">
        <f t="shared" si="98"/>
        <v>7891</v>
      </c>
      <c r="X99" s="51">
        <f>+SUMIF('GE16FEB14 Tax Bill Unfudged'!$A$2:$A$498, 'Tax Bill Summary'!$A99, 'GE16FEB14 Tax Bill Unfudged'!G$2:G$498)</f>
        <v>115328</v>
      </c>
      <c r="Y99" s="13">
        <f>+SUMIF('GE16FEB14 Tax Bill Unfudged'!$A$2:$A$498, 'Tax Bill Summary'!$A99, 'GE16FEB14 Tax Bill Unfudged'!H$2:H$498)</f>
        <v>84200</v>
      </c>
      <c r="Z99" s="56">
        <f t="shared" si="99"/>
        <v>31128</v>
      </c>
      <c r="AA99" s="51">
        <f>+SUMIF('GE16FEB14 Tax Bill Unfudged'!$A$2:$A$498, 'Tax Bill Summary'!$A99, 'GE16FEB14 Tax Bill Unfudged'!I$2:I$498)</f>
        <v>245605</v>
      </c>
      <c r="AB99" s="13">
        <f>+SUMIF('GE16FEB14 Tax Bill Unfudged'!$A$2:$A$498, 'Tax Bill Summary'!$A99, 'GE16FEB14 Tax Bill Unfudged'!J$2:J$498)</f>
        <v>164761</v>
      </c>
      <c r="AC99" s="56">
        <f t="shared" si="100"/>
        <v>80844</v>
      </c>
      <c r="AD99" s="51">
        <f t="shared" si="101"/>
        <v>390169</v>
      </c>
      <c r="AE99" s="13">
        <f t="shared" si="102"/>
        <v>270306</v>
      </c>
      <c r="AF99" s="56">
        <f t="shared" si="103"/>
        <v>119863</v>
      </c>
      <c r="AG99" s="13">
        <f t="shared" si="104"/>
        <v>1434.4448529411766</v>
      </c>
      <c r="AH99" s="13">
        <f t="shared" si="105"/>
        <v>993.77205882352939</v>
      </c>
      <c r="AI99" s="16">
        <f t="shared" si="106"/>
        <v>440.67279411764707</v>
      </c>
      <c r="AJ99" s="15">
        <f t="shared" si="107"/>
        <v>2874</v>
      </c>
      <c r="AK99" s="13">
        <f t="shared" si="108"/>
        <v>2098</v>
      </c>
      <c r="AL99" s="56">
        <f t="shared" si="109"/>
        <v>776</v>
      </c>
      <c r="AM99" s="51">
        <f t="shared" si="110"/>
        <v>115328</v>
      </c>
      <c r="AN99" s="13">
        <f t="shared" si="111"/>
        <v>84200</v>
      </c>
      <c r="AO99" s="56">
        <f t="shared" si="112"/>
        <v>31128</v>
      </c>
      <c r="AP99" s="51">
        <f t="shared" si="113"/>
        <v>-115328</v>
      </c>
      <c r="AQ99" s="13">
        <f t="shared" si="114"/>
        <v>-115328</v>
      </c>
      <c r="AR99" s="56">
        <f t="shared" si="115"/>
        <v>0</v>
      </c>
      <c r="AS99" s="51">
        <f t="shared" si="116"/>
        <v>2874</v>
      </c>
      <c r="AT99" s="13">
        <f t="shared" si="117"/>
        <v>-29030</v>
      </c>
      <c r="AU99" s="56">
        <f t="shared" si="118"/>
        <v>31904</v>
      </c>
      <c r="AV99" s="13">
        <f t="shared" si="119"/>
        <v>10.566176470588289</v>
      </c>
      <c r="AW99" s="13">
        <f t="shared" si="120"/>
        <v>-106.72794117647061</v>
      </c>
      <c r="AX99" s="16">
        <f t="shared" si="121"/>
        <v>117.29411764705884</v>
      </c>
    </row>
    <row r="100" spans="1:50" x14ac:dyDescent="0.25">
      <c r="A100" s="20">
        <v>264</v>
      </c>
      <c r="B100">
        <v>1</v>
      </c>
      <c r="C100" s="23" t="s">
        <v>216</v>
      </c>
      <c r="D100" s="23">
        <v>6</v>
      </c>
      <c r="E100" s="15">
        <f>+SUMIF('GE16FEB14 Unfudged'!$A$2:$A$498, $A100, 'GE16FEB14 Unfudged'!$D$2:$D$498)</f>
        <v>119</v>
      </c>
      <c r="F100" s="15">
        <f>+SUMIF('GE16FEB14 Unfudged'!$A$2:$A$498, 'Tax Bill Summary'!$A100, 'GE16FEB14 Unfudged'!E$2:E$498)</f>
        <v>5943</v>
      </c>
      <c r="G100" s="13">
        <f>+SUMIF('GE16FEB14 Unfudged'!$A$2:$A$498, 'Tax Bill Summary'!$A100, 'GE16FEB14 Unfudged'!F$2:F$498)</f>
        <v>3322</v>
      </c>
      <c r="H100" s="56">
        <f t="shared" si="89"/>
        <v>2621</v>
      </c>
      <c r="I100" s="51">
        <f>+SUMIF('GE16FEB14 Unfudged'!$A$2:$A$498, 'Tax Bill Summary'!$A100, 'GE16FEB14 Unfudged'!G$2:G$498)</f>
        <v>0</v>
      </c>
      <c r="J100" s="13">
        <f>+SUMIF('GE16FEB14 Unfudged'!$A$2:$A$498, 'Tax Bill Summary'!$A100, 'GE16FEB14 Unfudged'!H$2:H$498)</f>
        <v>0</v>
      </c>
      <c r="K100" s="56">
        <f t="shared" si="90"/>
        <v>0</v>
      </c>
      <c r="L100" s="51">
        <f>+SUMIF('GE16FEB14 Unfudged'!$A$2:$A$498, 'Tax Bill Summary'!$A100, 'GE16FEB14 Unfudged'!I$2:IF$498)</f>
        <v>449507</v>
      </c>
      <c r="M100" s="13">
        <f>+SUMIF('GE16FEB14 Unfudged'!$A$2:$A$498, 'Tax Bill Summary'!$A100, 'GE16FEB14 Unfudged'!J$2:IG$498)</f>
        <v>202175</v>
      </c>
      <c r="N100" s="56">
        <f t="shared" si="91"/>
        <v>247332</v>
      </c>
      <c r="O100" s="51">
        <f t="shared" si="92"/>
        <v>455450</v>
      </c>
      <c r="P100" s="13">
        <f t="shared" si="93"/>
        <v>205497</v>
      </c>
      <c r="Q100" s="56">
        <f t="shared" si="94"/>
        <v>249953</v>
      </c>
      <c r="R100" s="13">
        <f t="shared" si="95"/>
        <v>3827.3109243697477</v>
      </c>
      <c r="S100" s="13">
        <f t="shared" si="96"/>
        <v>1726.8655462184875</v>
      </c>
      <c r="T100" s="16">
        <f t="shared" si="97"/>
        <v>2100.4453781512607</v>
      </c>
      <c r="U100" s="15">
        <f>+SUMIF('GE16FEB14 Tax Bill Unfudged'!$A$2:$A$498, 'Tax Bill Summary'!$A100, 'GE16FEB14 Tax Bill Unfudged'!E$2:E$498)</f>
        <v>5943</v>
      </c>
      <c r="V100" s="13">
        <f>+SUMIF('GE16FEB14 Tax Bill Unfudged'!$A$2:$A$498, 'Tax Bill Summary'!$A100, 'GE16FEB14 Tax Bill Unfudged'!F$2:F$498)</f>
        <v>3322</v>
      </c>
      <c r="W100" s="56">
        <f t="shared" si="98"/>
        <v>2621</v>
      </c>
      <c r="X100" s="51">
        <f>+SUMIF('GE16FEB14 Tax Bill Unfudged'!$A$2:$A$498, 'Tax Bill Summary'!$A100, 'GE16FEB14 Tax Bill Unfudged'!G$2:G$498)</f>
        <v>50392</v>
      </c>
      <c r="Y100" s="13">
        <f>+SUMIF('GE16FEB14 Tax Bill Unfudged'!$A$2:$A$498, 'Tax Bill Summary'!$A100, 'GE16FEB14 Tax Bill Unfudged'!H$2:H$498)</f>
        <v>28172</v>
      </c>
      <c r="Z100" s="56">
        <f t="shared" si="99"/>
        <v>22220</v>
      </c>
      <c r="AA100" s="51">
        <f>+SUMIF('GE16FEB14 Tax Bill Unfudged'!$A$2:$A$498, 'Tax Bill Summary'!$A100, 'GE16FEB14 Tax Bill Unfudged'!I$2:I$498)</f>
        <v>399115</v>
      </c>
      <c r="AB100" s="13">
        <f>+SUMIF('GE16FEB14 Tax Bill Unfudged'!$A$2:$A$498, 'Tax Bill Summary'!$A100, 'GE16FEB14 Tax Bill Unfudged'!J$2:J$498)</f>
        <v>151783</v>
      </c>
      <c r="AC100" s="56">
        <f t="shared" si="100"/>
        <v>247332</v>
      </c>
      <c r="AD100" s="51">
        <f t="shared" si="101"/>
        <v>455450</v>
      </c>
      <c r="AE100" s="13">
        <f t="shared" si="102"/>
        <v>183277</v>
      </c>
      <c r="AF100" s="56">
        <f t="shared" si="103"/>
        <v>272173</v>
      </c>
      <c r="AG100" s="13">
        <f t="shared" si="104"/>
        <v>3827.3109243697477</v>
      </c>
      <c r="AH100" s="13">
        <f t="shared" si="105"/>
        <v>1540.1428571428571</v>
      </c>
      <c r="AI100" s="16">
        <f t="shared" si="106"/>
        <v>2287.1680672268908</v>
      </c>
      <c r="AJ100" s="15">
        <f t="shared" si="107"/>
        <v>0</v>
      </c>
      <c r="AK100" s="13">
        <f t="shared" si="108"/>
        <v>0</v>
      </c>
      <c r="AL100" s="56">
        <f t="shared" si="109"/>
        <v>0</v>
      </c>
      <c r="AM100" s="51">
        <f t="shared" si="110"/>
        <v>50392</v>
      </c>
      <c r="AN100" s="13">
        <f t="shared" si="111"/>
        <v>28172</v>
      </c>
      <c r="AO100" s="56">
        <f t="shared" si="112"/>
        <v>22220</v>
      </c>
      <c r="AP100" s="51">
        <f t="shared" si="113"/>
        <v>-50392</v>
      </c>
      <c r="AQ100" s="13">
        <f t="shared" si="114"/>
        <v>-50392</v>
      </c>
      <c r="AR100" s="56">
        <f t="shared" si="115"/>
        <v>0</v>
      </c>
      <c r="AS100" s="51">
        <f t="shared" si="116"/>
        <v>0</v>
      </c>
      <c r="AT100" s="13">
        <f t="shared" si="117"/>
        <v>-22220</v>
      </c>
      <c r="AU100" s="56">
        <f t="shared" si="118"/>
        <v>22220</v>
      </c>
      <c r="AV100" s="13">
        <f t="shared" si="119"/>
        <v>0</v>
      </c>
      <c r="AW100" s="13">
        <f t="shared" si="120"/>
        <v>-186.72268907563034</v>
      </c>
      <c r="AX100" s="16">
        <f t="shared" si="121"/>
        <v>186.72268907563011</v>
      </c>
    </row>
    <row r="101" spans="1:50" x14ac:dyDescent="0.25">
      <c r="A101" s="20">
        <v>270</v>
      </c>
      <c r="B101">
        <v>1</v>
      </c>
      <c r="C101" s="23" t="s">
        <v>217</v>
      </c>
      <c r="D101" s="23">
        <v>2</v>
      </c>
      <c r="E101" s="15">
        <f>+SUMIF('GE16FEB14 Unfudged'!$A$2:$A$498, $A101, 'GE16FEB14 Unfudged'!$D$2:$D$498)</f>
        <v>7432</v>
      </c>
      <c r="F101" s="15">
        <f>+SUMIF('GE16FEB14 Unfudged'!$A$2:$A$498, 'Tax Bill Summary'!$A101, 'GE16FEB14 Unfudged'!E$2:E$498)</f>
        <v>371590</v>
      </c>
      <c r="G101" s="13">
        <f>+SUMIF('GE16FEB14 Unfudged'!$A$2:$A$498, 'Tax Bill Summary'!$A101, 'GE16FEB14 Unfudged'!F$2:F$498)</f>
        <v>371590</v>
      </c>
      <c r="H101" s="56">
        <f t="shared" si="89"/>
        <v>0</v>
      </c>
      <c r="I101" s="51">
        <f>+SUMIF('GE16FEB14 Unfudged'!$A$2:$A$498, 'Tax Bill Summary'!$A101, 'GE16FEB14 Unfudged'!G$2:G$498)</f>
        <v>3151083</v>
      </c>
      <c r="J101" s="13">
        <f>+SUMIF('GE16FEB14 Unfudged'!$A$2:$A$498, 'Tax Bill Summary'!$A101, 'GE16FEB14 Unfudged'!H$2:H$498)</f>
        <v>3151083</v>
      </c>
      <c r="K101" s="56">
        <f t="shared" si="90"/>
        <v>0</v>
      </c>
      <c r="L101" s="51">
        <f>+SUMIF('GE16FEB14 Unfudged'!$A$2:$A$498, 'Tax Bill Summary'!$A101, 'GE16FEB14 Unfudged'!I$2:IF$498)</f>
        <v>14129487</v>
      </c>
      <c r="M101" s="13">
        <f>+SUMIF('GE16FEB14 Unfudged'!$A$2:$A$498, 'Tax Bill Summary'!$A101, 'GE16FEB14 Unfudged'!J$2:IG$498)</f>
        <v>14117237</v>
      </c>
      <c r="N101" s="56">
        <f t="shared" si="91"/>
        <v>12250</v>
      </c>
      <c r="O101" s="51">
        <f t="shared" si="92"/>
        <v>17652160</v>
      </c>
      <c r="P101" s="13">
        <f t="shared" si="93"/>
        <v>17639910</v>
      </c>
      <c r="Q101" s="56">
        <f t="shared" si="94"/>
        <v>12250</v>
      </c>
      <c r="R101" s="13">
        <f t="shared" si="95"/>
        <v>2375.1560818083963</v>
      </c>
      <c r="S101" s="13">
        <f t="shared" si="96"/>
        <v>2373.50780409042</v>
      </c>
      <c r="T101" s="16">
        <f t="shared" si="97"/>
        <v>1.6482777179763186</v>
      </c>
      <c r="U101" s="15">
        <f>+SUMIF('GE16FEB14 Tax Bill Unfudged'!$A$2:$A$498, 'Tax Bill Summary'!$A101, 'GE16FEB14 Tax Bill Unfudged'!E$2:E$498)</f>
        <v>371590</v>
      </c>
      <c r="V101" s="13">
        <f>+SUMIF('GE16FEB14 Tax Bill Unfudged'!$A$2:$A$498, 'Tax Bill Summary'!$A101, 'GE16FEB14 Tax Bill Unfudged'!F$2:F$498)</f>
        <v>371590</v>
      </c>
      <c r="W101" s="56">
        <f t="shared" si="98"/>
        <v>0</v>
      </c>
      <c r="X101" s="51">
        <f>+SUMIF('GE16FEB14 Tax Bill Unfudged'!$A$2:$A$498, 'Tax Bill Summary'!$A101, 'GE16FEB14 Tax Bill Unfudged'!G$2:G$498)</f>
        <v>3151083</v>
      </c>
      <c r="Y101" s="13">
        <f>+SUMIF('GE16FEB14 Tax Bill Unfudged'!$A$2:$A$498, 'Tax Bill Summary'!$A101, 'GE16FEB14 Tax Bill Unfudged'!H$2:H$498)</f>
        <v>3151083</v>
      </c>
      <c r="Z101" s="56">
        <f t="shared" si="99"/>
        <v>0</v>
      </c>
      <c r="AA101" s="51">
        <f>+SUMIF('GE16FEB14 Tax Bill Unfudged'!$A$2:$A$498, 'Tax Bill Summary'!$A101, 'GE16FEB14 Tax Bill Unfudged'!I$2:I$498)</f>
        <v>14129487</v>
      </c>
      <c r="AB101" s="13">
        <f>+SUMIF('GE16FEB14 Tax Bill Unfudged'!$A$2:$A$498, 'Tax Bill Summary'!$A101, 'GE16FEB14 Tax Bill Unfudged'!J$2:J$498)</f>
        <v>14117237</v>
      </c>
      <c r="AC101" s="56">
        <f t="shared" si="100"/>
        <v>12250</v>
      </c>
      <c r="AD101" s="51">
        <f t="shared" si="101"/>
        <v>17652160</v>
      </c>
      <c r="AE101" s="13">
        <f t="shared" si="102"/>
        <v>17639910</v>
      </c>
      <c r="AF101" s="56">
        <f t="shared" si="103"/>
        <v>12250</v>
      </c>
      <c r="AG101" s="13">
        <f t="shared" si="104"/>
        <v>2375.1560818083963</v>
      </c>
      <c r="AH101" s="13">
        <f t="shared" si="105"/>
        <v>2373.50780409042</v>
      </c>
      <c r="AI101" s="16">
        <f t="shared" si="106"/>
        <v>1.6482777179763186</v>
      </c>
      <c r="AJ101" s="15">
        <f t="shared" si="107"/>
        <v>0</v>
      </c>
      <c r="AK101" s="13">
        <f t="shared" si="108"/>
        <v>0</v>
      </c>
      <c r="AL101" s="56">
        <f t="shared" si="109"/>
        <v>0</v>
      </c>
      <c r="AM101" s="51">
        <f t="shared" si="110"/>
        <v>0</v>
      </c>
      <c r="AN101" s="13">
        <f t="shared" si="111"/>
        <v>0</v>
      </c>
      <c r="AO101" s="56">
        <f t="shared" si="112"/>
        <v>0</v>
      </c>
      <c r="AP101" s="51">
        <f t="shared" si="113"/>
        <v>0</v>
      </c>
      <c r="AQ101" s="13">
        <f t="shared" si="114"/>
        <v>0</v>
      </c>
      <c r="AR101" s="56">
        <f t="shared" si="115"/>
        <v>0</v>
      </c>
      <c r="AS101" s="51">
        <f t="shared" si="116"/>
        <v>0</v>
      </c>
      <c r="AT101" s="13">
        <f t="shared" si="117"/>
        <v>0</v>
      </c>
      <c r="AU101" s="56">
        <f t="shared" si="118"/>
        <v>0</v>
      </c>
      <c r="AV101" s="13">
        <f t="shared" si="119"/>
        <v>0</v>
      </c>
      <c r="AW101" s="13">
        <f t="shared" si="120"/>
        <v>0</v>
      </c>
      <c r="AX101" s="16">
        <f t="shared" si="121"/>
        <v>0</v>
      </c>
    </row>
    <row r="102" spans="1:50" x14ac:dyDescent="0.25">
      <c r="A102" s="20">
        <v>271</v>
      </c>
      <c r="B102">
        <v>1</v>
      </c>
      <c r="C102" s="23" t="s">
        <v>218</v>
      </c>
      <c r="D102" s="23">
        <v>3</v>
      </c>
      <c r="E102" s="15">
        <f>+SUMIF('GE16FEB14 Unfudged'!$A$2:$A$498, $A102, 'GE16FEB14 Unfudged'!$D$2:$D$498)</f>
        <v>11158</v>
      </c>
      <c r="F102" s="15">
        <f>+SUMIF('GE16FEB14 Unfudged'!$A$2:$A$498, 'Tax Bill Summary'!$A102, 'GE16FEB14 Unfudged'!E$2:E$498)</f>
        <v>924608</v>
      </c>
      <c r="G102" s="13">
        <f>+SUMIF('GE16FEB14 Unfudged'!$A$2:$A$498, 'Tax Bill Summary'!$A102, 'GE16FEB14 Unfudged'!F$2:F$498)</f>
        <v>924608</v>
      </c>
      <c r="H102" s="56">
        <f t="shared" si="89"/>
        <v>0</v>
      </c>
      <c r="I102" s="51">
        <f>+SUMIF('GE16FEB14 Unfudged'!$A$2:$A$498, 'Tax Bill Summary'!$A102, 'GE16FEB14 Unfudged'!G$2:G$498)</f>
        <v>4730907</v>
      </c>
      <c r="J102" s="13">
        <f>+SUMIF('GE16FEB14 Unfudged'!$A$2:$A$498, 'Tax Bill Summary'!$A102, 'GE16FEB14 Unfudged'!H$2:H$498)</f>
        <v>4730907</v>
      </c>
      <c r="K102" s="56">
        <f t="shared" si="90"/>
        <v>0</v>
      </c>
      <c r="L102" s="51">
        <f>+SUMIF('GE16FEB14 Unfudged'!$A$2:$A$498, 'Tax Bill Summary'!$A102, 'GE16FEB14 Unfudged'!I$2:IF$498)</f>
        <v>15649149</v>
      </c>
      <c r="M102" s="13">
        <f>+SUMIF('GE16FEB14 Unfudged'!$A$2:$A$498, 'Tax Bill Summary'!$A102, 'GE16FEB14 Unfudged'!J$2:IG$498)</f>
        <v>15532133</v>
      </c>
      <c r="N102" s="56">
        <f t="shared" si="91"/>
        <v>117016</v>
      </c>
      <c r="O102" s="51">
        <f t="shared" si="92"/>
        <v>21304664</v>
      </c>
      <c r="P102" s="13">
        <f t="shared" si="93"/>
        <v>21187648</v>
      </c>
      <c r="Q102" s="56">
        <f t="shared" si="94"/>
        <v>117016</v>
      </c>
      <c r="R102" s="13">
        <f t="shared" si="95"/>
        <v>1909.3622512995159</v>
      </c>
      <c r="S102" s="13">
        <f t="shared" si="96"/>
        <v>1898.8750672163469</v>
      </c>
      <c r="T102" s="16">
        <f t="shared" si="97"/>
        <v>10.487184083169026</v>
      </c>
      <c r="U102" s="15">
        <f>+SUMIF('GE16FEB14 Tax Bill Unfudged'!$A$2:$A$498, 'Tax Bill Summary'!$A102, 'GE16FEB14 Tax Bill Unfudged'!E$2:E$498)</f>
        <v>924608</v>
      </c>
      <c r="V102" s="13">
        <f>+SUMIF('GE16FEB14 Tax Bill Unfudged'!$A$2:$A$498, 'Tax Bill Summary'!$A102, 'GE16FEB14 Tax Bill Unfudged'!F$2:F$498)</f>
        <v>924608</v>
      </c>
      <c r="W102" s="56">
        <f t="shared" si="98"/>
        <v>0</v>
      </c>
      <c r="X102" s="51">
        <f>+SUMIF('GE16FEB14 Tax Bill Unfudged'!$A$2:$A$498, 'Tax Bill Summary'!$A102, 'GE16FEB14 Tax Bill Unfudged'!G$2:G$498)</f>
        <v>4730907</v>
      </c>
      <c r="Y102" s="13">
        <f>+SUMIF('GE16FEB14 Tax Bill Unfudged'!$A$2:$A$498, 'Tax Bill Summary'!$A102, 'GE16FEB14 Tax Bill Unfudged'!H$2:H$498)</f>
        <v>4730907</v>
      </c>
      <c r="Z102" s="56">
        <f t="shared" si="99"/>
        <v>0</v>
      </c>
      <c r="AA102" s="51">
        <f>+SUMIF('GE16FEB14 Tax Bill Unfudged'!$A$2:$A$498, 'Tax Bill Summary'!$A102, 'GE16FEB14 Tax Bill Unfudged'!I$2:I$498)</f>
        <v>15649149</v>
      </c>
      <c r="AB102" s="13">
        <f>+SUMIF('GE16FEB14 Tax Bill Unfudged'!$A$2:$A$498, 'Tax Bill Summary'!$A102, 'GE16FEB14 Tax Bill Unfudged'!J$2:J$498)</f>
        <v>15532133</v>
      </c>
      <c r="AC102" s="56">
        <f t="shared" si="100"/>
        <v>117016</v>
      </c>
      <c r="AD102" s="51">
        <f t="shared" si="101"/>
        <v>21304664</v>
      </c>
      <c r="AE102" s="13">
        <f t="shared" si="102"/>
        <v>21187648</v>
      </c>
      <c r="AF102" s="56">
        <f t="shared" si="103"/>
        <v>117016</v>
      </c>
      <c r="AG102" s="13">
        <f t="shared" si="104"/>
        <v>1909.3622512995159</v>
      </c>
      <c r="AH102" s="13">
        <f t="shared" si="105"/>
        <v>1898.8750672163469</v>
      </c>
      <c r="AI102" s="16">
        <f t="shared" si="106"/>
        <v>10.487184083169026</v>
      </c>
      <c r="AJ102" s="15">
        <f t="shared" si="107"/>
        <v>0</v>
      </c>
      <c r="AK102" s="13">
        <f t="shared" si="108"/>
        <v>0</v>
      </c>
      <c r="AL102" s="56">
        <f t="shared" si="109"/>
        <v>0</v>
      </c>
      <c r="AM102" s="51">
        <f t="shared" si="110"/>
        <v>0</v>
      </c>
      <c r="AN102" s="13">
        <f t="shared" si="111"/>
        <v>0</v>
      </c>
      <c r="AO102" s="56">
        <f t="shared" si="112"/>
        <v>0</v>
      </c>
      <c r="AP102" s="51">
        <f t="shared" si="113"/>
        <v>0</v>
      </c>
      <c r="AQ102" s="13">
        <f t="shared" si="114"/>
        <v>0</v>
      </c>
      <c r="AR102" s="56">
        <f t="shared" si="115"/>
        <v>0</v>
      </c>
      <c r="AS102" s="51">
        <f t="shared" si="116"/>
        <v>0</v>
      </c>
      <c r="AT102" s="13">
        <f t="shared" si="117"/>
        <v>0</v>
      </c>
      <c r="AU102" s="56">
        <f t="shared" si="118"/>
        <v>0</v>
      </c>
      <c r="AV102" s="13">
        <f t="shared" si="119"/>
        <v>0</v>
      </c>
      <c r="AW102" s="13">
        <f t="shared" si="120"/>
        <v>0</v>
      </c>
      <c r="AX102" s="16">
        <f t="shared" si="121"/>
        <v>0</v>
      </c>
    </row>
    <row r="103" spans="1:50" x14ac:dyDescent="0.25">
      <c r="A103" s="20">
        <v>272</v>
      </c>
      <c r="B103">
        <v>1</v>
      </c>
      <c r="C103" s="23" t="s">
        <v>219</v>
      </c>
      <c r="D103" s="23">
        <v>3</v>
      </c>
      <c r="E103" s="15">
        <f>+SUMIF('GE16FEB14 Unfudged'!$A$2:$A$498, $A103, 'GE16FEB14 Unfudged'!$D$2:$D$498)</f>
        <v>10035</v>
      </c>
      <c r="F103" s="15">
        <f>+SUMIF('GE16FEB14 Unfudged'!$A$2:$A$498, 'Tax Bill Summary'!$A103, 'GE16FEB14 Unfudged'!E$2:E$498)</f>
        <v>1232140</v>
      </c>
      <c r="G103" s="13">
        <f>+SUMIF('GE16FEB14 Unfudged'!$A$2:$A$498, 'Tax Bill Summary'!$A103, 'GE16FEB14 Unfudged'!F$2:F$498)</f>
        <v>1232140</v>
      </c>
      <c r="H103" s="56">
        <f t="shared" si="89"/>
        <v>0</v>
      </c>
      <c r="I103" s="51">
        <f>+SUMIF('GE16FEB14 Unfudged'!$A$2:$A$498, 'Tax Bill Summary'!$A103, 'GE16FEB14 Unfudged'!G$2:G$498)</f>
        <v>4255010</v>
      </c>
      <c r="J103" s="13">
        <f>+SUMIF('GE16FEB14 Unfudged'!$A$2:$A$498, 'Tax Bill Summary'!$A103, 'GE16FEB14 Unfudged'!H$2:H$498)</f>
        <v>4255010</v>
      </c>
      <c r="K103" s="56">
        <f t="shared" si="90"/>
        <v>0</v>
      </c>
      <c r="L103" s="51">
        <f>+SUMIF('GE16FEB14 Unfudged'!$A$2:$A$498, 'Tax Bill Summary'!$A103, 'GE16FEB14 Unfudged'!I$2:IF$498)</f>
        <v>8857043</v>
      </c>
      <c r="M103" s="13">
        <f>+SUMIF('GE16FEB14 Unfudged'!$A$2:$A$498, 'Tax Bill Summary'!$A103, 'GE16FEB14 Unfudged'!J$2:IG$498)</f>
        <v>8548776</v>
      </c>
      <c r="N103" s="56">
        <f t="shared" si="91"/>
        <v>308267</v>
      </c>
      <c r="O103" s="51">
        <f t="shared" si="92"/>
        <v>14344193</v>
      </c>
      <c r="P103" s="13">
        <f t="shared" si="93"/>
        <v>14035926</v>
      </c>
      <c r="Q103" s="56">
        <f t="shared" si="94"/>
        <v>308267</v>
      </c>
      <c r="R103" s="13">
        <f t="shared" si="95"/>
        <v>1429.4163428001993</v>
      </c>
      <c r="S103" s="13">
        <f t="shared" si="96"/>
        <v>1398.6971599402093</v>
      </c>
      <c r="T103" s="16">
        <f t="shared" si="97"/>
        <v>30.719182859990035</v>
      </c>
      <c r="U103" s="15">
        <f>+SUMIF('GE16FEB14 Tax Bill Unfudged'!$A$2:$A$498, 'Tax Bill Summary'!$A103, 'GE16FEB14 Tax Bill Unfudged'!E$2:E$498)</f>
        <v>1232140</v>
      </c>
      <c r="V103" s="13">
        <f>+SUMIF('GE16FEB14 Tax Bill Unfudged'!$A$2:$A$498, 'Tax Bill Summary'!$A103, 'GE16FEB14 Tax Bill Unfudged'!F$2:F$498)</f>
        <v>1232140</v>
      </c>
      <c r="W103" s="56">
        <f t="shared" si="98"/>
        <v>0</v>
      </c>
      <c r="X103" s="51">
        <f>+SUMIF('GE16FEB14 Tax Bill Unfudged'!$A$2:$A$498, 'Tax Bill Summary'!$A103, 'GE16FEB14 Tax Bill Unfudged'!G$2:G$498)</f>
        <v>4255010</v>
      </c>
      <c r="Y103" s="13">
        <f>+SUMIF('GE16FEB14 Tax Bill Unfudged'!$A$2:$A$498, 'Tax Bill Summary'!$A103, 'GE16FEB14 Tax Bill Unfudged'!H$2:H$498)</f>
        <v>4255010</v>
      </c>
      <c r="Z103" s="56">
        <f t="shared" si="99"/>
        <v>0</v>
      </c>
      <c r="AA103" s="51">
        <f>+SUMIF('GE16FEB14 Tax Bill Unfudged'!$A$2:$A$498, 'Tax Bill Summary'!$A103, 'GE16FEB14 Tax Bill Unfudged'!I$2:I$498)</f>
        <v>8857043</v>
      </c>
      <c r="AB103" s="13">
        <f>+SUMIF('GE16FEB14 Tax Bill Unfudged'!$A$2:$A$498, 'Tax Bill Summary'!$A103, 'GE16FEB14 Tax Bill Unfudged'!J$2:J$498)</f>
        <v>8548776</v>
      </c>
      <c r="AC103" s="56">
        <f t="shared" si="100"/>
        <v>308267</v>
      </c>
      <c r="AD103" s="51">
        <f t="shared" si="101"/>
        <v>14344193</v>
      </c>
      <c r="AE103" s="13">
        <f t="shared" si="102"/>
        <v>14035926</v>
      </c>
      <c r="AF103" s="56">
        <f t="shared" si="103"/>
        <v>308267</v>
      </c>
      <c r="AG103" s="13">
        <f t="shared" si="104"/>
        <v>1429.4163428001993</v>
      </c>
      <c r="AH103" s="13">
        <f t="shared" si="105"/>
        <v>1398.6971599402093</v>
      </c>
      <c r="AI103" s="16">
        <f t="shared" si="106"/>
        <v>30.719182859990035</v>
      </c>
      <c r="AJ103" s="15">
        <f t="shared" si="107"/>
        <v>0</v>
      </c>
      <c r="AK103" s="13">
        <f t="shared" si="108"/>
        <v>0</v>
      </c>
      <c r="AL103" s="56">
        <f t="shared" si="109"/>
        <v>0</v>
      </c>
      <c r="AM103" s="51">
        <f t="shared" si="110"/>
        <v>0</v>
      </c>
      <c r="AN103" s="13">
        <f t="shared" si="111"/>
        <v>0</v>
      </c>
      <c r="AO103" s="56">
        <f t="shared" si="112"/>
        <v>0</v>
      </c>
      <c r="AP103" s="51">
        <f t="shared" si="113"/>
        <v>0</v>
      </c>
      <c r="AQ103" s="13">
        <f t="shared" si="114"/>
        <v>0</v>
      </c>
      <c r="AR103" s="56">
        <f t="shared" si="115"/>
        <v>0</v>
      </c>
      <c r="AS103" s="51">
        <f t="shared" si="116"/>
        <v>0</v>
      </c>
      <c r="AT103" s="13">
        <f t="shared" si="117"/>
        <v>0</v>
      </c>
      <c r="AU103" s="56">
        <f t="shared" si="118"/>
        <v>0</v>
      </c>
      <c r="AV103" s="13">
        <f t="shared" si="119"/>
        <v>0</v>
      </c>
      <c r="AW103" s="13">
        <f t="shared" si="120"/>
        <v>0</v>
      </c>
      <c r="AX103" s="16">
        <f t="shared" si="121"/>
        <v>0</v>
      </c>
    </row>
    <row r="104" spans="1:50" x14ac:dyDescent="0.25">
      <c r="A104" s="20">
        <v>273</v>
      </c>
      <c r="B104">
        <v>1</v>
      </c>
      <c r="C104" s="23" t="s">
        <v>220</v>
      </c>
      <c r="D104" s="23">
        <v>2</v>
      </c>
      <c r="E104" s="15">
        <f>+SUMIF('GE16FEB14 Unfudged'!$A$2:$A$498, $A104, 'GE16FEB14 Unfudged'!$D$2:$D$498)</f>
        <v>9421</v>
      </c>
      <c r="F104" s="15">
        <f>+SUMIF('GE16FEB14 Unfudged'!$A$2:$A$498, 'Tax Bill Summary'!$A104, 'GE16FEB14 Unfudged'!E$2:E$498)</f>
        <v>779106</v>
      </c>
      <c r="G104" s="13">
        <f>+SUMIF('GE16FEB14 Unfudged'!$A$2:$A$498, 'Tax Bill Summary'!$A104, 'GE16FEB14 Unfudged'!F$2:F$498)</f>
        <v>779106</v>
      </c>
      <c r="H104" s="56">
        <f t="shared" si="89"/>
        <v>0</v>
      </c>
      <c r="I104" s="51">
        <f>+SUMIF('GE16FEB14 Unfudged'!$A$2:$A$498, 'Tax Bill Summary'!$A104, 'GE16FEB14 Unfudged'!G$2:G$498)</f>
        <v>3994419</v>
      </c>
      <c r="J104" s="13">
        <f>+SUMIF('GE16FEB14 Unfudged'!$A$2:$A$498, 'Tax Bill Summary'!$A104, 'GE16FEB14 Unfudged'!H$2:H$498)</f>
        <v>3994419</v>
      </c>
      <c r="K104" s="56">
        <f t="shared" si="90"/>
        <v>0</v>
      </c>
      <c r="L104" s="51">
        <f>+SUMIF('GE16FEB14 Unfudged'!$A$2:$A$498, 'Tax Bill Summary'!$A104, 'GE16FEB14 Unfudged'!I$2:IF$498)</f>
        <v>13233304</v>
      </c>
      <c r="M104" s="13">
        <f>+SUMIF('GE16FEB14 Unfudged'!$A$2:$A$498, 'Tax Bill Summary'!$A104, 'GE16FEB14 Unfudged'!J$2:IG$498)</f>
        <v>13228832</v>
      </c>
      <c r="N104" s="56">
        <f t="shared" si="91"/>
        <v>4472</v>
      </c>
      <c r="O104" s="51">
        <f t="shared" si="92"/>
        <v>18006829</v>
      </c>
      <c r="P104" s="13">
        <f t="shared" si="93"/>
        <v>18002357</v>
      </c>
      <c r="Q104" s="56">
        <f t="shared" si="94"/>
        <v>4472</v>
      </c>
      <c r="R104" s="13">
        <f t="shared" si="95"/>
        <v>1911.3500689947989</v>
      </c>
      <c r="S104" s="13">
        <f t="shared" si="96"/>
        <v>1910.8753847786859</v>
      </c>
      <c r="T104" s="16">
        <f t="shared" si="97"/>
        <v>0.47468421611293921</v>
      </c>
      <c r="U104" s="15">
        <f>+SUMIF('GE16FEB14 Tax Bill Unfudged'!$A$2:$A$498, 'Tax Bill Summary'!$A104, 'GE16FEB14 Tax Bill Unfudged'!E$2:E$498)</f>
        <v>779106</v>
      </c>
      <c r="V104" s="13">
        <f>+SUMIF('GE16FEB14 Tax Bill Unfudged'!$A$2:$A$498, 'Tax Bill Summary'!$A104, 'GE16FEB14 Tax Bill Unfudged'!F$2:F$498)</f>
        <v>779106</v>
      </c>
      <c r="W104" s="56">
        <f t="shared" si="98"/>
        <v>0</v>
      </c>
      <c r="X104" s="51">
        <f>+SUMIF('GE16FEB14 Tax Bill Unfudged'!$A$2:$A$498, 'Tax Bill Summary'!$A104, 'GE16FEB14 Tax Bill Unfudged'!G$2:G$498)</f>
        <v>3994419</v>
      </c>
      <c r="Y104" s="13">
        <f>+SUMIF('GE16FEB14 Tax Bill Unfudged'!$A$2:$A$498, 'Tax Bill Summary'!$A104, 'GE16FEB14 Tax Bill Unfudged'!H$2:H$498)</f>
        <v>3994419</v>
      </c>
      <c r="Z104" s="56">
        <f t="shared" si="99"/>
        <v>0</v>
      </c>
      <c r="AA104" s="51">
        <f>+SUMIF('GE16FEB14 Tax Bill Unfudged'!$A$2:$A$498, 'Tax Bill Summary'!$A104, 'GE16FEB14 Tax Bill Unfudged'!I$2:I$498)</f>
        <v>13233304</v>
      </c>
      <c r="AB104" s="13">
        <f>+SUMIF('GE16FEB14 Tax Bill Unfudged'!$A$2:$A$498, 'Tax Bill Summary'!$A104, 'GE16FEB14 Tax Bill Unfudged'!J$2:J$498)</f>
        <v>13228832</v>
      </c>
      <c r="AC104" s="56">
        <f t="shared" si="100"/>
        <v>4472</v>
      </c>
      <c r="AD104" s="51">
        <f t="shared" si="101"/>
        <v>18006829</v>
      </c>
      <c r="AE104" s="13">
        <f t="shared" si="102"/>
        <v>18002357</v>
      </c>
      <c r="AF104" s="56">
        <f t="shared" si="103"/>
        <v>4472</v>
      </c>
      <c r="AG104" s="13">
        <f t="shared" si="104"/>
        <v>1911.3500689947989</v>
      </c>
      <c r="AH104" s="13">
        <f t="shared" si="105"/>
        <v>1910.8753847786859</v>
      </c>
      <c r="AI104" s="16">
        <f t="shared" si="106"/>
        <v>0.47468421611293921</v>
      </c>
      <c r="AJ104" s="15">
        <f t="shared" si="107"/>
        <v>0</v>
      </c>
      <c r="AK104" s="13">
        <f t="shared" si="108"/>
        <v>0</v>
      </c>
      <c r="AL104" s="56">
        <f t="shared" si="109"/>
        <v>0</v>
      </c>
      <c r="AM104" s="51">
        <f t="shared" si="110"/>
        <v>0</v>
      </c>
      <c r="AN104" s="13">
        <f t="shared" si="111"/>
        <v>0</v>
      </c>
      <c r="AO104" s="56">
        <f t="shared" si="112"/>
        <v>0</v>
      </c>
      <c r="AP104" s="51">
        <f t="shared" si="113"/>
        <v>0</v>
      </c>
      <c r="AQ104" s="13">
        <f t="shared" si="114"/>
        <v>0</v>
      </c>
      <c r="AR104" s="56">
        <f t="shared" si="115"/>
        <v>0</v>
      </c>
      <c r="AS104" s="51">
        <f t="shared" si="116"/>
        <v>0</v>
      </c>
      <c r="AT104" s="13">
        <f t="shared" si="117"/>
        <v>0</v>
      </c>
      <c r="AU104" s="56">
        <f t="shared" si="118"/>
        <v>0</v>
      </c>
      <c r="AV104" s="13">
        <f t="shared" si="119"/>
        <v>0</v>
      </c>
      <c r="AW104" s="13">
        <f t="shared" si="120"/>
        <v>0</v>
      </c>
      <c r="AX104" s="16">
        <f t="shared" si="121"/>
        <v>0</v>
      </c>
    </row>
    <row r="105" spans="1:50" x14ac:dyDescent="0.25">
      <c r="A105" s="20">
        <v>276</v>
      </c>
      <c r="B105">
        <v>1</v>
      </c>
      <c r="C105" s="23" t="s">
        <v>221</v>
      </c>
      <c r="D105" s="23">
        <v>3</v>
      </c>
      <c r="E105" s="15">
        <f>+SUMIF('GE16FEB14 Unfudged'!$A$2:$A$498, $A105, 'GE16FEB14 Unfudged'!$D$2:$D$498)</f>
        <v>10955</v>
      </c>
      <c r="F105" s="15">
        <f>+SUMIF('GE16FEB14 Unfudged'!$A$2:$A$498, 'Tax Bill Summary'!$A105, 'GE16FEB14 Unfudged'!E$2:E$498)</f>
        <v>1046863</v>
      </c>
      <c r="G105" s="13">
        <f>+SUMIF('GE16FEB14 Unfudged'!$A$2:$A$498, 'Tax Bill Summary'!$A105, 'GE16FEB14 Unfudged'!F$2:F$498)</f>
        <v>1046863</v>
      </c>
      <c r="H105" s="56">
        <f t="shared" si="89"/>
        <v>0</v>
      </c>
      <c r="I105" s="51">
        <f>+SUMIF('GE16FEB14 Unfudged'!$A$2:$A$498, 'Tax Bill Summary'!$A105, 'GE16FEB14 Unfudged'!G$2:G$498)</f>
        <v>4644708</v>
      </c>
      <c r="J105" s="13">
        <f>+SUMIF('GE16FEB14 Unfudged'!$A$2:$A$498, 'Tax Bill Summary'!$A105, 'GE16FEB14 Unfudged'!H$2:H$498)</f>
        <v>4644708</v>
      </c>
      <c r="K105" s="56">
        <f t="shared" si="90"/>
        <v>0</v>
      </c>
      <c r="L105" s="51">
        <f>+SUMIF('GE16FEB14 Unfudged'!$A$2:$A$498, 'Tax Bill Summary'!$A105, 'GE16FEB14 Unfudged'!I$2:IF$498)</f>
        <v>13551921</v>
      </c>
      <c r="M105" s="13">
        <f>+SUMIF('GE16FEB14 Unfudged'!$A$2:$A$498, 'Tax Bill Summary'!$A105, 'GE16FEB14 Unfudged'!J$2:IG$498)</f>
        <v>13279508</v>
      </c>
      <c r="N105" s="56">
        <f t="shared" si="91"/>
        <v>272413</v>
      </c>
      <c r="O105" s="51">
        <f t="shared" si="92"/>
        <v>19243492</v>
      </c>
      <c r="P105" s="13">
        <f t="shared" si="93"/>
        <v>18971079</v>
      </c>
      <c r="Q105" s="56">
        <f t="shared" si="94"/>
        <v>272413</v>
      </c>
      <c r="R105" s="13">
        <f t="shared" si="95"/>
        <v>1756.5944317663168</v>
      </c>
      <c r="S105" s="13">
        <f t="shared" si="96"/>
        <v>1731.727886809676</v>
      </c>
      <c r="T105" s="16">
        <f t="shared" si="97"/>
        <v>24.866544956640805</v>
      </c>
      <c r="U105" s="15">
        <f>+SUMIF('GE16FEB14 Tax Bill Unfudged'!$A$2:$A$498, 'Tax Bill Summary'!$A105, 'GE16FEB14 Tax Bill Unfudged'!E$2:E$498)</f>
        <v>1046863</v>
      </c>
      <c r="V105" s="13">
        <f>+SUMIF('GE16FEB14 Tax Bill Unfudged'!$A$2:$A$498, 'Tax Bill Summary'!$A105, 'GE16FEB14 Tax Bill Unfudged'!F$2:F$498)</f>
        <v>1046863</v>
      </c>
      <c r="W105" s="56">
        <f t="shared" si="98"/>
        <v>0</v>
      </c>
      <c r="X105" s="51">
        <f>+SUMIF('GE16FEB14 Tax Bill Unfudged'!$A$2:$A$498, 'Tax Bill Summary'!$A105, 'GE16FEB14 Tax Bill Unfudged'!G$2:G$498)</f>
        <v>4644708</v>
      </c>
      <c r="Y105" s="13">
        <f>+SUMIF('GE16FEB14 Tax Bill Unfudged'!$A$2:$A$498, 'Tax Bill Summary'!$A105, 'GE16FEB14 Tax Bill Unfudged'!H$2:H$498)</f>
        <v>4644708</v>
      </c>
      <c r="Z105" s="56">
        <f t="shared" si="99"/>
        <v>0</v>
      </c>
      <c r="AA105" s="51">
        <f>+SUMIF('GE16FEB14 Tax Bill Unfudged'!$A$2:$A$498, 'Tax Bill Summary'!$A105, 'GE16FEB14 Tax Bill Unfudged'!I$2:I$498)</f>
        <v>13551921</v>
      </c>
      <c r="AB105" s="13">
        <f>+SUMIF('GE16FEB14 Tax Bill Unfudged'!$A$2:$A$498, 'Tax Bill Summary'!$A105, 'GE16FEB14 Tax Bill Unfudged'!J$2:J$498)</f>
        <v>13279508</v>
      </c>
      <c r="AC105" s="56">
        <f t="shared" si="100"/>
        <v>272413</v>
      </c>
      <c r="AD105" s="51">
        <f t="shared" si="101"/>
        <v>19243492</v>
      </c>
      <c r="AE105" s="13">
        <f t="shared" si="102"/>
        <v>18971079</v>
      </c>
      <c r="AF105" s="56">
        <f t="shared" si="103"/>
        <v>272413</v>
      </c>
      <c r="AG105" s="13">
        <f t="shared" si="104"/>
        <v>1756.5944317663168</v>
      </c>
      <c r="AH105" s="13">
        <f t="shared" si="105"/>
        <v>1731.727886809676</v>
      </c>
      <c r="AI105" s="16">
        <f t="shared" si="106"/>
        <v>24.866544956640805</v>
      </c>
      <c r="AJ105" s="15">
        <f t="shared" si="107"/>
        <v>0</v>
      </c>
      <c r="AK105" s="13">
        <f t="shared" si="108"/>
        <v>0</v>
      </c>
      <c r="AL105" s="56">
        <f t="shared" si="109"/>
        <v>0</v>
      </c>
      <c r="AM105" s="51">
        <f t="shared" si="110"/>
        <v>0</v>
      </c>
      <c r="AN105" s="13">
        <f t="shared" si="111"/>
        <v>0</v>
      </c>
      <c r="AO105" s="56">
        <f t="shared" si="112"/>
        <v>0</v>
      </c>
      <c r="AP105" s="51">
        <f t="shared" si="113"/>
        <v>0</v>
      </c>
      <c r="AQ105" s="13">
        <f t="shared" si="114"/>
        <v>0</v>
      </c>
      <c r="AR105" s="56">
        <f t="shared" si="115"/>
        <v>0</v>
      </c>
      <c r="AS105" s="51">
        <f t="shared" si="116"/>
        <v>0</v>
      </c>
      <c r="AT105" s="13">
        <f t="shared" si="117"/>
        <v>0</v>
      </c>
      <c r="AU105" s="56">
        <f t="shared" si="118"/>
        <v>0</v>
      </c>
      <c r="AV105" s="13">
        <f t="shared" si="119"/>
        <v>0</v>
      </c>
      <c r="AW105" s="13">
        <f t="shared" si="120"/>
        <v>0</v>
      </c>
      <c r="AX105" s="16">
        <f t="shared" si="121"/>
        <v>0</v>
      </c>
    </row>
    <row r="106" spans="1:50" x14ac:dyDescent="0.25">
      <c r="A106" s="20">
        <v>277</v>
      </c>
      <c r="B106">
        <v>1</v>
      </c>
      <c r="C106" s="23" t="s">
        <v>222</v>
      </c>
      <c r="D106" s="23">
        <v>3</v>
      </c>
      <c r="E106" s="15">
        <f>+SUMIF('GE16FEB14 Unfudged'!$A$2:$A$498, $A106, 'GE16FEB14 Unfudged'!$D$2:$D$498)</f>
        <v>2416</v>
      </c>
      <c r="F106" s="15">
        <f>+SUMIF('GE16FEB14 Unfudged'!$A$2:$A$498, 'Tax Bill Summary'!$A106, 'GE16FEB14 Unfudged'!E$2:E$498)</f>
        <v>205538</v>
      </c>
      <c r="G106" s="13">
        <f>+SUMIF('GE16FEB14 Unfudged'!$A$2:$A$498, 'Tax Bill Summary'!$A106, 'GE16FEB14 Unfudged'!F$2:F$498)</f>
        <v>205538</v>
      </c>
      <c r="H106" s="56">
        <f t="shared" si="89"/>
        <v>0</v>
      </c>
      <c r="I106" s="51">
        <f>+SUMIF('GE16FEB14 Unfudged'!$A$2:$A$498, 'Tax Bill Summary'!$A106, 'GE16FEB14 Unfudged'!G$2:G$498)</f>
        <v>1024469</v>
      </c>
      <c r="J106" s="13">
        <f>+SUMIF('GE16FEB14 Unfudged'!$A$2:$A$498, 'Tax Bill Summary'!$A106, 'GE16FEB14 Unfudged'!H$2:H$498)</f>
        <v>1024469</v>
      </c>
      <c r="K106" s="56">
        <f t="shared" si="90"/>
        <v>0</v>
      </c>
      <c r="L106" s="51">
        <f>+SUMIF('GE16FEB14 Unfudged'!$A$2:$A$498, 'Tax Bill Summary'!$A106, 'GE16FEB14 Unfudged'!I$2:IF$498)</f>
        <v>3319545</v>
      </c>
      <c r="M106" s="13">
        <f>+SUMIF('GE16FEB14 Unfudged'!$A$2:$A$498, 'Tax Bill Summary'!$A106, 'GE16FEB14 Unfudged'!J$2:IG$498)</f>
        <v>3282548</v>
      </c>
      <c r="N106" s="56">
        <f t="shared" si="91"/>
        <v>36997</v>
      </c>
      <c r="O106" s="51">
        <f t="shared" si="92"/>
        <v>4549552</v>
      </c>
      <c r="P106" s="13">
        <f t="shared" si="93"/>
        <v>4512555</v>
      </c>
      <c r="Q106" s="56">
        <f t="shared" si="94"/>
        <v>36997</v>
      </c>
      <c r="R106" s="13">
        <f t="shared" si="95"/>
        <v>1883.0927152317881</v>
      </c>
      <c r="S106" s="13">
        <f t="shared" si="96"/>
        <v>1867.7793874172185</v>
      </c>
      <c r="T106" s="16">
        <f t="shared" si="97"/>
        <v>15.313327814569536</v>
      </c>
      <c r="U106" s="15">
        <f>+SUMIF('GE16FEB14 Tax Bill Unfudged'!$A$2:$A$498, 'Tax Bill Summary'!$A106, 'GE16FEB14 Tax Bill Unfudged'!E$2:E$498)</f>
        <v>205538</v>
      </c>
      <c r="V106" s="13">
        <f>+SUMIF('GE16FEB14 Tax Bill Unfudged'!$A$2:$A$498, 'Tax Bill Summary'!$A106, 'GE16FEB14 Tax Bill Unfudged'!F$2:F$498)</f>
        <v>205538</v>
      </c>
      <c r="W106" s="56">
        <f t="shared" si="98"/>
        <v>0</v>
      </c>
      <c r="X106" s="51">
        <f>+SUMIF('GE16FEB14 Tax Bill Unfudged'!$A$2:$A$498, 'Tax Bill Summary'!$A106, 'GE16FEB14 Tax Bill Unfudged'!G$2:G$498)</f>
        <v>1024469</v>
      </c>
      <c r="Y106" s="13">
        <f>+SUMIF('GE16FEB14 Tax Bill Unfudged'!$A$2:$A$498, 'Tax Bill Summary'!$A106, 'GE16FEB14 Tax Bill Unfudged'!H$2:H$498)</f>
        <v>1024469</v>
      </c>
      <c r="Z106" s="56">
        <f t="shared" si="99"/>
        <v>0</v>
      </c>
      <c r="AA106" s="51">
        <f>+SUMIF('GE16FEB14 Tax Bill Unfudged'!$A$2:$A$498, 'Tax Bill Summary'!$A106, 'GE16FEB14 Tax Bill Unfudged'!I$2:I$498)</f>
        <v>3319545</v>
      </c>
      <c r="AB106" s="13">
        <f>+SUMIF('GE16FEB14 Tax Bill Unfudged'!$A$2:$A$498, 'Tax Bill Summary'!$A106, 'GE16FEB14 Tax Bill Unfudged'!J$2:J$498)</f>
        <v>3282548</v>
      </c>
      <c r="AC106" s="56">
        <f t="shared" si="100"/>
        <v>36997</v>
      </c>
      <c r="AD106" s="51">
        <f t="shared" si="101"/>
        <v>4549552</v>
      </c>
      <c r="AE106" s="13">
        <f t="shared" si="102"/>
        <v>4512555</v>
      </c>
      <c r="AF106" s="56">
        <f t="shared" si="103"/>
        <v>36997</v>
      </c>
      <c r="AG106" s="13">
        <f t="shared" si="104"/>
        <v>1883.0927152317881</v>
      </c>
      <c r="AH106" s="13">
        <f t="shared" si="105"/>
        <v>1867.7793874172185</v>
      </c>
      <c r="AI106" s="16">
        <f t="shared" si="106"/>
        <v>15.313327814569536</v>
      </c>
      <c r="AJ106" s="15">
        <f t="shared" si="107"/>
        <v>0</v>
      </c>
      <c r="AK106" s="13">
        <f t="shared" si="108"/>
        <v>0</v>
      </c>
      <c r="AL106" s="56">
        <f t="shared" si="109"/>
        <v>0</v>
      </c>
      <c r="AM106" s="51">
        <f t="shared" si="110"/>
        <v>0</v>
      </c>
      <c r="AN106" s="13">
        <f t="shared" si="111"/>
        <v>0</v>
      </c>
      <c r="AO106" s="56">
        <f t="shared" si="112"/>
        <v>0</v>
      </c>
      <c r="AP106" s="51">
        <f t="shared" si="113"/>
        <v>0</v>
      </c>
      <c r="AQ106" s="13">
        <f t="shared" si="114"/>
        <v>0</v>
      </c>
      <c r="AR106" s="56">
        <f t="shared" si="115"/>
        <v>0</v>
      </c>
      <c r="AS106" s="51">
        <f t="shared" si="116"/>
        <v>0</v>
      </c>
      <c r="AT106" s="13">
        <f t="shared" si="117"/>
        <v>0</v>
      </c>
      <c r="AU106" s="56">
        <f t="shared" si="118"/>
        <v>0</v>
      </c>
      <c r="AV106" s="13">
        <f t="shared" si="119"/>
        <v>0</v>
      </c>
      <c r="AW106" s="13">
        <f t="shared" si="120"/>
        <v>0</v>
      </c>
      <c r="AX106" s="16">
        <f t="shared" si="121"/>
        <v>0</v>
      </c>
    </row>
    <row r="107" spans="1:50" x14ac:dyDescent="0.25">
      <c r="A107" s="20">
        <v>278</v>
      </c>
      <c r="B107">
        <v>1</v>
      </c>
      <c r="C107" s="23" t="s">
        <v>223</v>
      </c>
      <c r="D107" s="23">
        <v>3</v>
      </c>
      <c r="E107" s="15">
        <f>+SUMIF('GE16FEB14 Unfudged'!$A$2:$A$498, $A107, 'GE16FEB14 Unfudged'!$D$2:$D$498)</f>
        <v>2981</v>
      </c>
      <c r="F107" s="15">
        <f>+SUMIF('GE16FEB14 Unfudged'!$A$2:$A$498, 'Tax Bill Summary'!$A107, 'GE16FEB14 Unfudged'!E$2:E$498)</f>
        <v>235178</v>
      </c>
      <c r="G107" s="13">
        <f>+SUMIF('GE16FEB14 Unfudged'!$A$2:$A$498, 'Tax Bill Summary'!$A107, 'GE16FEB14 Unfudged'!F$2:F$498)</f>
        <v>235178</v>
      </c>
      <c r="H107" s="56">
        <f t="shared" si="89"/>
        <v>0</v>
      </c>
      <c r="I107" s="51">
        <f>+SUMIF('GE16FEB14 Unfudged'!$A$2:$A$498, 'Tax Bill Summary'!$A107, 'GE16FEB14 Unfudged'!G$2:G$498)</f>
        <v>1263986</v>
      </c>
      <c r="J107" s="13">
        <f>+SUMIF('GE16FEB14 Unfudged'!$A$2:$A$498, 'Tax Bill Summary'!$A107, 'GE16FEB14 Unfudged'!H$2:H$498)</f>
        <v>1263986</v>
      </c>
      <c r="K107" s="56">
        <f t="shared" si="90"/>
        <v>0</v>
      </c>
      <c r="L107" s="51">
        <f>+SUMIF('GE16FEB14 Unfudged'!$A$2:$A$498, 'Tax Bill Summary'!$A107, 'GE16FEB14 Unfudged'!I$2:IF$498)</f>
        <v>4335533</v>
      </c>
      <c r="M107" s="13">
        <f>+SUMIF('GE16FEB14 Unfudged'!$A$2:$A$498, 'Tax Bill Summary'!$A107, 'GE16FEB14 Unfudged'!J$2:IG$498)</f>
        <v>4213774</v>
      </c>
      <c r="N107" s="56">
        <f t="shared" si="91"/>
        <v>121759</v>
      </c>
      <c r="O107" s="51">
        <f t="shared" si="92"/>
        <v>5834697</v>
      </c>
      <c r="P107" s="13">
        <f t="shared" si="93"/>
        <v>5712938</v>
      </c>
      <c r="Q107" s="56">
        <f t="shared" si="94"/>
        <v>121759</v>
      </c>
      <c r="R107" s="13">
        <f t="shared" si="95"/>
        <v>1957.2952029520295</v>
      </c>
      <c r="S107" s="13">
        <f t="shared" si="96"/>
        <v>1916.4501845018451</v>
      </c>
      <c r="T107" s="16">
        <f t="shared" si="97"/>
        <v>40.845018450184504</v>
      </c>
      <c r="U107" s="15">
        <f>+SUMIF('GE16FEB14 Tax Bill Unfudged'!$A$2:$A$498, 'Tax Bill Summary'!$A107, 'GE16FEB14 Tax Bill Unfudged'!E$2:E$498)</f>
        <v>235178</v>
      </c>
      <c r="V107" s="13">
        <f>+SUMIF('GE16FEB14 Tax Bill Unfudged'!$A$2:$A$498, 'Tax Bill Summary'!$A107, 'GE16FEB14 Tax Bill Unfudged'!F$2:F$498)</f>
        <v>235178</v>
      </c>
      <c r="W107" s="56">
        <f t="shared" si="98"/>
        <v>0</v>
      </c>
      <c r="X107" s="51">
        <f>+SUMIF('GE16FEB14 Tax Bill Unfudged'!$A$2:$A$498, 'Tax Bill Summary'!$A107, 'GE16FEB14 Tax Bill Unfudged'!G$2:G$498)</f>
        <v>1263986</v>
      </c>
      <c r="Y107" s="13">
        <f>+SUMIF('GE16FEB14 Tax Bill Unfudged'!$A$2:$A$498, 'Tax Bill Summary'!$A107, 'GE16FEB14 Tax Bill Unfudged'!H$2:H$498)</f>
        <v>1263986</v>
      </c>
      <c r="Z107" s="56">
        <f t="shared" si="99"/>
        <v>0</v>
      </c>
      <c r="AA107" s="51">
        <f>+SUMIF('GE16FEB14 Tax Bill Unfudged'!$A$2:$A$498, 'Tax Bill Summary'!$A107, 'GE16FEB14 Tax Bill Unfudged'!I$2:I$498)</f>
        <v>4335533</v>
      </c>
      <c r="AB107" s="13">
        <f>+SUMIF('GE16FEB14 Tax Bill Unfudged'!$A$2:$A$498, 'Tax Bill Summary'!$A107, 'GE16FEB14 Tax Bill Unfudged'!J$2:J$498)</f>
        <v>4213774</v>
      </c>
      <c r="AC107" s="56">
        <f t="shared" si="100"/>
        <v>121759</v>
      </c>
      <c r="AD107" s="51">
        <f t="shared" si="101"/>
        <v>5834697</v>
      </c>
      <c r="AE107" s="13">
        <f t="shared" si="102"/>
        <v>5712938</v>
      </c>
      <c r="AF107" s="56">
        <f t="shared" si="103"/>
        <v>121759</v>
      </c>
      <c r="AG107" s="13">
        <f t="shared" si="104"/>
        <v>1957.2952029520295</v>
      </c>
      <c r="AH107" s="13">
        <f t="shared" si="105"/>
        <v>1916.4501845018451</v>
      </c>
      <c r="AI107" s="16">
        <f t="shared" si="106"/>
        <v>40.845018450184504</v>
      </c>
      <c r="AJ107" s="15">
        <f t="shared" si="107"/>
        <v>0</v>
      </c>
      <c r="AK107" s="13">
        <f t="shared" si="108"/>
        <v>0</v>
      </c>
      <c r="AL107" s="56">
        <f t="shared" si="109"/>
        <v>0</v>
      </c>
      <c r="AM107" s="51">
        <f t="shared" si="110"/>
        <v>0</v>
      </c>
      <c r="AN107" s="13">
        <f t="shared" si="111"/>
        <v>0</v>
      </c>
      <c r="AO107" s="56">
        <f t="shared" si="112"/>
        <v>0</v>
      </c>
      <c r="AP107" s="51">
        <f t="shared" si="113"/>
        <v>0</v>
      </c>
      <c r="AQ107" s="13">
        <f t="shared" si="114"/>
        <v>0</v>
      </c>
      <c r="AR107" s="56">
        <f t="shared" si="115"/>
        <v>0</v>
      </c>
      <c r="AS107" s="51">
        <f t="shared" si="116"/>
        <v>0</v>
      </c>
      <c r="AT107" s="13">
        <f t="shared" si="117"/>
        <v>0</v>
      </c>
      <c r="AU107" s="56">
        <f t="shared" si="118"/>
        <v>0</v>
      </c>
      <c r="AV107" s="13">
        <f t="shared" si="119"/>
        <v>0</v>
      </c>
      <c r="AW107" s="13">
        <f t="shared" si="120"/>
        <v>0</v>
      </c>
      <c r="AX107" s="16">
        <f t="shared" si="121"/>
        <v>0</v>
      </c>
    </row>
    <row r="108" spans="1:50" x14ac:dyDescent="0.25">
      <c r="A108" s="20">
        <v>279</v>
      </c>
      <c r="B108">
        <v>1</v>
      </c>
      <c r="C108" s="23" t="s">
        <v>224</v>
      </c>
      <c r="D108" s="23">
        <v>3</v>
      </c>
      <c r="E108" s="15">
        <f>+SUMIF('GE16FEB14 Unfudged'!$A$2:$A$498, $A108, 'GE16FEB14 Unfudged'!$D$2:$D$498)</f>
        <v>22139</v>
      </c>
      <c r="F108" s="15">
        <f>+SUMIF('GE16FEB14 Unfudged'!$A$2:$A$498, 'Tax Bill Summary'!$A108, 'GE16FEB14 Unfudged'!E$2:E$498)</f>
        <v>1106950</v>
      </c>
      <c r="G108" s="13">
        <f>+SUMIF('GE16FEB14 Unfudged'!$A$2:$A$498, 'Tax Bill Summary'!$A108, 'GE16FEB14 Unfudged'!F$2:F$498)</f>
        <v>1008653</v>
      </c>
      <c r="H108" s="56">
        <f t="shared" si="89"/>
        <v>98297</v>
      </c>
      <c r="I108" s="51">
        <f>+SUMIF('GE16FEB14 Unfudged'!$A$2:$A$498, 'Tax Bill Summary'!$A108, 'GE16FEB14 Unfudged'!G$2:G$498)</f>
        <v>9386936</v>
      </c>
      <c r="J108" s="13">
        <f>+SUMIF('GE16FEB14 Unfudged'!$A$2:$A$498, 'Tax Bill Summary'!$A108, 'GE16FEB14 Unfudged'!H$2:H$498)</f>
        <v>8553374</v>
      </c>
      <c r="K108" s="56">
        <f t="shared" si="90"/>
        <v>833562</v>
      </c>
      <c r="L108" s="51">
        <f>+SUMIF('GE16FEB14 Unfudged'!$A$2:$A$498, 'Tax Bill Summary'!$A108, 'GE16FEB14 Unfudged'!I$2:IF$498)</f>
        <v>35482397</v>
      </c>
      <c r="M108" s="13">
        <f>+SUMIF('GE16FEB14 Unfudged'!$A$2:$A$498, 'Tax Bill Summary'!$A108, 'GE16FEB14 Unfudged'!J$2:IG$498)</f>
        <v>31443721</v>
      </c>
      <c r="N108" s="56">
        <f t="shared" si="91"/>
        <v>4038676</v>
      </c>
      <c r="O108" s="51">
        <f t="shared" si="92"/>
        <v>45976283</v>
      </c>
      <c r="P108" s="13">
        <f t="shared" si="93"/>
        <v>41005748</v>
      </c>
      <c r="Q108" s="56">
        <f t="shared" si="94"/>
        <v>4970535</v>
      </c>
      <c r="R108" s="13">
        <f t="shared" si="95"/>
        <v>2076.710014002439</v>
      </c>
      <c r="S108" s="13">
        <f t="shared" si="96"/>
        <v>1852.1951307647139</v>
      </c>
      <c r="T108" s="16">
        <f t="shared" si="97"/>
        <v>224.51488323772529</v>
      </c>
      <c r="U108" s="15">
        <f>+SUMIF('GE16FEB14 Tax Bill Unfudged'!$A$2:$A$498, 'Tax Bill Summary'!$A108, 'GE16FEB14 Tax Bill Unfudged'!E$2:E$498)</f>
        <v>1106950</v>
      </c>
      <c r="V108" s="13">
        <f>+SUMIF('GE16FEB14 Tax Bill Unfudged'!$A$2:$A$498, 'Tax Bill Summary'!$A108, 'GE16FEB14 Tax Bill Unfudged'!F$2:F$498)</f>
        <v>1008653</v>
      </c>
      <c r="W108" s="56">
        <f t="shared" si="98"/>
        <v>98297</v>
      </c>
      <c r="X108" s="51">
        <f>+SUMIF('GE16FEB14 Tax Bill Unfudged'!$A$2:$A$498, 'Tax Bill Summary'!$A108, 'GE16FEB14 Tax Bill Unfudged'!G$2:G$498)</f>
        <v>9386936</v>
      </c>
      <c r="Y108" s="13">
        <f>+SUMIF('GE16FEB14 Tax Bill Unfudged'!$A$2:$A$498, 'Tax Bill Summary'!$A108, 'GE16FEB14 Tax Bill Unfudged'!H$2:H$498)</f>
        <v>8553374</v>
      </c>
      <c r="Z108" s="56">
        <f t="shared" si="99"/>
        <v>833562</v>
      </c>
      <c r="AA108" s="51">
        <f>+SUMIF('GE16FEB14 Tax Bill Unfudged'!$A$2:$A$498, 'Tax Bill Summary'!$A108, 'GE16FEB14 Tax Bill Unfudged'!I$2:I$498)</f>
        <v>35482397</v>
      </c>
      <c r="AB108" s="13">
        <f>+SUMIF('GE16FEB14 Tax Bill Unfudged'!$A$2:$A$498, 'Tax Bill Summary'!$A108, 'GE16FEB14 Tax Bill Unfudged'!J$2:J$498)</f>
        <v>31443721</v>
      </c>
      <c r="AC108" s="56">
        <f t="shared" si="100"/>
        <v>4038676</v>
      </c>
      <c r="AD108" s="51">
        <f t="shared" si="101"/>
        <v>45976283</v>
      </c>
      <c r="AE108" s="13">
        <f t="shared" si="102"/>
        <v>41005748</v>
      </c>
      <c r="AF108" s="56">
        <f t="shared" si="103"/>
        <v>4970535</v>
      </c>
      <c r="AG108" s="13">
        <f t="shared" si="104"/>
        <v>2076.710014002439</v>
      </c>
      <c r="AH108" s="13">
        <f t="shared" si="105"/>
        <v>1852.1951307647139</v>
      </c>
      <c r="AI108" s="16">
        <f t="shared" si="106"/>
        <v>224.51488323772529</v>
      </c>
      <c r="AJ108" s="15">
        <f t="shared" si="107"/>
        <v>0</v>
      </c>
      <c r="AK108" s="13">
        <f t="shared" si="108"/>
        <v>0</v>
      </c>
      <c r="AL108" s="56">
        <f t="shared" si="109"/>
        <v>0</v>
      </c>
      <c r="AM108" s="51">
        <f t="shared" si="110"/>
        <v>0</v>
      </c>
      <c r="AN108" s="13">
        <f t="shared" si="111"/>
        <v>0</v>
      </c>
      <c r="AO108" s="56">
        <f t="shared" si="112"/>
        <v>0</v>
      </c>
      <c r="AP108" s="51">
        <f t="shared" si="113"/>
        <v>0</v>
      </c>
      <c r="AQ108" s="13">
        <f t="shared" si="114"/>
        <v>0</v>
      </c>
      <c r="AR108" s="56">
        <f t="shared" si="115"/>
        <v>0</v>
      </c>
      <c r="AS108" s="51">
        <f t="shared" si="116"/>
        <v>0</v>
      </c>
      <c r="AT108" s="13">
        <f t="shared" si="117"/>
        <v>0</v>
      </c>
      <c r="AU108" s="56">
        <f t="shared" si="118"/>
        <v>0</v>
      </c>
      <c r="AV108" s="13">
        <f t="shared" si="119"/>
        <v>0</v>
      </c>
      <c r="AW108" s="13">
        <f t="shared" si="120"/>
        <v>0</v>
      </c>
      <c r="AX108" s="16">
        <f t="shared" si="121"/>
        <v>0</v>
      </c>
    </row>
    <row r="109" spans="1:50" x14ac:dyDescent="0.25">
      <c r="A109" s="20">
        <v>280</v>
      </c>
      <c r="B109">
        <v>1</v>
      </c>
      <c r="C109" s="23" t="s">
        <v>225</v>
      </c>
      <c r="D109" s="23">
        <v>2</v>
      </c>
      <c r="E109" s="15">
        <f>+SUMIF('GE16FEB14 Unfudged'!$A$2:$A$498, $A109, 'GE16FEB14 Unfudged'!$D$2:$D$498)</f>
        <v>4775</v>
      </c>
      <c r="F109" s="15">
        <f>+SUMIF('GE16FEB14 Unfudged'!$A$2:$A$498, 'Tax Bill Summary'!$A109, 'GE16FEB14 Unfudged'!E$2:E$498)</f>
        <v>578816</v>
      </c>
      <c r="G109" s="13">
        <f>+SUMIF('GE16FEB14 Unfudged'!$A$2:$A$498, 'Tax Bill Summary'!$A109, 'GE16FEB14 Unfudged'!F$2:F$498)</f>
        <v>578816</v>
      </c>
      <c r="H109" s="56">
        <f t="shared" si="89"/>
        <v>0</v>
      </c>
      <c r="I109" s="51">
        <f>+SUMIF('GE16FEB14 Unfudged'!$A$2:$A$498, 'Tax Bill Summary'!$A109, 'GE16FEB14 Unfudged'!G$2:G$498)</f>
        <v>2024600</v>
      </c>
      <c r="J109" s="13">
        <f>+SUMIF('GE16FEB14 Unfudged'!$A$2:$A$498, 'Tax Bill Summary'!$A109, 'GE16FEB14 Unfudged'!H$2:H$498)</f>
        <v>2024600</v>
      </c>
      <c r="K109" s="56">
        <f t="shared" si="90"/>
        <v>0</v>
      </c>
      <c r="L109" s="51">
        <f>+SUMIF('GE16FEB14 Unfudged'!$A$2:$A$498, 'Tax Bill Summary'!$A109, 'GE16FEB14 Unfudged'!I$2:IF$498)</f>
        <v>4311443</v>
      </c>
      <c r="M109" s="13">
        <f>+SUMIF('GE16FEB14 Unfudged'!$A$2:$A$498, 'Tax Bill Summary'!$A109, 'GE16FEB14 Unfudged'!J$2:IG$498)</f>
        <v>3927598</v>
      </c>
      <c r="N109" s="56">
        <f t="shared" si="91"/>
        <v>383845</v>
      </c>
      <c r="O109" s="51">
        <f t="shared" si="92"/>
        <v>6914859</v>
      </c>
      <c r="P109" s="13">
        <f t="shared" si="93"/>
        <v>6531014</v>
      </c>
      <c r="Q109" s="56">
        <f t="shared" si="94"/>
        <v>383845</v>
      </c>
      <c r="R109" s="13">
        <f t="shared" si="95"/>
        <v>1448.1380104712041</v>
      </c>
      <c r="S109" s="13">
        <f t="shared" si="96"/>
        <v>1367.7516230366491</v>
      </c>
      <c r="T109" s="16">
        <f t="shared" si="97"/>
        <v>80.386387434554976</v>
      </c>
      <c r="U109" s="15">
        <f>+SUMIF('GE16FEB14 Tax Bill Unfudged'!$A$2:$A$498, 'Tax Bill Summary'!$A109, 'GE16FEB14 Tax Bill Unfudged'!E$2:E$498)</f>
        <v>578816</v>
      </c>
      <c r="V109" s="13">
        <f>+SUMIF('GE16FEB14 Tax Bill Unfudged'!$A$2:$A$498, 'Tax Bill Summary'!$A109, 'GE16FEB14 Tax Bill Unfudged'!F$2:F$498)</f>
        <v>578816</v>
      </c>
      <c r="W109" s="56">
        <f t="shared" si="98"/>
        <v>0</v>
      </c>
      <c r="X109" s="51">
        <f>+SUMIF('GE16FEB14 Tax Bill Unfudged'!$A$2:$A$498, 'Tax Bill Summary'!$A109, 'GE16FEB14 Tax Bill Unfudged'!G$2:G$498)</f>
        <v>2024600</v>
      </c>
      <c r="Y109" s="13">
        <f>+SUMIF('GE16FEB14 Tax Bill Unfudged'!$A$2:$A$498, 'Tax Bill Summary'!$A109, 'GE16FEB14 Tax Bill Unfudged'!H$2:H$498)</f>
        <v>2024600</v>
      </c>
      <c r="Z109" s="56">
        <f t="shared" si="99"/>
        <v>0</v>
      </c>
      <c r="AA109" s="51">
        <f>+SUMIF('GE16FEB14 Tax Bill Unfudged'!$A$2:$A$498, 'Tax Bill Summary'!$A109, 'GE16FEB14 Tax Bill Unfudged'!I$2:I$498)</f>
        <v>4311443</v>
      </c>
      <c r="AB109" s="13">
        <f>+SUMIF('GE16FEB14 Tax Bill Unfudged'!$A$2:$A$498, 'Tax Bill Summary'!$A109, 'GE16FEB14 Tax Bill Unfudged'!J$2:J$498)</f>
        <v>3927598</v>
      </c>
      <c r="AC109" s="56">
        <f t="shared" si="100"/>
        <v>383845</v>
      </c>
      <c r="AD109" s="51">
        <f t="shared" si="101"/>
        <v>6914859</v>
      </c>
      <c r="AE109" s="13">
        <f t="shared" si="102"/>
        <v>6531014</v>
      </c>
      <c r="AF109" s="56">
        <f t="shared" si="103"/>
        <v>383845</v>
      </c>
      <c r="AG109" s="13">
        <f t="shared" si="104"/>
        <v>1448.1380104712041</v>
      </c>
      <c r="AH109" s="13">
        <f t="shared" si="105"/>
        <v>1367.7516230366491</v>
      </c>
      <c r="AI109" s="16">
        <f t="shared" si="106"/>
        <v>80.386387434554976</v>
      </c>
      <c r="AJ109" s="15">
        <f t="shared" si="107"/>
        <v>0</v>
      </c>
      <c r="AK109" s="13">
        <f t="shared" si="108"/>
        <v>0</v>
      </c>
      <c r="AL109" s="56">
        <f t="shared" si="109"/>
        <v>0</v>
      </c>
      <c r="AM109" s="51">
        <f t="shared" si="110"/>
        <v>0</v>
      </c>
      <c r="AN109" s="13">
        <f t="shared" si="111"/>
        <v>0</v>
      </c>
      <c r="AO109" s="56">
        <f t="shared" si="112"/>
        <v>0</v>
      </c>
      <c r="AP109" s="51">
        <f t="shared" si="113"/>
        <v>0</v>
      </c>
      <c r="AQ109" s="13">
        <f t="shared" si="114"/>
        <v>0</v>
      </c>
      <c r="AR109" s="56">
        <f t="shared" si="115"/>
        <v>0</v>
      </c>
      <c r="AS109" s="51">
        <f t="shared" si="116"/>
        <v>0</v>
      </c>
      <c r="AT109" s="13">
        <f t="shared" si="117"/>
        <v>0</v>
      </c>
      <c r="AU109" s="56">
        <f t="shared" si="118"/>
        <v>0</v>
      </c>
      <c r="AV109" s="13">
        <f t="shared" si="119"/>
        <v>0</v>
      </c>
      <c r="AW109" s="13">
        <f t="shared" si="120"/>
        <v>0</v>
      </c>
      <c r="AX109" s="16">
        <f t="shared" si="121"/>
        <v>0</v>
      </c>
    </row>
    <row r="110" spans="1:50" x14ac:dyDescent="0.25">
      <c r="A110" s="20">
        <v>281</v>
      </c>
      <c r="B110">
        <v>1</v>
      </c>
      <c r="C110" s="23" t="s">
        <v>226</v>
      </c>
      <c r="D110" s="23">
        <v>2</v>
      </c>
      <c r="E110" s="15">
        <f>+SUMIF('GE16FEB14 Unfudged'!$A$2:$A$498, $A110, 'GE16FEB14 Unfudged'!$D$2:$D$498)</f>
        <v>13184</v>
      </c>
      <c r="F110" s="15">
        <f>+SUMIF('GE16FEB14 Unfudged'!$A$2:$A$498, 'Tax Bill Summary'!$A110, 'GE16FEB14 Unfudged'!E$2:E$498)</f>
        <v>1045183</v>
      </c>
      <c r="G110" s="13">
        <f>+SUMIF('GE16FEB14 Unfudged'!$A$2:$A$498, 'Tax Bill Summary'!$A110, 'GE16FEB14 Unfudged'!F$2:F$498)</f>
        <v>1031678</v>
      </c>
      <c r="H110" s="56">
        <f t="shared" si="89"/>
        <v>13505</v>
      </c>
      <c r="I110" s="51">
        <f>+SUMIF('GE16FEB14 Unfudged'!$A$2:$A$498, 'Tax Bill Summary'!$A110, 'GE16FEB14 Unfudged'!G$2:G$498)</f>
        <v>5589931</v>
      </c>
      <c r="J110" s="13">
        <f>+SUMIF('GE16FEB14 Unfudged'!$A$2:$A$498, 'Tax Bill Summary'!$A110, 'GE16FEB14 Unfudged'!H$2:H$498)</f>
        <v>5517707</v>
      </c>
      <c r="K110" s="56">
        <f t="shared" si="90"/>
        <v>72224</v>
      </c>
      <c r="L110" s="51">
        <f>+SUMIF('GE16FEB14 Unfudged'!$A$2:$A$498, 'Tax Bill Summary'!$A110, 'GE16FEB14 Unfudged'!I$2:IF$498)</f>
        <v>19107018</v>
      </c>
      <c r="M110" s="13">
        <f>+SUMIF('GE16FEB14 Unfudged'!$A$2:$A$498, 'Tax Bill Summary'!$A110, 'GE16FEB14 Unfudged'!J$2:IG$498)</f>
        <v>17336090</v>
      </c>
      <c r="N110" s="56">
        <f t="shared" si="91"/>
        <v>1770928</v>
      </c>
      <c r="O110" s="51">
        <f t="shared" si="92"/>
        <v>25742132</v>
      </c>
      <c r="P110" s="13">
        <f t="shared" si="93"/>
        <v>23885475</v>
      </c>
      <c r="Q110" s="56">
        <f t="shared" si="94"/>
        <v>1856657</v>
      </c>
      <c r="R110" s="13">
        <f t="shared" si="95"/>
        <v>1952.5282160194174</v>
      </c>
      <c r="S110" s="13">
        <f t="shared" si="96"/>
        <v>1811.7016838592233</v>
      </c>
      <c r="T110" s="16">
        <f t="shared" si="97"/>
        <v>140.82653216019418</v>
      </c>
      <c r="U110" s="15">
        <f>+SUMIF('GE16FEB14 Tax Bill Unfudged'!$A$2:$A$498, 'Tax Bill Summary'!$A110, 'GE16FEB14 Tax Bill Unfudged'!E$2:E$498)</f>
        <v>1045183</v>
      </c>
      <c r="V110" s="13">
        <f>+SUMIF('GE16FEB14 Tax Bill Unfudged'!$A$2:$A$498, 'Tax Bill Summary'!$A110, 'GE16FEB14 Tax Bill Unfudged'!F$2:F$498)</f>
        <v>1031678</v>
      </c>
      <c r="W110" s="56">
        <f t="shared" si="98"/>
        <v>13505</v>
      </c>
      <c r="X110" s="51">
        <f>+SUMIF('GE16FEB14 Tax Bill Unfudged'!$A$2:$A$498, 'Tax Bill Summary'!$A110, 'GE16FEB14 Tax Bill Unfudged'!G$2:G$498)</f>
        <v>5589931</v>
      </c>
      <c r="Y110" s="13">
        <f>+SUMIF('GE16FEB14 Tax Bill Unfudged'!$A$2:$A$498, 'Tax Bill Summary'!$A110, 'GE16FEB14 Tax Bill Unfudged'!H$2:H$498)</f>
        <v>5517707</v>
      </c>
      <c r="Z110" s="56">
        <f t="shared" si="99"/>
        <v>72224</v>
      </c>
      <c r="AA110" s="51">
        <f>+SUMIF('GE16FEB14 Tax Bill Unfudged'!$A$2:$A$498, 'Tax Bill Summary'!$A110, 'GE16FEB14 Tax Bill Unfudged'!I$2:I$498)</f>
        <v>19107018</v>
      </c>
      <c r="AB110" s="13">
        <f>+SUMIF('GE16FEB14 Tax Bill Unfudged'!$A$2:$A$498, 'Tax Bill Summary'!$A110, 'GE16FEB14 Tax Bill Unfudged'!J$2:J$498)</f>
        <v>17336090</v>
      </c>
      <c r="AC110" s="56">
        <f t="shared" si="100"/>
        <v>1770928</v>
      </c>
      <c r="AD110" s="51">
        <f t="shared" si="101"/>
        <v>25742132</v>
      </c>
      <c r="AE110" s="13">
        <f t="shared" si="102"/>
        <v>23885475</v>
      </c>
      <c r="AF110" s="56">
        <f t="shared" si="103"/>
        <v>1856657</v>
      </c>
      <c r="AG110" s="13">
        <f t="shared" si="104"/>
        <v>1952.5282160194174</v>
      </c>
      <c r="AH110" s="13">
        <f t="shared" si="105"/>
        <v>1811.7016838592233</v>
      </c>
      <c r="AI110" s="16">
        <f t="shared" si="106"/>
        <v>140.82653216019418</v>
      </c>
      <c r="AJ110" s="15">
        <f t="shared" si="107"/>
        <v>0</v>
      </c>
      <c r="AK110" s="13">
        <f t="shared" si="108"/>
        <v>0</v>
      </c>
      <c r="AL110" s="56">
        <f t="shared" si="109"/>
        <v>0</v>
      </c>
      <c r="AM110" s="51">
        <f t="shared" si="110"/>
        <v>0</v>
      </c>
      <c r="AN110" s="13">
        <f t="shared" si="111"/>
        <v>0</v>
      </c>
      <c r="AO110" s="56">
        <f t="shared" si="112"/>
        <v>0</v>
      </c>
      <c r="AP110" s="51">
        <f t="shared" si="113"/>
        <v>0</v>
      </c>
      <c r="AQ110" s="13">
        <f t="shared" si="114"/>
        <v>0</v>
      </c>
      <c r="AR110" s="56">
        <f t="shared" si="115"/>
        <v>0</v>
      </c>
      <c r="AS110" s="51">
        <f t="shared" si="116"/>
        <v>0</v>
      </c>
      <c r="AT110" s="13">
        <f t="shared" si="117"/>
        <v>0</v>
      </c>
      <c r="AU110" s="56">
        <f t="shared" si="118"/>
        <v>0</v>
      </c>
      <c r="AV110" s="13">
        <f t="shared" si="119"/>
        <v>0</v>
      </c>
      <c r="AW110" s="13">
        <f t="shared" si="120"/>
        <v>0</v>
      </c>
      <c r="AX110" s="16">
        <f t="shared" si="121"/>
        <v>0</v>
      </c>
    </row>
    <row r="111" spans="1:50" x14ac:dyDescent="0.25">
      <c r="A111" s="20">
        <v>282</v>
      </c>
      <c r="B111">
        <v>1</v>
      </c>
      <c r="C111" s="23" t="s">
        <v>227</v>
      </c>
      <c r="D111" s="23">
        <v>2</v>
      </c>
      <c r="E111" s="15">
        <f>+SUMIF('GE16FEB14 Unfudged'!$A$2:$A$498, $A111, 'GE16FEB14 Unfudged'!$D$2:$D$498)</f>
        <v>1796</v>
      </c>
      <c r="F111" s="15">
        <f>+SUMIF('GE16FEB14 Unfudged'!$A$2:$A$498, 'Tax Bill Summary'!$A111, 'GE16FEB14 Unfudged'!E$2:E$498)</f>
        <v>206809</v>
      </c>
      <c r="G111" s="13">
        <f>+SUMIF('GE16FEB14 Unfudged'!$A$2:$A$498, 'Tax Bill Summary'!$A111, 'GE16FEB14 Unfudged'!F$2:F$498)</f>
        <v>206809</v>
      </c>
      <c r="H111" s="56">
        <f t="shared" si="89"/>
        <v>0</v>
      </c>
      <c r="I111" s="51">
        <f>+SUMIF('GE16FEB14 Unfudged'!$A$2:$A$498, 'Tax Bill Summary'!$A111, 'GE16FEB14 Unfudged'!G$2:G$498)</f>
        <v>761334</v>
      </c>
      <c r="J111" s="13">
        <f>+SUMIF('GE16FEB14 Unfudged'!$A$2:$A$498, 'Tax Bill Summary'!$A111, 'GE16FEB14 Unfudged'!H$2:H$498)</f>
        <v>761334</v>
      </c>
      <c r="K111" s="56">
        <f t="shared" si="90"/>
        <v>0</v>
      </c>
      <c r="L111" s="51">
        <f>+SUMIF('GE16FEB14 Unfudged'!$A$2:$A$498, 'Tax Bill Summary'!$A111, 'GE16FEB14 Unfudged'!I$2:IF$498)</f>
        <v>1762633</v>
      </c>
      <c r="M111" s="13">
        <f>+SUMIF('GE16FEB14 Unfudged'!$A$2:$A$498, 'Tax Bill Summary'!$A111, 'GE16FEB14 Unfudged'!J$2:IG$498)</f>
        <v>1510371</v>
      </c>
      <c r="N111" s="56">
        <f t="shared" si="91"/>
        <v>252262</v>
      </c>
      <c r="O111" s="51">
        <f t="shared" si="92"/>
        <v>2730776</v>
      </c>
      <c r="P111" s="13">
        <f t="shared" si="93"/>
        <v>2478514</v>
      </c>
      <c r="Q111" s="56">
        <f t="shared" si="94"/>
        <v>252262</v>
      </c>
      <c r="R111" s="13">
        <f t="shared" si="95"/>
        <v>1520.4766146993318</v>
      </c>
      <c r="S111" s="13">
        <f t="shared" si="96"/>
        <v>1380.0189309576838</v>
      </c>
      <c r="T111" s="16">
        <f t="shared" si="97"/>
        <v>140.45768374164811</v>
      </c>
      <c r="U111" s="15">
        <f>+SUMIF('GE16FEB14 Tax Bill Unfudged'!$A$2:$A$498, 'Tax Bill Summary'!$A111, 'GE16FEB14 Tax Bill Unfudged'!E$2:E$498)</f>
        <v>206809</v>
      </c>
      <c r="V111" s="13">
        <f>+SUMIF('GE16FEB14 Tax Bill Unfudged'!$A$2:$A$498, 'Tax Bill Summary'!$A111, 'GE16FEB14 Tax Bill Unfudged'!F$2:F$498)</f>
        <v>206809</v>
      </c>
      <c r="W111" s="56">
        <f t="shared" si="98"/>
        <v>0</v>
      </c>
      <c r="X111" s="51">
        <f>+SUMIF('GE16FEB14 Tax Bill Unfudged'!$A$2:$A$498, 'Tax Bill Summary'!$A111, 'GE16FEB14 Tax Bill Unfudged'!G$2:G$498)</f>
        <v>761334</v>
      </c>
      <c r="Y111" s="13">
        <f>+SUMIF('GE16FEB14 Tax Bill Unfudged'!$A$2:$A$498, 'Tax Bill Summary'!$A111, 'GE16FEB14 Tax Bill Unfudged'!H$2:H$498)</f>
        <v>761334</v>
      </c>
      <c r="Z111" s="56">
        <f t="shared" si="99"/>
        <v>0</v>
      </c>
      <c r="AA111" s="51">
        <f>+SUMIF('GE16FEB14 Tax Bill Unfudged'!$A$2:$A$498, 'Tax Bill Summary'!$A111, 'GE16FEB14 Tax Bill Unfudged'!I$2:I$498)</f>
        <v>1762633</v>
      </c>
      <c r="AB111" s="13">
        <f>+SUMIF('GE16FEB14 Tax Bill Unfudged'!$A$2:$A$498, 'Tax Bill Summary'!$A111, 'GE16FEB14 Tax Bill Unfudged'!J$2:J$498)</f>
        <v>1510371</v>
      </c>
      <c r="AC111" s="56">
        <f t="shared" si="100"/>
        <v>252262</v>
      </c>
      <c r="AD111" s="51">
        <f t="shared" si="101"/>
        <v>2730776</v>
      </c>
      <c r="AE111" s="13">
        <f t="shared" si="102"/>
        <v>2478514</v>
      </c>
      <c r="AF111" s="56">
        <f t="shared" si="103"/>
        <v>252262</v>
      </c>
      <c r="AG111" s="13">
        <f t="shared" si="104"/>
        <v>1520.4766146993318</v>
      </c>
      <c r="AH111" s="13">
        <f t="shared" si="105"/>
        <v>1380.0189309576838</v>
      </c>
      <c r="AI111" s="16">
        <f t="shared" si="106"/>
        <v>140.45768374164811</v>
      </c>
      <c r="AJ111" s="15">
        <f t="shared" si="107"/>
        <v>0</v>
      </c>
      <c r="AK111" s="13">
        <f t="shared" si="108"/>
        <v>0</v>
      </c>
      <c r="AL111" s="56">
        <f t="shared" si="109"/>
        <v>0</v>
      </c>
      <c r="AM111" s="51">
        <f t="shared" si="110"/>
        <v>0</v>
      </c>
      <c r="AN111" s="13">
        <f t="shared" si="111"/>
        <v>0</v>
      </c>
      <c r="AO111" s="56">
        <f t="shared" si="112"/>
        <v>0</v>
      </c>
      <c r="AP111" s="51">
        <f t="shared" si="113"/>
        <v>0</v>
      </c>
      <c r="AQ111" s="13">
        <f t="shared" si="114"/>
        <v>0</v>
      </c>
      <c r="AR111" s="56">
        <f t="shared" si="115"/>
        <v>0</v>
      </c>
      <c r="AS111" s="51">
        <f t="shared" si="116"/>
        <v>0</v>
      </c>
      <c r="AT111" s="13">
        <f t="shared" si="117"/>
        <v>0</v>
      </c>
      <c r="AU111" s="56">
        <f t="shared" si="118"/>
        <v>0</v>
      </c>
      <c r="AV111" s="13">
        <f t="shared" si="119"/>
        <v>0</v>
      </c>
      <c r="AW111" s="13">
        <f t="shared" si="120"/>
        <v>0</v>
      </c>
      <c r="AX111" s="16">
        <f t="shared" si="121"/>
        <v>0</v>
      </c>
    </row>
    <row r="112" spans="1:50" x14ac:dyDescent="0.25">
      <c r="A112" s="20">
        <v>283</v>
      </c>
      <c r="B112">
        <v>1</v>
      </c>
      <c r="C112" s="23" t="s">
        <v>228</v>
      </c>
      <c r="D112" s="23">
        <v>2</v>
      </c>
      <c r="E112" s="15">
        <f>+SUMIF('GE16FEB14 Unfudged'!$A$2:$A$498, $A112, 'GE16FEB14 Unfudged'!$D$2:$D$498)</f>
        <v>4703</v>
      </c>
      <c r="F112" s="15">
        <f>+SUMIF('GE16FEB14 Unfudged'!$A$2:$A$498, 'Tax Bill Summary'!$A112, 'GE16FEB14 Unfudged'!E$2:E$498)</f>
        <v>235138</v>
      </c>
      <c r="G112" s="13">
        <f>+SUMIF('GE16FEB14 Unfudged'!$A$2:$A$498, 'Tax Bill Summary'!$A112, 'GE16FEB14 Unfudged'!F$2:F$498)</f>
        <v>235138</v>
      </c>
      <c r="H112" s="56">
        <f t="shared" si="89"/>
        <v>0</v>
      </c>
      <c r="I112" s="51">
        <f>+SUMIF('GE16FEB14 Unfudged'!$A$2:$A$498, 'Tax Bill Summary'!$A112, 'GE16FEB14 Unfudged'!G$2:G$498)</f>
        <v>1993966</v>
      </c>
      <c r="J112" s="13">
        <f>+SUMIF('GE16FEB14 Unfudged'!$A$2:$A$498, 'Tax Bill Summary'!$A112, 'GE16FEB14 Unfudged'!H$2:H$498)</f>
        <v>1993966</v>
      </c>
      <c r="K112" s="56">
        <f t="shared" si="90"/>
        <v>0</v>
      </c>
      <c r="L112" s="51">
        <f>+SUMIF('GE16FEB14 Unfudged'!$A$2:$A$498, 'Tax Bill Summary'!$A112, 'GE16FEB14 Unfudged'!I$2:IF$498)</f>
        <v>9239963</v>
      </c>
      <c r="M112" s="13">
        <f>+SUMIF('GE16FEB14 Unfudged'!$A$2:$A$498, 'Tax Bill Summary'!$A112, 'GE16FEB14 Unfudged'!J$2:IG$498)</f>
        <v>9239026</v>
      </c>
      <c r="N112" s="56">
        <f t="shared" si="91"/>
        <v>937</v>
      </c>
      <c r="O112" s="51">
        <f t="shared" si="92"/>
        <v>11469067</v>
      </c>
      <c r="P112" s="13">
        <f t="shared" si="93"/>
        <v>11468130</v>
      </c>
      <c r="Q112" s="56">
        <f t="shared" si="94"/>
        <v>937</v>
      </c>
      <c r="R112" s="13">
        <f t="shared" si="95"/>
        <v>2438.6704231341696</v>
      </c>
      <c r="S112" s="13">
        <f t="shared" si="96"/>
        <v>2438.4711886030195</v>
      </c>
      <c r="T112" s="16">
        <f t="shared" si="97"/>
        <v>0.19923453115032957</v>
      </c>
      <c r="U112" s="15">
        <f>+SUMIF('GE16FEB14 Tax Bill Unfudged'!$A$2:$A$498, 'Tax Bill Summary'!$A112, 'GE16FEB14 Tax Bill Unfudged'!E$2:E$498)</f>
        <v>235138</v>
      </c>
      <c r="V112" s="13">
        <f>+SUMIF('GE16FEB14 Tax Bill Unfudged'!$A$2:$A$498, 'Tax Bill Summary'!$A112, 'GE16FEB14 Tax Bill Unfudged'!F$2:F$498)</f>
        <v>235138</v>
      </c>
      <c r="W112" s="56">
        <f t="shared" si="98"/>
        <v>0</v>
      </c>
      <c r="X112" s="51">
        <f>+SUMIF('GE16FEB14 Tax Bill Unfudged'!$A$2:$A$498, 'Tax Bill Summary'!$A112, 'GE16FEB14 Tax Bill Unfudged'!G$2:G$498)</f>
        <v>1993966</v>
      </c>
      <c r="Y112" s="13">
        <f>+SUMIF('GE16FEB14 Tax Bill Unfudged'!$A$2:$A$498, 'Tax Bill Summary'!$A112, 'GE16FEB14 Tax Bill Unfudged'!H$2:H$498)</f>
        <v>1993966</v>
      </c>
      <c r="Z112" s="56">
        <f t="shared" si="99"/>
        <v>0</v>
      </c>
      <c r="AA112" s="51">
        <f>+SUMIF('GE16FEB14 Tax Bill Unfudged'!$A$2:$A$498, 'Tax Bill Summary'!$A112, 'GE16FEB14 Tax Bill Unfudged'!I$2:I$498)</f>
        <v>9239963</v>
      </c>
      <c r="AB112" s="13">
        <f>+SUMIF('GE16FEB14 Tax Bill Unfudged'!$A$2:$A$498, 'Tax Bill Summary'!$A112, 'GE16FEB14 Tax Bill Unfudged'!J$2:J$498)</f>
        <v>9239026</v>
      </c>
      <c r="AC112" s="56">
        <f t="shared" si="100"/>
        <v>937</v>
      </c>
      <c r="AD112" s="51">
        <f t="shared" si="101"/>
        <v>11469067</v>
      </c>
      <c r="AE112" s="13">
        <f t="shared" si="102"/>
        <v>11468130</v>
      </c>
      <c r="AF112" s="56">
        <f t="shared" si="103"/>
        <v>937</v>
      </c>
      <c r="AG112" s="13">
        <f t="shared" si="104"/>
        <v>2438.6704231341696</v>
      </c>
      <c r="AH112" s="13">
        <f t="shared" si="105"/>
        <v>2438.4711886030195</v>
      </c>
      <c r="AI112" s="16">
        <f t="shared" si="106"/>
        <v>0.19923453115032957</v>
      </c>
      <c r="AJ112" s="15">
        <f t="shared" si="107"/>
        <v>0</v>
      </c>
      <c r="AK112" s="13">
        <f t="shared" si="108"/>
        <v>0</v>
      </c>
      <c r="AL112" s="56">
        <f t="shared" si="109"/>
        <v>0</v>
      </c>
      <c r="AM112" s="51">
        <f t="shared" si="110"/>
        <v>0</v>
      </c>
      <c r="AN112" s="13">
        <f t="shared" si="111"/>
        <v>0</v>
      </c>
      <c r="AO112" s="56">
        <f t="shared" si="112"/>
        <v>0</v>
      </c>
      <c r="AP112" s="51">
        <f t="shared" si="113"/>
        <v>0</v>
      </c>
      <c r="AQ112" s="13">
        <f t="shared" si="114"/>
        <v>0</v>
      </c>
      <c r="AR112" s="56">
        <f t="shared" si="115"/>
        <v>0</v>
      </c>
      <c r="AS112" s="51">
        <f t="shared" si="116"/>
        <v>0</v>
      </c>
      <c r="AT112" s="13">
        <f t="shared" si="117"/>
        <v>0</v>
      </c>
      <c r="AU112" s="56">
        <f t="shared" si="118"/>
        <v>0</v>
      </c>
      <c r="AV112" s="13">
        <f t="shared" si="119"/>
        <v>0</v>
      </c>
      <c r="AW112" s="13">
        <f t="shared" si="120"/>
        <v>0</v>
      </c>
      <c r="AX112" s="16">
        <f t="shared" si="121"/>
        <v>0</v>
      </c>
    </row>
    <row r="113" spans="1:50" x14ac:dyDescent="0.25">
      <c r="A113" s="20">
        <v>284</v>
      </c>
      <c r="B113">
        <v>1</v>
      </c>
      <c r="C113" s="23" t="s">
        <v>229</v>
      </c>
      <c r="D113" s="23">
        <v>3</v>
      </c>
      <c r="E113" s="15">
        <f>+SUMIF('GE16FEB14 Unfudged'!$A$2:$A$498, $A113, 'GE16FEB14 Unfudged'!$D$2:$D$498)</f>
        <v>12528</v>
      </c>
      <c r="F113" s="15">
        <f>+SUMIF('GE16FEB14 Unfudged'!$A$2:$A$498, 'Tax Bill Summary'!$A113, 'GE16FEB14 Unfudged'!E$2:E$498)</f>
        <v>1081538</v>
      </c>
      <c r="G113" s="13">
        <f>+SUMIF('GE16FEB14 Unfudged'!$A$2:$A$498, 'Tax Bill Summary'!$A113, 'GE16FEB14 Unfudged'!F$2:F$498)</f>
        <v>1081538</v>
      </c>
      <c r="H113" s="56">
        <f t="shared" si="89"/>
        <v>0</v>
      </c>
      <c r="I113" s="51">
        <f>+SUMIF('GE16FEB14 Unfudged'!$A$2:$A$498, 'Tax Bill Summary'!$A113, 'GE16FEB14 Unfudged'!G$2:G$498)</f>
        <v>5312042</v>
      </c>
      <c r="J113" s="13">
        <f>+SUMIF('GE16FEB14 Unfudged'!$A$2:$A$498, 'Tax Bill Summary'!$A113, 'GE16FEB14 Unfudged'!H$2:H$498)</f>
        <v>5312042</v>
      </c>
      <c r="K113" s="56">
        <f t="shared" si="90"/>
        <v>0</v>
      </c>
      <c r="L113" s="51">
        <f>+SUMIF('GE16FEB14 Unfudged'!$A$2:$A$498, 'Tax Bill Summary'!$A113, 'GE16FEB14 Unfudged'!I$2:IF$498)</f>
        <v>17006677</v>
      </c>
      <c r="M113" s="13">
        <f>+SUMIF('GE16FEB14 Unfudged'!$A$2:$A$498, 'Tax Bill Summary'!$A113, 'GE16FEB14 Unfudged'!J$2:IG$498)</f>
        <v>16865189</v>
      </c>
      <c r="N113" s="56">
        <f t="shared" si="91"/>
        <v>141488</v>
      </c>
      <c r="O113" s="51">
        <f t="shared" si="92"/>
        <v>23400257</v>
      </c>
      <c r="P113" s="13">
        <f t="shared" si="93"/>
        <v>23258769</v>
      </c>
      <c r="Q113" s="56">
        <f t="shared" si="94"/>
        <v>141488</v>
      </c>
      <c r="R113" s="13">
        <f t="shared" si="95"/>
        <v>1867.8366060025544</v>
      </c>
      <c r="S113" s="13">
        <f t="shared" si="96"/>
        <v>1856.5428639846743</v>
      </c>
      <c r="T113" s="16">
        <f t="shared" si="97"/>
        <v>11.293742017879948</v>
      </c>
      <c r="U113" s="15">
        <f>+SUMIF('GE16FEB14 Tax Bill Unfudged'!$A$2:$A$498, 'Tax Bill Summary'!$A113, 'GE16FEB14 Tax Bill Unfudged'!E$2:E$498)</f>
        <v>1081538</v>
      </c>
      <c r="V113" s="13">
        <f>+SUMIF('GE16FEB14 Tax Bill Unfudged'!$A$2:$A$498, 'Tax Bill Summary'!$A113, 'GE16FEB14 Tax Bill Unfudged'!F$2:F$498)</f>
        <v>1081538</v>
      </c>
      <c r="W113" s="56">
        <f t="shared" si="98"/>
        <v>0</v>
      </c>
      <c r="X113" s="51">
        <f>+SUMIF('GE16FEB14 Tax Bill Unfudged'!$A$2:$A$498, 'Tax Bill Summary'!$A113, 'GE16FEB14 Tax Bill Unfudged'!G$2:G$498)</f>
        <v>5312042</v>
      </c>
      <c r="Y113" s="13">
        <f>+SUMIF('GE16FEB14 Tax Bill Unfudged'!$A$2:$A$498, 'Tax Bill Summary'!$A113, 'GE16FEB14 Tax Bill Unfudged'!H$2:H$498)</f>
        <v>5312042</v>
      </c>
      <c r="Z113" s="56">
        <f t="shared" si="99"/>
        <v>0</v>
      </c>
      <c r="AA113" s="51">
        <f>+SUMIF('GE16FEB14 Tax Bill Unfudged'!$A$2:$A$498, 'Tax Bill Summary'!$A113, 'GE16FEB14 Tax Bill Unfudged'!I$2:I$498)</f>
        <v>17006677</v>
      </c>
      <c r="AB113" s="13">
        <f>+SUMIF('GE16FEB14 Tax Bill Unfudged'!$A$2:$A$498, 'Tax Bill Summary'!$A113, 'GE16FEB14 Tax Bill Unfudged'!J$2:J$498)</f>
        <v>16865189</v>
      </c>
      <c r="AC113" s="56">
        <f t="shared" si="100"/>
        <v>141488</v>
      </c>
      <c r="AD113" s="51">
        <f t="shared" si="101"/>
        <v>23400257</v>
      </c>
      <c r="AE113" s="13">
        <f t="shared" si="102"/>
        <v>23258769</v>
      </c>
      <c r="AF113" s="56">
        <f t="shared" si="103"/>
        <v>141488</v>
      </c>
      <c r="AG113" s="13">
        <f t="shared" si="104"/>
        <v>1867.8366060025544</v>
      </c>
      <c r="AH113" s="13">
        <f t="shared" si="105"/>
        <v>1856.5428639846743</v>
      </c>
      <c r="AI113" s="16">
        <f t="shared" si="106"/>
        <v>11.293742017879948</v>
      </c>
      <c r="AJ113" s="15">
        <f t="shared" si="107"/>
        <v>0</v>
      </c>
      <c r="AK113" s="13">
        <f t="shared" si="108"/>
        <v>0</v>
      </c>
      <c r="AL113" s="56">
        <f t="shared" si="109"/>
        <v>0</v>
      </c>
      <c r="AM113" s="51">
        <f t="shared" si="110"/>
        <v>0</v>
      </c>
      <c r="AN113" s="13">
        <f t="shared" si="111"/>
        <v>0</v>
      </c>
      <c r="AO113" s="56">
        <f t="shared" si="112"/>
        <v>0</v>
      </c>
      <c r="AP113" s="51">
        <f t="shared" si="113"/>
        <v>0</v>
      </c>
      <c r="AQ113" s="13">
        <f t="shared" si="114"/>
        <v>0</v>
      </c>
      <c r="AR113" s="56">
        <f t="shared" si="115"/>
        <v>0</v>
      </c>
      <c r="AS113" s="51">
        <f t="shared" si="116"/>
        <v>0</v>
      </c>
      <c r="AT113" s="13">
        <f t="shared" si="117"/>
        <v>0</v>
      </c>
      <c r="AU113" s="56">
        <f t="shared" si="118"/>
        <v>0</v>
      </c>
      <c r="AV113" s="13">
        <f t="shared" si="119"/>
        <v>0</v>
      </c>
      <c r="AW113" s="13">
        <f t="shared" si="120"/>
        <v>0</v>
      </c>
      <c r="AX113" s="16">
        <f t="shared" si="121"/>
        <v>0</v>
      </c>
    </row>
    <row r="114" spans="1:50" x14ac:dyDescent="0.25">
      <c r="A114" s="20">
        <v>286</v>
      </c>
      <c r="B114">
        <v>1</v>
      </c>
      <c r="C114" s="23" t="s">
        <v>230</v>
      </c>
      <c r="D114" s="23">
        <v>2</v>
      </c>
      <c r="E114" s="15">
        <f>+SUMIF('GE16FEB14 Unfudged'!$A$2:$A$498, $A114, 'GE16FEB14 Unfudged'!$D$2:$D$498)</f>
        <v>2474</v>
      </c>
      <c r="F114" s="15">
        <f>+SUMIF('GE16FEB14 Unfudged'!$A$2:$A$498, 'Tax Bill Summary'!$A114, 'GE16FEB14 Unfudged'!E$2:E$498)</f>
        <v>414361</v>
      </c>
      <c r="G114" s="13">
        <f>+SUMIF('GE16FEB14 Unfudged'!$A$2:$A$498, 'Tax Bill Summary'!$A114, 'GE16FEB14 Unfudged'!F$2:F$498)</f>
        <v>231526</v>
      </c>
      <c r="H114" s="56">
        <f t="shared" si="89"/>
        <v>182835</v>
      </c>
      <c r="I114" s="51">
        <f>+SUMIF('GE16FEB14 Unfudged'!$A$2:$A$498, 'Tax Bill Summary'!$A114, 'GE16FEB14 Unfudged'!G$2:G$498)</f>
        <v>1048891</v>
      </c>
      <c r="J114" s="13">
        <f>+SUMIF('GE16FEB14 Unfudged'!$A$2:$A$498, 'Tax Bill Summary'!$A114, 'GE16FEB14 Unfudged'!H$2:H$498)</f>
        <v>586073</v>
      </c>
      <c r="K114" s="56">
        <f t="shared" si="90"/>
        <v>462818</v>
      </c>
      <c r="L114" s="51">
        <f>+SUMIF('GE16FEB14 Unfudged'!$A$2:$A$498, 'Tax Bill Summary'!$A114, 'GE16FEB14 Unfudged'!I$2:IF$498)</f>
        <v>742140</v>
      </c>
      <c r="M114" s="13">
        <f>+SUMIF('GE16FEB14 Unfudged'!$A$2:$A$498, 'Tax Bill Summary'!$A114, 'GE16FEB14 Unfudged'!J$2:IG$498)</f>
        <v>240323</v>
      </c>
      <c r="N114" s="56">
        <f t="shared" si="91"/>
        <v>501817</v>
      </c>
      <c r="O114" s="51">
        <f t="shared" si="92"/>
        <v>2205392</v>
      </c>
      <c r="P114" s="13">
        <f t="shared" si="93"/>
        <v>1057922</v>
      </c>
      <c r="Q114" s="56">
        <f t="shared" si="94"/>
        <v>1147470</v>
      </c>
      <c r="R114" s="13">
        <f t="shared" si="95"/>
        <v>891.42764753435733</v>
      </c>
      <c r="S114" s="13">
        <f t="shared" si="96"/>
        <v>427.61600646725952</v>
      </c>
      <c r="T114" s="16">
        <f t="shared" si="97"/>
        <v>463.81164106709781</v>
      </c>
      <c r="U114" s="15">
        <f>+SUMIF('GE16FEB14 Tax Bill Unfudged'!$A$2:$A$498, 'Tax Bill Summary'!$A114, 'GE16FEB14 Tax Bill Unfudged'!E$2:E$498)</f>
        <v>414361</v>
      </c>
      <c r="V114" s="13">
        <f>+SUMIF('GE16FEB14 Tax Bill Unfudged'!$A$2:$A$498, 'Tax Bill Summary'!$A114, 'GE16FEB14 Tax Bill Unfudged'!F$2:F$498)</f>
        <v>231526</v>
      </c>
      <c r="W114" s="56">
        <f t="shared" si="98"/>
        <v>182835</v>
      </c>
      <c r="X114" s="51">
        <f>+SUMIF('GE16FEB14 Tax Bill Unfudged'!$A$2:$A$498, 'Tax Bill Summary'!$A114, 'GE16FEB14 Tax Bill Unfudged'!G$2:G$498)</f>
        <v>1048891</v>
      </c>
      <c r="Y114" s="13">
        <f>+SUMIF('GE16FEB14 Tax Bill Unfudged'!$A$2:$A$498, 'Tax Bill Summary'!$A114, 'GE16FEB14 Tax Bill Unfudged'!H$2:H$498)</f>
        <v>586073</v>
      </c>
      <c r="Z114" s="56">
        <f t="shared" si="99"/>
        <v>462818</v>
      </c>
      <c r="AA114" s="51">
        <f>+SUMIF('GE16FEB14 Tax Bill Unfudged'!$A$2:$A$498, 'Tax Bill Summary'!$A114, 'GE16FEB14 Tax Bill Unfudged'!I$2:I$498)</f>
        <v>742140</v>
      </c>
      <c r="AB114" s="13">
        <f>+SUMIF('GE16FEB14 Tax Bill Unfudged'!$A$2:$A$498, 'Tax Bill Summary'!$A114, 'GE16FEB14 Tax Bill Unfudged'!J$2:J$498)</f>
        <v>240323</v>
      </c>
      <c r="AC114" s="56">
        <f t="shared" si="100"/>
        <v>501817</v>
      </c>
      <c r="AD114" s="51">
        <f t="shared" si="101"/>
        <v>2205392</v>
      </c>
      <c r="AE114" s="13">
        <f t="shared" si="102"/>
        <v>1057922</v>
      </c>
      <c r="AF114" s="56">
        <f t="shared" si="103"/>
        <v>1147470</v>
      </c>
      <c r="AG114" s="13">
        <f t="shared" si="104"/>
        <v>891.42764753435733</v>
      </c>
      <c r="AH114" s="13">
        <f t="shared" si="105"/>
        <v>427.61600646725952</v>
      </c>
      <c r="AI114" s="16">
        <f t="shared" si="106"/>
        <v>463.81164106709781</v>
      </c>
      <c r="AJ114" s="15">
        <f t="shared" si="107"/>
        <v>0</v>
      </c>
      <c r="AK114" s="13">
        <f t="shared" si="108"/>
        <v>0</v>
      </c>
      <c r="AL114" s="56">
        <f t="shared" si="109"/>
        <v>0</v>
      </c>
      <c r="AM114" s="51">
        <f t="shared" si="110"/>
        <v>0</v>
      </c>
      <c r="AN114" s="13">
        <f t="shared" si="111"/>
        <v>0</v>
      </c>
      <c r="AO114" s="56">
        <f t="shared" si="112"/>
        <v>0</v>
      </c>
      <c r="AP114" s="51">
        <f t="shared" si="113"/>
        <v>0</v>
      </c>
      <c r="AQ114" s="13">
        <f t="shared" si="114"/>
        <v>0</v>
      </c>
      <c r="AR114" s="56">
        <f t="shared" si="115"/>
        <v>0</v>
      </c>
      <c r="AS114" s="51">
        <f t="shared" si="116"/>
        <v>0</v>
      </c>
      <c r="AT114" s="13">
        <f t="shared" si="117"/>
        <v>0</v>
      </c>
      <c r="AU114" s="56">
        <f t="shared" si="118"/>
        <v>0</v>
      </c>
      <c r="AV114" s="13">
        <f t="shared" si="119"/>
        <v>0</v>
      </c>
      <c r="AW114" s="13">
        <f t="shared" si="120"/>
        <v>0</v>
      </c>
      <c r="AX114" s="16">
        <f t="shared" si="121"/>
        <v>0</v>
      </c>
    </row>
    <row r="115" spans="1:50" x14ac:dyDescent="0.25">
      <c r="A115" s="20">
        <v>294</v>
      </c>
      <c r="B115">
        <v>1</v>
      </c>
      <c r="C115" s="23" t="s">
        <v>231</v>
      </c>
      <c r="D115" s="23">
        <v>5</v>
      </c>
      <c r="E115" s="15">
        <f>+SUMIF('GE16FEB14 Unfudged'!$A$2:$A$498, $A115, 'GE16FEB14 Unfudged'!$D$2:$D$498)</f>
        <v>2846</v>
      </c>
      <c r="F115" s="15">
        <f>+SUMIF('GE16FEB14 Unfudged'!$A$2:$A$498, 'Tax Bill Summary'!$A115, 'GE16FEB14 Unfudged'!E$2:E$498)</f>
        <v>409824</v>
      </c>
      <c r="G115" s="13">
        <f>+SUMIF('GE16FEB14 Unfudged'!$A$2:$A$498, 'Tax Bill Summary'!$A115, 'GE16FEB14 Unfudged'!F$2:F$498)</f>
        <v>269668</v>
      </c>
      <c r="H115" s="56">
        <f t="shared" si="89"/>
        <v>140156</v>
      </c>
      <c r="I115" s="51">
        <f>+SUMIF('GE16FEB14 Unfudged'!$A$2:$A$498, 'Tax Bill Summary'!$A115, 'GE16FEB14 Unfudged'!G$2:G$498)</f>
        <v>603352</v>
      </c>
      <c r="J115" s="13">
        <f>+SUMIF('GE16FEB14 Unfudged'!$A$2:$A$498, 'Tax Bill Summary'!$A115, 'GE16FEB14 Unfudged'!H$2:H$498)</f>
        <v>397011</v>
      </c>
      <c r="K115" s="56">
        <f t="shared" si="90"/>
        <v>206341</v>
      </c>
      <c r="L115" s="51">
        <f>+SUMIF('GE16FEB14 Unfudged'!$A$2:$A$498, 'Tax Bill Summary'!$A115, 'GE16FEB14 Unfudged'!I$2:IF$498)</f>
        <v>853800</v>
      </c>
      <c r="M115" s="13">
        <f>+SUMIF('GE16FEB14 Unfudged'!$A$2:$A$498, 'Tax Bill Summary'!$A115, 'GE16FEB14 Unfudged'!J$2:IG$498)</f>
        <v>325593</v>
      </c>
      <c r="N115" s="56">
        <f t="shared" si="91"/>
        <v>528207</v>
      </c>
      <c r="O115" s="51">
        <f t="shared" si="92"/>
        <v>1866976</v>
      </c>
      <c r="P115" s="13">
        <f t="shared" si="93"/>
        <v>992272</v>
      </c>
      <c r="Q115" s="56">
        <f t="shared" si="94"/>
        <v>874704</v>
      </c>
      <c r="R115" s="13">
        <f t="shared" si="95"/>
        <v>656</v>
      </c>
      <c r="S115" s="13">
        <f t="shared" si="96"/>
        <v>348.65495432185526</v>
      </c>
      <c r="T115" s="16">
        <f t="shared" si="97"/>
        <v>307.34504567814474</v>
      </c>
      <c r="U115" s="15">
        <f>+SUMIF('GE16FEB14 Tax Bill Unfudged'!$A$2:$A$498, 'Tax Bill Summary'!$A115, 'GE16FEB14 Tax Bill Unfudged'!E$2:E$498)</f>
        <v>409824</v>
      </c>
      <c r="V115" s="13">
        <f>+SUMIF('GE16FEB14 Tax Bill Unfudged'!$A$2:$A$498, 'Tax Bill Summary'!$A115, 'GE16FEB14 Tax Bill Unfudged'!F$2:F$498)</f>
        <v>269668</v>
      </c>
      <c r="W115" s="56">
        <f t="shared" si="98"/>
        <v>140156</v>
      </c>
      <c r="X115" s="51">
        <f>+SUMIF('GE16FEB14 Tax Bill Unfudged'!$A$2:$A$498, 'Tax Bill Summary'!$A115, 'GE16FEB14 Tax Bill Unfudged'!G$2:G$498)</f>
        <v>1206704</v>
      </c>
      <c r="Y115" s="13">
        <f>+SUMIF('GE16FEB14 Tax Bill Unfudged'!$A$2:$A$498, 'Tax Bill Summary'!$A115, 'GE16FEB14 Tax Bill Unfudged'!H$2:H$498)</f>
        <v>794021</v>
      </c>
      <c r="Z115" s="56">
        <f t="shared" si="99"/>
        <v>412683</v>
      </c>
      <c r="AA115" s="51">
        <f>+SUMIF('GE16FEB14 Tax Bill Unfudged'!$A$2:$A$498, 'Tax Bill Summary'!$A115, 'GE16FEB14 Tax Bill Unfudged'!I$2:I$498)</f>
        <v>853800</v>
      </c>
      <c r="AB115" s="13">
        <f>+SUMIF('GE16FEB14 Tax Bill Unfudged'!$A$2:$A$498, 'Tax Bill Summary'!$A115, 'GE16FEB14 Tax Bill Unfudged'!J$2:J$498)</f>
        <v>325593</v>
      </c>
      <c r="AC115" s="56">
        <f t="shared" si="100"/>
        <v>528207</v>
      </c>
      <c r="AD115" s="51">
        <f t="shared" si="101"/>
        <v>2470328</v>
      </c>
      <c r="AE115" s="13">
        <f t="shared" si="102"/>
        <v>1389282</v>
      </c>
      <c r="AF115" s="56">
        <f t="shared" si="103"/>
        <v>1081046</v>
      </c>
      <c r="AG115" s="13">
        <f t="shared" si="104"/>
        <v>868</v>
      </c>
      <c r="AH115" s="13">
        <f t="shared" si="105"/>
        <v>488.15249472944481</v>
      </c>
      <c r="AI115" s="16">
        <f t="shared" si="106"/>
        <v>379.84750527055519</v>
      </c>
      <c r="AJ115" s="15">
        <f t="shared" si="107"/>
        <v>0</v>
      </c>
      <c r="AK115" s="13">
        <f t="shared" si="108"/>
        <v>0</v>
      </c>
      <c r="AL115" s="56">
        <f t="shared" si="109"/>
        <v>0</v>
      </c>
      <c r="AM115" s="51">
        <f t="shared" si="110"/>
        <v>603352</v>
      </c>
      <c r="AN115" s="13">
        <f t="shared" si="111"/>
        <v>397010</v>
      </c>
      <c r="AO115" s="56">
        <f t="shared" si="112"/>
        <v>206342</v>
      </c>
      <c r="AP115" s="51">
        <f t="shared" si="113"/>
        <v>0</v>
      </c>
      <c r="AQ115" s="13">
        <f t="shared" si="114"/>
        <v>0</v>
      </c>
      <c r="AR115" s="56">
        <f t="shared" si="115"/>
        <v>0</v>
      </c>
      <c r="AS115" s="51">
        <f t="shared" si="116"/>
        <v>603352</v>
      </c>
      <c r="AT115" s="13">
        <f t="shared" si="117"/>
        <v>397010</v>
      </c>
      <c r="AU115" s="56">
        <f t="shared" si="118"/>
        <v>206342</v>
      </c>
      <c r="AV115" s="13">
        <f t="shared" si="119"/>
        <v>212</v>
      </c>
      <c r="AW115" s="13">
        <f t="shared" si="120"/>
        <v>139.49754040758955</v>
      </c>
      <c r="AX115" s="16">
        <f t="shared" si="121"/>
        <v>72.502459592410446</v>
      </c>
    </row>
    <row r="116" spans="1:50" ht="15" customHeight="1" x14ac:dyDescent="0.25">
      <c r="A116" s="20">
        <v>297</v>
      </c>
      <c r="B116">
        <v>6</v>
      </c>
      <c r="C116" s="23" t="s">
        <v>232</v>
      </c>
      <c r="D116" s="23">
        <v>6</v>
      </c>
      <c r="E116" s="15">
        <f>+SUMIF('GE16FEB14 Unfudged'!$A$2:$A$498, $A116, 'GE16FEB14 Unfudged'!$D$2:$D$498)</f>
        <v>370</v>
      </c>
      <c r="F116" s="15">
        <f>+SUMIF('GE16FEB14 Unfudged'!$A$2:$A$498, 'Tax Bill Summary'!$A116, 'GE16FEB14 Unfudged'!E$2:E$498)</f>
        <v>33728</v>
      </c>
      <c r="G116" s="13">
        <f>+SUMIF('GE16FEB14 Unfudged'!$A$2:$A$498, 'Tax Bill Summary'!$A116, 'GE16FEB14 Unfudged'!F$2:F$498)</f>
        <v>18620</v>
      </c>
      <c r="H116" s="56">
        <f t="shared" si="89"/>
        <v>15108</v>
      </c>
      <c r="I116" s="51">
        <f>+SUMIF('GE16FEB14 Unfudged'!$A$2:$A$498, 'Tax Bill Summary'!$A116, 'GE16FEB14 Unfudged'!G$2:G$498)</f>
        <v>0</v>
      </c>
      <c r="J116" s="13">
        <f>+SUMIF('GE16FEB14 Unfudged'!$A$2:$A$498, 'Tax Bill Summary'!$A116, 'GE16FEB14 Unfudged'!H$2:H$498)</f>
        <v>0</v>
      </c>
      <c r="K116" s="56">
        <f t="shared" si="90"/>
        <v>0</v>
      </c>
      <c r="L116" s="51">
        <f>+SUMIF('GE16FEB14 Unfudged'!$A$2:$A$498, 'Tax Bill Summary'!$A116, 'GE16FEB14 Unfudged'!I$2:IF$498)</f>
        <v>537477</v>
      </c>
      <c r="M116" s="13">
        <f>+SUMIF('GE16FEB14 Unfudged'!$A$2:$A$498, 'Tax Bill Summary'!$A116, 'GE16FEB14 Unfudged'!J$2:IG$498)</f>
        <v>378297</v>
      </c>
      <c r="N116" s="56">
        <f t="shared" si="91"/>
        <v>159180</v>
      </c>
      <c r="O116" s="51">
        <f t="shared" si="92"/>
        <v>571205</v>
      </c>
      <c r="P116" s="13">
        <f t="shared" si="93"/>
        <v>396917</v>
      </c>
      <c r="Q116" s="56">
        <f t="shared" si="94"/>
        <v>174288</v>
      </c>
      <c r="R116" s="13">
        <f t="shared" si="95"/>
        <v>1543.7972972972973</v>
      </c>
      <c r="S116" s="13">
        <f t="shared" si="96"/>
        <v>1072.7486486486487</v>
      </c>
      <c r="T116" s="16">
        <f t="shared" si="97"/>
        <v>471.04864864864862</v>
      </c>
      <c r="U116" s="15">
        <f>+SUMIF('GE16FEB14 Tax Bill Unfudged'!$A$2:$A$498, 'Tax Bill Summary'!$A116, 'GE16FEB14 Tax Bill Unfudged'!E$2:E$498)</f>
        <v>36953</v>
      </c>
      <c r="V116" s="13">
        <f>+SUMIF('GE16FEB14 Tax Bill Unfudged'!$A$2:$A$498, 'Tax Bill Summary'!$A116, 'GE16FEB14 Tax Bill Unfudged'!F$2:F$498)</f>
        <v>20400</v>
      </c>
      <c r="W116" s="56">
        <f t="shared" si="98"/>
        <v>16553</v>
      </c>
      <c r="X116" s="51">
        <f>+SUMIF('GE16FEB14 Tax Bill Unfudged'!$A$2:$A$498, 'Tax Bill Summary'!$A116, 'GE16FEB14 Tax Bill Unfudged'!G$2:G$498)</f>
        <v>156880</v>
      </c>
      <c r="Y116" s="13">
        <f>+SUMIF('GE16FEB14 Tax Bill Unfudged'!$A$2:$A$498, 'Tax Bill Summary'!$A116, 'GE16FEB14 Tax Bill Unfudged'!H$2:H$498)</f>
        <v>86607</v>
      </c>
      <c r="Z116" s="56">
        <f t="shared" si="99"/>
        <v>70273</v>
      </c>
      <c r="AA116" s="51">
        <f>+SUMIF('GE16FEB14 Tax Bill Unfudged'!$A$2:$A$498, 'Tax Bill Summary'!$A116, 'GE16FEB14 Tax Bill Unfudged'!I$2:I$498)</f>
        <v>380597</v>
      </c>
      <c r="AB116" s="13">
        <f>+SUMIF('GE16FEB14 Tax Bill Unfudged'!$A$2:$A$498, 'Tax Bill Summary'!$A116, 'GE16FEB14 Tax Bill Unfudged'!J$2:J$498)</f>
        <v>225976</v>
      </c>
      <c r="AC116" s="56">
        <f t="shared" si="100"/>
        <v>154621</v>
      </c>
      <c r="AD116" s="51">
        <f t="shared" si="101"/>
        <v>574430</v>
      </c>
      <c r="AE116" s="13">
        <f t="shared" si="102"/>
        <v>332983</v>
      </c>
      <c r="AF116" s="56">
        <f t="shared" si="103"/>
        <v>241447</v>
      </c>
      <c r="AG116" s="13">
        <f t="shared" si="104"/>
        <v>1552.5135135135135</v>
      </c>
      <c r="AH116" s="13">
        <f t="shared" si="105"/>
        <v>899.95405405405404</v>
      </c>
      <c r="AI116" s="16">
        <f t="shared" si="106"/>
        <v>652.5594594594595</v>
      </c>
      <c r="AJ116" s="15">
        <f t="shared" si="107"/>
        <v>3225</v>
      </c>
      <c r="AK116" s="13">
        <f t="shared" si="108"/>
        <v>1780</v>
      </c>
      <c r="AL116" s="56">
        <f t="shared" si="109"/>
        <v>1445</v>
      </c>
      <c r="AM116" s="51">
        <f t="shared" si="110"/>
        <v>156880</v>
      </c>
      <c r="AN116" s="13">
        <f t="shared" si="111"/>
        <v>86607</v>
      </c>
      <c r="AO116" s="56">
        <f t="shared" si="112"/>
        <v>70273</v>
      </c>
      <c r="AP116" s="51">
        <f t="shared" si="113"/>
        <v>-156880</v>
      </c>
      <c r="AQ116" s="13">
        <f t="shared" si="114"/>
        <v>-152321</v>
      </c>
      <c r="AR116" s="56">
        <f t="shared" si="115"/>
        <v>-4559</v>
      </c>
      <c r="AS116" s="51">
        <f t="shared" si="116"/>
        <v>3225</v>
      </c>
      <c r="AT116" s="13">
        <f t="shared" si="117"/>
        <v>-63934</v>
      </c>
      <c r="AU116" s="56">
        <f t="shared" si="118"/>
        <v>67159</v>
      </c>
      <c r="AV116" s="13">
        <f t="shared" si="119"/>
        <v>8.7162162162162531</v>
      </c>
      <c r="AW116" s="13">
        <f t="shared" si="120"/>
        <v>-172.79459459459463</v>
      </c>
      <c r="AX116" s="16">
        <f t="shared" si="121"/>
        <v>181.51081081081088</v>
      </c>
    </row>
    <row r="117" spans="1:50" x14ac:dyDescent="0.25">
      <c r="A117" s="20">
        <v>299</v>
      </c>
      <c r="B117">
        <v>1</v>
      </c>
      <c r="C117" s="23" t="s">
        <v>233</v>
      </c>
      <c r="D117" s="23">
        <v>6</v>
      </c>
      <c r="E117" s="15">
        <f>+SUMIF('GE16FEB14 Unfudged'!$A$2:$A$498, $A117, 'GE16FEB14 Unfudged'!$D$2:$D$498)</f>
        <v>722</v>
      </c>
      <c r="F117" s="15">
        <f>+SUMIF('GE16FEB14 Unfudged'!$A$2:$A$498, 'Tax Bill Summary'!$A117, 'GE16FEB14 Unfudged'!E$2:E$498)</f>
        <v>88226</v>
      </c>
      <c r="G117" s="13">
        <f>+SUMIF('GE16FEB14 Unfudged'!$A$2:$A$498, 'Tax Bill Summary'!$A117, 'GE16FEB14 Unfudged'!F$2:F$498)</f>
        <v>76053</v>
      </c>
      <c r="H117" s="56">
        <f t="shared" si="89"/>
        <v>12173</v>
      </c>
      <c r="I117" s="51">
        <f>+SUMIF('GE16FEB14 Unfudged'!$A$2:$A$498, 'Tax Bill Summary'!$A117, 'GE16FEB14 Unfudged'!G$2:G$498)</f>
        <v>0</v>
      </c>
      <c r="J117" s="13">
        <f>+SUMIF('GE16FEB14 Unfudged'!$A$2:$A$498, 'Tax Bill Summary'!$A117, 'GE16FEB14 Unfudged'!H$2:H$498)</f>
        <v>0</v>
      </c>
      <c r="K117" s="56">
        <f t="shared" si="90"/>
        <v>0</v>
      </c>
      <c r="L117" s="51">
        <f>+SUMIF('GE16FEB14 Unfudged'!$A$2:$A$498, 'Tax Bill Summary'!$A117, 'GE16FEB14 Unfudged'!I$2:IF$498)</f>
        <v>560658</v>
      </c>
      <c r="M117" s="13">
        <f>+SUMIF('GE16FEB14 Unfudged'!$A$2:$A$498, 'Tax Bill Summary'!$A117, 'GE16FEB14 Unfudged'!J$2:IG$498)</f>
        <v>406400</v>
      </c>
      <c r="N117" s="56">
        <f t="shared" si="91"/>
        <v>154258</v>
      </c>
      <c r="O117" s="51">
        <f t="shared" si="92"/>
        <v>648884</v>
      </c>
      <c r="P117" s="13">
        <f t="shared" si="93"/>
        <v>482453</v>
      </c>
      <c r="Q117" s="56">
        <f t="shared" si="94"/>
        <v>166431</v>
      </c>
      <c r="R117" s="13">
        <f t="shared" si="95"/>
        <v>898.7313019390582</v>
      </c>
      <c r="S117" s="13">
        <f t="shared" si="96"/>
        <v>668.21745152354572</v>
      </c>
      <c r="T117" s="16">
        <f t="shared" si="97"/>
        <v>230.51385041551248</v>
      </c>
      <c r="U117" s="15">
        <f>+SUMIF('GE16FEB14 Tax Bill Unfudged'!$A$2:$A$498, 'Tax Bill Summary'!$A117, 'GE16FEB14 Tax Bill Unfudged'!E$2:E$498)</f>
        <v>101708</v>
      </c>
      <c r="V117" s="13">
        <f>+SUMIF('GE16FEB14 Tax Bill Unfudged'!$A$2:$A$498, 'Tax Bill Summary'!$A117, 'GE16FEB14 Tax Bill Unfudged'!F$2:F$498)</f>
        <v>87675</v>
      </c>
      <c r="W117" s="56">
        <f t="shared" si="98"/>
        <v>14033</v>
      </c>
      <c r="X117" s="51">
        <f>+SUMIF('GE16FEB14 Tax Bill Unfudged'!$A$2:$A$498, 'Tax Bill Summary'!$A117, 'GE16FEB14 Tax Bill Unfudged'!G$2:G$498)</f>
        <v>306213</v>
      </c>
      <c r="Y117" s="13">
        <f>+SUMIF('GE16FEB14 Tax Bill Unfudged'!$A$2:$A$498, 'Tax Bill Summary'!$A117, 'GE16FEB14 Tax Bill Unfudged'!H$2:H$498)</f>
        <v>263963</v>
      </c>
      <c r="Z117" s="56">
        <f t="shared" si="99"/>
        <v>42250</v>
      </c>
      <c r="AA117" s="51">
        <f>+SUMIF('GE16FEB14 Tax Bill Unfudged'!$A$2:$A$498, 'Tax Bill Summary'!$A117, 'GE16FEB14 Tax Bill Unfudged'!I$2:I$498)</f>
        <v>254446</v>
      </c>
      <c r="AB117" s="13">
        <f>+SUMIF('GE16FEB14 Tax Bill Unfudged'!$A$2:$A$498, 'Tax Bill Summary'!$A117, 'GE16FEB14 Tax Bill Unfudged'!J$2:J$498)</f>
        <v>140811</v>
      </c>
      <c r="AC117" s="56">
        <f t="shared" si="100"/>
        <v>113635</v>
      </c>
      <c r="AD117" s="51">
        <f t="shared" si="101"/>
        <v>662367</v>
      </c>
      <c r="AE117" s="13">
        <f t="shared" si="102"/>
        <v>492449</v>
      </c>
      <c r="AF117" s="56">
        <f t="shared" si="103"/>
        <v>169918</v>
      </c>
      <c r="AG117" s="13">
        <f t="shared" si="104"/>
        <v>917.40581717451528</v>
      </c>
      <c r="AH117" s="13">
        <f t="shared" si="105"/>
        <v>682.06232686980604</v>
      </c>
      <c r="AI117" s="16">
        <f t="shared" si="106"/>
        <v>235.34349030470915</v>
      </c>
      <c r="AJ117" s="15">
        <f t="shared" si="107"/>
        <v>13482</v>
      </c>
      <c r="AK117" s="13">
        <f t="shared" si="108"/>
        <v>11622</v>
      </c>
      <c r="AL117" s="56">
        <f t="shared" si="109"/>
        <v>1860</v>
      </c>
      <c r="AM117" s="51">
        <f t="shared" si="110"/>
        <v>306213</v>
      </c>
      <c r="AN117" s="13">
        <f t="shared" si="111"/>
        <v>263963</v>
      </c>
      <c r="AO117" s="56">
        <f t="shared" si="112"/>
        <v>42250</v>
      </c>
      <c r="AP117" s="51">
        <f t="shared" si="113"/>
        <v>-306212</v>
      </c>
      <c r="AQ117" s="13">
        <f t="shared" si="114"/>
        <v>-265589</v>
      </c>
      <c r="AR117" s="56">
        <f t="shared" si="115"/>
        <v>-40623</v>
      </c>
      <c r="AS117" s="51">
        <f t="shared" si="116"/>
        <v>13483</v>
      </c>
      <c r="AT117" s="13">
        <f t="shared" si="117"/>
        <v>9996</v>
      </c>
      <c r="AU117" s="56">
        <f t="shared" si="118"/>
        <v>3487</v>
      </c>
      <c r="AV117" s="13">
        <f t="shared" si="119"/>
        <v>18.674515235457079</v>
      </c>
      <c r="AW117" s="13">
        <f t="shared" si="120"/>
        <v>13.844875346260324</v>
      </c>
      <c r="AX117" s="16">
        <f t="shared" si="121"/>
        <v>4.8296398891966703</v>
      </c>
    </row>
    <row r="118" spans="1:50" x14ac:dyDescent="0.25">
      <c r="A118" s="20">
        <v>300</v>
      </c>
      <c r="B118">
        <v>1</v>
      </c>
      <c r="C118" s="23" t="s">
        <v>234</v>
      </c>
      <c r="D118" s="23">
        <v>5</v>
      </c>
      <c r="E118" s="15">
        <f>+SUMIF('GE16FEB14 Unfudged'!$A$2:$A$498, $A118, 'GE16FEB14 Unfudged'!$D$2:$D$498)</f>
        <v>1340</v>
      </c>
      <c r="F118" s="15">
        <f>+SUMIF('GE16FEB14 Unfudged'!$A$2:$A$498, 'Tax Bill Summary'!$A118, 'GE16FEB14 Unfudged'!E$2:E$498)</f>
        <v>174013</v>
      </c>
      <c r="G118" s="13">
        <f>+SUMIF('GE16FEB14 Unfudged'!$A$2:$A$498, 'Tax Bill Summary'!$A118, 'GE16FEB14 Unfudged'!F$2:F$498)</f>
        <v>171300</v>
      </c>
      <c r="H118" s="56">
        <f t="shared" si="89"/>
        <v>2713</v>
      </c>
      <c r="I118" s="51">
        <f>+SUMIF('GE16FEB14 Unfudged'!$A$2:$A$498, 'Tax Bill Summary'!$A118, 'GE16FEB14 Unfudged'!G$2:G$498)</f>
        <v>0</v>
      </c>
      <c r="J118" s="13">
        <f>+SUMIF('GE16FEB14 Unfudged'!$A$2:$A$498, 'Tax Bill Summary'!$A118, 'GE16FEB14 Unfudged'!H$2:H$498)</f>
        <v>0</v>
      </c>
      <c r="K118" s="56">
        <f t="shared" si="90"/>
        <v>0</v>
      </c>
      <c r="L118" s="51">
        <f>+SUMIF('GE16FEB14 Unfudged'!$A$2:$A$498, 'Tax Bill Summary'!$A118, 'GE16FEB14 Unfudged'!I$2:IF$498)</f>
        <v>813901</v>
      </c>
      <c r="M118" s="13">
        <f>+SUMIF('GE16FEB14 Unfudged'!$A$2:$A$498, 'Tax Bill Summary'!$A118, 'GE16FEB14 Unfudged'!J$2:IG$498)</f>
        <v>634873</v>
      </c>
      <c r="N118" s="56">
        <f t="shared" si="91"/>
        <v>179028</v>
      </c>
      <c r="O118" s="51">
        <f t="shared" si="92"/>
        <v>987914</v>
      </c>
      <c r="P118" s="13">
        <f t="shared" si="93"/>
        <v>806173</v>
      </c>
      <c r="Q118" s="56">
        <f t="shared" si="94"/>
        <v>181741</v>
      </c>
      <c r="R118" s="13">
        <f t="shared" si="95"/>
        <v>737.24925373134329</v>
      </c>
      <c r="S118" s="13">
        <f t="shared" si="96"/>
        <v>601.62164179104479</v>
      </c>
      <c r="T118" s="16">
        <f t="shared" si="97"/>
        <v>135.62761194029852</v>
      </c>
      <c r="U118" s="15">
        <f>+SUMIF('GE16FEB14 Tax Bill Unfudged'!$A$2:$A$498, 'Tax Bill Summary'!$A118, 'GE16FEB14 Tax Bill Unfudged'!E$2:E$498)</f>
        <v>192040</v>
      </c>
      <c r="V118" s="13">
        <f>+SUMIF('GE16FEB14 Tax Bill Unfudged'!$A$2:$A$498, 'Tax Bill Summary'!$A118, 'GE16FEB14 Tax Bill Unfudged'!F$2:F$498)</f>
        <v>189046</v>
      </c>
      <c r="W118" s="56">
        <f t="shared" si="98"/>
        <v>2994</v>
      </c>
      <c r="X118" s="51">
        <f>+SUMIF('GE16FEB14 Tax Bill Unfudged'!$A$2:$A$498, 'Tax Bill Summary'!$A118, 'GE16FEB14 Tax Bill Unfudged'!G$2:G$498)</f>
        <v>567990</v>
      </c>
      <c r="Y118" s="13">
        <f>+SUMIF('GE16FEB14 Tax Bill Unfudged'!$A$2:$A$498, 'Tax Bill Summary'!$A118, 'GE16FEB14 Tax Bill Unfudged'!H$2:H$498)</f>
        <v>559134</v>
      </c>
      <c r="Z118" s="56">
        <f t="shared" si="99"/>
        <v>8856</v>
      </c>
      <c r="AA118" s="51">
        <f>+SUMIF('GE16FEB14 Tax Bill Unfudged'!$A$2:$A$498, 'Tax Bill Summary'!$A118, 'GE16FEB14 Tax Bill Unfudged'!I$2:I$498)</f>
        <v>416120</v>
      </c>
      <c r="AB118" s="13">
        <f>+SUMIF('GE16FEB14 Tax Bill Unfudged'!$A$2:$A$498, 'Tax Bill Summary'!$A118, 'GE16FEB14 Tax Bill Unfudged'!J$2:J$498)</f>
        <v>243294</v>
      </c>
      <c r="AC118" s="56">
        <f t="shared" si="100"/>
        <v>172826</v>
      </c>
      <c r="AD118" s="51">
        <f t="shared" si="101"/>
        <v>1176150</v>
      </c>
      <c r="AE118" s="13">
        <f t="shared" si="102"/>
        <v>991474</v>
      </c>
      <c r="AF118" s="56">
        <f t="shared" si="103"/>
        <v>184676</v>
      </c>
      <c r="AG118" s="13">
        <f t="shared" si="104"/>
        <v>877.72388059701495</v>
      </c>
      <c r="AH118" s="13">
        <f t="shared" si="105"/>
        <v>739.90597014925368</v>
      </c>
      <c r="AI118" s="16">
        <f t="shared" si="106"/>
        <v>137.81791044776119</v>
      </c>
      <c r="AJ118" s="15">
        <f t="shared" si="107"/>
        <v>18027</v>
      </c>
      <c r="AK118" s="13">
        <f t="shared" si="108"/>
        <v>17746</v>
      </c>
      <c r="AL118" s="56">
        <f t="shared" si="109"/>
        <v>281</v>
      </c>
      <c r="AM118" s="51">
        <f t="shared" si="110"/>
        <v>567990</v>
      </c>
      <c r="AN118" s="13">
        <f t="shared" si="111"/>
        <v>559134</v>
      </c>
      <c r="AO118" s="56">
        <f t="shared" si="112"/>
        <v>8856</v>
      </c>
      <c r="AP118" s="51">
        <f t="shared" si="113"/>
        <v>-397781</v>
      </c>
      <c r="AQ118" s="13">
        <f t="shared" si="114"/>
        <v>-391579</v>
      </c>
      <c r="AR118" s="56">
        <f t="shared" si="115"/>
        <v>-6202</v>
      </c>
      <c r="AS118" s="51">
        <f t="shared" si="116"/>
        <v>188236</v>
      </c>
      <c r="AT118" s="13">
        <f t="shared" si="117"/>
        <v>185301</v>
      </c>
      <c r="AU118" s="56">
        <f t="shared" si="118"/>
        <v>2935</v>
      </c>
      <c r="AV118" s="13">
        <f t="shared" si="119"/>
        <v>140.47462686567167</v>
      </c>
      <c r="AW118" s="13">
        <f t="shared" si="120"/>
        <v>138.28432835820888</v>
      </c>
      <c r="AX118" s="16">
        <f t="shared" si="121"/>
        <v>2.1902985074626713</v>
      </c>
    </row>
    <row r="119" spans="1:50" x14ac:dyDescent="0.25">
      <c r="A119" s="20">
        <v>306</v>
      </c>
      <c r="B119">
        <v>1</v>
      </c>
      <c r="C119" s="23" t="s">
        <v>235</v>
      </c>
      <c r="D119" s="23">
        <v>6</v>
      </c>
      <c r="E119" s="15">
        <f>+SUMIF('GE16FEB14 Unfudged'!$A$2:$A$498, $A119, 'GE16FEB14 Unfudged'!$D$2:$D$498)</f>
        <v>278</v>
      </c>
      <c r="F119" s="15">
        <f>+SUMIF('GE16FEB14 Unfudged'!$A$2:$A$498, 'Tax Bill Summary'!$A119, 'GE16FEB14 Unfudged'!E$2:E$498)</f>
        <v>40032</v>
      </c>
      <c r="G119" s="13">
        <f>+SUMIF('GE16FEB14 Unfudged'!$A$2:$A$498, 'Tax Bill Summary'!$A119, 'GE16FEB14 Unfudged'!F$2:F$498)</f>
        <v>40032</v>
      </c>
      <c r="H119" s="56">
        <f t="shared" si="89"/>
        <v>0</v>
      </c>
      <c r="I119" s="51">
        <f>+SUMIF('GE16FEB14 Unfudged'!$A$2:$A$498, 'Tax Bill Summary'!$A119, 'GE16FEB14 Unfudged'!G$2:G$498)</f>
        <v>0</v>
      </c>
      <c r="J119" s="13">
        <f>+SUMIF('GE16FEB14 Unfudged'!$A$2:$A$498, 'Tax Bill Summary'!$A119, 'GE16FEB14 Unfudged'!H$2:H$498)</f>
        <v>0</v>
      </c>
      <c r="K119" s="56">
        <f t="shared" si="90"/>
        <v>0</v>
      </c>
      <c r="L119" s="51">
        <f>+SUMIF('GE16FEB14 Unfudged'!$A$2:$A$498, 'Tax Bill Summary'!$A119, 'GE16FEB14 Unfudged'!I$2:IF$498)</f>
        <v>83400</v>
      </c>
      <c r="M119" s="13">
        <f>+SUMIF('GE16FEB14 Unfudged'!$A$2:$A$498, 'Tax Bill Summary'!$A119, 'GE16FEB14 Unfudged'!J$2:IG$498)</f>
        <v>56140</v>
      </c>
      <c r="N119" s="56">
        <f t="shared" si="91"/>
        <v>27260</v>
      </c>
      <c r="O119" s="51">
        <f t="shared" si="92"/>
        <v>123432</v>
      </c>
      <c r="P119" s="13">
        <f t="shared" si="93"/>
        <v>96172</v>
      </c>
      <c r="Q119" s="56">
        <f t="shared" si="94"/>
        <v>27260</v>
      </c>
      <c r="R119" s="13">
        <f t="shared" si="95"/>
        <v>444</v>
      </c>
      <c r="S119" s="13">
        <f t="shared" si="96"/>
        <v>345.94244604316549</v>
      </c>
      <c r="T119" s="16">
        <f t="shared" si="97"/>
        <v>98.057553956834539</v>
      </c>
      <c r="U119" s="15">
        <f>+SUMIF('GE16FEB14 Tax Bill Unfudged'!$A$2:$A$498, 'Tax Bill Summary'!$A119, 'GE16FEB14 Tax Bill Unfudged'!E$2:E$498)</f>
        <v>40032</v>
      </c>
      <c r="V119" s="13">
        <f>+SUMIF('GE16FEB14 Tax Bill Unfudged'!$A$2:$A$498, 'Tax Bill Summary'!$A119, 'GE16FEB14 Tax Bill Unfudged'!F$2:F$498)</f>
        <v>40032</v>
      </c>
      <c r="W119" s="56">
        <f t="shared" si="98"/>
        <v>0</v>
      </c>
      <c r="X119" s="51">
        <f>+SUMIF('GE16FEB14 Tax Bill Unfudged'!$A$2:$A$498, 'Tax Bill Summary'!$A119, 'GE16FEB14 Tax Bill Unfudged'!G$2:G$498)</f>
        <v>117872</v>
      </c>
      <c r="Y119" s="13">
        <f>+SUMIF('GE16FEB14 Tax Bill Unfudged'!$A$2:$A$498, 'Tax Bill Summary'!$A119, 'GE16FEB14 Tax Bill Unfudged'!H$2:H$498)</f>
        <v>117872</v>
      </c>
      <c r="Z119" s="56">
        <f t="shared" si="99"/>
        <v>0</v>
      </c>
      <c r="AA119" s="51">
        <f>+SUMIF('GE16FEB14 Tax Bill Unfudged'!$A$2:$A$498, 'Tax Bill Summary'!$A119, 'GE16FEB14 Tax Bill Unfudged'!I$2:I$498)</f>
        <v>83400</v>
      </c>
      <c r="AB119" s="13">
        <f>+SUMIF('GE16FEB14 Tax Bill Unfudged'!$A$2:$A$498, 'Tax Bill Summary'!$A119, 'GE16FEB14 Tax Bill Unfudged'!J$2:J$498)</f>
        <v>56140</v>
      </c>
      <c r="AC119" s="56">
        <f t="shared" si="100"/>
        <v>27260</v>
      </c>
      <c r="AD119" s="51">
        <f t="shared" si="101"/>
        <v>241304</v>
      </c>
      <c r="AE119" s="13">
        <f t="shared" si="102"/>
        <v>214044</v>
      </c>
      <c r="AF119" s="56">
        <f t="shared" si="103"/>
        <v>27260</v>
      </c>
      <c r="AG119" s="13">
        <f t="shared" si="104"/>
        <v>868</v>
      </c>
      <c r="AH119" s="13">
        <f t="shared" si="105"/>
        <v>769.94244604316543</v>
      </c>
      <c r="AI119" s="16">
        <f t="shared" si="106"/>
        <v>98.057553956834539</v>
      </c>
      <c r="AJ119" s="15">
        <f t="shared" si="107"/>
        <v>0</v>
      </c>
      <c r="AK119" s="13">
        <f t="shared" si="108"/>
        <v>0</v>
      </c>
      <c r="AL119" s="56">
        <f t="shared" si="109"/>
        <v>0</v>
      </c>
      <c r="AM119" s="51">
        <f t="shared" si="110"/>
        <v>117872</v>
      </c>
      <c r="AN119" s="13">
        <f t="shared" si="111"/>
        <v>117872</v>
      </c>
      <c r="AO119" s="56">
        <f t="shared" si="112"/>
        <v>0</v>
      </c>
      <c r="AP119" s="51">
        <f t="shared" si="113"/>
        <v>0</v>
      </c>
      <c r="AQ119" s="13">
        <f t="shared" si="114"/>
        <v>0</v>
      </c>
      <c r="AR119" s="56">
        <f t="shared" si="115"/>
        <v>0</v>
      </c>
      <c r="AS119" s="51">
        <f t="shared" si="116"/>
        <v>117872</v>
      </c>
      <c r="AT119" s="13">
        <f t="shared" si="117"/>
        <v>117872</v>
      </c>
      <c r="AU119" s="56">
        <f t="shared" si="118"/>
        <v>0</v>
      </c>
      <c r="AV119" s="13">
        <f t="shared" si="119"/>
        <v>424</v>
      </c>
      <c r="AW119" s="13">
        <f t="shared" si="120"/>
        <v>423.99999999999994</v>
      </c>
      <c r="AX119" s="16">
        <f t="shared" si="121"/>
        <v>0</v>
      </c>
    </row>
    <row r="120" spans="1:50" x14ac:dyDescent="0.25">
      <c r="A120" s="20">
        <v>308</v>
      </c>
      <c r="B120">
        <v>1</v>
      </c>
      <c r="C120" s="23" t="s">
        <v>236</v>
      </c>
      <c r="D120" s="23">
        <v>6</v>
      </c>
      <c r="E120" s="15">
        <f>+SUMIF('GE16FEB14 Unfudged'!$A$2:$A$498, $A120, 'GE16FEB14 Unfudged'!$D$2:$D$498)</f>
        <v>610</v>
      </c>
      <c r="F120" s="15">
        <f>+SUMIF('GE16FEB14 Unfudged'!$A$2:$A$498, 'Tax Bill Summary'!$A120, 'GE16FEB14 Unfudged'!E$2:E$498)</f>
        <v>84411</v>
      </c>
      <c r="G120" s="13">
        <f>+SUMIF('GE16FEB14 Unfudged'!$A$2:$A$498, 'Tax Bill Summary'!$A120, 'GE16FEB14 Unfudged'!F$2:F$498)</f>
        <v>84411</v>
      </c>
      <c r="H120" s="56">
        <f t="shared" si="89"/>
        <v>0</v>
      </c>
      <c r="I120" s="51">
        <f>+SUMIF('GE16FEB14 Unfudged'!$A$2:$A$498, 'Tax Bill Summary'!$A120, 'GE16FEB14 Unfudged'!G$2:G$498)</f>
        <v>0</v>
      </c>
      <c r="J120" s="13">
        <f>+SUMIF('GE16FEB14 Unfudged'!$A$2:$A$498, 'Tax Bill Summary'!$A120, 'GE16FEB14 Unfudged'!H$2:H$498)</f>
        <v>0</v>
      </c>
      <c r="K120" s="56">
        <f t="shared" si="90"/>
        <v>0</v>
      </c>
      <c r="L120" s="51">
        <f>+SUMIF('GE16FEB14 Unfudged'!$A$2:$A$498, 'Tax Bill Summary'!$A120, 'GE16FEB14 Unfudged'!I$2:IF$498)</f>
        <v>256410</v>
      </c>
      <c r="M120" s="13">
        <f>+SUMIF('GE16FEB14 Unfudged'!$A$2:$A$498, 'Tax Bill Summary'!$A120, 'GE16FEB14 Unfudged'!J$2:IG$498)</f>
        <v>82763</v>
      </c>
      <c r="N120" s="56">
        <f t="shared" si="91"/>
        <v>173647</v>
      </c>
      <c r="O120" s="51">
        <f t="shared" si="92"/>
        <v>340821</v>
      </c>
      <c r="P120" s="13">
        <f t="shared" si="93"/>
        <v>167174</v>
      </c>
      <c r="Q120" s="56">
        <f t="shared" si="94"/>
        <v>173647</v>
      </c>
      <c r="R120" s="13">
        <f t="shared" si="95"/>
        <v>558.72295081967218</v>
      </c>
      <c r="S120" s="13">
        <f t="shared" si="96"/>
        <v>274.05573770491804</v>
      </c>
      <c r="T120" s="16">
        <f t="shared" si="97"/>
        <v>284.66721311475408</v>
      </c>
      <c r="U120" s="15">
        <f>+SUMIF('GE16FEB14 Tax Bill Unfudged'!$A$2:$A$498, 'Tax Bill Summary'!$A120, 'GE16FEB14 Tax Bill Unfudged'!E$2:E$498)</f>
        <v>87782</v>
      </c>
      <c r="V120" s="13">
        <f>+SUMIF('GE16FEB14 Tax Bill Unfudged'!$A$2:$A$498, 'Tax Bill Summary'!$A120, 'GE16FEB14 Tax Bill Unfudged'!F$2:F$498)</f>
        <v>87782</v>
      </c>
      <c r="W120" s="56">
        <f t="shared" si="98"/>
        <v>0</v>
      </c>
      <c r="X120" s="51">
        <f>+SUMIF('GE16FEB14 Tax Bill Unfudged'!$A$2:$A$498, 'Tax Bill Summary'!$A120, 'GE16FEB14 Tax Bill Unfudged'!G$2:G$498)</f>
        <v>258470</v>
      </c>
      <c r="Y120" s="13">
        <f>+SUMIF('GE16FEB14 Tax Bill Unfudged'!$A$2:$A$498, 'Tax Bill Summary'!$A120, 'GE16FEB14 Tax Bill Unfudged'!H$2:H$498)</f>
        <v>258470</v>
      </c>
      <c r="Z120" s="56">
        <f t="shared" si="99"/>
        <v>0</v>
      </c>
      <c r="AA120" s="51">
        <f>+SUMIF('GE16FEB14 Tax Bill Unfudged'!$A$2:$A$498, 'Tax Bill Summary'!$A120, 'GE16FEB14 Tax Bill Unfudged'!I$2:I$498)</f>
        <v>182880</v>
      </c>
      <c r="AB120" s="13">
        <f>+SUMIF('GE16FEB14 Tax Bill Unfudged'!$A$2:$A$498, 'Tax Bill Summary'!$A120, 'GE16FEB14 Tax Bill Unfudged'!J$2:J$498)</f>
        <v>59029</v>
      </c>
      <c r="AC120" s="56">
        <f t="shared" si="100"/>
        <v>123851</v>
      </c>
      <c r="AD120" s="51">
        <f t="shared" si="101"/>
        <v>529132</v>
      </c>
      <c r="AE120" s="13">
        <f t="shared" si="102"/>
        <v>405281</v>
      </c>
      <c r="AF120" s="56">
        <f t="shared" si="103"/>
        <v>123851</v>
      </c>
      <c r="AG120" s="13">
        <f t="shared" si="104"/>
        <v>867.42950819672126</v>
      </c>
      <c r="AH120" s="13">
        <f t="shared" si="105"/>
        <v>664.39508196721306</v>
      </c>
      <c r="AI120" s="16">
        <f t="shared" si="106"/>
        <v>203.0344262295082</v>
      </c>
      <c r="AJ120" s="15">
        <f t="shared" si="107"/>
        <v>3371</v>
      </c>
      <c r="AK120" s="13">
        <f t="shared" si="108"/>
        <v>3371</v>
      </c>
      <c r="AL120" s="56">
        <f t="shared" si="109"/>
        <v>0</v>
      </c>
      <c r="AM120" s="51">
        <f t="shared" si="110"/>
        <v>258470</v>
      </c>
      <c r="AN120" s="13">
        <f t="shared" si="111"/>
        <v>258470</v>
      </c>
      <c r="AO120" s="56">
        <f t="shared" si="112"/>
        <v>0</v>
      </c>
      <c r="AP120" s="51">
        <f t="shared" si="113"/>
        <v>-73530</v>
      </c>
      <c r="AQ120" s="13">
        <f t="shared" si="114"/>
        <v>-23734</v>
      </c>
      <c r="AR120" s="56">
        <f t="shared" si="115"/>
        <v>-49796</v>
      </c>
      <c r="AS120" s="51">
        <f t="shared" si="116"/>
        <v>188311</v>
      </c>
      <c r="AT120" s="13">
        <f t="shared" si="117"/>
        <v>238107</v>
      </c>
      <c r="AU120" s="56">
        <f t="shared" si="118"/>
        <v>-49796</v>
      </c>
      <c r="AV120" s="13">
        <f t="shared" si="119"/>
        <v>308.70655737704908</v>
      </c>
      <c r="AW120" s="13">
        <f t="shared" si="120"/>
        <v>390.33934426229501</v>
      </c>
      <c r="AX120" s="16">
        <f t="shared" si="121"/>
        <v>-81.632786885245878</v>
      </c>
    </row>
    <row r="121" spans="1:50" x14ac:dyDescent="0.25">
      <c r="A121" s="20">
        <v>309</v>
      </c>
      <c r="B121">
        <v>1</v>
      </c>
      <c r="C121" s="23" t="s">
        <v>237</v>
      </c>
      <c r="D121" s="23">
        <v>5</v>
      </c>
      <c r="E121" s="15">
        <f>+SUMIF('GE16FEB14 Unfudged'!$A$2:$A$498, $A121, 'GE16FEB14 Unfudged'!$D$2:$D$498)</f>
        <v>1635</v>
      </c>
      <c r="F121" s="15">
        <f>+SUMIF('GE16FEB14 Unfudged'!$A$2:$A$498, 'Tax Bill Summary'!$A121, 'GE16FEB14 Unfudged'!E$2:E$498)</f>
        <v>204757</v>
      </c>
      <c r="G121" s="13">
        <f>+SUMIF('GE16FEB14 Unfudged'!$A$2:$A$498, 'Tax Bill Summary'!$A121, 'GE16FEB14 Unfudged'!F$2:F$498)</f>
        <v>204757</v>
      </c>
      <c r="H121" s="56">
        <f t="shared" si="89"/>
        <v>0</v>
      </c>
      <c r="I121" s="51">
        <f>+SUMIF('GE16FEB14 Unfudged'!$A$2:$A$498, 'Tax Bill Summary'!$A121, 'GE16FEB14 Unfudged'!G$2:G$498)</f>
        <v>0</v>
      </c>
      <c r="J121" s="13">
        <f>+SUMIF('GE16FEB14 Unfudged'!$A$2:$A$498, 'Tax Bill Summary'!$A121, 'GE16FEB14 Unfudged'!H$2:H$498)</f>
        <v>0</v>
      </c>
      <c r="K121" s="56">
        <f t="shared" si="90"/>
        <v>0</v>
      </c>
      <c r="L121" s="51">
        <f>+SUMIF('GE16FEB14 Unfudged'!$A$2:$A$498, 'Tax Bill Summary'!$A121, 'GE16FEB14 Unfudged'!I$2:IF$498)</f>
        <v>1159073</v>
      </c>
      <c r="M121" s="13">
        <f>+SUMIF('GE16FEB14 Unfudged'!$A$2:$A$498, 'Tax Bill Summary'!$A121, 'GE16FEB14 Unfudged'!J$2:IG$498)</f>
        <v>969814</v>
      </c>
      <c r="N121" s="56">
        <f t="shared" si="91"/>
        <v>189259</v>
      </c>
      <c r="O121" s="51">
        <f t="shared" si="92"/>
        <v>1363830</v>
      </c>
      <c r="P121" s="13">
        <f t="shared" si="93"/>
        <v>1174571</v>
      </c>
      <c r="Q121" s="56">
        <f t="shared" si="94"/>
        <v>189259</v>
      </c>
      <c r="R121" s="13">
        <f t="shared" si="95"/>
        <v>834.14678899082571</v>
      </c>
      <c r="S121" s="13">
        <f t="shared" si="96"/>
        <v>718.39204892966359</v>
      </c>
      <c r="T121" s="16">
        <f t="shared" si="97"/>
        <v>115.75474006116208</v>
      </c>
      <c r="U121" s="15">
        <f>+SUMIF('GE16FEB14 Tax Bill Unfudged'!$A$2:$A$498, 'Tax Bill Summary'!$A121, 'GE16FEB14 Tax Bill Unfudged'!E$2:E$498)</f>
        <v>235411</v>
      </c>
      <c r="V121" s="13">
        <f>+SUMIF('GE16FEB14 Tax Bill Unfudged'!$A$2:$A$498, 'Tax Bill Summary'!$A121, 'GE16FEB14 Tax Bill Unfudged'!F$2:F$498)</f>
        <v>235411</v>
      </c>
      <c r="W121" s="56">
        <f t="shared" si="98"/>
        <v>0</v>
      </c>
      <c r="X121" s="51">
        <f>+SUMIF('GE16FEB14 Tax Bill Unfudged'!$A$2:$A$498, 'Tax Bill Summary'!$A121, 'GE16FEB14 Tax Bill Unfudged'!G$2:G$498)</f>
        <v>693155</v>
      </c>
      <c r="Y121" s="13">
        <f>+SUMIF('GE16FEB14 Tax Bill Unfudged'!$A$2:$A$498, 'Tax Bill Summary'!$A121, 'GE16FEB14 Tax Bill Unfudged'!H$2:H$498)</f>
        <v>693155</v>
      </c>
      <c r="Z121" s="56">
        <f t="shared" si="99"/>
        <v>0</v>
      </c>
      <c r="AA121" s="51">
        <f>+SUMIF('GE16FEB14 Tax Bill Unfudged'!$A$2:$A$498, 'Tax Bill Summary'!$A121, 'GE16FEB14 Tax Bill Unfudged'!I$2:I$498)</f>
        <v>490440</v>
      </c>
      <c r="AB121" s="13">
        <f>+SUMIF('GE16FEB14 Tax Bill Unfudged'!$A$2:$A$498, 'Tax Bill Summary'!$A121, 'GE16FEB14 Tax Bill Unfudged'!J$2:J$498)</f>
        <v>301181</v>
      </c>
      <c r="AC121" s="56">
        <f t="shared" si="100"/>
        <v>189259</v>
      </c>
      <c r="AD121" s="51">
        <f t="shared" si="101"/>
        <v>1419006</v>
      </c>
      <c r="AE121" s="13">
        <f t="shared" si="102"/>
        <v>1229747</v>
      </c>
      <c r="AF121" s="56">
        <f t="shared" si="103"/>
        <v>189259</v>
      </c>
      <c r="AG121" s="13">
        <f t="shared" si="104"/>
        <v>867.89357798165133</v>
      </c>
      <c r="AH121" s="13">
        <f t="shared" si="105"/>
        <v>752.13883792048932</v>
      </c>
      <c r="AI121" s="16">
        <f t="shared" si="106"/>
        <v>115.75474006116208</v>
      </c>
      <c r="AJ121" s="15">
        <f t="shared" si="107"/>
        <v>30654</v>
      </c>
      <c r="AK121" s="13">
        <f t="shared" si="108"/>
        <v>30654</v>
      </c>
      <c r="AL121" s="56">
        <f t="shared" si="109"/>
        <v>0</v>
      </c>
      <c r="AM121" s="51">
        <f t="shared" si="110"/>
        <v>693155</v>
      </c>
      <c r="AN121" s="13">
        <f t="shared" si="111"/>
        <v>693155</v>
      </c>
      <c r="AO121" s="56">
        <f t="shared" si="112"/>
        <v>0</v>
      </c>
      <c r="AP121" s="51">
        <f t="shared" si="113"/>
        <v>-668633</v>
      </c>
      <c r="AQ121" s="13">
        <f t="shared" si="114"/>
        <v>-668633</v>
      </c>
      <c r="AR121" s="56">
        <f t="shared" si="115"/>
        <v>0</v>
      </c>
      <c r="AS121" s="51">
        <f t="shared" si="116"/>
        <v>55176</v>
      </c>
      <c r="AT121" s="13">
        <f t="shared" si="117"/>
        <v>55176</v>
      </c>
      <c r="AU121" s="56">
        <f t="shared" si="118"/>
        <v>0</v>
      </c>
      <c r="AV121" s="13">
        <f t="shared" si="119"/>
        <v>33.746788990825621</v>
      </c>
      <c r="AW121" s="13">
        <f t="shared" si="120"/>
        <v>33.746788990825735</v>
      </c>
      <c r="AX121" s="16">
        <f t="shared" si="121"/>
        <v>0</v>
      </c>
    </row>
    <row r="122" spans="1:50" x14ac:dyDescent="0.25">
      <c r="A122" s="20">
        <v>314</v>
      </c>
      <c r="B122">
        <v>1</v>
      </c>
      <c r="C122" s="23" t="s">
        <v>238</v>
      </c>
      <c r="D122" s="23">
        <v>6</v>
      </c>
      <c r="E122" s="15">
        <f>+SUMIF('GE16FEB14 Unfudged'!$A$2:$A$498, $A122, 'GE16FEB14 Unfudged'!$D$2:$D$498)</f>
        <v>930</v>
      </c>
      <c r="F122" s="15">
        <f>+SUMIF('GE16FEB14 Unfudged'!$A$2:$A$498, 'Tax Bill Summary'!$A122, 'GE16FEB14 Unfudged'!E$2:E$498)</f>
        <v>122155</v>
      </c>
      <c r="G122" s="13">
        <f>+SUMIF('GE16FEB14 Unfudged'!$A$2:$A$498, 'Tax Bill Summary'!$A122, 'GE16FEB14 Unfudged'!F$2:F$498)</f>
        <v>62098</v>
      </c>
      <c r="H122" s="56">
        <f t="shared" si="89"/>
        <v>60057</v>
      </c>
      <c r="I122" s="51">
        <f>+SUMIF('GE16FEB14 Unfudged'!$A$2:$A$498, 'Tax Bill Summary'!$A122, 'GE16FEB14 Unfudged'!G$2:G$498)</f>
        <v>0</v>
      </c>
      <c r="J122" s="13">
        <f>+SUMIF('GE16FEB14 Unfudged'!$A$2:$A$498, 'Tax Bill Summary'!$A122, 'GE16FEB14 Unfudged'!H$2:H$498)</f>
        <v>0</v>
      </c>
      <c r="K122" s="56">
        <f t="shared" si="90"/>
        <v>0</v>
      </c>
      <c r="L122" s="51">
        <f>+SUMIF('GE16FEB14 Unfudged'!$A$2:$A$498, 'Tax Bill Summary'!$A122, 'GE16FEB14 Unfudged'!I$2:IF$498)</f>
        <v>534933</v>
      </c>
      <c r="M122" s="13">
        <f>+SUMIF('GE16FEB14 Unfudged'!$A$2:$A$498, 'Tax Bill Summary'!$A122, 'GE16FEB14 Unfudged'!J$2:IG$498)</f>
        <v>212315</v>
      </c>
      <c r="N122" s="56">
        <f t="shared" si="91"/>
        <v>322618</v>
      </c>
      <c r="O122" s="51">
        <f t="shared" si="92"/>
        <v>657088</v>
      </c>
      <c r="P122" s="13">
        <f t="shared" si="93"/>
        <v>274413</v>
      </c>
      <c r="Q122" s="56">
        <f t="shared" si="94"/>
        <v>382675</v>
      </c>
      <c r="R122" s="13">
        <f t="shared" si="95"/>
        <v>706.54623655913974</v>
      </c>
      <c r="S122" s="13">
        <f t="shared" si="96"/>
        <v>295.06774193548387</v>
      </c>
      <c r="T122" s="16">
        <f t="shared" si="97"/>
        <v>411.47849462365593</v>
      </c>
      <c r="U122" s="15">
        <f>+SUMIF('GE16FEB14 Tax Bill Unfudged'!$A$2:$A$498, 'Tax Bill Summary'!$A122, 'GE16FEB14 Tax Bill Unfudged'!E$2:E$498)</f>
        <v>133891</v>
      </c>
      <c r="V122" s="13">
        <f>+SUMIF('GE16FEB14 Tax Bill Unfudged'!$A$2:$A$498, 'Tax Bill Summary'!$A122, 'GE16FEB14 Tax Bill Unfudged'!F$2:F$498)</f>
        <v>68064</v>
      </c>
      <c r="W122" s="56">
        <f t="shared" si="98"/>
        <v>65827</v>
      </c>
      <c r="X122" s="51">
        <f>+SUMIF('GE16FEB14 Tax Bill Unfudged'!$A$2:$A$498, 'Tax Bill Summary'!$A122, 'GE16FEB14 Tax Bill Unfudged'!G$2:G$498)</f>
        <v>394235</v>
      </c>
      <c r="Y122" s="13">
        <f>+SUMIF('GE16FEB14 Tax Bill Unfudged'!$A$2:$A$498, 'Tax Bill Summary'!$A122, 'GE16FEB14 Tax Bill Unfudged'!H$2:H$498)</f>
        <v>200411</v>
      </c>
      <c r="Z122" s="56">
        <f t="shared" si="99"/>
        <v>193824</v>
      </c>
      <c r="AA122" s="51">
        <f>+SUMIF('GE16FEB14 Tax Bill Unfudged'!$A$2:$A$498, 'Tax Bill Summary'!$A122, 'GE16FEB14 Tax Bill Unfudged'!I$2:I$498)</f>
        <v>278940</v>
      </c>
      <c r="AB122" s="13">
        <f>+SUMIF('GE16FEB14 Tax Bill Unfudged'!$A$2:$A$498, 'Tax Bill Summary'!$A122, 'GE16FEB14 Tax Bill Unfudged'!J$2:J$498)</f>
        <v>82180</v>
      </c>
      <c r="AC122" s="56">
        <f t="shared" si="100"/>
        <v>196760</v>
      </c>
      <c r="AD122" s="51">
        <f t="shared" si="101"/>
        <v>807066</v>
      </c>
      <c r="AE122" s="13">
        <f t="shared" si="102"/>
        <v>350655</v>
      </c>
      <c r="AF122" s="56">
        <f t="shared" si="103"/>
        <v>456411</v>
      </c>
      <c r="AG122" s="13">
        <f t="shared" si="104"/>
        <v>867.81290322580651</v>
      </c>
      <c r="AH122" s="13">
        <f t="shared" si="105"/>
        <v>377.04838709677421</v>
      </c>
      <c r="AI122" s="16">
        <f t="shared" si="106"/>
        <v>490.76451612903224</v>
      </c>
      <c r="AJ122" s="15">
        <f t="shared" si="107"/>
        <v>11736</v>
      </c>
      <c r="AK122" s="13">
        <f t="shared" si="108"/>
        <v>5966</v>
      </c>
      <c r="AL122" s="56">
        <f t="shared" si="109"/>
        <v>5770</v>
      </c>
      <c r="AM122" s="51">
        <f t="shared" si="110"/>
        <v>394235</v>
      </c>
      <c r="AN122" s="13">
        <f t="shared" si="111"/>
        <v>200411</v>
      </c>
      <c r="AO122" s="56">
        <f t="shared" si="112"/>
        <v>193824</v>
      </c>
      <c r="AP122" s="51">
        <f t="shared" si="113"/>
        <v>-255993</v>
      </c>
      <c r="AQ122" s="13">
        <f t="shared" si="114"/>
        <v>-130135</v>
      </c>
      <c r="AR122" s="56">
        <f t="shared" si="115"/>
        <v>-125858</v>
      </c>
      <c r="AS122" s="51">
        <f t="shared" si="116"/>
        <v>149978</v>
      </c>
      <c r="AT122" s="13">
        <f t="shared" si="117"/>
        <v>76242</v>
      </c>
      <c r="AU122" s="56">
        <f t="shared" si="118"/>
        <v>73736</v>
      </c>
      <c r="AV122" s="13">
        <f t="shared" si="119"/>
        <v>161.26666666666677</v>
      </c>
      <c r="AW122" s="13">
        <f t="shared" si="120"/>
        <v>81.98064516129034</v>
      </c>
      <c r="AX122" s="16">
        <f t="shared" si="121"/>
        <v>79.286021505376311</v>
      </c>
    </row>
    <row r="123" spans="1:50" x14ac:dyDescent="0.25">
      <c r="A123" s="20">
        <v>316</v>
      </c>
      <c r="B123">
        <v>1</v>
      </c>
      <c r="C123" s="23" t="s">
        <v>239</v>
      </c>
      <c r="D123" s="23">
        <v>5</v>
      </c>
      <c r="E123" s="15">
        <f>+SUMIF('GE16FEB14 Unfudged'!$A$2:$A$498, $A123, 'GE16FEB14 Unfudged'!$D$2:$D$498)</f>
        <v>1129</v>
      </c>
      <c r="F123" s="15">
        <f>+SUMIF('GE16FEB14 Unfudged'!$A$2:$A$498, 'Tax Bill Summary'!$A123, 'GE16FEB14 Unfudged'!E$2:E$498)</f>
        <v>162533</v>
      </c>
      <c r="G123" s="13">
        <f>+SUMIF('GE16FEB14 Unfudged'!$A$2:$A$498, 'Tax Bill Summary'!$A123, 'GE16FEB14 Unfudged'!F$2:F$498)</f>
        <v>139911</v>
      </c>
      <c r="H123" s="56">
        <f t="shared" si="89"/>
        <v>22622</v>
      </c>
      <c r="I123" s="51">
        <f>+SUMIF('GE16FEB14 Unfudged'!$A$2:$A$498, 'Tax Bill Summary'!$A123, 'GE16FEB14 Unfudged'!G$2:G$498)</f>
        <v>0</v>
      </c>
      <c r="J123" s="13">
        <f>+SUMIF('GE16FEB14 Unfudged'!$A$2:$A$498, 'Tax Bill Summary'!$A123, 'GE16FEB14 Unfudged'!H$2:H$498)</f>
        <v>0</v>
      </c>
      <c r="K123" s="56">
        <f t="shared" si="90"/>
        <v>0</v>
      </c>
      <c r="L123" s="51">
        <f>+SUMIF('GE16FEB14 Unfudged'!$A$2:$A$498, 'Tax Bill Summary'!$A123, 'GE16FEB14 Unfudged'!I$2:IF$498)</f>
        <v>338610</v>
      </c>
      <c r="M123" s="13">
        <f>+SUMIF('GE16FEB14 Unfudged'!$A$2:$A$498, 'Tax Bill Summary'!$A123, 'GE16FEB14 Unfudged'!J$2:IG$498)</f>
        <v>168926</v>
      </c>
      <c r="N123" s="56">
        <f t="shared" si="91"/>
        <v>169684</v>
      </c>
      <c r="O123" s="51">
        <f t="shared" si="92"/>
        <v>501143</v>
      </c>
      <c r="P123" s="13">
        <f t="shared" si="93"/>
        <v>308837</v>
      </c>
      <c r="Q123" s="56">
        <f t="shared" si="94"/>
        <v>192306</v>
      </c>
      <c r="R123" s="13">
        <f t="shared" si="95"/>
        <v>443.88219663418954</v>
      </c>
      <c r="S123" s="13">
        <f t="shared" si="96"/>
        <v>273.54915854738709</v>
      </c>
      <c r="T123" s="16">
        <f t="shared" si="97"/>
        <v>170.33303808680247</v>
      </c>
      <c r="U123" s="15">
        <f>+SUMIF('GE16FEB14 Tax Bill Unfudged'!$A$2:$A$498, 'Tax Bill Summary'!$A123, 'GE16FEB14 Tax Bill Unfudged'!E$2:E$498)</f>
        <v>162533</v>
      </c>
      <c r="V123" s="13">
        <f>+SUMIF('GE16FEB14 Tax Bill Unfudged'!$A$2:$A$498, 'Tax Bill Summary'!$A123, 'GE16FEB14 Tax Bill Unfudged'!F$2:F$498)</f>
        <v>139911</v>
      </c>
      <c r="W123" s="56">
        <f t="shared" si="98"/>
        <v>22622</v>
      </c>
      <c r="X123" s="51">
        <f>+SUMIF('GE16FEB14 Tax Bill Unfudged'!$A$2:$A$498, 'Tax Bill Summary'!$A123, 'GE16FEB14 Tax Bill Unfudged'!G$2:G$498)</f>
        <v>478569</v>
      </c>
      <c r="Y123" s="13">
        <f>+SUMIF('GE16FEB14 Tax Bill Unfudged'!$A$2:$A$498, 'Tax Bill Summary'!$A123, 'GE16FEB14 Tax Bill Unfudged'!H$2:H$498)</f>
        <v>411959</v>
      </c>
      <c r="Z123" s="56">
        <f t="shared" si="99"/>
        <v>66610</v>
      </c>
      <c r="AA123" s="51">
        <f>+SUMIF('GE16FEB14 Tax Bill Unfudged'!$A$2:$A$498, 'Tax Bill Summary'!$A123, 'GE16FEB14 Tax Bill Unfudged'!I$2:I$498)</f>
        <v>338610</v>
      </c>
      <c r="AB123" s="13">
        <f>+SUMIF('GE16FEB14 Tax Bill Unfudged'!$A$2:$A$498, 'Tax Bill Summary'!$A123, 'GE16FEB14 Tax Bill Unfudged'!J$2:J$498)</f>
        <v>168926</v>
      </c>
      <c r="AC123" s="56">
        <f t="shared" si="100"/>
        <v>169684</v>
      </c>
      <c r="AD123" s="51">
        <f t="shared" si="101"/>
        <v>979712</v>
      </c>
      <c r="AE123" s="13">
        <f t="shared" si="102"/>
        <v>720796</v>
      </c>
      <c r="AF123" s="56">
        <f t="shared" si="103"/>
        <v>258916</v>
      </c>
      <c r="AG123" s="13">
        <f t="shared" si="104"/>
        <v>867.76970770593448</v>
      </c>
      <c r="AH123" s="13">
        <f t="shared" si="105"/>
        <v>638.43755535872458</v>
      </c>
      <c r="AI123" s="16">
        <f t="shared" si="106"/>
        <v>229.33215234720993</v>
      </c>
      <c r="AJ123" s="15">
        <f t="shared" si="107"/>
        <v>0</v>
      </c>
      <c r="AK123" s="13">
        <f t="shared" si="108"/>
        <v>0</v>
      </c>
      <c r="AL123" s="56">
        <f t="shared" si="109"/>
        <v>0</v>
      </c>
      <c r="AM123" s="51">
        <f t="shared" si="110"/>
        <v>478569</v>
      </c>
      <c r="AN123" s="13">
        <f t="shared" si="111"/>
        <v>411959</v>
      </c>
      <c r="AO123" s="56">
        <f t="shared" si="112"/>
        <v>66610</v>
      </c>
      <c r="AP123" s="51">
        <f t="shared" si="113"/>
        <v>0</v>
      </c>
      <c r="AQ123" s="13">
        <f t="shared" si="114"/>
        <v>0</v>
      </c>
      <c r="AR123" s="56">
        <f t="shared" si="115"/>
        <v>0</v>
      </c>
      <c r="AS123" s="51">
        <f t="shared" si="116"/>
        <v>478569</v>
      </c>
      <c r="AT123" s="13">
        <f t="shared" si="117"/>
        <v>411959</v>
      </c>
      <c r="AU123" s="56">
        <f t="shared" si="118"/>
        <v>66610</v>
      </c>
      <c r="AV123" s="13">
        <f t="shared" si="119"/>
        <v>423.88751107174494</v>
      </c>
      <c r="AW123" s="13">
        <f t="shared" si="120"/>
        <v>364.88839681133749</v>
      </c>
      <c r="AX123" s="16">
        <f t="shared" si="121"/>
        <v>58.999114260407453</v>
      </c>
    </row>
    <row r="124" spans="1:50" x14ac:dyDescent="0.25">
      <c r="A124" s="20">
        <v>317</v>
      </c>
      <c r="B124">
        <v>1</v>
      </c>
      <c r="C124" s="23" t="s">
        <v>240</v>
      </c>
      <c r="D124" s="23">
        <v>6</v>
      </c>
      <c r="E124" s="15">
        <f>+SUMIF('GE16FEB14 Unfudged'!$A$2:$A$498, $A124, 'GE16FEB14 Unfudged'!$D$2:$D$498)</f>
        <v>986</v>
      </c>
      <c r="F124" s="15">
        <f>+SUMIF('GE16FEB14 Unfudged'!$A$2:$A$498, 'Tax Bill Summary'!$A124, 'GE16FEB14 Unfudged'!E$2:E$498)</f>
        <v>141984</v>
      </c>
      <c r="G124" s="13">
        <f>+SUMIF('GE16FEB14 Unfudged'!$A$2:$A$498, 'Tax Bill Summary'!$A124, 'GE16FEB14 Unfudged'!F$2:F$498)</f>
        <v>99095</v>
      </c>
      <c r="H124" s="56">
        <f t="shared" si="89"/>
        <v>42889</v>
      </c>
      <c r="I124" s="51">
        <f>+SUMIF('GE16FEB14 Unfudged'!$A$2:$A$498, 'Tax Bill Summary'!$A124, 'GE16FEB14 Unfudged'!G$2:G$498)</f>
        <v>0</v>
      </c>
      <c r="J124" s="13">
        <f>+SUMIF('GE16FEB14 Unfudged'!$A$2:$A$498, 'Tax Bill Summary'!$A124, 'GE16FEB14 Unfudged'!H$2:H$498)</f>
        <v>0</v>
      </c>
      <c r="K124" s="56">
        <f t="shared" si="90"/>
        <v>0</v>
      </c>
      <c r="L124" s="51">
        <f>+SUMIF('GE16FEB14 Unfudged'!$A$2:$A$498, 'Tax Bill Summary'!$A124, 'GE16FEB14 Unfudged'!I$2:IF$498)</f>
        <v>295800</v>
      </c>
      <c r="M124" s="13">
        <f>+SUMIF('GE16FEB14 Unfudged'!$A$2:$A$498, 'Tax Bill Summary'!$A124, 'GE16FEB14 Unfudged'!J$2:IG$498)</f>
        <v>119646</v>
      </c>
      <c r="N124" s="56">
        <f t="shared" si="91"/>
        <v>176154</v>
      </c>
      <c r="O124" s="51">
        <f t="shared" si="92"/>
        <v>437784</v>
      </c>
      <c r="P124" s="13">
        <f t="shared" si="93"/>
        <v>218741</v>
      </c>
      <c r="Q124" s="56">
        <f t="shared" si="94"/>
        <v>219043</v>
      </c>
      <c r="R124" s="13">
        <f t="shared" si="95"/>
        <v>444</v>
      </c>
      <c r="S124" s="13">
        <f t="shared" si="96"/>
        <v>221.84685598377283</v>
      </c>
      <c r="T124" s="16">
        <f t="shared" si="97"/>
        <v>222.15314401622717</v>
      </c>
      <c r="U124" s="15">
        <f>+SUMIF('GE16FEB14 Tax Bill Unfudged'!$A$2:$A$498, 'Tax Bill Summary'!$A124, 'GE16FEB14 Tax Bill Unfudged'!E$2:E$498)</f>
        <v>141984</v>
      </c>
      <c r="V124" s="13">
        <f>+SUMIF('GE16FEB14 Tax Bill Unfudged'!$A$2:$A$498, 'Tax Bill Summary'!$A124, 'GE16FEB14 Tax Bill Unfudged'!F$2:F$498)</f>
        <v>99095</v>
      </c>
      <c r="W124" s="56">
        <f t="shared" si="98"/>
        <v>42889</v>
      </c>
      <c r="X124" s="51">
        <f>+SUMIF('GE16FEB14 Tax Bill Unfudged'!$A$2:$A$498, 'Tax Bill Summary'!$A124, 'GE16FEB14 Tax Bill Unfudged'!G$2:G$498)</f>
        <v>418064</v>
      </c>
      <c r="Y124" s="13">
        <f>+SUMIF('GE16FEB14 Tax Bill Unfudged'!$A$2:$A$498, 'Tax Bill Summary'!$A124, 'GE16FEB14 Tax Bill Unfudged'!H$2:H$498)</f>
        <v>291780</v>
      </c>
      <c r="Z124" s="56">
        <f t="shared" si="99"/>
        <v>126284</v>
      </c>
      <c r="AA124" s="51">
        <f>+SUMIF('GE16FEB14 Tax Bill Unfudged'!$A$2:$A$498, 'Tax Bill Summary'!$A124, 'GE16FEB14 Tax Bill Unfudged'!I$2:I$498)</f>
        <v>295800</v>
      </c>
      <c r="AB124" s="13">
        <f>+SUMIF('GE16FEB14 Tax Bill Unfudged'!$A$2:$A$498, 'Tax Bill Summary'!$A124, 'GE16FEB14 Tax Bill Unfudged'!J$2:J$498)</f>
        <v>119646</v>
      </c>
      <c r="AC124" s="56">
        <f t="shared" si="100"/>
        <v>176154</v>
      </c>
      <c r="AD124" s="51">
        <f t="shared" si="101"/>
        <v>855848</v>
      </c>
      <c r="AE124" s="13">
        <f t="shared" si="102"/>
        <v>510521</v>
      </c>
      <c r="AF124" s="56">
        <f t="shared" si="103"/>
        <v>345327</v>
      </c>
      <c r="AG124" s="13">
        <f t="shared" si="104"/>
        <v>868</v>
      </c>
      <c r="AH124" s="13">
        <f t="shared" si="105"/>
        <v>517.76977687626777</v>
      </c>
      <c r="AI124" s="16">
        <f t="shared" si="106"/>
        <v>350.23022312373223</v>
      </c>
      <c r="AJ124" s="15">
        <f t="shared" si="107"/>
        <v>0</v>
      </c>
      <c r="AK124" s="13">
        <f t="shared" si="108"/>
        <v>0</v>
      </c>
      <c r="AL124" s="56">
        <f t="shared" si="109"/>
        <v>0</v>
      </c>
      <c r="AM124" s="51">
        <f t="shared" si="110"/>
        <v>418064</v>
      </c>
      <c r="AN124" s="13">
        <f t="shared" si="111"/>
        <v>291780</v>
      </c>
      <c r="AO124" s="56">
        <f t="shared" si="112"/>
        <v>126284</v>
      </c>
      <c r="AP124" s="51">
        <f t="shared" si="113"/>
        <v>0</v>
      </c>
      <c r="AQ124" s="13">
        <f t="shared" si="114"/>
        <v>0</v>
      </c>
      <c r="AR124" s="56">
        <f t="shared" si="115"/>
        <v>0</v>
      </c>
      <c r="AS124" s="51">
        <f t="shared" si="116"/>
        <v>418064</v>
      </c>
      <c r="AT124" s="13">
        <f t="shared" si="117"/>
        <v>291780</v>
      </c>
      <c r="AU124" s="56">
        <f t="shared" si="118"/>
        <v>126284</v>
      </c>
      <c r="AV124" s="13">
        <f t="shared" si="119"/>
        <v>424</v>
      </c>
      <c r="AW124" s="13">
        <f t="shared" si="120"/>
        <v>295.92292089249497</v>
      </c>
      <c r="AX124" s="16">
        <f t="shared" si="121"/>
        <v>128.07707910750506</v>
      </c>
    </row>
    <row r="125" spans="1:50" x14ac:dyDescent="0.25">
      <c r="A125" s="20">
        <v>318</v>
      </c>
      <c r="B125">
        <v>1</v>
      </c>
      <c r="C125" s="23" t="s">
        <v>241</v>
      </c>
      <c r="D125" s="23">
        <v>4</v>
      </c>
      <c r="E125" s="15">
        <f>+SUMIF('GE16FEB14 Unfudged'!$A$2:$A$498, $A125, 'GE16FEB14 Unfudged'!$D$2:$D$498)</f>
        <v>4379</v>
      </c>
      <c r="F125" s="15">
        <f>+SUMIF('GE16FEB14 Unfudged'!$A$2:$A$498, 'Tax Bill Summary'!$A125, 'GE16FEB14 Unfudged'!E$2:E$498)</f>
        <v>630504</v>
      </c>
      <c r="G125" s="13">
        <f>+SUMIF('GE16FEB14 Unfudged'!$A$2:$A$498, 'Tax Bill Summary'!$A125, 'GE16FEB14 Unfudged'!F$2:F$498)</f>
        <v>630504</v>
      </c>
      <c r="H125" s="56">
        <f t="shared" si="89"/>
        <v>0</v>
      </c>
      <c r="I125" s="51">
        <f>+SUMIF('GE16FEB14 Unfudged'!$A$2:$A$498, 'Tax Bill Summary'!$A125, 'GE16FEB14 Unfudged'!G$2:G$498)</f>
        <v>928242</v>
      </c>
      <c r="J125" s="13">
        <f>+SUMIF('GE16FEB14 Unfudged'!$A$2:$A$498, 'Tax Bill Summary'!$A125, 'GE16FEB14 Unfudged'!H$2:H$498)</f>
        <v>928242</v>
      </c>
      <c r="K125" s="56">
        <f t="shared" si="90"/>
        <v>0</v>
      </c>
      <c r="L125" s="51">
        <f>+SUMIF('GE16FEB14 Unfudged'!$A$2:$A$498, 'Tax Bill Summary'!$A125, 'GE16FEB14 Unfudged'!I$2:IF$498)</f>
        <v>1313550</v>
      </c>
      <c r="M125" s="13">
        <f>+SUMIF('GE16FEB14 Unfudged'!$A$2:$A$498, 'Tax Bill Summary'!$A125, 'GE16FEB14 Unfudged'!J$2:IG$498)</f>
        <v>906955</v>
      </c>
      <c r="N125" s="56">
        <f t="shared" si="91"/>
        <v>406595</v>
      </c>
      <c r="O125" s="51">
        <f t="shared" si="92"/>
        <v>2872296</v>
      </c>
      <c r="P125" s="13">
        <f t="shared" si="93"/>
        <v>2465701</v>
      </c>
      <c r="Q125" s="56">
        <f t="shared" si="94"/>
        <v>406595</v>
      </c>
      <c r="R125" s="13">
        <f t="shared" si="95"/>
        <v>655.92509705412192</v>
      </c>
      <c r="S125" s="13">
        <f t="shared" si="96"/>
        <v>563.07398949531853</v>
      </c>
      <c r="T125" s="16">
        <f t="shared" si="97"/>
        <v>92.851107558803378</v>
      </c>
      <c r="U125" s="15">
        <f>+SUMIF('GE16FEB14 Tax Bill Unfudged'!$A$2:$A$498, 'Tax Bill Summary'!$A125, 'GE16FEB14 Tax Bill Unfudged'!E$2:E$498)</f>
        <v>630504</v>
      </c>
      <c r="V125" s="13">
        <f>+SUMIF('GE16FEB14 Tax Bill Unfudged'!$A$2:$A$498, 'Tax Bill Summary'!$A125, 'GE16FEB14 Tax Bill Unfudged'!F$2:F$498)</f>
        <v>630504</v>
      </c>
      <c r="W125" s="56">
        <f t="shared" si="98"/>
        <v>0</v>
      </c>
      <c r="X125" s="51">
        <f>+SUMIF('GE16FEB14 Tax Bill Unfudged'!$A$2:$A$498, 'Tax Bill Summary'!$A125, 'GE16FEB14 Tax Bill Unfudged'!G$2:G$498)</f>
        <v>1856484</v>
      </c>
      <c r="Y125" s="13">
        <f>+SUMIF('GE16FEB14 Tax Bill Unfudged'!$A$2:$A$498, 'Tax Bill Summary'!$A125, 'GE16FEB14 Tax Bill Unfudged'!H$2:H$498)</f>
        <v>1856484</v>
      </c>
      <c r="Z125" s="56">
        <f t="shared" si="99"/>
        <v>0</v>
      </c>
      <c r="AA125" s="51">
        <f>+SUMIF('GE16FEB14 Tax Bill Unfudged'!$A$2:$A$498, 'Tax Bill Summary'!$A125, 'GE16FEB14 Tax Bill Unfudged'!I$2:I$498)</f>
        <v>1313550</v>
      </c>
      <c r="AB125" s="13">
        <f>+SUMIF('GE16FEB14 Tax Bill Unfudged'!$A$2:$A$498, 'Tax Bill Summary'!$A125, 'GE16FEB14 Tax Bill Unfudged'!J$2:J$498)</f>
        <v>906955</v>
      </c>
      <c r="AC125" s="56">
        <f t="shared" si="100"/>
        <v>406595</v>
      </c>
      <c r="AD125" s="51">
        <f t="shared" si="101"/>
        <v>3800538</v>
      </c>
      <c r="AE125" s="13">
        <f t="shared" si="102"/>
        <v>3393943</v>
      </c>
      <c r="AF125" s="56">
        <f t="shared" si="103"/>
        <v>406595</v>
      </c>
      <c r="AG125" s="13">
        <f t="shared" si="104"/>
        <v>867.90089061429546</v>
      </c>
      <c r="AH125" s="13">
        <f t="shared" si="105"/>
        <v>775.04978305549207</v>
      </c>
      <c r="AI125" s="16">
        <f t="shared" si="106"/>
        <v>92.851107558803378</v>
      </c>
      <c r="AJ125" s="15">
        <f t="shared" si="107"/>
        <v>0</v>
      </c>
      <c r="AK125" s="13">
        <f t="shared" si="108"/>
        <v>0</v>
      </c>
      <c r="AL125" s="56">
        <f t="shared" si="109"/>
        <v>0</v>
      </c>
      <c r="AM125" s="51">
        <f t="shared" si="110"/>
        <v>928242</v>
      </c>
      <c r="AN125" s="13">
        <f t="shared" si="111"/>
        <v>928242</v>
      </c>
      <c r="AO125" s="56">
        <f t="shared" si="112"/>
        <v>0</v>
      </c>
      <c r="AP125" s="51">
        <f t="shared" si="113"/>
        <v>0</v>
      </c>
      <c r="AQ125" s="13">
        <f t="shared" si="114"/>
        <v>0</v>
      </c>
      <c r="AR125" s="56">
        <f t="shared" si="115"/>
        <v>0</v>
      </c>
      <c r="AS125" s="51">
        <f t="shared" si="116"/>
        <v>928242</v>
      </c>
      <c r="AT125" s="13">
        <f t="shared" si="117"/>
        <v>928242</v>
      </c>
      <c r="AU125" s="56">
        <f t="shared" si="118"/>
        <v>0</v>
      </c>
      <c r="AV125" s="13">
        <f t="shared" si="119"/>
        <v>211.97579356017354</v>
      </c>
      <c r="AW125" s="13">
        <f t="shared" si="120"/>
        <v>211.97579356017354</v>
      </c>
      <c r="AX125" s="16">
        <f t="shared" si="121"/>
        <v>0</v>
      </c>
    </row>
    <row r="126" spans="1:50" x14ac:dyDescent="0.25">
      <c r="A126" s="20">
        <v>319</v>
      </c>
      <c r="B126">
        <v>1</v>
      </c>
      <c r="C126" s="23" t="s">
        <v>242</v>
      </c>
      <c r="D126" s="23">
        <v>6</v>
      </c>
      <c r="E126" s="15">
        <f>+SUMIF('GE16FEB14 Unfudged'!$A$2:$A$498, $A126, 'GE16FEB14 Unfudged'!$D$2:$D$498)</f>
        <v>591</v>
      </c>
      <c r="F126" s="15">
        <f>+SUMIF('GE16FEB14 Unfudged'!$A$2:$A$498, 'Tax Bill Summary'!$A126, 'GE16FEB14 Unfudged'!E$2:E$498)</f>
        <v>72711</v>
      </c>
      <c r="G126" s="13">
        <f>+SUMIF('GE16FEB14 Unfudged'!$A$2:$A$498, 'Tax Bill Summary'!$A126, 'GE16FEB14 Unfudged'!F$2:F$498)</f>
        <v>46369</v>
      </c>
      <c r="H126" s="56">
        <f t="shared" si="89"/>
        <v>26342</v>
      </c>
      <c r="I126" s="51">
        <f>+SUMIF('GE16FEB14 Unfudged'!$A$2:$A$498, 'Tax Bill Summary'!$A126, 'GE16FEB14 Unfudged'!G$2:G$498)</f>
        <v>0</v>
      </c>
      <c r="J126" s="13">
        <f>+SUMIF('GE16FEB14 Unfudged'!$A$2:$A$498, 'Tax Bill Summary'!$A126, 'GE16FEB14 Unfudged'!H$2:H$498)</f>
        <v>0</v>
      </c>
      <c r="K126" s="56">
        <f t="shared" si="90"/>
        <v>0</v>
      </c>
      <c r="L126" s="51">
        <f>+SUMIF('GE16FEB14 Unfudged'!$A$2:$A$498, 'Tax Bill Summary'!$A126, 'GE16FEB14 Unfudged'!I$2:IF$498)</f>
        <v>449171</v>
      </c>
      <c r="M126" s="13">
        <f>+SUMIF('GE16FEB14 Unfudged'!$A$2:$A$498, 'Tax Bill Summary'!$A126, 'GE16FEB14 Unfudged'!J$2:IG$498)</f>
        <v>238869</v>
      </c>
      <c r="N126" s="56">
        <f t="shared" si="91"/>
        <v>210302</v>
      </c>
      <c r="O126" s="51">
        <f t="shared" si="92"/>
        <v>521882</v>
      </c>
      <c r="P126" s="13">
        <f t="shared" si="93"/>
        <v>285238</v>
      </c>
      <c r="Q126" s="56">
        <f t="shared" si="94"/>
        <v>236644</v>
      </c>
      <c r="R126" s="13">
        <f t="shared" si="95"/>
        <v>883.04906937394242</v>
      </c>
      <c r="S126" s="13">
        <f t="shared" si="96"/>
        <v>482.63620981387481</v>
      </c>
      <c r="T126" s="16">
        <f t="shared" si="97"/>
        <v>400.41285956006766</v>
      </c>
      <c r="U126" s="15">
        <f>+SUMIF('GE16FEB14 Tax Bill Unfudged'!$A$2:$A$498, 'Tax Bill Summary'!$A126, 'GE16FEB14 Tax Bill Unfudged'!E$2:E$498)</f>
        <v>83900</v>
      </c>
      <c r="V126" s="13">
        <f>+SUMIF('GE16FEB14 Tax Bill Unfudged'!$A$2:$A$498, 'Tax Bill Summary'!$A126, 'GE16FEB14 Tax Bill Unfudged'!F$2:F$498)</f>
        <v>53505</v>
      </c>
      <c r="W126" s="56">
        <f t="shared" si="98"/>
        <v>30395</v>
      </c>
      <c r="X126" s="51">
        <f>+SUMIF('GE16FEB14 Tax Bill Unfudged'!$A$2:$A$498, 'Tax Bill Summary'!$A126, 'GE16FEB14 Tax Bill Unfudged'!G$2:G$498)</f>
        <v>250775</v>
      </c>
      <c r="Y126" s="13">
        <f>+SUMIF('GE16FEB14 Tax Bill Unfudged'!$A$2:$A$498, 'Tax Bill Summary'!$A126, 'GE16FEB14 Tax Bill Unfudged'!H$2:H$498)</f>
        <v>159924</v>
      </c>
      <c r="Z126" s="56">
        <f t="shared" si="99"/>
        <v>90851</v>
      </c>
      <c r="AA126" s="51">
        <f>+SUMIF('GE16FEB14 Tax Bill Unfudged'!$A$2:$A$498, 'Tax Bill Summary'!$A126, 'GE16FEB14 Tax Bill Unfudged'!I$2:I$498)</f>
        <v>198396</v>
      </c>
      <c r="AB126" s="13">
        <f>+SUMIF('GE16FEB14 Tax Bill Unfudged'!$A$2:$A$498, 'Tax Bill Summary'!$A126, 'GE16FEB14 Tax Bill Unfudged'!J$2:J$498)</f>
        <v>78945</v>
      </c>
      <c r="AC126" s="56">
        <f t="shared" si="100"/>
        <v>119451</v>
      </c>
      <c r="AD126" s="51">
        <f t="shared" si="101"/>
        <v>533071</v>
      </c>
      <c r="AE126" s="13">
        <f t="shared" si="102"/>
        <v>292374</v>
      </c>
      <c r="AF126" s="56">
        <f t="shared" si="103"/>
        <v>240697</v>
      </c>
      <c r="AG126" s="13">
        <f t="shared" si="104"/>
        <v>901.98138747884946</v>
      </c>
      <c r="AH126" s="13">
        <f t="shared" si="105"/>
        <v>494.71065989847716</v>
      </c>
      <c r="AI126" s="16">
        <f t="shared" si="106"/>
        <v>407.27072758037224</v>
      </c>
      <c r="AJ126" s="15">
        <f t="shared" si="107"/>
        <v>11189</v>
      </c>
      <c r="AK126" s="13">
        <f t="shared" si="108"/>
        <v>7136</v>
      </c>
      <c r="AL126" s="56">
        <f t="shared" si="109"/>
        <v>4053</v>
      </c>
      <c r="AM126" s="51">
        <f t="shared" si="110"/>
        <v>250775</v>
      </c>
      <c r="AN126" s="13">
        <f t="shared" si="111"/>
        <v>159924</v>
      </c>
      <c r="AO126" s="56">
        <f t="shared" si="112"/>
        <v>90851</v>
      </c>
      <c r="AP126" s="51">
        <f t="shared" si="113"/>
        <v>-250775</v>
      </c>
      <c r="AQ126" s="13">
        <f t="shared" si="114"/>
        <v>-159924</v>
      </c>
      <c r="AR126" s="56">
        <f t="shared" si="115"/>
        <v>-90851</v>
      </c>
      <c r="AS126" s="51">
        <f t="shared" si="116"/>
        <v>11189</v>
      </c>
      <c r="AT126" s="13">
        <f t="shared" si="117"/>
        <v>7136</v>
      </c>
      <c r="AU126" s="56">
        <f t="shared" si="118"/>
        <v>4053</v>
      </c>
      <c r="AV126" s="13">
        <f t="shared" si="119"/>
        <v>18.93231810490704</v>
      </c>
      <c r="AW126" s="13">
        <f t="shared" si="120"/>
        <v>12.074450084602347</v>
      </c>
      <c r="AX126" s="16">
        <f t="shared" si="121"/>
        <v>6.8578680203045792</v>
      </c>
    </row>
    <row r="127" spans="1:50" x14ac:dyDescent="0.25">
      <c r="A127" s="20">
        <v>323</v>
      </c>
      <c r="B127">
        <v>1</v>
      </c>
      <c r="C127" s="23" t="s">
        <v>243</v>
      </c>
      <c r="D127" s="23">
        <v>6</v>
      </c>
      <c r="E127" s="15">
        <f>+SUMIF('GE16FEB14 Unfudged'!$A$2:$A$498, $A127, 'GE16FEB14 Unfudged'!$D$2:$D$498)</f>
        <v>32</v>
      </c>
      <c r="F127" s="15">
        <f>+SUMIF('GE16FEB14 Unfudged'!$A$2:$A$498, 'Tax Bill Summary'!$A127, 'GE16FEB14 Unfudged'!E$2:E$498)</f>
        <v>3093</v>
      </c>
      <c r="G127" s="13">
        <f>+SUMIF('GE16FEB14 Unfudged'!$A$2:$A$498, 'Tax Bill Summary'!$A127, 'GE16FEB14 Unfudged'!F$2:F$498)</f>
        <v>3093</v>
      </c>
      <c r="H127" s="56">
        <f t="shared" si="89"/>
        <v>0</v>
      </c>
      <c r="I127" s="51">
        <f>+SUMIF('GE16FEB14 Unfudged'!$A$2:$A$498, 'Tax Bill Summary'!$A127, 'GE16FEB14 Unfudged'!G$2:G$498)</f>
        <v>0</v>
      </c>
      <c r="J127" s="13">
        <f>+SUMIF('GE16FEB14 Unfudged'!$A$2:$A$498, 'Tax Bill Summary'!$A127, 'GE16FEB14 Unfudged'!H$2:H$498)</f>
        <v>0</v>
      </c>
      <c r="K127" s="56">
        <f t="shared" si="90"/>
        <v>0</v>
      </c>
      <c r="L127" s="51">
        <f>+SUMIF('GE16FEB14 Unfudged'!$A$2:$A$498, 'Tax Bill Summary'!$A127, 'GE16FEB14 Unfudged'!I$2:IF$498)</f>
        <v>43181</v>
      </c>
      <c r="M127" s="13">
        <f>+SUMIF('GE16FEB14 Unfudged'!$A$2:$A$498, 'Tax Bill Summary'!$A127, 'GE16FEB14 Unfudged'!J$2:IG$498)</f>
        <v>39148</v>
      </c>
      <c r="N127" s="56">
        <f t="shared" si="91"/>
        <v>4033</v>
      </c>
      <c r="O127" s="51">
        <f t="shared" si="92"/>
        <v>46274</v>
      </c>
      <c r="P127" s="13">
        <f t="shared" si="93"/>
        <v>42241</v>
      </c>
      <c r="Q127" s="56">
        <f t="shared" si="94"/>
        <v>4033</v>
      </c>
      <c r="R127" s="13">
        <f t="shared" si="95"/>
        <v>1446.0625</v>
      </c>
      <c r="S127" s="13">
        <f t="shared" si="96"/>
        <v>1320.03125</v>
      </c>
      <c r="T127" s="16">
        <f t="shared" si="97"/>
        <v>126.03125</v>
      </c>
      <c r="U127" s="15">
        <f>+SUMIF('GE16FEB14 Tax Bill Unfudged'!$A$2:$A$498, 'Tax Bill Summary'!$A127, 'GE16FEB14 Tax Bill Unfudged'!E$2:E$498)</f>
        <v>3425</v>
      </c>
      <c r="V127" s="13">
        <f>+SUMIF('GE16FEB14 Tax Bill Unfudged'!$A$2:$A$498, 'Tax Bill Summary'!$A127, 'GE16FEB14 Tax Bill Unfudged'!F$2:F$498)</f>
        <v>3425</v>
      </c>
      <c r="W127" s="56">
        <f t="shared" si="98"/>
        <v>0</v>
      </c>
      <c r="X127" s="51">
        <f>+SUMIF('GE16FEB14 Tax Bill Unfudged'!$A$2:$A$498, 'Tax Bill Summary'!$A127, 'GE16FEB14 Tax Bill Unfudged'!G$2:G$498)</f>
        <v>13632</v>
      </c>
      <c r="Y127" s="13">
        <f>+SUMIF('GE16FEB14 Tax Bill Unfudged'!$A$2:$A$498, 'Tax Bill Summary'!$A127, 'GE16FEB14 Tax Bill Unfudged'!H$2:H$498)</f>
        <v>13632</v>
      </c>
      <c r="Z127" s="56">
        <f t="shared" si="99"/>
        <v>0</v>
      </c>
      <c r="AA127" s="51">
        <f>+SUMIF('GE16FEB14 Tax Bill Unfudged'!$A$2:$A$498, 'Tax Bill Summary'!$A127, 'GE16FEB14 Tax Bill Unfudged'!I$2:I$498)</f>
        <v>29549</v>
      </c>
      <c r="AB127" s="13">
        <f>+SUMIF('GE16FEB14 Tax Bill Unfudged'!$A$2:$A$498, 'Tax Bill Summary'!$A127, 'GE16FEB14 Tax Bill Unfudged'!J$2:J$498)</f>
        <v>26789</v>
      </c>
      <c r="AC127" s="56">
        <f t="shared" si="100"/>
        <v>2760</v>
      </c>
      <c r="AD127" s="51">
        <f t="shared" si="101"/>
        <v>46606</v>
      </c>
      <c r="AE127" s="13">
        <f t="shared" si="102"/>
        <v>43846</v>
      </c>
      <c r="AF127" s="56">
        <f t="shared" si="103"/>
        <v>2760</v>
      </c>
      <c r="AG127" s="13">
        <f t="shared" si="104"/>
        <v>1456.4375</v>
      </c>
      <c r="AH127" s="13">
        <f t="shared" si="105"/>
        <v>1370.1875</v>
      </c>
      <c r="AI127" s="16">
        <f t="shared" si="106"/>
        <v>86.25</v>
      </c>
      <c r="AJ127" s="15">
        <f t="shared" si="107"/>
        <v>332</v>
      </c>
      <c r="AK127" s="13">
        <f t="shared" si="108"/>
        <v>332</v>
      </c>
      <c r="AL127" s="56">
        <f t="shared" si="109"/>
        <v>0</v>
      </c>
      <c r="AM127" s="51">
        <f t="shared" si="110"/>
        <v>13632</v>
      </c>
      <c r="AN127" s="13">
        <f t="shared" si="111"/>
        <v>13632</v>
      </c>
      <c r="AO127" s="56">
        <f t="shared" si="112"/>
        <v>0</v>
      </c>
      <c r="AP127" s="51">
        <f t="shared" si="113"/>
        <v>-13632</v>
      </c>
      <c r="AQ127" s="13">
        <f t="shared" si="114"/>
        <v>-12359</v>
      </c>
      <c r="AR127" s="56">
        <f t="shared" si="115"/>
        <v>-1273</v>
      </c>
      <c r="AS127" s="51">
        <f t="shared" si="116"/>
        <v>332</v>
      </c>
      <c r="AT127" s="13">
        <f t="shared" si="117"/>
        <v>1605</v>
      </c>
      <c r="AU127" s="56">
        <f t="shared" si="118"/>
        <v>-1273</v>
      </c>
      <c r="AV127" s="13">
        <f t="shared" si="119"/>
        <v>10.375</v>
      </c>
      <c r="AW127" s="13">
        <f t="shared" si="120"/>
        <v>50.15625</v>
      </c>
      <c r="AX127" s="16">
        <f t="shared" si="121"/>
        <v>-39.78125</v>
      </c>
    </row>
    <row r="128" spans="1:50" x14ac:dyDescent="0.25">
      <c r="A128" s="20">
        <v>330</v>
      </c>
      <c r="B128">
        <v>1</v>
      </c>
      <c r="C128" s="23" t="s">
        <v>244</v>
      </c>
      <c r="D128" s="23">
        <v>6</v>
      </c>
      <c r="E128" s="15">
        <f>+SUMIF('GE16FEB14 Unfudged'!$A$2:$A$498, $A128, 'GE16FEB14 Unfudged'!$D$2:$D$498)</f>
        <v>290</v>
      </c>
      <c r="F128" s="15">
        <f>+SUMIF('GE16FEB14 Unfudged'!$A$2:$A$498, 'Tax Bill Summary'!$A128, 'GE16FEB14 Unfudged'!E$2:E$498)</f>
        <v>22142</v>
      </c>
      <c r="G128" s="13">
        <f>+SUMIF('GE16FEB14 Unfudged'!$A$2:$A$498, 'Tax Bill Summary'!$A128, 'GE16FEB14 Unfudged'!F$2:F$498)</f>
        <v>14121</v>
      </c>
      <c r="H128" s="56">
        <f t="shared" si="89"/>
        <v>8021</v>
      </c>
      <c r="I128" s="51">
        <f>+SUMIF('GE16FEB14 Unfudged'!$A$2:$A$498, 'Tax Bill Summary'!$A128, 'GE16FEB14 Unfudged'!G$2:G$498)</f>
        <v>0</v>
      </c>
      <c r="J128" s="13">
        <f>+SUMIF('GE16FEB14 Unfudged'!$A$2:$A$498, 'Tax Bill Summary'!$A128, 'GE16FEB14 Unfudged'!H$2:H$498)</f>
        <v>0</v>
      </c>
      <c r="K128" s="56">
        <f t="shared" si="90"/>
        <v>0</v>
      </c>
      <c r="L128" s="51">
        <f>+SUMIF('GE16FEB14 Unfudged'!$A$2:$A$498, 'Tax Bill Summary'!$A128, 'GE16FEB14 Unfudged'!I$2:IF$498)</f>
        <v>514921</v>
      </c>
      <c r="M128" s="13">
        <f>+SUMIF('GE16FEB14 Unfudged'!$A$2:$A$498, 'Tax Bill Summary'!$A128, 'GE16FEB14 Unfudged'!J$2:IG$498)</f>
        <v>411751</v>
      </c>
      <c r="N128" s="56">
        <f t="shared" si="91"/>
        <v>103170</v>
      </c>
      <c r="O128" s="51">
        <f t="shared" si="92"/>
        <v>537063</v>
      </c>
      <c r="P128" s="13">
        <f t="shared" si="93"/>
        <v>425872</v>
      </c>
      <c r="Q128" s="56">
        <f t="shared" si="94"/>
        <v>111191</v>
      </c>
      <c r="R128" s="13">
        <f t="shared" si="95"/>
        <v>1851.9413793103449</v>
      </c>
      <c r="S128" s="13">
        <f t="shared" si="96"/>
        <v>1468.5241379310344</v>
      </c>
      <c r="T128" s="16">
        <f t="shared" si="97"/>
        <v>383.41724137931033</v>
      </c>
      <c r="U128" s="15">
        <f>+SUMIF('GE16FEB14 Tax Bill Unfudged'!$A$2:$A$498, 'Tax Bill Summary'!$A128, 'GE16FEB14 Tax Bill Unfudged'!E$2:E$498)</f>
        <v>23291</v>
      </c>
      <c r="V128" s="13">
        <f>+SUMIF('GE16FEB14 Tax Bill Unfudged'!$A$2:$A$498, 'Tax Bill Summary'!$A128, 'GE16FEB14 Tax Bill Unfudged'!F$2:F$498)</f>
        <v>14854</v>
      </c>
      <c r="W128" s="56">
        <f t="shared" si="98"/>
        <v>8437</v>
      </c>
      <c r="X128" s="51">
        <f>+SUMIF('GE16FEB14 Tax Bill Unfudged'!$A$2:$A$498, 'Tax Bill Summary'!$A128, 'GE16FEB14 Tax Bill Unfudged'!G$2:G$498)</f>
        <v>122960</v>
      </c>
      <c r="Y128" s="13">
        <f>+SUMIF('GE16FEB14 Tax Bill Unfudged'!$A$2:$A$498, 'Tax Bill Summary'!$A128, 'GE16FEB14 Tax Bill Unfudged'!H$2:H$498)</f>
        <v>78417</v>
      </c>
      <c r="Z128" s="56">
        <f t="shared" si="99"/>
        <v>44543</v>
      </c>
      <c r="AA128" s="51">
        <f>+SUMIF('GE16FEB14 Tax Bill Unfudged'!$A$2:$A$498, 'Tax Bill Summary'!$A128, 'GE16FEB14 Tax Bill Unfudged'!I$2:I$498)</f>
        <v>391961</v>
      </c>
      <c r="AB128" s="13">
        <f>+SUMIF('GE16FEB14 Tax Bill Unfudged'!$A$2:$A$498, 'Tax Bill Summary'!$A128, 'GE16FEB14 Tax Bill Unfudged'!J$2:J$498)</f>
        <v>288791</v>
      </c>
      <c r="AC128" s="56">
        <f t="shared" si="100"/>
        <v>103170</v>
      </c>
      <c r="AD128" s="51">
        <f t="shared" si="101"/>
        <v>538212</v>
      </c>
      <c r="AE128" s="13">
        <f t="shared" si="102"/>
        <v>382062</v>
      </c>
      <c r="AF128" s="56">
        <f t="shared" si="103"/>
        <v>156150</v>
      </c>
      <c r="AG128" s="13">
        <f t="shared" si="104"/>
        <v>1855.903448275862</v>
      </c>
      <c r="AH128" s="13">
        <f t="shared" si="105"/>
        <v>1317.4551724137932</v>
      </c>
      <c r="AI128" s="16">
        <f t="shared" si="106"/>
        <v>538.44827586206895</v>
      </c>
      <c r="AJ128" s="15">
        <f t="shared" si="107"/>
        <v>1149</v>
      </c>
      <c r="AK128" s="13">
        <f t="shared" si="108"/>
        <v>733</v>
      </c>
      <c r="AL128" s="56">
        <f t="shared" si="109"/>
        <v>416</v>
      </c>
      <c r="AM128" s="51">
        <f t="shared" si="110"/>
        <v>122960</v>
      </c>
      <c r="AN128" s="13">
        <f t="shared" si="111"/>
        <v>78417</v>
      </c>
      <c r="AO128" s="56">
        <f t="shared" si="112"/>
        <v>44543</v>
      </c>
      <c r="AP128" s="51">
        <f t="shared" si="113"/>
        <v>-122960</v>
      </c>
      <c r="AQ128" s="13">
        <f t="shared" si="114"/>
        <v>-122960</v>
      </c>
      <c r="AR128" s="56">
        <f t="shared" si="115"/>
        <v>0</v>
      </c>
      <c r="AS128" s="51">
        <f t="shared" si="116"/>
        <v>1149</v>
      </c>
      <c r="AT128" s="13">
        <f t="shared" si="117"/>
        <v>-43810</v>
      </c>
      <c r="AU128" s="56">
        <f t="shared" si="118"/>
        <v>44959</v>
      </c>
      <c r="AV128" s="13">
        <f t="shared" si="119"/>
        <v>3.9620689655171191</v>
      </c>
      <c r="AW128" s="13">
        <f t="shared" si="120"/>
        <v>-151.06896551724117</v>
      </c>
      <c r="AX128" s="16">
        <f t="shared" si="121"/>
        <v>155.03103448275863</v>
      </c>
    </row>
    <row r="129" spans="1:50" x14ac:dyDescent="0.25">
      <c r="A129" s="20">
        <v>332</v>
      </c>
      <c r="B129">
        <v>2</v>
      </c>
      <c r="C129" s="23" t="s">
        <v>245</v>
      </c>
      <c r="D129" s="23">
        <v>5</v>
      </c>
      <c r="E129" s="15">
        <f>+SUMIF('GE16FEB14 Unfudged'!$A$2:$A$498, $A129, 'GE16FEB14 Unfudged'!$D$2:$D$498)</f>
        <v>1878</v>
      </c>
      <c r="F129" s="15">
        <f>+SUMIF('GE16FEB14 Unfudged'!$A$2:$A$498, 'Tax Bill Summary'!$A129, 'GE16FEB14 Unfudged'!E$2:E$498)</f>
        <v>270374</v>
      </c>
      <c r="G129" s="13">
        <f>+SUMIF('GE16FEB14 Unfudged'!$A$2:$A$498, 'Tax Bill Summary'!$A129, 'GE16FEB14 Unfudged'!F$2:F$498)</f>
        <v>145305</v>
      </c>
      <c r="H129" s="56">
        <f t="shared" si="89"/>
        <v>125069</v>
      </c>
      <c r="I129" s="51">
        <f>+SUMIF('GE16FEB14 Unfudged'!$A$2:$A$498, 'Tax Bill Summary'!$A129, 'GE16FEB14 Unfudged'!G$2:G$498)</f>
        <v>0</v>
      </c>
      <c r="J129" s="13">
        <f>+SUMIF('GE16FEB14 Unfudged'!$A$2:$A$498, 'Tax Bill Summary'!$A129, 'GE16FEB14 Unfudged'!H$2:H$498)</f>
        <v>0</v>
      </c>
      <c r="K129" s="56">
        <f t="shared" si="90"/>
        <v>0</v>
      </c>
      <c r="L129" s="51">
        <f>+SUMIF('GE16FEB14 Unfudged'!$A$2:$A$498, 'Tax Bill Summary'!$A129, 'GE16FEB14 Unfudged'!I$2:IF$498)</f>
        <v>563280</v>
      </c>
      <c r="M129" s="13">
        <f>+SUMIF('GE16FEB14 Unfudged'!$A$2:$A$498, 'Tax Bill Summary'!$A129, 'GE16FEB14 Unfudged'!J$2:IG$498)</f>
        <v>175439</v>
      </c>
      <c r="N129" s="56">
        <f t="shared" si="91"/>
        <v>387841</v>
      </c>
      <c r="O129" s="51">
        <f t="shared" si="92"/>
        <v>833654</v>
      </c>
      <c r="P129" s="13">
        <f t="shared" si="93"/>
        <v>320744</v>
      </c>
      <c r="Q129" s="56">
        <f t="shared" si="94"/>
        <v>512910</v>
      </c>
      <c r="R129" s="13">
        <f t="shared" si="95"/>
        <v>443.9052183173589</v>
      </c>
      <c r="S129" s="13">
        <f t="shared" si="96"/>
        <v>170.79020234291801</v>
      </c>
      <c r="T129" s="16">
        <f t="shared" si="97"/>
        <v>273.11501597444089</v>
      </c>
      <c r="U129" s="15">
        <f>+SUMIF('GE16FEB14 Tax Bill Unfudged'!$A$2:$A$498, 'Tax Bill Summary'!$A129, 'GE16FEB14 Tax Bill Unfudged'!E$2:E$498)</f>
        <v>270374</v>
      </c>
      <c r="V129" s="13">
        <f>+SUMIF('GE16FEB14 Tax Bill Unfudged'!$A$2:$A$498, 'Tax Bill Summary'!$A129, 'GE16FEB14 Tax Bill Unfudged'!F$2:F$498)</f>
        <v>145305</v>
      </c>
      <c r="W129" s="56">
        <f t="shared" si="98"/>
        <v>125069</v>
      </c>
      <c r="X129" s="51">
        <f>+SUMIF('GE16FEB14 Tax Bill Unfudged'!$A$2:$A$498, 'Tax Bill Summary'!$A129, 'GE16FEB14 Tax Bill Unfudged'!G$2:G$498)</f>
        <v>796102</v>
      </c>
      <c r="Y129" s="13">
        <f>+SUMIF('GE16FEB14 Tax Bill Unfudged'!$A$2:$A$498, 'Tax Bill Summary'!$A129, 'GE16FEB14 Tax Bill Unfudged'!H$2:H$498)</f>
        <v>427843</v>
      </c>
      <c r="Z129" s="56">
        <f t="shared" si="99"/>
        <v>368259</v>
      </c>
      <c r="AA129" s="51">
        <f>+SUMIF('GE16FEB14 Tax Bill Unfudged'!$A$2:$A$498, 'Tax Bill Summary'!$A129, 'GE16FEB14 Tax Bill Unfudged'!I$2:I$498)</f>
        <v>563280</v>
      </c>
      <c r="AB129" s="13">
        <f>+SUMIF('GE16FEB14 Tax Bill Unfudged'!$A$2:$A$498, 'Tax Bill Summary'!$A129, 'GE16FEB14 Tax Bill Unfudged'!J$2:J$498)</f>
        <v>175439</v>
      </c>
      <c r="AC129" s="56">
        <f t="shared" si="100"/>
        <v>387841</v>
      </c>
      <c r="AD129" s="51">
        <f t="shared" si="101"/>
        <v>1629756</v>
      </c>
      <c r="AE129" s="13">
        <f t="shared" si="102"/>
        <v>748587</v>
      </c>
      <c r="AF129" s="56">
        <f t="shared" si="103"/>
        <v>881169</v>
      </c>
      <c r="AG129" s="13">
        <f t="shared" si="104"/>
        <v>867.81469648562302</v>
      </c>
      <c r="AH129" s="13">
        <f t="shared" si="105"/>
        <v>398.60862619808307</v>
      </c>
      <c r="AI129" s="16">
        <f t="shared" si="106"/>
        <v>469.20607028753994</v>
      </c>
      <c r="AJ129" s="15">
        <f t="shared" si="107"/>
        <v>0</v>
      </c>
      <c r="AK129" s="13">
        <f t="shared" si="108"/>
        <v>0</v>
      </c>
      <c r="AL129" s="56">
        <f t="shared" si="109"/>
        <v>0</v>
      </c>
      <c r="AM129" s="51">
        <f t="shared" si="110"/>
        <v>796102</v>
      </c>
      <c r="AN129" s="13">
        <f t="shared" si="111"/>
        <v>427843</v>
      </c>
      <c r="AO129" s="56">
        <f t="shared" si="112"/>
        <v>368259</v>
      </c>
      <c r="AP129" s="51">
        <f t="shared" si="113"/>
        <v>0</v>
      </c>
      <c r="AQ129" s="13">
        <f t="shared" si="114"/>
        <v>0</v>
      </c>
      <c r="AR129" s="56">
        <f t="shared" si="115"/>
        <v>0</v>
      </c>
      <c r="AS129" s="51">
        <f t="shared" si="116"/>
        <v>796102</v>
      </c>
      <c r="AT129" s="13">
        <f t="shared" si="117"/>
        <v>427843</v>
      </c>
      <c r="AU129" s="56">
        <f t="shared" si="118"/>
        <v>368259</v>
      </c>
      <c r="AV129" s="13">
        <f t="shared" si="119"/>
        <v>423.90947816826412</v>
      </c>
      <c r="AW129" s="13">
        <f t="shared" si="120"/>
        <v>227.81842385516507</v>
      </c>
      <c r="AX129" s="16">
        <f t="shared" si="121"/>
        <v>196.09105431309905</v>
      </c>
    </row>
    <row r="130" spans="1:50" x14ac:dyDescent="0.25">
      <c r="A130" s="20">
        <v>333</v>
      </c>
      <c r="B130">
        <v>1</v>
      </c>
      <c r="C130" s="23" t="s">
        <v>246</v>
      </c>
      <c r="D130" s="23">
        <v>6</v>
      </c>
      <c r="E130" s="15">
        <f>+SUMIF('GE16FEB14 Unfudged'!$A$2:$A$498, $A130, 'GE16FEB14 Unfudged'!$D$2:$D$498)</f>
        <v>583</v>
      </c>
      <c r="F130" s="15">
        <f>+SUMIF('GE16FEB14 Unfudged'!$A$2:$A$498, 'Tax Bill Summary'!$A130, 'GE16FEB14 Unfudged'!E$2:E$498)</f>
        <v>83981</v>
      </c>
      <c r="G130" s="13">
        <f>+SUMIF('GE16FEB14 Unfudged'!$A$2:$A$498, 'Tax Bill Summary'!$A130, 'GE16FEB14 Unfudged'!F$2:F$498)</f>
        <v>33387</v>
      </c>
      <c r="H130" s="56">
        <f t="shared" si="89"/>
        <v>50594</v>
      </c>
      <c r="I130" s="51">
        <f>+SUMIF('GE16FEB14 Unfudged'!$A$2:$A$498, 'Tax Bill Summary'!$A130, 'GE16FEB14 Unfudged'!G$2:G$498)</f>
        <v>0</v>
      </c>
      <c r="J130" s="13">
        <f>+SUMIF('GE16FEB14 Unfudged'!$A$2:$A$498, 'Tax Bill Summary'!$A130, 'GE16FEB14 Unfudged'!H$2:H$498)</f>
        <v>0</v>
      </c>
      <c r="K130" s="56">
        <f t="shared" si="90"/>
        <v>0</v>
      </c>
      <c r="L130" s="51">
        <f>+SUMIF('GE16FEB14 Unfudged'!$A$2:$A$498, 'Tax Bill Summary'!$A130, 'GE16FEB14 Unfudged'!I$2:IF$498)</f>
        <v>174960</v>
      </c>
      <c r="M130" s="13">
        <f>+SUMIF('GE16FEB14 Unfudged'!$A$2:$A$498, 'Tax Bill Summary'!$A130, 'GE16FEB14 Unfudged'!J$2:IG$498)</f>
        <v>40311</v>
      </c>
      <c r="N130" s="56">
        <f t="shared" si="91"/>
        <v>134649</v>
      </c>
      <c r="O130" s="51">
        <f t="shared" si="92"/>
        <v>258941</v>
      </c>
      <c r="P130" s="13">
        <f t="shared" si="93"/>
        <v>73698</v>
      </c>
      <c r="Q130" s="56">
        <f t="shared" si="94"/>
        <v>185243</v>
      </c>
      <c r="R130" s="13">
        <f t="shared" si="95"/>
        <v>444.15265866209262</v>
      </c>
      <c r="S130" s="13">
        <f t="shared" si="96"/>
        <v>126.41166380789022</v>
      </c>
      <c r="T130" s="16">
        <f t="shared" si="97"/>
        <v>317.74099485420243</v>
      </c>
      <c r="U130" s="15">
        <f>+SUMIF('GE16FEB14 Tax Bill Unfudged'!$A$2:$A$498, 'Tax Bill Summary'!$A130, 'GE16FEB14 Tax Bill Unfudged'!E$2:E$498)</f>
        <v>83981</v>
      </c>
      <c r="V130" s="13">
        <f>+SUMIF('GE16FEB14 Tax Bill Unfudged'!$A$2:$A$498, 'Tax Bill Summary'!$A130, 'GE16FEB14 Tax Bill Unfudged'!F$2:F$498)</f>
        <v>33387</v>
      </c>
      <c r="W130" s="56">
        <f t="shared" si="98"/>
        <v>50594</v>
      </c>
      <c r="X130" s="51">
        <f>+SUMIF('GE16FEB14 Tax Bill Unfudged'!$A$2:$A$498, 'Tax Bill Summary'!$A130, 'GE16FEB14 Tax Bill Unfudged'!G$2:G$498)</f>
        <v>247277</v>
      </c>
      <c r="Y130" s="13">
        <f>+SUMIF('GE16FEB14 Tax Bill Unfudged'!$A$2:$A$498, 'Tax Bill Summary'!$A130, 'GE16FEB14 Tax Bill Unfudged'!H$2:H$498)</f>
        <v>98306</v>
      </c>
      <c r="Z130" s="56">
        <f t="shared" si="99"/>
        <v>148971</v>
      </c>
      <c r="AA130" s="51">
        <f>+SUMIF('GE16FEB14 Tax Bill Unfudged'!$A$2:$A$498, 'Tax Bill Summary'!$A130, 'GE16FEB14 Tax Bill Unfudged'!I$2:I$498)</f>
        <v>174960</v>
      </c>
      <c r="AB130" s="13">
        <f>+SUMIF('GE16FEB14 Tax Bill Unfudged'!$A$2:$A$498, 'Tax Bill Summary'!$A130, 'GE16FEB14 Tax Bill Unfudged'!J$2:J$498)</f>
        <v>40311</v>
      </c>
      <c r="AC130" s="56">
        <f t="shared" si="100"/>
        <v>134649</v>
      </c>
      <c r="AD130" s="51">
        <f t="shared" si="101"/>
        <v>506218</v>
      </c>
      <c r="AE130" s="13">
        <f t="shared" si="102"/>
        <v>172004</v>
      </c>
      <c r="AF130" s="56">
        <f t="shared" si="103"/>
        <v>334214</v>
      </c>
      <c r="AG130" s="13">
        <f t="shared" si="104"/>
        <v>868.2984562607204</v>
      </c>
      <c r="AH130" s="13">
        <f t="shared" si="105"/>
        <v>295.03259005145799</v>
      </c>
      <c r="AI130" s="16">
        <f t="shared" si="106"/>
        <v>573.26586620926241</v>
      </c>
      <c r="AJ130" s="15">
        <f t="shared" si="107"/>
        <v>0</v>
      </c>
      <c r="AK130" s="13">
        <f t="shared" si="108"/>
        <v>0</v>
      </c>
      <c r="AL130" s="56">
        <f t="shared" si="109"/>
        <v>0</v>
      </c>
      <c r="AM130" s="51">
        <f t="shared" si="110"/>
        <v>247277</v>
      </c>
      <c r="AN130" s="13">
        <f t="shared" si="111"/>
        <v>98306</v>
      </c>
      <c r="AO130" s="56">
        <f t="shared" si="112"/>
        <v>148971</v>
      </c>
      <c r="AP130" s="51">
        <f t="shared" si="113"/>
        <v>0</v>
      </c>
      <c r="AQ130" s="13">
        <f t="shared" si="114"/>
        <v>0</v>
      </c>
      <c r="AR130" s="56">
        <f t="shared" si="115"/>
        <v>0</v>
      </c>
      <c r="AS130" s="51">
        <f t="shared" si="116"/>
        <v>247277</v>
      </c>
      <c r="AT130" s="13">
        <f t="shared" si="117"/>
        <v>98306</v>
      </c>
      <c r="AU130" s="56">
        <f t="shared" si="118"/>
        <v>148971</v>
      </c>
      <c r="AV130" s="13">
        <f t="shared" si="119"/>
        <v>424.14579759862778</v>
      </c>
      <c r="AW130" s="13">
        <f t="shared" si="120"/>
        <v>168.62092624356777</v>
      </c>
      <c r="AX130" s="16">
        <f t="shared" si="121"/>
        <v>255.52487135505999</v>
      </c>
    </row>
    <row r="131" spans="1:50" x14ac:dyDescent="0.25">
      <c r="A131" s="20">
        <v>345</v>
      </c>
      <c r="B131">
        <v>1</v>
      </c>
      <c r="C131" s="23" t="s">
        <v>247</v>
      </c>
      <c r="D131" s="23">
        <v>5</v>
      </c>
      <c r="E131" s="15">
        <f>+SUMIF('GE16FEB14 Unfudged'!$A$2:$A$498, $A131, 'GE16FEB14 Unfudged'!$D$2:$D$498)</f>
        <v>1454</v>
      </c>
      <c r="F131" s="15">
        <f>+SUMIF('GE16FEB14 Unfudged'!$A$2:$A$498, 'Tax Bill Summary'!$A131, 'GE16FEB14 Unfudged'!E$2:E$498)</f>
        <v>188801</v>
      </c>
      <c r="G131" s="13">
        <f>+SUMIF('GE16FEB14 Unfudged'!$A$2:$A$498, 'Tax Bill Summary'!$A131, 'GE16FEB14 Unfudged'!F$2:F$498)</f>
        <v>188801</v>
      </c>
      <c r="H131" s="56">
        <f t="shared" si="89"/>
        <v>0</v>
      </c>
      <c r="I131" s="51">
        <f>+SUMIF('GE16FEB14 Unfudged'!$A$2:$A$498, 'Tax Bill Summary'!$A131, 'GE16FEB14 Unfudged'!G$2:G$498)</f>
        <v>0</v>
      </c>
      <c r="J131" s="13">
        <f>+SUMIF('GE16FEB14 Unfudged'!$A$2:$A$498, 'Tax Bill Summary'!$A131, 'GE16FEB14 Unfudged'!H$2:H$498)</f>
        <v>0</v>
      </c>
      <c r="K131" s="56">
        <f t="shared" si="90"/>
        <v>0</v>
      </c>
      <c r="L131" s="51">
        <f>+SUMIF('GE16FEB14 Unfudged'!$A$2:$A$498, 'Tax Bill Summary'!$A131, 'GE16FEB14 Unfudged'!I$2:IF$498)</f>
        <v>883600</v>
      </c>
      <c r="M131" s="13">
        <f>+SUMIF('GE16FEB14 Unfudged'!$A$2:$A$498, 'Tax Bill Summary'!$A131, 'GE16FEB14 Unfudged'!J$2:IG$498)</f>
        <v>759659</v>
      </c>
      <c r="N131" s="56">
        <f t="shared" si="91"/>
        <v>123941</v>
      </c>
      <c r="O131" s="51">
        <f t="shared" si="92"/>
        <v>1072401</v>
      </c>
      <c r="P131" s="13">
        <f t="shared" si="93"/>
        <v>948460</v>
      </c>
      <c r="Q131" s="56">
        <f t="shared" si="94"/>
        <v>123941</v>
      </c>
      <c r="R131" s="13">
        <f t="shared" si="95"/>
        <v>737.55226960110042</v>
      </c>
      <c r="S131" s="13">
        <f t="shared" si="96"/>
        <v>652.31086657496564</v>
      </c>
      <c r="T131" s="16">
        <f t="shared" si="97"/>
        <v>85.241403026134805</v>
      </c>
      <c r="U131" s="15">
        <f>+SUMIF('GE16FEB14 Tax Bill Unfudged'!$A$2:$A$498, 'Tax Bill Summary'!$A131, 'GE16FEB14 Tax Bill Unfudged'!E$2:E$498)</f>
        <v>209318</v>
      </c>
      <c r="V131" s="13">
        <f>+SUMIF('GE16FEB14 Tax Bill Unfudged'!$A$2:$A$498, 'Tax Bill Summary'!$A131, 'GE16FEB14 Tax Bill Unfudged'!F$2:F$498)</f>
        <v>209318</v>
      </c>
      <c r="W131" s="56">
        <f t="shared" si="98"/>
        <v>0</v>
      </c>
      <c r="X131" s="51">
        <f>+SUMIF('GE16FEB14 Tax Bill Unfudged'!$A$2:$A$498, 'Tax Bill Summary'!$A131, 'GE16FEB14 Tax Bill Unfudged'!G$2:G$498)</f>
        <v>616326</v>
      </c>
      <c r="Y131" s="13">
        <f>+SUMIF('GE16FEB14 Tax Bill Unfudged'!$A$2:$A$498, 'Tax Bill Summary'!$A131, 'GE16FEB14 Tax Bill Unfudged'!H$2:H$498)</f>
        <v>616326</v>
      </c>
      <c r="Z131" s="56">
        <f t="shared" si="99"/>
        <v>0</v>
      </c>
      <c r="AA131" s="51">
        <f>+SUMIF('GE16FEB14 Tax Bill Unfudged'!$A$2:$A$498, 'Tax Bill Summary'!$A131, 'GE16FEB14 Tax Bill Unfudged'!I$2:I$498)</f>
        <v>436080</v>
      </c>
      <c r="AB131" s="13">
        <f>+SUMIF('GE16FEB14 Tax Bill Unfudged'!$A$2:$A$498, 'Tax Bill Summary'!$A131, 'GE16FEB14 Tax Bill Unfudged'!J$2:J$498)</f>
        <v>312139</v>
      </c>
      <c r="AC131" s="56">
        <f t="shared" si="100"/>
        <v>123941</v>
      </c>
      <c r="AD131" s="51">
        <f t="shared" si="101"/>
        <v>1261724</v>
      </c>
      <c r="AE131" s="13">
        <f t="shared" si="102"/>
        <v>1137783</v>
      </c>
      <c r="AF131" s="56">
        <f t="shared" si="103"/>
        <v>123941</v>
      </c>
      <c r="AG131" s="13">
        <f t="shared" si="104"/>
        <v>867.7606602475928</v>
      </c>
      <c r="AH131" s="13">
        <f t="shared" si="105"/>
        <v>782.51925722145802</v>
      </c>
      <c r="AI131" s="16">
        <f t="shared" si="106"/>
        <v>85.241403026134805</v>
      </c>
      <c r="AJ131" s="15">
        <f t="shared" si="107"/>
        <v>20517</v>
      </c>
      <c r="AK131" s="13">
        <f t="shared" si="108"/>
        <v>20517</v>
      </c>
      <c r="AL131" s="56">
        <f t="shared" si="109"/>
        <v>0</v>
      </c>
      <c r="AM131" s="51">
        <f t="shared" si="110"/>
        <v>616326</v>
      </c>
      <c r="AN131" s="13">
        <f t="shared" si="111"/>
        <v>616326</v>
      </c>
      <c r="AO131" s="56">
        <f t="shared" si="112"/>
        <v>0</v>
      </c>
      <c r="AP131" s="51">
        <f t="shared" si="113"/>
        <v>-447520</v>
      </c>
      <c r="AQ131" s="13">
        <f t="shared" si="114"/>
        <v>-447520</v>
      </c>
      <c r="AR131" s="56">
        <f t="shared" si="115"/>
        <v>0</v>
      </c>
      <c r="AS131" s="51">
        <f t="shared" si="116"/>
        <v>189323</v>
      </c>
      <c r="AT131" s="13">
        <f t="shared" si="117"/>
        <v>189323</v>
      </c>
      <c r="AU131" s="56">
        <f t="shared" si="118"/>
        <v>0</v>
      </c>
      <c r="AV131" s="13">
        <f t="shared" si="119"/>
        <v>130.20839064649238</v>
      </c>
      <c r="AW131" s="13">
        <f t="shared" si="120"/>
        <v>130.20839064649238</v>
      </c>
      <c r="AX131" s="16">
        <f t="shared" si="121"/>
        <v>0</v>
      </c>
    </row>
    <row r="132" spans="1:50" x14ac:dyDescent="0.25">
      <c r="A132" s="20">
        <v>347</v>
      </c>
      <c r="B132">
        <v>1</v>
      </c>
      <c r="C132" s="23" t="s">
        <v>248</v>
      </c>
      <c r="D132" s="23">
        <v>4</v>
      </c>
      <c r="E132" s="15">
        <f>+SUMIF('GE16FEB14 Unfudged'!$A$2:$A$498, $A132, 'GE16FEB14 Unfudged'!$D$2:$D$498)</f>
        <v>4577</v>
      </c>
      <c r="F132" s="15">
        <f>+SUMIF('GE16FEB14 Unfudged'!$A$2:$A$498, 'Tax Bill Summary'!$A132, 'GE16FEB14 Unfudged'!E$2:E$498)</f>
        <v>606429</v>
      </c>
      <c r="G132" s="13">
        <f>+SUMIF('GE16FEB14 Unfudged'!$A$2:$A$498, 'Tax Bill Summary'!$A132, 'GE16FEB14 Unfudged'!F$2:F$498)</f>
        <v>366831</v>
      </c>
      <c r="H132" s="56">
        <f t="shared" si="89"/>
        <v>239598</v>
      </c>
      <c r="I132" s="51">
        <f>+SUMIF('GE16FEB14 Unfudged'!$A$2:$A$498, 'Tax Bill Summary'!$A132, 'GE16FEB14 Unfudged'!G$2:G$498)</f>
        <v>970324</v>
      </c>
      <c r="J132" s="13">
        <f>+SUMIF('GE16FEB14 Unfudged'!$A$2:$A$498, 'Tax Bill Summary'!$A132, 'GE16FEB14 Unfudged'!H$2:H$498)</f>
        <v>586952</v>
      </c>
      <c r="K132" s="56">
        <f t="shared" si="90"/>
        <v>383372</v>
      </c>
      <c r="L132" s="51">
        <f>+SUMIF('GE16FEB14 Unfudged'!$A$2:$A$498, 'Tax Bill Summary'!$A132, 'GE16FEB14 Unfudged'!I$2:IF$498)</f>
        <v>2521698</v>
      </c>
      <c r="M132" s="13">
        <f>+SUMIF('GE16FEB14 Unfudged'!$A$2:$A$498, 'Tax Bill Summary'!$A132, 'GE16FEB14 Unfudged'!J$2:IG$498)</f>
        <v>1176156</v>
      </c>
      <c r="N132" s="56">
        <f t="shared" si="91"/>
        <v>1345542</v>
      </c>
      <c r="O132" s="51">
        <f t="shared" si="92"/>
        <v>4098451</v>
      </c>
      <c r="P132" s="13">
        <f t="shared" si="93"/>
        <v>2129939</v>
      </c>
      <c r="Q132" s="56">
        <f t="shared" si="94"/>
        <v>1968512</v>
      </c>
      <c r="R132" s="13">
        <f t="shared" si="95"/>
        <v>895.44483285995193</v>
      </c>
      <c r="S132" s="13">
        <f t="shared" si="96"/>
        <v>465.35700240332096</v>
      </c>
      <c r="T132" s="16">
        <f t="shared" si="97"/>
        <v>430.08783045663097</v>
      </c>
      <c r="U132" s="15">
        <f>+SUMIF('GE16FEB14 Tax Bill Unfudged'!$A$2:$A$498, 'Tax Bill Summary'!$A132, 'GE16FEB14 Tax Bill Unfudged'!E$2:E$498)</f>
        <v>648291</v>
      </c>
      <c r="V132" s="13">
        <f>+SUMIF('GE16FEB14 Tax Bill Unfudged'!$A$2:$A$498, 'Tax Bill Summary'!$A132, 'GE16FEB14 Tax Bill Unfudged'!F$2:F$498)</f>
        <v>392153</v>
      </c>
      <c r="W132" s="56">
        <f t="shared" si="98"/>
        <v>256138</v>
      </c>
      <c r="X132" s="51">
        <f>+SUMIF('GE16FEB14 Tax Bill Unfudged'!$A$2:$A$498, 'Tax Bill Summary'!$A132, 'GE16FEB14 Tax Bill Unfudged'!G$2:G$498)</f>
        <v>1940648</v>
      </c>
      <c r="Y132" s="13">
        <f>+SUMIF('GE16FEB14 Tax Bill Unfudged'!$A$2:$A$498, 'Tax Bill Summary'!$A132, 'GE16FEB14 Tax Bill Unfudged'!H$2:H$498)</f>
        <v>1173904</v>
      </c>
      <c r="Z132" s="56">
        <f t="shared" si="99"/>
        <v>766744</v>
      </c>
      <c r="AA132" s="51">
        <f>+SUMIF('GE16FEB14 Tax Bill Unfudged'!$A$2:$A$498, 'Tax Bill Summary'!$A132, 'GE16FEB14 Tax Bill Unfudged'!I$2:I$498)</f>
        <v>1551374</v>
      </c>
      <c r="AB132" s="13">
        <f>+SUMIF('GE16FEB14 Tax Bill Unfudged'!$A$2:$A$498, 'Tax Bill Summary'!$A132, 'GE16FEB14 Tax Bill Unfudged'!J$2:J$498)</f>
        <v>589204</v>
      </c>
      <c r="AC132" s="56">
        <f t="shared" si="100"/>
        <v>962170</v>
      </c>
      <c r="AD132" s="51">
        <f t="shared" si="101"/>
        <v>4140313</v>
      </c>
      <c r="AE132" s="13">
        <f t="shared" si="102"/>
        <v>2155261</v>
      </c>
      <c r="AF132" s="56">
        <f t="shared" si="103"/>
        <v>1985052</v>
      </c>
      <c r="AG132" s="13">
        <f t="shared" si="104"/>
        <v>904.59099847061395</v>
      </c>
      <c r="AH132" s="13">
        <f t="shared" si="105"/>
        <v>470.8894472361809</v>
      </c>
      <c r="AI132" s="16">
        <f t="shared" si="106"/>
        <v>433.70155123443305</v>
      </c>
      <c r="AJ132" s="15">
        <f t="shared" si="107"/>
        <v>41862</v>
      </c>
      <c r="AK132" s="13">
        <f t="shared" si="108"/>
        <v>25322</v>
      </c>
      <c r="AL132" s="56">
        <f t="shared" si="109"/>
        <v>16540</v>
      </c>
      <c r="AM132" s="51">
        <f t="shared" si="110"/>
        <v>970324</v>
      </c>
      <c r="AN132" s="13">
        <f t="shared" si="111"/>
        <v>586952</v>
      </c>
      <c r="AO132" s="56">
        <f t="shared" si="112"/>
        <v>383372</v>
      </c>
      <c r="AP132" s="51">
        <f t="shared" si="113"/>
        <v>-970324</v>
      </c>
      <c r="AQ132" s="13">
        <f t="shared" si="114"/>
        <v>-586952</v>
      </c>
      <c r="AR132" s="56">
        <f t="shared" si="115"/>
        <v>-383372</v>
      </c>
      <c r="AS132" s="51">
        <f t="shared" si="116"/>
        <v>41862</v>
      </c>
      <c r="AT132" s="13">
        <f t="shared" si="117"/>
        <v>25322</v>
      </c>
      <c r="AU132" s="56">
        <f t="shared" si="118"/>
        <v>16540</v>
      </c>
      <c r="AV132" s="13">
        <f t="shared" si="119"/>
        <v>9.1461656106620239</v>
      </c>
      <c r="AW132" s="13">
        <f t="shared" si="120"/>
        <v>5.5324448328599374</v>
      </c>
      <c r="AX132" s="16">
        <f t="shared" si="121"/>
        <v>3.6137207778020866</v>
      </c>
    </row>
    <row r="133" spans="1:50" x14ac:dyDescent="0.25">
      <c r="A133" s="20">
        <v>356</v>
      </c>
      <c r="B133">
        <v>1</v>
      </c>
      <c r="C133" s="23" t="s">
        <v>249</v>
      </c>
      <c r="D133" s="23">
        <v>6</v>
      </c>
      <c r="E133" s="15">
        <f>+SUMIF('GE16FEB14 Unfudged'!$A$2:$A$498, $A133, 'GE16FEB14 Unfudged'!$D$2:$D$498)</f>
        <v>163</v>
      </c>
      <c r="F133" s="15">
        <f>+SUMIF('GE16FEB14 Unfudged'!$A$2:$A$498, 'Tax Bill Summary'!$A133, 'GE16FEB14 Unfudged'!E$2:E$498)</f>
        <v>8128</v>
      </c>
      <c r="G133" s="13">
        <f>+SUMIF('GE16FEB14 Unfudged'!$A$2:$A$498, 'Tax Bill Summary'!$A133, 'GE16FEB14 Unfudged'!F$2:F$498)</f>
        <v>3132</v>
      </c>
      <c r="H133" s="56">
        <f t="shared" si="89"/>
        <v>4996</v>
      </c>
      <c r="I133" s="51">
        <f>+SUMIF('GE16FEB14 Unfudged'!$A$2:$A$498, 'Tax Bill Summary'!$A133, 'GE16FEB14 Unfudged'!G$2:G$498)</f>
        <v>0</v>
      </c>
      <c r="J133" s="13">
        <f>+SUMIF('GE16FEB14 Unfudged'!$A$2:$A$498, 'Tax Bill Summary'!$A133, 'GE16FEB14 Unfudged'!H$2:H$498)</f>
        <v>0</v>
      </c>
      <c r="K133" s="56">
        <f t="shared" si="90"/>
        <v>0</v>
      </c>
      <c r="L133" s="51">
        <f>+SUMIF('GE16FEB14 Unfudged'!$A$2:$A$498, 'Tax Bill Summary'!$A133, 'GE16FEB14 Unfudged'!I$2:IF$498)</f>
        <v>400101</v>
      </c>
      <c r="M133" s="13">
        <f>+SUMIF('GE16FEB14 Unfudged'!$A$2:$A$498, 'Tax Bill Summary'!$A133, 'GE16FEB14 Unfudged'!J$2:IG$498)</f>
        <v>227102</v>
      </c>
      <c r="N133" s="56">
        <f t="shared" si="91"/>
        <v>172999</v>
      </c>
      <c r="O133" s="51">
        <f t="shared" si="92"/>
        <v>408229</v>
      </c>
      <c r="P133" s="13">
        <f t="shared" si="93"/>
        <v>230234</v>
      </c>
      <c r="Q133" s="56">
        <f t="shared" si="94"/>
        <v>177995</v>
      </c>
      <c r="R133" s="13">
        <f t="shared" si="95"/>
        <v>2504.472392638037</v>
      </c>
      <c r="S133" s="13">
        <f t="shared" si="96"/>
        <v>1412.4785276073619</v>
      </c>
      <c r="T133" s="16">
        <f t="shared" si="97"/>
        <v>1091.9938650306749</v>
      </c>
      <c r="U133" s="15">
        <f>+SUMIF('GE16FEB14 Tax Bill Unfudged'!$A$2:$A$498, 'Tax Bill Summary'!$A133, 'GE16FEB14 Tax Bill Unfudged'!E$2:E$498)</f>
        <v>8128</v>
      </c>
      <c r="V133" s="13">
        <f>+SUMIF('GE16FEB14 Tax Bill Unfudged'!$A$2:$A$498, 'Tax Bill Summary'!$A133, 'GE16FEB14 Tax Bill Unfudged'!F$2:F$498)</f>
        <v>3132</v>
      </c>
      <c r="W133" s="56">
        <f t="shared" si="98"/>
        <v>4996</v>
      </c>
      <c r="X133" s="51">
        <f>+SUMIF('GE16FEB14 Tax Bill Unfudged'!$A$2:$A$498, 'Tax Bill Summary'!$A133, 'GE16FEB14 Tax Bill Unfudged'!G$2:G$498)</f>
        <v>68921</v>
      </c>
      <c r="Y133" s="13">
        <f>+SUMIF('GE16FEB14 Tax Bill Unfudged'!$A$2:$A$498, 'Tax Bill Summary'!$A133, 'GE16FEB14 Tax Bill Unfudged'!H$2:H$498)</f>
        <v>26556</v>
      </c>
      <c r="Z133" s="56">
        <f t="shared" si="99"/>
        <v>42365</v>
      </c>
      <c r="AA133" s="51">
        <f>+SUMIF('GE16FEB14 Tax Bill Unfudged'!$A$2:$A$498, 'Tax Bill Summary'!$A133, 'GE16FEB14 Tax Bill Unfudged'!I$2:I$498)</f>
        <v>331179</v>
      </c>
      <c r="AB133" s="13">
        <f>+SUMIF('GE16FEB14 Tax Bill Unfudged'!$A$2:$A$498, 'Tax Bill Summary'!$A133, 'GE16FEB14 Tax Bill Unfudged'!J$2:J$498)</f>
        <v>180399</v>
      </c>
      <c r="AC133" s="56">
        <f t="shared" si="100"/>
        <v>150780</v>
      </c>
      <c r="AD133" s="51">
        <f t="shared" si="101"/>
        <v>408228</v>
      </c>
      <c r="AE133" s="13">
        <f t="shared" si="102"/>
        <v>210087</v>
      </c>
      <c r="AF133" s="56">
        <f t="shared" si="103"/>
        <v>198141</v>
      </c>
      <c r="AG133" s="13">
        <f t="shared" si="104"/>
        <v>2504.4662576687115</v>
      </c>
      <c r="AH133" s="13">
        <f t="shared" si="105"/>
        <v>1288.877300613497</v>
      </c>
      <c r="AI133" s="16">
        <f t="shared" si="106"/>
        <v>1215.5889570552147</v>
      </c>
      <c r="AJ133" s="15">
        <f t="shared" si="107"/>
        <v>0</v>
      </c>
      <c r="AK133" s="13">
        <f t="shared" si="108"/>
        <v>0</v>
      </c>
      <c r="AL133" s="56">
        <f t="shared" si="109"/>
        <v>0</v>
      </c>
      <c r="AM133" s="51">
        <f t="shared" si="110"/>
        <v>68921</v>
      </c>
      <c r="AN133" s="13">
        <f t="shared" si="111"/>
        <v>26556</v>
      </c>
      <c r="AO133" s="56">
        <f t="shared" si="112"/>
        <v>42365</v>
      </c>
      <c r="AP133" s="51">
        <f t="shared" si="113"/>
        <v>-68922</v>
      </c>
      <c r="AQ133" s="13">
        <f t="shared" si="114"/>
        <v>-46703</v>
      </c>
      <c r="AR133" s="56">
        <f t="shared" si="115"/>
        <v>-22219</v>
      </c>
      <c r="AS133" s="51">
        <f t="shared" si="116"/>
        <v>-1</v>
      </c>
      <c r="AT133" s="13">
        <f t="shared" si="117"/>
        <v>-20147</v>
      </c>
      <c r="AU133" s="56">
        <f t="shared" si="118"/>
        <v>20146</v>
      </c>
      <c r="AV133" s="13">
        <f t="shared" si="119"/>
        <v>-6.1349693255579041E-3</v>
      </c>
      <c r="AW133" s="13">
        <f t="shared" si="120"/>
        <v>-123.60122699386488</v>
      </c>
      <c r="AX133" s="16">
        <f t="shared" si="121"/>
        <v>123.59509202453978</v>
      </c>
    </row>
    <row r="134" spans="1:50" x14ac:dyDescent="0.25">
      <c r="A134" s="20">
        <v>361</v>
      </c>
      <c r="B134">
        <v>1</v>
      </c>
      <c r="C134" s="23" t="s">
        <v>250</v>
      </c>
      <c r="D134" s="23">
        <v>5</v>
      </c>
      <c r="E134" s="15">
        <f>+SUMIF('GE16FEB14 Unfudged'!$A$2:$A$498, $A134, 'GE16FEB14 Unfudged'!$D$2:$D$498)</f>
        <v>1169</v>
      </c>
      <c r="F134" s="15">
        <f>+SUMIF('GE16FEB14 Unfudged'!$A$2:$A$498, 'Tax Bill Summary'!$A134, 'GE16FEB14 Unfudged'!E$2:E$498)</f>
        <v>143099</v>
      </c>
      <c r="G134" s="13">
        <f>+SUMIF('GE16FEB14 Unfudged'!$A$2:$A$498, 'Tax Bill Summary'!$A134, 'GE16FEB14 Unfudged'!F$2:F$498)</f>
        <v>103191</v>
      </c>
      <c r="H134" s="56">
        <f t="shared" si="89"/>
        <v>39908</v>
      </c>
      <c r="I134" s="51">
        <f>+SUMIF('GE16FEB14 Unfudged'!$A$2:$A$498, 'Tax Bill Summary'!$A134, 'GE16FEB14 Unfudged'!G$2:G$498)</f>
        <v>0</v>
      </c>
      <c r="J134" s="13">
        <f>+SUMIF('GE16FEB14 Unfudged'!$A$2:$A$498, 'Tax Bill Summary'!$A134, 'GE16FEB14 Unfudged'!H$2:H$498)</f>
        <v>0</v>
      </c>
      <c r="K134" s="56">
        <f t="shared" si="90"/>
        <v>0</v>
      </c>
      <c r="L134" s="51">
        <f>+SUMIF('GE16FEB14 Unfudged'!$A$2:$A$498, 'Tax Bill Summary'!$A134, 'GE16FEB14 Unfudged'!I$2:IF$498)</f>
        <v>901182</v>
      </c>
      <c r="M134" s="13">
        <f>+SUMIF('GE16FEB14 Unfudged'!$A$2:$A$498, 'Tax Bill Summary'!$A134, 'GE16FEB14 Unfudged'!J$2:IG$498)</f>
        <v>547082</v>
      </c>
      <c r="N134" s="56">
        <f t="shared" si="91"/>
        <v>354100</v>
      </c>
      <c r="O134" s="51">
        <f t="shared" si="92"/>
        <v>1044281</v>
      </c>
      <c r="P134" s="13">
        <f t="shared" si="93"/>
        <v>650273</v>
      </c>
      <c r="Q134" s="56">
        <f t="shared" si="94"/>
        <v>394008</v>
      </c>
      <c r="R134" s="13">
        <f t="shared" si="95"/>
        <v>893.31137724550899</v>
      </c>
      <c r="S134" s="13">
        <f t="shared" si="96"/>
        <v>556.26432848588536</v>
      </c>
      <c r="T134" s="16">
        <f t="shared" si="97"/>
        <v>337.04704875962364</v>
      </c>
      <c r="U134" s="15">
        <f>+SUMIF('GE16FEB14 Tax Bill Unfudged'!$A$2:$A$498, 'Tax Bill Summary'!$A134, 'GE16FEB14 Tax Bill Unfudged'!E$2:E$498)</f>
        <v>165016</v>
      </c>
      <c r="V134" s="13">
        <f>+SUMIF('GE16FEB14 Tax Bill Unfudged'!$A$2:$A$498, 'Tax Bill Summary'!$A134, 'GE16FEB14 Tax Bill Unfudged'!F$2:F$498)</f>
        <v>118996</v>
      </c>
      <c r="W134" s="56">
        <f t="shared" si="98"/>
        <v>46020</v>
      </c>
      <c r="X134" s="51">
        <f>+SUMIF('GE16FEB14 Tax Bill Unfudged'!$A$2:$A$498, 'Tax Bill Summary'!$A134, 'GE16FEB14 Tax Bill Unfudged'!G$2:G$498)</f>
        <v>495656</v>
      </c>
      <c r="Y134" s="13">
        <f>+SUMIF('GE16FEB14 Tax Bill Unfudged'!$A$2:$A$498, 'Tax Bill Summary'!$A134, 'GE16FEB14 Tax Bill Unfudged'!H$2:H$498)</f>
        <v>357427</v>
      </c>
      <c r="Z134" s="56">
        <f t="shared" si="99"/>
        <v>138229</v>
      </c>
      <c r="AA134" s="51">
        <f>+SUMIF('GE16FEB14 Tax Bill Unfudged'!$A$2:$A$498, 'Tax Bill Summary'!$A134, 'GE16FEB14 Tax Bill Unfudged'!I$2:I$498)</f>
        <v>405526</v>
      </c>
      <c r="AB134" s="13">
        <f>+SUMIF('GE16FEB14 Tax Bill Unfudged'!$A$2:$A$498, 'Tax Bill Summary'!$A134, 'GE16FEB14 Tax Bill Unfudged'!J$2:J$498)</f>
        <v>186101</v>
      </c>
      <c r="AC134" s="56">
        <f t="shared" si="100"/>
        <v>219425</v>
      </c>
      <c r="AD134" s="51">
        <f t="shared" si="101"/>
        <v>1066198</v>
      </c>
      <c r="AE134" s="13">
        <f t="shared" si="102"/>
        <v>662524</v>
      </c>
      <c r="AF134" s="56">
        <f t="shared" si="103"/>
        <v>403674</v>
      </c>
      <c r="AG134" s="13">
        <f t="shared" si="104"/>
        <v>912.05988023952091</v>
      </c>
      <c r="AH134" s="13">
        <f t="shared" si="105"/>
        <v>566.74422583404623</v>
      </c>
      <c r="AI134" s="16">
        <f t="shared" si="106"/>
        <v>345.31565440547479</v>
      </c>
      <c r="AJ134" s="15">
        <f t="shared" si="107"/>
        <v>21917</v>
      </c>
      <c r="AK134" s="13">
        <f t="shared" si="108"/>
        <v>15805</v>
      </c>
      <c r="AL134" s="56">
        <f t="shared" si="109"/>
        <v>6112</v>
      </c>
      <c r="AM134" s="51">
        <f t="shared" si="110"/>
        <v>495656</v>
      </c>
      <c r="AN134" s="13">
        <f t="shared" si="111"/>
        <v>357427</v>
      </c>
      <c r="AO134" s="56">
        <f t="shared" si="112"/>
        <v>138229</v>
      </c>
      <c r="AP134" s="51">
        <f t="shared" si="113"/>
        <v>-495656</v>
      </c>
      <c r="AQ134" s="13">
        <f t="shared" si="114"/>
        <v>-360981</v>
      </c>
      <c r="AR134" s="56">
        <f t="shared" si="115"/>
        <v>-134675</v>
      </c>
      <c r="AS134" s="51">
        <f t="shared" si="116"/>
        <v>21917</v>
      </c>
      <c r="AT134" s="13">
        <f t="shared" si="117"/>
        <v>12251</v>
      </c>
      <c r="AU134" s="56">
        <f t="shared" si="118"/>
        <v>9666</v>
      </c>
      <c r="AV134" s="13">
        <f t="shared" si="119"/>
        <v>18.748502994011915</v>
      </c>
      <c r="AW134" s="13">
        <f t="shared" si="120"/>
        <v>10.479897348160875</v>
      </c>
      <c r="AX134" s="16">
        <f t="shared" si="121"/>
        <v>8.268605645851153</v>
      </c>
    </row>
    <row r="135" spans="1:50" x14ac:dyDescent="0.25">
      <c r="A135" s="20">
        <v>362</v>
      </c>
      <c r="B135">
        <v>1</v>
      </c>
      <c r="C135" s="23" t="s">
        <v>251</v>
      </c>
      <c r="D135" s="23">
        <v>6</v>
      </c>
      <c r="E135" s="15">
        <f>+SUMIF('GE16FEB14 Unfudged'!$A$2:$A$498, $A135, 'GE16FEB14 Unfudged'!$D$2:$D$498)</f>
        <v>365</v>
      </c>
      <c r="F135" s="15">
        <f>+SUMIF('GE16FEB14 Unfudged'!$A$2:$A$498, 'Tax Bill Summary'!$A135, 'GE16FEB14 Unfudged'!E$2:E$498)</f>
        <v>52546</v>
      </c>
      <c r="G135" s="13">
        <f>+SUMIF('GE16FEB14 Unfudged'!$A$2:$A$498, 'Tax Bill Summary'!$A135, 'GE16FEB14 Unfudged'!F$2:F$498)</f>
        <v>26173</v>
      </c>
      <c r="H135" s="56">
        <f t="shared" si="89"/>
        <v>26373</v>
      </c>
      <c r="I135" s="51">
        <f>+SUMIF('GE16FEB14 Unfudged'!$A$2:$A$498, 'Tax Bill Summary'!$A135, 'GE16FEB14 Unfudged'!G$2:G$498)</f>
        <v>0</v>
      </c>
      <c r="J135" s="13">
        <f>+SUMIF('GE16FEB14 Unfudged'!$A$2:$A$498, 'Tax Bill Summary'!$A135, 'GE16FEB14 Unfudged'!H$2:H$498)</f>
        <v>0</v>
      </c>
      <c r="K135" s="56">
        <f t="shared" si="90"/>
        <v>0</v>
      </c>
      <c r="L135" s="51">
        <f>+SUMIF('GE16FEB14 Unfudged'!$A$2:$A$498, 'Tax Bill Summary'!$A135, 'GE16FEB14 Unfudged'!I$2:IF$498)</f>
        <v>109470</v>
      </c>
      <c r="M135" s="13">
        <f>+SUMIF('GE16FEB14 Unfudged'!$A$2:$A$498, 'Tax Bill Summary'!$A135, 'GE16FEB14 Unfudged'!J$2:IG$498)</f>
        <v>31600</v>
      </c>
      <c r="N135" s="56">
        <f t="shared" si="91"/>
        <v>77870</v>
      </c>
      <c r="O135" s="51">
        <f t="shared" si="92"/>
        <v>162016</v>
      </c>
      <c r="P135" s="13">
        <f t="shared" si="93"/>
        <v>57773</v>
      </c>
      <c r="Q135" s="56">
        <f t="shared" si="94"/>
        <v>104243</v>
      </c>
      <c r="R135" s="13">
        <f t="shared" si="95"/>
        <v>443.87945205479451</v>
      </c>
      <c r="S135" s="13">
        <f t="shared" si="96"/>
        <v>158.2821917808219</v>
      </c>
      <c r="T135" s="16">
        <f t="shared" si="97"/>
        <v>285.59726027397261</v>
      </c>
      <c r="U135" s="15">
        <f>+SUMIF('GE16FEB14 Tax Bill Unfudged'!$A$2:$A$498, 'Tax Bill Summary'!$A135, 'GE16FEB14 Tax Bill Unfudged'!E$2:E$498)</f>
        <v>52546</v>
      </c>
      <c r="V135" s="13">
        <f>+SUMIF('GE16FEB14 Tax Bill Unfudged'!$A$2:$A$498, 'Tax Bill Summary'!$A135, 'GE16FEB14 Tax Bill Unfudged'!F$2:F$498)</f>
        <v>26173</v>
      </c>
      <c r="W135" s="56">
        <f t="shared" si="98"/>
        <v>26373</v>
      </c>
      <c r="X135" s="51">
        <f>+SUMIF('GE16FEB14 Tax Bill Unfudged'!$A$2:$A$498, 'Tax Bill Summary'!$A135, 'GE16FEB14 Tax Bill Unfudged'!G$2:G$498)</f>
        <v>154718</v>
      </c>
      <c r="Y135" s="13">
        <f>+SUMIF('GE16FEB14 Tax Bill Unfudged'!$A$2:$A$498, 'Tax Bill Summary'!$A135, 'GE16FEB14 Tax Bill Unfudged'!H$2:H$498)</f>
        <v>77063</v>
      </c>
      <c r="Z135" s="56">
        <f t="shared" si="99"/>
        <v>77655</v>
      </c>
      <c r="AA135" s="51">
        <f>+SUMIF('GE16FEB14 Tax Bill Unfudged'!$A$2:$A$498, 'Tax Bill Summary'!$A135, 'GE16FEB14 Tax Bill Unfudged'!I$2:I$498)</f>
        <v>109470</v>
      </c>
      <c r="AB135" s="13">
        <f>+SUMIF('GE16FEB14 Tax Bill Unfudged'!$A$2:$A$498, 'Tax Bill Summary'!$A135, 'GE16FEB14 Tax Bill Unfudged'!J$2:J$498)</f>
        <v>31600</v>
      </c>
      <c r="AC135" s="56">
        <f t="shared" si="100"/>
        <v>77870</v>
      </c>
      <c r="AD135" s="51">
        <f t="shared" si="101"/>
        <v>316734</v>
      </c>
      <c r="AE135" s="13">
        <f t="shared" si="102"/>
        <v>134836</v>
      </c>
      <c r="AF135" s="56">
        <f t="shared" si="103"/>
        <v>181898</v>
      </c>
      <c r="AG135" s="13">
        <f t="shared" si="104"/>
        <v>867.76438356164385</v>
      </c>
      <c r="AH135" s="13">
        <f t="shared" si="105"/>
        <v>369.41369863013699</v>
      </c>
      <c r="AI135" s="16">
        <f t="shared" si="106"/>
        <v>498.35068493150686</v>
      </c>
      <c r="AJ135" s="15">
        <f t="shared" si="107"/>
        <v>0</v>
      </c>
      <c r="AK135" s="13">
        <f t="shared" si="108"/>
        <v>0</v>
      </c>
      <c r="AL135" s="56">
        <f t="shared" si="109"/>
        <v>0</v>
      </c>
      <c r="AM135" s="51">
        <f t="shared" si="110"/>
        <v>154718</v>
      </c>
      <c r="AN135" s="13">
        <f t="shared" si="111"/>
        <v>77063</v>
      </c>
      <c r="AO135" s="56">
        <f t="shared" si="112"/>
        <v>77655</v>
      </c>
      <c r="AP135" s="51">
        <f t="shared" si="113"/>
        <v>0</v>
      </c>
      <c r="AQ135" s="13">
        <f t="shared" si="114"/>
        <v>0</v>
      </c>
      <c r="AR135" s="56">
        <f t="shared" si="115"/>
        <v>0</v>
      </c>
      <c r="AS135" s="51">
        <f t="shared" si="116"/>
        <v>154718</v>
      </c>
      <c r="AT135" s="13">
        <f t="shared" si="117"/>
        <v>77063</v>
      </c>
      <c r="AU135" s="56">
        <f t="shared" si="118"/>
        <v>77655</v>
      </c>
      <c r="AV135" s="13">
        <f t="shared" si="119"/>
        <v>423.88493150684934</v>
      </c>
      <c r="AW135" s="13">
        <f t="shared" si="120"/>
        <v>211.13150684931509</v>
      </c>
      <c r="AX135" s="16">
        <f t="shared" si="121"/>
        <v>212.75342465753425</v>
      </c>
    </row>
    <row r="136" spans="1:50" x14ac:dyDescent="0.25">
      <c r="A136" s="20">
        <v>363</v>
      </c>
      <c r="B136">
        <v>1</v>
      </c>
      <c r="C136" s="23" t="s">
        <v>252</v>
      </c>
      <c r="D136" s="23">
        <v>6</v>
      </c>
      <c r="E136" s="15">
        <f>+SUMIF('GE16FEB14 Unfudged'!$A$2:$A$498, $A136, 'GE16FEB14 Unfudged'!$D$2:$D$498)</f>
        <v>351</v>
      </c>
      <c r="F136" s="15">
        <f>+SUMIF('GE16FEB14 Unfudged'!$A$2:$A$498, 'Tax Bill Summary'!$A136, 'GE16FEB14 Unfudged'!E$2:E$498)</f>
        <v>48854</v>
      </c>
      <c r="G136" s="13">
        <f>+SUMIF('GE16FEB14 Unfudged'!$A$2:$A$498, 'Tax Bill Summary'!$A136, 'GE16FEB14 Unfudged'!F$2:F$498)</f>
        <v>23692</v>
      </c>
      <c r="H136" s="56">
        <f t="shared" si="89"/>
        <v>25162</v>
      </c>
      <c r="I136" s="51">
        <f>+SUMIF('GE16FEB14 Unfudged'!$A$2:$A$498, 'Tax Bill Summary'!$A136, 'GE16FEB14 Unfudged'!G$2:G$498)</f>
        <v>0</v>
      </c>
      <c r="J136" s="13">
        <f>+SUMIF('GE16FEB14 Unfudged'!$A$2:$A$498, 'Tax Bill Summary'!$A136, 'GE16FEB14 Unfudged'!H$2:H$498)</f>
        <v>0</v>
      </c>
      <c r="K136" s="56">
        <f t="shared" si="90"/>
        <v>0</v>
      </c>
      <c r="L136" s="51">
        <f>+SUMIF('GE16FEB14 Unfudged'!$A$2:$A$498, 'Tax Bill Summary'!$A136, 'GE16FEB14 Unfudged'!I$2:IF$498)</f>
        <v>140975</v>
      </c>
      <c r="M136" s="13">
        <f>+SUMIF('GE16FEB14 Unfudged'!$A$2:$A$498, 'Tax Bill Summary'!$A136, 'GE16FEB14 Unfudged'!J$2:IG$498)</f>
        <v>745</v>
      </c>
      <c r="N136" s="56">
        <f t="shared" si="91"/>
        <v>140230</v>
      </c>
      <c r="O136" s="51">
        <f t="shared" si="92"/>
        <v>189829</v>
      </c>
      <c r="P136" s="13">
        <f t="shared" si="93"/>
        <v>24437</v>
      </c>
      <c r="Q136" s="56">
        <f t="shared" si="94"/>
        <v>165392</v>
      </c>
      <c r="R136" s="13">
        <f t="shared" si="95"/>
        <v>540.82336182336178</v>
      </c>
      <c r="S136" s="13">
        <f t="shared" si="96"/>
        <v>69.621082621082621</v>
      </c>
      <c r="T136" s="16">
        <f t="shared" si="97"/>
        <v>471.20227920227921</v>
      </c>
      <c r="U136" s="15">
        <f>+SUMIF('GE16FEB14 Tax Bill Unfudged'!$A$2:$A$498, 'Tax Bill Summary'!$A136, 'GE16FEB14 Tax Bill Unfudged'!E$2:E$498)</f>
        <v>50494</v>
      </c>
      <c r="V136" s="13">
        <f>+SUMIF('GE16FEB14 Tax Bill Unfudged'!$A$2:$A$498, 'Tax Bill Summary'!$A136, 'GE16FEB14 Tax Bill Unfudged'!F$2:F$498)</f>
        <v>24487</v>
      </c>
      <c r="W136" s="56">
        <f t="shared" si="98"/>
        <v>26007</v>
      </c>
      <c r="X136" s="51">
        <f>+SUMIF('GE16FEB14 Tax Bill Unfudged'!$A$2:$A$498, 'Tax Bill Summary'!$A136, 'GE16FEB14 Tax Bill Unfudged'!G$2:G$498)</f>
        <v>148676</v>
      </c>
      <c r="Y136" s="13">
        <f>+SUMIF('GE16FEB14 Tax Bill Unfudged'!$A$2:$A$498, 'Tax Bill Summary'!$A136, 'GE16FEB14 Tax Bill Unfudged'!H$2:H$498)</f>
        <v>72101</v>
      </c>
      <c r="Z136" s="56">
        <f t="shared" si="99"/>
        <v>76575</v>
      </c>
      <c r="AA136" s="51">
        <f>+SUMIF('GE16FEB14 Tax Bill Unfudged'!$A$2:$A$498, 'Tax Bill Summary'!$A136, 'GE16FEB14 Tax Bill Unfudged'!I$2:I$498)</f>
        <v>105195</v>
      </c>
      <c r="AB136" s="13">
        <f>+SUMIF('GE16FEB14 Tax Bill Unfudged'!$A$2:$A$498, 'Tax Bill Summary'!$A136, 'GE16FEB14 Tax Bill Unfudged'!J$2:J$498)</f>
        <v>29565</v>
      </c>
      <c r="AC136" s="56">
        <f t="shared" si="100"/>
        <v>75630</v>
      </c>
      <c r="AD136" s="51">
        <f t="shared" si="101"/>
        <v>304365</v>
      </c>
      <c r="AE136" s="13">
        <f t="shared" si="102"/>
        <v>126153</v>
      </c>
      <c r="AF136" s="56">
        <f t="shared" si="103"/>
        <v>178212</v>
      </c>
      <c r="AG136" s="13">
        <f t="shared" si="104"/>
        <v>867.13675213675219</v>
      </c>
      <c r="AH136" s="13">
        <f t="shared" si="105"/>
        <v>359.41025641025641</v>
      </c>
      <c r="AI136" s="16">
        <f t="shared" si="106"/>
        <v>507.72649572649573</v>
      </c>
      <c r="AJ136" s="15">
        <f t="shared" si="107"/>
        <v>1640</v>
      </c>
      <c r="AK136" s="13">
        <f t="shared" si="108"/>
        <v>795</v>
      </c>
      <c r="AL136" s="56">
        <f t="shared" si="109"/>
        <v>845</v>
      </c>
      <c r="AM136" s="51">
        <f t="shared" si="110"/>
        <v>148676</v>
      </c>
      <c r="AN136" s="13">
        <f t="shared" si="111"/>
        <v>72101</v>
      </c>
      <c r="AO136" s="56">
        <f t="shared" si="112"/>
        <v>76575</v>
      </c>
      <c r="AP136" s="51">
        <f t="shared" si="113"/>
        <v>-35780</v>
      </c>
      <c r="AQ136" s="13">
        <f t="shared" si="114"/>
        <v>28820</v>
      </c>
      <c r="AR136" s="56">
        <f t="shared" si="115"/>
        <v>-64600</v>
      </c>
      <c r="AS136" s="51">
        <f t="shared" si="116"/>
        <v>114536</v>
      </c>
      <c r="AT136" s="13">
        <f t="shared" si="117"/>
        <v>101716</v>
      </c>
      <c r="AU136" s="56">
        <f t="shared" si="118"/>
        <v>12820</v>
      </c>
      <c r="AV136" s="13">
        <f t="shared" si="119"/>
        <v>326.31339031339041</v>
      </c>
      <c r="AW136" s="13">
        <f t="shared" si="120"/>
        <v>289.78917378917379</v>
      </c>
      <c r="AX136" s="16">
        <f t="shared" si="121"/>
        <v>36.524216524216513</v>
      </c>
    </row>
    <row r="137" spans="1:50" x14ac:dyDescent="0.25">
      <c r="A137" s="20">
        <v>378</v>
      </c>
      <c r="B137">
        <v>1</v>
      </c>
      <c r="C137" s="23" t="s">
        <v>253</v>
      </c>
      <c r="D137" s="23">
        <v>6</v>
      </c>
      <c r="E137" s="15">
        <f>+SUMIF('GE16FEB14 Unfudged'!$A$2:$A$498, $A137, 'GE16FEB14 Unfudged'!$D$2:$D$498)</f>
        <v>515</v>
      </c>
      <c r="F137" s="15">
        <f>+SUMIF('GE16FEB14 Unfudged'!$A$2:$A$498, 'Tax Bill Summary'!$A137, 'GE16FEB14 Unfudged'!E$2:E$498)</f>
        <v>56634</v>
      </c>
      <c r="G137" s="13">
        <f>+SUMIF('GE16FEB14 Unfudged'!$A$2:$A$498, 'Tax Bill Summary'!$A137, 'GE16FEB14 Unfudged'!F$2:F$498)</f>
        <v>25945</v>
      </c>
      <c r="H137" s="56">
        <f t="shared" si="89"/>
        <v>30689</v>
      </c>
      <c r="I137" s="51">
        <f>+SUMIF('GE16FEB14 Unfudged'!$A$2:$A$498, 'Tax Bill Summary'!$A137, 'GE16FEB14 Unfudged'!G$2:G$498)</f>
        <v>0</v>
      </c>
      <c r="J137" s="13">
        <f>+SUMIF('GE16FEB14 Unfudged'!$A$2:$A$498, 'Tax Bill Summary'!$A137, 'GE16FEB14 Unfudged'!H$2:H$498)</f>
        <v>0</v>
      </c>
      <c r="K137" s="56">
        <f t="shared" si="90"/>
        <v>0</v>
      </c>
      <c r="L137" s="51">
        <f>+SUMIF('GE16FEB14 Unfudged'!$A$2:$A$498, 'Tax Bill Summary'!$A137, 'GE16FEB14 Unfudged'!I$2:IF$498)</f>
        <v>535586</v>
      </c>
      <c r="M137" s="13">
        <f>+SUMIF('GE16FEB14 Unfudged'!$A$2:$A$498, 'Tax Bill Summary'!$A137, 'GE16FEB14 Unfudged'!J$2:IG$498)</f>
        <v>265821</v>
      </c>
      <c r="N137" s="56">
        <f t="shared" si="91"/>
        <v>269765</v>
      </c>
      <c r="O137" s="51">
        <f t="shared" si="92"/>
        <v>592220</v>
      </c>
      <c r="P137" s="13">
        <f t="shared" si="93"/>
        <v>291766</v>
      </c>
      <c r="Q137" s="56">
        <f t="shared" si="94"/>
        <v>300454</v>
      </c>
      <c r="R137" s="13">
        <f t="shared" si="95"/>
        <v>1149.9417475728155</v>
      </c>
      <c r="S137" s="13">
        <f t="shared" si="96"/>
        <v>566.53592233009704</v>
      </c>
      <c r="T137" s="16">
        <f t="shared" si="97"/>
        <v>583.40582524271849</v>
      </c>
      <c r="U137" s="15">
        <f>+SUMIF('GE16FEB14 Tax Bill Unfudged'!$A$2:$A$498, 'Tax Bill Summary'!$A137, 'GE16FEB14 Tax Bill Unfudged'!E$2:E$498)</f>
        <v>64240</v>
      </c>
      <c r="V137" s="13">
        <f>+SUMIF('GE16FEB14 Tax Bill Unfudged'!$A$2:$A$498, 'Tax Bill Summary'!$A137, 'GE16FEB14 Tax Bill Unfudged'!F$2:F$498)</f>
        <v>29429</v>
      </c>
      <c r="W137" s="56">
        <f t="shared" si="98"/>
        <v>34811</v>
      </c>
      <c r="X137" s="51">
        <f>+SUMIF('GE16FEB14 Tax Bill Unfudged'!$A$2:$A$498, 'Tax Bill Summary'!$A137, 'GE16FEB14 Tax Bill Unfudged'!G$2:G$498)</f>
        <v>218212</v>
      </c>
      <c r="Y137" s="13">
        <f>+SUMIF('GE16FEB14 Tax Bill Unfudged'!$A$2:$A$498, 'Tax Bill Summary'!$A137, 'GE16FEB14 Tax Bill Unfudged'!H$2:H$498)</f>
        <v>99966</v>
      </c>
      <c r="Z137" s="56">
        <f t="shared" si="99"/>
        <v>118246</v>
      </c>
      <c r="AA137" s="51">
        <f>+SUMIF('GE16FEB14 Tax Bill Unfudged'!$A$2:$A$498, 'Tax Bill Summary'!$A137, 'GE16FEB14 Tax Bill Unfudged'!I$2:I$498)</f>
        <v>317374</v>
      </c>
      <c r="AB137" s="13">
        <f>+SUMIF('GE16FEB14 Tax Bill Unfudged'!$A$2:$A$498, 'Tax Bill Summary'!$A137, 'GE16FEB14 Tax Bill Unfudged'!J$2:J$498)</f>
        <v>115654</v>
      </c>
      <c r="AC137" s="56">
        <f t="shared" si="100"/>
        <v>201720</v>
      </c>
      <c r="AD137" s="51">
        <f t="shared" si="101"/>
        <v>599826</v>
      </c>
      <c r="AE137" s="13">
        <f t="shared" si="102"/>
        <v>245049</v>
      </c>
      <c r="AF137" s="56">
        <f t="shared" si="103"/>
        <v>354777</v>
      </c>
      <c r="AG137" s="13">
        <f t="shared" si="104"/>
        <v>1164.7106796116504</v>
      </c>
      <c r="AH137" s="13">
        <f t="shared" si="105"/>
        <v>475.82330097087379</v>
      </c>
      <c r="AI137" s="16">
        <f t="shared" si="106"/>
        <v>688.88737864077666</v>
      </c>
      <c r="AJ137" s="15">
        <f t="shared" si="107"/>
        <v>7606</v>
      </c>
      <c r="AK137" s="13">
        <f t="shared" si="108"/>
        <v>3484</v>
      </c>
      <c r="AL137" s="56">
        <f t="shared" si="109"/>
        <v>4122</v>
      </c>
      <c r="AM137" s="51">
        <f t="shared" si="110"/>
        <v>218212</v>
      </c>
      <c r="AN137" s="13">
        <f t="shared" si="111"/>
        <v>99966</v>
      </c>
      <c r="AO137" s="56">
        <f t="shared" si="112"/>
        <v>118246</v>
      </c>
      <c r="AP137" s="51">
        <f t="shared" si="113"/>
        <v>-218212</v>
      </c>
      <c r="AQ137" s="13">
        <f t="shared" si="114"/>
        <v>-150167</v>
      </c>
      <c r="AR137" s="56">
        <f t="shared" si="115"/>
        <v>-68045</v>
      </c>
      <c r="AS137" s="51">
        <f t="shared" si="116"/>
        <v>7606</v>
      </c>
      <c r="AT137" s="13">
        <f t="shared" si="117"/>
        <v>-46717</v>
      </c>
      <c r="AU137" s="56">
        <f t="shared" si="118"/>
        <v>54323</v>
      </c>
      <c r="AV137" s="13">
        <f t="shared" si="119"/>
        <v>14.768932038834919</v>
      </c>
      <c r="AW137" s="13">
        <f t="shared" si="120"/>
        <v>-90.712621359223249</v>
      </c>
      <c r="AX137" s="16">
        <f t="shared" si="121"/>
        <v>105.48155339805817</v>
      </c>
    </row>
    <row r="138" spans="1:50" x14ac:dyDescent="0.25">
      <c r="A138" s="20">
        <v>381</v>
      </c>
      <c r="B138">
        <v>1</v>
      </c>
      <c r="C138" s="23" t="s">
        <v>254</v>
      </c>
      <c r="D138" s="23">
        <v>5</v>
      </c>
      <c r="E138" s="15">
        <f>+SUMIF('GE16FEB14 Unfudged'!$A$2:$A$498, $A138, 'GE16FEB14 Unfudged'!$D$2:$D$498)</f>
        <v>1515</v>
      </c>
      <c r="F138" s="15">
        <f>+SUMIF('GE16FEB14 Unfudged'!$A$2:$A$498, 'Tax Bill Summary'!$A138, 'GE16FEB14 Unfudged'!E$2:E$498)</f>
        <v>218160</v>
      </c>
      <c r="G138" s="13">
        <f>+SUMIF('GE16FEB14 Unfudged'!$A$2:$A$498, 'Tax Bill Summary'!$A138, 'GE16FEB14 Unfudged'!F$2:F$498)</f>
        <v>218160</v>
      </c>
      <c r="H138" s="56">
        <f t="shared" si="89"/>
        <v>0</v>
      </c>
      <c r="I138" s="51">
        <f>+SUMIF('GE16FEB14 Unfudged'!$A$2:$A$498, 'Tax Bill Summary'!$A138, 'GE16FEB14 Unfudged'!G$2:G$498)</f>
        <v>0</v>
      </c>
      <c r="J138" s="13">
        <f>+SUMIF('GE16FEB14 Unfudged'!$A$2:$A$498, 'Tax Bill Summary'!$A138, 'GE16FEB14 Unfudged'!H$2:H$498)</f>
        <v>0</v>
      </c>
      <c r="K138" s="56">
        <f t="shared" si="90"/>
        <v>0</v>
      </c>
      <c r="L138" s="51">
        <f>+SUMIF('GE16FEB14 Unfudged'!$A$2:$A$498, 'Tax Bill Summary'!$A138, 'GE16FEB14 Unfudged'!I$2:IF$498)</f>
        <v>454500</v>
      </c>
      <c r="M138" s="13">
        <f>+SUMIF('GE16FEB14 Unfudged'!$A$2:$A$498, 'Tax Bill Summary'!$A138, 'GE16FEB14 Unfudged'!J$2:IG$498)</f>
        <v>317185</v>
      </c>
      <c r="N138" s="56">
        <f t="shared" si="91"/>
        <v>137315</v>
      </c>
      <c r="O138" s="51">
        <f t="shared" si="92"/>
        <v>672660</v>
      </c>
      <c r="P138" s="13">
        <f t="shared" si="93"/>
        <v>535345</v>
      </c>
      <c r="Q138" s="56">
        <f t="shared" si="94"/>
        <v>137315</v>
      </c>
      <c r="R138" s="13">
        <f t="shared" si="95"/>
        <v>444</v>
      </c>
      <c r="S138" s="13">
        <f t="shared" si="96"/>
        <v>353.36303630363034</v>
      </c>
      <c r="T138" s="16">
        <f t="shared" si="97"/>
        <v>90.636963696369634</v>
      </c>
      <c r="U138" s="15">
        <f>+SUMIF('GE16FEB14 Tax Bill Unfudged'!$A$2:$A$498, 'Tax Bill Summary'!$A138, 'GE16FEB14 Tax Bill Unfudged'!E$2:E$498)</f>
        <v>218160</v>
      </c>
      <c r="V138" s="13">
        <f>+SUMIF('GE16FEB14 Tax Bill Unfudged'!$A$2:$A$498, 'Tax Bill Summary'!$A138, 'GE16FEB14 Tax Bill Unfudged'!F$2:F$498)</f>
        <v>218160</v>
      </c>
      <c r="W138" s="56">
        <f t="shared" si="98"/>
        <v>0</v>
      </c>
      <c r="X138" s="51">
        <f>+SUMIF('GE16FEB14 Tax Bill Unfudged'!$A$2:$A$498, 'Tax Bill Summary'!$A138, 'GE16FEB14 Tax Bill Unfudged'!G$2:G$498)</f>
        <v>642360</v>
      </c>
      <c r="Y138" s="13">
        <f>+SUMIF('GE16FEB14 Tax Bill Unfudged'!$A$2:$A$498, 'Tax Bill Summary'!$A138, 'GE16FEB14 Tax Bill Unfudged'!H$2:H$498)</f>
        <v>642360</v>
      </c>
      <c r="Z138" s="56">
        <f t="shared" si="99"/>
        <v>0</v>
      </c>
      <c r="AA138" s="51">
        <f>+SUMIF('GE16FEB14 Tax Bill Unfudged'!$A$2:$A$498, 'Tax Bill Summary'!$A138, 'GE16FEB14 Tax Bill Unfudged'!I$2:I$498)</f>
        <v>454500</v>
      </c>
      <c r="AB138" s="13">
        <f>+SUMIF('GE16FEB14 Tax Bill Unfudged'!$A$2:$A$498, 'Tax Bill Summary'!$A138, 'GE16FEB14 Tax Bill Unfudged'!J$2:J$498)</f>
        <v>317185</v>
      </c>
      <c r="AC138" s="56">
        <f t="shared" si="100"/>
        <v>137315</v>
      </c>
      <c r="AD138" s="51">
        <f t="shared" si="101"/>
        <v>1315020</v>
      </c>
      <c r="AE138" s="13">
        <f t="shared" si="102"/>
        <v>1177705</v>
      </c>
      <c r="AF138" s="56">
        <f t="shared" si="103"/>
        <v>137315</v>
      </c>
      <c r="AG138" s="13">
        <f t="shared" si="104"/>
        <v>868</v>
      </c>
      <c r="AH138" s="13">
        <f t="shared" si="105"/>
        <v>777.36303630363034</v>
      </c>
      <c r="AI138" s="16">
        <f t="shared" si="106"/>
        <v>90.636963696369634</v>
      </c>
      <c r="AJ138" s="15">
        <f t="shared" si="107"/>
        <v>0</v>
      </c>
      <c r="AK138" s="13">
        <f t="shared" si="108"/>
        <v>0</v>
      </c>
      <c r="AL138" s="56">
        <f t="shared" si="109"/>
        <v>0</v>
      </c>
      <c r="AM138" s="51">
        <f t="shared" si="110"/>
        <v>642360</v>
      </c>
      <c r="AN138" s="13">
        <f t="shared" si="111"/>
        <v>642360</v>
      </c>
      <c r="AO138" s="56">
        <f t="shared" si="112"/>
        <v>0</v>
      </c>
      <c r="AP138" s="51">
        <f t="shared" si="113"/>
        <v>0</v>
      </c>
      <c r="AQ138" s="13">
        <f t="shared" si="114"/>
        <v>0</v>
      </c>
      <c r="AR138" s="56">
        <f t="shared" si="115"/>
        <v>0</v>
      </c>
      <c r="AS138" s="51">
        <f t="shared" si="116"/>
        <v>642360</v>
      </c>
      <c r="AT138" s="13">
        <f t="shared" si="117"/>
        <v>642360</v>
      </c>
      <c r="AU138" s="56">
        <f t="shared" si="118"/>
        <v>0</v>
      </c>
      <c r="AV138" s="13">
        <f t="shared" si="119"/>
        <v>424</v>
      </c>
      <c r="AW138" s="13">
        <f t="shared" si="120"/>
        <v>424</v>
      </c>
      <c r="AX138" s="16">
        <f t="shared" si="121"/>
        <v>0</v>
      </c>
    </row>
    <row r="139" spans="1:50" x14ac:dyDescent="0.25">
      <c r="A139" s="20">
        <v>390</v>
      </c>
      <c r="B139">
        <v>1</v>
      </c>
      <c r="C139" s="23" t="s">
        <v>255</v>
      </c>
      <c r="D139" s="23">
        <v>6</v>
      </c>
      <c r="E139" s="15">
        <f>+SUMIF('GE16FEB14 Unfudged'!$A$2:$A$498, $A139, 'GE16FEB14 Unfudged'!$D$2:$D$498)</f>
        <v>513</v>
      </c>
      <c r="F139" s="15">
        <f>+SUMIF('GE16FEB14 Unfudged'!$A$2:$A$498, 'Tax Bill Summary'!$A139, 'GE16FEB14 Unfudged'!E$2:E$498)</f>
        <v>62981</v>
      </c>
      <c r="G139" s="13">
        <f>+SUMIF('GE16FEB14 Unfudged'!$A$2:$A$498, 'Tax Bill Summary'!$A139, 'GE16FEB14 Unfudged'!F$2:F$498)</f>
        <v>50879</v>
      </c>
      <c r="H139" s="56">
        <f t="shared" si="89"/>
        <v>12102</v>
      </c>
      <c r="I139" s="51">
        <f>+SUMIF('GE16FEB14 Unfudged'!$A$2:$A$498, 'Tax Bill Summary'!$A139, 'GE16FEB14 Unfudged'!G$2:G$498)</f>
        <v>0</v>
      </c>
      <c r="J139" s="13">
        <f>+SUMIF('GE16FEB14 Unfudged'!$A$2:$A$498, 'Tax Bill Summary'!$A139, 'GE16FEB14 Unfudged'!H$2:H$498)</f>
        <v>0</v>
      </c>
      <c r="K139" s="56">
        <f t="shared" si="90"/>
        <v>0</v>
      </c>
      <c r="L139" s="51">
        <f>+SUMIF('GE16FEB14 Unfudged'!$A$2:$A$498, 'Tax Bill Summary'!$A139, 'GE16FEB14 Unfudged'!I$2:IF$498)</f>
        <v>390946</v>
      </c>
      <c r="M139" s="13">
        <f>+SUMIF('GE16FEB14 Unfudged'!$A$2:$A$498, 'Tax Bill Summary'!$A139, 'GE16FEB14 Unfudged'!J$2:IG$498)</f>
        <v>263792</v>
      </c>
      <c r="N139" s="56">
        <f t="shared" si="91"/>
        <v>127154</v>
      </c>
      <c r="O139" s="51">
        <f t="shared" si="92"/>
        <v>453927</v>
      </c>
      <c r="P139" s="13">
        <f t="shared" si="93"/>
        <v>314671</v>
      </c>
      <c r="Q139" s="56">
        <f t="shared" si="94"/>
        <v>139256</v>
      </c>
      <c r="R139" s="13">
        <f t="shared" si="95"/>
        <v>884.84795321637432</v>
      </c>
      <c r="S139" s="13">
        <f t="shared" si="96"/>
        <v>613.39376218323582</v>
      </c>
      <c r="T139" s="16">
        <f t="shared" si="97"/>
        <v>271.45419103313839</v>
      </c>
      <c r="U139" s="15">
        <f>+SUMIF('GE16FEB14 Tax Bill Unfudged'!$A$2:$A$498, 'Tax Bill Summary'!$A139, 'GE16FEB14 Tax Bill Unfudged'!E$2:E$498)</f>
        <v>72661</v>
      </c>
      <c r="V139" s="13">
        <f>+SUMIF('GE16FEB14 Tax Bill Unfudged'!$A$2:$A$498, 'Tax Bill Summary'!$A139, 'GE16FEB14 Tax Bill Unfudged'!F$2:F$498)</f>
        <v>58699</v>
      </c>
      <c r="W139" s="56">
        <f t="shared" si="98"/>
        <v>13962</v>
      </c>
      <c r="X139" s="51">
        <f>+SUMIF('GE16FEB14 Tax Bill Unfudged'!$A$2:$A$498, 'Tax Bill Summary'!$A139, 'GE16FEB14 Tax Bill Unfudged'!G$2:G$498)</f>
        <v>217448</v>
      </c>
      <c r="Y139" s="13">
        <f>+SUMIF('GE16FEB14 Tax Bill Unfudged'!$A$2:$A$498, 'Tax Bill Summary'!$A139, 'GE16FEB14 Tax Bill Unfudged'!H$2:H$498)</f>
        <v>175665</v>
      </c>
      <c r="Z139" s="56">
        <f t="shared" si="99"/>
        <v>41783</v>
      </c>
      <c r="AA139" s="51">
        <f>+SUMIF('GE16FEB14 Tax Bill Unfudged'!$A$2:$A$498, 'Tax Bill Summary'!$A139, 'GE16FEB14 Tax Bill Unfudged'!I$2:I$498)</f>
        <v>173497</v>
      </c>
      <c r="AB139" s="13">
        <f>+SUMIF('GE16FEB14 Tax Bill Unfudged'!$A$2:$A$498, 'Tax Bill Summary'!$A139, 'GE16FEB14 Tax Bill Unfudged'!J$2:J$498)</f>
        <v>87900</v>
      </c>
      <c r="AC139" s="56">
        <f t="shared" si="100"/>
        <v>85597</v>
      </c>
      <c r="AD139" s="51">
        <f t="shared" si="101"/>
        <v>463606</v>
      </c>
      <c r="AE139" s="13">
        <f t="shared" si="102"/>
        <v>322264</v>
      </c>
      <c r="AF139" s="56">
        <f t="shared" si="103"/>
        <v>141342</v>
      </c>
      <c r="AG139" s="13">
        <f t="shared" si="104"/>
        <v>903.7153996101365</v>
      </c>
      <c r="AH139" s="13">
        <f t="shared" si="105"/>
        <v>628.19493177387915</v>
      </c>
      <c r="AI139" s="16">
        <f t="shared" si="106"/>
        <v>275.5204678362573</v>
      </c>
      <c r="AJ139" s="15">
        <f t="shared" si="107"/>
        <v>9680</v>
      </c>
      <c r="AK139" s="13">
        <f t="shared" si="108"/>
        <v>7820</v>
      </c>
      <c r="AL139" s="56">
        <f t="shared" si="109"/>
        <v>1860</v>
      </c>
      <c r="AM139" s="51">
        <f t="shared" si="110"/>
        <v>217448</v>
      </c>
      <c r="AN139" s="13">
        <f t="shared" si="111"/>
        <v>175665</v>
      </c>
      <c r="AO139" s="56">
        <f t="shared" si="112"/>
        <v>41783</v>
      </c>
      <c r="AP139" s="51">
        <f t="shared" si="113"/>
        <v>-217449</v>
      </c>
      <c r="AQ139" s="13">
        <f t="shared" si="114"/>
        <v>-175892</v>
      </c>
      <c r="AR139" s="56">
        <f t="shared" si="115"/>
        <v>-41557</v>
      </c>
      <c r="AS139" s="51">
        <f t="shared" si="116"/>
        <v>9679</v>
      </c>
      <c r="AT139" s="13">
        <f t="shared" si="117"/>
        <v>7593</v>
      </c>
      <c r="AU139" s="56">
        <f t="shared" si="118"/>
        <v>2086</v>
      </c>
      <c r="AV139" s="13">
        <f t="shared" si="119"/>
        <v>18.867446393762179</v>
      </c>
      <c r="AW139" s="13">
        <f t="shared" si="120"/>
        <v>14.801169590643326</v>
      </c>
      <c r="AX139" s="16">
        <f t="shared" si="121"/>
        <v>4.0662768031189103</v>
      </c>
    </row>
    <row r="140" spans="1:50" x14ac:dyDescent="0.25">
      <c r="A140" s="20">
        <v>391</v>
      </c>
      <c r="B140">
        <v>1</v>
      </c>
      <c r="C140" s="23" t="s">
        <v>256</v>
      </c>
      <c r="D140" s="23">
        <v>6</v>
      </c>
      <c r="E140" s="15">
        <f>+SUMIF('GE16FEB14 Unfudged'!$A$2:$A$498, $A140, 'GE16FEB14 Unfudged'!$D$2:$D$498)</f>
        <v>496</v>
      </c>
      <c r="F140" s="15">
        <f>+SUMIF('GE16FEB14 Unfudged'!$A$2:$A$498, 'Tax Bill Summary'!$A140, 'GE16FEB14 Unfudged'!E$2:E$498)</f>
        <v>60385</v>
      </c>
      <c r="G140" s="13">
        <f>+SUMIF('GE16FEB14 Unfudged'!$A$2:$A$498, 'Tax Bill Summary'!$A140, 'GE16FEB14 Unfudged'!F$2:F$498)</f>
        <v>60385</v>
      </c>
      <c r="H140" s="56">
        <f t="shared" si="89"/>
        <v>0</v>
      </c>
      <c r="I140" s="51">
        <f>+SUMIF('GE16FEB14 Unfudged'!$A$2:$A$498, 'Tax Bill Summary'!$A140, 'GE16FEB14 Unfudged'!G$2:G$498)</f>
        <v>0</v>
      </c>
      <c r="J140" s="13">
        <f>+SUMIF('GE16FEB14 Unfudged'!$A$2:$A$498, 'Tax Bill Summary'!$A140, 'GE16FEB14 Unfudged'!H$2:H$498)</f>
        <v>0</v>
      </c>
      <c r="K140" s="56">
        <f t="shared" si="90"/>
        <v>0</v>
      </c>
      <c r="L140" s="51">
        <f>+SUMIF('GE16FEB14 Unfudged'!$A$2:$A$498, 'Tax Bill Summary'!$A140, 'GE16FEB14 Unfudged'!I$2:IF$498)</f>
        <v>390950</v>
      </c>
      <c r="M140" s="13">
        <f>+SUMIF('GE16FEB14 Unfudged'!$A$2:$A$498, 'Tax Bill Summary'!$A140, 'GE16FEB14 Unfudged'!J$2:IG$498)</f>
        <v>344902</v>
      </c>
      <c r="N140" s="56">
        <f t="shared" si="91"/>
        <v>46048</v>
      </c>
      <c r="O140" s="51">
        <f t="shared" si="92"/>
        <v>451335</v>
      </c>
      <c r="P140" s="13">
        <f t="shared" si="93"/>
        <v>405287</v>
      </c>
      <c r="Q140" s="56">
        <f t="shared" si="94"/>
        <v>46048</v>
      </c>
      <c r="R140" s="13">
        <f t="shared" si="95"/>
        <v>909.94959677419354</v>
      </c>
      <c r="S140" s="13">
        <f t="shared" si="96"/>
        <v>817.11088709677415</v>
      </c>
      <c r="T140" s="16">
        <f t="shared" si="97"/>
        <v>92.838709677419359</v>
      </c>
      <c r="U140" s="15">
        <f>+SUMIF('GE16FEB14 Tax Bill Unfudged'!$A$2:$A$498, 'Tax Bill Summary'!$A140, 'GE16FEB14 Tax Bill Unfudged'!E$2:E$498)</f>
        <v>69571</v>
      </c>
      <c r="V140" s="13">
        <f>+SUMIF('GE16FEB14 Tax Bill Unfudged'!$A$2:$A$498, 'Tax Bill Summary'!$A140, 'GE16FEB14 Tax Bill Unfudged'!F$2:F$498)</f>
        <v>69571</v>
      </c>
      <c r="W140" s="56">
        <f t="shared" si="98"/>
        <v>0</v>
      </c>
      <c r="X140" s="51">
        <f>+SUMIF('GE16FEB14 Tax Bill Unfudged'!$A$2:$A$498, 'Tax Bill Summary'!$A140, 'GE16FEB14 Tax Bill Unfudged'!G$2:G$498)</f>
        <v>210474</v>
      </c>
      <c r="Y140" s="13">
        <f>+SUMIF('GE16FEB14 Tax Bill Unfudged'!$A$2:$A$498, 'Tax Bill Summary'!$A140, 'GE16FEB14 Tax Bill Unfudged'!H$2:H$498)</f>
        <v>210474</v>
      </c>
      <c r="Z140" s="56">
        <f t="shared" si="99"/>
        <v>0</v>
      </c>
      <c r="AA140" s="51">
        <f>+SUMIF('GE16FEB14 Tax Bill Unfudged'!$A$2:$A$498, 'Tax Bill Summary'!$A140, 'GE16FEB14 Tax Bill Unfudged'!I$2:I$498)</f>
        <v>180476</v>
      </c>
      <c r="AB140" s="13">
        <f>+SUMIF('GE16FEB14 Tax Bill Unfudged'!$A$2:$A$498, 'Tax Bill Summary'!$A140, 'GE16FEB14 Tax Bill Unfudged'!J$2:J$498)</f>
        <v>134428</v>
      </c>
      <c r="AC140" s="56">
        <f t="shared" si="100"/>
        <v>46048</v>
      </c>
      <c r="AD140" s="51">
        <f t="shared" si="101"/>
        <v>460521</v>
      </c>
      <c r="AE140" s="13">
        <f t="shared" si="102"/>
        <v>414473</v>
      </c>
      <c r="AF140" s="56">
        <f t="shared" si="103"/>
        <v>46048</v>
      </c>
      <c r="AG140" s="13">
        <f t="shared" si="104"/>
        <v>928.4697580645161</v>
      </c>
      <c r="AH140" s="13">
        <f t="shared" si="105"/>
        <v>835.63104838709683</v>
      </c>
      <c r="AI140" s="16">
        <f t="shared" si="106"/>
        <v>92.838709677419359</v>
      </c>
      <c r="AJ140" s="15">
        <f t="shared" si="107"/>
        <v>9186</v>
      </c>
      <c r="AK140" s="13">
        <f t="shared" si="108"/>
        <v>9186</v>
      </c>
      <c r="AL140" s="56">
        <f t="shared" si="109"/>
        <v>0</v>
      </c>
      <c r="AM140" s="51">
        <f t="shared" si="110"/>
        <v>210474</v>
      </c>
      <c r="AN140" s="13">
        <f t="shared" si="111"/>
        <v>210474</v>
      </c>
      <c r="AO140" s="56">
        <f t="shared" si="112"/>
        <v>0</v>
      </c>
      <c r="AP140" s="51">
        <f t="shared" si="113"/>
        <v>-210474</v>
      </c>
      <c r="AQ140" s="13">
        <f t="shared" si="114"/>
        <v>-210474</v>
      </c>
      <c r="AR140" s="56">
        <f t="shared" si="115"/>
        <v>0</v>
      </c>
      <c r="AS140" s="51">
        <f t="shared" si="116"/>
        <v>9186</v>
      </c>
      <c r="AT140" s="13">
        <f t="shared" si="117"/>
        <v>9186</v>
      </c>
      <c r="AU140" s="56">
        <f t="shared" si="118"/>
        <v>0</v>
      </c>
      <c r="AV140" s="13">
        <f t="shared" si="119"/>
        <v>18.520161290322562</v>
      </c>
      <c r="AW140" s="13">
        <f t="shared" si="120"/>
        <v>18.520161290322676</v>
      </c>
      <c r="AX140" s="16">
        <f t="shared" si="121"/>
        <v>0</v>
      </c>
    </row>
    <row r="141" spans="1:50" x14ac:dyDescent="0.25">
      <c r="A141" s="20">
        <v>402</v>
      </c>
      <c r="B141">
        <v>1</v>
      </c>
      <c r="C141" s="23" t="s">
        <v>257</v>
      </c>
      <c r="D141" s="23">
        <v>6</v>
      </c>
      <c r="E141" s="15">
        <f>+SUMIF('GE16FEB14 Unfudged'!$A$2:$A$498, $A141, 'GE16FEB14 Unfudged'!$D$2:$D$498)</f>
        <v>113</v>
      </c>
      <c r="F141" s="15">
        <f>+SUMIF('GE16FEB14 Unfudged'!$A$2:$A$498, 'Tax Bill Summary'!$A141, 'GE16FEB14 Unfudged'!E$2:E$498)</f>
        <v>5633</v>
      </c>
      <c r="G141" s="13">
        <f>+SUMIF('GE16FEB14 Unfudged'!$A$2:$A$498, 'Tax Bill Summary'!$A141, 'GE16FEB14 Unfudged'!F$2:F$498)</f>
        <v>3437</v>
      </c>
      <c r="H141" s="56">
        <f t="shared" si="89"/>
        <v>2196</v>
      </c>
      <c r="I141" s="51">
        <f>+SUMIF('GE16FEB14 Unfudged'!$A$2:$A$498, 'Tax Bill Summary'!$A141, 'GE16FEB14 Unfudged'!G$2:G$498)</f>
        <v>0</v>
      </c>
      <c r="J141" s="13">
        <f>+SUMIF('GE16FEB14 Unfudged'!$A$2:$A$498, 'Tax Bill Summary'!$A141, 'GE16FEB14 Unfudged'!H$2:H$498)</f>
        <v>0</v>
      </c>
      <c r="K141" s="56">
        <f t="shared" si="90"/>
        <v>0</v>
      </c>
      <c r="L141" s="51">
        <f>+SUMIF('GE16FEB14 Unfudged'!$A$2:$A$498, 'Tax Bill Summary'!$A141, 'GE16FEB14 Unfudged'!I$2:IF$498)</f>
        <v>320666</v>
      </c>
      <c r="M141" s="13">
        <f>+SUMIF('GE16FEB14 Unfudged'!$A$2:$A$498, 'Tax Bill Summary'!$A141, 'GE16FEB14 Unfudged'!J$2:IG$498)</f>
        <v>278615</v>
      </c>
      <c r="N141" s="56">
        <f t="shared" si="91"/>
        <v>42051</v>
      </c>
      <c r="O141" s="51">
        <f t="shared" si="92"/>
        <v>326299</v>
      </c>
      <c r="P141" s="13">
        <f t="shared" si="93"/>
        <v>282052</v>
      </c>
      <c r="Q141" s="56">
        <f t="shared" si="94"/>
        <v>44247</v>
      </c>
      <c r="R141" s="13">
        <f t="shared" si="95"/>
        <v>2887.6017699115046</v>
      </c>
      <c r="S141" s="13">
        <f t="shared" si="96"/>
        <v>2496.0353982300885</v>
      </c>
      <c r="T141" s="16">
        <f t="shared" si="97"/>
        <v>391.56637168141594</v>
      </c>
      <c r="U141" s="15">
        <f>+SUMIF('GE16FEB14 Tax Bill Unfudged'!$A$2:$A$498, 'Tax Bill Summary'!$A141, 'GE16FEB14 Tax Bill Unfudged'!E$2:E$498)</f>
        <v>5633</v>
      </c>
      <c r="V141" s="13">
        <f>+SUMIF('GE16FEB14 Tax Bill Unfudged'!$A$2:$A$498, 'Tax Bill Summary'!$A141, 'GE16FEB14 Tax Bill Unfudged'!F$2:F$498)</f>
        <v>3437</v>
      </c>
      <c r="W141" s="56">
        <f t="shared" si="98"/>
        <v>2196</v>
      </c>
      <c r="X141" s="51">
        <f>+SUMIF('GE16FEB14 Tax Bill Unfudged'!$A$2:$A$498, 'Tax Bill Summary'!$A141, 'GE16FEB14 Tax Bill Unfudged'!G$2:G$498)</f>
        <v>47764</v>
      </c>
      <c r="Y141" s="13">
        <f>+SUMIF('GE16FEB14 Tax Bill Unfudged'!$A$2:$A$498, 'Tax Bill Summary'!$A141, 'GE16FEB14 Tax Bill Unfudged'!H$2:H$498)</f>
        <v>29140</v>
      </c>
      <c r="Z141" s="56">
        <f t="shared" si="99"/>
        <v>18624</v>
      </c>
      <c r="AA141" s="51">
        <f>+SUMIF('GE16FEB14 Tax Bill Unfudged'!$A$2:$A$498, 'Tax Bill Summary'!$A141, 'GE16FEB14 Tax Bill Unfudged'!I$2:I$498)</f>
        <v>278609</v>
      </c>
      <c r="AB141" s="13">
        <f>+SUMIF('GE16FEB14 Tax Bill Unfudged'!$A$2:$A$498, 'Tax Bill Summary'!$A141, 'GE16FEB14 Tax Bill Unfudged'!J$2:J$498)</f>
        <v>236558</v>
      </c>
      <c r="AC141" s="56">
        <f t="shared" si="100"/>
        <v>42051</v>
      </c>
      <c r="AD141" s="51">
        <f t="shared" si="101"/>
        <v>332006</v>
      </c>
      <c r="AE141" s="13">
        <f t="shared" si="102"/>
        <v>269135</v>
      </c>
      <c r="AF141" s="56">
        <f t="shared" si="103"/>
        <v>62871</v>
      </c>
      <c r="AG141" s="13">
        <f t="shared" si="104"/>
        <v>2938.1061946902655</v>
      </c>
      <c r="AH141" s="13">
        <f t="shared" si="105"/>
        <v>2381.7256637168143</v>
      </c>
      <c r="AI141" s="16">
        <f t="shared" si="106"/>
        <v>556.3805309734513</v>
      </c>
      <c r="AJ141" s="15">
        <f t="shared" si="107"/>
        <v>0</v>
      </c>
      <c r="AK141" s="13">
        <f t="shared" si="108"/>
        <v>0</v>
      </c>
      <c r="AL141" s="56">
        <f t="shared" si="109"/>
        <v>0</v>
      </c>
      <c r="AM141" s="51">
        <f t="shared" si="110"/>
        <v>47764</v>
      </c>
      <c r="AN141" s="13">
        <f t="shared" si="111"/>
        <v>29140</v>
      </c>
      <c r="AO141" s="56">
        <f t="shared" si="112"/>
        <v>18624</v>
      </c>
      <c r="AP141" s="51">
        <f t="shared" si="113"/>
        <v>-42057</v>
      </c>
      <c r="AQ141" s="13">
        <f t="shared" si="114"/>
        <v>-42057</v>
      </c>
      <c r="AR141" s="56">
        <f t="shared" si="115"/>
        <v>0</v>
      </c>
      <c r="AS141" s="51">
        <f t="shared" si="116"/>
        <v>5707</v>
      </c>
      <c r="AT141" s="13">
        <f t="shared" si="117"/>
        <v>-12917</v>
      </c>
      <c r="AU141" s="56">
        <f t="shared" si="118"/>
        <v>18624</v>
      </c>
      <c r="AV141" s="13">
        <f t="shared" si="119"/>
        <v>50.504424778760949</v>
      </c>
      <c r="AW141" s="13">
        <f t="shared" si="120"/>
        <v>-114.30973451327418</v>
      </c>
      <c r="AX141" s="16">
        <f t="shared" si="121"/>
        <v>164.81415929203536</v>
      </c>
    </row>
    <row r="142" spans="1:50" x14ac:dyDescent="0.25">
      <c r="A142" s="20">
        <v>403</v>
      </c>
      <c r="B142">
        <v>1</v>
      </c>
      <c r="C142" s="23" t="s">
        <v>258</v>
      </c>
      <c r="D142" s="23">
        <v>6</v>
      </c>
      <c r="E142" s="15">
        <f>+SUMIF('GE16FEB14 Unfudged'!$A$2:$A$498, $A142, 'GE16FEB14 Unfudged'!$D$2:$D$498)</f>
        <v>176</v>
      </c>
      <c r="F142" s="15">
        <f>+SUMIF('GE16FEB14 Unfudged'!$A$2:$A$498, 'Tax Bill Summary'!$A142, 'GE16FEB14 Unfudged'!E$2:E$498)</f>
        <v>12848</v>
      </c>
      <c r="G142" s="13">
        <f>+SUMIF('GE16FEB14 Unfudged'!$A$2:$A$498, 'Tax Bill Summary'!$A142, 'GE16FEB14 Unfudged'!F$2:F$498)</f>
        <v>6750</v>
      </c>
      <c r="H142" s="56">
        <f t="shared" si="89"/>
        <v>6098</v>
      </c>
      <c r="I142" s="51">
        <f>+SUMIF('GE16FEB14 Unfudged'!$A$2:$A$498, 'Tax Bill Summary'!$A142, 'GE16FEB14 Unfudged'!G$2:G$498)</f>
        <v>0</v>
      </c>
      <c r="J142" s="13">
        <f>+SUMIF('GE16FEB14 Unfudged'!$A$2:$A$498, 'Tax Bill Summary'!$A142, 'GE16FEB14 Unfudged'!H$2:H$498)</f>
        <v>0</v>
      </c>
      <c r="K142" s="56">
        <f t="shared" si="90"/>
        <v>0</v>
      </c>
      <c r="L142" s="51">
        <f>+SUMIF('GE16FEB14 Unfudged'!$A$2:$A$498, 'Tax Bill Summary'!$A142, 'GE16FEB14 Unfudged'!I$2:IF$498)</f>
        <v>323998</v>
      </c>
      <c r="M142" s="13">
        <f>+SUMIF('GE16FEB14 Unfudged'!$A$2:$A$498, 'Tax Bill Summary'!$A142, 'GE16FEB14 Unfudged'!J$2:IG$498)</f>
        <v>239775</v>
      </c>
      <c r="N142" s="56">
        <f t="shared" si="91"/>
        <v>84223</v>
      </c>
      <c r="O142" s="51">
        <f t="shared" si="92"/>
        <v>336846</v>
      </c>
      <c r="P142" s="13">
        <f t="shared" si="93"/>
        <v>246525</v>
      </c>
      <c r="Q142" s="56">
        <f t="shared" si="94"/>
        <v>90321</v>
      </c>
      <c r="R142" s="13">
        <f t="shared" si="95"/>
        <v>1913.8977272727273</v>
      </c>
      <c r="S142" s="13">
        <f t="shared" si="96"/>
        <v>1400.7102272727273</v>
      </c>
      <c r="T142" s="16">
        <f t="shared" si="97"/>
        <v>513.1875</v>
      </c>
      <c r="U142" s="15">
        <f>+SUMIF('GE16FEB14 Tax Bill Unfudged'!$A$2:$A$498, 'Tax Bill Summary'!$A142, 'GE16FEB14 Tax Bill Unfudged'!E$2:E$498)</f>
        <v>13364</v>
      </c>
      <c r="V142" s="13">
        <f>+SUMIF('GE16FEB14 Tax Bill Unfudged'!$A$2:$A$498, 'Tax Bill Summary'!$A142, 'GE16FEB14 Tax Bill Unfudged'!F$2:F$498)</f>
        <v>7021</v>
      </c>
      <c r="W142" s="56">
        <f t="shared" si="98"/>
        <v>6343</v>
      </c>
      <c r="X142" s="51">
        <f>+SUMIF('GE16FEB14 Tax Bill Unfudged'!$A$2:$A$498, 'Tax Bill Summary'!$A142, 'GE16FEB14 Tax Bill Unfudged'!G$2:G$498)</f>
        <v>74454</v>
      </c>
      <c r="Y142" s="13">
        <f>+SUMIF('GE16FEB14 Tax Bill Unfudged'!$A$2:$A$498, 'Tax Bill Summary'!$A142, 'GE16FEB14 Tax Bill Unfudged'!H$2:H$498)</f>
        <v>39114</v>
      </c>
      <c r="Z142" s="56">
        <f t="shared" si="99"/>
        <v>35340</v>
      </c>
      <c r="AA142" s="51">
        <f>+SUMIF('GE16FEB14 Tax Bill Unfudged'!$A$2:$A$498, 'Tax Bill Summary'!$A142, 'GE16FEB14 Tax Bill Unfudged'!I$2:I$498)</f>
        <v>249543</v>
      </c>
      <c r="AB142" s="13">
        <f>+SUMIF('GE16FEB14 Tax Bill Unfudged'!$A$2:$A$498, 'Tax Bill Summary'!$A142, 'GE16FEB14 Tax Bill Unfudged'!J$2:J$498)</f>
        <v>165727</v>
      </c>
      <c r="AC142" s="56">
        <f t="shared" si="100"/>
        <v>83816</v>
      </c>
      <c r="AD142" s="51">
        <f t="shared" si="101"/>
        <v>337361</v>
      </c>
      <c r="AE142" s="13">
        <f t="shared" si="102"/>
        <v>211862</v>
      </c>
      <c r="AF142" s="56">
        <f t="shared" si="103"/>
        <v>125499</v>
      </c>
      <c r="AG142" s="13">
        <f t="shared" si="104"/>
        <v>1916.8238636363637</v>
      </c>
      <c r="AH142" s="13">
        <f t="shared" si="105"/>
        <v>1203.7613636363637</v>
      </c>
      <c r="AI142" s="16">
        <f t="shared" si="106"/>
        <v>713.0625</v>
      </c>
      <c r="AJ142" s="15">
        <f t="shared" si="107"/>
        <v>516</v>
      </c>
      <c r="AK142" s="13">
        <f t="shared" si="108"/>
        <v>271</v>
      </c>
      <c r="AL142" s="56">
        <f t="shared" si="109"/>
        <v>245</v>
      </c>
      <c r="AM142" s="51">
        <f t="shared" si="110"/>
        <v>74454</v>
      </c>
      <c r="AN142" s="13">
        <f t="shared" si="111"/>
        <v>39114</v>
      </c>
      <c r="AO142" s="56">
        <f t="shared" si="112"/>
        <v>35340</v>
      </c>
      <c r="AP142" s="51">
        <f t="shared" si="113"/>
        <v>-74455</v>
      </c>
      <c r="AQ142" s="13">
        <f t="shared" si="114"/>
        <v>-74048</v>
      </c>
      <c r="AR142" s="56">
        <f t="shared" si="115"/>
        <v>-407</v>
      </c>
      <c r="AS142" s="51">
        <f t="shared" si="116"/>
        <v>515</v>
      </c>
      <c r="AT142" s="13">
        <f t="shared" si="117"/>
        <v>-34663</v>
      </c>
      <c r="AU142" s="56">
        <f t="shared" si="118"/>
        <v>35178</v>
      </c>
      <c r="AV142" s="13">
        <f t="shared" si="119"/>
        <v>2.9261363636364877</v>
      </c>
      <c r="AW142" s="13">
        <f t="shared" si="120"/>
        <v>-196.94886363636351</v>
      </c>
      <c r="AX142" s="16">
        <f t="shared" si="121"/>
        <v>199.875</v>
      </c>
    </row>
    <row r="143" spans="1:50" ht="15" customHeight="1" x14ac:dyDescent="0.25">
      <c r="A143" s="20">
        <v>404</v>
      </c>
      <c r="B143">
        <v>52</v>
      </c>
      <c r="C143" s="23" t="s">
        <v>259</v>
      </c>
      <c r="D143" s="23">
        <v>6</v>
      </c>
      <c r="E143" s="15">
        <f>+SUMIF('GE16FEB14 Unfudged'!$A$2:$A$498, $A143, 'GE16FEB14 Unfudged'!$D$2:$D$498)</f>
        <v>165</v>
      </c>
      <c r="F143" s="15">
        <f>+SUMIF('GE16FEB14 Unfudged'!$A$2:$A$498, 'Tax Bill Summary'!$A143, 'GE16FEB14 Unfudged'!E$2:E$498)</f>
        <v>8230</v>
      </c>
      <c r="G143" s="13">
        <f>+SUMIF('GE16FEB14 Unfudged'!$A$2:$A$498, 'Tax Bill Summary'!$A143, 'GE16FEB14 Unfudged'!F$2:F$498)</f>
        <v>5842</v>
      </c>
      <c r="H143" s="56">
        <f t="shared" si="89"/>
        <v>2388</v>
      </c>
      <c r="I143" s="51">
        <f>+SUMIF('GE16FEB14 Unfudged'!$A$2:$A$498, 'Tax Bill Summary'!$A143, 'GE16FEB14 Unfudged'!G$2:G$498)</f>
        <v>0</v>
      </c>
      <c r="J143" s="13">
        <f>+SUMIF('GE16FEB14 Unfudged'!$A$2:$A$498, 'Tax Bill Summary'!$A143, 'GE16FEB14 Unfudged'!H$2:H$498)</f>
        <v>0</v>
      </c>
      <c r="K143" s="56">
        <f t="shared" si="90"/>
        <v>0</v>
      </c>
      <c r="L143" s="51">
        <f>+SUMIF('GE16FEB14 Unfudged'!$A$2:$A$498, 'Tax Bill Summary'!$A143, 'GE16FEB14 Unfudged'!I$2:IF$498)</f>
        <v>385725</v>
      </c>
      <c r="M143" s="13">
        <f>+SUMIF('GE16FEB14 Unfudged'!$A$2:$A$498, 'Tax Bill Summary'!$A143, 'GE16FEB14 Unfudged'!J$2:IG$498)</f>
        <v>313917</v>
      </c>
      <c r="N143" s="56">
        <f t="shared" si="91"/>
        <v>71808</v>
      </c>
      <c r="O143" s="51">
        <f t="shared" si="92"/>
        <v>393955</v>
      </c>
      <c r="P143" s="13">
        <f t="shared" si="93"/>
        <v>319759</v>
      </c>
      <c r="Q143" s="56">
        <f t="shared" si="94"/>
        <v>74196</v>
      </c>
      <c r="R143" s="13">
        <f t="shared" si="95"/>
        <v>2387.6060606060605</v>
      </c>
      <c r="S143" s="13">
        <f t="shared" si="96"/>
        <v>1937.9333333333334</v>
      </c>
      <c r="T143" s="16">
        <f t="shared" si="97"/>
        <v>449.67272727272729</v>
      </c>
      <c r="U143" s="15">
        <f>+SUMIF('GE16FEB14 Tax Bill Unfudged'!$A$2:$A$498, 'Tax Bill Summary'!$A143, 'GE16FEB14 Tax Bill Unfudged'!E$2:E$498)</f>
        <v>8230</v>
      </c>
      <c r="V143" s="13">
        <f>+SUMIF('GE16FEB14 Tax Bill Unfudged'!$A$2:$A$498, 'Tax Bill Summary'!$A143, 'GE16FEB14 Tax Bill Unfudged'!F$2:F$498)</f>
        <v>5842</v>
      </c>
      <c r="W143" s="56">
        <f t="shared" si="98"/>
        <v>2388</v>
      </c>
      <c r="X143" s="51">
        <f>+SUMIF('GE16FEB14 Tax Bill Unfudged'!$A$2:$A$498, 'Tax Bill Summary'!$A143, 'GE16FEB14 Tax Bill Unfudged'!G$2:G$498)</f>
        <v>69790</v>
      </c>
      <c r="Y143" s="13">
        <f>+SUMIF('GE16FEB14 Tax Bill Unfudged'!$A$2:$A$498, 'Tax Bill Summary'!$A143, 'GE16FEB14 Tax Bill Unfudged'!H$2:H$498)</f>
        <v>49536</v>
      </c>
      <c r="Z143" s="56">
        <f t="shared" si="99"/>
        <v>20254</v>
      </c>
      <c r="AA143" s="51">
        <f>+SUMIF('GE16FEB14 Tax Bill Unfudged'!$A$2:$A$498, 'Tax Bill Summary'!$A143, 'GE16FEB14 Tax Bill Unfudged'!I$2:I$498)</f>
        <v>315935</v>
      </c>
      <c r="AB143" s="13">
        <f>+SUMIF('GE16FEB14 Tax Bill Unfudged'!$A$2:$A$498, 'Tax Bill Summary'!$A143, 'GE16FEB14 Tax Bill Unfudged'!J$2:J$498)</f>
        <v>244127</v>
      </c>
      <c r="AC143" s="56">
        <f t="shared" si="100"/>
        <v>71808</v>
      </c>
      <c r="AD143" s="51">
        <f t="shared" si="101"/>
        <v>393955</v>
      </c>
      <c r="AE143" s="13">
        <f t="shared" si="102"/>
        <v>299505</v>
      </c>
      <c r="AF143" s="56">
        <f t="shared" si="103"/>
        <v>94450</v>
      </c>
      <c r="AG143" s="13">
        <f t="shared" si="104"/>
        <v>2387.6060606060605</v>
      </c>
      <c r="AH143" s="13">
        <f t="shared" si="105"/>
        <v>1815.1818181818182</v>
      </c>
      <c r="AI143" s="16">
        <f t="shared" si="106"/>
        <v>572.42424242424238</v>
      </c>
      <c r="AJ143" s="15">
        <f t="shared" si="107"/>
        <v>0</v>
      </c>
      <c r="AK143" s="13">
        <f t="shared" si="108"/>
        <v>0</v>
      </c>
      <c r="AL143" s="56">
        <f t="shared" si="109"/>
        <v>0</v>
      </c>
      <c r="AM143" s="51">
        <f t="shared" si="110"/>
        <v>69790</v>
      </c>
      <c r="AN143" s="13">
        <f t="shared" si="111"/>
        <v>49536</v>
      </c>
      <c r="AO143" s="56">
        <f t="shared" si="112"/>
        <v>20254</v>
      </c>
      <c r="AP143" s="51">
        <f t="shared" si="113"/>
        <v>-69790</v>
      </c>
      <c r="AQ143" s="13">
        <f t="shared" si="114"/>
        <v>-69790</v>
      </c>
      <c r="AR143" s="56">
        <f t="shared" si="115"/>
        <v>0</v>
      </c>
      <c r="AS143" s="51">
        <f t="shared" si="116"/>
        <v>0</v>
      </c>
      <c r="AT143" s="13">
        <f t="shared" si="117"/>
        <v>-20254</v>
      </c>
      <c r="AU143" s="56">
        <f t="shared" si="118"/>
        <v>20254</v>
      </c>
      <c r="AV143" s="13">
        <f t="shared" si="119"/>
        <v>0</v>
      </c>
      <c r="AW143" s="13">
        <f t="shared" si="120"/>
        <v>-122.75151515151515</v>
      </c>
      <c r="AX143" s="16">
        <f t="shared" si="121"/>
        <v>122.75151515151509</v>
      </c>
    </row>
    <row r="144" spans="1:50" ht="15" customHeight="1" x14ac:dyDescent="0.25">
      <c r="A144" s="20">
        <v>413</v>
      </c>
      <c r="B144">
        <v>52</v>
      </c>
      <c r="C144" s="23" t="s">
        <v>260</v>
      </c>
      <c r="D144" s="23">
        <v>4</v>
      </c>
      <c r="E144" s="15">
        <f>+SUMIF('GE16FEB14 Unfudged'!$A$2:$A$498, $A144, 'GE16FEB14 Unfudged'!$D$2:$D$498)</f>
        <v>2533</v>
      </c>
      <c r="F144" s="15">
        <f>+SUMIF('GE16FEB14 Unfudged'!$A$2:$A$498, 'Tax Bill Summary'!$A144, 'GE16FEB14 Unfudged'!E$2:E$498)</f>
        <v>344021</v>
      </c>
      <c r="G144" s="13">
        <f>+SUMIF('GE16FEB14 Unfudged'!$A$2:$A$498, 'Tax Bill Summary'!$A144, 'GE16FEB14 Unfudged'!F$2:F$498)</f>
        <v>273460</v>
      </c>
      <c r="H144" s="56">
        <f t="shared" si="89"/>
        <v>70561</v>
      </c>
      <c r="I144" s="51">
        <f>+SUMIF('GE16FEB14 Unfudged'!$A$2:$A$498, 'Tax Bill Summary'!$A144, 'GE16FEB14 Unfudged'!G$2:G$498)</f>
        <v>537038</v>
      </c>
      <c r="J144" s="13">
        <f>+SUMIF('GE16FEB14 Unfudged'!$A$2:$A$498, 'Tax Bill Summary'!$A144, 'GE16FEB14 Unfudged'!H$2:H$498)</f>
        <v>426888</v>
      </c>
      <c r="K144" s="56">
        <f t="shared" si="90"/>
        <v>110150</v>
      </c>
      <c r="L144" s="51">
        <f>+SUMIF('GE16FEB14 Unfudged'!$A$2:$A$498, 'Tax Bill Summary'!$A144, 'GE16FEB14 Unfudged'!I$2:IF$498)</f>
        <v>1212770</v>
      </c>
      <c r="M144" s="13">
        <f>+SUMIF('GE16FEB14 Unfudged'!$A$2:$A$498, 'Tax Bill Summary'!$A144, 'GE16FEB14 Unfudged'!J$2:IG$498)</f>
        <v>710032</v>
      </c>
      <c r="N144" s="56">
        <f t="shared" si="91"/>
        <v>502738</v>
      </c>
      <c r="O144" s="51">
        <f t="shared" si="92"/>
        <v>2093829</v>
      </c>
      <c r="P144" s="13">
        <f t="shared" si="93"/>
        <v>1410380</v>
      </c>
      <c r="Q144" s="56">
        <f t="shared" si="94"/>
        <v>683449</v>
      </c>
      <c r="R144" s="13">
        <f t="shared" si="95"/>
        <v>826.62021318594554</v>
      </c>
      <c r="S144" s="13">
        <f t="shared" si="96"/>
        <v>556.80221081721277</v>
      </c>
      <c r="T144" s="16">
        <f t="shared" si="97"/>
        <v>269.81800236873272</v>
      </c>
      <c r="U144" s="15">
        <f>+SUMIF('GE16FEB14 Tax Bill Unfudged'!$A$2:$A$498, 'Tax Bill Summary'!$A144, 'GE16FEB14 Tax Bill Unfudged'!E$2:E$498)</f>
        <v>364781</v>
      </c>
      <c r="V144" s="13">
        <f>+SUMIF('GE16FEB14 Tax Bill Unfudged'!$A$2:$A$498, 'Tax Bill Summary'!$A144, 'GE16FEB14 Tax Bill Unfudged'!F$2:F$498)</f>
        <v>289962</v>
      </c>
      <c r="W144" s="56">
        <f t="shared" si="98"/>
        <v>74819</v>
      </c>
      <c r="X144" s="51">
        <f>+SUMIF('GE16FEB14 Tax Bill Unfudged'!$A$2:$A$498, 'Tax Bill Summary'!$A144, 'GE16FEB14 Tax Bill Unfudged'!G$2:G$498)</f>
        <v>1074077</v>
      </c>
      <c r="Y144" s="13">
        <f>+SUMIF('GE16FEB14 Tax Bill Unfudged'!$A$2:$A$498, 'Tax Bill Summary'!$A144, 'GE16FEB14 Tax Bill Unfudged'!H$2:H$498)</f>
        <v>853778</v>
      </c>
      <c r="Z144" s="56">
        <f t="shared" si="99"/>
        <v>220299</v>
      </c>
      <c r="AA144" s="51">
        <f>+SUMIF('GE16FEB14 Tax Bill Unfudged'!$A$2:$A$498, 'Tax Bill Summary'!$A144, 'GE16FEB14 Tax Bill Unfudged'!I$2:I$498)</f>
        <v>759960</v>
      </c>
      <c r="AB144" s="13">
        <f>+SUMIF('GE16FEB14 Tax Bill Unfudged'!$A$2:$A$498, 'Tax Bill Summary'!$A144, 'GE16FEB14 Tax Bill Unfudged'!J$2:J$498)</f>
        <v>350096</v>
      </c>
      <c r="AC144" s="56">
        <f t="shared" si="100"/>
        <v>409864</v>
      </c>
      <c r="AD144" s="51">
        <f t="shared" si="101"/>
        <v>2198818</v>
      </c>
      <c r="AE144" s="13">
        <f t="shared" si="102"/>
        <v>1493836</v>
      </c>
      <c r="AF144" s="56">
        <f t="shared" si="103"/>
        <v>704982</v>
      </c>
      <c r="AG144" s="13">
        <f t="shared" si="104"/>
        <v>868.06869324911167</v>
      </c>
      <c r="AH144" s="13">
        <f t="shared" si="105"/>
        <v>589.74970390840895</v>
      </c>
      <c r="AI144" s="16">
        <f t="shared" si="106"/>
        <v>278.31898934070273</v>
      </c>
      <c r="AJ144" s="15">
        <f t="shared" si="107"/>
        <v>20760</v>
      </c>
      <c r="AK144" s="13">
        <f t="shared" si="108"/>
        <v>16502</v>
      </c>
      <c r="AL144" s="56">
        <f t="shared" si="109"/>
        <v>4258</v>
      </c>
      <c r="AM144" s="51">
        <f t="shared" si="110"/>
        <v>537039</v>
      </c>
      <c r="AN144" s="13">
        <f t="shared" si="111"/>
        <v>426890</v>
      </c>
      <c r="AO144" s="56">
        <f t="shared" si="112"/>
        <v>110149</v>
      </c>
      <c r="AP144" s="51">
        <f t="shared" si="113"/>
        <v>-452810</v>
      </c>
      <c r="AQ144" s="13">
        <f t="shared" si="114"/>
        <v>-359936</v>
      </c>
      <c r="AR144" s="56">
        <f t="shared" si="115"/>
        <v>-92874</v>
      </c>
      <c r="AS144" s="51">
        <f t="shared" si="116"/>
        <v>104989</v>
      </c>
      <c r="AT144" s="13">
        <f t="shared" si="117"/>
        <v>83456</v>
      </c>
      <c r="AU144" s="56">
        <f t="shared" si="118"/>
        <v>21533</v>
      </c>
      <c r="AV144" s="13">
        <f t="shared" si="119"/>
        <v>41.44848006316613</v>
      </c>
      <c r="AW144" s="13">
        <f t="shared" si="120"/>
        <v>32.947493091196179</v>
      </c>
      <c r="AX144" s="16">
        <f t="shared" si="121"/>
        <v>8.5009869719700077</v>
      </c>
    </row>
    <row r="145" spans="1:50" x14ac:dyDescent="0.25">
      <c r="A145" s="20">
        <v>414</v>
      </c>
      <c r="B145">
        <v>1</v>
      </c>
      <c r="C145" s="23" t="s">
        <v>261</v>
      </c>
      <c r="D145" s="23">
        <v>6</v>
      </c>
      <c r="E145" s="15">
        <f>+SUMIF('GE16FEB14 Unfudged'!$A$2:$A$498, $A145, 'GE16FEB14 Unfudged'!$D$2:$D$498)</f>
        <v>496</v>
      </c>
      <c r="F145" s="15">
        <f>+SUMIF('GE16FEB14 Unfudged'!$A$2:$A$498, 'Tax Bill Summary'!$A145, 'GE16FEB14 Unfudged'!E$2:E$498)</f>
        <v>61929</v>
      </c>
      <c r="G145" s="13">
        <f>+SUMIF('GE16FEB14 Unfudged'!$A$2:$A$498, 'Tax Bill Summary'!$A145, 'GE16FEB14 Unfudged'!F$2:F$498)</f>
        <v>30693</v>
      </c>
      <c r="H145" s="56">
        <f t="shared" si="89"/>
        <v>31236</v>
      </c>
      <c r="I145" s="51">
        <f>+SUMIF('GE16FEB14 Unfudged'!$A$2:$A$498, 'Tax Bill Summary'!$A145, 'GE16FEB14 Unfudged'!G$2:G$498)</f>
        <v>0</v>
      </c>
      <c r="J145" s="13">
        <f>+SUMIF('GE16FEB14 Unfudged'!$A$2:$A$498, 'Tax Bill Summary'!$A145, 'GE16FEB14 Unfudged'!H$2:H$498)</f>
        <v>0</v>
      </c>
      <c r="K145" s="56">
        <f t="shared" si="90"/>
        <v>0</v>
      </c>
      <c r="L145" s="51">
        <f>+SUMIF('GE16FEB14 Unfudged'!$A$2:$A$498, 'Tax Bill Summary'!$A145, 'GE16FEB14 Unfudged'!I$2:IF$498)</f>
        <v>357129</v>
      </c>
      <c r="M145" s="13">
        <f>+SUMIF('GE16FEB14 Unfudged'!$A$2:$A$498, 'Tax Bill Summary'!$A145, 'GE16FEB14 Unfudged'!J$2:IG$498)</f>
        <v>145970</v>
      </c>
      <c r="N145" s="56">
        <f t="shared" si="91"/>
        <v>211159</v>
      </c>
      <c r="O145" s="51">
        <f t="shared" si="92"/>
        <v>419058</v>
      </c>
      <c r="P145" s="13">
        <f t="shared" si="93"/>
        <v>176663</v>
      </c>
      <c r="Q145" s="56">
        <f t="shared" si="94"/>
        <v>242395</v>
      </c>
      <c r="R145" s="13">
        <f t="shared" si="95"/>
        <v>844.875</v>
      </c>
      <c r="S145" s="13">
        <f t="shared" si="96"/>
        <v>356.17540322580646</v>
      </c>
      <c r="T145" s="16">
        <f t="shared" si="97"/>
        <v>488.69959677419354</v>
      </c>
      <c r="U145" s="15">
        <f>+SUMIF('GE16FEB14 Tax Bill Unfudged'!$A$2:$A$498, 'Tax Bill Summary'!$A145, 'GE16FEB14 Tax Bill Unfudged'!E$2:E$498)</f>
        <v>71475</v>
      </c>
      <c r="V145" s="13">
        <f>+SUMIF('GE16FEB14 Tax Bill Unfudged'!$A$2:$A$498, 'Tax Bill Summary'!$A145, 'GE16FEB14 Tax Bill Unfudged'!F$2:F$498)</f>
        <v>35424</v>
      </c>
      <c r="W145" s="56">
        <f t="shared" si="98"/>
        <v>36051</v>
      </c>
      <c r="X145" s="51">
        <f>+SUMIF('GE16FEB14 Tax Bill Unfudged'!$A$2:$A$498, 'Tax Bill Summary'!$A145, 'GE16FEB14 Tax Bill Unfudged'!G$2:G$498)</f>
        <v>210452</v>
      </c>
      <c r="Y145" s="13">
        <f>+SUMIF('GE16FEB14 Tax Bill Unfudged'!$A$2:$A$498, 'Tax Bill Summary'!$A145, 'GE16FEB14 Tax Bill Unfudged'!H$2:H$498)</f>
        <v>104304</v>
      </c>
      <c r="Z145" s="56">
        <f t="shared" si="99"/>
        <v>106148</v>
      </c>
      <c r="AA145" s="51">
        <f>+SUMIF('GE16FEB14 Tax Bill Unfudged'!$A$2:$A$498, 'Tax Bill Summary'!$A145, 'GE16FEB14 Tax Bill Unfudged'!I$2:I$498)</f>
        <v>148905</v>
      </c>
      <c r="AB145" s="13">
        <f>+SUMIF('GE16FEB14 Tax Bill Unfudged'!$A$2:$A$498, 'Tax Bill Summary'!$A145, 'GE16FEB14 Tax Bill Unfudged'!J$2:J$498)</f>
        <v>42770</v>
      </c>
      <c r="AC145" s="56">
        <f t="shared" si="100"/>
        <v>106135</v>
      </c>
      <c r="AD145" s="51">
        <f t="shared" si="101"/>
        <v>430832</v>
      </c>
      <c r="AE145" s="13">
        <f t="shared" si="102"/>
        <v>182498</v>
      </c>
      <c r="AF145" s="56">
        <f t="shared" si="103"/>
        <v>248334</v>
      </c>
      <c r="AG145" s="13">
        <f t="shared" si="104"/>
        <v>868.61290322580646</v>
      </c>
      <c r="AH145" s="13">
        <f t="shared" si="105"/>
        <v>367.93951612903226</v>
      </c>
      <c r="AI145" s="16">
        <f t="shared" si="106"/>
        <v>500.67338709677421</v>
      </c>
      <c r="AJ145" s="15">
        <f t="shared" si="107"/>
        <v>9546</v>
      </c>
      <c r="AK145" s="13">
        <f t="shared" si="108"/>
        <v>4731</v>
      </c>
      <c r="AL145" s="56">
        <f t="shared" si="109"/>
        <v>4815</v>
      </c>
      <c r="AM145" s="51">
        <f t="shared" si="110"/>
        <v>210452</v>
      </c>
      <c r="AN145" s="13">
        <f t="shared" si="111"/>
        <v>104304</v>
      </c>
      <c r="AO145" s="56">
        <f t="shared" si="112"/>
        <v>106148</v>
      </c>
      <c r="AP145" s="51">
        <f t="shared" si="113"/>
        <v>-208224</v>
      </c>
      <c r="AQ145" s="13">
        <f t="shared" si="114"/>
        <v>-103200</v>
      </c>
      <c r="AR145" s="56">
        <f t="shared" si="115"/>
        <v>-105024</v>
      </c>
      <c r="AS145" s="51">
        <f t="shared" si="116"/>
        <v>11774</v>
      </c>
      <c r="AT145" s="13">
        <f t="shared" si="117"/>
        <v>5835</v>
      </c>
      <c r="AU145" s="56">
        <f t="shared" si="118"/>
        <v>5939</v>
      </c>
      <c r="AV145" s="13">
        <f t="shared" si="119"/>
        <v>23.737903225806463</v>
      </c>
      <c r="AW145" s="13">
        <f t="shared" si="120"/>
        <v>11.764112903225794</v>
      </c>
      <c r="AX145" s="16">
        <f t="shared" si="121"/>
        <v>11.973790322580669</v>
      </c>
    </row>
    <row r="146" spans="1:50" x14ac:dyDescent="0.25">
      <c r="A146" s="20">
        <v>415</v>
      </c>
      <c r="B146">
        <v>1</v>
      </c>
      <c r="C146" s="23" t="s">
        <v>262</v>
      </c>
      <c r="D146" s="23">
        <v>6</v>
      </c>
      <c r="E146" s="15">
        <f>+SUMIF('GE16FEB14 Unfudged'!$A$2:$A$498, $A146, 'GE16FEB14 Unfudged'!$D$2:$D$498)</f>
        <v>165</v>
      </c>
      <c r="F146" s="15">
        <f>+SUMIF('GE16FEB14 Unfudged'!$A$2:$A$498, 'Tax Bill Summary'!$A146, 'GE16FEB14 Unfudged'!E$2:E$498)</f>
        <v>12858</v>
      </c>
      <c r="G146" s="13">
        <f>+SUMIF('GE16FEB14 Unfudged'!$A$2:$A$498, 'Tax Bill Summary'!$A146, 'GE16FEB14 Unfudged'!F$2:F$498)</f>
        <v>9554</v>
      </c>
      <c r="H146" s="56">
        <f t="shared" si="89"/>
        <v>3304</v>
      </c>
      <c r="I146" s="51">
        <f>+SUMIF('GE16FEB14 Unfudged'!$A$2:$A$498, 'Tax Bill Summary'!$A146, 'GE16FEB14 Unfudged'!G$2:G$498)</f>
        <v>0</v>
      </c>
      <c r="J146" s="13">
        <f>+SUMIF('GE16FEB14 Unfudged'!$A$2:$A$498, 'Tax Bill Summary'!$A146, 'GE16FEB14 Unfudged'!H$2:H$498)</f>
        <v>0</v>
      </c>
      <c r="K146" s="56">
        <f t="shared" si="90"/>
        <v>0</v>
      </c>
      <c r="L146" s="51">
        <f>+SUMIF('GE16FEB14 Unfudged'!$A$2:$A$498, 'Tax Bill Summary'!$A146, 'GE16FEB14 Unfudged'!I$2:IF$498)</f>
        <v>285927</v>
      </c>
      <c r="M146" s="13">
        <f>+SUMIF('GE16FEB14 Unfudged'!$A$2:$A$498, 'Tax Bill Summary'!$A146, 'GE16FEB14 Unfudged'!J$2:IG$498)</f>
        <v>238352</v>
      </c>
      <c r="N146" s="56">
        <f t="shared" si="91"/>
        <v>47575</v>
      </c>
      <c r="O146" s="51">
        <f t="shared" si="92"/>
        <v>298785</v>
      </c>
      <c r="P146" s="13">
        <f t="shared" si="93"/>
        <v>247906</v>
      </c>
      <c r="Q146" s="56">
        <f t="shared" si="94"/>
        <v>50879</v>
      </c>
      <c r="R146" s="13">
        <f t="shared" si="95"/>
        <v>1810.8181818181818</v>
      </c>
      <c r="S146" s="13">
        <f t="shared" si="96"/>
        <v>1502.4606060606061</v>
      </c>
      <c r="T146" s="16">
        <f t="shared" si="97"/>
        <v>308.35757575757577</v>
      </c>
      <c r="U146" s="15">
        <f>+SUMIF('GE16FEB14 Tax Bill Unfudged'!$A$2:$A$498, 'Tax Bill Summary'!$A146, 'GE16FEB14 Tax Bill Unfudged'!E$2:E$498)</f>
        <v>13603</v>
      </c>
      <c r="V146" s="13">
        <f>+SUMIF('GE16FEB14 Tax Bill Unfudged'!$A$2:$A$498, 'Tax Bill Summary'!$A146, 'GE16FEB14 Tax Bill Unfudged'!F$2:F$498)</f>
        <v>10107</v>
      </c>
      <c r="W146" s="56">
        <f t="shared" si="98"/>
        <v>3496</v>
      </c>
      <c r="X146" s="51">
        <f>+SUMIF('GE16FEB14 Tax Bill Unfudged'!$A$2:$A$498, 'Tax Bill Summary'!$A146, 'GE16FEB14 Tax Bill Unfudged'!G$2:G$498)</f>
        <v>69790</v>
      </c>
      <c r="Y146" s="13">
        <f>+SUMIF('GE16FEB14 Tax Bill Unfudged'!$A$2:$A$498, 'Tax Bill Summary'!$A146, 'GE16FEB14 Tax Bill Unfudged'!H$2:H$498)</f>
        <v>51854</v>
      </c>
      <c r="Z146" s="56">
        <f t="shared" si="99"/>
        <v>17936</v>
      </c>
      <c r="AA146" s="51">
        <f>+SUMIF('GE16FEB14 Tax Bill Unfudged'!$A$2:$A$498, 'Tax Bill Summary'!$A146, 'GE16FEB14 Tax Bill Unfudged'!I$2:I$498)</f>
        <v>216136</v>
      </c>
      <c r="AB146" s="13">
        <f>+SUMIF('GE16FEB14 Tax Bill Unfudged'!$A$2:$A$498, 'Tax Bill Summary'!$A146, 'GE16FEB14 Tax Bill Unfudged'!J$2:J$498)</f>
        <v>168561</v>
      </c>
      <c r="AC146" s="56">
        <f t="shared" si="100"/>
        <v>47575</v>
      </c>
      <c r="AD146" s="51">
        <f t="shared" si="101"/>
        <v>299529</v>
      </c>
      <c r="AE146" s="13">
        <f t="shared" si="102"/>
        <v>230522</v>
      </c>
      <c r="AF146" s="56">
        <f t="shared" si="103"/>
        <v>69007</v>
      </c>
      <c r="AG146" s="13">
        <f t="shared" si="104"/>
        <v>1815.3272727272727</v>
      </c>
      <c r="AH146" s="13">
        <f t="shared" si="105"/>
        <v>1397.1030303030302</v>
      </c>
      <c r="AI146" s="16">
        <f t="shared" si="106"/>
        <v>418.22424242424245</v>
      </c>
      <c r="AJ146" s="15">
        <f t="shared" si="107"/>
        <v>745</v>
      </c>
      <c r="AK146" s="13">
        <f t="shared" si="108"/>
        <v>553</v>
      </c>
      <c r="AL146" s="56">
        <f t="shared" si="109"/>
        <v>192</v>
      </c>
      <c r="AM146" s="51">
        <f t="shared" si="110"/>
        <v>69790</v>
      </c>
      <c r="AN146" s="13">
        <f t="shared" si="111"/>
        <v>51854</v>
      </c>
      <c r="AO146" s="56">
        <f t="shared" si="112"/>
        <v>17936</v>
      </c>
      <c r="AP146" s="51">
        <f t="shared" si="113"/>
        <v>-69791</v>
      </c>
      <c r="AQ146" s="13">
        <f t="shared" si="114"/>
        <v>-69791</v>
      </c>
      <c r="AR146" s="56">
        <f t="shared" si="115"/>
        <v>0</v>
      </c>
      <c r="AS146" s="51">
        <f t="shared" si="116"/>
        <v>744</v>
      </c>
      <c r="AT146" s="13">
        <f t="shared" si="117"/>
        <v>-17384</v>
      </c>
      <c r="AU146" s="56">
        <f t="shared" si="118"/>
        <v>18128</v>
      </c>
      <c r="AV146" s="13">
        <f t="shared" si="119"/>
        <v>4.5090909090909008</v>
      </c>
      <c r="AW146" s="13">
        <f t="shared" si="120"/>
        <v>-105.35757575757589</v>
      </c>
      <c r="AX146" s="16">
        <f t="shared" si="121"/>
        <v>109.86666666666667</v>
      </c>
    </row>
    <row r="147" spans="1:50" x14ac:dyDescent="0.25">
      <c r="A147" s="20">
        <v>423</v>
      </c>
      <c r="B147">
        <v>1</v>
      </c>
      <c r="C147" s="23" t="s">
        <v>263</v>
      </c>
      <c r="D147" s="23">
        <v>4</v>
      </c>
      <c r="E147" s="15">
        <f>+SUMIF('GE16FEB14 Unfudged'!$A$2:$A$498, $A147, 'GE16FEB14 Unfudged'!$D$2:$D$498)</f>
        <v>3139</v>
      </c>
      <c r="F147" s="15">
        <f>+SUMIF('GE16FEB14 Unfudged'!$A$2:$A$498, 'Tax Bill Summary'!$A147, 'GE16FEB14 Unfudged'!E$2:E$498)</f>
        <v>376875</v>
      </c>
      <c r="G147" s="13">
        <f>+SUMIF('GE16FEB14 Unfudged'!$A$2:$A$498, 'Tax Bill Summary'!$A147, 'GE16FEB14 Unfudged'!F$2:F$498)</f>
        <v>266183</v>
      </c>
      <c r="H147" s="56">
        <f t="shared" si="89"/>
        <v>110692</v>
      </c>
      <c r="I147" s="51">
        <f>+SUMIF('GE16FEB14 Unfudged'!$A$2:$A$498, 'Tax Bill Summary'!$A147, 'GE16FEB14 Unfudged'!G$2:G$498)</f>
        <v>665553</v>
      </c>
      <c r="J147" s="13">
        <f>+SUMIF('GE16FEB14 Unfudged'!$A$2:$A$498, 'Tax Bill Summary'!$A147, 'GE16FEB14 Unfudged'!H$2:H$498)</f>
        <v>470073</v>
      </c>
      <c r="K147" s="56">
        <f t="shared" si="90"/>
        <v>195480</v>
      </c>
      <c r="L147" s="51">
        <f>+SUMIF('GE16FEB14 Unfudged'!$A$2:$A$498, 'Tax Bill Summary'!$A147, 'GE16FEB14 Unfudged'!I$2:IF$498)</f>
        <v>2582062</v>
      </c>
      <c r="M147" s="13">
        <f>+SUMIF('GE16FEB14 Unfudged'!$A$2:$A$498, 'Tax Bill Summary'!$A147, 'GE16FEB14 Unfudged'!J$2:IG$498)</f>
        <v>1601599</v>
      </c>
      <c r="N147" s="56">
        <f t="shared" si="91"/>
        <v>980463</v>
      </c>
      <c r="O147" s="51">
        <f t="shared" si="92"/>
        <v>3624490</v>
      </c>
      <c r="P147" s="13">
        <f t="shared" si="93"/>
        <v>2337855</v>
      </c>
      <c r="Q147" s="56">
        <f t="shared" si="94"/>
        <v>1286635</v>
      </c>
      <c r="R147" s="13">
        <f t="shared" si="95"/>
        <v>1154.6639057024531</v>
      </c>
      <c r="S147" s="13">
        <f t="shared" si="96"/>
        <v>744.77699904428164</v>
      </c>
      <c r="T147" s="16">
        <f t="shared" si="97"/>
        <v>409.88690665817137</v>
      </c>
      <c r="U147" s="15">
        <f>+SUMIF('GE16FEB14 Tax Bill Unfudged'!$A$2:$A$498, 'Tax Bill Summary'!$A147, 'GE16FEB14 Tax Bill Unfudged'!E$2:E$498)</f>
        <v>393045</v>
      </c>
      <c r="V147" s="13">
        <f>+SUMIF('GE16FEB14 Tax Bill Unfudged'!$A$2:$A$498, 'Tax Bill Summary'!$A147, 'GE16FEB14 Tax Bill Unfudged'!F$2:F$498)</f>
        <v>277603</v>
      </c>
      <c r="W147" s="56">
        <f t="shared" si="98"/>
        <v>115442</v>
      </c>
      <c r="X147" s="51">
        <f>+SUMIF('GE16FEB14 Tax Bill Unfudged'!$A$2:$A$498, 'Tax Bill Summary'!$A147, 'GE16FEB14 Tax Bill Unfudged'!G$2:G$498)</f>
        <v>1331106</v>
      </c>
      <c r="Y147" s="13">
        <f>+SUMIF('GE16FEB14 Tax Bill Unfudged'!$A$2:$A$498, 'Tax Bill Summary'!$A147, 'GE16FEB14 Tax Bill Unfudged'!H$2:H$498)</f>
        <v>940145</v>
      </c>
      <c r="Z147" s="56">
        <f t="shared" si="99"/>
        <v>390961</v>
      </c>
      <c r="AA147" s="51">
        <f>+SUMIF('GE16FEB14 Tax Bill Unfudged'!$A$2:$A$498, 'Tax Bill Summary'!$A147, 'GE16FEB14 Tax Bill Unfudged'!I$2:I$498)</f>
        <v>1916510</v>
      </c>
      <c r="AB147" s="13">
        <f>+SUMIF('GE16FEB14 Tax Bill Unfudged'!$A$2:$A$498, 'Tax Bill Summary'!$A147, 'GE16FEB14 Tax Bill Unfudged'!J$2:J$498)</f>
        <v>1073925</v>
      </c>
      <c r="AC147" s="56">
        <f t="shared" si="100"/>
        <v>842585</v>
      </c>
      <c r="AD147" s="51">
        <f t="shared" si="101"/>
        <v>3640661</v>
      </c>
      <c r="AE147" s="13">
        <f t="shared" si="102"/>
        <v>2291673</v>
      </c>
      <c r="AF147" s="56">
        <f t="shared" si="103"/>
        <v>1348988</v>
      </c>
      <c r="AG147" s="13">
        <f t="shared" si="104"/>
        <v>1159.8155463523415</v>
      </c>
      <c r="AH147" s="13">
        <f t="shared" si="105"/>
        <v>730.06467027715837</v>
      </c>
      <c r="AI147" s="16">
        <f t="shared" si="106"/>
        <v>429.75087607518316</v>
      </c>
      <c r="AJ147" s="15">
        <f t="shared" si="107"/>
        <v>16170</v>
      </c>
      <c r="AK147" s="13">
        <f t="shared" si="108"/>
        <v>11420</v>
      </c>
      <c r="AL147" s="56">
        <f t="shared" si="109"/>
        <v>4750</v>
      </c>
      <c r="AM147" s="51">
        <f t="shared" si="110"/>
        <v>665553</v>
      </c>
      <c r="AN147" s="13">
        <f t="shared" si="111"/>
        <v>470072</v>
      </c>
      <c r="AO147" s="56">
        <f t="shared" si="112"/>
        <v>195481</v>
      </c>
      <c r="AP147" s="51">
        <f t="shared" si="113"/>
        <v>-665552</v>
      </c>
      <c r="AQ147" s="13">
        <f t="shared" si="114"/>
        <v>-527674</v>
      </c>
      <c r="AR147" s="56">
        <f t="shared" si="115"/>
        <v>-137878</v>
      </c>
      <c r="AS147" s="51">
        <f t="shared" si="116"/>
        <v>16171</v>
      </c>
      <c r="AT147" s="13">
        <f t="shared" si="117"/>
        <v>-46182</v>
      </c>
      <c r="AU147" s="56">
        <f t="shared" si="118"/>
        <v>62353</v>
      </c>
      <c r="AV147" s="13">
        <f t="shared" si="119"/>
        <v>5.1516406498883498</v>
      </c>
      <c r="AW147" s="13">
        <f t="shared" si="120"/>
        <v>-14.712328767123267</v>
      </c>
      <c r="AX147" s="16">
        <f t="shared" si="121"/>
        <v>19.863969417011788</v>
      </c>
    </row>
    <row r="148" spans="1:50" x14ac:dyDescent="0.25">
      <c r="A148" s="20">
        <v>424</v>
      </c>
      <c r="B148">
        <v>1</v>
      </c>
      <c r="C148" s="23" t="s">
        <v>264</v>
      </c>
      <c r="D148" s="23">
        <v>6</v>
      </c>
      <c r="E148" s="15">
        <f>+SUMIF('GE16FEB14 Unfudged'!$A$2:$A$498, $A148, 'GE16FEB14 Unfudged'!$D$2:$D$498)</f>
        <v>419</v>
      </c>
      <c r="F148" s="15">
        <f>+SUMIF('GE16FEB14 Unfudged'!$A$2:$A$498, 'Tax Bill Summary'!$A148, 'GE16FEB14 Unfudged'!E$2:E$498)</f>
        <v>53515</v>
      </c>
      <c r="G148" s="13">
        <f>+SUMIF('GE16FEB14 Unfudged'!$A$2:$A$498, 'Tax Bill Summary'!$A148, 'GE16FEB14 Unfudged'!F$2:F$498)</f>
        <v>41161</v>
      </c>
      <c r="H148" s="56">
        <f t="shared" si="89"/>
        <v>12354</v>
      </c>
      <c r="I148" s="51">
        <f>+SUMIF('GE16FEB14 Unfudged'!$A$2:$A$498, 'Tax Bill Summary'!$A148, 'GE16FEB14 Unfudged'!G$2:G$498)</f>
        <v>177444</v>
      </c>
      <c r="J148" s="13">
        <f>+SUMIF('GE16FEB14 Unfudged'!$A$2:$A$498, 'Tax Bill Summary'!$A148, 'GE16FEB14 Unfudged'!H$2:H$498)</f>
        <v>136479</v>
      </c>
      <c r="K148" s="56">
        <f t="shared" si="90"/>
        <v>40965</v>
      </c>
      <c r="L148" s="51">
        <f>+SUMIF('GE16FEB14 Unfudged'!$A$2:$A$498, 'Tax Bill Summary'!$A148, 'GE16FEB14 Unfudged'!I$2:IF$498)</f>
        <v>272762</v>
      </c>
      <c r="M148" s="13">
        <f>+SUMIF('GE16FEB14 Unfudged'!$A$2:$A$498, 'Tax Bill Summary'!$A148, 'GE16FEB14 Unfudged'!J$2:IG$498)</f>
        <v>169191</v>
      </c>
      <c r="N148" s="56">
        <f t="shared" si="91"/>
        <v>103571</v>
      </c>
      <c r="O148" s="51">
        <f t="shared" si="92"/>
        <v>503721</v>
      </c>
      <c r="P148" s="13">
        <f t="shared" si="93"/>
        <v>346831</v>
      </c>
      <c r="Q148" s="56">
        <f t="shared" si="94"/>
        <v>156890</v>
      </c>
      <c r="R148" s="13">
        <f t="shared" si="95"/>
        <v>1202.1980906921242</v>
      </c>
      <c r="S148" s="13">
        <f t="shared" si="96"/>
        <v>827.7589498806683</v>
      </c>
      <c r="T148" s="16">
        <f t="shared" si="97"/>
        <v>374.43914081145584</v>
      </c>
      <c r="U148" s="15">
        <f>+SUMIF('GE16FEB14 Tax Bill Unfudged'!$A$2:$A$498, 'Tax Bill Summary'!$A148, 'GE16FEB14 Tax Bill Unfudged'!E$2:E$498)</f>
        <v>51349</v>
      </c>
      <c r="V148" s="13">
        <f>+SUMIF('GE16FEB14 Tax Bill Unfudged'!$A$2:$A$498, 'Tax Bill Summary'!$A148, 'GE16FEB14 Tax Bill Unfudged'!F$2:F$498)</f>
        <v>39495</v>
      </c>
      <c r="W148" s="56">
        <f t="shared" si="98"/>
        <v>11854</v>
      </c>
      <c r="X148" s="51">
        <f>+SUMIF('GE16FEB14 Tax Bill Unfudged'!$A$2:$A$498, 'Tax Bill Summary'!$A148, 'GE16FEB14 Tax Bill Unfudged'!G$2:G$498)</f>
        <v>177444</v>
      </c>
      <c r="Y148" s="13">
        <f>+SUMIF('GE16FEB14 Tax Bill Unfudged'!$A$2:$A$498, 'Tax Bill Summary'!$A148, 'GE16FEB14 Tax Bill Unfudged'!H$2:H$498)</f>
        <v>136479</v>
      </c>
      <c r="Z148" s="56">
        <f t="shared" si="99"/>
        <v>40965</v>
      </c>
      <c r="AA148" s="51">
        <f>+SUMIF('GE16FEB14 Tax Bill Unfudged'!$A$2:$A$498, 'Tax Bill Summary'!$A148, 'GE16FEB14 Tax Bill Unfudged'!I$2:I$498)</f>
        <v>272762</v>
      </c>
      <c r="AB148" s="13">
        <f>+SUMIF('GE16FEB14 Tax Bill Unfudged'!$A$2:$A$498, 'Tax Bill Summary'!$A148, 'GE16FEB14 Tax Bill Unfudged'!J$2:J$498)</f>
        <v>169191</v>
      </c>
      <c r="AC148" s="56">
        <f t="shared" si="100"/>
        <v>103571</v>
      </c>
      <c r="AD148" s="51">
        <f t="shared" si="101"/>
        <v>501555</v>
      </c>
      <c r="AE148" s="13">
        <f t="shared" si="102"/>
        <v>345165</v>
      </c>
      <c r="AF148" s="56">
        <f t="shared" si="103"/>
        <v>156390</v>
      </c>
      <c r="AG148" s="13">
        <f t="shared" si="104"/>
        <v>1197.0286396181384</v>
      </c>
      <c r="AH148" s="13">
        <f t="shared" si="105"/>
        <v>823.78281622911697</v>
      </c>
      <c r="AI148" s="16">
        <f t="shared" si="106"/>
        <v>373.2458233890215</v>
      </c>
      <c r="AJ148" s="15">
        <f t="shared" si="107"/>
        <v>-2166</v>
      </c>
      <c r="AK148" s="13">
        <f t="shared" si="108"/>
        <v>-1666</v>
      </c>
      <c r="AL148" s="56">
        <f t="shared" si="109"/>
        <v>-500</v>
      </c>
      <c r="AM148" s="51">
        <f t="shared" si="110"/>
        <v>0</v>
      </c>
      <c r="AN148" s="13">
        <f t="shared" si="111"/>
        <v>0</v>
      </c>
      <c r="AO148" s="56">
        <f t="shared" si="112"/>
        <v>0</v>
      </c>
      <c r="AP148" s="51">
        <f t="shared" si="113"/>
        <v>0</v>
      </c>
      <c r="AQ148" s="13">
        <f t="shared" si="114"/>
        <v>0</v>
      </c>
      <c r="AR148" s="56">
        <f t="shared" si="115"/>
        <v>0</v>
      </c>
      <c r="AS148" s="51">
        <f t="shared" si="116"/>
        <v>-2166</v>
      </c>
      <c r="AT148" s="13">
        <f t="shared" si="117"/>
        <v>-1666</v>
      </c>
      <c r="AU148" s="56">
        <f t="shared" si="118"/>
        <v>-500</v>
      </c>
      <c r="AV148" s="13">
        <f t="shared" si="119"/>
        <v>-5.1694510739857833</v>
      </c>
      <c r="AW148" s="13">
        <f t="shared" si="120"/>
        <v>-3.9761336515513221</v>
      </c>
      <c r="AX148" s="16">
        <f t="shared" si="121"/>
        <v>-1.1933174224343475</v>
      </c>
    </row>
    <row r="149" spans="1:50" x14ac:dyDescent="0.25">
      <c r="A149" s="20">
        <v>432</v>
      </c>
      <c r="B149">
        <v>1</v>
      </c>
      <c r="C149" s="23" t="s">
        <v>265</v>
      </c>
      <c r="D149" s="23">
        <v>6</v>
      </c>
      <c r="E149" s="15">
        <f>+SUMIF('GE16FEB14 Unfudged'!$A$2:$A$498, $A149, 'GE16FEB14 Unfudged'!$D$2:$D$498)</f>
        <v>656</v>
      </c>
      <c r="F149" s="15">
        <f>+SUMIF('GE16FEB14 Unfudged'!$A$2:$A$498, 'Tax Bill Summary'!$A149, 'GE16FEB14 Unfudged'!E$2:E$498)</f>
        <v>94493</v>
      </c>
      <c r="G149" s="13">
        <f>+SUMIF('GE16FEB14 Unfudged'!$A$2:$A$498, 'Tax Bill Summary'!$A149, 'GE16FEB14 Unfudged'!F$2:F$498)</f>
        <v>27352</v>
      </c>
      <c r="H149" s="56">
        <f t="shared" si="89"/>
        <v>67141</v>
      </c>
      <c r="I149" s="51">
        <f>+SUMIF('GE16FEB14 Unfudged'!$A$2:$A$498, 'Tax Bill Summary'!$A149, 'GE16FEB14 Unfudged'!G$2:G$498)</f>
        <v>0</v>
      </c>
      <c r="J149" s="13">
        <f>+SUMIF('GE16FEB14 Unfudged'!$A$2:$A$498, 'Tax Bill Summary'!$A149, 'GE16FEB14 Unfudged'!H$2:H$498)</f>
        <v>0</v>
      </c>
      <c r="K149" s="56">
        <f t="shared" si="90"/>
        <v>0</v>
      </c>
      <c r="L149" s="51">
        <f>+SUMIF('GE16FEB14 Unfudged'!$A$2:$A$498, 'Tax Bill Summary'!$A149, 'GE16FEB14 Unfudged'!I$2:IF$498)</f>
        <v>196860</v>
      </c>
      <c r="M149" s="13">
        <f>+SUMIF('GE16FEB14 Unfudged'!$A$2:$A$498, 'Tax Bill Summary'!$A149, 'GE16FEB14 Unfudged'!J$2:IG$498)</f>
        <v>33024</v>
      </c>
      <c r="N149" s="56">
        <f t="shared" si="91"/>
        <v>163836</v>
      </c>
      <c r="O149" s="51">
        <f t="shared" si="92"/>
        <v>291353</v>
      </c>
      <c r="P149" s="13">
        <f t="shared" si="93"/>
        <v>60376</v>
      </c>
      <c r="Q149" s="56">
        <f t="shared" si="94"/>
        <v>230977</v>
      </c>
      <c r="R149" s="13">
        <f t="shared" si="95"/>
        <v>444.13567073170731</v>
      </c>
      <c r="S149" s="13">
        <f t="shared" si="96"/>
        <v>92.036585365853654</v>
      </c>
      <c r="T149" s="16">
        <f t="shared" si="97"/>
        <v>352.09908536585368</v>
      </c>
      <c r="U149" s="15">
        <f>+SUMIF('GE16FEB14 Tax Bill Unfudged'!$A$2:$A$498, 'Tax Bill Summary'!$A149, 'GE16FEB14 Tax Bill Unfudged'!E$2:E$498)</f>
        <v>94493</v>
      </c>
      <c r="V149" s="13">
        <f>+SUMIF('GE16FEB14 Tax Bill Unfudged'!$A$2:$A$498, 'Tax Bill Summary'!$A149, 'GE16FEB14 Tax Bill Unfudged'!F$2:F$498)</f>
        <v>27352</v>
      </c>
      <c r="W149" s="56">
        <f t="shared" si="98"/>
        <v>67141</v>
      </c>
      <c r="X149" s="51">
        <f>+SUMIF('GE16FEB14 Tax Bill Unfudged'!$A$2:$A$498, 'Tax Bill Summary'!$A149, 'GE16FEB14 Tax Bill Unfudged'!G$2:G$498)</f>
        <v>278229</v>
      </c>
      <c r="Y149" s="13">
        <f>+SUMIF('GE16FEB14 Tax Bill Unfudged'!$A$2:$A$498, 'Tax Bill Summary'!$A149, 'GE16FEB14 Tax Bill Unfudged'!H$2:H$498)</f>
        <v>80536</v>
      </c>
      <c r="Z149" s="56">
        <f t="shared" si="99"/>
        <v>197693</v>
      </c>
      <c r="AA149" s="51">
        <f>+SUMIF('GE16FEB14 Tax Bill Unfudged'!$A$2:$A$498, 'Tax Bill Summary'!$A149, 'GE16FEB14 Tax Bill Unfudged'!I$2:I$498)</f>
        <v>196860</v>
      </c>
      <c r="AB149" s="13">
        <f>+SUMIF('GE16FEB14 Tax Bill Unfudged'!$A$2:$A$498, 'Tax Bill Summary'!$A149, 'GE16FEB14 Tax Bill Unfudged'!J$2:J$498)</f>
        <v>33024</v>
      </c>
      <c r="AC149" s="56">
        <f t="shared" si="100"/>
        <v>163836</v>
      </c>
      <c r="AD149" s="51">
        <f t="shared" si="101"/>
        <v>569582</v>
      </c>
      <c r="AE149" s="13">
        <f t="shared" si="102"/>
        <v>140912</v>
      </c>
      <c r="AF149" s="56">
        <f t="shared" si="103"/>
        <v>428670</v>
      </c>
      <c r="AG149" s="13">
        <f t="shared" si="104"/>
        <v>868.26524390243901</v>
      </c>
      <c r="AH149" s="13">
        <f t="shared" si="105"/>
        <v>214.80487804878049</v>
      </c>
      <c r="AI149" s="16">
        <f t="shared" si="106"/>
        <v>653.46036585365857</v>
      </c>
      <c r="AJ149" s="15">
        <f t="shared" si="107"/>
        <v>0</v>
      </c>
      <c r="AK149" s="13">
        <f t="shared" si="108"/>
        <v>0</v>
      </c>
      <c r="AL149" s="56">
        <f t="shared" si="109"/>
        <v>0</v>
      </c>
      <c r="AM149" s="51">
        <f t="shared" si="110"/>
        <v>278229</v>
      </c>
      <c r="AN149" s="13">
        <f t="shared" si="111"/>
        <v>80536</v>
      </c>
      <c r="AO149" s="56">
        <f t="shared" si="112"/>
        <v>197693</v>
      </c>
      <c r="AP149" s="51">
        <f t="shared" si="113"/>
        <v>0</v>
      </c>
      <c r="AQ149" s="13">
        <f t="shared" si="114"/>
        <v>0</v>
      </c>
      <c r="AR149" s="56">
        <f t="shared" si="115"/>
        <v>0</v>
      </c>
      <c r="AS149" s="51">
        <f t="shared" si="116"/>
        <v>278229</v>
      </c>
      <c r="AT149" s="13">
        <f t="shared" si="117"/>
        <v>80536</v>
      </c>
      <c r="AU149" s="56">
        <f t="shared" si="118"/>
        <v>197693</v>
      </c>
      <c r="AV149" s="13">
        <f t="shared" si="119"/>
        <v>424.1295731707317</v>
      </c>
      <c r="AW149" s="13">
        <f t="shared" si="120"/>
        <v>122.76829268292684</v>
      </c>
      <c r="AX149" s="16">
        <f t="shared" si="121"/>
        <v>301.36128048780489</v>
      </c>
    </row>
    <row r="150" spans="1:50" x14ac:dyDescent="0.25">
      <c r="A150" s="20">
        <v>435</v>
      </c>
      <c r="B150">
        <v>1</v>
      </c>
      <c r="C150" s="23" t="s">
        <v>266</v>
      </c>
      <c r="D150" s="23">
        <v>6</v>
      </c>
      <c r="E150" s="15">
        <f>+SUMIF('GE16FEB14 Unfudged'!$A$2:$A$498, $A150, 'GE16FEB14 Unfudged'!$D$2:$D$498)</f>
        <v>634</v>
      </c>
      <c r="F150" s="15">
        <f>+SUMIF('GE16FEB14 Unfudged'!$A$2:$A$498, 'Tax Bill Summary'!$A150, 'GE16FEB14 Unfudged'!E$2:E$498)</f>
        <v>91325</v>
      </c>
      <c r="G150" s="13">
        <f>+SUMIF('GE16FEB14 Unfudged'!$A$2:$A$498, 'Tax Bill Summary'!$A150, 'GE16FEB14 Unfudged'!F$2:F$498)</f>
        <v>40226</v>
      </c>
      <c r="H150" s="56">
        <f t="shared" ref="H150:H213" si="122">+F150-G150</f>
        <v>51099</v>
      </c>
      <c r="I150" s="51">
        <f>+SUMIF('GE16FEB14 Unfudged'!$A$2:$A$498, 'Tax Bill Summary'!$A150, 'GE16FEB14 Unfudged'!G$2:G$498)</f>
        <v>0</v>
      </c>
      <c r="J150" s="13">
        <f>+SUMIF('GE16FEB14 Unfudged'!$A$2:$A$498, 'Tax Bill Summary'!$A150, 'GE16FEB14 Unfudged'!H$2:H$498)</f>
        <v>0</v>
      </c>
      <c r="K150" s="56">
        <f t="shared" ref="K150:K213" si="123">+I150-J150</f>
        <v>0</v>
      </c>
      <c r="L150" s="51">
        <f>+SUMIF('GE16FEB14 Unfudged'!$A$2:$A$498, 'Tax Bill Summary'!$A150, 'GE16FEB14 Unfudged'!I$2:IF$498)</f>
        <v>190260</v>
      </c>
      <c r="M150" s="13">
        <f>+SUMIF('GE16FEB14 Unfudged'!$A$2:$A$498, 'Tax Bill Summary'!$A150, 'GE16FEB14 Unfudged'!J$2:IG$498)</f>
        <v>48568</v>
      </c>
      <c r="N150" s="56">
        <f t="shared" ref="N150:N213" si="124">+L150-M150</f>
        <v>141692</v>
      </c>
      <c r="O150" s="51">
        <f t="shared" ref="O150:O213" si="125">+F150+I150+L150</f>
        <v>281585</v>
      </c>
      <c r="P150" s="13">
        <f t="shared" ref="P150:P213" si="126">+G150+J150+M150</f>
        <v>88794</v>
      </c>
      <c r="Q150" s="56">
        <f t="shared" ref="Q150:Q213" si="127">+H150+K150+N150</f>
        <v>192791</v>
      </c>
      <c r="R150" s="13">
        <f t="shared" ref="R150:R213" si="128">+IF($E150=0, 0, O150/$E150)</f>
        <v>444.14037854889591</v>
      </c>
      <c r="S150" s="13">
        <f t="shared" ref="S150:S213" si="129">+IF($E150=0, 0, P150/$E150)</f>
        <v>140.05362776025237</v>
      </c>
      <c r="T150" s="16">
        <f t="shared" ref="T150:T213" si="130">+IF($E150=0, 0, Q150/$E150)</f>
        <v>304.08675078864354</v>
      </c>
      <c r="U150" s="15">
        <f>+SUMIF('GE16FEB14 Tax Bill Unfudged'!$A$2:$A$498, 'Tax Bill Summary'!$A150, 'GE16FEB14 Tax Bill Unfudged'!E$2:E$498)</f>
        <v>91325</v>
      </c>
      <c r="V150" s="13">
        <f>+SUMIF('GE16FEB14 Tax Bill Unfudged'!$A$2:$A$498, 'Tax Bill Summary'!$A150, 'GE16FEB14 Tax Bill Unfudged'!F$2:F$498)</f>
        <v>40226</v>
      </c>
      <c r="W150" s="56">
        <f t="shared" ref="W150:W213" si="131">+U150-V150</f>
        <v>51099</v>
      </c>
      <c r="X150" s="51">
        <f>+SUMIF('GE16FEB14 Tax Bill Unfudged'!$A$2:$A$498, 'Tax Bill Summary'!$A150, 'GE16FEB14 Tax Bill Unfudged'!G$2:G$498)</f>
        <v>268901</v>
      </c>
      <c r="Y150" s="13">
        <f>+SUMIF('GE16FEB14 Tax Bill Unfudged'!$A$2:$A$498, 'Tax Bill Summary'!$A150, 'GE16FEB14 Tax Bill Unfudged'!H$2:H$498)</f>
        <v>118442</v>
      </c>
      <c r="Z150" s="56">
        <f t="shared" ref="Z150:Z213" si="132">+X150-Y150</f>
        <v>150459</v>
      </c>
      <c r="AA150" s="51">
        <f>+SUMIF('GE16FEB14 Tax Bill Unfudged'!$A$2:$A$498, 'Tax Bill Summary'!$A150, 'GE16FEB14 Tax Bill Unfudged'!I$2:I$498)</f>
        <v>190260</v>
      </c>
      <c r="AB150" s="13">
        <f>+SUMIF('GE16FEB14 Tax Bill Unfudged'!$A$2:$A$498, 'Tax Bill Summary'!$A150, 'GE16FEB14 Tax Bill Unfudged'!J$2:J$498)</f>
        <v>48568</v>
      </c>
      <c r="AC150" s="56">
        <f t="shared" ref="AC150:AC213" si="133">+AA150-AB150</f>
        <v>141692</v>
      </c>
      <c r="AD150" s="51">
        <f t="shared" ref="AD150:AD213" si="134">+U150+X150+AA150</f>
        <v>550486</v>
      </c>
      <c r="AE150" s="13">
        <f t="shared" ref="AE150:AE213" si="135">+V150+Y150+AB150</f>
        <v>207236</v>
      </c>
      <c r="AF150" s="56">
        <f t="shared" ref="AF150:AF213" si="136">+W150+Z150+AC150</f>
        <v>343250</v>
      </c>
      <c r="AG150" s="13">
        <f t="shared" ref="AG150:AG213" si="137">+IF($E150=0, 0, AD150/$E150)</f>
        <v>868.2744479495268</v>
      </c>
      <c r="AH150" s="13">
        <f t="shared" ref="AH150:AH213" si="138">+IF($E150=0, 0, AE150/$E150)</f>
        <v>326.87066246056781</v>
      </c>
      <c r="AI150" s="16">
        <f t="shared" ref="AI150:AI213" si="139">+IF($E150=0, 0, AF150/$E150)</f>
        <v>541.40378548895899</v>
      </c>
      <c r="AJ150" s="15">
        <f t="shared" ref="AJ150:AJ213" si="140">+U150-F150</f>
        <v>0</v>
      </c>
      <c r="AK150" s="13">
        <f t="shared" ref="AK150:AK213" si="141">+V150-G150</f>
        <v>0</v>
      </c>
      <c r="AL150" s="56">
        <f t="shared" ref="AL150:AL213" si="142">+W150-H150</f>
        <v>0</v>
      </c>
      <c r="AM150" s="51">
        <f t="shared" ref="AM150:AM213" si="143">+X150-I150</f>
        <v>268901</v>
      </c>
      <c r="AN150" s="13">
        <f t="shared" ref="AN150:AN213" si="144">+Y150-J150</f>
        <v>118442</v>
      </c>
      <c r="AO150" s="56">
        <f t="shared" ref="AO150:AO213" si="145">+Z150-K150</f>
        <v>150459</v>
      </c>
      <c r="AP150" s="51">
        <f t="shared" ref="AP150:AP213" si="146">+AA150-L150</f>
        <v>0</v>
      </c>
      <c r="AQ150" s="13">
        <f t="shared" ref="AQ150:AQ213" si="147">+AB150-M150</f>
        <v>0</v>
      </c>
      <c r="AR150" s="56">
        <f t="shared" ref="AR150:AR213" si="148">+AC150-N150</f>
        <v>0</v>
      </c>
      <c r="AS150" s="51">
        <f t="shared" ref="AS150:AS213" si="149">+AD150-O150</f>
        <v>268901</v>
      </c>
      <c r="AT150" s="13">
        <f t="shared" ref="AT150:AT213" si="150">+AE150-P150</f>
        <v>118442</v>
      </c>
      <c r="AU150" s="56">
        <f t="shared" ref="AU150:AU213" si="151">+AF150-Q150</f>
        <v>150459</v>
      </c>
      <c r="AV150" s="13">
        <f t="shared" ref="AV150:AV213" si="152">+AG150-R150</f>
        <v>424.13406940063089</v>
      </c>
      <c r="AW150" s="13">
        <f t="shared" ref="AW150:AW213" si="153">+AH150-S150</f>
        <v>186.81703470031545</v>
      </c>
      <c r="AX150" s="16">
        <f t="shared" ref="AX150:AX213" si="154">+AI150-T150</f>
        <v>237.31703470031545</v>
      </c>
    </row>
    <row r="151" spans="1:50" x14ac:dyDescent="0.25">
      <c r="A151" s="20">
        <v>441</v>
      </c>
      <c r="B151">
        <v>1</v>
      </c>
      <c r="C151" s="23" t="s">
        <v>267</v>
      </c>
      <c r="D151" s="23">
        <v>6</v>
      </c>
      <c r="E151" s="15">
        <f>+SUMIF('GE16FEB14 Unfudged'!$A$2:$A$498, $A151, 'GE16FEB14 Unfudged'!$D$2:$D$498)</f>
        <v>432</v>
      </c>
      <c r="F151" s="15">
        <f>+SUMIF('GE16FEB14 Unfudged'!$A$2:$A$498, 'Tax Bill Summary'!$A151, 'GE16FEB14 Unfudged'!E$2:E$498)</f>
        <v>40191</v>
      </c>
      <c r="G151" s="13">
        <f>+SUMIF('GE16FEB14 Unfudged'!$A$2:$A$498, 'Tax Bill Summary'!$A151, 'GE16FEB14 Unfudged'!F$2:F$498)</f>
        <v>32017</v>
      </c>
      <c r="H151" s="56">
        <f t="shared" si="122"/>
        <v>8174</v>
      </c>
      <c r="I151" s="51">
        <f>+SUMIF('GE16FEB14 Unfudged'!$A$2:$A$498, 'Tax Bill Summary'!$A151, 'GE16FEB14 Unfudged'!G$2:G$498)</f>
        <v>0</v>
      </c>
      <c r="J151" s="13">
        <f>+SUMIF('GE16FEB14 Unfudged'!$A$2:$A$498, 'Tax Bill Summary'!$A151, 'GE16FEB14 Unfudged'!H$2:H$498)</f>
        <v>0</v>
      </c>
      <c r="K151" s="56">
        <f t="shared" si="123"/>
        <v>0</v>
      </c>
      <c r="L151" s="51">
        <f>+SUMIF('GE16FEB14 Unfudged'!$A$2:$A$498, 'Tax Bill Summary'!$A151, 'GE16FEB14 Unfudged'!I$2:IF$498)</f>
        <v>610709</v>
      </c>
      <c r="M151" s="13">
        <f>+SUMIF('GE16FEB14 Unfudged'!$A$2:$A$498, 'Tax Bill Summary'!$A151, 'GE16FEB14 Unfudged'!J$2:IG$498)</f>
        <v>500463</v>
      </c>
      <c r="N151" s="56">
        <f t="shared" si="124"/>
        <v>110246</v>
      </c>
      <c r="O151" s="51">
        <f t="shared" si="125"/>
        <v>650900</v>
      </c>
      <c r="P151" s="13">
        <f t="shared" si="126"/>
        <v>532480</v>
      </c>
      <c r="Q151" s="56">
        <f t="shared" si="127"/>
        <v>118420</v>
      </c>
      <c r="R151" s="13">
        <f t="shared" si="128"/>
        <v>1506.712962962963</v>
      </c>
      <c r="S151" s="13">
        <f t="shared" si="129"/>
        <v>1232.5925925925926</v>
      </c>
      <c r="T151" s="16">
        <f t="shared" si="130"/>
        <v>274.12037037037038</v>
      </c>
      <c r="U151" s="15">
        <f>+SUMIF('GE16FEB14 Tax Bill Unfudged'!$A$2:$A$498, 'Tax Bill Summary'!$A151, 'GE16FEB14 Tax Bill Unfudged'!E$2:E$498)</f>
        <v>44212</v>
      </c>
      <c r="V151" s="13">
        <f>+SUMIF('GE16FEB14 Tax Bill Unfudged'!$A$2:$A$498, 'Tax Bill Summary'!$A151, 'GE16FEB14 Tax Bill Unfudged'!F$2:F$498)</f>
        <v>35220</v>
      </c>
      <c r="W151" s="56">
        <f t="shared" si="131"/>
        <v>8992</v>
      </c>
      <c r="X151" s="51">
        <f>+SUMIF('GE16FEB14 Tax Bill Unfudged'!$A$2:$A$498, 'Tax Bill Summary'!$A151, 'GE16FEB14 Tax Bill Unfudged'!G$2:G$498)</f>
        <v>183274</v>
      </c>
      <c r="Y151" s="13">
        <f>+SUMIF('GE16FEB14 Tax Bill Unfudged'!$A$2:$A$498, 'Tax Bill Summary'!$A151, 'GE16FEB14 Tax Bill Unfudged'!H$2:H$498)</f>
        <v>146000</v>
      </c>
      <c r="Z151" s="56">
        <f t="shared" si="132"/>
        <v>37274</v>
      </c>
      <c r="AA151" s="51">
        <f>+SUMIF('GE16FEB14 Tax Bill Unfudged'!$A$2:$A$498, 'Tax Bill Summary'!$A151, 'GE16FEB14 Tax Bill Unfudged'!I$2:I$498)</f>
        <v>427435</v>
      </c>
      <c r="AB151" s="13">
        <f>+SUMIF('GE16FEB14 Tax Bill Unfudged'!$A$2:$A$498, 'Tax Bill Summary'!$A151, 'GE16FEB14 Tax Bill Unfudged'!J$2:J$498)</f>
        <v>317189</v>
      </c>
      <c r="AC151" s="56">
        <f t="shared" si="133"/>
        <v>110246</v>
      </c>
      <c r="AD151" s="51">
        <f t="shared" si="134"/>
        <v>654921</v>
      </c>
      <c r="AE151" s="13">
        <f t="shared" si="135"/>
        <v>498409</v>
      </c>
      <c r="AF151" s="56">
        <f t="shared" si="136"/>
        <v>156512</v>
      </c>
      <c r="AG151" s="13">
        <f t="shared" si="137"/>
        <v>1516.0208333333333</v>
      </c>
      <c r="AH151" s="13">
        <f t="shared" si="138"/>
        <v>1153.724537037037</v>
      </c>
      <c r="AI151" s="16">
        <f t="shared" si="139"/>
        <v>362.2962962962963</v>
      </c>
      <c r="AJ151" s="15">
        <f t="shared" si="140"/>
        <v>4021</v>
      </c>
      <c r="AK151" s="13">
        <f t="shared" si="141"/>
        <v>3203</v>
      </c>
      <c r="AL151" s="56">
        <f t="shared" si="142"/>
        <v>818</v>
      </c>
      <c r="AM151" s="51">
        <f t="shared" si="143"/>
        <v>183274</v>
      </c>
      <c r="AN151" s="13">
        <f t="shared" si="144"/>
        <v>146000</v>
      </c>
      <c r="AO151" s="56">
        <f t="shared" si="145"/>
        <v>37274</v>
      </c>
      <c r="AP151" s="51">
        <f t="shared" si="146"/>
        <v>-183274</v>
      </c>
      <c r="AQ151" s="13">
        <f t="shared" si="147"/>
        <v>-183274</v>
      </c>
      <c r="AR151" s="56">
        <f t="shared" si="148"/>
        <v>0</v>
      </c>
      <c r="AS151" s="51">
        <f t="shared" si="149"/>
        <v>4021</v>
      </c>
      <c r="AT151" s="13">
        <f t="shared" si="150"/>
        <v>-34071</v>
      </c>
      <c r="AU151" s="56">
        <f t="shared" si="151"/>
        <v>38092</v>
      </c>
      <c r="AV151" s="13">
        <f t="shared" si="152"/>
        <v>9.3078703703702104</v>
      </c>
      <c r="AW151" s="13">
        <f t="shared" si="153"/>
        <v>-78.868055555555657</v>
      </c>
      <c r="AX151" s="16">
        <f t="shared" si="154"/>
        <v>88.175925925925924</v>
      </c>
    </row>
    <row r="152" spans="1:50" x14ac:dyDescent="0.25">
      <c r="A152" s="20">
        <v>447</v>
      </c>
      <c r="B152">
        <v>1</v>
      </c>
      <c r="C152" s="23" t="s">
        <v>268</v>
      </c>
      <c r="D152" s="23">
        <v>6</v>
      </c>
      <c r="E152" s="15">
        <f>+SUMIF('GE16FEB14 Unfudged'!$A$2:$A$498, $A152, 'GE16FEB14 Unfudged'!$D$2:$D$498)</f>
        <v>154</v>
      </c>
      <c r="F152" s="15">
        <f>+SUMIF('GE16FEB14 Unfudged'!$A$2:$A$498, 'Tax Bill Summary'!$A152, 'GE16FEB14 Unfudged'!E$2:E$498)</f>
        <v>17782</v>
      </c>
      <c r="G152" s="13">
        <f>+SUMIF('GE16FEB14 Unfudged'!$A$2:$A$498, 'Tax Bill Summary'!$A152, 'GE16FEB14 Unfudged'!F$2:F$498)</f>
        <v>8090</v>
      </c>
      <c r="H152" s="56">
        <f t="shared" si="122"/>
        <v>9692</v>
      </c>
      <c r="I152" s="51">
        <f>+SUMIF('GE16FEB14 Unfudged'!$A$2:$A$498, 'Tax Bill Summary'!$A152, 'GE16FEB14 Unfudged'!G$2:G$498)</f>
        <v>0</v>
      </c>
      <c r="J152" s="13">
        <f>+SUMIF('GE16FEB14 Unfudged'!$A$2:$A$498, 'Tax Bill Summary'!$A152, 'GE16FEB14 Unfudged'!H$2:H$498)</f>
        <v>0</v>
      </c>
      <c r="K152" s="56">
        <f t="shared" si="123"/>
        <v>0</v>
      </c>
      <c r="L152" s="51">
        <f>+SUMIF('GE16FEB14 Unfudged'!$A$2:$A$498, 'Tax Bill Summary'!$A152, 'GE16FEB14 Unfudged'!I$2:IF$498)</f>
        <v>142048</v>
      </c>
      <c r="M152" s="13">
        <f>+SUMIF('GE16FEB14 Unfudged'!$A$2:$A$498, 'Tax Bill Summary'!$A152, 'GE16FEB14 Unfudged'!J$2:IG$498)</f>
        <v>64417</v>
      </c>
      <c r="N152" s="56">
        <f t="shared" si="124"/>
        <v>77631</v>
      </c>
      <c r="O152" s="51">
        <f t="shared" si="125"/>
        <v>159830</v>
      </c>
      <c r="P152" s="13">
        <f t="shared" si="126"/>
        <v>72507</v>
      </c>
      <c r="Q152" s="56">
        <f t="shared" si="127"/>
        <v>87323</v>
      </c>
      <c r="R152" s="13">
        <f t="shared" si="128"/>
        <v>1037.8571428571429</v>
      </c>
      <c r="S152" s="13">
        <f t="shared" si="129"/>
        <v>470.8246753246753</v>
      </c>
      <c r="T152" s="16">
        <f t="shared" si="130"/>
        <v>567.03246753246754</v>
      </c>
      <c r="U152" s="15">
        <f>+SUMIF('GE16FEB14 Tax Bill Unfudged'!$A$2:$A$498, 'Tax Bill Summary'!$A152, 'GE16FEB14 Tax Bill Unfudged'!E$2:E$498)</f>
        <v>20326</v>
      </c>
      <c r="V152" s="13">
        <f>+SUMIF('GE16FEB14 Tax Bill Unfudged'!$A$2:$A$498, 'Tax Bill Summary'!$A152, 'GE16FEB14 Tax Bill Unfudged'!F$2:F$498)</f>
        <v>9247</v>
      </c>
      <c r="W152" s="56">
        <f t="shared" si="131"/>
        <v>11079</v>
      </c>
      <c r="X152" s="51">
        <f>+SUMIF('GE16FEB14 Tax Bill Unfudged'!$A$2:$A$498, 'Tax Bill Summary'!$A152, 'GE16FEB14 Tax Bill Unfudged'!G$2:G$498)</f>
        <v>65296</v>
      </c>
      <c r="Y152" s="13">
        <f>+SUMIF('GE16FEB14 Tax Bill Unfudged'!$A$2:$A$498, 'Tax Bill Summary'!$A152, 'GE16FEB14 Tax Bill Unfudged'!H$2:H$498)</f>
        <v>29706</v>
      </c>
      <c r="Z152" s="56">
        <f t="shared" si="132"/>
        <v>35590</v>
      </c>
      <c r="AA152" s="51">
        <f>+SUMIF('GE16FEB14 Tax Bill Unfudged'!$A$2:$A$498, 'Tax Bill Summary'!$A152, 'GE16FEB14 Tax Bill Unfudged'!I$2:I$498)</f>
        <v>76752</v>
      </c>
      <c r="AB152" s="13">
        <f>+SUMIF('GE16FEB14 Tax Bill Unfudged'!$A$2:$A$498, 'Tax Bill Summary'!$A152, 'GE16FEB14 Tax Bill Unfudged'!J$2:J$498)</f>
        <v>26080</v>
      </c>
      <c r="AC152" s="56">
        <f t="shared" si="133"/>
        <v>50672</v>
      </c>
      <c r="AD152" s="51">
        <f t="shared" si="134"/>
        <v>162374</v>
      </c>
      <c r="AE152" s="13">
        <f t="shared" si="135"/>
        <v>65033</v>
      </c>
      <c r="AF152" s="56">
        <f t="shared" si="136"/>
        <v>97341</v>
      </c>
      <c r="AG152" s="13">
        <f t="shared" si="137"/>
        <v>1054.3766233766235</v>
      </c>
      <c r="AH152" s="13">
        <f t="shared" si="138"/>
        <v>422.29220779220782</v>
      </c>
      <c r="AI152" s="16">
        <f t="shared" si="139"/>
        <v>632.08441558441564</v>
      </c>
      <c r="AJ152" s="15">
        <f t="shared" si="140"/>
        <v>2544</v>
      </c>
      <c r="AK152" s="13">
        <f t="shared" si="141"/>
        <v>1157</v>
      </c>
      <c r="AL152" s="56">
        <f t="shared" si="142"/>
        <v>1387</v>
      </c>
      <c r="AM152" s="51">
        <f t="shared" si="143"/>
        <v>65296</v>
      </c>
      <c r="AN152" s="13">
        <f t="shared" si="144"/>
        <v>29706</v>
      </c>
      <c r="AO152" s="56">
        <f t="shared" si="145"/>
        <v>35590</v>
      </c>
      <c r="AP152" s="51">
        <f t="shared" si="146"/>
        <v>-65296</v>
      </c>
      <c r="AQ152" s="13">
        <f t="shared" si="147"/>
        <v>-38337</v>
      </c>
      <c r="AR152" s="56">
        <f t="shared" si="148"/>
        <v>-26959</v>
      </c>
      <c r="AS152" s="51">
        <f t="shared" si="149"/>
        <v>2544</v>
      </c>
      <c r="AT152" s="13">
        <f t="shared" si="150"/>
        <v>-7474</v>
      </c>
      <c r="AU152" s="56">
        <f t="shared" si="151"/>
        <v>10018</v>
      </c>
      <c r="AV152" s="13">
        <f t="shared" si="152"/>
        <v>16.519480519480567</v>
      </c>
      <c r="AW152" s="13">
        <f t="shared" si="153"/>
        <v>-48.532467532467479</v>
      </c>
      <c r="AX152" s="16">
        <f t="shared" si="154"/>
        <v>65.051948051948102</v>
      </c>
    </row>
    <row r="153" spans="1:50" x14ac:dyDescent="0.25">
      <c r="A153" s="20">
        <v>458</v>
      </c>
      <c r="B153">
        <v>1</v>
      </c>
      <c r="C153" s="23" t="s">
        <v>269</v>
      </c>
      <c r="D153" s="23">
        <v>6</v>
      </c>
      <c r="E153" s="15">
        <f>+SUMIF('GE16FEB14 Unfudged'!$A$2:$A$498, $A153, 'GE16FEB14 Unfudged'!$D$2:$D$498)</f>
        <v>215</v>
      </c>
      <c r="F153" s="15">
        <f>+SUMIF('GE16FEB14 Unfudged'!$A$2:$A$498, 'Tax Bill Summary'!$A153, 'GE16FEB14 Unfudged'!E$2:E$498)</f>
        <v>10740</v>
      </c>
      <c r="G153" s="13">
        <f>+SUMIF('GE16FEB14 Unfudged'!$A$2:$A$498, 'Tax Bill Summary'!$A153, 'GE16FEB14 Unfudged'!F$2:F$498)</f>
        <v>6162</v>
      </c>
      <c r="H153" s="56">
        <f t="shared" si="122"/>
        <v>4578</v>
      </c>
      <c r="I153" s="51">
        <f>+SUMIF('GE16FEB14 Unfudged'!$A$2:$A$498, 'Tax Bill Summary'!$A153, 'GE16FEB14 Unfudged'!G$2:G$498)</f>
        <v>0</v>
      </c>
      <c r="J153" s="13">
        <f>+SUMIF('GE16FEB14 Unfudged'!$A$2:$A$498, 'Tax Bill Summary'!$A153, 'GE16FEB14 Unfudged'!H$2:H$498)</f>
        <v>0</v>
      </c>
      <c r="K153" s="56">
        <f t="shared" si="123"/>
        <v>0</v>
      </c>
      <c r="L153" s="51">
        <f>+SUMIF('GE16FEB14 Unfudged'!$A$2:$A$498, 'Tax Bill Summary'!$A153, 'GE16FEB14 Unfudged'!I$2:IF$498)</f>
        <v>505104</v>
      </c>
      <c r="M153" s="13">
        <f>+SUMIF('GE16FEB14 Unfudged'!$A$2:$A$498, 'Tax Bill Summary'!$A153, 'GE16FEB14 Unfudged'!J$2:IG$498)</f>
        <v>300453</v>
      </c>
      <c r="N153" s="56">
        <f t="shared" si="124"/>
        <v>204651</v>
      </c>
      <c r="O153" s="51">
        <f t="shared" si="125"/>
        <v>515844</v>
      </c>
      <c r="P153" s="13">
        <f t="shared" si="126"/>
        <v>306615</v>
      </c>
      <c r="Q153" s="56">
        <f t="shared" si="127"/>
        <v>209229</v>
      </c>
      <c r="R153" s="13">
        <f t="shared" si="128"/>
        <v>2399.2744186046511</v>
      </c>
      <c r="S153" s="13">
        <f t="shared" si="129"/>
        <v>1426.1162790697674</v>
      </c>
      <c r="T153" s="16">
        <f t="shared" si="130"/>
        <v>973.15813953488373</v>
      </c>
      <c r="U153" s="15">
        <f>+SUMIF('GE16FEB14 Tax Bill Unfudged'!$A$2:$A$498, 'Tax Bill Summary'!$A153, 'GE16FEB14 Tax Bill Unfudged'!E$2:E$498)</f>
        <v>10740</v>
      </c>
      <c r="V153" s="13">
        <f>+SUMIF('GE16FEB14 Tax Bill Unfudged'!$A$2:$A$498, 'Tax Bill Summary'!$A153, 'GE16FEB14 Tax Bill Unfudged'!F$2:F$498)</f>
        <v>6162</v>
      </c>
      <c r="W153" s="56">
        <f t="shared" si="131"/>
        <v>4578</v>
      </c>
      <c r="X153" s="51">
        <f>+SUMIF('GE16FEB14 Tax Bill Unfudged'!$A$2:$A$498, 'Tax Bill Summary'!$A153, 'GE16FEB14 Tax Bill Unfudged'!G$2:G$498)</f>
        <v>91075</v>
      </c>
      <c r="Y153" s="13">
        <f>+SUMIF('GE16FEB14 Tax Bill Unfudged'!$A$2:$A$498, 'Tax Bill Summary'!$A153, 'GE16FEB14 Tax Bill Unfudged'!H$2:H$498)</f>
        <v>52254</v>
      </c>
      <c r="Z153" s="56">
        <f t="shared" si="132"/>
        <v>38821</v>
      </c>
      <c r="AA153" s="51">
        <f>+SUMIF('GE16FEB14 Tax Bill Unfudged'!$A$2:$A$498, 'Tax Bill Summary'!$A153, 'GE16FEB14 Tax Bill Unfudged'!I$2:I$498)</f>
        <v>414029</v>
      </c>
      <c r="AB153" s="13">
        <f>+SUMIF('GE16FEB14 Tax Bill Unfudged'!$A$2:$A$498, 'Tax Bill Summary'!$A153, 'GE16FEB14 Tax Bill Unfudged'!J$2:J$498)</f>
        <v>209378</v>
      </c>
      <c r="AC153" s="56">
        <f t="shared" si="133"/>
        <v>204651</v>
      </c>
      <c r="AD153" s="51">
        <f t="shared" si="134"/>
        <v>515844</v>
      </c>
      <c r="AE153" s="13">
        <f t="shared" si="135"/>
        <v>267794</v>
      </c>
      <c r="AF153" s="56">
        <f t="shared" si="136"/>
        <v>248050</v>
      </c>
      <c r="AG153" s="13">
        <f t="shared" si="137"/>
        <v>2399.2744186046511</v>
      </c>
      <c r="AH153" s="13">
        <f t="shared" si="138"/>
        <v>1245.5534883720929</v>
      </c>
      <c r="AI153" s="16">
        <f t="shared" si="139"/>
        <v>1153.7209302325582</v>
      </c>
      <c r="AJ153" s="15">
        <f t="shared" si="140"/>
        <v>0</v>
      </c>
      <c r="AK153" s="13">
        <f t="shared" si="141"/>
        <v>0</v>
      </c>
      <c r="AL153" s="56">
        <f t="shared" si="142"/>
        <v>0</v>
      </c>
      <c r="AM153" s="51">
        <f t="shared" si="143"/>
        <v>91075</v>
      </c>
      <c r="AN153" s="13">
        <f t="shared" si="144"/>
        <v>52254</v>
      </c>
      <c r="AO153" s="56">
        <f t="shared" si="145"/>
        <v>38821</v>
      </c>
      <c r="AP153" s="51">
        <f t="shared" si="146"/>
        <v>-91075</v>
      </c>
      <c r="AQ153" s="13">
        <f t="shared" si="147"/>
        <v>-91075</v>
      </c>
      <c r="AR153" s="56">
        <f t="shared" si="148"/>
        <v>0</v>
      </c>
      <c r="AS153" s="51">
        <f t="shared" si="149"/>
        <v>0</v>
      </c>
      <c r="AT153" s="13">
        <f t="shared" si="150"/>
        <v>-38821</v>
      </c>
      <c r="AU153" s="56">
        <f t="shared" si="151"/>
        <v>38821</v>
      </c>
      <c r="AV153" s="13">
        <f t="shared" si="152"/>
        <v>0</v>
      </c>
      <c r="AW153" s="13">
        <f t="shared" si="153"/>
        <v>-180.56279069767447</v>
      </c>
      <c r="AX153" s="16">
        <f t="shared" si="154"/>
        <v>180.56279069767447</v>
      </c>
    </row>
    <row r="154" spans="1:50" x14ac:dyDescent="0.25">
      <c r="A154" s="20">
        <v>463</v>
      </c>
      <c r="B154">
        <v>1</v>
      </c>
      <c r="C154" s="23" t="s">
        <v>270</v>
      </c>
      <c r="D154" s="23">
        <v>6</v>
      </c>
      <c r="E154" s="15">
        <f>+SUMIF('GE16FEB14 Unfudged'!$A$2:$A$498, $A154, 'GE16FEB14 Unfudged'!$D$2:$D$498)</f>
        <v>1016</v>
      </c>
      <c r="F154" s="15">
        <f>+SUMIF('GE16FEB14 Unfudged'!$A$2:$A$498, 'Tax Bill Summary'!$A154, 'GE16FEB14 Unfudged'!E$2:E$498)</f>
        <v>121341</v>
      </c>
      <c r="G154" s="13">
        <f>+SUMIF('GE16FEB14 Unfudged'!$A$2:$A$498, 'Tax Bill Summary'!$A154, 'GE16FEB14 Unfudged'!F$2:F$498)</f>
        <v>65648</v>
      </c>
      <c r="H154" s="56">
        <f t="shared" si="122"/>
        <v>55693</v>
      </c>
      <c r="I154" s="51">
        <f>+SUMIF('GE16FEB14 Unfudged'!$A$2:$A$498, 'Tax Bill Summary'!$A154, 'GE16FEB14 Unfudged'!G$2:G$498)</f>
        <v>0</v>
      </c>
      <c r="J154" s="13">
        <f>+SUMIF('GE16FEB14 Unfudged'!$A$2:$A$498, 'Tax Bill Summary'!$A154, 'GE16FEB14 Unfudged'!H$2:H$498)</f>
        <v>0</v>
      </c>
      <c r="K154" s="56">
        <f t="shared" si="123"/>
        <v>0</v>
      </c>
      <c r="L154" s="51">
        <f>+SUMIF('GE16FEB14 Unfudged'!$A$2:$A$498, 'Tax Bill Summary'!$A154, 'GE16FEB14 Unfudged'!I$2:IF$498)</f>
        <v>850174</v>
      </c>
      <c r="M154" s="13">
        <f>+SUMIF('GE16FEB14 Unfudged'!$A$2:$A$498, 'Tax Bill Summary'!$A154, 'GE16FEB14 Unfudged'!J$2:IG$498)</f>
        <v>422553</v>
      </c>
      <c r="N154" s="56">
        <f t="shared" si="124"/>
        <v>427621</v>
      </c>
      <c r="O154" s="51">
        <f t="shared" si="125"/>
        <v>971515</v>
      </c>
      <c r="P154" s="13">
        <f t="shared" si="126"/>
        <v>488201</v>
      </c>
      <c r="Q154" s="56">
        <f t="shared" si="127"/>
        <v>483314</v>
      </c>
      <c r="R154" s="13">
        <f t="shared" si="128"/>
        <v>956.21555118110234</v>
      </c>
      <c r="S154" s="13">
        <f t="shared" si="129"/>
        <v>480.51279527559058</v>
      </c>
      <c r="T154" s="16">
        <f t="shared" si="130"/>
        <v>475.70275590551182</v>
      </c>
      <c r="U154" s="15">
        <f>+SUMIF('GE16FEB14 Tax Bill Unfudged'!$A$2:$A$498, 'Tax Bill Summary'!$A154, 'GE16FEB14 Tax Bill Unfudged'!E$2:E$498)</f>
        <v>139412</v>
      </c>
      <c r="V154" s="13">
        <f>+SUMIF('GE16FEB14 Tax Bill Unfudged'!$A$2:$A$498, 'Tax Bill Summary'!$A154, 'GE16FEB14 Tax Bill Unfudged'!F$2:F$498)</f>
        <v>75425</v>
      </c>
      <c r="W154" s="56">
        <f t="shared" si="131"/>
        <v>63987</v>
      </c>
      <c r="X154" s="51">
        <f>+SUMIF('GE16FEB14 Tax Bill Unfudged'!$A$2:$A$498, 'Tax Bill Summary'!$A154, 'GE16FEB14 Tax Bill Unfudged'!G$2:G$498)</f>
        <v>430890</v>
      </c>
      <c r="Y154" s="13">
        <f>+SUMIF('GE16FEB14 Tax Bill Unfudged'!$A$2:$A$498, 'Tax Bill Summary'!$A154, 'GE16FEB14 Tax Bill Unfudged'!H$2:H$498)</f>
        <v>233121</v>
      </c>
      <c r="Z154" s="56">
        <f t="shared" si="132"/>
        <v>197769</v>
      </c>
      <c r="AA154" s="51">
        <f>+SUMIF('GE16FEB14 Tax Bill Unfudged'!$A$2:$A$498, 'Tax Bill Summary'!$A154, 'GE16FEB14 Tax Bill Unfudged'!I$2:I$498)</f>
        <v>419284</v>
      </c>
      <c r="AB154" s="13">
        <f>+SUMIF('GE16FEB14 Tax Bill Unfudged'!$A$2:$A$498, 'Tax Bill Summary'!$A154, 'GE16FEB14 Tax Bill Unfudged'!J$2:J$498)</f>
        <v>157491</v>
      </c>
      <c r="AC154" s="56">
        <f t="shared" si="133"/>
        <v>261793</v>
      </c>
      <c r="AD154" s="51">
        <f t="shared" si="134"/>
        <v>989586</v>
      </c>
      <c r="AE154" s="13">
        <f t="shared" si="135"/>
        <v>466037</v>
      </c>
      <c r="AF154" s="56">
        <f t="shared" si="136"/>
        <v>523549</v>
      </c>
      <c r="AG154" s="13">
        <f t="shared" si="137"/>
        <v>974.00196850393706</v>
      </c>
      <c r="AH154" s="13">
        <f t="shared" si="138"/>
        <v>458.69783464566927</v>
      </c>
      <c r="AI154" s="16">
        <f t="shared" si="139"/>
        <v>515.30413385826773</v>
      </c>
      <c r="AJ154" s="15">
        <f t="shared" si="140"/>
        <v>18071</v>
      </c>
      <c r="AK154" s="13">
        <f t="shared" si="141"/>
        <v>9777</v>
      </c>
      <c r="AL154" s="56">
        <f t="shared" si="142"/>
        <v>8294</v>
      </c>
      <c r="AM154" s="51">
        <f t="shared" si="143"/>
        <v>430890</v>
      </c>
      <c r="AN154" s="13">
        <f t="shared" si="144"/>
        <v>233121</v>
      </c>
      <c r="AO154" s="56">
        <f t="shared" si="145"/>
        <v>197769</v>
      </c>
      <c r="AP154" s="51">
        <f t="shared" si="146"/>
        <v>-430890</v>
      </c>
      <c r="AQ154" s="13">
        <f t="shared" si="147"/>
        <v>-265062</v>
      </c>
      <c r="AR154" s="56">
        <f t="shared" si="148"/>
        <v>-165828</v>
      </c>
      <c r="AS154" s="51">
        <f t="shared" si="149"/>
        <v>18071</v>
      </c>
      <c r="AT154" s="13">
        <f t="shared" si="150"/>
        <v>-22164</v>
      </c>
      <c r="AU154" s="56">
        <f t="shared" si="151"/>
        <v>40235</v>
      </c>
      <c r="AV154" s="13">
        <f t="shared" si="152"/>
        <v>17.786417322834723</v>
      </c>
      <c r="AW154" s="13">
        <f t="shared" si="153"/>
        <v>-21.814960629921302</v>
      </c>
      <c r="AX154" s="16">
        <f t="shared" si="154"/>
        <v>39.601377952755911</v>
      </c>
    </row>
    <row r="155" spans="1:50" x14ac:dyDescent="0.25">
      <c r="A155" s="20">
        <v>465</v>
      </c>
      <c r="B155">
        <v>1</v>
      </c>
      <c r="C155" s="23" t="s">
        <v>271</v>
      </c>
      <c r="D155" s="23">
        <v>5</v>
      </c>
      <c r="E155" s="15">
        <f>+SUMIF('GE16FEB14 Unfudged'!$A$2:$A$498, $A155, 'GE16FEB14 Unfudged'!$D$2:$D$498)</f>
        <v>1825</v>
      </c>
      <c r="F155" s="15">
        <f>+SUMIF('GE16FEB14 Unfudged'!$A$2:$A$498, 'Tax Bill Summary'!$A155, 'GE16FEB14 Unfudged'!E$2:E$498)</f>
        <v>230040</v>
      </c>
      <c r="G155" s="13">
        <f>+SUMIF('GE16FEB14 Unfudged'!$A$2:$A$498, 'Tax Bill Summary'!$A155, 'GE16FEB14 Unfudged'!F$2:F$498)</f>
        <v>155149</v>
      </c>
      <c r="H155" s="56">
        <f t="shared" si="122"/>
        <v>74891</v>
      </c>
      <c r="I155" s="51">
        <f>+SUMIF('GE16FEB14 Unfudged'!$A$2:$A$498, 'Tax Bill Summary'!$A155, 'GE16FEB14 Unfudged'!G$2:G$498)</f>
        <v>0</v>
      </c>
      <c r="J155" s="13">
        <f>+SUMIF('GE16FEB14 Unfudged'!$A$2:$A$498, 'Tax Bill Summary'!$A155, 'GE16FEB14 Unfudged'!H$2:H$498)</f>
        <v>0</v>
      </c>
      <c r="K155" s="56">
        <f t="shared" si="123"/>
        <v>0</v>
      </c>
      <c r="L155" s="51">
        <f>+SUMIF('GE16FEB14 Unfudged'!$A$2:$A$498, 'Tax Bill Summary'!$A155, 'GE16FEB14 Unfudged'!I$2:IF$498)</f>
        <v>1263631</v>
      </c>
      <c r="M155" s="13">
        <f>+SUMIF('GE16FEB14 Unfudged'!$A$2:$A$498, 'Tax Bill Summary'!$A155, 'GE16FEB14 Unfudged'!J$2:IG$498)</f>
        <v>696955</v>
      </c>
      <c r="N155" s="56">
        <f t="shared" si="124"/>
        <v>566676</v>
      </c>
      <c r="O155" s="51">
        <f t="shared" si="125"/>
        <v>1493671</v>
      </c>
      <c r="P155" s="13">
        <f t="shared" si="126"/>
        <v>852104</v>
      </c>
      <c r="Q155" s="56">
        <f t="shared" si="127"/>
        <v>641567</v>
      </c>
      <c r="R155" s="13">
        <f t="shared" si="128"/>
        <v>818.44986301369863</v>
      </c>
      <c r="S155" s="13">
        <f t="shared" si="129"/>
        <v>466.906301369863</v>
      </c>
      <c r="T155" s="16">
        <f t="shared" si="130"/>
        <v>351.54356164383563</v>
      </c>
      <c r="U155" s="15">
        <f>+SUMIF('GE16FEB14 Tax Bill Unfudged'!$A$2:$A$498, 'Tax Bill Summary'!$A155, 'GE16FEB14 Tax Bill Unfudged'!E$2:E$498)</f>
        <v>262865</v>
      </c>
      <c r="V155" s="13">
        <f>+SUMIF('GE16FEB14 Tax Bill Unfudged'!$A$2:$A$498, 'Tax Bill Summary'!$A155, 'GE16FEB14 Tax Bill Unfudged'!F$2:F$498)</f>
        <v>177288</v>
      </c>
      <c r="W155" s="56">
        <f t="shared" si="131"/>
        <v>85577</v>
      </c>
      <c r="X155" s="51">
        <f>+SUMIF('GE16FEB14 Tax Bill Unfudged'!$A$2:$A$498, 'Tax Bill Summary'!$A155, 'GE16FEB14 Tax Bill Unfudged'!G$2:G$498)</f>
        <v>773991</v>
      </c>
      <c r="Y155" s="13">
        <f>+SUMIF('GE16FEB14 Tax Bill Unfudged'!$A$2:$A$498, 'Tax Bill Summary'!$A155, 'GE16FEB14 Tax Bill Unfudged'!H$2:H$498)</f>
        <v>522014</v>
      </c>
      <c r="Z155" s="56">
        <f t="shared" si="132"/>
        <v>251977</v>
      </c>
      <c r="AA155" s="51">
        <f>+SUMIF('GE16FEB14 Tax Bill Unfudged'!$A$2:$A$498, 'Tax Bill Summary'!$A155, 'GE16FEB14 Tax Bill Unfudged'!I$2:I$498)</f>
        <v>547635</v>
      </c>
      <c r="AB155" s="13">
        <f>+SUMIF('GE16FEB14 Tax Bill Unfudged'!$A$2:$A$498, 'Tax Bill Summary'!$A155, 'GE16FEB14 Tax Bill Unfudged'!J$2:J$498)</f>
        <v>214055</v>
      </c>
      <c r="AC155" s="56">
        <f t="shared" si="133"/>
        <v>333580</v>
      </c>
      <c r="AD155" s="51">
        <f t="shared" si="134"/>
        <v>1584491</v>
      </c>
      <c r="AE155" s="13">
        <f t="shared" si="135"/>
        <v>913357</v>
      </c>
      <c r="AF155" s="56">
        <f t="shared" si="136"/>
        <v>671134</v>
      </c>
      <c r="AG155" s="13">
        <f t="shared" si="137"/>
        <v>868.21424657534249</v>
      </c>
      <c r="AH155" s="13">
        <f t="shared" si="138"/>
        <v>500.4695890410959</v>
      </c>
      <c r="AI155" s="16">
        <f t="shared" si="139"/>
        <v>367.74465753424658</v>
      </c>
      <c r="AJ155" s="15">
        <f t="shared" si="140"/>
        <v>32825</v>
      </c>
      <c r="AK155" s="13">
        <f t="shared" si="141"/>
        <v>22139</v>
      </c>
      <c r="AL155" s="56">
        <f t="shared" si="142"/>
        <v>10686</v>
      </c>
      <c r="AM155" s="51">
        <f t="shared" si="143"/>
        <v>773991</v>
      </c>
      <c r="AN155" s="13">
        <f t="shared" si="144"/>
        <v>522014</v>
      </c>
      <c r="AO155" s="56">
        <f t="shared" si="145"/>
        <v>251977</v>
      </c>
      <c r="AP155" s="51">
        <f t="shared" si="146"/>
        <v>-715996</v>
      </c>
      <c r="AQ155" s="13">
        <f t="shared" si="147"/>
        <v>-482900</v>
      </c>
      <c r="AR155" s="56">
        <f t="shared" si="148"/>
        <v>-233096</v>
      </c>
      <c r="AS155" s="51">
        <f t="shared" si="149"/>
        <v>90820</v>
      </c>
      <c r="AT155" s="13">
        <f t="shared" si="150"/>
        <v>61253</v>
      </c>
      <c r="AU155" s="56">
        <f t="shared" si="151"/>
        <v>29567</v>
      </c>
      <c r="AV155" s="13">
        <f t="shared" si="152"/>
        <v>49.764383561643854</v>
      </c>
      <c r="AW155" s="13">
        <f t="shared" si="153"/>
        <v>33.563287671232899</v>
      </c>
      <c r="AX155" s="16">
        <f t="shared" si="154"/>
        <v>16.201095890410954</v>
      </c>
    </row>
    <row r="156" spans="1:50" x14ac:dyDescent="0.25">
      <c r="A156" s="20">
        <v>466</v>
      </c>
      <c r="B156">
        <v>1</v>
      </c>
      <c r="C156" s="23" t="s">
        <v>272</v>
      </c>
      <c r="D156" s="23">
        <v>4</v>
      </c>
      <c r="E156" s="15">
        <f>+SUMIF('GE16FEB14 Unfudged'!$A$2:$A$498, $A156, 'GE16FEB14 Unfudged'!$D$2:$D$498)</f>
        <v>2387</v>
      </c>
      <c r="F156" s="15">
        <f>+SUMIF('GE16FEB14 Unfudged'!$A$2:$A$498, 'Tax Bill Summary'!$A156, 'GE16FEB14 Unfudged'!E$2:E$498)</f>
        <v>342737</v>
      </c>
      <c r="G156" s="13">
        <f>+SUMIF('GE16FEB14 Unfudged'!$A$2:$A$498, 'Tax Bill Summary'!$A156, 'GE16FEB14 Unfudged'!F$2:F$498)</f>
        <v>186677</v>
      </c>
      <c r="H156" s="56">
        <f t="shared" si="122"/>
        <v>156060</v>
      </c>
      <c r="I156" s="51">
        <f>+SUMIF('GE16FEB14 Unfudged'!$A$2:$A$498, 'Tax Bill Summary'!$A156, 'GE16FEB14 Unfudged'!G$2:G$498)</f>
        <v>505959</v>
      </c>
      <c r="J156" s="13">
        <f>+SUMIF('GE16FEB14 Unfudged'!$A$2:$A$498, 'Tax Bill Summary'!$A156, 'GE16FEB14 Unfudged'!H$2:H$498)</f>
        <v>275579</v>
      </c>
      <c r="K156" s="56">
        <f t="shared" si="123"/>
        <v>230380</v>
      </c>
      <c r="L156" s="51">
        <f>+SUMIF('GE16FEB14 Unfudged'!$A$2:$A$498, 'Tax Bill Summary'!$A156, 'GE16FEB14 Unfudged'!I$2:IF$498)</f>
        <v>736338</v>
      </c>
      <c r="M156" s="13">
        <f>+SUMIF('GE16FEB14 Unfudged'!$A$2:$A$498, 'Tax Bill Summary'!$A156, 'GE16FEB14 Unfudged'!J$2:IG$498)</f>
        <v>237093</v>
      </c>
      <c r="N156" s="56">
        <f t="shared" si="124"/>
        <v>499245</v>
      </c>
      <c r="O156" s="51">
        <f t="shared" si="125"/>
        <v>1585034</v>
      </c>
      <c r="P156" s="13">
        <f t="shared" si="126"/>
        <v>699349</v>
      </c>
      <c r="Q156" s="56">
        <f t="shared" si="127"/>
        <v>885685</v>
      </c>
      <c r="R156" s="13">
        <f t="shared" si="128"/>
        <v>664.02764976958531</v>
      </c>
      <c r="S156" s="13">
        <f t="shared" si="129"/>
        <v>292.98240469208213</v>
      </c>
      <c r="T156" s="16">
        <f t="shared" si="130"/>
        <v>371.04524507750313</v>
      </c>
      <c r="U156" s="15">
        <f>+SUMIF('GE16FEB14 Tax Bill Unfudged'!$A$2:$A$498, 'Tax Bill Summary'!$A156, 'GE16FEB14 Tax Bill Unfudged'!E$2:E$498)</f>
        <v>342438</v>
      </c>
      <c r="V156" s="13">
        <f>+SUMIF('GE16FEB14 Tax Bill Unfudged'!$A$2:$A$498, 'Tax Bill Summary'!$A156, 'GE16FEB14 Tax Bill Unfudged'!F$2:F$498)</f>
        <v>186514</v>
      </c>
      <c r="W156" s="56">
        <f t="shared" si="131"/>
        <v>155924</v>
      </c>
      <c r="X156" s="51">
        <f>+SUMIF('GE16FEB14 Tax Bill Unfudged'!$A$2:$A$498, 'Tax Bill Summary'!$A156, 'GE16FEB14 Tax Bill Unfudged'!G$2:G$498)</f>
        <v>1011918</v>
      </c>
      <c r="Y156" s="13">
        <f>+SUMIF('GE16FEB14 Tax Bill Unfudged'!$A$2:$A$498, 'Tax Bill Summary'!$A156, 'GE16FEB14 Tax Bill Unfudged'!H$2:H$498)</f>
        <v>551157</v>
      </c>
      <c r="Z156" s="56">
        <f t="shared" si="132"/>
        <v>460761</v>
      </c>
      <c r="AA156" s="51">
        <f>+SUMIF('GE16FEB14 Tax Bill Unfudged'!$A$2:$A$498, 'Tax Bill Summary'!$A156, 'GE16FEB14 Tax Bill Unfudged'!I$2:I$498)</f>
        <v>736338</v>
      </c>
      <c r="AB156" s="13">
        <f>+SUMIF('GE16FEB14 Tax Bill Unfudged'!$A$2:$A$498, 'Tax Bill Summary'!$A156, 'GE16FEB14 Tax Bill Unfudged'!J$2:J$498)</f>
        <v>237093</v>
      </c>
      <c r="AC156" s="56">
        <f t="shared" si="133"/>
        <v>499245</v>
      </c>
      <c r="AD156" s="51">
        <f t="shared" si="134"/>
        <v>2090694</v>
      </c>
      <c r="AE156" s="13">
        <f t="shared" si="135"/>
        <v>974764</v>
      </c>
      <c r="AF156" s="56">
        <f t="shared" si="136"/>
        <v>1115930</v>
      </c>
      <c r="AG156" s="13">
        <f t="shared" si="137"/>
        <v>875.86677838290746</v>
      </c>
      <c r="AH156" s="13">
        <f t="shared" si="138"/>
        <v>408.36363636363637</v>
      </c>
      <c r="AI156" s="16">
        <f t="shared" si="139"/>
        <v>467.50314201927102</v>
      </c>
      <c r="AJ156" s="15">
        <f t="shared" si="140"/>
        <v>-299</v>
      </c>
      <c r="AK156" s="13">
        <f t="shared" si="141"/>
        <v>-163</v>
      </c>
      <c r="AL156" s="56">
        <f t="shared" si="142"/>
        <v>-136</v>
      </c>
      <c r="AM156" s="51">
        <f t="shared" si="143"/>
        <v>505959</v>
      </c>
      <c r="AN156" s="13">
        <f t="shared" si="144"/>
        <v>275578</v>
      </c>
      <c r="AO156" s="56">
        <f t="shared" si="145"/>
        <v>230381</v>
      </c>
      <c r="AP156" s="51">
        <f t="shared" si="146"/>
        <v>0</v>
      </c>
      <c r="AQ156" s="13">
        <f t="shared" si="147"/>
        <v>0</v>
      </c>
      <c r="AR156" s="56">
        <f t="shared" si="148"/>
        <v>0</v>
      </c>
      <c r="AS156" s="51">
        <f t="shared" si="149"/>
        <v>505660</v>
      </c>
      <c r="AT156" s="13">
        <f t="shared" si="150"/>
        <v>275415</v>
      </c>
      <c r="AU156" s="56">
        <f t="shared" si="151"/>
        <v>230245</v>
      </c>
      <c r="AV156" s="13">
        <f t="shared" si="152"/>
        <v>211.83912861332215</v>
      </c>
      <c r="AW156" s="13">
        <f t="shared" si="153"/>
        <v>115.38123167155425</v>
      </c>
      <c r="AX156" s="16">
        <f t="shared" si="154"/>
        <v>96.457896941767899</v>
      </c>
    </row>
    <row r="157" spans="1:50" x14ac:dyDescent="0.25">
      <c r="A157" s="20">
        <v>473</v>
      </c>
      <c r="B157">
        <v>1</v>
      </c>
      <c r="C157" s="23" t="s">
        <v>273</v>
      </c>
      <c r="D157" s="23">
        <v>6</v>
      </c>
      <c r="E157" s="15">
        <f>+SUMIF('GE16FEB14 Unfudged'!$A$2:$A$498, $A157, 'GE16FEB14 Unfudged'!$D$2:$D$498)</f>
        <v>514</v>
      </c>
      <c r="F157" s="15">
        <f>+SUMIF('GE16FEB14 Unfudged'!$A$2:$A$498, 'Tax Bill Summary'!$A157, 'GE16FEB14 Unfudged'!E$2:E$498)</f>
        <v>73958</v>
      </c>
      <c r="G157" s="13">
        <f>+SUMIF('GE16FEB14 Unfudged'!$A$2:$A$498, 'Tax Bill Summary'!$A157, 'GE16FEB14 Unfudged'!F$2:F$498)</f>
        <v>73958</v>
      </c>
      <c r="H157" s="56">
        <f t="shared" si="122"/>
        <v>0</v>
      </c>
      <c r="I157" s="51">
        <f>+SUMIF('GE16FEB14 Unfudged'!$A$2:$A$498, 'Tax Bill Summary'!$A157, 'GE16FEB14 Unfudged'!G$2:G$498)</f>
        <v>0</v>
      </c>
      <c r="J157" s="13">
        <f>+SUMIF('GE16FEB14 Unfudged'!$A$2:$A$498, 'Tax Bill Summary'!$A157, 'GE16FEB14 Unfudged'!H$2:H$498)</f>
        <v>0</v>
      </c>
      <c r="K157" s="56">
        <f t="shared" si="123"/>
        <v>0</v>
      </c>
      <c r="L157" s="51">
        <f>+SUMIF('GE16FEB14 Unfudged'!$A$2:$A$498, 'Tax Bill Summary'!$A157, 'GE16FEB14 Unfudged'!I$2:IF$498)</f>
        <v>154080</v>
      </c>
      <c r="M157" s="13">
        <f>+SUMIF('GE16FEB14 Unfudged'!$A$2:$A$498, 'Tax Bill Summary'!$A157, 'GE16FEB14 Unfudged'!J$2:IG$498)</f>
        <v>103232</v>
      </c>
      <c r="N157" s="56">
        <f t="shared" si="124"/>
        <v>50848</v>
      </c>
      <c r="O157" s="51">
        <f t="shared" si="125"/>
        <v>228038</v>
      </c>
      <c r="P157" s="13">
        <f t="shared" si="126"/>
        <v>177190</v>
      </c>
      <c r="Q157" s="56">
        <f t="shared" si="127"/>
        <v>50848</v>
      </c>
      <c r="R157" s="13">
        <f t="shared" si="128"/>
        <v>443.6536964980545</v>
      </c>
      <c r="S157" s="13">
        <f t="shared" si="129"/>
        <v>344.72762645914395</v>
      </c>
      <c r="T157" s="16">
        <f t="shared" si="130"/>
        <v>98.92607003891051</v>
      </c>
      <c r="U157" s="15">
        <f>+SUMIF('GE16FEB14 Tax Bill Unfudged'!$A$2:$A$498, 'Tax Bill Summary'!$A157, 'GE16FEB14 Tax Bill Unfudged'!E$2:E$498)</f>
        <v>73958</v>
      </c>
      <c r="V157" s="13">
        <f>+SUMIF('GE16FEB14 Tax Bill Unfudged'!$A$2:$A$498, 'Tax Bill Summary'!$A157, 'GE16FEB14 Tax Bill Unfudged'!F$2:F$498)</f>
        <v>73958</v>
      </c>
      <c r="W157" s="56">
        <f t="shared" si="131"/>
        <v>0</v>
      </c>
      <c r="X157" s="51">
        <f>+SUMIF('GE16FEB14 Tax Bill Unfudged'!$A$2:$A$498, 'Tax Bill Summary'!$A157, 'GE16FEB14 Tax Bill Unfudged'!G$2:G$498)</f>
        <v>217766</v>
      </c>
      <c r="Y157" s="13">
        <f>+SUMIF('GE16FEB14 Tax Bill Unfudged'!$A$2:$A$498, 'Tax Bill Summary'!$A157, 'GE16FEB14 Tax Bill Unfudged'!H$2:H$498)</f>
        <v>217766</v>
      </c>
      <c r="Z157" s="56">
        <f t="shared" si="132"/>
        <v>0</v>
      </c>
      <c r="AA157" s="51">
        <f>+SUMIF('GE16FEB14 Tax Bill Unfudged'!$A$2:$A$498, 'Tax Bill Summary'!$A157, 'GE16FEB14 Tax Bill Unfudged'!I$2:I$498)</f>
        <v>154080</v>
      </c>
      <c r="AB157" s="13">
        <f>+SUMIF('GE16FEB14 Tax Bill Unfudged'!$A$2:$A$498, 'Tax Bill Summary'!$A157, 'GE16FEB14 Tax Bill Unfudged'!J$2:J$498)</f>
        <v>103232</v>
      </c>
      <c r="AC157" s="56">
        <f t="shared" si="133"/>
        <v>50848</v>
      </c>
      <c r="AD157" s="51">
        <f t="shared" si="134"/>
        <v>445804</v>
      </c>
      <c r="AE157" s="13">
        <f t="shared" si="135"/>
        <v>394956</v>
      </c>
      <c r="AF157" s="56">
        <f t="shared" si="136"/>
        <v>50848</v>
      </c>
      <c r="AG157" s="13">
        <f t="shared" si="137"/>
        <v>867.32295719844353</v>
      </c>
      <c r="AH157" s="13">
        <f t="shared" si="138"/>
        <v>768.39688715953309</v>
      </c>
      <c r="AI157" s="16">
        <f t="shared" si="139"/>
        <v>98.92607003891051</v>
      </c>
      <c r="AJ157" s="15">
        <f t="shared" si="140"/>
        <v>0</v>
      </c>
      <c r="AK157" s="13">
        <f t="shared" si="141"/>
        <v>0</v>
      </c>
      <c r="AL157" s="56">
        <f t="shared" si="142"/>
        <v>0</v>
      </c>
      <c r="AM157" s="51">
        <f t="shared" si="143"/>
        <v>217766</v>
      </c>
      <c r="AN157" s="13">
        <f t="shared" si="144"/>
        <v>217766</v>
      </c>
      <c r="AO157" s="56">
        <f t="shared" si="145"/>
        <v>0</v>
      </c>
      <c r="AP157" s="51">
        <f t="shared" si="146"/>
        <v>0</v>
      </c>
      <c r="AQ157" s="13">
        <f t="shared" si="147"/>
        <v>0</v>
      </c>
      <c r="AR157" s="56">
        <f t="shared" si="148"/>
        <v>0</v>
      </c>
      <c r="AS157" s="51">
        <f t="shared" si="149"/>
        <v>217766</v>
      </c>
      <c r="AT157" s="13">
        <f t="shared" si="150"/>
        <v>217766</v>
      </c>
      <c r="AU157" s="56">
        <f t="shared" si="151"/>
        <v>0</v>
      </c>
      <c r="AV157" s="13">
        <f t="shared" si="152"/>
        <v>423.66926070038903</v>
      </c>
      <c r="AW157" s="13">
        <f t="shared" si="153"/>
        <v>423.66926070038915</v>
      </c>
      <c r="AX157" s="16">
        <f t="shared" si="154"/>
        <v>0</v>
      </c>
    </row>
    <row r="158" spans="1:50" x14ac:dyDescent="0.25">
      <c r="A158" s="20">
        <v>477</v>
      </c>
      <c r="B158">
        <v>1</v>
      </c>
      <c r="C158" s="23" t="s">
        <v>274</v>
      </c>
      <c r="D158" s="23">
        <v>4</v>
      </c>
      <c r="E158" s="15">
        <f>+SUMIF('GE16FEB14 Unfudged'!$A$2:$A$498, $A158, 'GE16FEB14 Unfudged'!$D$2:$D$498)</f>
        <v>3467</v>
      </c>
      <c r="F158" s="15">
        <f>+SUMIF('GE16FEB14 Unfudged'!$A$2:$A$498, 'Tax Bill Summary'!$A158, 'GE16FEB14 Unfudged'!E$2:E$498)</f>
        <v>499190</v>
      </c>
      <c r="G158" s="13">
        <f>+SUMIF('GE16FEB14 Unfudged'!$A$2:$A$498, 'Tax Bill Summary'!$A158, 'GE16FEB14 Unfudged'!F$2:F$498)</f>
        <v>291435</v>
      </c>
      <c r="H158" s="56">
        <f t="shared" si="122"/>
        <v>207755</v>
      </c>
      <c r="I158" s="51">
        <f>+SUMIF('GE16FEB14 Unfudged'!$A$2:$A$498, 'Tax Bill Summary'!$A158, 'GE16FEB14 Unfudged'!G$2:G$498)</f>
        <v>734919</v>
      </c>
      <c r="J158" s="13">
        <f>+SUMIF('GE16FEB14 Unfudged'!$A$2:$A$498, 'Tax Bill Summary'!$A158, 'GE16FEB14 Unfudged'!H$2:H$498)</f>
        <v>429057</v>
      </c>
      <c r="K158" s="56">
        <f t="shared" si="123"/>
        <v>305862</v>
      </c>
      <c r="L158" s="51">
        <f>+SUMIF('GE16FEB14 Unfudged'!$A$2:$A$498, 'Tax Bill Summary'!$A158, 'GE16FEB14 Unfudged'!I$2:IF$498)</f>
        <v>1039980</v>
      </c>
      <c r="M158" s="13">
        <f>+SUMIF('GE16FEB14 Unfudged'!$A$2:$A$498, 'Tax Bill Summary'!$A158, 'GE16FEB14 Unfudged'!J$2:IG$498)</f>
        <v>351874</v>
      </c>
      <c r="N158" s="56">
        <f t="shared" si="124"/>
        <v>688106</v>
      </c>
      <c r="O158" s="51">
        <f t="shared" si="125"/>
        <v>2274089</v>
      </c>
      <c r="P158" s="13">
        <f t="shared" si="126"/>
        <v>1072366</v>
      </c>
      <c r="Q158" s="56">
        <f t="shared" si="127"/>
        <v>1201723</v>
      </c>
      <c r="R158" s="13">
        <f t="shared" si="128"/>
        <v>655.9241419094318</v>
      </c>
      <c r="S158" s="13">
        <f t="shared" si="129"/>
        <v>309.3066051341217</v>
      </c>
      <c r="T158" s="16">
        <f t="shared" si="130"/>
        <v>346.61753677531004</v>
      </c>
      <c r="U158" s="15">
        <f>+SUMIF('GE16FEB14 Tax Bill Unfudged'!$A$2:$A$498, 'Tax Bill Summary'!$A158, 'GE16FEB14 Tax Bill Unfudged'!E$2:E$498)</f>
        <v>499190</v>
      </c>
      <c r="V158" s="13">
        <f>+SUMIF('GE16FEB14 Tax Bill Unfudged'!$A$2:$A$498, 'Tax Bill Summary'!$A158, 'GE16FEB14 Tax Bill Unfudged'!F$2:F$498)</f>
        <v>291435</v>
      </c>
      <c r="W158" s="56">
        <f t="shared" si="131"/>
        <v>207755</v>
      </c>
      <c r="X158" s="51">
        <f>+SUMIF('GE16FEB14 Tax Bill Unfudged'!$A$2:$A$498, 'Tax Bill Summary'!$A158, 'GE16FEB14 Tax Bill Unfudged'!G$2:G$498)</f>
        <v>1469838</v>
      </c>
      <c r="Y158" s="13">
        <f>+SUMIF('GE16FEB14 Tax Bill Unfudged'!$A$2:$A$498, 'Tax Bill Summary'!$A158, 'GE16FEB14 Tax Bill Unfudged'!H$2:H$498)</f>
        <v>858113</v>
      </c>
      <c r="Z158" s="56">
        <f t="shared" si="132"/>
        <v>611725</v>
      </c>
      <c r="AA158" s="51">
        <f>+SUMIF('GE16FEB14 Tax Bill Unfudged'!$A$2:$A$498, 'Tax Bill Summary'!$A158, 'GE16FEB14 Tax Bill Unfudged'!I$2:I$498)</f>
        <v>1039980</v>
      </c>
      <c r="AB158" s="13">
        <f>+SUMIF('GE16FEB14 Tax Bill Unfudged'!$A$2:$A$498, 'Tax Bill Summary'!$A158, 'GE16FEB14 Tax Bill Unfudged'!J$2:J$498)</f>
        <v>351874</v>
      </c>
      <c r="AC158" s="56">
        <f t="shared" si="133"/>
        <v>688106</v>
      </c>
      <c r="AD158" s="51">
        <f t="shared" si="134"/>
        <v>3009008</v>
      </c>
      <c r="AE158" s="13">
        <f t="shared" si="135"/>
        <v>1501422</v>
      </c>
      <c r="AF158" s="56">
        <f t="shared" si="136"/>
        <v>1507586</v>
      </c>
      <c r="AG158" s="13">
        <f t="shared" si="137"/>
        <v>867.8996250360542</v>
      </c>
      <c r="AH158" s="13">
        <f t="shared" si="138"/>
        <v>433.06085953273725</v>
      </c>
      <c r="AI158" s="16">
        <f t="shared" si="139"/>
        <v>434.83876550331701</v>
      </c>
      <c r="AJ158" s="15">
        <f t="shared" si="140"/>
        <v>0</v>
      </c>
      <c r="AK158" s="13">
        <f t="shared" si="141"/>
        <v>0</v>
      </c>
      <c r="AL158" s="56">
        <f t="shared" si="142"/>
        <v>0</v>
      </c>
      <c r="AM158" s="51">
        <f t="shared" si="143"/>
        <v>734919</v>
      </c>
      <c r="AN158" s="13">
        <f t="shared" si="144"/>
        <v>429056</v>
      </c>
      <c r="AO158" s="56">
        <f t="shared" si="145"/>
        <v>305863</v>
      </c>
      <c r="AP158" s="51">
        <f t="shared" si="146"/>
        <v>0</v>
      </c>
      <c r="AQ158" s="13">
        <f t="shared" si="147"/>
        <v>0</v>
      </c>
      <c r="AR158" s="56">
        <f t="shared" si="148"/>
        <v>0</v>
      </c>
      <c r="AS158" s="51">
        <f t="shared" si="149"/>
        <v>734919</v>
      </c>
      <c r="AT158" s="13">
        <f t="shared" si="150"/>
        <v>429056</v>
      </c>
      <c r="AU158" s="56">
        <f t="shared" si="151"/>
        <v>305863</v>
      </c>
      <c r="AV158" s="13">
        <f t="shared" si="152"/>
        <v>211.97548312662241</v>
      </c>
      <c r="AW158" s="13">
        <f t="shared" si="153"/>
        <v>123.75425439861556</v>
      </c>
      <c r="AX158" s="16">
        <f t="shared" si="154"/>
        <v>88.221228728006963</v>
      </c>
    </row>
    <row r="159" spans="1:50" x14ac:dyDescent="0.25">
      <c r="A159" s="20">
        <v>480</v>
      </c>
      <c r="B159">
        <v>1</v>
      </c>
      <c r="C159" s="23" t="s">
        <v>275</v>
      </c>
      <c r="D159" s="23">
        <v>6</v>
      </c>
      <c r="E159" s="15">
        <f>+SUMIF('GE16FEB14 Unfudged'!$A$2:$A$498, $A159, 'GE16FEB14 Unfudged'!$D$2:$D$498)</f>
        <v>651</v>
      </c>
      <c r="F159" s="15">
        <f>+SUMIF('GE16FEB14 Unfudged'!$A$2:$A$498, 'Tax Bill Summary'!$A159, 'GE16FEB14 Unfudged'!E$2:E$498)</f>
        <v>79628</v>
      </c>
      <c r="G159" s="13">
        <f>+SUMIF('GE16FEB14 Unfudged'!$A$2:$A$498, 'Tax Bill Summary'!$A159, 'GE16FEB14 Unfudged'!F$2:F$498)</f>
        <v>61582</v>
      </c>
      <c r="H159" s="56">
        <f t="shared" si="122"/>
        <v>18046</v>
      </c>
      <c r="I159" s="51">
        <f>+SUMIF('GE16FEB14 Unfudged'!$A$2:$A$498, 'Tax Bill Summary'!$A159, 'GE16FEB14 Unfudged'!G$2:G$498)</f>
        <v>0</v>
      </c>
      <c r="J159" s="13">
        <f>+SUMIF('GE16FEB14 Unfudged'!$A$2:$A$498, 'Tax Bill Summary'!$A159, 'GE16FEB14 Unfudged'!H$2:H$498)</f>
        <v>0</v>
      </c>
      <c r="K159" s="56">
        <f t="shared" si="123"/>
        <v>0</v>
      </c>
      <c r="L159" s="51">
        <f>+SUMIF('GE16FEB14 Unfudged'!$A$2:$A$498, 'Tax Bill Summary'!$A159, 'GE16FEB14 Unfudged'!I$2:IF$498)</f>
        <v>502340</v>
      </c>
      <c r="M159" s="13">
        <f>+SUMIF('GE16FEB14 Unfudged'!$A$2:$A$498, 'Tax Bill Summary'!$A159, 'GE16FEB14 Unfudged'!J$2:IG$498)</f>
        <v>326776</v>
      </c>
      <c r="N159" s="56">
        <f t="shared" si="124"/>
        <v>175564</v>
      </c>
      <c r="O159" s="51">
        <f t="shared" si="125"/>
        <v>581968</v>
      </c>
      <c r="P159" s="13">
        <f t="shared" si="126"/>
        <v>388358</v>
      </c>
      <c r="Q159" s="56">
        <f t="shared" si="127"/>
        <v>193610</v>
      </c>
      <c r="R159" s="13">
        <f t="shared" si="128"/>
        <v>893.96006144393243</v>
      </c>
      <c r="S159" s="13">
        <f t="shared" si="129"/>
        <v>596.55606758832562</v>
      </c>
      <c r="T159" s="16">
        <f t="shared" si="130"/>
        <v>297.40399385560676</v>
      </c>
      <c r="U159" s="15">
        <f>+SUMIF('GE16FEB14 Tax Bill Unfudged'!$A$2:$A$498, 'Tax Bill Summary'!$A159, 'GE16FEB14 Tax Bill Unfudged'!E$2:E$498)</f>
        <v>91819</v>
      </c>
      <c r="V159" s="13">
        <f>+SUMIF('GE16FEB14 Tax Bill Unfudged'!$A$2:$A$498, 'Tax Bill Summary'!$A159, 'GE16FEB14 Tax Bill Unfudged'!F$2:F$498)</f>
        <v>71010</v>
      </c>
      <c r="W159" s="56">
        <f t="shared" si="131"/>
        <v>20809</v>
      </c>
      <c r="X159" s="51">
        <f>+SUMIF('GE16FEB14 Tax Bill Unfudged'!$A$2:$A$498, 'Tax Bill Summary'!$A159, 'GE16FEB14 Tax Bill Unfudged'!G$2:G$498)</f>
        <v>275918</v>
      </c>
      <c r="Y159" s="13">
        <f>+SUMIF('GE16FEB14 Tax Bill Unfudged'!$A$2:$A$498, 'Tax Bill Summary'!$A159, 'GE16FEB14 Tax Bill Unfudged'!H$2:H$498)</f>
        <v>213388</v>
      </c>
      <c r="Z159" s="56">
        <f t="shared" si="132"/>
        <v>62530</v>
      </c>
      <c r="AA159" s="51">
        <f>+SUMIF('GE16FEB14 Tax Bill Unfudged'!$A$2:$A$498, 'Tax Bill Summary'!$A159, 'GE16FEB14 Tax Bill Unfudged'!I$2:I$498)</f>
        <v>226422</v>
      </c>
      <c r="AB159" s="13">
        <f>+SUMIF('GE16FEB14 Tax Bill Unfudged'!$A$2:$A$498, 'Tax Bill Summary'!$A159, 'GE16FEB14 Tax Bill Unfudged'!J$2:J$498)</f>
        <v>111628</v>
      </c>
      <c r="AC159" s="56">
        <f t="shared" si="133"/>
        <v>114794</v>
      </c>
      <c r="AD159" s="51">
        <f t="shared" si="134"/>
        <v>594159</v>
      </c>
      <c r="AE159" s="13">
        <f t="shared" si="135"/>
        <v>396026</v>
      </c>
      <c r="AF159" s="56">
        <f t="shared" si="136"/>
        <v>198133</v>
      </c>
      <c r="AG159" s="13">
        <f t="shared" si="137"/>
        <v>912.68663594470047</v>
      </c>
      <c r="AH159" s="13">
        <f t="shared" si="138"/>
        <v>608.3348694316436</v>
      </c>
      <c r="AI159" s="16">
        <f t="shared" si="139"/>
        <v>304.35176651305682</v>
      </c>
      <c r="AJ159" s="15">
        <f t="shared" si="140"/>
        <v>12191</v>
      </c>
      <c r="AK159" s="13">
        <f t="shared" si="141"/>
        <v>9428</v>
      </c>
      <c r="AL159" s="56">
        <f t="shared" si="142"/>
        <v>2763</v>
      </c>
      <c r="AM159" s="51">
        <f t="shared" si="143"/>
        <v>275918</v>
      </c>
      <c r="AN159" s="13">
        <f t="shared" si="144"/>
        <v>213388</v>
      </c>
      <c r="AO159" s="56">
        <f t="shared" si="145"/>
        <v>62530</v>
      </c>
      <c r="AP159" s="51">
        <f t="shared" si="146"/>
        <v>-275918</v>
      </c>
      <c r="AQ159" s="13">
        <f t="shared" si="147"/>
        <v>-215148</v>
      </c>
      <c r="AR159" s="56">
        <f t="shared" si="148"/>
        <v>-60770</v>
      </c>
      <c r="AS159" s="51">
        <f t="shared" si="149"/>
        <v>12191</v>
      </c>
      <c r="AT159" s="13">
        <f t="shared" si="150"/>
        <v>7668</v>
      </c>
      <c r="AU159" s="56">
        <f t="shared" si="151"/>
        <v>4523</v>
      </c>
      <c r="AV159" s="13">
        <f t="shared" si="152"/>
        <v>18.726574500768038</v>
      </c>
      <c r="AW159" s="13">
        <f t="shared" si="153"/>
        <v>11.778801843317979</v>
      </c>
      <c r="AX159" s="16">
        <f t="shared" si="154"/>
        <v>6.9477726574500593</v>
      </c>
    </row>
    <row r="160" spans="1:50" x14ac:dyDescent="0.25">
      <c r="A160" s="20">
        <v>482</v>
      </c>
      <c r="B160">
        <v>1</v>
      </c>
      <c r="C160" s="23" t="s">
        <v>276</v>
      </c>
      <c r="D160" s="23">
        <v>4</v>
      </c>
      <c r="E160" s="15">
        <f>+SUMIF('GE16FEB14 Unfudged'!$A$2:$A$498, $A160, 'GE16FEB14 Unfudged'!$D$2:$D$498)</f>
        <v>2615</v>
      </c>
      <c r="F160" s="15">
        <f>+SUMIF('GE16FEB14 Unfudged'!$A$2:$A$498, 'Tax Bill Summary'!$A160, 'GE16FEB14 Unfudged'!E$2:E$498)</f>
        <v>324687</v>
      </c>
      <c r="G160" s="13">
        <f>+SUMIF('GE16FEB14 Unfudged'!$A$2:$A$498, 'Tax Bill Summary'!$A160, 'GE16FEB14 Unfudged'!F$2:F$498)</f>
        <v>202603</v>
      </c>
      <c r="H160" s="56">
        <f t="shared" si="122"/>
        <v>122084</v>
      </c>
      <c r="I160" s="51">
        <f>+SUMIF('GE16FEB14 Unfudged'!$A$2:$A$498, 'Tax Bill Summary'!$A160, 'GE16FEB14 Unfudged'!G$2:G$498)</f>
        <v>554380</v>
      </c>
      <c r="J160" s="13">
        <f>+SUMIF('GE16FEB14 Unfudged'!$A$2:$A$498, 'Tax Bill Summary'!$A160, 'GE16FEB14 Unfudged'!H$2:H$498)</f>
        <v>345931</v>
      </c>
      <c r="K160" s="56">
        <f t="shared" si="123"/>
        <v>208449</v>
      </c>
      <c r="L160" s="51">
        <f>+SUMIF('GE16FEB14 Unfudged'!$A$2:$A$498, 'Tax Bill Summary'!$A160, 'GE16FEB14 Unfudged'!I$2:IF$498)</f>
        <v>1915958</v>
      </c>
      <c r="M160" s="13">
        <f>+SUMIF('GE16FEB14 Unfudged'!$A$2:$A$498, 'Tax Bill Summary'!$A160, 'GE16FEB14 Unfudged'!J$2:IG$498)</f>
        <v>989727</v>
      </c>
      <c r="N160" s="56">
        <f t="shared" si="124"/>
        <v>926231</v>
      </c>
      <c r="O160" s="51">
        <f t="shared" si="125"/>
        <v>2795025</v>
      </c>
      <c r="P160" s="13">
        <f t="shared" si="126"/>
        <v>1538261</v>
      </c>
      <c r="Q160" s="56">
        <f t="shared" si="127"/>
        <v>1256764</v>
      </c>
      <c r="R160" s="13">
        <f t="shared" si="128"/>
        <v>1068.8432122370937</v>
      </c>
      <c r="S160" s="13">
        <f t="shared" si="129"/>
        <v>588.24512428298283</v>
      </c>
      <c r="T160" s="16">
        <f t="shared" si="130"/>
        <v>480.59808795411089</v>
      </c>
      <c r="U160" s="15">
        <f>+SUMIF('GE16FEB14 Tax Bill Unfudged'!$A$2:$A$498, 'Tax Bill Summary'!$A160, 'GE16FEB14 Tax Bill Unfudged'!E$2:E$498)</f>
        <v>341611</v>
      </c>
      <c r="V160" s="13">
        <f>+SUMIF('GE16FEB14 Tax Bill Unfudged'!$A$2:$A$498, 'Tax Bill Summary'!$A160, 'GE16FEB14 Tax Bill Unfudged'!F$2:F$498)</f>
        <v>213164</v>
      </c>
      <c r="W160" s="56">
        <f t="shared" si="131"/>
        <v>128447</v>
      </c>
      <c r="X160" s="51">
        <f>+SUMIF('GE16FEB14 Tax Bill Unfudged'!$A$2:$A$498, 'Tax Bill Summary'!$A160, 'GE16FEB14 Tax Bill Unfudged'!G$2:G$498)</f>
        <v>1108760</v>
      </c>
      <c r="Y160" s="13">
        <f>+SUMIF('GE16FEB14 Tax Bill Unfudged'!$A$2:$A$498, 'Tax Bill Summary'!$A160, 'GE16FEB14 Tax Bill Unfudged'!H$2:H$498)</f>
        <v>691862</v>
      </c>
      <c r="Z160" s="56">
        <f t="shared" si="132"/>
        <v>416898</v>
      </c>
      <c r="AA160" s="51">
        <f>+SUMIF('GE16FEB14 Tax Bill Unfudged'!$A$2:$A$498, 'Tax Bill Summary'!$A160, 'GE16FEB14 Tax Bill Unfudged'!I$2:I$498)</f>
        <v>1361578</v>
      </c>
      <c r="AB160" s="13">
        <f>+SUMIF('GE16FEB14 Tax Bill Unfudged'!$A$2:$A$498, 'Tax Bill Summary'!$A160, 'GE16FEB14 Tax Bill Unfudged'!J$2:J$498)</f>
        <v>643796</v>
      </c>
      <c r="AC160" s="56">
        <f t="shared" si="133"/>
        <v>717782</v>
      </c>
      <c r="AD160" s="51">
        <f t="shared" si="134"/>
        <v>2811949</v>
      </c>
      <c r="AE160" s="13">
        <f t="shared" si="135"/>
        <v>1548822</v>
      </c>
      <c r="AF160" s="56">
        <f t="shared" si="136"/>
        <v>1263127</v>
      </c>
      <c r="AG160" s="13">
        <f t="shared" si="137"/>
        <v>1075.3151051625239</v>
      </c>
      <c r="AH160" s="13">
        <f t="shared" si="138"/>
        <v>592.28374760994268</v>
      </c>
      <c r="AI160" s="16">
        <f t="shared" si="139"/>
        <v>483.03135755258126</v>
      </c>
      <c r="AJ160" s="15">
        <f t="shared" si="140"/>
        <v>16924</v>
      </c>
      <c r="AK160" s="13">
        <f t="shared" si="141"/>
        <v>10561</v>
      </c>
      <c r="AL160" s="56">
        <f t="shared" si="142"/>
        <v>6363</v>
      </c>
      <c r="AM160" s="51">
        <f t="shared" si="143"/>
        <v>554380</v>
      </c>
      <c r="AN160" s="13">
        <f t="shared" si="144"/>
        <v>345931</v>
      </c>
      <c r="AO160" s="56">
        <f t="shared" si="145"/>
        <v>208449</v>
      </c>
      <c r="AP160" s="51">
        <f t="shared" si="146"/>
        <v>-554380</v>
      </c>
      <c r="AQ160" s="13">
        <f t="shared" si="147"/>
        <v>-345931</v>
      </c>
      <c r="AR160" s="56">
        <f t="shared" si="148"/>
        <v>-208449</v>
      </c>
      <c r="AS160" s="51">
        <f t="shared" si="149"/>
        <v>16924</v>
      </c>
      <c r="AT160" s="13">
        <f t="shared" si="150"/>
        <v>10561</v>
      </c>
      <c r="AU160" s="56">
        <f t="shared" si="151"/>
        <v>6363</v>
      </c>
      <c r="AV160" s="13">
        <f t="shared" si="152"/>
        <v>6.4718929254302111</v>
      </c>
      <c r="AW160" s="13">
        <f t="shared" si="153"/>
        <v>4.0386233269598506</v>
      </c>
      <c r="AX160" s="16">
        <f t="shared" si="154"/>
        <v>2.4332695984703605</v>
      </c>
    </row>
    <row r="161" spans="1:50" x14ac:dyDescent="0.25">
      <c r="A161" s="20">
        <v>484</v>
      </c>
      <c r="B161">
        <v>1</v>
      </c>
      <c r="C161" s="23" t="s">
        <v>277</v>
      </c>
      <c r="D161" s="23">
        <v>5</v>
      </c>
      <c r="E161" s="15">
        <f>+SUMIF('GE16FEB14 Unfudged'!$A$2:$A$498, $A161, 'GE16FEB14 Unfudged'!$D$2:$D$498)</f>
        <v>1234</v>
      </c>
      <c r="F161" s="15">
        <f>+SUMIF('GE16FEB14 Unfudged'!$A$2:$A$498, 'Tax Bill Summary'!$A161, 'GE16FEB14 Unfudged'!E$2:E$498)</f>
        <v>168460</v>
      </c>
      <c r="G161" s="13">
        <f>+SUMIF('GE16FEB14 Unfudged'!$A$2:$A$498, 'Tax Bill Summary'!$A161, 'GE16FEB14 Unfudged'!F$2:F$498)</f>
        <v>88867</v>
      </c>
      <c r="H161" s="56">
        <f t="shared" si="122"/>
        <v>79593</v>
      </c>
      <c r="I161" s="51">
        <f>+SUMIF('GE16FEB14 Unfudged'!$A$2:$A$498, 'Tax Bill Summary'!$A161, 'GE16FEB14 Unfudged'!G$2:G$498)</f>
        <v>0</v>
      </c>
      <c r="J161" s="13">
        <f>+SUMIF('GE16FEB14 Unfudged'!$A$2:$A$498, 'Tax Bill Summary'!$A161, 'GE16FEB14 Unfudged'!H$2:H$498)</f>
        <v>0</v>
      </c>
      <c r="K161" s="56">
        <f t="shared" si="123"/>
        <v>0</v>
      </c>
      <c r="L161" s="51">
        <f>+SUMIF('GE16FEB14 Unfudged'!$A$2:$A$498, 'Tax Bill Summary'!$A161, 'GE16FEB14 Unfudged'!I$2:IF$498)</f>
        <v>570281</v>
      </c>
      <c r="M161" s="13">
        <f>+SUMIF('GE16FEB14 Unfudged'!$A$2:$A$498, 'Tax Bill Summary'!$A161, 'GE16FEB14 Unfudged'!J$2:IG$498)</f>
        <v>218754</v>
      </c>
      <c r="N161" s="56">
        <f t="shared" si="124"/>
        <v>351527</v>
      </c>
      <c r="O161" s="51">
        <f t="shared" si="125"/>
        <v>738741</v>
      </c>
      <c r="P161" s="13">
        <f t="shared" si="126"/>
        <v>307621</v>
      </c>
      <c r="Q161" s="56">
        <f t="shared" si="127"/>
        <v>431120</v>
      </c>
      <c r="R161" s="13">
        <f t="shared" si="128"/>
        <v>598.65559157212317</v>
      </c>
      <c r="S161" s="13">
        <f t="shared" si="129"/>
        <v>249.28768233387359</v>
      </c>
      <c r="T161" s="16">
        <f t="shared" si="130"/>
        <v>349.36790923824958</v>
      </c>
      <c r="U161" s="15">
        <f>+SUMIF('GE16FEB14 Tax Bill Unfudged'!$A$2:$A$498, 'Tax Bill Summary'!$A161, 'GE16FEB14 Tax Bill Unfudged'!E$2:E$498)</f>
        <v>177638</v>
      </c>
      <c r="V161" s="13">
        <f>+SUMIF('GE16FEB14 Tax Bill Unfudged'!$A$2:$A$498, 'Tax Bill Summary'!$A161, 'GE16FEB14 Tax Bill Unfudged'!F$2:F$498)</f>
        <v>93708</v>
      </c>
      <c r="W161" s="56">
        <f t="shared" si="131"/>
        <v>83930</v>
      </c>
      <c r="X161" s="51">
        <f>+SUMIF('GE16FEB14 Tax Bill Unfudged'!$A$2:$A$498, 'Tax Bill Summary'!$A161, 'GE16FEB14 Tax Bill Unfudged'!G$2:G$498)</f>
        <v>523046</v>
      </c>
      <c r="Y161" s="13">
        <f>+SUMIF('GE16FEB14 Tax Bill Unfudged'!$A$2:$A$498, 'Tax Bill Summary'!$A161, 'GE16FEB14 Tax Bill Unfudged'!H$2:H$498)</f>
        <v>275920</v>
      </c>
      <c r="Z161" s="56">
        <f t="shared" si="132"/>
        <v>247126</v>
      </c>
      <c r="AA161" s="51">
        <f>+SUMIF('GE16FEB14 Tax Bill Unfudged'!$A$2:$A$498, 'Tax Bill Summary'!$A161, 'GE16FEB14 Tax Bill Unfudged'!I$2:I$498)</f>
        <v>370080</v>
      </c>
      <c r="AB161" s="13">
        <f>+SUMIF('GE16FEB14 Tax Bill Unfudged'!$A$2:$A$498, 'Tax Bill Summary'!$A161, 'GE16FEB14 Tax Bill Unfudged'!J$2:J$498)</f>
        <v>113143</v>
      </c>
      <c r="AC161" s="56">
        <f t="shared" si="133"/>
        <v>256937</v>
      </c>
      <c r="AD161" s="51">
        <f t="shared" si="134"/>
        <v>1070764</v>
      </c>
      <c r="AE161" s="13">
        <f t="shared" si="135"/>
        <v>482771</v>
      </c>
      <c r="AF161" s="56">
        <f t="shared" si="136"/>
        <v>587993</v>
      </c>
      <c r="AG161" s="13">
        <f t="shared" si="137"/>
        <v>867.71799027552674</v>
      </c>
      <c r="AH161" s="13">
        <f t="shared" si="138"/>
        <v>391.22447325769855</v>
      </c>
      <c r="AI161" s="16">
        <f t="shared" si="139"/>
        <v>476.4935170178282</v>
      </c>
      <c r="AJ161" s="15">
        <f t="shared" si="140"/>
        <v>9178</v>
      </c>
      <c r="AK161" s="13">
        <f t="shared" si="141"/>
        <v>4841</v>
      </c>
      <c r="AL161" s="56">
        <f t="shared" si="142"/>
        <v>4337</v>
      </c>
      <c r="AM161" s="51">
        <f t="shared" si="143"/>
        <v>523046</v>
      </c>
      <c r="AN161" s="13">
        <f t="shared" si="144"/>
        <v>275920</v>
      </c>
      <c r="AO161" s="56">
        <f t="shared" si="145"/>
        <v>247126</v>
      </c>
      <c r="AP161" s="51">
        <f t="shared" si="146"/>
        <v>-200201</v>
      </c>
      <c r="AQ161" s="13">
        <f t="shared" si="147"/>
        <v>-105611</v>
      </c>
      <c r="AR161" s="56">
        <f t="shared" si="148"/>
        <v>-94590</v>
      </c>
      <c r="AS161" s="51">
        <f t="shared" si="149"/>
        <v>332023</v>
      </c>
      <c r="AT161" s="13">
        <f t="shared" si="150"/>
        <v>175150</v>
      </c>
      <c r="AU161" s="56">
        <f t="shared" si="151"/>
        <v>156873</v>
      </c>
      <c r="AV161" s="13">
        <f t="shared" si="152"/>
        <v>269.06239870340357</v>
      </c>
      <c r="AW161" s="13">
        <f t="shared" si="153"/>
        <v>141.93679092382496</v>
      </c>
      <c r="AX161" s="16">
        <f t="shared" si="154"/>
        <v>127.12560777957862</v>
      </c>
    </row>
    <row r="162" spans="1:50" x14ac:dyDescent="0.25">
      <c r="A162" s="20">
        <v>485</v>
      </c>
      <c r="B162">
        <v>1</v>
      </c>
      <c r="C162" s="23" t="s">
        <v>278</v>
      </c>
      <c r="D162" s="23">
        <v>6</v>
      </c>
      <c r="E162" s="15">
        <f>+SUMIF('GE16FEB14 Unfudged'!$A$2:$A$498, $A162, 'GE16FEB14 Unfudged'!$D$2:$D$498)</f>
        <v>941</v>
      </c>
      <c r="F162" s="15">
        <f>+SUMIF('GE16FEB14 Unfudged'!$A$2:$A$498, 'Tax Bill Summary'!$A162, 'GE16FEB14 Unfudged'!E$2:E$498)</f>
        <v>135569</v>
      </c>
      <c r="G162" s="13">
        <f>+SUMIF('GE16FEB14 Unfudged'!$A$2:$A$498, 'Tax Bill Summary'!$A162, 'GE16FEB14 Unfudged'!F$2:F$498)</f>
        <v>77083</v>
      </c>
      <c r="H162" s="56">
        <f t="shared" si="122"/>
        <v>58486</v>
      </c>
      <c r="I162" s="51">
        <f>+SUMIF('GE16FEB14 Unfudged'!$A$2:$A$498, 'Tax Bill Summary'!$A162, 'GE16FEB14 Unfudged'!G$2:G$498)</f>
        <v>0</v>
      </c>
      <c r="J162" s="13">
        <f>+SUMIF('GE16FEB14 Unfudged'!$A$2:$A$498, 'Tax Bill Summary'!$A162, 'GE16FEB14 Unfudged'!H$2:H$498)</f>
        <v>0</v>
      </c>
      <c r="K162" s="56">
        <f t="shared" si="123"/>
        <v>0</v>
      </c>
      <c r="L162" s="51">
        <f>+SUMIF('GE16FEB14 Unfudged'!$A$2:$A$498, 'Tax Bill Summary'!$A162, 'GE16FEB14 Unfudged'!I$2:IF$498)</f>
        <v>282435</v>
      </c>
      <c r="M162" s="13">
        <f>+SUMIF('GE16FEB14 Unfudged'!$A$2:$A$498, 'Tax Bill Summary'!$A162, 'GE16FEB14 Unfudged'!J$2:IG$498)</f>
        <v>93069</v>
      </c>
      <c r="N162" s="56">
        <f t="shared" si="124"/>
        <v>189366</v>
      </c>
      <c r="O162" s="51">
        <f t="shared" si="125"/>
        <v>418004</v>
      </c>
      <c r="P162" s="13">
        <f t="shared" si="126"/>
        <v>170152</v>
      </c>
      <c r="Q162" s="56">
        <f t="shared" si="127"/>
        <v>247852</v>
      </c>
      <c r="R162" s="13">
        <f t="shared" si="128"/>
        <v>444.21253985122212</v>
      </c>
      <c r="S162" s="13">
        <f t="shared" si="129"/>
        <v>180.82040382571734</v>
      </c>
      <c r="T162" s="16">
        <f t="shared" si="130"/>
        <v>263.39213602550478</v>
      </c>
      <c r="U162" s="15">
        <f>+SUMIF('GE16FEB14 Tax Bill Unfudged'!$A$2:$A$498, 'Tax Bill Summary'!$A162, 'GE16FEB14 Tax Bill Unfudged'!E$2:E$498)</f>
        <v>135569</v>
      </c>
      <c r="V162" s="13">
        <f>+SUMIF('GE16FEB14 Tax Bill Unfudged'!$A$2:$A$498, 'Tax Bill Summary'!$A162, 'GE16FEB14 Tax Bill Unfudged'!F$2:F$498)</f>
        <v>77083</v>
      </c>
      <c r="W162" s="56">
        <f t="shared" si="131"/>
        <v>58486</v>
      </c>
      <c r="X162" s="51">
        <f>+SUMIF('GE16FEB14 Tax Bill Unfudged'!$A$2:$A$498, 'Tax Bill Summary'!$A162, 'GE16FEB14 Tax Bill Unfudged'!G$2:G$498)</f>
        <v>399175</v>
      </c>
      <c r="Y162" s="13">
        <f>+SUMIF('GE16FEB14 Tax Bill Unfudged'!$A$2:$A$498, 'Tax Bill Summary'!$A162, 'GE16FEB14 Tax Bill Unfudged'!H$2:H$498)</f>
        <v>226967</v>
      </c>
      <c r="Z162" s="56">
        <f t="shared" si="132"/>
        <v>172208</v>
      </c>
      <c r="AA162" s="51">
        <f>+SUMIF('GE16FEB14 Tax Bill Unfudged'!$A$2:$A$498, 'Tax Bill Summary'!$A162, 'GE16FEB14 Tax Bill Unfudged'!I$2:I$498)</f>
        <v>282435</v>
      </c>
      <c r="AB162" s="13">
        <f>+SUMIF('GE16FEB14 Tax Bill Unfudged'!$A$2:$A$498, 'Tax Bill Summary'!$A162, 'GE16FEB14 Tax Bill Unfudged'!J$2:J$498)</f>
        <v>93069</v>
      </c>
      <c r="AC162" s="56">
        <f t="shared" si="133"/>
        <v>189366</v>
      </c>
      <c r="AD162" s="51">
        <f t="shared" si="134"/>
        <v>817179</v>
      </c>
      <c r="AE162" s="13">
        <f t="shared" si="135"/>
        <v>397119</v>
      </c>
      <c r="AF162" s="56">
        <f t="shared" si="136"/>
        <v>420060</v>
      </c>
      <c r="AG162" s="13">
        <f t="shared" si="137"/>
        <v>868.41551540913918</v>
      </c>
      <c r="AH162" s="13">
        <f t="shared" si="138"/>
        <v>422.01806588735388</v>
      </c>
      <c r="AI162" s="16">
        <f t="shared" si="139"/>
        <v>446.39744952178535</v>
      </c>
      <c r="AJ162" s="15">
        <f t="shared" si="140"/>
        <v>0</v>
      </c>
      <c r="AK162" s="13">
        <f t="shared" si="141"/>
        <v>0</v>
      </c>
      <c r="AL162" s="56">
        <f t="shared" si="142"/>
        <v>0</v>
      </c>
      <c r="AM162" s="51">
        <f t="shared" si="143"/>
        <v>399175</v>
      </c>
      <c r="AN162" s="13">
        <f t="shared" si="144"/>
        <v>226967</v>
      </c>
      <c r="AO162" s="56">
        <f t="shared" si="145"/>
        <v>172208</v>
      </c>
      <c r="AP162" s="51">
        <f t="shared" si="146"/>
        <v>0</v>
      </c>
      <c r="AQ162" s="13">
        <f t="shared" si="147"/>
        <v>0</v>
      </c>
      <c r="AR162" s="56">
        <f t="shared" si="148"/>
        <v>0</v>
      </c>
      <c r="AS162" s="51">
        <f t="shared" si="149"/>
        <v>399175</v>
      </c>
      <c r="AT162" s="13">
        <f t="shared" si="150"/>
        <v>226967</v>
      </c>
      <c r="AU162" s="56">
        <f t="shared" si="151"/>
        <v>172208</v>
      </c>
      <c r="AV162" s="13">
        <f t="shared" si="152"/>
        <v>424.20297555791706</v>
      </c>
      <c r="AW162" s="13">
        <f t="shared" si="153"/>
        <v>241.19766206163655</v>
      </c>
      <c r="AX162" s="16">
        <f t="shared" si="154"/>
        <v>183.00531349628056</v>
      </c>
    </row>
    <row r="163" spans="1:50" x14ac:dyDescent="0.25">
      <c r="A163" s="20">
        <v>486</v>
      </c>
      <c r="B163">
        <v>1</v>
      </c>
      <c r="C163" s="23" t="s">
        <v>279</v>
      </c>
      <c r="D163" s="23">
        <v>6</v>
      </c>
      <c r="E163" s="15">
        <f>+SUMIF('GE16FEB14 Unfudged'!$A$2:$A$498, $A163, 'GE16FEB14 Unfudged'!$D$2:$D$498)</f>
        <v>358</v>
      </c>
      <c r="F163" s="15">
        <f>+SUMIF('GE16FEB14 Unfudged'!$A$2:$A$498, 'Tax Bill Summary'!$A163, 'GE16FEB14 Unfudged'!E$2:E$498)</f>
        <v>42936</v>
      </c>
      <c r="G163" s="13">
        <f>+SUMIF('GE16FEB14 Unfudged'!$A$2:$A$498, 'Tax Bill Summary'!$A163, 'GE16FEB14 Unfudged'!F$2:F$498)</f>
        <v>26045</v>
      </c>
      <c r="H163" s="56">
        <f t="shared" si="122"/>
        <v>16891</v>
      </c>
      <c r="I163" s="51">
        <f>+SUMIF('GE16FEB14 Unfudged'!$A$2:$A$498, 'Tax Bill Summary'!$A163, 'GE16FEB14 Unfudged'!G$2:G$498)</f>
        <v>0</v>
      </c>
      <c r="J163" s="13">
        <f>+SUMIF('GE16FEB14 Unfudged'!$A$2:$A$498, 'Tax Bill Summary'!$A163, 'GE16FEB14 Unfudged'!H$2:H$498)</f>
        <v>0</v>
      </c>
      <c r="K163" s="56">
        <f t="shared" si="123"/>
        <v>0</v>
      </c>
      <c r="L163" s="51">
        <f>+SUMIF('GE16FEB14 Unfudged'!$A$2:$A$498, 'Tax Bill Summary'!$A163, 'GE16FEB14 Unfudged'!I$2:IF$498)</f>
        <v>293958</v>
      </c>
      <c r="M163" s="13">
        <f>+SUMIF('GE16FEB14 Unfudged'!$A$2:$A$498, 'Tax Bill Summary'!$A163, 'GE16FEB14 Unfudged'!J$2:IG$498)</f>
        <v>159678</v>
      </c>
      <c r="N163" s="56">
        <f t="shared" si="124"/>
        <v>134280</v>
      </c>
      <c r="O163" s="51">
        <f t="shared" si="125"/>
        <v>336894</v>
      </c>
      <c r="P163" s="13">
        <f t="shared" si="126"/>
        <v>185723</v>
      </c>
      <c r="Q163" s="56">
        <f t="shared" si="127"/>
        <v>151171</v>
      </c>
      <c r="R163" s="13">
        <f t="shared" si="128"/>
        <v>941.04469273743018</v>
      </c>
      <c r="S163" s="13">
        <f t="shared" si="129"/>
        <v>518.7793296089385</v>
      </c>
      <c r="T163" s="16">
        <f t="shared" si="130"/>
        <v>422.26536312849163</v>
      </c>
      <c r="U163" s="15">
        <f>+SUMIF('GE16FEB14 Tax Bill Unfudged'!$A$2:$A$498, 'Tax Bill Summary'!$A163, 'GE16FEB14 Tax Bill Unfudged'!E$2:E$498)</f>
        <v>49371</v>
      </c>
      <c r="V163" s="13">
        <f>+SUMIF('GE16FEB14 Tax Bill Unfudged'!$A$2:$A$498, 'Tax Bill Summary'!$A163, 'GE16FEB14 Tax Bill Unfudged'!F$2:F$498)</f>
        <v>29948</v>
      </c>
      <c r="W163" s="56">
        <f t="shared" si="131"/>
        <v>19423</v>
      </c>
      <c r="X163" s="51">
        <f>+SUMIF('GE16FEB14 Tax Bill Unfudged'!$A$2:$A$498, 'Tax Bill Summary'!$A163, 'GE16FEB14 Tax Bill Unfudged'!G$2:G$498)</f>
        <v>151622</v>
      </c>
      <c r="Y163" s="13">
        <f>+SUMIF('GE16FEB14 Tax Bill Unfudged'!$A$2:$A$498, 'Tax Bill Summary'!$A163, 'GE16FEB14 Tax Bill Unfudged'!H$2:H$498)</f>
        <v>91973</v>
      </c>
      <c r="Z163" s="56">
        <f t="shared" si="132"/>
        <v>59649</v>
      </c>
      <c r="AA163" s="51">
        <f>+SUMIF('GE16FEB14 Tax Bill Unfudged'!$A$2:$A$498, 'Tax Bill Summary'!$A163, 'GE16FEB14 Tax Bill Unfudged'!I$2:I$498)</f>
        <v>142336</v>
      </c>
      <c r="AB163" s="13">
        <f>+SUMIF('GE16FEB14 Tax Bill Unfudged'!$A$2:$A$498, 'Tax Bill Summary'!$A163, 'GE16FEB14 Tax Bill Unfudged'!J$2:J$498)</f>
        <v>58979</v>
      </c>
      <c r="AC163" s="56">
        <f t="shared" si="133"/>
        <v>83357</v>
      </c>
      <c r="AD163" s="51">
        <f t="shared" si="134"/>
        <v>343329</v>
      </c>
      <c r="AE163" s="13">
        <f t="shared" si="135"/>
        <v>180900</v>
      </c>
      <c r="AF163" s="56">
        <f t="shared" si="136"/>
        <v>162429</v>
      </c>
      <c r="AG163" s="13">
        <f t="shared" si="137"/>
        <v>959.01955307262574</v>
      </c>
      <c r="AH163" s="13">
        <f t="shared" si="138"/>
        <v>505.3072625698324</v>
      </c>
      <c r="AI163" s="16">
        <f t="shared" si="139"/>
        <v>453.71229050279328</v>
      </c>
      <c r="AJ163" s="15">
        <f t="shared" si="140"/>
        <v>6435</v>
      </c>
      <c r="AK163" s="13">
        <f t="shared" si="141"/>
        <v>3903</v>
      </c>
      <c r="AL163" s="56">
        <f t="shared" si="142"/>
        <v>2532</v>
      </c>
      <c r="AM163" s="51">
        <f t="shared" si="143"/>
        <v>151622</v>
      </c>
      <c r="AN163" s="13">
        <f t="shared" si="144"/>
        <v>91973</v>
      </c>
      <c r="AO163" s="56">
        <f t="shared" si="145"/>
        <v>59649</v>
      </c>
      <c r="AP163" s="51">
        <f t="shared" si="146"/>
        <v>-151622</v>
      </c>
      <c r="AQ163" s="13">
        <f t="shared" si="147"/>
        <v>-100699</v>
      </c>
      <c r="AR163" s="56">
        <f t="shared" si="148"/>
        <v>-50923</v>
      </c>
      <c r="AS163" s="51">
        <f t="shared" si="149"/>
        <v>6435</v>
      </c>
      <c r="AT163" s="13">
        <f t="shared" si="150"/>
        <v>-4823</v>
      </c>
      <c r="AU163" s="56">
        <f t="shared" si="151"/>
        <v>11258</v>
      </c>
      <c r="AV163" s="13">
        <f t="shared" si="152"/>
        <v>17.974860335195558</v>
      </c>
      <c r="AW163" s="13">
        <f t="shared" si="153"/>
        <v>-13.472067039106093</v>
      </c>
      <c r="AX163" s="16">
        <f t="shared" si="154"/>
        <v>31.446927374301652</v>
      </c>
    </row>
    <row r="164" spans="1:50" x14ac:dyDescent="0.25">
      <c r="A164" s="20">
        <v>487</v>
      </c>
      <c r="B164">
        <v>1</v>
      </c>
      <c r="C164" s="23" t="s">
        <v>280</v>
      </c>
      <c r="D164" s="23">
        <v>6</v>
      </c>
      <c r="E164" s="15">
        <f>+SUMIF('GE16FEB14 Unfudged'!$A$2:$A$498, $A164, 'GE16FEB14 Unfudged'!$D$2:$D$498)</f>
        <v>364</v>
      </c>
      <c r="F164" s="15">
        <f>+SUMIF('GE16FEB14 Unfudged'!$A$2:$A$498, 'Tax Bill Summary'!$A164, 'GE16FEB14 Unfudged'!E$2:E$498)</f>
        <v>43259</v>
      </c>
      <c r="G164" s="13">
        <f>+SUMIF('GE16FEB14 Unfudged'!$A$2:$A$498, 'Tax Bill Summary'!$A164, 'GE16FEB14 Unfudged'!F$2:F$498)</f>
        <v>29779</v>
      </c>
      <c r="H164" s="56">
        <f t="shared" si="122"/>
        <v>13480</v>
      </c>
      <c r="I164" s="51">
        <f>+SUMIF('GE16FEB14 Unfudged'!$A$2:$A$498, 'Tax Bill Summary'!$A164, 'GE16FEB14 Unfudged'!G$2:G$498)</f>
        <v>0</v>
      </c>
      <c r="J164" s="13">
        <f>+SUMIF('GE16FEB14 Unfudged'!$A$2:$A$498, 'Tax Bill Summary'!$A164, 'GE16FEB14 Unfudged'!H$2:H$498)</f>
        <v>0</v>
      </c>
      <c r="K164" s="56">
        <f t="shared" si="123"/>
        <v>0</v>
      </c>
      <c r="L164" s="51">
        <f>+SUMIF('GE16FEB14 Unfudged'!$A$2:$A$498, 'Tax Bill Summary'!$A164, 'GE16FEB14 Unfudged'!I$2:IF$498)</f>
        <v>309965</v>
      </c>
      <c r="M164" s="13">
        <f>+SUMIF('GE16FEB14 Unfudged'!$A$2:$A$498, 'Tax Bill Summary'!$A164, 'GE16FEB14 Unfudged'!J$2:IG$498)</f>
        <v>192060</v>
      </c>
      <c r="N164" s="56">
        <f t="shared" si="124"/>
        <v>117905</v>
      </c>
      <c r="O164" s="51">
        <f t="shared" si="125"/>
        <v>353224</v>
      </c>
      <c r="P164" s="13">
        <f t="shared" si="126"/>
        <v>221839</v>
      </c>
      <c r="Q164" s="56">
        <f t="shared" si="127"/>
        <v>131385</v>
      </c>
      <c r="R164" s="13">
        <f t="shared" si="128"/>
        <v>970.39560439560444</v>
      </c>
      <c r="S164" s="13">
        <f t="shared" si="129"/>
        <v>609.44780219780216</v>
      </c>
      <c r="T164" s="16">
        <f t="shared" si="130"/>
        <v>360.94780219780222</v>
      </c>
      <c r="U164" s="15">
        <f>+SUMIF('GE16FEB14 Tax Bill Unfudged'!$A$2:$A$498, 'Tax Bill Summary'!$A164, 'GE16FEB14 Tax Bill Unfudged'!E$2:E$498)</f>
        <v>49661</v>
      </c>
      <c r="V164" s="13">
        <f>+SUMIF('GE16FEB14 Tax Bill Unfudged'!$A$2:$A$498, 'Tax Bill Summary'!$A164, 'GE16FEB14 Tax Bill Unfudged'!F$2:F$498)</f>
        <v>34187</v>
      </c>
      <c r="W164" s="56">
        <f t="shared" si="131"/>
        <v>15474</v>
      </c>
      <c r="X164" s="51">
        <f>+SUMIF('GE16FEB14 Tax Bill Unfudged'!$A$2:$A$498, 'Tax Bill Summary'!$A164, 'GE16FEB14 Tax Bill Unfudged'!G$2:G$498)</f>
        <v>154463</v>
      </c>
      <c r="Y164" s="13">
        <f>+SUMIF('GE16FEB14 Tax Bill Unfudged'!$A$2:$A$498, 'Tax Bill Summary'!$A164, 'GE16FEB14 Tax Bill Unfudged'!H$2:H$498)</f>
        <v>106332</v>
      </c>
      <c r="Z164" s="56">
        <f t="shared" si="132"/>
        <v>48131</v>
      </c>
      <c r="AA164" s="51">
        <f>+SUMIF('GE16FEB14 Tax Bill Unfudged'!$A$2:$A$498, 'Tax Bill Summary'!$A164, 'GE16FEB14 Tax Bill Unfudged'!I$2:I$498)</f>
        <v>155501</v>
      </c>
      <c r="AB164" s="13">
        <f>+SUMIF('GE16FEB14 Tax Bill Unfudged'!$A$2:$A$498, 'Tax Bill Summary'!$A164, 'GE16FEB14 Tax Bill Unfudged'!J$2:J$498)</f>
        <v>75414</v>
      </c>
      <c r="AC164" s="56">
        <f t="shared" si="133"/>
        <v>80087</v>
      </c>
      <c r="AD164" s="51">
        <f t="shared" si="134"/>
        <v>359625</v>
      </c>
      <c r="AE164" s="13">
        <f t="shared" si="135"/>
        <v>215933</v>
      </c>
      <c r="AF164" s="56">
        <f t="shared" si="136"/>
        <v>143692</v>
      </c>
      <c r="AG164" s="13">
        <f t="shared" si="137"/>
        <v>987.98076923076928</v>
      </c>
      <c r="AH164" s="13">
        <f t="shared" si="138"/>
        <v>593.22252747252742</v>
      </c>
      <c r="AI164" s="16">
        <f t="shared" si="139"/>
        <v>394.75824175824175</v>
      </c>
      <c r="AJ164" s="15">
        <f t="shared" si="140"/>
        <v>6402</v>
      </c>
      <c r="AK164" s="13">
        <f t="shared" si="141"/>
        <v>4408</v>
      </c>
      <c r="AL164" s="56">
        <f t="shared" si="142"/>
        <v>1994</v>
      </c>
      <c r="AM164" s="51">
        <f t="shared" si="143"/>
        <v>154463</v>
      </c>
      <c r="AN164" s="13">
        <f t="shared" si="144"/>
        <v>106332</v>
      </c>
      <c r="AO164" s="56">
        <f t="shared" si="145"/>
        <v>48131</v>
      </c>
      <c r="AP164" s="51">
        <f t="shared" si="146"/>
        <v>-154464</v>
      </c>
      <c r="AQ164" s="13">
        <f t="shared" si="147"/>
        <v>-116646</v>
      </c>
      <c r="AR164" s="56">
        <f t="shared" si="148"/>
        <v>-37818</v>
      </c>
      <c r="AS164" s="51">
        <f t="shared" si="149"/>
        <v>6401</v>
      </c>
      <c r="AT164" s="13">
        <f t="shared" si="150"/>
        <v>-5906</v>
      </c>
      <c r="AU164" s="56">
        <f t="shared" si="151"/>
        <v>12307</v>
      </c>
      <c r="AV164" s="13">
        <f t="shared" si="152"/>
        <v>17.585164835164846</v>
      </c>
      <c r="AW164" s="13">
        <f t="shared" si="153"/>
        <v>-16.225274725274744</v>
      </c>
      <c r="AX164" s="16">
        <f t="shared" si="154"/>
        <v>33.810439560439534</v>
      </c>
    </row>
    <row r="165" spans="1:50" x14ac:dyDescent="0.25">
      <c r="A165" s="20">
        <v>492</v>
      </c>
      <c r="B165">
        <v>1</v>
      </c>
      <c r="C165" s="23" t="s">
        <v>281</v>
      </c>
      <c r="D165" s="23">
        <v>4</v>
      </c>
      <c r="E165" s="15">
        <f>+SUMIF('GE16FEB14 Unfudged'!$A$2:$A$498, $A165, 'GE16FEB14 Unfudged'!$D$2:$D$498)</f>
        <v>5139</v>
      </c>
      <c r="F165" s="15">
        <f>+SUMIF('GE16FEB14 Unfudged'!$A$2:$A$498, 'Tax Bill Summary'!$A165, 'GE16FEB14 Unfudged'!E$2:E$498)</f>
        <v>679955</v>
      </c>
      <c r="G165" s="13">
        <f>+SUMIF('GE16FEB14 Unfudged'!$A$2:$A$498, 'Tax Bill Summary'!$A165, 'GE16FEB14 Unfudged'!F$2:F$498)</f>
        <v>325142</v>
      </c>
      <c r="H165" s="56">
        <f t="shared" si="122"/>
        <v>354813</v>
      </c>
      <c r="I165" s="51">
        <f>+SUMIF('GE16FEB14 Unfudged'!$A$2:$A$498, 'Tax Bill Summary'!$A165, 'GE16FEB14 Unfudged'!G$2:G$498)</f>
        <v>1089383</v>
      </c>
      <c r="J165" s="13">
        <f>+SUMIF('GE16FEB14 Unfudged'!$A$2:$A$498, 'Tax Bill Summary'!$A165, 'GE16FEB14 Unfudged'!H$2:H$498)</f>
        <v>520923</v>
      </c>
      <c r="K165" s="56">
        <f t="shared" si="123"/>
        <v>568460</v>
      </c>
      <c r="L165" s="51">
        <f>+SUMIF('GE16FEB14 Unfudged'!$A$2:$A$498, 'Tax Bill Summary'!$A165, 'GE16FEB14 Unfudged'!I$2:IF$498)</f>
        <v>2850381</v>
      </c>
      <c r="M165" s="13">
        <f>+SUMIF('GE16FEB14 Unfudged'!$A$2:$A$498, 'Tax Bill Summary'!$A165, 'GE16FEB14 Unfudged'!J$2:IG$498)</f>
        <v>1053059</v>
      </c>
      <c r="N165" s="56">
        <f t="shared" si="124"/>
        <v>1797322</v>
      </c>
      <c r="O165" s="51">
        <f t="shared" si="125"/>
        <v>4619719</v>
      </c>
      <c r="P165" s="13">
        <f t="shared" si="126"/>
        <v>1899124</v>
      </c>
      <c r="Q165" s="56">
        <f t="shared" si="127"/>
        <v>2720595</v>
      </c>
      <c r="R165" s="13">
        <f t="shared" si="128"/>
        <v>898.95290912628911</v>
      </c>
      <c r="S165" s="13">
        <f t="shared" si="129"/>
        <v>369.55127456703639</v>
      </c>
      <c r="T165" s="16">
        <f t="shared" si="130"/>
        <v>529.40163455925278</v>
      </c>
      <c r="U165" s="15">
        <f>+SUMIF('GE16FEB14 Tax Bill Unfudged'!$A$2:$A$498, 'Tax Bill Summary'!$A165, 'GE16FEB14 Tax Bill Unfudged'!E$2:E$498)</f>
        <v>726670</v>
      </c>
      <c r="V165" s="13">
        <f>+SUMIF('GE16FEB14 Tax Bill Unfudged'!$A$2:$A$498, 'Tax Bill Summary'!$A165, 'GE16FEB14 Tax Bill Unfudged'!F$2:F$498)</f>
        <v>347480</v>
      </c>
      <c r="W165" s="56">
        <f t="shared" si="131"/>
        <v>379190</v>
      </c>
      <c r="X165" s="51">
        <f>+SUMIF('GE16FEB14 Tax Bill Unfudged'!$A$2:$A$498, 'Tax Bill Summary'!$A165, 'GE16FEB14 Tax Bill Unfudged'!G$2:G$498)</f>
        <v>2178766</v>
      </c>
      <c r="Y165" s="13">
        <f>+SUMIF('GE16FEB14 Tax Bill Unfudged'!$A$2:$A$498, 'Tax Bill Summary'!$A165, 'GE16FEB14 Tax Bill Unfudged'!H$2:H$498)</f>
        <v>1041845</v>
      </c>
      <c r="Z165" s="56">
        <f t="shared" si="132"/>
        <v>1136921</v>
      </c>
      <c r="AA165" s="51">
        <f>+SUMIF('GE16FEB14 Tax Bill Unfudged'!$A$2:$A$498, 'Tax Bill Summary'!$A165, 'GE16FEB14 Tax Bill Unfudged'!I$2:I$498)</f>
        <v>1760998</v>
      </c>
      <c r="AB165" s="13">
        <f>+SUMIF('GE16FEB14 Tax Bill Unfudged'!$A$2:$A$498, 'Tax Bill Summary'!$A165, 'GE16FEB14 Tax Bill Unfudged'!J$2:J$498)</f>
        <v>532137</v>
      </c>
      <c r="AC165" s="56">
        <f t="shared" si="133"/>
        <v>1228861</v>
      </c>
      <c r="AD165" s="51">
        <f t="shared" si="134"/>
        <v>4666434</v>
      </c>
      <c r="AE165" s="13">
        <f t="shared" si="135"/>
        <v>1921462</v>
      </c>
      <c r="AF165" s="56">
        <f t="shared" si="136"/>
        <v>2744972</v>
      </c>
      <c r="AG165" s="13">
        <f t="shared" si="137"/>
        <v>908.04319906596618</v>
      </c>
      <c r="AH165" s="13">
        <f t="shared" si="138"/>
        <v>373.89803463708893</v>
      </c>
      <c r="AI165" s="16">
        <f t="shared" si="139"/>
        <v>534.14516442887725</v>
      </c>
      <c r="AJ165" s="15">
        <f t="shared" si="140"/>
        <v>46715</v>
      </c>
      <c r="AK165" s="13">
        <f t="shared" si="141"/>
        <v>22338</v>
      </c>
      <c r="AL165" s="56">
        <f t="shared" si="142"/>
        <v>24377</v>
      </c>
      <c r="AM165" s="51">
        <f t="shared" si="143"/>
        <v>1089383</v>
      </c>
      <c r="AN165" s="13">
        <f t="shared" si="144"/>
        <v>520922</v>
      </c>
      <c r="AO165" s="56">
        <f t="shared" si="145"/>
        <v>568461</v>
      </c>
      <c r="AP165" s="51">
        <f t="shared" si="146"/>
        <v>-1089383</v>
      </c>
      <c r="AQ165" s="13">
        <f t="shared" si="147"/>
        <v>-520922</v>
      </c>
      <c r="AR165" s="56">
        <f t="shared" si="148"/>
        <v>-568461</v>
      </c>
      <c r="AS165" s="51">
        <f t="shared" si="149"/>
        <v>46715</v>
      </c>
      <c r="AT165" s="13">
        <f t="shared" si="150"/>
        <v>22338</v>
      </c>
      <c r="AU165" s="56">
        <f t="shared" si="151"/>
        <v>24377</v>
      </c>
      <c r="AV165" s="13">
        <f t="shared" si="152"/>
        <v>9.0902899396770636</v>
      </c>
      <c r="AW165" s="13">
        <f t="shared" si="153"/>
        <v>4.3467600700525395</v>
      </c>
      <c r="AX165" s="16">
        <f t="shared" si="154"/>
        <v>4.7435298696244672</v>
      </c>
    </row>
    <row r="166" spans="1:50" x14ac:dyDescent="0.25">
      <c r="A166" s="20">
        <v>495</v>
      </c>
      <c r="B166">
        <v>1</v>
      </c>
      <c r="C166" s="23" t="s">
        <v>282</v>
      </c>
      <c r="D166" s="23">
        <v>6</v>
      </c>
      <c r="E166" s="15">
        <f>+SUMIF('GE16FEB14 Unfudged'!$A$2:$A$498, $A166, 'GE16FEB14 Unfudged'!$D$2:$D$498)</f>
        <v>435</v>
      </c>
      <c r="F166" s="15">
        <f>+SUMIF('GE16FEB14 Unfudged'!$A$2:$A$498, 'Tax Bill Summary'!$A166, 'GE16FEB14 Unfudged'!E$2:E$498)</f>
        <v>39964</v>
      </c>
      <c r="G166" s="13">
        <f>+SUMIF('GE16FEB14 Unfudged'!$A$2:$A$498, 'Tax Bill Summary'!$A166, 'GE16FEB14 Unfudged'!F$2:F$498)</f>
        <v>17900</v>
      </c>
      <c r="H166" s="56">
        <f t="shared" si="122"/>
        <v>22064</v>
      </c>
      <c r="I166" s="51">
        <f>+SUMIF('GE16FEB14 Unfudged'!$A$2:$A$498, 'Tax Bill Summary'!$A166, 'GE16FEB14 Unfudged'!G$2:G$498)</f>
        <v>0</v>
      </c>
      <c r="J166" s="13">
        <f>+SUMIF('GE16FEB14 Unfudged'!$A$2:$A$498, 'Tax Bill Summary'!$A166, 'GE16FEB14 Unfudged'!H$2:H$498)</f>
        <v>0</v>
      </c>
      <c r="K166" s="56">
        <f t="shared" si="123"/>
        <v>0</v>
      </c>
      <c r="L166" s="51">
        <f>+SUMIF('GE16FEB14 Unfudged'!$A$2:$A$498, 'Tax Bill Summary'!$A166, 'GE16FEB14 Unfudged'!I$2:IF$498)</f>
        <v>624760</v>
      </c>
      <c r="M166" s="13">
        <f>+SUMIF('GE16FEB14 Unfudged'!$A$2:$A$498, 'Tax Bill Summary'!$A166, 'GE16FEB14 Unfudged'!J$2:IG$498)</f>
        <v>355249</v>
      </c>
      <c r="N166" s="56">
        <f t="shared" si="124"/>
        <v>269511</v>
      </c>
      <c r="O166" s="51">
        <f t="shared" si="125"/>
        <v>664724</v>
      </c>
      <c r="P166" s="13">
        <f t="shared" si="126"/>
        <v>373149</v>
      </c>
      <c r="Q166" s="56">
        <f t="shared" si="127"/>
        <v>291575</v>
      </c>
      <c r="R166" s="13">
        <f t="shared" si="128"/>
        <v>1528.1011494252873</v>
      </c>
      <c r="S166" s="13">
        <f t="shared" si="129"/>
        <v>857.81379310344823</v>
      </c>
      <c r="T166" s="16">
        <f t="shared" si="130"/>
        <v>670.28735632183907</v>
      </c>
      <c r="U166" s="15">
        <f>+SUMIF('GE16FEB14 Tax Bill Unfudged'!$A$2:$A$498, 'Tax Bill Summary'!$A166, 'GE16FEB14 Tax Bill Unfudged'!E$2:E$498)</f>
        <v>43858</v>
      </c>
      <c r="V166" s="13">
        <f>+SUMIF('GE16FEB14 Tax Bill Unfudged'!$A$2:$A$498, 'Tax Bill Summary'!$A166, 'GE16FEB14 Tax Bill Unfudged'!F$2:F$498)</f>
        <v>19645</v>
      </c>
      <c r="W166" s="56">
        <f t="shared" si="131"/>
        <v>24213</v>
      </c>
      <c r="X166" s="51">
        <f>+SUMIF('GE16FEB14 Tax Bill Unfudged'!$A$2:$A$498, 'Tax Bill Summary'!$A166, 'GE16FEB14 Tax Bill Unfudged'!G$2:G$498)</f>
        <v>184398</v>
      </c>
      <c r="Y166" s="13">
        <f>+SUMIF('GE16FEB14 Tax Bill Unfudged'!$A$2:$A$498, 'Tax Bill Summary'!$A166, 'GE16FEB14 Tax Bill Unfudged'!H$2:H$498)</f>
        <v>82595</v>
      </c>
      <c r="Z166" s="56">
        <f t="shared" si="132"/>
        <v>101803</v>
      </c>
      <c r="AA166" s="51">
        <f>+SUMIF('GE16FEB14 Tax Bill Unfudged'!$A$2:$A$498, 'Tax Bill Summary'!$A166, 'GE16FEB14 Tax Bill Unfudged'!I$2:I$498)</f>
        <v>440362</v>
      </c>
      <c r="AB166" s="13">
        <f>+SUMIF('GE16FEB14 Tax Bill Unfudged'!$A$2:$A$498, 'Tax Bill Summary'!$A166, 'GE16FEB14 Tax Bill Unfudged'!J$2:J$498)</f>
        <v>209996</v>
      </c>
      <c r="AC166" s="56">
        <f t="shared" si="133"/>
        <v>230366</v>
      </c>
      <c r="AD166" s="51">
        <f t="shared" si="134"/>
        <v>668618</v>
      </c>
      <c r="AE166" s="13">
        <f t="shared" si="135"/>
        <v>312236</v>
      </c>
      <c r="AF166" s="56">
        <f t="shared" si="136"/>
        <v>356382</v>
      </c>
      <c r="AG166" s="13">
        <f t="shared" si="137"/>
        <v>1537.0528735632183</v>
      </c>
      <c r="AH166" s="13">
        <f t="shared" si="138"/>
        <v>717.783908045977</v>
      </c>
      <c r="AI166" s="16">
        <f t="shared" si="139"/>
        <v>819.26896551724133</v>
      </c>
      <c r="AJ166" s="15">
        <f t="shared" si="140"/>
        <v>3894</v>
      </c>
      <c r="AK166" s="13">
        <f t="shared" si="141"/>
        <v>1745</v>
      </c>
      <c r="AL166" s="56">
        <f t="shared" si="142"/>
        <v>2149</v>
      </c>
      <c r="AM166" s="51">
        <f t="shared" si="143"/>
        <v>184398</v>
      </c>
      <c r="AN166" s="13">
        <f t="shared" si="144"/>
        <v>82595</v>
      </c>
      <c r="AO166" s="56">
        <f t="shared" si="145"/>
        <v>101803</v>
      </c>
      <c r="AP166" s="51">
        <f t="shared" si="146"/>
        <v>-184398</v>
      </c>
      <c r="AQ166" s="13">
        <f t="shared" si="147"/>
        <v>-145253</v>
      </c>
      <c r="AR166" s="56">
        <f t="shared" si="148"/>
        <v>-39145</v>
      </c>
      <c r="AS166" s="51">
        <f t="shared" si="149"/>
        <v>3894</v>
      </c>
      <c r="AT166" s="13">
        <f t="shared" si="150"/>
        <v>-60913</v>
      </c>
      <c r="AU166" s="56">
        <f t="shared" si="151"/>
        <v>64807</v>
      </c>
      <c r="AV166" s="13">
        <f t="shared" si="152"/>
        <v>8.9517241379310235</v>
      </c>
      <c r="AW166" s="13">
        <f t="shared" si="153"/>
        <v>-140.02988505747123</v>
      </c>
      <c r="AX166" s="16">
        <f t="shared" si="154"/>
        <v>148.98160919540226</v>
      </c>
    </row>
    <row r="167" spans="1:50" x14ac:dyDescent="0.25">
      <c r="A167" s="20">
        <v>497</v>
      </c>
      <c r="B167">
        <v>1</v>
      </c>
      <c r="C167" s="23" t="s">
        <v>283</v>
      </c>
      <c r="D167" s="23">
        <v>6</v>
      </c>
      <c r="E167" s="15">
        <f>+SUMIF('GE16FEB14 Unfudged'!$A$2:$A$498, $A167, 'GE16FEB14 Unfudged'!$D$2:$D$498)</f>
        <v>255</v>
      </c>
      <c r="F167" s="15">
        <f>+SUMIF('GE16FEB14 Unfudged'!$A$2:$A$498, 'Tax Bill Summary'!$A167, 'GE16FEB14 Unfudged'!E$2:E$498)</f>
        <v>31604</v>
      </c>
      <c r="G167" s="13">
        <f>+SUMIF('GE16FEB14 Unfudged'!$A$2:$A$498, 'Tax Bill Summary'!$A167, 'GE16FEB14 Unfudged'!F$2:F$498)</f>
        <v>15485</v>
      </c>
      <c r="H167" s="56">
        <f t="shared" si="122"/>
        <v>16119</v>
      </c>
      <c r="I167" s="51">
        <f>+SUMIF('GE16FEB14 Unfudged'!$A$2:$A$498, 'Tax Bill Summary'!$A167, 'GE16FEB14 Unfudged'!G$2:G$498)</f>
        <v>0</v>
      </c>
      <c r="J167" s="13">
        <f>+SUMIF('GE16FEB14 Unfudged'!$A$2:$A$498, 'Tax Bill Summary'!$A167, 'GE16FEB14 Unfudged'!H$2:H$498)</f>
        <v>0</v>
      </c>
      <c r="K167" s="56">
        <f t="shared" si="123"/>
        <v>0</v>
      </c>
      <c r="L167" s="51">
        <f>+SUMIF('GE16FEB14 Unfudged'!$A$2:$A$498, 'Tax Bill Summary'!$A167, 'GE16FEB14 Unfudged'!I$2:IF$498)</f>
        <v>188430</v>
      </c>
      <c r="M167" s="13">
        <f>+SUMIF('GE16FEB14 Unfudged'!$A$2:$A$498, 'Tax Bill Summary'!$A167, 'GE16FEB14 Unfudged'!J$2:IG$498)</f>
        <v>76561</v>
      </c>
      <c r="N167" s="56">
        <f t="shared" si="124"/>
        <v>111869</v>
      </c>
      <c r="O167" s="51">
        <f t="shared" si="125"/>
        <v>220034</v>
      </c>
      <c r="P167" s="13">
        <f t="shared" si="126"/>
        <v>92046</v>
      </c>
      <c r="Q167" s="56">
        <f t="shared" si="127"/>
        <v>127988</v>
      </c>
      <c r="R167" s="13">
        <f t="shared" si="128"/>
        <v>862.87843137254902</v>
      </c>
      <c r="S167" s="13">
        <f t="shared" si="129"/>
        <v>360.96470588235292</v>
      </c>
      <c r="T167" s="16">
        <f t="shared" si="130"/>
        <v>501.9137254901961</v>
      </c>
      <c r="U167" s="15">
        <f>+SUMIF('GE16FEB14 Tax Bill Unfudged'!$A$2:$A$498, 'Tax Bill Summary'!$A167, 'GE16FEB14 Tax Bill Unfudged'!E$2:E$498)</f>
        <v>36508</v>
      </c>
      <c r="V167" s="13">
        <f>+SUMIF('GE16FEB14 Tax Bill Unfudged'!$A$2:$A$498, 'Tax Bill Summary'!$A167, 'GE16FEB14 Tax Bill Unfudged'!F$2:F$498)</f>
        <v>17888</v>
      </c>
      <c r="W167" s="56">
        <f t="shared" si="131"/>
        <v>18620</v>
      </c>
      <c r="X167" s="51">
        <f>+SUMIF('GE16FEB14 Tax Bill Unfudged'!$A$2:$A$498, 'Tax Bill Summary'!$A167, 'GE16FEB14 Tax Bill Unfudged'!G$2:G$498)</f>
        <v>108162</v>
      </c>
      <c r="Y167" s="13">
        <f>+SUMIF('GE16FEB14 Tax Bill Unfudged'!$A$2:$A$498, 'Tax Bill Summary'!$A167, 'GE16FEB14 Tax Bill Unfudged'!H$2:H$498)</f>
        <v>52997</v>
      </c>
      <c r="Z167" s="56">
        <f t="shared" si="132"/>
        <v>55165</v>
      </c>
      <c r="AA167" s="51">
        <f>+SUMIF('GE16FEB14 Tax Bill Unfudged'!$A$2:$A$498, 'Tax Bill Summary'!$A167, 'GE16FEB14 Tax Bill Unfudged'!I$2:I$498)</f>
        <v>80267</v>
      </c>
      <c r="AB167" s="13">
        <f>+SUMIF('GE16FEB14 Tax Bill Unfudged'!$A$2:$A$498, 'Tax Bill Summary'!$A167, 'GE16FEB14 Tax Bill Unfudged'!J$2:J$498)</f>
        <v>23563</v>
      </c>
      <c r="AC167" s="56">
        <f t="shared" si="133"/>
        <v>56704</v>
      </c>
      <c r="AD167" s="51">
        <f t="shared" si="134"/>
        <v>224937</v>
      </c>
      <c r="AE167" s="13">
        <f t="shared" si="135"/>
        <v>94448</v>
      </c>
      <c r="AF167" s="56">
        <f t="shared" si="136"/>
        <v>130489</v>
      </c>
      <c r="AG167" s="13">
        <f t="shared" si="137"/>
        <v>882.10588235294119</v>
      </c>
      <c r="AH167" s="13">
        <f t="shared" si="138"/>
        <v>370.38431372549019</v>
      </c>
      <c r="AI167" s="16">
        <f t="shared" si="139"/>
        <v>511.72156862745101</v>
      </c>
      <c r="AJ167" s="15">
        <f t="shared" si="140"/>
        <v>4904</v>
      </c>
      <c r="AK167" s="13">
        <f t="shared" si="141"/>
        <v>2403</v>
      </c>
      <c r="AL167" s="56">
        <f t="shared" si="142"/>
        <v>2501</v>
      </c>
      <c r="AM167" s="51">
        <f t="shared" si="143"/>
        <v>108162</v>
      </c>
      <c r="AN167" s="13">
        <f t="shared" si="144"/>
        <v>52997</v>
      </c>
      <c r="AO167" s="56">
        <f t="shared" si="145"/>
        <v>55165</v>
      </c>
      <c r="AP167" s="51">
        <f t="shared" si="146"/>
        <v>-108163</v>
      </c>
      <c r="AQ167" s="13">
        <f t="shared" si="147"/>
        <v>-52998</v>
      </c>
      <c r="AR167" s="56">
        <f t="shared" si="148"/>
        <v>-55165</v>
      </c>
      <c r="AS167" s="51">
        <f t="shared" si="149"/>
        <v>4903</v>
      </c>
      <c r="AT167" s="13">
        <f t="shared" si="150"/>
        <v>2402</v>
      </c>
      <c r="AU167" s="56">
        <f t="shared" si="151"/>
        <v>2501</v>
      </c>
      <c r="AV167" s="13">
        <f t="shared" si="152"/>
        <v>19.227450980392177</v>
      </c>
      <c r="AW167" s="13">
        <f t="shared" si="153"/>
        <v>9.4196078431372712</v>
      </c>
      <c r="AX167" s="16">
        <f t="shared" si="154"/>
        <v>9.8078431372549062</v>
      </c>
    </row>
    <row r="168" spans="1:50" x14ac:dyDescent="0.25">
      <c r="A168" s="20">
        <v>499</v>
      </c>
      <c r="B168">
        <v>1</v>
      </c>
      <c r="C168" s="23" t="s">
        <v>284</v>
      </c>
      <c r="D168" s="23">
        <v>6</v>
      </c>
      <c r="E168" s="15">
        <f>+SUMIF('GE16FEB14 Unfudged'!$A$2:$A$498, $A168, 'GE16FEB14 Unfudged'!$D$2:$D$498)</f>
        <v>305</v>
      </c>
      <c r="F168" s="15">
        <f>+SUMIF('GE16FEB14 Unfudged'!$A$2:$A$498, 'Tax Bill Summary'!$A168, 'GE16FEB14 Unfudged'!E$2:E$498)</f>
        <v>22623</v>
      </c>
      <c r="G168" s="13">
        <f>+SUMIF('GE16FEB14 Unfudged'!$A$2:$A$498, 'Tax Bill Summary'!$A168, 'GE16FEB14 Unfudged'!F$2:F$498)</f>
        <v>12786</v>
      </c>
      <c r="H168" s="56">
        <f t="shared" si="122"/>
        <v>9837</v>
      </c>
      <c r="I168" s="51">
        <f>+SUMIF('GE16FEB14 Unfudged'!$A$2:$A$498, 'Tax Bill Summary'!$A168, 'GE16FEB14 Unfudged'!G$2:G$498)</f>
        <v>0</v>
      </c>
      <c r="J168" s="13">
        <f>+SUMIF('GE16FEB14 Unfudged'!$A$2:$A$498, 'Tax Bill Summary'!$A168, 'GE16FEB14 Unfudged'!H$2:H$498)</f>
        <v>0</v>
      </c>
      <c r="K168" s="56">
        <f t="shared" si="123"/>
        <v>0</v>
      </c>
      <c r="L168" s="51">
        <f>+SUMIF('GE16FEB14 Unfudged'!$A$2:$A$498, 'Tax Bill Summary'!$A168, 'GE16FEB14 Unfudged'!I$2:IF$498)</f>
        <v>554661</v>
      </c>
      <c r="M168" s="13">
        <f>+SUMIF('GE16FEB14 Unfudged'!$A$2:$A$498, 'Tax Bill Summary'!$A168, 'GE16FEB14 Unfudged'!J$2:IG$498)</f>
        <v>394845</v>
      </c>
      <c r="N168" s="56">
        <f t="shared" si="124"/>
        <v>159816</v>
      </c>
      <c r="O168" s="51">
        <f t="shared" si="125"/>
        <v>577284</v>
      </c>
      <c r="P168" s="13">
        <f t="shared" si="126"/>
        <v>407631</v>
      </c>
      <c r="Q168" s="56">
        <f t="shared" si="127"/>
        <v>169653</v>
      </c>
      <c r="R168" s="13">
        <f t="shared" si="128"/>
        <v>1892.7344262295082</v>
      </c>
      <c r="S168" s="13">
        <f t="shared" si="129"/>
        <v>1336.4950819672131</v>
      </c>
      <c r="T168" s="16">
        <f t="shared" si="130"/>
        <v>556.23934426229505</v>
      </c>
      <c r="U168" s="15">
        <f>+SUMIF('GE16FEB14 Tax Bill Unfudged'!$A$2:$A$498, 'Tax Bill Summary'!$A168, 'GE16FEB14 Tax Bill Unfudged'!E$2:E$498)</f>
        <v>23627</v>
      </c>
      <c r="V168" s="13">
        <f>+SUMIF('GE16FEB14 Tax Bill Unfudged'!$A$2:$A$498, 'Tax Bill Summary'!$A168, 'GE16FEB14 Tax Bill Unfudged'!F$2:F$498)</f>
        <v>13353</v>
      </c>
      <c r="W168" s="56">
        <f t="shared" si="131"/>
        <v>10274</v>
      </c>
      <c r="X168" s="51">
        <f>+SUMIF('GE16FEB14 Tax Bill Unfudged'!$A$2:$A$498, 'Tax Bill Summary'!$A168, 'GE16FEB14 Tax Bill Unfudged'!G$2:G$498)</f>
        <v>129150</v>
      </c>
      <c r="Y168" s="13">
        <f>+SUMIF('GE16FEB14 Tax Bill Unfudged'!$A$2:$A$498, 'Tax Bill Summary'!$A168, 'GE16FEB14 Tax Bill Unfudged'!H$2:H$498)</f>
        <v>72992</v>
      </c>
      <c r="Z168" s="56">
        <f t="shared" si="132"/>
        <v>56158</v>
      </c>
      <c r="AA168" s="51">
        <f>+SUMIF('GE16FEB14 Tax Bill Unfudged'!$A$2:$A$498, 'Tax Bill Summary'!$A168, 'GE16FEB14 Tax Bill Unfudged'!I$2:I$498)</f>
        <v>425511</v>
      </c>
      <c r="AB168" s="13">
        <f>+SUMIF('GE16FEB14 Tax Bill Unfudged'!$A$2:$A$498, 'Tax Bill Summary'!$A168, 'GE16FEB14 Tax Bill Unfudged'!J$2:J$498)</f>
        <v>265695</v>
      </c>
      <c r="AC168" s="56">
        <f t="shared" si="133"/>
        <v>159816</v>
      </c>
      <c r="AD168" s="51">
        <f t="shared" si="134"/>
        <v>578288</v>
      </c>
      <c r="AE168" s="13">
        <f t="shared" si="135"/>
        <v>352040</v>
      </c>
      <c r="AF168" s="56">
        <f t="shared" si="136"/>
        <v>226248</v>
      </c>
      <c r="AG168" s="13">
        <f t="shared" si="137"/>
        <v>1896.0262295081968</v>
      </c>
      <c r="AH168" s="13">
        <f t="shared" si="138"/>
        <v>1154.2295081967213</v>
      </c>
      <c r="AI168" s="16">
        <f t="shared" si="139"/>
        <v>741.79672131147538</v>
      </c>
      <c r="AJ168" s="15">
        <f t="shared" si="140"/>
        <v>1004</v>
      </c>
      <c r="AK168" s="13">
        <f t="shared" si="141"/>
        <v>567</v>
      </c>
      <c r="AL168" s="56">
        <f t="shared" si="142"/>
        <v>437</v>
      </c>
      <c r="AM168" s="51">
        <f t="shared" si="143"/>
        <v>129150</v>
      </c>
      <c r="AN168" s="13">
        <f t="shared" si="144"/>
        <v>72992</v>
      </c>
      <c r="AO168" s="56">
        <f t="shared" si="145"/>
        <v>56158</v>
      </c>
      <c r="AP168" s="51">
        <f t="shared" si="146"/>
        <v>-129150</v>
      </c>
      <c r="AQ168" s="13">
        <f t="shared" si="147"/>
        <v>-129150</v>
      </c>
      <c r="AR168" s="56">
        <f t="shared" si="148"/>
        <v>0</v>
      </c>
      <c r="AS168" s="51">
        <f t="shared" si="149"/>
        <v>1004</v>
      </c>
      <c r="AT168" s="13">
        <f t="shared" si="150"/>
        <v>-55591</v>
      </c>
      <c r="AU168" s="56">
        <f t="shared" si="151"/>
        <v>56595</v>
      </c>
      <c r="AV168" s="13">
        <f t="shared" si="152"/>
        <v>3.291803278688576</v>
      </c>
      <c r="AW168" s="13">
        <f t="shared" si="153"/>
        <v>-182.26557377049176</v>
      </c>
      <c r="AX168" s="16">
        <f t="shared" si="154"/>
        <v>185.55737704918033</v>
      </c>
    </row>
    <row r="169" spans="1:50" x14ac:dyDescent="0.25">
      <c r="A169" s="20">
        <v>500</v>
      </c>
      <c r="B169">
        <v>1</v>
      </c>
      <c r="C169" s="23" t="s">
        <v>285</v>
      </c>
      <c r="D169" s="23">
        <v>6</v>
      </c>
      <c r="E169" s="15">
        <f>+SUMIF('GE16FEB14 Unfudged'!$A$2:$A$498, $A169, 'GE16FEB14 Unfudged'!$D$2:$D$498)</f>
        <v>450</v>
      </c>
      <c r="F169" s="15">
        <f>+SUMIF('GE16FEB14 Unfudged'!$A$2:$A$498, 'Tax Bill Summary'!$A169, 'GE16FEB14 Unfudged'!E$2:E$498)</f>
        <v>55695</v>
      </c>
      <c r="G169" s="13">
        <f>+SUMIF('GE16FEB14 Unfudged'!$A$2:$A$498, 'Tax Bill Summary'!$A169, 'GE16FEB14 Unfudged'!F$2:F$498)</f>
        <v>43760</v>
      </c>
      <c r="H169" s="56">
        <f t="shared" si="122"/>
        <v>11935</v>
      </c>
      <c r="I169" s="51">
        <f>+SUMIF('GE16FEB14 Unfudged'!$A$2:$A$498, 'Tax Bill Summary'!$A169, 'GE16FEB14 Unfudged'!G$2:G$498)</f>
        <v>0</v>
      </c>
      <c r="J169" s="13">
        <f>+SUMIF('GE16FEB14 Unfudged'!$A$2:$A$498, 'Tax Bill Summary'!$A169, 'GE16FEB14 Unfudged'!H$2:H$498)</f>
        <v>0</v>
      </c>
      <c r="K169" s="56">
        <f t="shared" si="123"/>
        <v>0</v>
      </c>
      <c r="L169" s="51">
        <f>+SUMIF('GE16FEB14 Unfudged'!$A$2:$A$498, 'Tax Bill Summary'!$A169, 'GE16FEB14 Unfudged'!I$2:IF$498)</f>
        <v>331875</v>
      </c>
      <c r="M169" s="13">
        <f>+SUMIF('GE16FEB14 Unfudged'!$A$2:$A$498, 'Tax Bill Summary'!$A169, 'GE16FEB14 Unfudged'!J$2:IG$498)</f>
        <v>216208</v>
      </c>
      <c r="N169" s="56">
        <f t="shared" si="124"/>
        <v>115667</v>
      </c>
      <c r="O169" s="51">
        <f t="shared" si="125"/>
        <v>387570</v>
      </c>
      <c r="P169" s="13">
        <f t="shared" si="126"/>
        <v>259968</v>
      </c>
      <c r="Q169" s="56">
        <f t="shared" si="127"/>
        <v>127602</v>
      </c>
      <c r="R169" s="13">
        <f t="shared" si="128"/>
        <v>861.26666666666665</v>
      </c>
      <c r="S169" s="13">
        <f t="shared" si="129"/>
        <v>577.70666666666671</v>
      </c>
      <c r="T169" s="16">
        <f t="shared" si="130"/>
        <v>283.56</v>
      </c>
      <c r="U169" s="15">
        <f>+SUMIF('GE16FEB14 Tax Bill Unfudged'!$A$2:$A$498, 'Tax Bill Summary'!$A169, 'GE16FEB14 Tax Bill Unfudged'!E$2:E$498)</f>
        <v>64338</v>
      </c>
      <c r="V169" s="13">
        <f>+SUMIF('GE16FEB14 Tax Bill Unfudged'!$A$2:$A$498, 'Tax Bill Summary'!$A169, 'GE16FEB14 Tax Bill Unfudged'!F$2:F$498)</f>
        <v>50551</v>
      </c>
      <c r="W169" s="56">
        <f t="shared" si="131"/>
        <v>13787</v>
      </c>
      <c r="X169" s="51">
        <f>+SUMIF('GE16FEB14 Tax Bill Unfudged'!$A$2:$A$498, 'Tax Bill Summary'!$A169, 'GE16FEB14 Tax Bill Unfudged'!G$2:G$498)</f>
        <v>190588</v>
      </c>
      <c r="Y169" s="13">
        <f>+SUMIF('GE16FEB14 Tax Bill Unfudged'!$A$2:$A$498, 'Tax Bill Summary'!$A169, 'GE16FEB14 Tax Bill Unfudged'!H$2:H$498)</f>
        <v>149746</v>
      </c>
      <c r="Z169" s="56">
        <f t="shared" si="132"/>
        <v>40842</v>
      </c>
      <c r="AA169" s="51">
        <f>+SUMIF('GE16FEB14 Tax Bill Unfudged'!$A$2:$A$498, 'Tax Bill Summary'!$A169, 'GE16FEB14 Tax Bill Unfudged'!I$2:I$498)</f>
        <v>141287</v>
      </c>
      <c r="AB169" s="13">
        <f>+SUMIF('GE16FEB14 Tax Bill Unfudged'!$A$2:$A$498, 'Tax Bill Summary'!$A169, 'GE16FEB14 Tax Bill Unfudged'!J$2:J$498)</f>
        <v>63245</v>
      </c>
      <c r="AC169" s="56">
        <f t="shared" si="133"/>
        <v>78042</v>
      </c>
      <c r="AD169" s="51">
        <f t="shared" si="134"/>
        <v>396213</v>
      </c>
      <c r="AE169" s="13">
        <f t="shared" si="135"/>
        <v>263542</v>
      </c>
      <c r="AF169" s="56">
        <f t="shared" si="136"/>
        <v>132671</v>
      </c>
      <c r="AG169" s="13">
        <f t="shared" si="137"/>
        <v>880.47333333333336</v>
      </c>
      <c r="AH169" s="13">
        <f t="shared" si="138"/>
        <v>585.64888888888891</v>
      </c>
      <c r="AI169" s="16">
        <f t="shared" si="139"/>
        <v>294.82444444444445</v>
      </c>
      <c r="AJ169" s="15">
        <f t="shared" si="140"/>
        <v>8643</v>
      </c>
      <c r="AK169" s="13">
        <f t="shared" si="141"/>
        <v>6791</v>
      </c>
      <c r="AL169" s="56">
        <f t="shared" si="142"/>
        <v>1852</v>
      </c>
      <c r="AM169" s="51">
        <f t="shared" si="143"/>
        <v>190588</v>
      </c>
      <c r="AN169" s="13">
        <f t="shared" si="144"/>
        <v>149746</v>
      </c>
      <c r="AO169" s="56">
        <f t="shared" si="145"/>
        <v>40842</v>
      </c>
      <c r="AP169" s="51">
        <f t="shared" si="146"/>
        <v>-190588</v>
      </c>
      <c r="AQ169" s="13">
        <f t="shared" si="147"/>
        <v>-152963</v>
      </c>
      <c r="AR169" s="56">
        <f t="shared" si="148"/>
        <v>-37625</v>
      </c>
      <c r="AS169" s="51">
        <f t="shared" si="149"/>
        <v>8643</v>
      </c>
      <c r="AT169" s="13">
        <f t="shared" si="150"/>
        <v>3574</v>
      </c>
      <c r="AU169" s="56">
        <f t="shared" si="151"/>
        <v>5069</v>
      </c>
      <c r="AV169" s="13">
        <f t="shared" si="152"/>
        <v>19.206666666666706</v>
      </c>
      <c r="AW169" s="13">
        <f t="shared" si="153"/>
        <v>7.942222222222199</v>
      </c>
      <c r="AX169" s="16">
        <f t="shared" si="154"/>
        <v>11.26444444444445</v>
      </c>
    </row>
    <row r="170" spans="1:50" x14ac:dyDescent="0.25">
      <c r="A170" s="20">
        <v>505</v>
      </c>
      <c r="B170">
        <v>1</v>
      </c>
      <c r="C170" s="23" t="s">
        <v>286</v>
      </c>
      <c r="D170" s="23">
        <v>6</v>
      </c>
      <c r="E170" s="15">
        <f>+SUMIF('GE16FEB14 Unfudged'!$A$2:$A$498, $A170, 'GE16FEB14 Unfudged'!$D$2:$D$498)</f>
        <v>322</v>
      </c>
      <c r="F170" s="15">
        <f>+SUMIF('GE16FEB14 Unfudged'!$A$2:$A$498, 'Tax Bill Summary'!$A170, 'GE16FEB14 Unfudged'!E$2:E$498)</f>
        <v>34548</v>
      </c>
      <c r="G170" s="13">
        <f>+SUMIF('GE16FEB14 Unfudged'!$A$2:$A$498, 'Tax Bill Summary'!$A170, 'GE16FEB14 Unfudged'!F$2:F$498)</f>
        <v>19694</v>
      </c>
      <c r="H170" s="56">
        <f t="shared" si="122"/>
        <v>14854</v>
      </c>
      <c r="I170" s="51">
        <f>+SUMIF('GE16FEB14 Unfudged'!$A$2:$A$498, 'Tax Bill Summary'!$A170, 'GE16FEB14 Unfudged'!G$2:G$498)</f>
        <v>0</v>
      </c>
      <c r="J170" s="13">
        <f>+SUMIF('GE16FEB14 Unfudged'!$A$2:$A$498, 'Tax Bill Summary'!$A170, 'GE16FEB14 Unfudged'!H$2:H$498)</f>
        <v>0</v>
      </c>
      <c r="K170" s="56">
        <f t="shared" si="123"/>
        <v>0</v>
      </c>
      <c r="L170" s="51">
        <f>+SUMIF('GE16FEB14 Unfudged'!$A$2:$A$498, 'Tax Bill Summary'!$A170, 'GE16FEB14 Unfudged'!I$2:IF$498)</f>
        <v>353391</v>
      </c>
      <c r="M170" s="13">
        <f>+SUMIF('GE16FEB14 Unfudged'!$A$2:$A$498, 'Tax Bill Summary'!$A170, 'GE16FEB14 Unfudged'!J$2:IG$498)</f>
        <v>225140</v>
      </c>
      <c r="N170" s="56">
        <f t="shared" si="124"/>
        <v>128251</v>
      </c>
      <c r="O170" s="51">
        <f t="shared" si="125"/>
        <v>387939</v>
      </c>
      <c r="P170" s="13">
        <f t="shared" si="126"/>
        <v>244834</v>
      </c>
      <c r="Q170" s="56">
        <f t="shared" si="127"/>
        <v>143105</v>
      </c>
      <c r="R170" s="13">
        <f t="shared" si="128"/>
        <v>1204.77950310559</v>
      </c>
      <c r="S170" s="13">
        <f t="shared" si="129"/>
        <v>760.3540372670808</v>
      </c>
      <c r="T170" s="16">
        <f t="shared" si="130"/>
        <v>444.4254658385093</v>
      </c>
      <c r="U170" s="15">
        <f>+SUMIF('GE16FEB14 Tax Bill Unfudged'!$A$2:$A$498, 'Tax Bill Summary'!$A170, 'GE16FEB14 Tax Bill Unfudged'!E$2:E$498)</f>
        <v>39028</v>
      </c>
      <c r="V170" s="13">
        <f>+SUMIF('GE16FEB14 Tax Bill Unfudged'!$A$2:$A$498, 'Tax Bill Summary'!$A170, 'GE16FEB14 Tax Bill Unfudged'!F$2:F$498)</f>
        <v>22248</v>
      </c>
      <c r="W170" s="56">
        <f t="shared" si="131"/>
        <v>16780</v>
      </c>
      <c r="X170" s="51">
        <f>+SUMIF('GE16FEB14 Tax Bill Unfudged'!$A$2:$A$498, 'Tax Bill Summary'!$A170, 'GE16FEB14 Tax Bill Unfudged'!G$2:G$498)</f>
        <v>136401</v>
      </c>
      <c r="Y170" s="13">
        <f>+SUMIF('GE16FEB14 Tax Bill Unfudged'!$A$2:$A$498, 'Tax Bill Summary'!$A170, 'GE16FEB14 Tax Bill Unfudged'!H$2:H$498)</f>
        <v>77755</v>
      </c>
      <c r="Z170" s="56">
        <f t="shared" si="132"/>
        <v>58646</v>
      </c>
      <c r="AA170" s="51">
        <f>+SUMIF('GE16FEB14 Tax Bill Unfudged'!$A$2:$A$498, 'Tax Bill Summary'!$A170, 'GE16FEB14 Tax Bill Unfudged'!I$2:I$498)</f>
        <v>216990</v>
      </c>
      <c r="AB170" s="13">
        <f>+SUMIF('GE16FEB14 Tax Bill Unfudged'!$A$2:$A$498, 'Tax Bill Summary'!$A170, 'GE16FEB14 Tax Bill Unfudged'!J$2:J$498)</f>
        <v>100564</v>
      </c>
      <c r="AC170" s="56">
        <f t="shared" si="133"/>
        <v>116426</v>
      </c>
      <c r="AD170" s="51">
        <f t="shared" si="134"/>
        <v>392419</v>
      </c>
      <c r="AE170" s="13">
        <f t="shared" si="135"/>
        <v>200567</v>
      </c>
      <c r="AF170" s="56">
        <f t="shared" si="136"/>
        <v>191852</v>
      </c>
      <c r="AG170" s="13">
        <f t="shared" si="137"/>
        <v>1218.692546583851</v>
      </c>
      <c r="AH170" s="13">
        <f t="shared" si="138"/>
        <v>622.87888198757764</v>
      </c>
      <c r="AI170" s="16">
        <f t="shared" si="139"/>
        <v>595.81366459627327</v>
      </c>
      <c r="AJ170" s="15">
        <f t="shared" si="140"/>
        <v>4480</v>
      </c>
      <c r="AK170" s="13">
        <f t="shared" si="141"/>
        <v>2554</v>
      </c>
      <c r="AL170" s="56">
        <f t="shared" si="142"/>
        <v>1926</v>
      </c>
      <c r="AM170" s="51">
        <f t="shared" si="143"/>
        <v>136401</v>
      </c>
      <c r="AN170" s="13">
        <f t="shared" si="144"/>
        <v>77755</v>
      </c>
      <c r="AO170" s="56">
        <f t="shared" si="145"/>
        <v>58646</v>
      </c>
      <c r="AP170" s="51">
        <f t="shared" si="146"/>
        <v>-136401</v>
      </c>
      <c r="AQ170" s="13">
        <f t="shared" si="147"/>
        <v>-124576</v>
      </c>
      <c r="AR170" s="56">
        <f t="shared" si="148"/>
        <v>-11825</v>
      </c>
      <c r="AS170" s="51">
        <f t="shared" si="149"/>
        <v>4480</v>
      </c>
      <c r="AT170" s="13">
        <f t="shared" si="150"/>
        <v>-44267</v>
      </c>
      <c r="AU170" s="56">
        <f t="shared" si="151"/>
        <v>48747</v>
      </c>
      <c r="AV170" s="13">
        <f t="shared" si="152"/>
        <v>13.913043478260988</v>
      </c>
      <c r="AW170" s="13">
        <f t="shared" si="153"/>
        <v>-137.47515527950316</v>
      </c>
      <c r="AX170" s="16">
        <f t="shared" si="154"/>
        <v>151.38819875776397</v>
      </c>
    </row>
    <row r="171" spans="1:50" x14ac:dyDescent="0.25">
      <c r="A171" s="20">
        <v>507</v>
      </c>
      <c r="B171">
        <v>1</v>
      </c>
      <c r="C171" s="23" t="s">
        <v>287</v>
      </c>
      <c r="D171" s="23">
        <v>6</v>
      </c>
      <c r="E171" s="15">
        <f>+SUMIF('GE16FEB14 Unfudged'!$A$2:$A$498, $A171, 'GE16FEB14 Unfudged'!$D$2:$D$498)</f>
        <v>387</v>
      </c>
      <c r="F171" s="15">
        <f>+SUMIF('GE16FEB14 Unfudged'!$A$2:$A$498, 'Tax Bill Summary'!$A171, 'GE16FEB14 Unfudged'!E$2:E$498)</f>
        <v>33626</v>
      </c>
      <c r="G171" s="13">
        <f>+SUMIF('GE16FEB14 Unfudged'!$A$2:$A$498, 'Tax Bill Summary'!$A171, 'GE16FEB14 Unfudged'!F$2:F$498)</f>
        <v>28038</v>
      </c>
      <c r="H171" s="56">
        <f t="shared" si="122"/>
        <v>5588</v>
      </c>
      <c r="I171" s="51">
        <f>+SUMIF('GE16FEB14 Unfudged'!$A$2:$A$498, 'Tax Bill Summary'!$A171, 'GE16FEB14 Unfudged'!G$2:G$498)</f>
        <v>0</v>
      </c>
      <c r="J171" s="13">
        <f>+SUMIF('GE16FEB14 Unfudged'!$A$2:$A$498, 'Tax Bill Summary'!$A171, 'GE16FEB14 Unfudged'!H$2:H$498)</f>
        <v>0</v>
      </c>
      <c r="K171" s="56">
        <f t="shared" si="123"/>
        <v>0</v>
      </c>
      <c r="L171" s="51">
        <f>+SUMIF('GE16FEB14 Unfudged'!$A$2:$A$498, 'Tax Bill Summary'!$A171, 'GE16FEB14 Unfudged'!I$2:IF$498)</f>
        <v>596814</v>
      </c>
      <c r="M171" s="13">
        <f>+SUMIF('GE16FEB14 Unfudged'!$A$2:$A$498, 'Tax Bill Summary'!$A171, 'GE16FEB14 Unfudged'!J$2:IG$498)</f>
        <v>465322</v>
      </c>
      <c r="N171" s="56">
        <f t="shared" si="124"/>
        <v>131492</v>
      </c>
      <c r="O171" s="51">
        <f t="shared" si="125"/>
        <v>630440</v>
      </c>
      <c r="P171" s="13">
        <f t="shared" si="126"/>
        <v>493360</v>
      </c>
      <c r="Q171" s="56">
        <f t="shared" si="127"/>
        <v>137080</v>
      </c>
      <c r="R171" s="13">
        <f t="shared" si="128"/>
        <v>1629.0439276485788</v>
      </c>
      <c r="S171" s="13">
        <f t="shared" si="129"/>
        <v>1274.8320413436693</v>
      </c>
      <c r="T171" s="16">
        <f t="shared" si="130"/>
        <v>354.21188630490957</v>
      </c>
      <c r="U171" s="15">
        <f>+SUMIF('GE16FEB14 Tax Bill Unfudged'!$A$2:$A$498, 'Tax Bill Summary'!$A171, 'GE16FEB14 Tax Bill Unfudged'!E$2:E$498)</f>
        <v>36478</v>
      </c>
      <c r="V171" s="13">
        <f>+SUMIF('GE16FEB14 Tax Bill Unfudged'!$A$2:$A$498, 'Tax Bill Summary'!$A171, 'GE16FEB14 Tax Bill Unfudged'!F$2:F$498)</f>
        <v>30416</v>
      </c>
      <c r="W171" s="56">
        <f t="shared" si="131"/>
        <v>6062</v>
      </c>
      <c r="X171" s="51">
        <f>+SUMIF('GE16FEB14 Tax Bill Unfudged'!$A$2:$A$498, 'Tax Bill Summary'!$A171, 'GE16FEB14 Tax Bill Unfudged'!G$2:G$498)</f>
        <v>163918</v>
      </c>
      <c r="Y171" s="13">
        <f>+SUMIF('GE16FEB14 Tax Bill Unfudged'!$A$2:$A$498, 'Tax Bill Summary'!$A171, 'GE16FEB14 Tax Bill Unfudged'!H$2:H$498)</f>
        <v>136676</v>
      </c>
      <c r="Z171" s="56">
        <f t="shared" si="132"/>
        <v>27242</v>
      </c>
      <c r="AA171" s="51">
        <f>+SUMIF('GE16FEB14 Tax Bill Unfudged'!$A$2:$A$498, 'Tax Bill Summary'!$A171, 'GE16FEB14 Tax Bill Unfudged'!I$2:I$498)</f>
        <v>432895</v>
      </c>
      <c r="AB171" s="13">
        <f>+SUMIF('GE16FEB14 Tax Bill Unfudged'!$A$2:$A$498, 'Tax Bill Summary'!$A171, 'GE16FEB14 Tax Bill Unfudged'!J$2:J$498)</f>
        <v>301403</v>
      </c>
      <c r="AC171" s="56">
        <f t="shared" si="133"/>
        <v>131492</v>
      </c>
      <c r="AD171" s="51">
        <f t="shared" si="134"/>
        <v>633291</v>
      </c>
      <c r="AE171" s="13">
        <f t="shared" si="135"/>
        <v>468495</v>
      </c>
      <c r="AF171" s="56">
        <f t="shared" si="136"/>
        <v>164796</v>
      </c>
      <c r="AG171" s="13">
        <f t="shared" si="137"/>
        <v>1636.4108527131782</v>
      </c>
      <c r="AH171" s="13">
        <f t="shared" si="138"/>
        <v>1210.5813953488373</v>
      </c>
      <c r="AI171" s="16">
        <f t="shared" si="139"/>
        <v>425.82945736434107</v>
      </c>
      <c r="AJ171" s="15">
        <f t="shared" si="140"/>
        <v>2852</v>
      </c>
      <c r="AK171" s="13">
        <f t="shared" si="141"/>
        <v>2378</v>
      </c>
      <c r="AL171" s="56">
        <f t="shared" si="142"/>
        <v>474</v>
      </c>
      <c r="AM171" s="51">
        <f t="shared" si="143"/>
        <v>163918</v>
      </c>
      <c r="AN171" s="13">
        <f t="shared" si="144"/>
        <v>136676</v>
      </c>
      <c r="AO171" s="56">
        <f t="shared" si="145"/>
        <v>27242</v>
      </c>
      <c r="AP171" s="51">
        <f t="shared" si="146"/>
        <v>-163919</v>
      </c>
      <c r="AQ171" s="13">
        <f t="shared" si="147"/>
        <v>-163919</v>
      </c>
      <c r="AR171" s="56">
        <f t="shared" si="148"/>
        <v>0</v>
      </c>
      <c r="AS171" s="51">
        <f t="shared" si="149"/>
        <v>2851</v>
      </c>
      <c r="AT171" s="13">
        <f t="shared" si="150"/>
        <v>-24865</v>
      </c>
      <c r="AU171" s="56">
        <f t="shared" si="151"/>
        <v>27716</v>
      </c>
      <c r="AV171" s="13">
        <f t="shared" si="152"/>
        <v>7.3669250645993998</v>
      </c>
      <c r="AW171" s="13">
        <f t="shared" si="153"/>
        <v>-64.250645994831984</v>
      </c>
      <c r="AX171" s="16">
        <f t="shared" si="154"/>
        <v>71.617571059431498</v>
      </c>
    </row>
    <row r="172" spans="1:50" x14ac:dyDescent="0.25">
      <c r="A172" s="20">
        <v>508</v>
      </c>
      <c r="B172">
        <v>1</v>
      </c>
      <c r="C172" s="23" t="s">
        <v>288</v>
      </c>
      <c r="D172" s="23">
        <v>5</v>
      </c>
      <c r="E172" s="15">
        <f>+SUMIF('GE16FEB14 Unfudged'!$A$2:$A$498, $A172, 'GE16FEB14 Unfudged'!$D$2:$D$498)</f>
        <v>2102</v>
      </c>
      <c r="F172" s="15">
        <f>+SUMIF('GE16FEB14 Unfudged'!$A$2:$A$498, 'Tax Bill Summary'!$A172, 'GE16FEB14 Unfudged'!E$2:E$498)</f>
        <v>243078</v>
      </c>
      <c r="G172" s="13">
        <f>+SUMIF('GE16FEB14 Unfudged'!$A$2:$A$498, 'Tax Bill Summary'!$A172, 'GE16FEB14 Unfudged'!F$2:F$498)</f>
        <v>172144</v>
      </c>
      <c r="H172" s="56">
        <f t="shared" si="122"/>
        <v>70934</v>
      </c>
      <c r="I172" s="51">
        <f>+SUMIF('GE16FEB14 Unfudged'!$A$2:$A$498, 'Tax Bill Summary'!$A172, 'GE16FEB14 Unfudged'!G$2:G$498)</f>
        <v>0</v>
      </c>
      <c r="J172" s="13">
        <f>+SUMIF('GE16FEB14 Unfudged'!$A$2:$A$498, 'Tax Bill Summary'!$A172, 'GE16FEB14 Unfudged'!H$2:H$498)</f>
        <v>0</v>
      </c>
      <c r="K172" s="56">
        <f t="shared" si="123"/>
        <v>0</v>
      </c>
      <c r="L172" s="51">
        <f>+SUMIF('GE16FEB14 Unfudged'!$A$2:$A$498, 'Tax Bill Summary'!$A172, 'GE16FEB14 Unfudged'!I$2:IF$498)</f>
        <v>1931501</v>
      </c>
      <c r="M172" s="13">
        <f>+SUMIF('GE16FEB14 Unfudged'!$A$2:$A$498, 'Tax Bill Summary'!$A172, 'GE16FEB14 Unfudged'!J$2:IG$498)</f>
        <v>1277492</v>
      </c>
      <c r="N172" s="56">
        <f t="shared" si="124"/>
        <v>654009</v>
      </c>
      <c r="O172" s="51">
        <f t="shared" si="125"/>
        <v>2174579</v>
      </c>
      <c r="P172" s="13">
        <f t="shared" si="126"/>
        <v>1449636</v>
      </c>
      <c r="Q172" s="56">
        <f t="shared" si="127"/>
        <v>724943</v>
      </c>
      <c r="R172" s="13">
        <f t="shared" si="128"/>
        <v>1034.5285442435775</v>
      </c>
      <c r="S172" s="13">
        <f t="shared" si="129"/>
        <v>689.64605137963849</v>
      </c>
      <c r="T172" s="16">
        <f t="shared" si="130"/>
        <v>344.88249286393909</v>
      </c>
      <c r="U172" s="15">
        <f>+SUMIF('GE16FEB14 Tax Bill Unfudged'!$A$2:$A$498, 'Tax Bill Summary'!$A172, 'GE16FEB14 Tax Bill Unfudged'!E$2:E$498)</f>
        <v>277916</v>
      </c>
      <c r="V172" s="13">
        <f>+SUMIF('GE16FEB14 Tax Bill Unfudged'!$A$2:$A$498, 'Tax Bill Summary'!$A172, 'GE16FEB14 Tax Bill Unfudged'!F$2:F$498)</f>
        <v>196816</v>
      </c>
      <c r="W172" s="56">
        <f t="shared" si="131"/>
        <v>81100</v>
      </c>
      <c r="X172" s="51">
        <f>+SUMIF('GE16FEB14 Tax Bill Unfudged'!$A$2:$A$498, 'Tax Bill Summary'!$A172, 'GE16FEB14 Tax Bill Unfudged'!G$2:G$498)</f>
        <v>891333</v>
      </c>
      <c r="Y172" s="13">
        <f>+SUMIF('GE16FEB14 Tax Bill Unfudged'!$A$2:$A$498, 'Tax Bill Summary'!$A172, 'GE16FEB14 Tax Bill Unfudged'!H$2:H$498)</f>
        <v>631229</v>
      </c>
      <c r="Z172" s="56">
        <f t="shared" si="132"/>
        <v>260104</v>
      </c>
      <c r="AA172" s="51">
        <f>+SUMIF('GE16FEB14 Tax Bill Unfudged'!$A$2:$A$498, 'Tax Bill Summary'!$A172, 'GE16FEB14 Tax Bill Unfudged'!I$2:I$498)</f>
        <v>1040169</v>
      </c>
      <c r="AB172" s="13">
        <f>+SUMIF('GE16FEB14 Tax Bill Unfudged'!$A$2:$A$498, 'Tax Bill Summary'!$A172, 'GE16FEB14 Tax Bill Unfudged'!J$2:J$498)</f>
        <v>548847</v>
      </c>
      <c r="AC172" s="56">
        <f t="shared" si="133"/>
        <v>491322</v>
      </c>
      <c r="AD172" s="51">
        <f t="shared" si="134"/>
        <v>2209418</v>
      </c>
      <c r="AE172" s="13">
        <f t="shared" si="135"/>
        <v>1376892</v>
      </c>
      <c r="AF172" s="56">
        <f t="shared" si="136"/>
        <v>832526</v>
      </c>
      <c r="AG172" s="13">
        <f t="shared" si="137"/>
        <v>1051.1027592768792</v>
      </c>
      <c r="AH172" s="13">
        <f t="shared" si="138"/>
        <v>655.03901046622263</v>
      </c>
      <c r="AI172" s="16">
        <f t="shared" si="139"/>
        <v>396.06374881065653</v>
      </c>
      <c r="AJ172" s="15">
        <f t="shared" si="140"/>
        <v>34838</v>
      </c>
      <c r="AK172" s="13">
        <f t="shared" si="141"/>
        <v>24672</v>
      </c>
      <c r="AL172" s="56">
        <f t="shared" si="142"/>
        <v>10166</v>
      </c>
      <c r="AM172" s="51">
        <f t="shared" si="143"/>
        <v>891333</v>
      </c>
      <c r="AN172" s="13">
        <f t="shared" si="144"/>
        <v>631229</v>
      </c>
      <c r="AO172" s="56">
        <f t="shared" si="145"/>
        <v>260104</v>
      </c>
      <c r="AP172" s="51">
        <f t="shared" si="146"/>
        <v>-891332</v>
      </c>
      <c r="AQ172" s="13">
        <f t="shared" si="147"/>
        <v>-728645</v>
      </c>
      <c r="AR172" s="56">
        <f t="shared" si="148"/>
        <v>-162687</v>
      </c>
      <c r="AS172" s="51">
        <f t="shared" si="149"/>
        <v>34839</v>
      </c>
      <c r="AT172" s="13">
        <f t="shared" si="150"/>
        <v>-72744</v>
      </c>
      <c r="AU172" s="56">
        <f t="shared" si="151"/>
        <v>107583</v>
      </c>
      <c r="AV172" s="13">
        <f t="shared" si="152"/>
        <v>16.574215033301698</v>
      </c>
      <c r="AW172" s="13">
        <f t="shared" si="153"/>
        <v>-34.607040913415858</v>
      </c>
      <c r="AX172" s="16">
        <f t="shared" si="154"/>
        <v>51.181255946717442</v>
      </c>
    </row>
    <row r="173" spans="1:50" x14ac:dyDescent="0.25">
      <c r="A173" s="20">
        <v>511</v>
      </c>
      <c r="B173">
        <v>1</v>
      </c>
      <c r="C173" s="23" t="s">
        <v>289</v>
      </c>
      <c r="D173" s="23">
        <v>6</v>
      </c>
      <c r="E173" s="15">
        <f>+SUMIF('GE16FEB14 Unfudged'!$A$2:$A$498, $A173, 'GE16FEB14 Unfudged'!$D$2:$D$498)</f>
        <v>592</v>
      </c>
      <c r="F173" s="15">
        <f>+SUMIF('GE16FEB14 Unfudged'!$A$2:$A$498, 'Tax Bill Summary'!$A173, 'GE16FEB14 Unfudged'!E$2:E$498)</f>
        <v>62483</v>
      </c>
      <c r="G173" s="13">
        <f>+SUMIF('GE16FEB14 Unfudged'!$A$2:$A$498, 'Tax Bill Summary'!$A173, 'GE16FEB14 Unfudged'!F$2:F$498)</f>
        <v>27406</v>
      </c>
      <c r="H173" s="56">
        <f t="shared" si="122"/>
        <v>35077</v>
      </c>
      <c r="I173" s="51">
        <f>+SUMIF('GE16FEB14 Unfudged'!$A$2:$A$498, 'Tax Bill Summary'!$A173, 'GE16FEB14 Unfudged'!G$2:G$498)</f>
        <v>0</v>
      </c>
      <c r="J173" s="13">
        <f>+SUMIF('GE16FEB14 Unfudged'!$A$2:$A$498, 'Tax Bill Summary'!$A173, 'GE16FEB14 Unfudged'!H$2:H$498)</f>
        <v>0</v>
      </c>
      <c r="K173" s="56">
        <f t="shared" si="123"/>
        <v>0</v>
      </c>
      <c r="L173" s="51">
        <f>+SUMIF('GE16FEB14 Unfudged'!$A$2:$A$498, 'Tax Bill Summary'!$A173, 'GE16FEB14 Unfudged'!I$2:IF$498)</f>
        <v>674339</v>
      </c>
      <c r="M173" s="13">
        <f>+SUMIF('GE16FEB14 Unfudged'!$A$2:$A$498, 'Tax Bill Summary'!$A173, 'GE16FEB14 Unfudged'!J$2:IG$498)</f>
        <v>337682</v>
      </c>
      <c r="N173" s="56">
        <f t="shared" si="124"/>
        <v>336657</v>
      </c>
      <c r="O173" s="51">
        <f t="shared" si="125"/>
        <v>736822</v>
      </c>
      <c r="P173" s="13">
        <f t="shared" si="126"/>
        <v>365088</v>
      </c>
      <c r="Q173" s="56">
        <f t="shared" si="127"/>
        <v>371734</v>
      </c>
      <c r="R173" s="13">
        <f t="shared" si="128"/>
        <v>1244.6317567567567</v>
      </c>
      <c r="S173" s="13">
        <f t="shared" si="129"/>
        <v>616.70270270270271</v>
      </c>
      <c r="T173" s="16">
        <f t="shared" si="130"/>
        <v>627.92905405405406</v>
      </c>
      <c r="U173" s="15">
        <f>+SUMIF('GE16FEB14 Tax Bill Unfudged'!$A$2:$A$498, 'Tax Bill Summary'!$A173, 'GE16FEB14 Tax Bill Unfudged'!E$2:E$498)</f>
        <v>70376</v>
      </c>
      <c r="V173" s="13">
        <f>+SUMIF('GE16FEB14 Tax Bill Unfudged'!$A$2:$A$498, 'Tax Bill Summary'!$A173, 'GE16FEB14 Tax Bill Unfudged'!F$2:F$498)</f>
        <v>30868</v>
      </c>
      <c r="W173" s="56">
        <f t="shared" si="131"/>
        <v>39508</v>
      </c>
      <c r="X173" s="51">
        <f>+SUMIF('GE16FEB14 Tax Bill Unfudged'!$A$2:$A$498, 'Tax Bill Summary'!$A173, 'GE16FEB14 Tax Bill Unfudged'!G$2:G$498)</f>
        <v>251029</v>
      </c>
      <c r="Y173" s="13">
        <f>+SUMIF('GE16FEB14 Tax Bill Unfudged'!$A$2:$A$498, 'Tax Bill Summary'!$A173, 'GE16FEB14 Tax Bill Unfudged'!H$2:H$498)</f>
        <v>110105</v>
      </c>
      <c r="Z173" s="56">
        <f t="shared" si="132"/>
        <v>140924</v>
      </c>
      <c r="AA173" s="51">
        <f>+SUMIF('GE16FEB14 Tax Bill Unfudged'!$A$2:$A$498, 'Tax Bill Summary'!$A173, 'GE16FEB14 Tax Bill Unfudged'!I$2:I$498)</f>
        <v>423310</v>
      </c>
      <c r="AB173" s="13">
        <f>+SUMIF('GE16FEB14 Tax Bill Unfudged'!$A$2:$A$498, 'Tax Bill Summary'!$A173, 'GE16FEB14 Tax Bill Unfudged'!J$2:J$498)</f>
        <v>152915</v>
      </c>
      <c r="AC173" s="56">
        <f t="shared" si="133"/>
        <v>270395</v>
      </c>
      <c r="AD173" s="51">
        <f t="shared" si="134"/>
        <v>744715</v>
      </c>
      <c r="AE173" s="13">
        <f t="shared" si="135"/>
        <v>293888</v>
      </c>
      <c r="AF173" s="56">
        <f t="shared" si="136"/>
        <v>450827</v>
      </c>
      <c r="AG173" s="13">
        <f t="shared" si="137"/>
        <v>1257.9645270270271</v>
      </c>
      <c r="AH173" s="13">
        <f t="shared" si="138"/>
        <v>496.43243243243245</v>
      </c>
      <c r="AI173" s="16">
        <f t="shared" si="139"/>
        <v>761.53209459459458</v>
      </c>
      <c r="AJ173" s="15">
        <f t="shared" si="140"/>
        <v>7893</v>
      </c>
      <c r="AK173" s="13">
        <f t="shared" si="141"/>
        <v>3462</v>
      </c>
      <c r="AL173" s="56">
        <f t="shared" si="142"/>
        <v>4431</v>
      </c>
      <c r="AM173" s="51">
        <f t="shared" si="143"/>
        <v>251029</v>
      </c>
      <c r="AN173" s="13">
        <f t="shared" si="144"/>
        <v>110105</v>
      </c>
      <c r="AO173" s="56">
        <f t="shared" si="145"/>
        <v>140924</v>
      </c>
      <c r="AP173" s="51">
        <f t="shared" si="146"/>
        <v>-251029</v>
      </c>
      <c r="AQ173" s="13">
        <f t="shared" si="147"/>
        <v>-184767</v>
      </c>
      <c r="AR173" s="56">
        <f t="shared" si="148"/>
        <v>-66262</v>
      </c>
      <c r="AS173" s="51">
        <f t="shared" si="149"/>
        <v>7893</v>
      </c>
      <c r="AT173" s="13">
        <f t="shared" si="150"/>
        <v>-71200</v>
      </c>
      <c r="AU173" s="56">
        <f t="shared" si="151"/>
        <v>79093</v>
      </c>
      <c r="AV173" s="13">
        <f t="shared" si="152"/>
        <v>13.33277027027043</v>
      </c>
      <c r="AW173" s="13">
        <f t="shared" si="153"/>
        <v>-120.27027027027026</v>
      </c>
      <c r="AX173" s="16">
        <f t="shared" si="154"/>
        <v>133.60304054054052</v>
      </c>
    </row>
    <row r="174" spans="1:50" x14ac:dyDescent="0.25">
      <c r="A174" s="20">
        <v>514</v>
      </c>
      <c r="B174">
        <v>1</v>
      </c>
      <c r="C174" s="23" t="s">
        <v>290</v>
      </c>
      <c r="D174" s="23">
        <v>6</v>
      </c>
      <c r="E174" s="15">
        <f>+SUMIF('GE16FEB14 Unfudged'!$A$2:$A$498, $A174, 'GE16FEB14 Unfudged'!$D$2:$D$498)</f>
        <v>153</v>
      </c>
      <c r="F174" s="15">
        <f>+SUMIF('GE16FEB14 Unfudged'!$A$2:$A$498, 'Tax Bill Summary'!$A174, 'GE16FEB14 Unfudged'!E$2:E$498)</f>
        <v>11173</v>
      </c>
      <c r="G174" s="13">
        <f>+SUMIF('GE16FEB14 Unfudged'!$A$2:$A$498, 'Tax Bill Summary'!$A174, 'GE16FEB14 Unfudged'!F$2:F$498)</f>
        <v>5599</v>
      </c>
      <c r="H174" s="56">
        <f t="shared" si="122"/>
        <v>5574</v>
      </c>
      <c r="I174" s="51">
        <f>+SUMIF('GE16FEB14 Unfudged'!$A$2:$A$498, 'Tax Bill Summary'!$A174, 'GE16FEB14 Unfudged'!G$2:G$498)</f>
        <v>0</v>
      </c>
      <c r="J174" s="13">
        <f>+SUMIF('GE16FEB14 Unfudged'!$A$2:$A$498, 'Tax Bill Summary'!$A174, 'GE16FEB14 Unfudged'!H$2:H$498)</f>
        <v>0</v>
      </c>
      <c r="K174" s="56">
        <f t="shared" si="123"/>
        <v>0</v>
      </c>
      <c r="L174" s="51">
        <f>+SUMIF('GE16FEB14 Unfudged'!$A$2:$A$498, 'Tax Bill Summary'!$A174, 'GE16FEB14 Unfudged'!I$2:IF$498)</f>
        <v>281732</v>
      </c>
      <c r="M174" s="13">
        <f>+SUMIF('GE16FEB14 Unfudged'!$A$2:$A$498, 'Tax Bill Summary'!$A174, 'GE16FEB14 Unfudged'!J$2:IG$498)</f>
        <v>189787</v>
      </c>
      <c r="N174" s="56">
        <f t="shared" si="124"/>
        <v>91945</v>
      </c>
      <c r="O174" s="51">
        <f t="shared" si="125"/>
        <v>292905</v>
      </c>
      <c r="P174" s="13">
        <f t="shared" si="126"/>
        <v>195386</v>
      </c>
      <c r="Q174" s="56">
        <f t="shared" si="127"/>
        <v>97519</v>
      </c>
      <c r="R174" s="13">
        <f t="shared" si="128"/>
        <v>1914.4117647058824</v>
      </c>
      <c r="S174" s="13">
        <f t="shared" si="129"/>
        <v>1277.0326797385621</v>
      </c>
      <c r="T174" s="16">
        <f t="shared" si="130"/>
        <v>637.3790849673203</v>
      </c>
      <c r="U174" s="15">
        <f>+SUMIF('GE16FEB14 Tax Bill Unfudged'!$A$2:$A$498, 'Tax Bill Summary'!$A174, 'GE16FEB14 Tax Bill Unfudged'!E$2:E$498)</f>
        <v>11622</v>
      </c>
      <c r="V174" s="13">
        <f>+SUMIF('GE16FEB14 Tax Bill Unfudged'!$A$2:$A$498, 'Tax Bill Summary'!$A174, 'GE16FEB14 Tax Bill Unfudged'!F$2:F$498)</f>
        <v>5824</v>
      </c>
      <c r="W174" s="56">
        <f t="shared" si="131"/>
        <v>5798</v>
      </c>
      <c r="X174" s="51">
        <f>+SUMIF('GE16FEB14 Tax Bill Unfudged'!$A$2:$A$498, 'Tax Bill Summary'!$A174, 'GE16FEB14 Tax Bill Unfudged'!G$2:G$498)</f>
        <v>64745</v>
      </c>
      <c r="Y174" s="13">
        <f>+SUMIF('GE16FEB14 Tax Bill Unfudged'!$A$2:$A$498, 'Tax Bill Summary'!$A174, 'GE16FEB14 Tax Bill Unfudged'!H$2:H$498)</f>
        <v>32443</v>
      </c>
      <c r="Z174" s="56">
        <f t="shared" si="132"/>
        <v>32302</v>
      </c>
      <c r="AA174" s="51">
        <f>+SUMIF('GE16FEB14 Tax Bill Unfudged'!$A$2:$A$498, 'Tax Bill Summary'!$A174, 'GE16FEB14 Tax Bill Unfudged'!I$2:I$498)</f>
        <v>216987</v>
      </c>
      <c r="AB174" s="13">
        <f>+SUMIF('GE16FEB14 Tax Bill Unfudged'!$A$2:$A$498, 'Tax Bill Summary'!$A174, 'GE16FEB14 Tax Bill Unfudged'!J$2:J$498)</f>
        <v>125042</v>
      </c>
      <c r="AC174" s="56">
        <f t="shared" si="133"/>
        <v>91945</v>
      </c>
      <c r="AD174" s="51">
        <f t="shared" si="134"/>
        <v>293354</v>
      </c>
      <c r="AE174" s="13">
        <f t="shared" si="135"/>
        <v>163309</v>
      </c>
      <c r="AF174" s="56">
        <f t="shared" si="136"/>
        <v>130045</v>
      </c>
      <c r="AG174" s="13">
        <f t="shared" si="137"/>
        <v>1917.3464052287582</v>
      </c>
      <c r="AH174" s="13">
        <f t="shared" si="138"/>
        <v>1067.3790849673203</v>
      </c>
      <c r="AI174" s="16">
        <f t="shared" si="139"/>
        <v>849.96732026143786</v>
      </c>
      <c r="AJ174" s="15">
        <f t="shared" si="140"/>
        <v>449</v>
      </c>
      <c r="AK174" s="13">
        <f t="shared" si="141"/>
        <v>225</v>
      </c>
      <c r="AL174" s="56">
        <f t="shared" si="142"/>
        <v>224</v>
      </c>
      <c r="AM174" s="51">
        <f t="shared" si="143"/>
        <v>64745</v>
      </c>
      <c r="AN174" s="13">
        <f t="shared" si="144"/>
        <v>32443</v>
      </c>
      <c r="AO174" s="56">
        <f t="shared" si="145"/>
        <v>32302</v>
      </c>
      <c r="AP174" s="51">
        <f t="shared" si="146"/>
        <v>-64745</v>
      </c>
      <c r="AQ174" s="13">
        <f t="shared" si="147"/>
        <v>-64745</v>
      </c>
      <c r="AR174" s="56">
        <f t="shared" si="148"/>
        <v>0</v>
      </c>
      <c r="AS174" s="51">
        <f t="shared" si="149"/>
        <v>449</v>
      </c>
      <c r="AT174" s="13">
        <f t="shared" si="150"/>
        <v>-32077</v>
      </c>
      <c r="AU174" s="56">
        <f t="shared" si="151"/>
        <v>32526</v>
      </c>
      <c r="AV174" s="13">
        <f t="shared" si="152"/>
        <v>2.9346405228757249</v>
      </c>
      <c r="AW174" s="13">
        <f t="shared" si="153"/>
        <v>-209.65359477124184</v>
      </c>
      <c r="AX174" s="16">
        <f t="shared" si="154"/>
        <v>212.58823529411757</v>
      </c>
    </row>
    <row r="175" spans="1:50" x14ac:dyDescent="0.25">
      <c r="A175" s="20">
        <v>518</v>
      </c>
      <c r="B175">
        <v>1</v>
      </c>
      <c r="C175" s="23" t="s">
        <v>291</v>
      </c>
      <c r="D175" s="23">
        <v>4</v>
      </c>
      <c r="E175" s="15">
        <f>+SUMIF('GE16FEB14 Unfudged'!$A$2:$A$498, $A175, 'GE16FEB14 Unfudged'!$D$2:$D$498)</f>
        <v>3153</v>
      </c>
      <c r="F175" s="15">
        <f>+SUMIF('GE16FEB14 Unfudged'!$A$2:$A$498, 'Tax Bill Summary'!$A175, 'GE16FEB14 Unfudged'!E$2:E$498)</f>
        <v>370577</v>
      </c>
      <c r="G175" s="13">
        <f>+SUMIF('GE16FEB14 Unfudged'!$A$2:$A$498, 'Tax Bill Summary'!$A175, 'GE16FEB14 Unfudged'!F$2:F$498)</f>
        <v>153724</v>
      </c>
      <c r="H175" s="56">
        <f t="shared" si="122"/>
        <v>216853</v>
      </c>
      <c r="I175" s="51">
        <f>+SUMIF('GE16FEB14 Unfudged'!$A$2:$A$498, 'Tax Bill Summary'!$A175, 'GE16FEB14 Unfudged'!G$2:G$498)</f>
        <v>668351</v>
      </c>
      <c r="J175" s="13">
        <f>+SUMIF('GE16FEB14 Unfudged'!$A$2:$A$498, 'Tax Bill Summary'!$A175, 'GE16FEB14 Unfudged'!H$2:H$498)</f>
        <v>277248</v>
      </c>
      <c r="K175" s="56">
        <f t="shared" si="123"/>
        <v>391103</v>
      </c>
      <c r="L175" s="51">
        <f>+SUMIF('GE16FEB14 Unfudged'!$A$2:$A$498, 'Tax Bill Summary'!$A175, 'GE16FEB14 Unfudged'!I$2:IF$498)</f>
        <v>2764862</v>
      </c>
      <c r="M175" s="13">
        <f>+SUMIF('GE16FEB14 Unfudged'!$A$2:$A$498, 'Tax Bill Summary'!$A175, 'GE16FEB14 Unfudged'!J$2:IG$498)</f>
        <v>1098061</v>
      </c>
      <c r="N175" s="56">
        <f t="shared" si="124"/>
        <v>1666801</v>
      </c>
      <c r="O175" s="51">
        <f t="shared" si="125"/>
        <v>3803790</v>
      </c>
      <c r="P175" s="13">
        <f t="shared" si="126"/>
        <v>1529033</v>
      </c>
      <c r="Q175" s="56">
        <f t="shared" si="127"/>
        <v>2274757</v>
      </c>
      <c r="R175" s="13">
        <f t="shared" si="128"/>
        <v>1206.4034253092293</v>
      </c>
      <c r="S175" s="13">
        <f t="shared" si="129"/>
        <v>484.94544877894072</v>
      </c>
      <c r="T175" s="16">
        <f t="shared" si="130"/>
        <v>721.45797653028865</v>
      </c>
      <c r="U175" s="15">
        <f>+SUMIF('GE16FEB14 Tax Bill Unfudged'!$A$2:$A$498, 'Tax Bill Summary'!$A175, 'GE16FEB14 Tax Bill Unfudged'!E$2:E$498)</f>
        <v>384284</v>
      </c>
      <c r="V175" s="13">
        <f>+SUMIF('GE16FEB14 Tax Bill Unfudged'!$A$2:$A$498, 'Tax Bill Summary'!$A175, 'GE16FEB14 Tax Bill Unfudged'!F$2:F$498)</f>
        <v>159410</v>
      </c>
      <c r="W175" s="56">
        <f t="shared" si="131"/>
        <v>224874</v>
      </c>
      <c r="X175" s="51">
        <f>+SUMIF('GE16FEB14 Tax Bill Unfudged'!$A$2:$A$498, 'Tax Bill Summary'!$A175, 'GE16FEB14 Tax Bill Unfudged'!G$2:G$498)</f>
        <v>1336702</v>
      </c>
      <c r="Y175" s="13">
        <f>+SUMIF('GE16FEB14 Tax Bill Unfudged'!$A$2:$A$498, 'Tax Bill Summary'!$A175, 'GE16FEB14 Tax Bill Unfudged'!H$2:H$498)</f>
        <v>554496</v>
      </c>
      <c r="Z175" s="56">
        <f t="shared" si="132"/>
        <v>782206</v>
      </c>
      <c r="AA175" s="51">
        <f>+SUMIF('GE16FEB14 Tax Bill Unfudged'!$A$2:$A$498, 'Tax Bill Summary'!$A175, 'GE16FEB14 Tax Bill Unfudged'!I$2:I$498)</f>
        <v>2096511</v>
      </c>
      <c r="AB175" s="13">
        <f>+SUMIF('GE16FEB14 Tax Bill Unfudged'!$A$2:$A$498, 'Tax Bill Summary'!$A175, 'GE16FEB14 Tax Bill Unfudged'!J$2:J$498)</f>
        <v>704726</v>
      </c>
      <c r="AC175" s="56">
        <f t="shared" si="133"/>
        <v>1391785</v>
      </c>
      <c r="AD175" s="51">
        <f t="shared" si="134"/>
        <v>3817497</v>
      </c>
      <c r="AE175" s="13">
        <f t="shared" si="135"/>
        <v>1418632</v>
      </c>
      <c r="AF175" s="56">
        <f t="shared" si="136"/>
        <v>2398865</v>
      </c>
      <c r="AG175" s="13">
        <f t="shared" si="137"/>
        <v>1210.7507136060894</v>
      </c>
      <c r="AH175" s="13">
        <f t="shared" si="138"/>
        <v>449.93085949888996</v>
      </c>
      <c r="AI175" s="16">
        <f t="shared" si="139"/>
        <v>760.81985410719949</v>
      </c>
      <c r="AJ175" s="15">
        <f t="shared" si="140"/>
        <v>13707</v>
      </c>
      <c r="AK175" s="13">
        <f t="shared" si="141"/>
        <v>5686</v>
      </c>
      <c r="AL175" s="56">
        <f t="shared" si="142"/>
        <v>8021</v>
      </c>
      <c r="AM175" s="51">
        <f t="shared" si="143"/>
        <v>668351</v>
      </c>
      <c r="AN175" s="13">
        <f t="shared" si="144"/>
        <v>277248</v>
      </c>
      <c r="AO175" s="56">
        <f t="shared" si="145"/>
        <v>391103</v>
      </c>
      <c r="AP175" s="51">
        <f t="shared" si="146"/>
        <v>-668351</v>
      </c>
      <c r="AQ175" s="13">
        <f t="shared" si="147"/>
        <v>-393335</v>
      </c>
      <c r="AR175" s="56">
        <f t="shared" si="148"/>
        <v>-275016</v>
      </c>
      <c r="AS175" s="51">
        <f t="shared" si="149"/>
        <v>13707</v>
      </c>
      <c r="AT175" s="13">
        <f t="shared" si="150"/>
        <v>-110401</v>
      </c>
      <c r="AU175" s="56">
        <f t="shared" si="151"/>
        <v>124108</v>
      </c>
      <c r="AV175" s="13">
        <f t="shared" si="152"/>
        <v>4.3472882968601425</v>
      </c>
      <c r="AW175" s="13">
        <f t="shared" si="153"/>
        <v>-35.014589280050757</v>
      </c>
      <c r="AX175" s="16">
        <f t="shared" si="154"/>
        <v>39.361877576910842</v>
      </c>
    </row>
    <row r="176" spans="1:50" x14ac:dyDescent="0.25">
      <c r="A176" s="20">
        <v>531</v>
      </c>
      <c r="B176">
        <v>1</v>
      </c>
      <c r="C176" s="23" t="s">
        <v>292</v>
      </c>
      <c r="D176" s="23">
        <v>5</v>
      </c>
      <c r="E176" s="15">
        <f>+SUMIF('GE16FEB14 Unfudged'!$A$2:$A$498, $A176, 'GE16FEB14 Unfudged'!$D$2:$D$498)</f>
        <v>2106</v>
      </c>
      <c r="F176" s="15">
        <f>+SUMIF('GE16FEB14 Unfudged'!$A$2:$A$498, 'Tax Bill Summary'!$A176, 'GE16FEB14 Unfudged'!E$2:E$498)</f>
        <v>303250</v>
      </c>
      <c r="G176" s="13">
        <f>+SUMIF('GE16FEB14 Unfudged'!$A$2:$A$498, 'Tax Bill Summary'!$A176, 'GE16FEB14 Unfudged'!F$2:F$498)</f>
        <v>209517</v>
      </c>
      <c r="H176" s="56">
        <f t="shared" si="122"/>
        <v>93733</v>
      </c>
      <c r="I176" s="51">
        <f>+SUMIF('GE16FEB14 Unfudged'!$A$2:$A$498, 'Tax Bill Summary'!$A176, 'GE16FEB14 Unfudged'!G$2:G$498)</f>
        <v>0</v>
      </c>
      <c r="J176" s="13">
        <f>+SUMIF('GE16FEB14 Unfudged'!$A$2:$A$498, 'Tax Bill Summary'!$A176, 'GE16FEB14 Unfudged'!H$2:H$498)</f>
        <v>0</v>
      </c>
      <c r="K176" s="56">
        <f t="shared" si="123"/>
        <v>0</v>
      </c>
      <c r="L176" s="51">
        <f>+SUMIF('GE16FEB14 Unfudged'!$A$2:$A$498, 'Tax Bill Summary'!$A176, 'GE16FEB14 Unfudged'!I$2:IF$498)</f>
        <v>631770</v>
      </c>
      <c r="M176" s="13">
        <f>+SUMIF('GE16FEB14 Unfudged'!$A$2:$A$498, 'Tax Bill Summary'!$A176, 'GE16FEB14 Unfudged'!J$2:IG$498)</f>
        <v>252968</v>
      </c>
      <c r="N176" s="56">
        <f t="shared" si="124"/>
        <v>378802</v>
      </c>
      <c r="O176" s="51">
        <f t="shared" si="125"/>
        <v>935020</v>
      </c>
      <c r="P176" s="13">
        <f t="shared" si="126"/>
        <v>462485</v>
      </c>
      <c r="Q176" s="56">
        <f t="shared" si="127"/>
        <v>472535</v>
      </c>
      <c r="R176" s="13">
        <f t="shared" si="128"/>
        <v>443.97910731244065</v>
      </c>
      <c r="S176" s="13">
        <f t="shared" si="129"/>
        <v>219.60351377018043</v>
      </c>
      <c r="T176" s="16">
        <f t="shared" si="130"/>
        <v>224.37559354226022</v>
      </c>
      <c r="U176" s="15">
        <f>+SUMIF('GE16FEB14 Tax Bill Unfudged'!$A$2:$A$498, 'Tax Bill Summary'!$A176, 'GE16FEB14 Tax Bill Unfudged'!E$2:E$498)</f>
        <v>303250</v>
      </c>
      <c r="V176" s="13">
        <f>+SUMIF('GE16FEB14 Tax Bill Unfudged'!$A$2:$A$498, 'Tax Bill Summary'!$A176, 'GE16FEB14 Tax Bill Unfudged'!F$2:F$498)</f>
        <v>209517</v>
      </c>
      <c r="W176" s="56">
        <f t="shared" si="131"/>
        <v>93733</v>
      </c>
      <c r="X176" s="51">
        <f>+SUMIF('GE16FEB14 Tax Bill Unfudged'!$A$2:$A$498, 'Tax Bill Summary'!$A176, 'GE16FEB14 Tax Bill Unfudged'!G$2:G$498)</f>
        <v>892902</v>
      </c>
      <c r="Y176" s="13">
        <f>+SUMIF('GE16FEB14 Tax Bill Unfudged'!$A$2:$A$498, 'Tax Bill Summary'!$A176, 'GE16FEB14 Tax Bill Unfudged'!H$2:H$498)</f>
        <v>616912</v>
      </c>
      <c r="Z176" s="56">
        <f t="shared" si="132"/>
        <v>275990</v>
      </c>
      <c r="AA176" s="51">
        <f>+SUMIF('GE16FEB14 Tax Bill Unfudged'!$A$2:$A$498, 'Tax Bill Summary'!$A176, 'GE16FEB14 Tax Bill Unfudged'!I$2:I$498)</f>
        <v>631770</v>
      </c>
      <c r="AB176" s="13">
        <f>+SUMIF('GE16FEB14 Tax Bill Unfudged'!$A$2:$A$498, 'Tax Bill Summary'!$A176, 'GE16FEB14 Tax Bill Unfudged'!J$2:J$498)</f>
        <v>252968</v>
      </c>
      <c r="AC176" s="56">
        <f t="shared" si="133"/>
        <v>378802</v>
      </c>
      <c r="AD176" s="51">
        <f t="shared" si="134"/>
        <v>1827922</v>
      </c>
      <c r="AE176" s="13">
        <f t="shared" si="135"/>
        <v>1079397</v>
      </c>
      <c r="AF176" s="56">
        <f t="shared" si="136"/>
        <v>748525</v>
      </c>
      <c r="AG176" s="13">
        <f t="shared" si="137"/>
        <v>867.95916429249758</v>
      </c>
      <c r="AH176" s="13">
        <f t="shared" si="138"/>
        <v>512.53418803418799</v>
      </c>
      <c r="AI176" s="16">
        <f t="shared" si="139"/>
        <v>355.42497625830958</v>
      </c>
      <c r="AJ176" s="15">
        <f t="shared" si="140"/>
        <v>0</v>
      </c>
      <c r="AK176" s="13">
        <f t="shared" si="141"/>
        <v>0</v>
      </c>
      <c r="AL176" s="56">
        <f t="shared" si="142"/>
        <v>0</v>
      </c>
      <c r="AM176" s="51">
        <f t="shared" si="143"/>
        <v>892902</v>
      </c>
      <c r="AN176" s="13">
        <f t="shared" si="144"/>
        <v>616912</v>
      </c>
      <c r="AO176" s="56">
        <f t="shared" si="145"/>
        <v>275990</v>
      </c>
      <c r="AP176" s="51">
        <f t="shared" si="146"/>
        <v>0</v>
      </c>
      <c r="AQ176" s="13">
        <f t="shared" si="147"/>
        <v>0</v>
      </c>
      <c r="AR176" s="56">
        <f t="shared" si="148"/>
        <v>0</v>
      </c>
      <c r="AS176" s="51">
        <f t="shared" si="149"/>
        <v>892902</v>
      </c>
      <c r="AT176" s="13">
        <f t="shared" si="150"/>
        <v>616912</v>
      </c>
      <c r="AU176" s="56">
        <f t="shared" si="151"/>
        <v>275990</v>
      </c>
      <c r="AV176" s="13">
        <f t="shared" si="152"/>
        <v>423.98005698005693</v>
      </c>
      <c r="AW176" s="13">
        <f t="shared" si="153"/>
        <v>292.93067426400756</v>
      </c>
      <c r="AX176" s="16">
        <f t="shared" si="154"/>
        <v>131.04938271604937</v>
      </c>
    </row>
    <row r="177" spans="1:50" x14ac:dyDescent="0.25">
      <c r="A177" s="20">
        <v>533</v>
      </c>
      <c r="B177">
        <v>1</v>
      </c>
      <c r="C177" s="23" t="s">
        <v>293</v>
      </c>
      <c r="D177" s="23">
        <v>5</v>
      </c>
      <c r="E177" s="15">
        <f>+SUMIF('GE16FEB14 Unfudged'!$A$2:$A$498, $A177, 'GE16FEB14 Unfudged'!$D$2:$D$498)</f>
        <v>1287</v>
      </c>
      <c r="F177" s="15">
        <f>+SUMIF('GE16FEB14 Unfudged'!$A$2:$A$498, 'Tax Bill Summary'!$A177, 'GE16FEB14 Unfudged'!E$2:E$498)</f>
        <v>185328</v>
      </c>
      <c r="G177" s="13">
        <f>+SUMIF('GE16FEB14 Unfudged'!$A$2:$A$498, 'Tax Bill Summary'!$A177, 'GE16FEB14 Unfudged'!F$2:F$498)</f>
        <v>102521</v>
      </c>
      <c r="H177" s="56">
        <f t="shared" si="122"/>
        <v>82807</v>
      </c>
      <c r="I177" s="51">
        <f>+SUMIF('GE16FEB14 Unfudged'!$A$2:$A$498, 'Tax Bill Summary'!$A177, 'GE16FEB14 Unfudged'!G$2:G$498)</f>
        <v>0</v>
      </c>
      <c r="J177" s="13">
        <f>+SUMIF('GE16FEB14 Unfudged'!$A$2:$A$498, 'Tax Bill Summary'!$A177, 'GE16FEB14 Unfudged'!H$2:H$498)</f>
        <v>0</v>
      </c>
      <c r="K177" s="56">
        <f t="shared" si="123"/>
        <v>0</v>
      </c>
      <c r="L177" s="51">
        <f>+SUMIF('GE16FEB14 Unfudged'!$A$2:$A$498, 'Tax Bill Summary'!$A177, 'GE16FEB14 Unfudged'!I$2:IF$498)</f>
        <v>386100</v>
      </c>
      <c r="M177" s="13">
        <f>+SUMIF('GE16FEB14 Unfudged'!$A$2:$A$498, 'Tax Bill Summary'!$A177, 'GE16FEB14 Unfudged'!J$2:IG$498)</f>
        <v>123782</v>
      </c>
      <c r="N177" s="56">
        <f t="shared" si="124"/>
        <v>262318</v>
      </c>
      <c r="O177" s="51">
        <f t="shared" si="125"/>
        <v>571428</v>
      </c>
      <c r="P177" s="13">
        <f t="shared" si="126"/>
        <v>226303</v>
      </c>
      <c r="Q177" s="56">
        <f t="shared" si="127"/>
        <v>345125</v>
      </c>
      <c r="R177" s="13">
        <f t="shared" si="128"/>
        <v>444</v>
      </c>
      <c r="S177" s="13">
        <f t="shared" si="129"/>
        <v>175.83760683760684</v>
      </c>
      <c r="T177" s="16">
        <f t="shared" si="130"/>
        <v>268.16239316239319</v>
      </c>
      <c r="U177" s="15">
        <f>+SUMIF('GE16FEB14 Tax Bill Unfudged'!$A$2:$A$498, 'Tax Bill Summary'!$A177, 'GE16FEB14 Tax Bill Unfudged'!E$2:E$498)</f>
        <v>185328</v>
      </c>
      <c r="V177" s="13">
        <f>+SUMIF('GE16FEB14 Tax Bill Unfudged'!$A$2:$A$498, 'Tax Bill Summary'!$A177, 'GE16FEB14 Tax Bill Unfudged'!F$2:F$498)</f>
        <v>102521</v>
      </c>
      <c r="W177" s="56">
        <f t="shared" si="131"/>
        <v>82807</v>
      </c>
      <c r="X177" s="51">
        <f>+SUMIF('GE16FEB14 Tax Bill Unfudged'!$A$2:$A$498, 'Tax Bill Summary'!$A177, 'GE16FEB14 Tax Bill Unfudged'!G$2:G$498)</f>
        <v>545688</v>
      </c>
      <c r="Y177" s="13">
        <f>+SUMIF('GE16FEB14 Tax Bill Unfudged'!$A$2:$A$498, 'Tax Bill Summary'!$A177, 'GE16FEB14 Tax Bill Unfudged'!H$2:H$498)</f>
        <v>301867</v>
      </c>
      <c r="Z177" s="56">
        <f t="shared" si="132"/>
        <v>243821</v>
      </c>
      <c r="AA177" s="51">
        <f>+SUMIF('GE16FEB14 Tax Bill Unfudged'!$A$2:$A$498, 'Tax Bill Summary'!$A177, 'GE16FEB14 Tax Bill Unfudged'!I$2:I$498)</f>
        <v>386100</v>
      </c>
      <c r="AB177" s="13">
        <f>+SUMIF('GE16FEB14 Tax Bill Unfudged'!$A$2:$A$498, 'Tax Bill Summary'!$A177, 'GE16FEB14 Tax Bill Unfudged'!J$2:J$498)</f>
        <v>123782</v>
      </c>
      <c r="AC177" s="56">
        <f t="shared" si="133"/>
        <v>262318</v>
      </c>
      <c r="AD177" s="51">
        <f t="shared" si="134"/>
        <v>1117116</v>
      </c>
      <c r="AE177" s="13">
        <f t="shared" si="135"/>
        <v>528170</v>
      </c>
      <c r="AF177" s="56">
        <f t="shared" si="136"/>
        <v>588946</v>
      </c>
      <c r="AG177" s="13">
        <f t="shared" si="137"/>
        <v>868</v>
      </c>
      <c r="AH177" s="13">
        <f t="shared" si="138"/>
        <v>410.3885003885004</v>
      </c>
      <c r="AI177" s="16">
        <f t="shared" si="139"/>
        <v>457.6114996114996</v>
      </c>
      <c r="AJ177" s="15">
        <f t="shared" si="140"/>
        <v>0</v>
      </c>
      <c r="AK177" s="13">
        <f t="shared" si="141"/>
        <v>0</v>
      </c>
      <c r="AL177" s="56">
        <f t="shared" si="142"/>
        <v>0</v>
      </c>
      <c r="AM177" s="51">
        <f t="shared" si="143"/>
        <v>545688</v>
      </c>
      <c r="AN177" s="13">
        <f t="shared" si="144"/>
        <v>301867</v>
      </c>
      <c r="AO177" s="56">
        <f t="shared" si="145"/>
        <v>243821</v>
      </c>
      <c r="AP177" s="51">
        <f t="shared" si="146"/>
        <v>0</v>
      </c>
      <c r="AQ177" s="13">
        <f t="shared" si="147"/>
        <v>0</v>
      </c>
      <c r="AR177" s="56">
        <f t="shared" si="148"/>
        <v>0</v>
      </c>
      <c r="AS177" s="51">
        <f t="shared" si="149"/>
        <v>545688</v>
      </c>
      <c r="AT177" s="13">
        <f t="shared" si="150"/>
        <v>301867</v>
      </c>
      <c r="AU177" s="56">
        <f t="shared" si="151"/>
        <v>243821</v>
      </c>
      <c r="AV177" s="13">
        <f t="shared" si="152"/>
        <v>424</v>
      </c>
      <c r="AW177" s="13">
        <f t="shared" si="153"/>
        <v>234.55089355089356</v>
      </c>
      <c r="AX177" s="16">
        <f t="shared" si="154"/>
        <v>189.44910644910641</v>
      </c>
    </row>
    <row r="178" spans="1:50" x14ac:dyDescent="0.25">
      <c r="A178" s="20">
        <v>534</v>
      </c>
      <c r="B178">
        <v>1</v>
      </c>
      <c r="C178" s="23" t="s">
        <v>294</v>
      </c>
      <c r="D178" s="23">
        <v>5</v>
      </c>
      <c r="E178" s="15">
        <f>+SUMIF('GE16FEB14 Unfudged'!$A$2:$A$498, $A178, 'GE16FEB14 Unfudged'!$D$2:$D$498)</f>
        <v>2071</v>
      </c>
      <c r="F178" s="15">
        <f>+SUMIF('GE16FEB14 Unfudged'!$A$2:$A$498, 'Tax Bill Summary'!$A178, 'GE16FEB14 Unfudged'!E$2:E$498)</f>
        <v>254700</v>
      </c>
      <c r="G178" s="13">
        <f>+SUMIF('GE16FEB14 Unfudged'!$A$2:$A$498, 'Tax Bill Summary'!$A178, 'GE16FEB14 Unfudged'!F$2:F$498)</f>
        <v>181509</v>
      </c>
      <c r="H178" s="56">
        <f t="shared" si="122"/>
        <v>73191</v>
      </c>
      <c r="I178" s="51">
        <f>+SUMIF('GE16FEB14 Unfudged'!$A$2:$A$498, 'Tax Bill Summary'!$A178, 'GE16FEB14 Unfudged'!G$2:G$498)</f>
        <v>0</v>
      </c>
      <c r="J178" s="13">
        <f>+SUMIF('GE16FEB14 Unfudged'!$A$2:$A$498, 'Tax Bill Summary'!$A178, 'GE16FEB14 Unfudged'!H$2:H$498)</f>
        <v>0</v>
      </c>
      <c r="K178" s="56">
        <f t="shared" si="123"/>
        <v>0</v>
      </c>
      <c r="L178" s="51">
        <f>+SUMIF('GE16FEB14 Unfudged'!$A$2:$A$498, 'Tax Bill Summary'!$A178, 'GE16FEB14 Unfudged'!I$2:IF$498)</f>
        <v>1572210</v>
      </c>
      <c r="M178" s="13">
        <f>+SUMIF('GE16FEB14 Unfudged'!$A$2:$A$498, 'Tax Bill Summary'!$A178, 'GE16FEB14 Unfudged'!J$2:IG$498)</f>
        <v>934213</v>
      </c>
      <c r="N178" s="56">
        <f t="shared" si="124"/>
        <v>637997</v>
      </c>
      <c r="O178" s="51">
        <f t="shared" si="125"/>
        <v>1826910</v>
      </c>
      <c r="P178" s="13">
        <f t="shared" si="126"/>
        <v>1115722</v>
      </c>
      <c r="Q178" s="56">
        <f t="shared" si="127"/>
        <v>711188</v>
      </c>
      <c r="R178" s="13">
        <f t="shared" si="128"/>
        <v>882.13906325446646</v>
      </c>
      <c r="S178" s="13">
        <f t="shared" si="129"/>
        <v>538.73587638821823</v>
      </c>
      <c r="T178" s="16">
        <f t="shared" si="130"/>
        <v>343.40318686624818</v>
      </c>
      <c r="U178" s="15">
        <f>+SUMIF('GE16FEB14 Tax Bill Unfudged'!$A$2:$A$498, 'Tax Bill Summary'!$A178, 'GE16FEB14 Tax Bill Unfudged'!E$2:E$498)</f>
        <v>293900</v>
      </c>
      <c r="V178" s="13">
        <f>+SUMIF('GE16FEB14 Tax Bill Unfudged'!$A$2:$A$498, 'Tax Bill Summary'!$A178, 'GE16FEB14 Tax Bill Unfudged'!F$2:F$498)</f>
        <v>209444</v>
      </c>
      <c r="W178" s="56">
        <f t="shared" si="131"/>
        <v>84456</v>
      </c>
      <c r="X178" s="51">
        <f>+SUMIF('GE16FEB14 Tax Bill Unfudged'!$A$2:$A$498, 'Tax Bill Summary'!$A178, 'GE16FEB14 Tax Bill Unfudged'!G$2:G$498)</f>
        <v>878295</v>
      </c>
      <c r="Y178" s="13">
        <f>+SUMIF('GE16FEB14 Tax Bill Unfudged'!$A$2:$A$498, 'Tax Bill Summary'!$A178, 'GE16FEB14 Tax Bill Unfudged'!H$2:H$498)</f>
        <v>625905</v>
      </c>
      <c r="Z178" s="56">
        <f t="shared" si="132"/>
        <v>252390</v>
      </c>
      <c r="AA178" s="51">
        <f>+SUMIF('GE16FEB14 Tax Bill Unfudged'!$A$2:$A$498, 'Tax Bill Summary'!$A178, 'GE16FEB14 Tax Bill Unfudged'!I$2:I$498)</f>
        <v>693915</v>
      </c>
      <c r="AB178" s="13">
        <f>+SUMIF('GE16FEB14 Tax Bill Unfudged'!$A$2:$A$498, 'Tax Bill Summary'!$A178, 'GE16FEB14 Tax Bill Unfudged'!J$2:J$498)</f>
        <v>308308</v>
      </c>
      <c r="AC178" s="56">
        <f t="shared" si="133"/>
        <v>385607</v>
      </c>
      <c r="AD178" s="51">
        <f t="shared" si="134"/>
        <v>1866110</v>
      </c>
      <c r="AE178" s="13">
        <f t="shared" si="135"/>
        <v>1143657</v>
      </c>
      <c r="AF178" s="56">
        <f t="shared" si="136"/>
        <v>722453</v>
      </c>
      <c r="AG178" s="13">
        <f t="shared" si="137"/>
        <v>901.067117334621</v>
      </c>
      <c r="AH178" s="13">
        <f t="shared" si="138"/>
        <v>552.22452921294064</v>
      </c>
      <c r="AI178" s="16">
        <f t="shared" si="139"/>
        <v>348.84258812168036</v>
      </c>
      <c r="AJ178" s="15">
        <f t="shared" si="140"/>
        <v>39200</v>
      </c>
      <c r="AK178" s="13">
        <f t="shared" si="141"/>
        <v>27935</v>
      </c>
      <c r="AL178" s="56">
        <f t="shared" si="142"/>
        <v>11265</v>
      </c>
      <c r="AM178" s="51">
        <f t="shared" si="143"/>
        <v>878295</v>
      </c>
      <c r="AN178" s="13">
        <f t="shared" si="144"/>
        <v>625905</v>
      </c>
      <c r="AO178" s="56">
        <f t="shared" si="145"/>
        <v>252390</v>
      </c>
      <c r="AP178" s="51">
        <f t="shared" si="146"/>
        <v>-878295</v>
      </c>
      <c r="AQ178" s="13">
        <f t="shared" si="147"/>
        <v>-625905</v>
      </c>
      <c r="AR178" s="56">
        <f t="shared" si="148"/>
        <v>-252390</v>
      </c>
      <c r="AS178" s="51">
        <f t="shared" si="149"/>
        <v>39200</v>
      </c>
      <c r="AT178" s="13">
        <f t="shared" si="150"/>
        <v>27935</v>
      </c>
      <c r="AU178" s="56">
        <f t="shared" si="151"/>
        <v>11265</v>
      </c>
      <c r="AV178" s="13">
        <f t="shared" si="152"/>
        <v>18.928054080154538</v>
      </c>
      <c r="AW178" s="13">
        <f t="shared" si="153"/>
        <v>13.488652824722408</v>
      </c>
      <c r="AX178" s="16">
        <f t="shared" si="154"/>
        <v>5.4394012554321876</v>
      </c>
    </row>
    <row r="179" spans="1:50" x14ac:dyDescent="0.25">
      <c r="A179" s="20">
        <v>535</v>
      </c>
      <c r="B179">
        <v>1</v>
      </c>
      <c r="C179" s="23" t="s">
        <v>295</v>
      </c>
      <c r="D179" s="23">
        <v>4</v>
      </c>
      <c r="E179" s="15">
        <f>+SUMIF('GE16FEB14 Unfudged'!$A$2:$A$498, $A179, 'GE16FEB14 Unfudged'!$D$2:$D$498)</f>
        <v>17934</v>
      </c>
      <c r="F179" s="15">
        <f>+SUMIF('GE16FEB14 Unfudged'!$A$2:$A$498, 'Tax Bill Summary'!$A179, 'GE16FEB14 Unfudged'!E$2:E$498)</f>
        <v>2538984</v>
      </c>
      <c r="G179" s="13">
        <f>+SUMIF('GE16FEB14 Unfudged'!$A$2:$A$498, 'Tax Bill Summary'!$A179, 'GE16FEB14 Unfudged'!F$2:F$498)</f>
        <v>2538984</v>
      </c>
      <c r="H179" s="56">
        <f t="shared" si="122"/>
        <v>0</v>
      </c>
      <c r="I179" s="51">
        <f>+SUMIF('GE16FEB14 Unfudged'!$A$2:$A$498, 'Tax Bill Summary'!$A179, 'GE16FEB14 Unfudged'!G$2:G$498)</f>
        <v>3802093</v>
      </c>
      <c r="J179" s="13">
        <f>+SUMIF('GE16FEB14 Unfudged'!$A$2:$A$498, 'Tax Bill Summary'!$A179, 'GE16FEB14 Unfudged'!H$2:H$498)</f>
        <v>3802093</v>
      </c>
      <c r="K179" s="56">
        <f t="shared" si="123"/>
        <v>0</v>
      </c>
      <c r="L179" s="51">
        <f>+SUMIF('GE16FEB14 Unfudged'!$A$2:$A$498, 'Tax Bill Summary'!$A179, 'GE16FEB14 Unfudged'!I$2:IF$498)</f>
        <v>6330664</v>
      </c>
      <c r="M179" s="13">
        <f>+SUMIF('GE16FEB14 Unfudged'!$A$2:$A$498, 'Tax Bill Summary'!$A179, 'GE16FEB14 Unfudged'!J$2:IG$498)</f>
        <v>4166440</v>
      </c>
      <c r="N179" s="56">
        <f t="shared" si="124"/>
        <v>2164224</v>
      </c>
      <c r="O179" s="51">
        <f t="shared" si="125"/>
        <v>12671741</v>
      </c>
      <c r="P179" s="13">
        <f t="shared" si="126"/>
        <v>10507517</v>
      </c>
      <c r="Q179" s="56">
        <f t="shared" si="127"/>
        <v>2164224</v>
      </c>
      <c r="R179" s="13">
        <f t="shared" si="128"/>
        <v>706.57639121222257</v>
      </c>
      <c r="S179" s="13">
        <f t="shared" si="129"/>
        <v>585.89924166387868</v>
      </c>
      <c r="T179" s="16">
        <f t="shared" si="130"/>
        <v>120.67714954834393</v>
      </c>
      <c r="U179" s="15">
        <f>+SUMIF('GE16FEB14 Tax Bill Unfudged'!$A$2:$A$498, 'Tax Bill Summary'!$A179, 'GE16FEB14 Tax Bill Unfudged'!E$2:E$498)</f>
        <v>2571823</v>
      </c>
      <c r="V179" s="13">
        <f>+SUMIF('GE16FEB14 Tax Bill Unfudged'!$A$2:$A$498, 'Tax Bill Summary'!$A179, 'GE16FEB14 Tax Bill Unfudged'!F$2:F$498)</f>
        <v>2571823</v>
      </c>
      <c r="W179" s="56">
        <f t="shared" si="131"/>
        <v>0</v>
      </c>
      <c r="X179" s="51">
        <f>+SUMIF('GE16FEB14 Tax Bill Unfudged'!$A$2:$A$498, 'Tax Bill Summary'!$A179, 'GE16FEB14 Tax Bill Unfudged'!G$2:G$498)</f>
        <v>7604186</v>
      </c>
      <c r="Y179" s="13">
        <f>+SUMIF('GE16FEB14 Tax Bill Unfudged'!$A$2:$A$498, 'Tax Bill Summary'!$A179, 'GE16FEB14 Tax Bill Unfudged'!H$2:H$498)</f>
        <v>7604186</v>
      </c>
      <c r="Z179" s="56">
        <f t="shared" si="132"/>
        <v>0</v>
      </c>
      <c r="AA179" s="51">
        <f>+SUMIF('GE16FEB14 Tax Bill Unfudged'!$A$2:$A$498, 'Tax Bill Summary'!$A179, 'GE16FEB14 Tax Bill Unfudged'!I$2:I$498)</f>
        <v>5557512</v>
      </c>
      <c r="AB179" s="13">
        <f>+SUMIF('GE16FEB14 Tax Bill Unfudged'!$A$2:$A$498, 'Tax Bill Summary'!$A179, 'GE16FEB14 Tax Bill Unfudged'!J$2:J$498)</f>
        <v>3393288</v>
      </c>
      <c r="AC179" s="56">
        <f t="shared" si="133"/>
        <v>2164224</v>
      </c>
      <c r="AD179" s="51">
        <f t="shared" si="134"/>
        <v>15733521</v>
      </c>
      <c r="AE179" s="13">
        <f t="shared" si="135"/>
        <v>13569297</v>
      </c>
      <c r="AF179" s="56">
        <f t="shared" si="136"/>
        <v>2164224</v>
      </c>
      <c r="AG179" s="13">
        <f t="shared" si="137"/>
        <v>877.30127132820337</v>
      </c>
      <c r="AH179" s="13">
        <f t="shared" si="138"/>
        <v>756.62412177985948</v>
      </c>
      <c r="AI179" s="16">
        <f t="shared" si="139"/>
        <v>120.67714954834393</v>
      </c>
      <c r="AJ179" s="15">
        <f t="shared" si="140"/>
        <v>32839</v>
      </c>
      <c r="AK179" s="13">
        <f t="shared" si="141"/>
        <v>32839</v>
      </c>
      <c r="AL179" s="56">
        <f t="shared" si="142"/>
        <v>0</v>
      </c>
      <c r="AM179" s="51">
        <f t="shared" si="143"/>
        <v>3802093</v>
      </c>
      <c r="AN179" s="13">
        <f t="shared" si="144"/>
        <v>3802093</v>
      </c>
      <c r="AO179" s="56">
        <f t="shared" si="145"/>
        <v>0</v>
      </c>
      <c r="AP179" s="51">
        <f t="shared" si="146"/>
        <v>-773152</v>
      </c>
      <c r="AQ179" s="13">
        <f t="shared" si="147"/>
        <v>-773152</v>
      </c>
      <c r="AR179" s="56">
        <f t="shared" si="148"/>
        <v>0</v>
      </c>
      <c r="AS179" s="51">
        <f t="shared" si="149"/>
        <v>3061780</v>
      </c>
      <c r="AT179" s="13">
        <f t="shared" si="150"/>
        <v>3061780</v>
      </c>
      <c r="AU179" s="56">
        <f t="shared" si="151"/>
        <v>0</v>
      </c>
      <c r="AV179" s="13">
        <f t="shared" si="152"/>
        <v>170.7248801159808</v>
      </c>
      <c r="AW179" s="13">
        <f t="shared" si="153"/>
        <v>170.7248801159808</v>
      </c>
      <c r="AX179" s="16">
        <f t="shared" si="154"/>
        <v>0</v>
      </c>
    </row>
    <row r="180" spans="1:50" x14ac:dyDescent="0.25">
      <c r="A180" s="20">
        <v>542</v>
      </c>
      <c r="B180">
        <v>1</v>
      </c>
      <c r="C180" s="23" t="s">
        <v>296</v>
      </c>
      <c r="D180" s="23">
        <v>6</v>
      </c>
      <c r="E180" s="15">
        <f>+SUMIF('GE16FEB14 Unfudged'!$A$2:$A$498, $A180, 'GE16FEB14 Unfudged'!$D$2:$D$498)</f>
        <v>455</v>
      </c>
      <c r="F180" s="15">
        <f>+SUMIF('GE16FEB14 Unfudged'!$A$2:$A$498, 'Tax Bill Summary'!$A180, 'GE16FEB14 Unfudged'!E$2:E$498)</f>
        <v>59015</v>
      </c>
      <c r="G180" s="13">
        <f>+SUMIF('GE16FEB14 Unfudged'!$A$2:$A$498, 'Tax Bill Summary'!$A180, 'GE16FEB14 Unfudged'!F$2:F$498)</f>
        <v>59015</v>
      </c>
      <c r="H180" s="56">
        <f t="shared" si="122"/>
        <v>0</v>
      </c>
      <c r="I180" s="51">
        <f>+SUMIF('GE16FEB14 Unfudged'!$A$2:$A$498, 'Tax Bill Summary'!$A180, 'GE16FEB14 Unfudged'!G$2:G$498)</f>
        <v>0</v>
      </c>
      <c r="J180" s="13">
        <f>+SUMIF('GE16FEB14 Unfudged'!$A$2:$A$498, 'Tax Bill Summary'!$A180, 'GE16FEB14 Unfudged'!H$2:H$498)</f>
        <v>0</v>
      </c>
      <c r="K180" s="56">
        <f t="shared" si="123"/>
        <v>0</v>
      </c>
      <c r="L180" s="51">
        <f>+SUMIF('GE16FEB14 Unfudged'!$A$2:$A$498, 'Tax Bill Summary'!$A180, 'GE16FEB14 Unfudged'!I$2:IF$498)</f>
        <v>277196</v>
      </c>
      <c r="M180" s="13">
        <f>+SUMIF('GE16FEB14 Unfudged'!$A$2:$A$498, 'Tax Bill Summary'!$A180, 'GE16FEB14 Unfudged'!J$2:IG$498)</f>
        <v>277177</v>
      </c>
      <c r="N180" s="56">
        <f t="shared" si="124"/>
        <v>19</v>
      </c>
      <c r="O180" s="51">
        <f t="shared" si="125"/>
        <v>336211</v>
      </c>
      <c r="P180" s="13">
        <f t="shared" si="126"/>
        <v>336192</v>
      </c>
      <c r="Q180" s="56">
        <f t="shared" si="127"/>
        <v>19</v>
      </c>
      <c r="R180" s="13">
        <f t="shared" si="128"/>
        <v>738.92527472527468</v>
      </c>
      <c r="S180" s="13">
        <f t="shared" si="129"/>
        <v>738.88351648351647</v>
      </c>
      <c r="T180" s="16">
        <f t="shared" si="130"/>
        <v>4.1758241758241756E-2</v>
      </c>
      <c r="U180" s="15">
        <f>+SUMIF('GE16FEB14 Tax Bill Unfudged'!$A$2:$A$498, 'Tax Bill Summary'!$A180, 'GE16FEB14 Tax Bill Unfudged'!E$2:E$498)</f>
        <v>65470</v>
      </c>
      <c r="V180" s="13">
        <f>+SUMIF('GE16FEB14 Tax Bill Unfudged'!$A$2:$A$498, 'Tax Bill Summary'!$A180, 'GE16FEB14 Tax Bill Unfudged'!F$2:F$498)</f>
        <v>65470</v>
      </c>
      <c r="W180" s="56">
        <f t="shared" si="131"/>
        <v>0</v>
      </c>
      <c r="X180" s="51">
        <f>+SUMIF('GE16FEB14 Tax Bill Unfudged'!$A$2:$A$498, 'Tax Bill Summary'!$A180, 'GE16FEB14 Tax Bill Unfudged'!G$2:G$498)</f>
        <v>192772</v>
      </c>
      <c r="Y180" s="13">
        <f>+SUMIF('GE16FEB14 Tax Bill Unfudged'!$A$2:$A$498, 'Tax Bill Summary'!$A180, 'GE16FEB14 Tax Bill Unfudged'!H$2:H$498)</f>
        <v>192772</v>
      </c>
      <c r="Z180" s="56">
        <f t="shared" si="132"/>
        <v>0</v>
      </c>
      <c r="AA180" s="51">
        <f>+SUMIF('GE16FEB14 Tax Bill Unfudged'!$A$2:$A$498, 'Tax Bill Summary'!$A180, 'GE16FEB14 Tax Bill Unfudged'!I$2:I$498)</f>
        <v>136395</v>
      </c>
      <c r="AB180" s="13">
        <f>+SUMIF('GE16FEB14 Tax Bill Unfudged'!$A$2:$A$498, 'Tax Bill Summary'!$A180, 'GE16FEB14 Tax Bill Unfudged'!J$2:J$498)</f>
        <v>136376</v>
      </c>
      <c r="AC180" s="56">
        <f t="shared" si="133"/>
        <v>19</v>
      </c>
      <c r="AD180" s="51">
        <f t="shared" si="134"/>
        <v>394637</v>
      </c>
      <c r="AE180" s="13">
        <f t="shared" si="135"/>
        <v>394618</v>
      </c>
      <c r="AF180" s="56">
        <f t="shared" si="136"/>
        <v>19</v>
      </c>
      <c r="AG180" s="13">
        <f t="shared" si="137"/>
        <v>867.33406593406596</v>
      </c>
      <c r="AH180" s="13">
        <f t="shared" si="138"/>
        <v>867.29230769230765</v>
      </c>
      <c r="AI180" s="16">
        <f t="shared" si="139"/>
        <v>4.1758241758241756E-2</v>
      </c>
      <c r="AJ180" s="15">
        <f t="shared" si="140"/>
        <v>6455</v>
      </c>
      <c r="AK180" s="13">
        <f t="shared" si="141"/>
        <v>6455</v>
      </c>
      <c r="AL180" s="56">
        <f t="shared" si="142"/>
        <v>0</v>
      </c>
      <c r="AM180" s="51">
        <f t="shared" si="143"/>
        <v>192772</v>
      </c>
      <c r="AN180" s="13">
        <f t="shared" si="144"/>
        <v>192772</v>
      </c>
      <c r="AO180" s="56">
        <f t="shared" si="145"/>
        <v>0</v>
      </c>
      <c r="AP180" s="51">
        <f t="shared" si="146"/>
        <v>-140801</v>
      </c>
      <c r="AQ180" s="13">
        <f t="shared" si="147"/>
        <v>-140801</v>
      </c>
      <c r="AR180" s="56">
        <f t="shared" si="148"/>
        <v>0</v>
      </c>
      <c r="AS180" s="51">
        <f t="shared" si="149"/>
        <v>58426</v>
      </c>
      <c r="AT180" s="13">
        <f t="shared" si="150"/>
        <v>58426</v>
      </c>
      <c r="AU180" s="56">
        <f t="shared" si="151"/>
        <v>0</v>
      </c>
      <c r="AV180" s="13">
        <f t="shared" si="152"/>
        <v>128.40879120879129</v>
      </c>
      <c r="AW180" s="13">
        <f t="shared" si="153"/>
        <v>128.40879120879117</v>
      </c>
      <c r="AX180" s="16">
        <f t="shared" si="154"/>
        <v>0</v>
      </c>
    </row>
    <row r="181" spans="1:50" x14ac:dyDescent="0.25">
      <c r="A181" s="20">
        <v>544</v>
      </c>
      <c r="B181">
        <v>1</v>
      </c>
      <c r="C181" s="23" t="s">
        <v>297</v>
      </c>
      <c r="D181" s="23">
        <v>4</v>
      </c>
      <c r="E181" s="15">
        <f>+SUMIF('GE16FEB14 Unfudged'!$A$2:$A$498, $A181, 'GE16FEB14 Unfudged'!$D$2:$D$498)</f>
        <v>2423</v>
      </c>
      <c r="F181" s="15">
        <f>+SUMIF('GE16FEB14 Unfudged'!$A$2:$A$498, 'Tax Bill Summary'!$A181, 'GE16FEB14 Unfudged'!E$2:E$498)</f>
        <v>348941</v>
      </c>
      <c r="G181" s="13">
        <f>+SUMIF('GE16FEB14 Unfudged'!$A$2:$A$498, 'Tax Bill Summary'!$A181, 'GE16FEB14 Unfudged'!F$2:F$498)</f>
        <v>348941</v>
      </c>
      <c r="H181" s="56">
        <f t="shared" si="122"/>
        <v>0</v>
      </c>
      <c r="I181" s="51">
        <f>+SUMIF('GE16FEB14 Unfudged'!$A$2:$A$498, 'Tax Bill Summary'!$A181, 'GE16FEB14 Unfudged'!G$2:G$498)</f>
        <v>513718</v>
      </c>
      <c r="J181" s="13">
        <f>+SUMIF('GE16FEB14 Unfudged'!$A$2:$A$498, 'Tax Bill Summary'!$A181, 'GE16FEB14 Unfudged'!H$2:H$498)</f>
        <v>513718</v>
      </c>
      <c r="K181" s="56">
        <f t="shared" si="123"/>
        <v>0</v>
      </c>
      <c r="L181" s="51">
        <f>+SUMIF('GE16FEB14 Unfudged'!$A$2:$A$498, 'Tax Bill Summary'!$A181, 'GE16FEB14 Unfudged'!I$2:IF$498)</f>
        <v>726960</v>
      </c>
      <c r="M181" s="13">
        <f>+SUMIF('GE16FEB14 Unfudged'!$A$2:$A$498, 'Tax Bill Summary'!$A181, 'GE16FEB14 Unfudged'!J$2:IG$498)</f>
        <v>493137</v>
      </c>
      <c r="N181" s="56">
        <f t="shared" si="124"/>
        <v>233823</v>
      </c>
      <c r="O181" s="51">
        <f t="shared" si="125"/>
        <v>1589619</v>
      </c>
      <c r="P181" s="13">
        <f t="shared" si="126"/>
        <v>1355796</v>
      </c>
      <c r="Q181" s="56">
        <f t="shared" si="127"/>
        <v>233823</v>
      </c>
      <c r="R181" s="13">
        <f t="shared" si="128"/>
        <v>656.05406520841927</v>
      </c>
      <c r="S181" s="13">
        <f t="shared" si="129"/>
        <v>559.55262071811808</v>
      </c>
      <c r="T181" s="16">
        <f t="shared" si="130"/>
        <v>96.501444490301282</v>
      </c>
      <c r="U181" s="15">
        <f>+SUMIF('GE16FEB14 Tax Bill Unfudged'!$A$2:$A$498, 'Tax Bill Summary'!$A181, 'GE16FEB14 Tax Bill Unfudged'!E$2:E$498)</f>
        <v>348941</v>
      </c>
      <c r="V181" s="13">
        <f>+SUMIF('GE16FEB14 Tax Bill Unfudged'!$A$2:$A$498, 'Tax Bill Summary'!$A181, 'GE16FEB14 Tax Bill Unfudged'!F$2:F$498)</f>
        <v>348941</v>
      </c>
      <c r="W181" s="56">
        <f t="shared" si="131"/>
        <v>0</v>
      </c>
      <c r="X181" s="51">
        <f>+SUMIF('GE16FEB14 Tax Bill Unfudged'!$A$2:$A$498, 'Tax Bill Summary'!$A181, 'GE16FEB14 Tax Bill Unfudged'!G$2:G$498)</f>
        <v>1027437</v>
      </c>
      <c r="Y181" s="13">
        <f>+SUMIF('GE16FEB14 Tax Bill Unfudged'!$A$2:$A$498, 'Tax Bill Summary'!$A181, 'GE16FEB14 Tax Bill Unfudged'!H$2:H$498)</f>
        <v>1027437</v>
      </c>
      <c r="Z181" s="56">
        <f t="shared" si="132"/>
        <v>0</v>
      </c>
      <c r="AA181" s="51">
        <f>+SUMIF('GE16FEB14 Tax Bill Unfudged'!$A$2:$A$498, 'Tax Bill Summary'!$A181, 'GE16FEB14 Tax Bill Unfudged'!I$2:I$498)</f>
        <v>726960</v>
      </c>
      <c r="AB181" s="13">
        <f>+SUMIF('GE16FEB14 Tax Bill Unfudged'!$A$2:$A$498, 'Tax Bill Summary'!$A181, 'GE16FEB14 Tax Bill Unfudged'!J$2:J$498)</f>
        <v>493137</v>
      </c>
      <c r="AC181" s="56">
        <f t="shared" si="133"/>
        <v>233823</v>
      </c>
      <c r="AD181" s="51">
        <f t="shared" si="134"/>
        <v>2103338</v>
      </c>
      <c r="AE181" s="13">
        <f t="shared" si="135"/>
        <v>1869515</v>
      </c>
      <c r="AF181" s="56">
        <f t="shared" si="136"/>
        <v>233823</v>
      </c>
      <c r="AG181" s="13">
        <f t="shared" si="137"/>
        <v>868.07181180354928</v>
      </c>
      <c r="AH181" s="13">
        <f t="shared" si="138"/>
        <v>771.57036731324808</v>
      </c>
      <c r="AI181" s="16">
        <f t="shared" si="139"/>
        <v>96.501444490301282</v>
      </c>
      <c r="AJ181" s="15">
        <f t="shared" si="140"/>
        <v>0</v>
      </c>
      <c r="AK181" s="13">
        <f t="shared" si="141"/>
        <v>0</v>
      </c>
      <c r="AL181" s="56">
        <f t="shared" si="142"/>
        <v>0</v>
      </c>
      <c r="AM181" s="51">
        <f t="shared" si="143"/>
        <v>513719</v>
      </c>
      <c r="AN181" s="13">
        <f t="shared" si="144"/>
        <v>513719</v>
      </c>
      <c r="AO181" s="56">
        <f t="shared" si="145"/>
        <v>0</v>
      </c>
      <c r="AP181" s="51">
        <f t="shared" si="146"/>
        <v>0</v>
      </c>
      <c r="AQ181" s="13">
        <f t="shared" si="147"/>
        <v>0</v>
      </c>
      <c r="AR181" s="56">
        <f t="shared" si="148"/>
        <v>0</v>
      </c>
      <c r="AS181" s="51">
        <f t="shared" si="149"/>
        <v>513719</v>
      </c>
      <c r="AT181" s="13">
        <f t="shared" si="150"/>
        <v>513719</v>
      </c>
      <c r="AU181" s="56">
        <f t="shared" si="151"/>
        <v>0</v>
      </c>
      <c r="AV181" s="13">
        <f t="shared" si="152"/>
        <v>212.01774659513001</v>
      </c>
      <c r="AW181" s="13">
        <f t="shared" si="153"/>
        <v>212.01774659513001</v>
      </c>
      <c r="AX181" s="16">
        <f t="shared" si="154"/>
        <v>0</v>
      </c>
    </row>
    <row r="182" spans="1:50" x14ac:dyDescent="0.25">
      <c r="A182" s="20">
        <v>545</v>
      </c>
      <c r="B182">
        <v>1</v>
      </c>
      <c r="C182" s="23" t="s">
        <v>298</v>
      </c>
      <c r="D182" s="23">
        <v>6</v>
      </c>
      <c r="E182" s="15">
        <f>+SUMIF('GE16FEB14 Unfudged'!$A$2:$A$498, $A182, 'GE16FEB14 Unfudged'!$D$2:$D$498)</f>
        <v>420</v>
      </c>
      <c r="F182" s="15">
        <f>+SUMIF('GE16FEB14 Unfudged'!$A$2:$A$498, 'Tax Bill Summary'!$A182, 'GE16FEB14 Unfudged'!E$2:E$498)</f>
        <v>42276</v>
      </c>
      <c r="G182" s="13">
        <f>+SUMIF('GE16FEB14 Unfudged'!$A$2:$A$498, 'Tax Bill Summary'!$A182, 'GE16FEB14 Unfudged'!F$2:F$498)</f>
        <v>32129</v>
      </c>
      <c r="H182" s="56">
        <f t="shared" si="122"/>
        <v>10147</v>
      </c>
      <c r="I182" s="51">
        <f>+SUMIF('GE16FEB14 Unfudged'!$A$2:$A$498, 'Tax Bill Summary'!$A182, 'GE16FEB14 Unfudged'!G$2:G$498)</f>
        <v>0</v>
      </c>
      <c r="J182" s="13">
        <f>+SUMIF('GE16FEB14 Unfudged'!$A$2:$A$498, 'Tax Bill Summary'!$A182, 'GE16FEB14 Unfudged'!H$2:H$498)</f>
        <v>0</v>
      </c>
      <c r="K182" s="56">
        <f t="shared" si="123"/>
        <v>0</v>
      </c>
      <c r="L182" s="51">
        <f>+SUMIF('GE16FEB14 Unfudged'!$A$2:$A$498, 'Tax Bill Summary'!$A182, 'GE16FEB14 Unfudged'!I$2:IF$498)</f>
        <v>523762</v>
      </c>
      <c r="M182" s="13">
        <f>+SUMIF('GE16FEB14 Unfudged'!$A$2:$A$498, 'Tax Bill Summary'!$A182, 'GE16FEB14 Unfudged'!J$2:IG$498)</f>
        <v>406832</v>
      </c>
      <c r="N182" s="56">
        <f t="shared" si="124"/>
        <v>116930</v>
      </c>
      <c r="O182" s="51">
        <f t="shared" si="125"/>
        <v>566038</v>
      </c>
      <c r="P182" s="13">
        <f t="shared" si="126"/>
        <v>438961</v>
      </c>
      <c r="Q182" s="56">
        <f t="shared" si="127"/>
        <v>127077</v>
      </c>
      <c r="R182" s="13">
        <f t="shared" si="128"/>
        <v>1347.7095238095237</v>
      </c>
      <c r="S182" s="13">
        <f t="shared" si="129"/>
        <v>1045.145238095238</v>
      </c>
      <c r="T182" s="16">
        <f t="shared" si="130"/>
        <v>302.56428571428569</v>
      </c>
      <c r="U182" s="15">
        <f>+SUMIF('GE16FEB14 Tax Bill Unfudged'!$A$2:$A$498, 'Tax Bill Summary'!$A182, 'GE16FEB14 Tax Bill Unfudged'!E$2:E$498)</f>
        <v>47213</v>
      </c>
      <c r="V182" s="13">
        <f>+SUMIF('GE16FEB14 Tax Bill Unfudged'!$A$2:$A$498, 'Tax Bill Summary'!$A182, 'GE16FEB14 Tax Bill Unfudged'!F$2:F$498)</f>
        <v>35881</v>
      </c>
      <c r="W182" s="56">
        <f t="shared" si="131"/>
        <v>11332</v>
      </c>
      <c r="X182" s="51">
        <f>+SUMIF('GE16FEB14 Tax Bill Unfudged'!$A$2:$A$498, 'Tax Bill Summary'!$A182, 'GE16FEB14 Tax Bill Unfudged'!G$2:G$498)</f>
        <v>178165</v>
      </c>
      <c r="Y182" s="13">
        <f>+SUMIF('GE16FEB14 Tax Bill Unfudged'!$A$2:$A$498, 'Tax Bill Summary'!$A182, 'GE16FEB14 Tax Bill Unfudged'!H$2:H$498)</f>
        <v>135403</v>
      </c>
      <c r="Z182" s="56">
        <f t="shared" si="132"/>
        <v>42762</v>
      </c>
      <c r="AA182" s="51">
        <f>+SUMIF('GE16FEB14 Tax Bill Unfudged'!$A$2:$A$498, 'Tax Bill Summary'!$A182, 'GE16FEB14 Tax Bill Unfudged'!I$2:I$498)</f>
        <v>345598</v>
      </c>
      <c r="AB182" s="13">
        <f>+SUMIF('GE16FEB14 Tax Bill Unfudged'!$A$2:$A$498, 'Tax Bill Summary'!$A182, 'GE16FEB14 Tax Bill Unfudged'!J$2:J$498)</f>
        <v>228668</v>
      </c>
      <c r="AC182" s="56">
        <f t="shared" si="133"/>
        <v>116930</v>
      </c>
      <c r="AD182" s="51">
        <f t="shared" si="134"/>
        <v>570976</v>
      </c>
      <c r="AE182" s="13">
        <f t="shared" si="135"/>
        <v>399952</v>
      </c>
      <c r="AF182" s="56">
        <f t="shared" si="136"/>
        <v>171024</v>
      </c>
      <c r="AG182" s="13">
        <f t="shared" si="137"/>
        <v>1359.4666666666667</v>
      </c>
      <c r="AH182" s="13">
        <f t="shared" si="138"/>
        <v>952.26666666666665</v>
      </c>
      <c r="AI182" s="16">
        <f t="shared" si="139"/>
        <v>407.2</v>
      </c>
      <c r="AJ182" s="15">
        <f t="shared" si="140"/>
        <v>4937</v>
      </c>
      <c r="AK182" s="13">
        <f t="shared" si="141"/>
        <v>3752</v>
      </c>
      <c r="AL182" s="56">
        <f t="shared" si="142"/>
        <v>1185</v>
      </c>
      <c r="AM182" s="51">
        <f t="shared" si="143"/>
        <v>178165</v>
      </c>
      <c r="AN182" s="13">
        <f t="shared" si="144"/>
        <v>135403</v>
      </c>
      <c r="AO182" s="56">
        <f t="shared" si="145"/>
        <v>42762</v>
      </c>
      <c r="AP182" s="51">
        <f t="shared" si="146"/>
        <v>-178164</v>
      </c>
      <c r="AQ182" s="13">
        <f t="shared" si="147"/>
        <v>-178164</v>
      </c>
      <c r="AR182" s="56">
        <f t="shared" si="148"/>
        <v>0</v>
      </c>
      <c r="AS182" s="51">
        <f t="shared" si="149"/>
        <v>4938</v>
      </c>
      <c r="AT182" s="13">
        <f t="shared" si="150"/>
        <v>-39009</v>
      </c>
      <c r="AU182" s="56">
        <f t="shared" si="151"/>
        <v>43947</v>
      </c>
      <c r="AV182" s="13">
        <f t="shared" si="152"/>
        <v>11.757142857142981</v>
      </c>
      <c r="AW182" s="13">
        <f t="shared" si="153"/>
        <v>-92.878571428571377</v>
      </c>
      <c r="AX182" s="16">
        <f t="shared" si="154"/>
        <v>104.6357142857143</v>
      </c>
    </row>
    <row r="183" spans="1:50" x14ac:dyDescent="0.25">
      <c r="A183" s="20">
        <v>547</v>
      </c>
      <c r="B183">
        <v>1</v>
      </c>
      <c r="C183" s="23" t="s">
        <v>299</v>
      </c>
      <c r="D183" s="23">
        <v>6</v>
      </c>
      <c r="E183" s="15">
        <f>+SUMIF('GE16FEB14 Unfudged'!$A$2:$A$498, $A183, 'GE16FEB14 Unfudged'!$D$2:$D$498)</f>
        <v>531</v>
      </c>
      <c r="F183" s="15">
        <f>+SUMIF('GE16FEB14 Unfudged'!$A$2:$A$498, 'Tax Bill Summary'!$A183, 'GE16FEB14 Unfudged'!E$2:E$498)</f>
        <v>54690</v>
      </c>
      <c r="G183" s="13">
        <f>+SUMIF('GE16FEB14 Unfudged'!$A$2:$A$498, 'Tax Bill Summary'!$A183, 'GE16FEB14 Unfudged'!F$2:F$498)</f>
        <v>38579</v>
      </c>
      <c r="H183" s="56">
        <f t="shared" si="122"/>
        <v>16111</v>
      </c>
      <c r="I183" s="51">
        <f>+SUMIF('GE16FEB14 Unfudged'!$A$2:$A$498, 'Tax Bill Summary'!$A183, 'GE16FEB14 Unfudged'!G$2:G$498)</f>
        <v>0</v>
      </c>
      <c r="J183" s="13">
        <f>+SUMIF('GE16FEB14 Unfudged'!$A$2:$A$498, 'Tax Bill Summary'!$A183, 'GE16FEB14 Unfudged'!H$2:H$498)</f>
        <v>0</v>
      </c>
      <c r="K183" s="56">
        <f t="shared" si="123"/>
        <v>0</v>
      </c>
      <c r="L183" s="51">
        <f>+SUMIF('GE16FEB14 Unfudged'!$A$2:$A$498, 'Tax Bill Summary'!$A183, 'GE16FEB14 Unfudged'!I$2:IF$498)</f>
        <v>634933</v>
      </c>
      <c r="M183" s="13">
        <f>+SUMIF('GE16FEB14 Unfudged'!$A$2:$A$498, 'Tax Bill Summary'!$A183, 'GE16FEB14 Unfudged'!J$2:IG$498)</f>
        <v>468738</v>
      </c>
      <c r="N183" s="56">
        <f t="shared" si="124"/>
        <v>166195</v>
      </c>
      <c r="O183" s="51">
        <f t="shared" si="125"/>
        <v>689623</v>
      </c>
      <c r="P183" s="13">
        <f t="shared" si="126"/>
        <v>507317</v>
      </c>
      <c r="Q183" s="56">
        <f t="shared" si="127"/>
        <v>182306</v>
      </c>
      <c r="R183" s="13">
        <f t="shared" si="128"/>
        <v>1298.7250470809793</v>
      </c>
      <c r="S183" s="13">
        <f t="shared" si="129"/>
        <v>955.3992467043314</v>
      </c>
      <c r="T183" s="16">
        <f t="shared" si="130"/>
        <v>343.32580037664786</v>
      </c>
      <c r="U183" s="15">
        <f>+SUMIF('GE16FEB14 Tax Bill Unfudged'!$A$2:$A$498, 'Tax Bill Summary'!$A183, 'GE16FEB14 Tax Bill Unfudged'!E$2:E$498)</f>
        <v>61332</v>
      </c>
      <c r="V183" s="13">
        <f>+SUMIF('GE16FEB14 Tax Bill Unfudged'!$A$2:$A$498, 'Tax Bill Summary'!$A183, 'GE16FEB14 Tax Bill Unfudged'!F$2:F$498)</f>
        <v>43264</v>
      </c>
      <c r="W183" s="56">
        <f t="shared" si="131"/>
        <v>18068</v>
      </c>
      <c r="X183" s="51">
        <f>+SUMIF('GE16FEB14 Tax Bill Unfudged'!$A$2:$A$498, 'Tax Bill Summary'!$A183, 'GE16FEB14 Tax Bill Unfudged'!G$2:G$498)</f>
        <v>225229</v>
      </c>
      <c r="Y183" s="13">
        <f>+SUMIF('GE16FEB14 Tax Bill Unfudged'!$A$2:$A$498, 'Tax Bill Summary'!$A183, 'GE16FEB14 Tax Bill Unfudged'!H$2:H$498)</f>
        <v>158878</v>
      </c>
      <c r="Z183" s="56">
        <f t="shared" si="132"/>
        <v>66351</v>
      </c>
      <c r="AA183" s="51">
        <f>+SUMIF('GE16FEB14 Tax Bill Unfudged'!$A$2:$A$498, 'Tax Bill Summary'!$A183, 'GE16FEB14 Tax Bill Unfudged'!I$2:I$498)</f>
        <v>409704</v>
      </c>
      <c r="AB183" s="13">
        <f>+SUMIF('GE16FEB14 Tax Bill Unfudged'!$A$2:$A$498, 'Tax Bill Summary'!$A183, 'GE16FEB14 Tax Bill Unfudged'!J$2:J$498)</f>
        <v>243509</v>
      </c>
      <c r="AC183" s="56">
        <f t="shared" si="133"/>
        <v>166195</v>
      </c>
      <c r="AD183" s="51">
        <f t="shared" si="134"/>
        <v>696265</v>
      </c>
      <c r="AE183" s="13">
        <f t="shared" si="135"/>
        <v>445651</v>
      </c>
      <c r="AF183" s="56">
        <f t="shared" si="136"/>
        <v>250614</v>
      </c>
      <c r="AG183" s="13">
        <f t="shared" si="137"/>
        <v>1311.2335216572505</v>
      </c>
      <c r="AH183" s="13">
        <f t="shared" si="138"/>
        <v>839.26741996233523</v>
      </c>
      <c r="AI183" s="16">
        <f t="shared" si="139"/>
        <v>471.96610169491527</v>
      </c>
      <c r="AJ183" s="15">
        <f t="shared" si="140"/>
        <v>6642</v>
      </c>
      <c r="AK183" s="13">
        <f t="shared" si="141"/>
        <v>4685</v>
      </c>
      <c r="AL183" s="56">
        <f t="shared" si="142"/>
        <v>1957</v>
      </c>
      <c r="AM183" s="51">
        <f t="shared" si="143"/>
        <v>225229</v>
      </c>
      <c r="AN183" s="13">
        <f t="shared" si="144"/>
        <v>158878</v>
      </c>
      <c r="AO183" s="56">
        <f t="shared" si="145"/>
        <v>66351</v>
      </c>
      <c r="AP183" s="51">
        <f t="shared" si="146"/>
        <v>-225229</v>
      </c>
      <c r="AQ183" s="13">
        <f t="shared" si="147"/>
        <v>-225229</v>
      </c>
      <c r="AR183" s="56">
        <f t="shared" si="148"/>
        <v>0</v>
      </c>
      <c r="AS183" s="51">
        <f t="shared" si="149"/>
        <v>6642</v>
      </c>
      <c r="AT183" s="13">
        <f t="shared" si="150"/>
        <v>-61666</v>
      </c>
      <c r="AU183" s="56">
        <f t="shared" si="151"/>
        <v>68308</v>
      </c>
      <c r="AV183" s="13">
        <f t="shared" si="152"/>
        <v>12.508474576271283</v>
      </c>
      <c r="AW183" s="13">
        <f t="shared" si="153"/>
        <v>-116.13182674199618</v>
      </c>
      <c r="AX183" s="16">
        <f t="shared" si="154"/>
        <v>128.6403013182674</v>
      </c>
    </row>
    <row r="184" spans="1:50" x14ac:dyDescent="0.25">
      <c r="A184" s="20">
        <v>548</v>
      </c>
      <c r="B184">
        <v>1</v>
      </c>
      <c r="C184" s="23" t="s">
        <v>300</v>
      </c>
      <c r="D184" s="23">
        <v>6</v>
      </c>
      <c r="E184" s="15">
        <f>+SUMIF('GE16FEB14 Unfudged'!$A$2:$A$498, $A184, 'GE16FEB14 Unfudged'!$D$2:$D$498)</f>
        <v>976</v>
      </c>
      <c r="F184" s="15">
        <f>+SUMIF('GE16FEB14 Unfudged'!$A$2:$A$498, 'Tax Bill Summary'!$A184, 'GE16FEB14 Unfudged'!E$2:E$498)</f>
        <v>121359</v>
      </c>
      <c r="G184" s="13">
        <f>+SUMIF('GE16FEB14 Unfudged'!$A$2:$A$498, 'Tax Bill Summary'!$A184, 'GE16FEB14 Unfudged'!F$2:F$498)</f>
        <v>119039</v>
      </c>
      <c r="H184" s="56">
        <f t="shared" si="122"/>
        <v>2320</v>
      </c>
      <c r="I184" s="51">
        <f>+SUMIF('GE16FEB14 Unfudged'!$A$2:$A$498, 'Tax Bill Summary'!$A184, 'GE16FEB14 Unfudged'!G$2:G$498)</f>
        <v>0</v>
      </c>
      <c r="J184" s="13">
        <f>+SUMIF('GE16FEB14 Unfudged'!$A$2:$A$498, 'Tax Bill Summary'!$A184, 'GE16FEB14 Unfudged'!H$2:H$498)</f>
        <v>0</v>
      </c>
      <c r="K184" s="56">
        <f t="shared" si="123"/>
        <v>0</v>
      </c>
      <c r="L184" s="51">
        <f>+SUMIF('GE16FEB14 Unfudged'!$A$2:$A$498, 'Tax Bill Summary'!$A184, 'GE16FEB14 Unfudged'!I$2:IF$498)</f>
        <v>710578</v>
      </c>
      <c r="M184" s="13">
        <f>+SUMIF('GE16FEB14 Unfudged'!$A$2:$A$498, 'Tax Bill Summary'!$A184, 'GE16FEB14 Unfudged'!J$2:IG$498)</f>
        <v>576264</v>
      </c>
      <c r="N184" s="56">
        <f t="shared" si="124"/>
        <v>134314</v>
      </c>
      <c r="O184" s="51">
        <f t="shared" si="125"/>
        <v>831937</v>
      </c>
      <c r="P184" s="13">
        <f t="shared" si="126"/>
        <v>695303</v>
      </c>
      <c r="Q184" s="56">
        <f t="shared" si="127"/>
        <v>136634</v>
      </c>
      <c r="R184" s="13">
        <f t="shared" si="128"/>
        <v>852.39446721311481</v>
      </c>
      <c r="S184" s="13">
        <f t="shared" si="129"/>
        <v>712.40061475409834</v>
      </c>
      <c r="T184" s="16">
        <f t="shared" si="130"/>
        <v>139.99385245901638</v>
      </c>
      <c r="U184" s="15">
        <f>+SUMIF('GE16FEB14 Tax Bill Unfudged'!$A$2:$A$498, 'Tax Bill Summary'!$A184, 'GE16FEB14 Tax Bill Unfudged'!E$2:E$498)</f>
        <v>140267</v>
      </c>
      <c r="V184" s="13">
        <f>+SUMIF('GE16FEB14 Tax Bill Unfudged'!$A$2:$A$498, 'Tax Bill Summary'!$A184, 'GE16FEB14 Tax Bill Unfudged'!F$2:F$498)</f>
        <v>137586</v>
      </c>
      <c r="W184" s="56">
        <f t="shared" si="131"/>
        <v>2681</v>
      </c>
      <c r="X184" s="51">
        <f>+SUMIF('GE16FEB14 Tax Bill Unfudged'!$A$2:$A$498, 'Tax Bill Summary'!$A184, 'GE16FEB14 Tax Bill Unfudged'!G$2:G$498)</f>
        <v>413739</v>
      </c>
      <c r="Y184" s="13">
        <f>+SUMIF('GE16FEB14 Tax Bill Unfudged'!$A$2:$A$498, 'Tax Bill Summary'!$A184, 'GE16FEB14 Tax Bill Unfudged'!H$2:H$498)</f>
        <v>405831</v>
      </c>
      <c r="Z184" s="56">
        <f t="shared" si="132"/>
        <v>7908</v>
      </c>
      <c r="AA184" s="51">
        <f>+SUMIF('GE16FEB14 Tax Bill Unfudged'!$A$2:$A$498, 'Tax Bill Summary'!$A184, 'GE16FEB14 Tax Bill Unfudged'!I$2:I$498)</f>
        <v>296838</v>
      </c>
      <c r="AB184" s="13">
        <f>+SUMIF('GE16FEB14 Tax Bill Unfudged'!$A$2:$A$498, 'Tax Bill Summary'!$A184, 'GE16FEB14 Tax Bill Unfudged'!J$2:J$498)</f>
        <v>170433</v>
      </c>
      <c r="AC184" s="56">
        <f t="shared" si="133"/>
        <v>126405</v>
      </c>
      <c r="AD184" s="51">
        <f t="shared" si="134"/>
        <v>850844</v>
      </c>
      <c r="AE184" s="13">
        <f t="shared" si="135"/>
        <v>713850</v>
      </c>
      <c r="AF184" s="56">
        <f t="shared" si="136"/>
        <v>136994</v>
      </c>
      <c r="AG184" s="13">
        <f t="shared" si="137"/>
        <v>871.76639344262298</v>
      </c>
      <c r="AH184" s="13">
        <f t="shared" si="138"/>
        <v>731.40368852459017</v>
      </c>
      <c r="AI184" s="16">
        <f t="shared" si="139"/>
        <v>140.36270491803279</v>
      </c>
      <c r="AJ184" s="15">
        <f t="shared" si="140"/>
        <v>18908</v>
      </c>
      <c r="AK184" s="13">
        <f t="shared" si="141"/>
        <v>18547</v>
      </c>
      <c r="AL184" s="56">
        <f t="shared" si="142"/>
        <v>361</v>
      </c>
      <c r="AM184" s="51">
        <f t="shared" si="143"/>
        <v>413739</v>
      </c>
      <c r="AN184" s="13">
        <f t="shared" si="144"/>
        <v>405831</v>
      </c>
      <c r="AO184" s="56">
        <f t="shared" si="145"/>
        <v>7908</v>
      </c>
      <c r="AP184" s="51">
        <f t="shared" si="146"/>
        <v>-413740</v>
      </c>
      <c r="AQ184" s="13">
        <f t="shared" si="147"/>
        <v>-405831</v>
      </c>
      <c r="AR184" s="56">
        <f t="shared" si="148"/>
        <v>-7909</v>
      </c>
      <c r="AS184" s="51">
        <f t="shared" si="149"/>
        <v>18907</v>
      </c>
      <c r="AT184" s="13">
        <f t="shared" si="150"/>
        <v>18547</v>
      </c>
      <c r="AU184" s="56">
        <f t="shared" si="151"/>
        <v>360</v>
      </c>
      <c r="AV184" s="13">
        <f t="shared" si="152"/>
        <v>19.371926229508176</v>
      </c>
      <c r="AW184" s="13">
        <f t="shared" si="153"/>
        <v>19.003073770491824</v>
      </c>
      <c r="AX184" s="16">
        <f t="shared" si="154"/>
        <v>0.36885245901640928</v>
      </c>
    </row>
    <row r="185" spans="1:50" x14ac:dyDescent="0.25">
      <c r="A185" s="20">
        <v>549</v>
      </c>
      <c r="B185">
        <v>1</v>
      </c>
      <c r="C185" s="23" t="s">
        <v>301</v>
      </c>
      <c r="D185" s="23">
        <v>5</v>
      </c>
      <c r="E185" s="15">
        <f>+SUMIF('GE16FEB14 Unfudged'!$A$2:$A$498, $A185, 'GE16FEB14 Unfudged'!$D$2:$D$498)</f>
        <v>1369</v>
      </c>
      <c r="F185" s="15">
        <f>+SUMIF('GE16FEB14 Unfudged'!$A$2:$A$498, 'Tax Bill Summary'!$A185, 'GE16FEB14 Unfudged'!E$2:E$498)</f>
        <v>197115</v>
      </c>
      <c r="G185" s="13">
        <f>+SUMIF('GE16FEB14 Unfudged'!$A$2:$A$498, 'Tax Bill Summary'!$A185, 'GE16FEB14 Unfudged'!F$2:F$498)</f>
        <v>197115</v>
      </c>
      <c r="H185" s="56">
        <f t="shared" si="122"/>
        <v>0</v>
      </c>
      <c r="I185" s="51">
        <f>+SUMIF('GE16FEB14 Unfudged'!$A$2:$A$498, 'Tax Bill Summary'!$A185, 'GE16FEB14 Unfudged'!G$2:G$498)</f>
        <v>0</v>
      </c>
      <c r="J185" s="13">
        <f>+SUMIF('GE16FEB14 Unfudged'!$A$2:$A$498, 'Tax Bill Summary'!$A185, 'GE16FEB14 Unfudged'!H$2:H$498)</f>
        <v>0</v>
      </c>
      <c r="K185" s="56">
        <f t="shared" si="123"/>
        <v>0</v>
      </c>
      <c r="L185" s="51">
        <f>+SUMIF('GE16FEB14 Unfudged'!$A$2:$A$498, 'Tax Bill Summary'!$A185, 'GE16FEB14 Unfudged'!I$2:IF$498)</f>
        <v>410655</v>
      </c>
      <c r="M185" s="13">
        <f>+SUMIF('GE16FEB14 Unfudged'!$A$2:$A$498, 'Tax Bill Summary'!$A185, 'GE16FEB14 Unfudged'!J$2:IG$498)</f>
        <v>374178</v>
      </c>
      <c r="N185" s="56">
        <f t="shared" si="124"/>
        <v>36477</v>
      </c>
      <c r="O185" s="51">
        <f t="shared" si="125"/>
        <v>607770</v>
      </c>
      <c r="P185" s="13">
        <f t="shared" si="126"/>
        <v>571293</v>
      </c>
      <c r="Q185" s="56">
        <f t="shared" si="127"/>
        <v>36477</v>
      </c>
      <c r="R185" s="13">
        <f t="shared" si="128"/>
        <v>443.9517896274653</v>
      </c>
      <c r="S185" s="13">
        <f t="shared" si="129"/>
        <v>417.30679327976623</v>
      </c>
      <c r="T185" s="16">
        <f t="shared" si="130"/>
        <v>26.644996347699049</v>
      </c>
      <c r="U185" s="15">
        <f>+SUMIF('GE16FEB14 Tax Bill Unfudged'!$A$2:$A$498, 'Tax Bill Summary'!$A185, 'GE16FEB14 Tax Bill Unfudged'!E$2:E$498)</f>
        <v>197115</v>
      </c>
      <c r="V185" s="13">
        <f>+SUMIF('GE16FEB14 Tax Bill Unfudged'!$A$2:$A$498, 'Tax Bill Summary'!$A185, 'GE16FEB14 Tax Bill Unfudged'!F$2:F$498)</f>
        <v>197115</v>
      </c>
      <c r="W185" s="56">
        <f t="shared" si="131"/>
        <v>0</v>
      </c>
      <c r="X185" s="51">
        <f>+SUMIF('GE16FEB14 Tax Bill Unfudged'!$A$2:$A$498, 'Tax Bill Summary'!$A185, 'GE16FEB14 Tax Bill Unfudged'!G$2:G$498)</f>
        <v>580392</v>
      </c>
      <c r="Y185" s="13">
        <f>+SUMIF('GE16FEB14 Tax Bill Unfudged'!$A$2:$A$498, 'Tax Bill Summary'!$A185, 'GE16FEB14 Tax Bill Unfudged'!H$2:H$498)</f>
        <v>580392</v>
      </c>
      <c r="Z185" s="56">
        <f t="shared" si="132"/>
        <v>0</v>
      </c>
      <c r="AA185" s="51">
        <f>+SUMIF('GE16FEB14 Tax Bill Unfudged'!$A$2:$A$498, 'Tax Bill Summary'!$A185, 'GE16FEB14 Tax Bill Unfudged'!I$2:I$498)</f>
        <v>410655</v>
      </c>
      <c r="AB185" s="13">
        <f>+SUMIF('GE16FEB14 Tax Bill Unfudged'!$A$2:$A$498, 'Tax Bill Summary'!$A185, 'GE16FEB14 Tax Bill Unfudged'!J$2:J$498)</f>
        <v>374178</v>
      </c>
      <c r="AC185" s="56">
        <f t="shared" si="133"/>
        <v>36477</v>
      </c>
      <c r="AD185" s="51">
        <f t="shared" si="134"/>
        <v>1188162</v>
      </c>
      <c r="AE185" s="13">
        <f t="shared" si="135"/>
        <v>1151685</v>
      </c>
      <c r="AF185" s="56">
        <f t="shared" si="136"/>
        <v>36477</v>
      </c>
      <c r="AG185" s="13">
        <f t="shared" si="137"/>
        <v>867.90504017531043</v>
      </c>
      <c r="AH185" s="13">
        <f t="shared" si="138"/>
        <v>841.26004382761141</v>
      </c>
      <c r="AI185" s="16">
        <f t="shared" si="139"/>
        <v>26.644996347699049</v>
      </c>
      <c r="AJ185" s="15">
        <f t="shared" si="140"/>
        <v>0</v>
      </c>
      <c r="AK185" s="13">
        <f t="shared" si="141"/>
        <v>0</v>
      </c>
      <c r="AL185" s="56">
        <f t="shared" si="142"/>
        <v>0</v>
      </c>
      <c r="AM185" s="51">
        <f t="shared" si="143"/>
        <v>580392</v>
      </c>
      <c r="AN185" s="13">
        <f t="shared" si="144"/>
        <v>580392</v>
      </c>
      <c r="AO185" s="56">
        <f t="shared" si="145"/>
        <v>0</v>
      </c>
      <c r="AP185" s="51">
        <f t="shared" si="146"/>
        <v>0</v>
      </c>
      <c r="AQ185" s="13">
        <f t="shared" si="147"/>
        <v>0</v>
      </c>
      <c r="AR185" s="56">
        <f t="shared" si="148"/>
        <v>0</v>
      </c>
      <c r="AS185" s="51">
        <f t="shared" si="149"/>
        <v>580392</v>
      </c>
      <c r="AT185" s="13">
        <f t="shared" si="150"/>
        <v>580392</v>
      </c>
      <c r="AU185" s="56">
        <f t="shared" si="151"/>
        <v>0</v>
      </c>
      <c r="AV185" s="13">
        <f t="shared" si="152"/>
        <v>423.95325054784513</v>
      </c>
      <c r="AW185" s="13">
        <f t="shared" si="153"/>
        <v>423.95325054784519</v>
      </c>
      <c r="AX185" s="16">
        <f t="shared" si="154"/>
        <v>0</v>
      </c>
    </row>
    <row r="186" spans="1:50" x14ac:dyDescent="0.25">
      <c r="A186" s="20">
        <v>550</v>
      </c>
      <c r="B186">
        <v>1</v>
      </c>
      <c r="C186" s="23" t="s">
        <v>302</v>
      </c>
      <c r="D186" s="23">
        <v>6</v>
      </c>
      <c r="E186" s="15">
        <f>+SUMIF('GE16FEB14 Unfudged'!$A$2:$A$498, $A186, 'GE16FEB14 Unfudged'!$D$2:$D$498)</f>
        <v>600</v>
      </c>
      <c r="F186" s="15">
        <f>+SUMIF('GE16FEB14 Unfudged'!$A$2:$A$498, 'Tax Bill Summary'!$A186, 'GE16FEB14 Unfudged'!E$2:E$498)</f>
        <v>84391</v>
      </c>
      <c r="G186" s="13">
        <f>+SUMIF('GE16FEB14 Unfudged'!$A$2:$A$498, 'Tax Bill Summary'!$A186, 'GE16FEB14 Unfudged'!F$2:F$498)</f>
        <v>84391</v>
      </c>
      <c r="H186" s="56">
        <f t="shared" si="122"/>
        <v>0</v>
      </c>
      <c r="I186" s="51">
        <f>+SUMIF('GE16FEB14 Unfudged'!$A$2:$A$498, 'Tax Bill Summary'!$A186, 'GE16FEB14 Unfudged'!G$2:G$498)</f>
        <v>0</v>
      </c>
      <c r="J186" s="13">
        <f>+SUMIF('GE16FEB14 Unfudged'!$A$2:$A$498, 'Tax Bill Summary'!$A186, 'GE16FEB14 Unfudged'!H$2:H$498)</f>
        <v>0</v>
      </c>
      <c r="K186" s="56">
        <f t="shared" si="123"/>
        <v>0</v>
      </c>
      <c r="L186" s="51">
        <f>+SUMIF('GE16FEB14 Unfudged'!$A$2:$A$498, 'Tax Bill Summary'!$A186, 'GE16FEB14 Unfudged'!I$2:IF$498)</f>
        <v>225192</v>
      </c>
      <c r="M186" s="13">
        <f>+SUMIF('GE16FEB14 Unfudged'!$A$2:$A$498, 'Tax Bill Summary'!$A186, 'GE16FEB14 Unfudged'!J$2:IG$498)</f>
        <v>307</v>
      </c>
      <c r="N186" s="56">
        <f t="shared" si="124"/>
        <v>224885</v>
      </c>
      <c r="O186" s="51">
        <f t="shared" si="125"/>
        <v>309583</v>
      </c>
      <c r="P186" s="13">
        <f t="shared" si="126"/>
        <v>84698</v>
      </c>
      <c r="Q186" s="56">
        <f t="shared" si="127"/>
        <v>224885</v>
      </c>
      <c r="R186" s="13">
        <f t="shared" si="128"/>
        <v>515.97166666666669</v>
      </c>
      <c r="S186" s="13">
        <f t="shared" si="129"/>
        <v>141.16333333333333</v>
      </c>
      <c r="T186" s="16">
        <f t="shared" si="130"/>
        <v>374.80833333333334</v>
      </c>
      <c r="U186" s="15">
        <f>+SUMIF('GE16FEB14 Tax Bill Unfudged'!$A$2:$A$498, 'Tax Bill Summary'!$A186, 'GE16FEB14 Tax Bill Unfudged'!E$2:E$498)</f>
        <v>86458</v>
      </c>
      <c r="V186" s="13">
        <f>+SUMIF('GE16FEB14 Tax Bill Unfudged'!$A$2:$A$498, 'Tax Bill Summary'!$A186, 'GE16FEB14 Tax Bill Unfudged'!F$2:F$498)</f>
        <v>86458</v>
      </c>
      <c r="W186" s="56">
        <f t="shared" si="131"/>
        <v>0</v>
      </c>
      <c r="X186" s="51">
        <f>+SUMIF('GE16FEB14 Tax Bill Unfudged'!$A$2:$A$498, 'Tax Bill Summary'!$A186, 'GE16FEB14 Tax Bill Unfudged'!G$2:G$498)</f>
        <v>254570</v>
      </c>
      <c r="Y186" s="13">
        <f>+SUMIF('GE16FEB14 Tax Bill Unfudged'!$A$2:$A$498, 'Tax Bill Summary'!$A186, 'GE16FEB14 Tax Bill Unfudged'!H$2:H$498)</f>
        <v>254570</v>
      </c>
      <c r="Z186" s="56">
        <f t="shared" si="132"/>
        <v>0</v>
      </c>
      <c r="AA186" s="51">
        <f>+SUMIF('GE16FEB14 Tax Bill Unfudged'!$A$2:$A$498, 'Tax Bill Summary'!$A186, 'GE16FEB14 Tax Bill Unfudged'!I$2:I$498)</f>
        <v>180120</v>
      </c>
      <c r="AB186" s="13">
        <f>+SUMIF('GE16FEB14 Tax Bill Unfudged'!$A$2:$A$498, 'Tax Bill Summary'!$A186, 'GE16FEB14 Tax Bill Unfudged'!J$2:J$498)</f>
        <v>246</v>
      </c>
      <c r="AC186" s="56">
        <f t="shared" si="133"/>
        <v>179874</v>
      </c>
      <c r="AD186" s="51">
        <f t="shared" si="134"/>
        <v>521148</v>
      </c>
      <c r="AE186" s="13">
        <f t="shared" si="135"/>
        <v>341274</v>
      </c>
      <c r="AF186" s="56">
        <f t="shared" si="136"/>
        <v>179874</v>
      </c>
      <c r="AG186" s="13">
        <f t="shared" si="137"/>
        <v>868.58</v>
      </c>
      <c r="AH186" s="13">
        <f t="shared" si="138"/>
        <v>568.79</v>
      </c>
      <c r="AI186" s="16">
        <f t="shared" si="139"/>
        <v>299.79000000000002</v>
      </c>
      <c r="AJ186" s="15">
        <f t="shared" si="140"/>
        <v>2067</v>
      </c>
      <c r="AK186" s="13">
        <f t="shared" si="141"/>
        <v>2067</v>
      </c>
      <c r="AL186" s="56">
        <f t="shared" si="142"/>
        <v>0</v>
      </c>
      <c r="AM186" s="51">
        <f t="shared" si="143"/>
        <v>254570</v>
      </c>
      <c r="AN186" s="13">
        <f t="shared" si="144"/>
        <v>254570</v>
      </c>
      <c r="AO186" s="56">
        <f t="shared" si="145"/>
        <v>0</v>
      </c>
      <c r="AP186" s="51">
        <f t="shared" si="146"/>
        <v>-45072</v>
      </c>
      <c r="AQ186" s="13">
        <f t="shared" si="147"/>
        <v>-61</v>
      </c>
      <c r="AR186" s="56">
        <f t="shared" si="148"/>
        <v>-45011</v>
      </c>
      <c r="AS186" s="51">
        <f t="shared" si="149"/>
        <v>211565</v>
      </c>
      <c r="AT186" s="13">
        <f t="shared" si="150"/>
        <v>256576</v>
      </c>
      <c r="AU186" s="56">
        <f t="shared" si="151"/>
        <v>-45011</v>
      </c>
      <c r="AV186" s="13">
        <f t="shared" si="152"/>
        <v>352.60833333333335</v>
      </c>
      <c r="AW186" s="13">
        <f t="shared" si="153"/>
        <v>427.62666666666667</v>
      </c>
      <c r="AX186" s="16">
        <f t="shared" si="154"/>
        <v>-75.018333333333317</v>
      </c>
    </row>
    <row r="187" spans="1:50" x14ac:dyDescent="0.25">
      <c r="A187" s="20">
        <v>553</v>
      </c>
      <c r="B187">
        <v>1</v>
      </c>
      <c r="C187" s="23" t="s">
        <v>303</v>
      </c>
      <c r="D187" s="23">
        <v>6</v>
      </c>
      <c r="E187" s="15">
        <f>+SUMIF('GE16FEB14 Unfudged'!$A$2:$A$498, $A187, 'GE16FEB14 Unfudged'!$D$2:$D$498)</f>
        <v>791</v>
      </c>
      <c r="F187" s="15">
        <f>+SUMIF('GE16FEB14 Unfudged'!$A$2:$A$498, 'Tax Bill Summary'!$A187, 'GE16FEB14 Unfudged'!E$2:E$498)</f>
        <v>107993</v>
      </c>
      <c r="G187" s="13">
        <f>+SUMIF('GE16FEB14 Unfudged'!$A$2:$A$498, 'Tax Bill Summary'!$A187, 'GE16FEB14 Unfudged'!F$2:F$498)</f>
        <v>62117</v>
      </c>
      <c r="H187" s="56">
        <f t="shared" si="122"/>
        <v>45876</v>
      </c>
      <c r="I187" s="51">
        <f>+SUMIF('GE16FEB14 Unfudged'!$A$2:$A$498, 'Tax Bill Summary'!$A187, 'GE16FEB14 Unfudged'!G$2:G$498)</f>
        <v>0</v>
      </c>
      <c r="J187" s="13">
        <f>+SUMIF('GE16FEB14 Unfudged'!$A$2:$A$498, 'Tax Bill Summary'!$A187, 'GE16FEB14 Unfudged'!H$2:H$498)</f>
        <v>0</v>
      </c>
      <c r="K187" s="56">
        <f t="shared" si="123"/>
        <v>0</v>
      </c>
      <c r="L187" s="51">
        <f>+SUMIF('GE16FEB14 Unfudged'!$A$2:$A$498, 'Tax Bill Summary'!$A187, 'GE16FEB14 Unfudged'!I$2:IF$498)</f>
        <v>365539</v>
      </c>
      <c r="M187" s="13">
        <f>+SUMIF('GE16FEB14 Unfudged'!$A$2:$A$498, 'Tax Bill Summary'!$A187, 'GE16FEB14 Unfudged'!J$2:IG$498)</f>
        <v>152881</v>
      </c>
      <c r="N187" s="56">
        <f t="shared" si="124"/>
        <v>212658</v>
      </c>
      <c r="O187" s="51">
        <f t="shared" si="125"/>
        <v>473532</v>
      </c>
      <c r="P187" s="13">
        <f t="shared" si="126"/>
        <v>214998</v>
      </c>
      <c r="Q187" s="56">
        <f t="shared" si="127"/>
        <v>258534</v>
      </c>
      <c r="R187" s="13">
        <f t="shared" si="128"/>
        <v>598.64981036662448</v>
      </c>
      <c r="S187" s="13">
        <f t="shared" si="129"/>
        <v>271.80530973451329</v>
      </c>
      <c r="T187" s="16">
        <f t="shared" si="130"/>
        <v>326.84450063211125</v>
      </c>
      <c r="U187" s="15">
        <f>+SUMIF('GE16FEB14 Tax Bill Unfudged'!$A$2:$A$498, 'Tax Bill Summary'!$A187, 'GE16FEB14 Tax Bill Unfudged'!E$2:E$498)</f>
        <v>113875</v>
      </c>
      <c r="V187" s="13">
        <f>+SUMIF('GE16FEB14 Tax Bill Unfudged'!$A$2:$A$498, 'Tax Bill Summary'!$A187, 'GE16FEB14 Tax Bill Unfudged'!F$2:F$498)</f>
        <v>65500</v>
      </c>
      <c r="W187" s="56">
        <f t="shared" si="131"/>
        <v>48375</v>
      </c>
      <c r="X187" s="51">
        <f>+SUMIF('GE16FEB14 Tax Bill Unfudged'!$A$2:$A$498, 'Tax Bill Summary'!$A187, 'GE16FEB14 Tax Bill Unfudged'!G$2:G$498)</f>
        <v>335299</v>
      </c>
      <c r="Y187" s="13">
        <f>+SUMIF('GE16FEB14 Tax Bill Unfudged'!$A$2:$A$498, 'Tax Bill Summary'!$A187, 'GE16FEB14 Tax Bill Unfudged'!H$2:H$498)</f>
        <v>192863</v>
      </c>
      <c r="Z187" s="56">
        <f t="shared" si="132"/>
        <v>142436</v>
      </c>
      <c r="AA187" s="51">
        <f>+SUMIF('GE16FEB14 Tax Bill Unfudged'!$A$2:$A$498, 'Tax Bill Summary'!$A187, 'GE16FEB14 Tax Bill Unfudged'!I$2:I$498)</f>
        <v>237240</v>
      </c>
      <c r="AB187" s="13">
        <f>+SUMIF('GE16FEB14 Tax Bill Unfudged'!$A$2:$A$498, 'Tax Bill Summary'!$A187, 'GE16FEB14 Tax Bill Unfudged'!J$2:J$498)</f>
        <v>79084</v>
      </c>
      <c r="AC187" s="56">
        <f t="shared" si="133"/>
        <v>158156</v>
      </c>
      <c r="AD187" s="51">
        <f t="shared" si="134"/>
        <v>686414</v>
      </c>
      <c r="AE187" s="13">
        <f t="shared" si="135"/>
        <v>337447</v>
      </c>
      <c r="AF187" s="56">
        <f t="shared" si="136"/>
        <v>348967</v>
      </c>
      <c r="AG187" s="13">
        <f t="shared" si="137"/>
        <v>867.78002528445006</v>
      </c>
      <c r="AH187" s="13">
        <f t="shared" si="138"/>
        <v>426.60809102402021</v>
      </c>
      <c r="AI187" s="16">
        <f t="shared" si="139"/>
        <v>441.17193426042985</v>
      </c>
      <c r="AJ187" s="15">
        <f t="shared" si="140"/>
        <v>5882</v>
      </c>
      <c r="AK187" s="13">
        <f t="shared" si="141"/>
        <v>3383</v>
      </c>
      <c r="AL187" s="56">
        <f t="shared" si="142"/>
        <v>2499</v>
      </c>
      <c r="AM187" s="51">
        <f t="shared" si="143"/>
        <v>335299</v>
      </c>
      <c r="AN187" s="13">
        <f t="shared" si="144"/>
        <v>192863</v>
      </c>
      <c r="AO187" s="56">
        <f t="shared" si="145"/>
        <v>142436</v>
      </c>
      <c r="AP187" s="51">
        <f t="shared" si="146"/>
        <v>-128299</v>
      </c>
      <c r="AQ187" s="13">
        <f t="shared" si="147"/>
        <v>-73797</v>
      </c>
      <c r="AR187" s="56">
        <f t="shared" si="148"/>
        <v>-54502</v>
      </c>
      <c r="AS187" s="51">
        <f t="shared" si="149"/>
        <v>212882</v>
      </c>
      <c r="AT187" s="13">
        <f t="shared" si="150"/>
        <v>122449</v>
      </c>
      <c r="AU187" s="56">
        <f t="shared" si="151"/>
        <v>90433</v>
      </c>
      <c r="AV187" s="13">
        <f t="shared" si="152"/>
        <v>269.13021491782558</v>
      </c>
      <c r="AW187" s="13">
        <f t="shared" si="153"/>
        <v>154.80278128950692</v>
      </c>
      <c r="AX187" s="16">
        <f t="shared" si="154"/>
        <v>114.3274336283186</v>
      </c>
    </row>
    <row r="188" spans="1:50" x14ac:dyDescent="0.25">
      <c r="A188" s="20">
        <v>561</v>
      </c>
      <c r="B188">
        <v>1</v>
      </c>
      <c r="C188" s="23" t="s">
        <v>304</v>
      </c>
      <c r="D188" s="23">
        <v>6</v>
      </c>
      <c r="E188" s="15">
        <f>+SUMIF('GE16FEB14 Unfudged'!$A$2:$A$498, $A188, 'GE16FEB14 Unfudged'!$D$2:$D$498)</f>
        <v>224</v>
      </c>
      <c r="F188" s="15">
        <f>+SUMIF('GE16FEB14 Unfudged'!$A$2:$A$498, 'Tax Bill Summary'!$A188, 'GE16FEB14 Unfudged'!E$2:E$498)</f>
        <v>11180</v>
      </c>
      <c r="G188" s="13">
        <f>+SUMIF('GE16FEB14 Unfudged'!$A$2:$A$498, 'Tax Bill Summary'!$A188, 'GE16FEB14 Unfudged'!F$2:F$498)</f>
        <v>3113</v>
      </c>
      <c r="H188" s="56">
        <f t="shared" si="122"/>
        <v>8067</v>
      </c>
      <c r="I188" s="51">
        <f>+SUMIF('GE16FEB14 Unfudged'!$A$2:$A$498, 'Tax Bill Summary'!$A188, 'GE16FEB14 Unfudged'!G$2:G$498)</f>
        <v>0</v>
      </c>
      <c r="J188" s="13">
        <f>+SUMIF('GE16FEB14 Unfudged'!$A$2:$A$498, 'Tax Bill Summary'!$A188, 'GE16FEB14 Unfudged'!H$2:H$498)</f>
        <v>0</v>
      </c>
      <c r="K188" s="56">
        <f t="shared" si="123"/>
        <v>0</v>
      </c>
      <c r="L188" s="51">
        <f>+SUMIF('GE16FEB14 Unfudged'!$A$2:$A$498, 'Tax Bill Summary'!$A188, 'GE16FEB14 Unfudged'!I$2:IF$498)</f>
        <v>639263</v>
      </c>
      <c r="M188" s="13">
        <f>+SUMIF('GE16FEB14 Unfudged'!$A$2:$A$498, 'Tax Bill Summary'!$A188, 'GE16FEB14 Unfudged'!J$2:IG$498)</f>
        <v>269321</v>
      </c>
      <c r="N188" s="56">
        <f t="shared" si="124"/>
        <v>369942</v>
      </c>
      <c r="O188" s="51">
        <f t="shared" si="125"/>
        <v>650443</v>
      </c>
      <c r="P188" s="13">
        <f t="shared" si="126"/>
        <v>272434</v>
      </c>
      <c r="Q188" s="56">
        <f t="shared" si="127"/>
        <v>378009</v>
      </c>
      <c r="R188" s="13">
        <f t="shared" si="128"/>
        <v>2903.7633928571427</v>
      </c>
      <c r="S188" s="13">
        <f t="shared" si="129"/>
        <v>1216.2232142857142</v>
      </c>
      <c r="T188" s="16">
        <f t="shared" si="130"/>
        <v>1687.5401785714287</v>
      </c>
      <c r="U188" s="15">
        <f>+SUMIF('GE16FEB14 Tax Bill Unfudged'!$A$2:$A$498, 'Tax Bill Summary'!$A188, 'GE16FEB14 Tax Bill Unfudged'!E$2:E$498)</f>
        <v>11180</v>
      </c>
      <c r="V188" s="13">
        <f>+SUMIF('GE16FEB14 Tax Bill Unfudged'!$A$2:$A$498, 'Tax Bill Summary'!$A188, 'GE16FEB14 Tax Bill Unfudged'!F$2:F$498)</f>
        <v>3113</v>
      </c>
      <c r="W188" s="56">
        <f t="shared" si="131"/>
        <v>8067</v>
      </c>
      <c r="X188" s="51">
        <f>+SUMIF('GE16FEB14 Tax Bill Unfudged'!$A$2:$A$498, 'Tax Bill Summary'!$A188, 'GE16FEB14 Tax Bill Unfudged'!G$2:G$498)</f>
        <v>94806</v>
      </c>
      <c r="Y188" s="13">
        <f>+SUMIF('GE16FEB14 Tax Bill Unfudged'!$A$2:$A$498, 'Tax Bill Summary'!$A188, 'GE16FEB14 Tax Bill Unfudged'!H$2:H$498)</f>
        <v>26402</v>
      </c>
      <c r="Z188" s="56">
        <f t="shared" si="132"/>
        <v>68404</v>
      </c>
      <c r="AA188" s="51">
        <f>+SUMIF('GE16FEB14 Tax Bill Unfudged'!$A$2:$A$498, 'Tax Bill Summary'!$A188, 'GE16FEB14 Tax Bill Unfudged'!I$2:I$498)</f>
        <v>544457</v>
      </c>
      <c r="AB188" s="13">
        <f>+SUMIF('GE16FEB14 Tax Bill Unfudged'!$A$2:$A$498, 'Tax Bill Summary'!$A188, 'GE16FEB14 Tax Bill Unfudged'!J$2:J$498)</f>
        <v>222890</v>
      </c>
      <c r="AC188" s="56">
        <f t="shared" si="133"/>
        <v>321567</v>
      </c>
      <c r="AD188" s="51">
        <f t="shared" si="134"/>
        <v>650443</v>
      </c>
      <c r="AE188" s="13">
        <f t="shared" si="135"/>
        <v>252405</v>
      </c>
      <c r="AF188" s="56">
        <f t="shared" si="136"/>
        <v>398038</v>
      </c>
      <c r="AG188" s="13">
        <f t="shared" si="137"/>
        <v>2903.7633928571427</v>
      </c>
      <c r="AH188" s="13">
        <f t="shared" si="138"/>
        <v>1126.8080357142858</v>
      </c>
      <c r="AI188" s="16">
        <f t="shared" si="139"/>
        <v>1776.9553571428571</v>
      </c>
      <c r="AJ188" s="15">
        <f t="shared" si="140"/>
        <v>0</v>
      </c>
      <c r="AK188" s="13">
        <f t="shared" si="141"/>
        <v>0</v>
      </c>
      <c r="AL188" s="56">
        <f t="shared" si="142"/>
        <v>0</v>
      </c>
      <c r="AM188" s="51">
        <f t="shared" si="143"/>
        <v>94806</v>
      </c>
      <c r="AN188" s="13">
        <f t="shared" si="144"/>
        <v>26402</v>
      </c>
      <c r="AO188" s="56">
        <f t="shared" si="145"/>
        <v>68404</v>
      </c>
      <c r="AP188" s="51">
        <f t="shared" si="146"/>
        <v>-94806</v>
      </c>
      <c r="AQ188" s="13">
        <f t="shared" si="147"/>
        <v>-46431</v>
      </c>
      <c r="AR188" s="56">
        <f t="shared" si="148"/>
        <v>-48375</v>
      </c>
      <c r="AS188" s="51">
        <f t="shared" si="149"/>
        <v>0</v>
      </c>
      <c r="AT188" s="13">
        <f t="shared" si="150"/>
        <v>-20029</v>
      </c>
      <c r="AU188" s="56">
        <f t="shared" si="151"/>
        <v>20029</v>
      </c>
      <c r="AV188" s="13">
        <f t="shared" si="152"/>
        <v>0</v>
      </c>
      <c r="AW188" s="13">
        <f t="shared" si="153"/>
        <v>-89.415178571428442</v>
      </c>
      <c r="AX188" s="16">
        <f t="shared" si="154"/>
        <v>89.415178571428442</v>
      </c>
    </row>
    <row r="189" spans="1:50" x14ac:dyDescent="0.25">
      <c r="A189" s="20">
        <v>564</v>
      </c>
      <c r="B189">
        <v>1</v>
      </c>
      <c r="C189" s="23" t="s">
        <v>305</v>
      </c>
      <c r="D189" s="23">
        <v>5</v>
      </c>
      <c r="E189" s="15">
        <f>+SUMIF('GE16FEB14 Unfudged'!$A$2:$A$498, $A189, 'GE16FEB14 Unfudged'!$D$2:$D$498)</f>
        <v>2178</v>
      </c>
      <c r="F189" s="15">
        <f>+SUMIF('GE16FEB14 Unfudged'!$A$2:$A$498, 'Tax Bill Summary'!$A189, 'GE16FEB14 Unfudged'!E$2:E$498)</f>
        <v>263172</v>
      </c>
      <c r="G189" s="13">
        <f>+SUMIF('GE16FEB14 Unfudged'!$A$2:$A$498, 'Tax Bill Summary'!$A189, 'GE16FEB14 Unfudged'!F$2:F$498)</f>
        <v>160144</v>
      </c>
      <c r="H189" s="56">
        <f t="shared" si="122"/>
        <v>103028</v>
      </c>
      <c r="I189" s="51">
        <f>+SUMIF('GE16FEB14 Unfudged'!$A$2:$A$498, 'Tax Bill Summary'!$A189, 'GE16FEB14 Unfudged'!G$2:G$498)</f>
        <v>0</v>
      </c>
      <c r="J189" s="13">
        <f>+SUMIF('GE16FEB14 Unfudged'!$A$2:$A$498, 'Tax Bill Summary'!$A189, 'GE16FEB14 Unfudged'!H$2:H$498)</f>
        <v>0</v>
      </c>
      <c r="K189" s="56">
        <f t="shared" si="123"/>
        <v>0</v>
      </c>
      <c r="L189" s="51">
        <f>+SUMIF('GE16FEB14 Unfudged'!$A$2:$A$498, 'Tax Bill Summary'!$A189, 'GE16FEB14 Unfudged'!I$2:IF$498)</f>
        <v>1753347</v>
      </c>
      <c r="M189" s="13">
        <f>+SUMIF('GE16FEB14 Unfudged'!$A$2:$A$498, 'Tax Bill Summary'!$A189, 'GE16FEB14 Unfudged'!J$2:IG$498)</f>
        <v>938229</v>
      </c>
      <c r="N189" s="56">
        <f t="shared" si="124"/>
        <v>815118</v>
      </c>
      <c r="O189" s="51">
        <f t="shared" si="125"/>
        <v>2016519</v>
      </c>
      <c r="P189" s="13">
        <f t="shared" si="126"/>
        <v>1098373</v>
      </c>
      <c r="Q189" s="56">
        <f t="shared" si="127"/>
        <v>918146</v>
      </c>
      <c r="R189" s="13">
        <f t="shared" si="128"/>
        <v>925.85812672176314</v>
      </c>
      <c r="S189" s="13">
        <f t="shared" si="129"/>
        <v>504.30348943985308</v>
      </c>
      <c r="T189" s="16">
        <f t="shared" si="130"/>
        <v>421.55463728191</v>
      </c>
      <c r="U189" s="15">
        <f>+SUMIF('GE16FEB14 Tax Bill Unfudged'!$A$2:$A$498, 'Tax Bill Summary'!$A189, 'GE16FEB14 Tax Bill Unfudged'!E$2:E$498)</f>
        <v>302907</v>
      </c>
      <c r="V189" s="13">
        <f>+SUMIF('GE16FEB14 Tax Bill Unfudged'!$A$2:$A$498, 'Tax Bill Summary'!$A189, 'GE16FEB14 Tax Bill Unfudged'!F$2:F$498)</f>
        <v>184323</v>
      </c>
      <c r="W189" s="56">
        <f t="shared" si="131"/>
        <v>118584</v>
      </c>
      <c r="X189" s="51">
        <f>+SUMIF('GE16FEB14 Tax Bill Unfudged'!$A$2:$A$498, 'Tax Bill Summary'!$A189, 'GE16FEB14 Tax Bill Unfudged'!G$2:G$498)</f>
        <v>923387</v>
      </c>
      <c r="Y189" s="13">
        <f>+SUMIF('GE16FEB14 Tax Bill Unfudged'!$A$2:$A$498, 'Tax Bill Summary'!$A189, 'GE16FEB14 Tax Bill Unfudged'!H$2:H$498)</f>
        <v>561894</v>
      </c>
      <c r="Z189" s="56">
        <f t="shared" si="132"/>
        <v>361493</v>
      </c>
      <c r="AA189" s="51">
        <f>+SUMIF('GE16FEB14 Tax Bill Unfudged'!$A$2:$A$498, 'Tax Bill Summary'!$A189, 'GE16FEB14 Tax Bill Unfudged'!I$2:I$498)</f>
        <v>829960</v>
      </c>
      <c r="AB189" s="13">
        <f>+SUMIF('GE16FEB14 Tax Bill Unfudged'!$A$2:$A$498, 'Tax Bill Summary'!$A189, 'GE16FEB14 Tax Bill Unfudged'!J$2:J$498)</f>
        <v>337884</v>
      </c>
      <c r="AC189" s="56">
        <f t="shared" si="133"/>
        <v>492076</v>
      </c>
      <c r="AD189" s="51">
        <f t="shared" si="134"/>
        <v>2056254</v>
      </c>
      <c r="AE189" s="13">
        <f t="shared" si="135"/>
        <v>1084101</v>
      </c>
      <c r="AF189" s="56">
        <f t="shared" si="136"/>
        <v>972153</v>
      </c>
      <c r="AG189" s="13">
        <f t="shared" si="137"/>
        <v>944.1019283746557</v>
      </c>
      <c r="AH189" s="13">
        <f t="shared" si="138"/>
        <v>497.75068870523415</v>
      </c>
      <c r="AI189" s="16">
        <f t="shared" si="139"/>
        <v>446.35123966942149</v>
      </c>
      <c r="AJ189" s="15">
        <f t="shared" si="140"/>
        <v>39735</v>
      </c>
      <c r="AK189" s="13">
        <f t="shared" si="141"/>
        <v>24179</v>
      </c>
      <c r="AL189" s="56">
        <f t="shared" si="142"/>
        <v>15556</v>
      </c>
      <c r="AM189" s="51">
        <f t="shared" si="143"/>
        <v>923387</v>
      </c>
      <c r="AN189" s="13">
        <f t="shared" si="144"/>
        <v>561894</v>
      </c>
      <c r="AO189" s="56">
        <f t="shared" si="145"/>
        <v>361493</v>
      </c>
      <c r="AP189" s="51">
        <f t="shared" si="146"/>
        <v>-923387</v>
      </c>
      <c r="AQ189" s="13">
        <f t="shared" si="147"/>
        <v>-600345</v>
      </c>
      <c r="AR189" s="56">
        <f t="shared" si="148"/>
        <v>-323042</v>
      </c>
      <c r="AS189" s="51">
        <f t="shared" si="149"/>
        <v>39735</v>
      </c>
      <c r="AT189" s="13">
        <f t="shared" si="150"/>
        <v>-14272</v>
      </c>
      <c r="AU189" s="56">
        <f t="shared" si="151"/>
        <v>54007</v>
      </c>
      <c r="AV189" s="13">
        <f t="shared" si="152"/>
        <v>18.243801652892557</v>
      </c>
      <c r="AW189" s="13">
        <f t="shared" si="153"/>
        <v>-6.552800734618927</v>
      </c>
      <c r="AX189" s="16">
        <f t="shared" si="154"/>
        <v>24.796602387511484</v>
      </c>
    </row>
    <row r="190" spans="1:50" x14ac:dyDescent="0.25">
      <c r="A190" s="20">
        <v>577</v>
      </c>
      <c r="B190">
        <v>1</v>
      </c>
      <c r="C190" s="23" t="s">
        <v>306</v>
      </c>
      <c r="D190" s="23">
        <v>6</v>
      </c>
      <c r="E190" s="15">
        <f>+SUMIF('GE16FEB14 Unfudged'!$A$2:$A$498, $A190, 'GE16FEB14 Unfudged'!$D$2:$D$498)</f>
        <v>457</v>
      </c>
      <c r="F190" s="15">
        <f>+SUMIF('GE16FEB14 Unfudged'!$A$2:$A$498, 'Tax Bill Summary'!$A190, 'GE16FEB14 Unfudged'!E$2:E$498)</f>
        <v>65808</v>
      </c>
      <c r="G190" s="13">
        <f>+SUMIF('GE16FEB14 Unfudged'!$A$2:$A$498, 'Tax Bill Summary'!$A190, 'GE16FEB14 Unfudged'!F$2:F$498)</f>
        <v>40161</v>
      </c>
      <c r="H190" s="56">
        <f t="shared" si="122"/>
        <v>25647</v>
      </c>
      <c r="I190" s="51">
        <f>+SUMIF('GE16FEB14 Unfudged'!$A$2:$A$498, 'Tax Bill Summary'!$A190, 'GE16FEB14 Unfudged'!G$2:G$498)</f>
        <v>0</v>
      </c>
      <c r="J190" s="13">
        <f>+SUMIF('GE16FEB14 Unfudged'!$A$2:$A$498, 'Tax Bill Summary'!$A190, 'GE16FEB14 Unfudged'!H$2:H$498)</f>
        <v>0</v>
      </c>
      <c r="K190" s="56">
        <f t="shared" si="123"/>
        <v>0</v>
      </c>
      <c r="L190" s="51">
        <f>+SUMIF('GE16FEB14 Unfudged'!$A$2:$A$498, 'Tax Bill Summary'!$A190, 'GE16FEB14 Unfudged'!I$2:IF$498)</f>
        <v>137100</v>
      </c>
      <c r="M190" s="13">
        <f>+SUMIF('GE16FEB14 Unfudged'!$A$2:$A$498, 'Tax Bill Summary'!$A190, 'GE16FEB14 Unfudged'!J$2:IG$498)</f>
        <v>48490</v>
      </c>
      <c r="N190" s="56">
        <f t="shared" si="124"/>
        <v>88610</v>
      </c>
      <c r="O190" s="51">
        <f t="shared" si="125"/>
        <v>202908</v>
      </c>
      <c r="P190" s="13">
        <f t="shared" si="126"/>
        <v>88651</v>
      </c>
      <c r="Q190" s="56">
        <f t="shared" si="127"/>
        <v>114257</v>
      </c>
      <c r="R190" s="13">
        <f t="shared" si="128"/>
        <v>444</v>
      </c>
      <c r="S190" s="13">
        <f t="shared" si="129"/>
        <v>193.98468271334792</v>
      </c>
      <c r="T190" s="16">
        <f t="shared" si="130"/>
        <v>250.01531728665208</v>
      </c>
      <c r="U190" s="15">
        <f>+SUMIF('GE16FEB14 Tax Bill Unfudged'!$A$2:$A$498, 'Tax Bill Summary'!$A190, 'GE16FEB14 Tax Bill Unfudged'!E$2:E$498)</f>
        <v>65808</v>
      </c>
      <c r="V190" s="13">
        <f>+SUMIF('GE16FEB14 Tax Bill Unfudged'!$A$2:$A$498, 'Tax Bill Summary'!$A190, 'GE16FEB14 Tax Bill Unfudged'!F$2:F$498)</f>
        <v>40161</v>
      </c>
      <c r="W190" s="56">
        <f t="shared" si="131"/>
        <v>25647</v>
      </c>
      <c r="X190" s="51">
        <f>+SUMIF('GE16FEB14 Tax Bill Unfudged'!$A$2:$A$498, 'Tax Bill Summary'!$A190, 'GE16FEB14 Tax Bill Unfudged'!G$2:G$498)</f>
        <v>193768</v>
      </c>
      <c r="Y190" s="13">
        <f>+SUMIF('GE16FEB14 Tax Bill Unfudged'!$A$2:$A$498, 'Tax Bill Summary'!$A190, 'GE16FEB14 Tax Bill Unfudged'!H$2:H$498)</f>
        <v>118251</v>
      </c>
      <c r="Z190" s="56">
        <f t="shared" si="132"/>
        <v>75517</v>
      </c>
      <c r="AA190" s="51">
        <f>+SUMIF('GE16FEB14 Tax Bill Unfudged'!$A$2:$A$498, 'Tax Bill Summary'!$A190, 'GE16FEB14 Tax Bill Unfudged'!I$2:I$498)</f>
        <v>137100</v>
      </c>
      <c r="AB190" s="13">
        <f>+SUMIF('GE16FEB14 Tax Bill Unfudged'!$A$2:$A$498, 'Tax Bill Summary'!$A190, 'GE16FEB14 Tax Bill Unfudged'!J$2:J$498)</f>
        <v>48490</v>
      </c>
      <c r="AC190" s="56">
        <f t="shared" si="133"/>
        <v>88610</v>
      </c>
      <c r="AD190" s="51">
        <f t="shared" si="134"/>
        <v>396676</v>
      </c>
      <c r="AE190" s="13">
        <f t="shared" si="135"/>
        <v>206902</v>
      </c>
      <c r="AF190" s="56">
        <f t="shared" si="136"/>
        <v>189774</v>
      </c>
      <c r="AG190" s="13">
        <f t="shared" si="137"/>
        <v>868</v>
      </c>
      <c r="AH190" s="13">
        <f t="shared" si="138"/>
        <v>452.73960612691468</v>
      </c>
      <c r="AI190" s="16">
        <f t="shared" si="139"/>
        <v>415.26039387308532</v>
      </c>
      <c r="AJ190" s="15">
        <f t="shared" si="140"/>
        <v>0</v>
      </c>
      <c r="AK190" s="13">
        <f t="shared" si="141"/>
        <v>0</v>
      </c>
      <c r="AL190" s="56">
        <f t="shared" si="142"/>
        <v>0</v>
      </c>
      <c r="AM190" s="51">
        <f t="shared" si="143"/>
        <v>193768</v>
      </c>
      <c r="AN190" s="13">
        <f t="shared" si="144"/>
        <v>118251</v>
      </c>
      <c r="AO190" s="56">
        <f t="shared" si="145"/>
        <v>75517</v>
      </c>
      <c r="AP190" s="51">
        <f t="shared" si="146"/>
        <v>0</v>
      </c>
      <c r="AQ190" s="13">
        <f t="shared" si="147"/>
        <v>0</v>
      </c>
      <c r="AR190" s="56">
        <f t="shared" si="148"/>
        <v>0</v>
      </c>
      <c r="AS190" s="51">
        <f t="shared" si="149"/>
        <v>193768</v>
      </c>
      <c r="AT190" s="13">
        <f t="shared" si="150"/>
        <v>118251</v>
      </c>
      <c r="AU190" s="56">
        <f t="shared" si="151"/>
        <v>75517</v>
      </c>
      <c r="AV190" s="13">
        <f t="shared" si="152"/>
        <v>424</v>
      </c>
      <c r="AW190" s="13">
        <f t="shared" si="153"/>
        <v>258.75492341356676</v>
      </c>
      <c r="AX190" s="16">
        <f t="shared" si="154"/>
        <v>165.24507658643324</v>
      </c>
    </row>
    <row r="191" spans="1:50" x14ac:dyDescent="0.25">
      <c r="A191" s="20">
        <v>578</v>
      </c>
      <c r="B191">
        <v>1</v>
      </c>
      <c r="C191" s="23" t="s">
        <v>307</v>
      </c>
      <c r="D191" s="23">
        <v>5</v>
      </c>
      <c r="E191" s="15">
        <f>+SUMIF('GE16FEB14 Unfudged'!$A$2:$A$498, $A191, 'GE16FEB14 Unfudged'!$D$2:$D$498)</f>
        <v>1855</v>
      </c>
      <c r="F191" s="15">
        <f>+SUMIF('GE16FEB14 Unfudged'!$A$2:$A$498, 'Tax Bill Summary'!$A191, 'GE16FEB14 Unfudged'!E$2:E$498)</f>
        <v>217983</v>
      </c>
      <c r="G191" s="13">
        <f>+SUMIF('GE16FEB14 Unfudged'!$A$2:$A$498, 'Tax Bill Summary'!$A191, 'GE16FEB14 Unfudged'!F$2:F$498)</f>
        <v>131710</v>
      </c>
      <c r="H191" s="56">
        <f t="shared" si="122"/>
        <v>86273</v>
      </c>
      <c r="I191" s="51">
        <f>+SUMIF('GE16FEB14 Unfudged'!$A$2:$A$498, 'Tax Bill Summary'!$A191, 'GE16FEB14 Unfudged'!G$2:G$498)</f>
        <v>0</v>
      </c>
      <c r="J191" s="13">
        <f>+SUMIF('GE16FEB14 Unfudged'!$A$2:$A$498, 'Tax Bill Summary'!$A191, 'GE16FEB14 Unfudged'!H$2:H$498)</f>
        <v>0</v>
      </c>
      <c r="K191" s="56">
        <f t="shared" si="123"/>
        <v>0</v>
      </c>
      <c r="L191" s="51">
        <f>+SUMIF('GE16FEB14 Unfudged'!$A$2:$A$498, 'Tax Bill Summary'!$A191, 'GE16FEB14 Unfudged'!I$2:IF$498)</f>
        <v>1628977</v>
      </c>
      <c r="M191" s="13">
        <f>+SUMIF('GE16FEB14 Unfudged'!$A$2:$A$498, 'Tax Bill Summary'!$A191, 'GE16FEB14 Unfudged'!J$2:IG$498)</f>
        <v>929556</v>
      </c>
      <c r="N191" s="56">
        <f t="shared" si="124"/>
        <v>699421</v>
      </c>
      <c r="O191" s="51">
        <f t="shared" si="125"/>
        <v>1846960</v>
      </c>
      <c r="P191" s="13">
        <f t="shared" si="126"/>
        <v>1061266</v>
      </c>
      <c r="Q191" s="56">
        <f t="shared" si="127"/>
        <v>785694</v>
      </c>
      <c r="R191" s="13">
        <f t="shared" si="128"/>
        <v>995.6657681940701</v>
      </c>
      <c r="S191" s="13">
        <f t="shared" si="129"/>
        <v>572.11105121293804</v>
      </c>
      <c r="T191" s="16">
        <f t="shared" si="130"/>
        <v>423.55471698113206</v>
      </c>
      <c r="U191" s="15">
        <f>+SUMIF('GE16FEB14 Tax Bill Unfudged'!$A$2:$A$498, 'Tax Bill Summary'!$A191, 'GE16FEB14 Tax Bill Unfudged'!E$2:E$498)</f>
        <v>249840</v>
      </c>
      <c r="V191" s="13">
        <f>+SUMIF('GE16FEB14 Tax Bill Unfudged'!$A$2:$A$498, 'Tax Bill Summary'!$A191, 'GE16FEB14 Tax Bill Unfudged'!F$2:F$498)</f>
        <v>150959</v>
      </c>
      <c r="W191" s="56">
        <f t="shared" si="131"/>
        <v>98881</v>
      </c>
      <c r="X191" s="51">
        <f>+SUMIF('GE16FEB14 Tax Bill Unfudged'!$A$2:$A$498, 'Tax Bill Summary'!$A191, 'GE16FEB14 Tax Bill Unfudged'!G$2:G$498)</f>
        <v>786605</v>
      </c>
      <c r="Y191" s="13">
        <f>+SUMIF('GE16FEB14 Tax Bill Unfudged'!$A$2:$A$498, 'Tax Bill Summary'!$A191, 'GE16FEB14 Tax Bill Unfudged'!H$2:H$498)</f>
        <v>475283</v>
      </c>
      <c r="Z191" s="56">
        <f t="shared" si="132"/>
        <v>311322</v>
      </c>
      <c r="AA191" s="51">
        <f>+SUMIF('GE16FEB14 Tax Bill Unfudged'!$A$2:$A$498, 'Tax Bill Summary'!$A191, 'GE16FEB14 Tax Bill Unfudged'!I$2:I$498)</f>
        <v>842372</v>
      </c>
      <c r="AB191" s="13">
        <f>+SUMIF('GE16FEB14 Tax Bill Unfudged'!$A$2:$A$498, 'Tax Bill Summary'!$A191, 'GE16FEB14 Tax Bill Unfudged'!J$2:J$498)</f>
        <v>367587</v>
      </c>
      <c r="AC191" s="56">
        <f t="shared" si="133"/>
        <v>474785</v>
      </c>
      <c r="AD191" s="51">
        <f t="shared" si="134"/>
        <v>1878817</v>
      </c>
      <c r="AE191" s="13">
        <f t="shared" si="135"/>
        <v>993829</v>
      </c>
      <c r="AF191" s="56">
        <f t="shared" si="136"/>
        <v>884988</v>
      </c>
      <c r="AG191" s="13">
        <f t="shared" si="137"/>
        <v>1012.8393530997305</v>
      </c>
      <c r="AH191" s="13">
        <f t="shared" si="138"/>
        <v>535.75687331536392</v>
      </c>
      <c r="AI191" s="16">
        <f t="shared" si="139"/>
        <v>477.08247978436657</v>
      </c>
      <c r="AJ191" s="15">
        <f t="shared" si="140"/>
        <v>31857</v>
      </c>
      <c r="AK191" s="13">
        <f t="shared" si="141"/>
        <v>19249</v>
      </c>
      <c r="AL191" s="56">
        <f t="shared" si="142"/>
        <v>12608</v>
      </c>
      <c r="AM191" s="51">
        <f t="shared" si="143"/>
        <v>786605</v>
      </c>
      <c r="AN191" s="13">
        <f t="shared" si="144"/>
        <v>475283</v>
      </c>
      <c r="AO191" s="56">
        <f t="shared" si="145"/>
        <v>311322</v>
      </c>
      <c r="AP191" s="51">
        <f t="shared" si="146"/>
        <v>-786605</v>
      </c>
      <c r="AQ191" s="13">
        <f t="shared" si="147"/>
        <v>-561969</v>
      </c>
      <c r="AR191" s="56">
        <f t="shared" si="148"/>
        <v>-224636</v>
      </c>
      <c r="AS191" s="51">
        <f t="shared" si="149"/>
        <v>31857</v>
      </c>
      <c r="AT191" s="13">
        <f t="shared" si="150"/>
        <v>-67437</v>
      </c>
      <c r="AU191" s="56">
        <f t="shared" si="151"/>
        <v>99294</v>
      </c>
      <c r="AV191" s="13">
        <f t="shared" si="152"/>
        <v>17.173584905660391</v>
      </c>
      <c r="AW191" s="13">
        <f t="shared" si="153"/>
        <v>-36.354177897574118</v>
      </c>
      <c r="AX191" s="16">
        <f t="shared" si="154"/>
        <v>53.527762803234509</v>
      </c>
    </row>
    <row r="192" spans="1:50" x14ac:dyDescent="0.25">
      <c r="A192" s="20">
        <v>581</v>
      </c>
      <c r="B192">
        <v>1</v>
      </c>
      <c r="C192" s="23" t="s">
        <v>308</v>
      </c>
      <c r="D192" s="23">
        <v>6</v>
      </c>
      <c r="E192" s="15">
        <f>+SUMIF('GE16FEB14 Unfudged'!$A$2:$A$498, $A192, 'GE16FEB14 Unfudged'!$D$2:$D$498)</f>
        <v>395</v>
      </c>
      <c r="F192" s="15">
        <f>+SUMIF('GE16FEB14 Unfudged'!$A$2:$A$498, 'Tax Bill Summary'!$A192, 'GE16FEB14 Unfudged'!E$2:E$498)</f>
        <v>43805</v>
      </c>
      <c r="G192" s="13">
        <f>+SUMIF('GE16FEB14 Unfudged'!$A$2:$A$498, 'Tax Bill Summary'!$A192, 'GE16FEB14 Unfudged'!F$2:F$498)</f>
        <v>33692</v>
      </c>
      <c r="H192" s="56">
        <f t="shared" si="122"/>
        <v>10113</v>
      </c>
      <c r="I192" s="51">
        <f>+SUMIF('GE16FEB14 Unfudged'!$A$2:$A$498, 'Tax Bill Summary'!$A192, 'GE16FEB14 Unfudged'!G$2:G$498)</f>
        <v>0</v>
      </c>
      <c r="J192" s="13">
        <f>+SUMIF('GE16FEB14 Unfudged'!$A$2:$A$498, 'Tax Bill Summary'!$A192, 'GE16FEB14 Unfudged'!H$2:H$498)</f>
        <v>0</v>
      </c>
      <c r="K192" s="56">
        <f t="shared" si="123"/>
        <v>0</v>
      </c>
      <c r="L192" s="51">
        <f>+SUMIF('GE16FEB14 Unfudged'!$A$2:$A$498, 'Tax Bill Summary'!$A192, 'GE16FEB14 Unfudged'!I$2:IF$498)</f>
        <v>402161</v>
      </c>
      <c r="M192" s="13">
        <f>+SUMIF('GE16FEB14 Unfudged'!$A$2:$A$498, 'Tax Bill Summary'!$A192, 'GE16FEB14 Unfudged'!J$2:IG$498)</f>
        <v>294657</v>
      </c>
      <c r="N192" s="56">
        <f t="shared" si="124"/>
        <v>107504</v>
      </c>
      <c r="O192" s="51">
        <f t="shared" si="125"/>
        <v>445966</v>
      </c>
      <c r="P192" s="13">
        <f t="shared" si="126"/>
        <v>328349</v>
      </c>
      <c r="Q192" s="56">
        <f t="shared" si="127"/>
        <v>117617</v>
      </c>
      <c r="R192" s="13">
        <f t="shared" si="128"/>
        <v>1129.0278481012658</v>
      </c>
      <c r="S192" s="13">
        <f t="shared" si="129"/>
        <v>831.26329113924055</v>
      </c>
      <c r="T192" s="16">
        <f t="shared" si="130"/>
        <v>297.76455696202532</v>
      </c>
      <c r="U192" s="15">
        <f>+SUMIF('GE16FEB14 Tax Bill Unfudged'!$A$2:$A$498, 'Tax Bill Summary'!$A192, 'GE16FEB14 Tax Bill Unfudged'!E$2:E$498)</f>
        <v>49760</v>
      </c>
      <c r="V192" s="13">
        <f>+SUMIF('GE16FEB14 Tax Bill Unfudged'!$A$2:$A$498, 'Tax Bill Summary'!$A192, 'GE16FEB14 Tax Bill Unfudged'!F$2:F$498)</f>
        <v>38272</v>
      </c>
      <c r="W192" s="56">
        <f t="shared" si="131"/>
        <v>11488</v>
      </c>
      <c r="X192" s="51">
        <f>+SUMIF('GE16FEB14 Tax Bill Unfudged'!$A$2:$A$498, 'Tax Bill Summary'!$A192, 'GE16FEB14 Tax Bill Unfudged'!G$2:G$498)</f>
        <v>167289</v>
      </c>
      <c r="Y192" s="13">
        <f>+SUMIF('GE16FEB14 Tax Bill Unfudged'!$A$2:$A$498, 'Tax Bill Summary'!$A192, 'GE16FEB14 Tax Bill Unfudged'!H$2:H$498)</f>
        <v>128668</v>
      </c>
      <c r="Z192" s="56">
        <f t="shared" si="132"/>
        <v>38621</v>
      </c>
      <c r="AA192" s="51">
        <f>+SUMIF('GE16FEB14 Tax Bill Unfudged'!$A$2:$A$498, 'Tax Bill Summary'!$A192, 'GE16FEB14 Tax Bill Unfudged'!I$2:I$498)</f>
        <v>234872</v>
      </c>
      <c r="AB192" s="13">
        <f>+SUMIF('GE16FEB14 Tax Bill Unfudged'!$A$2:$A$498, 'Tax Bill Summary'!$A192, 'GE16FEB14 Tax Bill Unfudged'!J$2:J$498)</f>
        <v>142371</v>
      </c>
      <c r="AC192" s="56">
        <f t="shared" si="133"/>
        <v>92501</v>
      </c>
      <c r="AD192" s="51">
        <f t="shared" si="134"/>
        <v>451921</v>
      </c>
      <c r="AE192" s="13">
        <f t="shared" si="135"/>
        <v>309311</v>
      </c>
      <c r="AF192" s="56">
        <f t="shared" si="136"/>
        <v>142610</v>
      </c>
      <c r="AG192" s="13">
        <f t="shared" si="137"/>
        <v>1144.1037974683545</v>
      </c>
      <c r="AH192" s="13">
        <f t="shared" si="138"/>
        <v>783.06582278481017</v>
      </c>
      <c r="AI192" s="16">
        <f t="shared" si="139"/>
        <v>361.03797468354429</v>
      </c>
      <c r="AJ192" s="15">
        <f t="shared" si="140"/>
        <v>5955</v>
      </c>
      <c r="AK192" s="13">
        <f t="shared" si="141"/>
        <v>4580</v>
      </c>
      <c r="AL192" s="56">
        <f t="shared" si="142"/>
        <v>1375</v>
      </c>
      <c r="AM192" s="51">
        <f t="shared" si="143"/>
        <v>167289</v>
      </c>
      <c r="AN192" s="13">
        <f t="shared" si="144"/>
        <v>128668</v>
      </c>
      <c r="AO192" s="56">
        <f t="shared" si="145"/>
        <v>38621</v>
      </c>
      <c r="AP192" s="51">
        <f t="shared" si="146"/>
        <v>-167289</v>
      </c>
      <c r="AQ192" s="13">
        <f t="shared" si="147"/>
        <v>-152286</v>
      </c>
      <c r="AR192" s="56">
        <f t="shared" si="148"/>
        <v>-15003</v>
      </c>
      <c r="AS192" s="51">
        <f t="shared" si="149"/>
        <v>5955</v>
      </c>
      <c r="AT192" s="13">
        <f t="shared" si="150"/>
        <v>-19038</v>
      </c>
      <c r="AU192" s="56">
        <f t="shared" si="151"/>
        <v>24993</v>
      </c>
      <c r="AV192" s="13">
        <f t="shared" si="152"/>
        <v>15.075949367088697</v>
      </c>
      <c r="AW192" s="13">
        <f t="shared" si="153"/>
        <v>-48.197468354430384</v>
      </c>
      <c r="AX192" s="16">
        <f t="shared" si="154"/>
        <v>63.273417721518967</v>
      </c>
    </row>
    <row r="193" spans="1:50" x14ac:dyDescent="0.25">
      <c r="A193" s="20">
        <v>592</v>
      </c>
      <c r="B193">
        <v>1</v>
      </c>
      <c r="C193" s="23" t="s">
        <v>309</v>
      </c>
      <c r="D193" s="23">
        <v>6</v>
      </c>
      <c r="E193" s="15">
        <f>+SUMIF('GE16FEB14 Unfudged'!$A$2:$A$498, $A193, 'GE16FEB14 Unfudged'!$D$2:$D$498)</f>
        <v>129</v>
      </c>
      <c r="F193" s="15">
        <f>+SUMIF('GE16FEB14 Unfudged'!$A$2:$A$498, 'Tax Bill Summary'!$A193, 'GE16FEB14 Unfudged'!E$2:E$498)</f>
        <v>6425</v>
      </c>
      <c r="G193" s="13">
        <f>+SUMIF('GE16FEB14 Unfudged'!$A$2:$A$498, 'Tax Bill Summary'!$A193, 'GE16FEB14 Unfudged'!F$2:F$498)</f>
        <v>2244</v>
      </c>
      <c r="H193" s="56">
        <f t="shared" si="122"/>
        <v>4181</v>
      </c>
      <c r="I193" s="51">
        <f>+SUMIF('GE16FEB14 Unfudged'!$A$2:$A$498, 'Tax Bill Summary'!$A193, 'GE16FEB14 Unfudged'!G$2:G$498)</f>
        <v>0</v>
      </c>
      <c r="J193" s="13">
        <f>+SUMIF('GE16FEB14 Unfudged'!$A$2:$A$498, 'Tax Bill Summary'!$A193, 'GE16FEB14 Unfudged'!H$2:H$498)</f>
        <v>0</v>
      </c>
      <c r="K193" s="56">
        <f t="shared" si="123"/>
        <v>0</v>
      </c>
      <c r="L193" s="51">
        <f>+SUMIF('GE16FEB14 Unfudged'!$A$2:$A$498, 'Tax Bill Summary'!$A193, 'GE16FEB14 Unfudged'!I$2:IF$498)</f>
        <v>288966</v>
      </c>
      <c r="M193" s="13">
        <f>+SUMIF('GE16FEB14 Unfudged'!$A$2:$A$498, 'Tax Bill Summary'!$A193, 'GE16FEB14 Unfudged'!J$2:IG$498)</f>
        <v>145969</v>
      </c>
      <c r="N193" s="56">
        <f t="shared" si="124"/>
        <v>142997</v>
      </c>
      <c r="O193" s="51">
        <f t="shared" si="125"/>
        <v>295391</v>
      </c>
      <c r="P193" s="13">
        <f t="shared" si="126"/>
        <v>148213</v>
      </c>
      <c r="Q193" s="56">
        <f t="shared" si="127"/>
        <v>147178</v>
      </c>
      <c r="R193" s="13">
        <f t="shared" si="128"/>
        <v>2289.8527131782944</v>
      </c>
      <c r="S193" s="13">
        <f t="shared" si="129"/>
        <v>1148.937984496124</v>
      </c>
      <c r="T193" s="16">
        <f t="shared" si="130"/>
        <v>1140.9147286821706</v>
      </c>
      <c r="U193" s="15">
        <f>+SUMIF('GE16FEB14 Tax Bill Unfudged'!$A$2:$A$498, 'Tax Bill Summary'!$A193, 'GE16FEB14 Tax Bill Unfudged'!E$2:E$498)</f>
        <v>6425</v>
      </c>
      <c r="V193" s="13">
        <f>+SUMIF('GE16FEB14 Tax Bill Unfudged'!$A$2:$A$498, 'Tax Bill Summary'!$A193, 'GE16FEB14 Tax Bill Unfudged'!F$2:F$498)</f>
        <v>2244</v>
      </c>
      <c r="W193" s="56">
        <f t="shared" si="131"/>
        <v>4181</v>
      </c>
      <c r="X193" s="51">
        <f>+SUMIF('GE16FEB14 Tax Bill Unfudged'!$A$2:$A$498, 'Tax Bill Summary'!$A193, 'GE16FEB14 Tax Bill Unfudged'!G$2:G$498)</f>
        <v>54484</v>
      </c>
      <c r="Y193" s="13">
        <f>+SUMIF('GE16FEB14 Tax Bill Unfudged'!$A$2:$A$498, 'Tax Bill Summary'!$A193, 'GE16FEB14 Tax Bill Unfudged'!H$2:H$498)</f>
        <v>19031</v>
      </c>
      <c r="Z193" s="56">
        <f t="shared" si="132"/>
        <v>35453</v>
      </c>
      <c r="AA193" s="51">
        <f>+SUMIF('GE16FEB14 Tax Bill Unfudged'!$A$2:$A$498, 'Tax Bill Summary'!$A193, 'GE16FEB14 Tax Bill Unfudged'!I$2:I$498)</f>
        <v>234482</v>
      </c>
      <c r="AB193" s="13">
        <f>+SUMIF('GE16FEB14 Tax Bill Unfudged'!$A$2:$A$498, 'Tax Bill Summary'!$A193, 'GE16FEB14 Tax Bill Unfudged'!J$2:J$498)</f>
        <v>112500</v>
      </c>
      <c r="AC193" s="56">
        <f t="shared" si="133"/>
        <v>121982</v>
      </c>
      <c r="AD193" s="51">
        <f t="shared" si="134"/>
        <v>295391</v>
      </c>
      <c r="AE193" s="13">
        <f t="shared" si="135"/>
        <v>133775</v>
      </c>
      <c r="AF193" s="56">
        <f t="shared" si="136"/>
        <v>161616</v>
      </c>
      <c r="AG193" s="13">
        <f t="shared" si="137"/>
        <v>2289.8527131782944</v>
      </c>
      <c r="AH193" s="13">
        <f t="shared" si="138"/>
        <v>1037.015503875969</v>
      </c>
      <c r="AI193" s="16">
        <f t="shared" si="139"/>
        <v>1252.8372093023256</v>
      </c>
      <c r="AJ193" s="15">
        <f t="shared" si="140"/>
        <v>0</v>
      </c>
      <c r="AK193" s="13">
        <f t="shared" si="141"/>
        <v>0</v>
      </c>
      <c r="AL193" s="56">
        <f t="shared" si="142"/>
        <v>0</v>
      </c>
      <c r="AM193" s="51">
        <f t="shared" si="143"/>
        <v>54484</v>
      </c>
      <c r="AN193" s="13">
        <f t="shared" si="144"/>
        <v>19031</v>
      </c>
      <c r="AO193" s="56">
        <f t="shared" si="145"/>
        <v>35453</v>
      </c>
      <c r="AP193" s="51">
        <f t="shared" si="146"/>
        <v>-54484</v>
      </c>
      <c r="AQ193" s="13">
        <f t="shared" si="147"/>
        <v>-33469</v>
      </c>
      <c r="AR193" s="56">
        <f t="shared" si="148"/>
        <v>-21015</v>
      </c>
      <c r="AS193" s="51">
        <f t="shared" si="149"/>
        <v>0</v>
      </c>
      <c r="AT193" s="13">
        <f t="shared" si="150"/>
        <v>-14438</v>
      </c>
      <c r="AU193" s="56">
        <f t="shared" si="151"/>
        <v>14438</v>
      </c>
      <c r="AV193" s="13">
        <f t="shared" si="152"/>
        <v>0</v>
      </c>
      <c r="AW193" s="13">
        <f t="shared" si="153"/>
        <v>-111.92248062015506</v>
      </c>
      <c r="AX193" s="16">
        <f t="shared" si="154"/>
        <v>111.92248062015506</v>
      </c>
    </row>
    <row r="194" spans="1:50" x14ac:dyDescent="0.25">
      <c r="A194" s="20">
        <v>593</v>
      </c>
      <c r="B194">
        <v>1</v>
      </c>
      <c r="C194" s="23" t="s">
        <v>310</v>
      </c>
      <c r="D194" s="23">
        <v>5</v>
      </c>
      <c r="E194" s="15">
        <f>+SUMIF('GE16FEB14 Unfudged'!$A$2:$A$498, $A194, 'GE16FEB14 Unfudged'!$D$2:$D$498)</f>
        <v>1399</v>
      </c>
      <c r="F194" s="15">
        <f>+SUMIF('GE16FEB14 Unfudged'!$A$2:$A$498, 'Tax Bill Summary'!$A194, 'GE16FEB14 Unfudged'!E$2:E$498)</f>
        <v>122434</v>
      </c>
      <c r="G194" s="13">
        <f>+SUMIF('GE16FEB14 Unfudged'!$A$2:$A$498, 'Tax Bill Summary'!$A194, 'GE16FEB14 Unfudged'!F$2:F$498)</f>
        <v>60196</v>
      </c>
      <c r="H194" s="56">
        <f t="shared" si="122"/>
        <v>62238</v>
      </c>
      <c r="I194" s="51">
        <f>+SUMIF('GE16FEB14 Unfudged'!$A$2:$A$498, 'Tax Bill Summary'!$A194, 'GE16FEB14 Unfudged'!G$2:G$498)</f>
        <v>0</v>
      </c>
      <c r="J194" s="13">
        <f>+SUMIF('GE16FEB14 Unfudged'!$A$2:$A$498, 'Tax Bill Summary'!$A194, 'GE16FEB14 Unfudged'!H$2:H$498)</f>
        <v>0</v>
      </c>
      <c r="K194" s="56">
        <f t="shared" si="123"/>
        <v>0</v>
      </c>
      <c r="L194" s="51">
        <f>+SUMIF('GE16FEB14 Unfudged'!$A$2:$A$498, 'Tax Bill Summary'!$A194, 'GE16FEB14 Unfudged'!I$2:IF$498)</f>
        <v>2144706</v>
      </c>
      <c r="M194" s="13">
        <f>+SUMIF('GE16FEB14 Unfudged'!$A$2:$A$498, 'Tax Bill Summary'!$A194, 'GE16FEB14 Unfudged'!J$2:IG$498)</f>
        <v>1386302</v>
      </c>
      <c r="N194" s="56">
        <f t="shared" si="124"/>
        <v>758404</v>
      </c>
      <c r="O194" s="51">
        <f t="shared" si="125"/>
        <v>2267140</v>
      </c>
      <c r="P194" s="13">
        <f t="shared" si="126"/>
        <v>1446498</v>
      </c>
      <c r="Q194" s="56">
        <f t="shared" si="127"/>
        <v>820642</v>
      </c>
      <c r="R194" s="13">
        <f t="shared" si="128"/>
        <v>1620.5432451751251</v>
      </c>
      <c r="S194" s="13">
        <f t="shared" si="129"/>
        <v>1033.9513938527521</v>
      </c>
      <c r="T194" s="16">
        <f t="shared" si="130"/>
        <v>586.59185132237315</v>
      </c>
      <c r="U194" s="15">
        <f>+SUMIF('GE16FEB14 Tax Bill Unfudged'!$A$2:$A$498, 'Tax Bill Summary'!$A194, 'GE16FEB14 Tax Bill Unfudged'!E$2:E$498)</f>
        <v>132986</v>
      </c>
      <c r="V194" s="13">
        <f>+SUMIF('GE16FEB14 Tax Bill Unfudged'!$A$2:$A$498, 'Tax Bill Summary'!$A194, 'GE16FEB14 Tax Bill Unfudged'!F$2:F$498)</f>
        <v>65384</v>
      </c>
      <c r="W194" s="56">
        <f t="shared" si="131"/>
        <v>67602</v>
      </c>
      <c r="X194" s="51">
        <f>+SUMIF('GE16FEB14 Tax Bill Unfudged'!$A$2:$A$498, 'Tax Bill Summary'!$A194, 'GE16FEB14 Tax Bill Unfudged'!G$2:G$498)</f>
        <v>593346</v>
      </c>
      <c r="Y194" s="13">
        <f>+SUMIF('GE16FEB14 Tax Bill Unfudged'!$A$2:$A$498, 'Tax Bill Summary'!$A194, 'GE16FEB14 Tax Bill Unfudged'!H$2:H$498)</f>
        <v>291726</v>
      </c>
      <c r="Z194" s="56">
        <f t="shared" si="132"/>
        <v>301620</v>
      </c>
      <c r="AA194" s="51">
        <f>+SUMIF('GE16FEB14 Tax Bill Unfudged'!$A$2:$A$498, 'Tax Bill Summary'!$A194, 'GE16FEB14 Tax Bill Unfudged'!I$2:I$498)</f>
        <v>1551361</v>
      </c>
      <c r="AB194" s="13">
        <f>+SUMIF('GE16FEB14 Tax Bill Unfudged'!$A$2:$A$498, 'Tax Bill Summary'!$A194, 'GE16FEB14 Tax Bill Unfudged'!J$2:J$498)</f>
        <v>857908</v>
      </c>
      <c r="AC194" s="56">
        <f t="shared" si="133"/>
        <v>693453</v>
      </c>
      <c r="AD194" s="51">
        <f t="shared" si="134"/>
        <v>2277693</v>
      </c>
      <c r="AE194" s="13">
        <f t="shared" si="135"/>
        <v>1215018</v>
      </c>
      <c r="AF194" s="56">
        <f t="shared" si="136"/>
        <v>1062675</v>
      </c>
      <c r="AG194" s="13">
        <f t="shared" si="137"/>
        <v>1628.0864903502502</v>
      </c>
      <c r="AH194" s="13">
        <f t="shared" si="138"/>
        <v>868.49035025017872</v>
      </c>
      <c r="AI194" s="16">
        <f t="shared" si="139"/>
        <v>759.59614010007147</v>
      </c>
      <c r="AJ194" s="15">
        <f t="shared" si="140"/>
        <v>10552</v>
      </c>
      <c r="AK194" s="13">
        <f t="shared" si="141"/>
        <v>5188</v>
      </c>
      <c r="AL194" s="56">
        <f t="shared" si="142"/>
        <v>5364</v>
      </c>
      <c r="AM194" s="51">
        <f t="shared" si="143"/>
        <v>593346</v>
      </c>
      <c r="AN194" s="13">
        <f t="shared" si="144"/>
        <v>291726</v>
      </c>
      <c r="AO194" s="56">
        <f t="shared" si="145"/>
        <v>301620</v>
      </c>
      <c r="AP194" s="51">
        <f t="shared" si="146"/>
        <v>-593345</v>
      </c>
      <c r="AQ194" s="13">
        <f t="shared" si="147"/>
        <v>-528394</v>
      </c>
      <c r="AR194" s="56">
        <f t="shared" si="148"/>
        <v>-64951</v>
      </c>
      <c r="AS194" s="51">
        <f t="shared" si="149"/>
        <v>10553</v>
      </c>
      <c r="AT194" s="13">
        <f t="shared" si="150"/>
        <v>-231480</v>
      </c>
      <c r="AU194" s="56">
        <f t="shared" si="151"/>
        <v>242033</v>
      </c>
      <c r="AV194" s="13">
        <f t="shared" si="152"/>
        <v>7.5432451751250937</v>
      </c>
      <c r="AW194" s="13">
        <f t="shared" si="153"/>
        <v>-165.46104360257334</v>
      </c>
      <c r="AX194" s="16">
        <f t="shared" si="154"/>
        <v>173.00428877769832</v>
      </c>
    </row>
    <row r="195" spans="1:50" x14ac:dyDescent="0.25">
      <c r="A195" s="20">
        <v>595</v>
      </c>
      <c r="B195">
        <v>1</v>
      </c>
      <c r="C195" s="23" t="s">
        <v>311</v>
      </c>
      <c r="D195" s="23">
        <v>5</v>
      </c>
      <c r="E195" s="15">
        <f>+SUMIF('GE16FEB14 Unfudged'!$A$2:$A$498, $A195, 'GE16FEB14 Unfudged'!$D$2:$D$498)</f>
        <v>1820</v>
      </c>
      <c r="F195" s="15">
        <f>+SUMIF('GE16FEB14 Unfudged'!$A$2:$A$498, 'Tax Bill Summary'!$A195, 'GE16FEB14 Unfudged'!E$2:E$498)</f>
        <v>230334</v>
      </c>
      <c r="G195" s="13">
        <f>+SUMIF('GE16FEB14 Unfudged'!$A$2:$A$498, 'Tax Bill Summary'!$A195, 'GE16FEB14 Unfudged'!F$2:F$498)</f>
        <v>144666</v>
      </c>
      <c r="H195" s="56">
        <f t="shared" si="122"/>
        <v>85668</v>
      </c>
      <c r="I195" s="51">
        <f>+SUMIF('GE16FEB14 Unfudged'!$A$2:$A$498, 'Tax Bill Summary'!$A195, 'GE16FEB14 Unfudged'!G$2:G$498)</f>
        <v>0</v>
      </c>
      <c r="J195" s="13">
        <f>+SUMIF('GE16FEB14 Unfudged'!$A$2:$A$498, 'Tax Bill Summary'!$A195, 'GE16FEB14 Unfudged'!H$2:H$498)</f>
        <v>0</v>
      </c>
      <c r="K195" s="56">
        <f t="shared" si="123"/>
        <v>0</v>
      </c>
      <c r="L195" s="51">
        <f>+SUMIF('GE16FEB14 Unfudged'!$A$2:$A$498, 'Tax Bill Summary'!$A195, 'GE16FEB14 Unfudged'!I$2:IF$498)</f>
        <v>1238455</v>
      </c>
      <c r="M195" s="13">
        <f>+SUMIF('GE16FEB14 Unfudged'!$A$2:$A$498, 'Tax Bill Summary'!$A195, 'GE16FEB14 Unfudged'!J$2:IG$498)</f>
        <v>633650</v>
      </c>
      <c r="N195" s="56">
        <f t="shared" si="124"/>
        <v>604805</v>
      </c>
      <c r="O195" s="51">
        <f t="shared" si="125"/>
        <v>1468789</v>
      </c>
      <c r="P195" s="13">
        <f t="shared" si="126"/>
        <v>778316</v>
      </c>
      <c r="Q195" s="56">
        <f t="shared" si="127"/>
        <v>690473</v>
      </c>
      <c r="R195" s="13">
        <f t="shared" si="128"/>
        <v>807.02692307692303</v>
      </c>
      <c r="S195" s="13">
        <f t="shared" si="129"/>
        <v>427.64615384615382</v>
      </c>
      <c r="T195" s="16">
        <f t="shared" si="130"/>
        <v>379.3807692307692</v>
      </c>
      <c r="U195" s="15">
        <f>+SUMIF('GE16FEB14 Tax Bill Unfudged'!$A$2:$A$498, 'Tax Bill Summary'!$A195, 'GE16FEB14 Tax Bill Unfudged'!E$2:E$498)</f>
        <v>262080</v>
      </c>
      <c r="V195" s="13">
        <f>+SUMIF('GE16FEB14 Tax Bill Unfudged'!$A$2:$A$498, 'Tax Bill Summary'!$A195, 'GE16FEB14 Tax Bill Unfudged'!F$2:F$498)</f>
        <v>164604</v>
      </c>
      <c r="W195" s="56">
        <f t="shared" si="131"/>
        <v>97476</v>
      </c>
      <c r="X195" s="51">
        <f>+SUMIF('GE16FEB14 Tax Bill Unfudged'!$A$2:$A$498, 'Tax Bill Summary'!$A195, 'GE16FEB14 Tax Bill Unfudged'!G$2:G$498)</f>
        <v>771680</v>
      </c>
      <c r="Y195" s="13">
        <f>+SUMIF('GE16FEB14 Tax Bill Unfudged'!$A$2:$A$498, 'Tax Bill Summary'!$A195, 'GE16FEB14 Tax Bill Unfudged'!H$2:H$498)</f>
        <v>484668</v>
      </c>
      <c r="Z195" s="56">
        <f t="shared" si="132"/>
        <v>287012</v>
      </c>
      <c r="AA195" s="51">
        <f>+SUMIF('GE16FEB14 Tax Bill Unfudged'!$A$2:$A$498, 'Tax Bill Summary'!$A195, 'GE16FEB14 Tax Bill Unfudged'!I$2:I$498)</f>
        <v>546000</v>
      </c>
      <c r="AB195" s="13">
        <f>+SUMIF('GE16FEB14 Tax Bill Unfudged'!$A$2:$A$498, 'Tax Bill Summary'!$A195, 'GE16FEB14 Tax Bill Unfudged'!J$2:J$498)</f>
        <v>198741</v>
      </c>
      <c r="AC195" s="56">
        <f t="shared" si="133"/>
        <v>347259</v>
      </c>
      <c r="AD195" s="51">
        <f t="shared" si="134"/>
        <v>1579760</v>
      </c>
      <c r="AE195" s="13">
        <f t="shared" si="135"/>
        <v>848013</v>
      </c>
      <c r="AF195" s="56">
        <f t="shared" si="136"/>
        <v>731747</v>
      </c>
      <c r="AG195" s="13">
        <f t="shared" si="137"/>
        <v>868</v>
      </c>
      <c r="AH195" s="13">
        <f t="shared" si="138"/>
        <v>465.94120879120879</v>
      </c>
      <c r="AI195" s="16">
        <f t="shared" si="139"/>
        <v>402.05879120879121</v>
      </c>
      <c r="AJ195" s="15">
        <f t="shared" si="140"/>
        <v>31746</v>
      </c>
      <c r="AK195" s="13">
        <f t="shared" si="141"/>
        <v>19938</v>
      </c>
      <c r="AL195" s="56">
        <f t="shared" si="142"/>
        <v>11808</v>
      </c>
      <c r="AM195" s="51">
        <f t="shared" si="143"/>
        <v>771680</v>
      </c>
      <c r="AN195" s="13">
        <f t="shared" si="144"/>
        <v>484668</v>
      </c>
      <c r="AO195" s="56">
        <f t="shared" si="145"/>
        <v>287012</v>
      </c>
      <c r="AP195" s="51">
        <f t="shared" si="146"/>
        <v>-692455</v>
      </c>
      <c r="AQ195" s="13">
        <f t="shared" si="147"/>
        <v>-434909</v>
      </c>
      <c r="AR195" s="56">
        <f t="shared" si="148"/>
        <v>-257546</v>
      </c>
      <c r="AS195" s="51">
        <f t="shared" si="149"/>
        <v>110971</v>
      </c>
      <c r="AT195" s="13">
        <f t="shared" si="150"/>
        <v>69697</v>
      </c>
      <c r="AU195" s="56">
        <f t="shared" si="151"/>
        <v>41274</v>
      </c>
      <c r="AV195" s="13">
        <f t="shared" si="152"/>
        <v>60.973076923076974</v>
      </c>
      <c r="AW195" s="13">
        <f t="shared" si="153"/>
        <v>38.295054945054972</v>
      </c>
      <c r="AX195" s="16">
        <f t="shared" si="154"/>
        <v>22.678021978022002</v>
      </c>
    </row>
    <row r="196" spans="1:50" x14ac:dyDescent="0.25">
      <c r="A196" s="20">
        <v>599</v>
      </c>
      <c r="B196">
        <v>1</v>
      </c>
      <c r="C196" s="23" t="s">
        <v>312</v>
      </c>
      <c r="D196" s="23">
        <v>6</v>
      </c>
      <c r="E196" s="15">
        <f>+SUMIF('GE16FEB14 Unfudged'!$A$2:$A$498, $A196, 'GE16FEB14 Unfudged'!$D$2:$D$498)</f>
        <v>476</v>
      </c>
      <c r="F196" s="15">
        <f>+SUMIF('GE16FEB14 Unfudged'!$A$2:$A$498, 'Tax Bill Summary'!$A196, 'GE16FEB14 Unfudged'!E$2:E$498)</f>
        <v>49104</v>
      </c>
      <c r="G196" s="13">
        <f>+SUMIF('GE16FEB14 Unfudged'!$A$2:$A$498, 'Tax Bill Summary'!$A196, 'GE16FEB14 Unfudged'!F$2:F$498)</f>
        <v>32896</v>
      </c>
      <c r="H196" s="56">
        <f t="shared" si="122"/>
        <v>16208</v>
      </c>
      <c r="I196" s="51">
        <f>+SUMIF('GE16FEB14 Unfudged'!$A$2:$A$498, 'Tax Bill Summary'!$A196, 'GE16FEB14 Unfudged'!G$2:G$498)</f>
        <v>0</v>
      </c>
      <c r="J196" s="13">
        <f>+SUMIF('GE16FEB14 Unfudged'!$A$2:$A$498, 'Tax Bill Summary'!$A196, 'GE16FEB14 Unfudged'!H$2:H$498)</f>
        <v>0</v>
      </c>
      <c r="K196" s="56">
        <f t="shared" si="123"/>
        <v>0</v>
      </c>
      <c r="L196" s="51">
        <f>+SUMIF('GE16FEB14 Unfudged'!$A$2:$A$498, 'Tax Bill Summary'!$A196, 'GE16FEB14 Unfudged'!I$2:IF$498)</f>
        <v>565441</v>
      </c>
      <c r="M196" s="13">
        <f>+SUMIF('GE16FEB14 Unfudged'!$A$2:$A$498, 'Tax Bill Summary'!$A196, 'GE16FEB14 Unfudged'!J$2:IG$498)</f>
        <v>405945</v>
      </c>
      <c r="N196" s="56">
        <f t="shared" si="124"/>
        <v>159496</v>
      </c>
      <c r="O196" s="51">
        <f t="shared" si="125"/>
        <v>614545</v>
      </c>
      <c r="P196" s="13">
        <f t="shared" si="126"/>
        <v>438841</v>
      </c>
      <c r="Q196" s="56">
        <f t="shared" si="127"/>
        <v>175704</v>
      </c>
      <c r="R196" s="13">
        <f t="shared" si="128"/>
        <v>1291.0609243697479</v>
      </c>
      <c r="S196" s="13">
        <f t="shared" si="129"/>
        <v>921.93487394957981</v>
      </c>
      <c r="T196" s="16">
        <f t="shared" si="130"/>
        <v>369.12605042016804</v>
      </c>
      <c r="U196" s="15">
        <f>+SUMIF('GE16FEB14 Tax Bill Unfudged'!$A$2:$A$498, 'Tax Bill Summary'!$A196, 'GE16FEB14 Tax Bill Unfudged'!E$2:E$498)</f>
        <v>55096</v>
      </c>
      <c r="V196" s="13">
        <f>+SUMIF('GE16FEB14 Tax Bill Unfudged'!$A$2:$A$498, 'Tax Bill Summary'!$A196, 'GE16FEB14 Tax Bill Unfudged'!F$2:F$498)</f>
        <v>36910</v>
      </c>
      <c r="W196" s="56">
        <f t="shared" si="131"/>
        <v>18186</v>
      </c>
      <c r="X196" s="51">
        <f>+SUMIF('GE16FEB14 Tax Bill Unfudged'!$A$2:$A$498, 'Tax Bill Summary'!$A196, 'GE16FEB14 Tax Bill Unfudged'!G$2:G$498)</f>
        <v>201654</v>
      </c>
      <c r="Y196" s="13">
        <f>+SUMIF('GE16FEB14 Tax Bill Unfudged'!$A$2:$A$498, 'Tax Bill Summary'!$A196, 'GE16FEB14 Tax Bill Unfudged'!H$2:H$498)</f>
        <v>135093</v>
      </c>
      <c r="Z196" s="56">
        <f t="shared" si="132"/>
        <v>66561</v>
      </c>
      <c r="AA196" s="51">
        <f>+SUMIF('GE16FEB14 Tax Bill Unfudged'!$A$2:$A$498, 'Tax Bill Summary'!$A196, 'GE16FEB14 Tax Bill Unfudged'!I$2:I$498)</f>
        <v>363786</v>
      </c>
      <c r="AB196" s="13">
        <f>+SUMIF('GE16FEB14 Tax Bill Unfudged'!$A$2:$A$498, 'Tax Bill Summary'!$A196, 'GE16FEB14 Tax Bill Unfudged'!J$2:J$498)</f>
        <v>204290</v>
      </c>
      <c r="AC196" s="56">
        <f t="shared" si="133"/>
        <v>159496</v>
      </c>
      <c r="AD196" s="51">
        <f t="shared" si="134"/>
        <v>620536</v>
      </c>
      <c r="AE196" s="13">
        <f t="shared" si="135"/>
        <v>376293</v>
      </c>
      <c r="AF196" s="56">
        <f t="shared" si="136"/>
        <v>244243</v>
      </c>
      <c r="AG196" s="13">
        <f t="shared" si="137"/>
        <v>1303.6470588235295</v>
      </c>
      <c r="AH196" s="13">
        <f t="shared" si="138"/>
        <v>790.53151260504205</v>
      </c>
      <c r="AI196" s="16">
        <f t="shared" si="139"/>
        <v>513.11554621848734</v>
      </c>
      <c r="AJ196" s="15">
        <f t="shared" si="140"/>
        <v>5992</v>
      </c>
      <c r="AK196" s="13">
        <f t="shared" si="141"/>
        <v>4014</v>
      </c>
      <c r="AL196" s="56">
        <f t="shared" si="142"/>
        <v>1978</v>
      </c>
      <c r="AM196" s="51">
        <f t="shared" si="143"/>
        <v>201654</v>
      </c>
      <c r="AN196" s="13">
        <f t="shared" si="144"/>
        <v>135093</v>
      </c>
      <c r="AO196" s="56">
        <f t="shared" si="145"/>
        <v>66561</v>
      </c>
      <c r="AP196" s="51">
        <f t="shared" si="146"/>
        <v>-201655</v>
      </c>
      <c r="AQ196" s="13">
        <f t="shared" si="147"/>
        <v>-201655</v>
      </c>
      <c r="AR196" s="56">
        <f t="shared" si="148"/>
        <v>0</v>
      </c>
      <c r="AS196" s="51">
        <f t="shared" si="149"/>
        <v>5991</v>
      </c>
      <c r="AT196" s="13">
        <f t="shared" si="150"/>
        <v>-62548</v>
      </c>
      <c r="AU196" s="56">
        <f t="shared" si="151"/>
        <v>68539</v>
      </c>
      <c r="AV196" s="13">
        <f t="shared" si="152"/>
        <v>12.586134453781597</v>
      </c>
      <c r="AW196" s="13">
        <f t="shared" si="153"/>
        <v>-131.40336134453776</v>
      </c>
      <c r="AX196" s="16">
        <f t="shared" si="154"/>
        <v>143.9894957983193</v>
      </c>
    </row>
    <row r="197" spans="1:50" x14ac:dyDescent="0.25">
      <c r="A197" s="20">
        <v>600</v>
      </c>
      <c r="B197">
        <v>1</v>
      </c>
      <c r="C197" s="23" t="s">
        <v>313</v>
      </c>
      <c r="D197" s="23">
        <v>6</v>
      </c>
      <c r="E197" s="15">
        <f>+SUMIF('GE16FEB14 Unfudged'!$A$2:$A$498, $A197, 'GE16FEB14 Unfudged'!$D$2:$D$498)</f>
        <v>270</v>
      </c>
      <c r="F197" s="15">
        <f>+SUMIF('GE16FEB14 Unfudged'!$A$2:$A$498, 'Tax Bill Summary'!$A197, 'GE16FEB14 Unfudged'!E$2:E$498)</f>
        <v>31580</v>
      </c>
      <c r="G197" s="13">
        <f>+SUMIF('GE16FEB14 Unfudged'!$A$2:$A$498, 'Tax Bill Summary'!$A197, 'GE16FEB14 Unfudged'!F$2:F$498)</f>
        <v>19752</v>
      </c>
      <c r="H197" s="56">
        <f t="shared" si="122"/>
        <v>11828</v>
      </c>
      <c r="I197" s="51">
        <f>+SUMIF('GE16FEB14 Unfudged'!$A$2:$A$498, 'Tax Bill Summary'!$A197, 'GE16FEB14 Unfudged'!G$2:G$498)</f>
        <v>0</v>
      </c>
      <c r="J197" s="13">
        <f>+SUMIF('GE16FEB14 Unfudged'!$A$2:$A$498, 'Tax Bill Summary'!$A197, 'GE16FEB14 Unfudged'!H$2:H$498)</f>
        <v>0</v>
      </c>
      <c r="K197" s="56">
        <f t="shared" si="123"/>
        <v>0</v>
      </c>
      <c r="L197" s="51">
        <f>+SUMIF('GE16FEB14 Unfudged'!$A$2:$A$498, 'Tax Bill Summary'!$A197, 'GE16FEB14 Unfudged'!I$2:IF$498)</f>
        <v>238508</v>
      </c>
      <c r="M197" s="13">
        <f>+SUMIF('GE16FEB14 Unfudged'!$A$2:$A$498, 'Tax Bill Summary'!$A197, 'GE16FEB14 Unfudged'!J$2:IG$498)</f>
        <v>77667</v>
      </c>
      <c r="N197" s="56">
        <f t="shared" si="124"/>
        <v>160841</v>
      </c>
      <c r="O197" s="51">
        <f t="shared" si="125"/>
        <v>270088</v>
      </c>
      <c r="P197" s="13">
        <f t="shared" si="126"/>
        <v>97419</v>
      </c>
      <c r="Q197" s="56">
        <f t="shared" si="127"/>
        <v>172669</v>
      </c>
      <c r="R197" s="13">
        <f t="shared" si="128"/>
        <v>1000.325925925926</v>
      </c>
      <c r="S197" s="13">
        <f t="shared" si="129"/>
        <v>360.81111111111113</v>
      </c>
      <c r="T197" s="16">
        <f t="shared" si="130"/>
        <v>639.51481481481483</v>
      </c>
      <c r="U197" s="15">
        <f>+SUMIF('GE16FEB14 Tax Bill Unfudged'!$A$2:$A$498, 'Tax Bill Summary'!$A197, 'GE16FEB14 Tax Bill Unfudged'!E$2:E$498)</f>
        <v>36180</v>
      </c>
      <c r="V197" s="13">
        <f>+SUMIF('GE16FEB14 Tax Bill Unfudged'!$A$2:$A$498, 'Tax Bill Summary'!$A197, 'GE16FEB14 Tax Bill Unfudged'!F$2:F$498)</f>
        <v>22629</v>
      </c>
      <c r="W197" s="56">
        <f t="shared" si="131"/>
        <v>13551</v>
      </c>
      <c r="X197" s="51">
        <f>+SUMIF('GE16FEB14 Tax Bill Unfudged'!$A$2:$A$498, 'Tax Bill Summary'!$A197, 'GE16FEB14 Tax Bill Unfudged'!G$2:G$498)</f>
        <v>114268</v>
      </c>
      <c r="Y197" s="13">
        <f>+SUMIF('GE16FEB14 Tax Bill Unfudged'!$A$2:$A$498, 'Tax Bill Summary'!$A197, 'GE16FEB14 Tax Bill Unfudged'!H$2:H$498)</f>
        <v>71469</v>
      </c>
      <c r="Z197" s="56">
        <f t="shared" si="132"/>
        <v>42799</v>
      </c>
      <c r="AA197" s="51">
        <f>+SUMIF('GE16FEB14 Tax Bill Unfudged'!$A$2:$A$498, 'Tax Bill Summary'!$A197, 'GE16FEB14 Tax Bill Unfudged'!I$2:I$498)</f>
        <v>124240</v>
      </c>
      <c r="AB197" s="13">
        <f>+SUMIF('GE16FEB14 Tax Bill Unfudged'!$A$2:$A$498, 'Tax Bill Summary'!$A197, 'GE16FEB14 Tax Bill Unfudged'!J$2:J$498)</f>
        <v>42302</v>
      </c>
      <c r="AC197" s="56">
        <f t="shared" si="133"/>
        <v>81938</v>
      </c>
      <c r="AD197" s="51">
        <f t="shared" si="134"/>
        <v>274688</v>
      </c>
      <c r="AE197" s="13">
        <f t="shared" si="135"/>
        <v>136400</v>
      </c>
      <c r="AF197" s="56">
        <f t="shared" si="136"/>
        <v>138288</v>
      </c>
      <c r="AG197" s="13">
        <f t="shared" si="137"/>
        <v>1017.3629629629629</v>
      </c>
      <c r="AH197" s="13">
        <f t="shared" si="138"/>
        <v>505.18518518518516</v>
      </c>
      <c r="AI197" s="16">
        <f t="shared" si="139"/>
        <v>512.17777777777781</v>
      </c>
      <c r="AJ197" s="15">
        <f t="shared" si="140"/>
        <v>4600</v>
      </c>
      <c r="AK197" s="13">
        <f t="shared" si="141"/>
        <v>2877</v>
      </c>
      <c r="AL197" s="56">
        <f t="shared" si="142"/>
        <v>1723</v>
      </c>
      <c r="AM197" s="51">
        <f t="shared" si="143"/>
        <v>114268</v>
      </c>
      <c r="AN197" s="13">
        <f t="shared" si="144"/>
        <v>71469</v>
      </c>
      <c r="AO197" s="56">
        <f t="shared" si="145"/>
        <v>42799</v>
      </c>
      <c r="AP197" s="51">
        <f t="shared" si="146"/>
        <v>-114268</v>
      </c>
      <c r="AQ197" s="13">
        <f t="shared" si="147"/>
        <v>-35365</v>
      </c>
      <c r="AR197" s="56">
        <f t="shared" si="148"/>
        <v>-78903</v>
      </c>
      <c r="AS197" s="51">
        <f t="shared" si="149"/>
        <v>4600</v>
      </c>
      <c r="AT197" s="13">
        <f t="shared" si="150"/>
        <v>38981</v>
      </c>
      <c r="AU197" s="56">
        <f t="shared" si="151"/>
        <v>-34381</v>
      </c>
      <c r="AV197" s="13">
        <f t="shared" si="152"/>
        <v>17.037037037036953</v>
      </c>
      <c r="AW197" s="13">
        <f t="shared" si="153"/>
        <v>144.37407407407403</v>
      </c>
      <c r="AX197" s="16">
        <f t="shared" si="154"/>
        <v>-127.33703703703702</v>
      </c>
    </row>
    <row r="198" spans="1:50" x14ac:dyDescent="0.25">
      <c r="A198" s="20">
        <v>601</v>
      </c>
      <c r="B198">
        <v>1</v>
      </c>
      <c r="C198" s="23" t="s">
        <v>314</v>
      </c>
      <c r="D198" s="23">
        <v>6</v>
      </c>
      <c r="E198" s="15">
        <f>+SUMIF('GE16FEB14 Unfudged'!$A$2:$A$498, $A198, 'GE16FEB14 Unfudged'!$D$2:$D$498)</f>
        <v>682</v>
      </c>
      <c r="F198" s="15">
        <f>+SUMIF('GE16FEB14 Unfudged'!$A$2:$A$498, 'Tax Bill Summary'!$A198, 'GE16FEB14 Unfudged'!E$2:E$498)</f>
        <v>71410</v>
      </c>
      <c r="G198" s="13">
        <f>+SUMIF('GE16FEB14 Unfudged'!$A$2:$A$498, 'Tax Bill Summary'!$A198, 'GE16FEB14 Unfudged'!F$2:F$498)</f>
        <v>37520</v>
      </c>
      <c r="H198" s="56">
        <f t="shared" si="122"/>
        <v>33890</v>
      </c>
      <c r="I198" s="51">
        <f>+SUMIF('GE16FEB14 Unfudged'!$A$2:$A$498, 'Tax Bill Summary'!$A198, 'GE16FEB14 Unfudged'!G$2:G$498)</f>
        <v>0</v>
      </c>
      <c r="J198" s="13">
        <f>+SUMIF('GE16FEB14 Unfudged'!$A$2:$A$498, 'Tax Bill Summary'!$A198, 'GE16FEB14 Unfudged'!H$2:H$498)</f>
        <v>0</v>
      </c>
      <c r="K198" s="56">
        <f t="shared" si="123"/>
        <v>0</v>
      </c>
      <c r="L198" s="51">
        <f>+SUMIF('GE16FEB14 Unfudged'!$A$2:$A$498, 'Tax Bill Summary'!$A198, 'GE16FEB14 Unfudged'!I$2:IF$498)</f>
        <v>790506</v>
      </c>
      <c r="M198" s="13">
        <f>+SUMIF('GE16FEB14 Unfudged'!$A$2:$A$498, 'Tax Bill Summary'!$A198, 'GE16FEB14 Unfudged'!J$2:IG$498)</f>
        <v>478489</v>
      </c>
      <c r="N198" s="56">
        <f t="shared" si="124"/>
        <v>312017</v>
      </c>
      <c r="O198" s="51">
        <f t="shared" si="125"/>
        <v>861916</v>
      </c>
      <c r="P198" s="13">
        <f t="shared" si="126"/>
        <v>516009</v>
      </c>
      <c r="Q198" s="56">
        <f t="shared" si="127"/>
        <v>345907</v>
      </c>
      <c r="R198" s="13">
        <f t="shared" si="128"/>
        <v>1263.8064516129032</v>
      </c>
      <c r="S198" s="13">
        <f t="shared" si="129"/>
        <v>756.61143695014664</v>
      </c>
      <c r="T198" s="16">
        <f t="shared" si="130"/>
        <v>507.19501466275659</v>
      </c>
      <c r="U198" s="15">
        <f>+SUMIF('GE16FEB14 Tax Bill Unfudged'!$A$2:$A$498, 'Tax Bill Summary'!$A198, 'GE16FEB14 Tax Bill Unfudged'!E$2:E$498)</f>
        <v>80312</v>
      </c>
      <c r="V198" s="13">
        <f>+SUMIF('GE16FEB14 Tax Bill Unfudged'!$A$2:$A$498, 'Tax Bill Summary'!$A198, 'GE16FEB14 Tax Bill Unfudged'!F$2:F$498)</f>
        <v>42197</v>
      </c>
      <c r="W198" s="56">
        <f t="shared" si="131"/>
        <v>38115</v>
      </c>
      <c r="X198" s="51">
        <f>+SUMIF('GE16FEB14 Tax Bill Unfudged'!$A$2:$A$498, 'Tax Bill Summary'!$A198, 'GE16FEB14 Tax Bill Unfudged'!G$2:G$498)</f>
        <v>289338</v>
      </c>
      <c r="Y198" s="13">
        <f>+SUMIF('GE16FEB14 Tax Bill Unfudged'!$A$2:$A$498, 'Tax Bill Summary'!$A198, 'GE16FEB14 Tax Bill Unfudged'!H$2:H$498)</f>
        <v>152023</v>
      </c>
      <c r="Z198" s="56">
        <f t="shared" si="132"/>
        <v>137315</v>
      </c>
      <c r="AA198" s="51">
        <f>+SUMIF('GE16FEB14 Tax Bill Unfudged'!$A$2:$A$498, 'Tax Bill Summary'!$A198, 'GE16FEB14 Tax Bill Unfudged'!I$2:I$498)</f>
        <v>501168</v>
      </c>
      <c r="AB198" s="13">
        <f>+SUMIF('GE16FEB14 Tax Bill Unfudged'!$A$2:$A$498, 'Tax Bill Summary'!$A198, 'GE16FEB14 Tax Bill Unfudged'!J$2:J$498)</f>
        <v>218096</v>
      </c>
      <c r="AC198" s="56">
        <f t="shared" si="133"/>
        <v>283072</v>
      </c>
      <c r="AD198" s="51">
        <f t="shared" si="134"/>
        <v>870818</v>
      </c>
      <c r="AE198" s="13">
        <f t="shared" si="135"/>
        <v>412316</v>
      </c>
      <c r="AF198" s="56">
        <f t="shared" si="136"/>
        <v>458502</v>
      </c>
      <c r="AG198" s="13">
        <f t="shared" si="137"/>
        <v>1276.8592375366568</v>
      </c>
      <c r="AH198" s="13">
        <f t="shared" si="138"/>
        <v>604.56891495601178</v>
      </c>
      <c r="AI198" s="16">
        <f t="shared" si="139"/>
        <v>672.29032258064512</v>
      </c>
      <c r="AJ198" s="15">
        <f t="shared" si="140"/>
        <v>8902</v>
      </c>
      <c r="AK198" s="13">
        <f t="shared" si="141"/>
        <v>4677</v>
      </c>
      <c r="AL198" s="56">
        <f t="shared" si="142"/>
        <v>4225</v>
      </c>
      <c r="AM198" s="51">
        <f t="shared" si="143"/>
        <v>289338</v>
      </c>
      <c r="AN198" s="13">
        <f t="shared" si="144"/>
        <v>152023</v>
      </c>
      <c r="AO198" s="56">
        <f t="shared" si="145"/>
        <v>137315</v>
      </c>
      <c r="AP198" s="51">
        <f t="shared" si="146"/>
        <v>-289338</v>
      </c>
      <c r="AQ198" s="13">
        <f t="shared" si="147"/>
        <v>-260393</v>
      </c>
      <c r="AR198" s="56">
        <f t="shared" si="148"/>
        <v>-28945</v>
      </c>
      <c r="AS198" s="51">
        <f t="shared" si="149"/>
        <v>8902</v>
      </c>
      <c r="AT198" s="13">
        <f t="shared" si="150"/>
        <v>-103693</v>
      </c>
      <c r="AU198" s="56">
        <f t="shared" si="151"/>
        <v>112595</v>
      </c>
      <c r="AV198" s="13">
        <f t="shared" si="152"/>
        <v>13.052785923753618</v>
      </c>
      <c r="AW198" s="13">
        <f t="shared" si="153"/>
        <v>-152.04252199413486</v>
      </c>
      <c r="AX198" s="16">
        <f t="shared" si="154"/>
        <v>165.09530791788853</v>
      </c>
    </row>
    <row r="199" spans="1:50" x14ac:dyDescent="0.25">
      <c r="A199" s="20">
        <v>621</v>
      </c>
      <c r="B199">
        <v>1</v>
      </c>
      <c r="C199" s="23" t="s">
        <v>315</v>
      </c>
      <c r="D199" s="23">
        <v>3</v>
      </c>
      <c r="E199" s="15">
        <f>+SUMIF('GE16FEB14 Unfudged'!$A$2:$A$498, $A199, 'GE16FEB14 Unfudged'!$D$2:$D$498)</f>
        <v>11360</v>
      </c>
      <c r="F199" s="15">
        <f>+SUMIF('GE16FEB14 Unfudged'!$A$2:$A$498, 'Tax Bill Summary'!$A199, 'GE16FEB14 Unfudged'!E$2:E$498)</f>
        <v>1160431</v>
      </c>
      <c r="G199" s="13">
        <f>+SUMIF('GE16FEB14 Unfudged'!$A$2:$A$498, 'Tax Bill Summary'!$A199, 'GE16FEB14 Unfudged'!F$2:F$498)</f>
        <v>1160431</v>
      </c>
      <c r="H199" s="56">
        <f t="shared" si="122"/>
        <v>0</v>
      </c>
      <c r="I199" s="51">
        <f>+SUMIF('GE16FEB14 Unfudged'!$A$2:$A$498, 'Tax Bill Summary'!$A199, 'GE16FEB14 Unfudged'!G$2:G$498)</f>
        <v>4816810</v>
      </c>
      <c r="J199" s="13">
        <f>+SUMIF('GE16FEB14 Unfudged'!$A$2:$A$498, 'Tax Bill Summary'!$A199, 'GE16FEB14 Unfudged'!H$2:H$498)</f>
        <v>4816810</v>
      </c>
      <c r="K199" s="56">
        <f t="shared" si="123"/>
        <v>0</v>
      </c>
      <c r="L199" s="51">
        <f>+SUMIF('GE16FEB14 Unfudged'!$A$2:$A$498, 'Tax Bill Summary'!$A199, 'GE16FEB14 Unfudged'!I$2:IF$498)</f>
        <v>13079910</v>
      </c>
      <c r="M199" s="13">
        <f>+SUMIF('GE16FEB14 Unfudged'!$A$2:$A$498, 'Tax Bill Summary'!$A199, 'GE16FEB14 Unfudged'!J$2:IG$498)</f>
        <v>12302644</v>
      </c>
      <c r="N199" s="56">
        <f t="shared" si="124"/>
        <v>777266</v>
      </c>
      <c r="O199" s="51">
        <f t="shared" si="125"/>
        <v>19057151</v>
      </c>
      <c r="P199" s="13">
        <f t="shared" si="126"/>
        <v>18279885</v>
      </c>
      <c r="Q199" s="56">
        <f t="shared" si="127"/>
        <v>777266</v>
      </c>
      <c r="R199" s="13">
        <f t="shared" si="128"/>
        <v>1677.5661091549296</v>
      </c>
      <c r="S199" s="13">
        <f t="shared" si="129"/>
        <v>1609.1448063380283</v>
      </c>
      <c r="T199" s="16">
        <f t="shared" si="130"/>
        <v>68.421302816901402</v>
      </c>
      <c r="U199" s="15">
        <f>+SUMIF('GE16FEB14 Tax Bill Unfudged'!$A$2:$A$498, 'Tax Bill Summary'!$A199, 'GE16FEB14 Tax Bill Unfudged'!E$2:E$498)</f>
        <v>1160431</v>
      </c>
      <c r="V199" s="13">
        <f>+SUMIF('GE16FEB14 Tax Bill Unfudged'!$A$2:$A$498, 'Tax Bill Summary'!$A199, 'GE16FEB14 Tax Bill Unfudged'!F$2:F$498)</f>
        <v>1160431</v>
      </c>
      <c r="W199" s="56">
        <f t="shared" si="131"/>
        <v>0</v>
      </c>
      <c r="X199" s="51">
        <f>+SUMIF('GE16FEB14 Tax Bill Unfudged'!$A$2:$A$498, 'Tax Bill Summary'!$A199, 'GE16FEB14 Tax Bill Unfudged'!G$2:G$498)</f>
        <v>4816810</v>
      </c>
      <c r="Y199" s="13">
        <f>+SUMIF('GE16FEB14 Tax Bill Unfudged'!$A$2:$A$498, 'Tax Bill Summary'!$A199, 'GE16FEB14 Tax Bill Unfudged'!H$2:H$498)</f>
        <v>4816810</v>
      </c>
      <c r="Z199" s="56">
        <f t="shared" si="132"/>
        <v>0</v>
      </c>
      <c r="AA199" s="51">
        <f>+SUMIF('GE16FEB14 Tax Bill Unfudged'!$A$2:$A$498, 'Tax Bill Summary'!$A199, 'GE16FEB14 Tax Bill Unfudged'!I$2:I$498)</f>
        <v>13079910</v>
      </c>
      <c r="AB199" s="13">
        <f>+SUMIF('GE16FEB14 Tax Bill Unfudged'!$A$2:$A$498, 'Tax Bill Summary'!$A199, 'GE16FEB14 Tax Bill Unfudged'!J$2:J$498)</f>
        <v>12302644</v>
      </c>
      <c r="AC199" s="56">
        <f t="shared" si="133"/>
        <v>777266</v>
      </c>
      <c r="AD199" s="51">
        <f t="shared" si="134"/>
        <v>19057151</v>
      </c>
      <c r="AE199" s="13">
        <f t="shared" si="135"/>
        <v>18279885</v>
      </c>
      <c r="AF199" s="56">
        <f t="shared" si="136"/>
        <v>777266</v>
      </c>
      <c r="AG199" s="13">
        <f t="shared" si="137"/>
        <v>1677.5661091549296</v>
      </c>
      <c r="AH199" s="13">
        <f t="shared" si="138"/>
        <v>1609.1448063380283</v>
      </c>
      <c r="AI199" s="16">
        <f t="shared" si="139"/>
        <v>68.421302816901402</v>
      </c>
      <c r="AJ199" s="15">
        <f t="shared" si="140"/>
        <v>0</v>
      </c>
      <c r="AK199" s="13">
        <f t="shared" si="141"/>
        <v>0</v>
      </c>
      <c r="AL199" s="56">
        <f t="shared" si="142"/>
        <v>0</v>
      </c>
      <c r="AM199" s="51">
        <f t="shared" si="143"/>
        <v>0</v>
      </c>
      <c r="AN199" s="13">
        <f t="shared" si="144"/>
        <v>0</v>
      </c>
      <c r="AO199" s="56">
        <f t="shared" si="145"/>
        <v>0</v>
      </c>
      <c r="AP199" s="51">
        <f t="shared" si="146"/>
        <v>0</v>
      </c>
      <c r="AQ199" s="13">
        <f t="shared" si="147"/>
        <v>0</v>
      </c>
      <c r="AR199" s="56">
        <f t="shared" si="148"/>
        <v>0</v>
      </c>
      <c r="AS199" s="51">
        <f t="shared" si="149"/>
        <v>0</v>
      </c>
      <c r="AT199" s="13">
        <f t="shared" si="150"/>
        <v>0</v>
      </c>
      <c r="AU199" s="56">
        <f t="shared" si="151"/>
        <v>0</v>
      </c>
      <c r="AV199" s="13">
        <f t="shared" si="152"/>
        <v>0</v>
      </c>
      <c r="AW199" s="13">
        <f t="shared" si="153"/>
        <v>0</v>
      </c>
      <c r="AX199" s="16">
        <f t="shared" si="154"/>
        <v>0</v>
      </c>
    </row>
    <row r="200" spans="1:50" x14ac:dyDescent="0.25">
      <c r="A200" s="20">
        <v>622</v>
      </c>
      <c r="B200">
        <v>1</v>
      </c>
      <c r="C200" s="23" t="s">
        <v>316</v>
      </c>
      <c r="D200" s="23">
        <v>2</v>
      </c>
      <c r="E200" s="15">
        <f>+SUMIF('GE16FEB14 Unfudged'!$A$2:$A$498, $A200, 'GE16FEB14 Unfudged'!$D$2:$D$498)</f>
        <v>11790</v>
      </c>
      <c r="F200" s="15">
        <f>+SUMIF('GE16FEB14 Unfudged'!$A$2:$A$498, 'Tax Bill Summary'!$A200, 'GE16FEB14 Unfudged'!E$2:E$498)</f>
        <v>1803953</v>
      </c>
      <c r="G200" s="13">
        <f>+SUMIF('GE16FEB14 Unfudged'!$A$2:$A$498, 'Tax Bill Summary'!$A200, 'GE16FEB14 Unfudged'!F$2:F$498)</f>
        <v>1803953</v>
      </c>
      <c r="H200" s="56">
        <f t="shared" si="122"/>
        <v>0</v>
      </c>
      <c r="I200" s="51">
        <f>+SUMIF('GE16FEB14 Unfudged'!$A$2:$A$498, 'Tax Bill Summary'!$A200, 'GE16FEB14 Unfudged'!G$2:G$498)</f>
        <v>4999130</v>
      </c>
      <c r="J200" s="13">
        <f>+SUMIF('GE16FEB14 Unfudged'!$A$2:$A$498, 'Tax Bill Summary'!$A200, 'GE16FEB14 Unfudged'!H$2:H$498)</f>
        <v>4999130</v>
      </c>
      <c r="K200" s="56">
        <f t="shared" si="123"/>
        <v>0</v>
      </c>
      <c r="L200" s="51">
        <f>+SUMIF('GE16FEB14 Unfudged'!$A$2:$A$498, 'Tax Bill Summary'!$A200, 'GE16FEB14 Unfudged'!I$2:IF$498)</f>
        <v>5763973</v>
      </c>
      <c r="M200" s="13">
        <f>+SUMIF('GE16FEB14 Unfudged'!$A$2:$A$498, 'Tax Bill Summary'!$A200, 'GE16FEB14 Unfudged'!J$2:IG$498)</f>
        <v>4337292</v>
      </c>
      <c r="N200" s="56">
        <f t="shared" si="124"/>
        <v>1426681</v>
      </c>
      <c r="O200" s="51">
        <f t="shared" si="125"/>
        <v>12567056</v>
      </c>
      <c r="P200" s="13">
        <f t="shared" si="126"/>
        <v>11140375</v>
      </c>
      <c r="Q200" s="56">
        <f t="shared" si="127"/>
        <v>1426681</v>
      </c>
      <c r="R200" s="13">
        <f t="shared" si="128"/>
        <v>1065.9080576759966</v>
      </c>
      <c r="S200" s="13">
        <f t="shared" si="129"/>
        <v>944.90033927056822</v>
      </c>
      <c r="T200" s="16">
        <f t="shared" si="130"/>
        <v>121.00771840542834</v>
      </c>
      <c r="U200" s="15">
        <f>+SUMIF('GE16FEB14 Tax Bill Unfudged'!$A$2:$A$498, 'Tax Bill Summary'!$A200, 'GE16FEB14 Tax Bill Unfudged'!E$2:E$498)</f>
        <v>1803953</v>
      </c>
      <c r="V200" s="13">
        <f>+SUMIF('GE16FEB14 Tax Bill Unfudged'!$A$2:$A$498, 'Tax Bill Summary'!$A200, 'GE16FEB14 Tax Bill Unfudged'!F$2:F$498)</f>
        <v>1803953</v>
      </c>
      <c r="W200" s="56">
        <f t="shared" si="131"/>
        <v>0</v>
      </c>
      <c r="X200" s="51">
        <f>+SUMIF('GE16FEB14 Tax Bill Unfudged'!$A$2:$A$498, 'Tax Bill Summary'!$A200, 'GE16FEB14 Tax Bill Unfudged'!G$2:G$498)</f>
        <v>4999130</v>
      </c>
      <c r="Y200" s="13">
        <f>+SUMIF('GE16FEB14 Tax Bill Unfudged'!$A$2:$A$498, 'Tax Bill Summary'!$A200, 'GE16FEB14 Tax Bill Unfudged'!H$2:H$498)</f>
        <v>4999130</v>
      </c>
      <c r="Z200" s="56">
        <f t="shared" si="132"/>
        <v>0</v>
      </c>
      <c r="AA200" s="51">
        <f>+SUMIF('GE16FEB14 Tax Bill Unfudged'!$A$2:$A$498, 'Tax Bill Summary'!$A200, 'GE16FEB14 Tax Bill Unfudged'!I$2:I$498)</f>
        <v>5763973</v>
      </c>
      <c r="AB200" s="13">
        <f>+SUMIF('GE16FEB14 Tax Bill Unfudged'!$A$2:$A$498, 'Tax Bill Summary'!$A200, 'GE16FEB14 Tax Bill Unfudged'!J$2:J$498)</f>
        <v>4337292</v>
      </c>
      <c r="AC200" s="56">
        <f t="shared" si="133"/>
        <v>1426681</v>
      </c>
      <c r="AD200" s="51">
        <f t="shared" si="134"/>
        <v>12567056</v>
      </c>
      <c r="AE200" s="13">
        <f t="shared" si="135"/>
        <v>11140375</v>
      </c>
      <c r="AF200" s="56">
        <f t="shared" si="136"/>
        <v>1426681</v>
      </c>
      <c r="AG200" s="13">
        <f t="shared" si="137"/>
        <v>1065.9080576759966</v>
      </c>
      <c r="AH200" s="13">
        <f t="shared" si="138"/>
        <v>944.90033927056822</v>
      </c>
      <c r="AI200" s="16">
        <f t="shared" si="139"/>
        <v>121.00771840542834</v>
      </c>
      <c r="AJ200" s="15">
        <f t="shared" si="140"/>
        <v>0</v>
      </c>
      <c r="AK200" s="13">
        <f t="shared" si="141"/>
        <v>0</v>
      </c>
      <c r="AL200" s="56">
        <f t="shared" si="142"/>
        <v>0</v>
      </c>
      <c r="AM200" s="51">
        <f t="shared" si="143"/>
        <v>0</v>
      </c>
      <c r="AN200" s="13">
        <f t="shared" si="144"/>
        <v>0</v>
      </c>
      <c r="AO200" s="56">
        <f t="shared" si="145"/>
        <v>0</v>
      </c>
      <c r="AP200" s="51">
        <f t="shared" si="146"/>
        <v>0</v>
      </c>
      <c r="AQ200" s="13">
        <f t="shared" si="147"/>
        <v>0</v>
      </c>
      <c r="AR200" s="56">
        <f t="shared" si="148"/>
        <v>0</v>
      </c>
      <c r="AS200" s="51">
        <f t="shared" si="149"/>
        <v>0</v>
      </c>
      <c r="AT200" s="13">
        <f t="shared" si="150"/>
        <v>0</v>
      </c>
      <c r="AU200" s="56">
        <f t="shared" si="151"/>
        <v>0</v>
      </c>
      <c r="AV200" s="13">
        <f t="shared" si="152"/>
        <v>0</v>
      </c>
      <c r="AW200" s="13">
        <f t="shared" si="153"/>
        <v>0</v>
      </c>
      <c r="AX200" s="16">
        <f t="shared" si="154"/>
        <v>0</v>
      </c>
    </row>
    <row r="201" spans="1:50" x14ac:dyDescent="0.25">
      <c r="A201" s="20">
        <v>623</v>
      </c>
      <c r="B201">
        <v>1</v>
      </c>
      <c r="C201" s="23" t="s">
        <v>317</v>
      </c>
      <c r="D201" s="23">
        <v>2</v>
      </c>
      <c r="E201" s="15">
        <f>+SUMIF('GE16FEB14 Unfudged'!$A$2:$A$498, $A201, 'GE16FEB14 Unfudged'!$D$2:$D$498)</f>
        <v>7887</v>
      </c>
      <c r="F201" s="15">
        <f>+SUMIF('GE16FEB14 Unfudged'!$A$2:$A$498, 'Tax Bill Summary'!$A201, 'GE16FEB14 Unfudged'!E$2:E$498)</f>
        <v>831991</v>
      </c>
      <c r="G201" s="13">
        <f>+SUMIF('GE16FEB14 Unfudged'!$A$2:$A$498, 'Tax Bill Summary'!$A201, 'GE16FEB14 Unfudged'!F$2:F$498)</f>
        <v>831991</v>
      </c>
      <c r="H201" s="56">
        <f t="shared" si="122"/>
        <v>0</v>
      </c>
      <c r="I201" s="51">
        <f>+SUMIF('GE16FEB14 Unfudged'!$A$2:$A$498, 'Tax Bill Summary'!$A201, 'GE16FEB14 Unfudged'!G$2:G$498)</f>
        <v>3344003</v>
      </c>
      <c r="J201" s="13">
        <f>+SUMIF('GE16FEB14 Unfudged'!$A$2:$A$498, 'Tax Bill Summary'!$A201, 'GE16FEB14 Unfudged'!H$2:H$498)</f>
        <v>3344003</v>
      </c>
      <c r="K201" s="56">
        <f t="shared" si="123"/>
        <v>0</v>
      </c>
      <c r="L201" s="51">
        <f>+SUMIF('GE16FEB14 Unfudged'!$A$2:$A$498, 'Tax Bill Summary'!$A201, 'GE16FEB14 Unfudged'!I$2:IF$498)</f>
        <v>8736918</v>
      </c>
      <c r="M201" s="13">
        <f>+SUMIF('GE16FEB14 Unfudged'!$A$2:$A$498, 'Tax Bill Summary'!$A201, 'GE16FEB14 Unfudged'!J$2:IG$498)</f>
        <v>8256778</v>
      </c>
      <c r="N201" s="56">
        <f t="shared" si="124"/>
        <v>480140</v>
      </c>
      <c r="O201" s="51">
        <f t="shared" si="125"/>
        <v>12912912</v>
      </c>
      <c r="P201" s="13">
        <f t="shared" si="126"/>
        <v>12432772</v>
      </c>
      <c r="Q201" s="56">
        <f t="shared" si="127"/>
        <v>480140</v>
      </c>
      <c r="R201" s="13">
        <f t="shared" si="128"/>
        <v>1637.2400152149105</v>
      </c>
      <c r="S201" s="13">
        <f t="shared" si="129"/>
        <v>1576.3626220362621</v>
      </c>
      <c r="T201" s="16">
        <f t="shared" si="130"/>
        <v>60.877393178648411</v>
      </c>
      <c r="U201" s="15">
        <f>+SUMIF('GE16FEB14 Tax Bill Unfudged'!$A$2:$A$498, 'Tax Bill Summary'!$A201, 'GE16FEB14 Tax Bill Unfudged'!E$2:E$498)</f>
        <v>831991</v>
      </c>
      <c r="V201" s="13">
        <f>+SUMIF('GE16FEB14 Tax Bill Unfudged'!$A$2:$A$498, 'Tax Bill Summary'!$A201, 'GE16FEB14 Tax Bill Unfudged'!F$2:F$498)</f>
        <v>831991</v>
      </c>
      <c r="W201" s="56">
        <f t="shared" si="131"/>
        <v>0</v>
      </c>
      <c r="X201" s="51">
        <f>+SUMIF('GE16FEB14 Tax Bill Unfudged'!$A$2:$A$498, 'Tax Bill Summary'!$A201, 'GE16FEB14 Tax Bill Unfudged'!G$2:G$498)</f>
        <v>3344003</v>
      </c>
      <c r="Y201" s="13">
        <f>+SUMIF('GE16FEB14 Tax Bill Unfudged'!$A$2:$A$498, 'Tax Bill Summary'!$A201, 'GE16FEB14 Tax Bill Unfudged'!H$2:H$498)</f>
        <v>3344003</v>
      </c>
      <c r="Z201" s="56">
        <f t="shared" si="132"/>
        <v>0</v>
      </c>
      <c r="AA201" s="51">
        <f>+SUMIF('GE16FEB14 Tax Bill Unfudged'!$A$2:$A$498, 'Tax Bill Summary'!$A201, 'GE16FEB14 Tax Bill Unfudged'!I$2:I$498)</f>
        <v>8736918</v>
      </c>
      <c r="AB201" s="13">
        <f>+SUMIF('GE16FEB14 Tax Bill Unfudged'!$A$2:$A$498, 'Tax Bill Summary'!$A201, 'GE16FEB14 Tax Bill Unfudged'!J$2:J$498)</f>
        <v>8256778</v>
      </c>
      <c r="AC201" s="56">
        <f t="shared" si="133"/>
        <v>480140</v>
      </c>
      <c r="AD201" s="51">
        <f t="shared" si="134"/>
        <v>12912912</v>
      </c>
      <c r="AE201" s="13">
        <f t="shared" si="135"/>
        <v>12432772</v>
      </c>
      <c r="AF201" s="56">
        <f t="shared" si="136"/>
        <v>480140</v>
      </c>
      <c r="AG201" s="13">
        <f t="shared" si="137"/>
        <v>1637.2400152149105</v>
      </c>
      <c r="AH201" s="13">
        <f t="shared" si="138"/>
        <v>1576.3626220362621</v>
      </c>
      <c r="AI201" s="16">
        <f t="shared" si="139"/>
        <v>60.877393178648411</v>
      </c>
      <c r="AJ201" s="15">
        <f t="shared" si="140"/>
        <v>0</v>
      </c>
      <c r="AK201" s="13">
        <f t="shared" si="141"/>
        <v>0</v>
      </c>
      <c r="AL201" s="56">
        <f t="shared" si="142"/>
        <v>0</v>
      </c>
      <c r="AM201" s="51">
        <f t="shared" si="143"/>
        <v>0</v>
      </c>
      <c r="AN201" s="13">
        <f t="shared" si="144"/>
        <v>0</v>
      </c>
      <c r="AO201" s="56">
        <f t="shared" si="145"/>
        <v>0</v>
      </c>
      <c r="AP201" s="51">
        <f t="shared" si="146"/>
        <v>0</v>
      </c>
      <c r="AQ201" s="13">
        <f t="shared" si="147"/>
        <v>0</v>
      </c>
      <c r="AR201" s="56">
        <f t="shared" si="148"/>
        <v>0</v>
      </c>
      <c r="AS201" s="51">
        <f t="shared" si="149"/>
        <v>0</v>
      </c>
      <c r="AT201" s="13">
        <f t="shared" si="150"/>
        <v>0</v>
      </c>
      <c r="AU201" s="56">
        <f t="shared" si="151"/>
        <v>0</v>
      </c>
      <c r="AV201" s="13">
        <f t="shared" si="152"/>
        <v>0</v>
      </c>
      <c r="AW201" s="13">
        <f t="shared" si="153"/>
        <v>0</v>
      </c>
      <c r="AX201" s="16">
        <f t="shared" si="154"/>
        <v>0</v>
      </c>
    </row>
    <row r="202" spans="1:50" x14ac:dyDescent="0.25">
      <c r="A202" s="20">
        <v>624</v>
      </c>
      <c r="B202">
        <v>1</v>
      </c>
      <c r="C202" s="23" t="s">
        <v>318</v>
      </c>
      <c r="D202" s="23">
        <v>3</v>
      </c>
      <c r="E202" s="15">
        <f>+SUMIF('GE16FEB14 Unfudged'!$A$2:$A$498, $A202, 'GE16FEB14 Unfudged'!$D$2:$D$498)</f>
        <v>8949</v>
      </c>
      <c r="F202" s="15">
        <f>+SUMIF('GE16FEB14 Unfudged'!$A$2:$A$498, 'Tax Bill Summary'!$A202, 'GE16FEB14 Unfudged'!E$2:E$498)</f>
        <v>723638</v>
      </c>
      <c r="G202" s="13">
        <f>+SUMIF('GE16FEB14 Unfudged'!$A$2:$A$498, 'Tax Bill Summary'!$A202, 'GE16FEB14 Unfudged'!F$2:F$498)</f>
        <v>723638</v>
      </c>
      <c r="H202" s="56">
        <f t="shared" si="122"/>
        <v>0</v>
      </c>
      <c r="I202" s="51">
        <f>+SUMIF('GE16FEB14 Unfudged'!$A$2:$A$498, 'Tax Bill Summary'!$A202, 'GE16FEB14 Unfudged'!G$2:G$498)</f>
        <v>3794567</v>
      </c>
      <c r="J202" s="13">
        <f>+SUMIF('GE16FEB14 Unfudged'!$A$2:$A$498, 'Tax Bill Summary'!$A202, 'GE16FEB14 Unfudged'!H$2:H$498)</f>
        <v>3794567</v>
      </c>
      <c r="K202" s="56">
        <f t="shared" si="123"/>
        <v>0</v>
      </c>
      <c r="L202" s="51">
        <f>+SUMIF('GE16FEB14 Unfudged'!$A$2:$A$498, 'Tax Bill Summary'!$A202, 'GE16FEB14 Unfudged'!I$2:IF$498)</f>
        <v>12785990</v>
      </c>
      <c r="M202" s="13">
        <f>+SUMIF('GE16FEB14 Unfudged'!$A$2:$A$498, 'Tax Bill Summary'!$A202, 'GE16FEB14 Unfudged'!J$2:IG$498)</f>
        <v>11985679</v>
      </c>
      <c r="N202" s="56">
        <f t="shared" si="124"/>
        <v>800311</v>
      </c>
      <c r="O202" s="51">
        <f t="shared" si="125"/>
        <v>17304195</v>
      </c>
      <c r="P202" s="13">
        <f t="shared" si="126"/>
        <v>16503884</v>
      </c>
      <c r="Q202" s="56">
        <f t="shared" si="127"/>
        <v>800311</v>
      </c>
      <c r="R202" s="13">
        <f t="shared" si="128"/>
        <v>1933.6456587328194</v>
      </c>
      <c r="S202" s="13">
        <f t="shared" si="129"/>
        <v>1844.2154430662645</v>
      </c>
      <c r="T202" s="16">
        <f t="shared" si="130"/>
        <v>89.430215666554929</v>
      </c>
      <c r="U202" s="15">
        <f>+SUMIF('GE16FEB14 Tax Bill Unfudged'!$A$2:$A$498, 'Tax Bill Summary'!$A202, 'GE16FEB14 Tax Bill Unfudged'!E$2:E$498)</f>
        <v>723638</v>
      </c>
      <c r="V202" s="13">
        <f>+SUMIF('GE16FEB14 Tax Bill Unfudged'!$A$2:$A$498, 'Tax Bill Summary'!$A202, 'GE16FEB14 Tax Bill Unfudged'!F$2:F$498)</f>
        <v>723638</v>
      </c>
      <c r="W202" s="56">
        <f t="shared" si="131"/>
        <v>0</v>
      </c>
      <c r="X202" s="51">
        <f>+SUMIF('GE16FEB14 Tax Bill Unfudged'!$A$2:$A$498, 'Tax Bill Summary'!$A202, 'GE16FEB14 Tax Bill Unfudged'!G$2:G$498)</f>
        <v>3794567</v>
      </c>
      <c r="Y202" s="13">
        <f>+SUMIF('GE16FEB14 Tax Bill Unfudged'!$A$2:$A$498, 'Tax Bill Summary'!$A202, 'GE16FEB14 Tax Bill Unfudged'!H$2:H$498)</f>
        <v>3794567</v>
      </c>
      <c r="Z202" s="56">
        <f t="shared" si="132"/>
        <v>0</v>
      </c>
      <c r="AA202" s="51">
        <f>+SUMIF('GE16FEB14 Tax Bill Unfudged'!$A$2:$A$498, 'Tax Bill Summary'!$A202, 'GE16FEB14 Tax Bill Unfudged'!I$2:I$498)</f>
        <v>12785990</v>
      </c>
      <c r="AB202" s="13">
        <f>+SUMIF('GE16FEB14 Tax Bill Unfudged'!$A$2:$A$498, 'Tax Bill Summary'!$A202, 'GE16FEB14 Tax Bill Unfudged'!J$2:J$498)</f>
        <v>11985679</v>
      </c>
      <c r="AC202" s="56">
        <f t="shared" si="133"/>
        <v>800311</v>
      </c>
      <c r="AD202" s="51">
        <f t="shared" si="134"/>
        <v>17304195</v>
      </c>
      <c r="AE202" s="13">
        <f t="shared" si="135"/>
        <v>16503884</v>
      </c>
      <c r="AF202" s="56">
        <f t="shared" si="136"/>
        <v>800311</v>
      </c>
      <c r="AG202" s="13">
        <f t="shared" si="137"/>
        <v>1933.6456587328194</v>
      </c>
      <c r="AH202" s="13">
        <f t="shared" si="138"/>
        <v>1844.2154430662645</v>
      </c>
      <c r="AI202" s="16">
        <f t="shared" si="139"/>
        <v>89.430215666554929</v>
      </c>
      <c r="AJ202" s="15">
        <f t="shared" si="140"/>
        <v>0</v>
      </c>
      <c r="AK202" s="13">
        <f t="shared" si="141"/>
        <v>0</v>
      </c>
      <c r="AL202" s="56">
        <f t="shared" si="142"/>
        <v>0</v>
      </c>
      <c r="AM202" s="51">
        <f t="shared" si="143"/>
        <v>0</v>
      </c>
      <c r="AN202" s="13">
        <f t="shared" si="144"/>
        <v>0</v>
      </c>
      <c r="AO202" s="56">
        <f t="shared" si="145"/>
        <v>0</v>
      </c>
      <c r="AP202" s="51">
        <f t="shared" si="146"/>
        <v>0</v>
      </c>
      <c r="AQ202" s="13">
        <f t="shared" si="147"/>
        <v>0</v>
      </c>
      <c r="AR202" s="56">
        <f t="shared" si="148"/>
        <v>0</v>
      </c>
      <c r="AS202" s="51">
        <f t="shared" si="149"/>
        <v>0</v>
      </c>
      <c r="AT202" s="13">
        <f t="shared" si="150"/>
        <v>0</v>
      </c>
      <c r="AU202" s="56">
        <f t="shared" si="151"/>
        <v>0</v>
      </c>
      <c r="AV202" s="13">
        <f t="shared" si="152"/>
        <v>0</v>
      </c>
      <c r="AW202" s="13">
        <f t="shared" si="153"/>
        <v>0</v>
      </c>
      <c r="AX202" s="16">
        <f t="shared" si="154"/>
        <v>0</v>
      </c>
    </row>
    <row r="203" spans="1:50" x14ac:dyDescent="0.25">
      <c r="A203" s="20">
        <v>625</v>
      </c>
      <c r="B203">
        <v>1</v>
      </c>
      <c r="C203" s="23" t="s">
        <v>319</v>
      </c>
      <c r="D203" s="23">
        <v>1</v>
      </c>
      <c r="E203" s="15">
        <f>+SUMIF('GE16FEB14 Unfudged'!$A$2:$A$498, $A203, 'GE16FEB14 Unfudged'!$D$2:$D$498)</f>
        <v>40728</v>
      </c>
      <c r="F203" s="15">
        <f>+SUMIF('GE16FEB14 Unfudged'!$A$2:$A$498, 'Tax Bill Summary'!$A203, 'GE16FEB14 Unfudged'!E$2:E$498)</f>
        <v>2036400</v>
      </c>
      <c r="G203" s="13">
        <f>+SUMIF('GE16FEB14 Unfudged'!$A$2:$A$498, 'Tax Bill Summary'!$A203, 'GE16FEB14 Unfudged'!F$2:F$498)</f>
        <v>1429379</v>
      </c>
      <c r="H203" s="56">
        <f t="shared" si="122"/>
        <v>607021</v>
      </c>
      <c r="I203" s="51">
        <f>+SUMIF('GE16FEB14 Unfudged'!$A$2:$A$498, 'Tax Bill Summary'!$A203, 'GE16FEB14 Unfudged'!G$2:G$498)</f>
        <v>17268672</v>
      </c>
      <c r="J203" s="13">
        <f>+SUMIF('GE16FEB14 Unfudged'!$A$2:$A$498, 'Tax Bill Summary'!$A203, 'GE16FEB14 Unfudged'!H$2:H$498)</f>
        <v>12121134</v>
      </c>
      <c r="K203" s="56">
        <f t="shared" si="123"/>
        <v>5147538</v>
      </c>
      <c r="L203" s="51">
        <f>+SUMIF('GE16FEB14 Unfudged'!$A$2:$A$498, 'Tax Bill Summary'!$A203, 'GE16FEB14 Unfudged'!I$2:IF$498)</f>
        <v>26043112</v>
      </c>
      <c r="M203" s="13">
        <f>+SUMIF('GE16FEB14 Unfudged'!$A$2:$A$498, 'Tax Bill Summary'!$A203, 'GE16FEB14 Unfudged'!J$2:IG$498)</f>
        <v>14674108</v>
      </c>
      <c r="N203" s="56">
        <f t="shared" si="124"/>
        <v>11369004</v>
      </c>
      <c r="O203" s="51">
        <f t="shared" si="125"/>
        <v>45348184</v>
      </c>
      <c r="P203" s="13">
        <f t="shared" si="126"/>
        <v>28224621</v>
      </c>
      <c r="Q203" s="56">
        <f t="shared" si="127"/>
        <v>17123563</v>
      </c>
      <c r="R203" s="13">
        <f t="shared" si="128"/>
        <v>1113.4399921429974</v>
      </c>
      <c r="S203" s="13">
        <f t="shared" si="129"/>
        <v>693.00287271655861</v>
      </c>
      <c r="T203" s="16">
        <f t="shared" si="130"/>
        <v>420.43711942643881</v>
      </c>
      <c r="U203" s="15">
        <f>+SUMIF('GE16FEB14 Tax Bill Unfudged'!$A$2:$A$498, 'Tax Bill Summary'!$A203, 'GE16FEB14 Tax Bill Unfudged'!E$2:E$498)</f>
        <v>2036400</v>
      </c>
      <c r="V203" s="13">
        <f>+SUMIF('GE16FEB14 Tax Bill Unfudged'!$A$2:$A$498, 'Tax Bill Summary'!$A203, 'GE16FEB14 Tax Bill Unfudged'!F$2:F$498)</f>
        <v>1429379</v>
      </c>
      <c r="W203" s="56">
        <f t="shared" si="131"/>
        <v>607021</v>
      </c>
      <c r="X203" s="51">
        <f>+SUMIF('GE16FEB14 Tax Bill Unfudged'!$A$2:$A$498, 'Tax Bill Summary'!$A203, 'GE16FEB14 Tax Bill Unfudged'!G$2:G$498)</f>
        <v>17268672</v>
      </c>
      <c r="Y203" s="13">
        <f>+SUMIF('GE16FEB14 Tax Bill Unfudged'!$A$2:$A$498, 'Tax Bill Summary'!$A203, 'GE16FEB14 Tax Bill Unfudged'!H$2:H$498)</f>
        <v>12121134</v>
      </c>
      <c r="Z203" s="56">
        <f t="shared" si="132"/>
        <v>5147538</v>
      </c>
      <c r="AA203" s="51">
        <f>+SUMIF('GE16FEB14 Tax Bill Unfudged'!$A$2:$A$498, 'Tax Bill Summary'!$A203, 'GE16FEB14 Tax Bill Unfudged'!I$2:I$498)</f>
        <v>26043112</v>
      </c>
      <c r="AB203" s="13">
        <f>+SUMIF('GE16FEB14 Tax Bill Unfudged'!$A$2:$A$498, 'Tax Bill Summary'!$A203, 'GE16FEB14 Tax Bill Unfudged'!J$2:J$498)</f>
        <v>14674108</v>
      </c>
      <c r="AC203" s="56">
        <f t="shared" si="133"/>
        <v>11369004</v>
      </c>
      <c r="AD203" s="51">
        <f t="shared" si="134"/>
        <v>45348184</v>
      </c>
      <c r="AE203" s="13">
        <f t="shared" si="135"/>
        <v>28224621</v>
      </c>
      <c r="AF203" s="56">
        <f t="shared" si="136"/>
        <v>17123563</v>
      </c>
      <c r="AG203" s="13">
        <f t="shared" si="137"/>
        <v>1113.4399921429974</v>
      </c>
      <c r="AH203" s="13">
        <f t="shared" si="138"/>
        <v>693.00287271655861</v>
      </c>
      <c r="AI203" s="16">
        <f t="shared" si="139"/>
        <v>420.43711942643881</v>
      </c>
      <c r="AJ203" s="15">
        <f t="shared" si="140"/>
        <v>0</v>
      </c>
      <c r="AK203" s="13">
        <f t="shared" si="141"/>
        <v>0</v>
      </c>
      <c r="AL203" s="56">
        <f t="shared" si="142"/>
        <v>0</v>
      </c>
      <c r="AM203" s="51">
        <f t="shared" si="143"/>
        <v>0</v>
      </c>
      <c r="AN203" s="13">
        <f t="shared" si="144"/>
        <v>0</v>
      </c>
      <c r="AO203" s="56">
        <f t="shared" si="145"/>
        <v>0</v>
      </c>
      <c r="AP203" s="51">
        <f t="shared" si="146"/>
        <v>0</v>
      </c>
      <c r="AQ203" s="13">
        <f t="shared" si="147"/>
        <v>0</v>
      </c>
      <c r="AR203" s="56">
        <f t="shared" si="148"/>
        <v>0</v>
      </c>
      <c r="AS203" s="51">
        <f t="shared" si="149"/>
        <v>0</v>
      </c>
      <c r="AT203" s="13">
        <f t="shared" si="150"/>
        <v>0</v>
      </c>
      <c r="AU203" s="56">
        <f t="shared" si="151"/>
        <v>0</v>
      </c>
      <c r="AV203" s="13">
        <f t="shared" si="152"/>
        <v>0</v>
      </c>
      <c r="AW203" s="13">
        <f t="shared" si="153"/>
        <v>0</v>
      </c>
      <c r="AX203" s="16">
        <f t="shared" si="154"/>
        <v>0</v>
      </c>
    </row>
    <row r="204" spans="1:50" x14ac:dyDescent="0.25">
      <c r="A204" s="20">
        <v>630</v>
      </c>
      <c r="B204">
        <v>1</v>
      </c>
      <c r="C204" s="23" t="s">
        <v>320</v>
      </c>
      <c r="D204" s="23">
        <v>6</v>
      </c>
      <c r="E204" s="15">
        <f>+SUMIF('GE16FEB14 Unfudged'!$A$2:$A$498, $A204, 'GE16FEB14 Unfudged'!$D$2:$D$498)</f>
        <v>401</v>
      </c>
      <c r="F204" s="15">
        <f>+SUMIF('GE16FEB14 Unfudged'!$A$2:$A$498, 'Tax Bill Summary'!$A204, 'GE16FEB14 Unfudged'!E$2:E$498)</f>
        <v>32458</v>
      </c>
      <c r="G204" s="13">
        <f>+SUMIF('GE16FEB14 Unfudged'!$A$2:$A$498, 'Tax Bill Summary'!$A204, 'GE16FEB14 Unfudged'!F$2:F$498)</f>
        <v>12091</v>
      </c>
      <c r="H204" s="56">
        <f t="shared" si="122"/>
        <v>20367</v>
      </c>
      <c r="I204" s="51">
        <f>+SUMIF('GE16FEB14 Unfudged'!$A$2:$A$498, 'Tax Bill Summary'!$A204, 'GE16FEB14 Unfudged'!G$2:G$498)</f>
        <v>0</v>
      </c>
      <c r="J204" s="13">
        <f>+SUMIF('GE16FEB14 Unfudged'!$A$2:$A$498, 'Tax Bill Summary'!$A204, 'GE16FEB14 Unfudged'!H$2:H$498)</f>
        <v>0</v>
      </c>
      <c r="K204" s="56">
        <f t="shared" si="123"/>
        <v>0</v>
      </c>
      <c r="L204" s="51">
        <f>+SUMIF('GE16FEB14 Unfudged'!$A$2:$A$498, 'Tax Bill Summary'!$A204, 'GE16FEB14 Unfudged'!I$2:IF$498)</f>
        <v>670456</v>
      </c>
      <c r="M204" s="13">
        <f>+SUMIF('GE16FEB14 Unfudged'!$A$2:$A$498, 'Tax Bill Summary'!$A204, 'GE16FEB14 Unfudged'!J$2:IG$498)</f>
        <v>334354</v>
      </c>
      <c r="N204" s="56">
        <f t="shared" si="124"/>
        <v>336102</v>
      </c>
      <c r="O204" s="51">
        <f t="shared" si="125"/>
        <v>702914</v>
      </c>
      <c r="P204" s="13">
        <f t="shared" si="126"/>
        <v>346445</v>
      </c>
      <c r="Q204" s="56">
        <f t="shared" si="127"/>
        <v>356469</v>
      </c>
      <c r="R204" s="13">
        <f t="shared" si="128"/>
        <v>1752.9027431421446</v>
      </c>
      <c r="S204" s="13">
        <f t="shared" si="129"/>
        <v>863.95261845386528</v>
      </c>
      <c r="T204" s="16">
        <f t="shared" si="130"/>
        <v>888.95012468827929</v>
      </c>
      <c r="U204" s="15">
        <f>+SUMIF('GE16FEB14 Tax Bill Unfudged'!$A$2:$A$498, 'Tax Bill Summary'!$A204, 'GE16FEB14 Tax Bill Unfudged'!E$2:E$498)</f>
        <v>34647</v>
      </c>
      <c r="V204" s="13">
        <f>+SUMIF('GE16FEB14 Tax Bill Unfudged'!$A$2:$A$498, 'Tax Bill Summary'!$A204, 'GE16FEB14 Tax Bill Unfudged'!F$2:F$498)</f>
        <v>12906</v>
      </c>
      <c r="W204" s="56">
        <f t="shared" si="131"/>
        <v>21741</v>
      </c>
      <c r="X204" s="51">
        <f>+SUMIF('GE16FEB14 Tax Bill Unfudged'!$A$2:$A$498, 'Tax Bill Summary'!$A204, 'GE16FEB14 Tax Bill Unfudged'!G$2:G$498)</f>
        <v>169854</v>
      </c>
      <c r="Y204" s="13">
        <f>+SUMIF('GE16FEB14 Tax Bill Unfudged'!$A$2:$A$498, 'Tax Bill Summary'!$A204, 'GE16FEB14 Tax Bill Unfudged'!H$2:H$498)</f>
        <v>63271</v>
      </c>
      <c r="Z204" s="56">
        <f t="shared" si="132"/>
        <v>106583</v>
      </c>
      <c r="AA204" s="51">
        <f>+SUMIF('GE16FEB14 Tax Bill Unfudged'!$A$2:$A$498, 'Tax Bill Summary'!$A204, 'GE16FEB14 Tax Bill Unfudged'!I$2:I$498)</f>
        <v>500602</v>
      </c>
      <c r="AB204" s="13">
        <f>+SUMIF('GE16FEB14 Tax Bill Unfudged'!$A$2:$A$498, 'Tax Bill Summary'!$A204, 'GE16FEB14 Tax Bill Unfudged'!J$2:J$498)</f>
        <v>223083</v>
      </c>
      <c r="AC204" s="56">
        <f t="shared" si="133"/>
        <v>277519</v>
      </c>
      <c r="AD204" s="51">
        <f t="shared" si="134"/>
        <v>705103</v>
      </c>
      <c r="AE204" s="13">
        <f t="shared" si="135"/>
        <v>299260</v>
      </c>
      <c r="AF204" s="56">
        <f t="shared" si="136"/>
        <v>405843</v>
      </c>
      <c r="AG204" s="13">
        <f t="shared" si="137"/>
        <v>1758.3615960099751</v>
      </c>
      <c r="AH204" s="13">
        <f t="shared" si="138"/>
        <v>746.28428927680795</v>
      </c>
      <c r="AI204" s="16">
        <f t="shared" si="139"/>
        <v>1012.0773067331671</v>
      </c>
      <c r="AJ204" s="15">
        <f t="shared" si="140"/>
        <v>2189</v>
      </c>
      <c r="AK204" s="13">
        <f t="shared" si="141"/>
        <v>815</v>
      </c>
      <c r="AL204" s="56">
        <f t="shared" si="142"/>
        <v>1374</v>
      </c>
      <c r="AM204" s="51">
        <f t="shared" si="143"/>
        <v>169854</v>
      </c>
      <c r="AN204" s="13">
        <f t="shared" si="144"/>
        <v>63271</v>
      </c>
      <c r="AO204" s="56">
        <f t="shared" si="145"/>
        <v>106583</v>
      </c>
      <c r="AP204" s="51">
        <f t="shared" si="146"/>
        <v>-169854</v>
      </c>
      <c r="AQ204" s="13">
        <f t="shared" si="147"/>
        <v>-111271</v>
      </c>
      <c r="AR204" s="56">
        <f t="shared" si="148"/>
        <v>-58583</v>
      </c>
      <c r="AS204" s="51">
        <f t="shared" si="149"/>
        <v>2189</v>
      </c>
      <c r="AT204" s="13">
        <f t="shared" si="150"/>
        <v>-47185</v>
      </c>
      <c r="AU204" s="56">
        <f t="shared" si="151"/>
        <v>49374</v>
      </c>
      <c r="AV204" s="13">
        <f t="shared" si="152"/>
        <v>5.4588528678305011</v>
      </c>
      <c r="AW204" s="13">
        <f t="shared" si="153"/>
        <v>-117.66832917705733</v>
      </c>
      <c r="AX204" s="16">
        <f t="shared" si="154"/>
        <v>123.12718204488783</v>
      </c>
    </row>
    <row r="205" spans="1:50" x14ac:dyDescent="0.25">
      <c r="A205" s="20">
        <v>635</v>
      </c>
      <c r="B205">
        <v>1</v>
      </c>
      <c r="C205" s="23" t="s">
        <v>321</v>
      </c>
      <c r="D205" s="23">
        <v>6</v>
      </c>
      <c r="E205" s="15">
        <f>+SUMIF('GE16FEB14 Unfudged'!$A$2:$A$498, $A205, 'GE16FEB14 Unfudged'!$D$2:$D$498)</f>
        <v>56</v>
      </c>
      <c r="F205" s="15">
        <f>+SUMIF('GE16FEB14 Unfudged'!$A$2:$A$498, 'Tax Bill Summary'!$A205, 'GE16FEB14 Unfudged'!E$2:E$498)</f>
        <v>2820</v>
      </c>
      <c r="G205" s="13">
        <f>+SUMIF('GE16FEB14 Unfudged'!$A$2:$A$498, 'Tax Bill Summary'!$A205, 'GE16FEB14 Unfudged'!F$2:F$498)</f>
        <v>1687</v>
      </c>
      <c r="H205" s="56">
        <f t="shared" si="122"/>
        <v>1133</v>
      </c>
      <c r="I205" s="51">
        <f>+SUMIF('GE16FEB14 Unfudged'!$A$2:$A$498, 'Tax Bill Summary'!$A205, 'GE16FEB14 Unfudged'!G$2:G$498)</f>
        <v>0</v>
      </c>
      <c r="J205" s="13">
        <f>+SUMIF('GE16FEB14 Unfudged'!$A$2:$A$498, 'Tax Bill Summary'!$A205, 'GE16FEB14 Unfudged'!H$2:H$498)</f>
        <v>0</v>
      </c>
      <c r="K205" s="56">
        <f t="shared" si="123"/>
        <v>0</v>
      </c>
      <c r="L205" s="51">
        <f>+SUMIF('GE16FEB14 Unfudged'!$A$2:$A$498, 'Tax Bill Summary'!$A205, 'GE16FEB14 Unfudged'!I$2:IF$498)</f>
        <v>195026</v>
      </c>
      <c r="M205" s="13">
        <f>+SUMIF('GE16FEB14 Unfudged'!$A$2:$A$498, 'Tax Bill Summary'!$A205, 'GE16FEB14 Unfudged'!J$2:IG$498)</f>
        <v>159223</v>
      </c>
      <c r="N205" s="56">
        <f t="shared" si="124"/>
        <v>35803</v>
      </c>
      <c r="O205" s="51">
        <f t="shared" si="125"/>
        <v>197846</v>
      </c>
      <c r="P205" s="13">
        <f t="shared" si="126"/>
        <v>160910</v>
      </c>
      <c r="Q205" s="56">
        <f t="shared" si="127"/>
        <v>36936</v>
      </c>
      <c r="R205" s="13">
        <f t="shared" si="128"/>
        <v>3532.9642857142858</v>
      </c>
      <c r="S205" s="13">
        <f t="shared" si="129"/>
        <v>2873.3928571428573</v>
      </c>
      <c r="T205" s="16">
        <f t="shared" si="130"/>
        <v>659.57142857142856</v>
      </c>
      <c r="U205" s="15">
        <f>+SUMIF('GE16FEB14 Tax Bill Unfudged'!$A$2:$A$498, 'Tax Bill Summary'!$A205, 'GE16FEB14 Tax Bill Unfudged'!E$2:E$498)</f>
        <v>2820</v>
      </c>
      <c r="V205" s="13">
        <f>+SUMIF('GE16FEB14 Tax Bill Unfudged'!$A$2:$A$498, 'Tax Bill Summary'!$A205, 'GE16FEB14 Tax Bill Unfudged'!F$2:F$498)</f>
        <v>1687</v>
      </c>
      <c r="W205" s="56">
        <f t="shared" si="131"/>
        <v>1133</v>
      </c>
      <c r="X205" s="51">
        <f>+SUMIF('GE16FEB14 Tax Bill Unfudged'!$A$2:$A$498, 'Tax Bill Summary'!$A205, 'GE16FEB14 Tax Bill Unfudged'!G$2:G$498)</f>
        <v>23914</v>
      </c>
      <c r="Y205" s="13">
        <f>+SUMIF('GE16FEB14 Tax Bill Unfudged'!$A$2:$A$498, 'Tax Bill Summary'!$A205, 'GE16FEB14 Tax Bill Unfudged'!H$2:H$498)</f>
        <v>14304</v>
      </c>
      <c r="Z205" s="56">
        <f t="shared" si="132"/>
        <v>9610</v>
      </c>
      <c r="AA205" s="51">
        <f>+SUMIF('GE16FEB14 Tax Bill Unfudged'!$A$2:$A$498, 'Tax Bill Summary'!$A205, 'GE16FEB14 Tax Bill Unfudged'!I$2:I$498)</f>
        <v>171112</v>
      </c>
      <c r="AB205" s="13">
        <f>+SUMIF('GE16FEB14 Tax Bill Unfudged'!$A$2:$A$498, 'Tax Bill Summary'!$A205, 'GE16FEB14 Tax Bill Unfudged'!J$2:J$498)</f>
        <v>135309</v>
      </c>
      <c r="AC205" s="56">
        <f t="shared" si="133"/>
        <v>35803</v>
      </c>
      <c r="AD205" s="51">
        <f t="shared" si="134"/>
        <v>197846</v>
      </c>
      <c r="AE205" s="13">
        <f t="shared" si="135"/>
        <v>151300</v>
      </c>
      <c r="AF205" s="56">
        <f t="shared" si="136"/>
        <v>46546</v>
      </c>
      <c r="AG205" s="13">
        <f t="shared" si="137"/>
        <v>3532.9642857142858</v>
      </c>
      <c r="AH205" s="13">
        <f t="shared" si="138"/>
        <v>2701.7857142857142</v>
      </c>
      <c r="AI205" s="16">
        <f t="shared" si="139"/>
        <v>831.17857142857144</v>
      </c>
      <c r="AJ205" s="15">
        <f t="shared" si="140"/>
        <v>0</v>
      </c>
      <c r="AK205" s="13">
        <f t="shared" si="141"/>
        <v>0</v>
      </c>
      <c r="AL205" s="56">
        <f t="shared" si="142"/>
        <v>0</v>
      </c>
      <c r="AM205" s="51">
        <f t="shared" si="143"/>
        <v>23914</v>
      </c>
      <c r="AN205" s="13">
        <f t="shared" si="144"/>
        <v>14304</v>
      </c>
      <c r="AO205" s="56">
        <f t="shared" si="145"/>
        <v>9610</v>
      </c>
      <c r="AP205" s="51">
        <f t="shared" si="146"/>
        <v>-23914</v>
      </c>
      <c r="AQ205" s="13">
        <f t="shared" si="147"/>
        <v>-23914</v>
      </c>
      <c r="AR205" s="56">
        <f t="shared" si="148"/>
        <v>0</v>
      </c>
      <c r="AS205" s="51">
        <f t="shared" si="149"/>
        <v>0</v>
      </c>
      <c r="AT205" s="13">
        <f t="shared" si="150"/>
        <v>-9610</v>
      </c>
      <c r="AU205" s="56">
        <f t="shared" si="151"/>
        <v>9610</v>
      </c>
      <c r="AV205" s="13">
        <f t="shared" si="152"/>
        <v>0</v>
      </c>
      <c r="AW205" s="13">
        <f t="shared" si="153"/>
        <v>-171.60714285714312</v>
      </c>
      <c r="AX205" s="16">
        <f t="shared" si="154"/>
        <v>171.60714285714289</v>
      </c>
    </row>
    <row r="206" spans="1:50" x14ac:dyDescent="0.25">
      <c r="A206" s="20">
        <v>640</v>
      </c>
      <c r="B206">
        <v>1</v>
      </c>
      <c r="C206" s="23" t="s">
        <v>322</v>
      </c>
      <c r="D206" s="23">
        <v>6</v>
      </c>
      <c r="E206" s="15">
        <f>+SUMIF('GE16FEB14 Unfudged'!$A$2:$A$498, $A206, 'GE16FEB14 Unfudged'!$D$2:$D$498)</f>
        <v>372</v>
      </c>
      <c r="F206" s="15">
        <f>+SUMIF('GE16FEB14 Unfudged'!$A$2:$A$498, 'Tax Bill Summary'!$A206, 'GE16FEB14 Unfudged'!E$2:E$498)</f>
        <v>40518</v>
      </c>
      <c r="G206" s="13">
        <f>+SUMIF('GE16FEB14 Unfudged'!$A$2:$A$498, 'Tax Bill Summary'!$A206, 'GE16FEB14 Unfudged'!F$2:F$498)</f>
        <v>23620</v>
      </c>
      <c r="H206" s="56">
        <f t="shared" si="122"/>
        <v>16898</v>
      </c>
      <c r="I206" s="51">
        <f>+SUMIF('GE16FEB14 Unfudged'!$A$2:$A$498, 'Tax Bill Summary'!$A206, 'GE16FEB14 Unfudged'!G$2:G$498)</f>
        <v>0</v>
      </c>
      <c r="J206" s="13">
        <f>+SUMIF('GE16FEB14 Unfudged'!$A$2:$A$498, 'Tax Bill Summary'!$A206, 'GE16FEB14 Unfudged'!H$2:H$498)</f>
        <v>0</v>
      </c>
      <c r="K206" s="56">
        <f t="shared" si="123"/>
        <v>0</v>
      </c>
      <c r="L206" s="51">
        <f>+SUMIF('GE16FEB14 Unfudged'!$A$2:$A$498, 'Tax Bill Summary'!$A206, 'GE16FEB14 Unfudged'!I$2:IF$498)</f>
        <v>396933</v>
      </c>
      <c r="M206" s="13">
        <f>+SUMIF('GE16FEB14 Unfudged'!$A$2:$A$498, 'Tax Bill Summary'!$A206, 'GE16FEB14 Unfudged'!J$2:IG$498)</f>
        <v>251592</v>
      </c>
      <c r="N206" s="56">
        <f t="shared" si="124"/>
        <v>145341</v>
      </c>
      <c r="O206" s="51">
        <f t="shared" si="125"/>
        <v>437451</v>
      </c>
      <c r="P206" s="13">
        <f t="shared" si="126"/>
        <v>275212</v>
      </c>
      <c r="Q206" s="56">
        <f t="shared" si="127"/>
        <v>162239</v>
      </c>
      <c r="R206" s="13">
        <f t="shared" si="128"/>
        <v>1175.9435483870968</v>
      </c>
      <c r="S206" s="13">
        <f t="shared" si="129"/>
        <v>739.81720430107532</v>
      </c>
      <c r="T206" s="16">
        <f t="shared" si="130"/>
        <v>436.1263440860215</v>
      </c>
      <c r="U206" s="15">
        <f>+SUMIF('GE16FEB14 Tax Bill Unfudged'!$A$2:$A$498, 'Tax Bill Summary'!$A206, 'GE16FEB14 Tax Bill Unfudged'!E$2:E$498)</f>
        <v>45878</v>
      </c>
      <c r="V206" s="13">
        <f>+SUMIF('GE16FEB14 Tax Bill Unfudged'!$A$2:$A$498, 'Tax Bill Summary'!$A206, 'GE16FEB14 Tax Bill Unfudged'!F$2:F$498)</f>
        <v>26744</v>
      </c>
      <c r="W206" s="56">
        <f t="shared" si="131"/>
        <v>19134</v>
      </c>
      <c r="X206" s="51">
        <f>+SUMIF('GE16FEB14 Tax Bill Unfudged'!$A$2:$A$498, 'Tax Bill Summary'!$A206, 'GE16FEB14 Tax Bill Unfudged'!G$2:G$498)</f>
        <v>157813</v>
      </c>
      <c r="Y206" s="13">
        <f>+SUMIF('GE16FEB14 Tax Bill Unfudged'!$A$2:$A$498, 'Tax Bill Summary'!$A206, 'GE16FEB14 Tax Bill Unfudged'!H$2:H$498)</f>
        <v>91996</v>
      </c>
      <c r="Z206" s="56">
        <f t="shared" si="132"/>
        <v>65817</v>
      </c>
      <c r="AA206" s="51">
        <f>+SUMIF('GE16FEB14 Tax Bill Unfudged'!$A$2:$A$498, 'Tax Bill Summary'!$A206, 'GE16FEB14 Tax Bill Unfudged'!I$2:I$498)</f>
        <v>239120</v>
      </c>
      <c r="AB206" s="13">
        <f>+SUMIF('GE16FEB14 Tax Bill Unfudged'!$A$2:$A$498, 'Tax Bill Summary'!$A206, 'GE16FEB14 Tax Bill Unfudged'!J$2:J$498)</f>
        <v>112026</v>
      </c>
      <c r="AC206" s="56">
        <f t="shared" si="133"/>
        <v>127094</v>
      </c>
      <c r="AD206" s="51">
        <f t="shared" si="134"/>
        <v>442811</v>
      </c>
      <c r="AE206" s="13">
        <f t="shared" si="135"/>
        <v>230766</v>
      </c>
      <c r="AF206" s="56">
        <f t="shared" si="136"/>
        <v>212045</v>
      </c>
      <c r="AG206" s="13">
        <f t="shared" si="137"/>
        <v>1190.3521505376343</v>
      </c>
      <c r="AH206" s="13">
        <f t="shared" si="138"/>
        <v>620.33870967741939</v>
      </c>
      <c r="AI206" s="16">
        <f t="shared" si="139"/>
        <v>570.01344086021504</v>
      </c>
      <c r="AJ206" s="15">
        <f t="shared" si="140"/>
        <v>5360</v>
      </c>
      <c r="AK206" s="13">
        <f t="shared" si="141"/>
        <v>3124</v>
      </c>
      <c r="AL206" s="56">
        <f t="shared" si="142"/>
        <v>2236</v>
      </c>
      <c r="AM206" s="51">
        <f t="shared" si="143"/>
        <v>157813</v>
      </c>
      <c r="AN206" s="13">
        <f t="shared" si="144"/>
        <v>91996</v>
      </c>
      <c r="AO206" s="56">
        <f t="shared" si="145"/>
        <v>65817</v>
      </c>
      <c r="AP206" s="51">
        <f t="shared" si="146"/>
        <v>-157813</v>
      </c>
      <c r="AQ206" s="13">
        <f t="shared" si="147"/>
        <v>-139566</v>
      </c>
      <c r="AR206" s="56">
        <f t="shared" si="148"/>
        <v>-18247</v>
      </c>
      <c r="AS206" s="51">
        <f t="shared" si="149"/>
        <v>5360</v>
      </c>
      <c r="AT206" s="13">
        <f t="shared" si="150"/>
        <v>-44446</v>
      </c>
      <c r="AU206" s="56">
        <f t="shared" si="151"/>
        <v>49806</v>
      </c>
      <c r="AV206" s="13">
        <f t="shared" si="152"/>
        <v>14.40860215053749</v>
      </c>
      <c r="AW206" s="13">
        <f t="shared" si="153"/>
        <v>-119.47849462365593</v>
      </c>
      <c r="AX206" s="16">
        <f t="shared" si="154"/>
        <v>133.88709677419354</v>
      </c>
    </row>
    <row r="207" spans="1:50" x14ac:dyDescent="0.25">
      <c r="A207" s="20">
        <v>656</v>
      </c>
      <c r="B207">
        <v>1</v>
      </c>
      <c r="C207" s="23" t="s">
        <v>126</v>
      </c>
      <c r="D207" s="23">
        <v>4</v>
      </c>
      <c r="E207" s="15">
        <f>+SUMIF('GE16FEB14 Unfudged'!$A$2:$A$498, $A207, 'GE16FEB14 Unfudged'!$D$2:$D$498)</f>
        <v>4097</v>
      </c>
      <c r="F207" s="15">
        <f>+SUMIF('GE16FEB14 Unfudged'!$A$2:$A$498, 'Tax Bill Summary'!$A207, 'GE16FEB14 Unfudged'!E$2:E$498)</f>
        <v>469384</v>
      </c>
      <c r="G207" s="13">
        <f>+SUMIF('GE16FEB14 Unfudged'!$A$2:$A$498, 'Tax Bill Summary'!$A207, 'GE16FEB14 Unfudged'!F$2:F$498)</f>
        <v>337402</v>
      </c>
      <c r="H207" s="56">
        <f t="shared" si="122"/>
        <v>131982</v>
      </c>
      <c r="I207" s="51">
        <f>+SUMIF('GE16FEB14 Unfudged'!$A$2:$A$498, 'Tax Bill Summary'!$A207, 'GE16FEB14 Unfudged'!G$2:G$498)</f>
        <v>868606</v>
      </c>
      <c r="J207" s="13">
        <f>+SUMIF('GE16FEB14 Unfudged'!$A$2:$A$498, 'Tax Bill Summary'!$A207, 'GE16FEB14 Unfudged'!H$2:H$498)</f>
        <v>624369</v>
      </c>
      <c r="K207" s="56">
        <f t="shared" si="123"/>
        <v>244237</v>
      </c>
      <c r="L207" s="51">
        <f>+SUMIF('GE16FEB14 Unfudged'!$A$2:$A$498, 'Tax Bill Summary'!$A207, 'GE16FEB14 Unfudged'!I$2:IF$498)</f>
        <v>3859972</v>
      </c>
      <c r="M207" s="13">
        <f>+SUMIF('GE16FEB14 Unfudged'!$A$2:$A$498, 'Tax Bill Summary'!$A207, 'GE16FEB14 Unfudged'!J$2:IG$498)</f>
        <v>2612917</v>
      </c>
      <c r="N207" s="56">
        <f t="shared" si="124"/>
        <v>1247055</v>
      </c>
      <c r="O207" s="51">
        <f t="shared" si="125"/>
        <v>5197962</v>
      </c>
      <c r="P207" s="13">
        <f t="shared" si="126"/>
        <v>3574688</v>
      </c>
      <c r="Q207" s="56">
        <f t="shared" si="127"/>
        <v>1623274</v>
      </c>
      <c r="R207" s="13">
        <f t="shared" si="128"/>
        <v>1268.7239443495241</v>
      </c>
      <c r="S207" s="13">
        <f t="shared" si="129"/>
        <v>872.51354649743712</v>
      </c>
      <c r="T207" s="16">
        <f t="shared" si="130"/>
        <v>396.21039785208688</v>
      </c>
      <c r="U207" s="15">
        <f>+SUMIF('GE16FEB14 Tax Bill Unfudged'!$A$2:$A$498, 'Tax Bill Summary'!$A207, 'GE16FEB14 Tax Bill Unfudged'!E$2:E$498)</f>
        <v>483275</v>
      </c>
      <c r="V207" s="13">
        <f>+SUMIF('GE16FEB14 Tax Bill Unfudged'!$A$2:$A$498, 'Tax Bill Summary'!$A207, 'GE16FEB14 Tax Bill Unfudged'!F$2:F$498)</f>
        <v>347387</v>
      </c>
      <c r="W207" s="56">
        <f t="shared" si="131"/>
        <v>135888</v>
      </c>
      <c r="X207" s="51">
        <f>+SUMIF('GE16FEB14 Tax Bill Unfudged'!$A$2:$A$498, 'Tax Bill Summary'!$A207, 'GE16FEB14 Tax Bill Unfudged'!G$2:G$498)</f>
        <v>1737213</v>
      </c>
      <c r="Y207" s="13">
        <f>+SUMIF('GE16FEB14 Tax Bill Unfudged'!$A$2:$A$498, 'Tax Bill Summary'!$A207, 'GE16FEB14 Tax Bill Unfudged'!H$2:H$498)</f>
        <v>1248739</v>
      </c>
      <c r="Z207" s="56">
        <f t="shared" si="132"/>
        <v>488474</v>
      </c>
      <c r="AA207" s="51">
        <f>+SUMIF('GE16FEB14 Tax Bill Unfudged'!$A$2:$A$498, 'Tax Bill Summary'!$A207, 'GE16FEB14 Tax Bill Unfudged'!I$2:I$498)</f>
        <v>2991366</v>
      </c>
      <c r="AB207" s="13">
        <f>+SUMIF('GE16FEB14 Tax Bill Unfudged'!$A$2:$A$498, 'Tax Bill Summary'!$A207, 'GE16FEB14 Tax Bill Unfudged'!J$2:J$498)</f>
        <v>1778758</v>
      </c>
      <c r="AC207" s="56">
        <f t="shared" si="133"/>
        <v>1212608</v>
      </c>
      <c r="AD207" s="51">
        <f t="shared" si="134"/>
        <v>5211854</v>
      </c>
      <c r="AE207" s="13">
        <f t="shared" si="135"/>
        <v>3374884</v>
      </c>
      <c r="AF207" s="56">
        <f t="shared" si="136"/>
        <v>1836970</v>
      </c>
      <c r="AG207" s="13">
        <f t="shared" si="137"/>
        <v>1272.1147180864048</v>
      </c>
      <c r="AH207" s="13">
        <f t="shared" si="138"/>
        <v>823.7451793995607</v>
      </c>
      <c r="AI207" s="16">
        <f t="shared" si="139"/>
        <v>448.36953868684401</v>
      </c>
      <c r="AJ207" s="15">
        <f t="shared" si="140"/>
        <v>13891</v>
      </c>
      <c r="AK207" s="13">
        <f t="shared" si="141"/>
        <v>9985</v>
      </c>
      <c r="AL207" s="56">
        <f t="shared" si="142"/>
        <v>3906</v>
      </c>
      <c r="AM207" s="51">
        <f t="shared" si="143"/>
        <v>868607</v>
      </c>
      <c r="AN207" s="13">
        <f t="shared" si="144"/>
        <v>624370</v>
      </c>
      <c r="AO207" s="56">
        <f t="shared" si="145"/>
        <v>244237</v>
      </c>
      <c r="AP207" s="51">
        <f t="shared" si="146"/>
        <v>-868606</v>
      </c>
      <c r="AQ207" s="13">
        <f t="shared" si="147"/>
        <v>-834159</v>
      </c>
      <c r="AR207" s="56">
        <f t="shared" si="148"/>
        <v>-34447</v>
      </c>
      <c r="AS207" s="51">
        <f t="shared" si="149"/>
        <v>13892</v>
      </c>
      <c r="AT207" s="13">
        <f t="shared" si="150"/>
        <v>-199804</v>
      </c>
      <c r="AU207" s="56">
        <f t="shared" si="151"/>
        <v>213696</v>
      </c>
      <c r="AV207" s="13">
        <f t="shared" si="152"/>
        <v>3.3907737368806465</v>
      </c>
      <c r="AW207" s="13">
        <f t="shared" si="153"/>
        <v>-48.768367097876421</v>
      </c>
      <c r="AX207" s="16">
        <f t="shared" si="154"/>
        <v>52.159140834757125</v>
      </c>
    </row>
    <row r="208" spans="1:50" x14ac:dyDescent="0.25">
      <c r="A208" s="20">
        <v>659</v>
      </c>
      <c r="B208">
        <v>1</v>
      </c>
      <c r="C208" s="23" t="s">
        <v>323</v>
      </c>
      <c r="D208" s="23">
        <v>3</v>
      </c>
      <c r="E208" s="15">
        <f>+SUMIF('GE16FEB14 Unfudged'!$A$2:$A$498, $A208, 'GE16FEB14 Unfudged'!$D$2:$D$498)</f>
        <v>4029</v>
      </c>
      <c r="F208" s="15">
        <f>+SUMIF('GE16FEB14 Unfudged'!$A$2:$A$498, 'Tax Bill Summary'!$A208, 'GE16FEB14 Unfudged'!E$2:E$498)</f>
        <v>376706</v>
      </c>
      <c r="G208" s="13">
        <f>+SUMIF('GE16FEB14 Unfudged'!$A$2:$A$498, 'Tax Bill Summary'!$A208, 'GE16FEB14 Unfudged'!F$2:F$498)</f>
        <v>330398</v>
      </c>
      <c r="H208" s="56">
        <f t="shared" si="122"/>
        <v>46308</v>
      </c>
      <c r="I208" s="51">
        <f>+SUMIF('GE16FEB14 Unfudged'!$A$2:$A$498, 'Tax Bill Summary'!$A208, 'GE16FEB14 Unfudged'!G$2:G$498)</f>
        <v>1708211</v>
      </c>
      <c r="J208" s="13">
        <f>+SUMIF('GE16FEB14 Unfudged'!$A$2:$A$498, 'Tax Bill Summary'!$A208, 'GE16FEB14 Unfudged'!H$2:H$498)</f>
        <v>1498224</v>
      </c>
      <c r="K208" s="56">
        <f t="shared" si="123"/>
        <v>209987</v>
      </c>
      <c r="L208" s="51">
        <f>+SUMIF('GE16FEB14 Unfudged'!$A$2:$A$498, 'Tax Bill Summary'!$A208, 'GE16FEB14 Unfudged'!I$2:IF$498)</f>
        <v>5646121</v>
      </c>
      <c r="M208" s="13">
        <f>+SUMIF('GE16FEB14 Unfudged'!$A$2:$A$498, 'Tax Bill Summary'!$A208, 'GE16FEB14 Unfudged'!J$2:IG$498)</f>
        <v>4824021</v>
      </c>
      <c r="N208" s="56">
        <f t="shared" si="124"/>
        <v>822100</v>
      </c>
      <c r="O208" s="51">
        <f t="shared" si="125"/>
        <v>7731038</v>
      </c>
      <c r="P208" s="13">
        <f t="shared" si="126"/>
        <v>6652643</v>
      </c>
      <c r="Q208" s="56">
        <f t="shared" si="127"/>
        <v>1078395</v>
      </c>
      <c r="R208" s="13">
        <f t="shared" si="128"/>
        <v>1918.8478530652767</v>
      </c>
      <c r="S208" s="13">
        <f t="shared" si="129"/>
        <v>1651.1896252171755</v>
      </c>
      <c r="T208" s="16">
        <f t="shared" si="130"/>
        <v>267.65822784810126</v>
      </c>
      <c r="U208" s="15">
        <f>+SUMIF('GE16FEB14 Tax Bill Unfudged'!$A$2:$A$498, 'Tax Bill Summary'!$A208, 'GE16FEB14 Tax Bill Unfudged'!E$2:E$498)</f>
        <v>311406</v>
      </c>
      <c r="V208" s="13">
        <f>+SUMIF('GE16FEB14 Tax Bill Unfudged'!$A$2:$A$498, 'Tax Bill Summary'!$A208, 'GE16FEB14 Tax Bill Unfudged'!F$2:F$498)</f>
        <v>273126</v>
      </c>
      <c r="W208" s="56">
        <f t="shared" si="131"/>
        <v>38280</v>
      </c>
      <c r="X208" s="51">
        <f>+SUMIF('GE16FEB14 Tax Bill Unfudged'!$A$2:$A$498, 'Tax Bill Summary'!$A208, 'GE16FEB14 Tax Bill Unfudged'!G$2:G$498)</f>
        <v>1708211</v>
      </c>
      <c r="Y208" s="13">
        <f>+SUMIF('GE16FEB14 Tax Bill Unfudged'!$A$2:$A$498, 'Tax Bill Summary'!$A208, 'GE16FEB14 Tax Bill Unfudged'!H$2:H$498)</f>
        <v>1498224</v>
      </c>
      <c r="Z208" s="56">
        <f t="shared" si="132"/>
        <v>209987</v>
      </c>
      <c r="AA208" s="51">
        <f>+SUMIF('GE16FEB14 Tax Bill Unfudged'!$A$2:$A$498, 'Tax Bill Summary'!$A208, 'GE16FEB14 Tax Bill Unfudged'!I$2:I$498)</f>
        <v>5646121</v>
      </c>
      <c r="AB208" s="13">
        <f>+SUMIF('GE16FEB14 Tax Bill Unfudged'!$A$2:$A$498, 'Tax Bill Summary'!$A208, 'GE16FEB14 Tax Bill Unfudged'!J$2:J$498)</f>
        <v>4824021</v>
      </c>
      <c r="AC208" s="56">
        <f t="shared" si="133"/>
        <v>822100</v>
      </c>
      <c r="AD208" s="51">
        <f t="shared" si="134"/>
        <v>7665738</v>
      </c>
      <c r="AE208" s="13">
        <f t="shared" si="135"/>
        <v>6595371</v>
      </c>
      <c r="AF208" s="56">
        <f t="shared" si="136"/>
        <v>1070367</v>
      </c>
      <c r="AG208" s="13">
        <f t="shared" si="137"/>
        <v>1902.6403574087863</v>
      </c>
      <c r="AH208" s="13">
        <f t="shared" si="138"/>
        <v>1636.9746835443038</v>
      </c>
      <c r="AI208" s="16">
        <f t="shared" si="139"/>
        <v>265.66567386448253</v>
      </c>
      <c r="AJ208" s="15">
        <f t="shared" si="140"/>
        <v>-65300</v>
      </c>
      <c r="AK208" s="13">
        <f t="shared" si="141"/>
        <v>-57272</v>
      </c>
      <c r="AL208" s="56">
        <f t="shared" si="142"/>
        <v>-8028</v>
      </c>
      <c r="AM208" s="51">
        <f t="shared" si="143"/>
        <v>0</v>
      </c>
      <c r="AN208" s="13">
        <f t="shared" si="144"/>
        <v>0</v>
      </c>
      <c r="AO208" s="56">
        <f t="shared" si="145"/>
        <v>0</v>
      </c>
      <c r="AP208" s="51">
        <f t="shared" si="146"/>
        <v>0</v>
      </c>
      <c r="AQ208" s="13">
        <f t="shared" si="147"/>
        <v>0</v>
      </c>
      <c r="AR208" s="56">
        <f t="shared" si="148"/>
        <v>0</v>
      </c>
      <c r="AS208" s="51">
        <f t="shared" si="149"/>
        <v>-65300</v>
      </c>
      <c r="AT208" s="13">
        <f t="shared" si="150"/>
        <v>-57272</v>
      </c>
      <c r="AU208" s="56">
        <f t="shared" si="151"/>
        <v>-8028</v>
      </c>
      <c r="AV208" s="13">
        <f t="shared" si="152"/>
        <v>-16.207495656490437</v>
      </c>
      <c r="AW208" s="13">
        <f t="shared" si="153"/>
        <v>-14.214941672871646</v>
      </c>
      <c r="AX208" s="16">
        <f t="shared" si="154"/>
        <v>-1.992553983618734</v>
      </c>
    </row>
    <row r="209" spans="1:50" x14ac:dyDescent="0.25">
      <c r="A209" s="20">
        <v>671</v>
      </c>
      <c r="B209">
        <v>1</v>
      </c>
      <c r="C209" s="23" t="s">
        <v>324</v>
      </c>
      <c r="D209" s="23">
        <v>6</v>
      </c>
      <c r="E209" s="15">
        <f>+SUMIF('GE16FEB14 Unfudged'!$A$2:$A$498, $A209, 'GE16FEB14 Unfudged'!$D$2:$D$498)</f>
        <v>369</v>
      </c>
      <c r="F209" s="15">
        <f>+SUMIF('GE16FEB14 Unfudged'!$A$2:$A$498, 'Tax Bill Summary'!$A209, 'GE16FEB14 Unfudged'!E$2:E$498)</f>
        <v>30796</v>
      </c>
      <c r="G209" s="13">
        <f>+SUMIF('GE16FEB14 Unfudged'!$A$2:$A$498, 'Tax Bill Summary'!$A209, 'GE16FEB14 Unfudged'!F$2:F$498)</f>
        <v>14391</v>
      </c>
      <c r="H209" s="56">
        <f t="shared" si="122"/>
        <v>16405</v>
      </c>
      <c r="I209" s="51">
        <f>+SUMIF('GE16FEB14 Unfudged'!$A$2:$A$498, 'Tax Bill Summary'!$A209, 'GE16FEB14 Unfudged'!G$2:G$498)</f>
        <v>0</v>
      </c>
      <c r="J209" s="13">
        <f>+SUMIF('GE16FEB14 Unfudged'!$A$2:$A$498, 'Tax Bill Summary'!$A209, 'GE16FEB14 Unfudged'!H$2:H$498)</f>
        <v>0</v>
      </c>
      <c r="K209" s="56">
        <f t="shared" si="123"/>
        <v>0</v>
      </c>
      <c r="L209" s="51">
        <f>+SUMIF('GE16FEB14 Unfudged'!$A$2:$A$498, 'Tax Bill Summary'!$A209, 'GE16FEB14 Unfudged'!I$2:IF$498)</f>
        <v>596601</v>
      </c>
      <c r="M209" s="13">
        <f>+SUMIF('GE16FEB14 Unfudged'!$A$2:$A$498, 'Tax Bill Summary'!$A209, 'GE16FEB14 Unfudged'!J$2:IG$498)</f>
        <v>369255</v>
      </c>
      <c r="N209" s="56">
        <f t="shared" si="124"/>
        <v>227346</v>
      </c>
      <c r="O209" s="51">
        <f t="shared" si="125"/>
        <v>627397</v>
      </c>
      <c r="P209" s="13">
        <f t="shared" si="126"/>
        <v>383646</v>
      </c>
      <c r="Q209" s="56">
        <f t="shared" si="127"/>
        <v>243751</v>
      </c>
      <c r="R209" s="13">
        <f t="shared" si="128"/>
        <v>1700.2628726287262</v>
      </c>
      <c r="S209" s="13">
        <f t="shared" si="129"/>
        <v>1039.6910569105692</v>
      </c>
      <c r="T209" s="16">
        <f t="shared" si="130"/>
        <v>660.57181571815715</v>
      </c>
      <c r="U209" s="15">
        <f>+SUMIF('GE16FEB14 Tax Bill Unfudged'!$A$2:$A$498, 'Tax Bill Summary'!$A209, 'GE16FEB14 Tax Bill Unfudged'!E$2:E$498)</f>
        <v>33109</v>
      </c>
      <c r="V209" s="13">
        <f>+SUMIF('GE16FEB14 Tax Bill Unfudged'!$A$2:$A$498, 'Tax Bill Summary'!$A209, 'GE16FEB14 Tax Bill Unfudged'!F$2:F$498)</f>
        <v>15472</v>
      </c>
      <c r="W209" s="56">
        <f t="shared" si="131"/>
        <v>17637</v>
      </c>
      <c r="X209" s="51">
        <f>+SUMIF('GE16FEB14 Tax Bill Unfudged'!$A$2:$A$498, 'Tax Bill Summary'!$A209, 'GE16FEB14 Tax Bill Unfudged'!G$2:G$498)</f>
        <v>156286</v>
      </c>
      <c r="Y209" s="13">
        <f>+SUMIF('GE16FEB14 Tax Bill Unfudged'!$A$2:$A$498, 'Tax Bill Summary'!$A209, 'GE16FEB14 Tax Bill Unfudged'!H$2:H$498)</f>
        <v>73033</v>
      </c>
      <c r="Z209" s="56">
        <f t="shared" si="132"/>
        <v>83253</v>
      </c>
      <c r="AA209" s="51">
        <f>+SUMIF('GE16FEB14 Tax Bill Unfudged'!$A$2:$A$498, 'Tax Bill Summary'!$A209, 'GE16FEB14 Tax Bill Unfudged'!I$2:I$498)</f>
        <v>440315</v>
      </c>
      <c r="AB209" s="13">
        <f>+SUMIF('GE16FEB14 Tax Bill Unfudged'!$A$2:$A$498, 'Tax Bill Summary'!$A209, 'GE16FEB14 Tax Bill Unfudged'!J$2:J$498)</f>
        <v>240818</v>
      </c>
      <c r="AC209" s="56">
        <f t="shared" si="133"/>
        <v>199497</v>
      </c>
      <c r="AD209" s="51">
        <f t="shared" si="134"/>
        <v>629710</v>
      </c>
      <c r="AE209" s="13">
        <f t="shared" si="135"/>
        <v>329323</v>
      </c>
      <c r="AF209" s="56">
        <f t="shared" si="136"/>
        <v>300387</v>
      </c>
      <c r="AG209" s="13">
        <f t="shared" si="137"/>
        <v>1706.531165311653</v>
      </c>
      <c r="AH209" s="13">
        <f t="shared" si="138"/>
        <v>892.47425474254737</v>
      </c>
      <c r="AI209" s="16">
        <f t="shared" si="139"/>
        <v>814.05691056910564</v>
      </c>
      <c r="AJ209" s="15">
        <f t="shared" si="140"/>
        <v>2313</v>
      </c>
      <c r="AK209" s="13">
        <f t="shared" si="141"/>
        <v>1081</v>
      </c>
      <c r="AL209" s="56">
        <f t="shared" si="142"/>
        <v>1232</v>
      </c>
      <c r="AM209" s="51">
        <f t="shared" si="143"/>
        <v>156286</v>
      </c>
      <c r="AN209" s="13">
        <f t="shared" si="144"/>
        <v>73033</v>
      </c>
      <c r="AO209" s="56">
        <f t="shared" si="145"/>
        <v>83253</v>
      </c>
      <c r="AP209" s="51">
        <f t="shared" si="146"/>
        <v>-156286</v>
      </c>
      <c r="AQ209" s="13">
        <f t="shared" si="147"/>
        <v>-128437</v>
      </c>
      <c r="AR209" s="56">
        <f t="shared" si="148"/>
        <v>-27849</v>
      </c>
      <c r="AS209" s="51">
        <f t="shared" si="149"/>
        <v>2313</v>
      </c>
      <c r="AT209" s="13">
        <f t="shared" si="150"/>
        <v>-54323</v>
      </c>
      <c r="AU209" s="56">
        <f t="shared" si="151"/>
        <v>56636</v>
      </c>
      <c r="AV209" s="13">
        <f t="shared" si="152"/>
        <v>6.2682926829268126</v>
      </c>
      <c r="AW209" s="13">
        <f t="shared" si="153"/>
        <v>-147.21680216802179</v>
      </c>
      <c r="AX209" s="16">
        <f t="shared" si="154"/>
        <v>153.48509485094849</v>
      </c>
    </row>
    <row r="210" spans="1:50" x14ac:dyDescent="0.25">
      <c r="A210" s="20">
        <v>676</v>
      </c>
      <c r="B210">
        <v>1</v>
      </c>
      <c r="C210" s="23" t="s">
        <v>325</v>
      </c>
      <c r="D210" s="23">
        <v>6</v>
      </c>
      <c r="E210" s="15">
        <f>+SUMIF('GE16FEB14 Unfudged'!$A$2:$A$498, $A210, 'GE16FEB14 Unfudged'!$D$2:$D$498)</f>
        <v>218</v>
      </c>
      <c r="F210" s="15">
        <f>+SUMIF('GE16FEB14 Unfudged'!$A$2:$A$498, 'Tax Bill Summary'!$A210, 'GE16FEB14 Unfudged'!E$2:E$498)</f>
        <v>10878</v>
      </c>
      <c r="G210" s="13">
        <f>+SUMIF('GE16FEB14 Unfudged'!$A$2:$A$498, 'Tax Bill Summary'!$A210, 'GE16FEB14 Unfudged'!F$2:F$498)</f>
        <v>3449</v>
      </c>
      <c r="H210" s="56">
        <f t="shared" si="122"/>
        <v>7429</v>
      </c>
      <c r="I210" s="51">
        <f>+SUMIF('GE16FEB14 Unfudged'!$A$2:$A$498, 'Tax Bill Summary'!$A210, 'GE16FEB14 Unfudged'!G$2:G$498)</f>
        <v>0</v>
      </c>
      <c r="J210" s="13">
        <f>+SUMIF('GE16FEB14 Unfudged'!$A$2:$A$498, 'Tax Bill Summary'!$A210, 'GE16FEB14 Unfudged'!H$2:H$498)</f>
        <v>0</v>
      </c>
      <c r="K210" s="56">
        <f t="shared" si="123"/>
        <v>0</v>
      </c>
      <c r="L210" s="51">
        <f>+SUMIF('GE16FEB14 Unfudged'!$A$2:$A$498, 'Tax Bill Summary'!$A210, 'GE16FEB14 Unfudged'!I$2:IF$498)</f>
        <v>444883</v>
      </c>
      <c r="M210" s="13">
        <f>+SUMIF('GE16FEB14 Unfudged'!$A$2:$A$498, 'Tax Bill Summary'!$A210, 'GE16FEB14 Unfudged'!J$2:IG$498)</f>
        <v>199602</v>
      </c>
      <c r="N210" s="56">
        <f t="shared" si="124"/>
        <v>245281</v>
      </c>
      <c r="O210" s="51">
        <f t="shared" si="125"/>
        <v>455761</v>
      </c>
      <c r="P210" s="13">
        <f t="shared" si="126"/>
        <v>203051</v>
      </c>
      <c r="Q210" s="56">
        <f t="shared" si="127"/>
        <v>252710</v>
      </c>
      <c r="R210" s="13">
        <f t="shared" si="128"/>
        <v>2090.6467889908258</v>
      </c>
      <c r="S210" s="13">
        <f t="shared" si="129"/>
        <v>931.4266055045872</v>
      </c>
      <c r="T210" s="16">
        <f t="shared" si="130"/>
        <v>1159.2201834862385</v>
      </c>
      <c r="U210" s="15">
        <f>+SUMIF('GE16FEB14 Tax Bill Unfudged'!$A$2:$A$498, 'Tax Bill Summary'!$A210, 'GE16FEB14 Tax Bill Unfudged'!E$2:E$498)</f>
        <v>10878</v>
      </c>
      <c r="V210" s="13">
        <f>+SUMIF('GE16FEB14 Tax Bill Unfudged'!$A$2:$A$498, 'Tax Bill Summary'!$A210, 'GE16FEB14 Tax Bill Unfudged'!F$2:F$498)</f>
        <v>3449</v>
      </c>
      <c r="W210" s="56">
        <f t="shared" si="131"/>
        <v>7429</v>
      </c>
      <c r="X210" s="51">
        <f>+SUMIF('GE16FEB14 Tax Bill Unfudged'!$A$2:$A$498, 'Tax Bill Summary'!$A210, 'GE16FEB14 Tax Bill Unfudged'!G$2:G$498)</f>
        <v>92241</v>
      </c>
      <c r="Y210" s="13">
        <f>+SUMIF('GE16FEB14 Tax Bill Unfudged'!$A$2:$A$498, 'Tax Bill Summary'!$A210, 'GE16FEB14 Tax Bill Unfudged'!H$2:H$498)</f>
        <v>29247</v>
      </c>
      <c r="Z210" s="56">
        <f t="shared" si="132"/>
        <v>62994</v>
      </c>
      <c r="AA210" s="51">
        <f>+SUMIF('GE16FEB14 Tax Bill Unfudged'!$A$2:$A$498, 'Tax Bill Summary'!$A210, 'GE16FEB14 Tax Bill Unfudged'!I$2:I$498)</f>
        <v>352642</v>
      </c>
      <c r="AB210" s="13">
        <f>+SUMIF('GE16FEB14 Tax Bill Unfudged'!$A$2:$A$498, 'Tax Bill Summary'!$A210, 'GE16FEB14 Tax Bill Unfudged'!J$2:J$498)</f>
        <v>148167</v>
      </c>
      <c r="AC210" s="56">
        <f t="shared" si="133"/>
        <v>204475</v>
      </c>
      <c r="AD210" s="51">
        <f t="shared" si="134"/>
        <v>455761</v>
      </c>
      <c r="AE210" s="13">
        <f t="shared" si="135"/>
        <v>180863</v>
      </c>
      <c r="AF210" s="56">
        <f t="shared" si="136"/>
        <v>274898</v>
      </c>
      <c r="AG210" s="13">
        <f t="shared" si="137"/>
        <v>2090.6467889908258</v>
      </c>
      <c r="AH210" s="13">
        <f t="shared" si="138"/>
        <v>829.64678899082571</v>
      </c>
      <c r="AI210" s="16">
        <f t="shared" si="139"/>
        <v>1261</v>
      </c>
      <c r="AJ210" s="15">
        <f t="shared" si="140"/>
        <v>0</v>
      </c>
      <c r="AK210" s="13">
        <f t="shared" si="141"/>
        <v>0</v>
      </c>
      <c r="AL210" s="56">
        <f t="shared" si="142"/>
        <v>0</v>
      </c>
      <c r="AM210" s="51">
        <f t="shared" si="143"/>
        <v>92241</v>
      </c>
      <c r="AN210" s="13">
        <f t="shared" si="144"/>
        <v>29247</v>
      </c>
      <c r="AO210" s="56">
        <f t="shared" si="145"/>
        <v>62994</v>
      </c>
      <c r="AP210" s="51">
        <f t="shared" si="146"/>
        <v>-92241</v>
      </c>
      <c r="AQ210" s="13">
        <f t="shared" si="147"/>
        <v>-51435</v>
      </c>
      <c r="AR210" s="56">
        <f t="shared" si="148"/>
        <v>-40806</v>
      </c>
      <c r="AS210" s="51">
        <f t="shared" si="149"/>
        <v>0</v>
      </c>
      <c r="AT210" s="13">
        <f t="shared" si="150"/>
        <v>-22188</v>
      </c>
      <c r="AU210" s="56">
        <f t="shared" si="151"/>
        <v>22188</v>
      </c>
      <c r="AV210" s="13">
        <f t="shared" si="152"/>
        <v>0</v>
      </c>
      <c r="AW210" s="13">
        <f t="shared" si="153"/>
        <v>-101.77981651376149</v>
      </c>
      <c r="AX210" s="16">
        <f t="shared" si="154"/>
        <v>101.77981651376149</v>
      </c>
    </row>
    <row r="211" spans="1:50" x14ac:dyDescent="0.25">
      <c r="A211" s="20">
        <v>682</v>
      </c>
      <c r="B211">
        <v>1</v>
      </c>
      <c r="C211" s="23" t="s">
        <v>326</v>
      </c>
      <c r="D211" s="23">
        <v>5</v>
      </c>
      <c r="E211" s="15">
        <f>+SUMIF('GE16FEB14 Unfudged'!$A$2:$A$498, $A211, 'GE16FEB14 Unfudged'!$D$2:$D$498)</f>
        <v>1324</v>
      </c>
      <c r="F211" s="15">
        <f>+SUMIF('GE16FEB14 Unfudged'!$A$2:$A$498, 'Tax Bill Summary'!$A211, 'GE16FEB14 Unfudged'!E$2:E$498)</f>
        <v>164166</v>
      </c>
      <c r="G211" s="13">
        <f>+SUMIF('GE16FEB14 Unfudged'!$A$2:$A$498, 'Tax Bill Summary'!$A211, 'GE16FEB14 Unfudged'!F$2:F$498)</f>
        <v>71318</v>
      </c>
      <c r="H211" s="56">
        <f t="shared" si="122"/>
        <v>92848</v>
      </c>
      <c r="I211" s="51">
        <f>+SUMIF('GE16FEB14 Unfudged'!$A$2:$A$498, 'Tax Bill Summary'!$A211, 'GE16FEB14 Unfudged'!G$2:G$498)</f>
        <v>0</v>
      </c>
      <c r="J211" s="13">
        <f>+SUMIF('GE16FEB14 Unfudged'!$A$2:$A$498, 'Tax Bill Summary'!$A211, 'GE16FEB14 Unfudged'!H$2:H$498)</f>
        <v>0</v>
      </c>
      <c r="K211" s="56">
        <f t="shared" si="123"/>
        <v>0</v>
      </c>
      <c r="L211" s="51">
        <f>+SUMIF('GE16FEB14 Unfudged'!$A$2:$A$498, 'Tax Bill Summary'!$A211, 'GE16FEB14 Unfudged'!I$2:IF$498)</f>
        <v>975684</v>
      </c>
      <c r="M211" s="13">
        <f>+SUMIF('GE16FEB14 Unfudged'!$A$2:$A$498, 'Tax Bill Summary'!$A211, 'GE16FEB14 Unfudged'!J$2:IG$498)</f>
        <v>351303</v>
      </c>
      <c r="N211" s="56">
        <f t="shared" si="124"/>
        <v>624381</v>
      </c>
      <c r="O211" s="51">
        <f t="shared" si="125"/>
        <v>1139850</v>
      </c>
      <c r="P211" s="13">
        <f t="shared" si="126"/>
        <v>422621</v>
      </c>
      <c r="Q211" s="56">
        <f t="shared" si="127"/>
        <v>717229</v>
      </c>
      <c r="R211" s="13">
        <f t="shared" si="128"/>
        <v>860.91389728096681</v>
      </c>
      <c r="S211" s="13">
        <f t="shared" si="129"/>
        <v>319.2001510574018</v>
      </c>
      <c r="T211" s="16">
        <f t="shared" si="130"/>
        <v>541.71374622356495</v>
      </c>
      <c r="U211" s="15">
        <f>+SUMIF('GE16FEB14 Tax Bill Unfudged'!$A$2:$A$498, 'Tax Bill Summary'!$A211, 'GE16FEB14 Tax Bill Unfudged'!E$2:E$498)</f>
        <v>189657</v>
      </c>
      <c r="V211" s="13">
        <f>+SUMIF('GE16FEB14 Tax Bill Unfudged'!$A$2:$A$498, 'Tax Bill Summary'!$A211, 'GE16FEB14 Tax Bill Unfudged'!F$2:F$498)</f>
        <v>82392</v>
      </c>
      <c r="W211" s="56">
        <f t="shared" si="131"/>
        <v>107265</v>
      </c>
      <c r="X211" s="51">
        <f>+SUMIF('GE16FEB14 Tax Bill Unfudged'!$A$2:$A$498, 'Tax Bill Summary'!$A211, 'GE16FEB14 Tax Bill Unfudged'!G$2:G$498)</f>
        <v>561461</v>
      </c>
      <c r="Y211" s="13">
        <f>+SUMIF('GE16FEB14 Tax Bill Unfudged'!$A$2:$A$498, 'Tax Bill Summary'!$A211, 'GE16FEB14 Tax Bill Unfudged'!H$2:H$498)</f>
        <v>243915</v>
      </c>
      <c r="Z211" s="56">
        <f t="shared" si="132"/>
        <v>317546</v>
      </c>
      <c r="AA211" s="51">
        <f>+SUMIF('GE16FEB14 Tax Bill Unfudged'!$A$2:$A$498, 'Tax Bill Summary'!$A211, 'GE16FEB14 Tax Bill Unfudged'!I$2:I$498)</f>
        <v>414223</v>
      </c>
      <c r="AB211" s="13">
        <f>+SUMIF('GE16FEB14 Tax Bill Unfudged'!$A$2:$A$498, 'Tax Bill Summary'!$A211, 'GE16FEB14 Tax Bill Unfudged'!J$2:J$498)</f>
        <v>107388</v>
      </c>
      <c r="AC211" s="56">
        <f t="shared" si="133"/>
        <v>306835</v>
      </c>
      <c r="AD211" s="51">
        <f t="shared" si="134"/>
        <v>1165341</v>
      </c>
      <c r="AE211" s="13">
        <f t="shared" si="135"/>
        <v>433695</v>
      </c>
      <c r="AF211" s="56">
        <f t="shared" si="136"/>
        <v>731646</v>
      </c>
      <c r="AG211" s="13">
        <f t="shared" si="137"/>
        <v>880.16691842900298</v>
      </c>
      <c r="AH211" s="13">
        <f t="shared" si="138"/>
        <v>327.5641993957704</v>
      </c>
      <c r="AI211" s="16">
        <f t="shared" si="139"/>
        <v>552.60271903323257</v>
      </c>
      <c r="AJ211" s="15">
        <f t="shared" si="140"/>
        <v>25491</v>
      </c>
      <c r="AK211" s="13">
        <f t="shared" si="141"/>
        <v>11074</v>
      </c>
      <c r="AL211" s="56">
        <f t="shared" si="142"/>
        <v>14417</v>
      </c>
      <c r="AM211" s="51">
        <f t="shared" si="143"/>
        <v>561461</v>
      </c>
      <c r="AN211" s="13">
        <f t="shared" si="144"/>
        <v>243915</v>
      </c>
      <c r="AO211" s="56">
        <f t="shared" si="145"/>
        <v>317546</v>
      </c>
      <c r="AP211" s="51">
        <f t="shared" si="146"/>
        <v>-561461</v>
      </c>
      <c r="AQ211" s="13">
        <f t="shared" si="147"/>
        <v>-243915</v>
      </c>
      <c r="AR211" s="56">
        <f t="shared" si="148"/>
        <v>-317546</v>
      </c>
      <c r="AS211" s="51">
        <f t="shared" si="149"/>
        <v>25491</v>
      </c>
      <c r="AT211" s="13">
        <f t="shared" si="150"/>
        <v>11074</v>
      </c>
      <c r="AU211" s="56">
        <f t="shared" si="151"/>
        <v>14417</v>
      </c>
      <c r="AV211" s="13">
        <f t="shared" si="152"/>
        <v>19.253021148036169</v>
      </c>
      <c r="AW211" s="13">
        <f t="shared" si="153"/>
        <v>8.3640483383686046</v>
      </c>
      <c r="AX211" s="16">
        <f t="shared" si="154"/>
        <v>10.888972809667621</v>
      </c>
    </row>
    <row r="212" spans="1:50" x14ac:dyDescent="0.25">
      <c r="A212" s="20">
        <v>690</v>
      </c>
      <c r="B212">
        <v>1</v>
      </c>
      <c r="C212" s="23" t="s">
        <v>327</v>
      </c>
      <c r="D212" s="23">
        <v>5</v>
      </c>
      <c r="E212" s="15">
        <f>+SUMIF('GE16FEB14 Unfudged'!$A$2:$A$498, $A212, 'GE16FEB14 Unfudged'!$D$2:$D$498)</f>
        <v>1134</v>
      </c>
      <c r="F212" s="15">
        <f>+SUMIF('GE16FEB14 Unfudged'!$A$2:$A$498, 'Tax Bill Summary'!$A212, 'GE16FEB14 Unfudged'!E$2:E$498)</f>
        <v>143810</v>
      </c>
      <c r="G212" s="13">
        <f>+SUMIF('GE16FEB14 Unfudged'!$A$2:$A$498, 'Tax Bill Summary'!$A212, 'GE16FEB14 Unfudged'!F$2:F$498)</f>
        <v>67929</v>
      </c>
      <c r="H212" s="56">
        <f t="shared" si="122"/>
        <v>75881</v>
      </c>
      <c r="I212" s="51">
        <f>+SUMIF('GE16FEB14 Unfudged'!$A$2:$A$498, 'Tax Bill Summary'!$A212, 'GE16FEB14 Unfudged'!G$2:G$498)</f>
        <v>0</v>
      </c>
      <c r="J212" s="13">
        <f>+SUMIF('GE16FEB14 Unfudged'!$A$2:$A$498, 'Tax Bill Summary'!$A212, 'GE16FEB14 Unfudged'!H$2:H$498)</f>
        <v>0</v>
      </c>
      <c r="K212" s="56">
        <f t="shared" si="123"/>
        <v>0</v>
      </c>
      <c r="L212" s="51">
        <f>+SUMIF('GE16FEB14 Unfudged'!$A$2:$A$498, 'Tax Bill Summary'!$A212, 'GE16FEB14 Unfudged'!I$2:IF$498)</f>
        <v>765925</v>
      </c>
      <c r="M212" s="13">
        <f>+SUMIF('GE16FEB14 Unfudged'!$A$2:$A$498, 'Tax Bill Summary'!$A212, 'GE16FEB14 Unfudged'!J$2:IG$498)</f>
        <v>294211</v>
      </c>
      <c r="N212" s="56">
        <f t="shared" si="124"/>
        <v>471714</v>
      </c>
      <c r="O212" s="51">
        <f t="shared" si="125"/>
        <v>909735</v>
      </c>
      <c r="P212" s="13">
        <f t="shared" si="126"/>
        <v>362140</v>
      </c>
      <c r="Q212" s="56">
        <f t="shared" si="127"/>
        <v>547595</v>
      </c>
      <c r="R212" s="13">
        <f t="shared" si="128"/>
        <v>802.23544973544972</v>
      </c>
      <c r="S212" s="13">
        <f t="shared" si="129"/>
        <v>319.347442680776</v>
      </c>
      <c r="T212" s="16">
        <f t="shared" si="130"/>
        <v>482.88800705467372</v>
      </c>
      <c r="U212" s="15">
        <f>+SUMIF('GE16FEB14 Tax Bill Unfudged'!$A$2:$A$498, 'Tax Bill Summary'!$A212, 'GE16FEB14 Tax Bill Unfudged'!E$2:E$498)</f>
        <v>163325</v>
      </c>
      <c r="V212" s="13">
        <f>+SUMIF('GE16FEB14 Tax Bill Unfudged'!$A$2:$A$498, 'Tax Bill Summary'!$A212, 'GE16FEB14 Tax Bill Unfudged'!F$2:F$498)</f>
        <v>77147</v>
      </c>
      <c r="W212" s="56">
        <f t="shared" si="131"/>
        <v>86178</v>
      </c>
      <c r="X212" s="51">
        <f>+SUMIF('GE16FEB14 Tax Bill Unfudged'!$A$2:$A$498, 'Tax Bill Summary'!$A212, 'GE16FEB14 Tax Bill Unfudged'!G$2:G$498)</f>
        <v>480901</v>
      </c>
      <c r="Y212" s="13">
        <f>+SUMIF('GE16FEB14 Tax Bill Unfudged'!$A$2:$A$498, 'Tax Bill Summary'!$A212, 'GE16FEB14 Tax Bill Unfudged'!H$2:H$498)</f>
        <v>227156</v>
      </c>
      <c r="Z212" s="56">
        <f t="shared" si="132"/>
        <v>253745</v>
      </c>
      <c r="AA212" s="51">
        <f>+SUMIF('GE16FEB14 Tax Bill Unfudged'!$A$2:$A$498, 'Tax Bill Summary'!$A212, 'GE16FEB14 Tax Bill Unfudged'!I$2:I$498)</f>
        <v>340260</v>
      </c>
      <c r="AB212" s="13">
        <f>+SUMIF('GE16FEB14 Tax Bill Unfudged'!$A$2:$A$498, 'Tax Bill Summary'!$A212, 'GE16FEB14 Tax Bill Unfudged'!J$2:J$498)</f>
        <v>93146</v>
      </c>
      <c r="AC212" s="56">
        <f t="shared" si="133"/>
        <v>247114</v>
      </c>
      <c r="AD212" s="51">
        <f t="shared" si="134"/>
        <v>984486</v>
      </c>
      <c r="AE212" s="13">
        <f t="shared" si="135"/>
        <v>397449</v>
      </c>
      <c r="AF212" s="56">
        <f t="shared" si="136"/>
        <v>587037</v>
      </c>
      <c r="AG212" s="13">
        <f t="shared" si="137"/>
        <v>868.15343915343919</v>
      </c>
      <c r="AH212" s="13">
        <f t="shared" si="138"/>
        <v>350.48412698412699</v>
      </c>
      <c r="AI212" s="16">
        <f t="shared" si="139"/>
        <v>517.66931216931221</v>
      </c>
      <c r="AJ212" s="15">
        <f t="shared" si="140"/>
        <v>19515</v>
      </c>
      <c r="AK212" s="13">
        <f t="shared" si="141"/>
        <v>9218</v>
      </c>
      <c r="AL212" s="56">
        <f t="shared" si="142"/>
        <v>10297</v>
      </c>
      <c r="AM212" s="51">
        <f t="shared" si="143"/>
        <v>480901</v>
      </c>
      <c r="AN212" s="13">
        <f t="shared" si="144"/>
        <v>227156</v>
      </c>
      <c r="AO212" s="56">
        <f t="shared" si="145"/>
        <v>253745</v>
      </c>
      <c r="AP212" s="51">
        <f t="shared" si="146"/>
        <v>-425665</v>
      </c>
      <c r="AQ212" s="13">
        <f t="shared" si="147"/>
        <v>-201065</v>
      </c>
      <c r="AR212" s="56">
        <f t="shared" si="148"/>
        <v>-224600</v>
      </c>
      <c r="AS212" s="51">
        <f t="shared" si="149"/>
        <v>74751</v>
      </c>
      <c r="AT212" s="13">
        <f t="shared" si="150"/>
        <v>35309</v>
      </c>
      <c r="AU212" s="56">
        <f t="shared" si="151"/>
        <v>39442</v>
      </c>
      <c r="AV212" s="13">
        <f t="shared" si="152"/>
        <v>65.917989417989475</v>
      </c>
      <c r="AW212" s="13">
        <f t="shared" si="153"/>
        <v>31.136684303350989</v>
      </c>
      <c r="AX212" s="16">
        <f t="shared" si="154"/>
        <v>34.781305114638485</v>
      </c>
    </row>
    <row r="213" spans="1:50" x14ac:dyDescent="0.25">
      <c r="A213" s="20">
        <v>695</v>
      </c>
      <c r="B213">
        <v>1</v>
      </c>
      <c r="C213" s="23" t="s">
        <v>328</v>
      </c>
      <c r="D213" s="23">
        <v>6</v>
      </c>
      <c r="E213" s="15">
        <f>+SUMIF('GE16FEB14 Unfudged'!$A$2:$A$498, $A213, 'GE16FEB14 Unfudged'!$D$2:$D$498)</f>
        <v>809</v>
      </c>
      <c r="F213" s="15">
        <f>+SUMIF('GE16FEB14 Unfudged'!$A$2:$A$498, 'Tax Bill Summary'!$A213, 'GE16FEB14 Unfudged'!E$2:E$498)</f>
        <v>91332</v>
      </c>
      <c r="G213" s="13">
        <f>+SUMIF('GE16FEB14 Unfudged'!$A$2:$A$498, 'Tax Bill Summary'!$A213, 'GE16FEB14 Unfudged'!F$2:F$498)</f>
        <v>36489</v>
      </c>
      <c r="H213" s="56">
        <f t="shared" si="122"/>
        <v>54843</v>
      </c>
      <c r="I213" s="51">
        <f>+SUMIF('GE16FEB14 Unfudged'!$A$2:$A$498, 'Tax Bill Summary'!$A213, 'GE16FEB14 Unfudged'!G$2:G$498)</f>
        <v>0</v>
      </c>
      <c r="J213" s="13">
        <f>+SUMIF('GE16FEB14 Unfudged'!$A$2:$A$498, 'Tax Bill Summary'!$A213, 'GE16FEB14 Unfudged'!H$2:H$498)</f>
        <v>0</v>
      </c>
      <c r="K213" s="56">
        <f t="shared" si="123"/>
        <v>0</v>
      </c>
      <c r="L213" s="51">
        <f>+SUMIF('GE16FEB14 Unfudged'!$A$2:$A$498, 'Tax Bill Summary'!$A213, 'GE16FEB14 Unfudged'!I$2:IF$498)</f>
        <v>790212</v>
      </c>
      <c r="M213" s="13">
        <f>+SUMIF('GE16FEB14 Unfudged'!$A$2:$A$498, 'Tax Bill Summary'!$A213, 'GE16FEB14 Unfudged'!J$2:IG$498)</f>
        <v>328204</v>
      </c>
      <c r="N213" s="56">
        <f t="shared" si="124"/>
        <v>462008</v>
      </c>
      <c r="O213" s="51">
        <f t="shared" si="125"/>
        <v>881544</v>
      </c>
      <c r="P213" s="13">
        <f t="shared" si="126"/>
        <v>364693</v>
      </c>
      <c r="Q213" s="56">
        <f t="shared" si="127"/>
        <v>516851</v>
      </c>
      <c r="R213" s="13">
        <f t="shared" si="128"/>
        <v>1089.6711990111248</v>
      </c>
      <c r="S213" s="13">
        <f t="shared" si="129"/>
        <v>450.7948084054388</v>
      </c>
      <c r="T213" s="16">
        <f t="shared" si="130"/>
        <v>638.87639060568608</v>
      </c>
      <c r="U213" s="15">
        <f>+SUMIF('GE16FEB14 Tax Bill Unfudged'!$A$2:$A$498, 'Tax Bill Summary'!$A213, 'GE16FEB14 Tax Bill Unfudged'!E$2:E$498)</f>
        <v>104036</v>
      </c>
      <c r="V213" s="13">
        <f>+SUMIF('GE16FEB14 Tax Bill Unfudged'!$A$2:$A$498, 'Tax Bill Summary'!$A213, 'GE16FEB14 Tax Bill Unfudged'!F$2:F$498)</f>
        <v>41565</v>
      </c>
      <c r="W213" s="56">
        <f t="shared" si="131"/>
        <v>62471</v>
      </c>
      <c r="X213" s="51">
        <f>+SUMIF('GE16FEB14 Tax Bill Unfudged'!$A$2:$A$498, 'Tax Bill Summary'!$A213, 'GE16FEB14 Tax Bill Unfudged'!G$2:G$498)</f>
        <v>342846</v>
      </c>
      <c r="Y213" s="13">
        <f>+SUMIF('GE16FEB14 Tax Bill Unfudged'!$A$2:$A$498, 'Tax Bill Summary'!$A213, 'GE16FEB14 Tax Bill Unfudged'!H$2:H$498)</f>
        <v>136975</v>
      </c>
      <c r="Z213" s="56">
        <f t="shared" si="132"/>
        <v>205871</v>
      </c>
      <c r="AA213" s="51">
        <f>+SUMIF('GE16FEB14 Tax Bill Unfudged'!$A$2:$A$498, 'Tax Bill Summary'!$A213, 'GE16FEB14 Tax Bill Unfudged'!I$2:I$498)</f>
        <v>447366</v>
      </c>
      <c r="AB213" s="13">
        <f>+SUMIF('GE16FEB14 Tax Bill Unfudged'!$A$2:$A$498, 'Tax Bill Summary'!$A213, 'GE16FEB14 Tax Bill Unfudged'!J$2:J$498)</f>
        <v>137984</v>
      </c>
      <c r="AC213" s="56">
        <f t="shared" si="133"/>
        <v>309382</v>
      </c>
      <c r="AD213" s="51">
        <f t="shared" si="134"/>
        <v>894248</v>
      </c>
      <c r="AE213" s="13">
        <f t="shared" si="135"/>
        <v>316524</v>
      </c>
      <c r="AF213" s="56">
        <f t="shared" si="136"/>
        <v>577724</v>
      </c>
      <c r="AG213" s="13">
        <f t="shared" si="137"/>
        <v>1105.3745364647714</v>
      </c>
      <c r="AH213" s="13">
        <f t="shared" si="138"/>
        <v>391.25339925834362</v>
      </c>
      <c r="AI213" s="16">
        <f t="shared" si="139"/>
        <v>714.12113720642765</v>
      </c>
      <c r="AJ213" s="15">
        <f t="shared" si="140"/>
        <v>12704</v>
      </c>
      <c r="AK213" s="13">
        <f t="shared" si="141"/>
        <v>5076</v>
      </c>
      <c r="AL213" s="56">
        <f t="shared" si="142"/>
        <v>7628</v>
      </c>
      <c r="AM213" s="51">
        <f t="shared" si="143"/>
        <v>342846</v>
      </c>
      <c r="AN213" s="13">
        <f t="shared" si="144"/>
        <v>136975</v>
      </c>
      <c r="AO213" s="56">
        <f t="shared" si="145"/>
        <v>205871</v>
      </c>
      <c r="AP213" s="51">
        <f t="shared" si="146"/>
        <v>-342846</v>
      </c>
      <c r="AQ213" s="13">
        <f t="shared" si="147"/>
        <v>-190220</v>
      </c>
      <c r="AR213" s="56">
        <f t="shared" si="148"/>
        <v>-152626</v>
      </c>
      <c r="AS213" s="51">
        <f t="shared" si="149"/>
        <v>12704</v>
      </c>
      <c r="AT213" s="13">
        <f t="shared" si="150"/>
        <v>-48169</v>
      </c>
      <c r="AU213" s="56">
        <f t="shared" si="151"/>
        <v>60873</v>
      </c>
      <c r="AV213" s="13">
        <f t="shared" si="152"/>
        <v>15.703337453646554</v>
      </c>
      <c r="AW213" s="13">
        <f t="shared" si="153"/>
        <v>-59.54140914709518</v>
      </c>
      <c r="AX213" s="16">
        <f t="shared" si="154"/>
        <v>75.244746600741564</v>
      </c>
    </row>
    <row r="214" spans="1:50" x14ac:dyDescent="0.25">
      <c r="A214" s="20">
        <v>696</v>
      </c>
      <c r="B214">
        <v>1</v>
      </c>
      <c r="C214" s="23" t="s">
        <v>329</v>
      </c>
      <c r="D214" s="23">
        <v>6</v>
      </c>
      <c r="E214" s="15">
        <f>+SUMIF('GE16FEB14 Unfudged'!$A$2:$A$498, $A214, 'GE16FEB14 Unfudged'!$D$2:$D$498)</f>
        <v>572</v>
      </c>
      <c r="F214" s="15">
        <f>+SUMIF('GE16FEB14 Unfudged'!$A$2:$A$498, 'Tax Bill Summary'!$A214, 'GE16FEB14 Unfudged'!E$2:E$498)</f>
        <v>64311</v>
      </c>
      <c r="G214" s="13">
        <f>+SUMIF('GE16FEB14 Unfudged'!$A$2:$A$498, 'Tax Bill Summary'!$A214, 'GE16FEB14 Unfudged'!F$2:F$498)</f>
        <v>64311</v>
      </c>
      <c r="H214" s="56">
        <f t="shared" ref="H214:H277" si="155">+F214-G214</f>
        <v>0</v>
      </c>
      <c r="I214" s="51">
        <f>+SUMIF('GE16FEB14 Unfudged'!$A$2:$A$498, 'Tax Bill Summary'!$A214, 'GE16FEB14 Unfudged'!G$2:G$498)</f>
        <v>0</v>
      </c>
      <c r="J214" s="13">
        <f>+SUMIF('GE16FEB14 Unfudged'!$A$2:$A$498, 'Tax Bill Summary'!$A214, 'GE16FEB14 Unfudged'!H$2:H$498)</f>
        <v>0</v>
      </c>
      <c r="K214" s="56">
        <f t="shared" ref="K214:K277" si="156">+I214-J214</f>
        <v>0</v>
      </c>
      <c r="L214" s="51">
        <f>+SUMIF('GE16FEB14 Unfudged'!$A$2:$A$498, 'Tax Bill Summary'!$A214, 'GE16FEB14 Unfudged'!I$2:IF$498)</f>
        <v>563739</v>
      </c>
      <c r="M214" s="13">
        <f>+SUMIF('GE16FEB14 Unfudged'!$A$2:$A$498, 'Tax Bill Summary'!$A214, 'GE16FEB14 Unfudged'!J$2:IG$498)</f>
        <v>541604</v>
      </c>
      <c r="N214" s="56">
        <f t="shared" ref="N214:N277" si="157">+L214-M214</f>
        <v>22135</v>
      </c>
      <c r="O214" s="51">
        <f t="shared" ref="O214:O277" si="158">+F214+I214+L214</f>
        <v>628050</v>
      </c>
      <c r="P214" s="13">
        <f t="shared" ref="P214:P277" si="159">+G214+J214+M214</f>
        <v>605915</v>
      </c>
      <c r="Q214" s="56">
        <f t="shared" ref="Q214:Q277" si="160">+H214+K214+N214</f>
        <v>22135</v>
      </c>
      <c r="R214" s="13">
        <f t="shared" ref="R214:R277" si="161">+IF($E214=0, 0, O214/$E214)</f>
        <v>1097.9895104895104</v>
      </c>
      <c r="S214" s="13">
        <f t="shared" ref="S214:S277" si="162">+IF($E214=0, 0, P214/$E214)</f>
        <v>1059.291958041958</v>
      </c>
      <c r="T214" s="16">
        <f t="shared" ref="T214:T277" si="163">+IF($E214=0, 0, Q214/$E214)</f>
        <v>38.697552447552447</v>
      </c>
      <c r="U214" s="15">
        <f>+SUMIF('GE16FEB14 Tax Bill Unfudged'!$A$2:$A$498, 'Tax Bill Summary'!$A214, 'GE16FEB14 Tax Bill Unfudged'!E$2:E$498)</f>
        <v>73213</v>
      </c>
      <c r="V214" s="13">
        <f>+SUMIF('GE16FEB14 Tax Bill Unfudged'!$A$2:$A$498, 'Tax Bill Summary'!$A214, 'GE16FEB14 Tax Bill Unfudged'!F$2:F$498)</f>
        <v>73213</v>
      </c>
      <c r="W214" s="56">
        <f t="shared" ref="W214:W277" si="164">+U214-V214</f>
        <v>0</v>
      </c>
      <c r="X214" s="51">
        <f>+SUMIF('GE16FEB14 Tax Bill Unfudged'!$A$2:$A$498, 'Tax Bill Summary'!$A214, 'GE16FEB14 Tax Bill Unfudged'!G$2:G$498)</f>
        <v>242316</v>
      </c>
      <c r="Y214" s="13">
        <f>+SUMIF('GE16FEB14 Tax Bill Unfudged'!$A$2:$A$498, 'Tax Bill Summary'!$A214, 'GE16FEB14 Tax Bill Unfudged'!H$2:H$498)</f>
        <v>242316</v>
      </c>
      <c r="Z214" s="56">
        <f t="shared" ref="Z214:Z277" si="165">+X214-Y214</f>
        <v>0</v>
      </c>
      <c r="AA214" s="51">
        <f>+SUMIF('GE16FEB14 Tax Bill Unfudged'!$A$2:$A$498, 'Tax Bill Summary'!$A214, 'GE16FEB14 Tax Bill Unfudged'!I$2:I$498)</f>
        <v>321423</v>
      </c>
      <c r="AB214" s="13">
        <f>+SUMIF('GE16FEB14 Tax Bill Unfudged'!$A$2:$A$498, 'Tax Bill Summary'!$A214, 'GE16FEB14 Tax Bill Unfudged'!J$2:J$498)</f>
        <v>299288</v>
      </c>
      <c r="AC214" s="56">
        <f t="shared" ref="AC214:AC277" si="166">+AA214-AB214</f>
        <v>22135</v>
      </c>
      <c r="AD214" s="51">
        <f t="shared" ref="AD214:AD277" si="167">+U214+X214+AA214</f>
        <v>636952</v>
      </c>
      <c r="AE214" s="13">
        <f t="shared" ref="AE214:AE277" si="168">+V214+Y214+AB214</f>
        <v>614817</v>
      </c>
      <c r="AF214" s="56">
        <f t="shared" ref="AF214:AF277" si="169">+W214+Z214+AC214</f>
        <v>22135</v>
      </c>
      <c r="AG214" s="13">
        <f t="shared" ref="AG214:AG277" si="170">+IF($E214=0, 0, AD214/$E214)</f>
        <v>1113.5524475524476</v>
      </c>
      <c r="AH214" s="13">
        <f t="shared" ref="AH214:AH277" si="171">+IF($E214=0, 0, AE214/$E214)</f>
        <v>1074.8548951048951</v>
      </c>
      <c r="AI214" s="16">
        <f t="shared" ref="AI214:AI277" si="172">+IF($E214=0, 0, AF214/$E214)</f>
        <v>38.697552447552447</v>
      </c>
      <c r="AJ214" s="15">
        <f t="shared" ref="AJ214:AJ277" si="173">+U214-F214</f>
        <v>8902</v>
      </c>
      <c r="AK214" s="13">
        <f t="shared" ref="AK214:AK277" si="174">+V214-G214</f>
        <v>8902</v>
      </c>
      <c r="AL214" s="56">
        <f t="shared" ref="AL214:AL277" si="175">+W214-H214</f>
        <v>0</v>
      </c>
      <c r="AM214" s="51">
        <f t="shared" ref="AM214:AM277" si="176">+X214-I214</f>
        <v>242316</v>
      </c>
      <c r="AN214" s="13">
        <f t="shared" ref="AN214:AN277" si="177">+Y214-J214</f>
        <v>242316</v>
      </c>
      <c r="AO214" s="56">
        <f t="shared" ref="AO214:AO277" si="178">+Z214-K214</f>
        <v>0</v>
      </c>
      <c r="AP214" s="51">
        <f t="shared" ref="AP214:AP277" si="179">+AA214-L214</f>
        <v>-242316</v>
      </c>
      <c r="AQ214" s="13">
        <f t="shared" ref="AQ214:AQ277" si="180">+AB214-M214</f>
        <v>-242316</v>
      </c>
      <c r="AR214" s="56">
        <f t="shared" ref="AR214:AR277" si="181">+AC214-N214</f>
        <v>0</v>
      </c>
      <c r="AS214" s="51">
        <f t="shared" ref="AS214:AS277" si="182">+AD214-O214</f>
        <v>8902</v>
      </c>
      <c r="AT214" s="13">
        <f t="shared" ref="AT214:AT277" si="183">+AE214-P214</f>
        <v>8902</v>
      </c>
      <c r="AU214" s="56">
        <f t="shared" ref="AU214:AU277" si="184">+AF214-Q214</f>
        <v>0</v>
      </c>
      <c r="AV214" s="13">
        <f t="shared" ref="AV214:AV277" si="185">+AG214-R214</f>
        <v>15.562937062937181</v>
      </c>
      <c r="AW214" s="13">
        <f t="shared" ref="AW214:AW277" si="186">+AH214-S214</f>
        <v>15.562937062937181</v>
      </c>
      <c r="AX214" s="16">
        <f t="shared" ref="AX214:AX277" si="187">+AI214-T214</f>
        <v>0</v>
      </c>
    </row>
    <row r="215" spans="1:50" x14ac:dyDescent="0.25">
      <c r="A215" s="20">
        <v>698</v>
      </c>
      <c r="B215">
        <v>1</v>
      </c>
      <c r="C215" s="23" t="s">
        <v>330</v>
      </c>
      <c r="D215" s="23">
        <v>6</v>
      </c>
      <c r="E215" s="15">
        <f>+SUMIF('GE16FEB14 Unfudged'!$A$2:$A$498, $A215, 'GE16FEB14 Unfudged'!$D$2:$D$498)</f>
        <v>267</v>
      </c>
      <c r="F215" s="15">
        <f>+SUMIF('GE16FEB14 Unfudged'!$A$2:$A$498, 'Tax Bill Summary'!$A215, 'GE16FEB14 Unfudged'!E$2:E$498)</f>
        <v>38506</v>
      </c>
      <c r="G215" s="13">
        <f>+SUMIF('GE16FEB14 Unfudged'!$A$2:$A$498, 'Tax Bill Summary'!$A215, 'GE16FEB14 Unfudged'!F$2:F$498)</f>
        <v>38506</v>
      </c>
      <c r="H215" s="56">
        <f t="shared" si="155"/>
        <v>0</v>
      </c>
      <c r="I215" s="51">
        <f>+SUMIF('GE16FEB14 Unfudged'!$A$2:$A$498, 'Tax Bill Summary'!$A215, 'GE16FEB14 Unfudged'!G$2:G$498)</f>
        <v>0</v>
      </c>
      <c r="J215" s="13">
        <f>+SUMIF('GE16FEB14 Unfudged'!$A$2:$A$498, 'Tax Bill Summary'!$A215, 'GE16FEB14 Unfudged'!H$2:H$498)</f>
        <v>0</v>
      </c>
      <c r="K215" s="56">
        <f t="shared" si="156"/>
        <v>0</v>
      </c>
      <c r="L215" s="51">
        <f>+SUMIF('GE16FEB14 Unfudged'!$A$2:$A$498, 'Tax Bill Summary'!$A215, 'GE16FEB14 Unfudged'!I$2:IF$498)</f>
        <v>80220</v>
      </c>
      <c r="M215" s="13">
        <f>+SUMIF('GE16FEB14 Unfudged'!$A$2:$A$498, 'Tax Bill Summary'!$A215, 'GE16FEB14 Unfudged'!J$2:IG$498)</f>
        <v>71119</v>
      </c>
      <c r="N215" s="56">
        <f t="shared" si="157"/>
        <v>9101</v>
      </c>
      <c r="O215" s="51">
        <f t="shared" si="158"/>
        <v>118726</v>
      </c>
      <c r="P215" s="13">
        <f t="shared" si="159"/>
        <v>109625</v>
      </c>
      <c r="Q215" s="56">
        <f t="shared" si="160"/>
        <v>9101</v>
      </c>
      <c r="R215" s="13">
        <f t="shared" si="161"/>
        <v>444.66666666666669</v>
      </c>
      <c r="S215" s="13">
        <f t="shared" si="162"/>
        <v>410.58052434456931</v>
      </c>
      <c r="T215" s="16">
        <f t="shared" si="163"/>
        <v>34.08614232209738</v>
      </c>
      <c r="U215" s="15">
        <f>+SUMIF('GE16FEB14 Tax Bill Unfudged'!$A$2:$A$498, 'Tax Bill Summary'!$A215, 'GE16FEB14 Tax Bill Unfudged'!E$2:E$498)</f>
        <v>38506</v>
      </c>
      <c r="V215" s="13">
        <f>+SUMIF('GE16FEB14 Tax Bill Unfudged'!$A$2:$A$498, 'Tax Bill Summary'!$A215, 'GE16FEB14 Tax Bill Unfudged'!F$2:F$498)</f>
        <v>38506</v>
      </c>
      <c r="W215" s="56">
        <f t="shared" si="164"/>
        <v>0</v>
      </c>
      <c r="X215" s="51">
        <f>+SUMIF('GE16FEB14 Tax Bill Unfudged'!$A$2:$A$498, 'Tax Bill Summary'!$A215, 'GE16FEB14 Tax Bill Unfudged'!G$2:G$498)</f>
        <v>113378</v>
      </c>
      <c r="Y215" s="13">
        <f>+SUMIF('GE16FEB14 Tax Bill Unfudged'!$A$2:$A$498, 'Tax Bill Summary'!$A215, 'GE16FEB14 Tax Bill Unfudged'!H$2:H$498)</f>
        <v>113378</v>
      </c>
      <c r="Z215" s="56">
        <f t="shared" si="165"/>
        <v>0</v>
      </c>
      <c r="AA215" s="51">
        <f>+SUMIF('GE16FEB14 Tax Bill Unfudged'!$A$2:$A$498, 'Tax Bill Summary'!$A215, 'GE16FEB14 Tax Bill Unfudged'!I$2:I$498)</f>
        <v>80220</v>
      </c>
      <c r="AB215" s="13">
        <f>+SUMIF('GE16FEB14 Tax Bill Unfudged'!$A$2:$A$498, 'Tax Bill Summary'!$A215, 'GE16FEB14 Tax Bill Unfudged'!J$2:J$498)</f>
        <v>71119</v>
      </c>
      <c r="AC215" s="56">
        <f t="shared" si="166"/>
        <v>9101</v>
      </c>
      <c r="AD215" s="51">
        <f t="shared" si="167"/>
        <v>232104</v>
      </c>
      <c r="AE215" s="13">
        <f t="shared" si="168"/>
        <v>223003</v>
      </c>
      <c r="AF215" s="56">
        <f t="shared" si="169"/>
        <v>9101</v>
      </c>
      <c r="AG215" s="13">
        <f t="shared" si="170"/>
        <v>869.30337078651689</v>
      </c>
      <c r="AH215" s="13">
        <f t="shared" si="171"/>
        <v>835.21722846441946</v>
      </c>
      <c r="AI215" s="16">
        <f t="shared" si="172"/>
        <v>34.08614232209738</v>
      </c>
      <c r="AJ215" s="15">
        <f t="shared" si="173"/>
        <v>0</v>
      </c>
      <c r="AK215" s="13">
        <f t="shared" si="174"/>
        <v>0</v>
      </c>
      <c r="AL215" s="56">
        <f t="shared" si="175"/>
        <v>0</v>
      </c>
      <c r="AM215" s="51">
        <f t="shared" si="176"/>
        <v>113378</v>
      </c>
      <c r="AN215" s="13">
        <f t="shared" si="177"/>
        <v>113378</v>
      </c>
      <c r="AO215" s="56">
        <f t="shared" si="178"/>
        <v>0</v>
      </c>
      <c r="AP215" s="51">
        <f t="shared" si="179"/>
        <v>0</v>
      </c>
      <c r="AQ215" s="13">
        <f t="shared" si="180"/>
        <v>0</v>
      </c>
      <c r="AR215" s="56">
        <f t="shared" si="181"/>
        <v>0</v>
      </c>
      <c r="AS215" s="51">
        <f t="shared" si="182"/>
        <v>113378</v>
      </c>
      <c r="AT215" s="13">
        <f t="shared" si="183"/>
        <v>113378</v>
      </c>
      <c r="AU215" s="56">
        <f t="shared" si="184"/>
        <v>0</v>
      </c>
      <c r="AV215" s="13">
        <f t="shared" si="185"/>
        <v>424.63670411985021</v>
      </c>
      <c r="AW215" s="13">
        <f t="shared" si="186"/>
        <v>424.63670411985015</v>
      </c>
      <c r="AX215" s="16">
        <f t="shared" si="187"/>
        <v>0</v>
      </c>
    </row>
    <row r="216" spans="1:50" x14ac:dyDescent="0.25">
      <c r="A216" s="20">
        <v>700</v>
      </c>
      <c r="B216">
        <v>1</v>
      </c>
      <c r="C216" s="23" t="s">
        <v>331</v>
      </c>
      <c r="D216" s="23">
        <v>4</v>
      </c>
      <c r="E216" s="15">
        <f>+SUMIF('GE16FEB14 Unfudged'!$A$2:$A$498, $A216, 'GE16FEB14 Unfudged'!$D$2:$D$498)</f>
        <v>2155</v>
      </c>
      <c r="F216" s="15">
        <f>+SUMIF('GE16FEB14 Unfudged'!$A$2:$A$498, 'Tax Bill Summary'!$A216, 'GE16FEB14 Unfudged'!E$2:E$498)</f>
        <v>310277</v>
      </c>
      <c r="G216" s="13">
        <f>+SUMIF('GE16FEB14 Unfudged'!$A$2:$A$498, 'Tax Bill Summary'!$A216, 'GE16FEB14 Unfudged'!F$2:F$498)</f>
        <v>310277</v>
      </c>
      <c r="H216" s="56">
        <f t="shared" si="155"/>
        <v>0</v>
      </c>
      <c r="I216" s="51">
        <f>+SUMIF('GE16FEB14 Unfudged'!$A$2:$A$498, 'Tax Bill Summary'!$A216, 'GE16FEB14 Unfudged'!G$2:G$498)</f>
        <v>456796</v>
      </c>
      <c r="J216" s="13">
        <f>+SUMIF('GE16FEB14 Unfudged'!$A$2:$A$498, 'Tax Bill Summary'!$A216, 'GE16FEB14 Unfudged'!H$2:H$498)</f>
        <v>456796</v>
      </c>
      <c r="K216" s="56">
        <f t="shared" si="156"/>
        <v>0</v>
      </c>
      <c r="L216" s="51">
        <f>+SUMIF('GE16FEB14 Unfudged'!$A$2:$A$498, 'Tax Bill Summary'!$A216, 'GE16FEB14 Unfudged'!I$2:IF$498)</f>
        <v>646410</v>
      </c>
      <c r="M216" s="13">
        <f>+SUMIF('GE16FEB14 Unfudged'!$A$2:$A$498, 'Tax Bill Summary'!$A216, 'GE16FEB14 Unfudged'!J$2:IG$498)</f>
        <v>388040</v>
      </c>
      <c r="N216" s="56">
        <f t="shared" si="157"/>
        <v>258370</v>
      </c>
      <c r="O216" s="51">
        <f t="shared" si="158"/>
        <v>1413483</v>
      </c>
      <c r="P216" s="13">
        <f t="shared" si="159"/>
        <v>1155113</v>
      </c>
      <c r="Q216" s="56">
        <f t="shared" si="160"/>
        <v>258370</v>
      </c>
      <c r="R216" s="13">
        <f t="shared" si="161"/>
        <v>655.90858468677493</v>
      </c>
      <c r="S216" s="13">
        <f t="shared" si="162"/>
        <v>536.01531322505798</v>
      </c>
      <c r="T216" s="16">
        <f t="shared" si="163"/>
        <v>119.89327146171694</v>
      </c>
      <c r="U216" s="15">
        <f>+SUMIF('GE16FEB14 Tax Bill Unfudged'!$A$2:$A$498, 'Tax Bill Summary'!$A216, 'GE16FEB14 Tax Bill Unfudged'!E$2:E$498)</f>
        <v>310277</v>
      </c>
      <c r="V216" s="13">
        <f>+SUMIF('GE16FEB14 Tax Bill Unfudged'!$A$2:$A$498, 'Tax Bill Summary'!$A216, 'GE16FEB14 Tax Bill Unfudged'!F$2:F$498)</f>
        <v>310277</v>
      </c>
      <c r="W216" s="56">
        <f t="shared" si="164"/>
        <v>0</v>
      </c>
      <c r="X216" s="51">
        <f>+SUMIF('GE16FEB14 Tax Bill Unfudged'!$A$2:$A$498, 'Tax Bill Summary'!$A216, 'GE16FEB14 Tax Bill Unfudged'!G$2:G$498)</f>
        <v>913593</v>
      </c>
      <c r="Y216" s="13">
        <f>+SUMIF('GE16FEB14 Tax Bill Unfudged'!$A$2:$A$498, 'Tax Bill Summary'!$A216, 'GE16FEB14 Tax Bill Unfudged'!H$2:H$498)</f>
        <v>913593</v>
      </c>
      <c r="Z216" s="56">
        <f t="shared" si="165"/>
        <v>0</v>
      </c>
      <c r="AA216" s="51">
        <f>+SUMIF('GE16FEB14 Tax Bill Unfudged'!$A$2:$A$498, 'Tax Bill Summary'!$A216, 'GE16FEB14 Tax Bill Unfudged'!I$2:I$498)</f>
        <v>646410</v>
      </c>
      <c r="AB216" s="13">
        <f>+SUMIF('GE16FEB14 Tax Bill Unfudged'!$A$2:$A$498, 'Tax Bill Summary'!$A216, 'GE16FEB14 Tax Bill Unfudged'!J$2:J$498)</f>
        <v>388040</v>
      </c>
      <c r="AC216" s="56">
        <f t="shared" si="166"/>
        <v>258370</v>
      </c>
      <c r="AD216" s="51">
        <f t="shared" si="167"/>
        <v>1870280</v>
      </c>
      <c r="AE216" s="13">
        <f t="shared" si="168"/>
        <v>1611910</v>
      </c>
      <c r="AF216" s="56">
        <f t="shared" si="169"/>
        <v>258370</v>
      </c>
      <c r="AG216" s="13">
        <f t="shared" si="170"/>
        <v>867.87935034802786</v>
      </c>
      <c r="AH216" s="13">
        <f t="shared" si="171"/>
        <v>747.98607888631091</v>
      </c>
      <c r="AI216" s="16">
        <f t="shared" si="172"/>
        <v>119.89327146171694</v>
      </c>
      <c r="AJ216" s="15">
        <f t="shared" si="173"/>
        <v>0</v>
      </c>
      <c r="AK216" s="13">
        <f t="shared" si="174"/>
        <v>0</v>
      </c>
      <c r="AL216" s="56">
        <f t="shared" si="175"/>
        <v>0</v>
      </c>
      <c r="AM216" s="51">
        <f t="shared" si="176"/>
        <v>456797</v>
      </c>
      <c r="AN216" s="13">
        <f t="shared" si="177"/>
        <v>456797</v>
      </c>
      <c r="AO216" s="56">
        <f t="shared" si="178"/>
        <v>0</v>
      </c>
      <c r="AP216" s="51">
        <f t="shared" si="179"/>
        <v>0</v>
      </c>
      <c r="AQ216" s="13">
        <f t="shared" si="180"/>
        <v>0</v>
      </c>
      <c r="AR216" s="56">
        <f t="shared" si="181"/>
        <v>0</v>
      </c>
      <c r="AS216" s="51">
        <f t="shared" si="182"/>
        <v>456797</v>
      </c>
      <c r="AT216" s="13">
        <f t="shared" si="183"/>
        <v>456797</v>
      </c>
      <c r="AU216" s="56">
        <f t="shared" si="184"/>
        <v>0</v>
      </c>
      <c r="AV216" s="13">
        <f t="shared" si="185"/>
        <v>211.97076566125293</v>
      </c>
      <c r="AW216" s="13">
        <f t="shared" si="186"/>
        <v>211.97076566125293</v>
      </c>
      <c r="AX216" s="16">
        <f t="shared" si="187"/>
        <v>0</v>
      </c>
    </row>
    <row r="217" spans="1:50" x14ac:dyDescent="0.25">
      <c r="A217" s="20">
        <v>701</v>
      </c>
      <c r="B217">
        <v>1</v>
      </c>
      <c r="C217" s="23" t="s">
        <v>332</v>
      </c>
      <c r="D217" s="23">
        <v>4</v>
      </c>
      <c r="E217" s="15">
        <f>+SUMIF('GE16FEB14 Unfudged'!$A$2:$A$498, $A217, 'GE16FEB14 Unfudged'!$D$2:$D$498)</f>
        <v>2514</v>
      </c>
      <c r="F217" s="15">
        <f>+SUMIF('GE16FEB14 Unfudged'!$A$2:$A$498, 'Tax Bill Summary'!$A217, 'GE16FEB14 Unfudged'!E$2:E$498)</f>
        <v>339036</v>
      </c>
      <c r="G217" s="13">
        <f>+SUMIF('GE16FEB14 Unfudged'!$A$2:$A$498, 'Tax Bill Summary'!$A217, 'GE16FEB14 Unfudged'!F$2:F$498)</f>
        <v>228009</v>
      </c>
      <c r="H217" s="56">
        <f t="shared" si="155"/>
        <v>111027</v>
      </c>
      <c r="I217" s="51">
        <f>+SUMIF('GE16FEB14 Unfudged'!$A$2:$A$498, 'Tax Bill Summary'!$A217, 'GE16FEB14 Unfudged'!G$2:G$498)</f>
        <v>533053</v>
      </c>
      <c r="J217" s="13">
        <f>+SUMIF('GE16FEB14 Unfudged'!$A$2:$A$498, 'Tax Bill Summary'!$A217, 'GE16FEB14 Unfudged'!H$2:H$498)</f>
        <v>358490</v>
      </c>
      <c r="K217" s="56">
        <f t="shared" si="156"/>
        <v>174563</v>
      </c>
      <c r="L217" s="51">
        <f>+SUMIF('GE16FEB14 Unfudged'!$A$2:$A$498, 'Tax Bill Summary'!$A217, 'GE16FEB14 Unfudged'!I$2:IF$498)</f>
        <v>1256823</v>
      </c>
      <c r="M217" s="13">
        <f>+SUMIF('GE16FEB14 Unfudged'!$A$2:$A$498, 'Tax Bill Summary'!$A217, 'GE16FEB14 Unfudged'!J$2:IG$498)</f>
        <v>631946</v>
      </c>
      <c r="N217" s="56">
        <f t="shared" si="157"/>
        <v>624877</v>
      </c>
      <c r="O217" s="51">
        <f t="shared" si="158"/>
        <v>2128912</v>
      </c>
      <c r="P217" s="13">
        <f t="shared" si="159"/>
        <v>1218445</v>
      </c>
      <c r="Q217" s="56">
        <f t="shared" si="160"/>
        <v>910467</v>
      </c>
      <c r="R217" s="13">
        <f t="shared" si="161"/>
        <v>846.82259347653144</v>
      </c>
      <c r="S217" s="13">
        <f t="shared" si="162"/>
        <v>484.66388225934764</v>
      </c>
      <c r="T217" s="16">
        <f t="shared" si="163"/>
        <v>362.15871121718379</v>
      </c>
      <c r="U217" s="15">
        <f>+SUMIF('GE16FEB14 Tax Bill Unfudged'!$A$2:$A$498, 'Tax Bill Summary'!$A217, 'GE16FEB14 Tax Bill Unfudged'!E$2:E$498)</f>
        <v>362074</v>
      </c>
      <c r="V217" s="13">
        <f>+SUMIF('GE16FEB14 Tax Bill Unfudged'!$A$2:$A$498, 'Tax Bill Summary'!$A217, 'GE16FEB14 Tax Bill Unfudged'!F$2:F$498)</f>
        <v>243503</v>
      </c>
      <c r="W217" s="56">
        <f t="shared" si="164"/>
        <v>118571</v>
      </c>
      <c r="X217" s="51">
        <f>+SUMIF('GE16FEB14 Tax Bill Unfudged'!$A$2:$A$498, 'Tax Bill Summary'!$A217, 'GE16FEB14 Tax Bill Unfudged'!G$2:G$498)</f>
        <v>1066106</v>
      </c>
      <c r="Y217" s="13">
        <f>+SUMIF('GE16FEB14 Tax Bill Unfudged'!$A$2:$A$498, 'Tax Bill Summary'!$A217, 'GE16FEB14 Tax Bill Unfudged'!H$2:H$498)</f>
        <v>716980</v>
      </c>
      <c r="Z217" s="56">
        <f t="shared" si="165"/>
        <v>349126</v>
      </c>
      <c r="AA217" s="51">
        <f>+SUMIF('GE16FEB14 Tax Bill Unfudged'!$A$2:$A$498, 'Tax Bill Summary'!$A217, 'GE16FEB14 Tax Bill Unfudged'!I$2:I$498)</f>
        <v>754320</v>
      </c>
      <c r="AB217" s="13">
        <f>+SUMIF('GE16FEB14 Tax Bill Unfudged'!$A$2:$A$498, 'Tax Bill Summary'!$A217, 'GE16FEB14 Tax Bill Unfudged'!J$2:J$498)</f>
        <v>294002</v>
      </c>
      <c r="AC217" s="56">
        <f t="shared" si="166"/>
        <v>460318</v>
      </c>
      <c r="AD217" s="51">
        <f t="shared" si="167"/>
        <v>2182500</v>
      </c>
      <c r="AE217" s="13">
        <f t="shared" si="168"/>
        <v>1254485</v>
      </c>
      <c r="AF217" s="56">
        <f t="shared" si="169"/>
        <v>928015</v>
      </c>
      <c r="AG217" s="13">
        <f t="shared" si="170"/>
        <v>868.13842482100233</v>
      </c>
      <c r="AH217" s="13">
        <f t="shared" si="171"/>
        <v>498.99960222752583</v>
      </c>
      <c r="AI217" s="16">
        <f t="shared" si="172"/>
        <v>369.1388225934765</v>
      </c>
      <c r="AJ217" s="15">
        <f t="shared" si="173"/>
        <v>23038</v>
      </c>
      <c r="AK217" s="13">
        <f t="shared" si="174"/>
        <v>15494</v>
      </c>
      <c r="AL217" s="56">
        <f t="shared" si="175"/>
        <v>7544</v>
      </c>
      <c r="AM217" s="51">
        <f t="shared" si="176"/>
        <v>533053</v>
      </c>
      <c r="AN217" s="13">
        <f t="shared" si="177"/>
        <v>358490</v>
      </c>
      <c r="AO217" s="56">
        <f t="shared" si="178"/>
        <v>174563</v>
      </c>
      <c r="AP217" s="51">
        <f t="shared" si="179"/>
        <v>-502503</v>
      </c>
      <c r="AQ217" s="13">
        <f t="shared" si="180"/>
        <v>-337944</v>
      </c>
      <c r="AR217" s="56">
        <f t="shared" si="181"/>
        <v>-164559</v>
      </c>
      <c r="AS217" s="51">
        <f t="shared" si="182"/>
        <v>53588</v>
      </c>
      <c r="AT217" s="13">
        <f t="shared" si="183"/>
        <v>36040</v>
      </c>
      <c r="AU217" s="56">
        <f t="shared" si="184"/>
        <v>17548</v>
      </c>
      <c r="AV217" s="13">
        <f t="shared" si="185"/>
        <v>21.315831344470894</v>
      </c>
      <c r="AW217" s="13">
        <f t="shared" si="186"/>
        <v>14.335719968178182</v>
      </c>
      <c r="AX217" s="16">
        <f t="shared" si="187"/>
        <v>6.9801113762927116</v>
      </c>
    </row>
    <row r="218" spans="1:50" x14ac:dyDescent="0.25">
      <c r="A218" s="20">
        <v>704</v>
      </c>
      <c r="B218">
        <v>1</v>
      </c>
      <c r="C218" s="23" t="s">
        <v>333</v>
      </c>
      <c r="D218" s="23">
        <v>5</v>
      </c>
      <c r="E218" s="15">
        <f>+SUMIF('GE16FEB14 Unfudged'!$A$2:$A$498, $A218, 'GE16FEB14 Unfudged'!$D$2:$D$498)</f>
        <v>1956</v>
      </c>
      <c r="F218" s="15">
        <f>+SUMIF('GE16FEB14 Unfudged'!$A$2:$A$498, 'Tax Bill Summary'!$A218, 'GE16FEB14 Unfudged'!E$2:E$498)</f>
        <v>281664</v>
      </c>
      <c r="G218" s="13">
        <f>+SUMIF('GE16FEB14 Unfudged'!$A$2:$A$498, 'Tax Bill Summary'!$A218, 'GE16FEB14 Unfudged'!F$2:F$498)</f>
        <v>263567</v>
      </c>
      <c r="H218" s="56">
        <f t="shared" si="155"/>
        <v>18097</v>
      </c>
      <c r="I218" s="51">
        <f>+SUMIF('GE16FEB14 Unfudged'!$A$2:$A$498, 'Tax Bill Summary'!$A218, 'GE16FEB14 Unfudged'!G$2:G$498)</f>
        <v>0</v>
      </c>
      <c r="J218" s="13">
        <f>+SUMIF('GE16FEB14 Unfudged'!$A$2:$A$498, 'Tax Bill Summary'!$A218, 'GE16FEB14 Unfudged'!H$2:H$498)</f>
        <v>0</v>
      </c>
      <c r="K218" s="56">
        <f t="shared" si="156"/>
        <v>0</v>
      </c>
      <c r="L218" s="51">
        <f>+SUMIF('GE16FEB14 Unfudged'!$A$2:$A$498, 'Tax Bill Summary'!$A218, 'GE16FEB14 Unfudged'!I$2:IF$498)</f>
        <v>586800</v>
      </c>
      <c r="M218" s="13">
        <f>+SUMIF('GE16FEB14 Unfudged'!$A$2:$A$498, 'Tax Bill Summary'!$A218, 'GE16FEB14 Unfudged'!J$2:IG$498)</f>
        <v>318228</v>
      </c>
      <c r="N218" s="56">
        <f t="shared" si="157"/>
        <v>268572</v>
      </c>
      <c r="O218" s="51">
        <f t="shared" si="158"/>
        <v>868464</v>
      </c>
      <c r="P218" s="13">
        <f t="shared" si="159"/>
        <v>581795</v>
      </c>
      <c r="Q218" s="56">
        <f t="shared" si="160"/>
        <v>286669</v>
      </c>
      <c r="R218" s="13">
        <f t="shared" si="161"/>
        <v>444</v>
      </c>
      <c r="S218" s="13">
        <f t="shared" si="162"/>
        <v>297.44120654396727</v>
      </c>
      <c r="T218" s="16">
        <f t="shared" si="163"/>
        <v>146.55879345603273</v>
      </c>
      <c r="U218" s="15">
        <f>+SUMIF('GE16FEB14 Tax Bill Unfudged'!$A$2:$A$498, 'Tax Bill Summary'!$A218, 'GE16FEB14 Tax Bill Unfudged'!E$2:E$498)</f>
        <v>281664</v>
      </c>
      <c r="V218" s="13">
        <f>+SUMIF('GE16FEB14 Tax Bill Unfudged'!$A$2:$A$498, 'Tax Bill Summary'!$A218, 'GE16FEB14 Tax Bill Unfudged'!F$2:F$498)</f>
        <v>263567</v>
      </c>
      <c r="W218" s="56">
        <f t="shared" si="164"/>
        <v>18097</v>
      </c>
      <c r="X218" s="51">
        <f>+SUMIF('GE16FEB14 Tax Bill Unfudged'!$A$2:$A$498, 'Tax Bill Summary'!$A218, 'GE16FEB14 Tax Bill Unfudged'!G$2:G$498)</f>
        <v>829344</v>
      </c>
      <c r="Y218" s="13">
        <f>+SUMIF('GE16FEB14 Tax Bill Unfudged'!$A$2:$A$498, 'Tax Bill Summary'!$A218, 'GE16FEB14 Tax Bill Unfudged'!H$2:H$498)</f>
        <v>776059</v>
      </c>
      <c r="Z218" s="56">
        <f t="shared" si="165"/>
        <v>53285</v>
      </c>
      <c r="AA218" s="51">
        <f>+SUMIF('GE16FEB14 Tax Bill Unfudged'!$A$2:$A$498, 'Tax Bill Summary'!$A218, 'GE16FEB14 Tax Bill Unfudged'!I$2:I$498)</f>
        <v>586800</v>
      </c>
      <c r="AB218" s="13">
        <f>+SUMIF('GE16FEB14 Tax Bill Unfudged'!$A$2:$A$498, 'Tax Bill Summary'!$A218, 'GE16FEB14 Tax Bill Unfudged'!J$2:J$498)</f>
        <v>318228</v>
      </c>
      <c r="AC218" s="56">
        <f t="shared" si="166"/>
        <v>268572</v>
      </c>
      <c r="AD218" s="51">
        <f t="shared" si="167"/>
        <v>1697808</v>
      </c>
      <c r="AE218" s="13">
        <f t="shared" si="168"/>
        <v>1357854</v>
      </c>
      <c r="AF218" s="56">
        <f t="shared" si="169"/>
        <v>339954</v>
      </c>
      <c r="AG218" s="13">
        <f t="shared" si="170"/>
        <v>868</v>
      </c>
      <c r="AH218" s="13">
        <f t="shared" si="171"/>
        <v>694.19938650306744</v>
      </c>
      <c r="AI218" s="16">
        <f t="shared" si="172"/>
        <v>173.80061349693253</v>
      </c>
      <c r="AJ218" s="15">
        <f t="shared" si="173"/>
        <v>0</v>
      </c>
      <c r="AK218" s="13">
        <f t="shared" si="174"/>
        <v>0</v>
      </c>
      <c r="AL218" s="56">
        <f t="shared" si="175"/>
        <v>0</v>
      </c>
      <c r="AM218" s="51">
        <f t="shared" si="176"/>
        <v>829344</v>
      </c>
      <c r="AN218" s="13">
        <f t="shared" si="177"/>
        <v>776059</v>
      </c>
      <c r="AO218" s="56">
        <f t="shared" si="178"/>
        <v>53285</v>
      </c>
      <c r="AP218" s="51">
        <f t="shared" si="179"/>
        <v>0</v>
      </c>
      <c r="AQ218" s="13">
        <f t="shared" si="180"/>
        <v>0</v>
      </c>
      <c r="AR218" s="56">
        <f t="shared" si="181"/>
        <v>0</v>
      </c>
      <c r="AS218" s="51">
        <f t="shared" si="182"/>
        <v>829344</v>
      </c>
      <c r="AT218" s="13">
        <f t="shared" si="183"/>
        <v>776059</v>
      </c>
      <c r="AU218" s="56">
        <f t="shared" si="184"/>
        <v>53285</v>
      </c>
      <c r="AV218" s="13">
        <f t="shared" si="185"/>
        <v>424</v>
      </c>
      <c r="AW218" s="13">
        <f t="shared" si="186"/>
        <v>396.75817995910018</v>
      </c>
      <c r="AX218" s="16">
        <f t="shared" si="187"/>
        <v>27.241820040899796</v>
      </c>
    </row>
    <row r="219" spans="1:50" x14ac:dyDescent="0.25">
      <c r="A219" s="20">
        <v>706</v>
      </c>
      <c r="B219">
        <v>1</v>
      </c>
      <c r="C219" s="23" t="s">
        <v>334</v>
      </c>
      <c r="D219" s="23">
        <v>5</v>
      </c>
      <c r="E219" s="15">
        <f>+SUMIF('GE16FEB14 Unfudged'!$A$2:$A$498, $A219, 'GE16FEB14 Unfudged'!$D$2:$D$498)</f>
        <v>1932</v>
      </c>
      <c r="F219" s="15">
        <f>+SUMIF('GE16FEB14 Unfudged'!$A$2:$A$498, 'Tax Bill Summary'!$A219, 'GE16FEB14 Unfudged'!E$2:E$498)</f>
        <v>242323</v>
      </c>
      <c r="G219" s="13">
        <f>+SUMIF('GE16FEB14 Unfudged'!$A$2:$A$498, 'Tax Bill Summary'!$A219, 'GE16FEB14 Unfudged'!F$2:F$498)</f>
        <v>163621</v>
      </c>
      <c r="H219" s="56">
        <f t="shared" si="155"/>
        <v>78702</v>
      </c>
      <c r="I219" s="51">
        <f>+SUMIF('GE16FEB14 Unfudged'!$A$2:$A$498, 'Tax Bill Summary'!$A219, 'GE16FEB14 Unfudged'!G$2:G$498)</f>
        <v>0</v>
      </c>
      <c r="J219" s="13">
        <f>+SUMIF('GE16FEB14 Unfudged'!$A$2:$A$498, 'Tax Bill Summary'!$A219, 'GE16FEB14 Unfudged'!H$2:H$498)</f>
        <v>0</v>
      </c>
      <c r="K219" s="56">
        <f t="shared" si="156"/>
        <v>0</v>
      </c>
      <c r="L219" s="51">
        <f>+SUMIF('GE16FEB14 Unfudged'!$A$2:$A$498, 'Tax Bill Summary'!$A219, 'GE16FEB14 Unfudged'!I$2:IF$498)</f>
        <v>1361649</v>
      </c>
      <c r="M219" s="13">
        <f>+SUMIF('GE16FEB14 Unfudged'!$A$2:$A$498, 'Tax Bill Summary'!$A219, 'GE16FEB14 Unfudged'!J$2:IG$498)</f>
        <v>754881</v>
      </c>
      <c r="N219" s="56">
        <f t="shared" si="157"/>
        <v>606768</v>
      </c>
      <c r="O219" s="51">
        <f t="shared" si="158"/>
        <v>1603972</v>
      </c>
      <c r="P219" s="13">
        <f t="shared" si="159"/>
        <v>918502</v>
      </c>
      <c r="Q219" s="56">
        <f t="shared" si="160"/>
        <v>685470</v>
      </c>
      <c r="R219" s="13">
        <f t="shared" si="161"/>
        <v>830.21325051759834</v>
      </c>
      <c r="S219" s="13">
        <f t="shared" si="162"/>
        <v>475.41511387163558</v>
      </c>
      <c r="T219" s="16">
        <f t="shared" si="163"/>
        <v>354.79813664596276</v>
      </c>
      <c r="U219" s="15">
        <f>+SUMIF('GE16FEB14 Tax Bill Unfudged'!$A$2:$A$498, 'Tax Bill Summary'!$A219, 'GE16FEB14 Tax Bill Unfudged'!E$2:E$498)</f>
        <v>278179</v>
      </c>
      <c r="V219" s="13">
        <f>+SUMIF('GE16FEB14 Tax Bill Unfudged'!$A$2:$A$498, 'Tax Bill Summary'!$A219, 'GE16FEB14 Tax Bill Unfudged'!F$2:F$498)</f>
        <v>187832</v>
      </c>
      <c r="W219" s="56">
        <f t="shared" si="164"/>
        <v>90347</v>
      </c>
      <c r="X219" s="51">
        <f>+SUMIF('GE16FEB14 Tax Bill Unfudged'!$A$2:$A$498, 'Tax Bill Summary'!$A219, 'GE16FEB14 Tax Bill Unfudged'!G$2:G$498)</f>
        <v>819083</v>
      </c>
      <c r="Y219" s="13">
        <f>+SUMIF('GE16FEB14 Tax Bill Unfudged'!$A$2:$A$498, 'Tax Bill Summary'!$A219, 'GE16FEB14 Tax Bill Unfudged'!H$2:H$498)</f>
        <v>553060</v>
      </c>
      <c r="Z219" s="56">
        <f t="shared" si="165"/>
        <v>266023</v>
      </c>
      <c r="AA219" s="51">
        <f>+SUMIF('GE16FEB14 Tax Bill Unfudged'!$A$2:$A$498, 'Tax Bill Summary'!$A219, 'GE16FEB14 Tax Bill Unfudged'!I$2:I$498)</f>
        <v>579540</v>
      </c>
      <c r="AB219" s="13">
        <f>+SUMIF('GE16FEB14 Tax Bill Unfudged'!$A$2:$A$498, 'Tax Bill Summary'!$A219, 'GE16FEB14 Tax Bill Unfudged'!J$2:J$498)</f>
        <v>226786</v>
      </c>
      <c r="AC219" s="56">
        <f t="shared" si="166"/>
        <v>352754</v>
      </c>
      <c r="AD219" s="51">
        <f t="shared" si="167"/>
        <v>1676802</v>
      </c>
      <c r="AE219" s="13">
        <f t="shared" si="168"/>
        <v>967678</v>
      </c>
      <c r="AF219" s="56">
        <f t="shared" si="169"/>
        <v>709124</v>
      </c>
      <c r="AG219" s="13">
        <f t="shared" si="170"/>
        <v>867.90993788819878</v>
      </c>
      <c r="AH219" s="13">
        <f t="shared" si="171"/>
        <v>500.86853002070393</v>
      </c>
      <c r="AI219" s="16">
        <f t="shared" si="172"/>
        <v>367.0414078674948</v>
      </c>
      <c r="AJ219" s="15">
        <f t="shared" si="173"/>
        <v>35856</v>
      </c>
      <c r="AK219" s="13">
        <f t="shared" si="174"/>
        <v>24211</v>
      </c>
      <c r="AL219" s="56">
        <f t="shared" si="175"/>
        <v>11645</v>
      </c>
      <c r="AM219" s="51">
        <f t="shared" si="176"/>
        <v>819083</v>
      </c>
      <c r="AN219" s="13">
        <f t="shared" si="177"/>
        <v>553060</v>
      </c>
      <c r="AO219" s="56">
        <f t="shared" si="178"/>
        <v>266023</v>
      </c>
      <c r="AP219" s="51">
        <f t="shared" si="179"/>
        <v>-782109</v>
      </c>
      <c r="AQ219" s="13">
        <f t="shared" si="180"/>
        <v>-528095</v>
      </c>
      <c r="AR219" s="56">
        <f t="shared" si="181"/>
        <v>-254014</v>
      </c>
      <c r="AS219" s="51">
        <f t="shared" si="182"/>
        <v>72830</v>
      </c>
      <c r="AT219" s="13">
        <f t="shared" si="183"/>
        <v>49176</v>
      </c>
      <c r="AU219" s="56">
        <f t="shared" si="184"/>
        <v>23654</v>
      </c>
      <c r="AV219" s="13">
        <f t="shared" si="185"/>
        <v>37.696687370600444</v>
      </c>
      <c r="AW219" s="13">
        <f t="shared" si="186"/>
        <v>25.453416149068346</v>
      </c>
      <c r="AX219" s="16">
        <f t="shared" si="187"/>
        <v>12.243271221532041</v>
      </c>
    </row>
    <row r="220" spans="1:50" x14ac:dyDescent="0.25">
      <c r="A220" s="20">
        <v>707</v>
      </c>
      <c r="B220">
        <v>1</v>
      </c>
      <c r="C220" s="23" t="s">
        <v>335</v>
      </c>
      <c r="D220" s="23">
        <v>6</v>
      </c>
      <c r="E220" s="15">
        <f>+SUMIF('GE16FEB14 Unfudged'!$A$2:$A$498, $A220, 'GE16FEB14 Unfudged'!$D$2:$D$498)</f>
        <v>135</v>
      </c>
      <c r="F220" s="15">
        <f>+SUMIF('GE16FEB14 Unfudged'!$A$2:$A$498, 'Tax Bill Summary'!$A220, 'GE16FEB14 Unfudged'!E$2:E$498)</f>
        <v>17475</v>
      </c>
      <c r="G220" s="13">
        <f>+SUMIF('GE16FEB14 Unfudged'!$A$2:$A$498, 'Tax Bill Summary'!$A220, 'GE16FEB14 Unfudged'!F$2:F$498)</f>
        <v>36</v>
      </c>
      <c r="H220" s="56">
        <f t="shared" si="155"/>
        <v>17439</v>
      </c>
      <c r="I220" s="51">
        <f>+SUMIF('GE16FEB14 Unfudged'!$A$2:$A$498, 'Tax Bill Summary'!$A220, 'GE16FEB14 Unfudged'!G$2:G$498)</f>
        <v>0</v>
      </c>
      <c r="J220" s="13">
        <f>+SUMIF('GE16FEB14 Unfudged'!$A$2:$A$498, 'Tax Bill Summary'!$A220, 'GE16FEB14 Unfudged'!H$2:H$498)</f>
        <v>0</v>
      </c>
      <c r="K220" s="56">
        <f t="shared" si="156"/>
        <v>0</v>
      </c>
      <c r="L220" s="51">
        <f>+SUMIF('GE16FEB14 Unfudged'!$A$2:$A$498, 'Tax Bill Summary'!$A220, 'GE16FEB14 Unfudged'!I$2:IF$498)</f>
        <v>83701</v>
      </c>
      <c r="M220" s="13">
        <f>+SUMIF('GE16FEB14 Unfudged'!$A$2:$A$498, 'Tax Bill Summary'!$A220, 'GE16FEB14 Unfudged'!J$2:IG$498)</f>
        <v>136</v>
      </c>
      <c r="N220" s="56">
        <f t="shared" si="157"/>
        <v>83565</v>
      </c>
      <c r="O220" s="51">
        <f t="shared" si="158"/>
        <v>101176</v>
      </c>
      <c r="P220" s="13">
        <f t="shared" si="159"/>
        <v>172</v>
      </c>
      <c r="Q220" s="56">
        <f t="shared" si="160"/>
        <v>101004</v>
      </c>
      <c r="R220" s="13">
        <f t="shared" si="161"/>
        <v>749.45185185185187</v>
      </c>
      <c r="S220" s="13">
        <f t="shared" si="162"/>
        <v>1.2740740740740741</v>
      </c>
      <c r="T220" s="16">
        <f t="shared" si="163"/>
        <v>748.17777777777781</v>
      </c>
      <c r="U220" s="15">
        <f>+SUMIF('GE16FEB14 Tax Bill Unfudged'!$A$2:$A$498, 'Tax Bill Summary'!$A220, 'GE16FEB14 Tax Bill Unfudged'!E$2:E$498)</f>
        <v>19454</v>
      </c>
      <c r="V220" s="13">
        <f>+SUMIF('GE16FEB14 Tax Bill Unfudged'!$A$2:$A$498, 'Tax Bill Summary'!$A220, 'GE16FEB14 Tax Bill Unfudged'!F$2:F$498)</f>
        <v>40</v>
      </c>
      <c r="W220" s="56">
        <f t="shared" si="164"/>
        <v>19414</v>
      </c>
      <c r="X220" s="51">
        <f>+SUMIF('GE16FEB14 Tax Bill Unfudged'!$A$2:$A$498, 'Tax Bill Summary'!$A220, 'GE16FEB14 Tax Bill Unfudged'!G$2:G$498)</f>
        <v>57282</v>
      </c>
      <c r="Y220" s="13">
        <f>+SUMIF('GE16FEB14 Tax Bill Unfudged'!$A$2:$A$498, 'Tax Bill Summary'!$A220, 'GE16FEB14 Tax Bill Unfudged'!H$2:H$498)</f>
        <v>117</v>
      </c>
      <c r="Z220" s="56">
        <f t="shared" si="165"/>
        <v>57165</v>
      </c>
      <c r="AA220" s="51">
        <f>+SUMIF('GE16FEB14 Tax Bill Unfudged'!$A$2:$A$498, 'Tax Bill Summary'!$A220, 'GE16FEB14 Tax Bill Unfudged'!I$2:I$498)</f>
        <v>40530</v>
      </c>
      <c r="AB220" s="13">
        <f>+SUMIF('GE16FEB14 Tax Bill Unfudged'!$A$2:$A$498, 'Tax Bill Summary'!$A220, 'GE16FEB14 Tax Bill Unfudged'!J$2:J$498)</f>
        <v>48</v>
      </c>
      <c r="AC220" s="56">
        <f t="shared" si="166"/>
        <v>40482</v>
      </c>
      <c r="AD220" s="51">
        <f t="shared" si="167"/>
        <v>117266</v>
      </c>
      <c r="AE220" s="13">
        <f t="shared" si="168"/>
        <v>205</v>
      </c>
      <c r="AF220" s="56">
        <f t="shared" si="169"/>
        <v>117061</v>
      </c>
      <c r="AG220" s="13">
        <f t="shared" si="170"/>
        <v>868.63703703703709</v>
      </c>
      <c r="AH220" s="13">
        <f t="shared" si="171"/>
        <v>1.5185185185185186</v>
      </c>
      <c r="AI220" s="16">
        <f t="shared" si="172"/>
        <v>867.1185185185185</v>
      </c>
      <c r="AJ220" s="15">
        <f t="shared" si="173"/>
        <v>1979</v>
      </c>
      <c r="AK220" s="13">
        <f t="shared" si="174"/>
        <v>4</v>
      </c>
      <c r="AL220" s="56">
        <f t="shared" si="175"/>
        <v>1975</v>
      </c>
      <c r="AM220" s="51">
        <f t="shared" si="176"/>
        <v>57282</v>
      </c>
      <c r="AN220" s="13">
        <f t="shared" si="177"/>
        <v>117</v>
      </c>
      <c r="AO220" s="56">
        <f t="shared" si="178"/>
        <v>57165</v>
      </c>
      <c r="AP220" s="51">
        <f t="shared" si="179"/>
        <v>-43171</v>
      </c>
      <c r="AQ220" s="13">
        <f t="shared" si="180"/>
        <v>-88</v>
      </c>
      <c r="AR220" s="56">
        <f t="shared" si="181"/>
        <v>-43083</v>
      </c>
      <c r="AS220" s="51">
        <f t="shared" si="182"/>
        <v>16090</v>
      </c>
      <c r="AT220" s="13">
        <f t="shared" si="183"/>
        <v>33</v>
      </c>
      <c r="AU220" s="56">
        <f t="shared" si="184"/>
        <v>16057</v>
      </c>
      <c r="AV220" s="13">
        <f t="shared" si="185"/>
        <v>119.18518518518522</v>
      </c>
      <c r="AW220" s="13">
        <f t="shared" si="186"/>
        <v>0.24444444444444446</v>
      </c>
      <c r="AX220" s="16">
        <f t="shared" si="187"/>
        <v>118.94074074074069</v>
      </c>
    </row>
    <row r="221" spans="1:50" x14ac:dyDescent="0.25">
      <c r="A221" s="20">
        <v>709</v>
      </c>
      <c r="B221">
        <v>1</v>
      </c>
      <c r="C221" s="23" t="s">
        <v>336</v>
      </c>
      <c r="D221" s="23">
        <v>4</v>
      </c>
      <c r="E221" s="15">
        <f>+SUMIF('GE16FEB14 Unfudged'!$A$2:$A$498, $A221, 'GE16FEB14 Unfudged'!$D$2:$D$498)</f>
        <v>9023</v>
      </c>
      <c r="F221" s="15">
        <f>+SUMIF('GE16FEB14 Unfudged'!$A$2:$A$498, 'Tax Bill Summary'!$A221, 'GE16FEB14 Unfudged'!E$2:E$498)</f>
        <v>451130</v>
      </c>
      <c r="G221" s="13">
        <f>+SUMIF('GE16FEB14 Unfudged'!$A$2:$A$498, 'Tax Bill Summary'!$A221, 'GE16FEB14 Unfudged'!F$2:F$498)</f>
        <v>451130</v>
      </c>
      <c r="H221" s="56">
        <f t="shared" si="155"/>
        <v>0</v>
      </c>
      <c r="I221" s="51">
        <f>+SUMIF('GE16FEB14 Unfudged'!$A$2:$A$498, 'Tax Bill Summary'!$A221, 'GE16FEB14 Unfudged'!G$2:G$498)</f>
        <v>1912791</v>
      </c>
      <c r="J221" s="13">
        <f>+SUMIF('GE16FEB14 Unfudged'!$A$2:$A$498, 'Tax Bill Summary'!$A221, 'GE16FEB14 Unfudged'!H$2:H$498)</f>
        <v>1912791</v>
      </c>
      <c r="K221" s="56">
        <f t="shared" si="156"/>
        <v>0</v>
      </c>
      <c r="L221" s="51">
        <f>+SUMIF('GE16FEB14 Unfudged'!$A$2:$A$498, 'Tax Bill Summary'!$A221, 'GE16FEB14 Unfudged'!I$2:IF$498)</f>
        <v>5267213</v>
      </c>
      <c r="M221" s="13">
        <f>+SUMIF('GE16FEB14 Unfudged'!$A$2:$A$498, 'Tax Bill Summary'!$A221, 'GE16FEB14 Unfudged'!J$2:IG$498)</f>
        <v>4233982</v>
      </c>
      <c r="N221" s="56">
        <f t="shared" si="157"/>
        <v>1033231</v>
      </c>
      <c r="O221" s="51">
        <f t="shared" si="158"/>
        <v>7631134</v>
      </c>
      <c r="P221" s="13">
        <f t="shared" si="159"/>
        <v>6597903</v>
      </c>
      <c r="Q221" s="56">
        <f t="shared" si="160"/>
        <v>1033231</v>
      </c>
      <c r="R221" s="13">
        <f t="shared" si="161"/>
        <v>845.7424359968968</v>
      </c>
      <c r="S221" s="13">
        <f t="shared" si="162"/>
        <v>731.23163027817805</v>
      </c>
      <c r="T221" s="16">
        <f t="shared" si="163"/>
        <v>114.51080571871883</v>
      </c>
      <c r="U221" s="15">
        <f>+SUMIF('GE16FEB14 Tax Bill Unfudged'!$A$2:$A$498, 'Tax Bill Summary'!$A221, 'GE16FEB14 Tax Bill Unfudged'!E$2:E$498)</f>
        <v>451130</v>
      </c>
      <c r="V221" s="13">
        <f>+SUMIF('GE16FEB14 Tax Bill Unfudged'!$A$2:$A$498, 'Tax Bill Summary'!$A221, 'GE16FEB14 Tax Bill Unfudged'!F$2:F$498)</f>
        <v>451130</v>
      </c>
      <c r="W221" s="56">
        <f t="shared" si="164"/>
        <v>0</v>
      </c>
      <c r="X221" s="51">
        <f>+SUMIF('GE16FEB14 Tax Bill Unfudged'!$A$2:$A$498, 'Tax Bill Summary'!$A221, 'GE16FEB14 Tax Bill Unfudged'!G$2:G$498)</f>
        <v>3825582</v>
      </c>
      <c r="Y221" s="13">
        <f>+SUMIF('GE16FEB14 Tax Bill Unfudged'!$A$2:$A$498, 'Tax Bill Summary'!$A221, 'GE16FEB14 Tax Bill Unfudged'!H$2:H$498)</f>
        <v>3825582</v>
      </c>
      <c r="Z221" s="56">
        <f t="shared" si="165"/>
        <v>0</v>
      </c>
      <c r="AA221" s="51">
        <f>+SUMIF('GE16FEB14 Tax Bill Unfudged'!$A$2:$A$498, 'Tax Bill Summary'!$A221, 'GE16FEB14 Tax Bill Unfudged'!I$2:I$498)</f>
        <v>3354422</v>
      </c>
      <c r="AB221" s="13">
        <f>+SUMIF('GE16FEB14 Tax Bill Unfudged'!$A$2:$A$498, 'Tax Bill Summary'!$A221, 'GE16FEB14 Tax Bill Unfudged'!J$2:J$498)</f>
        <v>2321191</v>
      </c>
      <c r="AC221" s="56">
        <f t="shared" si="166"/>
        <v>1033231</v>
      </c>
      <c r="AD221" s="51">
        <f t="shared" si="167"/>
        <v>7631134</v>
      </c>
      <c r="AE221" s="13">
        <f t="shared" si="168"/>
        <v>6597903</v>
      </c>
      <c r="AF221" s="56">
        <f t="shared" si="169"/>
        <v>1033231</v>
      </c>
      <c r="AG221" s="13">
        <f t="shared" si="170"/>
        <v>845.7424359968968</v>
      </c>
      <c r="AH221" s="13">
        <f t="shared" si="171"/>
        <v>731.23163027817805</v>
      </c>
      <c r="AI221" s="16">
        <f t="shared" si="172"/>
        <v>114.51080571871883</v>
      </c>
      <c r="AJ221" s="15">
        <f t="shared" si="173"/>
        <v>0</v>
      </c>
      <c r="AK221" s="13">
        <f t="shared" si="174"/>
        <v>0</v>
      </c>
      <c r="AL221" s="56">
        <f t="shared" si="175"/>
        <v>0</v>
      </c>
      <c r="AM221" s="51">
        <f t="shared" si="176"/>
        <v>1912791</v>
      </c>
      <c r="AN221" s="13">
        <f t="shared" si="177"/>
        <v>1912791</v>
      </c>
      <c r="AO221" s="56">
        <f t="shared" si="178"/>
        <v>0</v>
      </c>
      <c r="AP221" s="51">
        <f t="shared" si="179"/>
        <v>-1912791</v>
      </c>
      <c r="AQ221" s="13">
        <f t="shared" si="180"/>
        <v>-1912791</v>
      </c>
      <c r="AR221" s="56">
        <f t="shared" si="181"/>
        <v>0</v>
      </c>
      <c r="AS221" s="51">
        <f t="shared" si="182"/>
        <v>0</v>
      </c>
      <c r="AT221" s="13">
        <f t="shared" si="183"/>
        <v>0</v>
      </c>
      <c r="AU221" s="56">
        <f t="shared" si="184"/>
        <v>0</v>
      </c>
      <c r="AV221" s="13">
        <f t="shared" si="185"/>
        <v>0</v>
      </c>
      <c r="AW221" s="13">
        <f t="shared" si="186"/>
        <v>0</v>
      </c>
      <c r="AX221" s="16">
        <f t="shared" si="187"/>
        <v>0</v>
      </c>
    </row>
    <row r="222" spans="1:50" x14ac:dyDescent="0.25">
      <c r="A222" s="20">
        <v>712</v>
      </c>
      <c r="B222">
        <v>1</v>
      </c>
      <c r="C222" s="23" t="s">
        <v>337</v>
      </c>
      <c r="D222" s="23">
        <v>6</v>
      </c>
      <c r="E222" s="15">
        <f>+SUMIF('GE16FEB14 Unfudged'!$A$2:$A$498, $A222, 'GE16FEB14 Unfudged'!$D$2:$D$498)</f>
        <v>533</v>
      </c>
      <c r="F222" s="15">
        <f>+SUMIF('GE16FEB14 Unfudged'!$A$2:$A$498, 'Tax Bill Summary'!$A222, 'GE16FEB14 Unfudged'!E$2:E$498)</f>
        <v>66909</v>
      </c>
      <c r="G222" s="13">
        <f>+SUMIF('GE16FEB14 Unfudged'!$A$2:$A$498, 'Tax Bill Summary'!$A222, 'GE16FEB14 Unfudged'!F$2:F$498)</f>
        <v>50533</v>
      </c>
      <c r="H222" s="56">
        <f t="shared" si="155"/>
        <v>16376</v>
      </c>
      <c r="I222" s="51">
        <f>+SUMIF('GE16FEB14 Unfudged'!$A$2:$A$498, 'Tax Bill Summary'!$A222, 'GE16FEB14 Unfudged'!G$2:G$498)</f>
        <v>0</v>
      </c>
      <c r="J222" s="13">
        <f>+SUMIF('GE16FEB14 Unfudged'!$A$2:$A$498, 'Tax Bill Summary'!$A222, 'GE16FEB14 Unfudged'!H$2:H$498)</f>
        <v>0</v>
      </c>
      <c r="K222" s="56">
        <f t="shared" si="156"/>
        <v>0</v>
      </c>
      <c r="L222" s="51">
        <f>+SUMIF('GE16FEB14 Unfudged'!$A$2:$A$498, 'Tax Bill Summary'!$A222, 'GE16FEB14 Unfudged'!I$2:IF$498)</f>
        <v>375983</v>
      </c>
      <c r="M222" s="13">
        <f>+SUMIF('GE16FEB14 Unfudged'!$A$2:$A$498, 'Tax Bill Summary'!$A222, 'GE16FEB14 Unfudged'!J$2:IG$498)</f>
        <v>233150</v>
      </c>
      <c r="N222" s="56">
        <f t="shared" si="157"/>
        <v>142833</v>
      </c>
      <c r="O222" s="51">
        <f t="shared" si="158"/>
        <v>442892</v>
      </c>
      <c r="P222" s="13">
        <f t="shared" si="159"/>
        <v>283683</v>
      </c>
      <c r="Q222" s="56">
        <f t="shared" si="160"/>
        <v>159209</v>
      </c>
      <c r="R222" s="13">
        <f t="shared" si="161"/>
        <v>830.94183864915567</v>
      </c>
      <c r="S222" s="13">
        <f t="shared" si="162"/>
        <v>532.23827392120074</v>
      </c>
      <c r="T222" s="16">
        <f t="shared" si="163"/>
        <v>298.70356472795498</v>
      </c>
      <c r="U222" s="15">
        <f>+SUMIF('GE16FEB14 Tax Bill Unfudged'!$A$2:$A$498, 'Tax Bill Summary'!$A222, 'GE16FEB14 Tax Bill Unfudged'!E$2:E$498)</f>
        <v>76810</v>
      </c>
      <c r="V222" s="13">
        <f>+SUMIF('GE16FEB14 Tax Bill Unfudged'!$A$2:$A$498, 'Tax Bill Summary'!$A222, 'GE16FEB14 Tax Bill Unfudged'!F$2:F$498)</f>
        <v>58011</v>
      </c>
      <c r="W222" s="56">
        <f t="shared" si="164"/>
        <v>18799</v>
      </c>
      <c r="X222" s="51">
        <f>+SUMIF('GE16FEB14 Tax Bill Unfudged'!$A$2:$A$498, 'Tax Bill Summary'!$A222, 'GE16FEB14 Tax Bill Unfudged'!G$2:G$498)</f>
        <v>226162</v>
      </c>
      <c r="Y222" s="13">
        <f>+SUMIF('GE16FEB14 Tax Bill Unfudged'!$A$2:$A$498, 'Tax Bill Summary'!$A222, 'GE16FEB14 Tax Bill Unfudged'!H$2:H$498)</f>
        <v>170810</v>
      </c>
      <c r="Z222" s="56">
        <f t="shared" si="165"/>
        <v>55352</v>
      </c>
      <c r="AA222" s="51">
        <f>+SUMIF('GE16FEB14 Tax Bill Unfudged'!$A$2:$A$498, 'Tax Bill Summary'!$A222, 'GE16FEB14 Tax Bill Unfudged'!I$2:I$498)</f>
        <v>160020</v>
      </c>
      <c r="AB222" s="13">
        <f>+SUMIF('GE16FEB14 Tax Bill Unfudged'!$A$2:$A$498, 'Tax Bill Summary'!$A222, 'GE16FEB14 Tax Bill Unfudged'!J$2:J$498)</f>
        <v>70042</v>
      </c>
      <c r="AC222" s="56">
        <f t="shared" si="166"/>
        <v>89978</v>
      </c>
      <c r="AD222" s="51">
        <f t="shared" si="167"/>
        <v>462992</v>
      </c>
      <c r="AE222" s="13">
        <f t="shared" si="168"/>
        <v>298863</v>
      </c>
      <c r="AF222" s="56">
        <f t="shared" si="169"/>
        <v>164129</v>
      </c>
      <c r="AG222" s="13">
        <f t="shared" si="170"/>
        <v>868.65290806754217</v>
      </c>
      <c r="AH222" s="13">
        <f t="shared" si="171"/>
        <v>560.71857410881796</v>
      </c>
      <c r="AI222" s="16">
        <f t="shared" si="172"/>
        <v>307.93433395872421</v>
      </c>
      <c r="AJ222" s="15">
        <f t="shared" si="173"/>
        <v>9901</v>
      </c>
      <c r="AK222" s="13">
        <f t="shared" si="174"/>
        <v>7478</v>
      </c>
      <c r="AL222" s="56">
        <f t="shared" si="175"/>
        <v>2423</v>
      </c>
      <c r="AM222" s="51">
        <f t="shared" si="176"/>
        <v>226162</v>
      </c>
      <c r="AN222" s="13">
        <f t="shared" si="177"/>
        <v>170810</v>
      </c>
      <c r="AO222" s="56">
        <f t="shared" si="178"/>
        <v>55352</v>
      </c>
      <c r="AP222" s="51">
        <f t="shared" si="179"/>
        <v>-215963</v>
      </c>
      <c r="AQ222" s="13">
        <f t="shared" si="180"/>
        <v>-163108</v>
      </c>
      <c r="AR222" s="56">
        <f t="shared" si="181"/>
        <v>-52855</v>
      </c>
      <c r="AS222" s="51">
        <f t="shared" si="182"/>
        <v>20100</v>
      </c>
      <c r="AT222" s="13">
        <f t="shared" si="183"/>
        <v>15180</v>
      </c>
      <c r="AU222" s="56">
        <f t="shared" si="184"/>
        <v>4920</v>
      </c>
      <c r="AV222" s="13">
        <f t="shared" si="185"/>
        <v>37.711069418386501</v>
      </c>
      <c r="AW222" s="13">
        <f t="shared" si="186"/>
        <v>28.480300187617217</v>
      </c>
      <c r="AX222" s="16">
        <f t="shared" si="187"/>
        <v>9.2307692307692264</v>
      </c>
    </row>
    <row r="223" spans="1:50" x14ac:dyDescent="0.25">
      <c r="A223" s="20">
        <v>716</v>
      </c>
      <c r="B223">
        <v>1</v>
      </c>
      <c r="C223" s="23" t="s">
        <v>338</v>
      </c>
      <c r="D223" s="23">
        <v>3</v>
      </c>
      <c r="E223" s="15">
        <f>+SUMIF('GE16FEB14 Unfudged'!$A$2:$A$498, $A223, 'GE16FEB14 Unfudged'!$D$2:$D$498)</f>
        <v>1741</v>
      </c>
      <c r="F223" s="15">
        <f>+SUMIF('GE16FEB14 Unfudged'!$A$2:$A$498, 'Tax Bill Summary'!$A223, 'GE16FEB14 Unfudged'!E$2:E$498)</f>
        <v>291627</v>
      </c>
      <c r="G223" s="13">
        <f>+SUMIF('GE16FEB14 Unfudged'!$A$2:$A$498, 'Tax Bill Summary'!$A223, 'GE16FEB14 Unfudged'!F$2:F$498)</f>
        <v>200967</v>
      </c>
      <c r="H223" s="56">
        <f t="shared" si="155"/>
        <v>90660</v>
      </c>
      <c r="I223" s="51">
        <f>+SUMIF('GE16FEB14 Unfudged'!$A$2:$A$498, 'Tax Bill Summary'!$A223, 'GE16FEB14 Unfudged'!G$2:G$498)</f>
        <v>738205</v>
      </c>
      <c r="J223" s="13">
        <f>+SUMIF('GE16FEB14 Unfudged'!$A$2:$A$498, 'Tax Bill Summary'!$A223, 'GE16FEB14 Unfudged'!H$2:H$498)</f>
        <v>508716</v>
      </c>
      <c r="K223" s="56">
        <f t="shared" si="156"/>
        <v>229489</v>
      </c>
      <c r="L223" s="51">
        <f>+SUMIF('GE16FEB14 Unfudged'!$A$2:$A$498, 'Tax Bill Summary'!$A223, 'GE16FEB14 Unfudged'!I$2:IF$498)</f>
        <v>522315</v>
      </c>
      <c r="M223" s="13">
        <f>+SUMIF('GE16FEB14 Unfudged'!$A$2:$A$498, 'Tax Bill Summary'!$A223, 'GE16FEB14 Unfudged'!J$2:IG$498)</f>
        <v>208602</v>
      </c>
      <c r="N223" s="56">
        <f t="shared" si="157"/>
        <v>313713</v>
      </c>
      <c r="O223" s="51">
        <f t="shared" si="158"/>
        <v>1552147</v>
      </c>
      <c r="P223" s="13">
        <f t="shared" si="159"/>
        <v>918285</v>
      </c>
      <c r="Q223" s="56">
        <f t="shared" si="160"/>
        <v>633862</v>
      </c>
      <c r="R223" s="13">
        <f t="shared" si="161"/>
        <v>891.52613440551409</v>
      </c>
      <c r="S223" s="13">
        <f t="shared" si="162"/>
        <v>527.44686961516368</v>
      </c>
      <c r="T223" s="16">
        <f t="shared" si="163"/>
        <v>364.07926479035035</v>
      </c>
      <c r="U223" s="15">
        <f>+SUMIF('GE16FEB14 Tax Bill Unfudged'!$A$2:$A$498, 'Tax Bill Summary'!$A223, 'GE16FEB14 Tax Bill Unfudged'!E$2:E$498)</f>
        <v>291627</v>
      </c>
      <c r="V223" s="13">
        <f>+SUMIF('GE16FEB14 Tax Bill Unfudged'!$A$2:$A$498, 'Tax Bill Summary'!$A223, 'GE16FEB14 Tax Bill Unfudged'!F$2:F$498)</f>
        <v>200967</v>
      </c>
      <c r="W223" s="56">
        <f t="shared" si="164"/>
        <v>90660</v>
      </c>
      <c r="X223" s="51">
        <f>+SUMIF('GE16FEB14 Tax Bill Unfudged'!$A$2:$A$498, 'Tax Bill Summary'!$A223, 'GE16FEB14 Tax Bill Unfudged'!G$2:G$498)</f>
        <v>738205</v>
      </c>
      <c r="Y223" s="13">
        <f>+SUMIF('GE16FEB14 Tax Bill Unfudged'!$A$2:$A$498, 'Tax Bill Summary'!$A223, 'GE16FEB14 Tax Bill Unfudged'!H$2:H$498)</f>
        <v>508716</v>
      </c>
      <c r="Z223" s="56">
        <f t="shared" si="165"/>
        <v>229489</v>
      </c>
      <c r="AA223" s="51">
        <f>+SUMIF('GE16FEB14 Tax Bill Unfudged'!$A$2:$A$498, 'Tax Bill Summary'!$A223, 'GE16FEB14 Tax Bill Unfudged'!I$2:I$498)</f>
        <v>522315</v>
      </c>
      <c r="AB223" s="13">
        <f>+SUMIF('GE16FEB14 Tax Bill Unfudged'!$A$2:$A$498, 'Tax Bill Summary'!$A223, 'GE16FEB14 Tax Bill Unfudged'!J$2:J$498)</f>
        <v>208602</v>
      </c>
      <c r="AC223" s="56">
        <f t="shared" si="166"/>
        <v>313713</v>
      </c>
      <c r="AD223" s="51">
        <f t="shared" si="167"/>
        <v>1552147</v>
      </c>
      <c r="AE223" s="13">
        <f t="shared" si="168"/>
        <v>918285</v>
      </c>
      <c r="AF223" s="56">
        <f t="shared" si="169"/>
        <v>633862</v>
      </c>
      <c r="AG223" s="13">
        <f t="shared" si="170"/>
        <v>891.52613440551409</v>
      </c>
      <c r="AH223" s="13">
        <f t="shared" si="171"/>
        <v>527.44686961516368</v>
      </c>
      <c r="AI223" s="16">
        <f t="shared" si="172"/>
        <v>364.07926479035035</v>
      </c>
      <c r="AJ223" s="15">
        <f t="shared" si="173"/>
        <v>0</v>
      </c>
      <c r="AK223" s="13">
        <f t="shared" si="174"/>
        <v>0</v>
      </c>
      <c r="AL223" s="56">
        <f t="shared" si="175"/>
        <v>0</v>
      </c>
      <c r="AM223" s="51">
        <f t="shared" si="176"/>
        <v>0</v>
      </c>
      <c r="AN223" s="13">
        <f t="shared" si="177"/>
        <v>0</v>
      </c>
      <c r="AO223" s="56">
        <f t="shared" si="178"/>
        <v>0</v>
      </c>
      <c r="AP223" s="51">
        <f t="shared" si="179"/>
        <v>0</v>
      </c>
      <c r="AQ223" s="13">
        <f t="shared" si="180"/>
        <v>0</v>
      </c>
      <c r="AR223" s="56">
        <f t="shared" si="181"/>
        <v>0</v>
      </c>
      <c r="AS223" s="51">
        <f t="shared" si="182"/>
        <v>0</v>
      </c>
      <c r="AT223" s="13">
        <f t="shared" si="183"/>
        <v>0</v>
      </c>
      <c r="AU223" s="56">
        <f t="shared" si="184"/>
        <v>0</v>
      </c>
      <c r="AV223" s="13">
        <f t="shared" si="185"/>
        <v>0</v>
      </c>
      <c r="AW223" s="13">
        <f t="shared" si="186"/>
        <v>0</v>
      </c>
      <c r="AX223" s="16">
        <f t="shared" si="187"/>
        <v>0</v>
      </c>
    </row>
    <row r="224" spans="1:50" x14ac:dyDescent="0.25">
      <c r="A224" s="20">
        <v>717</v>
      </c>
      <c r="B224">
        <v>1</v>
      </c>
      <c r="C224" s="23" t="s">
        <v>339</v>
      </c>
      <c r="D224" s="23">
        <v>3</v>
      </c>
      <c r="E224" s="15">
        <f>+SUMIF('GE16FEB14 Unfudged'!$A$2:$A$498, $A224, 'GE16FEB14 Unfudged'!$D$2:$D$498)</f>
        <v>1955</v>
      </c>
      <c r="F224" s="15">
        <f>+SUMIF('GE16FEB14 Unfudged'!$A$2:$A$498, 'Tax Bill Summary'!$A224, 'GE16FEB14 Unfudged'!E$2:E$498)</f>
        <v>327530</v>
      </c>
      <c r="G224" s="13">
        <f>+SUMIF('GE16FEB14 Unfudged'!$A$2:$A$498, 'Tax Bill Summary'!$A224, 'GE16FEB14 Unfudged'!F$2:F$498)</f>
        <v>191491</v>
      </c>
      <c r="H224" s="56">
        <f t="shared" si="155"/>
        <v>136039</v>
      </c>
      <c r="I224" s="51">
        <f>+SUMIF('GE16FEB14 Unfudged'!$A$2:$A$498, 'Tax Bill Summary'!$A224, 'GE16FEB14 Unfudged'!G$2:G$498)</f>
        <v>829090</v>
      </c>
      <c r="J224" s="13">
        <f>+SUMIF('GE16FEB14 Unfudged'!$A$2:$A$498, 'Tax Bill Summary'!$A224, 'GE16FEB14 Unfudged'!H$2:H$498)</f>
        <v>484728</v>
      </c>
      <c r="K224" s="56">
        <f t="shared" si="156"/>
        <v>344362</v>
      </c>
      <c r="L224" s="51">
        <f>+SUMIF('GE16FEB14 Unfudged'!$A$2:$A$498, 'Tax Bill Summary'!$A224, 'GE16FEB14 Unfudged'!I$2:IF$498)</f>
        <v>586620</v>
      </c>
      <c r="M224" s="13">
        <f>+SUMIF('GE16FEB14 Unfudged'!$A$2:$A$498, 'Tax Bill Summary'!$A224, 'GE16FEB14 Unfudged'!J$2:IG$498)</f>
        <v>198765</v>
      </c>
      <c r="N224" s="56">
        <f t="shared" si="157"/>
        <v>387855</v>
      </c>
      <c r="O224" s="51">
        <f t="shared" si="158"/>
        <v>1743240</v>
      </c>
      <c r="P224" s="13">
        <f t="shared" si="159"/>
        <v>874984</v>
      </c>
      <c r="Q224" s="56">
        <f t="shared" si="160"/>
        <v>868256</v>
      </c>
      <c r="R224" s="13">
        <f t="shared" si="161"/>
        <v>891.68286445012791</v>
      </c>
      <c r="S224" s="13">
        <f t="shared" si="162"/>
        <v>447.56214833759589</v>
      </c>
      <c r="T224" s="16">
        <f t="shared" si="163"/>
        <v>444.12071611253197</v>
      </c>
      <c r="U224" s="15">
        <f>+SUMIF('GE16FEB14 Tax Bill Unfudged'!$A$2:$A$498, 'Tax Bill Summary'!$A224, 'GE16FEB14 Tax Bill Unfudged'!E$2:E$498)</f>
        <v>327530</v>
      </c>
      <c r="V224" s="13">
        <f>+SUMIF('GE16FEB14 Tax Bill Unfudged'!$A$2:$A$498, 'Tax Bill Summary'!$A224, 'GE16FEB14 Tax Bill Unfudged'!F$2:F$498)</f>
        <v>191491</v>
      </c>
      <c r="W224" s="56">
        <f t="shared" si="164"/>
        <v>136039</v>
      </c>
      <c r="X224" s="51">
        <f>+SUMIF('GE16FEB14 Tax Bill Unfudged'!$A$2:$A$498, 'Tax Bill Summary'!$A224, 'GE16FEB14 Tax Bill Unfudged'!G$2:G$498)</f>
        <v>829090</v>
      </c>
      <c r="Y224" s="13">
        <f>+SUMIF('GE16FEB14 Tax Bill Unfudged'!$A$2:$A$498, 'Tax Bill Summary'!$A224, 'GE16FEB14 Tax Bill Unfudged'!H$2:H$498)</f>
        <v>484728</v>
      </c>
      <c r="Z224" s="56">
        <f t="shared" si="165"/>
        <v>344362</v>
      </c>
      <c r="AA224" s="51">
        <f>+SUMIF('GE16FEB14 Tax Bill Unfudged'!$A$2:$A$498, 'Tax Bill Summary'!$A224, 'GE16FEB14 Tax Bill Unfudged'!I$2:I$498)</f>
        <v>586620</v>
      </c>
      <c r="AB224" s="13">
        <f>+SUMIF('GE16FEB14 Tax Bill Unfudged'!$A$2:$A$498, 'Tax Bill Summary'!$A224, 'GE16FEB14 Tax Bill Unfudged'!J$2:J$498)</f>
        <v>198765</v>
      </c>
      <c r="AC224" s="56">
        <f t="shared" si="166"/>
        <v>387855</v>
      </c>
      <c r="AD224" s="51">
        <f t="shared" si="167"/>
        <v>1743240</v>
      </c>
      <c r="AE224" s="13">
        <f t="shared" si="168"/>
        <v>874984</v>
      </c>
      <c r="AF224" s="56">
        <f t="shared" si="169"/>
        <v>868256</v>
      </c>
      <c r="AG224" s="13">
        <f t="shared" si="170"/>
        <v>891.68286445012791</v>
      </c>
      <c r="AH224" s="13">
        <f t="shared" si="171"/>
        <v>447.56214833759589</v>
      </c>
      <c r="AI224" s="16">
        <f t="shared" si="172"/>
        <v>444.12071611253197</v>
      </c>
      <c r="AJ224" s="15">
        <f t="shared" si="173"/>
        <v>0</v>
      </c>
      <c r="AK224" s="13">
        <f t="shared" si="174"/>
        <v>0</v>
      </c>
      <c r="AL224" s="56">
        <f t="shared" si="175"/>
        <v>0</v>
      </c>
      <c r="AM224" s="51">
        <f t="shared" si="176"/>
        <v>0</v>
      </c>
      <c r="AN224" s="13">
        <f t="shared" si="177"/>
        <v>0</v>
      </c>
      <c r="AO224" s="56">
        <f t="shared" si="178"/>
        <v>0</v>
      </c>
      <c r="AP224" s="51">
        <f t="shared" si="179"/>
        <v>0</v>
      </c>
      <c r="AQ224" s="13">
        <f t="shared" si="180"/>
        <v>0</v>
      </c>
      <c r="AR224" s="56">
        <f t="shared" si="181"/>
        <v>0</v>
      </c>
      <c r="AS224" s="51">
        <f t="shared" si="182"/>
        <v>0</v>
      </c>
      <c r="AT224" s="13">
        <f t="shared" si="183"/>
        <v>0</v>
      </c>
      <c r="AU224" s="56">
        <f t="shared" si="184"/>
        <v>0</v>
      </c>
      <c r="AV224" s="13">
        <f t="shared" si="185"/>
        <v>0</v>
      </c>
      <c r="AW224" s="13">
        <f t="shared" si="186"/>
        <v>0</v>
      </c>
      <c r="AX224" s="16">
        <f t="shared" si="187"/>
        <v>0</v>
      </c>
    </row>
    <row r="225" spans="1:50" x14ac:dyDescent="0.25">
      <c r="A225" s="20">
        <v>719</v>
      </c>
      <c r="B225">
        <v>1</v>
      </c>
      <c r="C225" s="23" t="s">
        <v>340</v>
      </c>
      <c r="D225" s="23">
        <v>3</v>
      </c>
      <c r="E225" s="15">
        <f>+SUMIF('GE16FEB14 Unfudged'!$A$2:$A$498, $A225, 'GE16FEB14 Unfudged'!$D$2:$D$498)</f>
        <v>8089</v>
      </c>
      <c r="F225" s="15">
        <f>+SUMIF('GE16FEB14 Unfudged'!$A$2:$A$498, 'Tax Bill Summary'!$A225, 'GE16FEB14 Unfudged'!E$2:E$498)</f>
        <v>1101736</v>
      </c>
      <c r="G225" s="13">
        <f>+SUMIF('GE16FEB14 Unfudged'!$A$2:$A$498, 'Tax Bill Summary'!$A225, 'GE16FEB14 Unfudged'!F$2:F$498)</f>
        <v>1094681</v>
      </c>
      <c r="H225" s="56">
        <f t="shared" si="155"/>
        <v>7055</v>
      </c>
      <c r="I225" s="51">
        <f>+SUMIF('GE16FEB14 Unfudged'!$A$2:$A$498, 'Tax Bill Summary'!$A225, 'GE16FEB14 Unfudged'!G$2:G$498)</f>
        <v>3429609</v>
      </c>
      <c r="J225" s="13">
        <f>+SUMIF('GE16FEB14 Unfudged'!$A$2:$A$498, 'Tax Bill Summary'!$A225, 'GE16FEB14 Unfudged'!H$2:H$498)</f>
        <v>3407646</v>
      </c>
      <c r="K225" s="56">
        <f t="shared" si="156"/>
        <v>21963</v>
      </c>
      <c r="L225" s="51">
        <f>+SUMIF('GE16FEB14 Unfudged'!$A$2:$A$498, 'Tax Bill Summary'!$A225, 'GE16FEB14 Unfudged'!I$2:IF$498)</f>
        <v>5724049</v>
      </c>
      <c r="M225" s="13">
        <f>+SUMIF('GE16FEB14 Unfudged'!$A$2:$A$498, 'Tax Bill Summary'!$A225, 'GE16FEB14 Unfudged'!J$2:IG$498)</f>
        <v>4673647</v>
      </c>
      <c r="N225" s="56">
        <f t="shared" si="157"/>
        <v>1050402</v>
      </c>
      <c r="O225" s="51">
        <f t="shared" si="158"/>
        <v>10255394</v>
      </c>
      <c r="P225" s="13">
        <f t="shared" si="159"/>
        <v>9175974</v>
      </c>
      <c r="Q225" s="56">
        <f t="shared" si="160"/>
        <v>1079420</v>
      </c>
      <c r="R225" s="13">
        <f t="shared" si="161"/>
        <v>1267.8197552231425</v>
      </c>
      <c r="S225" s="13">
        <f t="shared" si="162"/>
        <v>1134.3768080108789</v>
      </c>
      <c r="T225" s="16">
        <f t="shared" si="163"/>
        <v>133.44294721226356</v>
      </c>
      <c r="U225" s="15">
        <f>+SUMIF('GE16FEB14 Tax Bill Unfudged'!$A$2:$A$498, 'Tax Bill Summary'!$A225, 'GE16FEB14 Tax Bill Unfudged'!E$2:E$498)</f>
        <v>1101736</v>
      </c>
      <c r="V225" s="13">
        <f>+SUMIF('GE16FEB14 Tax Bill Unfudged'!$A$2:$A$498, 'Tax Bill Summary'!$A225, 'GE16FEB14 Tax Bill Unfudged'!F$2:F$498)</f>
        <v>1094681</v>
      </c>
      <c r="W225" s="56">
        <f t="shared" si="164"/>
        <v>7055</v>
      </c>
      <c r="X225" s="51">
        <f>+SUMIF('GE16FEB14 Tax Bill Unfudged'!$A$2:$A$498, 'Tax Bill Summary'!$A225, 'GE16FEB14 Tax Bill Unfudged'!G$2:G$498)</f>
        <v>3429609</v>
      </c>
      <c r="Y225" s="13">
        <f>+SUMIF('GE16FEB14 Tax Bill Unfudged'!$A$2:$A$498, 'Tax Bill Summary'!$A225, 'GE16FEB14 Tax Bill Unfudged'!H$2:H$498)</f>
        <v>3407646</v>
      </c>
      <c r="Z225" s="56">
        <f t="shared" si="165"/>
        <v>21963</v>
      </c>
      <c r="AA225" s="51">
        <f>+SUMIF('GE16FEB14 Tax Bill Unfudged'!$A$2:$A$498, 'Tax Bill Summary'!$A225, 'GE16FEB14 Tax Bill Unfudged'!I$2:I$498)</f>
        <v>5724049</v>
      </c>
      <c r="AB225" s="13">
        <f>+SUMIF('GE16FEB14 Tax Bill Unfudged'!$A$2:$A$498, 'Tax Bill Summary'!$A225, 'GE16FEB14 Tax Bill Unfudged'!J$2:J$498)</f>
        <v>4673647</v>
      </c>
      <c r="AC225" s="56">
        <f t="shared" si="166"/>
        <v>1050402</v>
      </c>
      <c r="AD225" s="51">
        <f t="shared" si="167"/>
        <v>10255394</v>
      </c>
      <c r="AE225" s="13">
        <f t="shared" si="168"/>
        <v>9175974</v>
      </c>
      <c r="AF225" s="56">
        <f t="shared" si="169"/>
        <v>1079420</v>
      </c>
      <c r="AG225" s="13">
        <f t="shared" si="170"/>
        <v>1267.8197552231425</v>
      </c>
      <c r="AH225" s="13">
        <f t="shared" si="171"/>
        <v>1134.3768080108789</v>
      </c>
      <c r="AI225" s="16">
        <f t="shared" si="172"/>
        <v>133.44294721226356</v>
      </c>
      <c r="AJ225" s="15">
        <f t="shared" si="173"/>
        <v>0</v>
      </c>
      <c r="AK225" s="13">
        <f t="shared" si="174"/>
        <v>0</v>
      </c>
      <c r="AL225" s="56">
        <f t="shared" si="175"/>
        <v>0</v>
      </c>
      <c r="AM225" s="51">
        <f t="shared" si="176"/>
        <v>0</v>
      </c>
      <c r="AN225" s="13">
        <f t="shared" si="177"/>
        <v>0</v>
      </c>
      <c r="AO225" s="56">
        <f t="shared" si="178"/>
        <v>0</v>
      </c>
      <c r="AP225" s="51">
        <f t="shared" si="179"/>
        <v>0</v>
      </c>
      <c r="AQ225" s="13">
        <f t="shared" si="180"/>
        <v>0</v>
      </c>
      <c r="AR225" s="56">
        <f t="shared" si="181"/>
        <v>0</v>
      </c>
      <c r="AS225" s="51">
        <f t="shared" si="182"/>
        <v>0</v>
      </c>
      <c r="AT225" s="13">
        <f t="shared" si="183"/>
        <v>0</v>
      </c>
      <c r="AU225" s="56">
        <f t="shared" si="184"/>
        <v>0</v>
      </c>
      <c r="AV225" s="13">
        <f t="shared" si="185"/>
        <v>0</v>
      </c>
      <c r="AW225" s="13">
        <f t="shared" si="186"/>
        <v>0</v>
      </c>
      <c r="AX225" s="16">
        <f t="shared" si="187"/>
        <v>0</v>
      </c>
    </row>
    <row r="226" spans="1:50" x14ac:dyDescent="0.25">
      <c r="A226" s="20">
        <v>720</v>
      </c>
      <c r="B226">
        <v>1</v>
      </c>
      <c r="C226" s="23" t="s">
        <v>341</v>
      </c>
      <c r="D226" s="23">
        <v>3</v>
      </c>
      <c r="E226" s="15">
        <f>+SUMIF('GE16FEB14 Unfudged'!$A$2:$A$498, $A226, 'GE16FEB14 Unfudged'!$D$2:$D$498)</f>
        <v>8915</v>
      </c>
      <c r="F226" s="15">
        <f>+SUMIF('GE16FEB14 Unfudged'!$A$2:$A$498, 'Tax Bill Summary'!$A226, 'GE16FEB14 Unfudged'!E$2:E$498)</f>
        <v>1493263</v>
      </c>
      <c r="G226" s="13">
        <f>+SUMIF('GE16FEB14 Unfudged'!$A$2:$A$498, 'Tax Bill Summary'!$A226, 'GE16FEB14 Unfudged'!F$2:F$498)</f>
        <v>1206087</v>
      </c>
      <c r="H226" s="56">
        <f t="shared" si="155"/>
        <v>287176</v>
      </c>
      <c r="I226" s="51">
        <f>+SUMIF('GE16FEB14 Unfudged'!$A$2:$A$498, 'Tax Bill Summary'!$A226, 'GE16FEB14 Unfudged'!G$2:G$498)</f>
        <v>3779960</v>
      </c>
      <c r="J226" s="13">
        <f>+SUMIF('GE16FEB14 Unfudged'!$A$2:$A$498, 'Tax Bill Summary'!$A226, 'GE16FEB14 Unfudged'!H$2:H$498)</f>
        <v>3053021</v>
      </c>
      <c r="K226" s="56">
        <f t="shared" si="156"/>
        <v>726939</v>
      </c>
      <c r="L226" s="51">
        <f>+SUMIF('GE16FEB14 Unfudged'!$A$2:$A$498, 'Tax Bill Summary'!$A226, 'GE16FEB14 Unfudged'!I$2:IF$498)</f>
        <v>2674500</v>
      </c>
      <c r="M226" s="13">
        <f>+SUMIF('GE16FEB14 Unfudged'!$A$2:$A$498, 'Tax Bill Summary'!$A226, 'GE16FEB14 Unfudged'!J$2:IG$498)</f>
        <v>1251909</v>
      </c>
      <c r="N226" s="56">
        <f t="shared" si="157"/>
        <v>1422591</v>
      </c>
      <c r="O226" s="51">
        <f t="shared" si="158"/>
        <v>7947723</v>
      </c>
      <c r="P226" s="13">
        <f t="shared" si="159"/>
        <v>5511017</v>
      </c>
      <c r="Q226" s="56">
        <f t="shared" si="160"/>
        <v>2436706</v>
      </c>
      <c r="R226" s="13">
        <f t="shared" si="161"/>
        <v>891.50005608524953</v>
      </c>
      <c r="S226" s="13">
        <f t="shared" si="162"/>
        <v>618.17352776219855</v>
      </c>
      <c r="T226" s="16">
        <f t="shared" si="163"/>
        <v>273.32652832305104</v>
      </c>
      <c r="U226" s="15">
        <f>+SUMIF('GE16FEB14 Tax Bill Unfudged'!$A$2:$A$498, 'Tax Bill Summary'!$A226, 'GE16FEB14 Tax Bill Unfudged'!E$2:E$498)</f>
        <v>1493263</v>
      </c>
      <c r="V226" s="13">
        <f>+SUMIF('GE16FEB14 Tax Bill Unfudged'!$A$2:$A$498, 'Tax Bill Summary'!$A226, 'GE16FEB14 Tax Bill Unfudged'!F$2:F$498)</f>
        <v>1206087</v>
      </c>
      <c r="W226" s="56">
        <f t="shared" si="164"/>
        <v>287176</v>
      </c>
      <c r="X226" s="51">
        <f>+SUMIF('GE16FEB14 Tax Bill Unfudged'!$A$2:$A$498, 'Tax Bill Summary'!$A226, 'GE16FEB14 Tax Bill Unfudged'!G$2:G$498)</f>
        <v>3779960</v>
      </c>
      <c r="Y226" s="13">
        <f>+SUMIF('GE16FEB14 Tax Bill Unfudged'!$A$2:$A$498, 'Tax Bill Summary'!$A226, 'GE16FEB14 Tax Bill Unfudged'!H$2:H$498)</f>
        <v>3053021</v>
      </c>
      <c r="Z226" s="56">
        <f t="shared" si="165"/>
        <v>726939</v>
      </c>
      <c r="AA226" s="51">
        <f>+SUMIF('GE16FEB14 Tax Bill Unfudged'!$A$2:$A$498, 'Tax Bill Summary'!$A226, 'GE16FEB14 Tax Bill Unfudged'!I$2:I$498)</f>
        <v>2674500</v>
      </c>
      <c r="AB226" s="13">
        <f>+SUMIF('GE16FEB14 Tax Bill Unfudged'!$A$2:$A$498, 'Tax Bill Summary'!$A226, 'GE16FEB14 Tax Bill Unfudged'!J$2:J$498)</f>
        <v>1251909</v>
      </c>
      <c r="AC226" s="56">
        <f t="shared" si="166"/>
        <v>1422591</v>
      </c>
      <c r="AD226" s="51">
        <f t="shared" si="167"/>
        <v>7947723</v>
      </c>
      <c r="AE226" s="13">
        <f t="shared" si="168"/>
        <v>5511017</v>
      </c>
      <c r="AF226" s="56">
        <f t="shared" si="169"/>
        <v>2436706</v>
      </c>
      <c r="AG226" s="13">
        <f t="shared" si="170"/>
        <v>891.50005608524953</v>
      </c>
      <c r="AH226" s="13">
        <f t="shared" si="171"/>
        <v>618.17352776219855</v>
      </c>
      <c r="AI226" s="16">
        <f t="shared" si="172"/>
        <v>273.32652832305104</v>
      </c>
      <c r="AJ226" s="15">
        <f t="shared" si="173"/>
        <v>0</v>
      </c>
      <c r="AK226" s="13">
        <f t="shared" si="174"/>
        <v>0</v>
      </c>
      <c r="AL226" s="56">
        <f t="shared" si="175"/>
        <v>0</v>
      </c>
      <c r="AM226" s="51">
        <f t="shared" si="176"/>
        <v>0</v>
      </c>
      <c r="AN226" s="13">
        <f t="shared" si="177"/>
        <v>0</v>
      </c>
      <c r="AO226" s="56">
        <f t="shared" si="178"/>
        <v>0</v>
      </c>
      <c r="AP226" s="51">
        <f t="shared" si="179"/>
        <v>0</v>
      </c>
      <c r="AQ226" s="13">
        <f t="shared" si="180"/>
        <v>0</v>
      </c>
      <c r="AR226" s="56">
        <f t="shared" si="181"/>
        <v>0</v>
      </c>
      <c r="AS226" s="51">
        <f t="shared" si="182"/>
        <v>0</v>
      </c>
      <c r="AT226" s="13">
        <f t="shared" si="183"/>
        <v>0</v>
      </c>
      <c r="AU226" s="56">
        <f t="shared" si="184"/>
        <v>0</v>
      </c>
      <c r="AV226" s="13">
        <f t="shared" si="185"/>
        <v>0</v>
      </c>
      <c r="AW226" s="13">
        <f t="shared" si="186"/>
        <v>0</v>
      </c>
      <c r="AX226" s="16">
        <f t="shared" si="187"/>
        <v>0</v>
      </c>
    </row>
    <row r="227" spans="1:50" x14ac:dyDescent="0.25">
      <c r="A227" s="20">
        <v>721</v>
      </c>
      <c r="B227">
        <v>1</v>
      </c>
      <c r="C227" s="23" t="s">
        <v>342</v>
      </c>
      <c r="D227" s="23">
        <v>3</v>
      </c>
      <c r="E227" s="15">
        <f>+SUMIF('GE16FEB14 Unfudged'!$A$2:$A$498, $A227, 'GE16FEB14 Unfudged'!$D$2:$D$498)</f>
        <v>4328</v>
      </c>
      <c r="F227" s="15">
        <f>+SUMIF('GE16FEB14 Unfudged'!$A$2:$A$498, 'Tax Bill Summary'!$A227, 'GE16FEB14 Unfudged'!E$2:E$498)</f>
        <v>683461</v>
      </c>
      <c r="G227" s="13">
        <f>+SUMIF('GE16FEB14 Unfudged'!$A$2:$A$498, 'Tax Bill Summary'!$A227, 'GE16FEB14 Unfudged'!F$2:F$498)</f>
        <v>523399</v>
      </c>
      <c r="H227" s="56">
        <f t="shared" si="155"/>
        <v>160062</v>
      </c>
      <c r="I227" s="51">
        <f>+SUMIF('GE16FEB14 Unfudged'!$A$2:$A$498, 'Tax Bill Summary'!$A227, 'GE16FEB14 Unfudged'!G$2:G$498)</f>
        <v>1835242</v>
      </c>
      <c r="J227" s="13">
        <f>+SUMIF('GE16FEB14 Unfudged'!$A$2:$A$498, 'Tax Bill Summary'!$A227, 'GE16FEB14 Unfudged'!H$2:H$498)</f>
        <v>1405440</v>
      </c>
      <c r="K227" s="56">
        <f t="shared" si="156"/>
        <v>429802</v>
      </c>
      <c r="L227" s="51">
        <f>+SUMIF('GE16FEB14 Unfudged'!$A$2:$A$498, 'Tax Bill Summary'!$A227, 'GE16FEB14 Unfudged'!I$2:IF$498)</f>
        <v>1839743</v>
      </c>
      <c r="M227" s="13">
        <f>+SUMIF('GE16FEB14 Unfudged'!$A$2:$A$498, 'Tax Bill Summary'!$A227, 'GE16FEB14 Unfudged'!J$2:IG$498)</f>
        <v>990781</v>
      </c>
      <c r="N227" s="56">
        <f t="shared" si="157"/>
        <v>848962</v>
      </c>
      <c r="O227" s="51">
        <f t="shared" si="158"/>
        <v>4358446</v>
      </c>
      <c r="P227" s="13">
        <f t="shared" si="159"/>
        <v>2919620</v>
      </c>
      <c r="Q227" s="56">
        <f t="shared" si="160"/>
        <v>1438826</v>
      </c>
      <c r="R227" s="13">
        <f t="shared" si="161"/>
        <v>1007.0346580406655</v>
      </c>
      <c r="S227" s="13">
        <f t="shared" si="162"/>
        <v>674.58872458410349</v>
      </c>
      <c r="T227" s="16">
        <f t="shared" si="163"/>
        <v>332.44593345656193</v>
      </c>
      <c r="U227" s="15">
        <f>+SUMIF('GE16FEB14 Tax Bill Unfudged'!$A$2:$A$498, 'Tax Bill Summary'!$A227, 'GE16FEB14 Tax Bill Unfudged'!E$2:E$498)</f>
        <v>683461</v>
      </c>
      <c r="V227" s="13">
        <f>+SUMIF('GE16FEB14 Tax Bill Unfudged'!$A$2:$A$498, 'Tax Bill Summary'!$A227, 'GE16FEB14 Tax Bill Unfudged'!F$2:F$498)</f>
        <v>523399</v>
      </c>
      <c r="W227" s="56">
        <f t="shared" si="164"/>
        <v>160062</v>
      </c>
      <c r="X227" s="51">
        <f>+SUMIF('GE16FEB14 Tax Bill Unfudged'!$A$2:$A$498, 'Tax Bill Summary'!$A227, 'GE16FEB14 Tax Bill Unfudged'!G$2:G$498)</f>
        <v>1835242</v>
      </c>
      <c r="Y227" s="13">
        <f>+SUMIF('GE16FEB14 Tax Bill Unfudged'!$A$2:$A$498, 'Tax Bill Summary'!$A227, 'GE16FEB14 Tax Bill Unfudged'!H$2:H$498)</f>
        <v>1405440</v>
      </c>
      <c r="Z227" s="56">
        <f t="shared" si="165"/>
        <v>429802</v>
      </c>
      <c r="AA227" s="51">
        <f>+SUMIF('GE16FEB14 Tax Bill Unfudged'!$A$2:$A$498, 'Tax Bill Summary'!$A227, 'GE16FEB14 Tax Bill Unfudged'!I$2:I$498)</f>
        <v>1839743</v>
      </c>
      <c r="AB227" s="13">
        <f>+SUMIF('GE16FEB14 Tax Bill Unfudged'!$A$2:$A$498, 'Tax Bill Summary'!$A227, 'GE16FEB14 Tax Bill Unfudged'!J$2:J$498)</f>
        <v>990781</v>
      </c>
      <c r="AC227" s="56">
        <f t="shared" si="166"/>
        <v>848962</v>
      </c>
      <c r="AD227" s="51">
        <f t="shared" si="167"/>
        <v>4358446</v>
      </c>
      <c r="AE227" s="13">
        <f t="shared" si="168"/>
        <v>2919620</v>
      </c>
      <c r="AF227" s="56">
        <f t="shared" si="169"/>
        <v>1438826</v>
      </c>
      <c r="AG227" s="13">
        <f t="shared" si="170"/>
        <v>1007.0346580406655</v>
      </c>
      <c r="AH227" s="13">
        <f t="shared" si="171"/>
        <v>674.58872458410349</v>
      </c>
      <c r="AI227" s="16">
        <f t="shared" si="172"/>
        <v>332.44593345656193</v>
      </c>
      <c r="AJ227" s="15">
        <f t="shared" si="173"/>
        <v>0</v>
      </c>
      <c r="AK227" s="13">
        <f t="shared" si="174"/>
        <v>0</v>
      </c>
      <c r="AL227" s="56">
        <f t="shared" si="175"/>
        <v>0</v>
      </c>
      <c r="AM227" s="51">
        <f t="shared" si="176"/>
        <v>0</v>
      </c>
      <c r="AN227" s="13">
        <f t="shared" si="177"/>
        <v>0</v>
      </c>
      <c r="AO227" s="56">
        <f t="shared" si="178"/>
        <v>0</v>
      </c>
      <c r="AP227" s="51">
        <f t="shared" si="179"/>
        <v>0</v>
      </c>
      <c r="AQ227" s="13">
        <f t="shared" si="180"/>
        <v>0</v>
      </c>
      <c r="AR227" s="56">
        <f t="shared" si="181"/>
        <v>0</v>
      </c>
      <c r="AS227" s="51">
        <f t="shared" si="182"/>
        <v>0</v>
      </c>
      <c r="AT227" s="13">
        <f t="shared" si="183"/>
        <v>0</v>
      </c>
      <c r="AU227" s="56">
        <f t="shared" si="184"/>
        <v>0</v>
      </c>
      <c r="AV227" s="13">
        <f t="shared" si="185"/>
        <v>0</v>
      </c>
      <c r="AW227" s="13">
        <f t="shared" si="186"/>
        <v>0</v>
      </c>
      <c r="AX227" s="16">
        <f t="shared" si="187"/>
        <v>0</v>
      </c>
    </row>
    <row r="228" spans="1:50" x14ac:dyDescent="0.25">
      <c r="A228" s="20">
        <v>726</v>
      </c>
      <c r="B228">
        <v>1</v>
      </c>
      <c r="C228" s="23" t="s">
        <v>343</v>
      </c>
      <c r="D228" s="23">
        <v>4</v>
      </c>
      <c r="E228" s="15">
        <f>+SUMIF('GE16FEB14 Unfudged'!$A$2:$A$498, $A228, 'GE16FEB14 Unfudged'!$D$2:$D$498)</f>
        <v>2981</v>
      </c>
      <c r="F228" s="15">
        <f>+SUMIF('GE16FEB14 Unfudged'!$A$2:$A$498, 'Tax Bill Summary'!$A228, 'GE16FEB14 Unfudged'!E$2:E$498)</f>
        <v>391572</v>
      </c>
      <c r="G228" s="13">
        <f>+SUMIF('GE16FEB14 Unfudged'!$A$2:$A$498, 'Tax Bill Summary'!$A228, 'GE16FEB14 Unfudged'!F$2:F$498)</f>
        <v>367722</v>
      </c>
      <c r="H228" s="56">
        <f t="shared" si="155"/>
        <v>23850</v>
      </c>
      <c r="I228" s="51">
        <f>+SUMIF('GE16FEB14 Unfudged'!$A$2:$A$498, 'Tax Bill Summary'!$A228, 'GE16FEB14 Unfudged'!G$2:G$498)</f>
        <v>632014</v>
      </c>
      <c r="J228" s="13">
        <f>+SUMIF('GE16FEB14 Unfudged'!$A$2:$A$498, 'Tax Bill Summary'!$A228, 'GE16FEB14 Unfudged'!H$2:H$498)</f>
        <v>593519</v>
      </c>
      <c r="K228" s="56">
        <f t="shared" si="156"/>
        <v>38495</v>
      </c>
      <c r="L228" s="51">
        <f>+SUMIF('GE16FEB14 Unfudged'!$A$2:$A$498, 'Tax Bill Summary'!$A228, 'GE16FEB14 Unfudged'!I$2:IF$498)</f>
        <v>1717141</v>
      </c>
      <c r="M228" s="13">
        <f>+SUMIF('GE16FEB14 Unfudged'!$A$2:$A$498, 'Tax Bill Summary'!$A228, 'GE16FEB14 Unfudged'!J$2:IG$498)</f>
        <v>1259419</v>
      </c>
      <c r="N228" s="56">
        <f t="shared" si="157"/>
        <v>457722</v>
      </c>
      <c r="O228" s="51">
        <f t="shared" si="158"/>
        <v>2740727</v>
      </c>
      <c r="P228" s="13">
        <f t="shared" si="159"/>
        <v>2220660</v>
      </c>
      <c r="Q228" s="56">
        <f t="shared" si="160"/>
        <v>520067</v>
      </c>
      <c r="R228" s="13">
        <f t="shared" si="161"/>
        <v>919.39852398523988</v>
      </c>
      <c r="S228" s="13">
        <f t="shared" si="162"/>
        <v>744.93794028849379</v>
      </c>
      <c r="T228" s="16">
        <f t="shared" si="163"/>
        <v>174.46058369674606</v>
      </c>
      <c r="U228" s="15">
        <f>+SUMIF('GE16FEB14 Tax Bill Unfudged'!$A$2:$A$498, 'Tax Bill Summary'!$A228, 'GE16FEB14 Tax Bill Unfudged'!E$2:E$498)</f>
        <v>417740</v>
      </c>
      <c r="V228" s="13">
        <f>+SUMIF('GE16FEB14 Tax Bill Unfudged'!$A$2:$A$498, 'Tax Bill Summary'!$A228, 'GE16FEB14 Tax Bill Unfudged'!F$2:F$498)</f>
        <v>392296</v>
      </c>
      <c r="W228" s="56">
        <f t="shared" si="164"/>
        <v>25444</v>
      </c>
      <c r="X228" s="51">
        <f>+SUMIF('GE16FEB14 Tax Bill Unfudged'!$A$2:$A$498, 'Tax Bill Summary'!$A228, 'GE16FEB14 Tax Bill Unfudged'!G$2:G$498)</f>
        <v>1264029</v>
      </c>
      <c r="Y228" s="13">
        <f>+SUMIF('GE16FEB14 Tax Bill Unfudged'!$A$2:$A$498, 'Tax Bill Summary'!$A228, 'GE16FEB14 Tax Bill Unfudged'!H$2:H$498)</f>
        <v>1187039</v>
      </c>
      <c r="Z228" s="56">
        <f t="shared" si="165"/>
        <v>76990</v>
      </c>
      <c r="AA228" s="51">
        <f>+SUMIF('GE16FEB14 Tax Bill Unfudged'!$A$2:$A$498, 'Tax Bill Summary'!$A228, 'GE16FEB14 Tax Bill Unfudged'!I$2:I$498)</f>
        <v>1085127</v>
      </c>
      <c r="AB228" s="13">
        <f>+SUMIF('GE16FEB14 Tax Bill Unfudged'!$A$2:$A$498, 'Tax Bill Summary'!$A228, 'GE16FEB14 Tax Bill Unfudged'!J$2:J$498)</f>
        <v>665900</v>
      </c>
      <c r="AC228" s="56">
        <f t="shared" si="166"/>
        <v>419227</v>
      </c>
      <c r="AD228" s="51">
        <f t="shared" si="167"/>
        <v>2766896</v>
      </c>
      <c r="AE228" s="13">
        <f t="shared" si="168"/>
        <v>2245235</v>
      </c>
      <c r="AF228" s="56">
        <f t="shared" si="169"/>
        <v>521661</v>
      </c>
      <c r="AG228" s="13">
        <f t="shared" si="170"/>
        <v>928.17712177121768</v>
      </c>
      <c r="AH228" s="13">
        <f t="shared" si="171"/>
        <v>753.18181818181813</v>
      </c>
      <c r="AI228" s="16">
        <f t="shared" si="172"/>
        <v>174.99530358939953</v>
      </c>
      <c r="AJ228" s="15">
        <f t="shared" si="173"/>
        <v>26168</v>
      </c>
      <c r="AK228" s="13">
        <f t="shared" si="174"/>
        <v>24574</v>
      </c>
      <c r="AL228" s="56">
        <f t="shared" si="175"/>
        <v>1594</v>
      </c>
      <c r="AM228" s="51">
        <f t="shared" si="176"/>
        <v>632015</v>
      </c>
      <c r="AN228" s="13">
        <f t="shared" si="177"/>
        <v>593520</v>
      </c>
      <c r="AO228" s="56">
        <f t="shared" si="178"/>
        <v>38495</v>
      </c>
      <c r="AP228" s="51">
        <f t="shared" si="179"/>
        <v>-632014</v>
      </c>
      <c r="AQ228" s="13">
        <f t="shared" si="180"/>
        <v>-593519</v>
      </c>
      <c r="AR228" s="56">
        <f t="shared" si="181"/>
        <v>-38495</v>
      </c>
      <c r="AS228" s="51">
        <f t="shared" si="182"/>
        <v>26169</v>
      </c>
      <c r="AT228" s="13">
        <f t="shared" si="183"/>
        <v>24575</v>
      </c>
      <c r="AU228" s="56">
        <f t="shared" si="184"/>
        <v>1594</v>
      </c>
      <c r="AV228" s="13">
        <f t="shared" si="185"/>
        <v>8.7785977859778086</v>
      </c>
      <c r="AW228" s="13">
        <f t="shared" si="186"/>
        <v>8.2438778933243384</v>
      </c>
      <c r="AX228" s="16">
        <f t="shared" si="187"/>
        <v>0.5347198926534702</v>
      </c>
    </row>
    <row r="229" spans="1:50" x14ac:dyDescent="0.25">
      <c r="A229" s="20">
        <v>727</v>
      </c>
      <c r="B229">
        <v>1</v>
      </c>
      <c r="C229" s="23" t="s">
        <v>344</v>
      </c>
      <c r="D229" s="23">
        <v>4</v>
      </c>
      <c r="E229" s="15">
        <f>+SUMIF('GE16FEB14 Unfudged'!$A$2:$A$498, $A229, 'GE16FEB14 Unfudged'!$D$2:$D$498)</f>
        <v>3507</v>
      </c>
      <c r="F229" s="15">
        <f>+SUMIF('GE16FEB14 Unfudged'!$A$2:$A$498, 'Tax Bill Summary'!$A229, 'GE16FEB14 Unfudged'!E$2:E$498)</f>
        <v>493065</v>
      </c>
      <c r="G229" s="13">
        <f>+SUMIF('GE16FEB14 Unfudged'!$A$2:$A$498, 'Tax Bill Summary'!$A229, 'GE16FEB14 Unfudged'!F$2:F$498)</f>
        <v>273937</v>
      </c>
      <c r="H229" s="56">
        <f t="shared" si="155"/>
        <v>219128</v>
      </c>
      <c r="I229" s="51">
        <f>+SUMIF('GE16FEB14 Unfudged'!$A$2:$A$498, 'Tax Bill Summary'!$A229, 'GE16FEB14 Unfudged'!G$2:G$498)</f>
        <v>743399</v>
      </c>
      <c r="J229" s="13">
        <f>+SUMIF('GE16FEB14 Unfudged'!$A$2:$A$498, 'Tax Bill Summary'!$A229, 'GE16FEB14 Unfudged'!H$2:H$498)</f>
        <v>413017</v>
      </c>
      <c r="K229" s="56">
        <f t="shared" si="156"/>
        <v>330382</v>
      </c>
      <c r="L229" s="51">
        <f>+SUMIF('GE16FEB14 Unfudged'!$A$2:$A$498, 'Tax Bill Summary'!$A229, 'GE16FEB14 Unfudged'!I$2:IF$498)</f>
        <v>1311223</v>
      </c>
      <c r="M229" s="13">
        <f>+SUMIF('GE16FEB14 Unfudged'!$A$2:$A$498, 'Tax Bill Summary'!$A229, 'GE16FEB14 Unfudged'!J$2:IG$498)</f>
        <v>482750</v>
      </c>
      <c r="N229" s="56">
        <f t="shared" si="157"/>
        <v>828473</v>
      </c>
      <c r="O229" s="51">
        <f t="shared" si="158"/>
        <v>2547687</v>
      </c>
      <c r="P229" s="13">
        <f t="shared" si="159"/>
        <v>1169704</v>
      </c>
      <c r="Q229" s="56">
        <f t="shared" si="160"/>
        <v>1377983</v>
      </c>
      <c r="R229" s="13">
        <f t="shared" si="161"/>
        <v>726.45765611633874</v>
      </c>
      <c r="S229" s="13">
        <f t="shared" si="162"/>
        <v>333.53407470772743</v>
      </c>
      <c r="T229" s="16">
        <f t="shared" si="163"/>
        <v>392.92358140861137</v>
      </c>
      <c r="U229" s="15">
        <f>+SUMIF('GE16FEB14 Tax Bill Unfudged'!$A$2:$A$498, 'Tax Bill Summary'!$A229, 'GE16FEB14 Tax Bill Unfudged'!E$2:E$498)</f>
        <v>502774</v>
      </c>
      <c r="V229" s="13">
        <f>+SUMIF('GE16FEB14 Tax Bill Unfudged'!$A$2:$A$498, 'Tax Bill Summary'!$A229, 'GE16FEB14 Tax Bill Unfudged'!F$2:F$498)</f>
        <v>279331</v>
      </c>
      <c r="W229" s="56">
        <f t="shared" si="164"/>
        <v>223443</v>
      </c>
      <c r="X229" s="51">
        <f>+SUMIF('GE16FEB14 Tax Bill Unfudged'!$A$2:$A$498, 'Tax Bill Summary'!$A229, 'GE16FEB14 Tax Bill Unfudged'!G$2:G$498)</f>
        <v>1486798</v>
      </c>
      <c r="Y229" s="13">
        <f>+SUMIF('GE16FEB14 Tax Bill Unfudged'!$A$2:$A$498, 'Tax Bill Summary'!$A229, 'GE16FEB14 Tax Bill Unfudged'!H$2:H$498)</f>
        <v>826035</v>
      </c>
      <c r="Z229" s="56">
        <f t="shared" si="165"/>
        <v>660763</v>
      </c>
      <c r="AA229" s="51">
        <f>+SUMIF('GE16FEB14 Tax Bill Unfudged'!$A$2:$A$498, 'Tax Bill Summary'!$A229, 'GE16FEB14 Tax Bill Unfudged'!I$2:I$498)</f>
        <v>1087923</v>
      </c>
      <c r="AB229" s="13">
        <f>+SUMIF('GE16FEB14 Tax Bill Unfudged'!$A$2:$A$498, 'Tax Bill Summary'!$A229, 'GE16FEB14 Tax Bill Unfudged'!J$2:J$498)</f>
        <v>358689</v>
      </c>
      <c r="AC229" s="56">
        <f t="shared" si="166"/>
        <v>729234</v>
      </c>
      <c r="AD229" s="51">
        <f t="shared" si="167"/>
        <v>3077495</v>
      </c>
      <c r="AE229" s="13">
        <f t="shared" si="168"/>
        <v>1464055</v>
      </c>
      <c r="AF229" s="56">
        <f t="shared" si="169"/>
        <v>1613440</v>
      </c>
      <c r="AG229" s="13">
        <f t="shared" si="170"/>
        <v>877.52922725976623</v>
      </c>
      <c r="AH229" s="13">
        <f t="shared" si="171"/>
        <v>417.46649558026803</v>
      </c>
      <c r="AI229" s="16">
        <f t="shared" si="172"/>
        <v>460.06273167949814</v>
      </c>
      <c r="AJ229" s="15">
        <f t="shared" si="173"/>
        <v>9709</v>
      </c>
      <c r="AK229" s="13">
        <f t="shared" si="174"/>
        <v>5394</v>
      </c>
      <c r="AL229" s="56">
        <f t="shared" si="175"/>
        <v>4315</v>
      </c>
      <c r="AM229" s="51">
        <f t="shared" si="176"/>
        <v>743399</v>
      </c>
      <c r="AN229" s="13">
        <f t="shared" si="177"/>
        <v>413018</v>
      </c>
      <c r="AO229" s="56">
        <f t="shared" si="178"/>
        <v>330381</v>
      </c>
      <c r="AP229" s="51">
        <f t="shared" si="179"/>
        <v>-223300</v>
      </c>
      <c r="AQ229" s="13">
        <f t="shared" si="180"/>
        <v>-124061</v>
      </c>
      <c r="AR229" s="56">
        <f t="shared" si="181"/>
        <v>-99239</v>
      </c>
      <c r="AS229" s="51">
        <f t="shared" si="182"/>
        <v>529808</v>
      </c>
      <c r="AT229" s="13">
        <f t="shared" si="183"/>
        <v>294351</v>
      </c>
      <c r="AU229" s="56">
        <f t="shared" si="184"/>
        <v>235457</v>
      </c>
      <c r="AV229" s="13">
        <f t="shared" si="185"/>
        <v>151.07157114342749</v>
      </c>
      <c r="AW229" s="13">
        <f t="shared" si="186"/>
        <v>83.932420872540604</v>
      </c>
      <c r="AX229" s="16">
        <f t="shared" si="187"/>
        <v>67.139150270886773</v>
      </c>
    </row>
    <row r="230" spans="1:50" x14ac:dyDescent="0.25">
      <c r="A230" s="20">
        <v>728</v>
      </c>
      <c r="B230">
        <v>1</v>
      </c>
      <c r="C230" s="23" t="s">
        <v>345</v>
      </c>
      <c r="D230" s="23">
        <v>4</v>
      </c>
      <c r="E230" s="15">
        <f>+SUMIF('GE16FEB14 Unfudged'!$A$2:$A$498, $A230, 'GE16FEB14 Unfudged'!$D$2:$D$498)</f>
        <v>14021</v>
      </c>
      <c r="F230" s="15">
        <f>+SUMIF('GE16FEB14 Unfudged'!$A$2:$A$498, 'Tax Bill Summary'!$A230, 'GE16FEB14 Unfudged'!E$2:E$498)</f>
        <v>1987958</v>
      </c>
      <c r="G230" s="13">
        <f>+SUMIF('GE16FEB14 Unfudged'!$A$2:$A$498, 'Tax Bill Summary'!$A230, 'GE16FEB14 Unfudged'!F$2:F$498)</f>
        <v>1377203</v>
      </c>
      <c r="H230" s="56">
        <f t="shared" si="155"/>
        <v>610755</v>
      </c>
      <c r="I230" s="51">
        <f>+SUMIF('GE16FEB14 Unfudged'!$A$2:$A$498, 'Tax Bill Summary'!$A230, 'GE16FEB14 Unfudged'!G$2:G$498)</f>
        <v>5944734</v>
      </c>
      <c r="J230" s="13">
        <f>+SUMIF('GE16FEB14 Unfudged'!$A$2:$A$498, 'Tax Bill Summary'!$A230, 'GE16FEB14 Unfudged'!H$2:H$498)</f>
        <v>4118350</v>
      </c>
      <c r="K230" s="56">
        <f t="shared" si="156"/>
        <v>1826384</v>
      </c>
      <c r="L230" s="51">
        <f>+SUMIF('GE16FEB14 Unfudged'!$A$2:$A$498, 'Tax Bill Summary'!$A230, 'GE16FEB14 Unfudged'!I$2:IF$498)</f>
        <v>4882534</v>
      </c>
      <c r="M230" s="13">
        <f>+SUMIF('GE16FEB14 Unfudged'!$A$2:$A$498, 'Tax Bill Summary'!$A230, 'GE16FEB14 Unfudged'!J$2:IG$498)</f>
        <v>2157313</v>
      </c>
      <c r="N230" s="56">
        <f t="shared" si="157"/>
        <v>2725221</v>
      </c>
      <c r="O230" s="51">
        <f t="shared" si="158"/>
        <v>12815226</v>
      </c>
      <c r="P230" s="13">
        <f t="shared" si="159"/>
        <v>7652866</v>
      </c>
      <c r="Q230" s="56">
        <f t="shared" si="160"/>
        <v>5162360</v>
      </c>
      <c r="R230" s="13">
        <f t="shared" si="161"/>
        <v>914.00228229084939</v>
      </c>
      <c r="S230" s="13">
        <f t="shared" si="162"/>
        <v>545.81456386848299</v>
      </c>
      <c r="T230" s="16">
        <f t="shared" si="163"/>
        <v>368.18771842236646</v>
      </c>
      <c r="U230" s="15">
        <f>+SUMIF('GE16FEB14 Tax Bill Unfudged'!$A$2:$A$498, 'Tax Bill Summary'!$A230, 'GE16FEB14 Tax Bill Unfudged'!E$2:E$498)</f>
        <v>1978005</v>
      </c>
      <c r="V230" s="13">
        <f>+SUMIF('GE16FEB14 Tax Bill Unfudged'!$A$2:$A$498, 'Tax Bill Summary'!$A230, 'GE16FEB14 Tax Bill Unfudged'!F$2:F$498)</f>
        <v>1370308</v>
      </c>
      <c r="W230" s="56">
        <f t="shared" si="164"/>
        <v>607697</v>
      </c>
      <c r="X230" s="51">
        <f>+SUMIF('GE16FEB14 Tax Bill Unfudged'!$A$2:$A$498, 'Tax Bill Summary'!$A230, 'GE16FEB14 Tax Bill Unfudged'!G$2:G$498)</f>
        <v>5944734</v>
      </c>
      <c r="Y230" s="13">
        <f>+SUMIF('GE16FEB14 Tax Bill Unfudged'!$A$2:$A$498, 'Tax Bill Summary'!$A230, 'GE16FEB14 Tax Bill Unfudged'!H$2:H$498)</f>
        <v>4118350</v>
      </c>
      <c r="Z230" s="56">
        <f t="shared" si="165"/>
        <v>1826384</v>
      </c>
      <c r="AA230" s="51">
        <f>+SUMIF('GE16FEB14 Tax Bill Unfudged'!$A$2:$A$498, 'Tax Bill Summary'!$A230, 'GE16FEB14 Tax Bill Unfudged'!I$2:I$498)</f>
        <v>4882534</v>
      </c>
      <c r="AB230" s="13">
        <f>+SUMIF('GE16FEB14 Tax Bill Unfudged'!$A$2:$A$498, 'Tax Bill Summary'!$A230, 'GE16FEB14 Tax Bill Unfudged'!J$2:J$498)</f>
        <v>2157313</v>
      </c>
      <c r="AC230" s="56">
        <f t="shared" si="166"/>
        <v>2725221</v>
      </c>
      <c r="AD230" s="51">
        <f t="shared" si="167"/>
        <v>12805273</v>
      </c>
      <c r="AE230" s="13">
        <f t="shared" si="168"/>
        <v>7645971</v>
      </c>
      <c r="AF230" s="56">
        <f t="shared" si="169"/>
        <v>5159302</v>
      </c>
      <c r="AG230" s="13">
        <f t="shared" si="170"/>
        <v>913.29241851508448</v>
      </c>
      <c r="AH230" s="13">
        <f t="shared" si="171"/>
        <v>545.32280151201769</v>
      </c>
      <c r="AI230" s="16">
        <f t="shared" si="172"/>
        <v>367.96961700306684</v>
      </c>
      <c r="AJ230" s="15">
        <f t="shared" si="173"/>
        <v>-9953</v>
      </c>
      <c r="AK230" s="13">
        <f t="shared" si="174"/>
        <v>-6895</v>
      </c>
      <c r="AL230" s="56">
        <f t="shared" si="175"/>
        <v>-3058</v>
      </c>
      <c r="AM230" s="51">
        <f t="shared" si="176"/>
        <v>0</v>
      </c>
      <c r="AN230" s="13">
        <f t="shared" si="177"/>
        <v>0</v>
      </c>
      <c r="AO230" s="56">
        <f t="shared" si="178"/>
        <v>0</v>
      </c>
      <c r="AP230" s="51">
        <f t="shared" si="179"/>
        <v>0</v>
      </c>
      <c r="AQ230" s="13">
        <f t="shared" si="180"/>
        <v>0</v>
      </c>
      <c r="AR230" s="56">
        <f t="shared" si="181"/>
        <v>0</v>
      </c>
      <c r="AS230" s="51">
        <f t="shared" si="182"/>
        <v>-9953</v>
      </c>
      <c r="AT230" s="13">
        <f t="shared" si="183"/>
        <v>-6895</v>
      </c>
      <c r="AU230" s="56">
        <f t="shared" si="184"/>
        <v>-3058</v>
      </c>
      <c r="AV230" s="13">
        <f t="shared" si="185"/>
        <v>-0.70986377576491577</v>
      </c>
      <c r="AW230" s="13">
        <f t="shared" si="186"/>
        <v>-0.49176235646530131</v>
      </c>
      <c r="AX230" s="16">
        <f t="shared" si="187"/>
        <v>-0.21810141929961446</v>
      </c>
    </row>
    <row r="231" spans="1:50" x14ac:dyDescent="0.25">
      <c r="A231" s="20">
        <v>738</v>
      </c>
      <c r="B231">
        <v>1</v>
      </c>
      <c r="C231" s="23" t="s">
        <v>346</v>
      </c>
      <c r="D231" s="23">
        <v>5</v>
      </c>
      <c r="E231" s="15">
        <f>+SUMIF('GE16FEB14 Unfudged'!$A$2:$A$498, $A231, 'GE16FEB14 Unfudged'!$D$2:$D$498)</f>
        <v>1118</v>
      </c>
      <c r="F231" s="15">
        <f>+SUMIF('GE16FEB14 Unfudged'!$A$2:$A$498, 'Tax Bill Summary'!$A231, 'GE16FEB14 Unfudged'!E$2:E$498)</f>
        <v>151837</v>
      </c>
      <c r="G231" s="13">
        <f>+SUMIF('GE16FEB14 Unfudged'!$A$2:$A$498, 'Tax Bill Summary'!$A231, 'GE16FEB14 Unfudged'!F$2:F$498)</f>
        <v>90966</v>
      </c>
      <c r="H231" s="56">
        <f t="shared" si="155"/>
        <v>60871</v>
      </c>
      <c r="I231" s="51">
        <f>+SUMIF('GE16FEB14 Unfudged'!$A$2:$A$498, 'Tax Bill Summary'!$A231, 'GE16FEB14 Unfudged'!G$2:G$498)</f>
        <v>0</v>
      </c>
      <c r="J231" s="13">
        <f>+SUMIF('GE16FEB14 Unfudged'!$A$2:$A$498, 'Tax Bill Summary'!$A231, 'GE16FEB14 Unfudged'!H$2:H$498)</f>
        <v>0</v>
      </c>
      <c r="K231" s="56">
        <f t="shared" si="156"/>
        <v>0</v>
      </c>
      <c r="L231" s="51">
        <f>+SUMIF('GE16FEB14 Unfudged'!$A$2:$A$498, 'Tax Bill Summary'!$A231, 'GE16FEB14 Unfudged'!I$2:IF$498)</f>
        <v>534398</v>
      </c>
      <c r="M231" s="13">
        <f>+SUMIF('GE16FEB14 Unfudged'!$A$2:$A$498, 'Tax Bill Summary'!$A231, 'GE16FEB14 Unfudged'!J$2:IG$498)</f>
        <v>235688</v>
      </c>
      <c r="N231" s="56">
        <f t="shared" si="157"/>
        <v>298710</v>
      </c>
      <c r="O231" s="51">
        <f t="shared" si="158"/>
        <v>686235</v>
      </c>
      <c r="P231" s="13">
        <f t="shared" si="159"/>
        <v>326654</v>
      </c>
      <c r="Q231" s="56">
        <f t="shared" si="160"/>
        <v>359581</v>
      </c>
      <c r="R231" s="13">
        <f t="shared" si="161"/>
        <v>613.8059033989266</v>
      </c>
      <c r="S231" s="13">
        <f t="shared" si="162"/>
        <v>292.17710196779962</v>
      </c>
      <c r="T231" s="16">
        <f t="shared" si="163"/>
        <v>321.62880143112699</v>
      </c>
      <c r="U231" s="15">
        <f>+SUMIF('GE16FEB14 Tax Bill Unfudged'!$A$2:$A$498, 'Tax Bill Summary'!$A231, 'GE16FEB14 Tax Bill Unfudged'!E$2:E$498)</f>
        <v>160963</v>
      </c>
      <c r="V231" s="13">
        <f>+SUMIF('GE16FEB14 Tax Bill Unfudged'!$A$2:$A$498, 'Tax Bill Summary'!$A231, 'GE16FEB14 Tax Bill Unfudged'!F$2:F$498)</f>
        <v>96433</v>
      </c>
      <c r="W231" s="56">
        <f t="shared" si="164"/>
        <v>64530</v>
      </c>
      <c r="X231" s="51">
        <f>+SUMIF('GE16FEB14 Tax Bill Unfudged'!$A$2:$A$498, 'Tax Bill Summary'!$A231, 'GE16FEB14 Tax Bill Unfudged'!G$2:G$498)</f>
        <v>473947</v>
      </c>
      <c r="Y231" s="13">
        <f>+SUMIF('GE16FEB14 Tax Bill Unfudged'!$A$2:$A$498, 'Tax Bill Summary'!$A231, 'GE16FEB14 Tax Bill Unfudged'!H$2:H$498)</f>
        <v>283942</v>
      </c>
      <c r="Z231" s="56">
        <f t="shared" si="165"/>
        <v>190005</v>
      </c>
      <c r="AA231" s="51">
        <f>+SUMIF('GE16FEB14 Tax Bill Unfudged'!$A$2:$A$498, 'Tax Bill Summary'!$A231, 'GE16FEB14 Tax Bill Unfudged'!I$2:I$498)</f>
        <v>335340</v>
      </c>
      <c r="AB231" s="13">
        <f>+SUMIF('GE16FEB14 Tax Bill Unfudged'!$A$2:$A$498, 'Tax Bill Summary'!$A231, 'GE16FEB14 Tax Bill Unfudged'!J$2:J$498)</f>
        <v>116432</v>
      </c>
      <c r="AC231" s="56">
        <f t="shared" si="166"/>
        <v>218908</v>
      </c>
      <c r="AD231" s="51">
        <f t="shared" si="167"/>
        <v>970250</v>
      </c>
      <c r="AE231" s="13">
        <f t="shared" si="168"/>
        <v>496807</v>
      </c>
      <c r="AF231" s="56">
        <f t="shared" si="169"/>
        <v>473443</v>
      </c>
      <c r="AG231" s="13">
        <f t="shared" si="170"/>
        <v>867.84436493738815</v>
      </c>
      <c r="AH231" s="13">
        <f t="shared" si="171"/>
        <v>444.37119856887301</v>
      </c>
      <c r="AI231" s="16">
        <f t="shared" si="172"/>
        <v>423.47316636851519</v>
      </c>
      <c r="AJ231" s="15">
        <f t="shared" si="173"/>
        <v>9126</v>
      </c>
      <c r="AK231" s="13">
        <f t="shared" si="174"/>
        <v>5467</v>
      </c>
      <c r="AL231" s="56">
        <f t="shared" si="175"/>
        <v>3659</v>
      </c>
      <c r="AM231" s="51">
        <f t="shared" si="176"/>
        <v>473947</v>
      </c>
      <c r="AN231" s="13">
        <f t="shared" si="177"/>
        <v>283942</v>
      </c>
      <c r="AO231" s="56">
        <f t="shared" si="178"/>
        <v>190005</v>
      </c>
      <c r="AP231" s="51">
        <f t="shared" si="179"/>
        <v>-199058</v>
      </c>
      <c r="AQ231" s="13">
        <f t="shared" si="180"/>
        <v>-119256</v>
      </c>
      <c r="AR231" s="56">
        <f t="shared" si="181"/>
        <v>-79802</v>
      </c>
      <c r="AS231" s="51">
        <f t="shared" si="182"/>
        <v>284015</v>
      </c>
      <c r="AT231" s="13">
        <f t="shared" si="183"/>
        <v>170153</v>
      </c>
      <c r="AU231" s="56">
        <f t="shared" si="184"/>
        <v>113862</v>
      </c>
      <c r="AV231" s="13">
        <f t="shared" si="185"/>
        <v>254.03846153846155</v>
      </c>
      <c r="AW231" s="13">
        <f t="shared" si="186"/>
        <v>152.1940966010734</v>
      </c>
      <c r="AX231" s="16">
        <f t="shared" si="187"/>
        <v>101.84436493738821</v>
      </c>
    </row>
    <row r="232" spans="1:50" x14ac:dyDescent="0.25">
      <c r="A232" s="20">
        <v>739</v>
      </c>
      <c r="B232">
        <v>1</v>
      </c>
      <c r="C232" s="23" t="s">
        <v>347</v>
      </c>
      <c r="D232" s="23">
        <v>6</v>
      </c>
      <c r="E232" s="15">
        <f>+SUMIF('GE16FEB14 Unfudged'!$A$2:$A$498, $A232, 'GE16FEB14 Unfudged'!$D$2:$D$498)</f>
        <v>706</v>
      </c>
      <c r="F232" s="15">
        <f>+SUMIF('GE16FEB14 Unfudged'!$A$2:$A$498, 'Tax Bill Summary'!$A232, 'GE16FEB14 Unfudged'!E$2:E$498)</f>
        <v>76409</v>
      </c>
      <c r="G232" s="13">
        <f>+SUMIF('GE16FEB14 Unfudged'!$A$2:$A$498, 'Tax Bill Summary'!$A232, 'GE16FEB14 Unfudged'!F$2:F$498)</f>
        <v>58078</v>
      </c>
      <c r="H232" s="56">
        <f t="shared" si="155"/>
        <v>18331</v>
      </c>
      <c r="I232" s="51">
        <f>+SUMIF('GE16FEB14 Unfudged'!$A$2:$A$498, 'Tax Bill Summary'!$A232, 'GE16FEB14 Unfudged'!G$2:G$498)</f>
        <v>0</v>
      </c>
      <c r="J232" s="13">
        <f>+SUMIF('GE16FEB14 Unfudged'!$A$2:$A$498, 'Tax Bill Summary'!$A232, 'GE16FEB14 Unfudged'!H$2:H$498)</f>
        <v>0</v>
      </c>
      <c r="K232" s="56">
        <f t="shared" si="156"/>
        <v>0</v>
      </c>
      <c r="L232" s="51">
        <f>+SUMIF('GE16FEB14 Unfudged'!$A$2:$A$498, 'Tax Bill Summary'!$A232, 'GE16FEB14 Unfudged'!I$2:IF$498)</f>
        <v>761968</v>
      </c>
      <c r="M232" s="13">
        <f>+SUMIF('GE16FEB14 Unfudged'!$A$2:$A$498, 'Tax Bill Summary'!$A232, 'GE16FEB14 Unfudged'!J$2:IG$498)</f>
        <v>565610</v>
      </c>
      <c r="N232" s="56">
        <f t="shared" si="157"/>
        <v>196358</v>
      </c>
      <c r="O232" s="51">
        <f t="shared" si="158"/>
        <v>838377</v>
      </c>
      <c r="P232" s="13">
        <f t="shared" si="159"/>
        <v>623688</v>
      </c>
      <c r="Q232" s="56">
        <f t="shared" si="160"/>
        <v>214689</v>
      </c>
      <c r="R232" s="13">
        <f t="shared" si="161"/>
        <v>1187.5028328611897</v>
      </c>
      <c r="S232" s="13">
        <f t="shared" si="162"/>
        <v>883.41076487252121</v>
      </c>
      <c r="T232" s="16">
        <f t="shared" si="163"/>
        <v>304.09206798866853</v>
      </c>
      <c r="U232" s="15">
        <f>+SUMIF('GE16FEB14 Tax Bill Unfudged'!$A$2:$A$498, 'Tax Bill Summary'!$A232, 'GE16FEB14 Tax Bill Unfudged'!E$2:E$498)</f>
        <v>86436</v>
      </c>
      <c r="V232" s="13">
        <f>+SUMIF('GE16FEB14 Tax Bill Unfudged'!$A$2:$A$498, 'Tax Bill Summary'!$A232, 'GE16FEB14 Tax Bill Unfudged'!F$2:F$498)</f>
        <v>65699</v>
      </c>
      <c r="W232" s="56">
        <f t="shared" si="164"/>
        <v>20737</v>
      </c>
      <c r="X232" s="51">
        <f>+SUMIF('GE16FEB14 Tax Bill Unfudged'!$A$2:$A$498, 'Tax Bill Summary'!$A232, 'GE16FEB14 Tax Bill Unfudged'!G$2:G$498)</f>
        <v>299259</v>
      </c>
      <c r="Y232" s="13">
        <f>+SUMIF('GE16FEB14 Tax Bill Unfudged'!$A$2:$A$498, 'Tax Bill Summary'!$A232, 'GE16FEB14 Tax Bill Unfudged'!H$2:H$498)</f>
        <v>227464</v>
      </c>
      <c r="Z232" s="56">
        <f t="shared" si="165"/>
        <v>71795</v>
      </c>
      <c r="AA232" s="51">
        <f>+SUMIF('GE16FEB14 Tax Bill Unfudged'!$A$2:$A$498, 'Tax Bill Summary'!$A232, 'GE16FEB14 Tax Bill Unfudged'!I$2:I$498)</f>
        <v>462708</v>
      </c>
      <c r="AB232" s="13">
        <f>+SUMIF('GE16FEB14 Tax Bill Unfudged'!$A$2:$A$498, 'Tax Bill Summary'!$A232, 'GE16FEB14 Tax Bill Unfudged'!J$2:J$498)</f>
        <v>284032</v>
      </c>
      <c r="AC232" s="56">
        <f t="shared" si="166"/>
        <v>178676</v>
      </c>
      <c r="AD232" s="51">
        <f t="shared" si="167"/>
        <v>848403</v>
      </c>
      <c r="AE232" s="13">
        <f t="shared" si="168"/>
        <v>577195</v>
      </c>
      <c r="AF232" s="56">
        <f t="shared" si="169"/>
        <v>271208</v>
      </c>
      <c r="AG232" s="13">
        <f t="shared" si="170"/>
        <v>1201.7039660056657</v>
      </c>
      <c r="AH232" s="13">
        <f t="shared" si="171"/>
        <v>817.55665722379604</v>
      </c>
      <c r="AI232" s="16">
        <f t="shared" si="172"/>
        <v>384.1473087818697</v>
      </c>
      <c r="AJ232" s="15">
        <f t="shared" si="173"/>
        <v>10027</v>
      </c>
      <c r="AK232" s="13">
        <f t="shared" si="174"/>
        <v>7621</v>
      </c>
      <c r="AL232" s="56">
        <f t="shared" si="175"/>
        <v>2406</v>
      </c>
      <c r="AM232" s="51">
        <f t="shared" si="176"/>
        <v>299259</v>
      </c>
      <c r="AN232" s="13">
        <f t="shared" si="177"/>
        <v>227464</v>
      </c>
      <c r="AO232" s="56">
        <f t="shared" si="178"/>
        <v>71795</v>
      </c>
      <c r="AP232" s="51">
        <f t="shared" si="179"/>
        <v>-299260</v>
      </c>
      <c r="AQ232" s="13">
        <f t="shared" si="180"/>
        <v>-281578</v>
      </c>
      <c r="AR232" s="56">
        <f t="shared" si="181"/>
        <v>-17682</v>
      </c>
      <c r="AS232" s="51">
        <f t="shared" si="182"/>
        <v>10026</v>
      </c>
      <c r="AT232" s="13">
        <f t="shared" si="183"/>
        <v>-46493</v>
      </c>
      <c r="AU232" s="56">
        <f t="shared" si="184"/>
        <v>56519</v>
      </c>
      <c r="AV232" s="13">
        <f t="shared" si="185"/>
        <v>14.201133144475989</v>
      </c>
      <c r="AW232" s="13">
        <f t="shared" si="186"/>
        <v>-65.854107648725176</v>
      </c>
      <c r="AX232" s="16">
        <f t="shared" si="187"/>
        <v>80.055240793201165</v>
      </c>
    </row>
    <row r="233" spans="1:50" x14ac:dyDescent="0.25">
      <c r="A233" s="20">
        <v>740</v>
      </c>
      <c r="B233">
        <v>1</v>
      </c>
      <c r="C233" s="23" t="s">
        <v>348</v>
      </c>
      <c r="D233" s="23">
        <v>5</v>
      </c>
      <c r="E233" s="15">
        <f>+SUMIF('GE16FEB14 Unfudged'!$A$2:$A$498, $A233, 'GE16FEB14 Unfudged'!$D$2:$D$498)</f>
        <v>1502</v>
      </c>
      <c r="F233" s="15">
        <f>+SUMIF('GE16FEB14 Unfudged'!$A$2:$A$498, 'Tax Bill Summary'!$A233, 'GE16FEB14 Unfudged'!E$2:E$498)</f>
        <v>185643</v>
      </c>
      <c r="G233" s="13">
        <f>+SUMIF('GE16FEB14 Unfudged'!$A$2:$A$498, 'Tax Bill Summary'!$A233, 'GE16FEB14 Unfudged'!F$2:F$498)</f>
        <v>117452</v>
      </c>
      <c r="H233" s="56">
        <f t="shared" si="155"/>
        <v>68191</v>
      </c>
      <c r="I233" s="51">
        <f>+SUMIF('GE16FEB14 Unfudged'!$A$2:$A$498, 'Tax Bill Summary'!$A233, 'GE16FEB14 Unfudged'!G$2:G$498)</f>
        <v>0</v>
      </c>
      <c r="J233" s="13">
        <f>+SUMIF('GE16FEB14 Unfudged'!$A$2:$A$498, 'Tax Bill Summary'!$A233, 'GE16FEB14 Unfudged'!H$2:H$498)</f>
        <v>0</v>
      </c>
      <c r="K233" s="56">
        <f t="shared" si="156"/>
        <v>0</v>
      </c>
      <c r="L233" s="51">
        <f>+SUMIF('GE16FEB14 Unfudged'!$A$2:$A$498, 'Tax Bill Summary'!$A233, 'GE16FEB14 Unfudged'!I$2:IF$498)</f>
        <v>1120415</v>
      </c>
      <c r="M233" s="13">
        <f>+SUMIF('GE16FEB14 Unfudged'!$A$2:$A$498, 'Tax Bill Summary'!$A233, 'GE16FEB14 Unfudged'!J$2:IG$498)</f>
        <v>588962</v>
      </c>
      <c r="N233" s="56">
        <f t="shared" si="157"/>
        <v>531453</v>
      </c>
      <c r="O233" s="51">
        <f t="shared" si="158"/>
        <v>1306058</v>
      </c>
      <c r="P233" s="13">
        <f t="shared" si="159"/>
        <v>706414</v>
      </c>
      <c r="Q233" s="56">
        <f t="shared" si="160"/>
        <v>599644</v>
      </c>
      <c r="R233" s="13">
        <f t="shared" si="161"/>
        <v>869.54593874833552</v>
      </c>
      <c r="S233" s="13">
        <f t="shared" si="162"/>
        <v>470.31557922769639</v>
      </c>
      <c r="T233" s="16">
        <f t="shared" si="163"/>
        <v>399.23035952063913</v>
      </c>
      <c r="U233" s="15">
        <f>+SUMIF('GE16FEB14 Tax Bill Unfudged'!$A$2:$A$498, 'Tax Bill Summary'!$A233, 'GE16FEB14 Tax Bill Unfudged'!E$2:E$498)</f>
        <v>214367</v>
      </c>
      <c r="V233" s="13">
        <f>+SUMIF('GE16FEB14 Tax Bill Unfudged'!$A$2:$A$498, 'Tax Bill Summary'!$A233, 'GE16FEB14 Tax Bill Unfudged'!F$2:F$498)</f>
        <v>135624</v>
      </c>
      <c r="W233" s="56">
        <f t="shared" si="164"/>
        <v>78743</v>
      </c>
      <c r="X233" s="51">
        <f>+SUMIF('GE16FEB14 Tax Bill Unfudged'!$A$2:$A$498, 'Tax Bill Summary'!$A233, 'GE16FEB14 Tax Bill Unfudged'!G$2:G$498)</f>
        <v>637018</v>
      </c>
      <c r="Y233" s="13">
        <f>+SUMIF('GE16FEB14 Tax Bill Unfudged'!$A$2:$A$498, 'Tax Bill Summary'!$A233, 'GE16FEB14 Tax Bill Unfudged'!H$2:H$498)</f>
        <v>403025</v>
      </c>
      <c r="Z233" s="56">
        <f t="shared" si="165"/>
        <v>233993</v>
      </c>
      <c r="AA233" s="51">
        <f>+SUMIF('GE16FEB14 Tax Bill Unfudged'!$A$2:$A$498, 'Tax Bill Summary'!$A233, 'GE16FEB14 Tax Bill Unfudged'!I$2:I$498)</f>
        <v>483397</v>
      </c>
      <c r="AB233" s="13">
        <f>+SUMIF('GE16FEB14 Tax Bill Unfudged'!$A$2:$A$498, 'Tax Bill Summary'!$A233, 'GE16FEB14 Tax Bill Unfudged'!J$2:J$498)</f>
        <v>185937</v>
      </c>
      <c r="AC233" s="56">
        <f t="shared" si="166"/>
        <v>297460</v>
      </c>
      <c r="AD233" s="51">
        <f t="shared" si="167"/>
        <v>1334782</v>
      </c>
      <c r="AE233" s="13">
        <f t="shared" si="168"/>
        <v>724586</v>
      </c>
      <c r="AF233" s="56">
        <f t="shared" si="169"/>
        <v>610196</v>
      </c>
      <c r="AG233" s="13">
        <f t="shared" si="170"/>
        <v>888.66977363515309</v>
      </c>
      <c r="AH233" s="13">
        <f t="shared" si="171"/>
        <v>482.41411451398136</v>
      </c>
      <c r="AI233" s="16">
        <f t="shared" si="172"/>
        <v>406.25565912117179</v>
      </c>
      <c r="AJ233" s="15">
        <f t="shared" si="173"/>
        <v>28724</v>
      </c>
      <c r="AK233" s="13">
        <f t="shared" si="174"/>
        <v>18172</v>
      </c>
      <c r="AL233" s="56">
        <f t="shared" si="175"/>
        <v>10552</v>
      </c>
      <c r="AM233" s="51">
        <f t="shared" si="176"/>
        <v>637018</v>
      </c>
      <c r="AN233" s="13">
        <f t="shared" si="177"/>
        <v>403025</v>
      </c>
      <c r="AO233" s="56">
        <f t="shared" si="178"/>
        <v>233993</v>
      </c>
      <c r="AP233" s="51">
        <f t="shared" si="179"/>
        <v>-637018</v>
      </c>
      <c r="AQ233" s="13">
        <f t="shared" si="180"/>
        <v>-403025</v>
      </c>
      <c r="AR233" s="56">
        <f t="shared" si="181"/>
        <v>-233993</v>
      </c>
      <c r="AS233" s="51">
        <f t="shared" si="182"/>
        <v>28724</v>
      </c>
      <c r="AT233" s="13">
        <f t="shared" si="183"/>
        <v>18172</v>
      </c>
      <c r="AU233" s="56">
        <f t="shared" si="184"/>
        <v>10552</v>
      </c>
      <c r="AV233" s="13">
        <f t="shared" si="185"/>
        <v>19.123834886817576</v>
      </c>
      <c r="AW233" s="13">
        <f t="shared" si="186"/>
        <v>12.098535286284971</v>
      </c>
      <c r="AX233" s="16">
        <f t="shared" si="187"/>
        <v>7.0252996005326622</v>
      </c>
    </row>
    <row r="234" spans="1:50" x14ac:dyDescent="0.25">
      <c r="A234" s="20">
        <v>741</v>
      </c>
      <c r="B234">
        <v>1</v>
      </c>
      <c r="C234" s="23" t="s">
        <v>349</v>
      </c>
      <c r="D234" s="23">
        <v>5</v>
      </c>
      <c r="E234" s="15">
        <f>+SUMIF('GE16FEB14 Unfudged'!$A$2:$A$498, $A234, 'GE16FEB14 Unfudged'!$D$2:$D$498)</f>
        <v>1034</v>
      </c>
      <c r="F234" s="15">
        <f>+SUMIF('GE16FEB14 Unfudged'!$A$2:$A$498, 'Tax Bill Summary'!$A234, 'GE16FEB14 Unfudged'!E$2:E$498)</f>
        <v>126959</v>
      </c>
      <c r="G234" s="13">
        <f>+SUMIF('GE16FEB14 Unfudged'!$A$2:$A$498, 'Tax Bill Summary'!$A234, 'GE16FEB14 Unfudged'!F$2:F$498)</f>
        <v>99049</v>
      </c>
      <c r="H234" s="56">
        <f t="shared" si="155"/>
        <v>27910</v>
      </c>
      <c r="I234" s="51">
        <f>+SUMIF('GE16FEB14 Unfudged'!$A$2:$A$498, 'Tax Bill Summary'!$A234, 'GE16FEB14 Unfudged'!G$2:G$498)</f>
        <v>0</v>
      </c>
      <c r="J234" s="13">
        <f>+SUMIF('GE16FEB14 Unfudged'!$A$2:$A$498, 'Tax Bill Summary'!$A234, 'GE16FEB14 Unfudged'!H$2:H$498)</f>
        <v>0</v>
      </c>
      <c r="K234" s="56">
        <f t="shared" si="156"/>
        <v>0</v>
      </c>
      <c r="L234" s="51">
        <f>+SUMIF('GE16FEB14 Unfudged'!$A$2:$A$498, 'Tax Bill Summary'!$A234, 'GE16FEB14 Unfudged'!I$2:IF$498)</f>
        <v>788004</v>
      </c>
      <c r="M234" s="13">
        <f>+SUMIF('GE16FEB14 Unfudged'!$A$2:$A$498, 'Tax Bill Summary'!$A234, 'GE16FEB14 Unfudged'!J$2:IG$498)</f>
        <v>513546</v>
      </c>
      <c r="N234" s="56">
        <f t="shared" si="157"/>
        <v>274458</v>
      </c>
      <c r="O234" s="51">
        <f t="shared" si="158"/>
        <v>914963</v>
      </c>
      <c r="P234" s="13">
        <f t="shared" si="159"/>
        <v>612595</v>
      </c>
      <c r="Q234" s="56">
        <f t="shared" si="160"/>
        <v>302368</v>
      </c>
      <c r="R234" s="13">
        <f t="shared" si="161"/>
        <v>884.87717601547388</v>
      </c>
      <c r="S234" s="13">
        <f t="shared" si="162"/>
        <v>592.45164410058032</v>
      </c>
      <c r="T234" s="16">
        <f t="shared" si="163"/>
        <v>292.42553191489361</v>
      </c>
      <c r="U234" s="15">
        <f>+SUMIF('GE16FEB14 Tax Bill Unfudged'!$A$2:$A$498, 'Tax Bill Summary'!$A234, 'GE16FEB14 Tax Bill Unfudged'!E$2:E$498)</f>
        <v>146473</v>
      </c>
      <c r="V234" s="13">
        <f>+SUMIF('GE16FEB14 Tax Bill Unfudged'!$A$2:$A$498, 'Tax Bill Summary'!$A234, 'GE16FEB14 Tax Bill Unfudged'!F$2:F$498)</f>
        <v>114273</v>
      </c>
      <c r="W234" s="56">
        <f t="shared" si="164"/>
        <v>32200</v>
      </c>
      <c r="X234" s="51">
        <f>+SUMIF('GE16FEB14 Tax Bill Unfudged'!$A$2:$A$498, 'Tax Bill Summary'!$A234, 'GE16FEB14 Tax Bill Unfudged'!G$2:G$498)</f>
        <v>438331</v>
      </c>
      <c r="Y234" s="13">
        <f>+SUMIF('GE16FEB14 Tax Bill Unfudged'!$A$2:$A$498, 'Tax Bill Summary'!$A234, 'GE16FEB14 Tax Bill Unfudged'!H$2:H$498)</f>
        <v>341969</v>
      </c>
      <c r="Z234" s="56">
        <f t="shared" si="165"/>
        <v>96362</v>
      </c>
      <c r="AA234" s="51">
        <f>+SUMIF('GE16FEB14 Tax Bill Unfudged'!$A$2:$A$498, 'Tax Bill Summary'!$A234, 'GE16FEB14 Tax Bill Unfudged'!I$2:I$498)</f>
        <v>349673</v>
      </c>
      <c r="AB234" s="13">
        <f>+SUMIF('GE16FEB14 Tax Bill Unfudged'!$A$2:$A$498, 'Tax Bill Summary'!$A234, 'GE16FEB14 Tax Bill Unfudged'!J$2:J$498)</f>
        <v>171068</v>
      </c>
      <c r="AC234" s="56">
        <f t="shared" si="166"/>
        <v>178605</v>
      </c>
      <c r="AD234" s="51">
        <f t="shared" si="167"/>
        <v>934477</v>
      </c>
      <c r="AE234" s="13">
        <f t="shared" si="168"/>
        <v>627310</v>
      </c>
      <c r="AF234" s="56">
        <f t="shared" si="169"/>
        <v>307167</v>
      </c>
      <c r="AG234" s="13">
        <f t="shared" si="170"/>
        <v>903.74951644100577</v>
      </c>
      <c r="AH234" s="13">
        <f t="shared" si="171"/>
        <v>606.6827852998066</v>
      </c>
      <c r="AI234" s="16">
        <f t="shared" si="172"/>
        <v>297.06673114119923</v>
      </c>
      <c r="AJ234" s="15">
        <f t="shared" si="173"/>
        <v>19514</v>
      </c>
      <c r="AK234" s="13">
        <f t="shared" si="174"/>
        <v>15224</v>
      </c>
      <c r="AL234" s="56">
        <f t="shared" si="175"/>
        <v>4290</v>
      </c>
      <c r="AM234" s="51">
        <f t="shared" si="176"/>
        <v>438331</v>
      </c>
      <c r="AN234" s="13">
        <f t="shared" si="177"/>
        <v>341969</v>
      </c>
      <c r="AO234" s="56">
        <f t="shared" si="178"/>
        <v>96362</v>
      </c>
      <c r="AP234" s="51">
        <f t="shared" si="179"/>
        <v>-438331</v>
      </c>
      <c r="AQ234" s="13">
        <f t="shared" si="180"/>
        <v>-342478</v>
      </c>
      <c r="AR234" s="56">
        <f t="shared" si="181"/>
        <v>-95853</v>
      </c>
      <c r="AS234" s="51">
        <f t="shared" si="182"/>
        <v>19514</v>
      </c>
      <c r="AT234" s="13">
        <f t="shared" si="183"/>
        <v>14715</v>
      </c>
      <c r="AU234" s="56">
        <f t="shared" si="184"/>
        <v>4799</v>
      </c>
      <c r="AV234" s="13">
        <f t="shared" si="185"/>
        <v>18.872340425531888</v>
      </c>
      <c r="AW234" s="13">
        <f t="shared" si="186"/>
        <v>14.231141199226272</v>
      </c>
      <c r="AX234" s="16">
        <f t="shared" si="187"/>
        <v>4.6411992263056163</v>
      </c>
    </row>
    <row r="235" spans="1:50" x14ac:dyDescent="0.25">
      <c r="A235" s="20">
        <v>742</v>
      </c>
      <c r="B235">
        <v>1</v>
      </c>
      <c r="C235" s="23" t="s">
        <v>350</v>
      </c>
      <c r="D235" s="23">
        <v>4</v>
      </c>
      <c r="E235" s="15">
        <f>+SUMIF('GE16FEB14 Unfudged'!$A$2:$A$498, $A235, 'GE16FEB14 Unfudged'!$D$2:$D$498)</f>
        <v>10451</v>
      </c>
      <c r="F235" s="15">
        <f>+SUMIF('GE16FEB14 Unfudged'!$A$2:$A$498, 'Tax Bill Summary'!$A235, 'GE16FEB14 Unfudged'!E$2:E$498)</f>
        <v>1436242</v>
      </c>
      <c r="G235" s="13">
        <f>+SUMIF('GE16FEB14 Unfudged'!$A$2:$A$498, 'Tax Bill Summary'!$A235, 'GE16FEB14 Unfudged'!F$2:F$498)</f>
        <v>1393369</v>
      </c>
      <c r="H235" s="56">
        <f t="shared" si="155"/>
        <v>42873</v>
      </c>
      <c r="I235" s="51">
        <f>+SUMIF('GE16FEB14 Unfudged'!$A$2:$A$498, 'Tax Bill Summary'!$A235, 'GE16FEB14 Unfudged'!G$2:G$498)</f>
        <v>2215570</v>
      </c>
      <c r="J235" s="13">
        <f>+SUMIF('GE16FEB14 Unfudged'!$A$2:$A$498, 'Tax Bill Summary'!$A235, 'GE16FEB14 Unfudged'!H$2:H$498)</f>
        <v>2149433</v>
      </c>
      <c r="K235" s="56">
        <f t="shared" si="156"/>
        <v>66137</v>
      </c>
      <c r="L235" s="51">
        <f>+SUMIF('GE16FEB14 Unfudged'!$A$2:$A$498, 'Tax Bill Summary'!$A235, 'GE16FEB14 Unfudged'!I$2:IF$498)</f>
        <v>4633153</v>
      </c>
      <c r="M235" s="13">
        <f>+SUMIF('GE16FEB14 Unfudged'!$A$2:$A$498, 'Tax Bill Summary'!$A235, 'GE16FEB14 Unfudged'!J$2:IG$498)</f>
        <v>3215974</v>
      </c>
      <c r="N235" s="56">
        <f t="shared" si="157"/>
        <v>1417179</v>
      </c>
      <c r="O235" s="51">
        <f t="shared" si="158"/>
        <v>8284965</v>
      </c>
      <c r="P235" s="13">
        <f t="shared" si="159"/>
        <v>6758776</v>
      </c>
      <c r="Q235" s="56">
        <f t="shared" si="160"/>
        <v>1526189</v>
      </c>
      <c r="R235" s="13">
        <f t="shared" si="161"/>
        <v>792.74375657831786</v>
      </c>
      <c r="S235" s="13">
        <f t="shared" si="162"/>
        <v>646.71093675246391</v>
      </c>
      <c r="T235" s="16">
        <f t="shared" si="163"/>
        <v>146.03281982585398</v>
      </c>
      <c r="U235" s="15">
        <f>+SUMIF('GE16FEB14 Tax Bill Unfudged'!$A$2:$A$498, 'Tax Bill Summary'!$A235, 'GE16FEB14 Tax Bill Unfudged'!E$2:E$498)</f>
        <v>1504915</v>
      </c>
      <c r="V235" s="13">
        <f>+SUMIF('GE16FEB14 Tax Bill Unfudged'!$A$2:$A$498, 'Tax Bill Summary'!$A235, 'GE16FEB14 Tax Bill Unfudged'!F$2:F$498)</f>
        <v>1459992</v>
      </c>
      <c r="W235" s="56">
        <f t="shared" si="164"/>
        <v>44923</v>
      </c>
      <c r="X235" s="51">
        <f>+SUMIF('GE16FEB14 Tax Bill Unfudged'!$A$2:$A$498, 'Tax Bill Summary'!$A235, 'GE16FEB14 Tax Bill Unfudged'!G$2:G$498)</f>
        <v>4431139</v>
      </c>
      <c r="Y235" s="13">
        <f>+SUMIF('GE16FEB14 Tax Bill Unfudged'!$A$2:$A$498, 'Tax Bill Summary'!$A235, 'GE16FEB14 Tax Bill Unfudged'!H$2:H$498)</f>
        <v>4298866</v>
      </c>
      <c r="Z235" s="56">
        <f t="shared" si="165"/>
        <v>132273</v>
      </c>
      <c r="AA235" s="51">
        <f>+SUMIF('GE16FEB14 Tax Bill Unfudged'!$A$2:$A$498, 'Tax Bill Summary'!$A235, 'GE16FEB14 Tax Bill Unfudged'!I$2:I$498)</f>
        <v>3135240</v>
      </c>
      <c r="AB235" s="13">
        <f>+SUMIF('GE16FEB14 Tax Bill Unfudged'!$A$2:$A$498, 'Tax Bill Summary'!$A235, 'GE16FEB14 Tax Bill Unfudged'!J$2:J$498)</f>
        <v>1762775</v>
      </c>
      <c r="AC235" s="56">
        <f t="shared" si="166"/>
        <v>1372465</v>
      </c>
      <c r="AD235" s="51">
        <f t="shared" si="167"/>
        <v>9071294</v>
      </c>
      <c r="AE235" s="13">
        <f t="shared" si="168"/>
        <v>7521633</v>
      </c>
      <c r="AF235" s="56">
        <f t="shared" si="169"/>
        <v>1549661</v>
      </c>
      <c r="AG235" s="13">
        <f t="shared" si="170"/>
        <v>867.98335087551436</v>
      </c>
      <c r="AH235" s="13">
        <f t="shared" si="171"/>
        <v>719.70462156731412</v>
      </c>
      <c r="AI235" s="16">
        <f t="shared" si="172"/>
        <v>148.27872930820018</v>
      </c>
      <c r="AJ235" s="15">
        <f t="shared" si="173"/>
        <v>68673</v>
      </c>
      <c r="AK235" s="13">
        <f t="shared" si="174"/>
        <v>66623</v>
      </c>
      <c r="AL235" s="56">
        <f t="shared" si="175"/>
        <v>2050</v>
      </c>
      <c r="AM235" s="51">
        <f t="shared" si="176"/>
        <v>2215569</v>
      </c>
      <c r="AN235" s="13">
        <f t="shared" si="177"/>
        <v>2149433</v>
      </c>
      <c r="AO235" s="56">
        <f t="shared" si="178"/>
        <v>66136</v>
      </c>
      <c r="AP235" s="51">
        <f t="shared" si="179"/>
        <v>-1497913</v>
      </c>
      <c r="AQ235" s="13">
        <f t="shared" si="180"/>
        <v>-1453199</v>
      </c>
      <c r="AR235" s="56">
        <f t="shared" si="181"/>
        <v>-44714</v>
      </c>
      <c r="AS235" s="51">
        <f t="shared" si="182"/>
        <v>786329</v>
      </c>
      <c r="AT235" s="13">
        <f t="shared" si="183"/>
        <v>762857</v>
      </c>
      <c r="AU235" s="56">
        <f t="shared" si="184"/>
        <v>23472</v>
      </c>
      <c r="AV235" s="13">
        <f t="shared" si="185"/>
        <v>75.239594297196504</v>
      </c>
      <c r="AW235" s="13">
        <f t="shared" si="186"/>
        <v>72.993684814850212</v>
      </c>
      <c r="AX235" s="16">
        <f t="shared" si="187"/>
        <v>2.2459094823462067</v>
      </c>
    </row>
    <row r="236" spans="1:50" x14ac:dyDescent="0.25">
      <c r="A236" s="20">
        <v>743</v>
      </c>
      <c r="B236">
        <v>1</v>
      </c>
      <c r="C236" s="23" t="s">
        <v>351</v>
      </c>
      <c r="D236" s="23">
        <v>5</v>
      </c>
      <c r="E236" s="15">
        <f>+SUMIF('GE16FEB14 Unfudged'!$A$2:$A$498, $A236, 'GE16FEB14 Unfudged'!$D$2:$D$498)</f>
        <v>886</v>
      </c>
      <c r="F236" s="15">
        <f>+SUMIF('GE16FEB14 Unfudged'!$A$2:$A$498, 'Tax Bill Summary'!$A236, 'GE16FEB14 Unfudged'!E$2:E$498)</f>
        <v>84289</v>
      </c>
      <c r="G236" s="13">
        <f>+SUMIF('GE16FEB14 Unfudged'!$A$2:$A$498, 'Tax Bill Summary'!$A236, 'GE16FEB14 Unfudged'!F$2:F$498)</f>
        <v>75686</v>
      </c>
      <c r="H236" s="56">
        <f t="shared" si="155"/>
        <v>8603</v>
      </c>
      <c r="I236" s="51">
        <f>+SUMIF('GE16FEB14 Unfudged'!$A$2:$A$498, 'Tax Bill Summary'!$A236, 'GE16FEB14 Unfudged'!G$2:G$498)</f>
        <v>0</v>
      </c>
      <c r="J236" s="13">
        <f>+SUMIF('GE16FEB14 Unfudged'!$A$2:$A$498, 'Tax Bill Summary'!$A236, 'GE16FEB14 Unfudged'!H$2:H$498)</f>
        <v>0</v>
      </c>
      <c r="K236" s="56">
        <f t="shared" si="156"/>
        <v>0</v>
      </c>
      <c r="L236" s="51">
        <f>+SUMIF('GE16FEB14 Unfudged'!$A$2:$A$498, 'Tax Bill Summary'!$A236, 'GE16FEB14 Unfudged'!I$2:IF$498)</f>
        <v>1211540</v>
      </c>
      <c r="M236" s="13">
        <f>+SUMIF('GE16FEB14 Unfudged'!$A$2:$A$498, 'Tax Bill Summary'!$A236, 'GE16FEB14 Unfudged'!J$2:IG$498)</f>
        <v>1042389</v>
      </c>
      <c r="N236" s="56">
        <f t="shared" si="157"/>
        <v>169151</v>
      </c>
      <c r="O236" s="51">
        <f t="shared" si="158"/>
        <v>1295829</v>
      </c>
      <c r="P236" s="13">
        <f t="shared" si="159"/>
        <v>1118075</v>
      </c>
      <c r="Q236" s="56">
        <f t="shared" si="160"/>
        <v>177754</v>
      </c>
      <c r="R236" s="13">
        <f t="shared" si="161"/>
        <v>1462.5609480812641</v>
      </c>
      <c r="S236" s="13">
        <f t="shared" si="162"/>
        <v>1261.9356659142213</v>
      </c>
      <c r="T236" s="16">
        <f t="shared" si="163"/>
        <v>200.62528216704288</v>
      </c>
      <c r="U236" s="15">
        <f>+SUMIF('GE16FEB14 Tax Bill Unfudged'!$A$2:$A$498, 'Tax Bill Summary'!$A236, 'GE16FEB14 Tax Bill Unfudged'!E$2:E$498)</f>
        <v>93134</v>
      </c>
      <c r="V236" s="13">
        <f>+SUMIF('GE16FEB14 Tax Bill Unfudged'!$A$2:$A$498, 'Tax Bill Summary'!$A236, 'GE16FEB14 Tax Bill Unfudged'!F$2:F$498)</f>
        <v>83629</v>
      </c>
      <c r="W236" s="56">
        <f t="shared" si="164"/>
        <v>9505</v>
      </c>
      <c r="X236" s="51">
        <f>+SUMIF('GE16FEB14 Tax Bill Unfudged'!$A$2:$A$498, 'Tax Bill Summary'!$A236, 'GE16FEB14 Tax Bill Unfudged'!G$2:G$498)</f>
        <v>375834</v>
      </c>
      <c r="Y236" s="13">
        <f>+SUMIF('GE16FEB14 Tax Bill Unfudged'!$A$2:$A$498, 'Tax Bill Summary'!$A236, 'GE16FEB14 Tax Bill Unfudged'!H$2:H$498)</f>
        <v>337476</v>
      </c>
      <c r="Z236" s="56">
        <f t="shared" si="165"/>
        <v>38358</v>
      </c>
      <c r="AA236" s="51">
        <f>+SUMIF('GE16FEB14 Tax Bill Unfudged'!$A$2:$A$498, 'Tax Bill Summary'!$A236, 'GE16FEB14 Tax Bill Unfudged'!I$2:I$498)</f>
        <v>835707</v>
      </c>
      <c r="AB236" s="13">
        <f>+SUMIF('GE16FEB14 Tax Bill Unfudged'!$A$2:$A$498, 'Tax Bill Summary'!$A236, 'GE16FEB14 Tax Bill Unfudged'!J$2:J$498)</f>
        <v>666556</v>
      </c>
      <c r="AC236" s="56">
        <f t="shared" si="166"/>
        <v>169151</v>
      </c>
      <c r="AD236" s="51">
        <f t="shared" si="167"/>
        <v>1304675</v>
      </c>
      <c r="AE236" s="13">
        <f t="shared" si="168"/>
        <v>1087661</v>
      </c>
      <c r="AF236" s="56">
        <f t="shared" si="169"/>
        <v>217014</v>
      </c>
      <c r="AG236" s="13">
        <f t="shared" si="170"/>
        <v>1472.5451467268624</v>
      </c>
      <c r="AH236" s="13">
        <f t="shared" si="171"/>
        <v>1227.6083521444696</v>
      </c>
      <c r="AI236" s="16">
        <f t="shared" si="172"/>
        <v>244.93679458239276</v>
      </c>
      <c r="AJ236" s="15">
        <f t="shared" si="173"/>
        <v>8845</v>
      </c>
      <c r="AK236" s="13">
        <f t="shared" si="174"/>
        <v>7943</v>
      </c>
      <c r="AL236" s="56">
        <f t="shared" si="175"/>
        <v>902</v>
      </c>
      <c r="AM236" s="51">
        <f t="shared" si="176"/>
        <v>375834</v>
      </c>
      <c r="AN236" s="13">
        <f t="shared" si="177"/>
        <v>337476</v>
      </c>
      <c r="AO236" s="56">
        <f t="shared" si="178"/>
        <v>38358</v>
      </c>
      <c r="AP236" s="51">
        <f t="shared" si="179"/>
        <v>-375833</v>
      </c>
      <c r="AQ236" s="13">
        <f t="shared" si="180"/>
        <v>-375833</v>
      </c>
      <c r="AR236" s="56">
        <f t="shared" si="181"/>
        <v>0</v>
      </c>
      <c r="AS236" s="51">
        <f t="shared" si="182"/>
        <v>8846</v>
      </c>
      <c r="AT236" s="13">
        <f t="shared" si="183"/>
        <v>-30414</v>
      </c>
      <c r="AU236" s="56">
        <f t="shared" si="184"/>
        <v>39260</v>
      </c>
      <c r="AV236" s="13">
        <f t="shared" si="185"/>
        <v>9.984198645598326</v>
      </c>
      <c r="AW236" s="13">
        <f t="shared" si="186"/>
        <v>-34.327313769751754</v>
      </c>
      <c r="AX236" s="16">
        <f t="shared" si="187"/>
        <v>44.311512415349881</v>
      </c>
    </row>
    <row r="237" spans="1:50" x14ac:dyDescent="0.25">
      <c r="A237" s="20">
        <v>745</v>
      </c>
      <c r="B237">
        <v>1</v>
      </c>
      <c r="C237" s="23" t="s">
        <v>352</v>
      </c>
      <c r="D237" s="23">
        <v>5</v>
      </c>
      <c r="E237" s="15">
        <f>+SUMIF('GE16FEB14 Unfudged'!$A$2:$A$498, $A237, 'GE16FEB14 Unfudged'!$D$2:$D$498)</f>
        <v>1883</v>
      </c>
      <c r="F237" s="15">
        <f>+SUMIF('GE16FEB14 Unfudged'!$A$2:$A$498, 'Tax Bill Summary'!$A237, 'GE16FEB14 Unfudged'!E$2:E$498)</f>
        <v>271152</v>
      </c>
      <c r="G237" s="13">
        <f>+SUMIF('GE16FEB14 Unfudged'!$A$2:$A$498, 'Tax Bill Summary'!$A237, 'GE16FEB14 Unfudged'!F$2:F$498)</f>
        <v>173564</v>
      </c>
      <c r="H237" s="56">
        <f t="shared" si="155"/>
        <v>97588</v>
      </c>
      <c r="I237" s="51">
        <f>+SUMIF('GE16FEB14 Unfudged'!$A$2:$A$498, 'Tax Bill Summary'!$A237, 'GE16FEB14 Unfudged'!G$2:G$498)</f>
        <v>0</v>
      </c>
      <c r="J237" s="13">
        <f>+SUMIF('GE16FEB14 Unfudged'!$A$2:$A$498, 'Tax Bill Summary'!$A237, 'GE16FEB14 Unfudged'!H$2:H$498)</f>
        <v>0</v>
      </c>
      <c r="K237" s="56">
        <f t="shared" si="156"/>
        <v>0</v>
      </c>
      <c r="L237" s="51">
        <f>+SUMIF('GE16FEB14 Unfudged'!$A$2:$A$498, 'Tax Bill Summary'!$A237, 'GE16FEB14 Unfudged'!I$2:IF$498)</f>
        <v>564900</v>
      </c>
      <c r="M237" s="13">
        <f>+SUMIF('GE16FEB14 Unfudged'!$A$2:$A$498, 'Tax Bill Summary'!$A237, 'GE16FEB14 Unfudged'!J$2:IG$498)</f>
        <v>209559</v>
      </c>
      <c r="N237" s="56">
        <f t="shared" si="157"/>
        <v>355341</v>
      </c>
      <c r="O237" s="51">
        <f t="shared" si="158"/>
        <v>836052</v>
      </c>
      <c r="P237" s="13">
        <f t="shared" si="159"/>
        <v>383123</v>
      </c>
      <c r="Q237" s="56">
        <f t="shared" si="160"/>
        <v>452929</v>
      </c>
      <c r="R237" s="13">
        <f t="shared" si="161"/>
        <v>444</v>
      </c>
      <c r="S237" s="13">
        <f t="shared" si="162"/>
        <v>203.46415294742431</v>
      </c>
      <c r="T237" s="16">
        <f t="shared" si="163"/>
        <v>240.53584705257569</v>
      </c>
      <c r="U237" s="15">
        <f>+SUMIF('GE16FEB14 Tax Bill Unfudged'!$A$2:$A$498, 'Tax Bill Summary'!$A237, 'GE16FEB14 Tax Bill Unfudged'!E$2:E$498)</f>
        <v>271152</v>
      </c>
      <c r="V237" s="13">
        <f>+SUMIF('GE16FEB14 Tax Bill Unfudged'!$A$2:$A$498, 'Tax Bill Summary'!$A237, 'GE16FEB14 Tax Bill Unfudged'!F$2:F$498)</f>
        <v>173564</v>
      </c>
      <c r="W237" s="56">
        <f t="shared" si="164"/>
        <v>97588</v>
      </c>
      <c r="X237" s="51">
        <f>+SUMIF('GE16FEB14 Tax Bill Unfudged'!$A$2:$A$498, 'Tax Bill Summary'!$A237, 'GE16FEB14 Tax Bill Unfudged'!G$2:G$498)</f>
        <v>798392</v>
      </c>
      <c r="Y237" s="13">
        <f>+SUMIF('GE16FEB14 Tax Bill Unfudged'!$A$2:$A$498, 'Tax Bill Summary'!$A237, 'GE16FEB14 Tax Bill Unfudged'!H$2:H$498)</f>
        <v>511050</v>
      </c>
      <c r="Z237" s="56">
        <f t="shared" si="165"/>
        <v>287342</v>
      </c>
      <c r="AA237" s="51">
        <f>+SUMIF('GE16FEB14 Tax Bill Unfudged'!$A$2:$A$498, 'Tax Bill Summary'!$A237, 'GE16FEB14 Tax Bill Unfudged'!I$2:I$498)</f>
        <v>564900</v>
      </c>
      <c r="AB237" s="13">
        <f>+SUMIF('GE16FEB14 Tax Bill Unfudged'!$A$2:$A$498, 'Tax Bill Summary'!$A237, 'GE16FEB14 Tax Bill Unfudged'!J$2:J$498)</f>
        <v>209559</v>
      </c>
      <c r="AC237" s="56">
        <f t="shared" si="166"/>
        <v>355341</v>
      </c>
      <c r="AD237" s="51">
        <f t="shared" si="167"/>
        <v>1634444</v>
      </c>
      <c r="AE237" s="13">
        <f t="shared" si="168"/>
        <v>894173</v>
      </c>
      <c r="AF237" s="56">
        <f t="shared" si="169"/>
        <v>740271</v>
      </c>
      <c r="AG237" s="13">
        <f t="shared" si="170"/>
        <v>868</v>
      </c>
      <c r="AH237" s="13">
        <f t="shared" si="171"/>
        <v>474.86617100371745</v>
      </c>
      <c r="AI237" s="16">
        <f t="shared" si="172"/>
        <v>393.13382899628255</v>
      </c>
      <c r="AJ237" s="15">
        <f t="shared" si="173"/>
        <v>0</v>
      </c>
      <c r="AK237" s="13">
        <f t="shared" si="174"/>
        <v>0</v>
      </c>
      <c r="AL237" s="56">
        <f t="shared" si="175"/>
        <v>0</v>
      </c>
      <c r="AM237" s="51">
        <f t="shared" si="176"/>
        <v>798392</v>
      </c>
      <c r="AN237" s="13">
        <f t="shared" si="177"/>
        <v>511050</v>
      </c>
      <c r="AO237" s="56">
        <f t="shared" si="178"/>
        <v>287342</v>
      </c>
      <c r="AP237" s="51">
        <f t="shared" si="179"/>
        <v>0</v>
      </c>
      <c r="AQ237" s="13">
        <f t="shared" si="180"/>
        <v>0</v>
      </c>
      <c r="AR237" s="56">
        <f t="shared" si="181"/>
        <v>0</v>
      </c>
      <c r="AS237" s="51">
        <f t="shared" si="182"/>
        <v>798392</v>
      </c>
      <c r="AT237" s="13">
        <f t="shared" si="183"/>
        <v>511050</v>
      </c>
      <c r="AU237" s="56">
        <f t="shared" si="184"/>
        <v>287342</v>
      </c>
      <c r="AV237" s="13">
        <f t="shared" si="185"/>
        <v>424</v>
      </c>
      <c r="AW237" s="13">
        <f t="shared" si="186"/>
        <v>271.40201805629317</v>
      </c>
      <c r="AX237" s="16">
        <f t="shared" si="187"/>
        <v>152.59798194370686</v>
      </c>
    </row>
    <row r="238" spans="1:50" x14ac:dyDescent="0.25">
      <c r="A238" s="20">
        <v>748</v>
      </c>
      <c r="B238">
        <v>1</v>
      </c>
      <c r="C238" s="23" t="s">
        <v>353</v>
      </c>
      <c r="D238" s="23">
        <v>4</v>
      </c>
      <c r="E238" s="15">
        <f>+SUMIF('GE16FEB14 Unfudged'!$A$2:$A$498, $A238, 'GE16FEB14 Unfudged'!$D$2:$D$498)</f>
        <v>4095</v>
      </c>
      <c r="F238" s="15">
        <f>+SUMIF('GE16FEB14 Unfudged'!$A$2:$A$498, 'Tax Bill Summary'!$A238, 'GE16FEB14 Unfudged'!E$2:E$498)</f>
        <v>550192</v>
      </c>
      <c r="G238" s="13">
        <f>+SUMIF('GE16FEB14 Unfudged'!$A$2:$A$498, 'Tax Bill Summary'!$A238, 'GE16FEB14 Unfudged'!F$2:F$498)</f>
        <v>337498</v>
      </c>
      <c r="H238" s="56">
        <f t="shared" si="155"/>
        <v>212694</v>
      </c>
      <c r="I238" s="51">
        <f>+SUMIF('GE16FEB14 Unfudged'!$A$2:$A$498, 'Tax Bill Summary'!$A238, 'GE16FEB14 Unfudged'!G$2:G$498)</f>
        <v>868098</v>
      </c>
      <c r="J238" s="13">
        <f>+SUMIF('GE16FEB14 Unfudged'!$A$2:$A$498, 'Tax Bill Summary'!$A238, 'GE16FEB14 Unfudged'!H$2:H$498)</f>
        <v>532507</v>
      </c>
      <c r="K238" s="56">
        <f t="shared" si="156"/>
        <v>335591</v>
      </c>
      <c r="L238" s="51">
        <f>+SUMIF('GE16FEB14 Unfudged'!$A$2:$A$498, 'Tax Bill Summary'!$A238, 'GE16FEB14 Unfudged'!I$2:IF$498)</f>
        <v>2089126</v>
      </c>
      <c r="M238" s="13">
        <f>+SUMIF('GE16FEB14 Unfudged'!$A$2:$A$498, 'Tax Bill Summary'!$A238, 'GE16FEB14 Unfudged'!J$2:IG$498)</f>
        <v>964675</v>
      </c>
      <c r="N238" s="56">
        <f t="shared" si="157"/>
        <v>1124451</v>
      </c>
      <c r="O238" s="51">
        <f t="shared" si="158"/>
        <v>3507416</v>
      </c>
      <c r="P238" s="13">
        <f t="shared" si="159"/>
        <v>1834680</v>
      </c>
      <c r="Q238" s="56">
        <f t="shared" si="160"/>
        <v>1672736</v>
      </c>
      <c r="R238" s="13">
        <f t="shared" si="161"/>
        <v>856.51184371184377</v>
      </c>
      <c r="S238" s="13">
        <f t="shared" si="162"/>
        <v>448.02930402930406</v>
      </c>
      <c r="T238" s="16">
        <f t="shared" si="163"/>
        <v>408.48253968253971</v>
      </c>
      <c r="U238" s="15">
        <f>+SUMIF('GE16FEB14 Tax Bill Unfudged'!$A$2:$A$498, 'Tax Bill Summary'!$A238, 'GE16FEB14 Tax Bill Unfudged'!E$2:E$498)</f>
        <v>589651</v>
      </c>
      <c r="V238" s="13">
        <f>+SUMIF('GE16FEB14 Tax Bill Unfudged'!$A$2:$A$498, 'Tax Bill Summary'!$A238, 'GE16FEB14 Tax Bill Unfudged'!F$2:F$498)</f>
        <v>361703</v>
      </c>
      <c r="W238" s="56">
        <f t="shared" si="164"/>
        <v>227948</v>
      </c>
      <c r="X238" s="51">
        <f>+SUMIF('GE16FEB14 Tax Bill Unfudged'!$A$2:$A$498, 'Tax Bill Summary'!$A238, 'GE16FEB14 Tax Bill Unfudged'!G$2:G$498)</f>
        <v>1736195</v>
      </c>
      <c r="Y238" s="13">
        <f>+SUMIF('GE16FEB14 Tax Bill Unfudged'!$A$2:$A$498, 'Tax Bill Summary'!$A238, 'GE16FEB14 Tax Bill Unfudged'!H$2:H$498)</f>
        <v>1065014</v>
      </c>
      <c r="Z238" s="56">
        <f t="shared" si="165"/>
        <v>671181</v>
      </c>
      <c r="AA238" s="51">
        <f>+SUMIF('GE16FEB14 Tax Bill Unfudged'!$A$2:$A$498, 'Tax Bill Summary'!$A238, 'GE16FEB14 Tax Bill Unfudged'!I$2:I$498)</f>
        <v>1228440</v>
      </c>
      <c r="AB238" s="13">
        <f>+SUMIF('GE16FEB14 Tax Bill Unfudged'!$A$2:$A$498, 'Tax Bill Summary'!$A238, 'GE16FEB14 Tax Bill Unfudged'!J$2:J$498)</f>
        <v>436715</v>
      </c>
      <c r="AC238" s="56">
        <f t="shared" si="166"/>
        <v>791725</v>
      </c>
      <c r="AD238" s="51">
        <f t="shared" si="167"/>
        <v>3554286</v>
      </c>
      <c r="AE238" s="13">
        <f t="shared" si="168"/>
        <v>1863432</v>
      </c>
      <c r="AF238" s="56">
        <f t="shared" si="169"/>
        <v>1690854</v>
      </c>
      <c r="AG238" s="13">
        <f t="shared" si="170"/>
        <v>867.95750915750921</v>
      </c>
      <c r="AH238" s="13">
        <f t="shared" si="171"/>
        <v>455.05054945054945</v>
      </c>
      <c r="AI238" s="16">
        <f t="shared" si="172"/>
        <v>412.9069597069597</v>
      </c>
      <c r="AJ238" s="15">
        <f t="shared" si="173"/>
        <v>39459</v>
      </c>
      <c r="AK238" s="13">
        <f t="shared" si="174"/>
        <v>24205</v>
      </c>
      <c r="AL238" s="56">
        <f t="shared" si="175"/>
        <v>15254</v>
      </c>
      <c r="AM238" s="51">
        <f t="shared" si="176"/>
        <v>868097</v>
      </c>
      <c r="AN238" s="13">
        <f t="shared" si="177"/>
        <v>532507</v>
      </c>
      <c r="AO238" s="56">
        <f t="shared" si="178"/>
        <v>335590</v>
      </c>
      <c r="AP238" s="51">
        <f t="shared" si="179"/>
        <v>-860686</v>
      </c>
      <c r="AQ238" s="13">
        <f t="shared" si="180"/>
        <v>-527960</v>
      </c>
      <c r="AR238" s="56">
        <f t="shared" si="181"/>
        <v>-332726</v>
      </c>
      <c r="AS238" s="51">
        <f t="shared" si="182"/>
        <v>46870</v>
      </c>
      <c r="AT238" s="13">
        <f t="shared" si="183"/>
        <v>28752</v>
      </c>
      <c r="AU238" s="56">
        <f t="shared" si="184"/>
        <v>18118</v>
      </c>
      <c r="AV238" s="13">
        <f t="shared" si="185"/>
        <v>11.445665445665441</v>
      </c>
      <c r="AW238" s="13">
        <f t="shared" si="186"/>
        <v>7.0212454212453963</v>
      </c>
      <c r="AX238" s="16">
        <f t="shared" si="187"/>
        <v>4.4244200244199874</v>
      </c>
    </row>
    <row r="239" spans="1:50" x14ac:dyDescent="0.25">
      <c r="A239" s="20">
        <v>750</v>
      </c>
      <c r="B239">
        <v>1</v>
      </c>
      <c r="C239" s="23" t="s">
        <v>354</v>
      </c>
      <c r="D239" s="23">
        <v>4</v>
      </c>
      <c r="E239" s="15">
        <f>+SUMIF('GE16FEB14 Unfudged'!$A$2:$A$498, $A239, 'GE16FEB14 Unfudged'!$D$2:$D$498)</f>
        <v>2214</v>
      </c>
      <c r="F239" s="15">
        <f>+SUMIF('GE16FEB14 Unfudged'!$A$2:$A$498, 'Tax Bill Summary'!$A239, 'GE16FEB14 Unfudged'!E$2:E$498)</f>
        <v>318166</v>
      </c>
      <c r="G239" s="13">
        <f>+SUMIF('GE16FEB14 Unfudged'!$A$2:$A$498, 'Tax Bill Summary'!$A239, 'GE16FEB14 Unfudged'!F$2:F$498)</f>
        <v>271782</v>
      </c>
      <c r="H239" s="56">
        <f t="shared" si="155"/>
        <v>46384</v>
      </c>
      <c r="I239" s="51">
        <f>+SUMIF('GE16FEB14 Unfudged'!$A$2:$A$498, 'Tax Bill Summary'!$A239, 'GE16FEB14 Unfudged'!G$2:G$498)</f>
        <v>469453</v>
      </c>
      <c r="J239" s="13">
        <f>+SUMIF('GE16FEB14 Unfudged'!$A$2:$A$498, 'Tax Bill Summary'!$A239, 'GE16FEB14 Unfudged'!H$2:H$498)</f>
        <v>401013</v>
      </c>
      <c r="K239" s="56">
        <f t="shared" si="156"/>
        <v>68440</v>
      </c>
      <c r="L239" s="51">
        <f>+SUMIF('GE16FEB14 Unfudged'!$A$2:$A$498, 'Tax Bill Summary'!$A239, 'GE16FEB14 Unfudged'!I$2:IF$498)</f>
        <v>679754</v>
      </c>
      <c r="M239" s="13">
        <f>+SUMIF('GE16FEB14 Unfudged'!$A$2:$A$498, 'Tax Bill Summary'!$A239, 'GE16FEB14 Unfudged'!J$2:IG$498)</f>
        <v>342059</v>
      </c>
      <c r="N239" s="56">
        <f t="shared" si="157"/>
        <v>337695</v>
      </c>
      <c r="O239" s="51">
        <f t="shared" si="158"/>
        <v>1467373</v>
      </c>
      <c r="P239" s="13">
        <f t="shared" si="159"/>
        <v>1014854</v>
      </c>
      <c r="Q239" s="56">
        <f t="shared" si="160"/>
        <v>452519</v>
      </c>
      <c r="R239" s="13">
        <f t="shared" si="161"/>
        <v>662.77009936766035</v>
      </c>
      <c r="S239" s="13">
        <f t="shared" si="162"/>
        <v>458.38030713640472</v>
      </c>
      <c r="T239" s="16">
        <f t="shared" si="163"/>
        <v>204.38979223125565</v>
      </c>
      <c r="U239" s="15">
        <f>+SUMIF('GE16FEB14 Tax Bill Unfudged'!$A$2:$A$498, 'Tax Bill Summary'!$A239, 'GE16FEB14 Tax Bill Unfudged'!E$2:E$498)</f>
        <v>318874</v>
      </c>
      <c r="V239" s="13">
        <f>+SUMIF('GE16FEB14 Tax Bill Unfudged'!$A$2:$A$498, 'Tax Bill Summary'!$A239, 'GE16FEB14 Tax Bill Unfudged'!F$2:F$498)</f>
        <v>272386</v>
      </c>
      <c r="W239" s="56">
        <f t="shared" si="164"/>
        <v>46488</v>
      </c>
      <c r="X239" s="51">
        <f>+SUMIF('GE16FEB14 Tax Bill Unfudged'!$A$2:$A$498, 'Tax Bill Summary'!$A239, 'GE16FEB14 Tax Bill Unfudged'!G$2:G$498)</f>
        <v>938906</v>
      </c>
      <c r="Y239" s="13">
        <f>+SUMIF('GE16FEB14 Tax Bill Unfudged'!$A$2:$A$498, 'Tax Bill Summary'!$A239, 'GE16FEB14 Tax Bill Unfudged'!H$2:H$498)</f>
        <v>802026</v>
      </c>
      <c r="Z239" s="56">
        <f t="shared" si="165"/>
        <v>136880</v>
      </c>
      <c r="AA239" s="51">
        <f>+SUMIF('GE16FEB14 Tax Bill Unfudged'!$A$2:$A$498, 'Tax Bill Summary'!$A239, 'GE16FEB14 Tax Bill Unfudged'!I$2:I$498)</f>
        <v>664320</v>
      </c>
      <c r="AB239" s="13">
        <f>+SUMIF('GE16FEB14 Tax Bill Unfudged'!$A$2:$A$498, 'Tax Bill Summary'!$A239, 'GE16FEB14 Tax Bill Unfudged'!J$2:J$498)</f>
        <v>328875</v>
      </c>
      <c r="AC239" s="56">
        <f t="shared" si="166"/>
        <v>335445</v>
      </c>
      <c r="AD239" s="51">
        <f t="shared" si="167"/>
        <v>1922100</v>
      </c>
      <c r="AE239" s="13">
        <f t="shared" si="168"/>
        <v>1403287</v>
      </c>
      <c r="AF239" s="56">
        <f t="shared" si="169"/>
        <v>518813</v>
      </c>
      <c r="AG239" s="13">
        <f t="shared" si="170"/>
        <v>868.15718157181573</v>
      </c>
      <c r="AH239" s="13">
        <f t="shared" si="171"/>
        <v>633.8242999096658</v>
      </c>
      <c r="AI239" s="16">
        <f t="shared" si="172"/>
        <v>234.33288166214996</v>
      </c>
      <c r="AJ239" s="15">
        <f t="shared" si="173"/>
        <v>708</v>
      </c>
      <c r="AK239" s="13">
        <f t="shared" si="174"/>
        <v>604</v>
      </c>
      <c r="AL239" s="56">
        <f t="shared" si="175"/>
        <v>104</v>
      </c>
      <c r="AM239" s="51">
        <f t="shared" si="176"/>
        <v>469453</v>
      </c>
      <c r="AN239" s="13">
        <f t="shared" si="177"/>
        <v>401013</v>
      </c>
      <c r="AO239" s="56">
        <f t="shared" si="178"/>
        <v>68440</v>
      </c>
      <c r="AP239" s="51">
        <f t="shared" si="179"/>
        <v>-15434</v>
      </c>
      <c r="AQ239" s="13">
        <f t="shared" si="180"/>
        <v>-13184</v>
      </c>
      <c r="AR239" s="56">
        <f t="shared" si="181"/>
        <v>-2250</v>
      </c>
      <c r="AS239" s="51">
        <f t="shared" si="182"/>
        <v>454727</v>
      </c>
      <c r="AT239" s="13">
        <f t="shared" si="183"/>
        <v>388433</v>
      </c>
      <c r="AU239" s="56">
        <f t="shared" si="184"/>
        <v>66294</v>
      </c>
      <c r="AV239" s="13">
        <f t="shared" si="185"/>
        <v>205.38708220415538</v>
      </c>
      <c r="AW239" s="13">
        <f t="shared" si="186"/>
        <v>175.44399277326107</v>
      </c>
      <c r="AX239" s="16">
        <f t="shared" si="187"/>
        <v>29.943089430894304</v>
      </c>
    </row>
    <row r="240" spans="1:50" x14ac:dyDescent="0.25">
      <c r="A240" s="20">
        <v>756</v>
      </c>
      <c r="B240">
        <v>1</v>
      </c>
      <c r="C240" s="23" t="s">
        <v>355</v>
      </c>
      <c r="D240" s="23">
        <v>6</v>
      </c>
      <c r="E240" s="15">
        <f>+SUMIF('GE16FEB14 Unfudged'!$A$2:$A$498, $A240, 'GE16FEB14 Unfudged'!$D$2:$D$498)</f>
        <v>746</v>
      </c>
      <c r="F240" s="15">
        <f>+SUMIF('GE16FEB14 Unfudged'!$A$2:$A$498, 'Tax Bill Summary'!$A240, 'GE16FEB14 Unfudged'!E$2:E$498)</f>
        <v>88752</v>
      </c>
      <c r="G240" s="13">
        <f>+SUMIF('GE16FEB14 Unfudged'!$A$2:$A$498, 'Tax Bill Summary'!$A240, 'GE16FEB14 Unfudged'!F$2:F$498)</f>
        <v>45070</v>
      </c>
      <c r="H240" s="56">
        <f t="shared" si="155"/>
        <v>43682</v>
      </c>
      <c r="I240" s="51">
        <f>+SUMIF('GE16FEB14 Unfudged'!$A$2:$A$498, 'Tax Bill Summary'!$A240, 'GE16FEB14 Unfudged'!G$2:G$498)</f>
        <v>0</v>
      </c>
      <c r="J240" s="13">
        <f>+SUMIF('GE16FEB14 Unfudged'!$A$2:$A$498, 'Tax Bill Summary'!$A240, 'GE16FEB14 Unfudged'!H$2:H$498)</f>
        <v>0</v>
      </c>
      <c r="K240" s="56">
        <f t="shared" si="156"/>
        <v>0</v>
      </c>
      <c r="L240" s="51">
        <f>+SUMIF('GE16FEB14 Unfudged'!$A$2:$A$498, 'Tax Bill Summary'!$A240, 'GE16FEB14 Unfudged'!I$2:IF$498)</f>
        <v>630579</v>
      </c>
      <c r="M240" s="13">
        <f>+SUMIF('GE16FEB14 Unfudged'!$A$2:$A$498, 'Tax Bill Summary'!$A240, 'GE16FEB14 Unfudged'!J$2:IG$498)</f>
        <v>296997</v>
      </c>
      <c r="N240" s="56">
        <f t="shared" si="157"/>
        <v>333582</v>
      </c>
      <c r="O240" s="51">
        <f t="shared" si="158"/>
        <v>719331</v>
      </c>
      <c r="P240" s="13">
        <f t="shared" si="159"/>
        <v>342067</v>
      </c>
      <c r="Q240" s="56">
        <f t="shared" si="160"/>
        <v>377264</v>
      </c>
      <c r="R240" s="13">
        <f t="shared" si="161"/>
        <v>964.25067024128691</v>
      </c>
      <c r="S240" s="13">
        <f t="shared" si="162"/>
        <v>458.53485254691691</v>
      </c>
      <c r="T240" s="16">
        <f t="shared" si="163"/>
        <v>505.71581769436995</v>
      </c>
      <c r="U240" s="15">
        <f>+SUMIF('GE16FEB14 Tax Bill Unfudged'!$A$2:$A$498, 'Tax Bill Summary'!$A240, 'GE16FEB14 Tax Bill Unfudged'!E$2:E$498)</f>
        <v>101917</v>
      </c>
      <c r="V240" s="13">
        <f>+SUMIF('GE16FEB14 Tax Bill Unfudged'!$A$2:$A$498, 'Tax Bill Summary'!$A240, 'GE16FEB14 Tax Bill Unfudged'!F$2:F$498)</f>
        <v>51755</v>
      </c>
      <c r="W240" s="56">
        <f t="shared" si="164"/>
        <v>50162</v>
      </c>
      <c r="X240" s="51">
        <f>+SUMIF('GE16FEB14 Tax Bill Unfudged'!$A$2:$A$498, 'Tax Bill Summary'!$A240, 'GE16FEB14 Tax Bill Unfudged'!G$2:G$498)</f>
        <v>316240</v>
      </c>
      <c r="Y240" s="13">
        <f>+SUMIF('GE16FEB14 Tax Bill Unfudged'!$A$2:$A$498, 'Tax Bill Summary'!$A240, 'GE16FEB14 Tax Bill Unfudged'!H$2:H$498)</f>
        <v>160593</v>
      </c>
      <c r="Z240" s="56">
        <f t="shared" si="165"/>
        <v>155647</v>
      </c>
      <c r="AA240" s="51">
        <f>+SUMIF('GE16FEB14 Tax Bill Unfudged'!$A$2:$A$498, 'Tax Bill Summary'!$A240, 'GE16FEB14 Tax Bill Unfudged'!I$2:I$498)</f>
        <v>314338</v>
      </c>
      <c r="AB240" s="13">
        <f>+SUMIF('GE16FEB14 Tax Bill Unfudged'!$A$2:$A$498, 'Tax Bill Summary'!$A240, 'GE16FEB14 Tax Bill Unfudged'!J$2:J$498)</f>
        <v>111852</v>
      </c>
      <c r="AC240" s="56">
        <f t="shared" si="166"/>
        <v>202486</v>
      </c>
      <c r="AD240" s="51">
        <f t="shared" si="167"/>
        <v>732495</v>
      </c>
      <c r="AE240" s="13">
        <f t="shared" si="168"/>
        <v>324200</v>
      </c>
      <c r="AF240" s="56">
        <f t="shared" si="169"/>
        <v>408295</v>
      </c>
      <c r="AG240" s="13">
        <f t="shared" si="170"/>
        <v>981.8967828418231</v>
      </c>
      <c r="AH240" s="13">
        <f t="shared" si="171"/>
        <v>434.5844504021448</v>
      </c>
      <c r="AI240" s="16">
        <f t="shared" si="172"/>
        <v>547.31233243967824</v>
      </c>
      <c r="AJ240" s="15">
        <f t="shared" si="173"/>
        <v>13165</v>
      </c>
      <c r="AK240" s="13">
        <f t="shared" si="174"/>
        <v>6685</v>
      </c>
      <c r="AL240" s="56">
        <f t="shared" si="175"/>
        <v>6480</v>
      </c>
      <c r="AM240" s="51">
        <f t="shared" si="176"/>
        <v>316240</v>
      </c>
      <c r="AN240" s="13">
        <f t="shared" si="177"/>
        <v>160593</v>
      </c>
      <c r="AO240" s="56">
        <f t="shared" si="178"/>
        <v>155647</v>
      </c>
      <c r="AP240" s="51">
        <f t="shared" si="179"/>
        <v>-316241</v>
      </c>
      <c r="AQ240" s="13">
        <f t="shared" si="180"/>
        <v>-185145</v>
      </c>
      <c r="AR240" s="56">
        <f t="shared" si="181"/>
        <v>-131096</v>
      </c>
      <c r="AS240" s="51">
        <f t="shared" si="182"/>
        <v>13164</v>
      </c>
      <c r="AT240" s="13">
        <f t="shared" si="183"/>
        <v>-17867</v>
      </c>
      <c r="AU240" s="56">
        <f t="shared" si="184"/>
        <v>31031</v>
      </c>
      <c r="AV240" s="13">
        <f t="shared" si="185"/>
        <v>17.646112600536185</v>
      </c>
      <c r="AW240" s="13">
        <f t="shared" si="186"/>
        <v>-23.950402144772113</v>
      </c>
      <c r="AX240" s="16">
        <f t="shared" si="187"/>
        <v>41.596514745308298</v>
      </c>
    </row>
    <row r="241" spans="1:50" x14ac:dyDescent="0.25">
      <c r="A241" s="20">
        <v>761</v>
      </c>
      <c r="B241">
        <v>1</v>
      </c>
      <c r="C241" s="23" t="s">
        <v>356</v>
      </c>
      <c r="D241" s="23">
        <v>4</v>
      </c>
      <c r="E241" s="15">
        <f>+SUMIF('GE16FEB14 Unfudged'!$A$2:$A$498, $A241, 'GE16FEB14 Unfudged'!$D$2:$D$498)</f>
        <v>5134</v>
      </c>
      <c r="F241" s="15">
        <f>+SUMIF('GE16FEB14 Unfudged'!$A$2:$A$498, 'Tax Bill Summary'!$A241, 'GE16FEB14 Unfudged'!E$2:E$498)</f>
        <v>603163</v>
      </c>
      <c r="G241" s="13">
        <f>+SUMIF('GE16FEB14 Unfudged'!$A$2:$A$498, 'Tax Bill Summary'!$A241, 'GE16FEB14 Unfudged'!F$2:F$498)</f>
        <v>414137</v>
      </c>
      <c r="H241" s="56">
        <f t="shared" si="155"/>
        <v>189026</v>
      </c>
      <c r="I241" s="51">
        <f>+SUMIF('GE16FEB14 Unfudged'!$A$2:$A$498, 'Tax Bill Summary'!$A241, 'GE16FEB14 Unfudged'!G$2:G$498)</f>
        <v>1088323</v>
      </c>
      <c r="J241" s="13">
        <f>+SUMIF('GE16FEB14 Unfudged'!$A$2:$A$498, 'Tax Bill Summary'!$A241, 'GE16FEB14 Unfudged'!H$2:H$498)</f>
        <v>747252</v>
      </c>
      <c r="K241" s="56">
        <f t="shared" si="156"/>
        <v>341071</v>
      </c>
      <c r="L241" s="51">
        <f>+SUMIF('GE16FEB14 Unfudged'!$A$2:$A$498, 'Tax Bill Summary'!$A241, 'GE16FEB14 Unfudged'!I$2:IF$498)</f>
        <v>4508174</v>
      </c>
      <c r="M241" s="13">
        <f>+SUMIF('GE16FEB14 Unfudged'!$A$2:$A$498, 'Tax Bill Summary'!$A241, 'GE16FEB14 Unfudged'!J$2:IG$498)</f>
        <v>2840864</v>
      </c>
      <c r="N241" s="56">
        <f t="shared" si="157"/>
        <v>1667310</v>
      </c>
      <c r="O241" s="51">
        <f t="shared" si="158"/>
        <v>6199660</v>
      </c>
      <c r="P241" s="13">
        <f t="shared" si="159"/>
        <v>4002253</v>
      </c>
      <c r="Q241" s="56">
        <f t="shared" si="160"/>
        <v>2197407</v>
      </c>
      <c r="R241" s="13">
        <f t="shared" si="161"/>
        <v>1207.5691468640437</v>
      </c>
      <c r="S241" s="13">
        <f t="shared" si="162"/>
        <v>779.55843396961438</v>
      </c>
      <c r="T241" s="16">
        <f t="shared" si="163"/>
        <v>428.01071289442928</v>
      </c>
      <c r="U241" s="15">
        <f>+SUMIF('GE16FEB14 Tax Bill Unfudged'!$A$2:$A$498, 'Tax Bill Summary'!$A241, 'GE16FEB14 Tax Bill Unfudged'!E$2:E$498)</f>
        <v>625397</v>
      </c>
      <c r="V241" s="13">
        <f>+SUMIF('GE16FEB14 Tax Bill Unfudged'!$A$2:$A$498, 'Tax Bill Summary'!$A241, 'GE16FEB14 Tax Bill Unfudged'!F$2:F$498)</f>
        <v>429403</v>
      </c>
      <c r="W241" s="56">
        <f t="shared" si="164"/>
        <v>195994</v>
      </c>
      <c r="X241" s="51">
        <f>+SUMIF('GE16FEB14 Tax Bill Unfudged'!$A$2:$A$498, 'Tax Bill Summary'!$A241, 'GE16FEB14 Tax Bill Unfudged'!G$2:G$498)</f>
        <v>2176646</v>
      </c>
      <c r="Y241" s="13">
        <f>+SUMIF('GE16FEB14 Tax Bill Unfudged'!$A$2:$A$498, 'Tax Bill Summary'!$A241, 'GE16FEB14 Tax Bill Unfudged'!H$2:H$498)</f>
        <v>1494504</v>
      </c>
      <c r="Z241" s="56">
        <f t="shared" si="165"/>
        <v>682142</v>
      </c>
      <c r="AA241" s="51">
        <f>+SUMIF('GE16FEB14 Tax Bill Unfudged'!$A$2:$A$498, 'Tax Bill Summary'!$A241, 'GE16FEB14 Tax Bill Unfudged'!I$2:I$498)</f>
        <v>3419850</v>
      </c>
      <c r="AB241" s="13">
        <f>+SUMIF('GE16FEB14 Tax Bill Unfudged'!$A$2:$A$498, 'Tax Bill Summary'!$A241, 'GE16FEB14 Tax Bill Unfudged'!J$2:J$498)</f>
        <v>1903496</v>
      </c>
      <c r="AC241" s="56">
        <f t="shared" si="166"/>
        <v>1516354</v>
      </c>
      <c r="AD241" s="51">
        <f t="shared" si="167"/>
        <v>6221893</v>
      </c>
      <c r="AE241" s="13">
        <f t="shared" si="168"/>
        <v>3827403</v>
      </c>
      <c r="AF241" s="56">
        <f t="shared" si="169"/>
        <v>2394490</v>
      </c>
      <c r="AG241" s="13">
        <f t="shared" si="170"/>
        <v>1211.899688352162</v>
      </c>
      <c r="AH241" s="13">
        <f t="shared" si="171"/>
        <v>745.50116867939232</v>
      </c>
      <c r="AI241" s="16">
        <f t="shared" si="172"/>
        <v>466.39851967276979</v>
      </c>
      <c r="AJ241" s="15">
        <f t="shared" si="173"/>
        <v>22234</v>
      </c>
      <c r="AK241" s="13">
        <f t="shared" si="174"/>
        <v>15266</v>
      </c>
      <c r="AL241" s="56">
        <f t="shared" si="175"/>
        <v>6968</v>
      </c>
      <c r="AM241" s="51">
        <f t="shared" si="176"/>
        <v>1088323</v>
      </c>
      <c r="AN241" s="13">
        <f t="shared" si="177"/>
        <v>747252</v>
      </c>
      <c r="AO241" s="56">
        <f t="shared" si="178"/>
        <v>341071</v>
      </c>
      <c r="AP241" s="51">
        <f t="shared" si="179"/>
        <v>-1088324</v>
      </c>
      <c r="AQ241" s="13">
        <f t="shared" si="180"/>
        <v>-937368</v>
      </c>
      <c r="AR241" s="56">
        <f t="shared" si="181"/>
        <v>-150956</v>
      </c>
      <c r="AS241" s="51">
        <f t="shared" si="182"/>
        <v>22233</v>
      </c>
      <c r="AT241" s="13">
        <f t="shared" si="183"/>
        <v>-174850</v>
      </c>
      <c r="AU241" s="56">
        <f t="shared" si="184"/>
        <v>197083</v>
      </c>
      <c r="AV241" s="13">
        <f t="shared" si="185"/>
        <v>4.3305414881183424</v>
      </c>
      <c r="AW241" s="13">
        <f t="shared" si="186"/>
        <v>-34.057265290222063</v>
      </c>
      <c r="AX241" s="16">
        <f t="shared" si="187"/>
        <v>38.387806778340519</v>
      </c>
    </row>
    <row r="242" spans="1:50" x14ac:dyDescent="0.25">
      <c r="A242" s="20">
        <v>763</v>
      </c>
      <c r="B242">
        <v>1</v>
      </c>
      <c r="C242" s="23" t="s">
        <v>357</v>
      </c>
      <c r="D242" s="23">
        <v>6</v>
      </c>
      <c r="E242" s="15">
        <f>+SUMIF('GE16FEB14 Unfudged'!$A$2:$A$498, $A242, 'GE16FEB14 Unfudged'!$D$2:$D$498)</f>
        <v>928</v>
      </c>
      <c r="F242" s="15">
        <f>+SUMIF('GE16FEB14 Unfudged'!$A$2:$A$498, 'Tax Bill Summary'!$A242, 'GE16FEB14 Unfudged'!E$2:E$498)</f>
        <v>133574</v>
      </c>
      <c r="G242" s="13">
        <f>+SUMIF('GE16FEB14 Unfudged'!$A$2:$A$498, 'Tax Bill Summary'!$A242, 'GE16FEB14 Unfudged'!F$2:F$498)</f>
        <v>79629</v>
      </c>
      <c r="H242" s="56">
        <f t="shared" si="155"/>
        <v>53945</v>
      </c>
      <c r="I242" s="51">
        <f>+SUMIF('GE16FEB14 Unfudged'!$A$2:$A$498, 'Tax Bill Summary'!$A242, 'GE16FEB14 Unfudged'!G$2:G$498)</f>
        <v>0</v>
      </c>
      <c r="J242" s="13">
        <f>+SUMIF('GE16FEB14 Unfudged'!$A$2:$A$498, 'Tax Bill Summary'!$A242, 'GE16FEB14 Unfudged'!H$2:H$498)</f>
        <v>0</v>
      </c>
      <c r="K242" s="56">
        <f t="shared" si="156"/>
        <v>0</v>
      </c>
      <c r="L242" s="51">
        <f>+SUMIF('GE16FEB14 Unfudged'!$A$2:$A$498, 'Tax Bill Summary'!$A242, 'GE16FEB14 Unfudged'!I$2:IF$498)</f>
        <v>278280</v>
      </c>
      <c r="M242" s="13">
        <f>+SUMIF('GE16FEB14 Unfudged'!$A$2:$A$498, 'Tax Bill Summary'!$A242, 'GE16FEB14 Unfudged'!J$2:IG$498)</f>
        <v>96144</v>
      </c>
      <c r="N242" s="56">
        <f t="shared" si="157"/>
        <v>182136</v>
      </c>
      <c r="O242" s="51">
        <f t="shared" si="158"/>
        <v>411854</v>
      </c>
      <c r="P242" s="13">
        <f t="shared" si="159"/>
        <v>175773</v>
      </c>
      <c r="Q242" s="56">
        <f t="shared" si="160"/>
        <v>236081</v>
      </c>
      <c r="R242" s="13">
        <f t="shared" si="161"/>
        <v>443.80818965517244</v>
      </c>
      <c r="S242" s="13">
        <f t="shared" si="162"/>
        <v>189.41056034482759</v>
      </c>
      <c r="T242" s="16">
        <f t="shared" si="163"/>
        <v>254.39762931034483</v>
      </c>
      <c r="U242" s="15">
        <f>+SUMIF('GE16FEB14 Tax Bill Unfudged'!$A$2:$A$498, 'Tax Bill Summary'!$A242, 'GE16FEB14 Tax Bill Unfudged'!E$2:E$498)</f>
        <v>133574</v>
      </c>
      <c r="V242" s="13">
        <f>+SUMIF('GE16FEB14 Tax Bill Unfudged'!$A$2:$A$498, 'Tax Bill Summary'!$A242, 'GE16FEB14 Tax Bill Unfudged'!F$2:F$498)</f>
        <v>79629</v>
      </c>
      <c r="W242" s="56">
        <f t="shared" si="164"/>
        <v>53945</v>
      </c>
      <c r="X242" s="51">
        <f>+SUMIF('GE16FEB14 Tax Bill Unfudged'!$A$2:$A$498, 'Tax Bill Summary'!$A242, 'GE16FEB14 Tax Bill Unfudged'!G$2:G$498)</f>
        <v>393302</v>
      </c>
      <c r="Y242" s="13">
        <f>+SUMIF('GE16FEB14 Tax Bill Unfudged'!$A$2:$A$498, 'Tax Bill Summary'!$A242, 'GE16FEB14 Tax Bill Unfudged'!H$2:H$498)</f>
        <v>234465</v>
      </c>
      <c r="Z242" s="56">
        <f t="shared" si="165"/>
        <v>158837</v>
      </c>
      <c r="AA242" s="51">
        <f>+SUMIF('GE16FEB14 Tax Bill Unfudged'!$A$2:$A$498, 'Tax Bill Summary'!$A242, 'GE16FEB14 Tax Bill Unfudged'!I$2:I$498)</f>
        <v>278280</v>
      </c>
      <c r="AB242" s="13">
        <f>+SUMIF('GE16FEB14 Tax Bill Unfudged'!$A$2:$A$498, 'Tax Bill Summary'!$A242, 'GE16FEB14 Tax Bill Unfudged'!J$2:J$498)</f>
        <v>96144</v>
      </c>
      <c r="AC242" s="56">
        <f t="shared" si="166"/>
        <v>182136</v>
      </c>
      <c r="AD242" s="51">
        <f t="shared" si="167"/>
        <v>805156</v>
      </c>
      <c r="AE242" s="13">
        <f t="shared" si="168"/>
        <v>410238</v>
      </c>
      <c r="AF242" s="56">
        <f t="shared" si="169"/>
        <v>394918</v>
      </c>
      <c r="AG242" s="13">
        <f t="shared" si="170"/>
        <v>867.625</v>
      </c>
      <c r="AH242" s="13">
        <f t="shared" si="171"/>
        <v>442.06681034482756</v>
      </c>
      <c r="AI242" s="16">
        <f t="shared" si="172"/>
        <v>425.55818965517244</v>
      </c>
      <c r="AJ242" s="15">
        <f t="shared" si="173"/>
        <v>0</v>
      </c>
      <c r="AK242" s="13">
        <f t="shared" si="174"/>
        <v>0</v>
      </c>
      <c r="AL242" s="56">
        <f t="shared" si="175"/>
        <v>0</v>
      </c>
      <c r="AM242" s="51">
        <f t="shared" si="176"/>
        <v>393302</v>
      </c>
      <c r="AN242" s="13">
        <f t="shared" si="177"/>
        <v>234465</v>
      </c>
      <c r="AO242" s="56">
        <f t="shared" si="178"/>
        <v>158837</v>
      </c>
      <c r="AP242" s="51">
        <f t="shared" si="179"/>
        <v>0</v>
      </c>
      <c r="AQ242" s="13">
        <f t="shared" si="180"/>
        <v>0</v>
      </c>
      <c r="AR242" s="56">
        <f t="shared" si="181"/>
        <v>0</v>
      </c>
      <c r="AS242" s="51">
        <f t="shared" si="182"/>
        <v>393302</v>
      </c>
      <c r="AT242" s="13">
        <f t="shared" si="183"/>
        <v>234465</v>
      </c>
      <c r="AU242" s="56">
        <f t="shared" si="184"/>
        <v>158837</v>
      </c>
      <c r="AV242" s="13">
        <f t="shared" si="185"/>
        <v>423.81681034482756</v>
      </c>
      <c r="AW242" s="13">
        <f t="shared" si="186"/>
        <v>252.65624999999997</v>
      </c>
      <c r="AX242" s="16">
        <f t="shared" si="187"/>
        <v>171.16056034482762</v>
      </c>
    </row>
    <row r="243" spans="1:50" x14ac:dyDescent="0.25">
      <c r="A243" s="20">
        <v>768</v>
      </c>
      <c r="B243">
        <v>1</v>
      </c>
      <c r="C243" s="23" t="s">
        <v>358</v>
      </c>
      <c r="D243" s="23">
        <v>6</v>
      </c>
      <c r="E243" s="15">
        <f>+SUMIF('GE16FEB14 Unfudged'!$A$2:$A$498, $A243, 'GE16FEB14 Unfudged'!$D$2:$D$498)</f>
        <v>356</v>
      </c>
      <c r="F243" s="15">
        <f>+SUMIF('GE16FEB14 Unfudged'!$A$2:$A$498, 'Tax Bill Summary'!$A243, 'GE16FEB14 Unfudged'!E$2:E$498)</f>
        <v>39046</v>
      </c>
      <c r="G243" s="13">
        <f>+SUMIF('GE16FEB14 Unfudged'!$A$2:$A$498, 'Tax Bill Summary'!$A243, 'GE16FEB14 Unfudged'!F$2:F$498)</f>
        <v>14374</v>
      </c>
      <c r="H243" s="56">
        <f t="shared" si="155"/>
        <v>24672</v>
      </c>
      <c r="I243" s="51">
        <f>+SUMIF('GE16FEB14 Unfudged'!$A$2:$A$498, 'Tax Bill Summary'!$A243, 'GE16FEB14 Unfudged'!G$2:G$498)</f>
        <v>0</v>
      </c>
      <c r="J243" s="13">
        <f>+SUMIF('GE16FEB14 Unfudged'!$A$2:$A$498, 'Tax Bill Summary'!$A243, 'GE16FEB14 Unfudged'!H$2:H$498)</f>
        <v>0</v>
      </c>
      <c r="K243" s="56">
        <f t="shared" si="156"/>
        <v>0</v>
      </c>
      <c r="L243" s="51">
        <f>+SUMIF('GE16FEB14 Unfudged'!$A$2:$A$498, 'Tax Bill Summary'!$A243, 'GE16FEB14 Unfudged'!I$2:IF$498)</f>
        <v>374676</v>
      </c>
      <c r="M243" s="13">
        <f>+SUMIF('GE16FEB14 Unfudged'!$A$2:$A$498, 'Tax Bill Summary'!$A243, 'GE16FEB14 Unfudged'!J$2:IG$498)</f>
        <v>150377</v>
      </c>
      <c r="N243" s="56">
        <f t="shared" si="157"/>
        <v>224299</v>
      </c>
      <c r="O243" s="51">
        <f t="shared" si="158"/>
        <v>413722</v>
      </c>
      <c r="P243" s="13">
        <f t="shared" si="159"/>
        <v>164751</v>
      </c>
      <c r="Q243" s="56">
        <f t="shared" si="160"/>
        <v>248971</v>
      </c>
      <c r="R243" s="13">
        <f t="shared" si="161"/>
        <v>1162.1404494382023</v>
      </c>
      <c r="S243" s="13">
        <f t="shared" si="162"/>
        <v>462.78370786516854</v>
      </c>
      <c r="T243" s="16">
        <f t="shared" si="163"/>
        <v>699.35674157303367</v>
      </c>
      <c r="U243" s="15">
        <f>+SUMIF('GE16FEB14 Tax Bill Unfudged'!$A$2:$A$498, 'Tax Bill Summary'!$A243, 'GE16FEB14 Tax Bill Unfudged'!E$2:E$498)</f>
        <v>44258</v>
      </c>
      <c r="V243" s="13">
        <f>+SUMIF('GE16FEB14 Tax Bill Unfudged'!$A$2:$A$498, 'Tax Bill Summary'!$A243, 'GE16FEB14 Tax Bill Unfudged'!F$2:F$498)</f>
        <v>16293</v>
      </c>
      <c r="W243" s="56">
        <f t="shared" si="164"/>
        <v>27965</v>
      </c>
      <c r="X243" s="51">
        <f>+SUMIF('GE16FEB14 Tax Bill Unfudged'!$A$2:$A$498, 'Tax Bill Summary'!$A243, 'GE16FEB14 Tax Bill Unfudged'!G$2:G$498)</f>
        <v>151114</v>
      </c>
      <c r="Y243" s="13">
        <f>+SUMIF('GE16FEB14 Tax Bill Unfudged'!$A$2:$A$498, 'Tax Bill Summary'!$A243, 'GE16FEB14 Tax Bill Unfudged'!H$2:H$498)</f>
        <v>55631</v>
      </c>
      <c r="Z243" s="56">
        <f t="shared" si="165"/>
        <v>95483</v>
      </c>
      <c r="AA243" s="51">
        <f>+SUMIF('GE16FEB14 Tax Bill Unfudged'!$A$2:$A$498, 'Tax Bill Summary'!$A243, 'GE16FEB14 Tax Bill Unfudged'!I$2:I$498)</f>
        <v>223563</v>
      </c>
      <c r="AB243" s="13">
        <f>+SUMIF('GE16FEB14 Tax Bill Unfudged'!$A$2:$A$498, 'Tax Bill Summary'!$A243, 'GE16FEB14 Tax Bill Unfudged'!J$2:J$498)</f>
        <v>65753</v>
      </c>
      <c r="AC243" s="56">
        <f t="shared" si="166"/>
        <v>157810</v>
      </c>
      <c r="AD243" s="51">
        <f t="shared" si="167"/>
        <v>418935</v>
      </c>
      <c r="AE243" s="13">
        <f t="shared" si="168"/>
        <v>137677</v>
      </c>
      <c r="AF243" s="56">
        <f t="shared" si="169"/>
        <v>281258</v>
      </c>
      <c r="AG243" s="13">
        <f t="shared" si="170"/>
        <v>1176.7837078651685</v>
      </c>
      <c r="AH243" s="13">
        <f t="shared" si="171"/>
        <v>386.7331460674157</v>
      </c>
      <c r="AI243" s="16">
        <f t="shared" si="172"/>
        <v>790.05056179775283</v>
      </c>
      <c r="AJ243" s="15">
        <f t="shared" si="173"/>
        <v>5212</v>
      </c>
      <c r="AK243" s="13">
        <f t="shared" si="174"/>
        <v>1919</v>
      </c>
      <c r="AL243" s="56">
        <f t="shared" si="175"/>
        <v>3293</v>
      </c>
      <c r="AM243" s="51">
        <f t="shared" si="176"/>
        <v>151114</v>
      </c>
      <c r="AN243" s="13">
        <f t="shared" si="177"/>
        <v>55631</v>
      </c>
      <c r="AO243" s="56">
        <f t="shared" si="178"/>
        <v>95483</v>
      </c>
      <c r="AP243" s="51">
        <f t="shared" si="179"/>
        <v>-151113</v>
      </c>
      <c r="AQ243" s="13">
        <f t="shared" si="180"/>
        <v>-84624</v>
      </c>
      <c r="AR243" s="56">
        <f t="shared" si="181"/>
        <v>-66489</v>
      </c>
      <c r="AS243" s="51">
        <f t="shared" si="182"/>
        <v>5213</v>
      </c>
      <c r="AT243" s="13">
        <f t="shared" si="183"/>
        <v>-27074</v>
      </c>
      <c r="AU243" s="56">
        <f t="shared" si="184"/>
        <v>32287</v>
      </c>
      <c r="AV243" s="13">
        <f t="shared" si="185"/>
        <v>14.643258426966213</v>
      </c>
      <c r="AW243" s="13">
        <f t="shared" si="186"/>
        <v>-76.050561797752835</v>
      </c>
      <c r="AX243" s="16">
        <f t="shared" si="187"/>
        <v>90.693820224719161</v>
      </c>
    </row>
    <row r="244" spans="1:50" x14ac:dyDescent="0.25">
      <c r="A244" s="20">
        <v>771</v>
      </c>
      <c r="B244">
        <v>1</v>
      </c>
      <c r="C244" s="23" t="s">
        <v>359</v>
      </c>
      <c r="D244" s="23">
        <v>6</v>
      </c>
      <c r="E244" s="15">
        <f>+SUMIF('GE16FEB14 Unfudged'!$A$2:$A$498, $A244, 'GE16FEB14 Unfudged'!$D$2:$D$498)</f>
        <v>172</v>
      </c>
      <c r="F244" s="15">
        <f>+SUMIF('GE16FEB14 Unfudged'!$A$2:$A$498, 'Tax Bill Summary'!$A244, 'GE16FEB14 Unfudged'!E$2:E$498)</f>
        <v>8580</v>
      </c>
      <c r="G244" s="13">
        <f>+SUMIF('GE16FEB14 Unfudged'!$A$2:$A$498, 'Tax Bill Summary'!$A244, 'GE16FEB14 Unfudged'!F$2:F$498)</f>
        <v>4156</v>
      </c>
      <c r="H244" s="56">
        <f t="shared" si="155"/>
        <v>4424</v>
      </c>
      <c r="I244" s="51">
        <f>+SUMIF('GE16FEB14 Unfudged'!$A$2:$A$498, 'Tax Bill Summary'!$A244, 'GE16FEB14 Unfudged'!G$2:G$498)</f>
        <v>0</v>
      </c>
      <c r="J244" s="13">
        <f>+SUMIF('GE16FEB14 Unfudged'!$A$2:$A$498, 'Tax Bill Summary'!$A244, 'GE16FEB14 Unfudged'!H$2:H$498)</f>
        <v>0</v>
      </c>
      <c r="K244" s="56">
        <f t="shared" si="156"/>
        <v>0</v>
      </c>
      <c r="L244" s="51">
        <f>+SUMIF('GE16FEB14 Unfudged'!$A$2:$A$498, 'Tax Bill Summary'!$A244, 'GE16FEB14 Unfudged'!I$2:IF$498)</f>
        <v>601002</v>
      </c>
      <c r="M244" s="13">
        <f>+SUMIF('GE16FEB14 Unfudged'!$A$2:$A$498, 'Tax Bill Summary'!$A244, 'GE16FEB14 Unfudged'!J$2:IG$498)</f>
        <v>453585</v>
      </c>
      <c r="N244" s="56">
        <f t="shared" si="157"/>
        <v>147417</v>
      </c>
      <c r="O244" s="51">
        <f t="shared" si="158"/>
        <v>609582</v>
      </c>
      <c r="P244" s="13">
        <f t="shared" si="159"/>
        <v>457741</v>
      </c>
      <c r="Q244" s="56">
        <f t="shared" si="160"/>
        <v>151841</v>
      </c>
      <c r="R244" s="13">
        <f t="shared" si="161"/>
        <v>3544.0813953488373</v>
      </c>
      <c r="S244" s="13">
        <f t="shared" si="162"/>
        <v>2661.2848837209303</v>
      </c>
      <c r="T244" s="16">
        <f t="shared" si="163"/>
        <v>882.79651162790697</v>
      </c>
      <c r="U244" s="15">
        <f>+SUMIF('GE16FEB14 Tax Bill Unfudged'!$A$2:$A$498, 'Tax Bill Summary'!$A244, 'GE16FEB14 Tax Bill Unfudged'!E$2:E$498)</f>
        <v>8580</v>
      </c>
      <c r="V244" s="13">
        <f>+SUMIF('GE16FEB14 Tax Bill Unfudged'!$A$2:$A$498, 'Tax Bill Summary'!$A244, 'GE16FEB14 Tax Bill Unfudged'!F$2:F$498)</f>
        <v>4156</v>
      </c>
      <c r="W244" s="56">
        <f t="shared" si="164"/>
        <v>4424</v>
      </c>
      <c r="X244" s="51">
        <f>+SUMIF('GE16FEB14 Tax Bill Unfudged'!$A$2:$A$498, 'Tax Bill Summary'!$A244, 'GE16FEB14 Tax Bill Unfudged'!G$2:G$498)</f>
        <v>72758</v>
      </c>
      <c r="Y244" s="13">
        <f>+SUMIF('GE16FEB14 Tax Bill Unfudged'!$A$2:$A$498, 'Tax Bill Summary'!$A244, 'GE16FEB14 Tax Bill Unfudged'!H$2:H$498)</f>
        <v>35245</v>
      </c>
      <c r="Z244" s="56">
        <f t="shared" si="165"/>
        <v>37513</v>
      </c>
      <c r="AA244" s="51">
        <f>+SUMIF('GE16FEB14 Tax Bill Unfudged'!$A$2:$A$498, 'Tax Bill Summary'!$A244, 'GE16FEB14 Tax Bill Unfudged'!I$2:I$498)</f>
        <v>528243</v>
      </c>
      <c r="AB244" s="13">
        <f>+SUMIF('GE16FEB14 Tax Bill Unfudged'!$A$2:$A$498, 'Tax Bill Summary'!$A244, 'GE16FEB14 Tax Bill Unfudged'!J$2:J$498)</f>
        <v>388412</v>
      </c>
      <c r="AC244" s="56">
        <f t="shared" si="166"/>
        <v>139831</v>
      </c>
      <c r="AD244" s="51">
        <f t="shared" si="167"/>
        <v>609581</v>
      </c>
      <c r="AE244" s="13">
        <f t="shared" si="168"/>
        <v>427813</v>
      </c>
      <c r="AF244" s="56">
        <f t="shared" si="169"/>
        <v>181768</v>
      </c>
      <c r="AG244" s="13">
        <f t="shared" si="170"/>
        <v>3544.0755813953488</v>
      </c>
      <c r="AH244" s="13">
        <f t="shared" si="171"/>
        <v>2487.2848837209303</v>
      </c>
      <c r="AI244" s="16">
        <f t="shared" si="172"/>
        <v>1056.7906976744187</v>
      </c>
      <c r="AJ244" s="15">
        <f t="shared" si="173"/>
        <v>0</v>
      </c>
      <c r="AK244" s="13">
        <f t="shared" si="174"/>
        <v>0</v>
      </c>
      <c r="AL244" s="56">
        <f t="shared" si="175"/>
        <v>0</v>
      </c>
      <c r="AM244" s="51">
        <f t="shared" si="176"/>
        <v>72758</v>
      </c>
      <c r="AN244" s="13">
        <f t="shared" si="177"/>
        <v>35245</v>
      </c>
      <c r="AO244" s="56">
        <f t="shared" si="178"/>
        <v>37513</v>
      </c>
      <c r="AP244" s="51">
        <f t="shared" si="179"/>
        <v>-72759</v>
      </c>
      <c r="AQ244" s="13">
        <f t="shared" si="180"/>
        <v>-65173</v>
      </c>
      <c r="AR244" s="56">
        <f t="shared" si="181"/>
        <v>-7586</v>
      </c>
      <c r="AS244" s="51">
        <f t="shared" si="182"/>
        <v>-1</v>
      </c>
      <c r="AT244" s="13">
        <f t="shared" si="183"/>
        <v>-29928</v>
      </c>
      <c r="AU244" s="56">
        <f t="shared" si="184"/>
        <v>29927</v>
      </c>
      <c r="AV244" s="13">
        <f t="shared" si="185"/>
        <v>-5.8139534885413013E-3</v>
      </c>
      <c r="AW244" s="13">
        <f t="shared" si="186"/>
        <v>-174</v>
      </c>
      <c r="AX244" s="16">
        <f t="shared" si="187"/>
        <v>173.99418604651169</v>
      </c>
    </row>
    <row r="245" spans="1:50" x14ac:dyDescent="0.25">
      <c r="A245" s="20">
        <v>775</v>
      </c>
      <c r="B245">
        <v>1</v>
      </c>
      <c r="C245" s="23" t="s">
        <v>360</v>
      </c>
      <c r="D245" s="23">
        <v>6</v>
      </c>
      <c r="E245" s="15">
        <f>+SUMIF('GE16FEB14 Unfudged'!$A$2:$A$498, $A245, 'GE16FEB14 Unfudged'!$D$2:$D$498)</f>
        <v>633</v>
      </c>
      <c r="F245" s="15">
        <f>+SUMIF('GE16FEB14 Unfudged'!$A$2:$A$498, 'Tax Bill Summary'!$A245, 'GE16FEB14 Unfudged'!E$2:E$498)</f>
        <v>89601</v>
      </c>
      <c r="G245" s="13">
        <f>+SUMIF('GE16FEB14 Unfudged'!$A$2:$A$498, 'Tax Bill Summary'!$A245, 'GE16FEB14 Unfudged'!F$2:F$498)</f>
        <v>49874</v>
      </c>
      <c r="H245" s="56">
        <f t="shared" si="155"/>
        <v>39727</v>
      </c>
      <c r="I245" s="51">
        <f>+SUMIF('GE16FEB14 Unfudged'!$A$2:$A$498, 'Tax Bill Summary'!$A245, 'GE16FEB14 Unfudged'!G$2:G$498)</f>
        <v>0</v>
      </c>
      <c r="J245" s="13">
        <f>+SUMIF('GE16FEB14 Unfudged'!$A$2:$A$498, 'Tax Bill Summary'!$A245, 'GE16FEB14 Unfudged'!H$2:H$498)</f>
        <v>0</v>
      </c>
      <c r="K245" s="56">
        <f t="shared" si="156"/>
        <v>0</v>
      </c>
      <c r="L245" s="51">
        <f>+SUMIF('GE16FEB14 Unfudged'!$A$2:$A$498, 'Tax Bill Summary'!$A245, 'GE16FEB14 Unfudged'!I$2:IF$498)</f>
        <v>224067</v>
      </c>
      <c r="M245" s="13">
        <f>+SUMIF('GE16FEB14 Unfudged'!$A$2:$A$498, 'Tax Bill Summary'!$A245, 'GE16FEB14 Unfudged'!J$2:IG$498)</f>
        <v>80271</v>
      </c>
      <c r="N245" s="56">
        <f t="shared" si="157"/>
        <v>143796</v>
      </c>
      <c r="O245" s="51">
        <f t="shared" si="158"/>
        <v>313668</v>
      </c>
      <c r="P245" s="13">
        <f t="shared" si="159"/>
        <v>130145</v>
      </c>
      <c r="Q245" s="56">
        <f t="shared" si="160"/>
        <v>183523</v>
      </c>
      <c r="R245" s="13">
        <f t="shared" si="161"/>
        <v>495.52606635071089</v>
      </c>
      <c r="S245" s="13">
        <f t="shared" si="162"/>
        <v>205.60031595576621</v>
      </c>
      <c r="T245" s="16">
        <f t="shared" si="163"/>
        <v>289.92575039494471</v>
      </c>
      <c r="U245" s="15">
        <f>+SUMIF('GE16FEB14 Tax Bill Unfudged'!$A$2:$A$498, 'Tax Bill Summary'!$A245, 'GE16FEB14 Tax Bill Unfudged'!E$2:E$498)</f>
        <v>91166</v>
      </c>
      <c r="V245" s="13">
        <f>+SUMIF('GE16FEB14 Tax Bill Unfudged'!$A$2:$A$498, 'Tax Bill Summary'!$A245, 'GE16FEB14 Tax Bill Unfudged'!F$2:F$498)</f>
        <v>50745</v>
      </c>
      <c r="W245" s="56">
        <f t="shared" si="164"/>
        <v>40421</v>
      </c>
      <c r="X245" s="51">
        <f>+SUMIF('GE16FEB14 Tax Bill Unfudged'!$A$2:$A$498, 'Tax Bill Summary'!$A245, 'GE16FEB14 Tax Bill Unfudged'!G$2:G$498)</f>
        <v>268434</v>
      </c>
      <c r="Y245" s="13">
        <f>+SUMIF('GE16FEB14 Tax Bill Unfudged'!$A$2:$A$498, 'Tax Bill Summary'!$A245, 'GE16FEB14 Tax Bill Unfudged'!H$2:H$498)</f>
        <v>149417</v>
      </c>
      <c r="Z245" s="56">
        <f t="shared" si="165"/>
        <v>119017</v>
      </c>
      <c r="AA245" s="51">
        <f>+SUMIF('GE16FEB14 Tax Bill Unfudged'!$A$2:$A$498, 'Tax Bill Summary'!$A245, 'GE16FEB14 Tax Bill Unfudged'!I$2:I$498)</f>
        <v>189930</v>
      </c>
      <c r="AB245" s="13">
        <f>+SUMIF('GE16FEB14 Tax Bill Unfudged'!$A$2:$A$498, 'Tax Bill Summary'!$A245, 'GE16FEB14 Tax Bill Unfudged'!J$2:J$498)</f>
        <v>61269</v>
      </c>
      <c r="AC245" s="56">
        <f t="shared" si="166"/>
        <v>128661</v>
      </c>
      <c r="AD245" s="51">
        <f t="shared" si="167"/>
        <v>549530</v>
      </c>
      <c r="AE245" s="13">
        <f t="shared" si="168"/>
        <v>261431</v>
      </c>
      <c r="AF245" s="56">
        <f t="shared" si="169"/>
        <v>288099</v>
      </c>
      <c r="AG245" s="13">
        <f t="shared" si="170"/>
        <v>868.1358609794629</v>
      </c>
      <c r="AH245" s="13">
        <f t="shared" si="171"/>
        <v>413.00315955766195</v>
      </c>
      <c r="AI245" s="16">
        <f t="shared" si="172"/>
        <v>455.13270142180096</v>
      </c>
      <c r="AJ245" s="15">
        <f t="shared" si="173"/>
        <v>1565</v>
      </c>
      <c r="AK245" s="13">
        <f t="shared" si="174"/>
        <v>871</v>
      </c>
      <c r="AL245" s="56">
        <f t="shared" si="175"/>
        <v>694</v>
      </c>
      <c r="AM245" s="51">
        <f t="shared" si="176"/>
        <v>268434</v>
      </c>
      <c r="AN245" s="13">
        <f t="shared" si="177"/>
        <v>149417</v>
      </c>
      <c r="AO245" s="56">
        <f t="shared" si="178"/>
        <v>119017</v>
      </c>
      <c r="AP245" s="51">
        <f t="shared" si="179"/>
        <v>-34137</v>
      </c>
      <c r="AQ245" s="13">
        <f t="shared" si="180"/>
        <v>-19002</v>
      </c>
      <c r="AR245" s="56">
        <f t="shared" si="181"/>
        <v>-15135</v>
      </c>
      <c r="AS245" s="51">
        <f t="shared" si="182"/>
        <v>235862</v>
      </c>
      <c r="AT245" s="13">
        <f t="shared" si="183"/>
        <v>131286</v>
      </c>
      <c r="AU245" s="56">
        <f t="shared" si="184"/>
        <v>104576</v>
      </c>
      <c r="AV245" s="13">
        <f t="shared" si="185"/>
        <v>372.60979462875201</v>
      </c>
      <c r="AW245" s="13">
        <f t="shared" si="186"/>
        <v>207.40284360189574</v>
      </c>
      <c r="AX245" s="16">
        <f t="shared" si="187"/>
        <v>165.20695102685625</v>
      </c>
    </row>
    <row r="246" spans="1:50" x14ac:dyDescent="0.25">
      <c r="A246" s="20">
        <v>777</v>
      </c>
      <c r="B246">
        <v>1</v>
      </c>
      <c r="C246" s="23" t="s">
        <v>361</v>
      </c>
      <c r="D246" s="23">
        <v>6</v>
      </c>
      <c r="E246" s="15">
        <f>+SUMIF('GE16FEB14 Unfudged'!$A$2:$A$498, $A246, 'GE16FEB14 Unfudged'!$D$2:$D$498)</f>
        <v>922</v>
      </c>
      <c r="F246" s="15">
        <f>+SUMIF('GE16FEB14 Unfudged'!$A$2:$A$498, 'Tax Bill Summary'!$A246, 'GE16FEB14 Unfudged'!E$2:E$498)</f>
        <v>94145</v>
      </c>
      <c r="G246" s="13">
        <f>+SUMIF('GE16FEB14 Unfudged'!$A$2:$A$498, 'Tax Bill Summary'!$A246, 'GE16FEB14 Unfudged'!F$2:F$498)</f>
        <v>60716</v>
      </c>
      <c r="H246" s="56">
        <f t="shared" si="155"/>
        <v>33429</v>
      </c>
      <c r="I246" s="51">
        <f>+SUMIF('GE16FEB14 Unfudged'!$A$2:$A$498, 'Tax Bill Summary'!$A246, 'GE16FEB14 Unfudged'!G$2:G$498)</f>
        <v>0</v>
      </c>
      <c r="J246" s="13">
        <f>+SUMIF('GE16FEB14 Unfudged'!$A$2:$A$498, 'Tax Bill Summary'!$A246, 'GE16FEB14 Unfudged'!H$2:H$498)</f>
        <v>0</v>
      </c>
      <c r="K246" s="56">
        <f t="shared" si="156"/>
        <v>0</v>
      </c>
      <c r="L246" s="51">
        <f>+SUMIF('GE16FEB14 Unfudged'!$A$2:$A$498, 'Tax Bill Summary'!$A246, 'GE16FEB14 Unfudged'!I$2:IF$498)</f>
        <v>1119735</v>
      </c>
      <c r="M246" s="13">
        <f>+SUMIF('GE16FEB14 Unfudged'!$A$2:$A$498, 'Tax Bill Summary'!$A246, 'GE16FEB14 Unfudged'!J$2:IG$498)</f>
        <v>795848</v>
      </c>
      <c r="N246" s="56">
        <f t="shared" si="157"/>
        <v>323887</v>
      </c>
      <c r="O246" s="51">
        <f t="shared" si="158"/>
        <v>1213880</v>
      </c>
      <c r="P246" s="13">
        <f t="shared" si="159"/>
        <v>856564</v>
      </c>
      <c r="Q246" s="56">
        <f t="shared" si="160"/>
        <v>357316</v>
      </c>
      <c r="R246" s="13">
        <f t="shared" si="161"/>
        <v>1316.5726681127983</v>
      </c>
      <c r="S246" s="13">
        <f t="shared" si="162"/>
        <v>929.02819956616054</v>
      </c>
      <c r="T246" s="16">
        <f t="shared" si="163"/>
        <v>387.54446854663775</v>
      </c>
      <c r="U246" s="15">
        <f>+SUMIF('GE16FEB14 Tax Bill Unfudged'!$A$2:$A$498, 'Tax Bill Summary'!$A246, 'GE16FEB14 Tax Bill Unfudged'!E$2:E$498)</f>
        <v>105419</v>
      </c>
      <c r="V246" s="13">
        <f>+SUMIF('GE16FEB14 Tax Bill Unfudged'!$A$2:$A$498, 'Tax Bill Summary'!$A246, 'GE16FEB14 Tax Bill Unfudged'!F$2:F$498)</f>
        <v>67986</v>
      </c>
      <c r="W246" s="56">
        <f t="shared" si="164"/>
        <v>37433</v>
      </c>
      <c r="X246" s="51">
        <f>+SUMIF('GE16FEB14 Tax Bill Unfudged'!$A$2:$A$498, 'Tax Bill Summary'!$A246, 'GE16FEB14 Tax Bill Unfudged'!G$2:G$498)</f>
        <v>391013</v>
      </c>
      <c r="Y246" s="13">
        <f>+SUMIF('GE16FEB14 Tax Bill Unfudged'!$A$2:$A$498, 'Tax Bill Summary'!$A246, 'GE16FEB14 Tax Bill Unfudged'!H$2:H$498)</f>
        <v>252170</v>
      </c>
      <c r="Z246" s="56">
        <f t="shared" si="165"/>
        <v>138843</v>
      </c>
      <c r="AA246" s="51">
        <f>+SUMIF('GE16FEB14 Tax Bill Unfudged'!$A$2:$A$498, 'Tax Bill Summary'!$A246, 'GE16FEB14 Tax Bill Unfudged'!I$2:I$498)</f>
        <v>728722</v>
      </c>
      <c r="AB246" s="13">
        <f>+SUMIF('GE16FEB14 Tax Bill Unfudged'!$A$2:$A$498, 'Tax Bill Summary'!$A246, 'GE16FEB14 Tax Bill Unfudged'!J$2:J$498)</f>
        <v>404835</v>
      </c>
      <c r="AC246" s="56">
        <f t="shared" si="166"/>
        <v>323887</v>
      </c>
      <c r="AD246" s="51">
        <f t="shared" si="167"/>
        <v>1225154</v>
      </c>
      <c r="AE246" s="13">
        <f t="shared" si="168"/>
        <v>724991</v>
      </c>
      <c r="AF246" s="56">
        <f t="shared" si="169"/>
        <v>500163</v>
      </c>
      <c r="AG246" s="13">
        <f t="shared" si="170"/>
        <v>1328.8004338394794</v>
      </c>
      <c r="AH246" s="13">
        <f t="shared" si="171"/>
        <v>786.32429501084596</v>
      </c>
      <c r="AI246" s="16">
        <f t="shared" si="172"/>
        <v>542.47613882863345</v>
      </c>
      <c r="AJ246" s="15">
        <f t="shared" si="173"/>
        <v>11274</v>
      </c>
      <c r="AK246" s="13">
        <f t="shared" si="174"/>
        <v>7270</v>
      </c>
      <c r="AL246" s="56">
        <f t="shared" si="175"/>
        <v>4004</v>
      </c>
      <c r="AM246" s="51">
        <f t="shared" si="176"/>
        <v>391013</v>
      </c>
      <c r="AN246" s="13">
        <f t="shared" si="177"/>
        <v>252170</v>
      </c>
      <c r="AO246" s="56">
        <f t="shared" si="178"/>
        <v>138843</v>
      </c>
      <c r="AP246" s="51">
        <f t="shared" si="179"/>
        <v>-391013</v>
      </c>
      <c r="AQ246" s="13">
        <f t="shared" si="180"/>
        <v>-391013</v>
      </c>
      <c r="AR246" s="56">
        <f t="shared" si="181"/>
        <v>0</v>
      </c>
      <c r="AS246" s="51">
        <f t="shared" si="182"/>
        <v>11274</v>
      </c>
      <c r="AT246" s="13">
        <f t="shared" si="183"/>
        <v>-131573</v>
      </c>
      <c r="AU246" s="56">
        <f t="shared" si="184"/>
        <v>142847</v>
      </c>
      <c r="AV246" s="13">
        <f t="shared" si="185"/>
        <v>12.227765726681127</v>
      </c>
      <c r="AW246" s="13">
        <f t="shared" si="186"/>
        <v>-142.70390455531458</v>
      </c>
      <c r="AX246" s="16">
        <f t="shared" si="187"/>
        <v>154.93167028199571</v>
      </c>
    </row>
    <row r="247" spans="1:50" x14ac:dyDescent="0.25">
      <c r="A247" s="20">
        <v>786</v>
      </c>
      <c r="B247">
        <v>1</v>
      </c>
      <c r="C247" s="23" t="s">
        <v>362</v>
      </c>
      <c r="D247" s="23">
        <v>6</v>
      </c>
      <c r="E247" s="15">
        <f>+SUMIF('GE16FEB14 Unfudged'!$A$2:$A$498, $A247, 'GE16FEB14 Unfudged'!$D$2:$D$498)</f>
        <v>399</v>
      </c>
      <c r="F247" s="15">
        <f>+SUMIF('GE16FEB14 Unfudged'!$A$2:$A$498, 'Tax Bill Summary'!$A247, 'GE16FEB14 Unfudged'!E$2:E$498)</f>
        <v>50161</v>
      </c>
      <c r="G247" s="13">
        <f>+SUMIF('GE16FEB14 Unfudged'!$A$2:$A$498, 'Tax Bill Summary'!$A247, 'GE16FEB14 Unfudged'!F$2:F$498)</f>
        <v>23044</v>
      </c>
      <c r="H247" s="56">
        <f t="shared" si="155"/>
        <v>27117</v>
      </c>
      <c r="I247" s="51">
        <f>+SUMIF('GE16FEB14 Unfudged'!$A$2:$A$498, 'Tax Bill Summary'!$A247, 'GE16FEB14 Unfudged'!G$2:G$498)</f>
        <v>0</v>
      </c>
      <c r="J247" s="13">
        <f>+SUMIF('GE16FEB14 Unfudged'!$A$2:$A$498, 'Tax Bill Summary'!$A247, 'GE16FEB14 Unfudged'!H$2:H$498)</f>
        <v>0</v>
      </c>
      <c r="K247" s="56">
        <f t="shared" si="156"/>
        <v>0</v>
      </c>
      <c r="L247" s="51">
        <f>+SUMIF('GE16FEB14 Unfudged'!$A$2:$A$498, 'Tax Bill Summary'!$A247, 'GE16FEB14 Unfudged'!I$2:IF$498)</f>
        <v>277109</v>
      </c>
      <c r="M247" s="13">
        <f>+SUMIF('GE16FEB14 Unfudged'!$A$2:$A$498, 'Tax Bill Summary'!$A247, 'GE16FEB14 Unfudged'!J$2:IG$498)</f>
        <v>87676</v>
      </c>
      <c r="N247" s="56">
        <f t="shared" si="157"/>
        <v>189433</v>
      </c>
      <c r="O247" s="51">
        <f t="shared" si="158"/>
        <v>327270</v>
      </c>
      <c r="P247" s="13">
        <f t="shared" si="159"/>
        <v>110720</v>
      </c>
      <c r="Q247" s="56">
        <f t="shared" si="160"/>
        <v>216550</v>
      </c>
      <c r="R247" s="13">
        <f t="shared" si="161"/>
        <v>820.22556390977445</v>
      </c>
      <c r="S247" s="13">
        <f t="shared" si="162"/>
        <v>277.49373433583958</v>
      </c>
      <c r="T247" s="16">
        <f t="shared" si="163"/>
        <v>542.73182957393487</v>
      </c>
      <c r="U247" s="15">
        <f>+SUMIF('GE16FEB14 Tax Bill Unfudged'!$A$2:$A$498, 'Tax Bill Summary'!$A247, 'GE16FEB14 Tax Bill Unfudged'!E$2:E$498)</f>
        <v>57091</v>
      </c>
      <c r="V247" s="13">
        <f>+SUMIF('GE16FEB14 Tax Bill Unfudged'!$A$2:$A$498, 'Tax Bill Summary'!$A247, 'GE16FEB14 Tax Bill Unfudged'!F$2:F$498)</f>
        <v>26228</v>
      </c>
      <c r="W247" s="56">
        <f t="shared" si="164"/>
        <v>30863</v>
      </c>
      <c r="X247" s="51">
        <f>+SUMIF('GE16FEB14 Tax Bill Unfudged'!$A$2:$A$498, 'Tax Bill Summary'!$A247, 'GE16FEB14 Tax Bill Unfudged'!G$2:G$498)</f>
        <v>168964</v>
      </c>
      <c r="Y247" s="13">
        <f>+SUMIF('GE16FEB14 Tax Bill Unfudged'!$A$2:$A$498, 'Tax Bill Summary'!$A247, 'GE16FEB14 Tax Bill Unfudged'!H$2:H$498)</f>
        <v>77623</v>
      </c>
      <c r="Z247" s="56">
        <f t="shared" si="165"/>
        <v>91341</v>
      </c>
      <c r="AA247" s="51">
        <f>+SUMIF('GE16FEB14 Tax Bill Unfudged'!$A$2:$A$498, 'Tax Bill Summary'!$A247, 'GE16FEB14 Tax Bill Unfudged'!I$2:I$498)</f>
        <v>124396</v>
      </c>
      <c r="AB247" s="13">
        <f>+SUMIF('GE16FEB14 Tax Bill Unfudged'!$A$2:$A$498, 'Tax Bill Summary'!$A247, 'GE16FEB14 Tax Bill Unfudged'!J$2:J$498)</f>
        <v>34056</v>
      </c>
      <c r="AC247" s="56">
        <f t="shared" si="166"/>
        <v>90340</v>
      </c>
      <c r="AD247" s="51">
        <f t="shared" si="167"/>
        <v>350451</v>
      </c>
      <c r="AE247" s="13">
        <f t="shared" si="168"/>
        <v>137907</v>
      </c>
      <c r="AF247" s="56">
        <f t="shared" si="169"/>
        <v>212544</v>
      </c>
      <c r="AG247" s="13">
        <f t="shared" si="170"/>
        <v>878.32330827067665</v>
      </c>
      <c r="AH247" s="13">
        <f t="shared" si="171"/>
        <v>345.63157894736844</v>
      </c>
      <c r="AI247" s="16">
        <f t="shared" si="172"/>
        <v>532.69172932330832</v>
      </c>
      <c r="AJ247" s="15">
        <f t="shared" si="173"/>
        <v>6930</v>
      </c>
      <c r="AK247" s="13">
        <f t="shared" si="174"/>
        <v>3184</v>
      </c>
      <c r="AL247" s="56">
        <f t="shared" si="175"/>
        <v>3746</v>
      </c>
      <c r="AM247" s="51">
        <f t="shared" si="176"/>
        <v>168964</v>
      </c>
      <c r="AN247" s="13">
        <f t="shared" si="177"/>
        <v>77623</v>
      </c>
      <c r="AO247" s="56">
        <f t="shared" si="178"/>
        <v>91341</v>
      </c>
      <c r="AP247" s="51">
        <f t="shared" si="179"/>
        <v>-152713</v>
      </c>
      <c r="AQ247" s="13">
        <f t="shared" si="180"/>
        <v>-53620</v>
      </c>
      <c r="AR247" s="56">
        <f t="shared" si="181"/>
        <v>-99093</v>
      </c>
      <c r="AS247" s="51">
        <f t="shared" si="182"/>
        <v>23181</v>
      </c>
      <c r="AT247" s="13">
        <f t="shared" si="183"/>
        <v>27187</v>
      </c>
      <c r="AU247" s="56">
        <f t="shared" si="184"/>
        <v>-4006</v>
      </c>
      <c r="AV247" s="13">
        <f t="shared" si="185"/>
        <v>58.097744360902198</v>
      </c>
      <c r="AW247" s="13">
        <f t="shared" si="186"/>
        <v>68.137844611528863</v>
      </c>
      <c r="AX247" s="16">
        <f t="shared" si="187"/>
        <v>-10.040100250626551</v>
      </c>
    </row>
    <row r="248" spans="1:50" x14ac:dyDescent="0.25">
      <c r="A248" s="20">
        <v>787</v>
      </c>
      <c r="B248">
        <v>1</v>
      </c>
      <c r="C248" s="23" t="s">
        <v>363</v>
      </c>
      <c r="D248" s="23">
        <v>6</v>
      </c>
      <c r="E248" s="15">
        <f>+SUMIF('GE16FEB14 Unfudged'!$A$2:$A$498, $A248, 'GE16FEB14 Unfudged'!$D$2:$D$498)</f>
        <v>396</v>
      </c>
      <c r="F248" s="15">
        <f>+SUMIF('GE16FEB14 Unfudged'!$A$2:$A$498, 'Tax Bill Summary'!$A248, 'GE16FEB14 Unfudged'!E$2:E$498)</f>
        <v>57053</v>
      </c>
      <c r="G248" s="13">
        <f>+SUMIF('GE16FEB14 Unfudged'!$A$2:$A$498, 'Tax Bill Summary'!$A248, 'GE16FEB14 Unfudged'!F$2:F$498)</f>
        <v>46004</v>
      </c>
      <c r="H248" s="56">
        <f t="shared" si="155"/>
        <v>11049</v>
      </c>
      <c r="I248" s="51">
        <f>+SUMIF('GE16FEB14 Unfudged'!$A$2:$A$498, 'Tax Bill Summary'!$A248, 'GE16FEB14 Unfudged'!G$2:G$498)</f>
        <v>0</v>
      </c>
      <c r="J248" s="13">
        <f>+SUMIF('GE16FEB14 Unfudged'!$A$2:$A$498, 'Tax Bill Summary'!$A248, 'GE16FEB14 Unfudged'!H$2:H$498)</f>
        <v>0</v>
      </c>
      <c r="K248" s="56">
        <f t="shared" si="156"/>
        <v>0</v>
      </c>
      <c r="L248" s="51">
        <f>+SUMIF('GE16FEB14 Unfudged'!$A$2:$A$498, 'Tax Bill Summary'!$A248, 'GE16FEB14 Unfudged'!I$2:IF$498)</f>
        <v>118860</v>
      </c>
      <c r="M248" s="13">
        <f>+SUMIF('GE16FEB14 Unfudged'!$A$2:$A$498, 'Tax Bill Summary'!$A248, 'GE16FEB14 Unfudged'!J$2:IG$498)</f>
        <v>39722</v>
      </c>
      <c r="N248" s="56">
        <f t="shared" si="157"/>
        <v>79138</v>
      </c>
      <c r="O248" s="51">
        <f t="shared" si="158"/>
        <v>175913</v>
      </c>
      <c r="P248" s="13">
        <f t="shared" si="159"/>
        <v>85726</v>
      </c>
      <c r="Q248" s="56">
        <f t="shared" si="160"/>
        <v>90187</v>
      </c>
      <c r="R248" s="13">
        <f t="shared" si="161"/>
        <v>444.22474747474746</v>
      </c>
      <c r="S248" s="13">
        <f t="shared" si="162"/>
        <v>216.47979797979798</v>
      </c>
      <c r="T248" s="16">
        <f t="shared" si="163"/>
        <v>227.74494949494951</v>
      </c>
      <c r="U248" s="15">
        <f>+SUMIF('GE16FEB14 Tax Bill Unfudged'!$A$2:$A$498, 'Tax Bill Summary'!$A248, 'GE16FEB14 Tax Bill Unfudged'!E$2:E$498)</f>
        <v>57053</v>
      </c>
      <c r="V248" s="13">
        <f>+SUMIF('GE16FEB14 Tax Bill Unfudged'!$A$2:$A$498, 'Tax Bill Summary'!$A248, 'GE16FEB14 Tax Bill Unfudged'!F$2:F$498)</f>
        <v>46004</v>
      </c>
      <c r="W248" s="56">
        <f t="shared" si="164"/>
        <v>11049</v>
      </c>
      <c r="X248" s="51">
        <f>+SUMIF('GE16FEB14 Tax Bill Unfudged'!$A$2:$A$498, 'Tax Bill Summary'!$A248, 'GE16FEB14 Tax Bill Unfudged'!G$2:G$498)</f>
        <v>167989</v>
      </c>
      <c r="Y248" s="13">
        <f>+SUMIF('GE16FEB14 Tax Bill Unfudged'!$A$2:$A$498, 'Tax Bill Summary'!$A248, 'GE16FEB14 Tax Bill Unfudged'!H$2:H$498)</f>
        <v>135457</v>
      </c>
      <c r="Z248" s="56">
        <f t="shared" si="165"/>
        <v>32532</v>
      </c>
      <c r="AA248" s="51">
        <f>+SUMIF('GE16FEB14 Tax Bill Unfudged'!$A$2:$A$498, 'Tax Bill Summary'!$A248, 'GE16FEB14 Tax Bill Unfudged'!I$2:I$498)</f>
        <v>118860</v>
      </c>
      <c r="AB248" s="13">
        <f>+SUMIF('GE16FEB14 Tax Bill Unfudged'!$A$2:$A$498, 'Tax Bill Summary'!$A248, 'GE16FEB14 Tax Bill Unfudged'!J$2:J$498)</f>
        <v>55545</v>
      </c>
      <c r="AC248" s="56">
        <f t="shared" si="166"/>
        <v>63315</v>
      </c>
      <c r="AD248" s="51">
        <f t="shared" si="167"/>
        <v>343902</v>
      </c>
      <c r="AE248" s="13">
        <f t="shared" si="168"/>
        <v>237006</v>
      </c>
      <c r="AF248" s="56">
        <f t="shared" si="169"/>
        <v>106896</v>
      </c>
      <c r="AG248" s="13">
        <f t="shared" si="170"/>
        <v>868.43939393939399</v>
      </c>
      <c r="AH248" s="13">
        <f t="shared" si="171"/>
        <v>598.5</v>
      </c>
      <c r="AI248" s="16">
        <f t="shared" si="172"/>
        <v>269.93939393939394</v>
      </c>
      <c r="AJ248" s="15">
        <f t="shared" si="173"/>
        <v>0</v>
      </c>
      <c r="AK248" s="13">
        <f t="shared" si="174"/>
        <v>0</v>
      </c>
      <c r="AL248" s="56">
        <f t="shared" si="175"/>
        <v>0</v>
      </c>
      <c r="AM248" s="51">
        <f t="shared" si="176"/>
        <v>167989</v>
      </c>
      <c r="AN248" s="13">
        <f t="shared" si="177"/>
        <v>135457</v>
      </c>
      <c r="AO248" s="56">
        <f t="shared" si="178"/>
        <v>32532</v>
      </c>
      <c r="AP248" s="51">
        <f t="shared" si="179"/>
        <v>0</v>
      </c>
      <c r="AQ248" s="13">
        <f t="shared" si="180"/>
        <v>15823</v>
      </c>
      <c r="AR248" s="56">
        <f t="shared" si="181"/>
        <v>-15823</v>
      </c>
      <c r="AS248" s="51">
        <f t="shared" si="182"/>
        <v>167989</v>
      </c>
      <c r="AT248" s="13">
        <f t="shared" si="183"/>
        <v>151280</v>
      </c>
      <c r="AU248" s="56">
        <f t="shared" si="184"/>
        <v>16709</v>
      </c>
      <c r="AV248" s="13">
        <f t="shared" si="185"/>
        <v>424.21464646464653</v>
      </c>
      <c r="AW248" s="13">
        <f t="shared" si="186"/>
        <v>382.02020202020202</v>
      </c>
      <c r="AX248" s="16">
        <f t="shared" si="187"/>
        <v>42.194444444444429</v>
      </c>
    </row>
    <row r="249" spans="1:50" x14ac:dyDescent="0.25">
      <c r="A249" s="20">
        <v>801</v>
      </c>
      <c r="B249">
        <v>1</v>
      </c>
      <c r="C249" s="23" t="s">
        <v>364</v>
      </c>
      <c r="D249" s="23">
        <v>6</v>
      </c>
      <c r="E249" s="15">
        <f>+SUMIF('GE16FEB14 Unfudged'!$A$2:$A$498, $A249, 'GE16FEB14 Unfudged'!$D$2:$D$498)</f>
        <v>104</v>
      </c>
      <c r="F249" s="15">
        <f>+SUMIF('GE16FEB14 Unfudged'!$A$2:$A$498, 'Tax Bill Summary'!$A249, 'GE16FEB14 Unfudged'!E$2:E$498)</f>
        <v>9230</v>
      </c>
      <c r="G249" s="13">
        <f>+SUMIF('GE16FEB14 Unfudged'!$A$2:$A$498, 'Tax Bill Summary'!$A249, 'GE16FEB14 Unfudged'!F$2:F$498)</f>
        <v>3654</v>
      </c>
      <c r="H249" s="56">
        <f t="shared" si="155"/>
        <v>5576</v>
      </c>
      <c r="I249" s="51">
        <f>+SUMIF('GE16FEB14 Unfudged'!$A$2:$A$498, 'Tax Bill Summary'!$A249, 'GE16FEB14 Unfudged'!G$2:G$498)</f>
        <v>0</v>
      </c>
      <c r="J249" s="13">
        <f>+SUMIF('GE16FEB14 Unfudged'!$A$2:$A$498, 'Tax Bill Summary'!$A249, 'GE16FEB14 Unfudged'!H$2:H$498)</f>
        <v>0</v>
      </c>
      <c r="K249" s="56">
        <f t="shared" si="156"/>
        <v>0</v>
      </c>
      <c r="L249" s="51">
        <f>+SUMIF('GE16FEB14 Unfudged'!$A$2:$A$498, 'Tax Bill Summary'!$A249, 'GE16FEB14 Unfudged'!I$2:IF$498)</f>
        <v>156543</v>
      </c>
      <c r="M249" s="13">
        <f>+SUMIF('GE16FEB14 Unfudged'!$A$2:$A$498, 'Tax Bill Summary'!$A249, 'GE16FEB14 Unfudged'!J$2:IG$498)</f>
        <v>80049</v>
      </c>
      <c r="N249" s="56">
        <f t="shared" si="157"/>
        <v>76494</v>
      </c>
      <c r="O249" s="51">
        <f t="shared" si="158"/>
        <v>165773</v>
      </c>
      <c r="P249" s="13">
        <f t="shared" si="159"/>
        <v>83703</v>
      </c>
      <c r="Q249" s="56">
        <f t="shared" si="160"/>
        <v>82070</v>
      </c>
      <c r="R249" s="13">
        <f t="shared" si="161"/>
        <v>1593.9711538461538</v>
      </c>
      <c r="S249" s="13">
        <f t="shared" si="162"/>
        <v>804.83653846153845</v>
      </c>
      <c r="T249" s="16">
        <f t="shared" si="163"/>
        <v>789.13461538461536</v>
      </c>
      <c r="U249" s="15">
        <f>+SUMIF('GE16FEB14 Tax Bill Unfudged'!$A$2:$A$498, 'Tax Bill Summary'!$A249, 'GE16FEB14 Tax Bill Unfudged'!E$2:E$498)</f>
        <v>10056</v>
      </c>
      <c r="V249" s="13">
        <f>+SUMIF('GE16FEB14 Tax Bill Unfudged'!$A$2:$A$498, 'Tax Bill Summary'!$A249, 'GE16FEB14 Tax Bill Unfudged'!F$2:F$498)</f>
        <v>3981</v>
      </c>
      <c r="W249" s="56">
        <f t="shared" si="164"/>
        <v>6075</v>
      </c>
      <c r="X249" s="51">
        <f>+SUMIF('GE16FEB14 Tax Bill Unfudged'!$A$2:$A$498, 'Tax Bill Summary'!$A249, 'GE16FEB14 Tax Bill Unfudged'!G$2:G$498)</f>
        <v>44096</v>
      </c>
      <c r="Y249" s="13">
        <f>+SUMIF('GE16FEB14 Tax Bill Unfudged'!$A$2:$A$498, 'Tax Bill Summary'!$A249, 'GE16FEB14 Tax Bill Unfudged'!H$2:H$498)</f>
        <v>17455</v>
      </c>
      <c r="Z249" s="56">
        <f t="shared" si="165"/>
        <v>26641</v>
      </c>
      <c r="AA249" s="51">
        <f>+SUMIF('GE16FEB14 Tax Bill Unfudged'!$A$2:$A$498, 'Tax Bill Summary'!$A249, 'GE16FEB14 Tax Bill Unfudged'!I$2:I$498)</f>
        <v>112447</v>
      </c>
      <c r="AB249" s="13">
        <f>+SUMIF('GE16FEB14 Tax Bill Unfudged'!$A$2:$A$498, 'Tax Bill Summary'!$A249, 'GE16FEB14 Tax Bill Unfudged'!J$2:J$498)</f>
        <v>49351</v>
      </c>
      <c r="AC249" s="56">
        <f t="shared" si="166"/>
        <v>63096</v>
      </c>
      <c r="AD249" s="51">
        <f t="shared" si="167"/>
        <v>166599</v>
      </c>
      <c r="AE249" s="13">
        <f t="shared" si="168"/>
        <v>70787</v>
      </c>
      <c r="AF249" s="56">
        <f t="shared" si="169"/>
        <v>95812</v>
      </c>
      <c r="AG249" s="13">
        <f t="shared" si="170"/>
        <v>1601.9134615384614</v>
      </c>
      <c r="AH249" s="13">
        <f t="shared" si="171"/>
        <v>680.64423076923072</v>
      </c>
      <c r="AI249" s="16">
        <f t="shared" si="172"/>
        <v>921.26923076923072</v>
      </c>
      <c r="AJ249" s="15">
        <f t="shared" si="173"/>
        <v>826</v>
      </c>
      <c r="AK249" s="13">
        <f t="shared" si="174"/>
        <v>327</v>
      </c>
      <c r="AL249" s="56">
        <f t="shared" si="175"/>
        <v>499</v>
      </c>
      <c r="AM249" s="51">
        <f t="shared" si="176"/>
        <v>44096</v>
      </c>
      <c r="AN249" s="13">
        <f t="shared" si="177"/>
        <v>17455</v>
      </c>
      <c r="AO249" s="56">
        <f t="shared" si="178"/>
        <v>26641</v>
      </c>
      <c r="AP249" s="51">
        <f t="shared" si="179"/>
        <v>-44096</v>
      </c>
      <c r="AQ249" s="13">
        <f t="shared" si="180"/>
        <v>-30698</v>
      </c>
      <c r="AR249" s="56">
        <f t="shared" si="181"/>
        <v>-13398</v>
      </c>
      <c r="AS249" s="51">
        <f t="shared" si="182"/>
        <v>826</v>
      </c>
      <c r="AT249" s="13">
        <f t="shared" si="183"/>
        <v>-12916</v>
      </c>
      <c r="AU249" s="56">
        <f t="shared" si="184"/>
        <v>13742</v>
      </c>
      <c r="AV249" s="13">
        <f t="shared" si="185"/>
        <v>7.9423076923076223</v>
      </c>
      <c r="AW249" s="13">
        <f t="shared" si="186"/>
        <v>-124.19230769230774</v>
      </c>
      <c r="AX249" s="16">
        <f t="shared" si="187"/>
        <v>132.13461538461536</v>
      </c>
    </row>
    <row r="250" spans="1:50" x14ac:dyDescent="0.25">
      <c r="A250" s="20">
        <v>803</v>
      </c>
      <c r="B250">
        <v>1</v>
      </c>
      <c r="C250" s="23" t="s">
        <v>365</v>
      </c>
      <c r="D250" s="23">
        <v>6</v>
      </c>
      <c r="E250" s="15">
        <f>+SUMIF('GE16FEB14 Unfudged'!$A$2:$A$498, $A250, 'GE16FEB14 Unfudged'!$D$2:$D$498)</f>
        <v>366</v>
      </c>
      <c r="F250" s="15">
        <f>+SUMIF('GE16FEB14 Unfudged'!$A$2:$A$498, 'Tax Bill Summary'!$A250, 'GE16FEB14 Unfudged'!E$2:E$498)</f>
        <v>30973</v>
      </c>
      <c r="G250" s="13">
        <f>+SUMIF('GE16FEB14 Unfudged'!$A$2:$A$498, 'Tax Bill Summary'!$A250, 'GE16FEB14 Unfudged'!F$2:F$498)</f>
        <v>15479</v>
      </c>
      <c r="H250" s="56">
        <f t="shared" si="155"/>
        <v>15494</v>
      </c>
      <c r="I250" s="51">
        <f>+SUMIF('GE16FEB14 Unfudged'!$A$2:$A$498, 'Tax Bill Summary'!$A250, 'GE16FEB14 Unfudged'!G$2:G$498)</f>
        <v>0</v>
      </c>
      <c r="J250" s="13">
        <f>+SUMIF('GE16FEB14 Unfudged'!$A$2:$A$498, 'Tax Bill Summary'!$A250, 'GE16FEB14 Unfudged'!H$2:H$498)</f>
        <v>0</v>
      </c>
      <c r="K250" s="56">
        <f t="shared" si="156"/>
        <v>0</v>
      </c>
      <c r="L250" s="51">
        <f>+SUMIF('GE16FEB14 Unfudged'!$A$2:$A$498, 'Tax Bill Summary'!$A250, 'GE16FEB14 Unfudged'!I$2:IF$498)</f>
        <v>582776</v>
      </c>
      <c r="M250" s="13">
        <f>+SUMIF('GE16FEB14 Unfudged'!$A$2:$A$498, 'Tax Bill Summary'!$A250, 'GE16FEB14 Unfudged'!J$2:IG$498)</f>
        <v>383777</v>
      </c>
      <c r="N250" s="56">
        <f t="shared" si="157"/>
        <v>198999</v>
      </c>
      <c r="O250" s="51">
        <f t="shared" si="158"/>
        <v>613749</v>
      </c>
      <c r="P250" s="13">
        <f t="shared" si="159"/>
        <v>399256</v>
      </c>
      <c r="Q250" s="56">
        <f t="shared" si="160"/>
        <v>214493</v>
      </c>
      <c r="R250" s="13">
        <f t="shared" si="161"/>
        <v>1676.9098360655737</v>
      </c>
      <c r="S250" s="13">
        <f t="shared" si="162"/>
        <v>1090.8633879781421</v>
      </c>
      <c r="T250" s="16">
        <f t="shared" si="163"/>
        <v>586.04644808743171</v>
      </c>
      <c r="U250" s="15">
        <f>+SUMIF('GE16FEB14 Tax Bill Unfudged'!$A$2:$A$498, 'Tax Bill Summary'!$A250, 'GE16FEB14 Tax Bill Unfudged'!E$2:E$498)</f>
        <v>33402</v>
      </c>
      <c r="V250" s="13">
        <f>+SUMIF('GE16FEB14 Tax Bill Unfudged'!$A$2:$A$498, 'Tax Bill Summary'!$A250, 'GE16FEB14 Tax Bill Unfudged'!F$2:F$498)</f>
        <v>16693</v>
      </c>
      <c r="W250" s="56">
        <f t="shared" si="164"/>
        <v>16709</v>
      </c>
      <c r="X250" s="51">
        <f>+SUMIF('GE16FEB14 Tax Bill Unfudged'!$A$2:$A$498, 'Tax Bill Summary'!$A250, 'GE16FEB14 Tax Bill Unfudged'!G$2:G$498)</f>
        <v>155057</v>
      </c>
      <c r="Y250" s="13">
        <f>+SUMIF('GE16FEB14 Tax Bill Unfudged'!$A$2:$A$498, 'Tax Bill Summary'!$A250, 'GE16FEB14 Tax Bill Unfudged'!H$2:H$498)</f>
        <v>77493</v>
      </c>
      <c r="Z250" s="56">
        <f t="shared" si="165"/>
        <v>77564</v>
      </c>
      <c r="AA250" s="51">
        <f>+SUMIF('GE16FEB14 Tax Bill Unfudged'!$A$2:$A$498, 'Tax Bill Summary'!$A250, 'GE16FEB14 Tax Bill Unfudged'!I$2:I$498)</f>
        <v>427719</v>
      </c>
      <c r="AB250" s="13">
        <f>+SUMIF('GE16FEB14 Tax Bill Unfudged'!$A$2:$A$498, 'Tax Bill Summary'!$A250, 'GE16FEB14 Tax Bill Unfudged'!J$2:J$498)</f>
        <v>247496</v>
      </c>
      <c r="AC250" s="56">
        <f t="shared" si="166"/>
        <v>180223</v>
      </c>
      <c r="AD250" s="51">
        <f t="shared" si="167"/>
        <v>616178</v>
      </c>
      <c r="AE250" s="13">
        <f t="shared" si="168"/>
        <v>341682</v>
      </c>
      <c r="AF250" s="56">
        <f t="shared" si="169"/>
        <v>274496</v>
      </c>
      <c r="AG250" s="13">
        <f t="shared" si="170"/>
        <v>1683.5464480874316</v>
      </c>
      <c r="AH250" s="13">
        <f t="shared" si="171"/>
        <v>933.55737704918033</v>
      </c>
      <c r="AI250" s="16">
        <f t="shared" si="172"/>
        <v>749.98907103825138</v>
      </c>
      <c r="AJ250" s="15">
        <f t="shared" si="173"/>
        <v>2429</v>
      </c>
      <c r="AK250" s="13">
        <f t="shared" si="174"/>
        <v>1214</v>
      </c>
      <c r="AL250" s="56">
        <f t="shared" si="175"/>
        <v>1215</v>
      </c>
      <c r="AM250" s="51">
        <f t="shared" si="176"/>
        <v>155057</v>
      </c>
      <c r="AN250" s="13">
        <f t="shared" si="177"/>
        <v>77493</v>
      </c>
      <c r="AO250" s="56">
        <f t="shared" si="178"/>
        <v>77564</v>
      </c>
      <c r="AP250" s="51">
        <f t="shared" si="179"/>
        <v>-155057</v>
      </c>
      <c r="AQ250" s="13">
        <f t="shared" si="180"/>
        <v>-136281</v>
      </c>
      <c r="AR250" s="56">
        <f t="shared" si="181"/>
        <v>-18776</v>
      </c>
      <c r="AS250" s="51">
        <f t="shared" si="182"/>
        <v>2429</v>
      </c>
      <c r="AT250" s="13">
        <f t="shared" si="183"/>
        <v>-57574</v>
      </c>
      <c r="AU250" s="56">
        <f t="shared" si="184"/>
        <v>60003</v>
      </c>
      <c r="AV250" s="13">
        <f t="shared" si="185"/>
        <v>6.6366120218578999</v>
      </c>
      <c r="AW250" s="13">
        <f t="shared" si="186"/>
        <v>-157.30601092896177</v>
      </c>
      <c r="AX250" s="16">
        <f t="shared" si="187"/>
        <v>163.94262295081967</v>
      </c>
    </row>
    <row r="251" spans="1:50" x14ac:dyDescent="0.25">
      <c r="A251" s="20">
        <v>811</v>
      </c>
      <c r="B251">
        <v>1</v>
      </c>
      <c r="C251" s="23" t="s">
        <v>366</v>
      </c>
      <c r="D251" s="23">
        <v>6</v>
      </c>
      <c r="E251" s="15">
        <f>+SUMIF('GE16FEB14 Unfudged'!$A$2:$A$498, $A251, 'GE16FEB14 Unfudged'!$D$2:$D$498)</f>
        <v>629</v>
      </c>
      <c r="F251" s="15">
        <f>+SUMIF('GE16FEB14 Unfudged'!$A$2:$A$498, 'Tax Bill Summary'!$A251, 'GE16FEB14 Unfudged'!E$2:E$498)</f>
        <v>66450</v>
      </c>
      <c r="G251" s="13">
        <f>+SUMIF('GE16FEB14 Unfudged'!$A$2:$A$498, 'Tax Bill Summary'!$A251, 'GE16FEB14 Unfudged'!F$2:F$498)</f>
        <v>66450</v>
      </c>
      <c r="H251" s="56">
        <f t="shared" si="155"/>
        <v>0</v>
      </c>
      <c r="I251" s="51">
        <f>+SUMIF('GE16FEB14 Unfudged'!$A$2:$A$498, 'Tax Bill Summary'!$A251, 'GE16FEB14 Unfudged'!G$2:G$498)</f>
        <v>0</v>
      </c>
      <c r="J251" s="13">
        <f>+SUMIF('GE16FEB14 Unfudged'!$A$2:$A$498, 'Tax Bill Summary'!$A251, 'GE16FEB14 Unfudged'!H$2:H$498)</f>
        <v>0</v>
      </c>
      <c r="K251" s="56">
        <f t="shared" si="156"/>
        <v>0</v>
      </c>
      <c r="L251" s="51">
        <f>+SUMIF('GE16FEB14 Unfudged'!$A$2:$A$498, 'Tax Bill Summary'!$A251, 'GE16FEB14 Unfudged'!I$2:IF$498)</f>
        <v>715633</v>
      </c>
      <c r="M251" s="13">
        <f>+SUMIF('GE16FEB14 Unfudged'!$A$2:$A$498, 'Tax Bill Summary'!$A251, 'GE16FEB14 Unfudged'!J$2:IG$498)</f>
        <v>663235</v>
      </c>
      <c r="N251" s="56">
        <f t="shared" si="157"/>
        <v>52398</v>
      </c>
      <c r="O251" s="51">
        <f t="shared" si="158"/>
        <v>782083</v>
      </c>
      <c r="P251" s="13">
        <f t="shared" si="159"/>
        <v>729685</v>
      </c>
      <c r="Q251" s="56">
        <f t="shared" si="160"/>
        <v>52398</v>
      </c>
      <c r="R251" s="13">
        <f t="shared" si="161"/>
        <v>1243.3751987281398</v>
      </c>
      <c r="S251" s="13">
        <f t="shared" si="162"/>
        <v>1160.0715421303657</v>
      </c>
      <c r="T251" s="16">
        <f t="shared" si="163"/>
        <v>83.30365659777425</v>
      </c>
      <c r="U251" s="15">
        <f>+SUMIF('GE16FEB14 Tax Bill Unfudged'!$A$2:$A$498, 'Tax Bill Summary'!$A251, 'GE16FEB14 Tax Bill Unfudged'!E$2:E$498)</f>
        <v>74853</v>
      </c>
      <c r="V251" s="13">
        <f>+SUMIF('GE16FEB14 Tax Bill Unfudged'!$A$2:$A$498, 'Tax Bill Summary'!$A251, 'GE16FEB14 Tax Bill Unfudged'!F$2:F$498)</f>
        <v>74853</v>
      </c>
      <c r="W251" s="56">
        <f t="shared" si="164"/>
        <v>0</v>
      </c>
      <c r="X251" s="51">
        <f>+SUMIF('GE16FEB14 Tax Bill Unfudged'!$A$2:$A$498, 'Tax Bill Summary'!$A251, 'GE16FEB14 Tax Bill Unfudged'!G$2:G$498)</f>
        <v>266781</v>
      </c>
      <c r="Y251" s="13">
        <f>+SUMIF('GE16FEB14 Tax Bill Unfudged'!$A$2:$A$498, 'Tax Bill Summary'!$A251, 'GE16FEB14 Tax Bill Unfudged'!H$2:H$498)</f>
        <v>266781</v>
      </c>
      <c r="Z251" s="56">
        <f t="shared" si="165"/>
        <v>0</v>
      </c>
      <c r="AA251" s="51">
        <f>+SUMIF('GE16FEB14 Tax Bill Unfudged'!$A$2:$A$498, 'Tax Bill Summary'!$A251, 'GE16FEB14 Tax Bill Unfudged'!I$2:I$498)</f>
        <v>448852</v>
      </c>
      <c r="AB251" s="13">
        <f>+SUMIF('GE16FEB14 Tax Bill Unfudged'!$A$2:$A$498, 'Tax Bill Summary'!$A251, 'GE16FEB14 Tax Bill Unfudged'!J$2:J$498)</f>
        <v>396454</v>
      </c>
      <c r="AC251" s="56">
        <f t="shared" si="166"/>
        <v>52398</v>
      </c>
      <c r="AD251" s="51">
        <f t="shared" si="167"/>
        <v>790486</v>
      </c>
      <c r="AE251" s="13">
        <f t="shared" si="168"/>
        <v>738088</v>
      </c>
      <c r="AF251" s="56">
        <f t="shared" si="169"/>
        <v>52398</v>
      </c>
      <c r="AG251" s="13">
        <f t="shared" si="170"/>
        <v>1256.7344992050873</v>
      </c>
      <c r="AH251" s="13">
        <f t="shared" si="171"/>
        <v>1173.4308426073133</v>
      </c>
      <c r="AI251" s="16">
        <f t="shared" si="172"/>
        <v>83.30365659777425</v>
      </c>
      <c r="AJ251" s="15">
        <f t="shared" si="173"/>
        <v>8403</v>
      </c>
      <c r="AK251" s="13">
        <f t="shared" si="174"/>
        <v>8403</v>
      </c>
      <c r="AL251" s="56">
        <f t="shared" si="175"/>
        <v>0</v>
      </c>
      <c r="AM251" s="51">
        <f t="shared" si="176"/>
        <v>266781</v>
      </c>
      <c r="AN251" s="13">
        <f t="shared" si="177"/>
        <v>266781</v>
      </c>
      <c r="AO251" s="56">
        <f t="shared" si="178"/>
        <v>0</v>
      </c>
      <c r="AP251" s="51">
        <f t="shared" si="179"/>
        <v>-266781</v>
      </c>
      <c r="AQ251" s="13">
        <f t="shared" si="180"/>
        <v>-266781</v>
      </c>
      <c r="AR251" s="56">
        <f t="shared" si="181"/>
        <v>0</v>
      </c>
      <c r="AS251" s="51">
        <f t="shared" si="182"/>
        <v>8403</v>
      </c>
      <c r="AT251" s="13">
        <f t="shared" si="183"/>
        <v>8403</v>
      </c>
      <c r="AU251" s="56">
        <f t="shared" si="184"/>
        <v>0</v>
      </c>
      <c r="AV251" s="13">
        <f t="shared" si="185"/>
        <v>13.35930047694751</v>
      </c>
      <c r="AW251" s="13">
        <f t="shared" si="186"/>
        <v>13.35930047694751</v>
      </c>
      <c r="AX251" s="16">
        <f t="shared" si="187"/>
        <v>0</v>
      </c>
    </row>
    <row r="252" spans="1:50" x14ac:dyDescent="0.25">
      <c r="A252" s="20">
        <v>813</v>
      </c>
      <c r="B252">
        <v>1</v>
      </c>
      <c r="C252" s="23" t="s">
        <v>367</v>
      </c>
      <c r="D252" s="23">
        <v>5</v>
      </c>
      <c r="E252" s="15">
        <f>+SUMIF('GE16FEB14 Unfudged'!$A$2:$A$498, $A252, 'GE16FEB14 Unfudged'!$D$2:$D$498)</f>
        <v>1314</v>
      </c>
      <c r="F252" s="15">
        <f>+SUMIF('GE16FEB14 Unfudged'!$A$2:$A$498, 'Tax Bill Summary'!$A252, 'GE16FEB14 Unfudged'!E$2:E$498)</f>
        <v>147863</v>
      </c>
      <c r="G252" s="13">
        <f>+SUMIF('GE16FEB14 Unfudged'!$A$2:$A$498, 'Tax Bill Summary'!$A252, 'GE16FEB14 Unfudged'!F$2:F$498)</f>
        <v>147863</v>
      </c>
      <c r="H252" s="56">
        <f t="shared" si="155"/>
        <v>0</v>
      </c>
      <c r="I252" s="51">
        <f>+SUMIF('GE16FEB14 Unfudged'!$A$2:$A$498, 'Tax Bill Summary'!$A252, 'GE16FEB14 Unfudged'!G$2:G$498)</f>
        <v>0</v>
      </c>
      <c r="J252" s="13">
        <f>+SUMIF('GE16FEB14 Unfudged'!$A$2:$A$498, 'Tax Bill Summary'!$A252, 'GE16FEB14 Unfudged'!H$2:H$498)</f>
        <v>0</v>
      </c>
      <c r="K252" s="56">
        <f t="shared" si="156"/>
        <v>0</v>
      </c>
      <c r="L252" s="51">
        <f>+SUMIF('GE16FEB14 Unfudged'!$A$2:$A$498, 'Tax Bill Summary'!$A252, 'GE16FEB14 Unfudged'!I$2:IF$498)</f>
        <v>1297227</v>
      </c>
      <c r="M252" s="13">
        <f>+SUMIF('GE16FEB14 Unfudged'!$A$2:$A$498, 'Tax Bill Summary'!$A252, 'GE16FEB14 Unfudged'!J$2:IG$498)</f>
        <v>1141834</v>
      </c>
      <c r="N252" s="56">
        <f t="shared" si="157"/>
        <v>155393</v>
      </c>
      <c r="O252" s="51">
        <f t="shared" si="158"/>
        <v>1445090</v>
      </c>
      <c r="P252" s="13">
        <f t="shared" si="159"/>
        <v>1289697</v>
      </c>
      <c r="Q252" s="56">
        <f t="shared" si="160"/>
        <v>155393</v>
      </c>
      <c r="R252" s="13">
        <f t="shared" si="161"/>
        <v>1099.7640791476408</v>
      </c>
      <c r="S252" s="13">
        <f t="shared" si="162"/>
        <v>981.50456621004571</v>
      </c>
      <c r="T252" s="16">
        <f t="shared" si="163"/>
        <v>118.25951293759513</v>
      </c>
      <c r="U252" s="15">
        <f>+SUMIF('GE16FEB14 Tax Bill Unfudged'!$A$2:$A$498, 'Tax Bill Summary'!$A252, 'GE16FEB14 Tax Bill Unfudged'!E$2:E$498)</f>
        <v>168325</v>
      </c>
      <c r="V252" s="13">
        <f>+SUMIF('GE16FEB14 Tax Bill Unfudged'!$A$2:$A$498, 'Tax Bill Summary'!$A252, 'GE16FEB14 Tax Bill Unfudged'!F$2:F$498)</f>
        <v>168325</v>
      </c>
      <c r="W252" s="56">
        <f t="shared" si="164"/>
        <v>0</v>
      </c>
      <c r="X252" s="51">
        <f>+SUMIF('GE16FEB14 Tax Bill Unfudged'!$A$2:$A$498, 'Tax Bill Summary'!$A252, 'GE16FEB14 Tax Bill Unfudged'!G$2:G$498)</f>
        <v>557263</v>
      </c>
      <c r="Y252" s="13">
        <f>+SUMIF('GE16FEB14 Tax Bill Unfudged'!$A$2:$A$498, 'Tax Bill Summary'!$A252, 'GE16FEB14 Tax Bill Unfudged'!H$2:H$498)</f>
        <v>557263</v>
      </c>
      <c r="Z252" s="56">
        <f t="shared" si="165"/>
        <v>0</v>
      </c>
      <c r="AA252" s="51">
        <f>+SUMIF('GE16FEB14 Tax Bill Unfudged'!$A$2:$A$498, 'Tax Bill Summary'!$A252, 'GE16FEB14 Tax Bill Unfudged'!I$2:I$498)</f>
        <v>739964</v>
      </c>
      <c r="AB252" s="13">
        <f>+SUMIF('GE16FEB14 Tax Bill Unfudged'!$A$2:$A$498, 'Tax Bill Summary'!$A252, 'GE16FEB14 Tax Bill Unfudged'!J$2:J$498)</f>
        <v>584571</v>
      </c>
      <c r="AC252" s="56">
        <f t="shared" si="166"/>
        <v>155393</v>
      </c>
      <c r="AD252" s="51">
        <f t="shared" si="167"/>
        <v>1465552</v>
      </c>
      <c r="AE252" s="13">
        <f t="shared" si="168"/>
        <v>1310159</v>
      </c>
      <c r="AF252" s="56">
        <f t="shared" si="169"/>
        <v>155393</v>
      </c>
      <c r="AG252" s="13">
        <f t="shared" si="170"/>
        <v>1115.3363774733639</v>
      </c>
      <c r="AH252" s="13">
        <f t="shared" si="171"/>
        <v>997.07686453576866</v>
      </c>
      <c r="AI252" s="16">
        <f t="shared" si="172"/>
        <v>118.25951293759513</v>
      </c>
      <c r="AJ252" s="15">
        <f t="shared" si="173"/>
        <v>20462</v>
      </c>
      <c r="AK252" s="13">
        <f t="shared" si="174"/>
        <v>20462</v>
      </c>
      <c r="AL252" s="56">
        <f t="shared" si="175"/>
        <v>0</v>
      </c>
      <c r="AM252" s="51">
        <f t="shared" si="176"/>
        <v>557263</v>
      </c>
      <c r="AN252" s="13">
        <f t="shared" si="177"/>
        <v>557263</v>
      </c>
      <c r="AO252" s="56">
        <f t="shared" si="178"/>
        <v>0</v>
      </c>
      <c r="AP252" s="51">
        <f t="shared" si="179"/>
        <v>-557263</v>
      </c>
      <c r="AQ252" s="13">
        <f t="shared" si="180"/>
        <v>-557263</v>
      </c>
      <c r="AR252" s="56">
        <f t="shared" si="181"/>
        <v>0</v>
      </c>
      <c r="AS252" s="51">
        <f t="shared" si="182"/>
        <v>20462</v>
      </c>
      <c r="AT252" s="13">
        <f t="shared" si="183"/>
        <v>20462</v>
      </c>
      <c r="AU252" s="56">
        <f t="shared" si="184"/>
        <v>0</v>
      </c>
      <c r="AV252" s="13">
        <f t="shared" si="185"/>
        <v>15.572298325723068</v>
      </c>
      <c r="AW252" s="13">
        <f t="shared" si="186"/>
        <v>15.572298325722954</v>
      </c>
      <c r="AX252" s="16">
        <f t="shared" si="187"/>
        <v>0</v>
      </c>
    </row>
    <row r="253" spans="1:50" x14ac:dyDescent="0.25">
      <c r="A253" s="20">
        <v>815</v>
      </c>
      <c r="B253">
        <v>1</v>
      </c>
      <c r="C253" s="23" t="s">
        <v>368</v>
      </c>
      <c r="D253" s="23">
        <v>6</v>
      </c>
      <c r="E253" s="15">
        <f>+SUMIF('GE16FEB14 Unfudged'!$A$2:$A$498, $A253, 'GE16FEB14 Unfudged'!$D$2:$D$498)</f>
        <v>0</v>
      </c>
      <c r="F253" s="15">
        <f>+SUMIF('GE16FEB14 Unfudged'!$A$2:$A$498, 'Tax Bill Summary'!$A253, 'GE16FEB14 Unfudged'!E$2:E$498)</f>
        <v>2432</v>
      </c>
      <c r="G253" s="13">
        <f>+SUMIF('GE16FEB14 Unfudged'!$A$2:$A$498, 'Tax Bill Summary'!$A253, 'GE16FEB14 Unfudged'!F$2:F$498)</f>
        <v>2432</v>
      </c>
      <c r="H253" s="56">
        <f t="shared" si="155"/>
        <v>0</v>
      </c>
      <c r="I253" s="51">
        <f>+SUMIF('GE16FEB14 Unfudged'!$A$2:$A$498, 'Tax Bill Summary'!$A253, 'GE16FEB14 Unfudged'!G$2:G$498)</f>
        <v>0</v>
      </c>
      <c r="J253" s="13">
        <f>+SUMIF('GE16FEB14 Unfudged'!$A$2:$A$498, 'Tax Bill Summary'!$A253, 'GE16FEB14 Unfudged'!H$2:H$498)</f>
        <v>0</v>
      </c>
      <c r="K253" s="56">
        <f t="shared" si="156"/>
        <v>0</v>
      </c>
      <c r="L253" s="51">
        <f>+SUMIF('GE16FEB14 Unfudged'!$A$2:$A$498, 'Tax Bill Summary'!$A253, 'GE16FEB14 Unfudged'!I$2:IF$498)</f>
        <v>0</v>
      </c>
      <c r="M253" s="13">
        <f>+SUMIF('GE16FEB14 Unfudged'!$A$2:$A$498, 'Tax Bill Summary'!$A253, 'GE16FEB14 Unfudged'!J$2:IG$498)</f>
        <v>0</v>
      </c>
      <c r="N253" s="56">
        <f t="shared" si="157"/>
        <v>0</v>
      </c>
      <c r="O253" s="51">
        <f t="shared" si="158"/>
        <v>2432</v>
      </c>
      <c r="P253" s="13">
        <f t="shared" si="159"/>
        <v>2432</v>
      </c>
      <c r="Q253" s="56">
        <f t="shared" si="160"/>
        <v>0</v>
      </c>
      <c r="R253" s="13">
        <f t="shared" si="161"/>
        <v>0</v>
      </c>
      <c r="S253" s="13">
        <f t="shared" si="162"/>
        <v>0</v>
      </c>
      <c r="T253" s="16">
        <f t="shared" si="163"/>
        <v>0</v>
      </c>
      <c r="U253" s="15">
        <f>+SUMIF('GE16FEB14 Tax Bill Unfudged'!$A$2:$A$498, 'Tax Bill Summary'!$A253, 'GE16FEB14 Tax Bill Unfudged'!E$2:E$498)</f>
        <v>2195</v>
      </c>
      <c r="V253" s="13">
        <f>+SUMIF('GE16FEB14 Tax Bill Unfudged'!$A$2:$A$498, 'Tax Bill Summary'!$A253, 'GE16FEB14 Tax Bill Unfudged'!F$2:F$498)</f>
        <v>2195</v>
      </c>
      <c r="W253" s="56">
        <f t="shared" si="164"/>
        <v>0</v>
      </c>
      <c r="X253" s="51">
        <f>+SUMIF('GE16FEB14 Tax Bill Unfudged'!$A$2:$A$498, 'Tax Bill Summary'!$A253, 'GE16FEB14 Tax Bill Unfudged'!G$2:G$498)</f>
        <v>0</v>
      </c>
      <c r="Y253" s="13">
        <f>+SUMIF('GE16FEB14 Tax Bill Unfudged'!$A$2:$A$498, 'Tax Bill Summary'!$A253, 'GE16FEB14 Tax Bill Unfudged'!H$2:H$498)</f>
        <v>0</v>
      </c>
      <c r="Z253" s="56">
        <f t="shared" si="165"/>
        <v>0</v>
      </c>
      <c r="AA253" s="51">
        <f>+SUMIF('GE16FEB14 Tax Bill Unfudged'!$A$2:$A$498, 'Tax Bill Summary'!$A253, 'GE16FEB14 Tax Bill Unfudged'!I$2:I$498)</f>
        <v>0</v>
      </c>
      <c r="AB253" s="13">
        <f>+SUMIF('GE16FEB14 Tax Bill Unfudged'!$A$2:$A$498, 'Tax Bill Summary'!$A253, 'GE16FEB14 Tax Bill Unfudged'!J$2:J$498)</f>
        <v>0</v>
      </c>
      <c r="AC253" s="56">
        <f t="shared" si="166"/>
        <v>0</v>
      </c>
      <c r="AD253" s="51">
        <f t="shared" si="167"/>
        <v>2195</v>
      </c>
      <c r="AE253" s="13">
        <f t="shared" si="168"/>
        <v>2195</v>
      </c>
      <c r="AF253" s="56">
        <f t="shared" si="169"/>
        <v>0</v>
      </c>
      <c r="AG253" s="13">
        <f t="shared" si="170"/>
        <v>0</v>
      </c>
      <c r="AH253" s="13">
        <f t="shared" si="171"/>
        <v>0</v>
      </c>
      <c r="AI253" s="16">
        <f t="shared" si="172"/>
        <v>0</v>
      </c>
      <c r="AJ253" s="15">
        <f t="shared" si="173"/>
        <v>-237</v>
      </c>
      <c r="AK253" s="13">
        <f t="shared" si="174"/>
        <v>-237</v>
      </c>
      <c r="AL253" s="56">
        <f t="shared" si="175"/>
        <v>0</v>
      </c>
      <c r="AM253" s="51">
        <f t="shared" si="176"/>
        <v>0</v>
      </c>
      <c r="AN253" s="13">
        <f t="shared" si="177"/>
        <v>0</v>
      </c>
      <c r="AO253" s="56">
        <f t="shared" si="178"/>
        <v>0</v>
      </c>
      <c r="AP253" s="51">
        <f t="shared" si="179"/>
        <v>0</v>
      </c>
      <c r="AQ253" s="13">
        <f t="shared" si="180"/>
        <v>0</v>
      </c>
      <c r="AR253" s="56">
        <f t="shared" si="181"/>
        <v>0</v>
      </c>
      <c r="AS253" s="51">
        <f t="shared" si="182"/>
        <v>-237</v>
      </c>
      <c r="AT253" s="13">
        <f t="shared" si="183"/>
        <v>-237</v>
      </c>
      <c r="AU253" s="56">
        <f t="shared" si="184"/>
        <v>0</v>
      </c>
      <c r="AV253" s="13">
        <f t="shared" si="185"/>
        <v>0</v>
      </c>
      <c r="AW253" s="13">
        <f t="shared" si="186"/>
        <v>0</v>
      </c>
      <c r="AX253" s="16">
        <f t="shared" si="187"/>
        <v>0</v>
      </c>
    </row>
    <row r="254" spans="1:50" x14ac:dyDescent="0.25">
      <c r="A254" s="20">
        <v>818</v>
      </c>
      <c r="B254">
        <v>1</v>
      </c>
      <c r="C254" s="23" t="s">
        <v>369</v>
      </c>
      <c r="D254" s="23">
        <v>6</v>
      </c>
      <c r="E254" s="15">
        <f>+SUMIF('GE16FEB14 Unfudged'!$A$2:$A$498, $A254, 'GE16FEB14 Unfudged'!$D$2:$D$498)</f>
        <v>526</v>
      </c>
      <c r="F254" s="15">
        <f>+SUMIF('GE16FEB14 Unfudged'!$A$2:$A$498, 'Tax Bill Summary'!$A254, 'GE16FEB14 Unfudged'!E$2:E$498)</f>
        <v>75773</v>
      </c>
      <c r="G254" s="13">
        <f>+SUMIF('GE16FEB14 Unfudged'!$A$2:$A$498, 'Tax Bill Summary'!$A254, 'GE16FEB14 Unfudged'!F$2:F$498)</f>
        <v>37784</v>
      </c>
      <c r="H254" s="56">
        <f t="shared" si="155"/>
        <v>37989</v>
      </c>
      <c r="I254" s="51">
        <f>+SUMIF('GE16FEB14 Unfudged'!$A$2:$A$498, 'Tax Bill Summary'!$A254, 'GE16FEB14 Unfudged'!G$2:G$498)</f>
        <v>0</v>
      </c>
      <c r="J254" s="13">
        <f>+SUMIF('GE16FEB14 Unfudged'!$A$2:$A$498, 'Tax Bill Summary'!$A254, 'GE16FEB14 Unfudged'!H$2:H$498)</f>
        <v>0</v>
      </c>
      <c r="K254" s="56">
        <f t="shared" si="156"/>
        <v>0</v>
      </c>
      <c r="L254" s="51">
        <f>+SUMIF('GE16FEB14 Unfudged'!$A$2:$A$498, 'Tax Bill Summary'!$A254, 'GE16FEB14 Unfudged'!I$2:IF$498)</f>
        <v>157860</v>
      </c>
      <c r="M254" s="13">
        <f>+SUMIF('GE16FEB14 Unfudged'!$A$2:$A$498, 'Tax Bill Summary'!$A254, 'GE16FEB14 Unfudged'!J$2:IG$498)</f>
        <v>45620</v>
      </c>
      <c r="N254" s="56">
        <f t="shared" si="157"/>
        <v>112240</v>
      </c>
      <c r="O254" s="51">
        <f t="shared" si="158"/>
        <v>233633</v>
      </c>
      <c r="P254" s="13">
        <f t="shared" si="159"/>
        <v>83404</v>
      </c>
      <c r="Q254" s="56">
        <f t="shared" si="160"/>
        <v>150229</v>
      </c>
      <c r="R254" s="13">
        <f t="shared" si="161"/>
        <v>444.16920152091257</v>
      </c>
      <c r="S254" s="13">
        <f t="shared" si="162"/>
        <v>158.56273764258555</v>
      </c>
      <c r="T254" s="16">
        <f t="shared" si="163"/>
        <v>285.60646387832702</v>
      </c>
      <c r="U254" s="15">
        <f>+SUMIF('GE16FEB14 Tax Bill Unfudged'!$A$2:$A$498, 'Tax Bill Summary'!$A254, 'GE16FEB14 Tax Bill Unfudged'!E$2:E$498)</f>
        <v>75773</v>
      </c>
      <c r="V254" s="13">
        <f>+SUMIF('GE16FEB14 Tax Bill Unfudged'!$A$2:$A$498, 'Tax Bill Summary'!$A254, 'GE16FEB14 Tax Bill Unfudged'!F$2:F$498)</f>
        <v>37784</v>
      </c>
      <c r="W254" s="56">
        <f t="shared" si="164"/>
        <v>37989</v>
      </c>
      <c r="X254" s="51">
        <f>+SUMIF('GE16FEB14 Tax Bill Unfudged'!$A$2:$A$498, 'Tax Bill Summary'!$A254, 'GE16FEB14 Tax Bill Unfudged'!G$2:G$498)</f>
        <v>223109</v>
      </c>
      <c r="Y254" s="13">
        <f>+SUMIF('GE16FEB14 Tax Bill Unfudged'!$A$2:$A$498, 'Tax Bill Summary'!$A254, 'GE16FEB14 Tax Bill Unfudged'!H$2:H$498)</f>
        <v>111253</v>
      </c>
      <c r="Z254" s="56">
        <f t="shared" si="165"/>
        <v>111856</v>
      </c>
      <c r="AA254" s="51">
        <f>+SUMIF('GE16FEB14 Tax Bill Unfudged'!$A$2:$A$498, 'Tax Bill Summary'!$A254, 'GE16FEB14 Tax Bill Unfudged'!I$2:I$498)</f>
        <v>157860</v>
      </c>
      <c r="AB254" s="13">
        <f>+SUMIF('GE16FEB14 Tax Bill Unfudged'!$A$2:$A$498, 'Tax Bill Summary'!$A254, 'GE16FEB14 Tax Bill Unfudged'!J$2:J$498)</f>
        <v>45620</v>
      </c>
      <c r="AC254" s="56">
        <f t="shared" si="166"/>
        <v>112240</v>
      </c>
      <c r="AD254" s="51">
        <f t="shared" si="167"/>
        <v>456742</v>
      </c>
      <c r="AE254" s="13">
        <f t="shared" si="168"/>
        <v>194657</v>
      </c>
      <c r="AF254" s="56">
        <f t="shared" si="169"/>
        <v>262085</v>
      </c>
      <c r="AG254" s="13">
        <f t="shared" si="170"/>
        <v>868.33079847908743</v>
      </c>
      <c r="AH254" s="13">
        <f t="shared" si="171"/>
        <v>370.07034220532319</v>
      </c>
      <c r="AI254" s="16">
        <f t="shared" si="172"/>
        <v>498.26045627376425</v>
      </c>
      <c r="AJ254" s="15">
        <f t="shared" si="173"/>
        <v>0</v>
      </c>
      <c r="AK254" s="13">
        <f t="shared" si="174"/>
        <v>0</v>
      </c>
      <c r="AL254" s="56">
        <f t="shared" si="175"/>
        <v>0</v>
      </c>
      <c r="AM254" s="51">
        <f t="shared" si="176"/>
        <v>223109</v>
      </c>
      <c r="AN254" s="13">
        <f t="shared" si="177"/>
        <v>111253</v>
      </c>
      <c r="AO254" s="56">
        <f t="shared" si="178"/>
        <v>111856</v>
      </c>
      <c r="AP254" s="51">
        <f t="shared" si="179"/>
        <v>0</v>
      </c>
      <c r="AQ254" s="13">
        <f t="shared" si="180"/>
        <v>0</v>
      </c>
      <c r="AR254" s="56">
        <f t="shared" si="181"/>
        <v>0</v>
      </c>
      <c r="AS254" s="51">
        <f t="shared" si="182"/>
        <v>223109</v>
      </c>
      <c r="AT254" s="13">
        <f t="shared" si="183"/>
        <v>111253</v>
      </c>
      <c r="AU254" s="56">
        <f t="shared" si="184"/>
        <v>111856</v>
      </c>
      <c r="AV254" s="13">
        <f t="shared" si="185"/>
        <v>424.16159695817487</v>
      </c>
      <c r="AW254" s="13">
        <f t="shared" si="186"/>
        <v>211.50760456273764</v>
      </c>
      <c r="AX254" s="16">
        <f t="shared" si="187"/>
        <v>212.65399239543723</v>
      </c>
    </row>
    <row r="255" spans="1:50" x14ac:dyDescent="0.25">
      <c r="A255" s="20">
        <v>820</v>
      </c>
      <c r="B255">
        <v>1</v>
      </c>
      <c r="C255" s="23" t="s">
        <v>370</v>
      </c>
      <c r="D255" s="23">
        <v>6</v>
      </c>
      <c r="E255" s="15">
        <f>+SUMIF('GE16FEB14 Unfudged'!$A$2:$A$498, $A255, 'GE16FEB14 Unfudged'!$D$2:$D$498)</f>
        <v>501</v>
      </c>
      <c r="F255" s="15">
        <f>+SUMIF('GE16FEB14 Unfudged'!$A$2:$A$498, 'Tax Bill Summary'!$A255, 'GE16FEB14 Unfudged'!E$2:E$498)</f>
        <v>58705</v>
      </c>
      <c r="G255" s="13">
        <f>+SUMIF('GE16FEB14 Unfudged'!$A$2:$A$498, 'Tax Bill Summary'!$A255, 'GE16FEB14 Unfudged'!F$2:F$498)</f>
        <v>25879</v>
      </c>
      <c r="H255" s="56">
        <f t="shared" si="155"/>
        <v>32826</v>
      </c>
      <c r="I255" s="51">
        <f>+SUMIF('GE16FEB14 Unfudged'!$A$2:$A$498, 'Tax Bill Summary'!$A255, 'GE16FEB14 Unfudged'!G$2:G$498)</f>
        <v>0</v>
      </c>
      <c r="J255" s="13">
        <f>+SUMIF('GE16FEB14 Unfudged'!$A$2:$A$498, 'Tax Bill Summary'!$A255, 'GE16FEB14 Unfudged'!H$2:H$498)</f>
        <v>0</v>
      </c>
      <c r="K255" s="56">
        <f t="shared" si="156"/>
        <v>0</v>
      </c>
      <c r="L255" s="51">
        <f>+SUMIF('GE16FEB14 Unfudged'!$A$2:$A$498, 'Tax Bill Summary'!$A255, 'GE16FEB14 Unfudged'!I$2:IF$498)</f>
        <v>442742</v>
      </c>
      <c r="M255" s="13">
        <f>+SUMIF('GE16FEB14 Unfudged'!$A$2:$A$498, 'Tax Bill Summary'!$A255, 'GE16FEB14 Unfudged'!J$2:IG$498)</f>
        <v>188104</v>
      </c>
      <c r="N255" s="56">
        <f t="shared" si="157"/>
        <v>254638</v>
      </c>
      <c r="O255" s="51">
        <f t="shared" si="158"/>
        <v>501447</v>
      </c>
      <c r="P255" s="13">
        <f t="shared" si="159"/>
        <v>213983</v>
      </c>
      <c r="Q255" s="56">
        <f t="shared" si="160"/>
        <v>287464</v>
      </c>
      <c r="R255" s="13">
        <f t="shared" si="161"/>
        <v>1000.8922155688623</v>
      </c>
      <c r="S255" s="13">
        <f t="shared" si="162"/>
        <v>427.1117764471058</v>
      </c>
      <c r="T255" s="16">
        <f t="shared" si="163"/>
        <v>573.78043912175644</v>
      </c>
      <c r="U255" s="15">
        <f>+SUMIF('GE16FEB14 Tax Bill Unfudged'!$A$2:$A$498, 'Tax Bill Summary'!$A255, 'GE16FEB14 Tax Bill Unfudged'!E$2:E$498)</f>
        <v>67260</v>
      </c>
      <c r="V255" s="13">
        <f>+SUMIF('GE16FEB14 Tax Bill Unfudged'!$A$2:$A$498, 'Tax Bill Summary'!$A255, 'GE16FEB14 Tax Bill Unfudged'!F$2:F$498)</f>
        <v>29650</v>
      </c>
      <c r="W255" s="56">
        <f t="shared" si="164"/>
        <v>37610</v>
      </c>
      <c r="X255" s="51">
        <f>+SUMIF('GE16FEB14 Tax Bill Unfudged'!$A$2:$A$498, 'Tax Bill Summary'!$A255, 'GE16FEB14 Tax Bill Unfudged'!G$2:G$498)</f>
        <v>212339</v>
      </c>
      <c r="Y255" s="13">
        <f>+SUMIF('GE16FEB14 Tax Bill Unfudged'!$A$2:$A$498, 'Tax Bill Summary'!$A255, 'GE16FEB14 Tax Bill Unfudged'!H$2:H$498)</f>
        <v>93605</v>
      </c>
      <c r="Z255" s="56">
        <f t="shared" si="165"/>
        <v>118734</v>
      </c>
      <c r="AA255" s="51">
        <f>+SUMIF('GE16FEB14 Tax Bill Unfudged'!$A$2:$A$498, 'Tax Bill Summary'!$A255, 'GE16FEB14 Tax Bill Unfudged'!I$2:I$498)</f>
        <v>230403</v>
      </c>
      <c r="AB255" s="13">
        <f>+SUMIF('GE16FEB14 Tax Bill Unfudged'!$A$2:$A$498, 'Tax Bill Summary'!$A255, 'GE16FEB14 Tax Bill Unfudged'!J$2:J$498)</f>
        <v>73721</v>
      </c>
      <c r="AC255" s="56">
        <f t="shared" si="166"/>
        <v>156682</v>
      </c>
      <c r="AD255" s="51">
        <f t="shared" si="167"/>
        <v>510002</v>
      </c>
      <c r="AE255" s="13">
        <f t="shared" si="168"/>
        <v>196976</v>
      </c>
      <c r="AF255" s="56">
        <f t="shared" si="169"/>
        <v>313026</v>
      </c>
      <c r="AG255" s="13">
        <f t="shared" si="170"/>
        <v>1017.9680638722555</v>
      </c>
      <c r="AH255" s="13">
        <f t="shared" si="171"/>
        <v>393.16566866267465</v>
      </c>
      <c r="AI255" s="16">
        <f t="shared" si="172"/>
        <v>624.80239520958082</v>
      </c>
      <c r="AJ255" s="15">
        <f t="shared" si="173"/>
        <v>8555</v>
      </c>
      <c r="AK255" s="13">
        <f t="shared" si="174"/>
        <v>3771</v>
      </c>
      <c r="AL255" s="56">
        <f t="shared" si="175"/>
        <v>4784</v>
      </c>
      <c r="AM255" s="51">
        <f t="shared" si="176"/>
        <v>212339</v>
      </c>
      <c r="AN255" s="13">
        <f t="shared" si="177"/>
        <v>93605</v>
      </c>
      <c r="AO255" s="56">
        <f t="shared" si="178"/>
        <v>118734</v>
      </c>
      <c r="AP255" s="51">
        <f t="shared" si="179"/>
        <v>-212339</v>
      </c>
      <c r="AQ255" s="13">
        <f t="shared" si="180"/>
        <v>-114383</v>
      </c>
      <c r="AR255" s="56">
        <f t="shared" si="181"/>
        <v>-97956</v>
      </c>
      <c r="AS255" s="51">
        <f t="shared" si="182"/>
        <v>8555</v>
      </c>
      <c r="AT255" s="13">
        <f t="shared" si="183"/>
        <v>-17007</v>
      </c>
      <c r="AU255" s="56">
        <f t="shared" si="184"/>
        <v>25562</v>
      </c>
      <c r="AV255" s="13">
        <f t="shared" si="185"/>
        <v>17.075848303393173</v>
      </c>
      <c r="AW255" s="13">
        <f t="shared" si="186"/>
        <v>-33.946107784431149</v>
      </c>
      <c r="AX255" s="16">
        <f t="shared" si="187"/>
        <v>51.021956087824378</v>
      </c>
    </row>
    <row r="256" spans="1:50" x14ac:dyDescent="0.25">
      <c r="A256" s="20">
        <v>821</v>
      </c>
      <c r="B256">
        <v>1</v>
      </c>
      <c r="C256" s="23" t="s">
        <v>371</v>
      </c>
      <c r="D256" s="23">
        <v>6</v>
      </c>
      <c r="E256" s="15">
        <f>+SUMIF('GE16FEB14 Unfudged'!$A$2:$A$498, $A256, 'GE16FEB14 Unfudged'!$D$2:$D$498)</f>
        <v>1075</v>
      </c>
      <c r="F256" s="15">
        <f>+SUMIF('GE16FEB14 Unfudged'!$A$2:$A$498, 'Tax Bill Summary'!$A256, 'GE16FEB14 Unfudged'!E$2:E$498)</f>
        <v>154736</v>
      </c>
      <c r="G256" s="13">
        <f>+SUMIF('GE16FEB14 Unfudged'!$A$2:$A$498, 'Tax Bill Summary'!$A256, 'GE16FEB14 Unfudged'!F$2:F$498)</f>
        <v>53141</v>
      </c>
      <c r="H256" s="56">
        <f t="shared" si="155"/>
        <v>101595</v>
      </c>
      <c r="I256" s="51">
        <f>+SUMIF('GE16FEB14 Unfudged'!$A$2:$A$498, 'Tax Bill Summary'!$A256, 'GE16FEB14 Unfudged'!G$2:G$498)</f>
        <v>0</v>
      </c>
      <c r="J256" s="13">
        <f>+SUMIF('GE16FEB14 Unfudged'!$A$2:$A$498, 'Tax Bill Summary'!$A256, 'GE16FEB14 Unfudged'!H$2:H$498)</f>
        <v>0</v>
      </c>
      <c r="K256" s="56">
        <f t="shared" si="156"/>
        <v>0</v>
      </c>
      <c r="L256" s="51">
        <f>+SUMIF('GE16FEB14 Unfudged'!$A$2:$A$498, 'Tax Bill Summary'!$A256, 'GE16FEB14 Unfudged'!I$2:IF$498)</f>
        <v>322365</v>
      </c>
      <c r="M256" s="13">
        <f>+SUMIF('GE16FEB14 Unfudged'!$A$2:$A$498, 'Tax Bill Summary'!$A256, 'GE16FEB14 Unfudged'!J$2:IG$498)</f>
        <v>64161</v>
      </c>
      <c r="N256" s="56">
        <f t="shared" si="157"/>
        <v>258204</v>
      </c>
      <c r="O256" s="51">
        <f t="shared" si="158"/>
        <v>477101</v>
      </c>
      <c r="P256" s="13">
        <f t="shared" si="159"/>
        <v>117302</v>
      </c>
      <c r="Q256" s="56">
        <f t="shared" si="160"/>
        <v>359799</v>
      </c>
      <c r="R256" s="13">
        <f t="shared" si="161"/>
        <v>443.81488372093025</v>
      </c>
      <c r="S256" s="13">
        <f t="shared" si="162"/>
        <v>109.11813953488372</v>
      </c>
      <c r="T256" s="16">
        <f t="shared" si="163"/>
        <v>334.69674418604649</v>
      </c>
      <c r="U256" s="15">
        <f>+SUMIF('GE16FEB14 Tax Bill Unfudged'!$A$2:$A$498, 'Tax Bill Summary'!$A256, 'GE16FEB14 Tax Bill Unfudged'!E$2:E$498)</f>
        <v>154736</v>
      </c>
      <c r="V256" s="13">
        <f>+SUMIF('GE16FEB14 Tax Bill Unfudged'!$A$2:$A$498, 'Tax Bill Summary'!$A256, 'GE16FEB14 Tax Bill Unfudged'!F$2:F$498)</f>
        <v>53141</v>
      </c>
      <c r="W256" s="56">
        <f t="shared" si="164"/>
        <v>101595</v>
      </c>
      <c r="X256" s="51">
        <f>+SUMIF('GE16FEB14 Tax Bill Unfudged'!$A$2:$A$498, 'Tax Bill Summary'!$A256, 'GE16FEB14 Tax Bill Unfudged'!G$2:G$498)</f>
        <v>455609</v>
      </c>
      <c r="Y256" s="13">
        <f>+SUMIF('GE16FEB14 Tax Bill Unfudged'!$A$2:$A$498, 'Tax Bill Summary'!$A256, 'GE16FEB14 Tax Bill Unfudged'!H$2:H$498)</f>
        <v>156469</v>
      </c>
      <c r="Z256" s="56">
        <f t="shared" si="165"/>
        <v>299140</v>
      </c>
      <c r="AA256" s="51">
        <f>+SUMIF('GE16FEB14 Tax Bill Unfudged'!$A$2:$A$498, 'Tax Bill Summary'!$A256, 'GE16FEB14 Tax Bill Unfudged'!I$2:I$498)</f>
        <v>322365</v>
      </c>
      <c r="AB256" s="13">
        <f>+SUMIF('GE16FEB14 Tax Bill Unfudged'!$A$2:$A$498, 'Tax Bill Summary'!$A256, 'GE16FEB14 Tax Bill Unfudged'!J$2:J$498)</f>
        <v>64161</v>
      </c>
      <c r="AC256" s="56">
        <f t="shared" si="166"/>
        <v>258204</v>
      </c>
      <c r="AD256" s="51">
        <f t="shared" si="167"/>
        <v>932710</v>
      </c>
      <c r="AE256" s="13">
        <f t="shared" si="168"/>
        <v>273771</v>
      </c>
      <c r="AF256" s="56">
        <f t="shared" si="169"/>
        <v>658939</v>
      </c>
      <c r="AG256" s="13">
        <f t="shared" si="170"/>
        <v>867.63720930232557</v>
      </c>
      <c r="AH256" s="13">
        <f t="shared" si="171"/>
        <v>254.67069767441859</v>
      </c>
      <c r="AI256" s="16">
        <f t="shared" si="172"/>
        <v>612.96651162790693</v>
      </c>
      <c r="AJ256" s="15">
        <f t="shared" si="173"/>
        <v>0</v>
      </c>
      <c r="AK256" s="13">
        <f t="shared" si="174"/>
        <v>0</v>
      </c>
      <c r="AL256" s="56">
        <f t="shared" si="175"/>
        <v>0</v>
      </c>
      <c r="AM256" s="51">
        <f t="shared" si="176"/>
        <v>455609</v>
      </c>
      <c r="AN256" s="13">
        <f t="shared" si="177"/>
        <v>156469</v>
      </c>
      <c r="AO256" s="56">
        <f t="shared" si="178"/>
        <v>299140</v>
      </c>
      <c r="AP256" s="51">
        <f t="shared" si="179"/>
        <v>0</v>
      </c>
      <c r="AQ256" s="13">
        <f t="shared" si="180"/>
        <v>0</v>
      </c>
      <c r="AR256" s="56">
        <f t="shared" si="181"/>
        <v>0</v>
      </c>
      <c r="AS256" s="51">
        <f t="shared" si="182"/>
        <v>455609</v>
      </c>
      <c r="AT256" s="13">
        <f t="shared" si="183"/>
        <v>156469</v>
      </c>
      <c r="AU256" s="56">
        <f t="shared" si="184"/>
        <v>299140</v>
      </c>
      <c r="AV256" s="13">
        <f t="shared" si="185"/>
        <v>423.82232558139532</v>
      </c>
      <c r="AW256" s="13">
        <f t="shared" si="186"/>
        <v>145.55255813953488</v>
      </c>
      <c r="AX256" s="16">
        <f t="shared" si="187"/>
        <v>278.26976744186044</v>
      </c>
    </row>
    <row r="257" spans="1:50" x14ac:dyDescent="0.25">
      <c r="A257" s="20">
        <v>829</v>
      </c>
      <c r="B257">
        <v>1</v>
      </c>
      <c r="C257" s="23" t="s">
        <v>372</v>
      </c>
      <c r="D257" s="23">
        <v>5</v>
      </c>
      <c r="E257" s="15">
        <f>+SUMIF('GE16FEB14 Unfudged'!$A$2:$A$498, $A257, 'GE16FEB14 Unfudged'!$D$2:$D$498)</f>
        <v>2007</v>
      </c>
      <c r="F257" s="15">
        <f>+SUMIF('GE16FEB14 Unfudged'!$A$2:$A$498, 'Tax Bill Summary'!$A257, 'GE16FEB14 Unfudged'!E$2:E$498)</f>
        <v>247728</v>
      </c>
      <c r="G257" s="13">
        <f>+SUMIF('GE16FEB14 Unfudged'!$A$2:$A$498, 'Tax Bill Summary'!$A257, 'GE16FEB14 Unfudged'!F$2:F$498)</f>
        <v>162810</v>
      </c>
      <c r="H257" s="56">
        <f t="shared" si="155"/>
        <v>84918</v>
      </c>
      <c r="I257" s="51">
        <f>+SUMIF('GE16FEB14 Unfudged'!$A$2:$A$498, 'Tax Bill Summary'!$A257, 'GE16FEB14 Unfudged'!G$2:G$498)</f>
        <v>0</v>
      </c>
      <c r="J257" s="13">
        <f>+SUMIF('GE16FEB14 Unfudged'!$A$2:$A$498, 'Tax Bill Summary'!$A257, 'GE16FEB14 Unfudged'!H$2:H$498)</f>
        <v>0</v>
      </c>
      <c r="K257" s="56">
        <f t="shared" si="156"/>
        <v>0</v>
      </c>
      <c r="L257" s="51">
        <f>+SUMIF('GE16FEB14 Unfudged'!$A$2:$A$498, 'Tax Bill Summary'!$A257, 'GE16FEB14 Unfudged'!I$2:IF$498)</f>
        <v>1501117</v>
      </c>
      <c r="M257" s="13">
        <f>+SUMIF('GE16FEB14 Unfudged'!$A$2:$A$498, 'Tax Bill Summary'!$A257, 'GE16FEB14 Unfudged'!J$2:IG$498)</f>
        <v>820208</v>
      </c>
      <c r="N257" s="56">
        <f t="shared" si="157"/>
        <v>680909</v>
      </c>
      <c r="O257" s="51">
        <f t="shared" si="158"/>
        <v>1748845</v>
      </c>
      <c r="P257" s="13">
        <f t="shared" si="159"/>
        <v>983018</v>
      </c>
      <c r="Q257" s="56">
        <f t="shared" si="160"/>
        <v>765827</v>
      </c>
      <c r="R257" s="13">
        <f t="shared" si="161"/>
        <v>871.37269556552064</v>
      </c>
      <c r="S257" s="13">
        <f t="shared" si="162"/>
        <v>489.79471848530147</v>
      </c>
      <c r="T257" s="16">
        <f t="shared" si="163"/>
        <v>381.57797708021923</v>
      </c>
      <c r="U257" s="15">
        <f>+SUMIF('GE16FEB14 Tax Bill Unfudged'!$A$2:$A$498, 'Tax Bill Summary'!$A257, 'GE16FEB14 Tax Bill Unfudged'!E$2:E$498)</f>
        <v>286023</v>
      </c>
      <c r="V257" s="13">
        <f>+SUMIF('GE16FEB14 Tax Bill Unfudged'!$A$2:$A$498, 'Tax Bill Summary'!$A257, 'GE16FEB14 Tax Bill Unfudged'!F$2:F$498)</f>
        <v>187978</v>
      </c>
      <c r="W257" s="56">
        <f t="shared" si="164"/>
        <v>98045</v>
      </c>
      <c r="X257" s="51">
        <f>+SUMIF('GE16FEB14 Tax Bill Unfudged'!$A$2:$A$498, 'Tax Bill Summary'!$A257, 'GE16FEB14 Tax Bill Unfudged'!G$2:G$498)</f>
        <v>850798</v>
      </c>
      <c r="Y257" s="13">
        <f>+SUMIF('GE16FEB14 Tax Bill Unfudged'!$A$2:$A$498, 'Tax Bill Summary'!$A257, 'GE16FEB14 Tax Bill Unfudged'!H$2:H$498)</f>
        <v>559154</v>
      </c>
      <c r="Z257" s="56">
        <f t="shared" si="165"/>
        <v>291644</v>
      </c>
      <c r="AA257" s="51">
        <f>+SUMIF('GE16FEB14 Tax Bill Unfudged'!$A$2:$A$498, 'Tax Bill Summary'!$A257, 'GE16FEB14 Tax Bill Unfudged'!I$2:I$498)</f>
        <v>650319</v>
      </c>
      <c r="AB257" s="13">
        <f>+SUMIF('GE16FEB14 Tax Bill Unfudged'!$A$2:$A$498, 'Tax Bill Summary'!$A257, 'GE16FEB14 Tax Bill Unfudged'!J$2:J$498)</f>
        <v>261054</v>
      </c>
      <c r="AC257" s="56">
        <f t="shared" si="166"/>
        <v>389265</v>
      </c>
      <c r="AD257" s="51">
        <f t="shared" si="167"/>
        <v>1787140</v>
      </c>
      <c r="AE257" s="13">
        <f t="shared" si="168"/>
        <v>1008186</v>
      </c>
      <c r="AF257" s="56">
        <f t="shared" si="169"/>
        <v>778954</v>
      </c>
      <c r="AG257" s="13">
        <f t="shared" si="170"/>
        <v>890.45341305430986</v>
      </c>
      <c r="AH257" s="13">
        <f t="shared" si="171"/>
        <v>502.33482810164423</v>
      </c>
      <c r="AI257" s="16">
        <f t="shared" si="172"/>
        <v>388.11858495266569</v>
      </c>
      <c r="AJ257" s="15">
        <f t="shared" si="173"/>
        <v>38295</v>
      </c>
      <c r="AK257" s="13">
        <f t="shared" si="174"/>
        <v>25168</v>
      </c>
      <c r="AL257" s="56">
        <f t="shared" si="175"/>
        <v>13127</v>
      </c>
      <c r="AM257" s="51">
        <f t="shared" si="176"/>
        <v>850798</v>
      </c>
      <c r="AN257" s="13">
        <f t="shared" si="177"/>
        <v>559154</v>
      </c>
      <c r="AO257" s="56">
        <f t="shared" si="178"/>
        <v>291644</v>
      </c>
      <c r="AP257" s="51">
        <f t="shared" si="179"/>
        <v>-850798</v>
      </c>
      <c r="AQ257" s="13">
        <f t="shared" si="180"/>
        <v>-559154</v>
      </c>
      <c r="AR257" s="56">
        <f t="shared" si="181"/>
        <v>-291644</v>
      </c>
      <c r="AS257" s="51">
        <f t="shared" si="182"/>
        <v>38295</v>
      </c>
      <c r="AT257" s="13">
        <f t="shared" si="183"/>
        <v>25168</v>
      </c>
      <c r="AU257" s="56">
        <f t="shared" si="184"/>
        <v>13127</v>
      </c>
      <c r="AV257" s="13">
        <f t="shared" si="185"/>
        <v>19.080717488789219</v>
      </c>
      <c r="AW257" s="13">
        <f t="shared" si="186"/>
        <v>12.540109616342761</v>
      </c>
      <c r="AX257" s="16">
        <f t="shared" si="187"/>
        <v>6.5406078724464578</v>
      </c>
    </row>
    <row r="258" spans="1:50" x14ac:dyDescent="0.25">
      <c r="A258" s="20">
        <v>831</v>
      </c>
      <c r="B258">
        <v>1</v>
      </c>
      <c r="C258" s="23" t="s">
        <v>373</v>
      </c>
      <c r="D258" s="23">
        <v>3</v>
      </c>
      <c r="E258" s="15">
        <f>+SUMIF('GE16FEB14 Unfudged'!$A$2:$A$498, $A258, 'GE16FEB14 Unfudged'!$D$2:$D$498)</f>
        <v>7091</v>
      </c>
      <c r="F258" s="15">
        <f>+SUMIF('GE16FEB14 Unfudged'!$A$2:$A$498, 'Tax Bill Summary'!$A258, 'GE16FEB14 Unfudged'!E$2:E$498)</f>
        <v>1117174</v>
      </c>
      <c r="G258" s="13">
        <f>+SUMIF('GE16FEB14 Unfudged'!$A$2:$A$498, 'Tax Bill Summary'!$A258, 'GE16FEB14 Unfudged'!F$2:F$498)</f>
        <v>1117174</v>
      </c>
      <c r="H258" s="56">
        <f t="shared" si="155"/>
        <v>0</v>
      </c>
      <c r="I258" s="51">
        <f>+SUMIF('GE16FEB14 Unfudged'!$A$2:$A$498, 'Tax Bill Summary'!$A258, 'GE16FEB14 Unfudged'!G$2:G$498)</f>
        <v>3006372</v>
      </c>
      <c r="J258" s="13">
        <f>+SUMIF('GE16FEB14 Unfudged'!$A$2:$A$498, 'Tax Bill Summary'!$A258, 'GE16FEB14 Unfudged'!H$2:H$498)</f>
        <v>3006372</v>
      </c>
      <c r="K258" s="56">
        <f t="shared" si="156"/>
        <v>0</v>
      </c>
      <c r="L258" s="51">
        <f>+SUMIF('GE16FEB14 Unfudged'!$A$2:$A$498, 'Tax Bill Summary'!$A258, 'GE16FEB14 Unfudged'!I$2:IF$498)</f>
        <v>3045370</v>
      </c>
      <c r="M258" s="13">
        <f>+SUMIF('GE16FEB14 Unfudged'!$A$2:$A$498, 'Tax Bill Summary'!$A258, 'GE16FEB14 Unfudged'!J$2:IG$498)</f>
        <v>2166247</v>
      </c>
      <c r="N258" s="56">
        <f t="shared" si="157"/>
        <v>879123</v>
      </c>
      <c r="O258" s="51">
        <f t="shared" si="158"/>
        <v>7168916</v>
      </c>
      <c r="P258" s="13">
        <f t="shared" si="159"/>
        <v>6289793</v>
      </c>
      <c r="Q258" s="56">
        <f t="shared" si="160"/>
        <v>879123</v>
      </c>
      <c r="R258" s="13">
        <f t="shared" si="161"/>
        <v>1010.9880129741927</v>
      </c>
      <c r="S258" s="13">
        <f t="shared" si="162"/>
        <v>887.01071781131009</v>
      </c>
      <c r="T258" s="16">
        <f t="shared" si="163"/>
        <v>123.97729516288253</v>
      </c>
      <c r="U258" s="15">
        <f>+SUMIF('GE16FEB14 Tax Bill Unfudged'!$A$2:$A$498, 'Tax Bill Summary'!$A258, 'GE16FEB14 Tax Bill Unfudged'!E$2:E$498)</f>
        <v>1117174</v>
      </c>
      <c r="V258" s="13">
        <f>+SUMIF('GE16FEB14 Tax Bill Unfudged'!$A$2:$A$498, 'Tax Bill Summary'!$A258, 'GE16FEB14 Tax Bill Unfudged'!F$2:F$498)</f>
        <v>1117174</v>
      </c>
      <c r="W258" s="56">
        <f t="shared" si="164"/>
        <v>0</v>
      </c>
      <c r="X258" s="51">
        <f>+SUMIF('GE16FEB14 Tax Bill Unfudged'!$A$2:$A$498, 'Tax Bill Summary'!$A258, 'GE16FEB14 Tax Bill Unfudged'!G$2:G$498)</f>
        <v>3006372</v>
      </c>
      <c r="Y258" s="13">
        <f>+SUMIF('GE16FEB14 Tax Bill Unfudged'!$A$2:$A$498, 'Tax Bill Summary'!$A258, 'GE16FEB14 Tax Bill Unfudged'!H$2:H$498)</f>
        <v>3006372</v>
      </c>
      <c r="Z258" s="56">
        <f t="shared" si="165"/>
        <v>0</v>
      </c>
      <c r="AA258" s="51">
        <f>+SUMIF('GE16FEB14 Tax Bill Unfudged'!$A$2:$A$498, 'Tax Bill Summary'!$A258, 'GE16FEB14 Tax Bill Unfudged'!I$2:I$498)</f>
        <v>3045370</v>
      </c>
      <c r="AB258" s="13">
        <f>+SUMIF('GE16FEB14 Tax Bill Unfudged'!$A$2:$A$498, 'Tax Bill Summary'!$A258, 'GE16FEB14 Tax Bill Unfudged'!J$2:J$498)</f>
        <v>2166247</v>
      </c>
      <c r="AC258" s="56">
        <f t="shared" si="166"/>
        <v>879123</v>
      </c>
      <c r="AD258" s="51">
        <f t="shared" si="167"/>
        <v>7168916</v>
      </c>
      <c r="AE258" s="13">
        <f t="shared" si="168"/>
        <v>6289793</v>
      </c>
      <c r="AF258" s="56">
        <f t="shared" si="169"/>
        <v>879123</v>
      </c>
      <c r="AG258" s="13">
        <f t="shared" si="170"/>
        <v>1010.9880129741927</v>
      </c>
      <c r="AH258" s="13">
        <f t="shared" si="171"/>
        <v>887.01071781131009</v>
      </c>
      <c r="AI258" s="16">
        <f t="shared" si="172"/>
        <v>123.97729516288253</v>
      </c>
      <c r="AJ258" s="15">
        <f t="shared" si="173"/>
        <v>0</v>
      </c>
      <c r="AK258" s="13">
        <f t="shared" si="174"/>
        <v>0</v>
      </c>
      <c r="AL258" s="56">
        <f t="shared" si="175"/>
        <v>0</v>
      </c>
      <c r="AM258" s="51">
        <f t="shared" si="176"/>
        <v>0</v>
      </c>
      <c r="AN258" s="13">
        <f t="shared" si="177"/>
        <v>0</v>
      </c>
      <c r="AO258" s="56">
        <f t="shared" si="178"/>
        <v>0</v>
      </c>
      <c r="AP258" s="51">
        <f t="shared" si="179"/>
        <v>0</v>
      </c>
      <c r="AQ258" s="13">
        <f t="shared" si="180"/>
        <v>0</v>
      </c>
      <c r="AR258" s="56">
        <f t="shared" si="181"/>
        <v>0</v>
      </c>
      <c r="AS258" s="51">
        <f t="shared" si="182"/>
        <v>0</v>
      </c>
      <c r="AT258" s="13">
        <f t="shared" si="183"/>
        <v>0</v>
      </c>
      <c r="AU258" s="56">
        <f t="shared" si="184"/>
        <v>0</v>
      </c>
      <c r="AV258" s="13">
        <f t="shared" si="185"/>
        <v>0</v>
      </c>
      <c r="AW258" s="13">
        <f t="shared" si="186"/>
        <v>0</v>
      </c>
      <c r="AX258" s="16">
        <f t="shared" si="187"/>
        <v>0</v>
      </c>
    </row>
    <row r="259" spans="1:50" x14ac:dyDescent="0.25">
      <c r="A259" s="20">
        <v>832</v>
      </c>
      <c r="B259">
        <v>1</v>
      </c>
      <c r="C259" s="23" t="s">
        <v>374</v>
      </c>
      <c r="D259" s="23">
        <v>3</v>
      </c>
      <c r="E259" s="15">
        <f>+SUMIF('GE16FEB14 Unfudged'!$A$2:$A$498, $A259, 'GE16FEB14 Unfudged'!$D$2:$D$498)</f>
        <v>3616</v>
      </c>
      <c r="F259" s="15">
        <f>+SUMIF('GE16FEB14 Unfudged'!$A$2:$A$498, 'Tax Bill Summary'!$A259, 'GE16FEB14 Unfudged'!E$2:E$498)</f>
        <v>563776</v>
      </c>
      <c r="G259" s="13">
        <f>+SUMIF('GE16FEB14 Unfudged'!$A$2:$A$498, 'Tax Bill Summary'!$A259, 'GE16FEB14 Unfudged'!F$2:F$498)</f>
        <v>563776</v>
      </c>
      <c r="H259" s="56">
        <f t="shared" si="155"/>
        <v>0</v>
      </c>
      <c r="I259" s="51">
        <f>+SUMIF('GE16FEB14 Unfudged'!$A$2:$A$498, 'Tax Bill Summary'!$A259, 'GE16FEB14 Unfudged'!G$2:G$498)</f>
        <v>1533014</v>
      </c>
      <c r="J259" s="13">
        <f>+SUMIF('GE16FEB14 Unfudged'!$A$2:$A$498, 'Tax Bill Summary'!$A259, 'GE16FEB14 Unfudged'!H$2:H$498)</f>
        <v>1533014</v>
      </c>
      <c r="K259" s="56">
        <f t="shared" si="156"/>
        <v>0</v>
      </c>
      <c r="L259" s="51">
        <f>+SUMIF('GE16FEB14 Unfudged'!$A$2:$A$498, 'Tax Bill Summary'!$A259, 'GE16FEB14 Unfudged'!I$2:IF$498)</f>
        <v>1629696</v>
      </c>
      <c r="M259" s="13">
        <f>+SUMIF('GE16FEB14 Unfudged'!$A$2:$A$498, 'Tax Bill Summary'!$A259, 'GE16FEB14 Unfudged'!J$2:IG$498)</f>
        <v>1450102</v>
      </c>
      <c r="N259" s="56">
        <f t="shared" si="157"/>
        <v>179594</v>
      </c>
      <c r="O259" s="51">
        <f t="shared" si="158"/>
        <v>3726486</v>
      </c>
      <c r="P259" s="13">
        <f t="shared" si="159"/>
        <v>3546892</v>
      </c>
      <c r="Q259" s="56">
        <f t="shared" si="160"/>
        <v>179594</v>
      </c>
      <c r="R259" s="13">
        <f t="shared" si="161"/>
        <v>1030.5547566371681</v>
      </c>
      <c r="S259" s="13">
        <f t="shared" si="162"/>
        <v>980.88827433628319</v>
      </c>
      <c r="T259" s="16">
        <f t="shared" si="163"/>
        <v>49.666482300884958</v>
      </c>
      <c r="U259" s="15">
        <f>+SUMIF('GE16FEB14 Tax Bill Unfudged'!$A$2:$A$498, 'Tax Bill Summary'!$A259, 'GE16FEB14 Tax Bill Unfudged'!E$2:E$498)</f>
        <v>563776</v>
      </c>
      <c r="V259" s="13">
        <f>+SUMIF('GE16FEB14 Tax Bill Unfudged'!$A$2:$A$498, 'Tax Bill Summary'!$A259, 'GE16FEB14 Tax Bill Unfudged'!F$2:F$498)</f>
        <v>563776</v>
      </c>
      <c r="W259" s="56">
        <f t="shared" si="164"/>
        <v>0</v>
      </c>
      <c r="X259" s="51">
        <f>+SUMIF('GE16FEB14 Tax Bill Unfudged'!$A$2:$A$498, 'Tax Bill Summary'!$A259, 'GE16FEB14 Tax Bill Unfudged'!G$2:G$498)</f>
        <v>1533014</v>
      </c>
      <c r="Y259" s="13">
        <f>+SUMIF('GE16FEB14 Tax Bill Unfudged'!$A$2:$A$498, 'Tax Bill Summary'!$A259, 'GE16FEB14 Tax Bill Unfudged'!H$2:H$498)</f>
        <v>1533014</v>
      </c>
      <c r="Z259" s="56">
        <f t="shared" si="165"/>
        <v>0</v>
      </c>
      <c r="AA259" s="51">
        <f>+SUMIF('GE16FEB14 Tax Bill Unfudged'!$A$2:$A$498, 'Tax Bill Summary'!$A259, 'GE16FEB14 Tax Bill Unfudged'!I$2:I$498)</f>
        <v>1629696</v>
      </c>
      <c r="AB259" s="13">
        <f>+SUMIF('GE16FEB14 Tax Bill Unfudged'!$A$2:$A$498, 'Tax Bill Summary'!$A259, 'GE16FEB14 Tax Bill Unfudged'!J$2:J$498)</f>
        <v>1450102</v>
      </c>
      <c r="AC259" s="56">
        <f t="shared" si="166"/>
        <v>179594</v>
      </c>
      <c r="AD259" s="51">
        <f t="shared" si="167"/>
        <v>3726486</v>
      </c>
      <c r="AE259" s="13">
        <f t="shared" si="168"/>
        <v>3546892</v>
      </c>
      <c r="AF259" s="56">
        <f t="shared" si="169"/>
        <v>179594</v>
      </c>
      <c r="AG259" s="13">
        <f t="shared" si="170"/>
        <v>1030.5547566371681</v>
      </c>
      <c r="AH259" s="13">
        <f t="shared" si="171"/>
        <v>980.88827433628319</v>
      </c>
      <c r="AI259" s="16">
        <f t="shared" si="172"/>
        <v>49.666482300884958</v>
      </c>
      <c r="AJ259" s="15">
        <f t="shared" si="173"/>
        <v>0</v>
      </c>
      <c r="AK259" s="13">
        <f t="shared" si="174"/>
        <v>0</v>
      </c>
      <c r="AL259" s="56">
        <f t="shared" si="175"/>
        <v>0</v>
      </c>
      <c r="AM259" s="51">
        <f t="shared" si="176"/>
        <v>0</v>
      </c>
      <c r="AN259" s="13">
        <f t="shared" si="177"/>
        <v>0</v>
      </c>
      <c r="AO259" s="56">
        <f t="shared" si="178"/>
        <v>0</v>
      </c>
      <c r="AP259" s="51">
        <f t="shared" si="179"/>
        <v>0</v>
      </c>
      <c r="AQ259" s="13">
        <f t="shared" si="180"/>
        <v>0</v>
      </c>
      <c r="AR259" s="56">
        <f t="shared" si="181"/>
        <v>0</v>
      </c>
      <c r="AS259" s="51">
        <f t="shared" si="182"/>
        <v>0</v>
      </c>
      <c r="AT259" s="13">
        <f t="shared" si="183"/>
        <v>0</v>
      </c>
      <c r="AU259" s="56">
        <f t="shared" si="184"/>
        <v>0</v>
      </c>
      <c r="AV259" s="13">
        <f t="shared" si="185"/>
        <v>0</v>
      </c>
      <c r="AW259" s="13">
        <f t="shared" si="186"/>
        <v>0</v>
      </c>
      <c r="AX259" s="16">
        <f t="shared" si="187"/>
        <v>0</v>
      </c>
    </row>
    <row r="260" spans="1:50" x14ac:dyDescent="0.25">
      <c r="A260" s="20">
        <v>833</v>
      </c>
      <c r="B260">
        <v>1</v>
      </c>
      <c r="C260" s="23" t="s">
        <v>375</v>
      </c>
      <c r="D260" s="23">
        <v>2</v>
      </c>
      <c r="E260" s="15">
        <f>+SUMIF('GE16FEB14 Unfudged'!$A$2:$A$498, $A260, 'GE16FEB14 Unfudged'!$D$2:$D$498)</f>
        <v>19571</v>
      </c>
      <c r="F260" s="15">
        <f>+SUMIF('GE16FEB14 Unfudged'!$A$2:$A$498, 'Tax Bill Summary'!$A260, 'GE16FEB14 Unfudged'!E$2:E$498)</f>
        <v>2335980</v>
      </c>
      <c r="G260" s="13">
        <f>+SUMIF('GE16FEB14 Unfudged'!$A$2:$A$498, 'Tax Bill Summary'!$A260, 'GE16FEB14 Unfudged'!F$2:F$498)</f>
        <v>1813945</v>
      </c>
      <c r="H260" s="56">
        <f t="shared" si="155"/>
        <v>522035</v>
      </c>
      <c r="I260" s="51">
        <f>+SUMIF('GE16FEB14 Unfudged'!$A$2:$A$498, 'Tax Bill Summary'!$A260, 'GE16FEB14 Unfudged'!G$2:G$498)</f>
        <v>8298189</v>
      </c>
      <c r="J260" s="13">
        <f>+SUMIF('GE16FEB14 Unfudged'!$A$2:$A$498, 'Tax Bill Summary'!$A260, 'GE16FEB14 Unfudged'!H$2:H$498)</f>
        <v>6443744</v>
      </c>
      <c r="K260" s="56">
        <f t="shared" si="156"/>
        <v>1854445</v>
      </c>
      <c r="L260" s="51">
        <f>+SUMIF('GE16FEB14 Unfudged'!$A$2:$A$498, 'Tax Bill Summary'!$A260, 'GE16FEB14 Unfudged'!I$2:IF$498)</f>
        <v>18145438</v>
      </c>
      <c r="M260" s="13">
        <f>+SUMIF('GE16FEB14 Unfudged'!$A$2:$A$498, 'Tax Bill Summary'!$A260, 'GE16FEB14 Unfudged'!J$2:IG$498)</f>
        <v>12904474</v>
      </c>
      <c r="N260" s="56">
        <f t="shared" si="157"/>
        <v>5240964</v>
      </c>
      <c r="O260" s="51">
        <f t="shared" si="158"/>
        <v>28779607</v>
      </c>
      <c r="P260" s="13">
        <f t="shared" si="159"/>
        <v>21162163</v>
      </c>
      <c r="Q260" s="56">
        <f t="shared" si="160"/>
        <v>7617444</v>
      </c>
      <c r="R260" s="13">
        <f t="shared" si="161"/>
        <v>1470.5230698482449</v>
      </c>
      <c r="S260" s="13">
        <f t="shared" si="162"/>
        <v>1081.3020796075828</v>
      </c>
      <c r="T260" s="16">
        <f t="shared" si="163"/>
        <v>389.22099024066222</v>
      </c>
      <c r="U260" s="15">
        <f>+SUMIF('GE16FEB14 Tax Bill Unfudged'!$A$2:$A$498, 'Tax Bill Summary'!$A260, 'GE16FEB14 Tax Bill Unfudged'!E$2:E$498)</f>
        <v>2335980</v>
      </c>
      <c r="V260" s="13">
        <f>+SUMIF('GE16FEB14 Tax Bill Unfudged'!$A$2:$A$498, 'Tax Bill Summary'!$A260, 'GE16FEB14 Tax Bill Unfudged'!F$2:F$498)</f>
        <v>1813945</v>
      </c>
      <c r="W260" s="56">
        <f t="shared" si="164"/>
        <v>522035</v>
      </c>
      <c r="X260" s="51">
        <f>+SUMIF('GE16FEB14 Tax Bill Unfudged'!$A$2:$A$498, 'Tax Bill Summary'!$A260, 'GE16FEB14 Tax Bill Unfudged'!G$2:G$498)</f>
        <v>8298189</v>
      </c>
      <c r="Y260" s="13">
        <f>+SUMIF('GE16FEB14 Tax Bill Unfudged'!$A$2:$A$498, 'Tax Bill Summary'!$A260, 'GE16FEB14 Tax Bill Unfudged'!H$2:H$498)</f>
        <v>6443744</v>
      </c>
      <c r="Z260" s="56">
        <f t="shared" si="165"/>
        <v>1854445</v>
      </c>
      <c r="AA260" s="51">
        <f>+SUMIF('GE16FEB14 Tax Bill Unfudged'!$A$2:$A$498, 'Tax Bill Summary'!$A260, 'GE16FEB14 Tax Bill Unfudged'!I$2:I$498)</f>
        <v>18145438</v>
      </c>
      <c r="AB260" s="13">
        <f>+SUMIF('GE16FEB14 Tax Bill Unfudged'!$A$2:$A$498, 'Tax Bill Summary'!$A260, 'GE16FEB14 Tax Bill Unfudged'!J$2:J$498)</f>
        <v>12904474</v>
      </c>
      <c r="AC260" s="56">
        <f t="shared" si="166"/>
        <v>5240964</v>
      </c>
      <c r="AD260" s="51">
        <f t="shared" si="167"/>
        <v>28779607</v>
      </c>
      <c r="AE260" s="13">
        <f t="shared" si="168"/>
        <v>21162163</v>
      </c>
      <c r="AF260" s="56">
        <f t="shared" si="169"/>
        <v>7617444</v>
      </c>
      <c r="AG260" s="13">
        <f t="shared" si="170"/>
        <v>1470.5230698482449</v>
      </c>
      <c r="AH260" s="13">
        <f t="shared" si="171"/>
        <v>1081.3020796075828</v>
      </c>
      <c r="AI260" s="16">
        <f t="shared" si="172"/>
        <v>389.22099024066222</v>
      </c>
      <c r="AJ260" s="15">
        <f t="shared" si="173"/>
        <v>0</v>
      </c>
      <c r="AK260" s="13">
        <f t="shared" si="174"/>
        <v>0</v>
      </c>
      <c r="AL260" s="56">
        <f t="shared" si="175"/>
        <v>0</v>
      </c>
      <c r="AM260" s="51">
        <f t="shared" si="176"/>
        <v>0</v>
      </c>
      <c r="AN260" s="13">
        <f t="shared" si="177"/>
        <v>0</v>
      </c>
      <c r="AO260" s="56">
        <f t="shared" si="178"/>
        <v>0</v>
      </c>
      <c r="AP260" s="51">
        <f t="shared" si="179"/>
        <v>0</v>
      </c>
      <c r="AQ260" s="13">
        <f t="shared" si="180"/>
        <v>0</v>
      </c>
      <c r="AR260" s="56">
        <f t="shared" si="181"/>
        <v>0</v>
      </c>
      <c r="AS260" s="51">
        <f t="shared" si="182"/>
        <v>0</v>
      </c>
      <c r="AT260" s="13">
        <f t="shared" si="183"/>
        <v>0</v>
      </c>
      <c r="AU260" s="56">
        <f t="shared" si="184"/>
        <v>0</v>
      </c>
      <c r="AV260" s="13">
        <f t="shared" si="185"/>
        <v>0</v>
      </c>
      <c r="AW260" s="13">
        <f t="shared" si="186"/>
        <v>0</v>
      </c>
      <c r="AX260" s="16">
        <f t="shared" si="187"/>
        <v>0</v>
      </c>
    </row>
    <row r="261" spans="1:50" x14ac:dyDescent="0.25">
      <c r="A261" s="20">
        <v>834</v>
      </c>
      <c r="B261">
        <v>1</v>
      </c>
      <c r="C261" s="23" t="s">
        <v>376</v>
      </c>
      <c r="D261" s="23">
        <v>3</v>
      </c>
      <c r="E261" s="15">
        <f>+SUMIF('GE16FEB14 Unfudged'!$A$2:$A$498, $A261, 'GE16FEB14 Unfudged'!$D$2:$D$498)</f>
        <v>8927</v>
      </c>
      <c r="F261" s="15">
        <f>+SUMIF('GE16FEB14 Unfudged'!$A$2:$A$498, 'Tax Bill Summary'!$A261, 'GE16FEB14 Unfudged'!E$2:E$498)</f>
        <v>714175</v>
      </c>
      <c r="G261" s="13">
        <f>+SUMIF('GE16FEB14 Unfudged'!$A$2:$A$498, 'Tax Bill Summary'!$A261, 'GE16FEB14 Unfudged'!F$2:F$498)</f>
        <v>714175</v>
      </c>
      <c r="H261" s="56">
        <f t="shared" si="155"/>
        <v>0</v>
      </c>
      <c r="I261" s="51">
        <f>+SUMIF('GE16FEB14 Unfudged'!$A$2:$A$498, 'Tax Bill Summary'!$A261, 'GE16FEB14 Unfudged'!G$2:G$498)</f>
        <v>3785048</v>
      </c>
      <c r="J261" s="13">
        <f>+SUMIF('GE16FEB14 Unfudged'!$A$2:$A$498, 'Tax Bill Summary'!$A261, 'GE16FEB14 Unfudged'!H$2:H$498)</f>
        <v>3785048</v>
      </c>
      <c r="K261" s="56">
        <f t="shared" si="156"/>
        <v>0</v>
      </c>
      <c r="L261" s="51">
        <f>+SUMIF('GE16FEB14 Unfudged'!$A$2:$A$498, 'Tax Bill Summary'!$A261, 'GE16FEB14 Unfudged'!I$2:IF$498)</f>
        <v>12853541</v>
      </c>
      <c r="M261" s="13">
        <f>+SUMIF('GE16FEB14 Unfudged'!$A$2:$A$498, 'Tax Bill Summary'!$A261, 'GE16FEB14 Unfudged'!J$2:IG$498)</f>
        <v>12282465</v>
      </c>
      <c r="N261" s="56">
        <f t="shared" si="157"/>
        <v>571076</v>
      </c>
      <c r="O261" s="51">
        <f t="shared" si="158"/>
        <v>17352764</v>
      </c>
      <c r="P261" s="13">
        <f t="shared" si="159"/>
        <v>16781688</v>
      </c>
      <c r="Q261" s="56">
        <f t="shared" si="160"/>
        <v>571076</v>
      </c>
      <c r="R261" s="13">
        <f t="shared" si="161"/>
        <v>1943.8516858967178</v>
      </c>
      <c r="S261" s="13">
        <f t="shared" si="162"/>
        <v>1879.8799148650162</v>
      </c>
      <c r="T261" s="16">
        <f t="shared" si="163"/>
        <v>63.971771031701579</v>
      </c>
      <c r="U261" s="15">
        <f>+SUMIF('GE16FEB14 Tax Bill Unfudged'!$A$2:$A$498, 'Tax Bill Summary'!$A261, 'GE16FEB14 Tax Bill Unfudged'!E$2:E$498)</f>
        <v>714175</v>
      </c>
      <c r="V261" s="13">
        <f>+SUMIF('GE16FEB14 Tax Bill Unfudged'!$A$2:$A$498, 'Tax Bill Summary'!$A261, 'GE16FEB14 Tax Bill Unfudged'!F$2:F$498)</f>
        <v>714175</v>
      </c>
      <c r="W261" s="56">
        <f t="shared" si="164"/>
        <v>0</v>
      </c>
      <c r="X261" s="51">
        <f>+SUMIF('GE16FEB14 Tax Bill Unfudged'!$A$2:$A$498, 'Tax Bill Summary'!$A261, 'GE16FEB14 Tax Bill Unfudged'!G$2:G$498)</f>
        <v>3785048</v>
      </c>
      <c r="Y261" s="13">
        <f>+SUMIF('GE16FEB14 Tax Bill Unfudged'!$A$2:$A$498, 'Tax Bill Summary'!$A261, 'GE16FEB14 Tax Bill Unfudged'!H$2:H$498)</f>
        <v>3785048</v>
      </c>
      <c r="Z261" s="56">
        <f t="shared" si="165"/>
        <v>0</v>
      </c>
      <c r="AA261" s="51">
        <f>+SUMIF('GE16FEB14 Tax Bill Unfudged'!$A$2:$A$498, 'Tax Bill Summary'!$A261, 'GE16FEB14 Tax Bill Unfudged'!I$2:I$498)</f>
        <v>12853541</v>
      </c>
      <c r="AB261" s="13">
        <f>+SUMIF('GE16FEB14 Tax Bill Unfudged'!$A$2:$A$498, 'Tax Bill Summary'!$A261, 'GE16FEB14 Tax Bill Unfudged'!J$2:J$498)</f>
        <v>12282465</v>
      </c>
      <c r="AC261" s="56">
        <f t="shared" si="166"/>
        <v>571076</v>
      </c>
      <c r="AD261" s="51">
        <f t="shared" si="167"/>
        <v>17352764</v>
      </c>
      <c r="AE261" s="13">
        <f t="shared" si="168"/>
        <v>16781688</v>
      </c>
      <c r="AF261" s="56">
        <f t="shared" si="169"/>
        <v>571076</v>
      </c>
      <c r="AG261" s="13">
        <f t="shared" si="170"/>
        <v>1943.8516858967178</v>
      </c>
      <c r="AH261" s="13">
        <f t="shared" si="171"/>
        <v>1879.8799148650162</v>
      </c>
      <c r="AI261" s="16">
        <f t="shared" si="172"/>
        <v>63.971771031701579</v>
      </c>
      <c r="AJ261" s="15">
        <f t="shared" si="173"/>
        <v>0</v>
      </c>
      <c r="AK261" s="13">
        <f t="shared" si="174"/>
        <v>0</v>
      </c>
      <c r="AL261" s="56">
        <f t="shared" si="175"/>
        <v>0</v>
      </c>
      <c r="AM261" s="51">
        <f t="shared" si="176"/>
        <v>0</v>
      </c>
      <c r="AN261" s="13">
        <f t="shared" si="177"/>
        <v>0</v>
      </c>
      <c r="AO261" s="56">
        <f t="shared" si="178"/>
        <v>0</v>
      </c>
      <c r="AP261" s="51">
        <f t="shared" si="179"/>
        <v>0</v>
      </c>
      <c r="AQ261" s="13">
        <f t="shared" si="180"/>
        <v>0</v>
      </c>
      <c r="AR261" s="56">
        <f t="shared" si="181"/>
        <v>0</v>
      </c>
      <c r="AS261" s="51">
        <f t="shared" si="182"/>
        <v>0</v>
      </c>
      <c r="AT261" s="13">
        <f t="shared" si="183"/>
        <v>0</v>
      </c>
      <c r="AU261" s="56">
        <f t="shared" si="184"/>
        <v>0</v>
      </c>
      <c r="AV261" s="13">
        <f t="shared" si="185"/>
        <v>0</v>
      </c>
      <c r="AW261" s="13">
        <f t="shared" si="186"/>
        <v>0</v>
      </c>
      <c r="AX261" s="16">
        <f t="shared" si="187"/>
        <v>0</v>
      </c>
    </row>
    <row r="262" spans="1:50" x14ac:dyDescent="0.25">
      <c r="A262" s="20">
        <v>836</v>
      </c>
      <c r="B262">
        <v>1</v>
      </c>
      <c r="C262" s="23" t="s">
        <v>377</v>
      </c>
      <c r="D262" s="23">
        <v>6</v>
      </c>
      <c r="E262" s="15">
        <f>+SUMIF('GE16FEB14 Unfudged'!$A$2:$A$498, $A262, 'GE16FEB14 Unfudged'!$D$2:$D$498)</f>
        <v>207</v>
      </c>
      <c r="F262" s="15">
        <f>+SUMIF('GE16FEB14 Unfudged'!$A$2:$A$498, 'Tax Bill Summary'!$A262, 'GE16FEB14 Unfudged'!E$2:E$498)</f>
        <v>14827</v>
      </c>
      <c r="G262" s="13">
        <f>+SUMIF('GE16FEB14 Unfudged'!$A$2:$A$498, 'Tax Bill Summary'!$A262, 'GE16FEB14 Unfudged'!F$2:F$498)</f>
        <v>5509</v>
      </c>
      <c r="H262" s="56">
        <f t="shared" si="155"/>
        <v>9318</v>
      </c>
      <c r="I262" s="51">
        <f>+SUMIF('GE16FEB14 Unfudged'!$A$2:$A$498, 'Tax Bill Summary'!$A262, 'GE16FEB14 Unfudged'!G$2:G$498)</f>
        <v>0</v>
      </c>
      <c r="J262" s="13">
        <f>+SUMIF('GE16FEB14 Unfudged'!$A$2:$A$498, 'Tax Bill Summary'!$A262, 'GE16FEB14 Unfudged'!H$2:H$498)</f>
        <v>0</v>
      </c>
      <c r="K262" s="56">
        <f t="shared" si="156"/>
        <v>0</v>
      </c>
      <c r="L262" s="51">
        <f>+SUMIF('GE16FEB14 Unfudged'!$A$2:$A$498, 'Tax Bill Summary'!$A262, 'GE16FEB14 Unfudged'!I$2:IF$498)</f>
        <v>388525</v>
      </c>
      <c r="M262" s="13">
        <f>+SUMIF('GE16FEB14 Unfudged'!$A$2:$A$498, 'Tax Bill Summary'!$A262, 'GE16FEB14 Unfudged'!J$2:IG$498)</f>
        <v>212303</v>
      </c>
      <c r="N262" s="56">
        <f t="shared" si="157"/>
        <v>176222</v>
      </c>
      <c r="O262" s="51">
        <f t="shared" si="158"/>
        <v>403352</v>
      </c>
      <c r="P262" s="13">
        <f t="shared" si="159"/>
        <v>217812</v>
      </c>
      <c r="Q262" s="56">
        <f t="shared" si="160"/>
        <v>185540</v>
      </c>
      <c r="R262" s="13">
        <f t="shared" si="161"/>
        <v>1948.5603864734298</v>
      </c>
      <c r="S262" s="13">
        <f t="shared" si="162"/>
        <v>1052.231884057971</v>
      </c>
      <c r="T262" s="16">
        <f t="shared" si="163"/>
        <v>896.32850241545896</v>
      </c>
      <c r="U262" s="15">
        <f>+SUMIF('GE16FEB14 Tax Bill Unfudged'!$A$2:$A$498, 'Tax Bill Summary'!$A262, 'GE16FEB14 Tax Bill Unfudged'!E$2:E$498)</f>
        <v>14772</v>
      </c>
      <c r="V262" s="13">
        <f>+SUMIF('GE16FEB14 Tax Bill Unfudged'!$A$2:$A$498, 'Tax Bill Summary'!$A262, 'GE16FEB14 Tax Bill Unfudged'!F$2:F$498)</f>
        <v>5489</v>
      </c>
      <c r="W262" s="56">
        <f t="shared" si="164"/>
        <v>9283</v>
      </c>
      <c r="X262" s="51">
        <f>+SUMIF('GE16FEB14 Tax Bill Unfudged'!$A$2:$A$498, 'Tax Bill Summary'!$A262, 'GE16FEB14 Tax Bill Unfudged'!G$2:G$498)</f>
        <v>87726</v>
      </c>
      <c r="Y262" s="13">
        <f>+SUMIF('GE16FEB14 Tax Bill Unfudged'!$A$2:$A$498, 'Tax Bill Summary'!$A262, 'GE16FEB14 Tax Bill Unfudged'!H$2:H$498)</f>
        <v>32598</v>
      </c>
      <c r="Z262" s="56">
        <f t="shared" si="165"/>
        <v>55128</v>
      </c>
      <c r="AA262" s="51">
        <f>+SUMIF('GE16FEB14 Tax Bill Unfudged'!$A$2:$A$498, 'Tax Bill Summary'!$A262, 'GE16FEB14 Tax Bill Unfudged'!I$2:I$498)</f>
        <v>310110</v>
      </c>
      <c r="AB262" s="13">
        <f>+SUMIF('GE16FEB14 Tax Bill Unfudged'!$A$2:$A$498, 'Tax Bill Summary'!$A262, 'GE16FEB14 Tax Bill Unfudged'!J$2:J$498)</f>
        <v>152020</v>
      </c>
      <c r="AC262" s="56">
        <f t="shared" si="166"/>
        <v>158090</v>
      </c>
      <c r="AD262" s="51">
        <f t="shared" si="167"/>
        <v>412608</v>
      </c>
      <c r="AE262" s="13">
        <f t="shared" si="168"/>
        <v>190107</v>
      </c>
      <c r="AF262" s="56">
        <f t="shared" si="169"/>
        <v>222501</v>
      </c>
      <c r="AG262" s="13">
        <f t="shared" si="170"/>
        <v>1993.2753623188405</v>
      </c>
      <c r="AH262" s="13">
        <f t="shared" si="171"/>
        <v>918.39130434782612</v>
      </c>
      <c r="AI262" s="16">
        <f t="shared" si="172"/>
        <v>1074.8840579710145</v>
      </c>
      <c r="AJ262" s="15">
        <f t="shared" si="173"/>
        <v>-55</v>
      </c>
      <c r="AK262" s="13">
        <f t="shared" si="174"/>
        <v>-20</v>
      </c>
      <c r="AL262" s="56">
        <f t="shared" si="175"/>
        <v>-35</v>
      </c>
      <c r="AM262" s="51">
        <f t="shared" si="176"/>
        <v>87726</v>
      </c>
      <c r="AN262" s="13">
        <f t="shared" si="177"/>
        <v>32598</v>
      </c>
      <c r="AO262" s="56">
        <f t="shared" si="178"/>
        <v>55128</v>
      </c>
      <c r="AP262" s="51">
        <f t="shared" si="179"/>
        <v>-78415</v>
      </c>
      <c r="AQ262" s="13">
        <f t="shared" si="180"/>
        <v>-60283</v>
      </c>
      <c r="AR262" s="56">
        <f t="shared" si="181"/>
        <v>-18132</v>
      </c>
      <c r="AS262" s="51">
        <f t="shared" si="182"/>
        <v>9256</v>
      </c>
      <c r="AT262" s="13">
        <f t="shared" si="183"/>
        <v>-27705</v>
      </c>
      <c r="AU262" s="56">
        <f t="shared" si="184"/>
        <v>36961</v>
      </c>
      <c r="AV262" s="13">
        <f t="shared" si="185"/>
        <v>44.714975845410663</v>
      </c>
      <c r="AW262" s="13">
        <f t="shared" si="186"/>
        <v>-133.84057971014488</v>
      </c>
      <c r="AX262" s="16">
        <f t="shared" si="187"/>
        <v>178.55555555555554</v>
      </c>
    </row>
    <row r="263" spans="1:50" x14ac:dyDescent="0.25">
      <c r="A263" s="20">
        <v>837</v>
      </c>
      <c r="B263">
        <v>2</v>
      </c>
      <c r="C263" s="23" t="s">
        <v>378</v>
      </c>
      <c r="D263" s="23">
        <v>6</v>
      </c>
      <c r="E263" s="15">
        <f>+SUMIF('GE16FEB14 Unfudged'!$A$2:$A$498, $A263, 'GE16FEB14 Unfudged'!$D$2:$D$498)</f>
        <v>510</v>
      </c>
      <c r="F263" s="15">
        <f>+SUMIF('GE16FEB14 Unfudged'!$A$2:$A$498, 'Tax Bill Summary'!$A263, 'GE16FEB14 Unfudged'!E$2:E$498)</f>
        <v>49174</v>
      </c>
      <c r="G263" s="13">
        <f>+SUMIF('GE16FEB14 Unfudged'!$A$2:$A$498, 'Tax Bill Summary'!$A263, 'GE16FEB14 Unfudged'!F$2:F$498)</f>
        <v>27175</v>
      </c>
      <c r="H263" s="56">
        <f t="shared" si="155"/>
        <v>21999</v>
      </c>
      <c r="I263" s="51">
        <f>+SUMIF('GE16FEB14 Unfudged'!$A$2:$A$498, 'Tax Bill Summary'!$A263, 'GE16FEB14 Unfudged'!G$2:G$498)</f>
        <v>0</v>
      </c>
      <c r="J263" s="13">
        <f>+SUMIF('GE16FEB14 Unfudged'!$A$2:$A$498, 'Tax Bill Summary'!$A263, 'GE16FEB14 Unfudged'!H$2:H$498)</f>
        <v>0</v>
      </c>
      <c r="K263" s="56">
        <f t="shared" si="156"/>
        <v>0</v>
      </c>
      <c r="L263" s="51">
        <f>+SUMIF('GE16FEB14 Unfudged'!$A$2:$A$498, 'Tax Bill Summary'!$A263, 'GE16FEB14 Unfudged'!I$2:IF$498)</f>
        <v>682646</v>
      </c>
      <c r="M263" s="13">
        <f>+SUMIF('GE16FEB14 Unfudged'!$A$2:$A$498, 'Tax Bill Summary'!$A263, 'GE16FEB14 Unfudged'!J$2:IG$498)</f>
        <v>465359</v>
      </c>
      <c r="N263" s="56">
        <f t="shared" si="157"/>
        <v>217287</v>
      </c>
      <c r="O263" s="51">
        <f t="shared" si="158"/>
        <v>731820</v>
      </c>
      <c r="P263" s="13">
        <f t="shared" si="159"/>
        <v>492534</v>
      </c>
      <c r="Q263" s="56">
        <f t="shared" si="160"/>
        <v>239286</v>
      </c>
      <c r="R263" s="13">
        <f t="shared" si="161"/>
        <v>1434.9411764705883</v>
      </c>
      <c r="S263" s="13">
        <f t="shared" si="162"/>
        <v>965.75294117647059</v>
      </c>
      <c r="T263" s="16">
        <f t="shared" si="163"/>
        <v>469.18823529411765</v>
      </c>
      <c r="U263" s="15">
        <f>+SUMIF('GE16FEB14 Tax Bill Unfudged'!$A$2:$A$498, 'Tax Bill Summary'!$A263, 'GE16FEB14 Tax Bill Unfudged'!E$2:E$498)</f>
        <v>54478</v>
      </c>
      <c r="V263" s="13">
        <f>+SUMIF('GE16FEB14 Tax Bill Unfudged'!$A$2:$A$498, 'Tax Bill Summary'!$A263, 'GE16FEB14 Tax Bill Unfudged'!F$2:F$498)</f>
        <v>30106</v>
      </c>
      <c r="W263" s="56">
        <f t="shared" si="164"/>
        <v>24372</v>
      </c>
      <c r="X263" s="51">
        <f>+SUMIF('GE16FEB14 Tax Bill Unfudged'!$A$2:$A$498, 'Tax Bill Summary'!$A263, 'GE16FEB14 Tax Bill Unfudged'!G$2:G$498)</f>
        <v>216282</v>
      </c>
      <c r="Y263" s="13">
        <f>+SUMIF('GE16FEB14 Tax Bill Unfudged'!$A$2:$A$498, 'Tax Bill Summary'!$A263, 'GE16FEB14 Tax Bill Unfudged'!H$2:H$498)</f>
        <v>119525</v>
      </c>
      <c r="Z263" s="56">
        <f t="shared" si="165"/>
        <v>96757</v>
      </c>
      <c r="AA263" s="51">
        <f>+SUMIF('GE16FEB14 Tax Bill Unfudged'!$A$2:$A$498, 'Tax Bill Summary'!$A263, 'GE16FEB14 Tax Bill Unfudged'!I$2:I$498)</f>
        <v>466364</v>
      </c>
      <c r="AB263" s="13">
        <f>+SUMIF('GE16FEB14 Tax Bill Unfudged'!$A$2:$A$498, 'Tax Bill Summary'!$A263, 'GE16FEB14 Tax Bill Unfudged'!J$2:J$498)</f>
        <v>255160</v>
      </c>
      <c r="AC263" s="56">
        <f t="shared" si="166"/>
        <v>211204</v>
      </c>
      <c r="AD263" s="51">
        <f t="shared" si="167"/>
        <v>737124</v>
      </c>
      <c r="AE263" s="13">
        <f t="shared" si="168"/>
        <v>404791</v>
      </c>
      <c r="AF263" s="56">
        <f t="shared" si="169"/>
        <v>332333</v>
      </c>
      <c r="AG263" s="13">
        <f t="shared" si="170"/>
        <v>1445.3411764705882</v>
      </c>
      <c r="AH263" s="13">
        <f t="shared" si="171"/>
        <v>793.70784313725494</v>
      </c>
      <c r="AI263" s="16">
        <f t="shared" si="172"/>
        <v>651.63333333333333</v>
      </c>
      <c r="AJ263" s="15">
        <f t="shared" si="173"/>
        <v>5304</v>
      </c>
      <c r="AK263" s="13">
        <f t="shared" si="174"/>
        <v>2931</v>
      </c>
      <c r="AL263" s="56">
        <f t="shared" si="175"/>
        <v>2373</v>
      </c>
      <c r="AM263" s="51">
        <f t="shared" si="176"/>
        <v>216282</v>
      </c>
      <c r="AN263" s="13">
        <f t="shared" si="177"/>
        <v>119525</v>
      </c>
      <c r="AO263" s="56">
        <f t="shared" si="178"/>
        <v>96757</v>
      </c>
      <c r="AP263" s="51">
        <f t="shared" si="179"/>
        <v>-216282</v>
      </c>
      <c r="AQ263" s="13">
        <f t="shared" si="180"/>
        <v>-210199</v>
      </c>
      <c r="AR263" s="56">
        <f t="shared" si="181"/>
        <v>-6083</v>
      </c>
      <c r="AS263" s="51">
        <f t="shared" si="182"/>
        <v>5304</v>
      </c>
      <c r="AT263" s="13">
        <f t="shared" si="183"/>
        <v>-87743</v>
      </c>
      <c r="AU263" s="56">
        <f t="shared" si="184"/>
        <v>93047</v>
      </c>
      <c r="AV263" s="13">
        <f t="shared" si="185"/>
        <v>10.399999999999864</v>
      </c>
      <c r="AW263" s="13">
        <f t="shared" si="186"/>
        <v>-172.04509803921565</v>
      </c>
      <c r="AX263" s="16">
        <f t="shared" si="187"/>
        <v>182.44509803921568</v>
      </c>
    </row>
    <row r="264" spans="1:50" x14ac:dyDescent="0.25">
      <c r="A264" s="20">
        <v>840</v>
      </c>
      <c r="B264">
        <v>1</v>
      </c>
      <c r="C264" s="23" t="s">
        <v>379</v>
      </c>
      <c r="D264" s="23">
        <v>5</v>
      </c>
      <c r="E264" s="15">
        <f>+SUMIF('GE16FEB14 Unfudged'!$A$2:$A$498, $A264, 'GE16FEB14 Unfudged'!$D$2:$D$498)</f>
        <v>1043</v>
      </c>
      <c r="F264" s="15">
        <f>+SUMIF('GE16FEB14 Unfudged'!$A$2:$A$498, 'Tax Bill Summary'!$A264, 'GE16FEB14 Unfudged'!E$2:E$498)</f>
        <v>119357</v>
      </c>
      <c r="G264" s="13">
        <f>+SUMIF('GE16FEB14 Unfudged'!$A$2:$A$498, 'Tax Bill Summary'!$A264, 'GE16FEB14 Unfudged'!F$2:F$498)</f>
        <v>54565</v>
      </c>
      <c r="H264" s="56">
        <f t="shared" si="155"/>
        <v>64792</v>
      </c>
      <c r="I264" s="51">
        <f>+SUMIF('GE16FEB14 Unfudged'!$A$2:$A$498, 'Tax Bill Summary'!$A264, 'GE16FEB14 Unfudged'!G$2:G$498)</f>
        <v>0</v>
      </c>
      <c r="J264" s="13">
        <f>+SUMIF('GE16FEB14 Unfudged'!$A$2:$A$498, 'Tax Bill Summary'!$A264, 'GE16FEB14 Unfudged'!H$2:H$498)</f>
        <v>0</v>
      </c>
      <c r="K264" s="56">
        <f t="shared" si="156"/>
        <v>0</v>
      </c>
      <c r="L264" s="51">
        <f>+SUMIF('GE16FEB14 Unfudged'!$A$2:$A$498, 'Tax Bill Summary'!$A264, 'GE16FEB14 Unfudged'!I$2:IF$498)</f>
        <v>985468</v>
      </c>
      <c r="M264" s="13">
        <f>+SUMIF('GE16FEB14 Unfudged'!$A$2:$A$498, 'Tax Bill Summary'!$A264, 'GE16FEB14 Unfudged'!J$2:IG$498)</f>
        <v>457233</v>
      </c>
      <c r="N264" s="56">
        <f t="shared" si="157"/>
        <v>528235</v>
      </c>
      <c r="O264" s="51">
        <f t="shared" si="158"/>
        <v>1104825</v>
      </c>
      <c r="P264" s="13">
        <f t="shared" si="159"/>
        <v>511798</v>
      </c>
      <c r="Q264" s="56">
        <f t="shared" si="160"/>
        <v>593027</v>
      </c>
      <c r="R264" s="13">
        <f t="shared" si="161"/>
        <v>1059.2761265580057</v>
      </c>
      <c r="S264" s="13">
        <f t="shared" si="162"/>
        <v>490.69798657718121</v>
      </c>
      <c r="T264" s="16">
        <f t="shared" si="163"/>
        <v>568.57813998082452</v>
      </c>
      <c r="U264" s="15">
        <f>+SUMIF('GE16FEB14 Tax Bill Unfudged'!$A$2:$A$498, 'Tax Bill Summary'!$A264, 'GE16FEB14 Tax Bill Unfudged'!E$2:E$498)</f>
        <v>136242</v>
      </c>
      <c r="V264" s="13">
        <f>+SUMIF('GE16FEB14 Tax Bill Unfudged'!$A$2:$A$498, 'Tax Bill Summary'!$A264, 'GE16FEB14 Tax Bill Unfudged'!F$2:F$498)</f>
        <v>62284</v>
      </c>
      <c r="W264" s="56">
        <f t="shared" si="164"/>
        <v>73958</v>
      </c>
      <c r="X264" s="51">
        <f>+SUMIF('GE16FEB14 Tax Bill Unfudged'!$A$2:$A$498, 'Tax Bill Summary'!$A264, 'GE16FEB14 Tax Bill Unfudged'!G$2:G$498)</f>
        <v>442232</v>
      </c>
      <c r="Y264" s="13">
        <f>+SUMIF('GE16FEB14 Tax Bill Unfudged'!$A$2:$A$498, 'Tax Bill Summary'!$A264, 'GE16FEB14 Tax Bill Unfudged'!H$2:H$498)</f>
        <v>202170</v>
      </c>
      <c r="Z264" s="56">
        <f t="shared" si="165"/>
        <v>240062</v>
      </c>
      <c r="AA264" s="51">
        <f>+SUMIF('GE16FEB14 Tax Bill Unfudged'!$A$2:$A$498, 'Tax Bill Summary'!$A264, 'GE16FEB14 Tax Bill Unfudged'!I$2:I$498)</f>
        <v>543236</v>
      </c>
      <c r="AB264" s="13">
        <f>+SUMIF('GE16FEB14 Tax Bill Unfudged'!$A$2:$A$498, 'Tax Bill Summary'!$A264, 'GE16FEB14 Tax Bill Unfudged'!J$2:J$498)</f>
        <v>188201</v>
      </c>
      <c r="AC264" s="56">
        <f t="shared" si="166"/>
        <v>355035</v>
      </c>
      <c r="AD264" s="51">
        <f t="shared" si="167"/>
        <v>1121710</v>
      </c>
      <c r="AE264" s="13">
        <f t="shared" si="168"/>
        <v>452655</v>
      </c>
      <c r="AF264" s="56">
        <f t="shared" si="169"/>
        <v>669055</v>
      </c>
      <c r="AG264" s="13">
        <f t="shared" si="170"/>
        <v>1075.465004793864</v>
      </c>
      <c r="AH264" s="13">
        <f t="shared" si="171"/>
        <v>433.99328859060404</v>
      </c>
      <c r="AI264" s="16">
        <f t="shared" si="172"/>
        <v>641.4717162032598</v>
      </c>
      <c r="AJ264" s="15">
        <f t="shared" si="173"/>
        <v>16885</v>
      </c>
      <c r="AK264" s="13">
        <f t="shared" si="174"/>
        <v>7719</v>
      </c>
      <c r="AL264" s="56">
        <f t="shared" si="175"/>
        <v>9166</v>
      </c>
      <c r="AM264" s="51">
        <f t="shared" si="176"/>
        <v>442232</v>
      </c>
      <c r="AN264" s="13">
        <f t="shared" si="177"/>
        <v>202170</v>
      </c>
      <c r="AO264" s="56">
        <f t="shared" si="178"/>
        <v>240062</v>
      </c>
      <c r="AP264" s="51">
        <f t="shared" si="179"/>
        <v>-442232</v>
      </c>
      <c r="AQ264" s="13">
        <f t="shared" si="180"/>
        <v>-269032</v>
      </c>
      <c r="AR264" s="56">
        <f t="shared" si="181"/>
        <v>-173200</v>
      </c>
      <c r="AS264" s="51">
        <f t="shared" si="182"/>
        <v>16885</v>
      </c>
      <c r="AT264" s="13">
        <f t="shared" si="183"/>
        <v>-59143</v>
      </c>
      <c r="AU264" s="56">
        <f t="shared" si="184"/>
        <v>76028</v>
      </c>
      <c r="AV264" s="13">
        <f t="shared" si="185"/>
        <v>16.188878235858283</v>
      </c>
      <c r="AW264" s="13">
        <f t="shared" si="186"/>
        <v>-56.704697986577173</v>
      </c>
      <c r="AX264" s="16">
        <f t="shared" si="187"/>
        <v>72.893576222435286</v>
      </c>
    </row>
    <row r="265" spans="1:50" x14ac:dyDescent="0.25">
      <c r="A265" s="20">
        <v>846</v>
      </c>
      <c r="B265">
        <v>1</v>
      </c>
      <c r="C265" s="23" t="s">
        <v>380</v>
      </c>
      <c r="D265" s="23">
        <v>6</v>
      </c>
      <c r="E265" s="15">
        <f>+SUMIF('GE16FEB14 Unfudged'!$A$2:$A$498, $A265, 'GE16FEB14 Unfudged'!$D$2:$D$498)</f>
        <v>748</v>
      </c>
      <c r="F265" s="15">
        <f>+SUMIF('GE16FEB14 Unfudged'!$A$2:$A$498, 'Tax Bill Summary'!$A265, 'GE16FEB14 Unfudged'!E$2:E$498)</f>
        <v>75372</v>
      </c>
      <c r="G265" s="13">
        <f>+SUMIF('GE16FEB14 Unfudged'!$A$2:$A$498, 'Tax Bill Summary'!$A265, 'GE16FEB14 Unfudged'!F$2:F$498)</f>
        <v>41781</v>
      </c>
      <c r="H265" s="56">
        <f t="shared" si="155"/>
        <v>33591</v>
      </c>
      <c r="I265" s="51">
        <f>+SUMIF('GE16FEB14 Unfudged'!$A$2:$A$498, 'Tax Bill Summary'!$A265, 'GE16FEB14 Unfudged'!G$2:G$498)</f>
        <v>0</v>
      </c>
      <c r="J265" s="13">
        <f>+SUMIF('GE16FEB14 Unfudged'!$A$2:$A$498, 'Tax Bill Summary'!$A265, 'GE16FEB14 Unfudged'!H$2:H$498)</f>
        <v>0</v>
      </c>
      <c r="K265" s="56">
        <f t="shared" si="156"/>
        <v>0</v>
      </c>
      <c r="L265" s="51">
        <f>+SUMIF('GE16FEB14 Unfudged'!$A$2:$A$498, 'Tax Bill Summary'!$A265, 'GE16FEB14 Unfudged'!I$2:IF$498)</f>
        <v>929801</v>
      </c>
      <c r="M265" s="13">
        <f>+SUMIF('GE16FEB14 Unfudged'!$A$2:$A$498, 'Tax Bill Summary'!$A265, 'GE16FEB14 Unfudged'!J$2:IG$498)</f>
        <v>615065</v>
      </c>
      <c r="N265" s="56">
        <f t="shared" si="157"/>
        <v>314736</v>
      </c>
      <c r="O265" s="51">
        <f t="shared" si="158"/>
        <v>1005173</v>
      </c>
      <c r="P265" s="13">
        <f t="shared" si="159"/>
        <v>656846</v>
      </c>
      <c r="Q265" s="56">
        <f t="shared" si="160"/>
        <v>348327</v>
      </c>
      <c r="R265" s="13">
        <f t="shared" si="161"/>
        <v>1343.8141711229946</v>
      </c>
      <c r="S265" s="13">
        <f t="shared" si="162"/>
        <v>878.13636363636363</v>
      </c>
      <c r="T265" s="16">
        <f t="shared" si="163"/>
        <v>465.67780748663102</v>
      </c>
      <c r="U265" s="15">
        <f>+SUMIF('GE16FEB14 Tax Bill Unfudged'!$A$2:$A$498, 'Tax Bill Summary'!$A265, 'GE16FEB14 Tax Bill Unfudged'!E$2:E$498)</f>
        <v>84199</v>
      </c>
      <c r="V265" s="13">
        <f>+SUMIF('GE16FEB14 Tax Bill Unfudged'!$A$2:$A$498, 'Tax Bill Summary'!$A265, 'GE16FEB14 Tax Bill Unfudged'!F$2:F$498)</f>
        <v>46674</v>
      </c>
      <c r="W265" s="56">
        <f t="shared" si="164"/>
        <v>37525</v>
      </c>
      <c r="X265" s="51">
        <f>+SUMIF('GE16FEB14 Tax Bill Unfudged'!$A$2:$A$498, 'Tax Bill Summary'!$A265, 'GE16FEB14 Tax Bill Unfudged'!G$2:G$498)</f>
        <v>317152</v>
      </c>
      <c r="Y265" s="13">
        <f>+SUMIF('GE16FEB14 Tax Bill Unfudged'!$A$2:$A$498, 'Tax Bill Summary'!$A265, 'GE16FEB14 Tax Bill Unfudged'!H$2:H$498)</f>
        <v>175808</v>
      </c>
      <c r="Z265" s="56">
        <f t="shared" si="165"/>
        <v>141344</v>
      </c>
      <c r="AA265" s="51">
        <f>+SUMIF('GE16FEB14 Tax Bill Unfudged'!$A$2:$A$498, 'Tax Bill Summary'!$A265, 'GE16FEB14 Tax Bill Unfudged'!I$2:I$498)</f>
        <v>612649</v>
      </c>
      <c r="AB265" s="13">
        <f>+SUMIF('GE16FEB14 Tax Bill Unfudged'!$A$2:$A$498, 'Tax Bill Summary'!$A265, 'GE16FEB14 Tax Bill Unfudged'!J$2:J$498)</f>
        <v>305885</v>
      </c>
      <c r="AC265" s="56">
        <f t="shared" si="166"/>
        <v>306764</v>
      </c>
      <c r="AD265" s="51">
        <f t="shared" si="167"/>
        <v>1014000</v>
      </c>
      <c r="AE265" s="13">
        <f t="shared" si="168"/>
        <v>528367</v>
      </c>
      <c r="AF265" s="56">
        <f t="shared" si="169"/>
        <v>485633</v>
      </c>
      <c r="AG265" s="13">
        <f t="shared" si="170"/>
        <v>1355.614973262032</v>
      </c>
      <c r="AH265" s="13">
        <f t="shared" si="171"/>
        <v>706.37299465240642</v>
      </c>
      <c r="AI265" s="16">
        <f t="shared" si="172"/>
        <v>649.24197860962568</v>
      </c>
      <c r="AJ265" s="15">
        <f t="shared" si="173"/>
        <v>8827</v>
      </c>
      <c r="AK265" s="13">
        <f t="shared" si="174"/>
        <v>4893</v>
      </c>
      <c r="AL265" s="56">
        <f t="shared" si="175"/>
        <v>3934</v>
      </c>
      <c r="AM265" s="51">
        <f t="shared" si="176"/>
        <v>317152</v>
      </c>
      <c r="AN265" s="13">
        <f t="shared" si="177"/>
        <v>175808</v>
      </c>
      <c r="AO265" s="56">
        <f t="shared" si="178"/>
        <v>141344</v>
      </c>
      <c r="AP265" s="51">
        <f t="shared" si="179"/>
        <v>-317152</v>
      </c>
      <c r="AQ265" s="13">
        <f t="shared" si="180"/>
        <v>-309180</v>
      </c>
      <c r="AR265" s="56">
        <f t="shared" si="181"/>
        <v>-7972</v>
      </c>
      <c r="AS265" s="51">
        <f t="shared" si="182"/>
        <v>8827</v>
      </c>
      <c r="AT265" s="13">
        <f t="shared" si="183"/>
        <v>-128479</v>
      </c>
      <c r="AU265" s="56">
        <f t="shared" si="184"/>
        <v>137306</v>
      </c>
      <c r="AV265" s="13">
        <f t="shared" si="185"/>
        <v>11.800802139037387</v>
      </c>
      <c r="AW265" s="13">
        <f t="shared" si="186"/>
        <v>-171.76336898395721</v>
      </c>
      <c r="AX265" s="16">
        <f t="shared" si="187"/>
        <v>183.56417112299465</v>
      </c>
    </row>
    <row r="266" spans="1:50" x14ac:dyDescent="0.25">
      <c r="A266" s="20">
        <v>850</v>
      </c>
      <c r="B266">
        <v>1</v>
      </c>
      <c r="C266" s="23" t="s">
        <v>381</v>
      </c>
      <c r="D266" s="23">
        <v>6</v>
      </c>
      <c r="E266" s="15">
        <f>+SUMIF('GE16FEB14 Unfudged'!$A$2:$A$498, $A266, 'GE16FEB14 Unfudged'!$D$2:$D$498)</f>
        <v>291</v>
      </c>
      <c r="F266" s="15">
        <f>+SUMIF('GE16FEB14 Unfudged'!$A$2:$A$498, 'Tax Bill Summary'!$A266, 'GE16FEB14 Unfudged'!E$2:E$498)</f>
        <v>21860</v>
      </c>
      <c r="G266" s="13">
        <f>+SUMIF('GE16FEB14 Unfudged'!$A$2:$A$498, 'Tax Bill Summary'!$A266, 'GE16FEB14 Unfudged'!F$2:F$498)</f>
        <v>9552</v>
      </c>
      <c r="H266" s="56">
        <f t="shared" si="155"/>
        <v>12308</v>
      </c>
      <c r="I266" s="51">
        <f>+SUMIF('GE16FEB14 Unfudged'!$A$2:$A$498, 'Tax Bill Summary'!$A266, 'GE16FEB14 Unfudged'!G$2:G$498)</f>
        <v>0</v>
      </c>
      <c r="J266" s="13">
        <f>+SUMIF('GE16FEB14 Unfudged'!$A$2:$A$498, 'Tax Bill Summary'!$A266, 'GE16FEB14 Unfudged'!H$2:H$498)</f>
        <v>0</v>
      </c>
      <c r="K266" s="56">
        <f t="shared" si="156"/>
        <v>0</v>
      </c>
      <c r="L266" s="51">
        <f>+SUMIF('GE16FEB14 Unfudged'!$A$2:$A$498, 'Tax Bill Summary'!$A266, 'GE16FEB14 Unfudged'!I$2:IF$498)</f>
        <v>524504</v>
      </c>
      <c r="M266" s="13">
        <f>+SUMIF('GE16FEB14 Unfudged'!$A$2:$A$498, 'Tax Bill Summary'!$A266, 'GE16FEB14 Unfudged'!J$2:IG$498)</f>
        <v>313702</v>
      </c>
      <c r="N266" s="56">
        <f t="shared" si="157"/>
        <v>210802</v>
      </c>
      <c r="O266" s="51">
        <f t="shared" si="158"/>
        <v>546364</v>
      </c>
      <c r="P266" s="13">
        <f t="shared" si="159"/>
        <v>323254</v>
      </c>
      <c r="Q266" s="56">
        <f t="shared" si="160"/>
        <v>223110</v>
      </c>
      <c r="R266" s="13">
        <f t="shared" si="161"/>
        <v>1877.5395189003436</v>
      </c>
      <c r="S266" s="13">
        <f t="shared" si="162"/>
        <v>1110.8384879725086</v>
      </c>
      <c r="T266" s="16">
        <f t="shared" si="163"/>
        <v>766.70103092783506</v>
      </c>
      <c r="U266" s="15">
        <f>+SUMIF('GE16FEB14 Tax Bill Unfudged'!$A$2:$A$498, 'Tax Bill Summary'!$A266, 'GE16FEB14 Tax Bill Unfudged'!E$2:E$498)</f>
        <v>22899</v>
      </c>
      <c r="V266" s="13">
        <f>+SUMIF('GE16FEB14 Tax Bill Unfudged'!$A$2:$A$498, 'Tax Bill Summary'!$A266, 'GE16FEB14 Tax Bill Unfudged'!F$2:F$498)</f>
        <v>10006</v>
      </c>
      <c r="W266" s="56">
        <f t="shared" si="164"/>
        <v>12893</v>
      </c>
      <c r="X266" s="51">
        <f>+SUMIF('GE16FEB14 Tax Bill Unfudged'!$A$2:$A$498, 'Tax Bill Summary'!$A266, 'GE16FEB14 Tax Bill Unfudged'!G$2:G$498)</f>
        <v>123384</v>
      </c>
      <c r="Y266" s="13">
        <f>+SUMIF('GE16FEB14 Tax Bill Unfudged'!$A$2:$A$498, 'Tax Bill Summary'!$A266, 'GE16FEB14 Tax Bill Unfudged'!H$2:H$498)</f>
        <v>53914</v>
      </c>
      <c r="Z266" s="56">
        <f t="shared" si="165"/>
        <v>69470</v>
      </c>
      <c r="AA266" s="51">
        <f>+SUMIF('GE16FEB14 Tax Bill Unfudged'!$A$2:$A$498, 'Tax Bill Summary'!$A266, 'GE16FEB14 Tax Bill Unfudged'!I$2:I$498)</f>
        <v>401120</v>
      </c>
      <c r="AB266" s="13">
        <f>+SUMIF('GE16FEB14 Tax Bill Unfudged'!$A$2:$A$498, 'Tax Bill Summary'!$A266, 'GE16FEB14 Tax Bill Unfudged'!J$2:J$498)</f>
        <v>218888</v>
      </c>
      <c r="AC266" s="56">
        <f t="shared" si="166"/>
        <v>182232</v>
      </c>
      <c r="AD266" s="51">
        <f t="shared" si="167"/>
        <v>547403</v>
      </c>
      <c r="AE266" s="13">
        <f t="shared" si="168"/>
        <v>282808</v>
      </c>
      <c r="AF266" s="56">
        <f t="shared" si="169"/>
        <v>264595</v>
      </c>
      <c r="AG266" s="13">
        <f t="shared" si="170"/>
        <v>1881.1099656357389</v>
      </c>
      <c r="AH266" s="13">
        <f t="shared" si="171"/>
        <v>971.84879725085909</v>
      </c>
      <c r="AI266" s="16">
        <f t="shared" si="172"/>
        <v>909.26116838487974</v>
      </c>
      <c r="AJ266" s="15">
        <f t="shared" si="173"/>
        <v>1039</v>
      </c>
      <c r="AK266" s="13">
        <f t="shared" si="174"/>
        <v>454</v>
      </c>
      <c r="AL266" s="56">
        <f t="shared" si="175"/>
        <v>585</v>
      </c>
      <c r="AM266" s="51">
        <f t="shared" si="176"/>
        <v>123384</v>
      </c>
      <c r="AN266" s="13">
        <f t="shared" si="177"/>
        <v>53914</v>
      </c>
      <c r="AO266" s="56">
        <f t="shared" si="178"/>
        <v>69470</v>
      </c>
      <c r="AP266" s="51">
        <f t="shared" si="179"/>
        <v>-123384</v>
      </c>
      <c r="AQ266" s="13">
        <f t="shared" si="180"/>
        <v>-94814</v>
      </c>
      <c r="AR266" s="56">
        <f t="shared" si="181"/>
        <v>-28570</v>
      </c>
      <c r="AS266" s="51">
        <f t="shared" si="182"/>
        <v>1039</v>
      </c>
      <c r="AT266" s="13">
        <f t="shared" si="183"/>
        <v>-40446</v>
      </c>
      <c r="AU266" s="56">
        <f t="shared" si="184"/>
        <v>41485</v>
      </c>
      <c r="AV266" s="13">
        <f t="shared" si="185"/>
        <v>3.5704467353953078</v>
      </c>
      <c r="AW266" s="13">
        <f t="shared" si="186"/>
        <v>-138.98969072164948</v>
      </c>
      <c r="AX266" s="16">
        <f t="shared" si="187"/>
        <v>142.56013745704468</v>
      </c>
    </row>
    <row r="267" spans="1:50" x14ac:dyDescent="0.25">
      <c r="A267" s="20">
        <v>852</v>
      </c>
      <c r="B267">
        <v>1</v>
      </c>
      <c r="C267" s="23" t="s">
        <v>382</v>
      </c>
      <c r="D267" s="23">
        <v>6</v>
      </c>
      <c r="E267" s="15">
        <f>+SUMIF('GE16FEB14 Unfudged'!$A$2:$A$498, $A267, 'GE16FEB14 Unfudged'!$D$2:$D$498)</f>
        <v>125</v>
      </c>
      <c r="F267" s="15">
        <f>+SUMIF('GE16FEB14 Unfudged'!$A$2:$A$498, 'Tax Bill Summary'!$A267, 'GE16FEB14 Unfudged'!E$2:E$498)</f>
        <v>6250</v>
      </c>
      <c r="G267" s="13">
        <f>+SUMIF('GE16FEB14 Unfudged'!$A$2:$A$498, 'Tax Bill Summary'!$A267, 'GE16FEB14 Unfudged'!F$2:F$498)</f>
        <v>4039</v>
      </c>
      <c r="H267" s="56">
        <f t="shared" si="155"/>
        <v>2211</v>
      </c>
      <c r="I267" s="51">
        <f>+SUMIF('GE16FEB14 Unfudged'!$A$2:$A$498, 'Tax Bill Summary'!$A267, 'GE16FEB14 Unfudged'!G$2:G$498)</f>
        <v>0</v>
      </c>
      <c r="J267" s="13">
        <f>+SUMIF('GE16FEB14 Unfudged'!$A$2:$A$498, 'Tax Bill Summary'!$A267, 'GE16FEB14 Unfudged'!H$2:H$498)</f>
        <v>0</v>
      </c>
      <c r="K267" s="56">
        <f t="shared" si="156"/>
        <v>0</v>
      </c>
      <c r="L267" s="51">
        <f>+SUMIF('GE16FEB14 Unfudged'!$A$2:$A$498, 'Tax Bill Summary'!$A267, 'GE16FEB14 Unfudged'!I$2:IF$498)</f>
        <v>436151</v>
      </c>
      <c r="M267" s="13">
        <f>+SUMIF('GE16FEB14 Unfudged'!$A$2:$A$498, 'Tax Bill Summary'!$A267, 'GE16FEB14 Unfudged'!J$2:IG$498)</f>
        <v>238468</v>
      </c>
      <c r="N267" s="56">
        <f t="shared" si="157"/>
        <v>197683</v>
      </c>
      <c r="O267" s="51">
        <f t="shared" si="158"/>
        <v>442401</v>
      </c>
      <c r="P267" s="13">
        <f t="shared" si="159"/>
        <v>242507</v>
      </c>
      <c r="Q267" s="56">
        <f t="shared" si="160"/>
        <v>199894</v>
      </c>
      <c r="R267" s="13">
        <f t="shared" si="161"/>
        <v>3539.2080000000001</v>
      </c>
      <c r="S267" s="13">
        <f t="shared" si="162"/>
        <v>1940.056</v>
      </c>
      <c r="T267" s="16">
        <f t="shared" si="163"/>
        <v>1599.152</v>
      </c>
      <c r="U267" s="15">
        <f>+SUMIF('GE16FEB14 Tax Bill Unfudged'!$A$2:$A$498, 'Tax Bill Summary'!$A267, 'GE16FEB14 Tax Bill Unfudged'!E$2:E$498)</f>
        <v>6250</v>
      </c>
      <c r="V267" s="13">
        <f>+SUMIF('GE16FEB14 Tax Bill Unfudged'!$A$2:$A$498, 'Tax Bill Summary'!$A267, 'GE16FEB14 Tax Bill Unfudged'!F$2:F$498)</f>
        <v>4039</v>
      </c>
      <c r="W267" s="56">
        <f t="shared" si="164"/>
        <v>2211</v>
      </c>
      <c r="X267" s="51">
        <f>+SUMIF('GE16FEB14 Tax Bill Unfudged'!$A$2:$A$498, 'Tax Bill Summary'!$A267, 'GE16FEB14 Tax Bill Unfudged'!G$2:G$498)</f>
        <v>53000</v>
      </c>
      <c r="Y267" s="13">
        <f>+SUMIF('GE16FEB14 Tax Bill Unfudged'!$A$2:$A$498, 'Tax Bill Summary'!$A267, 'GE16FEB14 Tax Bill Unfudged'!H$2:H$498)</f>
        <v>34248</v>
      </c>
      <c r="Z267" s="56">
        <f t="shared" si="165"/>
        <v>18752</v>
      </c>
      <c r="AA267" s="51">
        <f>+SUMIF('GE16FEB14 Tax Bill Unfudged'!$A$2:$A$498, 'Tax Bill Summary'!$A267, 'GE16FEB14 Tax Bill Unfudged'!I$2:I$498)</f>
        <v>383151</v>
      </c>
      <c r="AB267" s="13">
        <f>+SUMIF('GE16FEB14 Tax Bill Unfudged'!$A$2:$A$498, 'Tax Bill Summary'!$A267, 'GE16FEB14 Tax Bill Unfudged'!J$2:J$498)</f>
        <v>185468</v>
      </c>
      <c r="AC267" s="56">
        <f t="shared" si="166"/>
        <v>197683</v>
      </c>
      <c r="AD267" s="51">
        <f t="shared" si="167"/>
        <v>442401</v>
      </c>
      <c r="AE267" s="13">
        <f t="shared" si="168"/>
        <v>223755</v>
      </c>
      <c r="AF267" s="56">
        <f t="shared" si="169"/>
        <v>218646</v>
      </c>
      <c r="AG267" s="13">
        <f t="shared" si="170"/>
        <v>3539.2080000000001</v>
      </c>
      <c r="AH267" s="13">
        <f t="shared" si="171"/>
        <v>1790.04</v>
      </c>
      <c r="AI267" s="16">
        <f t="shared" si="172"/>
        <v>1749.1679999999999</v>
      </c>
      <c r="AJ267" s="15">
        <f t="shared" si="173"/>
        <v>0</v>
      </c>
      <c r="AK267" s="13">
        <f t="shared" si="174"/>
        <v>0</v>
      </c>
      <c r="AL267" s="56">
        <f t="shared" si="175"/>
        <v>0</v>
      </c>
      <c r="AM267" s="51">
        <f t="shared" si="176"/>
        <v>53000</v>
      </c>
      <c r="AN267" s="13">
        <f t="shared" si="177"/>
        <v>34248</v>
      </c>
      <c r="AO267" s="56">
        <f t="shared" si="178"/>
        <v>18752</v>
      </c>
      <c r="AP267" s="51">
        <f t="shared" si="179"/>
        <v>-53000</v>
      </c>
      <c r="AQ267" s="13">
        <f t="shared" si="180"/>
        <v>-53000</v>
      </c>
      <c r="AR267" s="56">
        <f t="shared" si="181"/>
        <v>0</v>
      </c>
      <c r="AS267" s="51">
        <f t="shared" si="182"/>
        <v>0</v>
      </c>
      <c r="AT267" s="13">
        <f t="shared" si="183"/>
        <v>-18752</v>
      </c>
      <c r="AU267" s="56">
        <f t="shared" si="184"/>
        <v>18752</v>
      </c>
      <c r="AV267" s="13">
        <f t="shared" si="185"/>
        <v>0</v>
      </c>
      <c r="AW267" s="13">
        <f t="shared" si="186"/>
        <v>-150.01600000000008</v>
      </c>
      <c r="AX267" s="16">
        <f t="shared" si="187"/>
        <v>150.01599999999985</v>
      </c>
    </row>
    <row r="268" spans="1:50" x14ac:dyDescent="0.25">
      <c r="A268" s="20">
        <v>857</v>
      </c>
      <c r="B268">
        <v>1</v>
      </c>
      <c r="C268" s="23" t="s">
        <v>383</v>
      </c>
      <c r="D268" s="23">
        <v>6</v>
      </c>
      <c r="E268" s="15">
        <f>+SUMIF('GE16FEB14 Unfudged'!$A$2:$A$498, $A268, 'GE16FEB14 Unfudged'!$D$2:$D$498)</f>
        <v>833</v>
      </c>
      <c r="F268" s="15">
        <f>+SUMIF('GE16FEB14 Unfudged'!$A$2:$A$498, 'Tax Bill Summary'!$A268, 'GE16FEB14 Unfudged'!E$2:E$498)</f>
        <v>101191</v>
      </c>
      <c r="G268" s="13">
        <f>+SUMIF('GE16FEB14 Unfudged'!$A$2:$A$498, 'Tax Bill Summary'!$A268, 'GE16FEB14 Unfudged'!F$2:F$498)</f>
        <v>63257</v>
      </c>
      <c r="H268" s="56">
        <f t="shared" si="155"/>
        <v>37934</v>
      </c>
      <c r="I268" s="51">
        <f>+SUMIF('GE16FEB14 Unfudged'!$A$2:$A$498, 'Tax Bill Summary'!$A268, 'GE16FEB14 Unfudged'!G$2:G$498)</f>
        <v>0</v>
      </c>
      <c r="J268" s="13">
        <f>+SUMIF('GE16FEB14 Unfudged'!$A$2:$A$498, 'Tax Bill Summary'!$A268, 'GE16FEB14 Unfudged'!H$2:H$498)</f>
        <v>0</v>
      </c>
      <c r="K268" s="56">
        <f t="shared" si="156"/>
        <v>0</v>
      </c>
      <c r="L268" s="51">
        <f>+SUMIF('GE16FEB14 Unfudged'!$A$2:$A$498, 'Tax Bill Summary'!$A268, 'GE16FEB14 Unfudged'!I$2:IF$498)</f>
        <v>657737</v>
      </c>
      <c r="M268" s="13">
        <f>+SUMIF('GE16FEB14 Unfudged'!$A$2:$A$498, 'Tax Bill Summary'!$A268, 'GE16FEB14 Unfudged'!J$2:IG$498)</f>
        <v>354872</v>
      </c>
      <c r="N268" s="56">
        <f t="shared" si="157"/>
        <v>302865</v>
      </c>
      <c r="O268" s="51">
        <f t="shared" si="158"/>
        <v>758928</v>
      </c>
      <c r="P268" s="13">
        <f t="shared" si="159"/>
        <v>418129</v>
      </c>
      <c r="Q268" s="56">
        <f t="shared" si="160"/>
        <v>340799</v>
      </c>
      <c r="R268" s="13">
        <f t="shared" si="161"/>
        <v>911.07803121248503</v>
      </c>
      <c r="S268" s="13">
        <f t="shared" si="162"/>
        <v>501.95558223289316</v>
      </c>
      <c r="T268" s="16">
        <f t="shared" si="163"/>
        <v>409.12244897959181</v>
      </c>
      <c r="U268" s="15">
        <f>+SUMIF('GE16FEB14 Tax Bill Unfudged'!$A$2:$A$498, 'Tax Bill Summary'!$A268, 'GE16FEB14 Tax Bill Unfudged'!E$2:E$498)</f>
        <v>116567</v>
      </c>
      <c r="V268" s="13">
        <f>+SUMIF('GE16FEB14 Tax Bill Unfudged'!$A$2:$A$498, 'Tax Bill Summary'!$A268, 'GE16FEB14 Tax Bill Unfudged'!F$2:F$498)</f>
        <v>72869</v>
      </c>
      <c r="W268" s="56">
        <f t="shared" si="164"/>
        <v>43698</v>
      </c>
      <c r="X268" s="51">
        <f>+SUMIF('GE16FEB14 Tax Bill Unfudged'!$A$2:$A$498, 'Tax Bill Summary'!$A268, 'GE16FEB14 Tax Bill Unfudged'!G$2:G$498)</f>
        <v>353022</v>
      </c>
      <c r="Y268" s="13">
        <f>+SUMIF('GE16FEB14 Tax Bill Unfudged'!$A$2:$A$498, 'Tax Bill Summary'!$A268, 'GE16FEB14 Tax Bill Unfudged'!H$2:H$498)</f>
        <v>220682</v>
      </c>
      <c r="Z268" s="56">
        <f t="shared" si="165"/>
        <v>132340</v>
      </c>
      <c r="AA268" s="51">
        <f>+SUMIF('GE16FEB14 Tax Bill Unfudged'!$A$2:$A$498, 'Tax Bill Summary'!$A268, 'GE16FEB14 Tax Bill Unfudged'!I$2:I$498)</f>
        <v>304715</v>
      </c>
      <c r="AB268" s="13">
        <f>+SUMIF('GE16FEB14 Tax Bill Unfudged'!$A$2:$A$498, 'Tax Bill Summary'!$A268, 'GE16FEB14 Tax Bill Unfudged'!J$2:J$498)</f>
        <v>124833</v>
      </c>
      <c r="AC268" s="56">
        <f t="shared" si="166"/>
        <v>179882</v>
      </c>
      <c r="AD268" s="51">
        <f t="shared" si="167"/>
        <v>774304</v>
      </c>
      <c r="AE268" s="13">
        <f t="shared" si="168"/>
        <v>418384</v>
      </c>
      <c r="AF268" s="56">
        <f t="shared" si="169"/>
        <v>355920</v>
      </c>
      <c r="AG268" s="13">
        <f t="shared" si="170"/>
        <v>929.53661464585832</v>
      </c>
      <c r="AH268" s="13">
        <f t="shared" si="171"/>
        <v>502.26170468187274</v>
      </c>
      <c r="AI268" s="16">
        <f t="shared" si="172"/>
        <v>427.27490996398558</v>
      </c>
      <c r="AJ268" s="15">
        <f t="shared" si="173"/>
        <v>15376</v>
      </c>
      <c r="AK268" s="13">
        <f t="shared" si="174"/>
        <v>9612</v>
      </c>
      <c r="AL268" s="56">
        <f t="shared" si="175"/>
        <v>5764</v>
      </c>
      <c r="AM268" s="51">
        <f t="shared" si="176"/>
        <v>353022</v>
      </c>
      <c r="AN268" s="13">
        <f t="shared" si="177"/>
        <v>220682</v>
      </c>
      <c r="AO268" s="56">
        <f t="shared" si="178"/>
        <v>132340</v>
      </c>
      <c r="AP268" s="51">
        <f t="shared" si="179"/>
        <v>-353022</v>
      </c>
      <c r="AQ268" s="13">
        <f t="shared" si="180"/>
        <v>-230039</v>
      </c>
      <c r="AR268" s="56">
        <f t="shared" si="181"/>
        <v>-122983</v>
      </c>
      <c r="AS268" s="51">
        <f t="shared" si="182"/>
        <v>15376</v>
      </c>
      <c r="AT268" s="13">
        <f t="shared" si="183"/>
        <v>255</v>
      </c>
      <c r="AU268" s="56">
        <f t="shared" si="184"/>
        <v>15121</v>
      </c>
      <c r="AV268" s="13">
        <f t="shared" si="185"/>
        <v>18.458583433373292</v>
      </c>
      <c r="AW268" s="13">
        <f t="shared" si="186"/>
        <v>0.30612244897957908</v>
      </c>
      <c r="AX268" s="16">
        <f t="shared" si="187"/>
        <v>18.15246098439377</v>
      </c>
    </row>
    <row r="269" spans="1:50" x14ac:dyDescent="0.25">
      <c r="A269" s="20">
        <v>858</v>
      </c>
      <c r="B269">
        <v>1</v>
      </c>
      <c r="C269" s="23" t="s">
        <v>384</v>
      </c>
      <c r="D269" s="23">
        <v>6</v>
      </c>
      <c r="E269" s="15">
        <f>+SUMIF('GE16FEB14 Unfudged'!$A$2:$A$498, $A269, 'GE16FEB14 Unfudged'!$D$2:$D$498)</f>
        <v>1073</v>
      </c>
      <c r="F269" s="15">
        <f>+SUMIF('GE16FEB14 Unfudged'!$A$2:$A$498, 'Tax Bill Summary'!$A269, 'GE16FEB14 Unfudged'!E$2:E$498)</f>
        <v>152911</v>
      </c>
      <c r="G269" s="13">
        <f>+SUMIF('GE16FEB14 Unfudged'!$A$2:$A$498, 'Tax Bill Summary'!$A269, 'GE16FEB14 Unfudged'!F$2:F$498)</f>
        <v>87052</v>
      </c>
      <c r="H269" s="56">
        <f t="shared" si="155"/>
        <v>65859</v>
      </c>
      <c r="I269" s="51">
        <f>+SUMIF('GE16FEB14 Unfudged'!$A$2:$A$498, 'Tax Bill Summary'!$A269, 'GE16FEB14 Unfudged'!G$2:G$498)</f>
        <v>0</v>
      </c>
      <c r="J269" s="13">
        <f>+SUMIF('GE16FEB14 Unfudged'!$A$2:$A$498, 'Tax Bill Summary'!$A269, 'GE16FEB14 Unfudged'!H$2:H$498)</f>
        <v>0</v>
      </c>
      <c r="K269" s="56">
        <f t="shared" si="156"/>
        <v>0</v>
      </c>
      <c r="L269" s="51">
        <f>+SUMIF('GE16FEB14 Unfudged'!$A$2:$A$498, 'Tax Bill Summary'!$A269, 'GE16FEB14 Unfudged'!I$2:IF$498)</f>
        <v>357515</v>
      </c>
      <c r="M269" s="13">
        <f>+SUMIF('GE16FEB14 Unfudged'!$A$2:$A$498, 'Tax Bill Summary'!$A269, 'GE16FEB14 Unfudged'!J$2:IG$498)</f>
        <v>126467</v>
      </c>
      <c r="N269" s="56">
        <f t="shared" si="157"/>
        <v>231048</v>
      </c>
      <c r="O269" s="51">
        <f t="shared" si="158"/>
        <v>510426</v>
      </c>
      <c r="P269" s="13">
        <f t="shared" si="159"/>
        <v>213519</v>
      </c>
      <c r="Q269" s="56">
        <f t="shared" si="160"/>
        <v>296907</v>
      </c>
      <c r="R269" s="13">
        <f t="shared" si="161"/>
        <v>475.69990680335508</v>
      </c>
      <c r="S269" s="13">
        <f t="shared" si="162"/>
        <v>198.99254426840633</v>
      </c>
      <c r="T269" s="16">
        <f t="shared" si="163"/>
        <v>276.70736253494874</v>
      </c>
      <c r="U269" s="15">
        <f>+SUMIF('GE16FEB14 Tax Bill Unfudged'!$A$2:$A$498, 'Tax Bill Summary'!$A269, 'GE16FEB14 Tax Bill Unfudged'!E$2:E$498)</f>
        <v>154541</v>
      </c>
      <c r="V269" s="13">
        <f>+SUMIF('GE16FEB14 Tax Bill Unfudged'!$A$2:$A$498, 'Tax Bill Summary'!$A269, 'GE16FEB14 Tax Bill Unfudged'!F$2:F$498)</f>
        <v>87980</v>
      </c>
      <c r="W269" s="56">
        <f t="shared" si="164"/>
        <v>66561</v>
      </c>
      <c r="X269" s="51">
        <f>+SUMIF('GE16FEB14 Tax Bill Unfudged'!$A$2:$A$498, 'Tax Bill Summary'!$A269, 'GE16FEB14 Tax Bill Unfudged'!G$2:G$498)</f>
        <v>455037</v>
      </c>
      <c r="Y269" s="13">
        <f>+SUMIF('GE16FEB14 Tax Bill Unfudged'!$A$2:$A$498, 'Tax Bill Summary'!$A269, 'GE16FEB14 Tax Bill Unfudged'!H$2:H$498)</f>
        <v>259052</v>
      </c>
      <c r="Z269" s="56">
        <f t="shared" si="165"/>
        <v>195985</v>
      </c>
      <c r="AA269" s="51">
        <f>+SUMIF('GE16FEB14 Tax Bill Unfudged'!$A$2:$A$498, 'Tax Bill Summary'!$A269, 'GE16FEB14 Tax Bill Unfudged'!I$2:I$498)</f>
        <v>321960</v>
      </c>
      <c r="AB269" s="13">
        <f>+SUMIF('GE16FEB14 Tax Bill Unfudged'!$A$2:$A$498, 'Tax Bill Summary'!$A269, 'GE16FEB14 Tax Bill Unfudged'!J$2:J$498)</f>
        <v>106226</v>
      </c>
      <c r="AC269" s="56">
        <f t="shared" si="166"/>
        <v>215734</v>
      </c>
      <c r="AD269" s="51">
        <f t="shared" si="167"/>
        <v>931538</v>
      </c>
      <c r="AE269" s="13">
        <f t="shared" si="168"/>
        <v>453258</v>
      </c>
      <c r="AF269" s="56">
        <f t="shared" si="169"/>
        <v>478280</v>
      </c>
      <c r="AG269" s="13">
        <f t="shared" si="170"/>
        <v>868.16216216216219</v>
      </c>
      <c r="AH269" s="13">
        <f t="shared" si="171"/>
        <v>422.42124883504192</v>
      </c>
      <c r="AI269" s="16">
        <f t="shared" si="172"/>
        <v>445.74091332712021</v>
      </c>
      <c r="AJ269" s="15">
        <f t="shared" si="173"/>
        <v>1630</v>
      </c>
      <c r="AK269" s="13">
        <f t="shared" si="174"/>
        <v>928</v>
      </c>
      <c r="AL269" s="56">
        <f t="shared" si="175"/>
        <v>702</v>
      </c>
      <c r="AM269" s="51">
        <f t="shared" si="176"/>
        <v>455037</v>
      </c>
      <c r="AN269" s="13">
        <f t="shared" si="177"/>
        <v>259052</v>
      </c>
      <c r="AO269" s="56">
        <f t="shared" si="178"/>
        <v>195985</v>
      </c>
      <c r="AP269" s="51">
        <f t="shared" si="179"/>
        <v>-35555</v>
      </c>
      <c r="AQ269" s="13">
        <f t="shared" si="180"/>
        <v>-20241</v>
      </c>
      <c r="AR269" s="56">
        <f t="shared" si="181"/>
        <v>-15314</v>
      </c>
      <c r="AS269" s="51">
        <f t="shared" si="182"/>
        <v>421112</v>
      </c>
      <c r="AT269" s="13">
        <f t="shared" si="183"/>
        <v>239739</v>
      </c>
      <c r="AU269" s="56">
        <f t="shared" si="184"/>
        <v>181373</v>
      </c>
      <c r="AV269" s="13">
        <f t="shared" si="185"/>
        <v>392.46225535880711</v>
      </c>
      <c r="AW269" s="13">
        <f t="shared" si="186"/>
        <v>223.42870456663559</v>
      </c>
      <c r="AX269" s="16">
        <f t="shared" si="187"/>
        <v>169.03355079217147</v>
      </c>
    </row>
    <row r="270" spans="1:50" x14ac:dyDescent="0.25">
      <c r="A270" s="20">
        <v>861</v>
      </c>
      <c r="B270">
        <v>1</v>
      </c>
      <c r="C270" s="23" t="s">
        <v>385</v>
      </c>
      <c r="D270" s="23">
        <v>4</v>
      </c>
      <c r="E270" s="15">
        <f>+SUMIF('GE16FEB14 Unfudged'!$A$2:$A$498, $A270, 'GE16FEB14 Unfudged'!$D$2:$D$498)</f>
        <v>3203</v>
      </c>
      <c r="F270" s="15">
        <f>+SUMIF('GE16FEB14 Unfudged'!$A$2:$A$498, 'Tax Bill Summary'!$A270, 'GE16FEB14 Unfudged'!E$2:E$498)</f>
        <v>237323</v>
      </c>
      <c r="G270" s="13">
        <f>+SUMIF('GE16FEB14 Unfudged'!$A$2:$A$498, 'Tax Bill Summary'!$A270, 'GE16FEB14 Unfudged'!F$2:F$498)</f>
        <v>237323</v>
      </c>
      <c r="H270" s="56">
        <f t="shared" si="155"/>
        <v>0</v>
      </c>
      <c r="I270" s="51">
        <f>+SUMIF('GE16FEB14 Unfudged'!$A$2:$A$498, 'Tax Bill Summary'!$A270, 'GE16FEB14 Unfudged'!G$2:G$498)</f>
        <v>679015</v>
      </c>
      <c r="J270" s="13">
        <f>+SUMIF('GE16FEB14 Unfudged'!$A$2:$A$498, 'Tax Bill Summary'!$A270, 'GE16FEB14 Unfudged'!H$2:H$498)</f>
        <v>679015</v>
      </c>
      <c r="K270" s="56">
        <f t="shared" si="156"/>
        <v>0</v>
      </c>
      <c r="L270" s="51">
        <f>+SUMIF('GE16FEB14 Unfudged'!$A$2:$A$498, 'Tax Bill Summary'!$A270, 'GE16FEB14 Unfudged'!I$2:IF$498)</f>
        <v>5844492</v>
      </c>
      <c r="M270" s="13">
        <f>+SUMIF('GE16FEB14 Unfudged'!$A$2:$A$498, 'Tax Bill Summary'!$A270, 'GE16FEB14 Unfudged'!J$2:IG$498)</f>
        <v>5535175</v>
      </c>
      <c r="N270" s="56">
        <f t="shared" si="157"/>
        <v>309317</v>
      </c>
      <c r="O270" s="51">
        <f t="shared" si="158"/>
        <v>6760830</v>
      </c>
      <c r="P270" s="13">
        <f t="shared" si="159"/>
        <v>6451513</v>
      </c>
      <c r="Q270" s="56">
        <f t="shared" si="160"/>
        <v>309317</v>
      </c>
      <c r="R270" s="13">
        <f t="shared" si="161"/>
        <v>2110.7805182641273</v>
      </c>
      <c r="S270" s="13">
        <f t="shared" si="162"/>
        <v>2014.2094911020918</v>
      </c>
      <c r="T270" s="16">
        <f t="shared" si="163"/>
        <v>96.571027162035591</v>
      </c>
      <c r="U270" s="15">
        <f>+SUMIF('GE16FEB14 Tax Bill Unfudged'!$A$2:$A$498, 'Tax Bill Summary'!$A270, 'GE16FEB14 Tax Bill Unfudged'!E$2:E$498)</f>
        <v>206580</v>
      </c>
      <c r="V270" s="13">
        <f>+SUMIF('GE16FEB14 Tax Bill Unfudged'!$A$2:$A$498, 'Tax Bill Summary'!$A270, 'GE16FEB14 Tax Bill Unfudged'!F$2:F$498)</f>
        <v>206580</v>
      </c>
      <c r="W270" s="56">
        <f t="shared" si="164"/>
        <v>0</v>
      </c>
      <c r="X270" s="51">
        <f>+SUMIF('GE16FEB14 Tax Bill Unfudged'!$A$2:$A$498, 'Tax Bill Summary'!$A270, 'GE16FEB14 Tax Bill Unfudged'!G$2:G$498)</f>
        <v>1358030</v>
      </c>
      <c r="Y270" s="13">
        <f>+SUMIF('GE16FEB14 Tax Bill Unfudged'!$A$2:$A$498, 'Tax Bill Summary'!$A270, 'GE16FEB14 Tax Bill Unfudged'!H$2:H$498)</f>
        <v>1358030</v>
      </c>
      <c r="Z270" s="56">
        <f t="shared" si="165"/>
        <v>0</v>
      </c>
      <c r="AA270" s="51">
        <f>+SUMIF('GE16FEB14 Tax Bill Unfudged'!$A$2:$A$498, 'Tax Bill Summary'!$A270, 'GE16FEB14 Tax Bill Unfudged'!I$2:I$498)</f>
        <v>5165477</v>
      </c>
      <c r="AB270" s="13">
        <f>+SUMIF('GE16FEB14 Tax Bill Unfudged'!$A$2:$A$498, 'Tax Bill Summary'!$A270, 'GE16FEB14 Tax Bill Unfudged'!J$2:J$498)</f>
        <v>4856160</v>
      </c>
      <c r="AC270" s="56">
        <f t="shared" si="166"/>
        <v>309317</v>
      </c>
      <c r="AD270" s="51">
        <f t="shared" si="167"/>
        <v>6730087</v>
      </c>
      <c r="AE270" s="13">
        <f t="shared" si="168"/>
        <v>6420770</v>
      </c>
      <c r="AF270" s="56">
        <f t="shared" si="169"/>
        <v>309317</v>
      </c>
      <c r="AG270" s="13">
        <f t="shared" si="170"/>
        <v>2101.1823290665002</v>
      </c>
      <c r="AH270" s="13">
        <f t="shared" si="171"/>
        <v>2004.6113019044647</v>
      </c>
      <c r="AI270" s="16">
        <f t="shared" si="172"/>
        <v>96.571027162035591</v>
      </c>
      <c r="AJ270" s="15">
        <f t="shared" si="173"/>
        <v>-30743</v>
      </c>
      <c r="AK270" s="13">
        <f t="shared" si="174"/>
        <v>-30743</v>
      </c>
      <c r="AL270" s="56">
        <f t="shared" si="175"/>
        <v>0</v>
      </c>
      <c r="AM270" s="51">
        <f t="shared" si="176"/>
        <v>679015</v>
      </c>
      <c r="AN270" s="13">
        <f t="shared" si="177"/>
        <v>679015</v>
      </c>
      <c r="AO270" s="56">
        <f t="shared" si="178"/>
        <v>0</v>
      </c>
      <c r="AP270" s="51">
        <f t="shared" si="179"/>
        <v>-679015</v>
      </c>
      <c r="AQ270" s="13">
        <f t="shared" si="180"/>
        <v>-679015</v>
      </c>
      <c r="AR270" s="56">
        <f t="shared" si="181"/>
        <v>0</v>
      </c>
      <c r="AS270" s="51">
        <f t="shared" si="182"/>
        <v>-30743</v>
      </c>
      <c r="AT270" s="13">
        <f t="shared" si="183"/>
        <v>-30743</v>
      </c>
      <c r="AU270" s="56">
        <f t="shared" si="184"/>
        <v>0</v>
      </c>
      <c r="AV270" s="13">
        <f t="shared" si="185"/>
        <v>-9.5981891976271072</v>
      </c>
      <c r="AW270" s="13">
        <f t="shared" si="186"/>
        <v>-9.5981891976271072</v>
      </c>
      <c r="AX270" s="16">
        <f t="shared" si="187"/>
        <v>0</v>
      </c>
    </row>
    <row r="271" spans="1:50" x14ac:dyDescent="0.25">
      <c r="A271" s="20">
        <v>876</v>
      </c>
      <c r="B271">
        <v>1</v>
      </c>
      <c r="C271" s="23" t="s">
        <v>386</v>
      </c>
      <c r="D271" s="23">
        <v>5</v>
      </c>
      <c r="E271" s="15">
        <f>+SUMIF('GE16FEB14 Unfudged'!$A$2:$A$498, $A271, 'GE16FEB14 Unfudged'!$D$2:$D$498)</f>
        <v>1760</v>
      </c>
      <c r="F271" s="15">
        <f>+SUMIF('GE16FEB14 Unfudged'!$A$2:$A$498, 'Tax Bill Summary'!$A271, 'GE16FEB14 Unfudged'!E$2:E$498)</f>
        <v>220101</v>
      </c>
      <c r="G271" s="13">
        <f>+SUMIF('GE16FEB14 Unfudged'!$A$2:$A$498, 'Tax Bill Summary'!$A271, 'GE16FEB14 Unfudged'!F$2:F$498)</f>
        <v>220101</v>
      </c>
      <c r="H271" s="56">
        <f t="shared" si="155"/>
        <v>0</v>
      </c>
      <c r="I271" s="51">
        <f>+SUMIF('GE16FEB14 Unfudged'!$A$2:$A$498, 'Tax Bill Summary'!$A271, 'GE16FEB14 Unfudged'!G$2:G$498)</f>
        <v>0</v>
      </c>
      <c r="J271" s="13">
        <f>+SUMIF('GE16FEB14 Unfudged'!$A$2:$A$498, 'Tax Bill Summary'!$A271, 'GE16FEB14 Unfudged'!H$2:H$498)</f>
        <v>0</v>
      </c>
      <c r="K271" s="56">
        <f t="shared" si="156"/>
        <v>0</v>
      </c>
      <c r="L271" s="51">
        <f>+SUMIF('GE16FEB14 Unfudged'!$A$2:$A$498, 'Tax Bill Summary'!$A271, 'GE16FEB14 Unfudged'!I$2:IF$498)</f>
        <v>1255885</v>
      </c>
      <c r="M271" s="13">
        <f>+SUMIF('GE16FEB14 Unfudged'!$A$2:$A$498, 'Tax Bill Summary'!$A271, 'GE16FEB14 Unfudged'!J$2:IG$498)</f>
        <v>1050219</v>
      </c>
      <c r="N271" s="56">
        <f t="shared" si="157"/>
        <v>205666</v>
      </c>
      <c r="O271" s="51">
        <f t="shared" si="158"/>
        <v>1475986</v>
      </c>
      <c r="P271" s="13">
        <f t="shared" si="159"/>
        <v>1270320</v>
      </c>
      <c r="Q271" s="56">
        <f t="shared" si="160"/>
        <v>205666</v>
      </c>
      <c r="R271" s="13">
        <f t="shared" si="161"/>
        <v>838.62840909090914</v>
      </c>
      <c r="S271" s="13">
        <f t="shared" si="162"/>
        <v>721.77272727272725</v>
      </c>
      <c r="T271" s="16">
        <f t="shared" si="163"/>
        <v>116.85568181818182</v>
      </c>
      <c r="U271" s="15">
        <f>+SUMIF('GE16FEB14 Tax Bill Unfudged'!$A$2:$A$498, 'Tax Bill Summary'!$A271, 'GE16FEB14 Tax Bill Unfudged'!E$2:E$498)</f>
        <v>252138</v>
      </c>
      <c r="V271" s="13">
        <f>+SUMIF('GE16FEB14 Tax Bill Unfudged'!$A$2:$A$498, 'Tax Bill Summary'!$A271, 'GE16FEB14 Tax Bill Unfudged'!F$2:F$498)</f>
        <v>252138</v>
      </c>
      <c r="W271" s="56">
        <f t="shared" si="164"/>
        <v>0</v>
      </c>
      <c r="X271" s="51">
        <f>+SUMIF('GE16FEB14 Tax Bill Unfudged'!$A$2:$A$498, 'Tax Bill Summary'!$A271, 'GE16FEB14 Tax Bill Unfudged'!G$2:G$498)</f>
        <v>746325</v>
      </c>
      <c r="Y271" s="13">
        <f>+SUMIF('GE16FEB14 Tax Bill Unfudged'!$A$2:$A$498, 'Tax Bill Summary'!$A271, 'GE16FEB14 Tax Bill Unfudged'!H$2:H$498)</f>
        <v>746325</v>
      </c>
      <c r="Z271" s="56">
        <f t="shared" si="165"/>
        <v>0</v>
      </c>
      <c r="AA271" s="51">
        <f>+SUMIF('GE16FEB14 Tax Bill Unfudged'!$A$2:$A$498, 'Tax Bill Summary'!$A271, 'GE16FEB14 Tax Bill Unfudged'!I$2:I$498)</f>
        <v>550027</v>
      </c>
      <c r="AB271" s="13">
        <f>+SUMIF('GE16FEB14 Tax Bill Unfudged'!$A$2:$A$498, 'Tax Bill Summary'!$A271, 'GE16FEB14 Tax Bill Unfudged'!J$2:J$498)</f>
        <v>344361</v>
      </c>
      <c r="AC271" s="56">
        <f t="shared" si="166"/>
        <v>205666</v>
      </c>
      <c r="AD271" s="51">
        <f t="shared" si="167"/>
        <v>1548490</v>
      </c>
      <c r="AE271" s="13">
        <f t="shared" si="168"/>
        <v>1342824</v>
      </c>
      <c r="AF271" s="56">
        <f t="shared" si="169"/>
        <v>205666</v>
      </c>
      <c r="AG271" s="13">
        <f t="shared" si="170"/>
        <v>879.82386363636363</v>
      </c>
      <c r="AH271" s="13">
        <f t="shared" si="171"/>
        <v>762.96818181818185</v>
      </c>
      <c r="AI271" s="16">
        <f t="shared" si="172"/>
        <v>116.85568181818182</v>
      </c>
      <c r="AJ271" s="15">
        <f t="shared" si="173"/>
        <v>32037</v>
      </c>
      <c r="AK271" s="13">
        <f t="shared" si="174"/>
        <v>32037</v>
      </c>
      <c r="AL271" s="56">
        <f t="shared" si="175"/>
        <v>0</v>
      </c>
      <c r="AM271" s="51">
        <f t="shared" si="176"/>
        <v>746325</v>
      </c>
      <c r="AN271" s="13">
        <f t="shared" si="177"/>
        <v>746325</v>
      </c>
      <c r="AO271" s="56">
        <f t="shared" si="178"/>
        <v>0</v>
      </c>
      <c r="AP271" s="51">
        <f t="shared" si="179"/>
        <v>-705858</v>
      </c>
      <c r="AQ271" s="13">
        <f t="shared" si="180"/>
        <v>-705858</v>
      </c>
      <c r="AR271" s="56">
        <f t="shared" si="181"/>
        <v>0</v>
      </c>
      <c r="AS271" s="51">
        <f t="shared" si="182"/>
        <v>72504</v>
      </c>
      <c r="AT271" s="13">
        <f t="shared" si="183"/>
        <v>72504</v>
      </c>
      <c r="AU271" s="56">
        <f t="shared" si="184"/>
        <v>0</v>
      </c>
      <c r="AV271" s="13">
        <f t="shared" si="185"/>
        <v>41.195454545454481</v>
      </c>
      <c r="AW271" s="13">
        <f t="shared" si="186"/>
        <v>41.195454545454595</v>
      </c>
      <c r="AX271" s="16">
        <f t="shared" si="187"/>
        <v>0</v>
      </c>
    </row>
    <row r="272" spans="1:50" x14ac:dyDescent="0.25">
      <c r="A272" s="20">
        <v>877</v>
      </c>
      <c r="B272">
        <v>1</v>
      </c>
      <c r="C272" s="23" t="s">
        <v>387</v>
      </c>
      <c r="D272" s="23">
        <v>4</v>
      </c>
      <c r="E272" s="15">
        <f>+SUMIF('GE16FEB14 Unfudged'!$A$2:$A$498, $A272, 'GE16FEB14 Unfudged'!$D$2:$D$498)</f>
        <v>6265</v>
      </c>
      <c r="F272" s="15">
        <f>+SUMIF('GE16FEB14 Unfudged'!$A$2:$A$498, 'Tax Bill Summary'!$A272, 'GE16FEB14 Unfudged'!E$2:E$498)</f>
        <v>902131</v>
      </c>
      <c r="G272" s="13">
        <f>+SUMIF('GE16FEB14 Unfudged'!$A$2:$A$498, 'Tax Bill Summary'!$A272, 'GE16FEB14 Unfudged'!F$2:F$498)</f>
        <v>607778</v>
      </c>
      <c r="H272" s="56">
        <f t="shared" si="155"/>
        <v>294353</v>
      </c>
      <c r="I272" s="51">
        <f>+SUMIF('GE16FEB14 Unfudged'!$A$2:$A$498, 'Tax Bill Summary'!$A272, 'GE16FEB14 Unfudged'!G$2:G$498)</f>
        <v>2656275</v>
      </c>
      <c r="J272" s="13">
        <f>+SUMIF('GE16FEB14 Unfudged'!$A$2:$A$498, 'Tax Bill Summary'!$A272, 'GE16FEB14 Unfudged'!H$2:H$498)</f>
        <v>1789570</v>
      </c>
      <c r="K272" s="56">
        <f t="shared" si="156"/>
        <v>866705</v>
      </c>
      <c r="L272" s="51">
        <f>+SUMIF('GE16FEB14 Unfudged'!$A$2:$A$498, 'Tax Bill Summary'!$A272, 'GE16FEB14 Unfudged'!I$2:IF$498)</f>
        <v>1879440</v>
      </c>
      <c r="M272" s="13">
        <f>+SUMIF('GE16FEB14 Unfudged'!$A$2:$A$498, 'Tax Bill Summary'!$A272, 'GE16FEB14 Unfudged'!J$2:IG$498)</f>
        <v>733824</v>
      </c>
      <c r="N272" s="56">
        <f t="shared" si="157"/>
        <v>1145616</v>
      </c>
      <c r="O272" s="51">
        <f t="shared" si="158"/>
        <v>5437846</v>
      </c>
      <c r="P272" s="13">
        <f t="shared" si="159"/>
        <v>3131172</v>
      </c>
      <c r="Q272" s="56">
        <f t="shared" si="160"/>
        <v>2306674</v>
      </c>
      <c r="R272" s="13">
        <f t="shared" si="161"/>
        <v>867.97222665602555</v>
      </c>
      <c r="S272" s="13">
        <f t="shared" si="162"/>
        <v>499.78802873104547</v>
      </c>
      <c r="T272" s="16">
        <f t="shared" si="163"/>
        <v>368.18419792498003</v>
      </c>
      <c r="U272" s="15">
        <f>+SUMIF('GE16FEB14 Tax Bill Unfudged'!$A$2:$A$498, 'Tax Bill Summary'!$A272, 'GE16FEB14 Tax Bill Unfudged'!E$2:E$498)</f>
        <v>902131</v>
      </c>
      <c r="V272" s="13">
        <f>+SUMIF('GE16FEB14 Tax Bill Unfudged'!$A$2:$A$498, 'Tax Bill Summary'!$A272, 'GE16FEB14 Tax Bill Unfudged'!F$2:F$498)</f>
        <v>607778</v>
      </c>
      <c r="W272" s="56">
        <f t="shared" si="164"/>
        <v>294353</v>
      </c>
      <c r="X272" s="51">
        <f>+SUMIF('GE16FEB14 Tax Bill Unfudged'!$A$2:$A$498, 'Tax Bill Summary'!$A272, 'GE16FEB14 Tax Bill Unfudged'!G$2:G$498)</f>
        <v>2656275</v>
      </c>
      <c r="Y272" s="13">
        <f>+SUMIF('GE16FEB14 Tax Bill Unfudged'!$A$2:$A$498, 'Tax Bill Summary'!$A272, 'GE16FEB14 Tax Bill Unfudged'!H$2:H$498)</f>
        <v>1789570</v>
      </c>
      <c r="Z272" s="56">
        <f t="shared" si="165"/>
        <v>866705</v>
      </c>
      <c r="AA272" s="51">
        <f>+SUMIF('GE16FEB14 Tax Bill Unfudged'!$A$2:$A$498, 'Tax Bill Summary'!$A272, 'GE16FEB14 Tax Bill Unfudged'!I$2:I$498)</f>
        <v>1879440</v>
      </c>
      <c r="AB272" s="13">
        <f>+SUMIF('GE16FEB14 Tax Bill Unfudged'!$A$2:$A$498, 'Tax Bill Summary'!$A272, 'GE16FEB14 Tax Bill Unfudged'!J$2:J$498)</f>
        <v>733824</v>
      </c>
      <c r="AC272" s="56">
        <f t="shared" si="166"/>
        <v>1145616</v>
      </c>
      <c r="AD272" s="51">
        <f t="shared" si="167"/>
        <v>5437846</v>
      </c>
      <c r="AE272" s="13">
        <f t="shared" si="168"/>
        <v>3131172</v>
      </c>
      <c r="AF272" s="56">
        <f t="shared" si="169"/>
        <v>2306674</v>
      </c>
      <c r="AG272" s="13">
        <f t="shared" si="170"/>
        <v>867.97222665602555</v>
      </c>
      <c r="AH272" s="13">
        <f t="shared" si="171"/>
        <v>499.78802873104547</v>
      </c>
      <c r="AI272" s="16">
        <f t="shared" si="172"/>
        <v>368.18419792498003</v>
      </c>
      <c r="AJ272" s="15">
        <f t="shared" si="173"/>
        <v>0</v>
      </c>
      <c r="AK272" s="13">
        <f t="shared" si="174"/>
        <v>0</v>
      </c>
      <c r="AL272" s="56">
        <f t="shared" si="175"/>
        <v>0</v>
      </c>
      <c r="AM272" s="51">
        <f t="shared" si="176"/>
        <v>0</v>
      </c>
      <c r="AN272" s="13">
        <f t="shared" si="177"/>
        <v>0</v>
      </c>
      <c r="AO272" s="56">
        <f t="shared" si="178"/>
        <v>0</v>
      </c>
      <c r="AP272" s="51">
        <f t="shared" si="179"/>
        <v>0</v>
      </c>
      <c r="AQ272" s="13">
        <f t="shared" si="180"/>
        <v>0</v>
      </c>
      <c r="AR272" s="56">
        <f t="shared" si="181"/>
        <v>0</v>
      </c>
      <c r="AS272" s="51">
        <f t="shared" si="182"/>
        <v>0</v>
      </c>
      <c r="AT272" s="13">
        <f t="shared" si="183"/>
        <v>0</v>
      </c>
      <c r="AU272" s="56">
        <f t="shared" si="184"/>
        <v>0</v>
      </c>
      <c r="AV272" s="13">
        <f t="shared" si="185"/>
        <v>0</v>
      </c>
      <c r="AW272" s="13">
        <f t="shared" si="186"/>
        <v>0</v>
      </c>
      <c r="AX272" s="16">
        <f t="shared" si="187"/>
        <v>0</v>
      </c>
    </row>
    <row r="273" spans="1:50" x14ac:dyDescent="0.25">
      <c r="A273" s="20">
        <v>879</v>
      </c>
      <c r="B273">
        <v>1</v>
      </c>
      <c r="C273" s="23" t="s">
        <v>388</v>
      </c>
      <c r="D273" s="23">
        <v>4</v>
      </c>
      <c r="E273" s="15">
        <f>+SUMIF('GE16FEB14 Unfudged'!$A$2:$A$498, $A273, 'GE16FEB14 Unfudged'!$D$2:$D$498)</f>
        <v>2551</v>
      </c>
      <c r="F273" s="15">
        <f>+SUMIF('GE16FEB14 Unfudged'!$A$2:$A$498, 'Tax Bill Summary'!$A273, 'GE16FEB14 Unfudged'!E$2:E$498)</f>
        <v>326224</v>
      </c>
      <c r="G273" s="13">
        <f>+SUMIF('GE16FEB14 Unfudged'!$A$2:$A$498, 'Tax Bill Summary'!$A273, 'GE16FEB14 Unfudged'!F$2:F$498)</f>
        <v>287592</v>
      </c>
      <c r="H273" s="56">
        <f t="shared" si="155"/>
        <v>38632</v>
      </c>
      <c r="I273" s="51">
        <f>+SUMIF('GE16FEB14 Unfudged'!$A$2:$A$498, 'Tax Bill Summary'!$A273, 'GE16FEB14 Unfudged'!G$2:G$498)</f>
        <v>1081794</v>
      </c>
      <c r="J273" s="13">
        <f>+SUMIF('GE16FEB14 Unfudged'!$A$2:$A$498, 'Tax Bill Summary'!$A273, 'GE16FEB14 Unfudged'!H$2:H$498)</f>
        <v>953686</v>
      </c>
      <c r="K273" s="56">
        <f t="shared" si="156"/>
        <v>128108</v>
      </c>
      <c r="L273" s="51">
        <f>+SUMIF('GE16FEB14 Unfudged'!$A$2:$A$498, 'Tax Bill Summary'!$A273, 'GE16FEB14 Unfudged'!I$2:IF$498)</f>
        <v>1663589</v>
      </c>
      <c r="M273" s="13">
        <f>+SUMIF('GE16FEB14 Unfudged'!$A$2:$A$498, 'Tax Bill Summary'!$A273, 'GE16FEB14 Unfudged'!J$2:IG$498)</f>
        <v>1182871</v>
      </c>
      <c r="N273" s="56">
        <f t="shared" si="157"/>
        <v>480718</v>
      </c>
      <c r="O273" s="51">
        <f t="shared" si="158"/>
        <v>3071607</v>
      </c>
      <c r="P273" s="13">
        <f t="shared" si="159"/>
        <v>2424149</v>
      </c>
      <c r="Q273" s="56">
        <f t="shared" si="160"/>
        <v>647458</v>
      </c>
      <c r="R273" s="13">
        <f t="shared" si="161"/>
        <v>1204.0795766366132</v>
      </c>
      <c r="S273" s="13">
        <f t="shared" si="162"/>
        <v>950.27401019208151</v>
      </c>
      <c r="T273" s="16">
        <f t="shared" si="163"/>
        <v>253.80556644453156</v>
      </c>
      <c r="U273" s="15">
        <f>+SUMIF('GE16FEB14 Tax Bill Unfudged'!$A$2:$A$498, 'Tax Bill Summary'!$A273, 'GE16FEB14 Tax Bill Unfudged'!E$2:E$498)</f>
        <v>313007</v>
      </c>
      <c r="V273" s="13">
        <f>+SUMIF('GE16FEB14 Tax Bill Unfudged'!$A$2:$A$498, 'Tax Bill Summary'!$A273, 'GE16FEB14 Tax Bill Unfudged'!F$2:F$498)</f>
        <v>275940</v>
      </c>
      <c r="W273" s="56">
        <f t="shared" si="164"/>
        <v>37067</v>
      </c>
      <c r="X273" s="51">
        <f>+SUMIF('GE16FEB14 Tax Bill Unfudged'!$A$2:$A$498, 'Tax Bill Summary'!$A273, 'GE16FEB14 Tax Bill Unfudged'!G$2:G$498)</f>
        <v>1081794</v>
      </c>
      <c r="Y273" s="13">
        <f>+SUMIF('GE16FEB14 Tax Bill Unfudged'!$A$2:$A$498, 'Tax Bill Summary'!$A273, 'GE16FEB14 Tax Bill Unfudged'!H$2:H$498)</f>
        <v>953686</v>
      </c>
      <c r="Z273" s="56">
        <f t="shared" si="165"/>
        <v>128108</v>
      </c>
      <c r="AA273" s="51">
        <f>+SUMIF('GE16FEB14 Tax Bill Unfudged'!$A$2:$A$498, 'Tax Bill Summary'!$A273, 'GE16FEB14 Tax Bill Unfudged'!I$2:I$498)</f>
        <v>1663589</v>
      </c>
      <c r="AB273" s="13">
        <f>+SUMIF('GE16FEB14 Tax Bill Unfudged'!$A$2:$A$498, 'Tax Bill Summary'!$A273, 'GE16FEB14 Tax Bill Unfudged'!J$2:J$498)</f>
        <v>1182871</v>
      </c>
      <c r="AC273" s="56">
        <f t="shared" si="166"/>
        <v>480718</v>
      </c>
      <c r="AD273" s="51">
        <f t="shared" si="167"/>
        <v>3058390</v>
      </c>
      <c r="AE273" s="13">
        <f t="shared" si="168"/>
        <v>2412497</v>
      </c>
      <c r="AF273" s="56">
        <f t="shared" si="169"/>
        <v>645893</v>
      </c>
      <c r="AG273" s="13">
        <f t="shared" si="170"/>
        <v>1198.8984711877695</v>
      </c>
      <c r="AH273" s="13">
        <f t="shared" si="171"/>
        <v>945.70638965111721</v>
      </c>
      <c r="AI273" s="16">
        <f t="shared" si="172"/>
        <v>253.1920815366523</v>
      </c>
      <c r="AJ273" s="15">
        <f t="shared" si="173"/>
        <v>-13217</v>
      </c>
      <c r="AK273" s="13">
        <f t="shared" si="174"/>
        <v>-11652</v>
      </c>
      <c r="AL273" s="56">
        <f t="shared" si="175"/>
        <v>-1565</v>
      </c>
      <c r="AM273" s="51">
        <f t="shared" si="176"/>
        <v>0</v>
      </c>
      <c r="AN273" s="13">
        <f t="shared" si="177"/>
        <v>0</v>
      </c>
      <c r="AO273" s="56">
        <f t="shared" si="178"/>
        <v>0</v>
      </c>
      <c r="AP273" s="51">
        <f t="shared" si="179"/>
        <v>0</v>
      </c>
      <c r="AQ273" s="13">
        <f t="shared" si="180"/>
        <v>0</v>
      </c>
      <c r="AR273" s="56">
        <f t="shared" si="181"/>
        <v>0</v>
      </c>
      <c r="AS273" s="51">
        <f t="shared" si="182"/>
        <v>-13217</v>
      </c>
      <c r="AT273" s="13">
        <f t="shared" si="183"/>
        <v>-11652</v>
      </c>
      <c r="AU273" s="56">
        <f t="shared" si="184"/>
        <v>-1565</v>
      </c>
      <c r="AV273" s="13">
        <f t="shared" si="185"/>
        <v>-5.1811054488437094</v>
      </c>
      <c r="AW273" s="13">
        <f t="shared" si="186"/>
        <v>-4.5676205409642989</v>
      </c>
      <c r="AX273" s="16">
        <f t="shared" si="187"/>
        <v>-0.61348490787926835</v>
      </c>
    </row>
    <row r="274" spans="1:50" x14ac:dyDescent="0.25">
      <c r="A274" s="20">
        <v>881</v>
      </c>
      <c r="B274">
        <v>1</v>
      </c>
      <c r="C274" s="23" t="s">
        <v>389</v>
      </c>
      <c r="D274" s="23">
        <v>5</v>
      </c>
      <c r="E274" s="15">
        <f>+SUMIF('GE16FEB14 Unfudged'!$A$2:$A$498, $A274, 'GE16FEB14 Unfudged'!$D$2:$D$498)</f>
        <v>958</v>
      </c>
      <c r="F274" s="15">
        <f>+SUMIF('GE16FEB14 Unfudged'!$A$2:$A$498, 'Tax Bill Summary'!$A274, 'GE16FEB14 Unfudged'!E$2:E$498)</f>
        <v>120499</v>
      </c>
      <c r="G274" s="13">
        <f>+SUMIF('GE16FEB14 Unfudged'!$A$2:$A$498, 'Tax Bill Summary'!$A274, 'GE16FEB14 Unfudged'!F$2:F$498)</f>
        <v>96527</v>
      </c>
      <c r="H274" s="56">
        <f t="shared" si="155"/>
        <v>23972</v>
      </c>
      <c r="I274" s="51">
        <f>+SUMIF('GE16FEB14 Unfudged'!$A$2:$A$498, 'Tax Bill Summary'!$A274, 'GE16FEB14 Unfudged'!G$2:G$498)</f>
        <v>0</v>
      </c>
      <c r="J274" s="13">
        <f>+SUMIF('GE16FEB14 Unfudged'!$A$2:$A$498, 'Tax Bill Summary'!$A274, 'GE16FEB14 Unfudged'!H$2:H$498)</f>
        <v>0</v>
      </c>
      <c r="K274" s="56">
        <f t="shared" si="156"/>
        <v>0</v>
      </c>
      <c r="L274" s="51">
        <f>+SUMIF('GE16FEB14 Unfudged'!$A$2:$A$498, 'Tax Bill Summary'!$A274, 'GE16FEB14 Unfudged'!I$2:IF$498)</f>
        <v>666719</v>
      </c>
      <c r="M274" s="13">
        <f>+SUMIF('GE16FEB14 Unfudged'!$A$2:$A$498, 'Tax Bill Summary'!$A274, 'GE16FEB14 Unfudged'!J$2:IG$498)</f>
        <v>437326</v>
      </c>
      <c r="N274" s="56">
        <f t="shared" si="157"/>
        <v>229393</v>
      </c>
      <c r="O274" s="51">
        <f t="shared" si="158"/>
        <v>787218</v>
      </c>
      <c r="P274" s="13">
        <f t="shared" si="159"/>
        <v>533853</v>
      </c>
      <c r="Q274" s="56">
        <f t="shared" si="160"/>
        <v>253365</v>
      </c>
      <c r="R274" s="13">
        <f t="shared" si="161"/>
        <v>821.73068893528182</v>
      </c>
      <c r="S274" s="13">
        <f t="shared" si="162"/>
        <v>557.2578288100209</v>
      </c>
      <c r="T274" s="16">
        <f t="shared" si="163"/>
        <v>264.47286012526098</v>
      </c>
      <c r="U274" s="15">
        <f>+SUMIF('GE16FEB14 Tax Bill Unfudged'!$A$2:$A$498, 'Tax Bill Summary'!$A274, 'GE16FEB14 Tax Bill Unfudged'!E$2:E$498)</f>
        <v>137894</v>
      </c>
      <c r="V274" s="13">
        <f>+SUMIF('GE16FEB14 Tax Bill Unfudged'!$A$2:$A$498, 'Tax Bill Summary'!$A274, 'GE16FEB14 Tax Bill Unfudged'!F$2:F$498)</f>
        <v>110462</v>
      </c>
      <c r="W274" s="56">
        <f t="shared" si="164"/>
        <v>27432</v>
      </c>
      <c r="X274" s="51">
        <f>+SUMIF('GE16FEB14 Tax Bill Unfudged'!$A$2:$A$498, 'Tax Bill Summary'!$A274, 'GE16FEB14 Tax Bill Unfudged'!G$2:G$498)</f>
        <v>406022</v>
      </c>
      <c r="Y274" s="13">
        <f>+SUMIF('GE16FEB14 Tax Bill Unfudged'!$A$2:$A$498, 'Tax Bill Summary'!$A274, 'GE16FEB14 Tax Bill Unfudged'!H$2:H$498)</f>
        <v>325249</v>
      </c>
      <c r="Z274" s="56">
        <f t="shared" si="165"/>
        <v>80773</v>
      </c>
      <c r="AA274" s="51">
        <f>+SUMIF('GE16FEB14 Tax Bill Unfudged'!$A$2:$A$498, 'Tax Bill Summary'!$A274, 'GE16FEB14 Tax Bill Unfudged'!I$2:I$498)</f>
        <v>287280</v>
      </c>
      <c r="AB274" s="13">
        <f>+SUMIF('GE16FEB14 Tax Bill Unfudged'!$A$2:$A$498, 'Tax Bill Summary'!$A274, 'GE16FEB14 Tax Bill Unfudged'!J$2:J$498)</f>
        <v>133371</v>
      </c>
      <c r="AC274" s="56">
        <f t="shared" si="166"/>
        <v>153909</v>
      </c>
      <c r="AD274" s="51">
        <f t="shared" si="167"/>
        <v>831196</v>
      </c>
      <c r="AE274" s="13">
        <f t="shared" si="168"/>
        <v>569082</v>
      </c>
      <c r="AF274" s="56">
        <f t="shared" si="169"/>
        <v>262114</v>
      </c>
      <c r="AG274" s="13">
        <f t="shared" si="170"/>
        <v>867.63674321503129</v>
      </c>
      <c r="AH274" s="13">
        <f t="shared" si="171"/>
        <v>594.03131524008347</v>
      </c>
      <c r="AI274" s="16">
        <f t="shared" si="172"/>
        <v>273.60542797494782</v>
      </c>
      <c r="AJ274" s="15">
        <f t="shared" si="173"/>
        <v>17395</v>
      </c>
      <c r="AK274" s="13">
        <f t="shared" si="174"/>
        <v>13935</v>
      </c>
      <c r="AL274" s="56">
        <f t="shared" si="175"/>
        <v>3460</v>
      </c>
      <c r="AM274" s="51">
        <f t="shared" si="176"/>
        <v>406022</v>
      </c>
      <c r="AN274" s="13">
        <f t="shared" si="177"/>
        <v>325249</v>
      </c>
      <c r="AO274" s="56">
        <f t="shared" si="178"/>
        <v>80773</v>
      </c>
      <c r="AP274" s="51">
        <f t="shared" si="179"/>
        <v>-379439</v>
      </c>
      <c r="AQ274" s="13">
        <f t="shared" si="180"/>
        <v>-303955</v>
      </c>
      <c r="AR274" s="56">
        <f t="shared" si="181"/>
        <v>-75484</v>
      </c>
      <c r="AS274" s="51">
        <f t="shared" si="182"/>
        <v>43978</v>
      </c>
      <c r="AT274" s="13">
        <f t="shared" si="183"/>
        <v>35229</v>
      </c>
      <c r="AU274" s="56">
        <f t="shared" si="184"/>
        <v>8749</v>
      </c>
      <c r="AV274" s="13">
        <f t="shared" si="185"/>
        <v>45.906054279749469</v>
      </c>
      <c r="AW274" s="13">
        <f t="shared" si="186"/>
        <v>36.773486430062576</v>
      </c>
      <c r="AX274" s="16">
        <f t="shared" si="187"/>
        <v>9.1325678496868363</v>
      </c>
    </row>
    <row r="275" spans="1:50" x14ac:dyDescent="0.25">
      <c r="A275" s="20">
        <v>882</v>
      </c>
      <c r="B275">
        <v>1</v>
      </c>
      <c r="C275" s="23" t="s">
        <v>390</v>
      </c>
      <c r="D275" s="23">
        <v>4</v>
      </c>
      <c r="E275" s="15">
        <f>+SUMIF('GE16FEB14 Unfudged'!$A$2:$A$498, $A275, 'GE16FEB14 Unfudged'!$D$2:$D$498)</f>
        <v>4422</v>
      </c>
      <c r="F275" s="15">
        <f>+SUMIF('GE16FEB14 Unfudged'!$A$2:$A$498, 'Tax Bill Summary'!$A275, 'GE16FEB14 Unfudged'!E$2:E$498)</f>
        <v>538855</v>
      </c>
      <c r="G275" s="13">
        <f>+SUMIF('GE16FEB14 Unfudged'!$A$2:$A$498, 'Tax Bill Summary'!$A275, 'GE16FEB14 Unfudged'!F$2:F$498)</f>
        <v>455456</v>
      </c>
      <c r="H275" s="56">
        <f t="shared" si="155"/>
        <v>83399</v>
      </c>
      <c r="I275" s="51">
        <f>+SUMIF('GE16FEB14 Unfudged'!$A$2:$A$498, 'Tax Bill Summary'!$A275, 'GE16FEB14 Unfudged'!G$2:G$498)</f>
        <v>937379</v>
      </c>
      <c r="J275" s="13">
        <f>+SUMIF('GE16FEB14 Unfudged'!$A$2:$A$498, 'Tax Bill Summary'!$A275, 'GE16FEB14 Unfudged'!H$2:H$498)</f>
        <v>792300</v>
      </c>
      <c r="K275" s="56">
        <f t="shared" si="156"/>
        <v>145079</v>
      </c>
      <c r="L275" s="51">
        <f>+SUMIF('GE16FEB14 Unfudged'!$A$2:$A$498, 'Tax Bill Summary'!$A275, 'GE16FEB14 Unfudged'!I$2:IF$498)</f>
        <v>3460919</v>
      </c>
      <c r="M275" s="13">
        <f>+SUMIF('GE16FEB14 Unfudged'!$A$2:$A$498, 'Tax Bill Summary'!$A275, 'GE16FEB14 Unfudged'!J$2:IG$498)</f>
        <v>2469421</v>
      </c>
      <c r="N275" s="56">
        <f t="shared" si="157"/>
        <v>991498</v>
      </c>
      <c r="O275" s="51">
        <f t="shared" si="158"/>
        <v>4937153</v>
      </c>
      <c r="P275" s="13">
        <f t="shared" si="159"/>
        <v>3717177</v>
      </c>
      <c r="Q275" s="56">
        <f t="shared" si="160"/>
        <v>1219976</v>
      </c>
      <c r="R275" s="13">
        <f t="shared" si="161"/>
        <v>1116.4977385798281</v>
      </c>
      <c r="S275" s="13">
        <f t="shared" si="162"/>
        <v>840.60990502035281</v>
      </c>
      <c r="T275" s="16">
        <f t="shared" si="163"/>
        <v>275.88783355947533</v>
      </c>
      <c r="U275" s="15">
        <f>+SUMIF('GE16FEB14 Tax Bill Unfudged'!$A$2:$A$498, 'Tax Bill Summary'!$A275, 'GE16FEB14 Tax Bill Unfudged'!E$2:E$498)</f>
        <v>564215</v>
      </c>
      <c r="V275" s="13">
        <f>+SUMIF('GE16FEB14 Tax Bill Unfudged'!$A$2:$A$498, 'Tax Bill Summary'!$A275, 'GE16FEB14 Tax Bill Unfudged'!F$2:F$498)</f>
        <v>476891</v>
      </c>
      <c r="W275" s="56">
        <f t="shared" si="164"/>
        <v>87324</v>
      </c>
      <c r="X275" s="51">
        <f>+SUMIF('GE16FEB14 Tax Bill Unfudged'!$A$2:$A$498, 'Tax Bill Summary'!$A275, 'GE16FEB14 Tax Bill Unfudged'!G$2:G$498)</f>
        <v>1874758</v>
      </c>
      <c r="Y275" s="13">
        <f>+SUMIF('GE16FEB14 Tax Bill Unfudged'!$A$2:$A$498, 'Tax Bill Summary'!$A275, 'GE16FEB14 Tax Bill Unfudged'!H$2:H$498)</f>
        <v>1584601</v>
      </c>
      <c r="Z275" s="56">
        <f t="shared" si="165"/>
        <v>290157</v>
      </c>
      <c r="AA275" s="51">
        <f>+SUMIF('GE16FEB14 Tax Bill Unfudged'!$A$2:$A$498, 'Tax Bill Summary'!$A275, 'GE16FEB14 Tax Bill Unfudged'!I$2:I$498)</f>
        <v>2523540</v>
      </c>
      <c r="AB275" s="13">
        <f>+SUMIF('GE16FEB14 Tax Bill Unfudged'!$A$2:$A$498, 'Tax Bill Summary'!$A275, 'GE16FEB14 Tax Bill Unfudged'!J$2:J$498)</f>
        <v>1661565</v>
      </c>
      <c r="AC275" s="56">
        <f t="shared" si="166"/>
        <v>861975</v>
      </c>
      <c r="AD275" s="51">
        <f t="shared" si="167"/>
        <v>4962513</v>
      </c>
      <c r="AE275" s="13">
        <f t="shared" si="168"/>
        <v>3723057</v>
      </c>
      <c r="AF275" s="56">
        <f t="shared" si="169"/>
        <v>1239456</v>
      </c>
      <c r="AG275" s="13">
        <f t="shared" si="170"/>
        <v>1122.2327001356853</v>
      </c>
      <c r="AH275" s="13">
        <f t="shared" si="171"/>
        <v>841.93962008141114</v>
      </c>
      <c r="AI275" s="16">
        <f t="shared" si="172"/>
        <v>280.29308005427407</v>
      </c>
      <c r="AJ275" s="15">
        <f t="shared" si="173"/>
        <v>25360</v>
      </c>
      <c r="AK275" s="13">
        <f t="shared" si="174"/>
        <v>21435</v>
      </c>
      <c r="AL275" s="56">
        <f t="shared" si="175"/>
        <v>3925</v>
      </c>
      <c r="AM275" s="51">
        <f t="shared" si="176"/>
        <v>937379</v>
      </c>
      <c r="AN275" s="13">
        <f t="shared" si="177"/>
        <v>792301</v>
      </c>
      <c r="AO275" s="56">
        <f t="shared" si="178"/>
        <v>145078</v>
      </c>
      <c r="AP275" s="51">
        <f t="shared" si="179"/>
        <v>-937379</v>
      </c>
      <c r="AQ275" s="13">
        <f t="shared" si="180"/>
        <v>-807856</v>
      </c>
      <c r="AR275" s="56">
        <f t="shared" si="181"/>
        <v>-129523</v>
      </c>
      <c r="AS275" s="51">
        <f t="shared" si="182"/>
        <v>25360</v>
      </c>
      <c r="AT275" s="13">
        <f t="shared" si="183"/>
        <v>5880</v>
      </c>
      <c r="AU275" s="56">
        <f t="shared" si="184"/>
        <v>19480</v>
      </c>
      <c r="AV275" s="13">
        <f t="shared" si="185"/>
        <v>5.7349615558571259</v>
      </c>
      <c r="AW275" s="13">
        <f t="shared" si="186"/>
        <v>1.329715061058323</v>
      </c>
      <c r="AX275" s="16">
        <f t="shared" si="187"/>
        <v>4.405246494798746</v>
      </c>
    </row>
    <row r="276" spans="1:50" x14ac:dyDescent="0.25">
      <c r="A276" s="20">
        <v>883</v>
      </c>
      <c r="B276">
        <v>1</v>
      </c>
      <c r="C276" s="23" t="s">
        <v>391</v>
      </c>
      <c r="D276" s="23">
        <v>5</v>
      </c>
      <c r="E276" s="15">
        <f>+SUMIF('GE16FEB14 Unfudged'!$A$2:$A$498, $A276, 'GE16FEB14 Unfudged'!$D$2:$D$498)</f>
        <v>1793</v>
      </c>
      <c r="F276" s="15">
        <f>+SUMIF('GE16FEB14 Unfudged'!$A$2:$A$498, 'Tax Bill Summary'!$A276, 'GE16FEB14 Unfudged'!E$2:E$498)</f>
        <v>258134</v>
      </c>
      <c r="G276" s="13">
        <f>+SUMIF('GE16FEB14 Unfudged'!$A$2:$A$498, 'Tax Bill Summary'!$A276, 'GE16FEB14 Unfudged'!F$2:F$498)</f>
        <v>221889</v>
      </c>
      <c r="H276" s="56">
        <f t="shared" si="155"/>
        <v>36245</v>
      </c>
      <c r="I276" s="51">
        <f>+SUMIF('GE16FEB14 Unfudged'!$A$2:$A$498, 'Tax Bill Summary'!$A276, 'GE16FEB14 Unfudged'!G$2:G$498)</f>
        <v>760062</v>
      </c>
      <c r="J276" s="13">
        <f>+SUMIF('GE16FEB14 Unfudged'!$A$2:$A$498, 'Tax Bill Summary'!$A276, 'GE16FEB14 Unfudged'!H$2:H$498)</f>
        <v>653341</v>
      </c>
      <c r="K276" s="56">
        <f t="shared" si="156"/>
        <v>106721</v>
      </c>
      <c r="L276" s="51">
        <f>+SUMIF('GE16FEB14 Unfudged'!$A$2:$A$498, 'Tax Bill Summary'!$A276, 'GE16FEB14 Unfudged'!I$2:IF$498)</f>
        <v>537780</v>
      </c>
      <c r="M276" s="13">
        <f>+SUMIF('GE16FEB14 Unfudged'!$A$2:$A$498, 'Tax Bill Summary'!$A276, 'GE16FEB14 Unfudged'!J$2:IG$498)</f>
        <v>267906</v>
      </c>
      <c r="N276" s="56">
        <f t="shared" si="157"/>
        <v>269874</v>
      </c>
      <c r="O276" s="51">
        <f t="shared" si="158"/>
        <v>1555976</v>
      </c>
      <c r="P276" s="13">
        <f t="shared" si="159"/>
        <v>1143136</v>
      </c>
      <c r="Q276" s="56">
        <f t="shared" si="160"/>
        <v>412840</v>
      </c>
      <c r="R276" s="13">
        <f t="shared" si="161"/>
        <v>867.80591187953155</v>
      </c>
      <c r="S276" s="13">
        <f t="shared" si="162"/>
        <v>637.55493586168438</v>
      </c>
      <c r="T276" s="16">
        <f t="shared" si="163"/>
        <v>230.25097601784719</v>
      </c>
      <c r="U276" s="15">
        <f>+SUMIF('GE16FEB14 Tax Bill Unfudged'!$A$2:$A$498, 'Tax Bill Summary'!$A276, 'GE16FEB14 Tax Bill Unfudged'!E$2:E$498)</f>
        <v>258134</v>
      </c>
      <c r="V276" s="13">
        <f>+SUMIF('GE16FEB14 Tax Bill Unfudged'!$A$2:$A$498, 'Tax Bill Summary'!$A276, 'GE16FEB14 Tax Bill Unfudged'!F$2:F$498)</f>
        <v>221889</v>
      </c>
      <c r="W276" s="56">
        <f t="shared" si="164"/>
        <v>36245</v>
      </c>
      <c r="X276" s="51">
        <f>+SUMIF('GE16FEB14 Tax Bill Unfudged'!$A$2:$A$498, 'Tax Bill Summary'!$A276, 'GE16FEB14 Tax Bill Unfudged'!G$2:G$498)</f>
        <v>760062</v>
      </c>
      <c r="Y276" s="13">
        <f>+SUMIF('GE16FEB14 Tax Bill Unfudged'!$A$2:$A$498, 'Tax Bill Summary'!$A276, 'GE16FEB14 Tax Bill Unfudged'!H$2:H$498)</f>
        <v>653341</v>
      </c>
      <c r="Z276" s="56">
        <f t="shared" si="165"/>
        <v>106721</v>
      </c>
      <c r="AA276" s="51">
        <f>+SUMIF('GE16FEB14 Tax Bill Unfudged'!$A$2:$A$498, 'Tax Bill Summary'!$A276, 'GE16FEB14 Tax Bill Unfudged'!I$2:I$498)</f>
        <v>537780</v>
      </c>
      <c r="AB276" s="13">
        <f>+SUMIF('GE16FEB14 Tax Bill Unfudged'!$A$2:$A$498, 'Tax Bill Summary'!$A276, 'GE16FEB14 Tax Bill Unfudged'!J$2:J$498)</f>
        <v>267906</v>
      </c>
      <c r="AC276" s="56">
        <f t="shared" si="166"/>
        <v>269874</v>
      </c>
      <c r="AD276" s="51">
        <f t="shared" si="167"/>
        <v>1555976</v>
      </c>
      <c r="AE276" s="13">
        <f t="shared" si="168"/>
        <v>1143136</v>
      </c>
      <c r="AF276" s="56">
        <f t="shared" si="169"/>
        <v>412840</v>
      </c>
      <c r="AG276" s="13">
        <f t="shared" si="170"/>
        <v>867.80591187953155</v>
      </c>
      <c r="AH276" s="13">
        <f t="shared" si="171"/>
        <v>637.55493586168438</v>
      </c>
      <c r="AI276" s="16">
        <f t="shared" si="172"/>
        <v>230.25097601784719</v>
      </c>
      <c r="AJ276" s="15">
        <f t="shared" si="173"/>
        <v>0</v>
      </c>
      <c r="AK276" s="13">
        <f t="shared" si="174"/>
        <v>0</v>
      </c>
      <c r="AL276" s="56">
        <f t="shared" si="175"/>
        <v>0</v>
      </c>
      <c r="AM276" s="51">
        <f t="shared" si="176"/>
        <v>0</v>
      </c>
      <c r="AN276" s="13">
        <f t="shared" si="177"/>
        <v>0</v>
      </c>
      <c r="AO276" s="56">
        <f t="shared" si="178"/>
        <v>0</v>
      </c>
      <c r="AP276" s="51">
        <f t="shared" si="179"/>
        <v>0</v>
      </c>
      <c r="AQ276" s="13">
        <f t="shared" si="180"/>
        <v>0</v>
      </c>
      <c r="AR276" s="56">
        <f t="shared" si="181"/>
        <v>0</v>
      </c>
      <c r="AS276" s="51">
        <f t="shared" si="182"/>
        <v>0</v>
      </c>
      <c r="AT276" s="13">
        <f t="shared" si="183"/>
        <v>0</v>
      </c>
      <c r="AU276" s="56">
        <f t="shared" si="184"/>
        <v>0</v>
      </c>
      <c r="AV276" s="13">
        <f t="shared" si="185"/>
        <v>0</v>
      </c>
      <c r="AW276" s="13">
        <f t="shared" si="186"/>
        <v>0</v>
      </c>
      <c r="AX276" s="16">
        <f t="shared" si="187"/>
        <v>0</v>
      </c>
    </row>
    <row r="277" spans="1:50" x14ac:dyDescent="0.25">
      <c r="A277" s="20">
        <v>885</v>
      </c>
      <c r="B277">
        <v>1</v>
      </c>
      <c r="C277" s="23" t="s">
        <v>392</v>
      </c>
      <c r="D277" s="23">
        <v>4</v>
      </c>
      <c r="E277" s="15">
        <f>+SUMIF('GE16FEB14 Unfudged'!$A$2:$A$498, $A277, 'GE16FEB14 Unfudged'!$D$2:$D$498)</f>
        <v>6299</v>
      </c>
      <c r="F277" s="15">
        <f>+SUMIF('GE16FEB14 Unfudged'!$A$2:$A$498, 'Tax Bill Summary'!$A277, 'GE16FEB14 Unfudged'!E$2:E$498)</f>
        <v>852182</v>
      </c>
      <c r="G277" s="13">
        <f>+SUMIF('GE16FEB14 Unfudged'!$A$2:$A$498, 'Tax Bill Summary'!$A277, 'GE16FEB14 Unfudged'!F$2:F$498)</f>
        <v>450621</v>
      </c>
      <c r="H277" s="56">
        <f t="shared" si="155"/>
        <v>401561</v>
      </c>
      <c r="I277" s="51">
        <f>+SUMIF('GE16FEB14 Unfudged'!$A$2:$A$498, 'Tax Bill Summary'!$A277, 'GE16FEB14 Unfudged'!G$2:G$498)</f>
        <v>1335430</v>
      </c>
      <c r="J277" s="13">
        <f>+SUMIF('GE16FEB14 Unfudged'!$A$2:$A$498, 'Tax Bill Summary'!$A277, 'GE16FEB14 Unfudged'!H$2:H$498)</f>
        <v>706155</v>
      </c>
      <c r="K277" s="56">
        <f t="shared" si="156"/>
        <v>629275</v>
      </c>
      <c r="L277" s="51">
        <f>+SUMIF('GE16FEB14 Unfudged'!$A$2:$A$498, 'Tax Bill Summary'!$A277, 'GE16FEB14 Unfudged'!I$2:IF$498)</f>
        <v>3087301</v>
      </c>
      <c r="M277" s="13">
        <f>+SUMIF('GE16FEB14 Unfudged'!$A$2:$A$498, 'Tax Bill Summary'!$A277, 'GE16FEB14 Unfudged'!J$2:IG$498)</f>
        <v>1212367</v>
      </c>
      <c r="N277" s="56">
        <f t="shared" si="157"/>
        <v>1874934</v>
      </c>
      <c r="O277" s="51">
        <f t="shared" si="158"/>
        <v>5274913</v>
      </c>
      <c r="P277" s="13">
        <f t="shared" si="159"/>
        <v>2369143</v>
      </c>
      <c r="Q277" s="56">
        <f t="shared" si="160"/>
        <v>2905770</v>
      </c>
      <c r="R277" s="13">
        <f t="shared" si="161"/>
        <v>837.42070169868236</v>
      </c>
      <c r="S277" s="13">
        <f t="shared" si="162"/>
        <v>376.11414510239723</v>
      </c>
      <c r="T277" s="16">
        <f t="shared" si="163"/>
        <v>461.30655659628513</v>
      </c>
      <c r="U277" s="15">
        <f>+SUMIF('GE16FEB14 Tax Bill Unfudged'!$A$2:$A$498, 'Tax Bill Summary'!$A277, 'GE16FEB14 Tax Bill Unfudged'!E$2:E$498)</f>
        <v>907085</v>
      </c>
      <c r="V277" s="13">
        <f>+SUMIF('GE16FEB14 Tax Bill Unfudged'!$A$2:$A$498, 'Tax Bill Summary'!$A277, 'GE16FEB14 Tax Bill Unfudged'!F$2:F$498)</f>
        <v>479653</v>
      </c>
      <c r="W277" s="56">
        <f t="shared" si="164"/>
        <v>427432</v>
      </c>
      <c r="X277" s="51">
        <f>+SUMIF('GE16FEB14 Tax Bill Unfudged'!$A$2:$A$498, 'Tax Bill Summary'!$A277, 'GE16FEB14 Tax Bill Unfudged'!G$2:G$498)</f>
        <v>2670861</v>
      </c>
      <c r="Y277" s="13">
        <f>+SUMIF('GE16FEB14 Tax Bill Unfudged'!$A$2:$A$498, 'Tax Bill Summary'!$A277, 'GE16FEB14 Tax Bill Unfudged'!H$2:H$498)</f>
        <v>1412311</v>
      </c>
      <c r="Z277" s="56">
        <f t="shared" si="165"/>
        <v>1258550</v>
      </c>
      <c r="AA277" s="51">
        <f>+SUMIF('GE16FEB14 Tax Bill Unfudged'!$A$2:$A$498, 'Tax Bill Summary'!$A277, 'GE16FEB14 Tax Bill Unfudged'!I$2:I$498)</f>
        <v>1889760</v>
      </c>
      <c r="AB277" s="13">
        <f>+SUMIF('GE16FEB14 Tax Bill Unfudged'!$A$2:$A$498, 'Tax Bill Summary'!$A277, 'GE16FEB14 Tax Bill Unfudged'!J$2:J$498)</f>
        <v>579126</v>
      </c>
      <c r="AC277" s="56">
        <f t="shared" si="166"/>
        <v>1310634</v>
      </c>
      <c r="AD277" s="51">
        <f t="shared" si="167"/>
        <v>5467706</v>
      </c>
      <c r="AE277" s="13">
        <f t="shared" si="168"/>
        <v>2471090</v>
      </c>
      <c r="AF277" s="56">
        <f t="shared" si="169"/>
        <v>2996616</v>
      </c>
      <c r="AG277" s="13">
        <f t="shared" si="170"/>
        <v>868.02762343229085</v>
      </c>
      <c r="AH277" s="13">
        <f t="shared" si="171"/>
        <v>392.29877758374346</v>
      </c>
      <c r="AI277" s="16">
        <f t="shared" si="172"/>
        <v>475.72884584854739</v>
      </c>
      <c r="AJ277" s="15">
        <f t="shared" si="173"/>
        <v>54903</v>
      </c>
      <c r="AK277" s="13">
        <f t="shared" si="174"/>
        <v>29032</v>
      </c>
      <c r="AL277" s="56">
        <f t="shared" si="175"/>
        <v>25871</v>
      </c>
      <c r="AM277" s="51">
        <f t="shared" si="176"/>
        <v>1335431</v>
      </c>
      <c r="AN277" s="13">
        <f t="shared" si="177"/>
        <v>706156</v>
      </c>
      <c r="AO277" s="56">
        <f t="shared" si="178"/>
        <v>629275</v>
      </c>
      <c r="AP277" s="51">
        <f t="shared" si="179"/>
        <v>-1197541</v>
      </c>
      <c r="AQ277" s="13">
        <f t="shared" si="180"/>
        <v>-633241</v>
      </c>
      <c r="AR277" s="56">
        <f t="shared" si="181"/>
        <v>-564300</v>
      </c>
      <c r="AS277" s="51">
        <f t="shared" si="182"/>
        <v>192793</v>
      </c>
      <c r="AT277" s="13">
        <f t="shared" si="183"/>
        <v>101947</v>
      </c>
      <c r="AU277" s="56">
        <f t="shared" si="184"/>
        <v>90846</v>
      </c>
      <c r="AV277" s="13">
        <f t="shared" si="185"/>
        <v>30.606921733608488</v>
      </c>
      <c r="AW277" s="13">
        <f t="shared" si="186"/>
        <v>16.184632481346227</v>
      </c>
      <c r="AX277" s="16">
        <f t="shared" si="187"/>
        <v>14.42228925226226</v>
      </c>
    </row>
    <row r="278" spans="1:50" x14ac:dyDescent="0.25">
      <c r="A278" s="20">
        <v>891</v>
      </c>
      <c r="B278">
        <v>1</v>
      </c>
      <c r="C278" s="23" t="s">
        <v>393</v>
      </c>
      <c r="D278" s="23">
        <v>6</v>
      </c>
      <c r="E278" s="15">
        <f>+SUMIF('GE16FEB14 Unfudged'!$A$2:$A$498, $A278, 'GE16FEB14 Unfudged'!$D$2:$D$498)</f>
        <v>536</v>
      </c>
      <c r="F278" s="15">
        <f>+SUMIF('GE16FEB14 Unfudged'!$A$2:$A$498, 'Tax Bill Summary'!$A278, 'GE16FEB14 Unfudged'!E$2:E$498)</f>
        <v>66213</v>
      </c>
      <c r="G278" s="13">
        <f>+SUMIF('GE16FEB14 Unfudged'!$A$2:$A$498, 'Tax Bill Summary'!$A278, 'GE16FEB14 Unfudged'!F$2:F$498)</f>
        <v>35907</v>
      </c>
      <c r="H278" s="56">
        <f t="shared" ref="H278:H341" si="188">+F278-G278</f>
        <v>30306</v>
      </c>
      <c r="I278" s="51">
        <f>+SUMIF('GE16FEB14 Unfudged'!$A$2:$A$498, 'Tax Bill Summary'!$A278, 'GE16FEB14 Unfudged'!G$2:G$498)</f>
        <v>0</v>
      </c>
      <c r="J278" s="13">
        <f>+SUMIF('GE16FEB14 Unfudged'!$A$2:$A$498, 'Tax Bill Summary'!$A278, 'GE16FEB14 Unfudged'!H$2:H$498)</f>
        <v>0</v>
      </c>
      <c r="K278" s="56">
        <f t="shared" ref="K278:K341" si="189">+I278-J278</f>
        <v>0</v>
      </c>
      <c r="L278" s="51">
        <f>+SUMIF('GE16FEB14 Unfudged'!$A$2:$A$498, 'Tax Bill Summary'!$A278, 'GE16FEB14 Unfudged'!I$2:IF$498)</f>
        <v>401474</v>
      </c>
      <c r="M278" s="13">
        <f>+SUMIF('GE16FEB14 Unfudged'!$A$2:$A$498, 'Tax Bill Summary'!$A278, 'GE16FEB14 Unfudged'!J$2:IG$498)</f>
        <v>181024</v>
      </c>
      <c r="N278" s="56">
        <f t="shared" ref="N278:N341" si="190">+L278-M278</f>
        <v>220450</v>
      </c>
      <c r="O278" s="51">
        <f t="shared" ref="O278:O341" si="191">+F278+I278+L278</f>
        <v>467687</v>
      </c>
      <c r="P278" s="13">
        <f t="shared" ref="P278:P341" si="192">+G278+J278+M278</f>
        <v>216931</v>
      </c>
      <c r="Q278" s="56">
        <f t="shared" ref="Q278:Q341" si="193">+H278+K278+N278</f>
        <v>250756</v>
      </c>
      <c r="R278" s="13">
        <f t="shared" ref="R278:R341" si="194">+IF($E278=0, 0, O278/$E278)</f>
        <v>872.55037313432831</v>
      </c>
      <c r="S278" s="13">
        <f t="shared" ref="S278:S341" si="195">+IF($E278=0, 0, P278/$E278)</f>
        <v>404.72201492537312</v>
      </c>
      <c r="T278" s="16">
        <f t="shared" ref="T278:T341" si="196">+IF($E278=0, 0, Q278/$E278)</f>
        <v>467.82835820895525</v>
      </c>
      <c r="U278" s="15">
        <f>+SUMIF('GE16FEB14 Tax Bill Unfudged'!$A$2:$A$498, 'Tax Bill Summary'!$A278, 'GE16FEB14 Tax Bill Unfudged'!E$2:E$498)</f>
        <v>76447</v>
      </c>
      <c r="V278" s="13">
        <f>+SUMIF('GE16FEB14 Tax Bill Unfudged'!$A$2:$A$498, 'Tax Bill Summary'!$A278, 'GE16FEB14 Tax Bill Unfudged'!F$2:F$498)</f>
        <v>41456</v>
      </c>
      <c r="W278" s="56">
        <f t="shared" ref="W278:W341" si="197">+U278-V278</f>
        <v>34991</v>
      </c>
      <c r="X278" s="51">
        <f>+SUMIF('GE16FEB14 Tax Bill Unfudged'!$A$2:$A$498, 'Tax Bill Summary'!$A278, 'GE16FEB14 Tax Bill Unfudged'!G$2:G$498)</f>
        <v>227434</v>
      </c>
      <c r="Y278" s="13">
        <f>+SUMIF('GE16FEB14 Tax Bill Unfudged'!$A$2:$A$498, 'Tax Bill Summary'!$A278, 'GE16FEB14 Tax Bill Unfudged'!H$2:H$498)</f>
        <v>123335</v>
      </c>
      <c r="Z278" s="56">
        <f t="shared" ref="Z278:Z341" si="198">+X278-Y278</f>
        <v>104099</v>
      </c>
      <c r="AA278" s="51">
        <f>+SUMIF('GE16FEB14 Tax Bill Unfudged'!$A$2:$A$498, 'Tax Bill Summary'!$A278, 'GE16FEB14 Tax Bill Unfudged'!I$2:I$498)</f>
        <v>174040</v>
      </c>
      <c r="AB278" s="13">
        <f>+SUMIF('GE16FEB14 Tax Bill Unfudged'!$A$2:$A$498, 'Tax Bill Summary'!$A278, 'GE16FEB14 Tax Bill Unfudged'!J$2:J$498)</f>
        <v>57689</v>
      </c>
      <c r="AC278" s="56">
        <f t="shared" ref="AC278:AC341" si="199">+AA278-AB278</f>
        <v>116351</v>
      </c>
      <c r="AD278" s="51">
        <f t="shared" ref="AD278:AD341" si="200">+U278+X278+AA278</f>
        <v>477921</v>
      </c>
      <c r="AE278" s="13">
        <f t="shared" ref="AE278:AE341" si="201">+V278+Y278+AB278</f>
        <v>222480</v>
      </c>
      <c r="AF278" s="56">
        <f t="shared" ref="AF278:AF341" si="202">+W278+Z278+AC278</f>
        <v>255441</v>
      </c>
      <c r="AG278" s="13">
        <f t="shared" ref="AG278:AG341" si="203">+IF($E278=0, 0, AD278/$E278)</f>
        <v>891.64365671641792</v>
      </c>
      <c r="AH278" s="13">
        <f t="shared" ref="AH278:AH341" si="204">+IF($E278=0, 0, AE278/$E278)</f>
        <v>415.07462686567163</v>
      </c>
      <c r="AI278" s="16">
        <f t="shared" ref="AI278:AI341" si="205">+IF($E278=0, 0, AF278/$E278)</f>
        <v>476.56902985074629</v>
      </c>
      <c r="AJ278" s="15">
        <f t="shared" ref="AJ278:AJ341" si="206">+U278-F278</f>
        <v>10234</v>
      </c>
      <c r="AK278" s="13">
        <f t="shared" ref="AK278:AK341" si="207">+V278-G278</f>
        <v>5549</v>
      </c>
      <c r="AL278" s="56">
        <f t="shared" ref="AL278:AL341" si="208">+W278-H278</f>
        <v>4685</v>
      </c>
      <c r="AM278" s="51">
        <f t="shared" ref="AM278:AM341" si="209">+X278-I278</f>
        <v>227434</v>
      </c>
      <c r="AN278" s="13">
        <f t="shared" ref="AN278:AN341" si="210">+Y278-J278</f>
        <v>123335</v>
      </c>
      <c r="AO278" s="56">
        <f t="shared" ref="AO278:AO341" si="211">+Z278-K278</f>
        <v>104099</v>
      </c>
      <c r="AP278" s="51">
        <f t="shared" ref="AP278:AP341" si="212">+AA278-L278</f>
        <v>-227434</v>
      </c>
      <c r="AQ278" s="13">
        <f t="shared" ref="AQ278:AQ341" si="213">+AB278-M278</f>
        <v>-123335</v>
      </c>
      <c r="AR278" s="56">
        <f t="shared" ref="AR278:AR341" si="214">+AC278-N278</f>
        <v>-104099</v>
      </c>
      <c r="AS278" s="51">
        <f t="shared" ref="AS278:AS341" si="215">+AD278-O278</f>
        <v>10234</v>
      </c>
      <c r="AT278" s="13">
        <f t="shared" ref="AT278:AT341" si="216">+AE278-P278</f>
        <v>5549</v>
      </c>
      <c r="AU278" s="56">
        <f t="shared" ref="AU278:AU341" si="217">+AF278-Q278</f>
        <v>4685</v>
      </c>
      <c r="AV278" s="13">
        <f t="shared" ref="AV278:AV341" si="218">+AG278-R278</f>
        <v>19.093283582089612</v>
      </c>
      <c r="AW278" s="13">
        <f t="shared" ref="AW278:AW341" si="219">+AH278-S278</f>
        <v>10.352611940298516</v>
      </c>
      <c r="AX278" s="16">
        <f t="shared" ref="AX278:AX341" si="220">+AI278-T278</f>
        <v>8.7406716417910388</v>
      </c>
    </row>
    <row r="279" spans="1:50" x14ac:dyDescent="0.25">
      <c r="A279" s="20">
        <v>911</v>
      </c>
      <c r="B279">
        <v>1</v>
      </c>
      <c r="C279" s="23" t="s">
        <v>394</v>
      </c>
      <c r="D279" s="23">
        <v>4</v>
      </c>
      <c r="E279" s="15">
        <f>+SUMIF('GE16FEB14 Unfudged'!$A$2:$A$498, $A279, 'GE16FEB14 Unfudged'!$D$2:$D$498)</f>
        <v>5663</v>
      </c>
      <c r="F279" s="15">
        <f>+SUMIF('GE16FEB14 Unfudged'!$A$2:$A$498, 'Tax Bill Summary'!$A279, 'GE16FEB14 Unfudged'!E$2:E$498)</f>
        <v>815480</v>
      </c>
      <c r="G279" s="13">
        <f>+SUMIF('GE16FEB14 Unfudged'!$A$2:$A$498, 'Tax Bill Summary'!$A279, 'GE16FEB14 Unfudged'!F$2:F$498)</f>
        <v>471033</v>
      </c>
      <c r="H279" s="56">
        <f t="shared" si="188"/>
        <v>344447</v>
      </c>
      <c r="I279" s="51">
        <f>+SUMIF('GE16FEB14 Unfudged'!$A$2:$A$498, 'Tax Bill Summary'!$A279, 'GE16FEB14 Unfudged'!G$2:G$498)</f>
        <v>1200567</v>
      </c>
      <c r="J279" s="13">
        <f>+SUMIF('GE16FEB14 Unfudged'!$A$2:$A$498, 'Tax Bill Summary'!$A279, 'GE16FEB14 Unfudged'!H$2:H$498)</f>
        <v>693464</v>
      </c>
      <c r="K279" s="56">
        <f t="shared" si="189"/>
        <v>507103</v>
      </c>
      <c r="L279" s="51">
        <f>+SUMIF('GE16FEB14 Unfudged'!$A$2:$A$498, 'Tax Bill Summary'!$A279, 'GE16FEB14 Unfudged'!I$2:IF$498)</f>
        <v>1698915</v>
      </c>
      <c r="M279" s="13">
        <f>+SUMIF('GE16FEB14 Unfudged'!$A$2:$A$498, 'Tax Bill Summary'!$A279, 'GE16FEB14 Unfudged'!J$2:IG$498)</f>
        <v>568718</v>
      </c>
      <c r="N279" s="56">
        <f t="shared" si="190"/>
        <v>1130197</v>
      </c>
      <c r="O279" s="51">
        <f t="shared" si="191"/>
        <v>3714962</v>
      </c>
      <c r="P279" s="13">
        <f t="shared" si="192"/>
        <v>1733215</v>
      </c>
      <c r="Q279" s="56">
        <f t="shared" si="193"/>
        <v>1981747</v>
      </c>
      <c r="R279" s="13">
        <f t="shared" si="194"/>
        <v>656.00600388486669</v>
      </c>
      <c r="S279" s="13">
        <f t="shared" si="195"/>
        <v>306.05950909411973</v>
      </c>
      <c r="T279" s="16">
        <f t="shared" si="196"/>
        <v>349.94649479074695</v>
      </c>
      <c r="U279" s="15">
        <f>+SUMIF('GE16FEB14 Tax Bill Unfudged'!$A$2:$A$498, 'Tax Bill Summary'!$A279, 'GE16FEB14 Tax Bill Unfudged'!E$2:E$498)</f>
        <v>815480</v>
      </c>
      <c r="V279" s="13">
        <f>+SUMIF('GE16FEB14 Tax Bill Unfudged'!$A$2:$A$498, 'Tax Bill Summary'!$A279, 'GE16FEB14 Tax Bill Unfudged'!F$2:F$498)</f>
        <v>471033</v>
      </c>
      <c r="W279" s="56">
        <f t="shared" si="197"/>
        <v>344447</v>
      </c>
      <c r="X279" s="51">
        <f>+SUMIF('GE16FEB14 Tax Bill Unfudged'!$A$2:$A$498, 'Tax Bill Summary'!$A279, 'GE16FEB14 Tax Bill Unfudged'!G$2:G$498)</f>
        <v>2401133</v>
      </c>
      <c r="Y279" s="13">
        <f>+SUMIF('GE16FEB14 Tax Bill Unfudged'!$A$2:$A$498, 'Tax Bill Summary'!$A279, 'GE16FEB14 Tax Bill Unfudged'!H$2:H$498)</f>
        <v>1386928</v>
      </c>
      <c r="Z279" s="56">
        <f t="shared" si="198"/>
        <v>1014205</v>
      </c>
      <c r="AA279" s="51">
        <f>+SUMIF('GE16FEB14 Tax Bill Unfudged'!$A$2:$A$498, 'Tax Bill Summary'!$A279, 'GE16FEB14 Tax Bill Unfudged'!I$2:I$498)</f>
        <v>1698915</v>
      </c>
      <c r="AB279" s="13">
        <f>+SUMIF('GE16FEB14 Tax Bill Unfudged'!$A$2:$A$498, 'Tax Bill Summary'!$A279, 'GE16FEB14 Tax Bill Unfudged'!J$2:J$498)</f>
        <v>568718</v>
      </c>
      <c r="AC279" s="56">
        <f t="shared" si="199"/>
        <v>1130197</v>
      </c>
      <c r="AD279" s="51">
        <f t="shared" si="200"/>
        <v>4915528</v>
      </c>
      <c r="AE279" s="13">
        <f t="shared" si="201"/>
        <v>2426679</v>
      </c>
      <c r="AF279" s="56">
        <f t="shared" si="202"/>
        <v>2488849</v>
      </c>
      <c r="AG279" s="13">
        <f t="shared" si="203"/>
        <v>868.00776973335689</v>
      </c>
      <c r="AH279" s="13">
        <f t="shared" si="204"/>
        <v>428.51474483489318</v>
      </c>
      <c r="AI279" s="16">
        <f t="shared" si="205"/>
        <v>439.49302489846372</v>
      </c>
      <c r="AJ279" s="15">
        <f t="shared" si="206"/>
        <v>0</v>
      </c>
      <c r="AK279" s="13">
        <f t="shared" si="207"/>
        <v>0</v>
      </c>
      <c r="AL279" s="56">
        <f t="shared" si="208"/>
        <v>0</v>
      </c>
      <c r="AM279" s="51">
        <f t="shared" si="209"/>
        <v>1200566</v>
      </c>
      <c r="AN279" s="13">
        <f t="shared" si="210"/>
        <v>693464</v>
      </c>
      <c r="AO279" s="56">
        <f t="shared" si="211"/>
        <v>507102</v>
      </c>
      <c r="AP279" s="51">
        <f t="shared" si="212"/>
        <v>0</v>
      </c>
      <c r="AQ279" s="13">
        <f t="shared" si="213"/>
        <v>0</v>
      </c>
      <c r="AR279" s="56">
        <f t="shared" si="214"/>
        <v>0</v>
      </c>
      <c r="AS279" s="51">
        <f t="shared" si="215"/>
        <v>1200566</v>
      </c>
      <c r="AT279" s="13">
        <f t="shared" si="216"/>
        <v>693464</v>
      </c>
      <c r="AU279" s="56">
        <f t="shared" si="217"/>
        <v>507102</v>
      </c>
      <c r="AV279" s="13">
        <f t="shared" si="218"/>
        <v>212.00176584849021</v>
      </c>
      <c r="AW279" s="13">
        <f t="shared" si="219"/>
        <v>122.45523574077345</v>
      </c>
      <c r="AX279" s="16">
        <f t="shared" si="220"/>
        <v>89.546530107716762</v>
      </c>
    </row>
    <row r="280" spans="1:50" x14ac:dyDescent="0.25">
      <c r="A280" s="20">
        <v>912</v>
      </c>
      <c r="B280">
        <v>1</v>
      </c>
      <c r="C280" s="23" t="s">
        <v>395</v>
      </c>
      <c r="D280" s="23">
        <v>5</v>
      </c>
      <c r="E280" s="15">
        <f>+SUMIF('GE16FEB14 Unfudged'!$A$2:$A$498, $A280, 'GE16FEB14 Unfudged'!$D$2:$D$498)</f>
        <v>1935</v>
      </c>
      <c r="F280" s="15">
        <f>+SUMIF('GE16FEB14 Unfudged'!$A$2:$A$498, 'Tax Bill Summary'!$A280, 'GE16FEB14 Unfudged'!E$2:E$498)</f>
        <v>278597</v>
      </c>
      <c r="G280" s="13">
        <f>+SUMIF('GE16FEB14 Unfudged'!$A$2:$A$498, 'Tax Bill Summary'!$A280, 'GE16FEB14 Unfudged'!F$2:F$498)</f>
        <v>129996</v>
      </c>
      <c r="H280" s="56">
        <f t="shared" si="188"/>
        <v>148601</v>
      </c>
      <c r="I280" s="51">
        <f>+SUMIF('GE16FEB14 Unfudged'!$A$2:$A$498, 'Tax Bill Summary'!$A280, 'GE16FEB14 Unfudged'!G$2:G$498)</f>
        <v>0</v>
      </c>
      <c r="J280" s="13">
        <f>+SUMIF('GE16FEB14 Unfudged'!$A$2:$A$498, 'Tax Bill Summary'!$A280, 'GE16FEB14 Unfudged'!H$2:H$498)</f>
        <v>0</v>
      </c>
      <c r="K280" s="56">
        <f t="shared" si="189"/>
        <v>0</v>
      </c>
      <c r="L280" s="51">
        <f>+SUMIF('GE16FEB14 Unfudged'!$A$2:$A$498, 'Tax Bill Summary'!$A280, 'GE16FEB14 Unfudged'!I$2:IF$498)</f>
        <v>580410</v>
      </c>
      <c r="M280" s="13">
        <f>+SUMIF('GE16FEB14 Unfudged'!$A$2:$A$498, 'Tax Bill Summary'!$A280, 'GE16FEB14 Unfudged'!J$2:IG$498)</f>
        <v>156956</v>
      </c>
      <c r="N280" s="56">
        <f t="shared" si="190"/>
        <v>423454</v>
      </c>
      <c r="O280" s="51">
        <f t="shared" si="191"/>
        <v>859007</v>
      </c>
      <c r="P280" s="13">
        <f t="shared" si="192"/>
        <v>286952</v>
      </c>
      <c r="Q280" s="56">
        <f t="shared" si="193"/>
        <v>572055</v>
      </c>
      <c r="R280" s="13">
        <f t="shared" si="194"/>
        <v>443.93126614987079</v>
      </c>
      <c r="S280" s="13">
        <f t="shared" si="195"/>
        <v>148.29560723514211</v>
      </c>
      <c r="T280" s="16">
        <f t="shared" si="196"/>
        <v>295.63565891472871</v>
      </c>
      <c r="U280" s="15">
        <f>+SUMIF('GE16FEB14 Tax Bill Unfudged'!$A$2:$A$498, 'Tax Bill Summary'!$A280, 'GE16FEB14 Tax Bill Unfudged'!E$2:E$498)</f>
        <v>278597</v>
      </c>
      <c r="V280" s="13">
        <f>+SUMIF('GE16FEB14 Tax Bill Unfudged'!$A$2:$A$498, 'Tax Bill Summary'!$A280, 'GE16FEB14 Tax Bill Unfudged'!F$2:F$498)</f>
        <v>129996</v>
      </c>
      <c r="W280" s="56">
        <f t="shared" si="197"/>
        <v>148601</v>
      </c>
      <c r="X280" s="51">
        <f>+SUMIF('GE16FEB14 Tax Bill Unfudged'!$A$2:$A$498, 'Tax Bill Summary'!$A280, 'GE16FEB14 Tax Bill Unfudged'!G$2:G$498)</f>
        <v>820313</v>
      </c>
      <c r="Y280" s="13">
        <f>+SUMIF('GE16FEB14 Tax Bill Unfudged'!$A$2:$A$498, 'Tax Bill Summary'!$A280, 'GE16FEB14 Tax Bill Unfudged'!H$2:H$498)</f>
        <v>382767</v>
      </c>
      <c r="Z280" s="56">
        <f t="shared" si="198"/>
        <v>437546</v>
      </c>
      <c r="AA280" s="51">
        <f>+SUMIF('GE16FEB14 Tax Bill Unfudged'!$A$2:$A$498, 'Tax Bill Summary'!$A280, 'GE16FEB14 Tax Bill Unfudged'!I$2:I$498)</f>
        <v>580410</v>
      </c>
      <c r="AB280" s="13">
        <f>+SUMIF('GE16FEB14 Tax Bill Unfudged'!$A$2:$A$498, 'Tax Bill Summary'!$A280, 'GE16FEB14 Tax Bill Unfudged'!J$2:J$498)</f>
        <v>156956</v>
      </c>
      <c r="AC280" s="56">
        <f t="shared" si="199"/>
        <v>423454</v>
      </c>
      <c r="AD280" s="51">
        <f t="shared" si="200"/>
        <v>1679320</v>
      </c>
      <c r="AE280" s="13">
        <f t="shared" si="201"/>
        <v>669719</v>
      </c>
      <c r="AF280" s="56">
        <f t="shared" si="202"/>
        <v>1009601</v>
      </c>
      <c r="AG280" s="13">
        <f t="shared" si="203"/>
        <v>867.86563307493543</v>
      </c>
      <c r="AH280" s="13">
        <f t="shared" si="204"/>
        <v>346.1080103359173</v>
      </c>
      <c r="AI280" s="16">
        <f t="shared" si="205"/>
        <v>521.75762273901807</v>
      </c>
      <c r="AJ280" s="15">
        <f t="shared" si="206"/>
        <v>0</v>
      </c>
      <c r="AK280" s="13">
        <f t="shared" si="207"/>
        <v>0</v>
      </c>
      <c r="AL280" s="56">
        <f t="shared" si="208"/>
        <v>0</v>
      </c>
      <c r="AM280" s="51">
        <f t="shared" si="209"/>
        <v>820313</v>
      </c>
      <c r="AN280" s="13">
        <f t="shared" si="210"/>
        <v>382767</v>
      </c>
      <c r="AO280" s="56">
        <f t="shared" si="211"/>
        <v>437546</v>
      </c>
      <c r="AP280" s="51">
        <f t="shared" si="212"/>
        <v>0</v>
      </c>
      <c r="AQ280" s="13">
        <f t="shared" si="213"/>
        <v>0</v>
      </c>
      <c r="AR280" s="56">
        <f t="shared" si="214"/>
        <v>0</v>
      </c>
      <c r="AS280" s="51">
        <f t="shared" si="215"/>
        <v>820313</v>
      </c>
      <c r="AT280" s="13">
        <f t="shared" si="216"/>
        <v>382767</v>
      </c>
      <c r="AU280" s="56">
        <f t="shared" si="217"/>
        <v>437546</v>
      </c>
      <c r="AV280" s="13">
        <f t="shared" si="218"/>
        <v>423.93436692506464</v>
      </c>
      <c r="AW280" s="13">
        <f t="shared" si="219"/>
        <v>197.81240310077519</v>
      </c>
      <c r="AX280" s="16">
        <f t="shared" si="220"/>
        <v>226.12196382428937</v>
      </c>
    </row>
    <row r="281" spans="1:50" x14ac:dyDescent="0.25">
      <c r="A281" s="20">
        <v>914</v>
      </c>
      <c r="B281">
        <v>1</v>
      </c>
      <c r="C281" s="23" t="s">
        <v>396</v>
      </c>
      <c r="D281" s="23">
        <v>6</v>
      </c>
      <c r="E281" s="15">
        <f>+SUMIF('GE16FEB14 Unfudged'!$A$2:$A$498, $A281, 'GE16FEB14 Unfudged'!$D$2:$D$498)</f>
        <v>341</v>
      </c>
      <c r="F281" s="15">
        <f>+SUMIF('GE16FEB14 Unfudged'!$A$2:$A$498, 'Tax Bill Summary'!$A281, 'GE16FEB14 Unfudged'!E$2:E$498)</f>
        <v>17070</v>
      </c>
      <c r="G281" s="13">
        <f>+SUMIF('GE16FEB14 Unfudged'!$A$2:$A$498, 'Tax Bill Summary'!$A281, 'GE16FEB14 Unfudged'!F$2:F$498)</f>
        <v>7889</v>
      </c>
      <c r="H281" s="56">
        <f t="shared" si="188"/>
        <v>9181</v>
      </c>
      <c r="I281" s="51">
        <f>+SUMIF('GE16FEB14 Unfudged'!$A$2:$A$498, 'Tax Bill Summary'!$A281, 'GE16FEB14 Unfudged'!G$2:G$498)</f>
        <v>0</v>
      </c>
      <c r="J281" s="13">
        <f>+SUMIF('GE16FEB14 Unfudged'!$A$2:$A$498, 'Tax Bill Summary'!$A281, 'GE16FEB14 Unfudged'!H$2:H$498)</f>
        <v>0</v>
      </c>
      <c r="K281" s="56">
        <f t="shared" si="189"/>
        <v>0</v>
      </c>
      <c r="L281" s="51">
        <f>+SUMIF('GE16FEB14 Unfudged'!$A$2:$A$498, 'Tax Bill Summary'!$A281, 'GE16FEB14 Unfudged'!I$2:IF$498)</f>
        <v>751145</v>
      </c>
      <c r="M281" s="13">
        <f>+SUMIF('GE16FEB14 Unfudged'!$A$2:$A$498, 'Tax Bill Summary'!$A281, 'GE16FEB14 Unfudged'!J$2:IG$498)</f>
        <v>499656</v>
      </c>
      <c r="N281" s="56">
        <f t="shared" si="190"/>
        <v>251489</v>
      </c>
      <c r="O281" s="51">
        <f t="shared" si="191"/>
        <v>768215</v>
      </c>
      <c r="P281" s="13">
        <f t="shared" si="192"/>
        <v>507545</v>
      </c>
      <c r="Q281" s="56">
        <f t="shared" si="193"/>
        <v>260670</v>
      </c>
      <c r="R281" s="13">
        <f t="shared" si="194"/>
        <v>2252.8299120234606</v>
      </c>
      <c r="S281" s="13">
        <f t="shared" si="195"/>
        <v>1488.4017595307919</v>
      </c>
      <c r="T281" s="16">
        <f t="shared" si="196"/>
        <v>764.42815249266857</v>
      </c>
      <c r="U281" s="15">
        <f>+SUMIF('GE16FEB14 Tax Bill Unfudged'!$A$2:$A$498, 'Tax Bill Summary'!$A281, 'GE16FEB14 Tax Bill Unfudged'!E$2:E$498)</f>
        <v>17070</v>
      </c>
      <c r="V281" s="13">
        <f>+SUMIF('GE16FEB14 Tax Bill Unfudged'!$A$2:$A$498, 'Tax Bill Summary'!$A281, 'GE16FEB14 Tax Bill Unfudged'!F$2:F$498)</f>
        <v>7889</v>
      </c>
      <c r="W281" s="56">
        <f t="shared" si="197"/>
        <v>9181</v>
      </c>
      <c r="X281" s="51">
        <f>+SUMIF('GE16FEB14 Tax Bill Unfudged'!$A$2:$A$498, 'Tax Bill Summary'!$A281, 'GE16FEB14 Tax Bill Unfudged'!G$2:G$498)</f>
        <v>144754</v>
      </c>
      <c r="Y281" s="13">
        <f>+SUMIF('GE16FEB14 Tax Bill Unfudged'!$A$2:$A$498, 'Tax Bill Summary'!$A281, 'GE16FEB14 Tax Bill Unfudged'!H$2:H$498)</f>
        <v>66903</v>
      </c>
      <c r="Z281" s="56">
        <f t="shared" si="198"/>
        <v>77851</v>
      </c>
      <c r="AA281" s="51">
        <f>+SUMIF('GE16FEB14 Tax Bill Unfudged'!$A$2:$A$498, 'Tax Bill Summary'!$A281, 'GE16FEB14 Tax Bill Unfudged'!I$2:I$498)</f>
        <v>606391</v>
      </c>
      <c r="AB281" s="13">
        <f>+SUMIF('GE16FEB14 Tax Bill Unfudged'!$A$2:$A$498, 'Tax Bill Summary'!$A281, 'GE16FEB14 Tax Bill Unfudged'!J$2:J$498)</f>
        <v>382000</v>
      </c>
      <c r="AC281" s="56">
        <f t="shared" si="199"/>
        <v>224391</v>
      </c>
      <c r="AD281" s="51">
        <f t="shared" si="200"/>
        <v>768215</v>
      </c>
      <c r="AE281" s="13">
        <f t="shared" si="201"/>
        <v>456792</v>
      </c>
      <c r="AF281" s="56">
        <f t="shared" si="202"/>
        <v>311423</v>
      </c>
      <c r="AG281" s="13">
        <f t="shared" si="203"/>
        <v>2252.8299120234606</v>
      </c>
      <c r="AH281" s="13">
        <f t="shared" si="204"/>
        <v>1339.565982404692</v>
      </c>
      <c r="AI281" s="16">
        <f t="shared" si="205"/>
        <v>913.26392961876832</v>
      </c>
      <c r="AJ281" s="15">
        <f t="shared" si="206"/>
        <v>0</v>
      </c>
      <c r="AK281" s="13">
        <f t="shared" si="207"/>
        <v>0</v>
      </c>
      <c r="AL281" s="56">
        <f t="shared" si="208"/>
        <v>0</v>
      </c>
      <c r="AM281" s="51">
        <f t="shared" si="209"/>
        <v>144754</v>
      </c>
      <c r="AN281" s="13">
        <f t="shared" si="210"/>
        <v>66903</v>
      </c>
      <c r="AO281" s="56">
        <f t="shared" si="211"/>
        <v>77851</v>
      </c>
      <c r="AP281" s="51">
        <f t="shared" si="212"/>
        <v>-144754</v>
      </c>
      <c r="AQ281" s="13">
        <f t="shared" si="213"/>
        <v>-117656</v>
      </c>
      <c r="AR281" s="56">
        <f t="shared" si="214"/>
        <v>-27098</v>
      </c>
      <c r="AS281" s="51">
        <f t="shared" si="215"/>
        <v>0</v>
      </c>
      <c r="AT281" s="13">
        <f t="shared" si="216"/>
        <v>-50753</v>
      </c>
      <c r="AU281" s="56">
        <f t="shared" si="217"/>
        <v>50753</v>
      </c>
      <c r="AV281" s="13">
        <f t="shared" si="218"/>
        <v>0</v>
      </c>
      <c r="AW281" s="13">
        <f t="shared" si="219"/>
        <v>-148.83577712609986</v>
      </c>
      <c r="AX281" s="16">
        <f t="shared" si="220"/>
        <v>148.83577712609974</v>
      </c>
    </row>
    <row r="282" spans="1:50" x14ac:dyDescent="0.25">
      <c r="A282" s="20">
        <v>2071</v>
      </c>
      <c r="B282">
        <v>1</v>
      </c>
      <c r="C282" s="23" t="s">
        <v>397</v>
      </c>
      <c r="D282" s="23">
        <v>6</v>
      </c>
      <c r="E282" s="15">
        <f>+SUMIF('GE16FEB14 Unfudged'!$A$2:$A$498, $A282, 'GE16FEB14 Unfudged'!$D$2:$D$498)</f>
        <v>962</v>
      </c>
      <c r="F282" s="15">
        <f>+SUMIF('GE16FEB14 Unfudged'!$A$2:$A$498, 'Tax Bill Summary'!$A282, 'GE16FEB14 Unfudged'!E$2:E$498)</f>
        <v>117718</v>
      </c>
      <c r="G282" s="13">
        <f>+SUMIF('GE16FEB14 Unfudged'!$A$2:$A$498, 'Tax Bill Summary'!$A282, 'GE16FEB14 Unfudged'!F$2:F$498)</f>
        <v>83027</v>
      </c>
      <c r="H282" s="56">
        <f t="shared" si="188"/>
        <v>34691</v>
      </c>
      <c r="I282" s="51">
        <f>+SUMIF('GE16FEB14 Unfudged'!$A$2:$A$498, 'Tax Bill Summary'!$A282, 'GE16FEB14 Unfudged'!G$2:G$498)</f>
        <v>0</v>
      </c>
      <c r="J282" s="13">
        <f>+SUMIF('GE16FEB14 Unfudged'!$A$2:$A$498, 'Tax Bill Summary'!$A282, 'GE16FEB14 Unfudged'!H$2:H$498)</f>
        <v>0</v>
      </c>
      <c r="K282" s="56">
        <f t="shared" si="189"/>
        <v>0</v>
      </c>
      <c r="L282" s="51">
        <f>+SUMIF('GE16FEB14 Unfudged'!$A$2:$A$498, 'Tax Bill Summary'!$A282, 'GE16FEB14 Unfudged'!I$2:IF$498)</f>
        <v>741827</v>
      </c>
      <c r="M282" s="13">
        <f>+SUMIF('GE16FEB14 Unfudged'!$A$2:$A$498, 'Tax Bill Summary'!$A282, 'GE16FEB14 Unfudged'!J$2:IG$498)</f>
        <v>440846</v>
      </c>
      <c r="N282" s="56">
        <f t="shared" si="190"/>
        <v>300981</v>
      </c>
      <c r="O282" s="51">
        <f t="shared" si="191"/>
        <v>859545</v>
      </c>
      <c r="P282" s="13">
        <f t="shared" si="192"/>
        <v>523873</v>
      </c>
      <c r="Q282" s="56">
        <f t="shared" si="193"/>
        <v>335672</v>
      </c>
      <c r="R282" s="13">
        <f t="shared" si="194"/>
        <v>893.49792099792103</v>
      </c>
      <c r="S282" s="13">
        <f t="shared" si="195"/>
        <v>544.56652806652812</v>
      </c>
      <c r="T282" s="16">
        <f t="shared" si="196"/>
        <v>348.93139293139291</v>
      </c>
      <c r="U282" s="15">
        <f>+SUMIF('GE16FEB14 Tax Bill Unfudged'!$A$2:$A$498, 'Tax Bill Summary'!$A282, 'GE16FEB14 Tax Bill Unfudged'!E$2:E$498)</f>
        <v>135745</v>
      </c>
      <c r="V282" s="13">
        <f>+SUMIF('GE16FEB14 Tax Bill Unfudged'!$A$2:$A$498, 'Tax Bill Summary'!$A282, 'GE16FEB14 Tax Bill Unfudged'!F$2:F$498)</f>
        <v>95741</v>
      </c>
      <c r="W282" s="56">
        <f t="shared" si="197"/>
        <v>40004</v>
      </c>
      <c r="X282" s="51">
        <f>+SUMIF('GE16FEB14 Tax Bill Unfudged'!$A$2:$A$498, 'Tax Bill Summary'!$A282, 'GE16FEB14 Tax Bill Unfudged'!G$2:G$498)</f>
        <v>407803</v>
      </c>
      <c r="Y282" s="13">
        <f>+SUMIF('GE16FEB14 Tax Bill Unfudged'!$A$2:$A$498, 'Tax Bill Summary'!$A282, 'GE16FEB14 Tax Bill Unfudged'!H$2:H$498)</f>
        <v>287624</v>
      </c>
      <c r="Z282" s="56">
        <f t="shared" si="198"/>
        <v>120179</v>
      </c>
      <c r="AA282" s="51">
        <f>+SUMIF('GE16FEB14 Tax Bill Unfudged'!$A$2:$A$498, 'Tax Bill Summary'!$A282, 'GE16FEB14 Tax Bill Unfudged'!I$2:I$498)</f>
        <v>334024</v>
      </c>
      <c r="AB282" s="13">
        <f>+SUMIF('GE16FEB14 Tax Bill Unfudged'!$A$2:$A$498, 'Tax Bill Summary'!$A282, 'GE16FEB14 Tax Bill Unfudged'!J$2:J$498)</f>
        <v>150022</v>
      </c>
      <c r="AC282" s="56">
        <f t="shared" si="199"/>
        <v>184002</v>
      </c>
      <c r="AD282" s="51">
        <f t="shared" si="200"/>
        <v>877572</v>
      </c>
      <c r="AE282" s="13">
        <f t="shared" si="201"/>
        <v>533387</v>
      </c>
      <c r="AF282" s="56">
        <f t="shared" si="202"/>
        <v>344185</v>
      </c>
      <c r="AG282" s="13">
        <f t="shared" si="203"/>
        <v>912.2370062370062</v>
      </c>
      <c r="AH282" s="13">
        <f t="shared" si="204"/>
        <v>554.45634095634091</v>
      </c>
      <c r="AI282" s="16">
        <f t="shared" si="205"/>
        <v>357.78066528066529</v>
      </c>
      <c r="AJ282" s="15">
        <f t="shared" si="206"/>
        <v>18027</v>
      </c>
      <c r="AK282" s="13">
        <f t="shared" si="207"/>
        <v>12714</v>
      </c>
      <c r="AL282" s="56">
        <f t="shared" si="208"/>
        <v>5313</v>
      </c>
      <c r="AM282" s="51">
        <f t="shared" si="209"/>
        <v>407803</v>
      </c>
      <c r="AN282" s="13">
        <f t="shared" si="210"/>
        <v>287624</v>
      </c>
      <c r="AO282" s="56">
        <f t="shared" si="211"/>
        <v>120179</v>
      </c>
      <c r="AP282" s="51">
        <f t="shared" si="212"/>
        <v>-407803</v>
      </c>
      <c r="AQ282" s="13">
        <f t="shared" si="213"/>
        <v>-290824</v>
      </c>
      <c r="AR282" s="56">
        <f t="shared" si="214"/>
        <v>-116979</v>
      </c>
      <c r="AS282" s="51">
        <f t="shared" si="215"/>
        <v>18027</v>
      </c>
      <c r="AT282" s="13">
        <f t="shared" si="216"/>
        <v>9514</v>
      </c>
      <c r="AU282" s="56">
        <f t="shared" si="217"/>
        <v>8513</v>
      </c>
      <c r="AV282" s="13">
        <f t="shared" si="218"/>
        <v>18.739085239085171</v>
      </c>
      <c r="AW282" s="13">
        <f t="shared" si="219"/>
        <v>9.8898128898127879</v>
      </c>
      <c r="AX282" s="16">
        <f t="shared" si="220"/>
        <v>8.8492723492723826</v>
      </c>
    </row>
    <row r="283" spans="1:50" x14ac:dyDescent="0.25">
      <c r="A283" s="20">
        <v>2125</v>
      </c>
      <c r="B283">
        <v>1</v>
      </c>
      <c r="C283" s="23" t="s">
        <v>398</v>
      </c>
      <c r="D283" s="23">
        <v>5</v>
      </c>
      <c r="E283" s="15">
        <f>+SUMIF('GE16FEB14 Unfudged'!$A$2:$A$498, $A283, 'GE16FEB14 Unfudged'!$D$2:$D$498)</f>
        <v>1330</v>
      </c>
      <c r="F283" s="15">
        <f>+SUMIF('GE16FEB14 Unfudged'!$A$2:$A$498, 'Tax Bill Summary'!$A283, 'GE16FEB14 Unfudged'!E$2:E$498)</f>
        <v>186841</v>
      </c>
      <c r="G283" s="13">
        <f>+SUMIF('GE16FEB14 Unfudged'!$A$2:$A$498, 'Tax Bill Summary'!$A283, 'GE16FEB14 Unfudged'!F$2:F$498)</f>
        <v>97127</v>
      </c>
      <c r="H283" s="56">
        <f t="shared" si="188"/>
        <v>89714</v>
      </c>
      <c r="I283" s="51">
        <f>+SUMIF('GE16FEB14 Unfudged'!$A$2:$A$498, 'Tax Bill Summary'!$A283, 'GE16FEB14 Unfudged'!G$2:G$498)</f>
        <v>0</v>
      </c>
      <c r="J283" s="13">
        <f>+SUMIF('GE16FEB14 Unfudged'!$A$2:$A$498, 'Tax Bill Summary'!$A283, 'GE16FEB14 Unfudged'!H$2:H$498)</f>
        <v>0</v>
      </c>
      <c r="K283" s="56">
        <f t="shared" si="189"/>
        <v>0</v>
      </c>
      <c r="L283" s="51">
        <f>+SUMIF('GE16FEB14 Unfudged'!$A$2:$A$498, 'Tax Bill Summary'!$A283, 'GE16FEB14 Unfudged'!I$2:IF$498)</f>
        <v>502426</v>
      </c>
      <c r="M283" s="13">
        <f>+SUMIF('GE16FEB14 Unfudged'!$A$2:$A$498, 'Tax Bill Summary'!$A283, 'GE16FEB14 Unfudged'!J$2:IG$498)</f>
        <v>173944</v>
      </c>
      <c r="N283" s="56">
        <f t="shared" si="190"/>
        <v>328482</v>
      </c>
      <c r="O283" s="51">
        <f t="shared" si="191"/>
        <v>689267</v>
      </c>
      <c r="P283" s="13">
        <f t="shared" si="192"/>
        <v>271071</v>
      </c>
      <c r="Q283" s="56">
        <f t="shared" si="193"/>
        <v>418196</v>
      </c>
      <c r="R283" s="13">
        <f t="shared" si="194"/>
        <v>518.24586466165408</v>
      </c>
      <c r="S283" s="13">
        <f t="shared" si="195"/>
        <v>203.81278195488721</v>
      </c>
      <c r="T283" s="16">
        <f t="shared" si="196"/>
        <v>314.43308270676692</v>
      </c>
      <c r="U283" s="15">
        <f>+SUMIF('GE16FEB14 Tax Bill Unfudged'!$A$2:$A$498, 'Tax Bill Summary'!$A283, 'GE16FEB14 Tax Bill Unfudged'!E$2:E$498)</f>
        <v>191578</v>
      </c>
      <c r="V283" s="13">
        <f>+SUMIF('GE16FEB14 Tax Bill Unfudged'!$A$2:$A$498, 'Tax Bill Summary'!$A283, 'GE16FEB14 Tax Bill Unfudged'!F$2:F$498)</f>
        <v>99589</v>
      </c>
      <c r="W283" s="56">
        <f t="shared" si="197"/>
        <v>91989</v>
      </c>
      <c r="X283" s="51">
        <f>+SUMIF('GE16FEB14 Tax Bill Unfudged'!$A$2:$A$498, 'Tax Bill Summary'!$A283, 'GE16FEB14 Tax Bill Unfudged'!G$2:G$498)</f>
        <v>564090</v>
      </c>
      <c r="Y283" s="13">
        <f>+SUMIF('GE16FEB14 Tax Bill Unfudged'!$A$2:$A$498, 'Tax Bill Summary'!$A283, 'GE16FEB14 Tax Bill Unfudged'!H$2:H$498)</f>
        <v>293234</v>
      </c>
      <c r="Z283" s="56">
        <f t="shared" si="198"/>
        <v>270856</v>
      </c>
      <c r="AA283" s="51">
        <f>+SUMIF('GE16FEB14 Tax Bill Unfudged'!$A$2:$A$498, 'Tax Bill Summary'!$A283, 'GE16FEB14 Tax Bill Unfudged'!I$2:I$498)</f>
        <v>399120</v>
      </c>
      <c r="AB283" s="13">
        <f>+SUMIF('GE16FEB14 Tax Bill Unfudged'!$A$2:$A$498, 'Tax Bill Summary'!$A283, 'GE16FEB14 Tax Bill Unfudged'!J$2:J$498)</f>
        <v>120242</v>
      </c>
      <c r="AC283" s="56">
        <f t="shared" si="199"/>
        <v>278878</v>
      </c>
      <c r="AD283" s="51">
        <f t="shared" si="200"/>
        <v>1154788</v>
      </c>
      <c r="AE283" s="13">
        <f t="shared" si="201"/>
        <v>513065</v>
      </c>
      <c r="AF283" s="56">
        <f t="shared" si="202"/>
        <v>641723</v>
      </c>
      <c r="AG283" s="13">
        <f t="shared" si="203"/>
        <v>868.26165413533829</v>
      </c>
      <c r="AH283" s="13">
        <f t="shared" si="204"/>
        <v>385.76315789473682</v>
      </c>
      <c r="AI283" s="16">
        <f t="shared" si="205"/>
        <v>482.49849624060153</v>
      </c>
      <c r="AJ283" s="15">
        <f t="shared" si="206"/>
        <v>4737</v>
      </c>
      <c r="AK283" s="13">
        <f t="shared" si="207"/>
        <v>2462</v>
      </c>
      <c r="AL283" s="56">
        <f t="shared" si="208"/>
        <v>2275</v>
      </c>
      <c r="AM283" s="51">
        <f t="shared" si="209"/>
        <v>564090</v>
      </c>
      <c r="AN283" s="13">
        <f t="shared" si="210"/>
        <v>293234</v>
      </c>
      <c r="AO283" s="56">
        <f t="shared" si="211"/>
        <v>270856</v>
      </c>
      <c r="AP283" s="51">
        <f t="shared" si="212"/>
        <v>-103306</v>
      </c>
      <c r="AQ283" s="13">
        <f t="shared" si="213"/>
        <v>-53702</v>
      </c>
      <c r="AR283" s="56">
        <f t="shared" si="214"/>
        <v>-49604</v>
      </c>
      <c r="AS283" s="51">
        <f t="shared" si="215"/>
        <v>465521</v>
      </c>
      <c r="AT283" s="13">
        <f t="shared" si="216"/>
        <v>241994</v>
      </c>
      <c r="AU283" s="56">
        <f t="shared" si="217"/>
        <v>223527</v>
      </c>
      <c r="AV283" s="13">
        <f t="shared" si="218"/>
        <v>350.01578947368421</v>
      </c>
      <c r="AW283" s="13">
        <f t="shared" si="219"/>
        <v>181.95037593984961</v>
      </c>
      <c r="AX283" s="16">
        <f t="shared" si="220"/>
        <v>168.0654135338346</v>
      </c>
    </row>
    <row r="284" spans="1:50" x14ac:dyDescent="0.25">
      <c r="A284" s="20">
        <v>2134</v>
      </c>
      <c r="B284">
        <v>1</v>
      </c>
      <c r="C284" s="23" t="s">
        <v>399</v>
      </c>
      <c r="D284" s="23">
        <v>6</v>
      </c>
      <c r="E284" s="15">
        <f>+SUMIF('GE16FEB14 Unfudged'!$A$2:$A$498, $A284, 'GE16FEB14 Unfudged'!$D$2:$D$498)</f>
        <v>691</v>
      </c>
      <c r="F284" s="15">
        <f>+SUMIF('GE16FEB14 Unfudged'!$A$2:$A$498, 'Tax Bill Summary'!$A284, 'GE16FEB14 Unfudged'!E$2:E$498)</f>
        <v>52090</v>
      </c>
      <c r="G284" s="13">
        <f>+SUMIF('GE16FEB14 Unfudged'!$A$2:$A$498, 'Tax Bill Summary'!$A284, 'GE16FEB14 Unfudged'!F$2:F$498)</f>
        <v>25612</v>
      </c>
      <c r="H284" s="56">
        <f t="shared" si="188"/>
        <v>26478</v>
      </c>
      <c r="I284" s="51">
        <f>+SUMIF('GE16FEB14 Unfudged'!$A$2:$A$498, 'Tax Bill Summary'!$A284, 'GE16FEB14 Unfudged'!G$2:G$498)</f>
        <v>0</v>
      </c>
      <c r="J284" s="13">
        <f>+SUMIF('GE16FEB14 Unfudged'!$A$2:$A$498, 'Tax Bill Summary'!$A284, 'GE16FEB14 Unfudged'!H$2:H$498)</f>
        <v>0</v>
      </c>
      <c r="K284" s="56">
        <f t="shared" si="189"/>
        <v>0</v>
      </c>
      <c r="L284" s="51">
        <f>+SUMIF('GE16FEB14 Unfudged'!$A$2:$A$498, 'Tax Bill Summary'!$A284, 'GE16FEB14 Unfudged'!I$2:IF$498)</f>
        <v>1240124</v>
      </c>
      <c r="M284" s="13">
        <f>+SUMIF('GE16FEB14 Unfudged'!$A$2:$A$498, 'Tax Bill Summary'!$A284, 'GE16FEB14 Unfudged'!J$2:IG$498)</f>
        <v>833712</v>
      </c>
      <c r="N284" s="56">
        <f t="shared" si="190"/>
        <v>406412</v>
      </c>
      <c r="O284" s="51">
        <f t="shared" si="191"/>
        <v>1292214</v>
      </c>
      <c r="P284" s="13">
        <f t="shared" si="192"/>
        <v>859324</v>
      </c>
      <c r="Q284" s="56">
        <f t="shared" si="193"/>
        <v>432890</v>
      </c>
      <c r="R284" s="13">
        <f t="shared" si="194"/>
        <v>1870.0636758321273</v>
      </c>
      <c r="S284" s="13">
        <f t="shared" si="195"/>
        <v>1243.5947901591896</v>
      </c>
      <c r="T284" s="16">
        <f t="shared" si="196"/>
        <v>626.46888567293774</v>
      </c>
      <c r="U284" s="15">
        <f>+SUMIF('GE16FEB14 Tax Bill Unfudged'!$A$2:$A$498, 'Tax Bill Summary'!$A284, 'GE16FEB14 Tax Bill Unfudged'!E$2:E$498)</f>
        <v>54623</v>
      </c>
      <c r="V284" s="13">
        <f>+SUMIF('GE16FEB14 Tax Bill Unfudged'!$A$2:$A$498, 'Tax Bill Summary'!$A284, 'GE16FEB14 Tax Bill Unfudged'!F$2:F$498)</f>
        <v>26857</v>
      </c>
      <c r="W284" s="56">
        <f t="shared" si="197"/>
        <v>27766</v>
      </c>
      <c r="X284" s="51">
        <f>+SUMIF('GE16FEB14 Tax Bill Unfudged'!$A$2:$A$498, 'Tax Bill Summary'!$A284, 'GE16FEB14 Tax Bill Unfudged'!G$2:G$498)</f>
        <v>292814</v>
      </c>
      <c r="Y284" s="13">
        <f>+SUMIF('GE16FEB14 Tax Bill Unfudged'!$A$2:$A$498, 'Tax Bill Summary'!$A284, 'GE16FEB14 Tax Bill Unfudged'!H$2:H$498)</f>
        <v>143972</v>
      </c>
      <c r="Z284" s="56">
        <f t="shared" si="198"/>
        <v>148842</v>
      </c>
      <c r="AA284" s="51">
        <f>+SUMIF('GE16FEB14 Tax Bill Unfudged'!$A$2:$A$498, 'Tax Bill Summary'!$A284, 'GE16FEB14 Tax Bill Unfudged'!I$2:I$498)</f>
        <v>947310</v>
      </c>
      <c r="AB284" s="13">
        <f>+SUMIF('GE16FEB14 Tax Bill Unfudged'!$A$2:$A$498, 'Tax Bill Summary'!$A284, 'GE16FEB14 Tax Bill Unfudged'!J$2:J$498)</f>
        <v>580521</v>
      </c>
      <c r="AC284" s="56">
        <f t="shared" si="199"/>
        <v>366789</v>
      </c>
      <c r="AD284" s="51">
        <f t="shared" si="200"/>
        <v>1294747</v>
      </c>
      <c r="AE284" s="13">
        <f t="shared" si="201"/>
        <v>751350</v>
      </c>
      <c r="AF284" s="56">
        <f t="shared" si="202"/>
        <v>543397</v>
      </c>
      <c r="AG284" s="13">
        <f t="shared" si="203"/>
        <v>1873.7293777134587</v>
      </c>
      <c r="AH284" s="13">
        <f t="shared" si="204"/>
        <v>1087.3371924746743</v>
      </c>
      <c r="AI284" s="16">
        <f t="shared" si="205"/>
        <v>786.39218523878435</v>
      </c>
      <c r="AJ284" s="15">
        <f t="shared" si="206"/>
        <v>2533</v>
      </c>
      <c r="AK284" s="13">
        <f t="shared" si="207"/>
        <v>1245</v>
      </c>
      <c r="AL284" s="56">
        <f t="shared" si="208"/>
        <v>1288</v>
      </c>
      <c r="AM284" s="51">
        <f t="shared" si="209"/>
        <v>292814</v>
      </c>
      <c r="AN284" s="13">
        <f t="shared" si="210"/>
        <v>143972</v>
      </c>
      <c r="AO284" s="56">
        <f t="shared" si="211"/>
        <v>148842</v>
      </c>
      <c r="AP284" s="51">
        <f t="shared" si="212"/>
        <v>-292814</v>
      </c>
      <c r="AQ284" s="13">
        <f t="shared" si="213"/>
        <v>-253191</v>
      </c>
      <c r="AR284" s="56">
        <f t="shared" si="214"/>
        <v>-39623</v>
      </c>
      <c r="AS284" s="51">
        <f t="shared" si="215"/>
        <v>2533</v>
      </c>
      <c r="AT284" s="13">
        <f t="shared" si="216"/>
        <v>-107974</v>
      </c>
      <c r="AU284" s="56">
        <f t="shared" si="217"/>
        <v>110507</v>
      </c>
      <c r="AV284" s="13">
        <f t="shared" si="218"/>
        <v>3.6657018813314153</v>
      </c>
      <c r="AW284" s="13">
        <f t="shared" si="219"/>
        <v>-156.2575976845153</v>
      </c>
      <c r="AX284" s="16">
        <f t="shared" si="220"/>
        <v>159.92329956584661</v>
      </c>
    </row>
    <row r="285" spans="1:50" x14ac:dyDescent="0.25">
      <c r="A285" s="20">
        <v>2135</v>
      </c>
      <c r="B285">
        <v>1</v>
      </c>
      <c r="C285" s="23" t="s">
        <v>400</v>
      </c>
      <c r="D285" s="23">
        <v>5</v>
      </c>
      <c r="E285" s="15">
        <f>+SUMIF('GE16FEB14 Unfudged'!$A$2:$A$498, $A285, 'GE16FEB14 Unfudged'!$D$2:$D$498)</f>
        <v>1117</v>
      </c>
      <c r="F285" s="15">
        <f>+SUMIF('GE16FEB14 Unfudged'!$A$2:$A$498, 'Tax Bill Summary'!$A285, 'GE16FEB14 Unfudged'!E$2:E$498)</f>
        <v>125442</v>
      </c>
      <c r="G285" s="13">
        <f>+SUMIF('GE16FEB14 Unfudged'!$A$2:$A$498, 'Tax Bill Summary'!$A285, 'GE16FEB14 Unfudged'!F$2:F$498)</f>
        <v>69437</v>
      </c>
      <c r="H285" s="56">
        <f t="shared" si="188"/>
        <v>56005</v>
      </c>
      <c r="I285" s="51">
        <f>+SUMIF('GE16FEB14 Unfudged'!$A$2:$A$498, 'Tax Bill Summary'!$A285, 'GE16FEB14 Unfudged'!G$2:G$498)</f>
        <v>0</v>
      </c>
      <c r="J285" s="13">
        <f>+SUMIF('GE16FEB14 Unfudged'!$A$2:$A$498, 'Tax Bill Summary'!$A285, 'GE16FEB14 Unfudged'!H$2:H$498)</f>
        <v>0</v>
      </c>
      <c r="K285" s="56">
        <f t="shared" si="189"/>
        <v>0</v>
      </c>
      <c r="L285" s="51">
        <f>+SUMIF('GE16FEB14 Unfudged'!$A$2:$A$498, 'Tax Bill Summary'!$A285, 'GE16FEB14 Unfudged'!I$2:IF$498)</f>
        <v>1108061</v>
      </c>
      <c r="M285" s="13">
        <f>+SUMIF('GE16FEB14 Unfudged'!$A$2:$A$498, 'Tax Bill Summary'!$A285, 'GE16FEB14 Unfudged'!J$2:IG$498)</f>
        <v>644105</v>
      </c>
      <c r="N285" s="56">
        <f t="shared" si="190"/>
        <v>463956</v>
      </c>
      <c r="O285" s="51">
        <f t="shared" si="191"/>
        <v>1233503</v>
      </c>
      <c r="P285" s="13">
        <f t="shared" si="192"/>
        <v>713542</v>
      </c>
      <c r="Q285" s="56">
        <f t="shared" si="193"/>
        <v>519961</v>
      </c>
      <c r="R285" s="13">
        <f t="shared" si="194"/>
        <v>1104.2999104744852</v>
      </c>
      <c r="S285" s="13">
        <f t="shared" si="195"/>
        <v>638.80214861235447</v>
      </c>
      <c r="T285" s="16">
        <f t="shared" si="196"/>
        <v>465.49776186213069</v>
      </c>
      <c r="U285" s="15">
        <f>+SUMIF('GE16FEB14 Tax Bill Unfudged'!$A$2:$A$498, 'Tax Bill Summary'!$A285, 'GE16FEB14 Tax Bill Unfudged'!E$2:E$498)</f>
        <v>142756</v>
      </c>
      <c r="V285" s="13">
        <f>+SUMIF('GE16FEB14 Tax Bill Unfudged'!$A$2:$A$498, 'Tax Bill Summary'!$A285, 'GE16FEB14 Tax Bill Unfudged'!F$2:F$498)</f>
        <v>79021</v>
      </c>
      <c r="W285" s="56">
        <f t="shared" si="197"/>
        <v>63735</v>
      </c>
      <c r="X285" s="51">
        <f>+SUMIF('GE16FEB14 Tax Bill Unfudged'!$A$2:$A$498, 'Tax Bill Summary'!$A285, 'GE16FEB14 Tax Bill Unfudged'!G$2:G$498)</f>
        <v>473693</v>
      </c>
      <c r="Y285" s="13">
        <f>+SUMIF('GE16FEB14 Tax Bill Unfudged'!$A$2:$A$498, 'Tax Bill Summary'!$A285, 'GE16FEB14 Tax Bill Unfudged'!H$2:H$498)</f>
        <v>262207</v>
      </c>
      <c r="Z285" s="56">
        <f t="shared" si="198"/>
        <v>211486</v>
      </c>
      <c r="AA285" s="51">
        <f>+SUMIF('GE16FEB14 Tax Bill Unfudged'!$A$2:$A$498, 'Tax Bill Summary'!$A285, 'GE16FEB14 Tax Bill Unfudged'!I$2:I$498)</f>
        <v>634369</v>
      </c>
      <c r="AB285" s="13">
        <f>+SUMIF('GE16FEB14 Tax Bill Unfudged'!$A$2:$A$498, 'Tax Bill Summary'!$A285, 'GE16FEB14 Tax Bill Unfudged'!J$2:J$498)</f>
        <v>273142</v>
      </c>
      <c r="AC285" s="56">
        <f t="shared" si="199"/>
        <v>361227</v>
      </c>
      <c r="AD285" s="51">
        <f t="shared" si="200"/>
        <v>1250818</v>
      </c>
      <c r="AE285" s="13">
        <f t="shared" si="201"/>
        <v>614370</v>
      </c>
      <c r="AF285" s="56">
        <f t="shared" si="202"/>
        <v>636448</v>
      </c>
      <c r="AG285" s="13">
        <f t="shared" si="203"/>
        <v>1119.8012533572069</v>
      </c>
      <c r="AH285" s="13">
        <f t="shared" si="204"/>
        <v>550.01790510295439</v>
      </c>
      <c r="AI285" s="16">
        <f t="shared" si="205"/>
        <v>569.78334825425247</v>
      </c>
      <c r="AJ285" s="15">
        <f t="shared" si="206"/>
        <v>17314</v>
      </c>
      <c r="AK285" s="13">
        <f t="shared" si="207"/>
        <v>9584</v>
      </c>
      <c r="AL285" s="56">
        <f t="shared" si="208"/>
        <v>7730</v>
      </c>
      <c r="AM285" s="51">
        <f t="shared" si="209"/>
        <v>473693</v>
      </c>
      <c r="AN285" s="13">
        <f t="shared" si="210"/>
        <v>262207</v>
      </c>
      <c r="AO285" s="56">
        <f t="shared" si="211"/>
        <v>211486</v>
      </c>
      <c r="AP285" s="51">
        <f t="shared" si="212"/>
        <v>-473692</v>
      </c>
      <c r="AQ285" s="13">
        <f t="shared" si="213"/>
        <v>-370963</v>
      </c>
      <c r="AR285" s="56">
        <f t="shared" si="214"/>
        <v>-102729</v>
      </c>
      <c r="AS285" s="51">
        <f t="shared" si="215"/>
        <v>17315</v>
      </c>
      <c r="AT285" s="13">
        <f t="shared" si="216"/>
        <v>-99172</v>
      </c>
      <c r="AU285" s="56">
        <f t="shared" si="217"/>
        <v>116487</v>
      </c>
      <c r="AV285" s="13">
        <f t="shared" si="218"/>
        <v>15.501342882721701</v>
      </c>
      <c r="AW285" s="13">
        <f t="shared" si="219"/>
        <v>-88.784243509400085</v>
      </c>
      <c r="AX285" s="16">
        <f t="shared" si="220"/>
        <v>104.28558639212179</v>
      </c>
    </row>
    <row r="286" spans="1:50" x14ac:dyDescent="0.25">
      <c r="A286" s="20">
        <v>2137</v>
      </c>
      <c r="B286">
        <v>1</v>
      </c>
      <c r="C286" s="23" t="s">
        <v>401</v>
      </c>
      <c r="D286" s="23">
        <v>6</v>
      </c>
      <c r="E286" s="15">
        <f>+SUMIF('GE16FEB14 Unfudged'!$A$2:$A$498, $A286, 'GE16FEB14 Unfudged'!$D$2:$D$498)</f>
        <v>646</v>
      </c>
      <c r="F286" s="15">
        <f>+SUMIF('GE16FEB14 Unfudged'!$A$2:$A$498, 'Tax Bill Summary'!$A286, 'GE16FEB14 Unfudged'!E$2:E$498)</f>
        <v>75943</v>
      </c>
      <c r="G286" s="13">
        <f>+SUMIF('GE16FEB14 Unfudged'!$A$2:$A$498, 'Tax Bill Summary'!$A286, 'GE16FEB14 Unfudged'!F$2:F$498)</f>
        <v>52364</v>
      </c>
      <c r="H286" s="56">
        <f t="shared" si="188"/>
        <v>23579</v>
      </c>
      <c r="I286" s="51">
        <f>+SUMIF('GE16FEB14 Unfudged'!$A$2:$A$498, 'Tax Bill Summary'!$A286, 'GE16FEB14 Unfudged'!G$2:G$498)</f>
        <v>0</v>
      </c>
      <c r="J286" s="13">
        <f>+SUMIF('GE16FEB14 Unfudged'!$A$2:$A$498, 'Tax Bill Summary'!$A286, 'GE16FEB14 Unfudged'!H$2:H$498)</f>
        <v>0</v>
      </c>
      <c r="K286" s="56">
        <f t="shared" si="189"/>
        <v>0</v>
      </c>
      <c r="L286" s="51">
        <f>+SUMIF('GE16FEB14 Unfudged'!$A$2:$A$498, 'Tax Bill Summary'!$A286, 'GE16FEB14 Unfudged'!I$2:IF$498)</f>
        <v>567400</v>
      </c>
      <c r="M286" s="13">
        <f>+SUMIF('GE16FEB14 Unfudged'!$A$2:$A$498, 'Tax Bill Summary'!$A286, 'GE16FEB14 Unfudged'!J$2:IG$498)</f>
        <v>358682</v>
      </c>
      <c r="N286" s="56">
        <f t="shared" si="190"/>
        <v>208718</v>
      </c>
      <c r="O286" s="51">
        <f t="shared" si="191"/>
        <v>643343</v>
      </c>
      <c r="P286" s="13">
        <f t="shared" si="192"/>
        <v>411046</v>
      </c>
      <c r="Q286" s="56">
        <f t="shared" si="193"/>
        <v>232297</v>
      </c>
      <c r="R286" s="13">
        <f t="shared" si="194"/>
        <v>995.88699690402473</v>
      </c>
      <c r="S286" s="13">
        <f t="shared" si="195"/>
        <v>636.29411764705878</v>
      </c>
      <c r="T286" s="16">
        <f t="shared" si="196"/>
        <v>359.59287925696594</v>
      </c>
      <c r="U286" s="15">
        <f>+SUMIF('GE16FEB14 Tax Bill Unfudged'!$A$2:$A$498, 'Tax Bill Summary'!$A286, 'GE16FEB14 Tax Bill Unfudged'!E$2:E$498)</f>
        <v>87043</v>
      </c>
      <c r="V286" s="13">
        <f>+SUMIF('GE16FEB14 Tax Bill Unfudged'!$A$2:$A$498, 'Tax Bill Summary'!$A286, 'GE16FEB14 Tax Bill Unfudged'!F$2:F$498)</f>
        <v>60017</v>
      </c>
      <c r="W286" s="56">
        <f t="shared" si="197"/>
        <v>27026</v>
      </c>
      <c r="X286" s="51">
        <f>+SUMIF('GE16FEB14 Tax Bill Unfudged'!$A$2:$A$498, 'Tax Bill Summary'!$A286, 'GE16FEB14 Tax Bill Unfudged'!G$2:G$498)</f>
        <v>274031</v>
      </c>
      <c r="Y286" s="13">
        <f>+SUMIF('GE16FEB14 Tax Bill Unfudged'!$A$2:$A$498, 'Tax Bill Summary'!$A286, 'GE16FEB14 Tax Bill Unfudged'!H$2:H$498)</f>
        <v>188948</v>
      </c>
      <c r="Z286" s="56">
        <f t="shared" si="198"/>
        <v>85083</v>
      </c>
      <c r="AA286" s="51">
        <f>+SUMIF('GE16FEB14 Tax Bill Unfudged'!$A$2:$A$498, 'Tax Bill Summary'!$A286, 'GE16FEB14 Tax Bill Unfudged'!I$2:I$498)</f>
        <v>293368</v>
      </c>
      <c r="AB286" s="13">
        <f>+SUMIF('GE16FEB14 Tax Bill Unfudged'!$A$2:$A$498, 'Tax Bill Summary'!$A286, 'GE16FEB14 Tax Bill Unfudged'!J$2:J$498)</f>
        <v>146071</v>
      </c>
      <c r="AC286" s="56">
        <f t="shared" si="199"/>
        <v>147297</v>
      </c>
      <c r="AD286" s="51">
        <f t="shared" si="200"/>
        <v>654442</v>
      </c>
      <c r="AE286" s="13">
        <f t="shared" si="201"/>
        <v>395036</v>
      </c>
      <c r="AF286" s="56">
        <f t="shared" si="202"/>
        <v>259406</v>
      </c>
      <c r="AG286" s="13">
        <f t="shared" si="203"/>
        <v>1013.0681114551084</v>
      </c>
      <c r="AH286" s="13">
        <f t="shared" si="204"/>
        <v>611.51083591331269</v>
      </c>
      <c r="AI286" s="16">
        <f t="shared" si="205"/>
        <v>401.55727554179566</v>
      </c>
      <c r="AJ286" s="15">
        <f t="shared" si="206"/>
        <v>11100</v>
      </c>
      <c r="AK286" s="13">
        <f t="shared" si="207"/>
        <v>7653</v>
      </c>
      <c r="AL286" s="56">
        <f t="shared" si="208"/>
        <v>3447</v>
      </c>
      <c r="AM286" s="51">
        <f t="shared" si="209"/>
        <v>274031</v>
      </c>
      <c r="AN286" s="13">
        <f t="shared" si="210"/>
        <v>188948</v>
      </c>
      <c r="AO286" s="56">
        <f t="shared" si="211"/>
        <v>85083</v>
      </c>
      <c r="AP286" s="51">
        <f t="shared" si="212"/>
        <v>-274032</v>
      </c>
      <c r="AQ286" s="13">
        <f t="shared" si="213"/>
        <v>-212611</v>
      </c>
      <c r="AR286" s="56">
        <f t="shared" si="214"/>
        <v>-61421</v>
      </c>
      <c r="AS286" s="51">
        <f t="shared" si="215"/>
        <v>11099</v>
      </c>
      <c r="AT286" s="13">
        <f t="shared" si="216"/>
        <v>-16010</v>
      </c>
      <c r="AU286" s="56">
        <f t="shared" si="217"/>
        <v>27109</v>
      </c>
      <c r="AV286" s="13">
        <f t="shared" si="218"/>
        <v>17.181114551083624</v>
      </c>
      <c r="AW286" s="13">
        <f t="shared" si="219"/>
        <v>-24.783281733746094</v>
      </c>
      <c r="AX286" s="16">
        <f t="shared" si="220"/>
        <v>41.964396284829718</v>
      </c>
    </row>
    <row r="287" spans="1:50" x14ac:dyDescent="0.25">
      <c r="A287" s="20">
        <v>2142</v>
      </c>
      <c r="B287">
        <v>1</v>
      </c>
      <c r="C287" s="23" t="s">
        <v>402</v>
      </c>
      <c r="D287" s="23">
        <v>5</v>
      </c>
      <c r="E287" s="15">
        <f>+SUMIF('GE16FEB14 Unfudged'!$A$2:$A$498, $A287, 'GE16FEB14 Unfudged'!$D$2:$D$498)</f>
        <v>1940</v>
      </c>
      <c r="F287" s="15">
        <f>+SUMIF('GE16FEB14 Unfudged'!$A$2:$A$498, 'Tax Bill Summary'!$A287, 'GE16FEB14 Unfudged'!E$2:E$498)</f>
        <v>279302</v>
      </c>
      <c r="G287" s="13">
        <f>+SUMIF('GE16FEB14 Unfudged'!$A$2:$A$498, 'Tax Bill Summary'!$A287, 'GE16FEB14 Unfudged'!F$2:F$498)</f>
        <v>279302</v>
      </c>
      <c r="H287" s="56">
        <f t="shared" si="188"/>
        <v>0</v>
      </c>
      <c r="I287" s="51">
        <f>+SUMIF('GE16FEB14 Unfudged'!$A$2:$A$498, 'Tax Bill Summary'!$A287, 'GE16FEB14 Unfudged'!G$2:G$498)</f>
        <v>0</v>
      </c>
      <c r="J287" s="13">
        <f>+SUMIF('GE16FEB14 Unfudged'!$A$2:$A$498, 'Tax Bill Summary'!$A287, 'GE16FEB14 Unfudged'!H$2:H$498)</f>
        <v>0</v>
      </c>
      <c r="K287" s="56">
        <f t="shared" si="189"/>
        <v>0</v>
      </c>
      <c r="L287" s="51">
        <f>+SUMIF('GE16FEB14 Unfudged'!$A$2:$A$498, 'Tax Bill Summary'!$A287, 'GE16FEB14 Unfudged'!I$2:IF$498)</f>
        <v>581880</v>
      </c>
      <c r="M287" s="13">
        <f>+SUMIF('GE16FEB14 Unfudged'!$A$2:$A$498, 'Tax Bill Summary'!$A287, 'GE16FEB14 Unfudged'!J$2:IG$498)</f>
        <v>383195</v>
      </c>
      <c r="N287" s="56">
        <f t="shared" si="190"/>
        <v>198685</v>
      </c>
      <c r="O287" s="51">
        <f t="shared" si="191"/>
        <v>861182</v>
      </c>
      <c r="P287" s="13">
        <f t="shared" si="192"/>
        <v>662497</v>
      </c>
      <c r="Q287" s="56">
        <f t="shared" si="193"/>
        <v>198685</v>
      </c>
      <c r="R287" s="13">
        <f t="shared" si="194"/>
        <v>443.9082474226804</v>
      </c>
      <c r="S287" s="13">
        <f t="shared" si="195"/>
        <v>341.49329896907216</v>
      </c>
      <c r="T287" s="16">
        <f t="shared" si="196"/>
        <v>102.41494845360825</v>
      </c>
      <c r="U287" s="15">
        <f>+SUMIF('GE16FEB14 Tax Bill Unfudged'!$A$2:$A$498, 'Tax Bill Summary'!$A287, 'GE16FEB14 Tax Bill Unfudged'!E$2:E$498)</f>
        <v>279302</v>
      </c>
      <c r="V287" s="13">
        <f>+SUMIF('GE16FEB14 Tax Bill Unfudged'!$A$2:$A$498, 'Tax Bill Summary'!$A287, 'GE16FEB14 Tax Bill Unfudged'!F$2:F$498)</f>
        <v>279302</v>
      </c>
      <c r="W287" s="56">
        <f t="shared" si="197"/>
        <v>0</v>
      </c>
      <c r="X287" s="51">
        <f>+SUMIF('GE16FEB14 Tax Bill Unfudged'!$A$2:$A$498, 'Tax Bill Summary'!$A287, 'GE16FEB14 Tax Bill Unfudged'!G$2:G$498)</f>
        <v>822390</v>
      </c>
      <c r="Y287" s="13">
        <f>+SUMIF('GE16FEB14 Tax Bill Unfudged'!$A$2:$A$498, 'Tax Bill Summary'!$A287, 'GE16FEB14 Tax Bill Unfudged'!H$2:H$498)</f>
        <v>822390</v>
      </c>
      <c r="Z287" s="56">
        <f t="shared" si="198"/>
        <v>0</v>
      </c>
      <c r="AA287" s="51">
        <f>+SUMIF('GE16FEB14 Tax Bill Unfudged'!$A$2:$A$498, 'Tax Bill Summary'!$A287, 'GE16FEB14 Tax Bill Unfudged'!I$2:I$498)</f>
        <v>581880</v>
      </c>
      <c r="AB287" s="13">
        <f>+SUMIF('GE16FEB14 Tax Bill Unfudged'!$A$2:$A$498, 'Tax Bill Summary'!$A287, 'GE16FEB14 Tax Bill Unfudged'!J$2:J$498)</f>
        <v>383195</v>
      </c>
      <c r="AC287" s="56">
        <f t="shared" si="199"/>
        <v>198685</v>
      </c>
      <c r="AD287" s="51">
        <f t="shared" si="200"/>
        <v>1683572</v>
      </c>
      <c r="AE287" s="13">
        <f t="shared" si="201"/>
        <v>1484887</v>
      </c>
      <c r="AF287" s="56">
        <f t="shared" si="202"/>
        <v>198685</v>
      </c>
      <c r="AG287" s="13">
        <f t="shared" si="203"/>
        <v>867.82061855670099</v>
      </c>
      <c r="AH287" s="13">
        <f t="shared" si="204"/>
        <v>765.4056701030928</v>
      </c>
      <c r="AI287" s="16">
        <f t="shared" si="205"/>
        <v>102.41494845360825</v>
      </c>
      <c r="AJ287" s="15">
        <f t="shared" si="206"/>
        <v>0</v>
      </c>
      <c r="AK287" s="13">
        <f t="shared" si="207"/>
        <v>0</v>
      </c>
      <c r="AL287" s="56">
        <f t="shared" si="208"/>
        <v>0</v>
      </c>
      <c r="AM287" s="51">
        <f t="shared" si="209"/>
        <v>822390</v>
      </c>
      <c r="AN287" s="13">
        <f t="shared" si="210"/>
        <v>822390</v>
      </c>
      <c r="AO287" s="56">
        <f t="shared" si="211"/>
        <v>0</v>
      </c>
      <c r="AP287" s="51">
        <f t="shared" si="212"/>
        <v>0</v>
      </c>
      <c r="AQ287" s="13">
        <f t="shared" si="213"/>
        <v>0</v>
      </c>
      <c r="AR287" s="56">
        <f t="shared" si="214"/>
        <v>0</v>
      </c>
      <c r="AS287" s="51">
        <f t="shared" si="215"/>
        <v>822390</v>
      </c>
      <c r="AT287" s="13">
        <f t="shared" si="216"/>
        <v>822390</v>
      </c>
      <c r="AU287" s="56">
        <f t="shared" si="217"/>
        <v>0</v>
      </c>
      <c r="AV287" s="13">
        <f t="shared" si="218"/>
        <v>423.91237113402059</v>
      </c>
      <c r="AW287" s="13">
        <f t="shared" si="219"/>
        <v>423.91237113402065</v>
      </c>
      <c r="AX287" s="16">
        <f t="shared" si="220"/>
        <v>0</v>
      </c>
    </row>
    <row r="288" spans="1:50" x14ac:dyDescent="0.25">
      <c r="A288" s="20">
        <v>2143</v>
      </c>
      <c r="B288">
        <v>1</v>
      </c>
      <c r="C288" s="23" t="s">
        <v>5</v>
      </c>
      <c r="D288" s="23">
        <v>6</v>
      </c>
      <c r="E288" s="15">
        <f>+SUMIF('GE16FEB14 Unfudged'!$A$2:$A$498, $A288, 'GE16FEB14 Unfudged'!$D$2:$D$498)</f>
        <v>910</v>
      </c>
      <c r="F288" s="15">
        <f>+SUMIF('GE16FEB14 Unfudged'!$A$2:$A$498, 'Tax Bill Summary'!$A288, 'GE16FEB14 Unfudged'!E$2:E$498)</f>
        <v>82139</v>
      </c>
      <c r="G288" s="13">
        <f>+SUMIF('GE16FEB14 Unfudged'!$A$2:$A$498, 'Tax Bill Summary'!$A288, 'GE16FEB14 Unfudged'!F$2:F$498)</f>
        <v>71938</v>
      </c>
      <c r="H288" s="56">
        <f t="shared" si="188"/>
        <v>10201</v>
      </c>
      <c r="I288" s="51">
        <f>+SUMIF('GE16FEB14 Unfudged'!$A$2:$A$498, 'Tax Bill Summary'!$A288, 'GE16FEB14 Unfudged'!G$2:G$498)</f>
        <v>0</v>
      </c>
      <c r="J288" s="13">
        <f>+SUMIF('GE16FEB14 Unfudged'!$A$2:$A$498, 'Tax Bill Summary'!$A288, 'GE16FEB14 Unfudged'!H$2:H$498)</f>
        <v>0</v>
      </c>
      <c r="K288" s="56">
        <f t="shared" si="189"/>
        <v>0</v>
      </c>
      <c r="L288" s="51">
        <f>+SUMIF('GE16FEB14 Unfudged'!$A$2:$A$498, 'Tax Bill Summary'!$A288, 'GE16FEB14 Unfudged'!I$2:IF$498)</f>
        <v>1338953</v>
      </c>
      <c r="M288" s="13">
        <f>+SUMIF('GE16FEB14 Unfudged'!$A$2:$A$498, 'Tax Bill Summary'!$A288, 'GE16FEB14 Unfudged'!J$2:IG$498)</f>
        <v>1152573</v>
      </c>
      <c r="N288" s="56">
        <f t="shared" si="190"/>
        <v>186380</v>
      </c>
      <c r="O288" s="51">
        <f t="shared" si="191"/>
        <v>1421092</v>
      </c>
      <c r="P288" s="13">
        <f t="shared" si="192"/>
        <v>1224511</v>
      </c>
      <c r="Q288" s="56">
        <f t="shared" si="193"/>
        <v>196581</v>
      </c>
      <c r="R288" s="13">
        <f t="shared" si="194"/>
        <v>1561.6395604395605</v>
      </c>
      <c r="S288" s="13">
        <f t="shared" si="195"/>
        <v>1345.6164835164834</v>
      </c>
      <c r="T288" s="16">
        <f t="shared" si="196"/>
        <v>216.02307692307693</v>
      </c>
      <c r="U288" s="15">
        <f>+SUMIF('GE16FEB14 Tax Bill Unfudged'!$A$2:$A$498, 'Tax Bill Summary'!$A288, 'GE16FEB14 Tax Bill Unfudged'!E$2:E$498)</f>
        <v>89814</v>
      </c>
      <c r="V288" s="13">
        <f>+SUMIF('GE16FEB14 Tax Bill Unfudged'!$A$2:$A$498, 'Tax Bill Summary'!$A288, 'GE16FEB14 Tax Bill Unfudged'!F$2:F$498)</f>
        <v>78660</v>
      </c>
      <c r="W288" s="56">
        <f t="shared" si="197"/>
        <v>11154</v>
      </c>
      <c r="X288" s="51">
        <f>+SUMIF('GE16FEB14 Tax Bill Unfudged'!$A$2:$A$498, 'Tax Bill Summary'!$A288, 'GE16FEB14 Tax Bill Unfudged'!G$2:G$498)</f>
        <v>385755</v>
      </c>
      <c r="Y288" s="13">
        <f>+SUMIF('GE16FEB14 Tax Bill Unfudged'!$A$2:$A$498, 'Tax Bill Summary'!$A288, 'GE16FEB14 Tax Bill Unfudged'!H$2:H$498)</f>
        <v>337847</v>
      </c>
      <c r="Z288" s="56">
        <f t="shared" si="198"/>
        <v>47908</v>
      </c>
      <c r="AA288" s="51">
        <f>+SUMIF('GE16FEB14 Tax Bill Unfudged'!$A$2:$A$498, 'Tax Bill Summary'!$A288, 'GE16FEB14 Tax Bill Unfudged'!I$2:I$498)</f>
        <v>953197</v>
      </c>
      <c r="AB288" s="13">
        <f>+SUMIF('GE16FEB14 Tax Bill Unfudged'!$A$2:$A$498, 'Tax Bill Summary'!$A288, 'GE16FEB14 Tax Bill Unfudged'!J$2:J$498)</f>
        <v>766817</v>
      </c>
      <c r="AC288" s="56">
        <f t="shared" si="199"/>
        <v>186380</v>
      </c>
      <c r="AD288" s="51">
        <f t="shared" si="200"/>
        <v>1428766</v>
      </c>
      <c r="AE288" s="13">
        <f t="shared" si="201"/>
        <v>1183324</v>
      </c>
      <c r="AF288" s="56">
        <f t="shared" si="202"/>
        <v>245442</v>
      </c>
      <c r="AG288" s="13">
        <f t="shared" si="203"/>
        <v>1570.0725274725276</v>
      </c>
      <c r="AH288" s="13">
        <f t="shared" si="204"/>
        <v>1300.356043956044</v>
      </c>
      <c r="AI288" s="16">
        <f t="shared" si="205"/>
        <v>269.71648351648349</v>
      </c>
      <c r="AJ288" s="15">
        <f t="shared" si="206"/>
        <v>7675</v>
      </c>
      <c r="AK288" s="13">
        <f t="shared" si="207"/>
        <v>6722</v>
      </c>
      <c r="AL288" s="56">
        <f t="shared" si="208"/>
        <v>953</v>
      </c>
      <c r="AM288" s="51">
        <f t="shared" si="209"/>
        <v>385755</v>
      </c>
      <c r="AN288" s="13">
        <f t="shared" si="210"/>
        <v>337847</v>
      </c>
      <c r="AO288" s="56">
        <f t="shared" si="211"/>
        <v>47908</v>
      </c>
      <c r="AP288" s="51">
        <f t="shared" si="212"/>
        <v>-385756</v>
      </c>
      <c r="AQ288" s="13">
        <f t="shared" si="213"/>
        <v>-385756</v>
      </c>
      <c r="AR288" s="56">
        <f t="shared" si="214"/>
        <v>0</v>
      </c>
      <c r="AS288" s="51">
        <f t="shared" si="215"/>
        <v>7674</v>
      </c>
      <c r="AT288" s="13">
        <f t="shared" si="216"/>
        <v>-41187</v>
      </c>
      <c r="AU288" s="56">
        <f t="shared" si="217"/>
        <v>48861</v>
      </c>
      <c r="AV288" s="13">
        <f t="shared" si="218"/>
        <v>8.4329670329670989</v>
      </c>
      <c r="AW288" s="13">
        <f t="shared" si="219"/>
        <v>-45.260439560439409</v>
      </c>
      <c r="AX288" s="16">
        <f t="shared" si="220"/>
        <v>53.693406593406564</v>
      </c>
    </row>
    <row r="289" spans="1:50" x14ac:dyDescent="0.25">
      <c r="A289" s="20">
        <v>2144</v>
      </c>
      <c r="B289">
        <v>1</v>
      </c>
      <c r="C289" s="23" t="s">
        <v>403</v>
      </c>
      <c r="D289" s="23">
        <v>4</v>
      </c>
      <c r="E289" s="15">
        <f>+SUMIF('GE16FEB14 Unfudged'!$A$2:$A$498, $A289, 'GE16FEB14 Unfudged'!$D$2:$D$498)</f>
        <v>3596</v>
      </c>
      <c r="F289" s="15">
        <f>+SUMIF('GE16FEB14 Unfudged'!$A$2:$A$498, 'Tax Bill Summary'!$A289, 'GE16FEB14 Unfudged'!E$2:E$498)</f>
        <v>480757</v>
      </c>
      <c r="G289" s="13">
        <f>+SUMIF('GE16FEB14 Unfudged'!$A$2:$A$498, 'Tax Bill Summary'!$A289, 'GE16FEB14 Unfudged'!F$2:F$498)</f>
        <v>394980</v>
      </c>
      <c r="H289" s="56">
        <f t="shared" si="188"/>
        <v>85777</v>
      </c>
      <c r="I289" s="51">
        <f>+SUMIF('GE16FEB14 Unfudged'!$A$2:$A$498, 'Tax Bill Summary'!$A289, 'GE16FEB14 Unfudged'!G$2:G$498)</f>
        <v>1524789</v>
      </c>
      <c r="J289" s="13">
        <f>+SUMIF('GE16FEB14 Unfudged'!$A$2:$A$498, 'Tax Bill Summary'!$A289, 'GE16FEB14 Unfudged'!H$2:H$498)</f>
        <v>1252735</v>
      </c>
      <c r="K289" s="56">
        <f t="shared" si="189"/>
        <v>272054</v>
      </c>
      <c r="L289" s="51">
        <f>+SUMIF('GE16FEB14 Unfudged'!$A$2:$A$498, 'Tax Bill Summary'!$A289, 'GE16FEB14 Unfudged'!I$2:IF$498)</f>
        <v>1888005</v>
      </c>
      <c r="M289" s="13">
        <f>+SUMIF('GE16FEB14 Unfudged'!$A$2:$A$498, 'Tax Bill Summary'!$A289, 'GE16FEB14 Unfudged'!J$2:IG$498)</f>
        <v>1178468</v>
      </c>
      <c r="N289" s="56">
        <f t="shared" si="190"/>
        <v>709537</v>
      </c>
      <c r="O289" s="51">
        <f t="shared" si="191"/>
        <v>3893551</v>
      </c>
      <c r="P289" s="13">
        <f t="shared" si="192"/>
        <v>2826183</v>
      </c>
      <c r="Q289" s="56">
        <f t="shared" si="193"/>
        <v>1067368</v>
      </c>
      <c r="R289" s="13">
        <f t="shared" si="194"/>
        <v>1082.7449944382647</v>
      </c>
      <c r="S289" s="13">
        <f t="shared" si="195"/>
        <v>785.92408231368188</v>
      </c>
      <c r="T289" s="16">
        <f t="shared" si="196"/>
        <v>296.82091212458289</v>
      </c>
      <c r="U289" s="15">
        <f>+SUMIF('GE16FEB14 Tax Bill Unfudged'!$A$2:$A$498, 'Tax Bill Summary'!$A289, 'GE16FEB14 Tax Bill Unfudged'!E$2:E$498)</f>
        <v>468850</v>
      </c>
      <c r="V289" s="13">
        <f>+SUMIF('GE16FEB14 Tax Bill Unfudged'!$A$2:$A$498, 'Tax Bill Summary'!$A289, 'GE16FEB14 Tax Bill Unfudged'!F$2:F$498)</f>
        <v>385198</v>
      </c>
      <c r="W289" s="56">
        <f t="shared" si="197"/>
        <v>83652</v>
      </c>
      <c r="X289" s="51">
        <f>+SUMIF('GE16FEB14 Tax Bill Unfudged'!$A$2:$A$498, 'Tax Bill Summary'!$A289, 'GE16FEB14 Tax Bill Unfudged'!G$2:G$498)</f>
        <v>1524789</v>
      </c>
      <c r="Y289" s="13">
        <f>+SUMIF('GE16FEB14 Tax Bill Unfudged'!$A$2:$A$498, 'Tax Bill Summary'!$A289, 'GE16FEB14 Tax Bill Unfudged'!H$2:H$498)</f>
        <v>1252735</v>
      </c>
      <c r="Z289" s="56">
        <f t="shared" si="198"/>
        <v>272054</v>
      </c>
      <c r="AA289" s="51">
        <f>+SUMIF('GE16FEB14 Tax Bill Unfudged'!$A$2:$A$498, 'Tax Bill Summary'!$A289, 'GE16FEB14 Tax Bill Unfudged'!I$2:I$498)</f>
        <v>1888005</v>
      </c>
      <c r="AB289" s="13">
        <f>+SUMIF('GE16FEB14 Tax Bill Unfudged'!$A$2:$A$498, 'Tax Bill Summary'!$A289, 'GE16FEB14 Tax Bill Unfudged'!J$2:J$498)</f>
        <v>1178468</v>
      </c>
      <c r="AC289" s="56">
        <f t="shared" si="199"/>
        <v>709537</v>
      </c>
      <c r="AD289" s="51">
        <f t="shared" si="200"/>
        <v>3881644</v>
      </c>
      <c r="AE289" s="13">
        <f t="shared" si="201"/>
        <v>2816401</v>
      </c>
      <c r="AF289" s="56">
        <f t="shared" si="202"/>
        <v>1065243</v>
      </c>
      <c r="AG289" s="13">
        <f t="shared" si="203"/>
        <v>1079.4338153503893</v>
      </c>
      <c r="AH289" s="13">
        <f t="shared" si="204"/>
        <v>783.20383759733033</v>
      </c>
      <c r="AI289" s="16">
        <f t="shared" si="205"/>
        <v>296.22997775305896</v>
      </c>
      <c r="AJ289" s="15">
        <f t="shared" si="206"/>
        <v>-11907</v>
      </c>
      <c r="AK289" s="13">
        <f t="shared" si="207"/>
        <v>-9782</v>
      </c>
      <c r="AL289" s="56">
        <f t="shared" si="208"/>
        <v>-2125</v>
      </c>
      <c r="AM289" s="51">
        <f t="shared" si="209"/>
        <v>0</v>
      </c>
      <c r="AN289" s="13">
        <f t="shared" si="210"/>
        <v>0</v>
      </c>
      <c r="AO289" s="56">
        <f t="shared" si="211"/>
        <v>0</v>
      </c>
      <c r="AP289" s="51">
        <f t="shared" si="212"/>
        <v>0</v>
      </c>
      <c r="AQ289" s="13">
        <f t="shared" si="213"/>
        <v>0</v>
      </c>
      <c r="AR289" s="56">
        <f t="shared" si="214"/>
        <v>0</v>
      </c>
      <c r="AS289" s="51">
        <f t="shared" si="215"/>
        <v>-11907</v>
      </c>
      <c r="AT289" s="13">
        <f t="shared" si="216"/>
        <v>-9782</v>
      </c>
      <c r="AU289" s="56">
        <f t="shared" si="217"/>
        <v>-2125</v>
      </c>
      <c r="AV289" s="13">
        <f t="shared" si="218"/>
        <v>-3.3111790878754164</v>
      </c>
      <c r="AW289" s="13">
        <f t="shared" si="219"/>
        <v>-2.7202447163515444</v>
      </c>
      <c r="AX289" s="16">
        <f t="shared" si="220"/>
        <v>-0.5909343715239288</v>
      </c>
    </row>
    <row r="290" spans="1:50" x14ac:dyDescent="0.25">
      <c r="A290" s="20">
        <v>2149</v>
      </c>
      <c r="B290">
        <v>1</v>
      </c>
      <c r="C290" s="23" t="s">
        <v>404</v>
      </c>
      <c r="D290" s="23">
        <v>5</v>
      </c>
      <c r="E290" s="15">
        <f>+SUMIF('GE16FEB14 Unfudged'!$A$2:$A$498, $A290, 'GE16FEB14 Unfudged'!$D$2:$D$498)</f>
        <v>1123</v>
      </c>
      <c r="F290" s="15">
        <f>+SUMIF('GE16FEB14 Unfudged'!$A$2:$A$498, 'Tax Bill Summary'!$A290, 'GE16FEB14 Unfudged'!E$2:E$498)</f>
        <v>137360</v>
      </c>
      <c r="G290" s="13">
        <f>+SUMIF('GE16FEB14 Unfudged'!$A$2:$A$498, 'Tax Bill Summary'!$A290, 'GE16FEB14 Unfudged'!F$2:F$498)</f>
        <v>137360</v>
      </c>
      <c r="H290" s="56">
        <f t="shared" si="188"/>
        <v>0</v>
      </c>
      <c r="I290" s="51">
        <f>+SUMIF('GE16FEB14 Unfudged'!$A$2:$A$498, 'Tax Bill Summary'!$A290, 'GE16FEB14 Unfudged'!G$2:G$498)</f>
        <v>0</v>
      </c>
      <c r="J290" s="13">
        <f>+SUMIF('GE16FEB14 Unfudged'!$A$2:$A$498, 'Tax Bill Summary'!$A290, 'GE16FEB14 Unfudged'!H$2:H$498)</f>
        <v>0</v>
      </c>
      <c r="K290" s="56">
        <f t="shared" si="189"/>
        <v>0</v>
      </c>
      <c r="L290" s="51">
        <f>+SUMIF('GE16FEB14 Unfudged'!$A$2:$A$498, 'Tax Bill Summary'!$A290, 'GE16FEB14 Unfudged'!I$2:IF$498)</f>
        <v>867906</v>
      </c>
      <c r="M290" s="13">
        <f>+SUMIF('GE16FEB14 Unfudged'!$A$2:$A$498, 'Tax Bill Summary'!$A290, 'GE16FEB14 Unfudged'!J$2:IG$498)</f>
        <v>763104</v>
      </c>
      <c r="N290" s="56">
        <f t="shared" si="190"/>
        <v>104802</v>
      </c>
      <c r="O290" s="51">
        <f t="shared" si="191"/>
        <v>1005266</v>
      </c>
      <c r="P290" s="13">
        <f t="shared" si="192"/>
        <v>900464</v>
      </c>
      <c r="Q290" s="56">
        <f t="shared" si="193"/>
        <v>104802</v>
      </c>
      <c r="R290" s="13">
        <f t="shared" si="194"/>
        <v>895.16117542297422</v>
      </c>
      <c r="S290" s="13">
        <f t="shared" si="195"/>
        <v>801.83793410507565</v>
      </c>
      <c r="T290" s="16">
        <f t="shared" si="196"/>
        <v>93.323241317898493</v>
      </c>
      <c r="U290" s="15">
        <f>+SUMIF('GE16FEB14 Tax Bill Unfudged'!$A$2:$A$498, 'Tax Bill Summary'!$A290, 'GE16FEB14 Tax Bill Unfudged'!E$2:E$498)</f>
        <v>158381</v>
      </c>
      <c r="V290" s="13">
        <f>+SUMIF('GE16FEB14 Tax Bill Unfudged'!$A$2:$A$498, 'Tax Bill Summary'!$A290, 'GE16FEB14 Tax Bill Unfudged'!F$2:F$498)</f>
        <v>158381</v>
      </c>
      <c r="W290" s="56">
        <f t="shared" si="197"/>
        <v>0</v>
      </c>
      <c r="X290" s="51">
        <f>+SUMIF('GE16FEB14 Tax Bill Unfudged'!$A$2:$A$498, 'Tax Bill Summary'!$A290, 'GE16FEB14 Tax Bill Unfudged'!G$2:G$498)</f>
        <v>476131</v>
      </c>
      <c r="Y290" s="13">
        <f>+SUMIF('GE16FEB14 Tax Bill Unfudged'!$A$2:$A$498, 'Tax Bill Summary'!$A290, 'GE16FEB14 Tax Bill Unfudged'!H$2:H$498)</f>
        <v>476131</v>
      </c>
      <c r="Z290" s="56">
        <f t="shared" si="198"/>
        <v>0</v>
      </c>
      <c r="AA290" s="51">
        <f>+SUMIF('GE16FEB14 Tax Bill Unfudged'!$A$2:$A$498, 'Tax Bill Summary'!$A290, 'GE16FEB14 Tax Bill Unfudged'!I$2:I$498)</f>
        <v>391775</v>
      </c>
      <c r="AB290" s="13">
        <f>+SUMIF('GE16FEB14 Tax Bill Unfudged'!$A$2:$A$498, 'Tax Bill Summary'!$A290, 'GE16FEB14 Tax Bill Unfudged'!J$2:J$498)</f>
        <v>286973</v>
      </c>
      <c r="AC290" s="56">
        <f t="shared" si="199"/>
        <v>104802</v>
      </c>
      <c r="AD290" s="51">
        <f t="shared" si="200"/>
        <v>1026287</v>
      </c>
      <c r="AE290" s="13">
        <f t="shared" si="201"/>
        <v>921485</v>
      </c>
      <c r="AF290" s="56">
        <f t="shared" si="202"/>
        <v>104802</v>
      </c>
      <c r="AG290" s="13">
        <f t="shared" si="203"/>
        <v>913.87978628673193</v>
      </c>
      <c r="AH290" s="13">
        <f t="shared" si="204"/>
        <v>820.55654496883346</v>
      </c>
      <c r="AI290" s="16">
        <f t="shared" si="205"/>
        <v>93.323241317898493</v>
      </c>
      <c r="AJ290" s="15">
        <f t="shared" si="206"/>
        <v>21021</v>
      </c>
      <c r="AK290" s="13">
        <f t="shared" si="207"/>
        <v>21021</v>
      </c>
      <c r="AL290" s="56">
        <f t="shared" si="208"/>
        <v>0</v>
      </c>
      <c r="AM290" s="51">
        <f t="shared" si="209"/>
        <v>476131</v>
      </c>
      <c r="AN290" s="13">
        <f t="shared" si="210"/>
        <v>476131</v>
      </c>
      <c r="AO290" s="56">
        <f t="shared" si="211"/>
        <v>0</v>
      </c>
      <c r="AP290" s="51">
        <f t="shared" si="212"/>
        <v>-476131</v>
      </c>
      <c r="AQ290" s="13">
        <f t="shared" si="213"/>
        <v>-476131</v>
      </c>
      <c r="AR290" s="56">
        <f t="shared" si="214"/>
        <v>0</v>
      </c>
      <c r="AS290" s="51">
        <f t="shared" si="215"/>
        <v>21021</v>
      </c>
      <c r="AT290" s="13">
        <f t="shared" si="216"/>
        <v>21021</v>
      </c>
      <c r="AU290" s="56">
        <f t="shared" si="217"/>
        <v>0</v>
      </c>
      <c r="AV290" s="13">
        <f t="shared" si="218"/>
        <v>18.718610863757704</v>
      </c>
      <c r="AW290" s="13">
        <f t="shared" si="219"/>
        <v>18.718610863757817</v>
      </c>
      <c r="AX290" s="16">
        <f t="shared" si="220"/>
        <v>0</v>
      </c>
    </row>
    <row r="291" spans="1:50" x14ac:dyDescent="0.25">
      <c r="A291" s="20">
        <v>2154</v>
      </c>
      <c r="B291">
        <v>1</v>
      </c>
      <c r="C291" s="23" t="s">
        <v>405</v>
      </c>
      <c r="D291" s="23">
        <v>5</v>
      </c>
      <c r="E291" s="15">
        <f>+SUMIF('GE16FEB14 Unfudged'!$A$2:$A$498, $A291, 'GE16FEB14 Unfudged'!$D$2:$D$498)</f>
        <v>1167</v>
      </c>
      <c r="F291" s="15">
        <f>+SUMIF('GE16FEB14 Unfudged'!$A$2:$A$498, 'Tax Bill Summary'!$A291, 'GE16FEB14 Unfudged'!E$2:E$498)</f>
        <v>142347</v>
      </c>
      <c r="G291" s="13">
        <f>+SUMIF('GE16FEB14 Unfudged'!$A$2:$A$498, 'Tax Bill Summary'!$A291, 'GE16FEB14 Unfudged'!F$2:F$498)</f>
        <v>84941</v>
      </c>
      <c r="H291" s="56">
        <f t="shared" si="188"/>
        <v>57406</v>
      </c>
      <c r="I291" s="51">
        <f>+SUMIF('GE16FEB14 Unfudged'!$A$2:$A$498, 'Tax Bill Summary'!$A291, 'GE16FEB14 Unfudged'!G$2:G$498)</f>
        <v>0</v>
      </c>
      <c r="J291" s="13">
        <f>+SUMIF('GE16FEB14 Unfudged'!$A$2:$A$498, 'Tax Bill Summary'!$A291, 'GE16FEB14 Unfudged'!H$2:H$498)</f>
        <v>0</v>
      </c>
      <c r="K291" s="56">
        <f t="shared" si="189"/>
        <v>0</v>
      </c>
      <c r="L291" s="51">
        <f>+SUMIF('GE16FEB14 Unfudged'!$A$2:$A$498, 'Tax Bill Summary'!$A291, 'GE16FEB14 Unfudged'!I$2:IF$498)</f>
        <v>909306</v>
      </c>
      <c r="M291" s="13">
        <f>+SUMIF('GE16FEB14 Unfudged'!$A$2:$A$498, 'Tax Bill Summary'!$A291, 'GE16FEB14 Unfudged'!J$2:IG$498)</f>
        <v>463942</v>
      </c>
      <c r="N291" s="56">
        <f t="shared" si="190"/>
        <v>445364</v>
      </c>
      <c r="O291" s="51">
        <f t="shared" si="191"/>
        <v>1051653</v>
      </c>
      <c r="P291" s="13">
        <f t="shared" si="192"/>
        <v>548883</v>
      </c>
      <c r="Q291" s="56">
        <f t="shared" si="193"/>
        <v>502770</v>
      </c>
      <c r="R291" s="13">
        <f t="shared" si="194"/>
        <v>901.15938303341898</v>
      </c>
      <c r="S291" s="13">
        <f t="shared" si="195"/>
        <v>470.33676092544988</v>
      </c>
      <c r="T291" s="16">
        <f t="shared" si="196"/>
        <v>430.82262210796915</v>
      </c>
      <c r="U291" s="15">
        <f>+SUMIF('GE16FEB14 Tax Bill Unfudged'!$A$2:$A$498, 'Tax Bill Summary'!$A291, 'GE16FEB14 Tax Bill Unfudged'!E$2:E$498)</f>
        <v>164073</v>
      </c>
      <c r="V291" s="13">
        <f>+SUMIF('GE16FEB14 Tax Bill Unfudged'!$A$2:$A$498, 'Tax Bill Summary'!$A291, 'GE16FEB14 Tax Bill Unfudged'!F$2:F$498)</f>
        <v>97905</v>
      </c>
      <c r="W291" s="56">
        <f t="shared" si="197"/>
        <v>66168</v>
      </c>
      <c r="X291" s="51">
        <f>+SUMIF('GE16FEB14 Tax Bill Unfudged'!$A$2:$A$498, 'Tax Bill Summary'!$A291, 'GE16FEB14 Tax Bill Unfudged'!G$2:G$498)</f>
        <v>494638</v>
      </c>
      <c r="Y291" s="13">
        <f>+SUMIF('GE16FEB14 Tax Bill Unfudged'!$A$2:$A$498, 'Tax Bill Summary'!$A291, 'GE16FEB14 Tax Bill Unfudged'!H$2:H$498)</f>
        <v>295159</v>
      </c>
      <c r="Z291" s="56">
        <f t="shared" si="198"/>
        <v>199479</v>
      </c>
      <c r="AA291" s="51">
        <f>+SUMIF('GE16FEB14 Tax Bill Unfudged'!$A$2:$A$498, 'Tax Bill Summary'!$A291, 'GE16FEB14 Tax Bill Unfudged'!I$2:I$498)</f>
        <v>414668</v>
      </c>
      <c r="AB291" s="13">
        <f>+SUMIF('GE16FEB14 Tax Bill Unfudged'!$A$2:$A$498, 'Tax Bill Summary'!$A291, 'GE16FEB14 Tax Bill Unfudged'!J$2:J$498)</f>
        <v>159632</v>
      </c>
      <c r="AC291" s="56">
        <f t="shared" si="199"/>
        <v>255036</v>
      </c>
      <c r="AD291" s="51">
        <f t="shared" si="200"/>
        <v>1073379</v>
      </c>
      <c r="AE291" s="13">
        <f t="shared" si="201"/>
        <v>552696</v>
      </c>
      <c r="AF291" s="56">
        <f t="shared" si="202"/>
        <v>520683</v>
      </c>
      <c r="AG291" s="13">
        <f t="shared" si="203"/>
        <v>919.77634961439594</v>
      </c>
      <c r="AH291" s="13">
        <f t="shared" si="204"/>
        <v>473.60411311053986</v>
      </c>
      <c r="AI291" s="16">
        <f t="shared" si="205"/>
        <v>446.17223650385603</v>
      </c>
      <c r="AJ291" s="15">
        <f t="shared" si="206"/>
        <v>21726</v>
      </c>
      <c r="AK291" s="13">
        <f t="shared" si="207"/>
        <v>12964</v>
      </c>
      <c r="AL291" s="56">
        <f t="shared" si="208"/>
        <v>8762</v>
      </c>
      <c r="AM291" s="51">
        <f t="shared" si="209"/>
        <v>494638</v>
      </c>
      <c r="AN291" s="13">
        <f t="shared" si="210"/>
        <v>295159</v>
      </c>
      <c r="AO291" s="56">
        <f t="shared" si="211"/>
        <v>199479</v>
      </c>
      <c r="AP291" s="51">
        <f t="shared" si="212"/>
        <v>-494638</v>
      </c>
      <c r="AQ291" s="13">
        <f t="shared" si="213"/>
        <v>-304310</v>
      </c>
      <c r="AR291" s="56">
        <f t="shared" si="214"/>
        <v>-190328</v>
      </c>
      <c r="AS291" s="51">
        <f t="shared" si="215"/>
        <v>21726</v>
      </c>
      <c r="AT291" s="13">
        <f t="shared" si="216"/>
        <v>3813</v>
      </c>
      <c r="AU291" s="56">
        <f t="shared" si="217"/>
        <v>17913</v>
      </c>
      <c r="AV291" s="13">
        <f t="shared" si="218"/>
        <v>18.616966580976964</v>
      </c>
      <c r="AW291" s="13">
        <f t="shared" si="219"/>
        <v>3.267352185089976</v>
      </c>
      <c r="AX291" s="16">
        <f t="shared" si="220"/>
        <v>15.349614395886874</v>
      </c>
    </row>
    <row r="292" spans="1:50" ht="15" customHeight="1" x14ac:dyDescent="0.25">
      <c r="A292" s="20">
        <v>2155</v>
      </c>
      <c r="B292">
        <v>52</v>
      </c>
      <c r="C292" s="23" t="s">
        <v>406</v>
      </c>
      <c r="D292" s="23">
        <v>5</v>
      </c>
      <c r="E292" s="15">
        <f>+SUMIF('GE16FEB14 Unfudged'!$A$2:$A$498, $A292, 'GE16FEB14 Unfudged'!$D$2:$D$498)</f>
        <v>1050</v>
      </c>
      <c r="F292" s="15">
        <f>+SUMIF('GE16FEB14 Unfudged'!$A$2:$A$498, 'Tax Bill Summary'!$A292, 'GE16FEB14 Unfudged'!E$2:E$498)</f>
        <v>123310</v>
      </c>
      <c r="G292" s="13">
        <f>+SUMIF('GE16FEB14 Unfudged'!$A$2:$A$498, 'Tax Bill Summary'!$A292, 'GE16FEB14 Unfudged'!F$2:F$498)</f>
        <v>63392</v>
      </c>
      <c r="H292" s="56">
        <f t="shared" si="188"/>
        <v>59918</v>
      </c>
      <c r="I292" s="51">
        <f>+SUMIF('GE16FEB14 Unfudged'!$A$2:$A$498, 'Tax Bill Summary'!$A292, 'GE16FEB14 Unfudged'!G$2:G$498)</f>
        <v>0</v>
      </c>
      <c r="J292" s="13">
        <f>+SUMIF('GE16FEB14 Unfudged'!$A$2:$A$498, 'Tax Bill Summary'!$A292, 'GE16FEB14 Unfudged'!H$2:H$498)</f>
        <v>0</v>
      </c>
      <c r="K292" s="56">
        <f t="shared" si="189"/>
        <v>0</v>
      </c>
      <c r="L292" s="51">
        <f>+SUMIF('GE16FEB14 Unfudged'!$A$2:$A$498, 'Tax Bill Summary'!$A292, 'GE16FEB14 Unfudged'!I$2:IF$498)</f>
        <v>922489</v>
      </c>
      <c r="M292" s="13">
        <f>+SUMIF('GE16FEB14 Unfudged'!$A$2:$A$498, 'Tax Bill Summary'!$A292, 'GE16FEB14 Unfudged'!J$2:IG$498)</f>
        <v>454793</v>
      </c>
      <c r="N292" s="56">
        <f t="shared" si="190"/>
        <v>467696</v>
      </c>
      <c r="O292" s="51">
        <f t="shared" si="191"/>
        <v>1045799</v>
      </c>
      <c r="P292" s="13">
        <f t="shared" si="192"/>
        <v>518185</v>
      </c>
      <c r="Q292" s="56">
        <f t="shared" si="193"/>
        <v>527614</v>
      </c>
      <c r="R292" s="13">
        <f t="shared" si="194"/>
        <v>995.99904761904759</v>
      </c>
      <c r="S292" s="13">
        <f t="shared" si="195"/>
        <v>493.50952380952378</v>
      </c>
      <c r="T292" s="16">
        <f t="shared" si="196"/>
        <v>502.4895238095238</v>
      </c>
      <c r="U292" s="15">
        <f>+SUMIF('GE16FEB14 Tax Bill Unfudged'!$A$2:$A$498, 'Tax Bill Summary'!$A292, 'GE16FEB14 Tax Bill Unfudged'!E$2:E$498)</f>
        <v>141325</v>
      </c>
      <c r="V292" s="13">
        <f>+SUMIF('GE16FEB14 Tax Bill Unfudged'!$A$2:$A$498, 'Tax Bill Summary'!$A292, 'GE16FEB14 Tax Bill Unfudged'!F$2:F$498)</f>
        <v>72653</v>
      </c>
      <c r="W292" s="56">
        <f t="shared" si="197"/>
        <v>68672</v>
      </c>
      <c r="X292" s="51">
        <f>+SUMIF('GE16FEB14 Tax Bill Unfudged'!$A$2:$A$498, 'Tax Bill Summary'!$A292, 'GE16FEB14 Tax Bill Unfudged'!G$2:G$498)</f>
        <v>445094</v>
      </c>
      <c r="Y292" s="13">
        <f>+SUMIF('GE16FEB14 Tax Bill Unfudged'!$A$2:$A$498, 'Tax Bill Summary'!$A292, 'GE16FEB14 Tax Bill Unfudged'!H$2:H$498)</f>
        <v>228817</v>
      </c>
      <c r="Z292" s="56">
        <f t="shared" si="198"/>
        <v>216277</v>
      </c>
      <c r="AA292" s="51">
        <f>+SUMIF('GE16FEB14 Tax Bill Unfudged'!$A$2:$A$498, 'Tax Bill Summary'!$A292, 'GE16FEB14 Tax Bill Unfudged'!I$2:I$498)</f>
        <v>477395</v>
      </c>
      <c r="AB292" s="13">
        <f>+SUMIF('GE16FEB14 Tax Bill Unfudged'!$A$2:$A$498, 'Tax Bill Summary'!$A292, 'GE16FEB14 Tax Bill Unfudged'!J$2:J$498)</f>
        <v>177352</v>
      </c>
      <c r="AC292" s="56">
        <f t="shared" si="199"/>
        <v>300043</v>
      </c>
      <c r="AD292" s="51">
        <f t="shared" si="200"/>
        <v>1063814</v>
      </c>
      <c r="AE292" s="13">
        <f t="shared" si="201"/>
        <v>478822</v>
      </c>
      <c r="AF292" s="56">
        <f t="shared" si="202"/>
        <v>584992</v>
      </c>
      <c r="AG292" s="13">
        <f t="shared" si="203"/>
        <v>1013.1561904761904</v>
      </c>
      <c r="AH292" s="13">
        <f t="shared" si="204"/>
        <v>456.02095238095239</v>
      </c>
      <c r="AI292" s="16">
        <f t="shared" si="205"/>
        <v>557.13523809523815</v>
      </c>
      <c r="AJ292" s="15">
        <f t="shared" si="206"/>
        <v>18015</v>
      </c>
      <c r="AK292" s="13">
        <f t="shared" si="207"/>
        <v>9261</v>
      </c>
      <c r="AL292" s="56">
        <f t="shared" si="208"/>
        <v>8754</v>
      </c>
      <c r="AM292" s="51">
        <f t="shared" si="209"/>
        <v>445094</v>
      </c>
      <c r="AN292" s="13">
        <f t="shared" si="210"/>
        <v>228817</v>
      </c>
      <c r="AO292" s="56">
        <f t="shared" si="211"/>
        <v>216277</v>
      </c>
      <c r="AP292" s="51">
        <f t="shared" si="212"/>
        <v>-445094</v>
      </c>
      <c r="AQ292" s="13">
        <f t="shared" si="213"/>
        <v>-277441</v>
      </c>
      <c r="AR292" s="56">
        <f t="shared" si="214"/>
        <v>-167653</v>
      </c>
      <c r="AS292" s="51">
        <f t="shared" si="215"/>
        <v>18015</v>
      </c>
      <c r="AT292" s="13">
        <f t="shared" si="216"/>
        <v>-39363</v>
      </c>
      <c r="AU292" s="56">
        <f t="shared" si="217"/>
        <v>57378</v>
      </c>
      <c r="AV292" s="13">
        <f t="shared" si="218"/>
        <v>17.157142857142844</v>
      </c>
      <c r="AW292" s="13">
        <f t="shared" si="219"/>
        <v>-37.48857142857139</v>
      </c>
      <c r="AX292" s="16">
        <f t="shared" si="220"/>
        <v>54.645714285714348</v>
      </c>
    </row>
    <row r="293" spans="1:50" ht="15" customHeight="1" x14ac:dyDescent="0.25">
      <c r="A293" s="20">
        <v>2159</v>
      </c>
      <c r="B293">
        <v>6</v>
      </c>
      <c r="C293" s="23" t="s">
        <v>407</v>
      </c>
      <c r="D293" s="23">
        <v>6</v>
      </c>
      <c r="E293" s="15">
        <f>+SUMIF('GE16FEB14 Unfudged'!$A$2:$A$498, $A293, 'GE16FEB14 Unfudged'!$D$2:$D$498)</f>
        <v>597</v>
      </c>
      <c r="F293" s="15">
        <f>+SUMIF('GE16FEB14 Unfudged'!$A$2:$A$498, 'Tax Bill Summary'!$A293, 'GE16FEB14 Unfudged'!E$2:E$498)</f>
        <v>60503</v>
      </c>
      <c r="G293" s="13">
        <f>+SUMIF('GE16FEB14 Unfudged'!$A$2:$A$498, 'Tax Bill Summary'!$A293, 'GE16FEB14 Unfudged'!F$2:F$498)</f>
        <v>36346</v>
      </c>
      <c r="H293" s="56">
        <f t="shared" si="188"/>
        <v>24157</v>
      </c>
      <c r="I293" s="51">
        <f>+SUMIF('GE16FEB14 Unfudged'!$A$2:$A$498, 'Tax Bill Summary'!$A293, 'GE16FEB14 Unfudged'!G$2:G$498)</f>
        <v>0</v>
      </c>
      <c r="J293" s="13">
        <f>+SUMIF('GE16FEB14 Unfudged'!$A$2:$A$498, 'Tax Bill Summary'!$A293, 'GE16FEB14 Unfudged'!H$2:H$498)</f>
        <v>0</v>
      </c>
      <c r="K293" s="56">
        <f t="shared" si="189"/>
        <v>0</v>
      </c>
      <c r="L293" s="51">
        <f>+SUMIF('GE16FEB14 Unfudged'!$A$2:$A$498, 'Tax Bill Summary'!$A293, 'GE16FEB14 Unfudged'!I$2:IF$498)</f>
        <v>735231</v>
      </c>
      <c r="M293" s="13">
        <f>+SUMIF('GE16FEB14 Unfudged'!$A$2:$A$498, 'Tax Bill Summary'!$A293, 'GE16FEB14 Unfudged'!J$2:IG$498)</f>
        <v>508760</v>
      </c>
      <c r="N293" s="56">
        <f t="shared" si="190"/>
        <v>226471</v>
      </c>
      <c r="O293" s="51">
        <f t="shared" si="191"/>
        <v>795734</v>
      </c>
      <c r="P293" s="13">
        <f t="shared" si="192"/>
        <v>545106</v>
      </c>
      <c r="Q293" s="56">
        <f t="shared" si="193"/>
        <v>250628</v>
      </c>
      <c r="R293" s="13">
        <f t="shared" si="194"/>
        <v>1332.8877721943049</v>
      </c>
      <c r="S293" s="13">
        <f t="shared" si="195"/>
        <v>913.0753768844221</v>
      </c>
      <c r="T293" s="16">
        <f t="shared" si="196"/>
        <v>419.81239530988273</v>
      </c>
      <c r="U293" s="15">
        <f>+SUMIF('GE16FEB14 Tax Bill Unfudged'!$A$2:$A$498, 'Tax Bill Summary'!$A293, 'GE16FEB14 Tax Bill Unfudged'!E$2:E$498)</f>
        <v>67655</v>
      </c>
      <c r="V293" s="13">
        <f>+SUMIF('GE16FEB14 Tax Bill Unfudged'!$A$2:$A$498, 'Tax Bill Summary'!$A293, 'GE16FEB14 Tax Bill Unfudged'!F$2:F$498)</f>
        <v>40642</v>
      </c>
      <c r="W293" s="56">
        <f t="shared" si="197"/>
        <v>27013</v>
      </c>
      <c r="X293" s="51">
        <f>+SUMIF('GE16FEB14 Tax Bill Unfudged'!$A$2:$A$498, 'Tax Bill Summary'!$A293, 'GE16FEB14 Tax Bill Unfudged'!G$2:G$498)</f>
        <v>253213</v>
      </c>
      <c r="Y293" s="13">
        <f>+SUMIF('GE16FEB14 Tax Bill Unfudged'!$A$2:$A$498, 'Tax Bill Summary'!$A293, 'GE16FEB14 Tax Bill Unfudged'!H$2:H$498)</f>
        <v>152112</v>
      </c>
      <c r="Z293" s="56">
        <f t="shared" si="198"/>
        <v>101101</v>
      </c>
      <c r="AA293" s="51">
        <f>+SUMIF('GE16FEB14 Tax Bill Unfudged'!$A$2:$A$498, 'Tax Bill Summary'!$A293, 'GE16FEB14 Tax Bill Unfudged'!I$2:I$498)</f>
        <v>482018</v>
      </c>
      <c r="AB293" s="13">
        <f>+SUMIF('GE16FEB14 Tax Bill Unfudged'!$A$2:$A$498, 'Tax Bill Summary'!$A293, 'GE16FEB14 Tax Bill Unfudged'!J$2:J$498)</f>
        <v>255547</v>
      </c>
      <c r="AC293" s="56">
        <f t="shared" si="199"/>
        <v>226471</v>
      </c>
      <c r="AD293" s="51">
        <f t="shared" si="200"/>
        <v>802886</v>
      </c>
      <c r="AE293" s="13">
        <f t="shared" si="201"/>
        <v>448301</v>
      </c>
      <c r="AF293" s="56">
        <f t="shared" si="202"/>
        <v>354585</v>
      </c>
      <c r="AG293" s="13">
        <f t="shared" si="203"/>
        <v>1344.8676716917923</v>
      </c>
      <c r="AH293" s="13">
        <f t="shared" si="204"/>
        <v>750.92294807370183</v>
      </c>
      <c r="AI293" s="16">
        <f t="shared" si="205"/>
        <v>593.94472361809051</v>
      </c>
      <c r="AJ293" s="15">
        <f t="shared" si="206"/>
        <v>7152</v>
      </c>
      <c r="AK293" s="13">
        <f t="shared" si="207"/>
        <v>4296</v>
      </c>
      <c r="AL293" s="56">
        <f t="shared" si="208"/>
        <v>2856</v>
      </c>
      <c r="AM293" s="51">
        <f t="shared" si="209"/>
        <v>253213</v>
      </c>
      <c r="AN293" s="13">
        <f t="shared" si="210"/>
        <v>152112</v>
      </c>
      <c r="AO293" s="56">
        <f t="shared" si="211"/>
        <v>101101</v>
      </c>
      <c r="AP293" s="51">
        <f t="shared" si="212"/>
        <v>-253213</v>
      </c>
      <c r="AQ293" s="13">
        <f t="shared" si="213"/>
        <v>-253213</v>
      </c>
      <c r="AR293" s="56">
        <f t="shared" si="214"/>
        <v>0</v>
      </c>
      <c r="AS293" s="51">
        <f t="shared" si="215"/>
        <v>7152</v>
      </c>
      <c r="AT293" s="13">
        <f t="shared" si="216"/>
        <v>-96805</v>
      </c>
      <c r="AU293" s="56">
        <f t="shared" si="217"/>
        <v>103957</v>
      </c>
      <c r="AV293" s="13">
        <f t="shared" si="218"/>
        <v>11.979899497487395</v>
      </c>
      <c r="AW293" s="13">
        <f t="shared" si="219"/>
        <v>-162.15242881072027</v>
      </c>
      <c r="AX293" s="16">
        <f t="shared" si="220"/>
        <v>174.13232830820778</v>
      </c>
    </row>
    <row r="294" spans="1:50" ht="15" customHeight="1" x14ac:dyDescent="0.25">
      <c r="A294" s="20">
        <v>2164</v>
      </c>
      <c r="B294">
        <v>6</v>
      </c>
      <c r="C294" s="23" t="s">
        <v>408</v>
      </c>
      <c r="D294" s="23">
        <v>5</v>
      </c>
      <c r="E294" s="15">
        <f>+SUMIF('GE16FEB14 Unfudged'!$A$2:$A$498, $A294, 'GE16FEB14 Unfudged'!$D$2:$D$498)</f>
        <v>1786</v>
      </c>
      <c r="F294" s="15">
        <f>+SUMIF('GE16FEB14 Unfudged'!$A$2:$A$498, 'Tax Bill Summary'!$A294, 'GE16FEB14 Unfudged'!E$2:E$498)</f>
        <v>232568</v>
      </c>
      <c r="G294" s="13">
        <f>+SUMIF('GE16FEB14 Unfudged'!$A$2:$A$498, 'Tax Bill Summary'!$A294, 'GE16FEB14 Unfudged'!F$2:F$498)</f>
        <v>112923</v>
      </c>
      <c r="H294" s="56">
        <f t="shared" si="188"/>
        <v>119645</v>
      </c>
      <c r="I294" s="51">
        <f>+SUMIF('GE16FEB14 Unfudged'!$A$2:$A$498, 'Tax Bill Summary'!$A294, 'GE16FEB14 Unfudged'!G$2:G$498)</f>
        <v>0</v>
      </c>
      <c r="J294" s="13">
        <f>+SUMIF('GE16FEB14 Unfudged'!$A$2:$A$498, 'Tax Bill Summary'!$A294, 'GE16FEB14 Unfudged'!H$2:H$498)</f>
        <v>0</v>
      </c>
      <c r="K294" s="56">
        <f t="shared" si="189"/>
        <v>0</v>
      </c>
      <c r="L294" s="51">
        <f>+SUMIF('GE16FEB14 Unfudged'!$A$2:$A$498, 'Tax Bill Summary'!$A294, 'GE16FEB14 Unfudged'!I$2:IF$498)</f>
        <v>1071360</v>
      </c>
      <c r="M294" s="13">
        <f>+SUMIF('GE16FEB14 Unfudged'!$A$2:$A$498, 'Tax Bill Summary'!$A294, 'GE16FEB14 Unfudged'!J$2:IG$498)</f>
        <v>410838</v>
      </c>
      <c r="N294" s="56">
        <f t="shared" si="190"/>
        <v>660522</v>
      </c>
      <c r="O294" s="51">
        <f t="shared" si="191"/>
        <v>1303928</v>
      </c>
      <c r="P294" s="13">
        <f t="shared" si="192"/>
        <v>523761</v>
      </c>
      <c r="Q294" s="56">
        <f t="shared" si="193"/>
        <v>780167</v>
      </c>
      <c r="R294" s="13">
        <f t="shared" si="194"/>
        <v>730.08286674132137</v>
      </c>
      <c r="S294" s="13">
        <f t="shared" si="195"/>
        <v>293.25923852183649</v>
      </c>
      <c r="T294" s="16">
        <f t="shared" si="196"/>
        <v>436.82362821948487</v>
      </c>
      <c r="U294" s="15">
        <f>+SUMIF('GE16FEB14 Tax Bill Unfudged'!$A$2:$A$498, 'Tax Bill Summary'!$A294, 'GE16FEB14 Tax Bill Unfudged'!E$2:E$498)</f>
        <v>257126</v>
      </c>
      <c r="V294" s="13">
        <f>+SUMIF('GE16FEB14 Tax Bill Unfudged'!$A$2:$A$498, 'Tax Bill Summary'!$A294, 'GE16FEB14 Tax Bill Unfudged'!F$2:F$498)</f>
        <v>124847</v>
      </c>
      <c r="W294" s="56">
        <f t="shared" si="197"/>
        <v>132279</v>
      </c>
      <c r="X294" s="51">
        <f>+SUMIF('GE16FEB14 Tax Bill Unfudged'!$A$2:$A$498, 'Tax Bill Summary'!$A294, 'GE16FEB14 Tax Bill Unfudged'!G$2:G$498)</f>
        <v>757094</v>
      </c>
      <c r="Y294" s="13">
        <f>+SUMIF('GE16FEB14 Tax Bill Unfudged'!$A$2:$A$498, 'Tax Bill Summary'!$A294, 'GE16FEB14 Tax Bill Unfudged'!H$2:H$498)</f>
        <v>367606</v>
      </c>
      <c r="Z294" s="56">
        <f t="shared" si="198"/>
        <v>389488</v>
      </c>
      <c r="AA294" s="51">
        <f>+SUMIF('GE16FEB14 Tax Bill Unfudged'!$A$2:$A$498, 'Tax Bill Summary'!$A294, 'GE16FEB14 Tax Bill Unfudged'!I$2:I$498)</f>
        <v>535680</v>
      </c>
      <c r="AB294" s="13">
        <f>+SUMIF('GE16FEB14 Tax Bill Unfudged'!$A$2:$A$498, 'Tax Bill Summary'!$A294, 'GE16FEB14 Tax Bill Unfudged'!J$2:J$498)</f>
        <v>150739</v>
      </c>
      <c r="AC294" s="56">
        <f t="shared" si="199"/>
        <v>384941</v>
      </c>
      <c r="AD294" s="51">
        <f t="shared" si="200"/>
        <v>1549900</v>
      </c>
      <c r="AE294" s="13">
        <f t="shared" si="201"/>
        <v>643192</v>
      </c>
      <c r="AF294" s="56">
        <f t="shared" si="202"/>
        <v>906708</v>
      </c>
      <c r="AG294" s="13">
        <f t="shared" si="203"/>
        <v>867.80515117581183</v>
      </c>
      <c r="AH294" s="13">
        <f t="shared" si="204"/>
        <v>360.12989921612541</v>
      </c>
      <c r="AI294" s="16">
        <f t="shared" si="205"/>
        <v>507.67525195968648</v>
      </c>
      <c r="AJ294" s="15">
        <f t="shared" si="206"/>
        <v>24558</v>
      </c>
      <c r="AK294" s="13">
        <f t="shared" si="207"/>
        <v>11924</v>
      </c>
      <c r="AL294" s="56">
        <f t="shared" si="208"/>
        <v>12634</v>
      </c>
      <c r="AM294" s="51">
        <f t="shared" si="209"/>
        <v>757094</v>
      </c>
      <c r="AN294" s="13">
        <f t="shared" si="210"/>
        <v>367606</v>
      </c>
      <c r="AO294" s="56">
        <f t="shared" si="211"/>
        <v>389488</v>
      </c>
      <c r="AP294" s="51">
        <f t="shared" si="212"/>
        <v>-535680</v>
      </c>
      <c r="AQ294" s="13">
        <f t="shared" si="213"/>
        <v>-260099</v>
      </c>
      <c r="AR294" s="56">
        <f t="shared" si="214"/>
        <v>-275581</v>
      </c>
      <c r="AS294" s="51">
        <f t="shared" si="215"/>
        <v>245972</v>
      </c>
      <c r="AT294" s="13">
        <f t="shared" si="216"/>
        <v>119431</v>
      </c>
      <c r="AU294" s="56">
        <f t="shared" si="217"/>
        <v>126541</v>
      </c>
      <c r="AV294" s="13">
        <f t="shared" si="218"/>
        <v>137.72228443449046</v>
      </c>
      <c r="AW294" s="13">
        <f t="shared" si="219"/>
        <v>66.870660694288915</v>
      </c>
      <c r="AX294" s="16">
        <f t="shared" si="220"/>
        <v>70.851623740201603</v>
      </c>
    </row>
    <row r="295" spans="1:50" ht="15" customHeight="1" x14ac:dyDescent="0.25">
      <c r="A295" s="20">
        <v>2165</v>
      </c>
      <c r="B295">
        <v>53</v>
      </c>
      <c r="C295" s="23" t="s">
        <v>409</v>
      </c>
      <c r="D295" s="23">
        <v>5</v>
      </c>
      <c r="E295" s="15">
        <f>+SUMIF('GE16FEB14 Unfudged'!$A$2:$A$498, $A295, 'GE16FEB14 Unfudged'!$D$2:$D$498)</f>
        <v>1056</v>
      </c>
      <c r="F295" s="15">
        <f>+SUMIF('GE16FEB14 Unfudged'!$A$2:$A$498, 'Tax Bill Summary'!$A295, 'GE16FEB14 Unfudged'!E$2:E$498)</f>
        <v>151236</v>
      </c>
      <c r="G295" s="13">
        <f>+SUMIF('GE16FEB14 Unfudged'!$A$2:$A$498, 'Tax Bill Summary'!$A295, 'GE16FEB14 Unfudged'!F$2:F$498)</f>
        <v>101521</v>
      </c>
      <c r="H295" s="56">
        <f t="shared" si="188"/>
        <v>49715</v>
      </c>
      <c r="I295" s="51">
        <f>+SUMIF('GE16FEB14 Unfudged'!$A$2:$A$498, 'Tax Bill Summary'!$A295, 'GE16FEB14 Unfudged'!G$2:G$498)</f>
        <v>0</v>
      </c>
      <c r="J295" s="13">
        <f>+SUMIF('GE16FEB14 Unfudged'!$A$2:$A$498, 'Tax Bill Summary'!$A295, 'GE16FEB14 Unfudged'!H$2:H$498)</f>
        <v>0</v>
      </c>
      <c r="K295" s="56">
        <f t="shared" si="189"/>
        <v>0</v>
      </c>
      <c r="L295" s="51">
        <f>+SUMIF('GE16FEB14 Unfudged'!$A$2:$A$498, 'Tax Bill Summary'!$A295, 'GE16FEB14 Unfudged'!I$2:IF$498)</f>
        <v>334171</v>
      </c>
      <c r="M295" s="13">
        <f>+SUMIF('GE16FEB14 Unfudged'!$A$2:$A$498, 'Tax Bill Summary'!$A295, 'GE16FEB14 Unfudged'!J$2:IG$498)</f>
        <v>134924</v>
      </c>
      <c r="N295" s="56">
        <f t="shared" si="190"/>
        <v>199247</v>
      </c>
      <c r="O295" s="51">
        <f t="shared" si="191"/>
        <v>485407</v>
      </c>
      <c r="P295" s="13">
        <f t="shared" si="192"/>
        <v>236445</v>
      </c>
      <c r="Q295" s="56">
        <f t="shared" si="193"/>
        <v>248962</v>
      </c>
      <c r="R295" s="13">
        <f t="shared" si="194"/>
        <v>459.66571969696969</v>
      </c>
      <c r="S295" s="13">
        <f t="shared" si="195"/>
        <v>223.90625</v>
      </c>
      <c r="T295" s="16">
        <f t="shared" si="196"/>
        <v>235.75946969696969</v>
      </c>
      <c r="U295" s="15">
        <f>+SUMIF('GE16FEB14 Tax Bill Unfudged'!$A$2:$A$498, 'Tax Bill Summary'!$A295, 'GE16FEB14 Tax Bill Unfudged'!E$2:E$498)</f>
        <v>152035</v>
      </c>
      <c r="V295" s="13">
        <f>+SUMIF('GE16FEB14 Tax Bill Unfudged'!$A$2:$A$498, 'Tax Bill Summary'!$A295, 'GE16FEB14 Tax Bill Unfudged'!F$2:F$498)</f>
        <v>102058</v>
      </c>
      <c r="W295" s="56">
        <f t="shared" si="197"/>
        <v>49977</v>
      </c>
      <c r="X295" s="51">
        <f>+SUMIF('GE16FEB14 Tax Bill Unfudged'!$A$2:$A$498, 'Tax Bill Summary'!$A295, 'GE16FEB14 Tax Bill Unfudged'!G$2:G$498)</f>
        <v>447659</v>
      </c>
      <c r="Y295" s="13">
        <f>+SUMIF('GE16FEB14 Tax Bill Unfudged'!$A$2:$A$498, 'Tax Bill Summary'!$A295, 'GE16FEB14 Tax Bill Unfudged'!H$2:H$498)</f>
        <v>300504</v>
      </c>
      <c r="Z295" s="56">
        <f t="shared" si="198"/>
        <v>147155</v>
      </c>
      <c r="AA295" s="51">
        <f>+SUMIF('GE16FEB14 Tax Bill Unfudged'!$A$2:$A$498, 'Tax Bill Summary'!$A295, 'GE16FEB14 Tax Bill Unfudged'!I$2:I$498)</f>
        <v>316740</v>
      </c>
      <c r="AB295" s="13">
        <f>+SUMIF('GE16FEB14 Tax Bill Unfudged'!$A$2:$A$498, 'Tax Bill Summary'!$A295, 'GE16FEB14 Tax Bill Unfudged'!J$2:J$498)</f>
        <v>123223</v>
      </c>
      <c r="AC295" s="56">
        <f t="shared" si="199"/>
        <v>193517</v>
      </c>
      <c r="AD295" s="51">
        <f t="shared" si="200"/>
        <v>916434</v>
      </c>
      <c r="AE295" s="13">
        <f t="shared" si="201"/>
        <v>525785</v>
      </c>
      <c r="AF295" s="56">
        <f t="shared" si="202"/>
        <v>390649</v>
      </c>
      <c r="AG295" s="13">
        <f t="shared" si="203"/>
        <v>867.83522727272725</v>
      </c>
      <c r="AH295" s="13">
        <f t="shared" si="204"/>
        <v>497.90246212121212</v>
      </c>
      <c r="AI295" s="16">
        <f t="shared" si="205"/>
        <v>369.93276515151513</v>
      </c>
      <c r="AJ295" s="15">
        <f t="shared" si="206"/>
        <v>799</v>
      </c>
      <c r="AK295" s="13">
        <f t="shared" si="207"/>
        <v>537</v>
      </c>
      <c r="AL295" s="56">
        <f t="shared" si="208"/>
        <v>262</v>
      </c>
      <c r="AM295" s="51">
        <f t="shared" si="209"/>
        <v>447659</v>
      </c>
      <c r="AN295" s="13">
        <f t="shared" si="210"/>
        <v>300504</v>
      </c>
      <c r="AO295" s="56">
        <f t="shared" si="211"/>
        <v>147155</v>
      </c>
      <c r="AP295" s="51">
        <f t="shared" si="212"/>
        <v>-17431</v>
      </c>
      <c r="AQ295" s="13">
        <f t="shared" si="213"/>
        <v>-11701</v>
      </c>
      <c r="AR295" s="56">
        <f t="shared" si="214"/>
        <v>-5730</v>
      </c>
      <c r="AS295" s="51">
        <f t="shared" si="215"/>
        <v>431027</v>
      </c>
      <c r="AT295" s="13">
        <f t="shared" si="216"/>
        <v>289340</v>
      </c>
      <c r="AU295" s="56">
        <f t="shared" si="217"/>
        <v>141687</v>
      </c>
      <c r="AV295" s="13">
        <f t="shared" si="218"/>
        <v>408.16950757575756</v>
      </c>
      <c r="AW295" s="13">
        <f t="shared" si="219"/>
        <v>273.99621212121212</v>
      </c>
      <c r="AX295" s="16">
        <f t="shared" si="220"/>
        <v>134.17329545454544</v>
      </c>
    </row>
    <row r="296" spans="1:50" ht="15" customHeight="1" x14ac:dyDescent="0.25">
      <c r="A296" s="20">
        <v>2167</v>
      </c>
      <c r="B296">
        <v>52</v>
      </c>
      <c r="C296" s="23" t="s">
        <v>410</v>
      </c>
      <c r="D296" s="23">
        <v>6</v>
      </c>
      <c r="E296" s="15">
        <f>+SUMIF('GE16FEB14 Unfudged'!$A$2:$A$498, $A296, 'GE16FEB14 Unfudged'!$D$2:$D$498)</f>
        <v>700</v>
      </c>
      <c r="F296" s="15">
        <f>+SUMIF('GE16FEB14 Unfudged'!$A$2:$A$498, 'Tax Bill Summary'!$A296, 'GE16FEB14 Unfudged'!E$2:E$498)</f>
        <v>85328</v>
      </c>
      <c r="G296" s="13">
        <f>+SUMIF('GE16FEB14 Unfudged'!$A$2:$A$498, 'Tax Bill Summary'!$A296, 'GE16FEB14 Unfudged'!F$2:F$498)</f>
        <v>40455</v>
      </c>
      <c r="H296" s="56">
        <f t="shared" si="188"/>
        <v>44873</v>
      </c>
      <c r="I296" s="51">
        <f>+SUMIF('GE16FEB14 Unfudged'!$A$2:$A$498, 'Tax Bill Summary'!$A296, 'GE16FEB14 Unfudged'!G$2:G$498)</f>
        <v>0</v>
      </c>
      <c r="J296" s="13">
        <f>+SUMIF('GE16FEB14 Unfudged'!$A$2:$A$498, 'Tax Bill Summary'!$A296, 'GE16FEB14 Unfudged'!H$2:H$498)</f>
        <v>0</v>
      </c>
      <c r="K296" s="56">
        <f t="shared" si="189"/>
        <v>0</v>
      </c>
      <c r="L296" s="51">
        <f>+SUMIF('GE16FEB14 Unfudged'!$A$2:$A$498, 'Tax Bill Summary'!$A296, 'GE16FEB14 Unfudged'!I$2:IF$498)</f>
        <v>548861</v>
      </c>
      <c r="M296" s="13">
        <f>+SUMIF('GE16FEB14 Unfudged'!$A$2:$A$498, 'Tax Bill Summary'!$A296, 'GE16FEB14 Unfudged'!J$2:IG$498)</f>
        <v>224293</v>
      </c>
      <c r="N296" s="56">
        <f t="shared" si="190"/>
        <v>324568</v>
      </c>
      <c r="O296" s="51">
        <f t="shared" si="191"/>
        <v>634189</v>
      </c>
      <c r="P296" s="13">
        <f t="shared" si="192"/>
        <v>264748</v>
      </c>
      <c r="Q296" s="56">
        <f t="shared" si="193"/>
        <v>369441</v>
      </c>
      <c r="R296" s="13">
        <f t="shared" si="194"/>
        <v>905.98428571428576</v>
      </c>
      <c r="S296" s="13">
        <f t="shared" si="195"/>
        <v>378.2114285714286</v>
      </c>
      <c r="T296" s="16">
        <f t="shared" si="196"/>
        <v>527.77285714285711</v>
      </c>
      <c r="U296" s="15">
        <f>+SUMIF('GE16FEB14 Tax Bill Unfudged'!$A$2:$A$498, 'Tax Bill Summary'!$A296, 'GE16FEB14 Tax Bill Unfudged'!E$2:E$498)</f>
        <v>98328</v>
      </c>
      <c r="V296" s="13">
        <f>+SUMIF('GE16FEB14 Tax Bill Unfudged'!$A$2:$A$498, 'Tax Bill Summary'!$A296, 'GE16FEB14 Tax Bill Unfudged'!F$2:F$498)</f>
        <v>46619</v>
      </c>
      <c r="W296" s="56">
        <f t="shared" si="197"/>
        <v>51709</v>
      </c>
      <c r="X296" s="51">
        <f>+SUMIF('GE16FEB14 Tax Bill Unfudged'!$A$2:$A$498, 'Tax Bill Summary'!$A296, 'GE16FEB14 Tax Bill Unfudged'!G$2:G$498)</f>
        <v>296970</v>
      </c>
      <c r="Y296" s="13">
        <f>+SUMIF('GE16FEB14 Tax Bill Unfudged'!$A$2:$A$498, 'Tax Bill Summary'!$A296, 'GE16FEB14 Tax Bill Unfudged'!H$2:H$498)</f>
        <v>140798</v>
      </c>
      <c r="Z296" s="56">
        <f t="shared" si="198"/>
        <v>156172</v>
      </c>
      <c r="AA296" s="51">
        <f>+SUMIF('GE16FEB14 Tax Bill Unfudged'!$A$2:$A$498, 'Tax Bill Summary'!$A296, 'GE16FEB14 Tax Bill Unfudged'!I$2:I$498)</f>
        <v>251892</v>
      </c>
      <c r="AB296" s="13">
        <f>+SUMIF('GE16FEB14 Tax Bill Unfudged'!$A$2:$A$498, 'Tax Bill Summary'!$A296, 'GE16FEB14 Tax Bill Unfudged'!J$2:J$498)</f>
        <v>77540</v>
      </c>
      <c r="AC296" s="56">
        <f t="shared" si="199"/>
        <v>174352</v>
      </c>
      <c r="AD296" s="51">
        <f t="shared" si="200"/>
        <v>647190</v>
      </c>
      <c r="AE296" s="13">
        <f t="shared" si="201"/>
        <v>264957</v>
      </c>
      <c r="AF296" s="56">
        <f t="shared" si="202"/>
        <v>382233</v>
      </c>
      <c r="AG296" s="13">
        <f t="shared" si="203"/>
        <v>924.55714285714282</v>
      </c>
      <c r="AH296" s="13">
        <f t="shared" si="204"/>
        <v>378.51</v>
      </c>
      <c r="AI296" s="16">
        <f t="shared" si="205"/>
        <v>546.04714285714283</v>
      </c>
      <c r="AJ296" s="15">
        <f t="shared" si="206"/>
        <v>13000</v>
      </c>
      <c r="AK296" s="13">
        <f t="shared" si="207"/>
        <v>6164</v>
      </c>
      <c r="AL296" s="56">
        <f t="shared" si="208"/>
        <v>6836</v>
      </c>
      <c r="AM296" s="51">
        <f t="shared" si="209"/>
        <v>296970</v>
      </c>
      <c r="AN296" s="13">
        <f t="shared" si="210"/>
        <v>140798</v>
      </c>
      <c r="AO296" s="56">
        <f t="shared" si="211"/>
        <v>156172</v>
      </c>
      <c r="AP296" s="51">
        <f t="shared" si="212"/>
        <v>-296969</v>
      </c>
      <c r="AQ296" s="13">
        <f t="shared" si="213"/>
        <v>-146753</v>
      </c>
      <c r="AR296" s="56">
        <f t="shared" si="214"/>
        <v>-150216</v>
      </c>
      <c r="AS296" s="51">
        <f t="shared" si="215"/>
        <v>13001</v>
      </c>
      <c r="AT296" s="13">
        <f t="shared" si="216"/>
        <v>209</v>
      </c>
      <c r="AU296" s="56">
        <f t="shared" si="217"/>
        <v>12792</v>
      </c>
      <c r="AV296" s="13">
        <f t="shared" si="218"/>
        <v>18.57285714285706</v>
      </c>
      <c r="AW296" s="13">
        <f t="shared" si="219"/>
        <v>0.29857142857139252</v>
      </c>
      <c r="AX296" s="16">
        <f t="shared" si="220"/>
        <v>18.274285714285725</v>
      </c>
    </row>
    <row r="297" spans="1:50" ht="15" customHeight="1" x14ac:dyDescent="0.25">
      <c r="A297" s="20">
        <v>2168</v>
      </c>
      <c r="B297">
        <v>52</v>
      </c>
      <c r="C297" s="23" t="s">
        <v>411</v>
      </c>
      <c r="D297" s="23">
        <v>6</v>
      </c>
      <c r="E297" s="15">
        <f>+SUMIF('GE16FEB14 Unfudged'!$A$2:$A$498, $A297, 'GE16FEB14 Unfudged'!$D$2:$D$498)</f>
        <v>1016</v>
      </c>
      <c r="F297" s="15">
        <f>+SUMIF('GE16FEB14 Unfudged'!$A$2:$A$498, 'Tax Bill Summary'!$A297, 'GE16FEB14 Unfudged'!E$2:E$498)</f>
        <v>139116</v>
      </c>
      <c r="G297" s="13">
        <f>+SUMIF('GE16FEB14 Unfudged'!$A$2:$A$498, 'Tax Bill Summary'!$A297, 'GE16FEB14 Unfudged'!F$2:F$498)</f>
        <v>85453</v>
      </c>
      <c r="H297" s="56">
        <f t="shared" si="188"/>
        <v>53663</v>
      </c>
      <c r="I297" s="51">
        <f>+SUMIF('GE16FEB14 Unfudged'!$A$2:$A$498, 'Tax Bill Summary'!$A297, 'GE16FEB14 Unfudged'!G$2:G$498)</f>
        <v>0</v>
      </c>
      <c r="J297" s="13">
        <f>+SUMIF('GE16FEB14 Unfudged'!$A$2:$A$498, 'Tax Bill Summary'!$A297, 'GE16FEB14 Unfudged'!H$2:H$498)</f>
        <v>0</v>
      </c>
      <c r="K297" s="56">
        <f t="shared" si="189"/>
        <v>0</v>
      </c>
      <c r="L297" s="51">
        <f>+SUMIF('GE16FEB14 Unfudged'!$A$2:$A$498, 'Tax Bill Summary'!$A297, 'GE16FEB14 Unfudged'!I$2:IF$498)</f>
        <v>460899</v>
      </c>
      <c r="M297" s="13">
        <f>+SUMIF('GE16FEB14 Unfudged'!$A$2:$A$498, 'Tax Bill Summary'!$A297, 'GE16FEB14 Unfudged'!J$2:IG$498)</f>
        <v>204407</v>
      </c>
      <c r="N297" s="56">
        <f t="shared" si="190"/>
        <v>256492</v>
      </c>
      <c r="O297" s="51">
        <f t="shared" si="191"/>
        <v>600015</v>
      </c>
      <c r="P297" s="13">
        <f t="shared" si="192"/>
        <v>289860</v>
      </c>
      <c r="Q297" s="56">
        <f t="shared" si="193"/>
        <v>310155</v>
      </c>
      <c r="R297" s="13">
        <f t="shared" si="194"/>
        <v>590.56594488188978</v>
      </c>
      <c r="S297" s="13">
        <f t="shared" si="195"/>
        <v>285.29527559055117</v>
      </c>
      <c r="T297" s="16">
        <f t="shared" si="196"/>
        <v>305.27066929133861</v>
      </c>
      <c r="U297" s="15">
        <f>+SUMIF('GE16FEB14 Tax Bill Unfudged'!$A$2:$A$498, 'Tax Bill Summary'!$A297, 'GE16FEB14 Tax Bill Unfudged'!E$2:E$498)</f>
        <v>146275</v>
      </c>
      <c r="V297" s="13">
        <f>+SUMIF('GE16FEB14 Tax Bill Unfudged'!$A$2:$A$498, 'Tax Bill Summary'!$A297, 'GE16FEB14 Tax Bill Unfudged'!F$2:F$498)</f>
        <v>89851</v>
      </c>
      <c r="W297" s="56">
        <f t="shared" si="197"/>
        <v>56424</v>
      </c>
      <c r="X297" s="51">
        <f>+SUMIF('GE16FEB14 Tax Bill Unfudged'!$A$2:$A$498, 'Tax Bill Summary'!$A297, 'GE16FEB14 Tax Bill Unfudged'!G$2:G$498)</f>
        <v>430699</v>
      </c>
      <c r="Y297" s="13">
        <f>+SUMIF('GE16FEB14 Tax Bill Unfudged'!$A$2:$A$498, 'Tax Bill Summary'!$A297, 'GE16FEB14 Tax Bill Unfudged'!H$2:H$498)</f>
        <v>264561</v>
      </c>
      <c r="Z297" s="56">
        <f t="shared" si="198"/>
        <v>166138</v>
      </c>
      <c r="AA297" s="51">
        <f>+SUMIF('GE16FEB14 Tax Bill Unfudged'!$A$2:$A$498, 'Tax Bill Summary'!$A297, 'GE16FEB14 Tax Bill Unfudged'!I$2:I$498)</f>
        <v>304740</v>
      </c>
      <c r="AB297" s="13">
        <f>+SUMIF('GE16FEB14 Tax Bill Unfudged'!$A$2:$A$498, 'Tax Bill Summary'!$A297, 'GE16FEB14 Tax Bill Unfudged'!J$2:J$498)</f>
        <v>108485</v>
      </c>
      <c r="AC297" s="56">
        <f t="shared" si="199"/>
        <v>196255</v>
      </c>
      <c r="AD297" s="51">
        <f t="shared" si="200"/>
        <v>881714</v>
      </c>
      <c r="AE297" s="13">
        <f t="shared" si="201"/>
        <v>462897</v>
      </c>
      <c r="AF297" s="56">
        <f t="shared" si="202"/>
        <v>418817</v>
      </c>
      <c r="AG297" s="13">
        <f t="shared" si="203"/>
        <v>867.8287401574803</v>
      </c>
      <c r="AH297" s="13">
        <f t="shared" si="204"/>
        <v>455.60728346456693</v>
      </c>
      <c r="AI297" s="16">
        <f t="shared" si="205"/>
        <v>412.22145669291336</v>
      </c>
      <c r="AJ297" s="15">
        <f t="shared" si="206"/>
        <v>7159</v>
      </c>
      <c r="AK297" s="13">
        <f t="shared" si="207"/>
        <v>4398</v>
      </c>
      <c r="AL297" s="56">
        <f t="shared" si="208"/>
        <v>2761</v>
      </c>
      <c r="AM297" s="51">
        <f t="shared" si="209"/>
        <v>430699</v>
      </c>
      <c r="AN297" s="13">
        <f t="shared" si="210"/>
        <v>264561</v>
      </c>
      <c r="AO297" s="56">
        <f t="shared" si="211"/>
        <v>166138</v>
      </c>
      <c r="AP297" s="51">
        <f t="shared" si="212"/>
        <v>-156159</v>
      </c>
      <c r="AQ297" s="13">
        <f t="shared" si="213"/>
        <v>-95922</v>
      </c>
      <c r="AR297" s="56">
        <f t="shared" si="214"/>
        <v>-60237</v>
      </c>
      <c r="AS297" s="51">
        <f t="shared" si="215"/>
        <v>281699</v>
      </c>
      <c r="AT297" s="13">
        <f t="shared" si="216"/>
        <v>173037</v>
      </c>
      <c r="AU297" s="56">
        <f t="shared" si="217"/>
        <v>108662</v>
      </c>
      <c r="AV297" s="13">
        <f t="shared" si="218"/>
        <v>277.26279527559052</v>
      </c>
      <c r="AW297" s="13">
        <f t="shared" si="219"/>
        <v>170.31200787401576</v>
      </c>
      <c r="AX297" s="16">
        <f t="shared" si="220"/>
        <v>106.95078740157476</v>
      </c>
    </row>
    <row r="298" spans="1:50" ht="15" customHeight="1" x14ac:dyDescent="0.25">
      <c r="A298" s="20">
        <v>2169</v>
      </c>
      <c r="B298">
        <v>51</v>
      </c>
      <c r="C298" s="23" t="s">
        <v>412</v>
      </c>
      <c r="D298" s="23">
        <v>6</v>
      </c>
      <c r="E298" s="15">
        <f>+SUMIF('GE16FEB14 Unfudged'!$A$2:$A$498, $A298, 'GE16FEB14 Unfudged'!$D$2:$D$498)</f>
        <v>804</v>
      </c>
      <c r="F298" s="15">
        <f>+SUMIF('GE16FEB14 Unfudged'!$A$2:$A$498, 'Tax Bill Summary'!$A298, 'GE16FEB14 Unfudged'!E$2:E$498)</f>
        <v>78119</v>
      </c>
      <c r="G298" s="13">
        <f>+SUMIF('GE16FEB14 Unfudged'!$A$2:$A$498, 'Tax Bill Summary'!$A298, 'GE16FEB14 Unfudged'!F$2:F$498)</f>
        <v>45537</v>
      </c>
      <c r="H298" s="56">
        <f t="shared" si="188"/>
        <v>32582</v>
      </c>
      <c r="I298" s="51">
        <f>+SUMIF('GE16FEB14 Unfudged'!$A$2:$A$498, 'Tax Bill Summary'!$A298, 'GE16FEB14 Unfudged'!G$2:G$498)</f>
        <v>0</v>
      </c>
      <c r="J298" s="13">
        <f>+SUMIF('GE16FEB14 Unfudged'!$A$2:$A$498, 'Tax Bill Summary'!$A298, 'GE16FEB14 Unfudged'!H$2:H$498)</f>
        <v>0</v>
      </c>
      <c r="K298" s="56">
        <f t="shared" si="189"/>
        <v>0</v>
      </c>
      <c r="L298" s="51">
        <f>+SUMIF('GE16FEB14 Unfudged'!$A$2:$A$498, 'Tax Bill Summary'!$A298, 'GE16FEB14 Unfudged'!I$2:IF$498)</f>
        <v>1062574</v>
      </c>
      <c r="M298" s="13">
        <f>+SUMIF('GE16FEB14 Unfudged'!$A$2:$A$498, 'Tax Bill Summary'!$A298, 'GE16FEB14 Unfudged'!J$2:IG$498)</f>
        <v>748603</v>
      </c>
      <c r="N298" s="56">
        <f t="shared" si="190"/>
        <v>313971</v>
      </c>
      <c r="O298" s="51">
        <f t="shared" si="191"/>
        <v>1140693</v>
      </c>
      <c r="P298" s="13">
        <f t="shared" si="192"/>
        <v>794140</v>
      </c>
      <c r="Q298" s="56">
        <f t="shared" si="193"/>
        <v>346553</v>
      </c>
      <c r="R298" s="13">
        <f t="shared" si="194"/>
        <v>1418.7723880597016</v>
      </c>
      <c r="S298" s="13">
        <f t="shared" si="195"/>
        <v>987.7363184079602</v>
      </c>
      <c r="T298" s="16">
        <f t="shared" si="196"/>
        <v>431.03606965174129</v>
      </c>
      <c r="U298" s="15">
        <f>+SUMIF('GE16FEB14 Tax Bill Unfudged'!$A$2:$A$498, 'Tax Bill Summary'!$A298, 'GE16FEB14 Tax Bill Unfudged'!E$2:E$498)</f>
        <v>86677</v>
      </c>
      <c r="V298" s="13">
        <f>+SUMIF('GE16FEB14 Tax Bill Unfudged'!$A$2:$A$498, 'Tax Bill Summary'!$A298, 'GE16FEB14 Tax Bill Unfudged'!F$2:F$498)</f>
        <v>50525</v>
      </c>
      <c r="W298" s="56">
        <f t="shared" si="197"/>
        <v>36152</v>
      </c>
      <c r="X298" s="51">
        <f>+SUMIF('GE16FEB14 Tax Bill Unfudged'!$A$2:$A$498, 'Tax Bill Summary'!$A298, 'GE16FEB14 Tax Bill Unfudged'!G$2:G$498)</f>
        <v>340896</v>
      </c>
      <c r="Y298" s="13">
        <f>+SUMIF('GE16FEB14 Tax Bill Unfudged'!$A$2:$A$498, 'Tax Bill Summary'!$A298, 'GE16FEB14 Tax Bill Unfudged'!H$2:H$498)</f>
        <v>198713</v>
      </c>
      <c r="Z298" s="56">
        <f t="shared" si="198"/>
        <v>142183</v>
      </c>
      <c r="AA298" s="51">
        <f>+SUMIF('GE16FEB14 Tax Bill Unfudged'!$A$2:$A$498, 'Tax Bill Summary'!$A298, 'GE16FEB14 Tax Bill Unfudged'!I$2:I$498)</f>
        <v>721678</v>
      </c>
      <c r="AB298" s="13">
        <f>+SUMIF('GE16FEB14 Tax Bill Unfudged'!$A$2:$A$498, 'Tax Bill Summary'!$A298, 'GE16FEB14 Tax Bill Unfudged'!J$2:J$498)</f>
        <v>407707</v>
      </c>
      <c r="AC298" s="56">
        <f t="shared" si="199"/>
        <v>313971</v>
      </c>
      <c r="AD298" s="51">
        <f t="shared" si="200"/>
        <v>1149251</v>
      </c>
      <c r="AE298" s="13">
        <f t="shared" si="201"/>
        <v>656945</v>
      </c>
      <c r="AF298" s="56">
        <f t="shared" si="202"/>
        <v>492306</v>
      </c>
      <c r="AG298" s="13">
        <f t="shared" si="203"/>
        <v>1429.4166666666667</v>
      </c>
      <c r="AH298" s="13">
        <f t="shared" si="204"/>
        <v>817.09577114427861</v>
      </c>
      <c r="AI298" s="16">
        <f t="shared" si="205"/>
        <v>612.32089552238801</v>
      </c>
      <c r="AJ298" s="15">
        <f t="shared" si="206"/>
        <v>8558</v>
      </c>
      <c r="AK298" s="13">
        <f t="shared" si="207"/>
        <v>4988</v>
      </c>
      <c r="AL298" s="56">
        <f t="shared" si="208"/>
        <v>3570</v>
      </c>
      <c r="AM298" s="51">
        <f t="shared" si="209"/>
        <v>340896</v>
      </c>
      <c r="AN298" s="13">
        <f t="shared" si="210"/>
        <v>198713</v>
      </c>
      <c r="AO298" s="56">
        <f t="shared" si="211"/>
        <v>142183</v>
      </c>
      <c r="AP298" s="51">
        <f t="shared" si="212"/>
        <v>-340896</v>
      </c>
      <c r="AQ298" s="13">
        <f t="shared" si="213"/>
        <v>-340896</v>
      </c>
      <c r="AR298" s="56">
        <f t="shared" si="214"/>
        <v>0</v>
      </c>
      <c r="AS298" s="51">
        <f t="shared" si="215"/>
        <v>8558</v>
      </c>
      <c r="AT298" s="13">
        <f t="shared" si="216"/>
        <v>-137195</v>
      </c>
      <c r="AU298" s="56">
        <f t="shared" si="217"/>
        <v>145753</v>
      </c>
      <c r="AV298" s="13">
        <f t="shared" si="218"/>
        <v>10.644278606965145</v>
      </c>
      <c r="AW298" s="13">
        <f t="shared" si="219"/>
        <v>-170.64054726368158</v>
      </c>
      <c r="AX298" s="16">
        <f t="shared" si="220"/>
        <v>181.28482587064673</v>
      </c>
    </row>
    <row r="299" spans="1:50" ht="15" customHeight="1" x14ac:dyDescent="0.25">
      <c r="A299" s="20">
        <v>2170</v>
      </c>
      <c r="B299">
        <v>51</v>
      </c>
      <c r="C299" s="23" t="s">
        <v>413</v>
      </c>
      <c r="D299" s="23">
        <v>5</v>
      </c>
      <c r="E299" s="15">
        <f>+SUMIF('GE16FEB14 Unfudged'!$A$2:$A$498, $A299, 'GE16FEB14 Unfudged'!$D$2:$D$498)</f>
        <v>1336</v>
      </c>
      <c r="F299" s="15">
        <f>+SUMIF('GE16FEB14 Unfudged'!$A$2:$A$498, 'Tax Bill Summary'!$A299, 'GE16FEB14 Unfudged'!E$2:E$498)</f>
        <v>163043</v>
      </c>
      <c r="G299" s="13">
        <f>+SUMIF('GE16FEB14 Unfudged'!$A$2:$A$498, 'Tax Bill Summary'!$A299, 'GE16FEB14 Unfudged'!F$2:F$498)</f>
        <v>95232</v>
      </c>
      <c r="H299" s="56">
        <f t="shared" si="188"/>
        <v>67811</v>
      </c>
      <c r="I299" s="51">
        <f>+SUMIF('GE16FEB14 Unfudged'!$A$2:$A$498, 'Tax Bill Summary'!$A299, 'GE16FEB14 Unfudged'!G$2:G$498)</f>
        <v>0</v>
      </c>
      <c r="J299" s="13">
        <f>+SUMIF('GE16FEB14 Unfudged'!$A$2:$A$498, 'Tax Bill Summary'!$A299, 'GE16FEB14 Unfudged'!H$2:H$498)</f>
        <v>0</v>
      </c>
      <c r="K299" s="56">
        <f t="shared" si="189"/>
        <v>0</v>
      </c>
      <c r="L299" s="51">
        <f>+SUMIF('GE16FEB14 Unfudged'!$A$2:$A$498, 'Tax Bill Summary'!$A299, 'GE16FEB14 Unfudged'!I$2:IF$498)</f>
        <v>1040107</v>
      </c>
      <c r="M299" s="13">
        <f>+SUMIF('GE16FEB14 Unfudged'!$A$2:$A$498, 'Tax Bill Summary'!$A299, 'GE16FEB14 Unfudged'!J$2:IG$498)</f>
        <v>519456</v>
      </c>
      <c r="N299" s="56">
        <f t="shared" si="190"/>
        <v>520651</v>
      </c>
      <c r="O299" s="51">
        <f t="shared" si="191"/>
        <v>1203150</v>
      </c>
      <c r="P299" s="13">
        <f t="shared" si="192"/>
        <v>614688</v>
      </c>
      <c r="Q299" s="56">
        <f t="shared" si="193"/>
        <v>588462</v>
      </c>
      <c r="R299" s="13">
        <f t="shared" si="194"/>
        <v>900.56137724550899</v>
      </c>
      <c r="S299" s="13">
        <f t="shared" si="195"/>
        <v>460.09580838323353</v>
      </c>
      <c r="T299" s="16">
        <f t="shared" si="196"/>
        <v>440.46556886227546</v>
      </c>
      <c r="U299" s="15">
        <f>+SUMIF('GE16FEB14 Tax Bill Unfudged'!$A$2:$A$498, 'Tax Bill Summary'!$A299, 'GE16FEB14 Tax Bill Unfudged'!E$2:E$498)</f>
        <v>187935</v>
      </c>
      <c r="V299" s="13">
        <f>+SUMIF('GE16FEB14 Tax Bill Unfudged'!$A$2:$A$498, 'Tax Bill Summary'!$A299, 'GE16FEB14 Tax Bill Unfudged'!F$2:F$498)</f>
        <v>109771</v>
      </c>
      <c r="W299" s="56">
        <f t="shared" si="197"/>
        <v>78164</v>
      </c>
      <c r="X299" s="51">
        <f>+SUMIF('GE16FEB14 Tax Bill Unfudged'!$A$2:$A$498, 'Tax Bill Summary'!$A299, 'GE16FEB14 Tax Bill Unfudged'!G$2:G$498)</f>
        <v>566379</v>
      </c>
      <c r="Y299" s="13">
        <f>+SUMIF('GE16FEB14 Tax Bill Unfudged'!$A$2:$A$498, 'Tax Bill Summary'!$A299, 'GE16FEB14 Tax Bill Unfudged'!H$2:H$498)</f>
        <v>330816</v>
      </c>
      <c r="Z299" s="56">
        <f t="shared" si="198"/>
        <v>235563</v>
      </c>
      <c r="AA299" s="51">
        <f>+SUMIF('GE16FEB14 Tax Bill Unfudged'!$A$2:$A$498, 'Tax Bill Summary'!$A299, 'GE16FEB14 Tax Bill Unfudged'!I$2:I$498)</f>
        <v>473728</v>
      </c>
      <c r="AB299" s="13">
        <f>+SUMIF('GE16FEB14 Tax Bill Unfudged'!$A$2:$A$498, 'Tax Bill Summary'!$A299, 'GE16FEB14 Tax Bill Unfudged'!J$2:J$498)</f>
        <v>178284</v>
      </c>
      <c r="AC299" s="56">
        <f t="shared" si="199"/>
        <v>295444</v>
      </c>
      <c r="AD299" s="51">
        <f t="shared" si="200"/>
        <v>1228042</v>
      </c>
      <c r="AE299" s="13">
        <f t="shared" si="201"/>
        <v>618871</v>
      </c>
      <c r="AF299" s="56">
        <f t="shared" si="202"/>
        <v>609171</v>
      </c>
      <c r="AG299" s="13">
        <f t="shared" si="203"/>
        <v>919.19311377245504</v>
      </c>
      <c r="AH299" s="13">
        <f t="shared" si="204"/>
        <v>463.22679640718565</v>
      </c>
      <c r="AI299" s="16">
        <f t="shared" si="205"/>
        <v>455.96631736526945</v>
      </c>
      <c r="AJ299" s="15">
        <f t="shared" si="206"/>
        <v>24892</v>
      </c>
      <c r="AK299" s="13">
        <f t="shared" si="207"/>
        <v>14539</v>
      </c>
      <c r="AL299" s="56">
        <f t="shared" si="208"/>
        <v>10353</v>
      </c>
      <c r="AM299" s="51">
        <f t="shared" si="209"/>
        <v>566379</v>
      </c>
      <c r="AN299" s="13">
        <f t="shared" si="210"/>
        <v>330816</v>
      </c>
      <c r="AO299" s="56">
        <f t="shared" si="211"/>
        <v>235563</v>
      </c>
      <c r="AP299" s="51">
        <f t="shared" si="212"/>
        <v>-566379</v>
      </c>
      <c r="AQ299" s="13">
        <f t="shared" si="213"/>
        <v>-341172</v>
      </c>
      <c r="AR299" s="56">
        <f t="shared" si="214"/>
        <v>-225207</v>
      </c>
      <c r="AS299" s="51">
        <f t="shared" si="215"/>
        <v>24892</v>
      </c>
      <c r="AT299" s="13">
        <f t="shared" si="216"/>
        <v>4183</v>
      </c>
      <c r="AU299" s="56">
        <f t="shared" si="217"/>
        <v>20709</v>
      </c>
      <c r="AV299" s="13">
        <f t="shared" si="218"/>
        <v>18.631736526946042</v>
      </c>
      <c r="AW299" s="13">
        <f t="shared" si="219"/>
        <v>3.1309880239521135</v>
      </c>
      <c r="AX299" s="16">
        <f t="shared" si="220"/>
        <v>15.500748502993986</v>
      </c>
    </row>
    <row r="300" spans="1:50" ht="15" customHeight="1" x14ac:dyDescent="0.25">
      <c r="A300" s="20">
        <v>2171</v>
      </c>
      <c r="B300">
        <v>83</v>
      </c>
      <c r="C300" s="23" t="s">
        <v>414</v>
      </c>
      <c r="D300" s="23">
        <v>6</v>
      </c>
      <c r="E300" s="15">
        <f>+SUMIF('GE16FEB14 Unfudged'!$A$2:$A$498, $A300, 'GE16FEB14 Unfudged'!$D$2:$D$498)</f>
        <v>261</v>
      </c>
      <c r="F300" s="15">
        <f>+SUMIF('GE16FEB14 Unfudged'!$A$2:$A$498, 'Tax Bill Summary'!$A300, 'GE16FEB14 Unfudged'!E$2:E$498)</f>
        <v>13030</v>
      </c>
      <c r="G300" s="13">
        <f>+SUMIF('GE16FEB14 Unfudged'!$A$2:$A$498, 'Tax Bill Summary'!$A300, 'GE16FEB14 Unfudged'!F$2:F$498)</f>
        <v>13030</v>
      </c>
      <c r="H300" s="56">
        <f t="shared" si="188"/>
        <v>0</v>
      </c>
      <c r="I300" s="51">
        <f>+SUMIF('GE16FEB14 Unfudged'!$A$2:$A$498, 'Tax Bill Summary'!$A300, 'GE16FEB14 Unfudged'!G$2:G$498)</f>
        <v>0</v>
      </c>
      <c r="J300" s="13">
        <f>+SUMIF('GE16FEB14 Unfudged'!$A$2:$A$498, 'Tax Bill Summary'!$A300, 'GE16FEB14 Unfudged'!H$2:H$498)</f>
        <v>0</v>
      </c>
      <c r="K300" s="56">
        <f t="shared" si="189"/>
        <v>0</v>
      </c>
      <c r="L300" s="51">
        <f>+SUMIF('GE16FEB14 Unfudged'!$A$2:$A$498, 'Tax Bill Summary'!$A300, 'GE16FEB14 Unfudged'!I$2:IF$498)</f>
        <v>711618</v>
      </c>
      <c r="M300" s="13">
        <f>+SUMIF('GE16FEB14 Unfudged'!$A$2:$A$498, 'Tax Bill Summary'!$A300, 'GE16FEB14 Unfudged'!J$2:IG$498)</f>
        <v>274802</v>
      </c>
      <c r="N300" s="56">
        <f t="shared" si="190"/>
        <v>436816</v>
      </c>
      <c r="O300" s="51">
        <f t="shared" si="191"/>
        <v>724648</v>
      </c>
      <c r="P300" s="13">
        <f t="shared" si="192"/>
        <v>287832</v>
      </c>
      <c r="Q300" s="56">
        <f t="shared" si="193"/>
        <v>436816</v>
      </c>
      <c r="R300" s="13">
        <f t="shared" si="194"/>
        <v>2776.4291187739464</v>
      </c>
      <c r="S300" s="13">
        <f t="shared" si="195"/>
        <v>1102.8045977011495</v>
      </c>
      <c r="T300" s="16">
        <f t="shared" si="196"/>
        <v>1673.6245210727968</v>
      </c>
      <c r="U300" s="15">
        <f>+SUMIF('GE16FEB14 Tax Bill Unfudged'!$A$2:$A$498, 'Tax Bill Summary'!$A300, 'GE16FEB14 Tax Bill Unfudged'!E$2:E$498)</f>
        <v>13030</v>
      </c>
      <c r="V300" s="13">
        <f>+SUMIF('GE16FEB14 Tax Bill Unfudged'!$A$2:$A$498, 'Tax Bill Summary'!$A300, 'GE16FEB14 Tax Bill Unfudged'!F$2:F$498)</f>
        <v>13030</v>
      </c>
      <c r="W300" s="56">
        <f t="shared" si="197"/>
        <v>0</v>
      </c>
      <c r="X300" s="51">
        <f>+SUMIF('GE16FEB14 Tax Bill Unfudged'!$A$2:$A$498, 'Tax Bill Summary'!$A300, 'GE16FEB14 Tax Bill Unfudged'!G$2:G$498)</f>
        <v>110494</v>
      </c>
      <c r="Y300" s="13">
        <f>+SUMIF('GE16FEB14 Tax Bill Unfudged'!$A$2:$A$498, 'Tax Bill Summary'!$A300, 'GE16FEB14 Tax Bill Unfudged'!H$2:H$498)</f>
        <v>110494</v>
      </c>
      <c r="Z300" s="56">
        <f t="shared" si="198"/>
        <v>0</v>
      </c>
      <c r="AA300" s="51">
        <f>+SUMIF('GE16FEB14 Tax Bill Unfudged'!$A$2:$A$498, 'Tax Bill Summary'!$A300, 'GE16FEB14 Tax Bill Unfudged'!I$2:I$498)</f>
        <v>601123</v>
      </c>
      <c r="AB300" s="13">
        <f>+SUMIF('GE16FEB14 Tax Bill Unfudged'!$A$2:$A$498, 'Tax Bill Summary'!$A300, 'GE16FEB14 Tax Bill Unfudged'!J$2:J$498)</f>
        <v>169248</v>
      </c>
      <c r="AC300" s="56">
        <f t="shared" si="199"/>
        <v>431875</v>
      </c>
      <c r="AD300" s="51">
        <f t="shared" si="200"/>
        <v>724647</v>
      </c>
      <c r="AE300" s="13">
        <f t="shared" si="201"/>
        <v>292772</v>
      </c>
      <c r="AF300" s="56">
        <f t="shared" si="202"/>
        <v>431875</v>
      </c>
      <c r="AG300" s="13">
        <f t="shared" si="203"/>
        <v>2776.4252873563219</v>
      </c>
      <c r="AH300" s="13">
        <f t="shared" si="204"/>
        <v>1121.7318007662834</v>
      </c>
      <c r="AI300" s="16">
        <f t="shared" si="205"/>
        <v>1654.6934865900382</v>
      </c>
      <c r="AJ300" s="15">
        <f t="shared" si="206"/>
        <v>0</v>
      </c>
      <c r="AK300" s="13">
        <f t="shared" si="207"/>
        <v>0</v>
      </c>
      <c r="AL300" s="56">
        <f t="shared" si="208"/>
        <v>0</v>
      </c>
      <c r="AM300" s="51">
        <f t="shared" si="209"/>
        <v>110494</v>
      </c>
      <c r="AN300" s="13">
        <f t="shared" si="210"/>
        <v>110494</v>
      </c>
      <c r="AO300" s="56">
        <f t="shared" si="211"/>
        <v>0</v>
      </c>
      <c r="AP300" s="51">
        <f t="shared" si="212"/>
        <v>-110495</v>
      </c>
      <c r="AQ300" s="13">
        <f t="shared" si="213"/>
        <v>-105554</v>
      </c>
      <c r="AR300" s="56">
        <f t="shared" si="214"/>
        <v>-4941</v>
      </c>
      <c r="AS300" s="51">
        <f t="shared" si="215"/>
        <v>-1</v>
      </c>
      <c r="AT300" s="13">
        <f t="shared" si="216"/>
        <v>4940</v>
      </c>
      <c r="AU300" s="56">
        <f t="shared" si="217"/>
        <v>-4941</v>
      </c>
      <c r="AV300" s="13">
        <f t="shared" si="218"/>
        <v>-3.8314176244966802E-3</v>
      </c>
      <c r="AW300" s="13">
        <f t="shared" si="219"/>
        <v>18.927203065133881</v>
      </c>
      <c r="AX300" s="16">
        <f t="shared" si="220"/>
        <v>-18.931034482758605</v>
      </c>
    </row>
    <row r="301" spans="1:50" ht="15" customHeight="1" x14ac:dyDescent="0.25">
      <c r="A301" s="20">
        <v>2172</v>
      </c>
      <c r="B301">
        <v>52</v>
      </c>
      <c r="C301" s="23" t="s">
        <v>415</v>
      </c>
      <c r="D301" s="23">
        <v>6</v>
      </c>
      <c r="E301" s="15">
        <f>+SUMIF('GE16FEB14 Unfudged'!$A$2:$A$498, $A301, 'GE16FEB14 Unfudged'!$D$2:$D$498)</f>
        <v>844</v>
      </c>
      <c r="F301" s="15">
        <f>+SUMIF('GE16FEB14 Unfudged'!$A$2:$A$498, 'Tax Bill Summary'!$A301, 'GE16FEB14 Unfudged'!E$2:E$498)</f>
        <v>92661</v>
      </c>
      <c r="G301" s="13">
        <f>+SUMIF('GE16FEB14 Unfudged'!$A$2:$A$498, 'Tax Bill Summary'!$A301, 'GE16FEB14 Unfudged'!F$2:F$498)</f>
        <v>64203</v>
      </c>
      <c r="H301" s="56">
        <f t="shared" si="188"/>
        <v>28458</v>
      </c>
      <c r="I301" s="51">
        <f>+SUMIF('GE16FEB14 Unfudged'!$A$2:$A$498, 'Tax Bill Summary'!$A301, 'GE16FEB14 Unfudged'!G$2:G$498)</f>
        <v>0</v>
      </c>
      <c r="J301" s="13">
        <f>+SUMIF('GE16FEB14 Unfudged'!$A$2:$A$498, 'Tax Bill Summary'!$A301, 'GE16FEB14 Unfudged'!H$2:H$498)</f>
        <v>0</v>
      </c>
      <c r="K301" s="56">
        <f t="shared" si="189"/>
        <v>0</v>
      </c>
      <c r="L301" s="51">
        <f>+SUMIF('GE16FEB14 Unfudged'!$A$2:$A$498, 'Tax Bill Summary'!$A301, 'GE16FEB14 Unfudged'!I$2:IF$498)</f>
        <v>881655</v>
      </c>
      <c r="M301" s="13">
        <f>+SUMIF('GE16FEB14 Unfudged'!$A$2:$A$498, 'Tax Bill Summary'!$A301, 'GE16FEB14 Unfudged'!J$2:IG$498)</f>
        <v>611018</v>
      </c>
      <c r="N301" s="56">
        <f t="shared" si="190"/>
        <v>270637</v>
      </c>
      <c r="O301" s="51">
        <f t="shared" si="191"/>
        <v>974316</v>
      </c>
      <c r="P301" s="13">
        <f t="shared" si="192"/>
        <v>675221</v>
      </c>
      <c r="Q301" s="56">
        <f t="shared" si="193"/>
        <v>299095</v>
      </c>
      <c r="R301" s="13">
        <f t="shared" si="194"/>
        <v>1154.4028436018957</v>
      </c>
      <c r="S301" s="13">
        <f t="shared" si="195"/>
        <v>800.0248815165877</v>
      </c>
      <c r="T301" s="16">
        <f t="shared" si="196"/>
        <v>354.37796208530807</v>
      </c>
      <c r="U301" s="15">
        <f>+SUMIF('GE16FEB14 Tax Bill Unfudged'!$A$2:$A$498, 'Tax Bill Summary'!$A301, 'GE16FEB14 Tax Bill Unfudged'!E$2:E$498)</f>
        <v>105073</v>
      </c>
      <c r="V301" s="13">
        <f>+SUMIF('GE16FEB14 Tax Bill Unfudged'!$A$2:$A$498, 'Tax Bill Summary'!$A301, 'GE16FEB14 Tax Bill Unfudged'!F$2:F$498)</f>
        <v>72802</v>
      </c>
      <c r="W301" s="56">
        <f t="shared" si="197"/>
        <v>32271</v>
      </c>
      <c r="X301" s="51">
        <f>+SUMIF('GE16FEB14 Tax Bill Unfudged'!$A$2:$A$498, 'Tax Bill Summary'!$A301, 'GE16FEB14 Tax Bill Unfudged'!G$2:G$498)</f>
        <v>357686</v>
      </c>
      <c r="Y301" s="13">
        <f>+SUMIF('GE16FEB14 Tax Bill Unfudged'!$A$2:$A$498, 'Tax Bill Summary'!$A301, 'GE16FEB14 Tax Bill Unfudged'!H$2:H$498)</f>
        <v>247832</v>
      </c>
      <c r="Z301" s="56">
        <f t="shared" si="198"/>
        <v>109854</v>
      </c>
      <c r="AA301" s="51">
        <f>+SUMIF('GE16FEB14 Tax Bill Unfudged'!$A$2:$A$498, 'Tax Bill Summary'!$A301, 'GE16FEB14 Tax Bill Unfudged'!I$2:I$498)</f>
        <v>523968</v>
      </c>
      <c r="AB301" s="13">
        <f>+SUMIF('GE16FEB14 Tax Bill Unfudged'!$A$2:$A$498, 'Tax Bill Summary'!$A301, 'GE16FEB14 Tax Bill Unfudged'!J$2:J$498)</f>
        <v>289317</v>
      </c>
      <c r="AC301" s="56">
        <f t="shared" si="199"/>
        <v>234651</v>
      </c>
      <c r="AD301" s="51">
        <f t="shared" si="200"/>
        <v>986727</v>
      </c>
      <c r="AE301" s="13">
        <f t="shared" si="201"/>
        <v>609951</v>
      </c>
      <c r="AF301" s="56">
        <f t="shared" si="202"/>
        <v>376776</v>
      </c>
      <c r="AG301" s="13">
        <f t="shared" si="203"/>
        <v>1169.1078199052133</v>
      </c>
      <c r="AH301" s="13">
        <f t="shared" si="204"/>
        <v>722.69075829383883</v>
      </c>
      <c r="AI301" s="16">
        <f t="shared" si="205"/>
        <v>446.41706161137444</v>
      </c>
      <c r="AJ301" s="15">
        <f t="shared" si="206"/>
        <v>12412</v>
      </c>
      <c r="AK301" s="13">
        <f t="shared" si="207"/>
        <v>8599</v>
      </c>
      <c r="AL301" s="56">
        <f t="shared" si="208"/>
        <v>3813</v>
      </c>
      <c r="AM301" s="51">
        <f t="shared" si="209"/>
        <v>357686</v>
      </c>
      <c r="AN301" s="13">
        <f t="shared" si="210"/>
        <v>247832</v>
      </c>
      <c r="AO301" s="56">
        <f t="shared" si="211"/>
        <v>109854</v>
      </c>
      <c r="AP301" s="51">
        <f t="shared" si="212"/>
        <v>-357687</v>
      </c>
      <c r="AQ301" s="13">
        <f t="shared" si="213"/>
        <v>-321701</v>
      </c>
      <c r="AR301" s="56">
        <f t="shared" si="214"/>
        <v>-35986</v>
      </c>
      <c r="AS301" s="51">
        <f t="shared" si="215"/>
        <v>12411</v>
      </c>
      <c r="AT301" s="13">
        <f t="shared" si="216"/>
        <v>-65270</v>
      </c>
      <c r="AU301" s="56">
        <f t="shared" si="217"/>
        <v>77681</v>
      </c>
      <c r="AV301" s="13">
        <f t="shared" si="218"/>
        <v>14.704976303317608</v>
      </c>
      <c r="AW301" s="13">
        <f t="shared" si="219"/>
        <v>-77.334123222748872</v>
      </c>
      <c r="AX301" s="16">
        <f t="shared" si="220"/>
        <v>92.039099526066366</v>
      </c>
    </row>
    <row r="302" spans="1:50" ht="15" customHeight="1" x14ac:dyDescent="0.25">
      <c r="A302" s="20">
        <v>2174</v>
      </c>
      <c r="B302">
        <v>52</v>
      </c>
      <c r="C302" s="23" t="s">
        <v>416</v>
      </c>
      <c r="D302" s="23">
        <v>6</v>
      </c>
      <c r="E302" s="15">
        <f>+SUMIF('GE16FEB14 Unfudged'!$A$2:$A$498, $A302, 'GE16FEB14 Unfudged'!$D$2:$D$498)</f>
        <v>965</v>
      </c>
      <c r="F302" s="15">
        <f>+SUMIF('GE16FEB14 Unfudged'!$A$2:$A$498, 'Tax Bill Summary'!$A302, 'GE16FEB14 Unfudged'!E$2:E$498)</f>
        <v>138902</v>
      </c>
      <c r="G302" s="13">
        <f>+SUMIF('GE16FEB14 Unfudged'!$A$2:$A$498, 'Tax Bill Summary'!$A302, 'GE16FEB14 Unfudged'!F$2:F$498)</f>
        <v>138902</v>
      </c>
      <c r="H302" s="56">
        <f t="shared" si="188"/>
        <v>0</v>
      </c>
      <c r="I302" s="51">
        <f>+SUMIF('GE16FEB14 Unfudged'!$A$2:$A$498, 'Tax Bill Summary'!$A302, 'GE16FEB14 Unfudged'!G$2:G$498)</f>
        <v>0</v>
      </c>
      <c r="J302" s="13">
        <f>+SUMIF('GE16FEB14 Unfudged'!$A$2:$A$498, 'Tax Bill Summary'!$A302, 'GE16FEB14 Unfudged'!H$2:H$498)</f>
        <v>0</v>
      </c>
      <c r="K302" s="56">
        <f t="shared" si="189"/>
        <v>0</v>
      </c>
      <c r="L302" s="51">
        <f>+SUMIF('GE16FEB14 Unfudged'!$A$2:$A$498, 'Tax Bill Summary'!$A302, 'GE16FEB14 Unfudged'!I$2:IF$498)</f>
        <v>289380</v>
      </c>
      <c r="M302" s="13">
        <f>+SUMIF('GE16FEB14 Unfudged'!$A$2:$A$498, 'Tax Bill Summary'!$A302, 'GE16FEB14 Unfudged'!J$2:IG$498)</f>
        <v>175366</v>
      </c>
      <c r="N302" s="56">
        <f t="shared" si="190"/>
        <v>114014</v>
      </c>
      <c r="O302" s="51">
        <f t="shared" si="191"/>
        <v>428282</v>
      </c>
      <c r="P302" s="13">
        <f t="shared" si="192"/>
        <v>314268</v>
      </c>
      <c r="Q302" s="56">
        <f t="shared" si="193"/>
        <v>114014</v>
      </c>
      <c r="R302" s="13">
        <f t="shared" si="194"/>
        <v>443.81554404145078</v>
      </c>
      <c r="S302" s="13">
        <f t="shared" si="195"/>
        <v>325.66632124352333</v>
      </c>
      <c r="T302" s="16">
        <f t="shared" si="196"/>
        <v>118.14922279792746</v>
      </c>
      <c r="U302" s="15">
        <f>+SUMIF('GE16FEB14 Tax Bill Unfudged'!$A$2:$A$498, 'Tax Bill Summary'!$A302, 'GE16FEB14 Tax Bill Unfudged'!E$2:E$498)</f>
        <v>138902</v>
      </c>
      <c r="V302" s="13">
        <f>+SUMIF('GE16FEB14 Tax Bill Unfudged'!$A$2:$A$498, 'Tax Bill Summary'!$A302, 'GE16FEB14 Tax Bill Unfudged'!F$2:F$498)</f>
        <v>138902</v>
      </c>
      <c r="W302" s="56">
        <f t="shared" si="197"/>
        <v>0</v>
      </c>
      <c r="X302" s="51">
        <f>+SUMIF('GE16FEB14 Tax Bill Unfudged'!$A$2:$A$498, 'Tax Bill Summary'!$A302, 'GE16FEB14 Tax Bill Unfudged'!G$2:G$498)</f>
        <v>408990</v>
      </c>
      <c r="Y302" s="13">
        <f>+SUMIF('GE16FEB14 Tax Bill Unfudged'!$A$2:$A$498, 'Tax Bill Summary'!$A302, 'GE16FEB14 Tax Bill Unfudged'!H$2:H$498)</f>
        <v>408990</v>
      </c>
      <c r="Z302" s="56">
        <f t="shared" si="198"/>
        <v>0</v>
      </c>
      <c r="AA302" s="51">
        <f>+SUMIF('GE16FEB14 Tax Bill Unfudged'!$A$2:$A$498, 'Tax Bill Summary'!$A302, 'GE16FEB14 Tax Bill Unfudged'!I$2:I$498)</f>
        <v>289380</v>
      </c>
      <c r="AB302" s="13">
        <f>+SUMIF('GE16FEB14 Tax Bill Unfudged'!$A$2:$A$498, 'Tax Bill Summary'!$A302, 'GE16FEB14 Tax Bill Unfudged'!J$2:J$498)</f>
        <v>175366</v>
      </c>
      <c r="AC302" s="56">
        <f t="shared" si="199"/>
        <v>114014</v>
      </c>
      <c r="AD302" s="51">
        <f t="shared" si="200"/>
        <v>837272</v>
      </c>
      <c r="AE302" s="13">
        <f t="shared" si="201"/>
        <v>723258</v>
      </c>
      <c r="AF302" s="56">
        <f t="shared" si="202"/>
        <v>114014</v>
      </c>
      <c r="AG302" s="13">
        <f t="shared" si="203"/>
        <v>867.63937823834192</v>
      </c>
      <c r="AH302" s="13">
        <f t="shared" si="204"/>
        <v>749.49015544041447</v>
      </c>
      <c r="AI302" s="16">
        <f t="shared" si="205"/>
        <v>118.14922279792746</v>
      </c>
      <c r="AJ302" s="15">
        <f t="shared" si="206"/>
        <v>0</v>
      </c>
      <c r="AK302" s="13">
        <f t="shared" si="207"/>
        <v>0</v>
      </c>
      <c r="AL302" s="56">
        <f t="shared" si="208"/>
        <v>0</v>
      </c>
      <c r="AM302" s="51">
        <f t="shared" si="209"/>
        <v>408990</v>
      </c>
      <c r="AN302" s="13">
        <f t="shared" si="210"/>
        <v>408990</v>
      </c>
      <c r="AO302" s="56">
        <f t="shared" si="211"/>
        <v>0</v>
      </c>
      <c r="AP302" s="51">
        <f t="shared" si="212"/>
        <v>0</v>
      </c>
      <c r="AQ302" s="13">
        <f t="shared" si="213"/>
        <v>0</v>
      </c>
      <c r="AR302" s="56">
        <f t="shared" si="214"/>
        <v>0</v>
      </c>
      <c r="AS302" s="51">
        <f t="shared" si="215"/>
        <v>408990</v>
      </c>
      <c r="AT302" s="13">
        <f t="shared" si="216"/>
        <v>408990</v>
      </c>
      <c r="AU302" s="56">
        <f t="shared" si="217"/>
        <v>0</v>
      </c>
      <c r="AV302" s="13">
        <f t="shared" si="218"/>
        <v>423.82383419689114</v>
      </c>
      <c r="AW302" s="13">
        <f t="shared" si="219"/>
        <v>423.82383419689114</v>
      </c>
      <c r="AX302" s="16">
        <f t="shared" si="220"/>
        <v>0</v>
      </c>
    </row>
    <row r="303" spans="1:50" ht="15" customHeight="1" x14ac:dyDescent="0.25">
      <c r="A303" s="20">
        <v>2176</v>
      </c>
      <c r="B303">
        <v>70</v>
      </c>
      <c r="C303" s="23" t="s">
        <v>417</v>
      </c>
      <c r="D303" s="23">
        <v>6</v>
      </c>
      <c r="E303" s="15">
        <f>+SUMIF('GE16FEB14 Unfudged'!$A$2:$A$498, $A303, 'GE16FEB14 Unfudged'!$D$2:$D$498)</f>
        <v>457</v>
      </c>
      <c r="F303" s="15">
        <f>+SUMIF('GE16FEB14 Unfudged'!$A$2:$A$498, 'Tax Bill Summary'!$A303, 'GE16FEB14 Unfudged'!E$2:E$498)</f>
        <v>33418</v>
      </c>
      <c r="G303" s="13">
        <f>+SUMIF('GE16FEB14 Unfudged'!$A$2:$A$498, 'Tax Bill Summary'!$A303, 'GE16FEB14 Unfudged'!F$2:F$498)</f>
        <v>18989</v>
      </c>
      <c r="H303" s="56">
        <f t="shared" si="188"/>
        <v>14429</v>
      </c>
      <c r="I303" s="51">
        <f>+SUMIF('GE16FEB14 Unfudged'!$A$2:$A$498, 'Tax Bill Summary'!$A303, 'GE16FEB14 Unfudged'!G$2:G$498)</f>
        <v>0</v>
      </c>
      <c r="J303" s="13">
        <f>+SUMIF('GE16FEB14 Unfudged'!$A$2:$A$498, 'Tax Bill Summary'!$A303, 'GE16FEB14 Unfudged'!H$2:H$498)</f>
        <v>0</v>
      </c>
      <c r="K303" s="56">
        <f t="shared" si="189"/>
        <v>0</v>
      </c>
      <c r="L303" s="51">
        <f>+SUMIF('GE16FEB14 Unfudged'!$A$2:$A$498, 'Tax Bill Summary'!$A303, 'GE16FEB14 Unfudged'!I$2:IF$498)</f>
        <v>844293</v>
      </c>
      <c r="M303" s="13">
        <f>+SUMIF('GE16FEB14 Unfudged'!$A$2:$A$498, 'Tax Bill Summary'!$A303, 'GE16FEB14 Unfudged'!J$2:IG$498)</f>
        <v>479189</v>
      </c>
      <c r="N303" s="56">
        <f t="shared" si="190"/>
        <v>365104</v>
      </c>
      <c r="O303" s="51">
        <f t="shared" si="191"/>
        <v>877711</v>
      </c>
      <c r="P303" s="13">
        <f t="shared" si="192"/>
        <v>498178</v>
      </c>
      <c r="Q303" s="56">
        <f t="shared" si="193"/>
        <v>379533</v>
      </c>
      <c r="R303" s="13">
        <f t="shared" si="194"/>
        <v>1920.5929978118163</v>
      </c>
      <c r="S303" s="13">
        <f t="shared" si="195"/>
        <v>1090.105032822757</v>
      </c>
      <c r="T303" s="16">
        <f t="shared" si="196"/>
        <v>830.48796498905904</v>
      </c>
      <c r="U303" s="15">
        <f>+SUMIF('GE16FEB14 Tax Bill Unfudged'!$A$2:$A$498, 'Tax Bill Summary'!$A303, 'GE16FEB14 Tax Bill Unfudged'!E$2:E$498)</f>
        <v>34752</v>
      </c>
      <c r="V303" s="13">
        <f>+SUMIF('GE16FEB14 Tax Bill Unfudged'!$A$2:$A$498, 'Tax Bill Summary'!$A303, 'GE16FEB14 Tax Bill Unfudged'!F$2:F$498)</f>
        <v>19747</v>
      </c>
      <c r="W303" s="56">
        <f t="shared" si="197"/>
        <v>15005</v>
      </c>
      <c r="X303" s="51">
        <f>+SUMIF('GE16FEB14 Tax Bill Unfudged'!$A$2:$A$498, 'Tax Bill Summary'!$A303, 'GE16FEB14 Tax Bill Unfudged'!G$2:G$498)</f>
        <v>193853</v>
      </c>
      <c r="Y303" s="13">
        <f>+SUMIF('GE16FEB14 Tax Bill Unfudged'!$A$2:$A$498, 'Tax Bill Summary'!$A303, 'GE16FEB14 Tax Bill Unfudged'!H$2:H$498)</f>
        <v>110152</v>
      </c>
      <c r="Z303" s="56">
        <f t="shared" si="198"/>
        <v>83701</v>
      </c>
      <c r="AA303" s="51">
        <f>+SUMIF('GE16FEB14 Tax Bill Unfudged'!$A$2:$A$498, 'Tax Bill Summary'!$A303, 'GE16FEB14 Tax Bill Unfudged'!I$2:I$498)</f>
        <v>650440</v>
      </c>
      <c r="AB303" s="13">
        <f>+SUMIF('GE16FEB14 Tax Bill Unfudged'!$A$2:$A$498, 'Tax Bill Summary'!$A303, 'GE16FEB14 Tax Bill Unfudged'!J$2:J$498)</f>
        <v>285336</v>
      </c>
      <c r="AC303" s="56">
        <f t="shared" si="199"/>
        <v>365104</v>
      </c>
      <c r="AD303" s="51">
        <f t="shared" si="200"/>
        <v>879045</v>
      </c>
      <c r="AE303" s="13">
        <f t="shared" si="201"/>
        <v>415235</v>
      </c>
      <c r="AF303" s="56">
        <f t="shared" si="202"/>
        <v>463810</v>
      </c>
      <c r="AG303" s="13">
        <f t="shared" si="203"/>
        <v>1923.512035010941</v>
      </c>
      <c r="AH303" s="13">
        <f t="shared" si="204"/>
        <v>908.61050328227566</v>
      </c>
      <c r="AI303" s="16">
        <f t="shared" si="205"/>
        <v>1014.9015317286652</v>
      </c>
      <c r="AJ303" s="15">
        <f t="shared" si="206"/>
        <v>1334</v>
      </c>
      <c r="AK303" s="13">
        <f t="shared" si="207"/>
        <v>758</v>
      </c>
      <c r="AL303" s="56">
        <f t="shared" si="208"/>
        <v>576</v>
      </c>
      <c r="AM303" s="51">
        <f t="shared" si="209"/>
        <v>193853</v>
      </c>
      <c r="AN303" s="13">
        <f t="shared" si="210"/>
        <v>110152</v>
      </c>
      <c r="AO303" s="56">
        <f t="shared" si="211"/>
        <v>83701</v>
      </c>
      <c r="AP303" s="51">
        <f t="shared" si="212"/>
        <v>-193853</v>
      </c>
      <c r="AQ303" s="13">
        <f t="shared" si="213"/>
        <v>-193853</v>
      </c>
      <c r="AR303" s="56">
        <f t="shared" si="214"/>
        <v>0</v>
      </c>
      <c r="AS303" s="51">
        <f t="shared" si="215"/>
        <v>1334</v>
      </c>
      <c r="AT303" s="13">
        <f t="shared" si="216"/>
        <v>-82943</v>
      </c>
      <c r="AU303" s="56">
        <f t="shared" si="217"/>
        <v>84277</v>
      </c>
      <c r="AV303" s="13">
        <f t="shared" si="218"/>
        <v>2.9190371991246593</v>
      </c>
      <c r="AW303" s="13">
        <f t="shared" si="219"/>
        <v>-181.49452954048138</v>
      </c>
      <c r="AX303" s="16">
        <f t="shared" si="220"/>
        <v>184.41356673960615</v>
      </c>
    </row>
    <row r="304" spans="1:50" ht="15" customHeight="1" x14ac:dyDescent="0.25">
      <c r="A304" s="20">
        <v>2180</v>
      </c>
      <c r="B304">
        <v>60</v>
      </c>
      <c r="C304" s="23" t="s">
        <v>418</v>
      </c>
      <c r="D304" s="23">
        <v>6</v>
      </c>
      <c r="E304" s="15">
        <f>+SUMIF('GE16FEB14 Unfudged'!$A$2:$A$498, $A304, 'GE16FEB14 Unfudged'!$D$2:$D$498)</f>
        <v>688</v>
      </c>
      <c r="F304" s="15">
        <f>+SUMIF('GE16FEB14 Unfudged'!$A$2:$A$498, 'Tax Bill Summary'!$A304, 'GE16FEB14 Unfudged'!E$2:E$498)</f>
        <v>47906</v>
      </c>
      <c r="G304" s="13">
        <f>+SUMIF('GE16FEB14 Unfudged'!$A$2:$A$498, 'Tax Bill Summary'!$A304, 'GE16FEB14 Unfudged'!F$2:F$498)</f>
        <v>28709</v>
      </c>
      <c r="H304" s="56">
        <f t="shared" si="188"/>
        <v>19197</v>
      </c>
      <c r="I304" s="51">
        <f>+SUMIF('GE16FEB14 Unfudged'!$A$2:$A$498, 'Tax Bill Summary'!$A304, 'GE16FEB14 Unfudged'!G$2:G$498)</f>
        <v>0</v>
      </c>
      <c r="J304" s="13">
        <f>+SUMIF('GE16FEB14 Unfudged'!$A$2:$A$498, 'Tax Bill Summary'!$A304, 'GE16FEB14 Unfudged'!H$2:H$498)</f>
        <v>0</v>
      </c>
      <c r="K304" s="56">
        <f t="shared" si="189"/>
        <v>0</v>
      </c>
      <c r="L304" s="51">
        <f>+SUMIF('GE16FEB14 Unfudged'!$A$2:$A$498, 'Tax Bill Summary'!$A304, 'GE16FEB14 Unfudged'!I$2:IF$498)</f>
        <v>1323477</v>
      </c>
      <c r="M304" s="13">
        <f>+SUMIF('GE16FEB14 Unfudged'!$A$2:$A$498, 'Tax Bill Summary'!$A304, 'GE16FEB14 Unfudged'!J$2:IG$498)</f>
        <v>1061828</v>
      </c>
      <c r="N304" s="56">
        <f t="shared" si="190"/>
        <v>261649</v>
      </c>
      <c r="O304" s="51">
        <f t="shared" si="191"/>
        <v>1371383</v>
      </c>
      <c r="P304" s="13">
        <f t="shared" si="192"/>
        <v>1090537</v>
      </c>
      <c r="Q304" s="56">
        <f t="shared" si="193"/>
        <v>280846</v>
      </c>
      <c r="R304" s="13">
        <f t="shared" si="194"/>
        <v>1993.2892441860465</v>
      </c>
      <c r="S304" s="13">
        <f t="shared" si="195"/>
        <v>1585.0828488372092</v>
      </c>
      <c r="T304" s="16">
        <f t="shared" si="196"/>
        <v>408.20639534883719</v>
      </c>
      <c r="U304" s="15">
        <f>+SUMIF('GE16FEB14 Tax Bill Unfudged'!$A$2:$A$498, 'Tax Bill Summary'!$A304, 'GE16FEB14 Tax Bill Unfudged'!E$2:E$498)</f>
        <v>49143</v>
      </c>
      <c r="V304" s="13">
        <f>+SUMIF('GE16FEB14 Tax Bill Unfudged'!$A$2:$A$498, 'Tax Bill Summary'!$A304, 'GE16FEB14 Tax Bill Unfudged'!F$2:F$498)</f>
        <v>29450</v>
      </c>
      <c r="W304" s="56">
        <f t="shared" si="197"/>
        <v>19693</v>
      </c>
      <c r="X304" s="51">
        <f>+SUMIF('GE16FEB14 Tax Bill Unfudged'!$A$2:$A$498, 'Tax Bill Summary'!$A304, 'GE16FEB14 Tax Bill Unfudged'!G$2:G$498)</f>
        <v>291839</v>
      </c>
      <c r="Y304" s="13">
        <f>+SUMIF('GE16FEB14 Tax Bill Unfudged'!$A$2:$A$498, 'Tax Bill Summary'!$A304, 'GE16FEB14 Tax Bill Unfudged'!H$2:H$498)</f>
        <v>174894</v>
      </c>
      <c r="Z304" s="56">
        <f t="shared" si="198"/>
        <v>116945</v>
      </c>
      <c r="AA304" s="51">
        <f>+SUMIF('GE16FEB14 Tax Bill Unfudged'!$A$2:$A$498, 'Tax Bill Summary'!$A304, 'GE16FEB14 Tax Bill Unfudged'!I$2:I$498)</f>
        <v>1031638</v>
      </c>
      <c r="AB304" s="13">
        <f>+SUMIF('GE16FEB14 Tax Bill Unfudged'!$A$2:$A$498, 'Tax Bill Summary'!$A304, 'GE16FEB14 Tax Bill Unfudged'!J$2:J$498)</f>
        <v>769989</v>
      </c>
      <c r="AC304" s="56">
        <f t="shared" si="199"/>
        <v>261649</v>
      </c>
      <c r="AD304" s="51">
        <f t="shared" si="200"/>
        <v>1372620</v>
      </c>
      <c r="AE304" s="13">
        <f t="shared" si="201"/>
        <v>974333</v>
      </c>
      <c r="AF304" s="56">
        <f t="shared" si="202"/>
        <v>398287</v>
      </c>
      <c r="AG304" s="13">
        <f t="shared" si="203"/>
        <v>1995.0872093023256</v>
      </c>
      <c r="AH304" s="13">
        <f t="shared" si="204"/>
        <v>1416.1816860465117</v>
      </c>
      <c r="AI304" s="16">
        <f t="shared" si="205"/>
        <v>578.90552325581393</v>
      </c>
      <c r="AJ304" s="15">
        <f t="shared" si="206"/>
        <v>1237</v>
      </c>
      <c r="AK304" s="13">
        <f t="shared" si="207"/>
        <v>741</v>
      </c>
      <c r="AL304" s="56">
        <f t="shared" si="208"/>
        <v>496</v>
      </c>
      <c r="AM304" s="51">
        <f t="shared" si="209"/>
        <v>291839</v>
      </c>
      <c r="AN304" s="13">
        <f t="shared" si="210"/>
        <v>174894</v>
      </c>
      <c r="AO304" s="56">
        <f t="shared" si="211"/>
        <v>116945</v>
      </c>
      <c r="AP304" s="51">
        <f t="shared" si="212"/>
        <v>-291839</v>
      </c>
      <c r="AQ304" s="13">
        <f t="shared" si="213"/>
        <v>-291839</v>
      </c>
      <c r="AR304" s="56">
        <f t="shared" si="214"/>
        <v>0</v>
      </c>
      <c r="AS304" s="51">
        <f t="shared" si="215"/>
        <v>1237</v>
      </c>
      <c r="AT304" s="13">
        <f t="shared" si="216"/>
        <v>-116204</v>
      </c>
      <c r="AU304" s="56">
        <f t="shared" si="217"/>
        <v>117441</v>
      </c>
      <c r="AV304" s="13">
        <f t="shared" si="218"/>
        <v>1.7979651162791015</v>
      </c>
      <c r="AW304" s="13">
        <f t="shared" si="219"/>
        <v>-168.90116279069753</v>
      </c>
      <c r="AX304" s="16">
        <f t="shared" si="220"/>
        <v>170.69912790697674</v>
      </c>
    </row>
    <row r="305" spans="1:50" ht="15" customHeight="1" x14ac:dyDescent="0.25">
      <c r="A305" s="20">
        <v>2184</v>
      </c>
      <c r="B305">
        <v>60</v>
      </c>
      <c r="C305" s="23" t="s">
        <v>419</v>
      </c>
      <c r="D305" s="23">
        <v>5</v>
      </c>
      <c r="E305" s="15">
        <f>+SUMIF('GE16FEB14 Unfudged'!$A$2:$A$498, $A305, 'GE16FEB14 Unfudged'!$D$2:$D$498)</f>
        <v>1271</v>
      </c>
      <c r="F305" s="15">
        <f>+SUMIF('GE16FEB14 Unfudged'!$A$2:$A$498, 'Tax Bill Summary'!$A305, 'GE16FEB14 Unfudged'!E$2:E$498)</f>
        <v>129363</v>
      </c>
      <c r="G305" s="13">
        <f>+SUMIF('GE16FEB14 Unfudged'!$A$2:$A$498, 'Tax Bill Summary'!$A305, 'GE16FEB14 Unfudged'!F$2:F$498)</f>
        <v>66647</v>
      </c>
      <c r="H305" s="56">
        <f t="shared" si="188"/>
        <v>62716</v>
      </c>
      <c r="I305" s="51">
        <f>+SUMIF('GE16FEB14 Unfudged'!$A$2:$A$498, 'Tax Bill Summary'!$A305, 'GE16FEB14 Unfudged'!G$2:G$498)</f>
        <v>0</v>
      </c>
      <c r="J305" s="13">
        <f>+SUMIF('GE16FEB14 Unfudged'!$A$2:$A$498, 'Tax Bill Summary'!$A305, 'GE16FEB14 Unfudged'!H$2:H$498)</f>
        <v>0</v>
      </c>
      <c r="K305" s="56">
        <f t="shared" si="189"/>
        <v>0</v>
      </c>
      <c r="L305" s="51">
        <f>+SUMIF('GE16FEB14 Unfudged'!$A$2:$A$498, 'Tax Bill Summary'!$A305, 'GE16FEB14 Unfudged'!I$2:IF$498)</f>
        <v>1551601</v>
      </c>
      <c r="M305" s="13">
        <f>+SUMIF('GE16FEB14 Unfudged'!$A$2:$A$498, 'Tax Bill Summary'!$A305, 'GE16FEB14 Unfudged'!J$2:IG$498)</f>
        <v>945693</v>
      </c>
      <c r="N305" s="56">
        <f t="shared" si="190"/>
        <v>605908</v>
      </c>
      <c r="O305" s="51">
        <f t="shared" si="191"/>
        <v>1680964</v>
      </c>
      <c r="P305" s="13">
        <f t="shared" si="192"/>
        <v>1012340</v>
      </c>
      <c r="Q305" s="56">
        <f t="shared" si="193"/>
        <v>668624</v>
      </c>
      <c r="R305" s="13">
        <f t="shared" si="194"/>
        <v>1322.552321007081</v>
      </c>
      <c r="S305" s="13">
        <f t="shared" si="195"/>
        <v>796.49095200629426</v>
      </c>
      <c r="T305" s="16">
        <f t="shared" si="196"/>
        <v>526.06136900078673</v>
      </c>
      <c r="U305" s="15">
        <f>+SUMIF('GE16FEB14 Tax Bill Unfudged'!$A$2:$A$498, 'Tax Bill Summary'!$A305, 'GE16FEB14 Tax Bill Unfudged'!E$2:E$498)</f>
        <v>144777</v>
      </c>
      <c r="V305" s="13">
        <f>+SUMIF('GE16FEB14 Tax Bill Unfudged'!$A$2:$A$498, 'Tax Bill Summary'!$A305, 'GE16FEB14 Tax Bill Unfudged'!F$2:F$498)</f>
        <v>74589</v>
      </c>
      <c r="W305" s="56">
        <f t="shared" si="197"/>
        <v>70188</v>
      </c>
      <c r="X305" s="51">
        <f>+SUMIF('GE16FEB14 Tax Bill Unfudged'!$A$2:$A$498, 'Tax Bill Summary'!$A305, 'GE16FEB14 Tax Bill Unfudged'!G$2:G$498)</f>
        <v>538883</v>
      </c>
      <c r="Y305" s="13">
        <f>+SUMIF('GE16FEB14 Tax Bill Unfudged'!$A$2:$A$498, 'Tax Bill Summary'!$A305, 'GE16FEB14 Tax Bill Unfudged'!H$2:H$498)</f>
        <v>277631</v>
      </c>
      <c r="Z305" s="56">
        <f t="shared" si="198"/>
        <v>261252</v>
      </c>
      <c r="AA305" s="51">
        <f>+SUMIF('GE16FEB14 Tax Bill Unfudged'!$A$2:$A$498, 'Tax Bill Summary'!$A305, 'GE16FEB14 Tax Bill Unfudged'!I$2:I$498)</f>
        <v>1012718</v>
      </c>
      <c r="AB305" s="13">
        <f>+SUMIF('GE16FEB14 Tax Bill Unfudged'!$A$2:$A$498, 'Tax Bill Summary'!$A305, 'GE16FEB14 Tax Bill Unfudged'!J$2:J$498)</f>
        <v>457446</v>
      </c>
      <c r="AC305" s="56">
        <f t="shared" si="199"/>
        <v>555272</v>
      </c>
      <c r="AD305" s="51">
        <f t="shared" si="200"/>
        <v>1696378</v>
      </c>
      <c r="AE305" s="13">
        <f t="shared" si="201"/>
        <v>809666</v>
      </c>
      <c r="AF305" s="56">
        <f t="shared" si="202"/>
        <v>886712</v>
      </c>
      <c r="AG305" s="13">
        <f t="shared" si="203"/>
        <v>1334.6797797010229</v>
      </c>
      <c r="AH305" s="13">
        <f t="shared" si="204"/>
        <v>637.03068450039336</v>
      </c>
      <c r="AI305" s="16">
        <f t="shared" si="205"/>
        <v>697.6490952006294</v>
      </c>
      <c r="AJ305" s="15">
        <f t="shared" si="206"/>
        <v>15414</v>
      </c>
      <c r="AK305" s="13">
        <f t="shared" si="207"/>
        <v>7942</v>
      </c>
      <c r="AL305" s="56">
        <f t="shared" si="208"/>
        <v>7472</v>
      </c>
      <c r="AM305" s="51">
        <f t="shared" si="209"/>
        <v>538883</v>
      </c>
      <c r="AN305" s="13">
        <f t="shared" si="210"/>
        <v>277631</v>
      </c>
      <c r="AO305" s="56">
        <f t="shared" si="211"/>
        <v>261252</v>
      </c>
      <c r="AP305" s="51">
        <f t="shared" si="212"/>
        <v>-538883</v>
      </c>
      <c r="AQ305" s="13">
        <f t="shared" si="213"/>
        <v>-488247</v>
      </c>
      <c r="AR305" s="56">
        <f t="shared" si="214"/>
        <v>-50636</v>
      </c>
      <c r="AS305" s="51">
        <f t="shared" si="215"/>
        <v>15414</v>
      </c>
      <c r="AT305" s="13">
        <f t="shared" si="216"/>
        <v>-202674</v>
      </c>
      <c r="AU305" s="56">
        <f t="shared" si="217"/>
        <v>218088</v>
      </c>
      <c r="AV305" s="13">
        <f t="shared" si="218"/>
        <v>12.12745869394189</v>
      </c>
      <c r="AW305" s="13">
        <f t="shared" si="219"/>
        <v>-159.4602675059009</v>
      </c>
      <c r="AX305" s="16">
        <f t="shared" si="220"/>
        <v>171.58772619984268</v>
      </c>
    </row>
    <row r="306" spans="1:50" x14ac:dyDescent="0.25">
      <c r="A306" s="20">
        <v>2190</v>
      </c>
      <c r="B306">
        <v>1</v>
      </c>
      <c r="C306" s="23" t="s">
        <v>6</v>
      </c>
      <c r="D306" s="23">
        <v>6</v>
      </c>
      <c r="E306" s="15">
        <f>+SUMIF('GE16FEB14 Unfudged'!$A$2:$A$498, $A306, 'GE16FEB14 Unfudged'!$D$2:$D$498)</f>
        <v>817</v>
      </c>
      <c r="F306" s="15">
        <f>+SUMIF('GE16FEB14 Unfudged'!$A$2:$A$498, 'Tax Bill Summary'!$A306, 'GE16FEB14 Unfudged'!E$2:E$498)</f>
        <v>77568</v>
      </c>
      <c r="G306" s="13">
        <f>+SUMIF('GE16FEB14 Unfudged'!$A$2:$A$498, 'Tax Bill Summary'!$A306, 'GE16FEB14 Unfudged'!F$2:F$498)</f>
        <v>47178</v>
      </c>
      <c r="H306" s="56">
        <f t="shared" si="188"/>
        <v>30390</v>
      </c>
      <c r="I306" s="51">
        <f>+SUMIF('GE16FEB14 Unfudged'!$A$2:$A$498, 'Tax Bill Summary'!$A306, 'GE16FEB14 Unfudged'!G$2:G$498)</f>
        <v>0</v>
      </c>
      <c r="J306" s="13">
        <f>+SUMIF('GE16FEB14 Unfudged'!$A$2:$A$498, 'Tax Bill Summary'!$A306, 'GE16FEB14 Unfudged'!H$2:H$498)</f>
        <v>0</v>
      </c>
      <c r="K306" s="56">
        <f t="shared" si="189"/>
        <v>0</v>
      </c>
      <c r="L306" s="51">
        <f>+SUMIF('GE16FEB14 Unfudged'!$A$2:$A$498, 'Tax Bill Summary'!$A306, 'GE16FEB14 Unfudged'!I$2:IF$498)</f>
        <v>1119331</v>
      </c>
      <c r="M306" s="13">
        <f>+SUMIF('GE16FEB14 Unfudged'!$A$2:$A$498, 'Tax Bill Summary'!$A306, 'GE16FEB14 Unfudged'!J$2:IG$498)</f>
        <v>813386</v>
      </c>
      <c r="N306" s="56">
        <f t="shared" si="190"/>
        <v>305945</v>
      </c>
      <c r="O306" s="51">
        <f t="shared" si="191"/>
        <v>1196899</v>
      </c>
      <c r="P306" s="13">
        <f t="shared" si="192"/>
        <v>860564</v>
      </c>
      <c r="Q306" s="56">
        <f t="shared" si="193"/>
        <v>336335</v>
      </c>
      <c r="R306" s="13">
        <f t="shared" si="194"/>
        <v>1464.9926560587514</v>
      </c>
      <c r="S306" s="13">
        <f t="shared" si="195"/>
        <v>1053.3219094247247</v>
      </c>
      <c r="T306" s="16">
        <f t="shared" si="196"/>
        <v>411.67074663402695</v>
      </c>
      <c r="U306" s="15">
        <f>+SUMIF('GE16FEB14 Tax Bill Unfudged'!$A$2:$A$498, 'Tax Bill Summary'!$A306, 'GE16FEB14 Tax Bill Unfudged'!E$2:E$498)</f>
        <v>85682</v>
      </c>
      <c r="V306" s="13">
        <f>+SUMIF('GE16FEB14 Tax Bill Unfudged'!$A$2:$A$498, 'Tax Bill Summary'!$A306, 'GE16FEB14 Tax Bill Unfudged'!F$2:F$498)</f>
        <v>52113</v>
      </c>
      <c r="W306" s="56">
        <f t="shared" si="197"/>
        <v>33569</v>
      </c>
      <c r="X306" s="51">
        <f>+SUMIF('GE16FEB14 Tax Bill Unfudged'!$A$2:$A$498, 'Tax Bill Summary'!$A306, 'GE16FEB14 Tax Bill Unfudged'!G$2:G$498)</f>
        <v>346408</v>
      </c>
      <c r="Y306" s="13">
        <f>+SUMIF('GE16FEB14 Tax Bill Unfudged'!$A$2:$A$498, 'Tax Bill Summary'!$A306, 'GE16FEB14 Tax Bill Unfudged'!H$2:H$498)</f>
        <v>210691</v>
      </c>
      <c r="Z306" s="56">
        <f t="shared" si="198"/>
        <v>135717</v>
      </c>
      <c r="AA306" s="51">
        <f>+SUMIF('GE16FEB14 Tax Bill Unfudged'!$A$2:$A$498, 'Tax Bill Summary'!$A306, 'GE16FEB14 Tax Bill Unfudged'!I$2:I$498)</f>
        <v>772923</v>
      </c>
      <c r="AB306" s="13">
        <f>+SUMIF('GE16FEB14 Tax Bill Unfudged'!$A$2:$A$498, 'Tax Bill Summary'!$A306, 'GE16FEB14 Tax Bill Unfudged'!J$2:J$498)</f>
        <v>466978</v>
      </c>
      <c r="AC306" s="56">
        <f t="shared" si="199"/>
        <v>305945</v>
      </c>
      <c r="AD306" s="51">
        <f t="shared" si="200"/>
        <v>1205013</v>
      </c>
      <c r="AE306" s="13">
        <f t="shared" si="201"/>
        <v>729782</v>
      </c>
      <c r="AF306" s="56">
        <f t="shared" si="202"/>
        <v>475231</v>
      </c>
      <c r="AG306" s="13">
        <f t="shared" si="203"/>
        <v>1474.9241126070992</v>
      </c>
      <c r="AH306" s="13">
        <f t="shared" si="204"/>
        <v>893.24602203182371</v>
      </c>
      <c r="AI306" s="16">
        <f t="shared" si="205"/>
        <v>581.67809057527541</v>
      </c>
      <c r="AJ306" s="15">
        <f t="shared" si="206"/>
        <v>8114</v>
      </c>
      <c r="AK306" s="13">
        <f t="shared" si="207"/>
        <v>4935</v>
      </c>
      <c r="AL306" s="56">
        <f t="shared" si="208"/>
        <v>3179</v>
      </c>
      <c r="AM306" s="51">
        <f t="shared" si="209"/>
        <v>346408</v>
      </c>
      <c r="AN306" s="13">
        <f t="shared" si="210"/>
        <v>210691</v>
      </c>
      <c r="AO306" s="56">
        <f t="shared" si="211"/>
        <v>135717</v>
      </c>
      <c r="AP306" s="51">
        <f t="shared" si="212"/>
        <v>-346408</v>
      </c>
      <c r="AQ306" s="13">
        <f t="shared" si="213"/>
        <v>-346408</v>
      </c>
      <c r="AR306" s="56">
        <f t="shared" si="214"/>
        <v>0</v>
      </c>
      <c r="AS306" s="51">
        <f t="shared" si="215"/>
        <v>8114</v>
      </c>
      <c r="AT306" s="13">
        <f t="shared" si="216"/>
        <v>-130782</v>
      </c>
      <c r="AU306" s="56">
        <f t="shared" si="217"/>
        <v>138896</v>
      </c>
      <c r="AV306" s="13">
        <f t="shared" si="218"/>
        <v>9.9314565483477963</v>
      </c>
      <c r="AW306" s="13">
        <f t="shared" si="219"/>
        <v>-160.075887392901</v>
      </c>
      <c r="AX306" s="16">
        <f t="shared" si="220"/>
        <v>170.00734394124845</v>
      </c>
    </row>
    <row r="307" spans="1:50" x14ac:dyDescent="0.25">
      <c r="A307" s="20">
        <v>2198</v>
      </c>
      <c r="B307">
        <v>1</v>
      </c>
      <c r="C307" s="23" t="s">
        <v>7</v>
      </c>
      <c r="D307" s="23">
        <v>6</v>
      </c>
      <c r="E307" s="15">
        <f>+SUMIF('GE16FEB14 Unfudged'!$A$2:$A$498, $A307, 'GE16FEB14 Unfudged'!$D$2:$D$498)</f>
        <v>580</v>
      </c>
      <c r="F307" s="15">
        <f>+SUMIF('GE16FEB14 Unfudged'!$A$2:$A$498, 'Tax Bill Summary'!$A307, 'GE16FEB14 Unfudged'!E$2:E$498)</f>
        <v>59218</v>
      </c>
      <c r="G307" s="13">
        <f>+SUMIF('GE16FEB14 Unfudged'!$A$2:$A$498, 'Tax Bill Summary'!$A307, 'GE16FEB14 Unfudged'!F$2:F$498)</f>
        <v>43311</v>
      </c>
      <c r="H307" s="56">
        <f t="shared" si="188"/>
        <v>15907</v>
      </c>
      <c r="I307" s="51">
        <f>+SUMIF('GE16FEB14 Unfudged'!$A$2:$A$498, 'Tax Bill Summary'!$A307, 'GE16FEB14 Unfudged'!G$2:G$498)</f>
        <v>0</v>
      </c>
      <c r="J307" s="13">
        <f>+SUMIF('GE16FEB14 Unfudged'!$A$2:$A$498, 'Tax Bill Summary'!$A307, 'GE16FEB14 Unfudged'!H$2:H$498)</f>
        <v>0</v>
      </c>
      <c r="K307" s="56">
        <f t="shared" si="189"/>
        <v>0</v>
      </c>
      <c r="L307" s="51">
        <f>+SUMIF('GE16FEB14 Unfudged'!$A$2:$A$498, 'Tax Bill Summary'!$A307, 'GE16FEB14 Unfudged'!I$2:IF$498)</f>
        <v>705465</v>
      </c>
      <c r="M307" s="13">
        <f>+SUMIF('GE16FEB14 Unfudged'!$A$2:$A$498, 'Tax Bill Summary'!$A307, 'GE16FEB14 Unfudged'!J$2:IG$498)</f>
        <v>533431</v>
      </c>
      <c r="N307" s="56">
        <f t="shared" si="190"/>
        <v>172034</v>
      </c>
      <c r="O307" s="51">
        <f t="shared" si="191"/>
        <v>764683</v>
      </c>
      <c r="P307" s="13">
        <f t="shared" si="192"/>
        <v>576742</v>
      </c>
      <c r="Q307" s="56">
        <f t="shared" si="193"/>
        <v>187941</v>
      </c>
      <c r="R307" s="13">
        <f t="shared" si="194"/>
        <v>1318.4189655172413</v>
      </c>
      <c r="S307" s="13">
        <f t="shared" si="195"/>
        <v>994.38275862068963</v>
      </c>
      <c r="T307" s="16">
        <f t="shared" si="196"/>
        <v>324.03620689655173</v>
      </c>
      <c r="U307" s="15">
        <f>+SUMIF('GE16FEB14 Tax Bill Unfudged'!$A$2:$A$498, 'Tax Bill Summary'!$A307, 'GE16FEB14 Tax Bill Unfudged'!E$2:E$498)</f>
        <v>66302</v>
      </c>
      <c r="V307" s="13">
        <f>+SUMIF('GE16FEB14 Tax Bill Unfudged'!$A$2:$A$498, 'Tax Bill Summary'!$A307, 'GE16FEB14 Tax Bill Unfudged'!F$2:F$498)</f>
        <v>48492</v>
      </c>
      <c r="W307" s="56">
        <f t="shared" si="197"/>
        <v>17810</v>
      </c>
      <c r="X307" s="51">
        <f>+SUMIF('GE16FEB14 Tax Bill Unfudged'!$A$2:$A$498, 'Tax Bill Summary'!$A307, 'GE16FEB14 Tax Bill Unfudged'!G$2:G$498)</f>
        <v>246090</v>
      </c>
      <c r="Y307" s="13">
        <f>+SUMIF('GE16FEB14 Tax Bill Unfudged'!$A$2:$A$498, 'Tax Bill Summary'!$A307, 'GE16FEB14 Tax Bill Unfudged'!H$2:H$498)</f>
        <v>179985</v>
      </c>
      <c r="Z307" s="56">
        <f t="shared" si="198"/>
        <v>66105</v>
      </c>
      <c r="AA307" s="51">
        <f>+SUMIF('GE16FEB14 Tax Bill Unfudged'!$A$2:$A$498, 'Tax Bill Summary'!$A307, 'GE16FEB14 Tax Bill Unfudged'!I$2:I$498)</f>
        <v>459375</v>
      </c>
      <c r="AB307" s="13">
        <f>+SUMIF('GE16FEB14 Tax Bill Unfudged'!$A$2:$A$498, 'Tax Bill Summary'!$A307, 'GE16FEB14 Tax Bill Unfudged'!J$2:J$498)</f>
        <v>287341</v>
      </c>
      <c r="AC307" s="56">
        <f t="shared" si="199"/>
        <v>172034</v>
      </c>
      <c r="AD307" s="51">
        <f t="shared" si="200"/>
        <v>771767</v>
      </c>
      <c r="AE307" s="13">
        <f t="shared" si="201"/>
        <v>515818</v>
      </c>
      <c r="AF307" s="56">
        <f t="shared" si="202"/>
        <v>255949</v>
      </c>
      <c r="AG307" s="13">
        <f t="shared" si="203"/>
        <v>1330.6327586206896</v>
      </c>
      <c r="AH307" s="13">
        <f t="shared" si="204"/>
        <v>889.34137931034479</v>
      </c>
      <c r="AI307" s="16">
        <f t="shared" si="205"/>
        <v>441.29137931034484</v>
      </c>
      <c r="AJ307" s="15">
        <f t="shared" si="206"/>
        <v>7084</v>
      </c>
      <c r="AK307" s="13">
        <f t="shared" si="207"/>
        <v>5181</v>
      </c>
      <c r="AL307" s="56">
        <f t="shared" si="208"/>
        <v>1903</v>
      </c>
      <c r="AM307" s="51">
        <f t="shared" si="209"/>
        <v>246090</v>
      </c>
      <c r="AN307" s="13">
        <f t="shared" si="210"/>
        <v>179985</v>
      </c>
      <c r="AO307" s="56">
        <f t="shared" si="211"/>
        <v>66105</v>
      </c>
      <c r="AP307" s="51">
        <f t="shared" si="212"/>
        <v>-246090</v>
      </c>
      <c r="AQ307" s="13">
        <f t="shared" si="213"/>
        <v>-246090</v>
      </c>
      <c r="AR307" s="56">
        <f t="shared" si="214"/>
        <v>0</v>
      </c>
      <c r="AS307" s="51">
        <f t="shared" si="215"/>
        <v>7084</v>
      </c>
      <c r="AT307" s="13">
        <f t="shared" si="216"/>
        <v>-60924</v>
      </c>
      <c r="AU307" s="56">
        <f t="shared" si="217"/>
        <v>68008</v>
      </c>
      <c r="AV307" s="13">
        <f t="shared" si="218"/>
        <v>12.213793103448324</v>
      </c>
      <c r="AW307" s="13">
        <f t="shared" si="219"/>
        <v>-105.04137931034484</v>
      </c>
      <c r="AX307" s="16">
        <f t="shared" si="220"/>
        <v>117.2551724137931</v>
      </c>
    </row>
    <row r="308" spans="1:50" x14ac:dyDescent="0.25">
      <c r="A308" s="20">
        <v>2215</v>
      </c>
      <c r="B308">
        <v>1</v>
      </c>
      <c r="C308" s="23" t="s">
        <v>420</v>
      </c>
      <c r="D308" s="23">
        <v>6</v>
      </c>
      <c r="E308" s="15">
        <f>+SUMIF('GE16FEB14 Unfudged'!$A$2:$A$498, $A308, 'GE16FEB14 Unfudged'!$D$2:$D$498)</f>
        <v>327</v>
      </c>
      <c r="F308" s="15">
        <f>+SUMIF('GE16FEB14 Unfudged'!$A$2:$A$498, 'Tax Bill Summary'!$A308, 'GE16FEB14 Unfudged'!E$2:E$498)</f>
        <v>23705</v>
      </c>
      <c r="G308" s="13">
        <f>+SUMIF('GE16FEB14 Unfudged'!$A$2:$A$498, 'Tax Bill Summary'!$A308, 'GE16FEB14 Unfudged'!F$2:F$498)</f>
        <v>7729</v>
      </c>
      <c r="H308" s="56">
        <f t="shared" si="188"/>
        <v>15976</v>
      </c>
      <c r="I308" s="51">
        <f>+SUMIF('GE16FEB14 Unfudged'!$A$2:$A$498, 'Tax Bill Summary'!$A308, 'GE16FEB14 Unfudged'!G$2:G$498)</f>
        <v>0</v>
      </c>
      <c r="J308" s="13">
        <f>+SUMIF('GE16FEB14 Unfudged'!$A$2:$A$498, 'Tax Bill Summary'!$A308, 'GE16FEB14 Unfudged'!H$2:H$498)</f>
        <v>0</v>
      </c>
      <c r="K308" s="56">
        <f t="shared" si="189"/>
        <v>0</v>
      </c>
      <c r="L308" s="51">
        <f>+SUMIF('GE16FEB14 Unfudged'!$A$2:$A$498, 'Tax Bill Summary'!$A308, 'GE16FEB14 Unfudged'!I$2:IF$498)</f>
        <v>609507</v>
      </c>
      <c r="M308" s="13">
        <f>+SUMIF('GE16FEB14 Unfudged'!$A$2:$A$498, 'Tax Bill Summary'!$A308, 'GE16FEB14 Unfudged'!J$2:IG$498)</f>
        <v>274463</v>
      </c>
      <c r="N308" s="56">
        <f t="shared" si="190"/>
        <v>335044</v>
      </c>
      <c r="O308" s="51">
        <f t="shared" si="191"/>
        <v>633212</v>
      </c>
      <c r="P308" s="13">
        <f t="shared" si="192"/>
        <v>282192</v>
      </c>
      <c r="Q308" s="56">
        <f t="shared" si="193"/>
        <v>351020</v>
      </c>
      <c r="R308" s="13">
        <f t="shared" si="194"/>
        <v>1936.4281345565748</v>
      </c>
      <c r="S308" s="13">
        <f t="shared" si="195"/>
        <v>862.97247706422013</v>
      </c>
      <c r="T308" s="16">
        <f t="shared" si="196"/>
        <v>1073.4556574923547</v>
      </c>
      <c r="U308" s="15">
        <f>+SUMIF('GE16FEB14 Tax Bill Unfudged'!$A$2:$A$498, 'Tax Bill Summary'!$A308, 'GE16FEB14 Tax Bill Unfudged'!E$2:E$498)</f>
        <v>24588</v>
      </c>
      <c r="V308" s="13">
        <f>+SUMIF('GE16FEB14 Tax Bill Unfudged'!$A$2:$A$498, 'Tax Bill Summary'!$A308, 'GE16FEB14 Tax Bill Unfudged'!F$2:F$498)</f>
        <v>8016</v>
      </c>
      <c r="W308" s="56">
        <f t="shared" si="197"/>
        <v>16572</v>
      </c>
      <c r="X308" s="51">
        <f>+SUMIF('GE16FEB14 Tax Bill Unfudged'!$A$2:$A$498, 'Tax Bill Summary'!$A308, 'GE16FEB14 Tax Bill Unfudged'!G$2:G$498)</f>
        <v>138818</v>
      </c>
      <c r="Y308" s="13">
        <f>+SUMIF('GE16FEB14 Tax Bill Unfudged'!$A$2:$A$498, 'Tax Bill Summary'!$A308, 'GE16FEB14 Tax Bill Unfudged'!H$2:H$498)</f>
        <v>45259</v>
      </c>
      <c r="Z308" s="56">
        <f t="shared" si="198"/>
        <v>93559</v>
      </c>
      <c r="AA308" s="51">
        <f>+SUMIF('GE16FEB14 Tax Bill Unfudged'!$A$2:$A$498, 'Tax Bill Summary'!$A308, 'GE16FEB14 Tax Bill Unfudged'!I$2:I$498)</f>
        <v>470690</v>
      </c>
      <c r="AB308" s="13">
        <f>+SUMIF('GE16FEB14 Tax Bill Unfudged'!$A$2:$A$498, 'Tax Bill Summary'!$A308, 'GE16FEB14 Tax Bill Unfudged'!J$2:J$498)</f>
        <v>194870</v>
      </c>
      <c r="AC308" s="56">
        <f t="shared" si="199"/>
        <v>275820</v>
      </c>
      <c r="AD308" s="51">
        <f t="shared" si="200"/>
        <v>634096</v>
      </c>
      <c r="AE308" s="13">
        <f t="shared" si="201"/>
        <v>248145</v>
      </c>
      <c r="AF308" s="56">
        <f t="shared" si="202"/>
        <v>385951</v>
      </c>
      <c r="AG308" s="13">
        <f t="shared" si="203"/>
        <v>1939.1314984709479</v>
      </c>
      <c r="AH308" s="13">
        <f t="shared" si="204"/>
        <v>758.85321100917429</v>
      </c>
      <c r="AI308" s="16">
        <f t="shared" si="205"/>
        <v>1180.2782874617737</v>
      </c>
      <c r="AJ308" s="15">
        <f t="shared" si="206"/>
        <v>883</v>
      </c>
      <c r="AK308" s="13">
        <f t="shared" si="207"/>
        <v>287</v>
      </c>
      <c r="AL308" s="56">
        <f t="shared" si="208"/>
        <v>596</v>
      </c>
      <c r="AM308" s="51">
        <f t="shared" si="209"/>
        <v>138818</v>
      </c>
      <c r="AN308" s="13">
        <f t="shared" si="210"/>
        <v>45259</v>
      </c>
      <c r="AO308" s="56">
        <f t="shared" si="211"/>
        <v>93559</v>
      </c>
      <c r="AP308" s="51">
        <f t="shared" si="212"/>
        <v>-138817</v>
      </c>
      <c r="AQ308" s="13">
        <f t="shared" si="213"/>
        <v>-79593</v>
      </c>
      <c r="AR308" s="56">
        <f t="shared" si="214"/>
        <v>-59224</v>
      </c>
      <c r="AS308" s="51">
        <f t="shared" si="215"/>
        <v>884</v>
      </c>
      <c r="AT308" s="13">
        <f t="shared" si="216"/>
        <v>-34047</v>
      </c>
      <c r="AU308" s="56">
        <f t="shared" si="217"/>
        <v>34931</v>
      </c>
      <c r="AV308" s="13">
        <f t="shared" si="218"/>
        <v>2.7033639143730852</v>
      </c>
      <c r="AW308" s="13">
        <f t="shared" si="219"/>
        <v>-104.11926605504584</v>
      </c>
      <c r="AX308" s="16">
        <f t="shared" si="220"/>
        <v>106.82262996941904</v>
      </c>
    </row>
    <row r="309" spans="1:50" x14ac:dyDescent="0.25">
      <c r="A309" s="20">
        <v>2310</v>
      </c>
      <c r="B309">
        <v>1</v>
      </c>
      <c r="C309" s="23" t="s">
        <v>421</v>
      </c>
      <c r="D309" s="23">
        <v>5</v>
      </c>
      <c r="E309" s="15">
        <f>+SUMIF('GE16FEB14 Unfudged'!$A$2:$A$498, $A309, 'GE16FEB14 Unfudged'!$D$2:$D$498)</f>
        <v>1346</v>
      </c>
      <c r="F309" s="15">
        <f>+SUMIF('GE16FEB14 Unfudged'!$A$2:$A$498, 'Tax Bill Summary'!$A309, 'GE16FEB14 Unfudged'!E$2:E$498)</f>
        <v>172206</v>
      </c>
      <c r="G309" s="13">
        <f>+SUMIF('GE16FEB14 Unfudged'!$A$2:$A$498, 'Tax Bill Summary'!$A309, 'GE16FEB14 Unfudged'!F$2:F$498)</f>
        <v>79732</v>
      </c>
      <c r="H309" s="56">
        <f t="shared" si="188"/>
        <v>92474</v>
      </c>
      <c r="I309" s="51">
        <f>+SUMIF('GE16FEB14 Unfudged'!$A$2:$A$498, 'Tax Bill Summary'!$A309, 'GE16FEB14 Unfudged'!G$2:G$498)</f>
        <v>0</v>
      </c>
      <c r="J309" s="13">
        <f>+SUMIF('GE16FEB14 Unfudged'!$A$2:$A$498, 'Tax Bill Summary'!$A309, 'GE16FEB14 Unfudged'!H$2:H$498)</f>
        <v>0</v>
      </c>
      <c r="K309" s="56">
        <f t="shared" si="189"/>
        <v>0</v>
      </c>
      <c r="L309" s="51">
        <f>+SUMIF('GE16FEB14 Unfudged'!$A$2:$A$498, 'Tax Bill Summary'!$A309, 'GE16FEB14 Unfudged'!I$2:IF$498)</f>
        <v>873954</v>
      </c>
      <c r="M309" s="13">
        <f>+SUMIF('GE16FEB14 Unfudged'!$A$2:$A$498, 'Tax Bill Summary'!$A309, 'GE16FEB14 Unfudged'!J$2:IG$498)</f>
        <v>326060</v>
      </c>
      <c r="N309" s="56">
        <f t="shared" si="190"/>
        <v>547894</v>
      </c>
      <c r="O309" s="51">
        <f t="shared" si="191"/>
        <v>1046160</v>
      </c>
      <c r="P309" s="13">
        <f t="shared" si="192"/>
        <v>405792</v>
      </c>
      <c r="Q309" s="56">
        <f t="shared" si="193"/>
        <v>640368</v>
      </c>
      <c r="R309" s="13">
        <f t="shared" si="194"/>
        <v>777.23625557206537</v>
      </c>
      <c r="S309" s="13">
        <f t="shared" si="195"/>
        <v>301.47994056463597</v>
      </c>
      <c r="T309" s="16">
        <f t="shared" si="196"/>
        <v>475.75631500742941</v>
      </c>
      <c r="U309" s="15">
        <f>+SUMIF('GE16FEB14 Tax Bill Unfudged'!$A$2:$A$498, 'Tax Bill Summary'!$A309, 'GE16FEB14 Tax Bill Unfudged'!E$2:E$498)</f>
        <v>193766</v>
      </c>
      <c r="V309" s="13">
        <f>+SUMIF('GE16FEB14 Tax Bill Unfudged'!$A$2:$A$498, 'Tax Bill Summary'!$A309, 'GE16FEB14 Tax Bill Unfudged'!F$2:F$498)</f>
        <v>89715</v>
      </c>
      <c r="W309" s="56">
        <f t="shared" si="197"/>
        <v>104051</v>
      </c>
      <c r="X309" s="51">
        <f>+SUMIF('GE16FEB14 Tax Bill Unfudged'!$A$2:$A$498, 'Tax Bill Summary'!$A309, 'GE16FEB14 Tax Bill Unfudged'!G$2:G$498)</f>
        <v>570534</v>
      </c>
      <c r="Y309" s="13">
        <f>+SUMIF('GE16FEB14 Tax Bill Unfudged'!$A$2:$A$498, 'Tax Bill Summary'!$A309, 'GE16FEB14 Tax Bill Unfudged'!H$2:H$498)</f>
        <v>264160</v>
      </c>
      <c r="Z309" s="56">
        <f t="shared" si="198"/>
        <v>306374</v>
      </c>
      <c r="AA309" s="51">
        <f>+SUMIF('GE16FEB14 Tax Bill Unfudged'!$A$2:$A$498, 'Tax Bill Summary'!$A309, 'GE16FEB14 Tax Bill Unfudged'!I$2:I$498)</f>
        <v>403680</v>
      </c>
      <c r="AB309" s="13">
        <f>+SUMIF('GE16FEB14 Tax Bill Unfudged'!$A$2:$A$498, 'Tax Bill Summary'!$A309, 'GE16FEB14 Tax Bill Unfudged'!J$2:J$498)</f>
        <v>108321</v>
      </c>
      <c r="AC309" s="56">
        <f t="shared" si="199"/>
        <v>295359</v>
      </c>
      <c r="AD309" s="51">
        <f t="shared" si="200"/>
        <v>1167980</v>
      </c>
      <c r="AE309" s="13">
        <f t="shared" si="201"/>
        <v>462196</v>
      </c>
      <c r="AF309" s="56">
        <f t="shared" si="202"/>
        <v>705784</v>
      </c>
      <c r="AG309" s="13">
        <f t="shared" si="203"/>
        <v>867.74145616641897</v>
      </c>
      <c r="AH309" s="13">
        <f t="shared" si="204"/>
        <v>343.3848439821694</v>
      </c>
      <c r="AI309" s="16">
        <f t="shared" si="205"/>
        <v>524.35661218424968</v>
      </c>
      <c r="AJ309" s="15">
        <f t="shared" si="206"/>
        <v>21560</v>
      </c>
      <c r="AK309" s="13">
        <f t="shared" si="207"/>
        <v>9983</v>
      </c>
      <c r="AL309" s="56">
        <f t="shared" si="208"/>
        <v>11577</v>
      </c>
      <c r="AM309" s="51">
        <f t="shared" si="209"/>
        <v>570534</v>
      </c>
      <c r="AN309" s="13">
        <f t="shared" si="210"/>
        <v>264160</v>
      </c>
      <c r="AO309" s="56">
        <f t="shared" si="211"/>
        <v>306374</v>
      </c>
      <c r="AP309" s="51">
        <f t="shared" si="212"/>
        <v>-470274</v>
      </c>
      <c r="AQ309" s="13">
        <f t="shared" si="213"/>
        <v>-217739</v>
      </c>
      <c r="AR309" s="56">
        <f t="shared" si="214"/>
        <v>-252535</v>
      </c>
      <c r="AS309" s="51">
        <f t="shared" si="215"/>
        <v>121820</v>
      </c>
      <c r="AT309" s="13">
        <f t="shared" si="216"/>
        <v>56404</v>
      </c>
      <c r="AU309" s="56">
        <f t="shared" si="217"/>
        <v>65416</v>
      </c>
      <c r="AV309" s="13">
        <f t="shared" si="218"/>
        <v>90.505200594353596</v>
      </c>
      <c r="AW309" s="13">
        <f t="shared" si="219"/>
        <v>41.904903417533433</v>
      </c>
      <c r="AX309" s="16">
        <f t="shared" si="220"/>
        <v>48.600297176820277</v>
      </c>
    </row>
    <row r="310" spans="1:50" x14ac:dyDescent="0.25">
      <c r="A310" s="20">
        <v>2311</v>
      </c>
      <c r="B310">
        <v>1</v>
      </c>
      <c r="C310" s="23" t="s">
        <v>422</v>
      </c>
      <c r="D310" s="23">
        <v>6</v>
      </c>
      <c r="E310" s="15">
        <f>+SUMIF('GE16FEB14 Unfudged'!$A$2:$A$498, $A310, 'GE16FEB14 Unfudged'!$D$2:$D$498)</f>
        <v>462</v>
      </c>
      <c r="F310" s="15">
        <f>+SUMIF('GE16FEB14 Unfudged'!$A$2:$A$498, 'Tax Bill Summary'!$A310, 'GE16FEB14 Unfudged'!E$2:E$498)</f>
        <v>62306</v>
      </c>
      <c r="G310" s="13">
        <f>+SUMIF('GE16FEB14 Unfudged'!$A$2:$A$498, 'Tax Bill Summary'!$A310, 'GE16FEB14 Unfudged'!F$2:F$498)</f>
        <v>62306</v>
      </c>
      <c r="H310" s="56">
        <f t="shared" si="188"/>
        <v>0</v>
      </c>
      <c r="I310" s="51">
        <f>+SUMIF('GE16FEB14 Unfudged'!$A$2:$A$498, 'Tax Bill Summary'!$A310, 'GE16FEB14 Unfudged'!G$2:G$498)</f>
        <v>0</v>
      </c>
      <c r="J310" s="13">
        <f>+SUMIF('GE16FEB14 Unfudged'!$A$2:$A$498, 'Tax Bill Summary'!$A310, 'GE16FEB14 Unfudged'!H$2:H$498)</f>
        <v>0</v>
      </c>
      <c r="K310" s="56">
        <f t="shared" si="189"/>
        <v>0</v>
      </c>
      <c r="L310" s="51">
        <f>+SUMIF('GE16FEB14 Unfudged'!$A$2:$A$498, 'Tax Bill Summary'!$A310, 'GE16FEB14 Unfudged'!I$2:IF$498)</f>
        <v>229841</v>
      </c>
      <c r="M310" s="13">
        <f>+SUMIF('GE16FEB14 Unfudged'!$A$2:$A$498, 'Tax Bill Summary'!$A310, 'GE16FEB14 Unfudged'!J$2:IG$498)</f>
        <v>207126</v>
      </c>
      <c r="N310" s="56">
        <f t="shared" si="190"/>
        <v>22715</v>
      </c>
      <c r="O310" s="51">
        <f t="shared" si="191"/>
        <v>292147</v>
      </c>
      <c r="P310" s="13">
        <f t="shared" si="192"/>
        <v>269432</v>
      </c>
      <c r="Q310" s="56">
        <f t="shared" si="193"/>
        <v>22715</v>
      </c>
      <c r="R310" s="13">
        <f t="shared" si="194"/>
        <v>632.35281385281382</v>
      </c>
      <c r="S310" s="13">
        <f t="shared" si="195"/>
        <v>583.1861471861472</v>
      </c>
      <c r="T310" s="16">
        <f t="shared" si="196"/>
        <v>49.166666666666664</v>
      </c>
      <c r="U310" s="15">
        <f>+SUMIF('GE16FEB14 Tax Bill Unfudged'!$A$2:$A$498, 'Tax Bill Summary'!$A310, 'GE16FEB14 Tax Bill Unfudged'!E$2:E$498)</f>
        <v>66493</v>
      </c>
      <c r="V310" s="13">
        <f>+SUMIF('GE16FEB14 Tax Bill Unfudged'!$A$2:$A$498, 'Tax Bill Summary'!$A310, 'GE16FEB14 Tax Bill Unfudged'!F$2:F$498)</f>
        <v>66493</v>
      </c>
      <c r="W310" s="56">
        <f t="shared" si="197"/>
        <v>0</v>
      </c>
      <c r="X310" s="51">
        <f>+SUMIF('GE16FEB14 Tax Bill Unfudged'!$A$2:$A$498, 'Tax Bill Summary'!$A310, 'GE16FEB14 Tax Bill Unfudged'!G$2:G$498)</f>
        <v>195782</v>
      </c>
      <c r="Y310" s="13">
        <f>+SUMIF('GE16FEB14 Tax Bill Unfudged'!$A$2:$A$498, 'Tax Bill Summary'!$A310, 'GE16FEB14 Tax Bill Unfudged'!H$2:H$498)</f>
        <v>195782</v>
      </c>
      <c r="Z310" s="56">
        <f t="shared" si="198"/>
        <v>0</v>
      </c>
      <c r="AA310" s="51">
        <f>+SUMIF('GE16FEB14 Tax Bill Unfudged'!$A$2:$A$498, 'Tax Bill Summary'!$A310, 'GE16FEB14 Tax Bill Unfudged'!I$2:I$498)</f>
        <v>138525</v>
      </c>
      <c r="AB310" s="13">
        <f>+SUMIF('GE16FEB14 Tax Bill Unfudged'!$A$2:$A$498, 'Tax Bill Summary'!$A310, 'GE16FEB14 Tax Bill Unfudged'!J$2:J$498)</f>
        <v>116664</v>
      </c>
      <c r="AC310" s="56">
        <f t="shared" si="199"/>
        <v>21861</v>
      </c>
      <c r="AD310" s="51">
        <f t="shared" si="200"/>
        <v>400800</v>
      </c>
      <c r="AE310" s="13">
        <f t="shared" si="201"/>
        <v>378939</v>
      </c>
      <c r="AF310" s="56">
        <f t="shared" si="202"/>
        <v>21861</v>
      </c>
      <c r="AG310" s="13">
        <f t="shared" si="203"/>
        <v>867.53246753246754</v>
      </c>
      <c r="AH310" s="13">
        <f t="shared" si="204"/>
        <v>820.21428571428567</v>
      </c>
      <c r="AI310" s="16">
        <f t="shared" si="205"/>
        <v>47.31818181818182</v>
      </c>
      <c r="AJ310" s="15">
        <f t="shared" si="206"/>
        <v>4187</v>
      </c>
      <c r="AK310" s="13">
        <f t="shared" si="207"/>
        <v>4187</v>
      </c>
      <c r="AL310" s="56">
        <f t="shared" si="208"/>
        <v>0</v>
      </c>
      <c r="AM310" s="51">
        <f t="shared" si="209"/>
        <v>195782</v>
      </c>
      <c r="AN310" s="13">
        <f t="shared" si="210"/>
        <v>195782</v>
      </c>
      <c r="AO310" s="56">
        <f t="shared" si="211"/>
        <v>0</v>
      </c>
      <c r="AP310" s="51">
        <f t="shared" si="212"/>
        <v>-91316</v>
      </c>
      <c r="AQ310" s="13">
        <f t="shared" si="213"/>
        <v>-90462</v>
      </c>
      <c r="AR310" s="56">
        <f t="shared" si="214"/>
        <v>-854</v>
      </c>
      <c r="AS310" s="51">
        <f t="shared" si="215"/>
        <v>108653</v>
      </c>
      <c r="AT310" s="13">
        <f t="shared" si="216"/>
        <v>109507</v>
      </c>
      <c r="AU310" s="56">
        <f t="shared" si="217"/>
        <v>-854</v>
      </c>
      <c r="AV310" s="13">
        <f t="shared" si="218"/>
        <v>235.17965367965371</v>
      </c>
      <c r="AW310" s="13">
        <f t="shared" si="219"/>
        <v>237.02813852813847</v>
      </c>
      <c r="AX310" s="16">
        <f t="shared" si="220"/>
        <v>-1.8484848484848442</v>
      </c>
    </row>
    <row r="311" spans="1:50" x14ac:dyDescent="0.25">
      <c r="A311" s="20">
        <v>2342</v>
      </c>
      <c r="B311">
        <v>1</v>
      </c>
      <c r="C311" s="23" t="s">
        <v>8</v>
      </c>
      <c r="D311" s="23">
        <v>6</v>
      </c>
      <c r="E311" s="15">
        <f>+SUMIF('GE16FEB14 Unfudged'!$A$2:$A$498, $A311, 'GE16FEB14 Unfudged'!$D$2:$D$498)</f>
        <v>784</v>
      </c>
      <c r="F311" s="15">
        <f>+SUMIF('GE16FEB14 Unfudged'!$A$2:$A$498, 'Tax Bill Summary'!$A311, 'GE16FEB14 Unfudged'!E$2:E$498)</f>
        <v>70067</v>
      </c>
      <c r="G311" s="13">
        <f>+SUMIF('GE16FEB14 Unfudged'!$A$2:$A$498, 'Tax Bill Summary'!$A311, 'GE16FEB14 Unfudged'!F$2:F$498)</f>
        <v>42352</v>
      </c>
      <c r="H311" s="56">
        <f t="shared" si="188"/>
        <v>27715</v>
      </c>
      <c r="I311" s="51">
        <f>+SUMIF('GE16FEB14 Unfudged'!$A$2:$A$498, 'Tax Bill Summary'!$A311, 'GE16FEB14 Unfudged'!G$2:G$498)</f>
        <v>0</v>
      </c>
      <c r="J311" s="13">
        <f>+SUMIF('GE16FEB14 Unfudged'!$A$2:$A$498, 'Tax Bill Summary'!$A311, 'GE16FEB14 Unfudged'!H$2:H$498)</f>
        <v>0</v>
      </c>
      <c r="K311" s="56">
        <f t="shared" si="189"/>
        <v>0</v>
      </c>
      <c r="L311" s="51">
        <f>+SUMIF('GE16FEB14 Unfudged'!$A$2:$A$498, 'Tax Bill Summary'!$A311, 'GE16FEB14 Unfudged'!I$2:IF$498)</f>
        <v>1169391</v>
      </c>
      <c r="M311" s="13">
        <f>+SUMIF('GE16FEB14 Unfudged'!$A$2:$A$498, 'Tax Bill Summary'!$A311, 'GE16FEB14 Unfudged'!J$2:IG$498)</f>
        <v>873928</v>
      </c>
      <c r="N311" s="56">
        <f t="shared" si="190"/>
        <v>295463</v>
      </c>
      <c r="O311" s="51">
        <f t="shared" si="191"/>
        <v>1239458</v>
      </c>
      <c r="P311" s="13">
        <f t="shared" si="192"/>
        <v>916280</v>
      </c>
      <c r="Q311" s="56">
        <f t="shared" si="193"/>
        <v>323178</v>
      </c>
      <c r="R311" s="13">
        <f t="shared" si="194"/>
        <v>1580.9413265306123</v>
      </c>
      <c r="S311" s="13">
        <f t="shared" si="195"/>
        <v>1168.7244897959183</v>
      </c>
      <c r="T311" s="16">
        <f t="shared" si="196"/>
        <v>412.21683673469386</v>
      </c>
      <c r="U311" s="15">
        <f>+SUMIF('GE16FEB14 Tax Bill Unfudged'!$A$2:$A$498, 'Tax Bill Summary'!$A311, 'GE16FEB14 Tax Bill Unfudged'!E$2:E$498)</f>
        <v>76452</v>
      </c>
      <c r="V311" s="13">
        <f>+SUMIF('GE16FEB14 Tax Bill Unfudged'!$A$2:$A$498, 'Tax Bill Summary'!$A311, 'GE16FEB14 Tax Bill Unfudged'!F$2:F$498)</f>
        <v>46211</v>
      </c>
      <c r="W311" s="56">
        <f t="shared" si="197"/>
        <v>30241</v>
      </c>
      <c r="X311" s="51">
        <f>+SUMIF('GE16FEB14 Tax Bill Unfudged'!$A$2:$A$498, 'Tax Bill Summary'!$A311, 'GE16FEB14 Tax Bill Unfudged'!G$2:G$498)</f>
        <v>332416</v>
      </c>
      <c r="Y311" s="13">
        <f>+SUMIF('GE16FEB14 Tax Bill Unfudged'!$A$2:$A$498, 'Tax Bill Summary'!$A311, 'GE16FEB14 Tax Bill Unfudged'!H$2:H$498)</f>
        <v>200927</v>
      </c>
      <c r="Z311" s="56">
        <f t="shared" si="198"/>
        <v>131489</v>
      </c>
      <c r="AA311" s="51">
        <f>+SUMIF('GE16FEB14 Tax Bill Unfudged'!$A$2:$A$498, 'Tax Bill Summary'!$A311, 'GE16FEB14 Tax Bill Unfudged'!I$2:I$498)</f>
        <v>836975</v>
      </c>
      <c r="AB311" s="13">
        <f>+SUMIF('GE16FEB14 Tax Bill Unfudged'!$A$2:$A$498, 'Tax Bill Summary'!$A311, 'GE16FEB14 Tax Bill Unfudged'!J$2:J$498)</f>
        <v>541512</v>
      </c>
      <c r="AC311" s="56">
        <f t="shared" si="199"/>
        <v>295463</v>
      </c>
      <c r="AD311" s="51">
        <f t="shared" si="200"/>
        <v>1245843</v>
      </c>
      <c r="AE311" s="13">
        <f t="shared" si="201"/>
        <v>788650</v>
      </c>
      <c r="AF311" s="56">
        <f t="shared" si="202"/>
        <v>457193</v>
      </c>
      <c r="AG311" s="13">
        <f t="shared" si="203"/>
        <v>1589.0854591836735</v>
      </c>
      <c r="AH311" s="13">
        <f t="shared" si="204"/>
        <v>1005.9311224489796</v>
      </c>
      <c r="AI311" s="16">
        <f t="shared" si="205"/>
        <v>583.15433673469386</v>
      </c>
      <c r="AJ311" s="15">
        <f t="shared" si="206"/>
        <v>6385</v>
      </c>
      <c r="AK311" s="13">
        <f t="shared" si="207"/>
        <v>3859</v>
      </c>
      <c r="AL311" s="56">
        <f t="shared" si="208"/>
        <v>2526</v>
      </c>
      <c r="AM311" s="51">
        <f t="shared" si="209"/>
        <v>332416</v>
      </c>
      <c r="AN311" s="13">
        <f t="shared" si="210"/>
        <v>200927</v>
      </c>
      <c r="AO311" s="56">
        <f t="shared" si="211"/>
        <v>131489</v>
      </c>
      <c r="AP311" s="51">
        <f t="shared" si="212"/>
        <v>-332416</v>
      </c>
      <c r="AQ311" s="13">
        <f t="shared" si="213"/>
        <v>-332416</v>
      </c>
      <c r="AR311" s="56">
        <f t="shared" si="214"/>
        <v>0</v>
      </c>
      <c r="AS311" s="51">
        <f t="shared" si="215"/>
        <v>6385</v>
      </c>
      <c r="AT311" s="13">
        <f t="shared" si="216"/>
        <v>-127630</v>
      </c>
      <c r="AU311" s="56">
        <f t="shared" si="217"/>
        <v>134015</v>
      </c>
      <c r="AV311" s="13">
        <f t="shared" si="218"/>
        <v>8.1441326530612059</v>
      </c>
      <c r="AW311" s="13">
        <f t="shared" si="219"/>
        <v>-162.79336734693868</v>
      </c>
      <c r="AX311" s="16">
        <f t="shared" si="220"/>
        <v>170.9375</v>
      </c>
    </row>
    <row r="312" spans="1:50" x14ac:dyDescent="0.25">
      <c r="A312" s="20">
        <v>2358</v>
      </c>
      <c r="B312">
        <v>1</v>
      </c>
      <c r="C312" s="23" t="s">
        <v>423</v>
      </c>
      <c r="D312" s="23">
        <v>6</v>
      </c>
      <c r="E312" s="15">
        <f>+SUMIF('GE16FEB14 Unfudged'!$A$2:$A$498, $A312, 'GE16FEB14 Unfudged'!$D$2:$D$498)</f>
        <v>220</v>
      </c>
      <c r="F312" s="15">
        <f>+SUMIF('GE16FEB14 Unfudged'!$A$2:$A$498, 'Tax Bill Summary'!$A312, 'GE16FEB14 Unfudged'!E$2:E$498)</f>
        <v>17887</v>
      </c>
      <c r="G312" s="13">
        <f>+SUMIF('GE16FEB14 Unfudged'!$A$2:$A$498, 'Tax Bill Summary'!$A312, 'GE16FEB14 Unfudged'!F$2:F$498)</f>
        <v>7629</v>
      </c>
      <c r="H312" s="56">
        <f t="shared" si="188"/>
        <v>10258</v>
      </c>
      <c r="I312" s="51">
        <f>+SUMIF('GE16FEB14 Unfudged'!$A$2:$A$498, 'Tax Bill Summary'!$A312, 'GE16FEB14 Unfudged'!G$2:G$498)</f>
        <v>0</v>
      </c>
      <c r="J312" s="13">
        <f>+SUMIF('GE16FEB14 Unfudged'!$A$2:$A$498, 'Tax Bill Summary'!$A312, 'GE16FEB14 Unfudged'!H$2:H$498)</f>
        <v>0</v>
      </c>
      <c r="K312" s="56">
        <f t="shared" si="189"/>
        <v>0</v>
      </c>
      <c r="L312" s="51">
        <f>+SUMIF('GE16FEB14 Unfudged'!$A$2:$A$498, 'Tax Bill Summary'!$A312, 'GE16FEB14 Unfudged'!I$2:IF$498)</f>
        <v>368068</v>
      </c>
      <c r="M312" s="13">
        <f>+SUMIF('GE16FEB14 Unfudged'!$A$2:$A$498, 'Tax Bill Summary'!$A312, 'GE16FEB14 Unfudged'!J$2:IG$498)</f>
        <v>210026</v>
      </c>
      <c r="N312" s="56">
        <f t="shared" si="190"/>
        <v>158042</v>
      </c>
      <c r="O312" s="51">
        <f t="shared" si="191"/>
        <v>385955</v>
      </c>
      <c r="P312" s="13">
        <f t="shared" si="192"/>
        <v>217655</v>
      </c>
      <c r="Q312" s="56">
        <f t="shared" si="193"/>
        <v>168300</v>
      </c>
      <c r="R312" s="13">
        <f t="shared" si="194"/>
        <v>1754.340909090909</v>
      </c>
      <c r="S312" s="13">
        <f t="shared" si="195"/>
        <v>989.34090909090912</v>
      </c>
      <c r="T312" s="16">
        <f t="shared" si="196"/>
        <v>765</v>
      </c>
      <c r="U312" s="15">
        <f>+SUMIF('GE16FEB14 Tax Bill Unfudged'!$A$2:$A$498, 'Tax Bill Summary'!$A312, 'GE16FEB14 Tax Bill Unfudged'!E$2:E$498)</f>
        <v>19102</v>
      </c>
      <c r="V312" s="13">
        <f>+SUMIF('GE16FEB14 Tax Bill Unfudged'!$A$2:$A$498, 'Tax Bill Summary'!$A312, 'GE16FEB14 Tax Bill Unfudged'!F$2:F$498)</f>
        <v>8147</v>
      </c>
      <c r="W312" s="56">
        <f t="shared" si="197"/>
        <v>10955</v>
      </c>
      <c r="X312" s="51">
        <f>+SUMIF('GE16FEB14 Tax Bill Unfudged'!$A$2:$A$498, 'Tax Bill Summary'!$A312, 'GE16FEB14 Tax Bill Unfudged'!G$2:G$498)</f>
        <v>93428</v>
      </c>
      <c r="Y312" s="13">
        <f>+SUMIF('GE16FEB14 Tax Bill Unfudged'!$A$2:$A$498, 'Tax Bill Summary'!$A312, 'GE16FEB14 Tax Bill Unfudged'!H$2:H$498)</f>
        <v>39846</v>
      </c>
      <c r="Z312" s="56">
        <f t="shared" si="198"/>
        <v>53582</v>
      </c>
      <c r="AA312" s="51">
        <f>+SUMIF('GE16FEB14 Tax Bill Unfudged'!$A$2:$A$498, 'Tax Bill Summary'!$A312, 'GE16FEB14 Tax Bill Unfudged'!I$2:I$498)</f>
        <v>274640</v>
      </c>
      <c r="AB312" s="13">
        <f>+SUMIF('GE16FEB14 Tax Bill Unfudged'!$A$2:$A$498, 'Tax Bill Summary'!$A312, 'GE16FEB14 Tax Bill Unfudged'!J$2:J$498)</f>
        <v>139952</v>
      </c>
      <c r="AC312" s="56">
        <f t="shared" si="199"/>
        <v>134688</v>
      </c>
      <c r="AD312" s="51">
        <f t="shared" si="200"/>
        <v>387170</v>
      </c>
      <c r="AE312" s="13">
        <f t="shared" si="201"/>
        <v>187945</v>
      </c>
      <c r="AF312" s="56">
        <f t="shared" si="202"/>
        <v>199225</v>
      </c>
      <c r="AG312" s="13">
        <f t="shared" si="203"/>
        <v>1759.8636363636363</v>
      </c>
      <c r="AH312" s="13">
        <f t="shared" si="204"/>
        <v>854.2954545454545</v>
      </c>
      <c r="AI312" s="16">
        <f t="shared" si="205"/>
        <v>905.56818181818187</v>
      </c>
      <c r="AJ312" s="15">
        <f t="shared" si="206"/>
        <v>1215</v>
      </c>
      <c r="AK312" s="13">
        <f t="shared" si="207"/>
        <v>518</v>
      </c>
      <c r="AL312" s="56">
        <f t="shared" si="208"/>
        <v>697</v>
      </c>
      <c r="AM312" s="51">
        <f t="shared" si="209"/>
        <v>93428</v>
      </c>
      <c r="AN312" s="13">
        <f t="shared" si="210"/>
        <v>39846</v>
      </c>
      <c r="AO312" s="56">
        <f t="shared" si="211"/>
        <v>53582</v>
      </c>
      <c r="AP312" s="51">
        <f t="shared" si="212"/>
        <v>-93428</v>
      </c>
      <c r="AQ312" s="13">
        <f t="shared" si="213"/>
        <v>-70074</v>
      </c>
      <c r="AR312" s="56">
        <f t="shared" si="214"/>
        <v>-23354</v>
      </c>
      <c r="AS312" s="51">
        <f t="shared" si="215"/>
        <v>1215</v>
      </c>
      <c r="AT312" s="13">
        <f t="shared" si="216"/>
        <v>-29710</v>
      </c>
      <c r="AU312" s="56">
        <f t="shared" si="217"/>
        <v>30925</v>
      </c>
      <c r="AV312" s="13">
        <f t="shared" si="218"/>
        <v>5.5227272727272521</v>
      </c>
      <c r="AW312" s="13">
        <f t="shared" si="219"/>
        <v>-135.04545454545462</v>
      </c>
      <c r="AX312" s="16">
        <f t="shared" si="220"/>
        <v>140.56818181818187</v>
      </c>
    </row>
    <row r="313" spans="1:50" x14ac:dyDescent="0.25">
      <c r="A313" s="20">
        <v>2364</v>
      </c>
      <c r="B313">
        <v>1</v>
      </c>
      <c r="C313" s="23" t="s">
        <v>424</v>
      </c>
      <c r="D313" s="23">
        <v>6</v>
      </c>
      <c r="E313" s="15">
        <f>+SUMIF('GE16FEB14 Unfudged'!$A$2:$A$498, $A313, 'GE16FEB14 Unfudged'!$D$2:$D$498)</f>
        <v>679</v>
      </c>
      <c r="F313" s="15">
        <f>+SUMIF('GE16FEB14 Unfudged'!$A$2:$A$498, 'Tax Bill Summary'!$A313, 'GE16FEB14 Unfudged'!E$2:E$498)</f>
        <v>77887</v>
      </c>
      <c r="G313" s="13">
        <f>+SUMIF('GE16FEB14 Unfudged'!$A$2:$A$498, 'Tax Bill Summary'!$A313, 'GE16FEB14 Unfudged'!F$2:F$498)</f>
        <v>44911</v>
      </c>
      <c r="H313" s="56">
        <f t="shared" si="188"/>
        <v>32976</v>
      </c>
      <c r="I313" s="51">
        <f>+SUMIF('GE16FEB14 Unfudged'!$A$2:$A$498, 'Tax Bill Summary'!$A313, 'GE16FEB14 Unfudged'!G$2:G$498)</f>
        <v>0</v>
      </c>
      <c r="J313" s="13">
        <f>+SUMIF('GE16FEB14 Unfudged'!$A$2:$A$498, 'Tax Bill Summary'!$A313, 'GE16FEB14 Unfudged'!H$2:H$498)</f>
        <v>0</v>
      </c>
      <c r="K313" s="56">
        <f t="shared" si="189"/>
        <v>0</v>
      </c>
      <c r="L313" s="51">
        <f>+SUMIF('GE16FEB14 Unfudged'!$A$2:$A$498, 'Tax Bill Summary'!$A313, 'GE16FEB14 Unfudged'!I$2:IF$498)</f>
        <v>637858</v>
      </c>
      <c r="M313" s="13">
        <f>+SUMIF('GE16FEB14 Unfudged'!$A$2:$A$498, 'Tax Bill Summary'!$A313, 'GE16FEB14 Unfudged'!J$2:IG$498)</f>
        <v>369952</v>
      </c>
      <c r="N313" s="56">
        <f t="shared" si="190"/>
        <v>267906</v>
      </c>
      <c r="O313" s="51">
        <f t="shared" si="191"/>
        <v>715745</v>
      </c>
      <c r="P313" s="13">
        <f t="shared" si="192"/>
        <v>414863</v>
      </c>
      <c r="Q313" s="56">
        <f t="shared" si="193"/>
        <v>300882</v>
      </c>
      <c r="R313" s="13">
        <f t="shared" si="194"/>
        <v>1054.1163475699559</v>
      </c>
      <c r="S313" s="13">
        <f t="shared" si="195"/>
        <v>610.99116347569952</v>
      </c>
      <c r="T313" s="16">
        <f t="shared" si="196"/>
        <v>443.12518409425627</v>
      </c>
      <c r="U313" s="15">
        <f>+SUMIF('GE16FEB14 Tax Bill Unfudged'!$A$2:$A$498, 'Tax Bill Summary'!$A313, 'GE16FEB14 Tax Bill Unfudged'!E$2:E$498)</f>
        <v>88937</v>
      </c>
      <c r="V313" s="13">
        <f>+SUMIF('GE16FEB14 Tax Bill Unfudged'!$A$2:$A$498, 'Tax Bill Summary'!$A313, 'GE16FEB14 Tax Bill Unfudged'!F$2:F$498)</f>
        <v>51283</v>
      </c>
      <c r="W313" s="56">
        <f t="shared" si="197"/>
        <v>37654</v>
      </c>
      <c r="X313" s="51">
        <f>+SUMIF('GE16FEB14 Tax Bill Unfudged'!$A$2:$A$498, 'Tax Bill Summary'!$A313, 'GE16FEB14 Tax Bill Unfudged'!G$2:G$498)</f>
        <v>287938</v>
      </c>
      <c r="Y313" s="13">
        <f>+SUMIF('GE16FEB14 Tax Bill Unfudged'!$A$2:$A$498, 'Tax Bill Summary'!$A313, 'GE16FEB14 Tax Bill Unfudged'!H$2:H$498)</f>
        <v>166031</v>
      </c>
      <c r="Z313" s="56">
        <f t="shared" si="198"/>
        <v>121907</v>
      </c>
      <c r="AA313" s="51">
        <f>+SUMIF('GE16FEB14 Tax Bill Unfudged'!$A$2:$A$498, 'Tax Bill Summary'!$A313, 'GE16FEB14 Tax Bill Unfudged'!I$2:I$498)</f>
        <v>349920</v>
      </c>
      <c r="AB313" s="13">
        <f>+SUMIF('GE16FEB14 Tax Bill Unfudged'!$A$2:$A$498, 'Tax Bill Summary'!$A313, 'GE16FEB14 Tax Bill Unfudged'!J$2:J$498)</f>
        <v>152378</v>
      </c>
      <c r="AC313" s="56">
        <f t="shared" si="199"/>
        <v>197542</v>
      </c>
      <c r="AD313" s="51">
        <f t="shared" si="200"/>
        <v>726795</v>
      </c>
      <c r="AE313" s="13">
        <f t="shared" si="201"/>
        <v>369692</v>
      </c>
      <c r="AF313" s="56">
        <f t="shared" si="202"/>
        <v>357103</v>
      </c>
      <c r="AG313" s="13">
        <f t="shared" si="203"/>
        <v>1070.3902798232696</v>
      </c>
      <c r="AH313" s="13">
        <f t="shared" si="204"/>
        <v>544.46539027982328</v>
      </c>
      <c r="AI313" s="16">
        <f t="shared" si="205"/>
        <v>525.92488954344628</v>
      </c>
      <c r="AJ313" s="15">
        <f t="shared" si="206"/>
        <v>11050</v>
      </c>
      <c r="AK313" s="13">
        <f t="shared" si="207"/>
        <v>6372</v>
      </c>
      <c r="AL313" s="56">
        <f t="shared" si="208"/>
        <v>4678</v>
      </c>
      <c r="AM313" s="51">
        <f t="shared" si="209"/>
        <v>287938</v>
      </c>
      <c r="AN313" s="13">
        <f t="shared" si="210"/>
        <v>166031</v>
      </c>
      <c r="AO313" s="56">
        <f t="shared" si="211"/>
        <v>121907</v>
      </c>
      <c r="AP313" s="51">
        <f t="shared" si="212"/>
        <v>-287938</v>
      </c>
      <c r="AQ313" s="13">
        <f t="shared" si="213"/>
        <v>-217574</v>
      </c>
      <c r="AR313" s="56">
        <f t="shared" si="214"/>
        <v>-70364</v>
      </c>
      <c r="AS313" s="51">
        <f t="shared" si="215"/>
        <v>11050</v>
      </c>
      <c r="AT313" s="13">
        <f t="shared" si="216"/>
        <v>-45171</v>
      </c>
      <c r="AU313" s="56">
        <f t="shared" si="217"/>
        <v>56221</v>
      </c>
      <c r="AV313" s="13">
        <f t="shared" si="218"/>
        <v>16.27393225331366</v>
      </c>
      <c r="AW313" s="13">
        <f t="shared" si="219"/>
        <v>-66.525773195876241</v>
      </c>
      <c r="AX313" s="16">
        <f t="shared" si="220"/>
        <v>82.799705449190014</v>
      </c>
    </row>
    <row r="314" spans="1:50" x14ac:dyDescent="0.25">
      <c r="A314" s="20">
        <v>2365</v>
      </c>
      <c r="B314">
        <v>1</v>
      </c>
      <c r="C314" s="23" t="s">
        <v>9</v>
      </c>
      <c r="D314" s="23">
        <v>6</v>
      </c>
      <c r="E314" s="15">
        <f>+SUMIF('GE16FEB14 Unfudged'!$A$2:$A$498, $A314, 'GE16FEB14 Unfudged'!$D$2:$D$498)</f>
        <v>893</v>
      </c>
      <c r="F314" s="15">
        <f>+SUMIF('GE16FEB14 Unfudged'!$A$2:$A$498, 'Tax Bill Summary'!$A314, 'GE16FEB14 Unfudged'!E$2:E$498)</f>
        <v>102662</v>
      </c>
      <c r="G314" s="13">
        <f>+SUMIF('GE16FEB14 Unfudged'!$A$2:$A$498, 'Tax Bill Summary'!$A314, 'GE16FEB14 Unfudged'!F$2:F$498)</f>
        <v>62811</v>
      </c>
      <c r="H314" s="56">
        <f t="shared" si="188"/>
        <v>39851</v>
      </c>
      <c r="I314" s="51">
        <f>+SUMIF('GE16FEB14 Unfudged'!$A$2:$A$498, 'Tax Bill Summary'!$A314, 'GE16FEB14 Unfudged'!G$2:G$498)</f>
        <v>0</v>
      </c>
      <c r="J314" s="13">
        <f>+SUMIF('GE16FEB14 Unfudged'!$A$2:$A$498, 'Tax Bill Summary'!$A314, 'GE16FEB14 Unfudged'!H$2:H$498)</f>
        <v>0</v>
      </c>
      <c r="K314" s="56">
        <f t="shared" si="189"/>
        <v>0</v>
      </c>
      <c r="L314" s="51">
        <f>+SUMIF('GE16FEB14 Unfudged'!$A$2:$A$498, 'Tax Bill Summary'!$A314, 'GE16FEB14 Unfudged'!I$2:IF$498)</f>
        <v>834864</v>
      </c>
      <c r="M314" s="13">
        <f>+SUMIF('GE16FEB14 Unfudged'!$A$2:$A$498, 'Tax Bill Summary'!$A314, 'GE16FEB14 Unfudged'!J$2:IG$498)</f>
        <v>502354</v>
      </c>
      <c r="N314" s="56">
        <f t="shared" si="190"/>
        <v>332510</v>
      </c>
      <c r="O314" s="51">
        <f t="shared" si="191"/>
        <v>937526</v>
      </c>
      <c r="P314" s="13">
        <f t="shared" si="192"/>
        <v>565165</v>
      </c>
      <c r="Q314" s="56">
        <f t="shared" si="193"/>
        <v>372361</v>
      </c>
      <c r="R314" s="13">
        <f t="shared" si="194"/>
        <v>1049.8611422172453</v>
      </c>
      <c r="S314" s="13">
        <f t="shared" si="195"/>
        <v>632.8835386338186</v>
      </c>
      <c r="T314" s="16">
        <f t="shared" si="196"/>
        <v>416.97760358342663</v>
      </c>
      <c r="U314" s="15">
        <f>+SUMIF('GE16FEB14 Tax Bill Unfudged'!$A$2:$A$498, 'Tax Bill Summary'!$A314, 'GE16FEB14 Tax Bill Unfudged'!E$2:E$498)</f>
        <v>117261</v>
      </c>
      <c r="V314" s="13">
        <f>+SUMIF('GE16FEB14 Tax Bill Unfudged'!$A$2:$A$498, 'Tax Bill Summary'!$A314, 'GE16FEB14 Tax Bill Unfudged'!F$2:F$498)</f>
        <v>71743</v>
      </c>
      <c r="W314" s="56">
        <f t="shared" si="197"/>
        <v>45518</v>
      </c>
      <c r="X314" s="51">
        <f>+SUMIF('GE16FEB14 Tax Bill Unfudged'!$A$2:$A$498, 'Tax Bill Summary'!$A314, 'GE16FEB14 Tax Bill Unfudged'!G$2:G$498)</f>
        <v>378802</v>
      </c>
      <c r="Y314" s="13">
        <f>+SUMIF('GE16FEB14 Tax Bill Unfudged'!$A$2:$A$498, 'Tax Bill Summary'!$A314, 'GE16FEB14 Tax Bill Unfudged'!H$2:H$498)</f>
        <v>231761</v>
      </c>
      <c r="Z314" s="56">
        <f t="shared" si="198"/>
        <v>147041</v>
      </c>
      <c r="AA314" s="51">
        <f>+SUMIF('GE16FEB14 Tax Bill Unfudged'!$A$2:$A$498, 'Tax Bill Summary'!$A314, 'GE16FEB14 Tax Bill Unfudged'!I$2:I$498)</f>
        <v>456063</v>
      </c>
      <c r="AB314" s="13">
        <f>+SUMIF('GE16FEB14 Tax Bill Unfudged'!$A$2:$A$498, 'Tax Bill Summary'!$A314, 'GE16FEB14 Tax Bill Unfudged'!J$2:J$498)</f>
        <v>210085</v>
      </c>
      <c r="AC314" s="56">
        <f t="shared" si="199"/>
        <v>245978</v>
      </c>
      <c r="AD314" s="51">
        <f t="shared" si="200"/>
        <v>952126</v>
      </c>
      <c r="AE314" s="13">
        <f t="shared" si="201"/>
        <v>513589</v>
      </c>
      <c r="AF314" s="56">
        <f t="shared" si="202"/>
        <v>438537</v>
      </c>
      <c r="AG314" s="13">
        <f t="shared" si="203"/>
        <v>1066.2105263157894</v>
      </c>
      <c r="AH314" s="13">
        <f t="shared" si="204"/>
        <v>575.12765957446811</v>
      </c>
      <c r="AI314" s="16">
        <f t="shared" si="205"/>
        <v>491.08286674132137</v>
      </c>
      <c r="AJ314" s="15">
        <f t="shared" si="206"/>
        <v>14599</v>
      </c>
      <c r="AK314" s="13">
        <f t="shared" si="207"/>
        <v>8932</v>
      </c>
      <c r="AL314" s="56">
        <f t="shared" si="208"/>
        <v>5667</v>
      </c>
      <c r="AM314" s="51">
        <f t="shared" si="209"/>
        <v>378802</v>
      </c>
      <c r="AN314" s="13">
        <f t="shared" si="210"/>
        <v>231761</v>
      </c>
      <c r="AO314" s="56">
        <f t="shared" si="211"/>
        <v>147041</v>
      </c>
      <c r="AP314" s="51">
        <f t="shared" si="212"/>
        <v>-378801</v>
      </c>
      <c r="AQ314" s="13">
        <f t="shared" si="213"/>
        <v>-292269</v>
      </c>
      <c r="AR314" s="56">
        <f t="shared" si="214"/>
        <v>-86532</v>
      </c>
      <c r="AS314" s="51">
        <f t="shared" si="215"/>
        <v>14600</v>
      </c>
      <c r="AT314" s="13">
        <f t="shared" si="216"/>
        <v>-51576</v>
      </c>
      <c r="AU314" s="56">
        <f t="shared" si="217"/>
        <v>66176</v>
      </c>
      <c r="AV314" s="13">
        <f t="shared" si="218"/>
        <v>16.349384098544078</v>
      </c>
      <c r="AW314" s="13">
        <f t="shared" si="219"/>
        <v>-57.755879059350491</v>
      </c>
      <c r="AX314" s="16">
        <f t="shared" si="220"/>
        <v>74.10526315789474</v>
      </c>
    </row>
    <row r="315" spans="1:50" x14ac:dyDescent="0.25">
      <c r="A315" s="20">
        <v>2396</v>
      </c>
      <c r="B315">
        <v>1</v>
      </c>
      <c r="C315" s="23" t="s">
        <v>10</v>
      </c>
      <c r="D315" s="23">
        <v>6</v>
      </c>
      <c r="E315" s="15">
        <f>+SUMIF('GE16FEB14 Unfudged'!$A$2:$A$498, $A315, 'GE16FEB14 Unfudged'!$D$2:$D$498)</f>
        <v>841</v>
      </c>
      <c r="F315" s="15">
        <f>+SUMIF('GE16FEB14 Unfudged'!$A$2:$A$498, 'Tax Bill Summary'!$A315, 'GE16FEB14 Unfudged'!E$2:E$498)</f>
        <v>85339</v>
      </c>
      <c r="G315" s="13">
        <f>+SUMIF('GE16FEB14 Unfudged'!$A$2:$A$498, 'Tax Bill Summary'!$A315, 'GE16FEB14 Unfudged'!F$2:F$498)</f>
        <v>60594</v>
      </c>
      <c r="H315" s="56">
        <f t="shared" si="188"/>
        <v>24745</v>
      </c>
      <c r="I315" s="51">
        <f>+SUMIF('GE16FEB14 Unfudged'!$A$2:$A$498, 'Tax Bill Summary'!$A315, 'GE16FEB14 Unfudged'!G$2:G$498)</f>
        <v>0</v>
      </c>
      <c r="J315" s="13">
        <f>+SUMIF('GE16FEB14 Unfudged'!$A$2:$A$498, 'Tax Bill Summary'!$A315, 'GE16FEB14 Unfudged'!H$2:H$498)</f>
        <v>0</v>
      </c>
      <c r="K315" s="56">
        <f t="shared" si="189"/>
        <v>0</v>
      </c>
      <c r="L315" s="51">
        <f>+SUMIF('GE16FEB14 Unfudged'!$A$2:$A$498, 'Tax Bill Summary'!$A315, 'GE16FEB14 Unfudged'!I$2:IF$498)</f>
        <v>1033786</v>
      </c>
      <c r="M315" s="13">
        <f>+SUMIF('GE16FEB14 Unfudged'!$A$2:$A$498, 'Tax Bill Summary'!$A315, 'GE16FEB14 Unfudged'!J$2:IG$498)</f>
        <v>773006</v>
      </c>
      <c r="N315" s="56">
        <f t="shared" si="190"/>
        <v>260780</v>
      </c>
      <c r="O315" s="51">
        <f t="shared" si="191"/>
        <v>1119125</v>
      </c>
      <c r="P315" s="13">
        <f t="shared" si="192"/>
        <v>833600</v>
      </c>
      <c r="Q315" s="56">
        <f t="shared" si="193"/>
        <v>285525</v>
      </c>
      <c r="R315" s="13">
        <f t="shared" si="194"/>
        <v>1330.7074910820452</v>
      </c>
      <c r="S315" s="13">
        <f t="shared" si="195"/>
        <v>991.20095124851366</v>
      </c>
      <c r="T315" s="16">
        <f t="shared" si="196"/>
        <v>339.50653983353152</v>
      </c>
      <c r="U315" s="15">
        <f>+SUMIF('GE16FEB14 Tax Bill Unfudged'!$A$2:$A$498, 'Tax Bill Summary'!$A315, 'GE16FEB14 Tax Bill Unfudged'!E$2:E$498)</f>
        <v>95446</v>
      </c>
      <c r="V315" s="13">
        <f>+SUMIF('GE16FEB14 Tax Bill Unfudged'!$A$2:$A$498, 'Tax Bill Summary'!$A315, 'GE16FEB14 Tax Bill Unfudged'!F$2:F$498)</f>
        <v>67770</v>
      </c>
      <c r="W315" s="56">
        <f t="shared" si="197"/>
        <v>27676</v>
      </c>
      <c r="X315" s="51">
        <f>+SUMIF('GE16FEB14 Tax Bill Unfudged'!$A$2:$A$498, 'Tax Bill Summary'!$A315, 'GE16FEB14 Tax Bill Unfudged'!G$2:G$498)</f>
        <v>356754</v>
      </c>
      <c r="Y315" s="13">
        <f>+SUMIF('GE16FEB14 Tax Bill Unfudged'!$A$2:$A$498, 'Tax Bill Summary'!$A315, 'GE16FEB14 Tax Bill Unfudged'!H$2:H$498)</f>
        <v>253307</v>
      </c>
      <c r="Z315" s="56">
        <f t="shared" si="198"/>
        <v>103447</v>
      </c>
      <c r="AA315" s="51">
        <f>+SUMIF('GE16FEB14 Tax Bill Unfudged'!$A$2:$A$498, 'Tax Bill Summary'!$A315, 'GE16FEB14 Tax Bill Unfudged'!I$2:I$498)</f>
        <v>677033</v>
      </c>
      <c r="AB315" s="13">
        <f>+SUMIF('GE16FEB14 Tax Bill Unfudged'!$A$2:$A$498, 'Tax Bill Summary'!$A315, 'GE16FEB14 Tax Bill Unfudged'!J$2:J$498)</f>
        <v>416253</v>
      </c>
      <c r="AC315" s="56">
        <f t="shared" si="199"/>
        <v>260780</v>
      </c>
      <c r="AD315" s="51">
        <f t="shared" si="200"/>
        <v>1129233</v>
      </c>
      <c r="AE315" s="13">
        <f t="shared" si="201"/>
        <v>737330</v>
      </c>
      <c r="AF315" s="56">
        <f t="shared" si="202"/>
        <v>391903</v>
      </c>
      <c r="AG315" s="13">
        <f t="shared" si="203"/>
        <v>1342.7265160523186</v>
      </c>
      <c r="AH315" s="13">
        <f t="shared" si="204"/>
        <v>876.73008323424494</v>
      </c>
      <c r="AI315" s="16">
        <f t="shared" si="205"/>
        <v>465.99643281807374</v>
      </c>
      <c r="AJ315" s="15">
        <f t="shared" si="206"/>
        <v>10107</v>
      </c>
      <c r="AK315" s="13">
        <f t="shared" si="207"/>
        <v>7176</v>
      </c>
      <c r="AL315" s="56">
        <f t="shared" si="208"/>
        <v>2931</v>
      </c>
      <c r="AM315" s="51">
        <f t="shared" si="209"/>
        <v>356754</v>
      </c>
      <c r="AN315" s="13">
        <f t="shared" si="210"/>
        <v>253307</v>
      </c>
      <c r="AO315" s="56">
        <f t="shared" si="211"/>
        <v>103447</v>
      </c>
      <c r="AP315" s="51">
        <f t="shared" si="212"/>
        <v>-356753</v>
      </c>
      <c r="AQ315" s="13">
        <f t="shared" si="213"/>
        <v>-356753</v>
      </c>
      <c r="AR315" s="56">
        <f t="shared" si="214"/>
        <v>0</v>
      </c>
      <c r="AS315" s="51">
        <f t="shared" si="215"/>
        <v>10108</v>
      </c>
      <c r="AT315" s="13">
        <f t="shared" si="216"/>
        <v>-96270</v>
      </c>
      <c r="AU315" s="56">
        <f t="shared" si="217"/>
        <v>106378</v>
      </c>
      <c r="AV315" s="13">
        <f t="shared" si="218"/>
        <v>12.019024970273449</v>
      </c>
      <c r="AW315" s="13">
        <f t="shared" si="219"/>
        <v>-114.47086801426872</v>
      </c>
      <c r="AX315" s="16">
        <f t="shared" si="220"/>
        <v>126.48989298454222</v>
      </c>
    </row>
    <row r="316" spans="1:50" x14ac:dyDescent="0.25">
      <c r="A316" s="20">
        <v>2397</v>
      </c>
      <c r="B316">
        <v>1</v>
      </c>
      <c r="C316" s="23" t="s">
        <v>425</v>
      </c>
      <c r="D316" s="23">
        <v>5</v>
      </c>
      <c r="E316" s="15">
        <f>+SUMIF('GE16FEB14 Unfudged'!$A$2:$A$498, $A316, 'GE16FEB14 Unfudged'!$D$2:$D$498)</f>
        <v>1084</v>
      </c>
      <c r="F316" s="15">
        <f>+SUMIF('GE16FEB14 Unfudged'!$A$2:$A$498, 'Tax Bill Summary'!$A316, 'GE16FEB14 Unfudged'!E$2:E$498)</f>
        <v>145827</v>
      </c>
      <c r="G316" s="13">
        <f>+SUMIF('GE16FEB14 Unfudged'!$A$2:$A$498, 'Tax Bill Summary'!$A316, 'GE16FEB14 Unfudged'!F$2:F$498)</f>
        <v>106621</v>
      </c>
      <c r="H316" s="56">
        <f t="shared" si="188"/>
        <v>39206</v>
      </c>
      <c r="I316" s="51">
        <f>+SUMIF('GE16FEB14 Unfudged'!$A$2:$A$498, 'Tax Bill Summary'!$A316, 'GE16FEB14 Unfudged'!G$2:G$498)</f>
        <v>459701</v>
      </c>
      <c r="J316" s="13">
        <f>+SUMIF('GE16FEB14 Unfudged'!$A$2:$A$498, 'Tax Bill Summary'!$A316, 'GE16FEB14 Unfudged'!H$2:H$498)</f>
        <v>336108</v>
      </c>
      <c r="K316" s="56">
        <f t="shared" si="189"/>
        <v>123593</v>
      </c>
      <c r="L316" s="51">
        <f>+SUMIF('GE16FEB14 Unfudged'!$A$2:$A$498, 'Tax Bill Summary'!$A316, 'GE16FEB14 Unfudged'!I$2:IF$498)</f>
        <v>549874</v>
      </c>
      <c r="M316" s="13">
        <f>+SUMIF('GE16FEB14 Unfudged'!$A$2:$A$498, 'Tax Bill Summary'!$A316, 'GE16FEB14 Unfudged'!J$2:IG$498)</f>
        <v>302048</v>
      </c>
      <c r="N316" s="56">
        <f t="shared" si="190"/>
        <v>247826</v>
      </c>
      <c r="O316" s="51">
        <f t="shared" si="191"/>
        <v>1155402</v>
      </c>
      <c r="P316" s="13">
        <f t="shared" si="192"/>
        <v>744777</v>
      </c>
      <c r="Q316" s="56">
        <f t="shared" si="193"/>
        <v>410625</v>
      </c>
      <c r="R316" s="13">
        <f t="shared" si="194"/>
        <v>1065.8690036900368</v>
      </c>
      <c r="S316" s="13">
        <f t="shared" si="195"/>
        <v>687.06365313653134</v>
      </c>
      <c r="T316" s="16">
        <f t="shared" si="196"/>
        <v>378.80535055350555</v>
      </c>
      <c r="U316" s="15">
        <f>+SUMIF('GE16FEB14 Tax Bill Unfudged'!$A$2:$A$498, 'Tax Bill Summary'!$A316, 'GE16FEB14 Tax Bill Unfudged'!E$2:E$498)</f>
        <v>142522</v>
      </c>
      <c r="V316" s="13">
        <f>+SUMIF('GE16FEB14 Tax Bill Unfudged'!$A$2:$A$498, 'Tax Bill Summary'!$A316, 'GE16FEB14 Tax Bill Unfudged'!F$2:F$498)</f>
        <v>104204</v>
      </c>
      <c r="W316" s="56">
        <f t="shared" si="197"/>
        <v>38318</v>
      </c>
      <c r="X316" s="51">
        <f>+SUMIF('GE16FEB14 Tax Bill Unfudged'!$A$2:$A$498, 'Tax Bill Summary'!$A316, 'GE16FEB14 Tax Bill Unfudged'!G$2:G$498)</f>
        <v>459701</v>
      </c>
      <c r="Y316" s="13">
        <f>+SUMIF('GE16FEB14 Tax Bill Unfudged'!$A$2:$A$498, 'Tax Bill Summary'!$A316, 'GE16FEB14 Tax Bill Unfudged'!H$2:H$498)</f>
        <v>336108</v>
      </c>
      <c r="Z316" s="56">
        <f t="shared" si="198"/>
        <v>123593</v>
      </c>
      <c r="AA316" s="51">
        <f>+SUMIF('GE16FEB14 Tax Bill Unfudged'!$A$2:$A$498, 'Tax Bill Summary'!$A316, 'GE16FEB14 Tax Bill Unfudged'!I$2:I$498)</f>
        <v>549874</v>
      </c>
      <c r="AB316" s="13">
        <f>+SUMIF('GE16FEB14 Tax Bill Unfudged'!$A$2:$A$498, 'Tax Bill Summary'!$A316, 'GE16FEB14 Tax Bill Unfudged'!J$2:J$498)</f>
        <v>302048</v>
      </c>
      <c r="AC316" s="56">
        <f t="shared" si="199"/>
        <v>247826</v>
      </c>
      <c r="AD316" s="51">
        <f t="shared" si="200"/>
        <v>1152097</v>
      </c>
      <c r="AE316" s="13">
        <f t="shared" si="201"/>
        <v>742360</v>
      </c>
      <c r="AF316" s="56">
        <f t="shared" si="202"/>
        <v>409737</v>
      </c>
      <c r="AG316" s="13">
        <f t="shared" si="203"/>
        <v>1062.8201107011071</v>
      </c>
      <c r="AH316" s="13">
        <f t="shared" si="204"/>
        <v>684.83394833948341</v>
      </c>
      <c r="AI316" s="16">
        <f t="shared" si="205"/>
        <v>377.9861623616236</v>
      </c>
      <c r="AJ316" s="15">
        <f t="shared" si="206"/>
        <v>-3305</v>
      </c>
      <c r="AK316" s="13">
        <f t="shared" si="207"/>
        <v>-2417</v>
      </c>
      <c r="AL316" s="56">
        <f t="shared" si="208"/>
        <v>-888</v>
      </c>
      <c r="AM316" s="51">
        <f t="shared" si="209"/>
        <v>0</v>
      </c>
      <c r="AN316" s="13">
        <f t="shared" si="210"/>
        <v>0</v>
      </c>
      <c r="AO316" s="56">
        <f t="shared" si="211"/>
        <v>0</v>
      </c>
      <c r="AP316" s="51">
        <f t="shared" si="212"/>
        <v>0</v>
      </c>
      <c r="AQ316" s="13">
        <f t="shared" si="213"/>
        <v>0</v>
      </c>
      <c r="AR316" s="56">
        <f t="shared" si="214"/>
        <v>0</v>
      </c>
      <c r="AS316" s="51">
        <f t="shared" si="215"/>
        <v>-3305</v>
      </c>
      <c r="AT316" s="13">
        <f t="shared" si="216"/>
        <v>-2417</v>
      </c>
      <c r="AU316" s="56">
        <f t="shared" si="217"/>
        <v>-888</v>
      </c>
      <c r="AV316" s="13">
        <f t="shared" si="218"/>
        <v>-3.0488929889297651</v>
      </c>
      <c r="AW316" s="13">
        <f t="shared" si="219"/>
        <v>-2.2297047970479298</v>
      </c>
      <c r="AX316" s="16">
        <f t="shared" si="220"/>
        <v>-0.81918819188194902</v>
      </c>
    </row>
    <row r="317" spans="1:50" x14ac:dyDescent="0.25">
      <c r="A317" s="20">
        <v>2448</v>
      </c>
      <c r="B317">
        <v>1</v>
      </c>
      <c r="C317" s="23" t="s">
        <v>426</v>
      </c>
      <c r="D317" s="23">
        <v>6</v>
      </c>
      <c r="E317" s="15">
        <f>+SUMIF('GE16FEB14 Unfudged'!$A$2:$A$498, $A317, 'GE16FEB14 Unfudged'!$D$2:$D$498)</f>
        <v>812</v>
      </c>
      <c r="F317" s="15">
        <f>+SUMIF('GE16FEB14 Unfudged'!$A$2:$A$498, 'Tax Bill Summary'!$A317, 'GE16FEB14 Unfudged'!E$2:E$498)</f>
        <v>74046</v>
      </c>
      <c r="G317" s="13">
        <f>+SUMIF('GE16FEB14 Unfudged'!$A$2:$A$498, 'Tax Bill Summary'!$A317, 'GE16FEB14 Unfudged'!F$2:F$498)</f>
        <v>56804</v>
      </c>
      <c r="H317" s="56">
        <f t="shared" si="188"/>
        <v>17242</v>
      </c>
      <c r="I317" s="51">
        <f>+SUMIF('GE16FEB14 Unfudged'!$A$2:$A$498, 'Tax Bill Summary'!$A317, 'GE16FEB14 Unfudged'!G$2:G$498)</f>
        <v>0</v>
      </c>
      <c r="J317" s="13">
        <f>+SUMIF('GE16FEB14 Unfudged'!$A$2:$A$498, 'Tax Bill Summary'!$A317, 'GE16FEB14 Unfudged'!H$2:H$498)</f>
        <v>0</v>
      </c>
      <c r="K317" s="56">
        <f t="shared" si="189"/>
        <v>0</v>
      </c>
      <c r="L317" s="51">
        <f>+SUMIF('GE16FEB14 Unfudged'!$A$2:$A$498, 'Tax Bill Summary'!$A317, 'GE16FEB14 Unfudged'!I$2:IF$498)</f>
        <v>1178951</v>
      </c>
      <c r="M317" s="13">
        <f>+SUMIF('GE16FEB14 Unfudged'!$A$2:$A$498, 'Tax Bill Summary'!$A317, 'GE16FEB14 Unfudged'!J$2:IG$498)</f>
        <v>952959</v>
      </c>
      <c r="N317" s="56">
        <f t="shared" si="190"/>
        <v>225992</v>
      </c>
      <c r="O317" s="51">
        <f t="shared" si="191"/>
        <v>1252997</v>
      </c>
      <c r="P317" s="13">
        <f t="shared" si="192"/>
        <v>1009763</v>
      </c>
      <c r="Q317" s="56">
        <f t="shared" si="193"/>
        <v>243234</v>
      </c>
      <c r="R317" s="13">
        <f t="shared" si="194"/>
        <v>1543.0997536945813</v>
      </c>
      <c r="S317" s="13">
        <f t="shared" si="195"/>
        <v>1243.5504926108374</v>
      </c>
      <c r="T317" s="16">
        <f t="shared" si="196"/>
        <v>299.54926108374383</v>
      </c>
      <c r="U317" s="15">
        <f>+SUMIF('GE16FEB14 Tax Bill Unfudged'!$A$2:$A$498, 'Tax Bill Summary'!$A317, 'GE16FEB14 Tax Bill Unfudged'!E$2:E$498)</f>
        <v>81132</v>
      </c>
      <c r="V317" s="13">
        <f>+SUMIF('GE16FEB14 Tax Bill Unfudged'!$A$2:$A$498, 'Tax Bill Summary'!$A317, 'GE16FEB14 Tax Bill Unfudged'!F$2:F$498)</f>
        <v>62240</v>
      </c>
      <c r="W317" s="56">
        <f t="shared" si="197"/>
        <v>18892</v>
      </c>
      <c r="X317" s="51">
        <f>+SUMIF('GE16FEB14 Tax Bill Unfudged'!$A$2:$A$498, 'Tax Bill Summary'!$A317, 'GE16FEB14 Tax Bill Unfudged'!G$2:G$498)</f>
        <v>344288</v>
      </c>
      <c r="Y317" s="13">
        <f>+SUMIF('GE16FEB14 Tax Bill Unfudged'!$A$2:$A$498, 'Tax Bill Summary'!$A317, 'GE16FEB14 Tax Bill Unfudged'!H$2:H$498)</f>
        <v>264118</v>
      </c>
      <c r="Z317" s="56">
        <f t="shared" si="198"/>
        <v>80170</v>
      </c>
      <c r="AA317" s="51">
        <f>+SUMIF('GE16FEB14 Tax Bill Unfudged'!$A$2:$A$498, 'Tax Bill Summary'!$A317, 'GE16FEB14 Tax Bill Unfudged'!I$2:I$498)</f>
        <v>834663</v>
      </c>
      <c r="AB317" s="13">
        <f>+SUMIF('GE16FEB14 Tax Bill Unfudged'!$A$2:$A$498, 'Tax Bill Summary'!$A317, 'GE16FEB14 Tax Bill Unfudged'!J$2:J$498)</f>
        <v>608671</v>
      </c>
      <c r="AC317" s="56">
        <f t="shared" si="199"/>
        <v>225992</v>
      </c>
      <c r="AD317" s="51">
        <f t="shared" si="200"/>
        <v>1260083</v>
      </c>
      <c r="AE317" s="13">
        <f t="shared" si="201"/>
        <v>935029</v>
      </c>
      <c r="AF317" s="56">
        <f t="shared" si="202"/>
        <v>325054</v>
      </c>
      <c r="AG317" s="13">
        <f t="shared" si="203"/>
        <v>1551.826354679803</v>
      </c>
      <c r="AH317" s="13">
        <f t="shared" si="204"/>
        <v>1151.5135467980297</v>
      </c>
      <c r="AI317" s="16">
        <f t="shared" si="205"/>
        <v>400.31280788177338</v>
      </c>
      <c r="AJ317" s="15">
        <f t="shared" si="206"/>
        <v>7086</v>
      </c>
      <c r="AK317" s="13">
        <f t="shared" si="207"/>
        <v>5436</v>
      </c>
      <c r="AL317" s="56">
        <f t="shared" si="208"/>
        <v>1650</v>
      </c>
      <c r="AM317" s="51">
        <f t="shared" si="209"/>
        <v>344288</v>
      </c>
      <c r="AN317" s="13">
        <f t="shared" si="210"/>
        <v>264118</v>
      </c>
      <c r="AO317" s="56">
        <f t="shared" si="211"/>
        <v>80170</v>
      </c>
      <c r="AP317" s="51">
        <f t="shared" si="212"/>
        <v>-344288</v>
      </c>
      <c r="AQ317" s="13">
        <f t="shared" si="213"/>
        <v>-344288</v>
      </c>
      <c r="AR317" s="56">
        <f t="shared" si="214"/>
        <v>0</v>
      </c>
      <c r="AS317" s="51">
        <f t="shared" si="215"/>
        <v>7086</v>
      </c>
      <c r="AT317" s="13">
        <f t="shared" si="216"/>
        <v>-74734</v>
      </c>
      <c r="AU317" s="56">
        <f t="shared" si="217"/>
        <v>81820</v>
      </c>
      <c r="AV317" s="13">
        <f t="shared" si="218"/>
        <v>8.7266009852216939</v>
      </c>
      <c r="AW317" s="13">
        <f t="shared" si="219"/>
        <v>-92.036945812807744</v>
      </c>
      <c r="AX317" s="16">
        <f t="shared" si="220"/>
        <v>100.76354679802955</v>
      </c>
    </row>
    <row r="318" spans="1:50" x14ac:dyDescent="0.25">
      <c r="A318" s="20">
        <v>2527</v>
      </c>
      <c r="B318">
        <v>1</v>
      </c>
      <c r="C318" s="23" t="s">
        <v>427</v>
      </c>
      <c r="D318" s="23">
        <v>6</v>
      </c>
      <c r="E318" s="15">
        <f>+SUMIF('GE16FEB14 Unfudged'!$A$2:$A$498, $A318, 'GE16FEB14 Unfudged'!$D$2:$D$498)</f>
        <v>300</v>
      </c>
      <c r="F318" s="15">
        <f>+SUMIF('GE16FEB14 Unfudged'!$A$2:$A$498, 'Tax Bill Summary'!$A318, 'GE16FEB14 Unfudged'!E$2:E$498)</f>
        <v>24853</v>
      </c>
      <c r="G318" s="13">
        <f>+SUMIF('GE16FEB14 Unfudged'!$A$2:$A$498, 'Tax Bill Summary'!$A318, 'GE16FEB14 Unfudged'!F$2:F$498)</f>
        <v>9132</v>
      </c>
      <c r="H318" s="56">
        <f t="shared" si="188"/>
        <v>15721</v>
      </c>
      <c r="I318" s="51">
        <f>+SUMIF('GE16FEB14 Unfudged'!$A$2:$A$498, 'Tax Bill Summary'!$A318, 'GE16FEB14 Unfudged'!G$2:G$498)</f>
        <v>0</v>
      </c>
      <c r="J318" s="13">
        <f>+SUMIF('GE16FEB14 Unfudged'!$A$2:$A$498, 'Tax Bill Summary'!$A318, 'GE16FEB14 Unfudged'!H$2:H$498)</f>
        <v>0</v>
      </c>
      <c r="K318" s="56">
        <f t="shared" si="189"/>
        <v>0</v>
      </c>
      <c r="L318" s="51">
        <f>+SUMIF('GE16FEB14 Unfudged'!$A$2:$A$498, 'Tax Bill Summary'!$A318, 'GE16FEB14 Unfudged'!I$2:IF$498)</f>
        <v>488800</v>
      </c>
      <c r="M318" s="13">
        <f>+SUMIF('GE16FEB14 Unfudged'!$A$2:$A$498, 'Tax Bill Summary'!$A318, 'GE16FEB14 Unfudged'!J$2:IG$498)</f>
        <v>238514</v>
      </c>
      <c r="N318" s="56">
        <f t="shared" si="190"/>
        <v>250286</v>
      </c>
      <c r="O318" s="51">
        <f t="shared" si="191"/>
        <v>513653</v>
      </c>
      <c r="P318" s="13">
        <f t="shared" si="192"/>
        <v>247646</v>
      </c>
      <c r="Q318" s="56">
        <f t="shared" si="193"/>
        <v>266007</v>
      </c>
      <c r="R318" s="13">
        <f t="shared" si="194"/>
        <v>1712.1766666666667</v>
      </c>
      <c r="S318" s="13">
        <f t="shared" si="195"/>
        <v>825.48666666666668</v>
      </c>
      <c r="T318" s="16">
        <f t="shared" si="196"/>
        <v>886.69</v>
      </c>
      <c r="U318" s="15">
        <f>+SUMIF('GE16FEB14 Tax Bill Unfudged'!$A$2:$A$498, 'Tax Bill Summary'!$A318, 'GE16FEB14 Tax Bill Unfudged'!E$2:E$498)</f>
        <v>26676</v>
      </c>
      <c r="V318" s="13">
        <f>+SUMIF('GE16FEB14 Tax Bill Unfudged'!$A$2:$A$498, 'Tax Bill Summary'!$A318, 'GE16FEB14 Tax Bill Unfudged'!F$2:F$498)</f>
        <v>9802</v>
      </c>
      <c r="W318" s="56">
        <f t="shared" si="197"/>
        <v>16874</v>
      </c>
      <c r="X318" s="51">
        <f>+SUMIF('GE16FEB14 Tax Bill Unfudged'!$A$2:$A$498, 'Tax Bill Summary'!$A318, 'GE16FEB14 Tax Bill Unfudged'!G$2:G$498)</f>
        <v>127030</v>
      </c>
      <c r="Y318" s="13">
        <f>+SUMIF('GE16FEB14 Tax Bill Unfudged'!$A$2:$A$498, 'Tax Bill Summary'!$A318, 'GE16FEB14 Tax Bill Unfudged'!H$2:H$498)</f>
        <v>46678</v>
      </c>
      <c r="Z318" s="56">
        <f t="shared" si="198"/>
        <v>80352</v>
      </c>
      <c r="AA318" s="51">
        <f>+SUMIF('GE16FEB14 Tax Bill Unfudged'!$A$2:$A$498, 'Tax Bill Summary'!$A318, 'GE16FEB14 Tax Bill Unfudged'!I$2:I$498)</f>
        <v>361770</v>
      </c>
      <c r="AB318" s="13">
        <f>+SUMIF('GE16FEB14 Tax Bill Unfudged'!$A$2:$A$498, 'Tax Bill Summary'!$A318, 'GE16FEB14 Tax Bill Unfudged'!J$2:J$498)</f>
        <v>156424</v>
      </c>
      <c r="AC318" s="56">
        <f t="shared" si="199"/>
        <v>205346</v>
      </c>
      <c r="AD318" s="51">
        <f t="shared" si="200"/>
        <v>515476</v>
      </c>
      <c r="AE318" s="13">
        <f t="shared" si="201"/>
        <v>212904</v>
      </c>
      <c r="AF318" s="56">
        <f t="shared" si="202"/>
        <v>302572</v>
      </c>
      <c r="AG318" s="13">
        <f t="shared" si="203"/>
        <v>1718.2533333333333</v>
      </c>
      <c r="AH318" s="13">
        <f t="shared" si="204"/>
        <v>709.68</v>
      </c>
      <c r="AI318" s="16">
        <f t="shared" si="205"/>
        <v>1008.5733333333334</v>
      </c>
      <c r="AJ318" s="15">
        <f t="shared" si="206"/>
        <v>1823</v>
      </c>
      <c r="AK318" s="13">
        <f t="shared" si="207"/>
        <v>670</v>
      </c>
      <c r="AL318" s="56">
        <f t="shared" si="208"/>
        <v>1153</v>
      </c>
      <c r="AM318" s="51">
        <f t="shared" si="209"/>
        <v>127030</v>
      </c>
      <c r="AN318" s="13">
        <f t="shared" si="210"/>
        <v>46678</v>
      </c>
      <c r="AO318" s="56">
        <f t="shared" si="211"/>
        <v>80352</v>
      </c>
      <c r="AP318" s="51">
        <f t="shared" si="212"/>
        <v>-127030</v>
      </c>
      <c r="AQ318" s="13">
        <f t="shared" si="213"/>
        <v>-82090</v>
      </c>
      <c r="AR318" s="56">
        <f t="shared" si="214"/>
        <v>-44940</v>
      </c>
      <c r="AS318" s="51">
        <f t="shared" si="215"/>
        <v>1823</v>
      </c>
      <c r="AT318" s="13">
        <f t="shared" si="216"/>
        <v>-34742</v>
      </c>
      <c r="AU318" s="56">
        <f t="shared" si="217"/>
        <v>36565</v>
      </c>
      <c r="AV318" s="13">
        <f t="shared" si="218"/>
        <v>6.0766666666665969</v>
      </c>
      <c r="AW318" s="13">
        <f t="shared" si="219"/>
        <v>-115.80666666666673</v>
      </c>
      <c r="AX318" s="16">
        <f t="shared" si="220"/>
        <v>121.88333333333333</v>
      </c>
    </row>
    <row r="319" spans="1:50" x14ac:dyDescent="0.25">
      <c r="A319" s="20">
        <v>2534</v>
      </c>
      <c r="B319">
        <v>1</v>
      </c>
      <c r="C319" s="23" t="s">
        <v>11</v>
      </c>
      <c r="D319" s="23">
        <v>6</v>
      </c>
      <c r="E319" s="15">
        <f>+SUMIF('GE16FEB14 Unfudged'!$A$2:$A$498, $A319, 'GE16FEB14 Unfudged'!$D$2:$D$498)</f>
        <v>722</v>
      </c>
      <c r="F319" s="15">
        <f>+SUMIF('GE16FEB14 Unfudged'!$A$2:$A$498, 'Tax Bill Summary'!$A319, 'GE16FEB14 Unfudged'!E$2:E$498)</f>
        <v>89162</v>
      </c>
      <c r="G319" s="13">
        <f>+SUMIF('GE16FEB14 Unfudged'!$A$2:$A$498, 'Tax Bill Summary'!$A319, 'GE16FEB14 Unfudged'!F$2:F$498)</f>
        <v>64441</v>
      </c>
      <c r="H319" s="56">
        <f t="shared" si="188"/>
        <v>24721</v>
      </c>
      <c r="I319" s="51">
        <f>+SUMIF('GE16FEB14 Unfudged'!$A$2:$A$498, 'Tax Bill Summary'!$A319, 'GE16FEB14 Unfudged'!G$2:G$498)</f>
        <v>0</v>
      </c>
      <c r="J319" s="13">
        <f>+SUMIF('GE16FEB14 Unfudged'!$A$2:$A$498, 'Tax Bill Summary'!$A319, 'GE16FEB14 Unfudged'!H$2:H$498)</f>
        <v>0</v>
      </c>
      <c r="K319" s="56">
        <f t="shared" si="189"/>
        <v>0</v>
      </c>
      <c r="L319" s="51">
        <f>+SUMIF('GE16FEB14 Unfudged'!$A$2:$A$498, 'Tax Bill Summary'!$A319, 'GE16FEB14 Unfudged'!I$2:IF$498)</f>
        <v>539900</v>
      </c>
      <c r="M319" s="13">
        <f>+SUMIF('GE16FEB14 Unfudged'!$A$2:$A$498, 'Tax Bill Summary'!$A319, 'GE16FEB14 Unfudged'!J$2:IG$498)</f>
        <v>324376</v>
      </c>
      <c r="N319" s="56">
        <f t="shared" si="190"/>
        <v>215524</v>
      </c>
      <c r="O319" s="51">
        <f t="shared" si="191"/>
        <v>629062</v>
      </c>
      <c r="P319" s="13">
        <f t="shared" si="192"/>
        <v>388817</v>
      </c>
      <c r="Q319" s="56">
        <f t="shared" si="193"/>
        <v>240245</v>
      </c>
      <c r="R319" s="13">
        <f t="shared" si="194"/>
        <v>871.27700831024936</v>
      </c>
      <c r="S319" s="13">
        <f t="shared" si="195"/>
        <v>538.52770083102496</v>
      </c>
      <c r="T319" s="16">
        <f t="shared" si="196"/>
        <v>332.7493074792244</v>
      </c>
      <c r="U319" s="15">
        <f>+SUMIF('GE16FEB14 Tax Bill Unfudged'!$A$2:$A$498, 'Tax Bill Summary'!$A319, 'GE16FEB14 Tax Bill Unfudged'!E$2:E$498)</f>
        <v>102947</v>
      </c>
      <c r="V319" s="13">
        <f>+SUMIF('GE16FEB14 Tax Bill Unfudged'!$A$2:$A$498, 'Tax Bill Summary'!$A319, 'GE16FEB14 Tax Bill Unfudged'!F$2:F$498)</f>
        <v>74404</v>
      </c>
      <c r="W319" s="56">
        <f t="shared" si="197"/>
        <v>28543</v>
      </c>
      <c r="X319" s="51">
        <f>+SUMIF('GE16FEB14 Tax Bill Unfudged'!$A$2:$A$498, 'Tax Bill Summary'!$A319, 'GE16FEB14 Tax Bill Unfudged'!G$2:G$498)</f>
        <v>306170</v>
      </c>
      <c r="Y319" s="13">
        <f>+SUMIF('GE16FEB14 Tax Bill Unfudged'!$A$2:$A$498, 'Tax Bill Summary'!$A319, 'GE16FEB14 Tax Bill Unfudged'!H$2:H$498)</f>
        <v>221281</v>
      </c>
      <c r="Z319" s="56">
        <f t="shared" si="198"/>
        <v>84889</v>
      </c>
      <c r="AA319" s="51">
        <f>+SUMIF('GE16FEB14 Tax Bill Unfudged'!$A$2:$A$498, 'Tax Bill Summary'!$A319, 'GE16FEB14 Tax Bill Unfudged'!I$2:I$498)</f>
        <v>233729</v>
      </c>
      <c r="AB319" s="13">
        <f>+SUMIF('GE16FEB14 Tax Bill Unfudged'!$A$2:$A$498, 'Tax Bill Summary'!$A319, 'GE16FEB14 Tax Bill Unfudged'!J$2:J$498)</f>
        <v>103095</v>
      </c>
      <c r="AC319" s="56">
        <f t="shared" si="199"/>
        <v>130634</v>
      </c>
      <c r="AD319" s="51">
        <f t="shared" si="200"/>
        <v>642846</v>
      </c>
      <c r="AE319" s="13">
        <f t="shared" si="201"/>
        <v>398780</v>
      </c>
      <c r="AF319" s="56">
        <f t="shared" si="202"/>
        <v>244066</v>
      </c>
      <c r="AG319" s="13">
        <f t="shared" si="203"/>
        <v>890.36842105263156</v>
      </c>
      <c r="AH319" s="13">
        <f t="shared" si="204"/>
        <v>552.32686980609424</v>
      </c>
      <c r="AI319" s="16">
        <f t="shared" si="205"/>
        <v>338.04155124653738</v>
      </c>
      <c r="AJ319" s="15">
        <f t="shared" si="206"/>
        <v>13785</v>
      </c>
      <c r="AK319" s="13">
        <f t="shared" si="207"/>
        <v>9963</v>
      </c>
      <c r="AL319" s="56">
        <f t="shared" si="208"/>
        <v>3822</v>
      </c>
      <c r="AM319" s="51">
        <f t="shared" si="209"/>
        <v>306170</v>
      </c>
      <c r="AN319" s="13">
        <f t="shared" si="210"/>
        <v>221281</v>
      </c>
      <c r="AO319" s="56">
        <f t="shared" si="211"/>
        <v>84889</v>
      </c>
      <c r="AP319" s="51">
        <f t="shared" si="212"/>
        <v>-306171</v>
      </c>
      <c r="AQ319" s="13">
        <f t="shared" si="213"/>
        <v>-221281</v>
      </c>
      <c r="AR319" s="56">
        <f t="shared" si="214"/>
        <v>-84890</v>
      </c>
      <c r="AS319" s="51">
        <f t="shared" si="215"/>
        <v>13784</v>
      </c>
      <c r="AT319" s="13">
        <f t="shared" si="216"/>
        <v>9963</v>
      </c>
      <c r="AU319" s="56">
        <f t="shared" si="217"/>
        <v>3821</v>
      </c>
      <c r="AV319" s="13">
        <f t="shared" si="218"/>
        <v>19.091412742382204</v>
      </c>
      <c r="AW319" s="13">
        <f t="shared" si="219"/>
        <v>13.799168975069279</v>
      </c>
      <c r="AX319" s="16">
        <f t="shared" si="220"/>
        <v>5.2922437673129821</v>
      </c>
    </row>
    <row r="320" spans="1:50" x14ac:dyDescent="0.25">
      <c r="A320" s="20">
        <v>2536</v>
      </c>
      <c r="B320">
        <v>1</v>
      </c>
      <c r="C320" s="23" t="s">
        <v>428</v>
      </c>
      <c r="D320" s="23">
        <v>6</v>
      </c>
      <c r="E320" s="15">
        <f>+SUMIF('GE16FEB14 Unfudged'!$A$2:$A$498, $A320, 'GE16FEB14 Unfudged'!$D$2:$D$498)</f>
        <v>218</v>
      </c>
      <c r="F320" s="15">
        <f>+SUMIF('GE16FEB14 Unfudged'!$A$2:$A$498, 'Tax Bill Summary'!$A320, 'GE16FEB14 Unfudged'!E$2:E$498)</f>
        <v>10905</v>
      </c>
      <c r="G320" s="13">
        <f>+SUMIF('GE16FEB14 Unfudged'!$A$2:$A$498, 'Tax Bill Summary'!$A320, 'GE16FEB14 Unfudged'!F$2:F$498)</f>
        <v>6356</v>
      </c>
      <c r="H320" s="56">
        <f t="shared" si="188"/>
        <v>4549</v>
      </c>
      <c r="I320" s="51">
        <f>+SUMIF('GE16FEB14 Unfudged'!$A$2:$A$498, 'Tax Bill Summary'!$A320, 'GE16FEB14 Unfudged'!G$2:G$498)</f>
        <v>0</v>
      </c>
      <c r="J320" s="13">
        <f>+SUMIF('GE16FEB14 Unfudged'!$A$2:$A$498, 'Tax Bill Summary'!$A320, 'GE16FEB14 Unfudged'!H$2:H$498)</f>
        <v>0</v>
      </c>
      <c r="K320" s="56">
        <f t="shared" si="189"/>
        <v>0</v>
      </c>
      <c r="L320" s="51">
        <f>+SUMIF('GE16FEB14 Unfudged'!$A$2:$A$498, 'Tax Bill Summary'!$A320, 'GE16FEB14 Unfudged'!I$2:IF$498)</f>
        <v>752377</v>
      </c>
      <c r="M320" s="13">
        <f>+SUMIF('GE16FEB14 Unfudged'!$A$2:$A$498, 'Tax Bill Summary'!$A320, 'GE16FEB14 Unfudged'!J$2:IG$498)</f>
        <v>575943</v>
      </c>
      <c r="N320" s="56">
        <f t="shared" si="190"/>
        <v>176434</v>
      </c>
      <c r="O320" s="51">
        <f t="shared" si="191"/>
        <v>763282</v>
      </c>
      <c r="P320" s="13">
        <f t="shared" si="192"/>
        <v>582299</v>
      </c>
      <c r="Q320" s="56">
        <f t="shared" si="193"/>
        <v>180983</v>
      </c>
      <c r="R320" s="13">
        <f t="shared" si="194"/>
        <v>3501.2935779816512</v>
      </c>
      <c r="S320" s="13">
        <f t="shared" si="195"/>
        <v>2671.0963302752293</v>
      </c>
      <c r="T320" s="16">
        <f t="shared" si="196"/>
        <v>830.19724770642199</v>
      </c>
      <c r="U320" s="15">
        <f>+SUMIF('GE16FEB14 Tax Bill Unfudged'!$A$2:$A$498, 'Tax Bill Summary'!$A320, 'GE16FEB14 Tax Bill Unfudged'!E$2:E$498)</f>
        <v>10905</v>
      </c>
      <c r="V320" s="13">
        <f>+SUMIF('GE16FEB14 Tax Bill Unfudged'!$A$2:$A$498, 'Tax Bill Summary'!$A320, 'GE16FEB14 Tax Bill Unfudged'!F$2:F$498)</f>
        <v>6356</v>
      </c>
      <c r="W320" s="56">
        <f t="shared" si="197"/>
        <v>4549</v>
      </c>
      <c r="X320" s="51">
        <f>+SUMIF('GE16FEB14 Tax Bill Unfudged'!$A$2:$A$498, 'Tax Bill Summary'!$A320, 'GE16FEB14 Tax Bill Unfudged'!G$2:G$498)</f>
        <v>92474</v>
      </c>
      <c r="Y320" s="13">
        <f>+SUMIF('GE16FEB14 Tax Bill Unfudged'!$A$2:$A$498, 'Tax Bill Summary'!$A320, 'GE16FEB14 Tax Bill Unfudged'!H$2:H$498)</f>
        <v>53899</v>
      </c>
      <c r="Z320" s="56">
        <f t="shared" si="198"/>
        <v>38575</v>
      </c>
      <c r="AA320" s="51">
        <f>+SUMIF('GE16FEB14 Tax Bill Unfudged'!$A$2:$A$498, 'Tax Bill Summary'!$A320, 'GE16FEB14 Tax Bill Unfudged'!I$2:I$498)</f>
        <v>659903</v>
      </c>
      <c r="AB320" s="13">
        <f>+SUMIF('GE16FEB14 Tax Bill Unfudged'!$A$2:$A$498, 'Tax Bill Summary'!$A320, 'GE16FEB14 Tax Bill Unfudged'!J$2:J$498)</f>
        <v>483469</v>
      </c>
      <c r="AC320" s="56">
        <f t="shared" si="199"/>
        <v>176434</v>
      </c>
      <c r="AD320" s="51">
        <f t="shared" si="200"/>
        <v>763282</v>
      </c>
      <c r="AE320" s="13">
        <f t="shared" si="201"/>
        <v>543724</v>
      </c>
      <c r="AF320" s="56">
        <f t="shared" si="202"/>
        <v>219558</v>
      </c>
      <c r="AG320" s="13">
        <f t="shared" si="203"/>
        <v>3501.2935779816512</v>
      </c>
      <c r="AH320" s="13">
        <f t="shared" si="204"/>
        <v>2494.1467889908258</v>
      </c>
      <c r="AI320" s="16">
        <f t="shared" si="205"/>
        <v>1007.1467889908257</v>
      </c>
      <c r="AJ320" s="15">
        <f t="shared" si="206"/>
        <v>0</v>
      </c>
      <c r="AK320" s="13">
        <f t="shared" si="207"/>
        <v>0</v>
      </c>
      <c r="AL320" s="56">
        <f t="shared" si="208"/>
        <v>0</v>
      </c>
      <c r="AM320" s="51">
        <f t="shared" si="209"/>
        <v>92474</v>
      </c>
      <c r="AN320" s="13">
        <f t="shared" si="210"/>
        <v>53899</v>
      </c>
      <c r="AO320" s="56">
        <f t="shared" si="211"/>
        <v>38575</v>
      </c>
      <c r="AP320" s="51">
        <f t="shared" si="212"/>
        <v>-92474</v>
      </c>
      <c r="AQ320" s="13">
        <f t="shared" si="213"/>
        <v>-92474</v>
      </c>
      <c r="AR320" s="56">
        <f t="shared" si="214"/>
        <v>0</v>
      </c>
      <c r="AS320" s="51">
        <f t="shared" si="215"/>
        <v>0</v>
      </c>
      <c r="AT320" s="13">
        <f t="shared" si="216"/>
        <v>-38575</v>
      </c>
      <c r="AU320" s="56">
        <f t="shared" si="217"/>
        <v>38575</v>
      </c>
      <c r="AV320" s="13">
        <f t="shared" si="218"/>
        <v>0</v>
      </c>
      <c r="AW320" s="13">
        <f t="shared" si="219"/>
        <v>-176.94954128440349</v>
      </c>
      <c r="AX320" s="16">
        <f t="shared" si="220"/>
        <v>176.94954128440372</v>
      </c>
    </row>
    <row r="321" spans="1:50" x14ac:dyDescent="0.25">
      <c r="A321" s="20">
        <v>2580</v>
      </c>
      <c r="B321">
        <v>1</v>
      </c>
      <c r="C321" s="23" t="s">
        <v>429</v>
      </c>
      <c r="D321" s="23">
        <v>6</v>
      </c>
      <c r="E321" s="15">
        <f>+SUMIF('GE16FEB14 Unfudged'!$A$2:$A$498, $A321, 'GE16FEB14 Unfudged'!$D$2:$D$498)</f>
        <v>828</v>
      </c>
      <c r="F321" s="15">
        <f>+SUMIF('GE16FEB14 Unfudged'!$A$2:$A$498, 'Tax Bill Summary'!$A321, 'GE16FEB14 Unfudged'!E$2:E$498)</f>
        <v>119290</v>
      </c>
      <c r="G321" s="13">
        <f>+SUMIF('GE16FEB14 Unfudged'!$A$2:$A$498, 'Tax Bill Summary'!$A321, 'GE16FEB14 Unfudged'!F$2:F$498)</f>
        <v>58041</v>
      </c>
      <c r="H321" s="56">
        <f t="shared" si="188"/>
        <v>61249</v>
      </c>
      <c r="I321" s="51">
        <f>+SUMIF('GE16FEB14 Unfudged'!$A$2:$A$498, 'Tax Bill Summary'!$A321, 'GE16FEB14 Unfudged'!G$2:G$498)</f>
        <v>0</v>
      </c>
      <c r="J321" s="13">
        <f>+SUMIF('GE16FEB14 Unfudged'!$A$2:$A$498, 'Tax Bill Summary'!$A321, 'GE16FEB14 Unfudged'!H$2:H$498)</f>
        <v>0</v>
      </c>
      <c r="K321" s="56">
        <f t="shared" si="189"/>
        <v>0</v>
      </c>
      <c r="L321" s="51">
        <f>+SUMIF('GE16FEB14 Unfudged'!$A$2:$A$498, 'Tax Bill Summary'!$A321, 'GE16FEB14 Unfudged'!I$2:IF$498)</f>
        <v>248520</v>
      </c>
      <c r="M321" s="13">
        <f>+SUMIF('GE16FEB14 Unfudged'!$A$2:$A$498, 'Tax Bill Summary'!$A321, 'GE16FEB14 Unfudged'!J$2:IG$498)</f>
        <v>70077</v>
      </c>
      <c r="N321" s="56">
        <f t="shared" si="190"/>
        <v>178443</v>
      </c>
      <c r="O321" s="51">
        <f t="shared" si="191"/>
        <v>367810</v>
      </c>
      <c r="P321" s="13">
        <f t="shared" si="192"/>
        <v>128118</v>
      </c>
      <c r="Q321" s="56">
        <f t="shared" si="193"/>
        <v>239692</v>
      </c>
      <c r="R321" s="13">
        <f t="shared" si="194"/>
        <v>444.21497584541061</v>
      </c>
      <c r="S321" s="13">
        <f t="shared" si="195"/>
        <v>154.731884057971</v>
      </c>
      <c r="T321" s="16">
        <f t="shared" si="196"/>
        <v>289.48309178743961</v>
      </c>
      <c r="U321" s="15">
        <f>+SUMIF('GE16FEB14 Tax Bill Unfudged'!$A$2:$A$498, 'Tax Bill Summary'!$A321, 'GE16FEB14 Tax Bill Unfudged'!E$2:E$498)</f>
        <v>119290</v>
      </c>
      <c r="V321" s="13">
        <f>+SUMIF('GE16FEB14 Tax Bill Unfudged'!$A$2:$A$498, 'Tax Bill Summary'!$A321, 'GE16FEB14 Tax Bill Unfudged'!F$2:F$498)</f>
        <v>58041</v>
      </c>
      <c r="W321" s="56">
        <f t="shared" si="197"/>
        <v>61249</v>
      </c>
      <c r="X321" s="51">
        <f>+SUMIF('GE16FEB14 Tax Bill Unfudged'!$A$2:$A$498, 'Tax Bill Summary'!$A321, 'GE16FEB14 Tax Bill Unfudged'!G$2:G$498)</f>
        <v>351242</v>
      </c>
      <c r="Y321" s="13">
        <f>+SUMIF('GE16FEB14 Tax Bill Unfudged'!$A$2:$A$498, 'Tax Bill Summary'!$A321, 'GE16FEB14 Tax Bill Unfudged'!H$2:H$498)</f>
        <v>170897</v>
      </c>
      <c r="Z321" s="56">
        <f t="shared" si="198"/>
        <v>180345</v>
      </c>
      <c r="AA321" s="51">
        <f>+SUMIF('GE16FEB14 Tax Bill Unfudged'!$A$2:$A$498, 'Tax Bill Summary'!$A321, 'GE16FEB14 Tax Bill Unfudged'!I$2:I$498)</f>
        <v>248520</v>
      </c>
      <c r="AB321" s="13">
        <f>+SUMIF('GE16FEB14 Tax Bill Unfudged'!$A$2:$A$498, 'Tax Bill Summary'!$A321, 'GE16FEB14 Tax Bill Unfudged'!J$2:J$498)</f>
        <v>70077</v>
      </c>
      <c r="AC321" s="56">
        <f t="shared" si="199"/>
        <v>178443</v>
      </c>
      <c r="AD321" s="51">
        <f t="shared" si="200"/>
        <v>719052</v>
      </c>
      <c r="AE321" s="13">
        <f t="shared" si="201"/>
        <v>299015</v>
      </c>
      <c r="AF321" s="56">
        <f t="shared" si="202"/>
        <v>420037</v>
      </c>
      <c r="AG321" s="13">
        <f t="shared" si="203"/>
        <v>868.4202898550725</v>
      </c>
      <c r="AH321" s="13">
        <f t="shared" si="204"/>
        <v>361.12922705314008</v>
      </c>
      <c r="AI321" s="16">
        <f t="shared" si="205"/>
        <v>507.29106280193236</v>
      </c>
      <c r="AJ321" s="15">
        <f t="shared" si="206"/>
        <v>0</v>
      </c>
      <c r="AK321" s="13">
        <f t="shared" si="207"/>
        <v>0</v>
      </c>
      <c r="AL321" s="56">
        <f t="shared" si="208"/>
        <v>0</v>
      </c>
      <c r="AM321" s="51">
        <f t="shared" si="209"/>
        <v>351242</v>
      </c>
      <c r="AN321" s="13">
        <f t="shared" si="210"/>
        <v>170897</v>
      </c>
      <c r="AO321" s="56">
        <f t="shared" si="211"/>
        <v>180345</v>
      </c>
      <c r="AP321" s="51">
        <f t="shared" si="212"/>
        <v>0</v>
      </c>
      <c r="AQ321" s="13">
        <f t="shared" si="213"/>
        <v>0</v>
      </c>
      <c r="AR321" s="56">
        <f t="shared" si="214"/>
        <v>0</v>
      </c>
      <c r="AS321" s="51">
        <f t="shared" si="215"/>
        <v>351242</v>
      </c>
      <c r="AT321" s="13">
        <f t="shared" si="216"/>
        <v>170897</v>
      </c>
      <c r="AU321" s="56">
        <f t="shared" si="217"/>
        <v>180345</v>
      </c>
      <c r="AV321" s="13">
        <f t="shared" si="218"/>
        <v>424.20531400966189</v>
      </c>
      <c r="AW321" s="13">
        <f t="shared" si="219"/>
        <v>206.39734299516908</v>
      </c>
      <c r="AX321" s="16">
        <f t="shared" si="220"/>
        <v>217.80797101449275</v>
      </c>
    </row>
    <row r="322" spans="1:50" x14ac:dyDescent="0.25">
      <c r="A322" s="20">
        <v>2609</v>
      </c>
      <c r="B322">
        <v>1</v>
      </c>
      <c r="C322" s="23" t="s">
        <v>430</v>
      </c>
      <c r="D322" s="23">
        <v>6</v>
      </c>
      <c r="E322" s="15">
        <f>+SUMIF('GE16FEB14 Unfudged'!$A$2:$A$498, $A322, 'GE16FEB14 Unfudged'!$D$2:$D$498)</f>
        <v>420</v>
      </c>
      <c r="F322" s="15">
        <f>+SUMIF('GE16FEB14 Unfudged'!$A$2:$A$498, 'Tax Bill Summary'!$A322, 'GE16FEB14 Unfudged'!E$2:E$498)</f>
        <v>44646</v>
      </c>
      <c r="G322" s="13">
        <f>+SUMIF('GE16FEB14 Unfudged'!$A$2:$A$498, 'Tax Bill Summary'!$A322, 'GE16FEB14 Unfudged'!F$2:F$498)</f>
        <v>30129</v>
      </c>
      <c r="H322" s="56">
        <f t="shared" si="188"/>
        <v>14517</v>
      </c>
      <c r="I322" s="51">
        <f>+SUMIF('GE16FEB14 Unfudged'!$A$2:$A$498, 'Tax Bill Summary'!$A322, 'GE16FEB14 Unfudged'!G$2:G$498)</f>
        <v>0</v>
      </c>
      <c r="J322" s="13">
        <f>+SUMIF('GE16FEB14 Unfudged'!$A$2:$A$498, 'Tax Bill Summary'!$A322, 'GE16FEB14 Unfudged'!H$2:H$498)</f>
        <v>0</v>
      </c>
      <c r="K322" s="56">
        <f t="shared" si="189"/>
        <v>0</v>
      </c>
      <c r="L322" s="51">
        <f>+SUMIF('GE16FEB14 Unfudged'!$A$2:$A$498, 'Tax Bill Summary'!$A322, 'GE16FEB14 Unfudged'!I$2:IF$498)</f>
        <v>471222</v>
      </c>
      <c r="M322" s="13">
        <f>+SUMIF('GE16FEB14 Unfudged'!$A$2:$A$498, 'Tax Bill Summary'!$A322, 'GE16FEB14 Unfudged'!J$2:IG$498)</f>
        <v>331697</v>
      </c>
      <c r="N322" s="56">
        <f t="shared" si="190"/>
        <v>139525</v>
      </c>
      <c r="O322" s="51">
        <f t="shared" si="191"/>
        <v>515868</v>
      </c>
      <c r="P322" s="13">
        <f t="shared" si="192"/>
        <v>361826</v>
      </c>
      <c r="Q322" s="56">
        <f t="shared" si="193"/>
        <v>154042</v>
      </c>
      <c r="R322" s="13">
        <f t="shared" si="194"/>
        <v>1228.2571428571428</v>
      </c>
      <c r="S322" s="13">
        <f t="shared" si="195"/>
        <v>861.49047619047622</v>
      </c>
      <c r="T322" s="16">
        <f t="shared" si="196"/>
        <v>366.76666666666665</v>
      </c>
      <c r="U322" s="15">
        <f>+SUMIF('GE16FEB14 Tax Bill Unfudged'!$A$2:$A$498, 'Tax Bill Summary'!$A322, 'GE16FEB14 Tax Bill Unfudged'!E$2:E$498)</f>
        <v>50349</v>
      </c>
      <c r="V322" s="13">
        <f>+SUMIF('GE16FEB14 Tax Bill Unfudged'!$A$2:$A$498, 'Tax Bill Summary'!$A322, 'GE16FEB14 Tax Bill Unfudged'!F$2:F$498)</f>
        <v>33978</v>
      </c>
      <c r="W322" s="56">
        <f t="shared" si="197"/>
        <v>16371</v>
      </c>
      <c r="X322" s="51">
        <f>+SUMIF('GE16FEB14 Tax Bill Unfudged'!$A$2:$A$498, 'Tax Bill Summary'!$A322, 'GE16FEB14 Tax Bill Unfudged'!G$2:G$498)</f>
        <v>178059</v>
      </c>
      <c r="Y322" s="13">
        <f>+SUMIF('GE16FEB14 Tax Bill Unfudged'!$A$2:$A$498, 'Tax Bill Summary'!$A322, 'GE16FEB14 Tax Bill Unfudged'!H$2:H$498)</f>
        <v>120162</v>
      </c>
      <c r="Z322" s="56">
        <f t="shared" si="198"/>
        <v>57897</v>
      </c>
      <c r="AA322" s="51">
        <f>+SUMIF('GE16FEB14 Tax Bill Unfudged'!$A$2:$A$498, 'Tax Bill Summary'!$A322, 'GE16FEB14 Tax Bill Unfudged'!I$2:I$498)</f>
        <v>293163</v>
      </c>
      <c r="AB322" s="13">
        <f>+SUMIF('GE16FEB14 Tax Bill Unfudged'!$A$2:$A$498, 'Tax Bill Summary'!$A322, 'GE16FEB14 Tax Bill Unfudged'!J$2:J$498)</f>
        <v>162092</v>
      </c>
      <c r="AC322" s="56">
        <f t="shared" si="199"/>
        <v>131071</v>
      </c>
      <c r="AD322" s="51">
        <f t="shared" si="200"/>
        <v>521571</v>
      </c>
      <c r="AE322" s="13">
        <f t="shared" si="201"/>
        <v>316232</v>
      </c>
      <c r="AF322" s="56">
        <f t="shared" si="202"/>
        <v>205339</v>
      </c>
      <c r="AG322" s="13">
        <f t="shared" si="203"/>
        <v>1241.8357142857142</v>
      </c>
      <c r="AH322" s="13">
        <f t="shared" si="204"/>
        <v>752.93333333333328</v>
      </c>
      <c r="AI322" s="16">
        <f t="shared" si="205"/>
        <v>488.90238095238095</v>
      </c>
      <c r="AJ322" s="15">
        <f t="shared" si="206"/>
        <v>5703</v>
      </c>
      <c r="AK322" s="13">
        <f t="shared" si="207"/>
        <v>3849</v>
      </c>
      <c r="AL322" s="56">
        <f t="shared" si="208"/>
        <v>1854</v>
      </c>
      <c r="AM322" s="51">
        <f t="shared" si="209"/>
        <v>178059</v>
      </c>
      <c r="AN322" s="13">
        <f t="shared" si="210"/>
        <v>120162</v>
      </c>
      <c r="AO322" s="56">
        <f t="shared" si="211"/>
        <v>57897</v>
      </c>
      <c r="AP322" s="51">
        <f t="shared" si="212"/>
        <v>-178059</v>
      </c>
      <c r="AQ322" s="13">
        <f t="shared" si="213"/>
        <v>-169605</v>
      </c>
      <c r="AR322" s="56">
        <f t="shared" si="214"/>
        <v>-8454</v>
      </c>
      <c r="AS322" s="51">
        <f t="shared" si="215"/>
        <v>5703</v>
      </c>
      <c r="AT322" s="13">
        <f t="shared" si="216"/>
        <v>-45594</v>
      </c>
      <c r="AU322" s="56">
        <f t="shared" si="217"/>
        <v>51297</v>
      </c>
      <c r="AV322" s="13">
        <f t="shared" si="218"/>
        <v>13.578571428571422</v>
      </c>
      <c r="AW322" s="13">
        <f t="shared" si="219"/>
        <v>-108.55714285714294</v>
      </c>
      <c r="AX322" s="16">
        <f t="shared" si="220"/>
        <v>122.1357142857143</v>
      </c>
    </row>
    <row r="323" spans="1:50" x14ac:dyDescent="0.25">
      <c r="A323" s="20">
        <v>2683</v>
      </c>
      <c r="B323">
        <v>1</v>
      </c>
      <c r="C323" s="23" t="s">
        <v>431</v>
      </c>
      <c r="D323" s="23">
        <v>6</v>
      </c>
      <c r="E323" s="15">
        <f>+SUMIF('GE16FEB14 Unfudged'!$A$2:$A$498, $A323, 'GE16FEB14 Unfudged'!$D$2:$D$498)</f>
        <v>417</v>
      </c>
      <c r="F323" s="15">
        <f>+SUMIF('GE16FEB14 Unfudged'!$A$2:$A$498, 'Tax Bill Summary'!$A323, 'GE16FEB14 Unfudged'!E$2:E$498)</f>
        <v>42146</v>
      </c>
      <c r="G323" s="13">
        <f>+SUMIF('GE16FEB14 Unfudged'!$A$2:$A$498, 'Tax Bill Summary'!$A323, 'GE16FEB14 Unfudged'!F$2:F$498)</f>
        <v>15459</v>
      </c>
      <c r="H323" s="56">
        <f t="shared" si="188"/>
        <v>26687</v>
      </c>
      <c r="I323" s="51">
        <f>+SUMIF('GE16FEB14 Unfudged'!$A$2:$A$498, 'Tax Bill Summary'!$A323, 'GE16FEB14 Unfudged'!G$2:G$498)</f>
        <v>0</v>
      </c>
      <c r="J323" s="13">
        <f>+SUMIF('GE16FEB14 Unfudged'!$A$2:$A$498, 'Tax Bill Summary'!$A323, 'GE16FEB14 Unfudged'!H$2:H$498)</f>
        <v>0</v>
      </c>
      <c r="K323" s="56">
        <f t="shared" si="189"/>
        <v>0</v>
      </c>
      <c r="L323" s="51">
        <f>+SUMIF('GE16FEB14 Unfudged'!$A$2:$A$498, 'Tax Bill Summary'!$A323, 'GE16FEB14 Unfudged'!I$2:IF$498)</f>
        <v>514197</v>
      </c>
      <c r="M323" s="13">
        <f>+SUMIF('GE16FEB14 Unfudged'!$A$2:$A$498, 'Tax Bill Summary'!$A323, 'GE16FEB14 Unfudged'!J$2:IG$498)</f>
        <v>224309</v>
      </c>
      <c r="N323" s="56">
        <f t="shared" si="190"/>
        <v>289888</v>
      </c>
      <c r="O323" s="51">
        <f t="shared" si="191"/>
        <v>556343</v>
      </c>
      <c r="P323" s="13">
        <f t="shared" si="192"/>
        <v>239768</v>
      </c>
      <c r="Q323" s="56">
        <f t="shared" si="193"/>
        <v>316575</v>
      </c>
      <c r="R323" s="13">
        <f t="shared" si="194"/>
        <v>1334.1558752997603</v>
      </c>
      <c r="S323" s="13">
        <f t="shared" si="195"/>
        <v>574.98321342925658</v>
      </c>
      <c r="T323" s="16">
        <f t="shared" si="196"/>
        <v>759.17266187050359</v>
      </c>
      <c r="U323" s="15">
        <f>+SUMIF('GE16FEB14 Tax Bill Unfudged'!$A$2:$A$498, 'Tax Bill Summary'!$A323, 'GE16FEB14 Tax Bill Unfudged'!E$2:E$498)</f>
        <v>47116</v>
      </c>
      <c r="V323" s="13">
        <f>+SUMIF('GE16FEB14 Tax Bill Unfudged'!$A$2:$A$498, 'Tax Bill Summary'!$A323, 'GE16FEB14 Tax Bill Unfudged'!F$2:F$498)</f>
        <v>17282</v>
      </c>
      <c r="W323" s="56">
        <f t="shared" si="197"/>
        <v>29834</v>
      </c>
      <c r="X323" s="51">
        <f>+SUMIF('GE16FEB14 Tax Bill Unfudged'!$A$2:$A$498, 'Tax Bill Summary'!$A323, 'GE16FEB14 Tax Bill Unfudged'!G$2:G$498)</f>
        <v>176638</v>
      </c>
      <c r="Y323" s="13">
        <f>+SUMIF('GE16FEB14 Tax Bill Unfudged'!$A$2:$A$498, 'Tax Bill Summary'!$A323, 'GE16FEB14 Tax Bill Unfudged'!H$2:H$498)</f>
        <v>64790</v>
      </c>
      <c r="Z323" s="56">
        <f t="shared" si="198"/>
        <v>111848</v>
      </c>
      <c r="AA323" s="51">
        <f>+SUMIF('GE16FEB14 Tax Bill Unfudged'!$A$2:$A$498, 'Tax Bill Summary'!$A323, 'GE16FEB14 Tax Bill Unfudged'!I$2:I$498)</f>
        <v>337558</v>
      </c>
      <c r="AB323" s="13">
        <f>+SUMIF('GE16FEB14 Tax Bill Unfudged'!$A$2:$A$498, 'Tax Bill Summary'!$A323, 'GE16FEB14 Tax Bill Unfudged'!J$2:J$498)</f>
        <v>110368</v>
      </c>
      <c r="AC323" s="56">
        <f t="shared" si="199"/>
        <v>227190</v>
      </c>
      <c r="AD323" s="51">
        <f t="shared" si="200"/>
        <v>561312</v>
      </c>
      <c r="AE323" s="13">
        <f t="shared" si="201"/>
        <v>192440</v>
      </c>
      <c r="AF323" s="56">
        <f t="shared" si="202"/>
        <v>368872</v>
      </c>
      <c r="AG323" s="13">
        <f t="shared" si="203"/>
        <v>1346.0719424460431</v>
      </c>
      <c r="AH323" s="13">
        <f t="shared" si="204"/>
        <v>461.48681055155873</v>
      </c>
      <c r="AI323" s="16">
        <f t="shared" si="205"/>
        <v>884.58513189448445</v>
      </c>
      <c r="AJ323" s="15">
        <f t="shared" si="206"/>
        <v>4970</v>
      </c>
      <c r="AK323" s="13">
        <f t="shared" si="207"/>
        <v>1823</v>
      </c>
      <c r="AL323" s="56">
        <f t="shared" si="208"/>
        <v>3147</v>
      </c>
      <c r="AM323" s="51">
        <f t="shared" si="209"/>
        <v>176638</v>
      </c>
      <c r="AN323" s="13">
        <f t="shared" si="210"/>
        <v>64790</v>
      </c>
      <c r="AO323" s="56">
        <f t="shared" si="211"/>
        <v>111848</v>
      </c>
      <c r="AP323" s="51">
        <f t="shared" si="212"/>
        <v>-176639</v>
      </c>
      <c r="AQ323" s="13">
        <f t="shared" si="213"/>
        <v>-113941</v>
      </c>
      <c r="AR323" s="56">
        <f t="shared" si="214"/>
        <v>-62698</v>
      </c>
      <c r="AS323" s="51">
        <f t="shared" si="215"/>
        <v>4969</v>
      </c>
      <c r="AT323" s="13">
        <f t="shared" si="216"/>
        <v>-47328</v>
      </c>
      <c r="AU323" s="56">
        <f t="shared" si="217"/>
        <v>52297</v>
      </c>
      <c r="AV323" s="13">
        <f t="shared" si="218"/>
        <v>11.916067146282785</v>
      </c>
      <c r="AW323" s="13">
        <f t="shared" si="219"/>
        <v>-113.49640287769785</v>
      </c>
      <c r="AX323" s="16">
        <f t="shared" si="220"/>
        <v>125.41247002398086</v>
      </c>
    </row>
    <row r="324" spans="1:50" x14ac:dyDescent="0.25">
      <c r="A324" s="20">
        <v>2687</v>
      </c>
      <c r="B324">
        <v>1</v>
      </c>
      <c r="C324" s="23" t="s">
        <v>12</v>
      </c>
      <c r="D324" s="23">
        <v>5</v>
      </c>
      <c r="E324" s="15">
        <f>+SUMIF('GE16FEB14 Unfudged'!$A$2:$A$498, $A324, 'GE16FEB14 Unfudged'!$D$2:$D$498)</f>
        <v>1228</v>
      </c>
      <c r="F324" s="15">
        <f>+SUMIF('GE16FEB14 Unfudged'!$A$2:$A$498, 'Tax Bill Summary'!$A324, 'GE16FEB14 Unfudged'!E$2:E$498)</f>
        <v>174013</v>
      </c>
      <c r="G324" s="13">
        <f>+SUMIF('GE16FEB14 Unfudged'!$A$2:$A$498, 'Tax Bill Summary'!$A324, 'GE16FEB14 Unfudged'!F$2:F$498)</f>
        <v>127612</v>
      </c>
      <c r="H324" s="56">
        <f t="shared" si="188"/>
        <v>46401</v>
      </c>
      <c r="I324" s="51">
        <f>+SUMIF('GE16FEB14 Unfudged'!$A$2:$A$498, 'Tax Bill Summary'!$A324, 'GE16FEB14 Unfudged'!G$2:G$498)</f>
        <v>520587</v>
      </c>
      <c r="J324" s="13">
        <f>+SUMIF('GE16FEB14 Unfudged'!$A$2:$A$498, 'Tax Bill Summary'!$A324, 'GE16FEB14 Unfudged'!H$2:H$498)</f>
        <v>381772</v>
      </c>
      <c r="K324" s="56">
        <f t="shared" si="189"/>
        <v>138815</v>
      </c>
      <c r="L324" s="51">
        <f>+SUMIF('GE16FEB14 Unfudged'!$A$2:$A$498, 'Tax Bill Summary'!$A324, 'GE16FEB14 Unfudged'!I$2:IF$498)</f>
        <v>429190</v>
      </c>
      <c r="M324" s="13">
        <f>+SUMIF('GE16FEB14 Unfudged'!$A$2:$A$498, 'Tax Bill Summary'!$A324, 'GE16FEB14 Unfudged'!J$2:IG$498)</f>
        <v>201172</v>
      </c>
      <c r="N324" s="56">
        <f t="shared" si="190"/>
        <v>228018</v>
      </c>
      <c r="O324" s="51">
        <f t="shared" si="191"/>
        <v>1123790</v>
      </c>
      <c r="P324" s="13">
        <f t="shared" si="192"/>
        <v>710556</v>
      </c>
      <c r="Q324" s="56">
        <f t="shared" si="193"/>
        <v>413234</v>
      </c>
      <c r="R324" s="13">
        <f t="shared" si="194"/>
        <v>915.13843648208467</v>
      </c>
      <c r="S324" s="13">
        <f t="shared" si="195"/>
        <v>578.62866449511398</v>
      </c>
      <c r="T324" s="16">
        <f t="shared" si="196"/>
        <v>336.50977198697069</v>
      </c>
      <c r="U324" s="15">
        <f>+SUMIF('GE16FEB14 Tax Bill Unfudged'!$A$2:$A$498, 'Tax Bill Summary'!$A324, 'GE16FEB14 Tax Bill Unfudged'!E$2:E$498)</f>
        <v>173118</v>
      </c>
      <c r="V324" s="13">
        <f>+SUMIF('GE16FEB14 Tax Bill Unfudged'!$A$2:$A$498, 'Tax Bill Summary'!$A324, 'GE16FEB14 Tax Bill Unfudged'!F$2:F$498)</f>
        <v>126956</v>
      </c>
      <c r="W324" s="56">
        <f t="shared" si="197"/>
        <v>46162</v>
      </c>
      <c r="X324" s="51">
        <f>+SUMIF('GE16FEB14 Tax Bill Unfudged'!$A$2:$A$498, 'Tax Bill Summary'!$A324, 'GE16FEB14 Tax Bill Unfudged'!G$2:G$498)</f>
        <v>520587</v>
      </c>
      <c r="Y324" s="13">
        <f>+SUMIF('GE16FEB14 Tax Bill Unfudged'!$A$2:$A$498, 'Tax Bill Summary'!$A324, 'GE16FEB14 Tax Bill Unfudged'!H$2:H$498)</f>
        <v>381772</v>
      </c>
      <c r="Z324" s="56">
        <f t="shared" si="198"/>
        <v>138815</v>
      </c>
      <c r="AA324" s="51">
        <f>+SUMIF('GE16FEB14 Tax Bill Unfudged'!$A$2:$A$498, 'Tax Bill Summary'!$A324, 'GE16FEB14 Tax Bill Unfudged'!I$2:I$498)</f>
        <v>429190</v>
      </c>
      <c r="AB324" s="13">
        <f>+SUMIF('GE16FEB14 Tax Bill Unfudged'!$A$2:$A$498, 'Tax Bill Summary'!$A324, 'GE16FEB14 Tax Bill Unfudged'!J$2:J$498)</f>
        <v>201172</v>
      </c>
      <c r="AC324" s="56">
        <f t="shared" si="199"/>
        <v>228018</v>
      </c>
      <c r="AD324" s="51">
        <f t="shared" si="200"/>
        <v>1122895</v>
      </c>
      <c r="AE324" s="13">
        <f t="shared" si="201"/>
        <v>709900</v>
      </c>
      <c r="AF324" s="56">
        <f t="shared" si="202"/>
        <v>412995</v>
      </c>
      <c r="AG324" s="13">
        <f t="shared" si="203"/>
        <v>914.40960912052117</v>
      </c>
      <c r="AH324" s="13">
        <f t="shared" si="204"/>
        <v>578.09446254071656</v>
      </c>
      <c r="AI324" s="16">
        <f t="shared" si="205"/>
        <v>336.31514657980455</v>
      </c>
      <c r="AJ324" s="15">
        <f t="shared" si="206"/>
        <v>-895</v>
      </c>
      <c r="AK324" s="13">
        <f t="shared" si="207"/>
        <v>-656</v>
      </c>
      <c r="AL324" s="56">
        <f t="shared" si="208"/>
        <v>-239</v>
      </c>
      <c r="AM324" s="51">
        <f t="shared" si="209"/>
        <v>0</v>
      </c>
      <c r="AN324" s="13">
        <f t="shared" si="210"/>
        <v>0</v>
      </c>
      <c r="AO324" s="56">
        <f t="shared" si="211"/>
        <v>0</v>
      </c>
      <c r="AP324" s="51">
        <f t="shared" si="212"/>
        <v>0</v>
      </c>
      <c r="AQ324" s="13">
        <f t="shared" si="213"/>
        <v>0</v>
      </c>
      <c r="AR324" s="56">
        <f t="shared" si="214"/>
        <v>0</v>
      </c>
      <c r="AS324" s="51">
        <f t="shared" si="215"/>
        <v>-895</v>
      </c>
      <c r="AT324" s="13">
        <f t="shared" si="216"/>
        <v>-656</v>
      </c>
      <c r="AU324" s="56">
        <f t="shared" si="217"/>
        <v>-239</v>
      </c>
      <c r="AV324" s="13">
        <f t="shared" si="218"/>
        <v>-0.72882736156350347</v>
      </c>
      <c r="AW324" s="13">
        <f t="shared" si="219"/>
        <v>-0.53420195439741747</v>
      </c>
      <c r="AX324" s="16">
        <f t="shared" si="220"/>
        <v>-0.19462540716614285</v>
      </c>
    </row>
    <row r="325" spans="1:50" x14ac:dyDescent="0.25">
      <c r="A325" s="20">
        <v>2689</v>
      </c>
      <c r="B325">
        <v>1</v>
      </c>
      <c r="C325" s="23" t="s">
        <v>432</v>
      </c>
      <c r="D325" s="23">
        <v>5</v>
      </c>
      <c r="E325" s="15">
        <f>+SUMIF('GE16FEB14 Unfudged'!$A$2:$A$498, $A325, 'GE16FEB14 Unfudged'!$D$2:$D$498)</f>
        <v>1178</v>
      </c>
      <c r="F325" s="15">
        <f>+SUMIF('GE16FEB14 Unfudged'!$A$2:$A$498, 'Tax Bill Summary'!$A325, 'GE16FEB14 Unfudged'!E$2:E$498)</f>
        <v>121161</v>
      </c>
      <c r="G325" s="13">
        <f>+SUMIF('GE16FEB14 Unfudged'!$A$2:$A$498, 'Tax Bill Summary'!$A325, 'GE16FEB14 Unfudged'!F$2:F$498)</f>
        <v>59817</v>
      </c>
      <c r="H325" s="56">
        <f t="shared" si="188"/>
        <v>61344</v>
      </c>
      <c r="I325" s="51">
        <f>+SUMIF('GE16FEB14 Unfudged'!$A$2:$A$498, 'Tax Bill Summary'!$A325, 'GE16FEB14 Unfudged'!G$2:G$498)</f>
        <v>0</v>
      </c>
      <c r="J325" s="13">
        <f>+SUMIF('GE16FEB14 Unfudged'!$A$2:$A$498, 'Tax Bill Summary'!$A325, 'GE16FEB14 Unfudged'!H$2:H$498)</f>
        <v>0</v>
      </c>
      <c r="K325" s="56">
        <f t="shared" si="189"/>
        <v>0</v>
      </c>
      <c r="L325" s="51">
        <f>+SUMIF('GE16FEB14 Unfudged'!$A$2:$A$498, 'Tax Bill Summary'!$A325, 'GE16FEB14 Unfudged'!I$2:IF$498)</f>
        <v>1410655</v>
      </c>
      <c r="M325" s="13">
        <f>+SUMIF('GE16FEB14 Unfudged'!$A$2:$A$498, 'Tax Bill Summary'!$A325, 'GE16FEB14 Unfudged'!J$2:IG$498)</f>
        <v>816097</v>
      </c>
      <c r="N325" s="56">
        <f t="shared" si="190"/>
        <v>594558</v>
      </c>
      <c r="O325" s="51">
        <f t="shared" si="191"/>
        <v>1531816</v>
      </c>
      <c r="P325" s="13">
        <f t="shared" si="192"/>
        <v>875914</v>
      </c>
      <c r="Q325" s="56">
        <f t="shared" si="193"/>
        <v>655902</v>
      </c>
      <c r="R325" s="13">
        <f t="shared" si="194"/>
        <v>1300.3531409168081</v>
      </c>
      <c r="S325" s="13">
        <f t="shared" si="195"/>
        <v>743.56027164685906</v>
      </c>
      <c r="T325" s="16">
        <f t="shared" si="196"/>
        <v>556.79286926994905</v>
      </c>
      <c r="U325" s="15">
        <f>+SUMIF('GE16FEB14 Tax Bill Unfudged'!$A$2:$A$498, 'Tax Bill Summary'!$A325, 'GE16FEB14 Tax Bill Unfudged'!E$2:E$498)</f>
        <v>135852</v>
      </c>
      <c r="V325" s="13">
        <f>+SUMIF('GE16FEB14 Tax Bill Unfudged'!$A$2:$A$498, 'Tax Bill Summary'!$A325, 'GE16FEB14 Tax Bill Unfudged'!F$2:F$498)</f>
        <v>67069</v>
      </c>
      <c r="W325" s="56">
        <f t="shared" si="197"/>
        <v>68783</v>
      </c>
      <c r="X325" s="51">
        <f>+SUMIF('GE16FEB14 Tax Bill Unfudged'!$A$2:$A$498, 'Tax Bill Summary'!$A325, 'GE16FEB14 Tax Bill Unfudged'!G$2:G$498)</f>
        <v>499472</v>
      </c>
      <c r="Y325" s="13">
        <f>+SUMIF('GE16FEB14 Tax Bill Unfudged'!$A$2:$A$498, 'Tax Bill Summary'!$A325, 'GE16FEB14 Tax Bill Unfudged'!H$2:H$498)</f>
        <v>246587</v>
      </c>
      <c r="Z325" s="56">
        <f t="shared" si="198"/>
        <v>252885</v>
      </c>
      <c r="AA325" s="51">
        <f>+SUMIF('GE16FEB14 Tax Bill Unfudged'!$A$2:$A$498, 'Tax Bill Summary'!$A325, 'GE16FEB14 Tax Bill Unfudged'!I$2:I$498)</f>
        <v>911183</v>
      </c>
      <c r="AB325" s="13">
        <f>+SUMIF('GE16FEB14 Tax Bill Unfudged'!$A$2:$A$498, 'Tax Bill Summary'!$A325, 'GE16FEB14 Tax Bill Unfudged'!J$2:J$498)</f>
        <v>382444</v>
      </c>
      <c r="AC325" s="56">
        <f t="shared" si="199"/>
        <v>528739</v>
      </c>
      <c r="AD325" s="51">
        <f t="shared" si="200"/>
        <v>1546507</v>
      </c>
      <c r="AE325" s="13">
        <f t="shared" si="201"/>
        <v>696100</v>
      </c>
      <c r="AF325" s="56">
        <f t="shared" si="202"/>
        <v>850407</v>
      </c>
      <c r="AG325" s="13">
        <f t="shared" si="203"/>
        <v>1312.8242784380307</v>
      </c>
      <c r="AH325" s="13">
        <f t="shared" si="204"/>
        <v>590.91680814940582</v>
      </c>
      <c r="AI325" s="16">
        <f t="shared" si="205"/>
        <v>721.90747028862484</v>
      </c>
      <c r="AJ325" s="15">
        <f t="shared" si="206"/>
        <v>14691</v>
      </c>
      <c r="AK325" s="13">
        <f t="shared" si="207"/>
        <v>7252</v>
      </c>
      <c r="AL325" s="56">
        <f t="shared" si="208"/>
        <v>7439</v>
      </c>
      <c r="AM325" s="51">
        <f t="shared" si="209"/>
        <v>499472</v>
      </c>
      <c r="AN325" s="13">
        <f t="shared" si="210"/>
        <v>246587</v>
      </c>
      <c r="AO325" s="56">
        <f t="shared" si="211"/>
        <v>252885</v>
      </c>
      <c r="AP325" s="51">
        <f t="shared" si="212"/>
        <v>-499472</v>
      </c>
      <c r="AQ325" s="13">
        <f t="shared" si="213"/>
        <v>-433653</v>
      </c>
      <c r="AR325" s="56">
        <f t="shared" si="214"/>
        <v>-65819</v>
      </c>
      <c r="AS325" s="51">
        <f t="shared" si="215"/>
        <v>14691</v>
      </c>
      <c r="AT325" s="13">
        <f t="shared" si="216"/>
        <v>-179814</v>
      </c>
      <c r="AU325" s="56">
        <f t="shared" si="217"/>
        <v>194505</v>
      </c>
      <c r="AV325" s="13">
        <f t="shared" si="218"/>
        <v>12.471137521222545</v>
      </c>
      <c r="AW325" s="13">
        <f t="shared" si="219"/>
        <v>-152.64346349745324</v>
      </c>
      <c r="AX325" s="16">
        <f t="shared" si="220"/>
        <v>165.11460101867578</v>
      </c>
    </row>
    <row r="326" spans="1:50" x14ac:dyDescent="0.25">
      <c r="A326" s="20">
        <v>2711</v>
      </c>
      <c r="B326">
        <v>1</v>
      </c>
      <c r="C326" s="23" t="s">
        <v>433</v>
      </c>
      <c r="D326" s="23">
        <v>6</v>
      </c>
      <c r="E326" s="15">
        <f>+SUMIF('GE16FEB14 Unfudged'!$A$2:$A$498, $A326, 'GE16FEB14 Unfudged'!$D$2:$D$498)</f>
        <v>1034</v>
      </c>
      <c r="F326" s="15">
        <f>+SUMIF('GE16FEB14 Unfudged'!$A$2:$A$498, 'Tax Bill Summary'!$A326, 'GE16FEB14 Unfudged'!E$2:E$498)</f>
        <v>148896</v>
      </c>
      <c r="G326" s="13">
        <f>+SUMIF('GE16FEB14 Unfudged'!$A$2:$A$498, 'Tax Bill Summary'!$A326, 'GE16FEB14 Unfudged'!F$2:F$498)</f>
        <v>102371</v>
      </c>
      <c r="H326" s="56">
        <f t="shared" si="188"/>
        <v>46525</v>
      </c>
      <c r="I326" s="51">
        <f>+SUMIF('GE16FEB14 Unfudged'!$A$2:$A$498, 'Tax Bill Summary'!$A326, 'GE16FEB14 Unfudged'!G$2:G$498)</f>
        <v>0</v>
      </c>
      <c r="J326" s="13">
        <f>+SUMIF('GE16FEB14 Unfudged'!$A$2:$A$498, 'Tax Bill Summary'!$A326, 'GE16FEB14 Unfudged'!H$2:H$498)</f>
        <v>0</v>
      </c>
      <c r="K326" s="56">
        <f t="shared" si="189"/>
        <v>0</v>
      </c>
      <c r="L326" s="51">
        <f>+SUMIF('GE16FEB14 Unfudged'!$A$2:$A$498, 'Tax Bill Summary'!$A326, 'GE16FEB14 Unfudged'!I$2:IF$498)</f>
        <v>310200</v>
      </c>
      <c r="M326" s="13">
        <f>+SUMIF('GE16FEB14 Unfudged'!$A$2:$A$498, 'Tax Bill Summary'!$A326, 'GE16FEB14 Unfudged'!J$2:IG$498)</f>
        <v>123601</v>
      </c>
      <c r="N326" s="56">
        <f t="shared" si="190"/>
        <v>186599</v>
      </c>
      <c r="O326" s="51">
        <f t="shared" si="191"/>
        <v>459096</v>
      </c>
      <c r="P326" s="13">
        <f t="shared" si="192"/>
        <v>225972</v>
      </c>
      <c r="Q326" s="56">
        <f t="shared" si="193"/>
        <v>233124</v>
      </c>
      <c r="R326" s="13">
        <f t="shared" si="194"/>
        <v>444</v>
      </c>
      <c r="S326" s="13">
        <f t="shared" si="195"/>
        <v>218.54158607350098</v>
      </c>
      <c r="T326" s="16">
        <f t="shared" si="196"/>
        <v>225.45841392649902</v>
      </c>
      <c r="U326" s="15">
        <f>+SUMIF('GE16FEB14 Tax Bill Unfudged'!$A$2:$A$498, 'Tax Bill Summary'!$A326, 'GE16FEB14 Tax Bill Unfudged'!E$2:E$498)</f>
        <v>148896</v>
      </c>
      <c r="V326" s="13">
        <f>+SUMIF('GE16FEB14 Tax Bill Unfudged'!$A$2:$A$498, 'Tax Bill Summary'!$A326, 'GE16FEB14 Tax Bill Unfudged'!F$2:F$498)</f>
        <v>102371</v>
      </c>
      <c r="W326" s="56">
        <f t="shared" si="197"/>
        <v>46525</v>
      </c>
      <c r="X326" s="51">
        <f>+SUMIF('GE16FEB14 Tax Bill Unfudged'!$A$2:$A$498, 'Tax Bill Summary'!$A326, 'GE16FEB14 Tax Bill Unfudged'!G$2:G$498)</f>
        <v>438416</v>
      </c>
      <c r="Y326" s="13">
        <f>+SUMIF('GE16FEB14 Tax Bill Unfudged'!$A$2:$A$498, 'Tax Bill Summary'!$A326, 'GE16FEB14 Tax Bill Unfudged'!H$2:H$498)</f>
        <v>301426</v>
      </c>
      <c r="Z326" s="56">
        <f t="shared" si="198"/>
        <v>136990</v>
      </c>
      <c r="AA326" s="51">
        <f>+SUMIF('GE16FEB14 Tax Bill Unfudged'!$A$2:$A$498, 'Tax Bill Summary'!$A326, 'GE16FEB14 Tax Bill Unfudged'!I$2:I$498)</f>
        <v>310200</v>
      </c>
      <c r="AB326" s="13">
        <f>+SUMIF('GE16FEB14 Tax Bill Unfudged'!$A$2:$A$498, 'Tax Bill Summary'!$A326, 'GE16FEB14 Tax Bill Unfudged'!J$2:J$498)</f>
        <v>123601</v>
      </c>
      <c r="AC326" s="56">
        <f t="shared" si="199"/>
        <v>186599</v>
      </c>
      <c r="AD326" s="51">
        <f t="shared" si="200"/>
        <v>897512</v>
      </c>
      <c r="AE326" s="13">
        <f t="shared" si="201"/>
        <v>527398</v>
      </c>
      <c r="AF326" s="56">
        <f t="shared" si="202"/>
        <v>370114</v>
      </c>
      <c r="AG326" s="13">
        <f t="shared" si="203"/>
        <v>868</v>
      </c>
      <c r="AH326" s="13">
        <f t="shared" si="204"/>
        <v>510.05609284332689</v>
      </c>
      <c r="AI326" s="16">
        <f t="shared" si="205"/>
        <v>357.94390715667311</v>
      </c>
      <c r="AJ326" s="15">
        <f t="shared" si="206"/>
        <v>0</v>
      </c>
      <c r="AK326" s="13">
        <f t="shared" si="207"/>
        <v>0</v>
      </c>
      <c r="AL326" s="56">
        <f t="shared" si="208"/>
        <v>0</v>
      </c>
      <c r="AM326" s="51">
        <f t="shared" si="209"/>
        <v>438416</v>
      </c>
      <c r="AN326" s="13">
        <f t="shared" si="210"/>
        <v>301426</v>
      </c>
      <c r="AO326" s="56">
        <f t="shared" si="211"/>
        <v>136990</v>
      </c>
      <c r="AP326" s="51">
        <f t="shared" si="212"/>
        <v>0</v>
      </c>
      <c r="AQ326" s="13">
        <f t="shared" si="213"/>
        <v>0</v>
      </c>
      <c r="AR326" s="56">
        <f t="shared" si="214"/>
        <v>0</v>
      </c>
      <c r="AS326" s="51">
        <f t="shared" si="215"/>
        <v>438416</v>
      </c>
      <c r="AT326" s="13">
        <f t="shared" si="216"/>
        <v>301426</v>
      </c>
      <c r="AU326" s="56">
        <f t="shared" si="217"/>
        <v>136990</v>
      </c>
      <c r="AV326" s="13">
        <f t="shared" si="218"/>
        <v>424</v>
      </c>
      <c r="AW326" s="13">
        <f t="shared" si="219"/>
        <v>291.51450676982591</v>
      </c>
      <c r="AX326" s="16">
        <f t="shared" si="220"/>
        <v>132.48549323017409</v>
      </c>
    </row>
    <row r="327" spans="1:50" x14ac:dyDescent="0.25">
      <c r="A327" s="20">
        <v>2752</v>
      </c>
      <c r="B327">
        <v>1</v>
      </c>
      <c r="C327" s="23" t="s">
        <v>434</v>
      </c>
      <c r="D327" s="23">
        <v>5</v>
      </c>
      <c r="E327" s="15">
        <f>+SUMIF('GE16FEB14 Unfudged'!$A$2:$A$498, $A327, 'GE16FEB14 Unfudged'!$D$2:$D$498)</f>
        <v>1964</v>
      </c>
      <c r="F327" s="15">
        <f>+SUMIF('GE16FEB14 Unfudged'!$A$2:$A$498, 'Tax Bill Summary'!$A327, 'GE16FEB14 Unfudged'!E$2:E$498)</f>
        <v>222928</v>
      </c>
      <c r="G327" s="13">
        <f>+SUMIF('GE16FEB14 Unfudged'!$A$2:$A$498, 'Tax Bill Summary'!$A327, 'GE16FEB14 Unfudged'!F$2:F$498)</f>
        <v>168243</v>
      </c>
      <c r="H327" s="56">
        <f t="shared" si="188"/>
        <v>54685</v>
      </c>
      <c r="I327" s="51">
        <f>+SUMIF('GE16FEB14 Unfudged'!$A$2:$A$498, 'Tax Bill Summary'!$A327, 'GE16FEB14 Unfudged'!G$2:G$498)</f>
        <v>0</v>
      </c>
      <c r="J327" s="13">
        <f>+SUMIF('GE16FEB14 Unfudged'!$A$2:$A$498, 'Tax Bill Summary'!$A327, 'GE16FEB14 Unfudged'!H$2:H$498)</f>
        <v>0</v>
      </c>
      <c r="K327" s="56">
        <f t="shared" si="189"/>
        <v>0</v>
      </c>
      <c r="L327" s="51">
        <f>+SUMIF('GE16FEB14 Unfudged'!$A$2:$A$498, 'Tax Bill Summary'!$A327, 'GE16FEB14 Unfudged'!I$2:IF$498)</f>
        <v>1894978</v>
      </c>
      <c r="M327" s="13">
        <f>+SUMIF('GE16FEB14 Unfudged'!$A$2:$A$498, 'Tax Bill Summary'!$A327, 'GE16FEB14 Unfudged'!J$2:IG$498)</f>
        <v>1341907</v>
      </c>
      <c r="N327" s="56">
        <f t="shared" si="190"/>
        <v>553071</v>
      </c>
      <c r="O327" s="51">
        <f t="shared" si="191"/>
        <v>2117906</v>
      </c>
      <c r="P327" s="13">
        <f t="shared" si="192"/>
        <v>1510150</v>
      </c>
      <c r="Q327" s="56">
        <f t="shared" si="193"/>
        <v>607756</v>
      </c>
      <c r="R327" s="13">
        <f t="shared" si="194"/>
        <v>1078.3635437881874</v>
      </c>
      <c r="S327" s="13">
        <f t="shared" si="195"/>
        <v>768.91547861507127</v>
      </c>
      <c r="T327" s="16">
        <f t="shared" si="196"/>
        <v>309.44806517311611</v>
      </c>
      <c r="U327" s="15">
        <f>+SUMIF('GE16FEB14 Tax Bill Unfudged'!$A$2:$A$498, 'Tax Bill Summary'!$A327, 'GE16FEB14 Tax Bill Unfudged'!E$2:E$498)</f>
        <v>254140</v>
      </c>
      <c r="V327" s="13">
        <f>+SUMIF('GE16FEB14 Tax Bill Unfudged'!$A$2:$A$498, 'Tax Bill Summary'!$A327, 'GE16FEB14 Tax Bill Unfudged'!F$2:F$498)</f>
        <v>191798</v>
      </c>
      <c r="W327" s="56">
        <f t="shared" si="197"/>
        <v>62342</v>
      </c>
      <c r="X327" s="51">
        <f>+SUMIF('GE16FEB14 Tax Bill Unfudged'!$A$2:$A$498, 'Tax Bill Summary'!$A327, 'GE16FEB14 Tax Bill Unfudged'!G$2:G$498)</f>
        <v>832672</v>
      </c>
      <c r="Y327" s="13">
        <f>+SUMIF('GE16FEB14 Tax Bill Unfudged'!$A$2:$A$498, 'Tax Bill Summary'!$A327, 'GE16FEB14 Tax Bill Unfudged'!H$2:H$498)</f>
        <v>628413</v>
      </c>
      <c r="Z327" s="56">
        <f t="shared" si="198"/>
        <v>204259</v>
      </c>
      <c r="AA327" s="51">
        <f>+SUMIF('GE16FEB14 Tax Bill Unfudged'!$A$2:$A$498, 'Tax Bill Summary'!$A327, 'GE16FEB14 Tax Bill Unfudged'!I$2:I$498)</f>
        <v>1062305</v>
      </c>
      <c r="AB327" s="13">
        <f>+SUMIF('GE16FEB14 Tax Bill Unfudged'!$A$2:$A$498, 'Tax Bill Summary'!$A327, 'GE16FEB14 Tax Bill Unfudged'!J$2:J$498)</f>
        <v>614769</v>
      </c>
      <c r="AC327" s="56">
        <f t="shared" si="199"/>
        <v>447536</v>
      </c>
      <c r="AD327" s="51">
        <f t="shared" si="200"/>
        <v>2149117</v>
      </c>
      <c r="AE327" s="13">
        <f t="shared" si="201"/>
        <v>1434980</v>
      </c>
      <c r="AF327" s="56">
        <f t="shared" si="202"/>
        <v>714137</v>
      </c>
      <c r="AG327" s="13">
        <f t="shared" si="203"/>
        <v>1094.2550916496946</v>
      </c>
      <c r="AH327" s="13">
        <f t="shared" si="204"/>
        <v>730.64154786150709</v>
      </c>
      <c r="AI327" s="16">
        <f t="shared" si="205"/>
        <v>363.61354378818737</v>
      </c>
      <c r="AJ327" s="15">
        <f t="shared" si="206"/>
        <v>31212</v>
      </c>
      <c r="AK327" s="13">
        <f t="shared" si="207"/>
        <v>23555</v>
      </c>
      <c r="AL327" s="56">
        <f t="shared" si="208"/>
        <v>7657</v>
      </c>
      <c r="AM327" s="51">
        <f t="shared" si="209"/>
        <v>832672</v>
      </c>
      <c r="AN327" s="13">
        <f t="shared" si="210"/>
        <v>628413</v>
      </c>
      <c r="AO327" s="56">
        <f t="shared" si="211"/>
        <v>204259</v>
      </c>
      <c r="AP327" s="51">
        <f t="shared" si="212"/>
        <v>-832673</v>
      </c>
      <c r="AQ327" s="13">
        <f t="shared" si="213"/>
        <v>-727138</v>
      </c>
      <c r="AR327" s="56">
        <f t="shared" si="214"/>
        <v>-105535</v>
      </c>
      <c r="AS327" s="51">
        <f t="shared" si="215"/>
        <v>31211</v>
      </c>
      <c r="AT327" s="13">
        <f t="shared" si="216"/>
        <v>-75170</v>
      </c>
      <c r="AU327" s="56">
        <f t="shared" si="217"/>
        <v>106381</v>
      </c>
      <c r="AV327" s="13">
        <f t="shared" si="218"/>
        <v>15.891547861507206</v>
      </c>
      <c r="AW327" s="13">
        <f t="shared" si="219"/>
        <v>-38.273930753564173</v>
      </c>
      <c r="AX327" s="16">
        <f t="shared" si="220"/>
        <v>54.165478615071265</v>
      </c>
    </row>
    <row r="328" spans="1:50" x14ac:dyDescent="0.25">
      <c r="A328" s="20">
        <v>2753</v>
      </c>
      <c r="B328">
        <v>1</v>
      </c>
      <c r="C328" s="23" t="s">
        <v>435</v>
      </c>
      <c r="D328" s="23">
        <v>5</v>
      </c>
      <c r="E328" s="15">
        <f>+SUMIF('GE16FEB14 Unfudged'!$A$2:$A$498, $A328, 'GE16FEB14 Unfudged'!$D$2:$D$498)</f>
        <v>960</v>
      </c>
      <c r="F328" s="15">
        <f>+SUMIF('GE16FEB14 Unfudged'!$A$2:$A$498, 'Tax Bill Summary'!$A328, 'GE16FEB14 Unfudged'!E$2:E$498)</f>
        <v>109157</v>
      </c>
      <c r="G328" s="13">
        <f>+SUMIF('GE16FEB14 Unfudged'!$A$2:$A$498, 'Tax Bill Summary'!$A328, 'GE16FEB14 Unfudged'!F$2:F$498)</f>
        <v>68203</v>
      </c>
      <c r="H328" s="56">
        <f t="shared" si="188"/>
        <v>40954</v>
      </c>
      <c r="I328" s="51">
        <f>+SUMIF('GE16FEB14 Unfudged'!$A$2:$A$498, 'Tax Bill Summary'!$A328, 'GE16FEB14 Unfudged'!G$2:G$498)</f>
        <v>0</v>
      </c>
      <c r="J328" s="13">
        <f>+SUMIF('GE16FEB14 Unfudged'!$A$2:$A$498, 'Tax Bill Summary'!$A328, 'GE16FEB14 Unfudged'!H$2:H$498)</f>
        <v>0</v>
      </c>
      <c r="K328" s="56">
        <f t="shared" si="189"/>
        <v>0</v>
      </c>
      <c r="L328" s="51">
        <f>+SUMIF('GE16FEB14 Unfudged'!$A$2:$A$498, 'Tax Bill Summary'!$A328, 'GE16FEB14 Unfudged'!I$2:IF$498)</f>
        <v>922368</v>
      </c>
      <c r="M328" s="13">
        <f>+SUMIF('GE16FEB14 Unfudged'!$A$2:$A$498, 'Tax Bill Summary'!$A328, 'GE16FEB14 Unfudged'!J$2:IG$498)</f>
        <v>572973</v>
      </c>
      <c r="N328" s="56">
        <f t="shared" si="190"/>
        <v>349395</v>
      </c>
      <c r="O328" s="51">
        <f t="shared" si="191"/>
        <v>1031525</v>
      </c>
      <c r="P328" s="13">
        <f t="shared" si="192"/>
        <v>641176</v>
      </c>
      <c r="Q328" s="56">
        <f t="shared" si="193"/>
        <v>390349</v>
      </c>
      <c r="R328" s="13">
        <f t="shared" si="194"/>
        <v>1074.5052083333333</v>
      </c>
      <c r="S328" s="13">
        <f t="shared" si="195"/>
        <v>667.89166666666665</v>
      </c>
      <c r="T328" s="16">
        <f t="shared" si="196"/>
        <v>406.61354166666666</v>
      </c>
      <c r="U328" s="15">
        <f>+SUMIF('GE16FEB14 Tax Bill Unfudged'!$A$2:$A$498, 'Tax Bill Summary'!$A328, 'GE16FEB14 Tax Bill Unfudged'!E$2:E$498)</f>
        <v>124473</v>
      </c>
      <c r="V328" s="13">
        <f>+SUMIF('GE16FEB14 Tax Bill Unfudged'!$A$2:$A$498, 'Tax Bill Summary'!$A328, 'GE16FEB14 Tax Bill Unfudged'!F$2:F$498)</f>
        <v>77772</v>
      </c>
      <c r="W328" s="56">
        <f t="shared" si="197"/>
        <v>46701</v>
      </c>
      <c r="X328" s="51">
        <f>+SUMIF('GE16FEB14 Tax Bill Unfudged'!$A$2:$A$498, 'Tax Bill Summary'!$A328, 'GE16FEB14 Tax Bill Unfudged'!G$2:G$498)</f>
        <v>407040</v>
      </c>
      <c r="Y328" s="13">
        <f>+SUMIF('GE16FEB14 Tax Bill Unfudged'!$A$2:$A$498, 'Tax Bill Summary'!$A328, 'GE16FEB14 Tax Bill Unfudged'!H$2:H$498)</f>
        <v>254324</v>
      </c>
      <c r="Z328" s="56">
        <f t="shared" si="198"/>
        <v>152716</v>
      </c>
      <c r="AA328" s="51">
        <f>+SUMIF('GE16FEB14 Tax Bill Unfudged'!$A$2:$A$498, 'Tax Bill Summary'!$A328, 'GE16FEB14 Tax Bill Unfudged'!I$2:I$498)</f>
        <v>515328</v>
      </c>
      <c r="AB328" s="13">
        <f>+SUMIF('GE16FEB14 Tax Bill Unfudged'!$A$2:$A$498, 'Tax Bill Summary'!$A328, 'GE16FEB14 Tax Bill Unfudged'!J$2:J$498)</f>
        <v>246325</v>
      </c>
      <c r="AC328" s="56">
        <f t="shared" si="199"/>
        <v>269003</v>
      </c>
      <c r="AD328" s="51">
        <f t="shared" si="200"/>
        <v>1046841</v>
      </c>
      <c r="AE328" s="13">
        <f t="shared" si="201"/>
        <v>578421</v>
      </c>
      <c r="AF328" s="56">
        <f t="shared" si="202"/>
        <v>468420</v>
      </c>
      <c r="AG328" s="13">
        <f t="shared" si="203"/>
        <v>1090.4593749999999</v>
      </c>
      <c r="AH328" s="13">
        <f t="shared" si="204"/>
        <v>602.52187500000002</v>
      </c>
      <c r="AI328" s="16">
        <f t="shared" si="205"/>
        <v>487.9375</v>
      </c>
      <c r="AJ328" s="15">
        <f t="shared" si="206"/>
        <v>15316</v>
      </c>
      <c r="AK328" s="13">
        <f t="shared" si="207"/>
        <v>9569</v>
      </c>
      <c r="AL328" s="56">
        <f t="shared" si="208"/>
        <v>5747</v>
      </c>
      <c r="AM328" s="51">
        <f t="shared" si="209"/>
        <v>407040</v>
      </c>
      <c r="AN328" s="13">
        <f t="shared" si="210"/>
        <v>254324</v>
      </c>
      <c r="AO328" s="56">
        <f t="shared" si="211"/>
        <v>152716</v>
      </c>
      <c r="AP328" s="51">
        <f t="shared" si="212"/>
        <v>-407040</v>
      </c>
      <c r="AQ328" s="13">
        <f t="shared" si="213"/>
        <v>-326648</v>
      </c>
      <c r="AR328" s="56">
        <f t="shared" si="214"/>
        <v>-80392</v>
      </c>
      <c r="AS328" s="51">
        <f t="shared" si="215"/>
        <v>15316</v>
      </c>
      <c r="AT328" s="13">
        <f t="shared" si="216"/>
        <v>-62755</v>
      </c>
      <c r="AU328" s="56">
        <f t="shared" si="217"/>
        <v>78071</v>
      </c>
      <c r="AV328" s="13">
        <f t="shared" si="218"/>
        <v>15.954166666666652</v>
      </c>
      <c r="AW328" s="13">
        <f t="shared" si="219"/>
        <v>-65.369791666666629</v>
      </c>
      <c r="AX328" s="16">
        <f t="shared" si="220"/>
        <v>81.323958333333337</v>
      </c>
    </row>
    <row r="329" spans="1:50" x14ac:dyDescent="0.25">
      <c r="A329" s="20">
        <v>2754</v>
      </c>
      <c r="B329">
        <v>1</v>
      </c>
      <c r="C329" s="23" t="s">
        <v>436</v>
      </c>
      <c r="D329" s="23">
        <v>6</v>
      </c>
      <c r="E329" s="15">
        <f>+SUMIF('GE16FEB14 Unfudged'!$A$2:$A$498, $A329, 'GE16FEB14 Unfudged'!$D$2:$D$498)</f>
        <v>562</v>
      </c>
      <c r="F329" s="15">
        <f>+SUMIF('GE16FEB14 Unfudged'!$A$2:$A$498, 'Tax Bill Summary'!$A329, 'GE16FEB14 Unfudged'!E$2:E$498)</f>
        <v>73493</v>
      </c>
      <c r="G329" s="13">
        <f>+SUMIF('GE16FEB14 Unfudged'!$A$2:$A$498, 'Tax Bill Summary'!$A329, 'GE16FEB14 Unfudged'!F$2:F$498)</f>
        <v>32836</v>
      </c>
      <c r="H329" s="56">
        <f t="shared" si="188"/>
        <v>40657</v>
      </c>
      <c r="I329" s="51">
        <f>+SUMIF('GE16FEB14 Unfudged'!$A$2:$A$498, 'Tax Bill Summary'!$A329, 'GE16FEB14 Unfudged'!G$2:G$498)</f>
        <v>0</v>
      </c>
      <c r="J329" s="13">
        <f>+SUMIF('GE16FEB14 Unfudged'!$A$2:$A$498, 'Tax Bill Summary'!$A329, 'GE16FEB14 Unfudged'!H$2:H$498)</f>
        <v>0</v>
      </c>
      <c r="K329" s="56">
        <f t="shared" si="189"/>
        <v>0</v>
      </c>
      <c r="L329" s="51">
        <f>+SUMIF('GE16FEB14 Unfudged'!$A$2:$A$498, 'Tax Bill Summary'!$A329, 'GE16FEB14 Unfudged'!I$2:IF$498)</f>
        <v>330074</v>
      </c>
      <c r="M329" s="13">
        <f>+SUMIF('GE16FEB14 Unfudged'!$A$2:$A$498, 'Tax Bill Summary'!$A329, 'GE16FEB14 Unfudged'!J$2:IG$498)</f>
        <v>115812</v>
      </c>
      <c r="N329" s="56">
        <f t="shared" si="190"/>
        <v>214262</v>
      </c>
      <c r="O329" s="51">
        <f t="shared" si="191"/>
        <v>403567</v>
      </c>
      <c r="P329" s="13">
        <f t="shared" si="192"/>
        <v>148648</v>
      </c>
      <c r="Q329" s="56">
        <f t="shared" si="193"/>
        <v>254919</v>
      </c>
      <c r="R329" s="13">
        <f t="shared" si="194"/>
        <v>718.09074733096088</v>
      </c>
      <c r="S329" s="13">
        <f t="shared" si="195"/>
        <v>264.4982206405694</v>
      </c>
      <c r="T329" s="16">
        <f t="shared" si="196"/>
        <v>453.59252669039148</v>
      </c>
      <c r="U329" s="15">
        <f>+SUMIF('GE16FEB14 Tax Bill Unfudged'!$A$2:$A$498, 'Tax Bill Summary'!$A329, 'GE16FEB14 Tax Bill Unfudged'!E$2:E$498)</f>
        <v>80899</v>
      </c>
      <c r="V329" s="13">
        <f>+SUMIF('GE16FEB14 Tax Bill Unfudged'!$A$2:$A$498, 'Tax Bill Summary'!$A329, 'GE16FEB14 Tax Bill Unfudged'!F$2:F$498)</f>
        <v>36145</v>
      </c>
      <c r="W329" s="56">
        <f t="shared" si="197"/>
        <v>44754</v>
      </c>
      <c r="X329" s="51">
        <f>+SUMIF('GE16FEB14 Tax Bill Unfudged'!$A$2:$A$498, 'Tax Bill Summary'!$A329, 'GE16FEB14 Tax Bill Unfudged'!G$2:G$498)</f>
        <v>238203</v>
      </c>
      <c r="Y329" s="13">
        <f>+SUMIF('GE16FEB14 Tax Bill Unfudged'!$A$2:$A$498, 'Tax Bill Summary'!$A329, 'GE16FEB14 Tax Bill Unfudged'!H$2:H$498)</f>
        <v>106426</v>
      </c>
      <c r="Z329" s="56">
        <f t="shared" si="198"/>
        <v>131777</v>
      </c>
      <c r="AA329" s="51">
        <f>+SUMIF('GE16FEB14 Tax Bill Unfudged'!$A$2:$A$498, 'Tax Bill Summary'!$A329, 'GE16FEB14 Tax Bill Unfudged'!I$2:I$498)</f>
        <v>168540</v>
      </c>
      <c r="AB329" s="13">
        <f>+SUMIF('GE16FEB14 Tax Bill Unfudged'!$A$2:$A$498, 'Tax Bill Summary'!$A329, 'GE16FEB14 Tax Bill Unfudged'!J$2:J$498)</f>
        <v>43641</v>
      </c>
      <c r="AC329" s="56">
        <f t="shared" si="199"/>
        <v>124899</v>
      </c>
      <c r="AD329" s="51">
        <f t="shared" si="200"/>
        <v>487642</v>
      </c>
      <c r="AE329" s="13">
        <f t="shared" si="201"/>
        <v>186212</v>
      </c>
      <c r="AF329" s="56">
        <f t="shared" si="202"/>
        <v>301430</v>
      </c>
      <c r="AG329" s="13">
        <f t="shared" si="203"/>
        <v>867.6903914590747</v>
      </c>
      <c r="AH329" s="13">
        <f t="shared" si="204"/>
        <v>331.33807829181495</v>
      </c>
      <c r="AI329" s="16">
        <f t="shared" si="205"/>
        <v>536.35231316725981</v>
      </c>
      <c r="AJ329" s="15">
        <f t="shared" si="206"/>
        <v>7406</v>
      </c>
      <c r="AK329" s="13">
        <f t="shared" si="207"/>
        <v>3309</v>
      </c>
      <c r="AL329" s="56">
        <f t="shared" si="208"/>
        <v>4097</v>
      </c>
      <c r="AM329" s="51">
        <f t="shared" si="209"/>
        <v>238203</v>
      </c>
      <c r="AN329" s="13">
        <f t="shared" si="210"/>
        <v>106426</v>
      </c>
      <c r="AO329" s="56">
        <f t="shared" si="211"/>
        <v>131777</v>
      </c>
      <c r="AP329" s="51">
        <f t="shared" si="212"/>
        <v>-161534</v>
      </c>
      <c r="AQ329" s="13">
        <f t="shared" si="213"/>
        <v>-72171</v>
      </c>
      <c r="AR329" s="56">
        <f t="shared" si="214"/>
        <v>-89363</v>
      </c>
      <c r="AS329" s="51">
        <f t="shared" si="215"/>
        <v>84075</v>
      </c>
      <c r="AT329" s="13">
        <f t="shared" si="216"/>
        <v>37564</v>
      </c>
      <c r="AU329" s="56">
        <f t="shared" si="217"/>
        <v>46511</v>
      </c>
      <c r="AV329" s="13">
        <f t="shared" si="218"/>
        <v>149.59964412811382</v>
      </c>
      <c r="AW329" s="13">
        <f t="shared" si="219"/>
        <v>66.839857651245552</v>
      </c>
      <c r="AX329" s="16">
        <f t="shared" si="220"/>
        <v>82.759786476868328</v>
      </c>
    </row>
    <row r="330" spans="1:50" x14ac:dyDescent="0.25">
      <c r="A330" s="20">
        <v>2759</v>
      </c>
      <c r="B330">
        <v>1</v>
      </c>
      <c r="C330" s="23" t="s">
        <v>437</v>
      </c>
      <c r="D330" s="23">
        <v>6</v>
      </c>
      <c r="E330" s="15">
        <f>+SUMIF('GE16FEB14 Unfudged'!$A$2:$A$498, $A330, 'GE16FEB14 Unfudged'!$D$2:$D$498)</f>
        <v>315</v>
      </c>
      <c r="F330" s="15">
        <f>+SUMIF('GE16FEB14 Unfudged'!$A$2:$A$498, 'Tax Bill Summary'!$A330, 'GE16FEB14 Unfudged'!E$2:E$498)</f>
        <v>34661</v>
      </c>
      <c r="G330" s="13">
        <f>+SUMIF('GE16FEB14 Unfudged'!$A$2:$A$498, 'Tax Bill Summary'!$A330, 'GE16FEB14 Unfudged'!F$2:F$498)</f>
        <v>15979</v>
      </c>
      <c r="H330" s="56">
        <f t="shared" si="188"/>
        <v>18682</v>
      </c>
      <c r="I330" s="51">
        <f>+SUMIF('GE16FEB14 Unfudged'!$A$2:$A$498, 'Tax Bill Summary'!$A330, 'GE16FEB14 Unfudged'!G$2:G$498)</f>
        <v>0</v>
      </c>
      <c r="J330" s="13">
        <f>+SUMIF('GE16FEB14 Unfudged'!$A$2:$A$498, 'Tax Bill Summary'!$A330, 'GE16FEB14 Unfudged'!H$2:H$498)</f>
        <v>0</v>
      </c>
      <c r="K330" s="56">
        <f t="shared" si="189"/>
        <v>0</v>
      </c>
      <c r="L330" s="51">
        <f>+SUMIF('GE16FEB14 Unfudged'!$A$2:$A$498, 'Tax Bill Summary'!$A330, 'GE16FEB14 Unfudged'!I$2:IF$498)</f>
        <v>327013</v>
      </c>
      <c r="M330" s="13">
        <f>+SUMIF('GE16FEB14 Unfudged'!$A$2:$A$498, 'Tax Bill Summary'!$A330, 'GE16FEB14 Unfudged'!J$2:IG$498)</f>
        <v>163158</v>
      </c>
      <c r="N330" s="56">
        <f t="shared" si="190"/>
        <v>163855</v>
      </c>
      <c r="O330" s="51">
        <f t="shared" si="191"/>
        <v>361674</v>
      </c>
      <c r="P330" s="13">
        <f t="shared" si="192"/>
        <v>179137</v>
      </c>
      <c r="Q330" s="56">
        <f t="shared" si="193"/>
        <v>182537</v>
      </c>
      <c r="R330" s="13">
        <f t="shared" si="194"/>
        <v>1148.1714285714286</v>
      </c>
      <c r="S330" s="13">
        <f t="shared" si="195"/>
        <v>568.68888888888887</v>
      </c>
      <c r="T330" s="16">
        <f t="shared" si="196"/>
        <v>579.48253968253971</v>
      </c>
      <c r="U330" s="15">
        <f>+SUMIF('GE16FEB14 Tax Bill Unfudged'!$A$2:$A$498, 'Tax Bill Summary'!$A330, 'GE16FEB14 Tax Bill Unfudged'!E$2:E$498)</f>
        <v>39321</v>
      </c>
      <c r="V330" s="13">
        <f>+SUMIF('GE16FEB14 Tax Bill Unfudged'!$A$2:$A$498, 'Tax Bill Summary'!$A330, 'GE16FEB14 Tax Bill Unfudged'!F$2:F$498)</f>
        <v>18127</v>
      </c>
      <c r="W330" s="56">
        <f t="shared" si="197"/>
        <v>21194</v>
      </c>
      <c r="X330" s="51">
        <f>+SUMIF('GE16FEB14 Tax Bill Unfudged'!$A$2:$A$498, 'Tax Bill Summary'!$A330, 'GE16FEB14 Tax Bill Unfudged'!G$2:G$498)</f>
        <v>133454</v>
      </c>
      <c r="Y330" s="13">
        <f>+SUMIF('GE16FEB14 Tax Bill Unfudged'!$A$2:$A$498, 'Tax Bill Summary'!$A330, 'GE16FEB14 Tax Bill Unfudged'!H$2:H$498)</f>
        <v>61522</v>
      </c>
      <c r="Z330" s="56">
        <f t="shared" si="198"/>
        <v>71932</v>
      </c>
      <c r="AA330" s="51">
        <f>+SUMIF('GE16FEB14 Tax Bill Unfudged'!$A$2:$A$498, 'Tax Bill Summary'!$A330, 'GE16FEB14 Tax Bill Unfudged'!I$2:I$498)</f>
        <v>193559</v>
      </c>
      <c r="AB330" s="13">
        <f>+SUMIF('GE16FEB14 Tax Bill Unfudged'!$A$2:$A$498, 'Tax Bill Summary'!$A330, 'GE16FEB14 Tax Bill Unfudged'!J$2:J$498)</f>
        <v>70929</v>
      </c>
      <c r="AC330" s="56">
        <f t="shared" si="199"/>
        <v>122630</v>
      </c>
      <c r="AD330" s="51">
        <f t="shared" si="200"/>
        <v>366334</v>
      </c>
      <c r="AE330" s="13">
        <f t="shared" si="201"/>
        <v>150578</v>
      </c>
      <c r="AF330" s="56">
        <f t="shared" si="202"/>
        <v>215756</v>
      </c>
      <c r="AG330" s="13">
        <f t="shared" si="203"/>
        <v>1162.9650793650794</v>
      </c>
      <c r="AH330" s="13">
        <f t="shared" si="204"/>
        <v>478.02539682539685</v>
      </c>
      <c r="AI330" s="16">
        <f t="shared" si="205"/>
        <v>684.93968253968251</v>
      </c>
      <c r="AJ330" s="15">
        <f t="shared" si="206"/>
        <v>4660</v>
      </c>
      <c r="AK330" s="13">
        <f t="shared" si="207"/>
        <v>2148</v>
      </c>
      <c r="AL330" s="56">
        <f t="shared" si="208"/>
        <v>2512</v>
      </c>
      <c r="AM330" s="51">
        <f t="shared" si="209"/>
        <v>133454</v>
      </c>
      <c r="AN330" s="13">
        <f t="shared" si="210"/>
        <v>61522</v>
      </c>
      <c r="AO330" s="56">
        <f t="shared" si="211"/>
        <v>71932</v>
      </c>
      <c r="AP330" s="51">
        <f t="shared" si="212"/>
        <v>-133454</v>
      </c>
      <c r="AQ330" s="13">
        <f t="shared" si="213"/>
        <v>-92229</v>
      </c>
      <c r="AR330" s="56">
        <f t="shared" si="214"/>
        <v>-41225</v>
      </c>
      <c r="AS330" s="51">
        <f t="shared" si="215"/>
        <v>4660</v>
      </c>
      <c r="AT330" s="13">
        <f t="shared" si="216"/>
        <v>-28559</v>
      </c>
      <c r="AU330" s="56">
        <f t="shared" si="217"/>
        <v>33219</v>
      </c>
      <c r="AV330" s="13">
        <f t="shared" si="218"/>
        <v>14.793650793650841</v>
      </c>
      <c r="AW330" s="13">
        <f t="shared" si="219"/>
        <v>-90.663492063492015</v>
      </c>
      <c r="AX330" s="16">
        <f t="shared" si="220"/>
        <v>105.4571428571428</v>
      </c>
    </row>
    <row r="331" spans="1:50" x14ac:dyDescent="0.25">
      <c r="A331" s="20">
        <v>2769</v>
      </c>
      <c r="B331">
        <v>1</v>
      </c>
      <c r="C331" s="23" t="s">
        <v>467</v>
      </c>
      <c r="D331" s="23">
        <v>6</v>
      </c>
      <c r="E331" s="15">
        <f>+SUMIF('GE16FEB14 Unfudged'!$A$2:$A$498, $A331, 'GE16FEB14 Unfudged'!$D$2:$D$498)</f>
        <v>1074</v>
      </c>
      <c r="F331" s="15">
        <f>+SUMIF('GE16FEB14 Unfudged'!$A$2:$A$498, 'Tax Bill Summary'!$A331, 'GE16FEB14 Unfudged'!E$2:E$498)</f>
        <v>125427</v>
      </c>
      <c r="G331" s="13">
        <f>+SUMIF('GE16FEB14 Unfudged'!$A$2:$A$498, 'Tax Bill Summary'!$A331, 'GE16FEB14 Unfudged'!F$2:F$498)</f>
        <v>90913</v>
      </c>
      <c r="H331" s="56">
        <f t="shared" si="188"/>
        <v>34514</v>
      </c>
      <c r="I331" s="51">
        <f>+SUMIF('GE16FEB14 Unfudged'!$A$2:$A$498, 'Tax Bill Summary'!$A331, 'GE16FEB14 Unfudged'!G$2:G$498)</f>
        <v>0</v>
      </c>
      <c r="J331" s="13">
        <f>+SUMIF('GE16FEB14 Unfudged'!$A$2:$A$498, 'Tax Bill Summary'!$A331, 'GE16FEB14 Unfudged'!H$2:H$498)</f>
        <v>0</v>
      </c>
      <c r="K331" s="56">
        <f t="shared" si="189"/>
        <v>0</v>
      </c>
      <c r="L331" s="51">
        <f>+SUMIF('GE16FEB14 Unfudged'!$A$2:$A$498, 'Tax Bill Summary'!$A331, 'GE16FEB14 Unfudged'!I$2:IF$498)</f>
        <v>958360</v>
      </c>
      <c r="M331" s="13">
        <f>+SUMIF('GE16FEB14 Unfudged'!$A$2:$A$498, 'Tax Bill Summary'!$A331, 'GE16FEB14 Unfudged'!J$2:IG$498)</f>
        <v>635679</v>
      </c>
      <c r="N331" s="56">
        <f t="shared" si="190"/>
        <v>322681</v>
      </c>
      <c r="O331" s="51">
        <f t="shared" si="191"/>
        <v>1083787</v>
      </c>
      <c r="P331" s="13">
        <f t="shared" si="192"/>
        <v>726592</v>
      </c>
      <c r="Q331" s="56">
        <f t="shared" si="193"/>
        <v>357195</v>
      </c>
      <c r="R331" s="13">
        <f t="shared" si="194"/>
        <v>1009.1126629422719</v>
      </c>
      <c r="S331" s="13">
        <f t="shared" si="195"/>
        <v>676.52886405959032</v>
      </c>
      <c r="T331" s="16">
        <f t="shared" si="196"/>
        <v>332.58379888268155</v>
      </c>
      <c r="U331" s="15">
        <f>+SUMIF('GE16FEB14 Tax Bill Unfudged'!$A$2:$A$498, 'Tax Bill Summary'!$A331, 'GE16FEB14 Tax Bill Unfudged'!E$2:E$498)</f>
        <v>143632</v>
      </c>
      <c r="V331" s="13">
        <f>+SUMIF('GE16FEB14 Tax Bill Unfudged'!$A$2:$A$498, 'Tax Bill Summary'!$A331, 'GE16FEB14 Tax Bill Unfudged'!F$2:F$498)</f>
        <v>104108</v>
      </c>
      <c r="W331" s="56">
        <f t="shared" si="197"/>
        <v>39524</v>
      </c>
      <c r="X331" s="51">
        <f>+SUMIF('GE16FEB14 Tax Bill Unfudged'!$A$2:$A$498, 'Tax Bill Summary'!$A331, 'GE16FEB14 Tax Bill Unfudged'!G$2:G$498)</f>
        <v>455206</v>
      </c>
      <c r="Y331" s="13">
        <f>+SUMIF('GE16FEB14 Tax Bill Unfudged'!$A$2:$A$498, 'Tax Bill Summary'!$A331, 'GE16FEB14 Tax Bill Unfudged'!H$2:H$498)</f>
        <v>329944</v>
      </c>
      <c r="Z331" s="56">
        <f t="shared" si="198"/>
        <v>125262</v>
      </c>
      <c r="AA331" s="51">
        <f>+SUMIF('GE16FEB14 Tax Bill Unfudged'!$A$2:$A$498, 'Tax Bill Summary'!$A331, 'GE16FEB14 Tax Bill Unfudged'!I$2:I$498)</f>
        <v>503153</v>
      </c>
      <c r="AB331" s="13">
        <f>+SUMIF('GE16FEB14 Tax Bill Unfudged'!$A$2:$A$498, 'Tax Bill Summary'!$A331, 'GE16FEB14 Tax Bill Unfudged'!J$2:J$498)</f>
        <v>266542</v>
      </c>
      <c r="AC331" s="56">
        <f t="shared" si="199"/>
        <v>236611</v>
      </c>
      <c r="AD331" s="51">
        <f t="shared" si="200"/>
        <v>1101991</v>
      </c>
      <c r="AE331" s="13">
        <f t="shared" si="201"/>
        <v>700594</v>
      </c>
      <c r="AF331" s="56">
        <f t="shared" si="202"/>
        <v>401397</v>
      </c>
      <c r="AG331" s="13">
        <f t="shared" si="203"/>
        <v>1026.0623836126629</v>
      </c>
      <c r="AH331" s="13">
        <f t="shared" si="204"/>
        <v>652.32216014897574</v>
      </c>
      <c r="AI331" s="16">
        <f t="shared" si="205"/>
        <v>373.74022346368713</v>
      </c>
      <c r="AJ331" s="15">
        <f t="shared" si="206"/>
        <v>18205</v>
      </c>
      <c r="AK331" s="13">
        <f t="shared" si="207"/>
        <v>13195</v>
      </c>
      <c r="AL331" s="56">
        <f t="shared" si="208"/>
        <v>5010</v>
      </c>
      <c r="AM331" s="51">
        <f t="shared" si="209"/>
        <v>455206</v>
      </c>
      <c r="AN331" s="13">
        <f t="shared" si="210"/>
        <v>329944</v>
      </c>
      <c r="AO331" s="56">
        <f t="shared" si="211"/>
        <v>125262</v>
      </c>
      <c r="AP331" s="51">
        <f t="shared" si="212"/>
        <v>-455207</v>
      </c>
      <c r="AQ331" s="13">
        <f t="shared" si="213"/>
        <v>-369137</v>
      </c>
      <c r="AR331" s="56">
        <f t="shared" si="214"/>
        <v>-86070</v>
      </c>
      <c r="AS331" s="51">
        <f t="shared" si="215"/>
        <v>18204</v>
      </c>
      <c r="AT331" s="13">
        <f t="shared" si="216"/>
        <v>-25998</v>
      </c>
      <c r="AU331" s="56">
        <f t="shared" si="217"/>
        <v>44202</v>
      </c>
      <c r="AV331" s="13">
        <f t="shared" si="218"/>
        <v>16.949720670391002</v>
      </c>
      <c r="AW331" s="13">
        <f t="shared" si="219"/>
        <v>-24.206703910614578</v>
      </c>
      <c r="AX331" s="16">
        <f t="shared" si="220"/>
        <v>41.156424581005581</v>
      </c>
    </row>
    <row r="332" spans="1:50" x14ac:dyDescent="0.25">
      <c r="A332" s="20">
        <v>2805</v>
      </c>
      <c r="B332">
        <v>1</v>
      </c>
      <c r="C332" s="23" t="s">
        <v>438</v>
      </c>
      <c r="D332" s="23">
        <v>5</v>
      </c>
      <c r="E332" s="15">
        <f>+SUMIF('GE16FEB14 Unfudged'!$A$2:$A$498, $A332, 'GE16FEB14 Unfudged'!$D$2:$D$498)</f>
        <v>1230</v>
      </c>
      <c r="F332" s="15">
        <f>+SUMIF('GE16FEB14 Unfudged'!$A$2:$A$498, 'Tax Bill Summary'!$A332, 'GE16FEB14 Unfudged'!E$2:E$498)</f>
        <v>116798</v>
      </c>
      <c r="G332" s="13">
        <f>+SUMIF('GE16FEB14 Unfudged'!$A$2:$A$498, 'Tax Bill Summary'!$A332, 'GE16FEB14 Unfudged'!F$2:F$498)</f>
        <v>93823</v>
      </c>
      <c r="H332" s="56">
        <f t="shared" si="188"/>
        <v>22975</v>
      </c>
      <c r="I332" s="51">
        <f>+SUMIF('GE16FEB14 Unfudged'!$A$2:$A$498, 'Tax Bill Summary'!$A332, 'GE16FEB14 Unfudged'!G$2:G$498)</f>
        <v>0</v>
      </c>
      <c r="J332" s="13">
        <f>+SUMIF('GE16FEB14 Unfudged'!$A$2:$A$498, 'Tax Bill Summary'!$A332, 'GE16FEB14 Unfudged'!H$2:H$498)</f>
        <v>0</v>
      </c>
      <c r="K332" s="56">
        <f t="shared" si="189"/>
        <v>0</v>
      </c>
      <c r="L332" s="51">
        <f>+SUMIF('GE16FEB14 Unfudged'!$A$2:$A$498, 'Tax Bill Summary'!$A332, 'GE16FEB14 Unfudged'!I$2:IF$498)</f>
        <v>1684756</v>
      </c>
      <c r="M332" s="13">
        <f>+SUMIF('GE16FEB14 Unfudged'!$A$2:$A$498, 'Tax Bill Summary'!$A332, 'GE16FEB14 Unfudged'!J$2:IG$498)</f>
        <v>1376248</v>
      </c>
      <c r="N332" s="56">
        <f t="shared" si="190"/>
        <v>308508</v>
      </c>
      <c r="O332" s="51">
        <f t="shared" si="191"/>
        <v>1801554</v>
      </c>
      <c r="P332" s="13">
        <f t="shared" si="192"/>
        <v>1470071</v>
      </c>
      <c r="Q332" s="56">
        <f t="shared" si="193"/>
        <v>331483</v>
      </c>
      <c r="R332" s="13">
        <f t="shared" si="194"/>
        <v>1464.6780487804879</v>
      </c>
      <c r="S332" s="13">
        <f t="shared" si="195"/>
        <v>1195.179674796748</v>
      </c>
      <c r="T332" s="16">
        <f t="shared" si="196"/>
        <v>269.49837398373984</v>
      </c>
      <c r="U332" s="15">
        <f>+SUMIF('GE16FEB14 Tax Bill Unfudged'!$A$2:$A$498, 'Tax Bill Summary'!$A332, 'GE16FEB14 Tax Bill Unfudged'!E$2:E$498)</f>
        <v>129020</v>
      </c>
      <c r="V332" s="13">
        <f>+SUMIF('GE16FEB14 Tax Bill Unfudged'!$A$2:$A$498, 'Tax Bill Summary'!$A332, 'GE16FEB14 Tax Bill Unfudged'!F$2:F$498)</f>
        <v>103641</v>
      </c>
      <c r="W332" s="56">
        <f t="shared" si="197"/>
        <v>25379</v>
      </c>
      <c r="X332" s="51">
        <f>+SUMIF('GE16FEB14 Tax Bill Unfudged'!$A$2:$A$498, 'Tax Bill Summary'!$A332, 'GE16FEB14 Tax Bill Unfudged'!G$2:G$498)</f>
        <v>521520</v>
      </c>
      <c r="Y332" s="13">
        <f>+SUMIF('GE16FEB14 Tax Bill Unfudged'!$A$2:$A$498, 'Tax Bill Summary'!$A332, 'GE16FEB14 Tax Bill Unfudged'!H$2:H$498)</f>
        <v>418935</v>
      </c>
      <c r="Z332" s="56">
        <f t="shared" si="198"/>
        <v>102585</v>
      </c>
      <c r="AA332" s="51">
        <f>+SUMIF('GE16FEB14 Tax Bill Unfudged'!$A$2:$A$498, 'Tax Bill Summary'!$A332, 'GE16FEB14 Tax Bill Unfudged'!I$2:I$498)</f>
        <v>1163236</v>
      </c>
      <c r="AB332" s="13">
        <f>+SUMIF('GE16FEB14 Tax Bill Unfudged'!$A$2:$A$498, 'Tax Bill Summary'!$A332, 'GE16FEB14 Tax Bill Unfudged'!J$2:J$498)</f>
        <v>854728</v>
      </c>
      <c r="AC332" s="56">
        <f t="shared" si="199"/>
        <v>308508</v>
      </c>
      <c r="AD332" s="51">
        <f t="shared" si="200"/>
        <v>1813776</v>
      </c>
      <c r="AE332" s="13">
        <f t="shared" si="201"/>
        <v>1377304</v>
      </c>
      <c r="AF332" s="56">
        <f t="shared" si="202"/>
        <v>436472</v>
      </c>
      <c r="AG332" s="13">
        <f t="shared" si="203"/>
        <v>1474.6146341463414</v>
      </c>
      <c r="AH332" s="13">
        <f t="shared" si="204"/>
        <v>1119.7593495934959</v>
      </c>
      <c r="AI332" s="16">
        <f t="shared" si="205"/>
        <v>354.85528455284555</v>
      </c>
      <c r="AJ332" s="15">
        <f t="shared" si="206"/>
        <v>12222</v>
      </c>
      <c r="AK332" s="13">
        <f t="shared" si="207"/>
        <v>9818</v>
      </c>
      <c r="AL332" s="56">
        <f t="shared" si="208"/>
        <v>2404</v>
      </c>
      <c r="AM332" s="51">
        <f t="shared" si="209"/>
        <v>521520</v>
      </c>
      <c r="AN332" s="13">
        <f t="shared" si="210"/>
        <v>418935</v>
      </c>
      <c r="AO332" s="56">
        <f t="shared" si="211"/>
        <v>102585</v>
      </c>
      <c r="AP332" s="51">
        <f t="shared" si="212"/>
        <v>-521520</v>
      </c>
      <c r="AQ332" s="13">
        <f t="shared" si="213"/>
        <v>-521520</v>
      </c>
      <c r="AR332" s="56">
        <f t="shared" si="214"/>
        <v>0</v>
      </c>
      <c r="AS332" s="51">
        <f t="shared" si="215"/>
        <v>12222</v>
      </c>
      <c r="AT332" s="13">
        <f t="shared" si="216"/>
        <v>-92767</v>
      </c>
      <c r="AU332" s="56">
        <f t="shared" si="217"/>
        <v>104989</v>
      </c>
      <c r="AV332" s="13">
        <f t="shared" si="218"/>
        <v>9.9365853658534888</v>
      </c>
      <c r="AW332" s="13">
        <f t="shared" si="219"/>
        <v>-75.420325203252105</v>
      </c>
      <c r="AX332" s="16">
        <f t="shared" si="220"/>
        <v>85.356910569105708</v>
      </c>
    </row>
    <row r="333" spans="1:50" x14ac:dyDescent="0.25">
      <c r="A333" s="20">
        <v>2835</v>
      </c>
      <c r="B333">
        <v>1</v>
      </c>
      <c r="C333" s="23" t="s">
        <v>439</v>
      </c>
      <c r="D333" s="23">
        <v>6</v>
      </c>
      <c r="E333" s="15">
        <f>+SUMIF('GE16FEB14 Unfudged'!$A$2:$A$498, $A333, 'GE16FEB14 Unfudged'!$D$2:$D$498)</f>
        <v>639</v>
      </c>
      <c r="F333" s="15">
        <f>+SUMIF('GE16FEB14 Unfudged'!$A$2:$A$498, 'Tax Bill Summary'!$A333, 'GE16FEB14 Unfudged'!E$2:E$498)</f>
        <v>41264</v>
      </c>
      <c r="G333" s="13">
        <f>+SUMIF('GE16FEB14 Unfudged'!$A$2:$A$498, 'Tax Bill Summary'!$A333, 'GE16FEB14 Unfudged'!F$2:F$498)</f>
        <v>30978</v>
      </c>
      <c r="H333" s="56">
        <f t="shared" si="188"/>
        <v>10286</v>
      </c>
      <c r="I333" s="51">
        <f>+SUMIF('GE16FEB14 Unfudged'!$A$2:$A$498, 'Tax Bill Summary'!$A333, 'GE16FEB14 Unfudged'!G$2:G$498)</f>
        <v>0</v>
      </c>
      <c r="J333" s="13">
        <f>+SUMIF('GE16FEB14 Unfudged'!$A$2:$A$498, 'Tax Bill Summary'!$A333, 'GE16FEB14 Unfudged'!H$2:H$498)</f>
        <v>0</v>
      </c>
      <c r="K333" s="56">
        <f t="shared" si="189"/>
        <v>0</v>
      </c>
      <c r="L333" s="51">
        <f>+SUMIF('GE16FEB14 Unfudged'!$A$2:$A$498, 'Tax Bill Summary'!$A333, 'GE16FEB14 Unfudged'!I$2:IF$498)</f>
        <v>1299576</v>
      </c>
      <c r="M333" s="13">
        <f>+SUMIF('GE16FEB14 Unfudged'!$A$2:$A$498, 'Tax Bill Summary'!$A333, 'GE16FEB14 Unfudged'!J$2:IG$498)</f>
        <v>1117943</v>
      </c>
      <c r="N333" s="56">
        <f t="shared" si="190"/>
        <v>181633</v>
      </c>
      <c r="O333" s="51">
        <f t="shared" si="191"/>
        <v>1340840</v>
      </c>
      <c r="P333" s="13">
        <f t="shared" si="192"/>
        <v>1148921</v>
      </c>
      <c r="Q333" s="56">
        <f t="shared" si="193"/>
        <v>191919</v>
      </c>
      <c r="R333" s="13">
        <f t="shared" si="194"/>
        <v>2098.3411580594679</v>
      </c>
      <c r="S333" s="13">
        <f t="shared" si="195"/>
        <v>1797.9984350547732</v>
      </c>
      <c r="T333" s="16">
        <f t="shared" si="196"/>
        <v>300.34272300469485</v>
      </c>
      <c r="U333" s="15">
        <f>+SUMIF('GE16FEB14 Tax Bill Unfudged'!$A$2:$A$498, 'Tax Bill Summary'!$A333, 'GE16FEB14 Tax Bill Unfudged'!E$2:E$498)</f>
        <v>41377</v>
      </c>
      <c r="V333" s="13">
        <f>+SUMIF('GE16FEB14 Tax Bill Unfudged'!$A$2:$A$498, 'Tax Bill Summary'!$A333, 'GE16FEB14 Tax Bill Unfudged'!F$2:F$498)</f>
        <v>31063</v>
      </c>
      <c r="W333" s="56">
        <f t="shared" si="197"/>
        <v>10314</v>
      </c>
      <c r="X333" s="51">
        <f>+SUMIF('GE16FEB14 Tax Bill Unfudged'!$A$2:$A$498, 'Tax Bill Summary'!$A333, 'GE16FEB14 Tax Bill Unfudged'!G$2:G$498)</f>
        <v>271042</v>
      </c>
      <c r="Y333" s="13">
        <f>+SUMIF('GE16FEB14 Tax Bill Unfudged'!$A$2:$A$498, 'Tax Bill Summary'!$A333, 'GE16FEB14 Tax Bill Unfudged'!H$2:H$498)</f>
        <v>203481</v>
      </c>
      <c r="Z333" s="56">
        <f t="shared" si="198"/>
        <v>67561</v>
      </c>
      <c r="AA333" s="51">
        <f>+SUMIF('GE16FEB14 Tax Bill Unfudged'!$A$2:$A$498, 'Tax Bill Summary'!$A333, 'GE16FEB14 Tax Bill Unfudged'!I$2:I$498)</f>
        <v>1028534</v>
      </c>
      <c r="AB333" s="13">
        <f>+SUMIF('GE16FEB14 Tax Bill Unfudged'!$A$2:$A$498, 'Tax Bill Summary'!$A333, 'GE16FEB14 Tax Bill Unfudged'!J$2:J$498)</f>
        <v>846901</v>
      </c>
      <c r="AC333" s="56">
        <f t="shared" si="199"/>
        <v>181633</v>
      </c>
      <c r="AD333" s="51">
        <f t="shared" si="200"/>
        <v>1340953</v>
      </c>
      <c r="AE333" s="13">
        <f t="shared" si="201"/>
        <v>1081445</v>
      </c>
      <c r="AF333" s="56">
        <f t="shared" si="202"/>
        <v>259508</v>
      </c>
      <c r="AG333" s="13">
        <f t="shared" si="203"/>
        <v>2098.5179968701095</v>
      </c>
      <c r="AH333" s="13">
        <f t="shared" si="204"/>
        <v>1692.4021909233177</v>
      </c>
      <c r="AI333" s="16">
        <f t="shared" si="205"/>
        <v>406.11580594679185</v>
      </c>
      <c r="AJ333" s="15">
        <f t="shared" si="206"/>
        <v>113</v>
      </c>
      <c r="AK333" s="13">
        <f t="shared" si="207"/>
        <v>85</v>
      </c>
      <c r="AL333" s="56">
        <f t="shared" si="208"/>
        <v>28</v>
      </c>
      <c r="AM333" s="51">
        <f t="shared" si="209"/>
        <v>271042</v>
      </c>
      <c r="AN333" s="13">
        <f t="shared" si="210"/>
        <v>203481</v>
      </c>
      <c r="AO333" s="56">
        <f t="shared" si="211"/>
        <v>67561</v>
      </c>
      <c r="AP333" s="51">
        <f t="shared" si="212"/>
        <v>-271042</v>
      </c>
      <c r="AQ333" s="13">
        <f t="shared" si="213"/>
        <v>-271042</v>
      </c>
      <c r="AR333" s="56">
        <f t="shared" si="214"/>
        <v>0</v>
      </c>
      <c r="AS333" s="51">
        <f t="shared" si="215"/>
        <v>113</v>
      </c>
      <c r="AT333" s="13">
        <f t="shared" si="216"/>
        <v>-67476</v>
      </c>
      <c r="AU333" s="56">
        <f t="shared" si="217"/>
        <v>67589</v>
      </c>
      <c r="AV333" s="13">
        <f t="shared" si="218"/>
        <v>0.17683881064158413</v>
      </c>
      <c r="AW333" s="13">
        <f t="shared" si="219"/>
        <v>-105.59624413145548</v>
      </c>
      <c r="AX333" s="16">
        <f t="shared" si="220"/>
        <v>105.77308294209701</v>
      </c>
    </row>
    <row r="334" spans="1:50" x14ac:dyDescent="0.25">
      <c r="A334" s="20">
        <v>2853</v>
      </c>
      <c r="B334">
        <v>1</v>
      </c>
      <c r="C334" s="23" t="s">
        <v>440</v>
      </c>
      <c r="D334" s="23">
        <v>6</v>
      </c>
      <c r="E334" s="15">
        <f>+SUMIF('GE16FEB14 Unfudged'!$A$2:$A$498, $A334, 'GE16FEB14 Unfudged'!$D$2:$D$498)</f>
        <v>880</v>
      </c>
      <c r="F334" s="15">
        <f>+SUMIF('GE16FEB14 Unfudged'!$A$2:$A$498, 'Tax Bill Summary'!$A334, 'GE16FEB14 Unfudged'!E$2:E$498)</f>
        <v>88456</v>
      </c>
      <c r="G334" s="13">
        <f>+SUMIF('GE16FEB14 Unfudged'!$A$2:$A$498, 'Tax Bill Summary'!$A334, 'GE16FEB14 Unfudged'!F$2:F$498)</f>
        <v>44377</v>
      </c>
      <c r="H334" s="56">
        <f t="shared" si="188"/>
        <v>44079</v>
      </c>
      <c r="I334" s="51">
        <f>+SUMIF('GE16FEB14 Unfudged'!$A$2:$A$498, 'Tax Bill Summary'!$A334, 'GE16FEB14 Unfudged'!G$2:G$498)</f>
        <v>0</v>
      </c>
      <c r="J334" s="13">
        <f>+SUMIF('GE16FEB14 Unfudged'!$A$2:$A$498, 'Tax Bill Summary'!$A334, 'GE16FEB14 Unfudged'!H$2:H$498)</f>
        <v>0</v>
      </c>
      <c r="K334" s="56">
        <f t="shared" si="189"/>
        <v>0</v>
      </c>
      <c r="L334" s="51">
        <f>+SUMIF('GE16FEB14 Unfudged'!$A$2:$A$498, 'Tax Bill Summary'!$A334, 'GE16FEB14 Unfudged'!I$2:IF$498)</f>
        <v>1097239</v>
      </c>
      <c r="M334" s="13">
        <f>+SUMIF('GE16FEB14 Unfudged'!$A$2:$A$498, 'Tax Bill Summary'!$A334, 'GE16FEB14 Unfudged'!J$2:IG$498)</f>
        <v>657979</v>
      </c>
      <c r="N334" s="56">
        <f t="shared" si="190"/>
        <v>439260</v>
      </c>
      <c r="O334" s="51">
        <f t="shared" si="191"/>
        <v>1185695</v>
      </c>
      <c r="P334" s="13">
        <f t="shared" si="192"/>
        <v>702356</v>
      </c>
      <c r="Q334" s="56">
        <f t="shared" si="193"/>
        <v>483339</v>
      </c>
      <c r="R334" s="13">
        <f t="shared" si="194"/>
        <v>1347.3806818181818</v>
      </c>
      <c r="S334" s="13">
        <f t="shared" si="195"/>
        <v>798.13181818181818</v>
      </c>
      <c r="T334" s="16">
        <f t="shared" si="196"/>
        <v>549.24886363636358</v>
      </c>
      <c r="U334" s="15">
        <f>+SUMIF('GE16FEB14 Tax Bill Unfudged'!$A$2:$A$498, 'Tax Bill Summary'!$A334, 'GE16FEB14 Tax Bill Unfudged'!E$2:E$498)</f>
        <v>98779</v>
      </c>
      <c r="V334" s="13">
        <f>+SUMIF('GE16FEB14 Tax Bill Unfudged'!$A$2:$A$498, 'Tax Bill Summary'!$A334, 'GE16FEB14 Tax Bill Unfudged'!F$2:F$498)</f>
        <v>49556</v>
      </c>
      <c r="W334" s="56">
        <f t="shared" si="197"/>
        <v>49223</v>
      </c>
      <c r="X334" s="51">
        <f>+SUMIF('GE16FEB14 Tax Bill Unfudged'!$A$2:$A$498, 'Tax Bill Summary'!$A334, 'GE16FEB14 Tax Bill Unfudged'!G$2:G$498)</f>
        <v>372950</v>
      </c>
      <c r="Y334" s="13">
        <f>+SUMIF('GE16FEB14 Tax Bill Unfudged'!$A$2:$A$498, 'Tax Bill Summary'!$A334, 'GE16FEB14 Tax Bill Unfudged'!H$2:H$498)</f>
        <v>187103</v>
      </c>
      <c r="Z334" s="56">
        <f t="shared" si="198"/>
        <v>185847</v>
      </c>
      <c r="AA334" s="51">
        <f>+SUMIF('GE16FEB14 Tax Bill Unfudged'!$A$2:$A$498, 'Tax Bill Summary'!$A334, 'GE16FEB14 Tax Bill Unfudged'!I$2:I$498)</f>
        <v>724289</v>
      </c>
      <c r="AB334" s="13">
        <f>+SUMIF('GE16FEB14 Tax Bill Unfudged'!$A$2:$A$498, 'Tax Bill Summary'!$A334, 'GE16FEB14 Tax Bill Unfudged'!J$2:J$498)</f>
        <v>328937</v>
      </c>
      <c r="AC334" s="56">
        <f t="shared" si="199"/>
        <v>395352</v>
      </c>
      <c r="AD334" s="51">
        <f t="shared" si="200"/>
        <v>1196018</v>
      </c>
      <c r="AE334" s="13">
        <f t="shared" si="201"/>
        <v>565596</v>
      </c>
      <c r="AF334" s="56">
        <f t="shared" si="202"/>
        <v>630422</v>
      </c>
      <c r="AG334" s="13">
        <f t="shared" si="203"/>
        <v>1359.1113636363636</v>
      </c>
      <c r="AH334" s="13">
        <f t="shared" si="204"/>
        <v>642.7227272727273</v>
      </c>
      <c r="AI334" s="16">
        <f t="shared" si="205"/>
        <v>716.38863636363635</v>
      </c>
      <c r="AJ334" s="15">
        <f t="shared" si="206"/>
        <v>10323</v>
      </c>
      <c r="AK334" s="13">
        <f t="shared" si="207"/>
        <v>5179</v>
      </c>
      <c r="AL334" s="56">
        <f t="shared" si="208"/>
        <v>5144</v>
      </c>
      <c r="AM334" s="51">
        <f t="shared" si="209"/>
        <v>372950</v>
      </c>
      <c r="AN334" s="13">
        <f t="shared" si="210"/>
        <v>187103</v>
      </c>
      <c r="AO334" s="56">
        <f t="shared" si="211"/>
        <v>185847</v>
      </c>
      <c r="AP334" s="51">
        <f t="shared" si="212"/>
        <v>-372950</v>
      </c>
      <c r="AQ334" s="13">
        <f t="shared" si="213"/>
        <v>-329042</v>
      </c>
      <c r="AR334" s="56">
        <f t="shared" si="214"/>
        <v>-43908</v>
      </c>
      <c r="AS334" s="51">
        <f t="shared" si="215"/>
        <v>10323</v>
      </c>
      <c r="AT334" s="13">
        <f t="shared" si="216"/>
        <v>-136760</v>
      </c>
      <c r="AU334" s="56">
        <f t="shared" si="217"/>
        <v>147083</v>
      </c>
      <c r="AV334" s="13">
        <f t="shared" si="218"/>
        <v>11.730681818181893</v>
      </c>
      <c r="AW334" s="13">
        <f t="shared" si="219"/>
        <v>-155.40909090909088</v>
      </c>
      <c r="AX334" s="16">
        <f t="shared" si="220"/>
        <v>167.13977272727277</v>
      </c>
    </row>
    <row r="335" spans="1:50" x14ac:dyDescent="0.25">
      <c r="A335" s="20">
        <v>2854</v>
      </c>
      <c r="B335">
        <v>1</v>
      </c>
      <c r="C335" s="23" t="s">
        <v>441</v>
      </c>
      <c r="D335" s="23">
        <v>6</v>
      </c>
      <c r="E335" s="15">
        <f>+SUMIF('GE16FEB14 Unfudged'!$A$2:$A$498, $A335, 'GE16FEB14 Unfudged'!$D$2:$D$498)</f>
        <v>521</v>
      </c>
      <c r="F335" s="15">
        <f>+SUMIF('GE16FEB14 Unfudged'!$A$2:$A$498, 'Tax Bill Summary'!$A335, 'GE16FEB14 Unfudged'!E$2:E$498)</f>
        <v>62713</v>
      </c>
      <c r="G335" s="13">
        <f>+SUMIF('GE16FEB14 Unfudged'!$A$2:$A$498, 'Tax Bill Summary'!$A335, 'GE16FEB14 Unfudged'!F$2:F$498)</f>
        <v>25306</v>
      </c>
      <c r="H335" s="56">
        <f t="shared" si="188"/>
        <v>37407</v>
      </c>
      <c r="I335" s="51">
        <f>+SUMIF('GE16FEB14 Unfudged'!$A$2:$A$498, 'Tax Bill Summary'!$A335, 'GE16FEB14 Unfudged'!G$2:G$498)</f>
        <v>0</v>
      </c>
      <c r="J335" s="13">
        <f>+SUMIF('GE16FEB14 Unfudged'!$A$2:$A$498, 'Tax Bill Summary'!$A335, 'GE16FEB14 Unfudged'!H$2:H$498)</f>
        <v>0</v>
      </c>
      <c r="K335" s="56">
        <f t="shared" si="189"/>
        <v>0</v>
      </c>
      <c r="L335" s="51">
        <f>+SUMIF('GE16FEB14 Unfudged'!$A$2:$A$498, 'Tax Bill Summary'!$A335, 'GE16FEB14 Unfudged'!I$2:IF$498)</f>
        <v>426208</v>
      </c>
      <c r="M335" s="13">
        <f>+SUMIF('GE16FEB14 Unfudged'!$A$2:$A$498, 'Tax Bill Summary'!$A335, 'GE16FEB14 Unfudged'!J$2:IG$498)</f>
        <v>154611</v>
      </c>
      <c r="N335" s="56">
        <f t="shared" si="190"/>
        <v>271597</v>
      </c>
      <c r="O335" s="51">
        <f t="shared" si="191"/>
        <v>488921</v>
      </c>
      <c r="P335" s="13">
        <f t="shared" si="192"/>
        <v>179917</v>
      </c>
      <c r="Q335" s="56">
        <f t="shared" si="193"/>
        <v>309004</v>
      </c>
      <c r="R335" s="13">
        <f t="shared" si="194"/>
        <v>938.42802303262954</v>
      </c>
      <c r="S335" s="13">
        <f t="shared" si="195"/>
        <v>345.33013435700576</v>
      </c>
      <c r="T335" s="16">
        <f t="shared" si="196"/>
        <v>593.09788867562384</v>
      </c>
      <c r="U335" s="15">
        <f>+SUMIF('GE16FEB14 Tax Bill Unfudged'!$A$2:$A$498, 'Tax Bill Summary'!$A335, 'GE16FEB14 Tax Bill Unfudged'!E$2:E$498)</f>
        <v>72131</v>
      </c>
      <c r="V335" s="13">
        <f>+SUMIF('GE16FEB14 Tax Bill Unfudged'!$A$2:$A$498, 'Tax Bill Summary'!$A335, 'GE16FEB14 Tax Bill Unfudged'!F$2:F$498)</f>
        <v>29106</v>
      </c>
      <c r="W335" s="56">
        <f t="shared" si="197"/>
        <v>43025</v>
      </c>
      <c r="X335" s="51">
        <f>+SUMIF('GE16FEB14 Tax Bill Unfudged'!$A$2:$A$498, 'Tax Bill Summary'!$A335, 'GE16FEB14 Tax Bill Unfudged'!G$2:G$498)</f>
        <v>221074</v>
      </c>
      <c r="Y335" s="13">
        <f>+SUMIF('GE16FEB14 Tax Bill Unfudged'!$A$2:$A$498, 'Tax Bill Summary'!$A335, 'GE16FEB14 Tax Bill Unfudged'!H$2:H$498)</f>
        <v>89208</v>
      </c>
      <c r="Z335" s="56">
        <f t="shared" si="198"/>
        <v>131866</v>
      </c>
      <c r="AA335" s="51">
        <f>+SUMIF('GE16FEB14 Tax Bill Unfudged'!$A$2:$A$498, 'Tax Bill Summary'!$A335, 'GE16FEB14 Tax Bill Unfudged'!I$2:I$498)</f>
        <v>205134</v>
      </c>
      <c r="AB335" s="13">
        <f>+SUMIF('GE16FEB14 Tax Bill Unfudged'!$A$2:$A$498, 'Tax Bill Summary'!$A335, 'GE16FEB14 Tax Bill Unfudged'!J$2:J$498)</f>
        <v>56237</v>
      </c>
      <c r="AC335" s="56">
        <f t="shared" si="199"/>
        <v>148897</v>
      </c>
      <c r="AD335" s="51">
        <f t="shared" si="200"/>
        <v>498339</v>
      </c>
      <c r="AE335" s="13">
        <f t="shared" si="201"/>
        <v>174551</v>
      </c>
      <c r="AF335" s="56">
        <f t="shared" si="202"/>
        <v>323788</v>
      </c>
      <c r="AG335" s="13">
        <f t="shared" si="203"/>
        <v>956.50479846449139</v>
      </c>
      <c r="AH335" s="13">
        <f t="shared" si="204"/>
        <v>335.0307101727447</v>
      </c>
      <c r="AI335" s="16">
        <f t="shared" si="205"/>
        <v>621.47408829174663</v>
      </c>
      <c r="AJ335" s="15">
        <f t="shared" si="206"/>
        <v>9418</v>
      </c>
      <c r="AK335" s="13">
        <f t="shared" si="207"/>
        <v>3800</v>
      </c>
      <c r="AL335" s="56">
        <f t="shared" si="208"/>
        <v>5618</v>
      </c>
      <c r="AM335" s="51">
        <f t="shared" si="209"/>
        <v>221074</v>
      </c>
      <c r="AN335" s="13">
        <f t="shared" si="210"/>
        <v>89208</v>
      </c>
      <c r="AO335" s="56">
        <f t="shared" si="211"/>
        <v>131866</v>
      </c>
      <c r="AP335" s="51">
        <f t="shared" si="212"/>
        <v>-221074</v>
      </c>
      <c r="AQ335" s="13">
        <f t="shared" si="213"/>
        <v>-98374</v>
      </c>
      <c r="AR335" s="56">
        <f t="shared" si="214"/>
        <v>-122700</v>
      </c>
      <c r="AS335" s="51">
        <f t="shared" si="215"/>
        <v>9418</v>
      </c>
      <c r="AT335" s="13">
        <f t="shared" si="216"/>
        <v>-5366</v>
      </c>
      <c r="AU335" s="56">
        <f t="shared" si="217"/>
        <v>14784</v>
      </c>
      <c r="AV335" s="13">
        <f t="shared" si="218"/>
        <v>18.076775431861847</v>
      </c>
      <c r="AW335" s="13">
        <f t="shared" si="219"/>
        <v>-10.299424184261056</v>
      </c>
      <c r="AX335" s="16">
        <f t="shared" si="220"/>
        <v>28.37619961612279</v>
      </c>
    </row>
    <row r="336" spans="1:50" x14ac:dyDescent="0.25">
      <c r="A336" s="20">
        <v>2856</v>
      </c>
      <c r="B336">
        <v>1</v>
      </c>
      <c r="C336" s="23" t="s">
        <v>442</v>
      </c>
      <c r="D336" s="23">
        <v>6</v>
      </c>
      <c r="E336" s="15">
        <f>+SUMIF('GE16FEB14 Unfudged'!$A$2:$A$498, $A336, 'GE16FEB14 Unfudged'!$D$2:$D$498)</f>
        <v>313</v>
      </c>
      <c r="F336" s="15">
        <f>+SUMIF('GE16FEB14 Unfudged'!$A$2:$A$498, 'Tax Bill Summary'!$A336, 'GE16FEB14 Unfudged'!E$2:E$498)</f>
        <v>23780</v>
      </c>
      <c r="G336" s="13">
        <f>+SUMIF('GE16FEB14 Unfudged'!$A$2:$A$498, 'Tax Bill Summary'!$A336, 'GE16FEB14 Unfudged'!F$2:F$498)</f>
        <v>21822</v>
      </c>
      <c r="H336" s="56">
        <f t="shared" si="188"/>
        <v>1958</v>
      </c>
      <c r="I336" s="51">
        <f>+SUMIF('GE16FEB14 Unfudged'!$A$2:$A$498, 'Tax Bill Summary'!$A336, 'GE16FEB14 Unfudged'!G$2:G$498)</f>
        <v>0</v>
      </c>
      <c r="J336" s="13">
        <f>+SUMIF('GE16FEB14 Unfudged'!$A$2:$A$498, 'Tax Bill Summary'!$A336, 'GE16FEB14 Unfudged'!H$2:H$498)</f>
        <v>0</v>
      </c>
      <c r="K336" s="56">
        <f t="shared" si="189"/>
        <v>0</v>
      </c>
      <c r="L336" s="51">
        <f>+SUMIF('GE16FEB14 Unfudged'!$A$2:$A$498, 'Tax Bill Summary'!$A336, 'GE16FEB14 Unfudged'!I$2:IF$498)</f>
        <v>559881</v>
      </c>
      <c r="M336" s="13">
        <f>+SUMIF('GE16FEB14 Unfudged'!$A$2:$A$498, 'Tax Bill Summary'!$A336, 'GE16FEB14 Unfudged'!J$2:IG$498)</f>
        <v>411751</v>
      </c>
      <c r="N336" s="56">
        <f t="shared" si="190"/>
        <v>148130</v>
      </c>
      <c r="O336" s="51">
        <f t="shared" si="191"/>
        <v>583661</v>
      </c>
      <c r="P336" s="13">
        <f t="shared" si="192"/>
        <v>433573</v>
      </c>
      <c r="Q336" s="56">
        <f t="shared" si="193"/>
        <v>150088</v>
      </c>
      <c r="R336" s="13">
        <f t="shared" si="194"/>
        <v>1864.7316293929712</v>
      </c>
      <c r="S336" s="13">
        <f t="shared" si="195"/>
        <v>1385.217252396166</v>
      </c>
      <c r="T336" s="16">
        <f t="shared" si="196"/>
        <v>479.51437699680514</v>
      </c>
      <c r="U336" s="15">
        <f>+SUMIF('GE16FEB14 Tax Bill Unfudged'!$A$2:$A$498, 'Tax Bill Summary'!$A336, 'GE16FEB14 Tax Bill Unfudged'!E$2:E$498)</f>
        <v>24974</v>
      </c>
      <c r="V336" s="13">
        <f>+SUMIF('GE16FEB14 Tax Bill Unfudged'!$A$2:$A$498, 'Tax Bill Summary'!$A336, 'GE16FEB14 Tax Bill Unfudged'!F$2:F$498)</f>
        <v>22917</v>
      </c>
      <c r="W336" s="56">
        <f t="shared" si="197"/>
        <v>2057</v>
      </c>
      <c r="X336" s="51">
        <f>+SUMIF('GE16FEB14 Tax Bill Unfudged'!$A$2:$A$498, 'Tax Bill Summary'!$A336, 'GE16FEB14 Tax Bill Unfudged'!G$2:G$498)</f>
        <v>132903</v>
      </c>
      <c r="Y336" s="13">
        <f>+SUMIF('GE16FEB14 Tax Bill Unfudged'!$A$2:$A$498, 'Tax Bill Summary'!$A336, 'GE16FEB14 Tax Bill Unfudged'!H$2:H$498)</f>
        <v>121958</v>
      </c>
      <c r="Z336" s="56">
        <f t="shared" si="198"/>
        <v>10945</v>
      </c>
      <c r="AA336" s="51">
        <f>+SUMIF('GE16FEB14 Tax Bill Unfudged'!$A$2:$A$498, 'Tax Bill Summary'!$A336, 'GE16FEB14 Tax Bill Unfudged'!I$2:I$498)</f>
        <v>426978</v>
      </c>
      <c r="AB336" s="13">
        <f>+SUMIF('GE16FEB14 Tax Bill Unfudged'!$A$2:$A$498, 'Tax Bill Summary'!$A336, 'GE16FEB14 Tax Bill Unfudged'!J$2:J$498)</f>
        <v>278848</v>
      </c>
      <c r="AC336" s="56">
        <f t="shared" si="199"/>
        <v>148130</v>
      </c>
      <c r="AD336" s="51">
        <f t="shared" si="200"/>
        <v>584855</v>
      </c>
      <c r="AE336" s="13">
        <f t="shared" si="201"/>
        <v>423723</v>
      </c>
      <c r="AF336" s="56">
        <f t="shared" si="202"/>
        <v>161132</v>
      </c>
      <c r="AG336" s="13">
        <f t="shared" si="203"/>
        <v>1868.5463258785942</v>
      </c>
      <c r="AH336" s="13">
        <f t="shared" si="204"/>
        <v>1353.7476038338659</v>
      </c>
      <c r="AI336" s="16">
        <f t="shared" si="205"/>
        <v>514.79872204472838</v>
      </c>
      <c r="AJ336" s="15">
        <f t="shared" si="206"/>
        <v>1194</v>
      </c>
      <c r="AK336" s="13">
        <f t="shared" si="207"/>
        <v>1095</v>
      </c>
      <c r="AL336" s="56">
        <f t="shared" si="208"/>
        <v>99</v>
      </c>
      <c r="AM336" s="51">
        <f t="shared" si="209"/>
        <v>132903</v>
      </c>
      <c r="AN336" s="13">
        <f t="shared" si="210"/>
        <v>121958</v>
      </c>
      <c r="AO336" s="56">
        <f t="shared" si="211"/>
        <v>10945</v>
      </c>
      <c r="AP336" s="51">
        <f t="shared" si="212"/>
        <v>-132903</v>
      </c>
      <c r="AQ336" s="13">
        <f t="shared" si="213"/>
        <v>-132903</v>
      </c>
      <c r="AR336" s="56">
        <f t="shared" si="214"/>
        <v>0</v>
      </c>
      <c r="AS336" s="51">
        <f t="shared" si="215"/>
        <v>1194</v>
      </c>
      <c r="AT336" s="13">
        <f t="shared" si="216"/>
        <v>-9850</v>
      </c>
      <c r="AU336" s="56">
        <f t="shared" si="217"/>
        <v>11044</v>
      </c>
      <c r="AV336" s="13">
        <f t="shared" si="218"/>
        <v>3.814696485623017</v>
      </c>
      <c r="AW336" s="13">
        <f t="shared" si="219"/>
        <v>-31.469648562300108</v>
      </c>
      <c r="AX336" s="16">
        <f t="shared" si="220"/>
        <v>35.284345047923239</v>
      </c>
    </row>
    <row r="337" spans="1:50" x14ac:dyDescent="0.25">
      <c r="A337" s="20">
        <v>2859</v>
      </c>
      <c r="B337">
        <v>1</v>
      </c>
      <c r="C337" s="23" t="s">
        <v>443</v>
      </c>
      <c r="D337" s="23">
        <v>5</v>
      </c>
      <c r="E337" s="15">
        <f>+SUMIF('GE16FEB14 Unfudged'!$A$2:$A$498, $A337, 'GE16FEB14 Unfudged'!$D$2:$D$498)</f>
        <v>1759</v>
      </c>
      <c r="F337" s="15">
        <f>+SUMIF('GE16FEB14 Unfudged'!$A$2:$A$498, 'Tax Bill Summary'!$A337, 'GE16FEB14 Unfudged'!E$2:E$498)</f>
        <v>242390</v>
      </c>
      <c r="G337" s="13">
        <f>+SUMIF('GE16FEB14 Unfudged'!$A$2:$A$498, 'Tax Bill Summary'!$A337, 'GE16FEB14 Unfudged'!F$2:F$498)</f>
        <v>165809</v>
      </c>
      <c r="H337" s="56">
        <f t="shared" si="188"/>
        <v>76581</v>
      </c>
      <c r="I337" s="51">
        <f>+SUMIF('GE16FEB14 Unfudged'!$A$2:$A$498, 'Tax Bill Summary'!$A337, 'GE16FEB14 Unfudged'!G$2:G$498)</f>
        <v>745731</v>
      </c>
      <c r="J337" s="13">
        <f>+SUMIF('GE16FEB14 Unfudged'!$A$2:$A$498, 'Tax Bill Summary'!$A337, 'GE16FEB14 Unfudged'!H$2:H$498)</f>
        <v>510122</v>
      </c>
      <c r="K337" s="56">
        <f t="shared" si="189"/>
        <v>235609</v>
      </c>
      <c r="L337" s="51">
        <f>+SUMIF('GE16FEB14 Unfudged'!$A$2:$A$498, 'Tax Bill Summary'!$A337, 'GE16FEB14 Unfudged'!I$2:IF$498)</f>
        <v>764902</v>
      </c>
      <c r="M337" s="13">
        <f>+SUMIF('GE16FEB14 Unfudged'!$A$2:$A$498, 'Tax Bill Summary'!$A337, 'GE16FEB14 Unfudged'!J$2:IG$498)</f>
        <v>371480</v>
      </c>
      <c r="N337" s="56">
        <f t="shared" si="190"/>
        <v>393422</v>
      </c>
      <c r="O337" s="51">
        <f t="shared" si="191"/>
        <v>1753023</v>
      </c>
      <c r="P337" s="13">
        <f t="shared" si="192"/>
        <v>1047411</v>
      </c>
      <c r="Q337" s="56">
        <f t="shared" si="193"/>
        <v>705612</v>
      </c>
      <c r="R337" s="13">
        <f t="shared" si="194"/>
        <v>996.60204661739624</v>
      </c>
      <c r="S337" s="13">
        <f t="shared" si="195"/>
        <v>595.4582148948266</v>
      </c>
      <c r="T337" s="16">
        <f t="shared" si="196"/>
        <v>401.14383172256964</v>
      </c>
      <c r="U337" s="15">
        <f>+SUMIF('GE16FEB14 Tax Bill Unfudged'!$A$2:$A$498, 'Tax Bill Summary'!$A337, 'GE16FEB14 Tax Bill Unfudged'!E$2:E$498)</f>
        <v>238898</v>
      </c>
      <c r="V337" s="13">
        <f>+SUMIF('GE16FEB14 Tax Bill Unfudged'!$A$2:$A$498, 'Tax Bill Summary'!$A337, 'GE16FEB14 Tax Bill Unfudged'!F$2:F$498)</f>
        <v>163420</v>
      </c>
      <c r="W337" s="56">
        <f t="shared" si="197"/>
        <v>75478</v>
      </c>
      <c r="X337" s="51">
        <f>+SUMIF('GE16FEB14 Tax Bill Unfudged'!$A$2:$A$498, 'Tax Bill Summary'!$A337, 'GE16FEB14 Tax Bill Unfudged'!G$2:G$498)</f>
        <v>745731</v>
      </c>
      <c r="Y337" s="13">
        <f>+SUMIF('GE16FEB14 Tax Bill Unfudged'!$A$2:$A$498, 'Tax Bill Summary'!$A337, 'GE16FEB14 Tax Bill Unfudged'!H$2:H$498)</f>
        <v>510122</v>
      </c>
      <c r="Z337" s="56">
        <f t="shared" si="198"/>
        <v>235609</v>
      </c>
      <c r="AA337" s="51">
        <f>+SUMIF('GE16FEB14 Tax Bill Unfudged'!$A$2:$A$498, 'Tax Bill Summary'!$A337, 'GE16FEB14 Tax Bill Unfudged'!I$2:I$498)</f>
        <v>764902</v>
      </c>
      <c r="AB337" s="13">
        <f>+SUMIF('GE16FEB14 Tax Bill Unfudged'!$A$2:$A$498, 'Tax Bill Summary'!$A337, 'GE16FEB14 Tax Bill Unfudged'!J$2:J$498)</f>
        <v>371480</v>
      </c>
      <c r="AC337" s="56">
        <f t="shared" si="199"/>
        <v>393422</v>
      </c>
      <c r="AD337" s="51">
        <f t="shared" si="200"/>
        <v>1749531</v>
      </c>
      <c r="AE337" s="13">
        <f t="shared" si="201"/>
        <v>1045022</v>
      </c>
      <c r="AF337" s="56">
        <f t="shared" si="202"/>
        <v>704509</v>
      </c>
      <c r="AG337" s="13">
        <f t="shared" si="203"/>
        <v>994.61682774303586</v>
      </c>
      <c r="AH337" s="13">
        <f t="shared" si="204"/>
        <v>594.10005685048327</v>
      </c>
      <c r="AI337" s="16">
        <f t="shared" si="205"/>
        <v>400.51677089255259</v>
      </c>
      <c r="AJ337" s="15">
        <f t="shared" si="206"/>
        <v>-3492</v>
      </c>
      <c r="AK337" s="13">
        <f t="shared" si="207"/>
        <v>-2389</v>
      </c>
      <c r="AL337" s="56">
        <f t="shared" si="208"/>
        <v>-1103</v>
      </c>
      <c r="AM337" s="51">
        <f t="shared" si="209"/>
        <v>0</v>
      </c>
      <c r="AN337" s="13">
        <f t="shared" si="210"/>
        <v>0</v>
      </c>
      <c r="AO337" s="56">
        <f t="shared" si="211"/>
        <v>0</v>
      </c>
      <c r="AP337" s="51">
        <f t="shared" si="212"/>
        <v>0</v>
      </c>
      <c r="AQ337" s="13">
        <f t="shared" si="213"/>
        <v>0</v>
      </c>
      <c r="AR337" s="56">
        <f t="shared" si="214"/>
        <v>0</v>
      </c>
      <c r="AS337" s="51">
        <f t="shared" si="215"/>
        <v>-3492</v>
      </c>
      <c r="AT337" s="13">
        <f t="shared" si="216"/>
        <v>-2389</v>
      </c>
      <c r="AU337" s="56">
        <f t="shared" si="217"/>
        <v>-1103</v>
      </c>
      <c r="AV337" s="13">
        <f t="shared" si="218"/>
        <v>-1.9852188743603847</v>
      </c>
      <c r="AW337" s="13">
        <f t="shared" si="219"/>
        <v>-1.3581580443433268</v>
      </c>
      <c r="AX337" s="16">
        <f t="shared" si="220"/>
        <v>-0.62706083001705792</v>
      </c>
    </row>
    <row r="338" spans="1:50" x14ac:dyDescent="0.25">
      <c r="A338" s="20">
        <v>2860</v>
      </c>
      <c r="B338">
        <v>1</v>
      </c>
      <c r="C338" s="23" t="s">
        <v>444</v>
      </c>
      <c r="D338" s="23">
        <v>5</v>
      </c>
      <c r="E338" s="15">
        <f>+SUMIF('GE16FEB14 Unfudged'!$A$2:$A$498, $A338, 'GE16FEB14 Unfudged'!$D$2:$D$498)</f>
        <v>1326</v>
      </c>
      <c r="F338" s="15">
        <f>+SUMIF('GE16FEB14 Unfudged'!$A$2:$A$498, 'Tax Bill Summary'!$A338, 'GE16FEB14 Unfudged'!E$2:E$498)</f>
        <v>166127</v>
      </c>
      <c r="G338" s="13">
        <f>+SUMIF('GE16FEB14 Unfudged'!$A$2:$A$498, 'Tax Bill Summary'!$A338, 'GE16FEB14 Unfudged'!F$2:F$498)</f>
        <v>88637</v>
      </c>
      <c r="H338" s="56">
        <f t="shared" si="188"/>
        <v>77490</v>
      </c>
      <c r="I338" s="51">
        <f>+SUMIF('GE16FEB14 Unfudged'!$A$2:$A$498, 'Tax Bill Summary'!$A338, 'GE16FEB14 Unfudged'!G$2:G$498)</f>
        <v>0</v>
      </c>
      <c r="J338" s="13">
        <f>+SUMIF('GE16FEB14 Unfudged'!$A$2:$A$498, 'Tax Bill Summary'!$A338, 'GE16FEB14 Unfudged'!H$2:H$498)</f>
        <v>0</v>
      </c>
      <c r="K338" s="56">
        <f t="shared" si="189"/>
        <v>0</v>
      </c>
      <c r="L338" s="51">
        <f>+SUMIF('GE16FEB14 Unfudged'!$A$2:$A$498, 'Tax Bill Summary'!$A338, 'GE16FEB14 Unfudged'!I$2:IF$498)</f>
        <v>940329</v>
      </c>
      <c r="M338" s="13">
        <f>+SUMIF('GE16FEB14 Unfudged'!$A$2:$A$498, 'Tax Bill Summary'!$A338, 'GE16FEB14 Unfudged'!J$2:IG$498)</f>
        <v>412450</v>
      </c>
      <c r="N338" s="56">
        <f t="shared" si="190"/>
        <v>527879</v>
      </c>
      <c r="O338" s="51">
        <f t="shared" si="191"/>
        <v>1106456</v>
      </c>
      <c r="P338" s="13">
        <f t="shared" si="192"/>
        <v>501087</v>
      </c>
      <c r="Q338" s="56">
        <f t="shared" si="193"/>
        <v>605369</v>
      </c>
      <c r="R338" s="13">
        <f t="shared" si="194"/>
        <v>834.43137254901956</v>
      </c>
      <c r="S338" s="13">
        <f t="shared" si="195"/>
        <v>377.89366515837105</v>
      </c>
      <c r="T338" s="16">
        <f t="shared" si="196"/>
        <v>456.53770739064856</v>
      </c>
      <c r="U338" s="15">
        <f>+SUMIF('GE16FEB14 Tax Bill Unfudged'!$A$2:$A$498, 'Tax Bill Summary'!$A338, 'GE16FEB14 Tax Bill Unfudged'!E$2:E$498)</f>
        <v>190995</v>
      </c>
      <c r="V338" s="13">
        <f>+SUMIF('GE16FEB14 Tax Bill Unfudged'!$A$2:$A$498, 'Tax Bill Summary'!$A338, 'GE16FEB14 Tax Bill Unfudged'!F$2:F$498)</f>
        <v>101906</v>
      </c>
      <c r="W338" s="56">
        <f t="shared" si="197"/>
        <v>89089</v>
      </c>
      <c r="X338" s="51">
        <f>+SUMIF('GE16FEB14 Tax Bill Unfudged'!$A$2:$A$498, 'Tax Bill Summary'!$A338, 'GE16FEB14 Tax Bill Unfudged'!G$2:G$498)</f>
        <v>562372</v>
      </c>
      <c r="Y338" s="13">
        <f>+SUMIF('GE16FEB14 Tax Bill Unfudged'!$A$2:$A$498, 'Tax Bill Summary'!$A338, 'GE16FEB14 Tax Bill Unfudged'!H$2:H$498)</f>
        <v>300054</v>
      </c>
      <c r="Z338" s="56">
        <f t="shared" si="198"/>
        <v>262318</v>
      </c>
      <c r="AA338" s="51">
        <f>+SUMIF('GE16FEB14 Tax Bill Unfudged'!$A$2:$A$498, 'Tax Bill Summary'!$A338, 'GE16FEB14 Tax Bill Unfudged'!I$2:I$498)</f>
        <v>397905</v>
      </c>
      <c r="AB338" s="13">
        <f>+SUMIF('GE16FEB14 Tax Bill Unfudged'!$A$2:$A$498, 'Tax Bill Summary'!$A338, 'GE16FEB14 Tax Bill Unfudged'!J$2:J$498)</f>
        <v>123039</v>
      </c>
      <c r="AC338" s="56">
        <f t="shared" si="199"/>
        <v>274866</v>
      </c>
      <c r="AD338" s="51">
        <f t="shared" si="200"/>
        <v>1151272</v>
      </c>
      <c r="AE338" s="13">
        <f t="shared" si="201"/>
        <v>524999</v>
      </c>
      <c r="AF338" s="56">
        <f t="shared" si="202"/>
        <v>626273</v>
      </c>
      <c r="AG338" s="13">
        <f t="shared" si="203"/>
        <v>868.22926093514332</v>
      </c>
      <c r="AH338" s="13">
        <f t="shared" si="204"/>
        <v>395.92684766214177</v>
      </c>
      <c r="AI338" s="16">
        <f t="shared" si="205"/>
        <v>472.30241327300149</v>
      </c>
      <c r="AJ338" s="15">
        <f t="shared" si="206"/>
        <v>24868</v>
      </c>
      <c r="AK338" s="13">
        <f t="shared" si="207"/>
        <v>13269</v>
      </c>
      <c r="AL338" s="56">
        <f t="shared" si="208"/>
        <v>11599</v>
      </c>
      <c r="AM338" s="51">
        <f t="shared" si="209"/>
        <v>562372</v>
      </c>
      <c r="AN338" s="13">
        <f t="shared" si="210"/>
        <v>300054</v>
      </c>
      <c r="AO338" s="56">
        <f t="shared" si="211"/>
        <v>262318</v>
      </c>
      <c r="AP338" s="51">
        <f t="shared" si="212"/>
        <v>-542424</v>
      </c>
      <c r="AQ338" s="13">
        <f t="shared" si="213"/>
        <v>-289411</v>
      </c>
      <c r="AR338" s="56">
        <f t="shared" si="214"/>
        <v>-253013</v>
      </c>
      <c r="AS338" s="51">
        <f t="shared" si="215"/>
        <v>44816</v>
      </c>
      <c r="AT338" s="13">
        <f t="shared" si="216"/>
        <v>23912</v>
      </c>
      <c r="AU338" s="56">
        <f t="shared" si="217"/>
        <v>20904</v>
      </c>
      <c r="AV338" s="13">
        <f t="shared" si="218"/>
        <v>33.797888386123759</v>
      </c>
      <c r="AW338" s="13">
        <f t="shared" si="219"/>
        <v>18.033182503770718</v>
      </c>
      <c r="AX338" s="16">
        <f t="shared" si="220"/>
        <v>15.764705882352928</v>
      </c>
    </row>
    <row r="339" spans="1:50" x14ac:dyDescent="0.25">
      <c r="A339" s="20">
        <v>2884</v>
      </c>
      <c r="B339">
        <v>1</v>
      </c>
      <c r="C339" s="23" t="s">
        <v>445</v>
      </c>
      <c r="D339" s="23">
        <v>6</v>
      </c>
      <c r="E339" s="15">
        <f>+SUMIF('GE16FEB14 Unfudged'!$A$2:$A$498, $A339, 'GE16FEB14 Unfudged'!$D$2:$D$498)</f>
        <v>390</v>
      </c>
      <c r="F339" s="15">
        <f>+SUMIF('GE16FEB14 Unfudged'!$A$2:$A$498, 'Tax Bill Summary'!$A339, 'GE16FEB14 Unfudged'!E$2:E$498)</f>
        <v>27159</v>
      </c>
      <c r="G339" s="13">
        <f>+SUMIF('GE16FEB14 Unfudged'!$A$2:$A$498, 'Tax Bill Summary'!$A339, 'GE16FEB14 Unfudged'!F$2:F$498)</f>
        <v>15797</v>
      </c>
      <c r="H339" s="56">
        <f t="shared" si="188"/>
        <v>11362</v>
      </c>
      <c r="I339" s="51">
        <f>+SUMIF('GE16FEB14 Unfudged'!$A$2:$A$498, 'Tax Bill Summary'!$A339, 'GE16FEB14 Unfudged'!G$2:G$498)</f>
        <v>0</v>
      </c>
      <c r="J339" s="13">
        <f>+SUMIF('GE16FEB14 Unfudged'!$A$2:$A$498, 'Tax Bill Summary'!$A339, 'GE16FEB14 Unfudged'!H$2:H$498)</f>
        <v>0</v>
      </c>
      <c r="K339" s="56">
        <f t="shared" si="189"/>
        <v>0</v>
      </c>
      <c r="L339" s="51">
        <f>+SUMIF('GE16FEB14 Unfudged'!$A$2:$A$498, 'Tax Bill Summary'!$A339, 'GE16FEB14 Unfudged'!I$2:IF$498)</f>
        <v>749580</v>
      </c>
      <c r="M339" s="13">
        <f>+SUMIF('GE16FEB14 Unfudged'!$A$2:$A$498, 'Tax Bill Summary'!$A339, 'GE16FEB14 Unfudged'!J$2:IG$498)</f>
        <v>596966</v>
      </c>
      <c r="N339" s="56">
        <f t="shared" si="190"/>
        <v>152614</v>
      </c>
      <c r="O339" s="51">
        <f t="shared" si="191"/>
        <v>776739</v>
      </c>
      <c r="P339" s="13">
        <f t="shared" si="192"/>
        <v>612763</v>
      </c>
      <c r="Q339" s="56">
        <f t="shared" si="193"/>
        <v>163976</v>
      </c>
      <c r="R339" s="13">
        <f t="shared" si="194"/>
        <v>1991.6384615384616</v>
      </c>
      <c r="S339" s="13">
        <f t="shared" si="195"/>
        <v>1571.1871794871795</v>
      </c>
      <c r="T339" s="16">
        <f t="shared" si="196"/>
        <v>420.45128205128208</v>
      </c>
      <c r="U339" s="15">
        <f>+SUMIF('GE16FEB14 Tax Bill Unfudged'!$A$2:$A$498, 'Tax Bill Summary'!$A339, 'GE16FEB14 Tax Bill Unfudged'!E$2:E$498)</f>
        <v>27864</v>
      </c>
      <c r="V339" s="13">
        <f>+SUMIF('GE16FEB14 Tax Bill Unfudged'!$A$2:$A$498, 'Tax Bill Summary'!$A339, 'GE16FEB14 Tax Bill Unfudged'!F$2:F$498)</f>
        <v>16207</v>
      </c>
      <c r="W339" s="56">
        <f t="shared" si="197"/>
        <v>11657</v>
      </c>
      <c r="X339" s="51">
        <f>+SUMIF('GE16FEB14 Tax Bill Unfudged'!$A$2:$A$498, 'Tax Bill Summary'!$A339, 'GE16FEB14 Tax Bill Unfudged'!G$2:G$498)</f>
        <v>165360</v>
      </c>
      <c r="Y339" s="13">
        <f>+SUMIF('GE16FEB14 Tax Bill Unfudged'!$A$2:$A$498, 'Tax Bill Summary'!$A339, 'GE16FEB14 Tax Bill Unfudged'!H$2:H$498)</f>
        <v>96181</v>
      </c>
      <c r="Z339" s="56">
        <f t="shared" si="198"/>
        <v>69179</v>
      </c>
      <c r="AA339" s="51">
        <f>+SUMIF('GE16FEB14 Tax Bill Unfudged'!$A$2:$A$498, 'Tax Bill Summary'!$A339, 'GE16FEB14 Tax Bill Unfudged'!I$2:I$498)</f>
        <v>584220</v>
      </c>
      <c r="AB339" s="13">
        <f>+SUMIF('GE16FEB14 Tax Bill Unfudged'!$A$2:$A$498, 'Tax Bill Summary'!$A339, 'GE16FEB14 Tax Bill Unfudged'!J$2:J$498)</f>
        <v>431606</v>
      </c>
      <c r="AC339" s="56">
        <f t="shared" si="199"/>
        <v>152614</v>
      </c>
      <c r="AD339" s="51">
        <f t="shared" si="200"/>
        <v>777444</v>
      </c>
      <c r="AE339" s="13">
        <f t="shared" si="201"/>
        <v>543994</v>
      </c>
      <c r="AF339" s="56">
        <f t="shared" si="202"/>
        <v>233450</v>
      </c>
      <c r="AG339" s="13">
        <f t="shared" si="203"/>
        <v>1993.4461538461539</v>
      </c>
      <c r="AH339" s="13">
        <f t="shared" si="204"/>
        <v>1394.8564102564103</v>
      </c>
      <c r="AI339" s="16">
        <f t="shared" si="205"/>
        <v>598.58974358974353</v>
      </c>
      <c r="AJ339" s="15">
        <f t="shared" si="206"/>
        <v>705</v>
      </c>
      <c r="AK339" s="13">
        <f t="shared" si="207"/>
        <v>410</v>
      </c>
      <c r="AL339" s="56">
        <f t="shared" si="208"/>
        <v>295</v>
      </c>
      <c r="AM339" s="51">
        <f t="shared" si="209"/>
        <v>165360</v>
      </c>
      <c r="AN339" s="13">
        <f t="shared" si="210"/>
        <v>96181</v>
      </c>
      <c r="AO339" s="56">
        <f t="shared" si="211"/>
        <v>69179</v>
      </c>
      <c r="AP339" s="51">
        <f t="shared" si="212"/>
        <v>-165360</v>
      </c>
      <c r="AQ339" s="13">
        <f t="shared" si="213"/>
        <v>-165360</v>
      </c>
      <c r="AR339" s="56">
        <f t="shared" si="214"/>
        <v>0</v>
      </c>
      <c r="AS339" s="51">
        <f t="shared" si="215"/>
        <v>705</v>
      </c>
      <c r="AT339" s="13">
        <f t="shared" si="216"/>
        <v>-68769</v>
      </c>
      <c r="AU339" s="56">
        <f t="shared" si="217"/>
        <v>69474</v>
      </c>
      <c r="AV339" s="13">
        <f t="shared" si="218"/>
        <v>1.8076923076923777</v>
      </c>
      <c r="AW339" s="13">
        <f t="shared" si="219"/>
        <v>-176.33076923076919</v>
      </c>
      <c r="AX339" s="16">
        <f t="shared" si="220"/>
        <v>178.13846153846146</v>
      </c>
    </row>
    <row r="340" spans="1:50" x14ac:dyDescent="0.25">
      <c r="A340" s="20">
        <v>2886</v>
      </c>
      <c r="B340">
        <v>1</v>
      </c>
      <c r="C340" s="23" t="s">
        <v>446</v>
      </c>
      <c r="D340" s="23">
        <v>6</v>
      </c>
      <c r="E340" s="15">
        <f>+SUMIF('GE16FEB14 Unfudged'!$A$2:$A$498, $A340, 'GE16FEB14 Unfudged'!$D$2:$D$498)</f>
        <v>385</v>
      </c>
      <c r="F340" s="15">
        <f>+SUMIF('GE16FEB14 Unfudged'!$A$2:$A$498, 'Tax Bill Summary'!$A340, 'GE16FEB14 Unfudged'!E$2:E$498)</f>
        <v>43306</v>
      </c>
      <c r="G340" s="13">
        <f>+SUMIF('GE16FEB14 Unfudged'!$A$2:$A$498, 'Tax Bill Summary'!$A340, 'GE16FEB14 Unfudged'!F$2:F$498)</f>
        <v>31039</v>
      </c>
      <c r="H340" s="56">
        <f t="shared" si="188"/>
        <v>12267</v>
      </c>
      <c r="I340" s="51">
        <f>+SUMIF('GE16FEB14 Unfudged'!$A$2:$A$498, 'Tax Bill Summary'!$A340, 'GE16FEB14 Unfudged'!G$2:G$498)</f>
        <v>0</v>
      </c>
      <c r="J340" s="13">
        <f>+SUMIF('GE16FEB14 Unfudged'!$A$2:$A$498, 'Tax Bill Summary'!$A340, 'GE16FEB14 Unfudged'!H$2:H$498)</f>
        <v>0</v>
      </c>
      <c r="K340" s="56">
        <f t="shared" si="189"/>
        <v>0</v>
      </c>
      <c r="L340" s="51">
        <f>+SUMIF('GE16FEB14 Unfudged'!$A$2:$A$498, 'Tax Bill Summary'!$A340, 'GE16FEB14 Unfudged'!I$2:IF$498)</f>
        <v>378639</v>
      </c>
      <c r="M340" s="13">
        <f>+SUMIF('GE16FEB14 Unfudged'!$A$2:$A$498, 'Tax Bill Summary'!$A340, 'GE16FEB14 Unfudged'!J$2:IG$498)</f>
        <v>221478</v>
      </c>
      <c r="N340" s="56">
        <f t="shared" si="190"/>
        <v>157161</v>
      </c>
      <c r="O340" s="51">
        <f t="shared" si="191"/>
        <v>421945</v>
      </c>
      <c r="P340" s="13">
        <f t="shared" si="192"/>
        <v>252517</v>
      </c>
      <c r="Q340" s="56">
        <f t="shared" si="193"/>
        <v>169428</v>
      </c>
      <c r="R340" s="13">
        <f t="shared" si="194"/>
        <v>1095.9610389610389</v>
      </c>
      <c r="S340" s="13">
        <f t="shared" si="195"/>
        <v>655.88831168831166</v>
      </c>
      <c r="T340" s="16">
        <f t="shared" si="196"/>
        <v>440.07272727272726</v>
      </c>
      <c r="U340" s="15">
        <f>+SUMIF('GE16FEB14 Tax Bill Unfudged'!$A$2:$A$498, 'Tax Bill Summary'!$A340, 'GE16FEB14 Tax Bill Unfudged'!E$2:E$498)</f>
        <v>49306</v>
      </c>
      <c r="V340" s="13">
        <f>+SUMIF('GE16FEB14 Tax Bill Unfudged'!$A$2:$A$498, 'Tax Bill Summary'!$A340, 'GE16FEB14 Tax Bill Unfudged'!F$2:F$498)</f>
        <v>35339</v>
      </c>
      <c r="W340" s="56">
        <f t="shared" si="197"/>
        <v>13967</v>
      </c>
      <c r="X340" s="51">
        <f>+SUMIF('GE16FEB14 Tax Bill Unfudged'!$A$2:$A$498, 'Tax Bill Summary'!$A340, 'GE16FEB14 Tax Bill Unfudged'!G$2:G$498)</f>
        <v>163049</v>
      </c>
      <c r="Y340" s="13">
        <f>+SUMIF('GE16FEB14 Tax Bill Unfudged'!$A$2:$A$498, 'Tax Bill Summary'!$A340, 'GE16FEB14 Tax Bill Unfudged'!H$2:H$498)</f>
        <v>116863</v>
      </c>
      <c r="Z340" s="56">
        <f t="shared" si="198"/>
        <v>46186</v>
      </c>
      <c r="AA340" s="51">
        <f>+SUMIF('GE16FEB14 Tax Bill Unfudged'!$A$2:$A$498, 'Tax Bill Summary'!$A340, 'GE16FEB14 Tax Bill Unfudged'!I$2:I$498)</f>
        <v>215590</v>
      </c>
      <c r="AB340" s="13">
        <f>+SUMIF('GE16FEB14 Tax Bill Unfudged'!$A$2:$A$498, 'Tax Bill Summary'!$A340, 'GE16FEB14 Tax Bill Unfudged'!J$2:J$498)</f>
        <v>58429</v>
      </c>
      <c r="AC340" s="56">
        <f t="shared" si="199"/>
        <v>157161</v>
      </c>
      <c r="AD340" s="51">
        <f t="shared" si="200"/>
        <v>427945</v>
      </c>
      <c r="AE340" s="13">
        <f t="shared" si="201"/>
        <v>210631</v>
      </c>
      <c r="AF340" s="56">
        <f t="shared" si="202"/>
        <v>217314</v>
      </c>
      <c r="AG340" s="13">
        <f t="shared" si="203"/>
        <v>1111.5454545454545</v>
      </c>
      <c r="AH340" s="13">
        <f t="shared" si="204"/>
        <v>547.09350649350654</v>
      </c>
      <c r="AI340" s="16">
        <f t="shared" si="205"/>
        <v>564.45194805194808</v>
      </c>
      <c r="AJ340" s="15">
        <f t="shared" si="206"/>
        <v>6000</v>
      </c>
      <c r="AK340" s="13">
        <f t="shared" si="207"/>
        <v>4300</v>
      </c>
      <c r="AL340" s="56">
        <f t="shared" si="208"/>
        <v>1700</v>
      </c>
      <c r="AM340" s="51">
        <f t="shared" si="209"/>
        <v>163049</v>
      </c>
      <c r="AN340" s="13">
        <f t="shared" si="210"/>
        <v>116863</v>
      </c>
      <c r="AO340" s="56">
        <f t="shared" si="211"/>
        <v>46186</v>
      </c>
      <c r="AP340" s="51">
        <f t="shared" si="212"/>
        <v>-163049</v>
      </c>
      <c r="AQ340" s="13">
        <f t="shared" si="213"/>
        <v>-163049</v>
      </c>
      <c r="AR340" s="56">
        <f t="shared" si="214"/>
        <v>0</v>
      </c>
      <c r="AS340" s="51">
        <f t="shared" si="215"/>
        <v>6000</v>
      </c>
      <c r="AT340" s="13">
        <f t="shared" si="216"/>
        <v>-41886</v>
      </c>
      <c r="AU340" s="56">
        <f t="shared" si="217"/>
        <v>47886</v>
      </c>
      <c r="AV340" s="13">
        <f t="shared" si="218"/>
        <v>15.584415584415638</v>
      </c>
      <c r="AW340" s="13">
        <f t="shared" si="219"/>
        <v>-108.79480519480512</v>
      </c>
      <c r="AX340" s="16">
        <f t="shared" si="220"/>
        <v>124.37922077922082</v>
      </c>
    </row>
    <row r="341" spans="1:50" x14ac:dyDescent="0.25">
      <c r="A341" s="20">
        <v>2888</v>
      </c>
      <c r="B341">
        <v>1</v>
      </c>
      <c r="C341" s="23" t="s">
        <v>13</v>
      </c>
      <c r="D341" s="23">
        <v>6</v>
      </c>
      <c r="E341" s="15">
        <f>+SUMIF('GE16FEB14 Unfudged'!$A$2:$A$498, $A341, 'GE16FEB14 Unfudged'!$D$2:$D$498)</f>
        <v>331</v>
      </c>
      <c r="F341" s="15">
        <f>+SUMIF('GE16FEB14 Unfudged'!$A$2:$A$498, 'Tax Bill Summary'!$A341, 'GE16FEB14 Unfudged'!E$2:E$498)</f>
        <v>35525</v>
      </c>
      <c r="G341" s="13">
        <f>+SUMIF('GE16FEB14 Unfudged'!$A$2:$A$498, 'Tax Bill Summary'!$A341, 'GE16FEB14 Unfudged'!F$2:F$498)</f>
        <v>18148</v>
      </c>
      <c r="H341" s="56">
        <f t="shared" si="188"/>
        <v>17377</v>
      </c>
      <c r="I341" s="51">
        <f>+SUMIF('GE16FEB14 Unfudged'!$A$2:$A$498, 'Tax Bill Summary'!$A341, 'GE16FEB14 Unfudged'!G$2:G$498)</f>
        <v>0</v>
      </c>
      <c r="J341" s="13">
        <f>+SUMIF('GE16FEB14 Unfudged'!$A$2:$A$498, 'Tax Bill Summary'!$A341, 'GE16FEB14 Unfudged'!H$2:H$498)</f>
        <v>0</v>
      </c>
      <c r="K341" s="56">
        <f t="shared" si="189"/>
        <v>0</v>
      </c>
      <c r="L341" s="51">
        <f>+SUMIF('GE16FEB14 Unfudged'!$A$2:$A$498, 'Tax Bill Summary'!$A341, 'GE16FEB14 Unfudged'!I$2:IF$498)</f>
        <v>362698</v>
      </c>
      <c r="M341" s="13">
        <f>+SUMIF('GE16FEB14 Unfudged'!$A$2:$A$498, 'Tax Bill Summary'!$A341, 'GE16FEB14 Unfudged'!J$2:IG$498)</f>
        <v>207176</v>
      </c>
      <c r="N341" s="56">
        <f t="shared" si="190"/>
        <v>155522</v>
      </c>
      <c r="O341" s="51">
        <f t="shared" si="191"/>
        <v>398223</v>
      </c>
      <c r="P341" s="13">
        <f t="shared" si="192"/>
        <v>225324</v>
      </c>
      <c r="Q341" s="56">
        <f t="shared" si="193"/>
        <v>172899</v>
      </c>
      <c r="R341" s="13">
        <f t="shared" si="194"/>
        <v>1203.0906344410876</v>
      </c>
      <c r="S341" s="13">
        <f t="shared" si="195"/>
        <v>680.73716012084594</v>
      </c>
      <c r="T341" s="16">
        <f t="shared" si="196"/>
        <v>522.35347432024173</v>
      </c>
      <c r="U341" s="15">
        <f>+SUMIF('GE16FEB14 Tax Bill Unfudged'!$A$2:$A$498, 'Tax Bill Summary'!$A341, 'GE16FEB14 Tax Bill Unfudged'!E$2:E$498)</f>
        <v>40137</v>
      </c>
      <c r="V341" s="13">
        <f>+SUMIF('GE16FEB14 Tax Bill Unfudged'!$A$2:$A$498, 'Tax Bill Summary'!$A341, 'GE16FEB14 Tax Bill Unfudged'!F$2:F$498)</f>
        <v>20505</v>
      </c>
      <c r="W341" s="56">
        <f t="shared" si="197"/>
        <v>19632</v>
      </c>
      <c r="X341" s="51">
        <f>+SUMIF('GE16FEB14 Tax Bill Unfudged'!$A$2:$A$498, 'Tax Bill Summary'!$A341, 'GE16FEB14 Tax Bill Unfudged'!G$2:G$498)</f>
        <v>140174</v>
      </c>
      <c r="Y341" s="13">
        <f>+SUMIF('GE16FEB14 Tax Bill Unfudged'!$A$2:$A$498, 'Tax Bill Summary'!$A341, 'GE16FEB14 Tax Bill Unfudged'!H$2:H$498)</f>
        <v>71610</v>
      </c>
      <c r="Z341" s="56">
        <f t="shared" si="198"/>
        <v>68564</v>
      </c>
      <c r="AA341" s="51">
        <f>+SUMIF('GE16FEB14 Tax Bill Unfudged'!$A$2:$A$498, 'Tax Bill Summary'!$A341, 'GE16FEB14 Tax Bill Unfudged'!I$2:I$498)</f>
        <v>222524</v>
      </c>
      <c r="AB341" s="13">
        <f>+SUMIF('GE16FEB14 Tax Bill Unfudged'!$A$2:$A$498, 'Tax Bill Summary'!$A341, 'GE16FEB14 Tax Bill Unfudged'!J$2:J$498)</f>
        <v>92376</v>
      </c>
      <c r="AC341" s="56">
        <f t="shared" si="199"/>
        <v>130148</v>
      </c>
      <c r="AD341" s="51">
        <f t="shared" si="200"/>
        <v>402835</v>
      </c>
      <c r="AE341" s="13">
        <f t="shared" si="201"/>
        <v>184491</v>
      </c>
      <c r="AF341" s="56">
        <f t="shared" si="202"/>
        <v>218344</v>
      </c>
      <c r="AG341" s="13">
        <f t="shared" si="203"/>
        <v>1217.02416918429</v>
      </c>
      <c r="AH341" s="13">
        <f t="shared" si="204"/>
        <v>557.37462235649548</v>
      </c>
      <c r="AI341" s="16">
        <f t="shared" si="205"/>
        <v>659.64954682779455</v>
      </c>
      <c r="AJ341" s="15">
        <f t="shared" si="206"/>
        <v>4612</v>
      </c>
      <c r="AK341" s="13">
        <f t="shared" si="207"/>
        <v>2357</v>
      </c>
      <c r="AL341" s="56">
        <f t="shared" si="208"/>
        <v>2255</v>
      </c>
      <c r="AM341" s="51">
        <f t="shared" si="209"/>
        <v>140174</v>
      </c>
      <c r="AN341" s="13">
        <f t="shared" si="210"/>
        <v>71610</v>
      </c>
      <c r="AO341" s="56">
        <f t="shared" si="211"/>
        <v>68564</v>
      </c>
      <c r="AP341" s="51">
        <f t="shared" si="212"/>
        <v>-140174</v>
      </c>
      <c r="AQ341" s="13">
        <f t="shared" si="213"/>
        <v>-114800</v>
      </c>
      <c r="AR341" s="56">
        <f t="shared" si="214"/>
        <v>-25374</v>
      </c>
      <c r="AS341" s="51">
        <f t="shared" si="215"/>
        <v>4612</v>
      </c>
      <c r="AT341" s="13">
        <f t="shared" si="216"/>
        <v>-40833</v>
      </c>
      <c r="AU341" s="56">
        <f t="shared" si="217"/>
        <v>45445</v>
      </c>
      <c r="AV341" s="13">
        <f t="shared" si="218"/>
        <v>13.933534743202472</v>
      </c>
      <c r="AW341" s="13">
        <f t="shared" si="219"/>
        <v>-123.36253776435046</v>
      </c>
      <c r="AX341" s="16">
        <f t="shared" si="220"/>
        <v>137.29607250755282</v>
      </c>
    </row>
    <row r="342" spans="1:50" x14ac:dyDescent="0.25">
      <c r="A342" s="20">
        <v>2889</v>
      </c>
      <c r="B342">
        <v>1</v>
      </c>
      <c r="C342" s="23" t="s">
        <v>447</v>
      </c>
      <c r="D342" s="23">
        <v>6</v>
      </c>
      <c r="E342" s="15">
        <f>+SUMIF('GE16FEB14 Unfudged'!$A$2:$A$498, $A342, 'GE16FEB14 Unfudged'!$D$2:$D$498)</f>
        <v>657</v>
      </c>
      <c r="F342" s="15">
        <f>+SUMIF('GE16FEB14 Unfudged'!$A$2:$A$498, 'Tax Bill Summary'!$A342, 'GE16FEB14 Unfudged'!E$2:E$498)</f>
        <v>79119</v>
      </c>
      <c r="G342" s="13">
        <f>+SUMIF('GE16FEB14 Unfudged'!$A$2:$A$498, 'Tax Bill Summary'!$A342, 'GE16FEB14 Unfudged'!F$2:F$498)</f>
        <v>79119</v>
      </c>
      <c r="H342" s="56">
        <f t="shared" ref="H342:H405" si="221">+F342-G342</f>
        <v>0</v>
      </c>
      <c r="I342" s="51">
        <f>+SUMIF('GE16FEB14 Unfudged'!$A$2:$A$498, 'Tax Bill Summary'!$A342, 'GE16FEB14 Unfudged'!G$2:G$498)</f>
        <v>0</v>
      </c>
      <c r="J342" s="13">
        <f>+SUMIF('GE16FEB14 Unfudged'!$A$2:$A$498, 'Tax Bill Summary'!$A342, 'GE16FEB14 Unfudged'!H$2:H$498)</f>
        <v>0</v>
      </c>
      <c r="K342" s="56">
        <f t="shared" ref="K342:K405" si="222">+I342-J342</f>
        <v>0</v>
      </c>
      <c r="L342" s="51">
        <f>+SUMIF('GE16FEB14 Unfudged'!$A$2:$A$498, 'Tax Bill Summary'!$A342, 'GE16FEB14 Unfudged'!I$2:IF$498)</f>
        <v>535830</v>
      </c>
      <c r="M342" s="13">
        <f>+SUMIF('GE16FEB14 Unfudged'!$A$2:$A$498, 'Tax Bill Summary'!$A342, 'GE16FEB14 Unfudged'!J$2:IG$498)</f>
        <v>482889</v>
      </c>
      <c r="N342" s="56">
        <f t="shared" ref="N342:N405" si="223">+L342-M342</f>
        <v>52941</v>
      </c>
      <c r="O342" s="51">
        <f t="shared" ref="O342:O405" si="224">+F342+I342+L342</f>
        <v>614949</v>
      </c>
      <c r="P342" s="13">
        <f t="shared" ref="P342:P405" si="225">+G342+J342+M342</f>
        <v>562008</v>
      </c>
      <c r="Q342" s="56">
        <f t="shared" ref="Q342:Q405" si="226">+H342+K342+N342</f>
        <v>52941</v>
      </c>
      <c r="R342" s="13">
        <f t="shared" ref="R342:R405" si="227">+IF($E342=0, 0, O342/$E342)</f>
        <v>935.99543378995429</v>
      </c>
      <c r="S342" s="13">
        <f t="shared" ref="S342:S405" si="228">+IF($E342=0, 0, P342/$E342)</f>
        <v>855.41552511415523</v>
      </c>
      <c r="T342" s="16">
        <f t="shared" ref="T342:T405" si="229">+IF($E342=0, 0, Q342/$E342)</f>
        <v>80.579908675799089</v>
      </c>
      <c r="U342" s="15">
        <f>+SUMIF('GE16FEB14 Tax Bill Unfudged'!$A$2:$A$498, 'Tax Bill Summary'!$A342, 'GE16FEB14 Tax Bill Unfudged'!E$2:E$498)</f>
        <v>91012</v>
      </c>
      <c r="V342" s="13">
        <f>+SUMIF('GE16FEB14 Tax Bill Unfudged'!$A$2:$A$498, 'Tax Bill Summary'!$A342, 'GE16FEB14 Tax Bill Unfudged'!F$2:F$498)</f>
        <v>91012</v>
      </c>
      <c r="W342" s="56">
        <f t="shared" ref="W342:W405" si="230">+U342-V342</f>
        <v>0</v>
      </c>
      <c r="X342" s="51">
        <f>+SUMIF('GE16FEB14 Tax Bill Unfudged'!$A$2:$A$498, 'Tax Bill Summary'!$A342, 'GE16FEB14 Tax Bill Unfudged'!G$2:G$498)</f>
        <v>278674</v>
      </c>
      <c r="Y342" s="13">
        <f>+SUMIF('GE16FEB14 Tax Bill Unfudged'!$A$2:$A$498, 'Tax Bill Summary'!$A342, 'GE16FEB14 Tax Bill Unfudged'!H$2:H$498)</f>
        <v>278674</v>
      </c>
      <c r="Z342" s="56">
        <f t="shared" ref="Z342:Z405" si="231">+X342-Y342</f>
        <v>0</v>
      </c>
      <c r="AA342" s="51">
        <f>+SUMIF('GE16FEB14 Tax Bill Unfudged'!$A$2:$A$498, 'Tax Bill Summary'!$A342, 'GE16FEB14 Tax Bill Unfudged'!I$2:I$498)</f>
        <v>257156</v>
      </c>
      <c r="AB342" s="13">
        <f>+SUMIF('GE16FEB14 Tax Bill Unfudged'!$A$2:$A$498, 'Tax Bill Summary'!$A342, 'GE16FEB14 Tax Bill Unfudged'!J$2:J$498)</f>
        <v>204215</v>
      </c>
      <c r="AC342" s="56">
        <f t="shared" ref="AC342:AC405" si="232">+AA342-AB342</f>
        <v>52941</v>
      </c>
      <c r="AD342" s="51">
        <f t="shared" ref="AD342:AD405" si="233">+U342+X342+AA342</f>
        <v>626842</v>
      </c>
      <c r="AE342" s="13">
        <f t="shared" ref="AE342:AE405" si="234">+V342+Y342+AB342</f>
        <v>573901</v>
      </c>
      <c r="AF342" s="56">
        <f t="shared" ref="AF342:AF405" si="235">+W342+Z342+AC342</f>
        <v>52941</v>
      </c>
      <c r="AG342" s="13">
        <f t="shared" ref="AG342:AG405" si="236">+IF($E342=0, 0, AD342/$E342)</f>
        <v>954.09741248097407</v>
      </c>
      <c r="AH342" s="13">
        <f t="shared" ref="AH342:AH405" si="237">+IF($E342=0, 0, AE342/$E342)</f>
        <v>873.51750380517501</v>
      </c>
      <c r="AI342" s="16">
        <f t="shared" ref="AI342:AI405" si="238">+IF($E342=0, 0, AF342/$E342)</f>
        <v>80.579908675799089</v>
      </c>
      <c r="AJ342" s="15">
        <f t="shared" ref="AJ342:AJ405" si="239">+U342-F342</f>
        <v>11893</v>
      </c>
      <c r="AK342" s="13">
        <f t="shared" ref="AK342:AK405" si="240">+V342-G342</f>
        <v>11893</v>
      </c>
      <c r="AL342" s="56">
        <f t="shared" ref="AL342:AL405" si="241">+W342-H342</f>
        <v>0</v>
      </c>
      <c r="AM342" s="51">
        <f t="shared" ref="AM342:AM405" si="242">+X342-I342</f>
        <v>278674</v>
      </c>
      <c r="AN342" s="13">
        <f t="shared" ref="AN342:AN405" si="243">+Y342-J342</f>
        <v>278674</v>
      </c>
      <c r="AO342" s="56">
        <f t="shared" ref="AO342:AO405" si="244">+Z342-K342</f>
        <v>0</v>
      </c>
      <c r="AP342" s="51">
        <f t="shared" ref="AP342:AP405" si="245">+AA342-L342</f>
        <v>-278674</v>
      </c>
      <c r="AQ342" s="13">
        <f t="shared" ref="AQ342:AQ405" si="246">+AB342-M342</f>
        <v>-278674</v>
      </c>
      <c r="AR342" s="56">
        <f t="shared" ref="AR342:AR405" si="247">+AC342-N342</f>
        <v>0</v>
      </c>
      <c r="AS342" s="51">
        <f t="shared" ref="AS342:AS405" si="248">+AD342-O342</f>
        <v>11893</v>
      </c>
      <c r="AT342" s="13">
        <f t="shared" ref="AT342:AT405" si="249">+AE342-P342</f>
        <v>11893</v>
      </c>
      <c r="AU342" s="56">
        <f t="shared" ref="AU342:AU405" si="250">+AF342-Q342</f>
        <v>0</v>
      </c>
      <c r="AV342" s="13">
        <f t="shared" ref="AV342:AV405" si="251">+AG342-R342</f>
        <v>18.101978691019781</v>
      </c>
      <c r="AW342" s="13">
        <f t="shared" ref="AW342:AW405" si="252">+AH342-S342</f>
        <v>18.101978691019781</v>
      </c>
      <c r="AX342" s="16">
        <f t="shared" ref="AX342:AX405" si="253">+AI342-T342</f>
        <v>0</v>
      </c>
    </row>
    <row r="343" spans="1:50" x14ac:dyDescent="0.25">
      <c r="A343" s="20">
        <v>2890</v>
      </c>
      <c r="B343">
        <v>1</v>
      </c>
      <c r="C343" s="23" t="s">
        <v>448</v>
      </c>
      <c r="D343" s="23">
        <v>6</v>
      </c>
      <c r="E343" s="15">
        <f>+SUMIF('GE16FEB14 Unfudged'!$A$2:$A$498, $A343, 'GE16FEB14 Unfudged'!$D$2:$D$498)</f>
        <v>559</v>
      </c>
      <c r="F343" s="15">
        <f>+SUMIF('GE16FEB14 Unfudged'!$A$2:$A$498, 'Tax Bill Summary'!$A343, 'GE16FEB14 Unfudged'!E$2:E$498)</f>
        <v>27930</v>
      </c>
      <c r="G343" s="13">
        <f>+SUMIF('GE16FEB14 Unfudged'!$A$2:$A$498, 'Tax Bill Summary'!$A343, 'GE16FEB14 Unfudged'!F$2:F$498)</f>
        <v>15991</v>
      </c>
      <c r="H343" s="56">
        <f t="shared" si="221"/>
        <v>11939</v>
      </c>
      <c r="I343" s="51">
        <f>+SUMIF('GE16FEB14 Unfudged'!$A$2:$A$498, 'Tax Bill Summary'!$A343, 'GE16FEB14 Unfudged'!G$2:G$498)</f>
        <v>0</v>
      </c>
      <c r="J343" s="13">
        <f>+SUMIF('GE16FEB14 Unfudged'!$A$2:$A$498, 'Tax Bill Summary'!$A343, 'GE16FEB14 Unfudged'!H$2:H$498)</f>
        <v>0</v>
      </c>
      <c r="K343" s="56">
        <f t="shared" si="222"/>
        <v>0</v>
      </c>
      <c r="L343" s="51">
        <f>+SUMIF('GE16FEB14 Unfudged'!$A$2:$A$498, 'Tax Bill Summary'!$A343, 'GE16FEB14 Unfudged'!I$2:IF$498)</f>
        <v>1300633</v>
      </c>
      <c r="M343" s="13">
        <f>+SUMIF('GE16FEB14 Unfudged'!$A$2:$A$498, 'Tax Bill Summary'!$A343, 'GE16FEB14 Unfudged'!J$2:IG$498)</f>
        <v>1054477</v>
      </c>
      <c r="N343" s="56">
        <f t="shared" si="223"/>
        <v>246156</v>
      </c>
      <c r="O343" s="51">
        <f t="shared" si="224"/>
        <v>1328563</v>
      </c>
      <c r="P343" s="13">
        <f t="shared" si="225"/>
        <v>1070468</v>
      </c>
      <c r="Q343" s="56">
        <f t="shared" si="226"/>
        <v>258095</v>
      </c>
      <c r="R343" s="13">
        <f t="shared" si="227"/>
        <v>2376.6779964221823</v>
      </c>
      <c r="S343" s="13">
        <f t="shared" si="228"/>
        <v>1914.9695885509839</v>
      </c>
      <c r="T343" s="16">
        <f t="shared" si="229"/>
        <v>461.70840787119857</v>
      </c>
      <c r="U343" s="15">
        <f>+SUMIF('GE16FEB14 Tax Bill Unfudged'!$A$2:$A$498, 'Tax Bill Summary'!$A343, 'GE16FEB14 Tax Bill Unfudged'!E$2:E$498)</f>
        <v>27930</v>
      </c>
      <c r="V343" s="13">
        <f>+SUMIF('GE16FEB14 Tax Bill Unfudged'!$A$2:$A$498, 'Tax Bill Summary'!$A343, 'GE16FEB14 Tax Bill Unfudged'!F$2:F$498)</f>
        <v>15991</v>
      </c>
      <c r="W343" s="56">
        <f t="shared" si="230"/>
        <v>11939</v>
      </c>
      <c r="X343" s="51">
        <f>+SUMIF('GE16FEB14 Tax Bill Unfudged'!$A$2:$A$498, 'Tax Bill Summary'!$A343, 'GE16FEB14 Tax Bill Unfudged'!G$2:G$498)</f>
        <v>236846</v>
      </c>
      <c r="Y343" s="13">
        <f>+SUMIF('GE16FEB14 Tax Bill Unfudged'!$A$2:$A$498, 'Tax Bill Summary'!$A343, 'GE16FEB14 Tax Bill Unfudged'!H$2:H$498)</f>
        <v>135605</v>
      </c>
      <c r="Z343" s="56">
        <f t="shared" si="231"/>
        <v>101241</v>
      </c>
      <c r="AA343" s="51">
        <f>+SUMIF('GE16FEB14 Tax Bill Unfudged'!$A$2:$A$498, 'Tax Bill Summary'!$A343, 'GE16FEB14 Tax Bill Unfudged'!I$2:I$498)</f>
        <v>1063787</v>
      </c>
      <c r="AB343" s="13">
        <f>+SUMIF('GE16FEB14 Tax Bill Unfudged'!$A$2:$A$498, 'Tax Bill Summary'!$A343, 'GE16FEB14 Tax Bill Unfudged'!J$2:J$498)</f>
        <v>817631</v>
      </c>
      <c r="AC343" s="56">
        <f t="shared" si="232"/>
        <v>246156</v>
      </c>
      <c r="AD343" s="51">
        <f t="shared" si="233"/>
        <v>1328563</v>
      </c>
      <c r="AE343" s="13">
        <f t="shared" si="234"/>
        <v>969227</v>
      </c>
      <c r="AF343" s="56">
        <f t="shared" si="235"/>
        <v>359336</v>
      </c>
      <c r="AG343" s="13">
        <f t="shared" si="236"/>
        <v>2376.6779964221823</v>
      </c>
      <c r="AH343" s="13">
        <f t="shared" si="237"/>
        <v>1733.8586762075133</v>
      </c>
      <c r="AI343" s="16">
        <f t="shared" si="238"/>
        <v>642.81932021466901</v>
      </c>
      <c r="AJ343" s="15">
        <f t="shared" si="239"/>
        <v>0</v>
      </c>
      <c r="AK343" s="13">
        <f t="shared" si="240"/>
        <v>0</v>
      </c>
      <c r="AL343" s="56">
        <f t="shared" si="241"/>
        <v>0</v>
      </c>
      <c r="AM343" s="51">
        <f t="shared" si="242"/>
        <v>236846</v>
      </c>
      <c r="AN343" s="13">
        <f t="shared" si="243"/>
        <v>135605</v>
      </c>
      <c r="AO343" s="56">
        <f t="shared" si="244"/>
        <v>101241</v>
      </c>
      <c r="AP343" s="51">
        <f t="shared" si="245"/>
        <v>-236846</v>
      </c>
      <c r="AQ343" s="13">
        <f t="shared" si="246"/>
        <v>-236846</v>
      </c>
      <c r="AR343" s="56">
        <f t="shared" si="247"/>
        <v>0</v>
      </c>
      <c r="AS343" s="51">
        <f t="shared" si="248"/>
        <v>0</v>
      </c>
      <c r="AT343" s="13">
        <f t="shared" si="249"/>
        <v>-101241</v>
      </c>
      <c r="AU343" s="56">
        <f t="shared" si="250"/>
        <v>101241</v>
      </c>
      <c r="AV343" s="13">
        <f t="shared" si="251"/>
        <v>0</v>
      </c>
      <c r="AW343" s="13">
        <f t="shared" si="252"/>
        <v>-181.11091234347055</v>
      </c>
      <c r="AX343" s="16">
        <f t="shared" si="253"/>
        <v>181.11091234347043</v>
      </c>
    </row>
    <row r="344" spans="1:50" x14ac:dyDescent="0.25">
      <c r="A344" s="20">
        <v>2895</v>
      </c>
      <c r="B344">
        <v>1</v>
      </c>
      <c r="C344" s="23" t="s">
        <v>449</v>
      </c>
      <c r="D344" s="23">
        <v>5</v>
      </c>
      <c r="E344" s="15">
        <f>+SUMIF('GE16FEB14 Unfudged'!$A$2:$A$498, $A344, 'GE16FEB14 Unfudged'!$D$2:$D$498)</f>
        <v>1340</v>
      </c>
      <c r="F344" s="15">
        <f>+SUMIF('GE16FEB14 Unfudged'!$A$2:$A$498, 'Tax Bill Summary'!$A344, 'GE16FEB14 Unfudged'!E$2:E$498)</f>
        <v>148443</v>
      </c>
      <c r="G344" s="13">
        <f>+SUMIF('GE16FEB14 Unfudged'!$A$2:$A$498, 'Tax Bill Summary'!$A344, 'GE16FEB14 Unfudged'!F$2:F$498)</f>
        <v>92238</v>
      </c>
      <c r="H344" s="56">
        <f t="shared" si="221"/>
        <v>56205</v>
      </c>
      <c r="I344" s="51">
        <f>+SUMIF('GE16FEB14 Unfudged'!$A$2:$A$498, 'Tax Bill Summary'!$A344, 'GE16FEB14 Unfudged'!G$2:G$498)</f>
        <v>0</v>
      </c>
      <c r="J344" s="13">
        <f>+SUMIF('GE16FEB14 Unfudged'!$A$2:$A$498, 'Tax Bill Summary'!$A344, 'GE16FEB14 Unfudged'!H$2:H$498)</f>
        <v>0</v>
      </c>
      <c r="K344" s="56">
        <f t="shared" si="222"/>
        <v>0</v>
      </c>
      <c r="L344" s="51">
        <f>+SUMIF('GE16FEB14 Unfudged'!$A$2:$A$498, 'Tax Bill Summary'!$A344, 'GE16FEB14 Unfudged'!I$2:IF$498)</f>
        <v>1371630</v>
      </c>
      <c r="M344" s="13">
        <f>+SUMIF('GE16FEB14 Unfudged'!$A$2:$A$498, 'Tax Bill Summary'!$A344, 'GE16FEB14 Unfudged'!J$2:IG$498)</f>
        <v>881152</v>
      </c>
      <c r="N344" s="56">
        <f t="shared" si="223"/>
        <v>490478</v>
      </c>
      <c r="O344" s="51">
        <f t="shared" si="224"/>
        <v>1520073</v>
      </c>
      <c r="P344" s="13">
        <f t="shared" si="225"/>
        <v>973390</v>
      </c>
      <c r="Q344" s="56">
        <f t="shared" si="226"/>
        <v>546683</v>
      </c>
      <c r="R344" s="13">
        <f t="shared" si="227"/>
        <v>1134.3828358208955</v>
      </c>
      <c r="S344" s="13">
        <f t="shared" si="228"/>
        <v>726.41044776119406</v>
      </c>
      <c r="T344" s="16">
        <f t="shared" si="229"/>
        <v>407.97238805970147</v>
      </c>
      <c r="U344" s="15">
        <f>+SUMIF('GE16FEB14 Tax Bill Unfudged'!$A$2:$A$498, 'Tax Bill Summary'!$A344, 'GE16FEB14 Tax Bill Unfudged'!E$2:E$498)</f>
        <v>168571</v>
      </c>
      <c r="V344" s="13">
        <f>+SUMIF('GE16FEB14 Tax Bill Unfudged'!$A$2:$A$498, 'Tax Bill Summary'!$A344, 'GE16FEB14 Tax Bill Unfudged'!F$2:F$498)</f>
        <v>104745</v>
      </c>
      <c r="W344" s="56">
        <f t="shared" si="230"/>
        <v>63826</v>
      </c>
      <c r="X344" s="51">
        <f>+SUMIF('GE16FEB14 Tax Bill Unfudged'!$A$2:$A$498, 'Tax Bill Summary'!$A344, 'GE16FEB14 Tax Bill Unfudged'!G$2:G$498)</f>
        <v>567990</v>
      </c>
      <c r="Y344" s="13">
        <f>+SUMIF('GE16FEB14 Tax Bill Unfudged'!$A$2:$A$498, 'Tax Bill Summary'!$A344, 'GE16FEB14 Tax Bill Unfudged'!H$2:H$498)</f>
        <v>352931</v>
      </c>
      <c r="Z344" s="56">
        <f t="shared" si="231"/>
        <v>215059</v>
      </c>
      <c r="AA344" s="51">
        <f>+SUMIF('GE16FEB14 Tax Bill Unfudged'!$A$2:$A$498, 'Tax Bill Summary'!$A344, 'GE16FEB14 Tax Bill Unfudged'!I$2:I$498)</f>
        <v>803639</v>
      </c>
      <c r="AB344" s="13">
        <f>+SUMIF('GE16FEB14 Tax Bill Unfudged'!$A$2:$A$498, 'Tax Bill Summary'!$A344, 'GE16FEB14 Tax Bill Unfudged'!J$2:J$498)</f>
        <v>394361</v>
      </c>
      <c r="AC344" s="56">
        <f t="shared" si="232"/>
        <v>409278</v>
      </c>
      <c r="AD344" s="51">
        <f t="shared" si="233"/>
        <v>1540200</v>
      </c>
      <c r="AE344" s="13">
        <f t="shared" si="234"/>
        <v>852037</v>
      </c>
      <c r="AF344" s="56">
        <f t="shared" si="235"/>
        <v>688163</v>
      </c>
      <c r="AG344" s="13">
        <f t="shared" si="236"/>
        <v>1149.4029850746269</v>
      </c>
      <c r="AH344" s="13">
        <f t="shared" si="237"/>
        <v>635.8485074626866</v>
      </c>
      <c r="AI344" s="16">
        <f t="shared" si="238"/>
        <v>513.55447761194034</v>
      </c>
      <c r="AJ344" s="15">
        <f t="shared" si="239"/>
        <v>20128</v>
      </c>
      <c r="AK344" s="13">
        <f t="shared" si="240"/>
        <v>12507</v>
      </c>
      <c r="AL344" s="56">
        <f t="shared" si="241"/>
        <v>7621</v>
      </c>
      <c r="AM344" s="51">
        <f t="shared" si="242"/>
        <v>567990</v>
      </c>
      <c r="AN344" s="13">
        <f t="shared" si="243"/>
        <v>352931</v>
      </c>
      <c r="AO344" s="56">
        <f t="shared" si="244"/>
        <v>215059</v>
      </c>
      <c r="AP344" s="51">
        <f t="shared" si="245"/>
        <v>-567991</v>
      </c>
      <c r="AQ344" s="13">
        <f t="shared" si="246"/>
        <v>-486791</v>
      </c>
      <c r="AR344" s="56">
        <f t="shared" si="247"/>
        <v>-81200</v>
      </c>
      <c r="AS344" s="51">
        <f t="shared" si="248"/>
        <v>20127</v>
      </c>
      <c r="AT344" s="13">
        <f t="shared" si="249"/>
        <v>-121353</v>
      </c>
      <c r="AU344" s="56">
        <f t="shared" si="250"/>
        <v>141480</v>
      </c>
      <c r="AV344" s="13">
        <f t="shared" si="251"/>
        <v>15.020149253731461</v>
      </c>
      <c r="AW344" s="13">
        <f t="shared" si="252"/>
        <v>-90.561940298507466</v>
      </c>
      <c r="AX344" s="16">
        <f t="shared" si="253"/>
        <v>105.58208955223887</v>
      </c>
    </row>
    <row r="345" spans="1:50" x14ac:dyDescent="0.25">
      <c r="A345" s="20">
        <v>2897</v>
      </c>
      <c r="B345">
        <v>1</v>
      </c>
      <c r="C345" s="23" t="s">
        <v>450</v>
      </c>
      <c r="D345" s="23">
        <v>5</v>
      </c>
      <c r="E345" s="15">
        <f>+SUMIF('GE16FEB14 Unfudged'!$A$2:$A$498, $A345, 'GE16FEB14 Unfudged'!$D$2:$D$498)</f>
        <v>1210</v>
      </c>
      <c r="F345" s="15">
        <f>+SUMIF('GE16FEB14 Unfudged'!$A$2:$A$498, 'Tax Bill Summary'!$A345, 'GE16FEB14 Unfudged'!E$2:E$498)</f>
        <v>132411</v>
      </c>
      <c r="G345" s="13">
        <f>+SUMIF('GE16FEB14 Unfudged'!$A$2:$A$498, 'Tax Bill Summary'!$A345, 'GE16FEB14 Unfudged'!F$2:F$498)</f>
        <v>65878</v>
      </c>
      <c r="H345" s="56">
        <f t="shared" si="221"/>
        <v>66533</v>
      </c>
      <c r="I345" s="51">
        <f>+SUMIF('GE16FEB14 Unfudged'!$A$2:$A$498, 'Tax Bill Summary'!$A345, 'GE16FEB14 Unfudged'!G$2:G$498)</f>
        <v>0</v>
      </c>
      <c r="J345" s="13">
        <f>+SUMIF('GE16FEB14 Unfudged'!$A$2:$A$498, 'Tax Bill Summary'!$A345, 'GE16FEB14 Unfudged'!H$2:H$498)</f>
        <v>0</v>
      </c>
      <c r="K345" s="56">
        <f t="shared" si="222"/>
        <v>0</v>
      </c>
      <c r="L345" s="51">
        <f>+SUMIF('GE16FEB14 Unfudged'!$A$2:$A$498, 'Tax Bill Summary'!$A345, 'GE16FEB14 Unfudged'!I$2:IF$498)</f>
        <v>1276754</v>
      </c>
      <c r="M345" s="13">
        <f>+SUMIF('GE16FEB14 Unfudged'!$A$2:$A$498, 'Tax Bill Summary'!$A345, 'GE16FEB14 Unfudged'!J$2:IG$498)</f>
        <v>693949</v>
      </c>
      <c r="N345" s="56">
        <f t="shared" si="223"/>
        <v>582805</v>
      </c>
      <c r="O345" s="51">
        <f t="shared" si="224"/>
        <v>1409165</v>
      </c>
      <c r="P345" s="13">
        <f t="shared" si="225"/>
        <v>759827</v>
      </c>
      <c r="Q345" s="56">
        <f t="shared" si="226"/>
        <v>649338</v>
      </c>
      <c r="R345" s="13">
        <f t="shared" si="227"/>
        <v>1164.5991735537191</v>
      </c>
      <c r="S345" s="13">
        <f t="shared" si="228"/>
        <v>627.95619834710749</v>
      </c>
      <c r="T345" s="16">
        <f t="shared" si="229"/>
        <v>536.6429752066116</v>
      </c>
      <c r="U345" s="15">
        <f>+SUMIF('GE16FEB14 Tax Bill Unfudged'!$A$2:$A$498, 'Tax Bill Summary'!$A345, 'GE16FEB14 Tax Bill Unfudged'!E$2:E$498)</f>
        <v>150047</v>
      </c>
      <c r="V345" s="13">
        <f>+SUMIF('GE16FEB14 Tax Bill Unfudged'!$A$2:$A$498, 'Tax Bill Summary'!$A345, 'GE16FEB14 Tax Bill Unfudged'!F$2:F$498)</f>
        <v>74653</v>
      </c>
      <c r="W345" s="56">
        <f t="shared" si="230"/>
        <v>75394</v>
      </c>
      <c r="X345" s="51">
        <f>+SUMIF('GE16FEB14 Tax Bill Unfudged'!$A$2:$A$498, 'Tax Bill Summary'!$A345, 'GE16FEB14 Tax Bill Unfudged'!G$2:G$498)</f>
        <v>513210</v>
      </c>
      <c r="Y345" s="13">
        <f>+SUMIF('GE16FEB14 Tax Bill Unfudged'!$A$2:$A$498, 'Tax Bill Summary'!$A345, 'GE16FEB14 Tax Bill Unfudged'!H$2:H$498)</f>
        <v>255337</v>
      </c>
      <c r="Z345" s="56">
        <f t="shared" si="231"/>
        <v>257873</v>
      </c>
      <c r="AA345" s="51">
        <f>+SUMIF('GE16FEB14 Tax Bill Unfudged'!$A$2:$A$498, 'Tax Bill Summary'!$A345, 'GE16FEB14 Tax Bill Unfudged'!I$2:I$498)</f>
        <v>763545</v>
      </c>
      <c r="AB345" s="13">
        <f>+SUMIF('GE16FEB14 Tax Bill Unfudged'!$A$2:$A$498, 'Tax Bill Summary'!$A345, 'GE16FEB14 Tax Bill Unfudged'!J$2:J$498)</f>
        <v>303925</v>
      </c>
      <c r="AC345" s="56">
        <f t="shared" si="232"/>
        <v>459620</v>
      </c>
      <c r="AD345" s="51">
        <f t="shared" si="233"/>
        <v>1426802</v>
      </c>
      <c r="AE345" s="13">
        <f t="shared" si="234"/>
        <v>633915</v>
      </c>
      <c r="AF345" s="56">
        <f t="shared" si="235"/>
        <v>792887</v>
      </c>
      <c r="AG345" s="13">
        <f t="shared" si="236"/>
        <v>1179.1752066115703</v>
      </c>
      <c r="AH345" s="13">
        <f t="shared" si="237"/>
        <v>523.89669421487599</v>
      </c>
      <c r="AI345" s="16">
        <f t="shared" si="238"/>
        <v>655.27851239669417</v>
      </c>
      <c r="AJ345" s="15">
        <f t="shared" si="239"/>
        <v>17636</v>
      </c>
      <c r="AK345" s="13">
        <f t="shared" si="240"/>
        <v>8775</v>
      </c>
      <c r="AL345" s="56">
        <f t="shared" si="241"/>
        <v>8861</v>
      </c>
      <c r="AM345" s="51">
        <f t="shared" si="242"/>
        <v>513210</v>
      </c>
      <c r="AN345" s="13">
        <f t="shared" si="243"/>
        <v>255337</v>
      </c>
      <c r="AO345" s="56">
        <f t="shared" si="244"/>
        <v>257873</v>
      </c>
      <c r="AP345" s="51">
        <f t="shared" si="245"/>
        <v>-513209</v>
      </c>
      <c r="AQ345" s="13">
        <f t="shared" si="246"/>
        <v>-390024</v>
      </c>
      <c r="AR345" s="56">
        <f t="shared" si="247"/>
        <v>-123185</v>
      </c>
      <c r="AS345" s="51">
        <f t="shared" si="248"/>
        <v>17637</v>
      </c>
      <c r="AT345" s="13">
        <f t="shared" si="249"/>
        <v>-125912</v>
      </c>
      <c r="AU345" s="56">
        <f t="shared" si="250"/>
        <v>143549</v>
      </c>
      <c r="AV345" s="13">
        <f t="shared" si="251"/>
        <v>14.576033057851191</v>
      </c>
      <c r="AW345" s="13">
        <f t="shared" si="252"/>
        <v>-104.0595041322315</v>
      </c>
      <c r="AX345" s="16">
        <f t="shared" si="253"/>
        <v>118.63553719008257</v>
      </c>
    </row>
    <row r="346" spans="1:50" x14ac:dyDescent="0.25">
      <c r="A346" s="20">
        <v>2898</v>
      </c>
      <c r="B346">
        <v>1</v>
      </c>
      <c r="C346" s="23" t="s">
        <v>451</v>
      </c>
      <c r="D346" s="23">
        <v>6</v>
      </c>
      <c r="E346" s="15">
        <f>+SUMIF('GE16FEB14 Unfudged'!$A$2:$A$498, $A346, 'GE16FEB14 Unfudged'!$D$2:$D$498)</f>
        <v>425</v>
      </c>
      <c r="F346" s="15">
        <f>+SUMIF('GE16FEB14 Unfudged'!$A$2:$A$498, 'Tax Bill Summary'!$A346, 'GE16FEB14 Unfudged'!E$2:E$498)</f>
        <v>52484</v>
      </c>
      <c r="G346" s="13">
        <f>+SUMIF('GE16FEB14 Unfudged'!$A$2:$A$498, 'Tax Bill Summary'!$A346, 'GE16FEB14 Unfudged'!F$2:F$498)</f>
        <v>24072</v>
      </c>
      <c r="H346" s="56">
        <f t="shared" si="221"/>
        <v>28412</v>
      </c>
      <c r="I346" s="51">
        <f>+SUMIF('GE16FEB14 Unfudged'!$A$2:$A$498, 'Tax Bill Summary'!$A346, 'GE16FEB14 Unfudged'!G$2:G$498)</f>
        <v>0</v>
      </c>
      <c r="J346" s="13">
        <f>+SUMIF('GE16FEB14 Unfudged'!$A$2:$A$498, 'Tax Bill Summary'!$A346, 'GE16FEB14 Unfudged'!H$2:H$498)</f>
        <v>0</v>
      </c>
      <c r="K346" s="56">
        <f t="shared" si="222"/>
        <v>0</v>
      </c>
      <c r="L346" s="51">
        <f>+SUMIF('GE16FEB14 Unfudged'!$A$2:$A$498, 'Tax Bill Summary'!$A346, 'GE16FEB14 Unfudged'!I$2:IF$498)</f>
        <v>318999</v>
      </c>
      <c r="M346" s="13">
        <f>+SUMIF('GE16FEB14 Unfudged'!$A$2:$A$498, 'Tax Bill Summary'!$A346, 'GE16FEB14 Unfudged'!J$2:IG$498)</f>
        <v>121700</v>
      </c>
      <c r="N346" s="56">
        <f t="shared" si="223"/>
        <v>197299</v>
      </c>
      <c r="O346" s="51">
        <f t="shared" si="224"/>
        <v>371483</v>
      </c>
      <c r="P346" s="13">
        <f t="shared" si="225"/>
        <v>145772</v>
      </c>
      <c r="Q346" s="56">
        <f t="shared" si="226"/>
        <v>225711</v>
      </c>
      <c r="R346" s="13">
        <f t="shared" si="227"/>
        <v>874.07764705882357</v>
      </c>
      <c r="S346" s="13">
        <f t="shared" si="228"/>
        <v>342.99294117647059</v>
      </c>
      <c r="T346" s="16">
        <f t="shared" si="229"/>
        <v>531.08470588235298</v>
      </c>
      <c r="U346" s="15">
        <f>+SUMIF('GE16FEB14 Tax Bill Unfudged'!$A$2:$A$498, 'Tax Bill Summary'!$A346, 'GE16FEB14 Tax Bill Unfudged'!E$2:E$498)</f>
        <v>60591</v>
      </c>
      <c r="V346" s="13">
        <f>+SUMIF('GE16FEB14 Tax Bill Unfudged'!$A$2:$A$498, 'Tax Bill Summary'!$A346, 'GE16FEB14 Tax Bill Unfudged'!F$2:F$498)</f>
        <v>27790</v>
      </c>
      <c r="W346" s="56">
        <f t="shared" si="230"/>
        <v>32801</v>
      </c>
      <c r="X346" s="51">
        <f>+SUMIF('GE16FEB14 Tax Bill Unfudged'!$A$2:$A$498, 'Tax Bill Summary'!$A346, 'GE16FEB14 Tax Bill Unfudged'!G$2:G$498)</f>
        <v>180370</v>
      </c>
      <c r="Y346" s="13">
        <f>+SUMIF('GE16FEB14 Tax Bill Unfudged'!$A$2:$A$498, 'Tax Bill Summary'!$A346, 'GE16FEB14 Tax Bill Unfudged'!H$2:H$498)</f>
        <v>82727</v>
      </c>
      <c r="Z346" s="56">
        <f t="shared" si="231"/>
        <v>97643</v>
      </c>
      <c r="AA346" s="51">
        <f>+SUMIF('GE16FEB14 Tax Bill Unfudged'!$A$2:$A$498, 'Tax Bill Summary'!$A346, 'GE16FEB14 Tax Bill Unfudged'!I$2:I$498)</f>
        <v>138629</v>
      </c>
      <c r="AB346" s="13">
        <f>+SUMIF('GE16FEB14 Tax Bill Unfudged'!$A$2:$A$498, 'Tax Bill Summary'!$A346, 'GE16FEB14 Tax Bill Unfudged'!J$2:J$498)</f>
        <v>7733</v>
      </c>
      <c r="AC346" s="56">
        <f t="shared" si="232"/>
        <v>130896</v>
      </c>
      <c r="AD346" s="51">
        <f t="shared" si="233"/>
        <v>379590</v>
      </c>
      <c r="AE346" s="13">
        <f t="shared" si="234"/>
        <v>118250</v>
      </c>
      <c r="AF346" s="56">
        <f t="shared" si="235"/>
        <v>261340</v>
      </c>
      <c r="AG346" s="13">
        <f t="shared" si="236"/>
        <v>893.15294117647056</v>
      </c>
      <c r="AH346" s="13">
        <f t="shared" si="237"/>
        <v>278.23529411764707</v>
      </c>
      <c r="AI346" s="16">
        <f t="shared" si="238"/>
        <v>614.91764705882349</v>
      </c>
      <c r="AJ346" s="15">
        <f t="shared" si="239"/>
        <v>8107</v>
      </c>
      <c r="AK346" s="13">
        <f t="shared" si="240"/>
        <v>3718</v>
      </c>
      <c r="AL346" s="56">
        <f t="shared" si="241"/>
        <v>4389</v>
      </c>
      <c r="AM346" s="51">
        <f t="shared" si="242"/>
        <v>180370</v>
      </c>
      <c r="AN346" s="13">
        <f t="shared" si="243"/>
        <v>82727</v>
      </c>
      <c r="AO346" s="56">
        <f t="shared" si="244"/>
        <v>97643</v>
      </c>
      <c r="AP346" s="51">
        <f t="shared" si="245"/>
        <v>-180370</v>
      </c>
      <c r="AQ346" s="13">
        <f t="shared" si="246"/>
        <v>-113967</v>
      </c>
      <c r="AR346" s="56">
        <f t="shared" si="247"/>
        <v>-66403</v>
      </c>
      <c r="AS346" s="51">
        <f t="shared" si="248"/>
        <v>8107</v>
      </c>
      <c r="AT346" s="13">
        <f t="shared" si="249"/>
        <v>-27522</v>
      </c>
      <c r="AU346" s="56">
        <f t="shared" si="250"/>
        <v>35629</v>
      </c>
      <c r="AV346" s="13">
        <f t="shared" si="251"/>
        <v>19.07529411764699</v>
      </c>
      <c r="AW346" s="13">
        <f t="shared" si="252"/>
        <v>-64.757647058823522</v>
      </c>
      <c r="AX346" s="16">
        <f t="shared" si="253"/>
        <v>83.832941176470513</v>
      </c>
    </row>
    <row r="347" spans="1:50" x14ac:dyDescent="0.25">
      <c r="A347" s="20">
        <v>2899</v>
      </c>
      <c r="B347">
        <v>1</v>
      </c>
      <c r="C347" s="23" t="s">
        <v>14</v>
      </c>
      <c r="D347" s="23">
        <v>5</v>
      </c>
      <c r="E347" s="15">
        <f>+SUMIF('GE16FEB14 Unfudged'!$A$2:$A$498, $A347, 'GE16FEB14 Unfudged'!$D$2:$D$498)</f>
        <v>1550</v>
      </c>
      <c r="F347" s="15">
        <f>+SUMIF('GE16FEB14 Unfudged'!$A$2:$A$498, 'Tax Bill Summary'!$A347, 'GE16FEB14 Unfudged'!E$2:E$498)</f>
        <v>222610</v>
      </c>
      <c r="G347" s="13">
        <f>+SUMIF('GE16FEB14 Unfudged'!$A$2:$A$498, 'Tax Bill Summary'!$A347, 'GE16FEB14 Unfudged'!F$2:F$498)</f>
        <v>143458</v>
      </c>
      <c r="H347" s="56">
        <f t="shared" si="221"/>
        <v>79152</v>
      </c>
      <c r="I347" s="51">
        <f>+SUMIF('GE16FEB14 Unfudged'!$A$2:$A$498, 'Tax Bill Summary'!$A347, 'GE16FEB14 Unfudged'!G$2:G$498)</f>
        <v>0</v>
      </c>
      <c r="J347" s="13">
        <f>+SUMIF('GE16FEB14 Unfudged'!$A$2:$A$498, 'Tax Bill Summary'!$A347, 'GE16FEB14 Unfudged'!H$2:H$498)</f>
        <v>0</v>
      </c>
      <c r="K347" s="56">
        <f t="shared" si="222"/>
        <v>0</v>
      </c>
      <c r="L347" s="51">
        <f>+SUMIF('GE16FEB14 Unfudged'!$A$2:$A$498, 'Tax Bill Summary'!$A347, 'GE16FEB14 Unfudged'!I$2:IF$498)</f>
        <v>476487</v>
      </c>
      <c r="M347" s="13">
        <f>+SUMIF('GE16FEB14 Unfudged'!$A$2:$A$498, 'Tax Bill Summary'!$A347, 'GE16FEB14 Unfudged'!J$2:IG$498)</f>
        <v>181103</v>
      </c>
      <c r="N347" s="56">
        <f t="shared" si="223"/>
        <v>295384</v>
      </c>
      <c r="O347" s="51">
        <f t="shared" si="224"/>
        <v>699097</v>
      </c>
      <c r="P347" s="13">
        <f t="shared" si="225"/>
        <v>324561</v>
      </c>
      <c r="Q347" s="56">
        <f t="shared" si="226"/>
        <v>374536</v>
      </c>
      <c r="R347" s="13">
        <f t="shared" si="227"/>
        <v>451.03032258064513</v>
      </c>
      <c r="S347" s="13">
        <f t="shared" si="228"/>
        <v>209.39419354838711</v>
      </c>
      <c r="T347" s="16">
        <f t="shared" si="229"/>
        <v>241.63612903225805</v>
      </c>
      <c r="U347" s="15">
        <f>+SUMIF('GE16FEB14 Tax Bill Unfudged'!$A$2:$A$498, 'Tax Bill Summary'!$A347, 'GE16FEB14 Tax Bill Unfudged'!E$2:E$498)</f>
        <v>223142</v>
      </c>
      <c r="V347" s="13">
        <f>+SUMIF('GE16FEB14 Tax Bill Unfudged'!$A$2:$A$498, 'Tax Bill Summary'!$A347, 'GE16FEB14 Tax Bill Unfudged'!F$2:F$498)</f>
        <v>143801</v>
      </c>
      <c r="W347" s="56">
        <f t="shared" si="230"/>
        <v>79341</v>
      </c>
      <c r="X347" s="51">
        <f>+SUMIF('GE16FEB14 Tax Bill Unfudged'!$A$2:$A$498, 'Tax Bill Summary'!$A347, 'GE16FEB14 Tax Bill Unfudged'!G$2:G$498)</f>
        <v>657030</v>
      </c>
      <c r="Y347" s="13">
        <f>+SUMIF('GE16FEB14 Tax Bill Unfudged'!$A$2:$A$498, 'Tax Bill Summary'!$A347, 'GE16FEB14 Tax Bill Unfudged'!H$2:H$498)</f>
        <v>423413</v>
      </c>
      <c r="Z347" s="56">
        <f t="shared" si="231"/>
        <v>233617</v>
      </c>
      <c r="AA347" s="51">
        <f>+SUMIF('GE16FEB14 Tax Bill Unfudged'!$A$2:$A$498, 'Tax Bill Summary'!$A347, 'GE16FEB14 Tax Bill Unfudged'!I$2:I$498)</f>
        <v>464880</v>
      </c>
      <c r="AB347" s="13">
        <f>+SUMIF('GE16FEB14 Tax Bill Unfudged'!$A$2:$A$498, 'Tax Bill Summary'!$A347, 'GE16FEB14 Tax Bill Unfudged'!J$2:J$498)</f>
        <v>173623</v>
      </c>
      <c r="AC347" s="56">
        <f t="shared" si="232"/>
        <v>291257</v>
      </c>
      <c r="AD347" s="51">
        <f t="shared" si="233"/>
        <v>1345052</v>
      </c>
      <c r="AE347" s="13">
        <f t="shared" si="234"/>
        <v>740837</v>
      </c>
      <c r="AF347" s="56">
        <f t="shared" si="235"/>
        <v>604215</v>
      </c>
      <c r="AG347" s="13">
        <f t="shared" si="236"/>
        <v>867.77548387096772</v>
      </c>
      <c r="AH347" s="13">
        <f t="shared" si="237"/>
        <v>477.95935483870966</v>
      </c>
      <c r="AI347" s="16">
        <f t="shared" si="238"/>
        <v>389.81612903225806</v>
      </c>
      <c r="AJ347" s="15">
        <f t="shared" si="239"/>
        <v>532</v>
      </c>
      <c r="AK347" s="13">
        <f t="shared" si="240"/>
        <v>343</v>
      </c>
      <c r="AL347" s="56">
        <f t="shared" si="241"/>
        <v>189</v>
      </c>
      <c r="AM347" s="51">
        <f t="shared" si="242"/>
        <v>657030</v>
      </c>
      <c r="AN347" s="13">
        <f t="shared" si="243"/>
        <v>423413</v>
      </c>
      <c r="AO347" s="56">
        <f t="shared" si="244"/>
        <v>233617</v>
      </c>
      <c r="AP347" s="51">
        <f t="shared" si="245"/>
        <v>-11607</v>
      </c>
      <c r="AQ347" s="13">
        <f t="shared" si="246"/>
        <v>-7480</v>
      </c>
      <c r="AR347" s="56">
        <f t="shared" si="247"/>
        <v>-4127</v>
      </c>
      <c r="AS347" s="51">
        <f t="shared" si="248"/>
        <v>645955</v>
      </c>
      <c r="AT347" s="13">
        <f t="shared" si="249"/>
        <v>416276</v>
      </c>
      <c r="AU347" s="56">
        <f t="shared" si="250"/>
        <v>229679</v>
      </c>
      <c r="AV347" s="13">
        <f t="shared" si="251"/>
        <v>416.74516129032259</v>
      </c>
      <c r="AW347" s="13">
        <f t="shared" si="252"/>
        <v>268.56516129032252</v>
      </c>
      <c r="AX347" s="16">
        <f t="shared" si="253"/>
        <v>148.18</v>
      </c>
    </row>
    <row r="348" spans="1:50" x14ac:dyDescent="0.25">
      <c r="A348" s="20">
        <v>2902</v>
      </c>
      <c r="B348">
        <v>1</v>
      </c>
      <c r="C348" s="23" t="s">
        <v>452</v>
      </c>
      <c r="D348" s="23">
        <v>6</v>
      </c>
      <c r="E348" s="15">
        <f>+SUMIF('GE16FEB14 Unfudged'!$A$2:$A$498, $A348, 'GE16FEB14 Unfudged'!$D$2:$D$498)</f>
        <v>574</v>
      </c>
      <c r="F348" s="15">
        <f>+SUMIF('GE16FEB14 Unfudged'!$A$2:$A$498, 'Tax Bill Summary'!$A348, 'GE16FEB14 Unfudged'!E$2:E$498)</f>
        <v>70435</v>
      </c>
      <c r="G348" s="13">
        <f>+SUMIF('GE16FEB14 Unfudged'!$A$2:$A$498, 'Tax Bill Summary'!$A348, 'GE16FEB14 Unfudged'!F$2:F$498)</f>
        <v>40318</v>
      </c>
      <c r="H348" s="56">
        <f t="shared" si="221"/>
        <v>30117</v>
      </c>
      <c r="I348" s="51">
        <f>+SUMIF('GE16FEB14 Unfudged'!$A$2:$A$498, 'Tax Bill Summary'!$A348, 'GE16FEB14 Unfudged'!G$2:G$498)</f>
        <v>0</v>
      </c>
      <c r="J348" s="13">
        <f>+SUMIF('GE16FEB14 Unfudged'!$A$2:$A$498, 'Tax Bill Summary'!$A348, 'GE16FEB14 Unfudged'!H$2:H$498)</f>
        <v>0</v>
      </c>
      <c r="K348" s="56">
        <f t="shared" si="222"/>
        <v>0</v>
      </c>
      <c r="L348" s="51">
        <f>+SUMIF('GE16FEB14 Unfudged'!$A$2:$A$498, 'Tax Bill Summary'!$A348, 'GE16FEB14 Unfudged'!I$2:IF$498)</f>
        <v>437041</v>
      </c>
      <c r="M348" s="13">
        <f>+SUMIF('GE16FEB14 Unfudged'!$A$2:$A$498, 'Tax Bill Summary'!$A348, 'GE16FEB14 Unfudged'!J$2:IG$498)</f>
        <v>209268</v>
      </c>
      <c r="N348" s="56">
        <f t="shared" si="223"/>
        <v>227773</v>
      </c>
      <c r="O348" s="51">
        <f t="shared" si="224"/>
        <v>507476</v>
      </c>
      <c r="P348" s="13">
        <f t="shared" si="225"/>
        <v>249586</v>
      </c>
      <c r="Q348" s="56">
        <f t="shared" si="226"/>
        <v>257890</v>
      </c>
      <c r="R348" s="13">
        <f t="shared" si="227"/>
        <v>884.10452961672479</v>
      </c>
      <c r="S348" s="13">
        <f t="shared" si="228"/>
        <v>434.81881533101046</v>
      </c>
      <c r="T348" s="16">
        <f t="shared" si="229"/>
        <v>449.28571428571428</v>
      </c>
      <c r="U348" s="15">
        <f>+SUMIF('GE16FEB14 Tax Bill Unfudged'!$A$2:$A$498, 'Tax Bill Summary'!$A348, 'GE16FEB14 Tax Bill Unfudged'!E$2:E$498)</f>
        <v>81262</v>
      </c>
      <c r="V348" s="13">
        <f>+SUMIF('GE16FEB14 Tax Bill Unfudged'!$A$2:$A$498, 'Tax Bill Summary'!$A348, 'GE16FEB14 Tax Bill Unfudged'!F$2:F$498)</f>
        <v>46516</v>
      </c>
      <c r="W348" s="56">
        <f t="shared" si="230"/>
        <v>34746</v>
      </c>
      <c r="X348" s="51">
        <f>+SUMIF('GE16FEB14 Tax Bill Unfudged'!$A$2:$A$498, 'Tax Bill Summary'!$A348, 'GE16FEB14 Tax Bill Unfudged'!G$2:G$498)</f>
        <v>243164</v>
      </c>
      <c r="Y348" s="13">
        <f>+SUMIF('GE16FEB14 Tax Bill Unfudged'!$A$2:$A$498, 'Tax Bill Summary'!$A348, 'GE16FEB14 Tax Bill Unfudged'!H$2:H$498)</f>
        <v>139192</v>
      </c>
      <c r="Z348" s="56">
        <f t="shared" si="231"/>
        <v>103972</v>
      </c>
      <c r="AA348" s="51">
        <f>+SUMIF('GE16FEB14 Tax Bill Unfudged'!$A$2:$A$498, 'Tax Bill Summary'!$A348, 'GE16FEB14 Tax Bill Unfudged'!I$2:I$498)</f>
        <v>193877</v>
      </c>
      <c r="AB348" s="13">
        <f>+SUMIF('GE16FEB14 Tax Bill Unfudged'!$A$2:$A$498, 'Tax Bill Summary'!$A348, 'GE16FEB14 Tax Bill Unfudged'!J$2:J$498)</f>
        <v>69571</v>
      </c>
      <c r="AC348" s="56">
        <f t="shared" si="232"/>
        <v>124306</v>
      </c>
      <c r="AD348" s="51">
        <f t="shared" si="233"/>
        <v>518303</v>
      </c>
      <c r="AE348" s="13">
        <f t="shared" si="234"/>
        <v>255279</v>
      </c>
      <c r="AF348" s="56">
        <f t="shared" si="235"/>
        <v>263024</v>
      </c>
      <c r="AG348" s="13">
        <f t="shared" si="236"/>
        <v>902.96689895470388</v>
      </c>
      <c r="AH348" s="13">
        <f t="shared" si="237"/>
        <v>444.73693379790939</v>
      </c>
      <c r="AI348" s="16">
        <f t="shared" si="238"/>
        <v>458.22996515679444</v>
      </c>
      <c r="AJ348" s="15">
        <f t="shared" si="239"/>
        <v>10827</v>
      </c>
      <c r="AK348" s="13">
        <f t="shared" si="240"/>
        <v>6198</v>
      </c>
      <c r="AL348" s="56">
        <f t="shared" si="241"/>
        <v>4629</v>
      </c>
      <c r="AM348" s="51">
        <f t="shared" si="242"/>
        <v>243164</v>
      </c>
      <c r="AN348" s="13">
        <f t="shared" si="243"/>
        <v>139192</v>
      </c>
      <c r="AO348" s="56">
        <f t="shared" si="244"/>
        <v>103972</v>
      </c>
      <c r="AP348" s="51">
        <f t="shared" si="245"/>
        <v>-243164</v>
      </c>
      <c r="AQ348" s="13">
        <f t="shared" si="246"/>
        <v>-139697</v>
      </c>
      <c r="AR348" s="56">
        <f t="shared" si="247"/>
        <v>-103467</v>
      </c>
      <c r="AS348" s="51">
        <f t="shared" si="248"/>
        <v>10827</v>
      </c>
      <c r="AT348" s="13">
        <f t="shared" si="249"/>
        <v>5693</v>
      </c>
      <c r="AU348" s="56">
        <f t="shared" si="250"/>
        <v>5134</v>
      </c>
      <c r="AV348" s="13">
        <f t="shared" si="251"/>
        <v>18.862369337979089</v>
      </c>
      <c r="AW348" s="13">
        <f t="shared" si="252"/>
        <v>9.9181184668989317</v>
      </c>
      <c r="AX348" s="16">
        <f t="shared" si="253"/>
        <v>8.9442508710801576</v>
      </c>
    </row>
    <row r="349" spans="1:50" x14ac:dyDescent="0.25">
      <c r="A349" s="20">
        <v>2903</v>
      </c>
      <c r="B349">
        <v>1</v>
      </c>
      <c r="C349" s="23" t="s">
        <v>453</v>
      </c>
      <c r="D349" s="23">
        <v>6</v>
      </c>
      <c r="E349" s="15">
        <f>+SUMIF('GE16FEB14 Unfudged'!$A$2:$A$498, $A349, 'GE16FEB14 Unfudged'!$D$2:$D$498)</f>
        <v>517</v>
      </c>
      <c r="F349" s="15">
        <f>+SUMIF('GE16FEB14 Unfudged'!$A$2:$A$498, 'Tax Bill Summary'!$A349, 'GE16FEB14 Unfudged'!E$2:E$498)</f>
        <v>54477</v>
      </c>
      <c r="G349" s="13">
        <f>+SUMIF('GE16FEB14 Unfudged'!$A$2:$A$498, 'Tax Bill Summary'!$A349, 'GE16FEB14 Unfudged'!F$2:F$498)</f>
        <v>28873</v>
      </c>
      <c r="H349" s="56">
        <f t="shared" si="221"/>
        <v>25604</v>
      </c>
      <c r="I349" s="51">
        <f>+SUMIF('GE16FEB14 Unfudged'!$A$2:$A$498, 'Tax Bill Summary'!$A349, 'GE16FEB14 Unfudged'!G$2:G$498)</f>
        <v>0</v>
      </c>
      <c r="J349" s="13">
        <f>+SUMIF('GE16FEB14 Unfudged'!$A$2:$A$498, 'Tax Bill Summary'!$A349, 'GE16FEB14 Unfudged'!H$2:H$498)</f>
        <v>0</v>
      </c>
      <c r="K349" s="56">
        <f t="shared" si="222"/>
        <v>0</v>
      </c>
      <c r="L349" s="51">
        <f>+SUMIF('GE16FEB14 Unfudged'!$A$2:$A$498, 'Tax Bill Summary'!$A349, 'GE16FEB14 Unfudged'!I$2:IF$498)</f>
        <v>591408</v>
      </c>
      <c r="M349" s="13">
        <f>+SUMIF('GE16FEB14 Unfudged'!$A$2:$A$498, 'Tax Bill Summary'!$A349, 'GE16FEB14 Unfudged'!J$2:IG$498)</f>
        <v>358616</v>
      </c>
      <c r="N349" s="56">
        <f t="shared" si="223"/>
        <v>232792</v>
      </c>
      <c r="O349" s="51">
        <f t="shared" si="224"/>
        <v>645885</v>
      </c>
      <c r="P349" s="13">
        <f t="shared" si="225"/>
        <v>387489</v>
      </c>
      <c r="Q349" s="56">
        <f t="shared" si="226"/>
        <v>258396</v>
      </c>
      <c r="R349" s="13">
        <f t="shared" si="227"/>
        <v>1249.2940038684719</v>
      </c>
      <c r="S349" s="13">
        <f t="shared" si="228"/>
        <v>749.49516441005801</v>
      </c>
      <c r="T349" s="16">
        <f t="shared" si="229"/>
        <v>499.79883945841391</v>
      </c>
      <c r="U349" s="15">
        <f>+SUMIF('GE16FEB14 Tax Bill Unfudged'!$A$2:$A$498, 'Tax Bill Summary'!$A349, 'GE16FEB14 Tax Bill Unfudged'!E$2:E$498)</f>
        <v>61338</v>
      </c>
      <c r="V349" s="13">
        <f>+SUMIF('GE16FEB14 Tax Bill Unfudged'!$A$2:$A$498, 'Tax Bill Summary'!$A349, 'GE16FEB14 Tax Bill Unfudged'!F$2:F$498)</f>
        <v>32509</v>
      </c>
      <c r="W349" s="56">
        <f t="shared" si="230"/>
        <v>28829</v>
      </c>
      <c r="X349" s="51">
        <f>+SUMIF('GE16FEB14 Tax Bill Unfudged'!$A$2:$A$498, 'Tax Bill Summary'!$A349, 'GE16FEB14 Tax Bill Unfudged'!G$2:G$498)</f>
        <v>219293</v>
      </c>
      <c r="Y349" s="13">
        <f>+SUMIF('GE16FEB14 Tax Bill Unfudged'!$A$2:$A$498, 'Tax Bill Summary'!$A349, 'GE16FEB14 Tax Bill Unfudged'!H$2:H$498)</f>
        <v>116225</v>
      </c>
      <c r="Z349" s="56">
        <f t="shared" si="231"/>
        <v>103068</v>
      </c>
      <c r="AA349" s="51">
        <f>+SUMIF('GE16FEB14 Tax Bill Unfudged'!$A$2:$A$498, 'Tax Bill Summary'!$A349, 'GE16FEB14 Tax Bill Unfudged'!I$2:I$498)</f>
        <v>372115</v>
      </c>
      <c r="AB349" s="13">
        <f>+SUMIF('GE16FEB14 Tax Bill Unfudged'!$A$2:$A$498, 'Tax Bill Summary'!$A349, 'GE16FEB14 Tax Bill Unfudged'!J$2:J$498)</f>
        <v>162645</v>
      </c>
      <c r="AC349" s="56">
        <f t="shared" si="232"/>
        <v>209470</v>
      </c>
      <c r="AD349" s="51">
        <f t="shared" si="233"/>
        <v>652746</v>
      </c>
      <c r="AE349" s="13">
        <f t="shared" si="234"/>
        <v>311379</v>
      </c>
      <c r="AF349" s="56">
        <f t="shared" si="235"/>
        <v>341367</v>
      </c>
      <c r="AG349" s="13">
        <f t="shared" si="236"/>
        <v>1262.5647969052225</v>
      </c>
      <c r="AH349" s="13">
        <f t="shared" si="237"/>
        <v>602.28046421663441</v>
      </c>
      <c r="AI349" s="16">
        <f t="shared" si="238"/>
        <v>660.28433268858805</v>
      </c>
      <c r="AJ349" s="15">
        <f t="shared" si="239"/>
        <v>6861</v>
      </c>
      <c r="AK349" s="13">
        <f t="shared" si="240"/>
        <v>3636</v>
      </c>
      <c r="AL349" s="56">
        <f t="shared" si="241"/>
        <v>3225</v>
      </c>
      <c r="AM349" s="51">
        <f t="shared" si="242"/>
        <v>219293</v>
      </c>
      <c r="AN349" s="13">
        <f t="shared" si="243"/>
        <v>116225</v>
      </c>
      <c r="AO349" s="56">
        <f t="shared" si="244"/>
        <v>103068</v>
      </c>
      <c r="AP349" s="51">
        <f t="shared" si="245"/>
        <v>-219293</v>
      </c>
      <c r="AQ349" s="13">
        <f t="shared" si="246"/>
        <v>-195971</v>
      </c>
      <c r="AR349" s="56">
        <f t="shared" si="247"/>
        <v>-23322</v>
      </c>
      <c r="AS349" s="51">
        <f t="shared" si="248"/>
        <v>6861</v>
      </c>
      <c r="AT349" s="13">
        <f t="shared" si="249"/>
        <v>-76110</v>
      </c>
      <c r="AU349" s="56">
        <f t="shared" si="250"/>
        <v>82971</v>
      </c>
      <c r="AV349" s="13">
        <f t="shared" si="251"/>
        <v>13.270793036750547</v>
      </c>
      <c r="AW349" s="13">
        <f t="shared" si="252"/>
        <v>-147.2147001934236</v>
      </c>
      <c r="AX349" s="16">
        <f t="shared" si="253"/>
        <v>160.48549323017414</v>
      </c>
    </row>
    <row r="350" spans="1:50" x14ac:dyDescent="0.25">
      <c r="A350" s="20">
        <v>2904</v>
      </c>
      <c r="B350">
        <v>1</v>
      </c>
      <c r="C350" s="23" t="s">
        <v>454</v>
      </c>
      <c r="D350" s="23">
        <v>6</v>
      </c>
      <c r="E350" s="15">
        <f>+SUMIF('GE16FEB14 Unfudged'!$A$2:$A$498, $A350, 'GE16FEB14 Unfudged'!$D$2:$D$498)</f>
        <v>794</v>
      </c>
      <c r="F350" s="15">
        <f>+SUMIF('GE16FEB14 Unfudged'!$A$2:$A$498, 'Tax Bill Summary'!$A350, 'GE16FEB14 Unfudged'!E$2:E$498)</f>
        <v>89868</v>
      </c>
      <c r="G350" s="13">
        <f>+SUMIF('GE16FEB14 Unfudged'!$A$2:$A$498, 'Tax Bill Summary'!$A350, 'GE16FEB14 Unfudged'!F$2:F$498)</f>
        <v>57527</v>
      </c>
      <c r="H350" s="56">
        <f t="shared" si="221"/>
        <v>32341</v>
      </c>
      <c r="I350" s="51">
        <f>+SUMIF('GE16FEB14 Unfudged'!$A$2:$A$498, 'Tax Bill Summary'!$A350, 'GE16FEB14 Unfudged'!G$2:G$498)</f>
        <v>0</v>
      </c>
      <c r="J350" s="13">
        <f>+SUMIF('GE16FEB14 Unfudged'!$A$2:$A$498, 'Tax Bill Summary'!$A350, 'GE16FEB14 Unfudged'!H$2:H$498)</f>
        <v>0</v>
      </c>
      <c r="K350" s="56">
        <f t="shared" si="222"/>
        <v>0</v>
      </c>
      <c r="L350" s="51">
        <f>+SUMIF('GE16FEB14 Unfudged'!$A$2:$A$498, 'Tax Bill Summary'!$A350, 'GE16FEB14 Unfudged'!I$2:IF$498)</f>
        <v>772582</v>
      </c>
      <c r="M350" s="13">
        <f>+SUMIF('GE16FEB14 Unfudged'!$A$2:$A$498, 'Tax Bill Summary'!$A350, 'GE16FEB14 Unfudged'!J$2:IG$498)</f>
        <v>491239</v>
      </c>
      <c r="N350" s="56">
        <f t="shared" si="223"/>
        <v>281343</v>
      </c>
      <c r="O350" s="51">
        <f t="shared" si="224"/>
        <v>862450</v>
      </c>
      <c r="P350" s="13">
        <f t="shared" si="225"/>
        <v>548766</v>
      </c>
      <c r="Q350" s="56">
        <f t="shared" si="226"/>
        <v>313684</v>
      </c>
      <c r="R350" s="13">
        <f t="shared" si="227"/>
        <v>1086.2090680100755</v>
      </c>
      <c r="S350" s="13">
        <f t="shared" si="228"/>
        <v>691.14105793450881</v>
      </c>
      <c r="T350" s="16">
        <f t="shared" si="229"/>
        <v>395.06801007556675</v>
      </c>
      <c r="U350" s="15">
        <f>+SUMIF('GE16FEB14 Tax Bill Unfudged'!$A$2:$A$498, 'Tax Bill Summary'!$A350, 'GE16FEB14 Tax Bill Unfudged'!E$2:E$498)</f>
        <v>102399</v>
      </c>
      <c r="V350" s="13">
        <f>+SUMIF('GE16FEB14 Tax Bill Unfudged'!$A$2:$A$498, 'Tax Bill Summary'!$A350, 'GE16FEB14 Tax Bill Unfudged'!F$2:F$498)</f>
        <v>65548</v>
      </c>
      <c r="W350" s="56">
        <f t="shared" si="230"/>
        <v>36851</v>
      </c>
      <c r="X350" s="51">
        <f>+SUMIF('GE16FEB14 Tax Bill Unfudged'!$A$2:$A$498, 'Tax Bill Summary'!$A350, 'GE16FEB14 Tax Bill Unfudged'!G$2:G$498)</f>
        <v>336741</v>
      </c>
      <c r="Y350" s="13">
        <f>+SUMIF('GE16FEB14 Tax Bill Unfudged'!$A$2:$A$498, 'Tax Bill Summary'!$A350, 'GE16FEB14 Tax Bill Unfudged'!H$2:H$498)</f>
        <v>215557</v>
      </c>
      <c r="Z350" s="56">
        <f t="shared" si="231"/>
        <v>121184</v>
      </c>
      <c r="AA350" s="51">
        <f>+SUMIF('GE16FEB14 Tax Bill Unfudged'!$A$2:$A$498, 'Tax Bill Summary'!$A350, 'GE16FEB14 Tax Bill Unfudged'!I$2:I$498)</f>
        <v>435841</v>
      </c>
      <c r="AB350" s="13">
        <f>+SUMIF('GE16FEB14 Tax Bill Unfudged'!$A$2:$A$498, 'Tax Bill Summary'!$A350, 'GE16FEB14 Tax Bill Unfudged'!J$2:J$498)</f>
        <v>214867</v>
      </c>
      <c r="AC350" s="56">
        <f t="shared" si="232"/>
        <v>220974</v>
      </c>
      <c r="AD350" s="51">
        <f t="shared" si="233"/>
        <v>874981</v>
      </c>
      <c r="AE350" s="13">
        <f t="shared" si="234"/>
        <v>495972</v>
      </c>
      <c r="AF350" s="56">
        <f t="shared" si="235"/>
        <v>379009</v>
      </c>
      <c r="AG350" s="13">
        <f t="shared" si="236"/>
        <v>1101.9911838790931</v>
      </c>
      <c r="AH350" s="13">
        <f t="shared" si="237"/>
        <v>624.64987405541558</v>
      </c>
      <c r="AI350" s="16">
        <f t="shared" si="238"/>
        <v>477.34130982367759</v>
      </c>
      <c r="AJ350" s="15">
        <f t="shared" si="239"/>
        <v>12531</v>
      </c>
      <c r="AK350" s="13">
        <f t="shared" si="240"/>
        <v>8021</v>
      </c>
      <c r="AL350" s="56">
        <f t="shared" si="241"/>
        <v>4510</v>
      </c>
      <c r="AM350" s="51">
        <f t="shared" si="242"/>
        <v>336741</v>
      </c>
      <c r="AN350" s="13">
        <f t="shared" si="243"/>
        <v>215557</v>
      </c>
      <c r="AO350" s="56">
        <f t="shared" si="244"/>
        <v>121184</v>
      </c>
      <c r="AP350" s="51">
        <f t="shared" si="245"/>
        <v>-336741</v>
      </c>
      <c r="AQ350" s="13">
        <f t="shared" si="246"/>
        <v>-276372</v>
      </c>
      <c r="AR350" s="56">
        <f t="shared" si="247"/>
        <v>-60369</v>
      </c>
      <c r="AS350" s="51">
        <f t="shared" si="248"/>
        <v>12531</v>
      </c>
      <c r="AT350" s="13">
        <f t="shared" si="249"/>
        <v>-52794</v>
      </c>
      <c r="AU350" s="56">
        <f t="shared" si="250"/>
        <v>65325</v>
      </c>
      <c r="AV350" s="13">
        <f t="shared" si="251"/>
        <v>15.782115869017616</v>
      </c>
      <c r="AW350" s="13">
        <f t="shared" si="252"/>
        <v>-66.491183879093228</v>
      </c>
      <c r="AX350" s="16">
        <f t="shared" si="253"/>
        <v>82.273299748110844</v>
      </c>
    </row>
    <row r="351" spans="1:50" x14ac:dyDescent="0.25">
      <c r="A351" s="20">
        <v>2905</v>
      </c>
      <c r="B351">
        <v>1</v>
      </c>
      <c r="C351" s="23" t="s">
        <v>15</v>
      </c>
      <c r="D351" s="23">
        <v>5</v>
      </c>
      <c r="E351" s="15">
        <f>+SUMIF('GE16FEB14 Unfudged'!$A$2:$A$498, $A351, 'GE16FEB14 Unfudged'!$D$2:$D$498)</f>
        <v>2098</v>
      </c>
      <c r="F351" s="15">
        <f>+SUMIF('GE16FEB14 Unfudged'!$A$2:$A$498, 'Tax Bill Summary'!$A351, 'GE16FEB14 Unfudged'!E$2:E$498)</f>
        <v>280015</v>
      </c>
      <c r="G351" s="13">
        <f>+SUMIF('GE16FEB14 Unfudged'!$A$2:$A$498, 'Tax Bill Summary'!$A351, 'GE16FEB14 Unfudged'!F$2:F$498)</f>
        <v>170447</v>
      </c>
      <c r="H351" s="56">
        <f t="shared" si="221"/>
        <v>109568</v>
      </c>
      <c r="I351" s="51">
        <f>+SUMIF('GE16FEB14 Unfudged'!$A$2:$A$498, 'Tax Bill Summary'!$A351, 'GE16FEB14 Unfudged'!G$2:G$498)</f>
        <v>0</v>
      </c>
      <c r="J351" s="13">
        <f>+SUMIF('GE16FEB14 Unfudged'!$A$2:$A$498, 'Tax Bill Summary'!$A351, 'GE16FEB14 Unfudged'!H$2:H$498)</f>
        <v>0</v>
      </c>
      <c r="K351" s="56">
        <f t="shared" si="222"/>
        <v>0</v>
      </c>
      <c r="L351" s="51">
        <f>+SUMIF('GE16FEB14 Unfudged'!$A$2:$A$498, 'Tax Bill Summary'!$A351, 'GE16FEB14 Unfudged'!I$2:IF$498)</f>
        <v>1112761</v>
      </c>
      <c r="M351" s="13">
        <f>+SUMIF('GE16FEB14 Unfudged'!$A$2:$A$498, 'Tax Bill Summary'!$A351, 'GE16FEB14 Unfudged'!J$2:IG$498)</f>
        <v>516230</v>
      </c>
      <c r="N351" s="56">
        <f t="shared" si="223"/>
        <v>596531</v>
      </c>
      <c r="O351" s="51">
        <f t="shared" si="224"/>
        <v>1392776</v>
      </c>
      <c r="P351" s="13">
        <f t="shared" si="225"/>
        <v>686677</v>
      </c>
      <c r="Q351" s="56">
        <f t="shared" si="226"/>
        <v>706099</v>
      </c>
      <c r="R351" s="13">
        <f t="shared" si="227"/>
        <v>663.85891325071498</v>
      </c>
      <c r="S351" s="13">
        <f t="shared" si="228"/>
        <v>327.30076263107719</v>
      </c>
      <c r="T351" s="16">
        <f t="shared" si="229"/>
        <v>336.55815061963773</v>
      </c>
      <c r="U351" s="15">
        <f>+SUMIF('GE16FEB14 Tax Bill Unfudged'!$A$2:$A$498, 'Tax Bill Summary'!$A351, 'GE16FEB14 Tax Bill Unfudged'!E$2:E$498)</f>
        <v>301964</v>
      </c>
      <c r="V351" s="13">
        <f>+SUMIF('GE16FEB14 Tax Bill Unfudged'!$A$2:$A$498, 'Tax Bill Summary'!$A351, 'GE16FEB14 Tax Bill Unfudged'!F$2:F$498)</f>
        <v>183808</v>
      </c>
      <c r="W351" s="56">
        <f t="shared" si="230"/>
        <v>118156</v>
      </c>
      <c r="X351" s="51">
        <f>+SUMIF('GE16FEB14 Tax Bill Unfudged'!$A$2:$A$498, 'Tax Bill Summary'!$A351, 'GE16FEB14 Tax Bill Unfudged'!G$2:G$498)</f>
        <v>889722</v>
      </c>
      <c r="Y351" s="13">
        <f>+SUMIF('GE16FEB14 Tax Bill Unfudged'!$A$2:$A$498, 'Tax Bill Summary'!$A351, 'GE16FEB14 Tax Bill Unfudged'!H$2:H$498)</f>
        <v>541581</v>
      </c>
      <c r="Z351" s="56">
        <f t="shared" si="231"/>
        <v>348141</v>
      </c>
      <c r="AA351" s="51">
        <f>+SUMIF('GE16FEB14 Tax Bill Unfudged'!$A$2:$A$498, 'Tax Bill Summary'!$A351, 'GE16FEB14 Tax Bill Unfudged'!I$2:I$498)</f>
        <v>632919</v>
      </c>
      <c r="AB351" s="13">
        <f>+SUMIF('GE16FEB14 Tax Bill Unfudged'!$A$2:$A$498, 'Tax Bill Summary'!$A351, 'GE16FEB14 Tax Bill Unfudged'!J$2:J$498)</f>
        <v>224147</v>
      </c>
      <c r="AC351" s="56">
        <f t="shared" si="232"/>
        <v>408772</v>
      </c>
      <c r="AD351" s="51">
        <f t="shared" si="233"/>
        <v>1824605</v>
      </c>
      <c r="AE351" s="13">
        <f t="shared" si="234"/>
        <v>949536</v>
      </c>
      <c r="AF351" s="56">
        <f t="shared" si="235"/>
        <v>875069</v>
      </c>
      <c r="AG351" s="13">
        <f t="shared" si="236"/>
        <v>869.68779790276449</v>
      </c>
      <c r="AH351" s="13">
        <f t="shared" si="237"/>
        <v>452.59103908484269</v>
      </c>
      <c r="AI351" s="16">
        <f t="shared" si="238"/>
        <v>417.09675881792185</v>
      </c>
      <c r="AJ351" s="15">
        <f t="shared" si="239"/>
        <v>21949</v>
      </c>
      <c r="AK351" s="13">
        <f t="shared" si="240"/>
        <v>13361</v>
      </c>
      <c r="AL351" s="56">
        <f t="shared" si="241"/>
        <v>8588</v>
      </c>
      <c r="AM351" s="51">
        <f t="shared" si="242"/>
        <v>889722</v>
      </c>
      <c r="AN351" s="13">
        <f t="shared" si="243"/>
        <v>541581</v>
      </c>
      <c r="AO351" s="56">
        <f t="shared" si="244"/>
        <v>348141</v>
      </c>
      <c r="AP351" s="51">
        <f t="shared" si="245"/>
        <v>-479842</v>
      </c>
      <c r="AQ351" s="13">
        <f t="shared" si="246"/>
        <v>-292083</v>
      </c>
      <c r="AR351" s="56">
        <f t="shared" si="247"/>
        <v>-187759</v>
      </c>
      <c r="AS351" s="51">
        <f t="shared" si="248"/>
        <v>431829</v>
      </c>
      <c r="AT351" s="13">
        <f t="shared" si="249"/>
        <v>262859</v>
      </c>
      <c r="AU351" s="56">
        <f t="shared" si="250"/>
        <v>168970</v>
      </c>
      <c r="AV351" s="13">
        <f t="shared" si="251"/>
        <v>205.82888465204951</v>
      </c>
      <c r="AW351" s="13">
        <f t="shared" si="252"/>
        <v>125.2902764537655</v>
      </c>
      <c r="AX351" s="16">
        <f t="shared" si="253"/>
        <v>80.538608198284123</v>
      </c>
    </row>
    <row r="352" spans="1:50" x14ac:dyDescent="0.25">
      <c r="A352" s="20">
        <v>2906</v>
      </c>
      <c r="B352">
        <v>1</v>
      </c>
      <c r="C352" s="23" t="s">
        <v>468</v>
      </c>
      <c r="D352" s="23">
        <v>6</v>
      </c>
      <c r="E352" s="15">
        <f>+SUMIF('GE16FEB14 Unfudged'!$A$2:$A$498, $A352, 'GE16FEB14 Unfudged'!$D$2:$D$498)</f>
        <v>412</v>
      </c>
      <c r="F352" s="15">
        <f>+SUMIF('GE16FEB14 Unfudged'!$A$2:$A$498, 'Tax Bill Summary'!$A352, 'GE16FEB14 Unfudged'!E$2:E$498)</f>
        <v>44466</v>
      </c>
      <c r="G352" s="13">
        <f>+SUMIF('GE16FEB14 Unfudged'!$A$2:$A$498, 'Tax Bill Summary'!$A352, 'GE16FEB14 Unfudged'!F$2:F$498)</f>
        <v>35348</v>
      </c>
      <c r="H352" s="56">
        <f t="shared" si="221"/>
        <v>9118</v>
      </c>
      <c r="I352" s="51">
        <f>+SUMIF('GE16FEB14 Unfudged'!$A$2:$A$498, 'Tax Bill Summary'!$A352, 'GE16FEB14 Unfudged'!G$2:G$498)</f>
        <v>0</v>
      </c>
      <c r="J352" s="13">
        <f>+SUMIF('GE16FEB14 Unfudged'!$A$2:$A$498, 'Tax Bill Summary'!$A352, 'GE16FEB14 Unfudged'!H$2:H$498)</f>
        <v>0</v>
      </c>
      <c r="K352" s="56">
        <f t="shared" si="222"/>
        <v>0</v>
      </c>
      <c r="L352" s="51">
        <f>+SUMIF('GE16FEB14 Unfudged'!$A$2:$A$498, 'Tax Bill Summary'!$A352, 'GE16FEB14 Unfudged'!I$2:IF$498)</f>
        <v>446401</v>
      </c>
      <c r="M352" s="13">
        <f>+SUMIF('GE16FEB14 Unfudged'!$A$2:$A$498, 'Tax Bill Summary'!$A352, 'GE16FEB14 Unfudged'!J$2:IG$498)</f>
        <v>340982</v>
      </c>
      <c r="N352" s="56">
        <f t="shared" si="223"/>
        <v>105419</v>
      </c>
      <c r="O352" s="51">
        <f t="shared" si="224"/>
        <v>490867</v>
      </c>
      <c r="P352" s="13">
        <f t="shared" si="225"/>
        <v>376330</v>
      </c>
      <c r="Q352" s="56">
        <f t="shared" si="226"/>
        <v>114537</v>
      </c>
      <c r="R352" s="13">
        <f t="shared" si="227"/>
        <v>1191.4247572815534</v>
      </c>
      <c r="S352" s="13">
        <f t="shared" si="228"/>
        <v>913.42233009708741</v>
      </c>
      <c r="T352" s="16">
        <f t="shared" si="229"/>
        <v>278.002427184466</v>
      </c>
      <c r="U352" s="15">
        <f>+SUMIF('GE16FEB14 Tax Bill Unfudged'!$A$2:$A$498, 'Tax Bill Summary'!$A352, 'GE16FEB14 Tax Bill Unfudged'!E$2:E$498)</f>
        <v>50283</v>
      </c>
      <c r="V352" s="13">
        <f>+SUMIF('GE16FEB14 Tax Bill Unfudged'!$A$2:$A$498, 'Tax Bill Summary'!$A352, 'GE16FEB14 Tax Bill Unfudged'!F$2:F$498)</f>
        <v>39972</v>
      </c>
      <c r="W352" s="56">
        <f t="shared" si="230"/>
        <v>10311</v>
      </c>
      <c r="X352" s="51">
        <f>+SUMIF('GE16FEB14 Tax Bill Unfudged'!$A$2:$A$498, 'Tax Bill Summary'!$A352, 'GE16FEB14 Tax Bill Unfudged'!G$2:G$498)</f>
        <v>174518</v>
      </c>
      <c r="Y352" s="13">
        <f>+SUMIF('GE16FEB14 Tax Bill Unfudged'!$A$2:$A$498, 'Tax Bill Summary'!$A352, 'GE16FEB14 Tax Bill Unfudged'!H$2:H$498)</f>
        <v>138730</v>
      </c>
      <c r="Z352" s="56">
        <f t="shared" si="231"/>
        <v>35788</v>
      </c>
      <c r="AA352" s="51">
        <f>+SUMIF('GE16FEB14 Tax Bill Unfudged'!$A$2:$A$498, 'Tax Bill Summary'!$A352, 'GE16FEB14 Tax Bill Unfudged'!I$2:I$498)</f>
        <v>271882</v>
      </c>
      <c r="AB352" s="13">
        <f>+SUMIF('GE16FEB14 Tax Bill Unfudged'!$A$2:$A$498, 'Tax Bill Summary'!$A352, 'GE16FEB14 Tax Bill Unfudged'!J$2:J$498)</f>
        <v>174857</v>
      </c>
      <c r="AC352" s="56">
        <f t="shared" si="232"/>
        <v>97025</v>
      </c>
      <c r="AD352" s="51">
        <f t="shared" si="233"/>
        <v>496683</v>
      </c>
      <c r="AE352" s="13">
        <f t="shared" si="234"/>
        <v>353559</v>
      </c>
      <c r="AF352" s="56">
        <f t="shared" si="235"/>
        <v>143124</v>
      </c>
      <c r="AG352" s="13">
        <f t="shared" si="236"/>
        <v>1205.5412621359224</v>
      </c>
      <c r="AH352" s="13">
        <f t="shared" si="237"/>
        <v>858.15291262135918</v>
      </c>
      <c r="AI352" s="16">
        <f t="shared" si="238"/>
        <v>347.38834951456312</v>
      </c>
      <c r="AJ352" s="15">
        <f t="shared" si="239"/>
        <v>5817</v>
      </c>
      <c r="AK352" s="13">
        <f t="shared" si="240"/>
        <v>4624</v>
      </c>
      <c r="AL352" s="56">
        <f t="shared" si="241"/>
        <v>1193</v>
      </c>
      <c r="AM352" s="51">
        <f t="shared" si="242"/>
        <v>174518</v>
      </c>
      <c r="AN352" s="13">
        <f t="shared" si="243"/>
        <v>138730</v>
      </c>
      <c r="AO352" s="56">
        <f t="shared" si="244"/>
        <v>35788</v>
      </c>
      <c r="AP352" s="51">
        <f t="shared" si="245"/>
        <v>-174519</v>
      </c>
      <c r="AQ352" s="13">
        <f t="shared" si="246"/>
        <v>-166125</v>
      </c>
      <c r="AR352" s="56">
        <f t="shared" si="247"/>
        <v>-8394</v>
      </c>
      <c r="AS352" s="51">
        <f t="shared" si="248"/>
        <v>5816</v>
      </c>
      <c r="AT352" s="13">
        <f t="shared" si="249"/>
        <v>-22771</v>
      </c>
      <c r="AU352" s="56">
        <f t="shared" si="250"/>
        <v>28587</v>
      </c>
      <c r="AV352" s="13">
        <f t="shared" si="251"/>
        <v>14.116504854368941</v>
      </c>
      <c r="AW352" s="13">
        <f t="shared" si="252"/>
        <v>-55.269417475728233</v>
      </c>
      <c r="AX352" s="16">
        <f t="shared" si="253"/>
        <v>69.385922330097117</v>
      </c>
    </row>
    <row r="353" spans="1:50" x14ac:dyDescent="0.25">
      <c r="A353" s="20">
        <v>2907</v>
      </c>
      <c r="B353">
        <v>1</v>
      </c>
      <c r="C353" s="23" t="s">
        <v>469</v>
      </c>
      <c r="D353" s="23">
        <v>6</v>
      </c>
      <c r="E353" s="15">
        <f>+SUMIF('GE16FEB14 Unfudged'!$A$2:$A$498, $A353, 'GE16FEB14 Unfudged'!$D$2:$D$498)</f>
        <v>314</v>
      </c>
      <c r="F353" s="15">
        <f>+SUMIF('GE16FEB14 Unfudged'!$A$2:$A$498, 'Tax Bill Summary'!$A353, 'GE16FEB14 Unfudged'!E$2:E$498)</f>
        <v>26854</v>
      </c>
      <c r="G353" s="13">
        <f>+SUMIF('GE16FEB14 Unfudged'!$A$2:$A$498, 'Tax Bill Summary'!$A353, 'GE16FEB14 Unfudged'!F$2:F$498)</f>
        <v>15249</v>
      </c>
      <c r="H353" s="56">
        <f t="shared" si="221"/>
        <v>11605</v>
      </c>
      <c r="I353" s="51">
        <f>+SUMIF('GE16FEB14 Unfudged'!$A$2:$A$498, 'Tax Bill Summary'!$A353, 'GE16FEB14 Unfudged'!G$2:G$498)</f>
        <v>0</v>
      </c>
      <c r="J353" s="13">
        <f>+SUMIF('GE16FEB14 Unfudged'!$A$2:$A$498, 'Tax Bill Summary'!$A353, 'GE16FEB14 Unfudged'!H$2:H$498)</f>
        <v>0</v>
      </c>
      <c r="K353" s="56">
        <f t="shared" si="222"/>
        <v>0</v>
      </c>
      <c r="L353" s="51">
        <f>+SUMIF('GE16FEB14 Unfudged'!$A$2:$A$498, 'Tax Bill Summary'!$A353, 'GE16FEB14 Unfudged'!I$2:IF$498)</f>
        <v>494015</v>
      </c>
      <c r="M353" s="13">
        <f>+SUMIF('GE16FEB14 Unfudged'!$A$2:$A$498, 'Tax Bill Summary'!$A353, 'GE16FEB14 Unfudged'!J$2:IG$498)</f>
        <v>368188</v>
      </c>
      <c r="N353" s="56">
        <f t="shared" si="223"/>
        <v>125827</v>
      </c>
      <c r="O353" s="51">
        <f t="shared" si="224"/>
        <v>520869</v>
      </c>
      <c r="P353" s="13">
        <f t="shared" si="225"/>
        <v>383437</v>
      </c>
      <c r="Q353" s="56">
        <f t="shared" si="226"/>
        <v>137432</v>
      </c>
      <c r="R353" s="13">
        <f t="shared" si="227"/>
        <v>1658.8184713375797</v>
      </c>
      <c r="S353" s="13">
        <f t="shared" si="228"/>
        <v>1221.1369426751592</v>
      </c>
      <c r="T353" s="16">
        <f t="shared" si="229"/>
        <v>437.68152866242036</v>
      </c>
      <c r="U353" s="15">
        <f>+SUMIF('GE16FEB14 Tax Bill Unfudged'!$A$2:$A$498, 'Tax Bill Summary'!$A353, 'GE16FEB14 Tax Bill Unfudged'!E$2:E$498)</f>
        <v>29028</v>
      </c>
      <c r="V353" s="13">
        <f>+SUMIF('GE16FEB14 Tax Bill Unfudged'!$A$2:$A$498, 'Tax Bill Summary'!$A353, 'GE16FEB14 Tax Bill Unfudged'!F$2:F$498)</f>
        <v>16484</v>
      </c>
      <c r="W353" s="56">
        <f t="shared" si="230"/>
        <v>12544</v>
      </c>
      <c r="X353" s="51">
        <f>+SUMIF('GE16FEB14 Tax Bill Unfudged'!$A$2:$A$498, 'Tax Bill Summary'!$A353, 'GE16FEB14 Tax Bill Unfudged'!G$2:G$498)</f>
        <v>133051</v>
      </c>
      <c r="Y353" s="13">
        <f>+SUMIF('GE16FEB14 Tax Bill Unfudged'!$A$2:$A$498, 'Tax Bill Summary'!$A353, 'GE16FEB14 Tax Bill Unfudged'!H$2:H$498)</f>
        <v>75555</v>
      </c>
      <c r="Z353" s="56">
        <f t="shared" si="231"/>
        <v>57496</v>
      </c>
      <c r="AA353" s="51">
        <f>+SUMIF('GE16FEB14 Tax Bill Unfudged'!$A$2:$A$498, 'Tax Bill Summary'!$A353, 'GE16FEB14 Tax Bill Unfudged'!I$2:I$498)</f>
        <v>360964</v>
      </c>
      <c r="AB353" s="13">
        <f>+SUMIF('GE16FEB14 Tax Bill Unfudged'!$A$2:$A$498, 'Tax Bill Summary'!$A353, 'GE16FEB14 Tax Bill Unfudged'!J$2:J$498)</f>
        <v>235264</v>
      </c>
      <c r="AC353" s="56">
        <f t="shared" si="232"/>
        <v>125700</v>
      </c>
      <c r="AD353" s="51">
        <f t="shared" si="233"/>
        <v>523043</v>
      </c>
      <c r="AE353" s="13">
        <f t="shared" si="234"/>
        <v>327303</v>
      </c>
      <c r="AF353" s="56">
        <f t="shared" si="235"/>
        <v>195740</v>
      </c>
      <c r="AG353" s="13">
        <f t="shared" si="236"/>
        <v>1665.7420382165606</v>
      </c>
      <c r="AH353" s="13">
        <f t="shared" si="237"/>
        <v>1042.3662420382166</v>
      </c>
      <c r="AI353" s="16">
        <f t="shared" si="238"/>
        <v>623.37579617834399</v>
      </c>
      <c r="AJ353" s="15">
        <f t="shared" si="239"/>
        <v>2174</v>
      </c>
      <c r="AK353" s="13">
        <f t="shared" si="240"/>
        <v>1235</v>
      </c>
      <c r="AL353" s="56">
        <f t="shared" si="241"/>
        <v>939</v>
      </c>
      <c r="AM353" s="51">
        <f t="shared" si="242"/>
        <v>133051</v>
      </c>
      <c r="AN353" s="13">
        <f t="shared" si="243"/>
        <v>75555</v>
      </c>
      <c r="AO353" s="56">
        <f t="shared" si="244"/>
        <v>57496</v>
      </c>
      <c r="AP353" s="51">
        <f t="shared" si="245"/>
        <v>-133051</v>
      </c>
      <c r="AQ353" s="13">
        <f t="shared" si="246"/>
        <v>-132924</v>
      </c>
      <c r="AR353" s="56">
        <f t="shared" si="247"/>
        <v>-127</v>
      </c>
      <c r="AS353" s="51">
        <f t="shared" si="248"/>
        <v>2174</v>
      </c>
      <c r="AT353" s="13">
        <f t="shared" si="249"/>
        <v>-56134</v>
      </c>
      <c r="AU353" s="56">
        <f t="shared" si="250"/>
        <v>58308</v>
      </c>
      <c r="AV353" s="13">
        <f t="shared" si="251"/>
        <v>6.9235668789808642</v>
      </c>
      <c r="AW353" s="13">
        <f t="shared" si="252"/>
        <v>-178.77070063694259</v>
      </c>
      <c r="AX353" s="16">
        <f t="shared" si="253"/>
        <v>185.69426751592363</v>
      </c>
    </row>
    <row r="354" spans="1:50" x14ac:dyDescent="0.25">
      <c r="A354" s="20">
        <v>2908</v>
      </c>
      <c r="B354">
        <v>1</v>
      </c>
      <c r="C354" s="23" t="s">
        <v>470</v>
      </c>
      <c r="D354" s="23">
        <v>6</v>
      </c>
      <c r="E354" s="15">
        <f>+SUMIF('GE16FEB14 Unfudged'!$A$2:$A$498, $A354, 'GE16FEB14 Unfudged'!$D$2:$D$498)</f>
        <v>503</v>
      </c>
      <c r="F354" s="15">
        <f>+SUMIF('GE16FEB14 Unfudged'!$A$2:$A$498, 'Tax Bill Summary'!$A354, 'GE16FEB14 Unfudged'!E$2:E$498)</f>
        <v>53415</v>
      </c>
      <c r="G354" s="13">
        <f>+SUMIF('GE16FEB14 Unfudged'!$A$2:$A$498, 'Tax Bill Summary'!$A354, 'GE16FEB14 Unfudged'!F$2:F$498)</f>
        <v>40427</v>
      </c>
      <c r="H354" s="56">
        <f t="shared" si="221"/>
        <v>12988</v>
      </c>
      <c r="I354" s="51">
        <f>+SUMIF('GE16FEB14 Unfudged'!$A$2:$A$498, 'Tax Bill Summary'!$A354, 'GE16FEB14 Unfudged'!G$2:G$498)</f>
        <v>0</v>
      </c>
      <c r="J354" s="13">
        <f>+SUMIF('GE16FEB14 Unfudged'!$A$2:$A$498, 'Tax Bill Summary'!$A354, 'GE16FEB14 Unfudged'!H$2:H$498)</f>
        <v>0</v>
      </c>
      <c r="K354" s="56">
        <f t="shared" si="222"/>
        <v>0</v>
      </c>
      <c r="L354" s="51">
        <f>+SUMIF('GE16FEB14 Unfudged'!$A$2:$A$498, 'Tax Bill Summary'!$A354, 'GE16FEB14 Unfudged'!I$2:IF$498)</f>
        <v>566387</v>
      </c>
      <c r="M354" s="13">
        <f>+SUMIF('GE16FEB14 Unfudged'!$A$2:$A$498, 'Tax Bill Summary'!$A354, 'GE16FEB14 Unfudged'!J$2:IG$498)</f>
        <v>425359</v>
      </c>
      <c r="N354" s="56">
        <f t="shared" si="223"/>
        <v>141028</v>
      </c>
      <c r="O354" s="51">
        <f t="shared" si="224"/>
        <v>619802</v>
      </c>
      <c r="P354" s="13">
        <f t="shared" si="225"/>
        <v>465786</v>
      </c>
      <c r="Q354" s="56">
        <f t="shared" si="226"/>
        <v>154016</v>
      </c>
      <c r="R354" s="13">
        <f t="shared" si="227"/>
        <v>1232.2107355864812</v>
      </c>
      <c r="S354" s="13">
        <f t="shared" si="228"/>
        <v>926.01590457256464</v>
      </c>
      <c r="T354" s="16">
        <f t="shared" si="229"/>
        <v>306.19483101391648</v>
      </c>
      <c r="U354" s="15">
        <f>+SUMIF('GE16FEB14 Tax Bill Unfudged'!$A$2:$A$498, 'Tax Bill Summary'!$A354, 'GE16FEB14 Tax Bill Unfudged'!E$2:E$498)</f>
        <v>60223</v>
      </c>
      <c r="V354" s="13">
        <f>+SUMIF('GE16FEB14 Tax Bill Unfudged'!$A$2:$A$498, 'Tax Bill Summary'!$A354, 'GE16FEB14 Tax Bill Unfudged'!F$2:F$498)</f>
        <v>45580</v>
      </c>
      <c r="W354" s="56">
        <f t="shared" si="230"/>
        <v>14643</v>
      </c>
      <c r="X354" s="51">
        <f>+SUMIF('GE16FEB14 Tax Bill Unfudged'!$A$2:$A$498, 'Tax Bill Summary'!$A354, 'GE16FEB14 Tax Bill Unfudged'!G$2:G$498)</f>
        <v>213357</v>
      </c>
      <c r="Y354" s="13">
        <f>+SUMIF('GE16FEB14 Tax Bill Unfudged'!$A$2:$A$498, 'Tax Bill Summary'!$A354, 'GE16FEB14 Tax Bill Unfudged'!H$2:H$498)</f>
        <v>161479</v>
      </c>
      <c r="Z354" s="56">
        <f t="shared" si="231"/>
        <v>51878</v>
      </c>
      <c r="AA354" s="51">
        <f>+SUMIF('GE16FEB14 Tax Bill Unfudged'!$A$2:$A$498, 'Tax Bill Summary'!$A354, 'GE16FEB14 Tax Bill Unfudged'!I$2:I$498)</f>
        <v>353030</v>
      </c>
      <c r="AB354" s="13">
        <f>+SUMIF('GE16FEB14 Tax Bill Unfudged'!$A$2:$A$498, 'Tax Bill Summary'!$A354, 'GE16FEB14 Tax Bill Unfudged'!J$2:J$498)</f>
        <v>219151</v>
      </c>
      <c r="AC354" s="56">
        <f t="shared" si="232"/>
        <v>133879</v>
      </c>
      <c r="AD354" s="51">
        <f t="shared" si="233"/>
        <v>626610</v>
      </c>
      <c r="AE354" s="13">
        <f t="shared" si="234"/>
        <v>426210</v>
      </c>
      <c r="AF354" s="56">
        <f t="shared" si="235"/>
        <v>200400</v>
      </c>
      <c r="AG354" s="13">
        <f t="shared" si="236"/>
        <v>1245.7455268389663</v>
      </c>
      <c r="AH354" s="13">
        <f t="shared" si="237"/>
        <v>847.33598409542742</v>
      </c>
      <c r="AI354" s="16">
        <f t="shared" si="238"/>
        <v>398.40954274353879</v>
      </c>
      <c r="AJ354" s="15">
        <f t="shared" si="239"/>
        <v>6808</v>
      </c>
      <c r="AK354" s="13">
        <f t="shared" si="240"/>
        <v>5153</v>
      </c>
      <c r="AL354" s="56">
        <f t="shared" si="241"/>
        <v>1655</v>
      </c>
      <c r="AM354" s="51">
        <f t="shared" si="242"/>
        <v>213357</v>
      </c>
      <c r="AN354" s="13">
        <f t="shared" si="243"/>
        <v>161479</v>
      </c>
      <c r="AO354" s="56">
        <f t="shared" si="244"/>
        <v>51878</v>
      </c>
      <c r="AP354" s="51">
        <f t="shared" si="245"/>
        <v>-213357</v>
      </c>
      <c r="AQ354" s="13">
        <f t="shared" si="246"/>
        <v>-206208</v>
      </c>
      <c r="AR354" s="56">
        <f t="shared" si="247"/>
        <v>-7149</v>
      </c>
      <c r="AS354" s="51">
        <f t="shared" si="248"/>
        <v>6808</v>
      </c>
      <c r="AT354" s="13">
        <f t="shared" si="249"/>
        <v>-39576</v>
      </c>
      <c r="AU354" s="56">
        <f t="shared" si="250"/>
        <v>46384</v>
      </c>
      <c r="AV354" s="13">
        <f t="shared" si="251"/>
        <v>13.534791252485093</v>
      </c>
      <c r="AW354" s="13">
        <f t="shared" si="252"/>
        <v>-78.679920477137216</v>
      </c>
      <c r="AX354" s="16">
        <f t="shared" si="253"/>
        <v>92.214711729622309</v>
      </c>
    </row>
    <row r="355" spans="1:50" x14ac:dyDescent="0.25">
      <c r="A355" s="20">
        <v>3000</v>
      </c>
      <c r="B355">
        <v>1</v>
      </c>
      <c r="C355" s="23" t="s">
        <v>16</v>
      </c>
      <c r="D355" s="23">
        <v>9</v>
      </c>
      <c r="E355" s="15">
        <f>+SUMIF('GE16FEB14 Unfudged'!$A$2:$A$498, $A355, 'GE16FEB14 Unfudged'!$D$2:$D$498)</f>
        <v>0</v>
      </c>
      <c r="F355" s="15">
        <f>+SUMIF('GE16FEB14 Unfudged'!$A$2:$A$498, 'Tax Bill Summary'!$A355, 'GE16FEB14 Unfudged'!E$2:E$498)</f>
        <v>2902746</v>
      </c>
      <c r="G355" s="13">
        <f>+SUMIF('GE16FEB14 Unfudged'!$A$2:$A$498, 'Tax Bill Summary'!$A355, 'GE16FEB14 Unfudged'!F$2:F$498)</f>
        <v>2560669</v>
      </c>
      <c r="H355" s="56">
        <f t="shared" si="221"/>
        <v>342077</v>
      </c>
      <c r="I355" s="51">
        <f>+SUMIF('GE16FEB14 Unfudged'!$A$2:$A$498, 'Tax Bill Summary'!$A355, 'GE16FEB14 Unfudged'!G$2:G$498)</f>
        <v>-4681341</v>
      </c>
      <c r="J355" s="13">
        <f>+SUMIF('GE16FEB14 Unfudged'!$A$2:$A$498, 'Tax Bill Summary'!$A355, 'GE16FEB14 Unfudged'!H$2:H$498)</f>
        <v>-4506049</v>
      </c>
      <c r="K355" s="56">
        <f t="shared" si="222"/>
        <v>-175292</v>
      </c>
      <c r="L355" s="51">
        <f>+SUMIF('GE16FEB14 Unfudged'!$A$2:$A$498, 'Tax Bill Summary'!$A355, 'GE16FEB14 Unfudged'!I$2:IF$498)</f>
        <v>47587263</v>
      </c>
      <c r="M355" s="13">
        <f>+SUMIF('GE16FEB14 Unfudged'!$A$2:$A$498, 'Tax Bill Summary'!$A355, 'GE16FEB14 Unfudged'!J$2:IG$498)</f>
        <v>44789938</v>
      </c>
      <c r="N355" s="56">
        <f t="shared" si="223"/>
        <v>2797325</v>
      </c>
      <c r="O355" s="51">
        <f t="shared" si="224"/>
        <v>45808668</v>
      </c>
      <c r="P355" s="13">
        <f t="shared" si="225"/>
        <v>42844558</v>
      </c>
      <c r="Q355" s="56">
        <f t="shared" si="226"/>
        <v>2964110</v>
      </c>
      <c r="R355" s="13">
        <f t="shared" si="227"/>
        <v>0</v>
      </c>
      <c r="S355" s="13">
        <f t="shared" si="228"/>
        <v>0</v>
      </c>
      <c r="T355" s="16">
        <f t="shared" si="229"/>
        <v>0</v>
      </c>
      <c r="U355" s="15">
        <f>+SUMIF('GE16FEB14 Tax Bill Unfudged'!$A$2:$A$498, 'Tax Bill Summary'!$A355, 'GE16FEB14 Tax Bill Unfudged'!E$2:E$498)</f>
        <v>2633763</v>
      </c>
      <c r="V355" s="13">
        <f>+SUMIF('GE16FEB14 Tax Bill Unfudged'!$A$2:$A$498, 'Tax Bill Summary'!$A355, 'GE16FEB14 Tax Bill Unfudged'!F$2:F$498)</f>
        <v>2308489</v>
      </c>
      <c r="W355" s="56">
        <f t="shared" si="230"/>
        <v>325274</v>
      </c>
      <c r="X355" s="51">
        <f>+SUMIF('GE16FEB14 Tax Bill Unfudged'!$A$2:$A$498, 'Tax Bill Summary'!$A355, 'GE16FEB14 Tax Bill Unfudged'!G$2:G$498)</f>
        <v>-8003800</v>
      </c>
      <c r="Y355" s="13">
        <f>+SUMIF('GE16FEB14 Tax Bill Unfudged'!$A$2:$A$498, 'Tax Bill Summary'!$A355, 'GE16FEB14 Tax Bill Unfudged'!H$2:H$498)</f>
        <v>-7585510</v>
      </c>
      <c r="Z355" s="56">
        <f t="shared" si="231"/>
        <v>-418290</v>
      </c>
      <c r="AA355" s="51">
        <f>+SUMIF('GE16FEB14 Tax Bill Unfudged'!$A$2:$A$498, 'Tax Bill Summary'!$A355, 'GE16FEB14 Tax Bill Unfudged'!I$2:I$498)</f>
        <v>50652472</v>
      </c>
      <c r="AB355" s="13">
        <f>+SUMIF('GE16FEB14 Tax Bill Unfudged'!$A$2:$A$498, 'Tax Bill Summary'!$A355, 'GE16FEB14 Tax Bill Unfudged'!J$2:J$498)</f>
        <v>46893197</v>
      </c>
      <c r="AC355" s="56">
        <f t="shared" si="232"/>
        <v>3759275</v>
      </c>
      <c r="AD355" s="51">
        <f t="shared" si="233"/>
        <v>45282435</v>
      </c>
      <c r="AE355" s="13">
        <f t="shared" si="234"/>
        <v>41616176</v>
      </c>
      <c r="AF355" s="56">
        <f t="shared" si="235"/>
        <v>3666259</v>
      </c>
      <c r="AG355" s="13">
        <f t="shared" si="236"/>
        <v>0</v>
      </c>
      <c r="AH355" s="13">
        <f t="shared" si="237"/>
        <v>0</v>
      </c>
      <c r="AI355" s="16">
        <f t="shared" si="238"/>
        <v>0</v>
      </c>
      <c r="AJ355" s="15">
        <f t="shared" si="239"/>
        <v>-268983</v>
      </c>
      <c r="AK355" s="13">
        <f t="shared" si="240"/>
        <v>-252180</v>
      </c>
      <c r="AL355" s="56">
        <f t="shared" si="241"/>
        <v>-16803</v>
      </c>
      <c r="AM355" s="51">
        <f t="shared" si="242"/>
        <v>-3322459</v>
      </c>
      <c r="AN355" s="13">
        <f t="shared" si="243"/>
        <v>-3079461</v>
      </c>
      <c r="AO355" s="56">
        <f t="shared" si="244"/>
        <v>-242998</v>
      </c>
      <c r="AP355" s="51">
        <f t="shared" si="245"/>
        <v>3065209</v>
      </c>
      <c r="AQ355" s="13">
        <f t="shared" si="246"/>
        <v>2103259</v>
      </c>
      <c r="AR355" s="56">
        <f t="shared" si="247"/>
        <v>961950</v>
      </c>
      <c r="AS355" s="51">
        <f t="shared" si="248"/>
        <v>-526233</v>
      </c>
      <c r="AT355" s="13">
        <f t="shared" si="249"/>
        <v>-1228382</v>
      </c>
      <c r="AU355" s="56">
        <f t="shared" si="250"/>
        <v>702149</v>
      </c>
      <c r="AV355" s="13">
        <f t="shared" si="251"/>
        <v>0</v>
      </c>
      <c r="AW355" s="13">
        <f t="shared" si="252"/>
        <v>0</v>
      </c>
      <c r="AX355" s="16">
        <f t="shared" si="253"/>
        <v>0</v>
      </c>
    </row>
    <row r="356" spans="1:50" x14ac:dyDescent="0.25">
      <c r="A356" s="20">
        <v>3999</v>
      </c>
      <c r="B356">
        <v>1</v>
      </c>
      <c r="C356" s="23" t="s">
        <v>17</v>
      </c>
      <c r="D356" s="23">
        <v>9</v>
      </c>
      <c r="E356" s="15">
        <f>+SUMIF('GE16FEB14 Unfudged'!$A$2:$A$498, $A356, 'GE16FEB14 Unfudged'!$D$2:$D$498)</f>
        <v>8458</v>
      </c>
      <c r="F356" s="15">
        <f>+SUMIF('GE16FEB14 Unfudged'!$A$2:$A$498, 'Tax Bill Summary'!$A356, 'GE16FEB14 Unfudged'!E$2:E$498)</f>
        <v>952118</v>
      </c>
      <c r="G356" s="13">
        <f>+SUMIF('GE16FEB14 Unfudged'!$A$2:$A$498, 'Tax Bill Summary'!$A356, 'GE16FEB14 Unfudged'!F$2:F$498)</f>
        <v>-1169782</v>
      </c>
      <c r="H356" s="56">
        <f t="shared" si="221"/>
        <v>2121900</v>
      </c>
      <c r="I356" s="51">
        <f>+SUMIF('GE16FEB14 Unfudged'!$A$2:$A$498, 'Tax Bill Summary'!$A356, 'GE16FEB14 Unfudged'!G$2:G$498)</f>
        <v>2442312</v>
      </c>
      <c r="J356" s="13">
        <f>+SUMIF('GE16FEB14 Unfudged'!$A$2:$A$498, 'Tax Bill Summary'!$A356, 'GE16FEB14 Unfudged'!H$2:H$498)</f>
        <v>-2606110</v>
      </c>
      <c r="K356" s="56">
        <f t="shared" si="222"/>
        <v>5048422</v>
      </c>
      <c r="L356" s="51">
        <f>+SUMIF('GE16FEB14 Unfudged'!$A$2:$A$498, 'Tax Bill Summary'!$A356, 'GE16FEB14 Unfudged'!I$2:IF$498)</f>
        <v>7172950</v>
      </c>
      <c r="M356" s="13">
        <f>+SUMIF('GE16FEB14 Unfudged'!$A$2:$A$498, 'Tax Bill Summary'!$A356, 'GE16FEB14 Unfudged'!J$2:IG$498)</f>
        <v>-4592940</v>
      </c>
      <c r="N356" s="56">
        <f t="shared" si="223"/>
        <v>11765890</v>
      </c>
      <c r="O356" s="51">
        <f t="shared" si="224"/>
        <v>10567380</v>
      </c>
      <c r="P356" s="13">
        <f t="shared" si="225"/>
        <v>-8368832</v>
      </c>
      <c r="Q356" s="56">
        <f t="shared" si="226"/>
        <v>18936212</v>
      </c>
      <c r="R356" s="13">
        <f t="shared" si="227"/>
        <v>1249.3946559470323</v>
      </c>
      <c r="S356" s="13">
        <f t="shared" si="228"/>
        <v>-989.45755497753601</v>
      </c>
      <c r="T356" s="16">
        <f t="shared" si="229"/>
        <v>2238.8522109245687</v>
      </c>
      <c r="U356" s="15">
        <f>+SUMIF('GE16FEB14 Tax Bill Unfudged'!$A$2:$A$498, 'Tax Bill Summary'!$A356, 'GE16FEB14 Tax Bill Unfudged'!E$2:E$498)</f>
        <v>975465</v>
      </c>
      <c r="V356" s="13">
        <f>+SUMIF('GE16FEB14 Tax Bill Unfudged'!$A$2:$A$498, 'Tax Bill Summary'!$A356, 'GE16FEB14 Tax Bill Unfudged'!F$2:F$498)</f>
        <v>-1202389</v>
      </c>
      <c r="W356" s="56">
        <f t="shared" si="230"/>
        <v>2177854</v>
      </c>
      <c r="X356" s="51">
        <f>+SUMIF('GE16FEB14 Tax Bill Unfudged'!$A$2:$A$498, 'Tax Bill Summary'!$A356, 'GE16FEB14 Tax Bill Unfudged'!G$2:G$498)</f>
        <v>3586268</v>
      </c>
      <c r="Y356" s="13">
        <f>+SUMIF('GE16FEB14 Tax Bill Unfudged'!$A$2:$A$498, 'Tax Bill Summary'!$A356, 'GE16FEB14 Tax Bill Unfudged'!H$2:H$498)</f>
        <v>-4015279</v>
      </c>
      <c r="Z356" s="56">
        <f t="shared" si="231"/>
        <v>7601547</v>
      </c>
      <c r="AA356" s="51">
        <f>+SUMIF('GE16FEB14 Tax Bill Unfudged'!$A$2:$A$498, 'Tax Bill Summary'!$A356, 'GE16FEB14 Tax Bill Unfudged'!I$2:I$498)</f>
        <v>6444404</v>
      </c>
      <c r="AB356" s="13">
        <f>+SUMIF('GE16FEB14 Tax Bill Unfudged'!$A$2:$A$498, 'Tax Bill Summary'!$A356, 'GE16FEB14 Tax Bill Unfudged'!J$2:J$498)</f>
        <v>-3959670</v>
      </c>
      <c r="AC356" s="56">
        <f t="shared" si="232"/>
        <v>10404074</v>
      </c>
      <c r="AD356" s="51">
        <f t="shared" si="233"/>
        <v>11006137</v>
      </c>
      <c r="AE356" s="13">
        <f t="shared" si="234"/>
        <v>-9177338</v>
      </c>
      <c r="AF356" s="56">
        <f t="shared" si="235"/>
        <v>20183475</v>
      </c>
      <c r="AG356" s="13">
        <f t="shared" si="236"/>
        <v>1301.2694490423269</v>
      </c>
      <c r="AH356" s="13">
        <f t="shared" si="237"/>
        <v>-1085.0482383542208</v>
      </c>
      <c r="AI356" s="16">
        <f t="shared" si="238"/>
        <v>2386.3176873965476</v>
      </c>
      <c r="AJ356" s="15">
        <f t="shared" si="239"/>
        <v>23347</v>
      </c>
      <c r="AK356" s="13">
        <f t="shared" si="240"/>
        <v>-32607</v>
      </c>
      <c r="AL356" s="56">
        <f t="shared" si="241"/>
        <v>55954</v>
      </c>
      <c r="AM356" s="51">
        <f t="shared" si="242"/>
        <v>1143956</v>
      </c>
      <c r="AN356" s="13">
        <f t="shared" si="243"/>
        <v>-1409169</v>
      </c>
      <c r="AO356" s="56">
        <f t="shared" si="244"/>
        <v>2553125</v>
      </c>
      <c r="AP356" s="51">
        <f t="shared" si="245"/>
        <v>-728546</v>
      </c>
      <c r="AQ356" s="13">
        <f t="shared" si="246"/>
        <v>633270</v>
      </c>
      <c r="AR356" s="56">
        <f t="shared" si="247"/>
        <v>-1361816</v>
      </c>
      <c r="AS356" s="51">
        <f t="shared" si="248"/>
        <v>438757</v>
      </c>
      <c r="AT356" s="13">
        <f t="shared" si="249"/>
        <v>-808506</v>
      </c>
      <c r="AU356" s="56">
        <f t="shared" si="250"/>
        <v>1247263</v>
      </c>
      <c r="AV356" s="13">
        <f t="shared" si="251"/>
        <v>51.874793095294535</v>
      </c>
      <c r="AW356" s="13">
        <f t="shared" si="252"/>
        <v>-95.590683376684751</v>
      </c>
      <c r="AX356" s="16">
        <f t="shared" si="253"/>
        <v>147.46547647197895</v>
      </c>
    </row>
    <row r="357" spans="1:50" x14ac:dyDescent="0.25">
      <c r="A357" s="20">
        <v>4000</v>
      </c>
      <c r="B357">
        <v>1</v>
      </c>
      <c r="C357" s="23" t="s">
        <v>18</v>
      </c>
      <c r="D357" s="23">
        <v>7</v>
      </c>
      <c r="E357" s="15">
        <f>+SUMIF('GE16FEB14 Unfudged'!$A$2:$A$498, $A357, 'GE16FEB14 Unfudged'!$D$2:$D$498)</f>
        <v>132</v>
      </c>
      <c r="F357" s="15">
        <f>+SUMIF('GE16FEB14 Unfudged'!$A$2:$A$498, 'Tax Bill Summary'!$A357, 'GE16FEB14 Unfudged'!E$2:E$498)</f>
        <v>14859</v>
      </c>
      <c r="G357" s="13">
        <f>+SUMIF('GE16FEB14 Unfudged'!$A$2:$A$498, 'Tax Bill Summary'!$A357, 'GE16FEB14 Unfudged'!F$2:F$498)</f>
        <v>0</v>
      </c>
      <c r="H357" s="56">
        <f t="shared" si="221"/>
        <v>14859</v>
      </c>
      <c r="I357" s="51">
        <f>+SUMIF('GE16FEB14 Unfudged'!$A$2:$A$498, 'Tax Bill Summary'!$A357, 'GE16FEB14 Unfudged'!G$2:G$498)</f>
        <v>0</v>
      </c>
      <c r="J357" s="13">
        <f>+SUMIF('GE16FEB14 Unfudged'!$A$2:$A$498, 'Tax Bill Summary'!$A357, 'GE16FEB14 Unfudged'!H$2:H$498)</f>
        <v>0</v>
      </c>
      <c r="K357" s="56">
        <f t="shared" si="222"/>
        <v>0</v>
      </c>
      <c r="L357" s="51">
        <f>+SUMIF('GE16FEB14 Unfudged'!$A$2:$A$498, 'Tax Bill Summary'!$A357, 'GE16FEB14 Unfudged'!I$2:IF$498)</f>
        <v>0</v>
      </c>
      <c r="M357" s="13">
        <f>+SUMIF('GE16FEB14 Unfudged'!$A$2:$A$498, 'Tax Bill Summary'!$A357, 'GE16FEB14 Unfudged'!J$2:IG$498)</f>
        <v>0</v>
      </c>
      <c r="N357" s="56">
        <f t="shared" si="223"/>
        <v>0</v>
      </c>
      <c r="O357" s="51">
        <f t="shared" si="224"/>
        <v>14859</v>
      </c>
      <c r="P357" s="13">
        <f t="shared" si="225"/>
        <v>0</v>
      </c>
      <c r="Q357" s="56">
        <f t="shared" si="226"/>
        <v>14859</v>
      </c>
      <c r="R357" s="13">
        <f t="shared" si="227"/>
        <v>112.56818181818181</v>
      </c>
      <c r="S357" s="13">
        <f t="shared" si="228"/>
        <v>0</v>
      </c>
      <c r="T357" s="16">
        <f t="shared" si="229"/>
        <v>112.56818181818181</v>
      </c>
      <c r="U357" s="15">
        <f>+SUMIF('GE16FEB14 Tax Bill Unfudged'!$A$2:$A$498, 'Tax Bill Summary'!$A357, 'GE16FEB14 Tax Bill Unfudged'!E$2:E$498)</f>
        <v>15223</v>
      </c>
      <c r="V357" s="13">
        <f>+SUMIF('GE16FEB14 Tax Bill Unfudged'!$A$2:$A$498, 'Tax Bill Summary'!$A357, 'GE16FEB14 Tax Bill Unfudged'!F$2:F$498)</f>
        <v>0</v>
      </c>
      <c r="W357" s="56">
        <f t="shared" si="230"/>
        <v>15223</v>
      </c>
      <c r="X357" s="51">
        <f>+SUMIF('GE16FEB14 Tax Bill Unfudged'!$A$2:$A$498, 'Tax Bill Summary'!$A357, 'GE16FEB14 Tax Bill Unfudged'!G$2:G$498)</f>
        <v>0</v>
      </c>
      <c r="Y357" s="13">
        <f>+SUMIF('GE16FEB14 Tax Bill Unfudged'!$A$2:$A$498, 'Tax Bill Summary'!$A357, 'GE16FEB14 Tax Bill Unfudged'!H$2:H$498)</f>
        <v>0</v>
      </c>
      <c r="Z357" s="56">
        <f t="shared" si="231"/>
        <v>0</v>
      </c>
      <c r="AA357" s="51">
        <f>+SUMIF('GE16FEB14 Tax Bill Unfudged'!$A$2:$A$498, 'Tax Bill Summary'!$A357, 'GE16FEB14 Tax Bill Unfudged'!I$2:I$498)</f>
        <v>0</v>
      </c>
      <c r="AB357" s="13">
        <f>+SUMIF('GE16FEB14 Tax Bill Unfudged'!$A$2:$A$498, 'Tax Bill Summary'!$A357, 'GE16FEB14 Tax Bill Unfudged'!J$2:J$498)</f>
        <v>0</v>
      </c>
      <c r="AC357" s="56">
        <f t="shared" si="232"/>
        <v>0</v>
      </c>
      <c r="AD357" s="51">
        <f t="shared" si="233"/>
        <v>15223</v>
      </c>
      <c r="AE357" s="13">
        <f t="shared" si="234"/>
        <v>0</v>
      </c>
      <c r="AF357" s="56">
        <f t="shared" si="235"/>
        <v>15223</v>
      </c>
      <c r="AG357" s="13">
        <f t="shared" si="236"/>
        <v>115.32575757575758</v>
      </c>
      <c r="AH357" s="13">
        <f t="shared" si="237"/>
        <v>0</v>
      </c>
      <c r="AI357" s="16">
        <f t="shared" si="238"/>
        <v>115.32575757575758</v>
      </c>
      <c r="AJ357" s="15">
        <f t="shared" si="239"/>
        <v>364</v>
      </c>
      <c r="AK357" s="13">
        <f t="shared" si="240"/>
        <v>0</v>
      </c>
      <c r="AL357" s="56">
        <f t="shared" si="241"/>
        <v>364</v>
      </c>
      <c r="AM357" s="51">
        <f t="shared" si="242"/>
        <v>0</v>
      </c>
      <c r="AN357" s="13">
        <f t="shared" si="243"/>
        <v>0</v>
      </c>
      <c r="AO357" s="56">
        <f t="shared" si="244"/>
        <v>0</v>
      </c>
      <c r="AP357" s="51">
        <f t="shared" si="245"/>
        <v>0</v>
      </c>
      <c r="AQ357" s="13">
        <f t="shared" si="246"/>
        <v>0</v>
      </c>
      <c r="AR357" s="56">
        <f t="shared" si="247"/>
        <v>0</v>
      </c>
      <c r="AS357" s="51">
        <f t="shared" si="248"/>
        <v>364</v>
      </c>
      <c r="AT357" s="13">
        <f t="shared" si="249"/>
        <v>0</v>
      </c>
      <c r="AU357" s="56">
        <f t="shared" si="250"/>
        <v>364</v>
      </c>
      <c r="AV357" s="13">
        <f t="shared" si="251"/>
        <v>2.7575757575757649</v>
      </c>
      <c r="AW357" s="13">
        <f t="shared" si="252"/>
        <v>0</v>
      </c>
      <c r="AX357" s="16">
        <f t="shared" si="253"/>
        <v>2.7575757575757649</v>
      </c>
    </row>
    <row r="358" spans="1:50" x14ac:dyDescent="0.25">
      <c r="A358" s="20">
        <v>4001</v>
      </c>
      <c r="B358">
        <v>1</v>
      </c>
      <c r="C358" s="23" t="s">
        <v>19</v>
      </c>
      <c r="D358" s="23">
        <v>7</v>
      </c>
      <c r="E358" s="15">
        <f>+SUMIF('GE16FEB14 Unfudged'!$A$2:$A$498, $A358, 'GE16FEB14 Unfudged'!$D$2:$D$498)</f>
        <v>228</v>
      </c>
      <c r="F358" s="15">
        <f>+SUMIF('GE16FEB14 Unfudged'!$A$2:$A$498, 'Tax Bill Summary'!$A358, 'GE16FEB14 Unfudged'!E$2:E$498)</f>
        <v>25710</v>
      </c>
      <c r="G358" s="13">
        <f>+SUMIF('GE16FEB14 Unfudged'!$A$2:$A$498, 'Tax Bill Summary'!$A358, 'GE16FEB14 Unfudged'!F$2:F$498)</f>
        <v>0</v>
      </c>
      <c r="H358" s="56">
        <f t="shared" si="221"/>
        <v>25710</v>
      </c>
      <c r="I358" s="51">
        <f>+SUMIF('GE16FEB14 Unfudged'!$A$2:$A$498, 'Tax Bill Summary'!$A358, 'GE16FEB14 Unfudged'!G$2:G$498)</f>
        <v>0</v>
      </c>
      <c r="J358" s="13">
        <f>+SUMIF('GE16FEB14 Unfudged'!$A$2:$A$498, 'Tax Bill Summary'!$A358, 'GE16FEB14 Unfudged'!H$2:H$498)</f>
        <v>0</v>
      </c>
      <c r="K358" s="56">
        <f t="shared" si="222"/>
        <v>0</v>
      </c>
      <c r="L358" s="51">
        <f>+SUMIF('GE16FEB14 Unfudged'!$A$2:$A$498, 'Tax Bill Summary'!$A358, 'GE16FEB14 Unfudged'!I$2:IF$498)</f>
        <v>0</v>
      </c>
      <c r="M358" s="13">
        <f>+SUMIF('GE16FEB14 Unfudged'!$A$2:$A$498, 'Tax Bill Summary'!$A358, 'GE16FEB14 Unfudged'!J$2:IG$498)</f>
        <v>0</v>
      </c>
      <c r="N358" s="56">
        <f t="shared" si="223"/>
        <v>0</v>
      </c>
      <c r="O358" s="51">
        <f t="shared" si="224"/>
        <v>25710</v>
      </c>
      <c r="P358" s="13">
        <f t="shared" si="225"/>
        <v>0</v>
      </c>
      <c r="Q358" s="56">
        <f t="shared" si="226"/>
        <v>25710</v>
      </c>
      <c r="R358" s="13">
        <f t="shared" si="227"/>
        <v>112.76315789473684</v>
      </c>
      <c r="S358" s="13">
        <f t="shared" si="228"/>
        <v>0</v>
      </c>
      <c r="T358" s="16">
        <f t="shared" si="229"/>
        <v>112.76315789473684</v>
      </c>
      <c r="U358" s="15">
        <f>+SUMIF('GE16FEB14 Tax Bill Unfudged'!$A$2:$A$498, 'Tax Bill Summary'!$A358, 'GE16FEB14 Tax Bill Unfudged'!E$2:E$498)</f>
        <v>26341</v>
      </c>
      <c r="V358" s="13">
        <f>+SUMIF('GE16FEB14 Tax Bill Unfudged'!$A$2:$A$498, 'Tax Bill Summary'!$A358, 'GE16FEB14 Tax Bill Unfudged'!F$2:F$498)</f>
        <v>0</v>
      </c>
      <c r="W358" s="56">
        <f t="shared" si="230"/>
        <v>26341</v>
      </c>
      <c r="X358" s="51">
        <f>+SUMIF('GE16FEB14 Tax Bill Unfudged'!$A$2:$A$498, 'Tax Bill Summary'!$A358, 'GE16FEB14 Tax Bill Unfudged'!G$2:G$498)</f>
        <v>0</v>
      </c>
      <c r="Y358" s="13">
        <f>+SUMIF('GE16FEB14 Tax Bill Unfudged'!$A$2:$A$498, 'Tax Bill Summary'!$A358, 'GE16FEB14 Tax Bill Unfudged'!H$2:H$498)</f>
        <v>0</v>
      </c>
      <c r="Z358" s="56">
        <f t="shared" si="231"/>
        <v>0</v>
      </c>
      <c r="AA358" s="51">
        <f>+SUMIF('GE16FEB14 Tax Bill Unfudged'!$A$2:$A$498, 'Tax Bill Summary'!$A358, 'GE16FEB14 Tax Bill Unfudged'!I$2:I$498)</f>
        <v>0</v>
      </c>
      <c r="AB358" s="13">
        <f>+SUMIF('GE16FEB14 Tax Bill Unfudged'!$A$2:$A$498, 'Tax Bill Summary'!$A358, 'GE16FEB14 Tax Bill Unfudged'!J$2:J$498)</f>
        <v>0</v>
      </c>
      <c r="AC358" s="56">
        <f t="shared" si="232"/>
        <v>0</v>
      </c>
      <c r="AD358" s="51">
        <f t="shared" si="233"/>
        <v>26341</v>
      </c>
      <c r="AE358" s="13">
        <f t="shared" si="234"/>
        <v>0</v>
      </c>
      <c r="AF358" s="56">
        <f t="shared" si="235"/>
        <v>26341</v>
      </c>
      <c r="AG358" s="13">
        <f t="shared" si="236"/>
        <v>115.53070175438596</v>
      </c>
      <c r="AH358" s="13">
        <f t="shared" si="237"/>
        <v>0</v>
      </c>
      <c r="AI358" s="16">
        <f t="shared" si="238"/>
        <v>115.53070175438596</v>
      </c>
      <c r="AJ358" s="15">
        <f t="shared" si="239"/>
        <v>631</v>
      </c>
      <c r="AK358" s="13">
        <f t="shared" si="240"/>
        <v>0</v>
      </c>
      <c r="AL358" s="56">
        <f t="shared" si="241"/>
        <v>631</v>
      </c>
      <c r="AM358" s="51">
        <f t="shared" si="242"/>
        <v>0</v>
      </c>
      <c r="AN358" s="13">
        <f t="shared" si="243"/>
        <v>0</v>
      </c>
      <c r="AO358" s="56">
        <f t="shared" si="244"/>
        <v>0</v>
      </c>
      <c r="AP358" s="51">
        <f t="shared" si="245"/>
        <v>0</v>
      </c>
      <c r="AQ358" s="13">
        <f t="shared" si="246"/>
        <v>0</v>
      </c>
      <c r="AR358" s="56">
        <f t="shared" si="247"/>
        <v>0</v>
      </c>
      <c r="AS358" s="51">
        <f t="shared" si="248"/>
        <v>631</v>
      </c>
      <c r="AT358" s="13">
        <f t="shared" si="249"/>
        <v>0</v>
      </c>
      <c r="AU358" s="56">
        <f t="shared" si="250"/>
        <v>631</v>
      </c>
      <c r="AV358" s="13">
        <f t="shared" si="251"/>
        <v>2.7675438596491233</v>
      </c>
      <c r="AW358" s="13">
        <f t="shared" si="252"/>
        <v>0</v>
      </c>
      <c r="AX358" s="16">
        <f t="shared" si="253"/>
        <v>2.7675438596491233</v>
      </c>
    </row>
    <row r="359" spans="1:50" x14ac:dyDescent="0.25">
      <c r="A359" s="20">
        <v>4003</v>
      </c>
      <c r="B359">
        <v>1</v>
      </c>
      <c r="C359" s="23" t="s">
        <v>20</v>
      </c>
      <c r="D359" s="23">
        <v>7</v>
      </c>
      <c r="E359" s="15">
        <f>+SUMIF('GE16FEB14 Unfudged'!$A$2:$A$498, $A359, 'GE16FEB14 Unfudged'!$D$2:$D$498)</f>
        <v>156</v>
      </c>
      <c r="F359" s="15">
        <f>+SUMIF('GE16FEB14 Unfudged'!$A$2:$A$498, 'Tax Bill Summary'!$A359, 'GE16FEB14 Unfudged'!E$2:E$498)</f>
        <v>17561</v>
      </c>
      <c r="G359" s="13">
        <f>+SUMIF('GE16FEB14 Unfudged'!$A$2:$A$498, 'Tax Bill Summary'!$A359, 'GE16FEB14 Unfudged'!F$2:F$498)</f>
        <v>0</v>
      </c>
      <c r="H359" s="56">
        <f t="shared" si="221"/>
        <v>17561</v>
      </c>
      <c r="I359" s="51">
        <f>+SUMIF('GE16FEB14 Unfudged'!$A$2:$A$498, 'Tax Bill Summary'!$A359, 'GE16FEB14 Unfudged'!G$2:G$498)</f>
        <v>0</v>
      </c>
      <c r="J359" s="13">
        <f>+SUMIF('GE16FEB14 Unfudged'!$A$2:$A$498, 'Tax Bill Summary'!$A359, 'GE16FEB14 Unfudged'!H$2:H$498)</f>
        <v>0</v>
      </c>
      <c r="K359" s="56">
        <f t="shared" si="222"/>
        <v>0</v>
      </c>
      <c r="L359" s="51">
        <f>+SUMIF('GE16FEB14 Unfudged'!$A$2:$A$498, 'Tax Bill Summary'!$A359, 'GE16FEB14 Unfudged'!I$2:IF$498)</f>
        <v>0</v>
      </c>
      <c r="M359" s="13">
        <f>+SUMIF('GE16FEB14 Unfudged'!$A$2:$A$498, 'Tax Bill Summary'!$A359, 'GE16FEB14 Unfudged'!J$2:IG$498)</f>
        <v>0</v>
      </c>
      <c r="N359" s="56">
        <f t="shared" si="223"/>
        <v>0</v>
      </c>
      <c r="O359" s="51">
        <f t="shared" si="224"/>
        <v>17561</v>
      </c>
      <c r="P359" s="13">
        <f t="shared" si="225"/>
        <v>0</v>
      </c>
      <c r="Q359" s="56">
        <f t="shared" si="226"/>
        <v>17561</v>
      </c>
      <c r="R359" s="13">
        <f t="shared" si="227"/>
        <v>112.57051282051282</v>
      </c>
      <c r="S359" s="13">
        <f t="shared" si="228"/>
        <v>0</v>
      </c>
      <c r="T359" s="16">
        <f t="shared" si="229"/>
        <v>112.57051282051282</v>
      </c>
      <c r="U359" s="15">
        <f>+SUMIF('GE16FEB14 Tax Bill Unfudged'!$A$2:$A$498, 'Tax Bill Summary'!$A359, 'GE16FEB14 Tax Bill Unfudged'!E$2:E$498)</f>
        <v>17991</v>
      </c>
      <c r="V359" s="13">
        <f>+SUMIF('GE16FEB14 Tax Bill Unfudged'!$A$2:$A$498, 'Tax Bill Summary'!$A359, 'GE16FEB14 Tax Bill Unfudged'!F$2:F$498)</f>
        <v>0</v>
      </c>
      <c r="W359" s="56">
        <f t="shared" si="230"/>
        <v>17991</v>
      </c>
      <c r="X359" s="51">
        <f>+SUMIF('GE16FEB14 Tax Bill Unfudged'!$A$2:$A$498, 'Tax Bill Summary'!$A359, 'GE16FEB14 Tax Bill Unfudged'!G$2:G$498)</f>
        <v>0</v>
      </c>
      <c r="Y359" s="13">
        <f>+SUMIF('GE16FEB14 Tax Bill Unfudged'!$A$2:$A$498, 'Tax Bill Summary'!$A359, 'GE16FEB14 Tax Bill Unfudged'!H$2:H$498)</f>
        <v>0</v>
      </c>
      <c r="Z359" s="56">
        <f t="shared" si="231"/>
        <v>0</v>
      </c>
      <c r="AA359" s="51">
        <f>+SUMIF('GE16FEB14 Tax Bill Unfudged'!$A$2:$A$498, 'Tax Bill Summary'!$A359, 'GE16FEB14 Tax Bill Unfudged'!I$2:I$498)</f>
        <v>0</v>
      </c>
      <c r="AB359" s="13">
        <f>+SUMIF('GE16FEB14 Tax Bill Unfudged'!$A$2:$A$498, 'Tax Bill Summary'!$A359, 'GE16FEB14 Tax Bill Unfudged'!J$2:J$498)</f>
        <v>0</v>
      </c>
      <c r="AC359" s="56">
        <f t="shared" si="232"/>
        <v>0</v>
      </c>
      <c r="AD359" s="51">
        <f t="shared" si="233"/>
        <v>17991</v>
      </c>
      <c r="AE359" s="13">
        <f t="shared" si="234"/>
        <v>0</v>
      </c>
      <c r="AF359" s="56">
        <f t="shared" si="235"/>
        <v>17991</v>
      </c>
      <c r="AG359" s="13">
        <f t="shared" si="236"/>
        <v>115.32692307692308</v>
      </c>
      <c r="AH359" s="13">
        <f t="shared" si="237"/>
        <v>0</v>
      </c>
      <c r="AI359" s="16">
        <f t="shared" si="238"/>
        <v>115.32692307692308</v>
      </c>
      <c r="AJ359" s="15">
        <f t="shared" si="239"/>
        <v>430</v>
      </c>
      <c r="AK359" s="13">
        <f t="shared" si="240"/>
        <v>0</v>
      </c>
      <c r="AL359" s="56">
        <f t="shared" si="241"/>
        <v>430</v>
      </c>
      <c r="AM359" s="51">
        <f t="shared" si="242"/>
        <v>0</v>
      </c>
      <c r="AN359" s="13">
        <f t="shared" si="243"/>
        <v>0</v>
      </c>
      <c r="AO359" s="56">
        <f t="shared" si="244"/>
        <v>0</v>
      </c>
      <c r="AP359" s="51">
        <f t="shared" si="245"/>
        <v>0</v>
      </c>
      <c r="AQ359" s="13">
        <f t="shared" si="246"/>
        <v>0</v>
      </c>
      <c r="AR359" s="56">
        <f t="shared" si="247"/>
        <v>0</v>
      </c>
      <c r="AS359" s="51">
        <f t="shared" si="248"/>
        <v>430</v>
      </c>
      <c r="AT359" s="13">
        <f t="shared" si="249"/>
        <v>0</v>
      </c>
      <c r="AU359" s="56">
        <f t="shared" si="250"/>
        <v>430</v>
      </c>
      <c r="AV359" s="13">
        <f t="shared" si="251"/>
        <v>2.7564102564102626</v>
      </c>
      <c r="AW359" s="13">
        <f t="shared" si="252"/>
        <v>0</v>
      </c>
      <c r="AX359" s="16">
        <f t="shared" si="253"/>
        <v>2.7564102564102626</v>
      </c>
    </row>
    <row r="360" spans="1:50" x14ac:dyDescent="0.25">
      <c r="A360" s="20">
        <v>4004</v>
      </c>
      <c r="B360">
        <v>1</v>
      </c>
      <c r="C360" s="23" t="s">
        <v>471</v>
      </c>
      <c r="D360" s="23">
        <v>7</v>
      </c>
      <c r="E360" s="15">
        <f>+SUMIF('GE16FEB14 Unfudged'!$A$2:$A$498, $A360, 'GE16FEB14 Unfudged'!$D$2:$D$498)</f>
        <v>161</v>
      </c>
      <c r="F360" s="15">
        <f>+SUMIF('GE16FEB14 Unfudged'!$A$2:$A$498, 'Tax Bill Summary'!$A360, 'GE16FEB14 Unfudged'!E$2:E$498)</f>
        <v>18168</v>
      </c>
      <c r="G360" s="13">
        <f>+SUMIF('GE16FEB14 Unfudged'!$A$2:$A$498, 'Tax Bill Summary'!$A360, 'GE16FEB14 Unfudged'!F$2:F$498)</f>
        <v>0</v>
      </c>
      <c r="H360" s="56">
        <f t="shared" si="221"/>
        <v>18168</v>
      </c>
      <c r="I360" s="51">
        <f>+SUMIF('GE16FEB14 Unfudged'!$A$2:$A$498, 'Tax Bill Summary'!$A360, 'GE16FEB14 Unfudged'!G$2:G$498)</f>
        <v>0</v>
      </c>
      <c r="J360" s="13">
        <f>+SUMIF('GE16FEB14 Unfudged'!$A$2:$A$498, 'Tax Bill Summary'!$A360, 'GE16FEB14 Unfudged'!H$2:H$498)</f>
        <v>0</v>
      </c>
      <c r="K360" s="56">
        <f t="shared" si="222"/>
        <v>0</v>
      </c>
      <c r="L360" s="51">
        <f>+SUMIF('GE16FEB14 Unfudged'!$A$2:$A$498, 'Tax Bill Summary'!$A360, 'GE16FEB14 Unfudged'!I$2:IF$498)</f>
        <v>0</v>
      </c>
      <c r="M360" s="13">
        <f>+SUMIF('GE16FEB14 Unfudged'!$A$2:$A$498, 'Tax Bill Summary'!$A360, 'GE16FEB14 Unfudged'!J$2:IG$498)</f>
        <v>0</v>
      </c>
      <c r="N360" s="56">
        <f t="shared" si="223"/>
        <v>0</v>
      </c>
      <c r="O360" s="51">
        <f t="shared" si="224"/>
        <v>18168</v>
      </c>
      <c r="P360" s="13">
        <f t="shared" si="225"/>
        <v>0</v>
      </c>
      <c r="Q360" s="56">
        <f t="shared" si="226"/>
        <v>18168</v>
      </c>
      <c r="R360" s="13">
        <f t="shared" si="227"/>
        <v>112.84472049689441</v>
      </c>
      <c r="S360" s="13">
        <f t="shared" si="228"/>
        <v>0</v>
      </c>
      <c r="T360" s="16">
        <f t="shared" si="229"/>
        <v>112.84472049689441</v>
      </c>
      <c r="U360" s="15">
        <f>+SUMIF('GE16FEB14 Tax Bill Unfudged'!$A$2:$A$498, 'Tax Bill Summary'!$A360, 'GE16FEB14 Tax Bill Unfudged'!E$2:E$498)</f>
        <v>18614</v>
      </c>
      <c r="V360" s="13">
        <f>+SUMIF('GE16FEB14 Tax Bill Unfudged'!$A$2:$A$498, 'Tax Bill Summary'!$A360, 'GE16FEB14 Tax Bill Unfudged'!F$2:F$498)</f>
        <v>0</v>
      </c>
      <c r="W360" s="56">
        <f t="shared" si="230"/>
        <v>18614</v>
      </c>
      <c r="X360" s="51">
        <f>+SUMIF('GE16FEB14 Tax Bill Unfudged'!$A$2:$A$498, 'Tax Bill Summary'!$A360, 'GE16FEB14 Tax Bill Unfudged'!G$2:G$498)</f>
        <v>0</v>
      </c>
      <c r="Y360" s="13">
        <f>+SUMIF('GE16FEB14 Tax Bill Unfudged'!$A$2:$A$498, 'Tax Bill Summary'!$A360, 'GE16FEB14 Tax Bill Unfudged'!H$2:H$498)</f>
        <v>0</v>
      </c>
      <c r="Z360" s="56">
        <f t="shared" si="231"/>
        <v>0</v>
      </c>
      <c r="AA360" s="51">
        <f>+SUMIF('GE16FEB14 Tax Bill Unfudged'!$A$2:$A$498, 'Tax Bill Summary'!$A360, 'GE16FEB14 Tax Bill Unfudged'!I$2:I$498)</f>
        <v>0</v>
      </c>
      <c r="AB360" s="13">
        <f>+SUMIF('GE16FEB14 Tax Bill Unfudged'!$A$2:$A$498, 'Tax Bill Summary'!$A360, 'GE16FEB14 Tax Bill Unfudged'!J$2:J$498)</f>
        <v>0</v>
      </c>
      <c r="AC360" s="56">
        <f t="shared" si="232"/>
        <v>0</v>
      </c>
      <c r="AD360" s="51">
        <f t="shared" si="233"/>
        <v>18614</v>
      </c>
      <c r="AE360" s="13">
        <f t="shared" si="234"/>
        <v>0</v>
      </c>
      <c r="AF360" s="56">
        <f t="shared" si="235"/>
        <v>18614</v>
      </c>
      <c r="AG360" s="13">
        <f t="shared" si="236"/>
        <v>115.61490683229813</v>
      </c>
      <c r="AH360" s="13">
        <f t="shared" si="237"/>
        <v>0</v>
      </c>
      <c r="AI360" s="16">
        <f t="shared" si="238"/>
        <v>115.61490683229813</v>
      </c>
      <c r="AJ360" s="15">
        <f t="shared" si="239"/>
        <v>446</v>
      </c>
      <c r="AK360" s="13">
        <f t="shared" si="240"/>
        <v>0</v>
      </c>
      <c r="AL360" s="56">
        <f t="shared" si="241"/>
        <v>446</v>
      </c>
      <c r="AM360" s="51">
        <f t="shared" si="242"/>
        <v>0</v>
      </c>
      <c r="AN360" s="13">
        <f t="shared" si="243"/>
        <v>0</v>
      </c>
      <c r="AO360" s="56">
        <f t="shared" si="244"/>
        <v>0</v>
      </c>
      <c r="AP360" s="51">
        <f t="shared" si="245"/>
        <v>0</v>
      </c>
      <c r="AQ360" s="13">
        <f t="shared" si="246"/>
        <v>0</v>
      </c>
      <c r="AR360" s="56">
        <f t="shared" si="247"/>
        <v>0</v>
      </c>
      <c r="AS360" s="51">
        <f t="shared" si="248"/>
        <v>446</v>
      </c>
      <c r="AT360" s="13">
        <f t="shared" si="249"/>
        <v>0</v>
      </c>
      <c r="AU360" s="56">
        <f t="shared" si="250"/>
        <v>446</v>
      </c>
      <c r="AV360" s="13">
        <f t="shared" si="251"/>
        <v>2.7701863354037215</v>
      </c>
      <c r="AW360" s="13">
        <f t="shared" si="252"/>
        <v>0</v>
      </c>
      <c r="AX360" s="16">
        <f t="shared" si="253"/>
        <v>2.7701863354037215</v>
      </c>
    </row>
    <row r="361" spans="1:50" x14ac:dyDescent="0.25">
      <c r="A361" s="20">
        <v>4005</v>
      </c>
      <c r="B361">
        <v>1</v>
      </c>
      <c r="C361" s="23" t="s">
        <v>472</v>
      </c>
      <c r="D361" s="23">
        <v>7</v>
      </c>
      <c r="E361" s="15">
        <f>+SUMIF('GE16FEB14 Unfudged'!$A$2:$A$498, $A361, 'GE16FEB14 Unfudged'!$D$2:$D$498)</f>
        <v>26</v>
      </c>
      <c r="F361" s="15">
        <f>+SUMIF('GE16FEB14 Unfudged'!$A$2:$A$498, 'Tax Bill Summary'!$A361, 'GE16FEB14 Unfudged'!E$2:E$498)</f>
        <v>2949</v>
      </c>
      <c r="G361" s="13">
        <f>+SUMIF('GE16FEB14 Unfudged'!$A$2:$A$498, 'Tax Bill Summary'!$A361, 'GE16FEB14 Unfudged'!F$2:F$498)</f>
        <v>0</v>
      </c>
      <c r="H361" s="56">
        <f t="shared" si="221"/>
        <v>2949</v>
      </c>
      <c r="I361" s="51">
        <f>+SUMIF('GE16FEB14 Unfudged'!$A$2:$A$498, 'Tax Bill Summary'!$A361, 'GE16FEB14 Unfudged'!G$2:G$498)</f>
        <v>0</v>
      </c>
      <c r="J361" s="13">
        <f>+SUMIF('GE16FEB14 Unfudged'!$A$2:$A$498, 'Tax Bill Summary'!$A361, 'GE16FEB14 Unfudged'!H$2:H$498)</f>
        <v>0</v>
      </c>
      <c r="K361" s="56">
        <f t="shared" si="222"/>
        <v>0</v>
      </c>
      <c r="L361" s="51">
        <f>+SUMIF('GE16FEB14 Unfudged'!$A$2:$A$498, 'Tax Bill Summary'!$A361, 'GE16FEB14 Unfudged'!I$2:IF$498)</f>
        <v>0</v>
      </c>
      <c r="M361" s="13">
        <f>+SUMIF('GE16FEB14 Unfudged'!$A$2:$A$498, 'Tax Bill Summary'!$A361, 'GE16FEB14 Unfudged'!J$2:IG$498)</f>
        <v>0</v>
      </c>
      <c r="N361" s="56">
        <f t="shared" si="223"/>
        <v>0</v>
      </c>
      <c r="O361" s="51">
        <f t="shared" si="224"/>
        <v>2949</v>
      </c>
      <c r="P361" s="13">
        <f t="shared" si="225"/>
        <v>0</v>
      </c>
      <c r="Q361" s="56">
        <f t="shared" si="226"/>
        <v>2949</v>
      </c>
      <c r="R361" s="13">
        <f t="shared" si="227"/>
        <v>113.42307692307692</v>
      </c>
      <c r="S361" s="13">
        <f t="shared" si="228"/>
        <v>0</v>
      </c>
      <c r="T361" s="16">
        <f t="shared" si="229"/>
        <v>113.42307692307692</v>
      </c>
      <c r="U361" s="15">
        <f>+SUMIF('GE16FEB14 Tax Bill Unfudged'!$A$2:$A$498, 'Tax Bill Summary'!$A361, 'GE16FEB14 Tax Bill Unfudged'!E$2:E$498)</f>
        <v>3022</v>
      </c>
      <c r="V361" s="13">
        <f>+SUMIF('GE16FEB14 Tax Bill Unfudged'!$A$2:$A$498, 'Tax Bill Summary'!$A361, 'GE16FEB14 Tax Bill Unfudged'!F$2:F$498)</f>
        <v>0</v>
      </c>
      <c r="W361" s="56">
        <f t="shared" si="230"/>
        <v>3022</v>
      </c>
      <c r="X361" s="51">
        <f>+SUMIF('GE16FEB14 Tax Bill Unfudged'!$A$2:$A$498, 'Tax Bill Summary'!$A361, 'GE16FEB14 Tax Bill Unfudged'!G$2:G$498)</f>
        <v>0</v>
      </c>
      <c r="Y361" s="13">
        <f>+SUMIF('GE16FEB14 Tax Bill Unfudged'!$A$2:$A$498, 'Tax Bill Summary'!$A361, 'GE16FEB14 Tax Bill Unfudged'!H$2:H$498)</f>
        <v>0</v>
      </c>
      <c r="Z361" s="56">
        <f t="shared" si="231"/>
        <v>0</v>
      </c>
      <c r="AA361" s="51">
        <f>+SUMIF('GE16FEB14 Tax Bill Unfudged'!$A$2:$A$498, 'Tax Bill Summary'!$A361, 'GE16FEB14 Tax Bill Unfudged'!I$2:I$498)</f>
        <v>0</v>
      </c>
      <c r="AB361" s="13">
        <f>+SUMIF('GE16FEB14 Tax Bill Unfudged'!$A$2:$A$498, 'Tax Bill Summary'!$A361, 'GE16FEB14 Tax Bill Unfudged'!J$2:J$498)</f>
        <v>0</v>
      </c>
      <c r="AC361" s="56">
        <f t="shared" si="232"/>
        <v>0</v>
      </c>
      <c r="AD361" s="51">
        <f t="shared" si="233"/>
        <v>3022</v>
      </c>
      <c r="AE361" s="13">
        <f t="shared" si="234"/>
        <v>0</v>
      </c>
      <c r="AF361" s="56">
        <f t="shared" si="235"/>
        <v>3022</v>
      </c>
      <c r="AG361" s="13">
        <f t="shared" si="236"/>
        <v>116.23076923076923</v>
      </c>
      <c r="AH361" s="13">
        <f t="shared" si="237"/>
        <v>0</v>
      </c>
      <c r="AI361" s="16">
        <f t="shared" si="238"/>
        <v>116.23076923076923</v>
      </c>
      <c r="AJ361" s="15">
        <f t="shared" si="239"/>
        <v>73</v>
      </c>
      <c r="AK361" s="13">
        <f t="shared" si="240"/>
        <v>0</v>
      </c>
      <c r="AL361" s="56">
        <f t="shared" si="241"/>
        <v>73</v>
      </c>
      <c r="AM361" s="51">
        <f t="shared" si="242"/>
        <v>0</v>
      </c>
      <c r="AN361" s="13">
        <f t="shared" si="243"/>
        <v>0</v>
      </c>
      <c r="AO361" s="56">
        <f t="shared" si="244"/>
        <v>0</v>
      </c>
      <c r="AP361" s="51">
        <f t="shared" si="245"/>
        <v>0</v>
      </c>
      <c r="AQ361" s="13">
        <f t="shared" si="246"/>
        <v>0</v>
      </c>
      <c r="AR361" s="56">
        <f t="shared" si="247"/>
        <v>0</v>
      </c>
      <c r="AS361" s="51">
        <f t="shared" si="248"/>
        <v>73</v>
      </c>
      <c r="AT361" s="13">
        <f t="shared" si="249"/>
        <v>0</v>
      </c>
      <c r="AU361" s="56">
        <f t="shared" si="250"/>
        <v>73</v>
      </c>
      <c r="AV361" s="13">
        <f t="shared" si="251"/>
        <v>2.8076923076923066</v>
      </c>
      <c r="AW361" s="13">
        <f t="shared" si="252"/>
        <v>0</v>
      </c>
      <c r="AX361" s="16">
        <f t="shared" si="253"/>
        <v>2.8076923076923066</v>
      </c>
    </row>
    <row r="362" spans="1:50" x14ac:dyDescent="0.25">
      <c r="A362" s="20">
        <v>4007</v>
      </c>
      <c r="B362">
        <v>1</v>
      </c>
      <c r="C362" s="23" t="s">
        <v>21</v>
      </c>
      <c r="D362" s="23">
        <v>7</v>
      </c>
      <c r="E362" s="15">
        <f>+SUMIF('GE16FEB14 Unfudged'!$A$2:$A$498, $A362, 'GE16FEB14 Unfudged'!$D$2:$D$498)</f>
        <v>190</v>
      </c>
      <c r="F362" s="15">
        <f>+SUMIF('GE16FEB14 Unfudged'!$A$2:$A$498, 'Tax Bill Summary'!$A362, 'GE16FEB14 Unfudged'!E$2:E$498)</f>
        <v>21394</v>
      </c>
      <c r="G362" s="13">
        <f>+SUMIF('GE16FEB14 Unfudged'!$A$2:$A$498, 'Tax Bill Summary'!$A362, 'GE16FEB14 Unfudged'!F$2:F$498)</f>
        <v>0</v>
      </c>
      <c r="H362" s="56">
        <f t="shared" si="221"/>
        <v>21394</v>
      </c>
      <c r="I362" s="51">
        <f>+SUMIF('GE16FEB14 Unfudged'!$A$2:$A$498, 'Tax Bill Summary'!$A362, 'GE16FEB14 Unfudged'!G$2:G$498)</f>
        <v>0</v>
      </c>
      <c r="J362" s="13">
        <f>+SUMIF('GE16FEB14 Unfudged'!$A$2:$A$498, 'Tax Bill Summary'!$A362, 'GE16FEB14 Unfudged'!H$2:H$498)</f>
        <v>0</v>
      </c>
      <c r="K362" s="56">
        <f t="shared" si="222"/>
        <v>0</v>
      </c>
      <c r="L362" s="51">
        <f>+SUMIF('GE16FEB14 Unfudged'!$A$2:$A$498, 'Tax Bill Summary'!$A362, 'GE16FEB14 Unfudged'!I$2:IF$498)</f>
        <v>0</v>
      </c>
      <c r="M362" s="13">
        <f>+SUMIF('GE16FEB14 Unfudged'!$A$2:$A$498, 'Tax Bill Summary'!$A362, 'GE16FEB14 Unfudged'!J$2:IG$498)</f>
        <v>0</v>
      </c>
      <c r="N362" s="56">
        <f t="shared" si="223"/>
        <v>0</v>
      </c>
      <c r="O362" s="51">
        <f t="shared" si="224"/>
        <v>21394</v>
      </c>
      <c r="P362" s="13">
        <f t="shared" si="225"/>
        <v>0</v>
      </c>
      <c r="Q362" s="56">
        <f t="shared" si="226"/>
        <v>21394</v>
      </c>
      <c r="R362" s="13">
        <f t="shared" si="227"/>
        <v>112.6</v>
      </c>
      <c r="S362" s="13">
        <f t="shared" si="228"/>
        <v>0</v>
      </c>
      <c r="T362" s="16">
        <f t="shared" si="229"/>
        <v>112.6</v>
      </c>
      <c r="U362" s="15">
        <f>+SUMIF('GE16FEB14 Tax Bill Unfudged'!$A$2:$A$498, 'Tax Bill Summary'!$A362, 'GE16FEB14 Tax Bill Unfudged'!E$2:E$498)</f>
        <v>21918</v>
      </c>
      <c r="V362" s="13">
        <f>+SUMIF('GE16FEB14 Tax Bill Unfudged'!$A$2:$A$498, 'Tax Bill Summary'!$A362, 'GE16FEB14 Tax Bill Unfudged'!F$2:F$498)</f>
        <v>0</v>
      </c>
      <c r="W362" s="56">
        <f t="shared" si="230"/>
        <v>21918</v>
      </c>
      <c r="X362" s="51">
        <f>+SUMIF('GE16FEB14 Tax Bill Unfudged'!$A$2:$A$498, 'Tax Bill Summary'!$A362, 'GE16FEB14 Tax Bill Unfudged'!G$2:G$498)</f>
        <v>0</v>
      </c>
      <c r="Y362" s="13">
        <f>+SUMIF('GE16FEB14 Tax Bill Unfudged'!$A$2:$A$498, 'Tax Bill Summary'!$A362, 'GE16FEB14 Tax Bill Unfudged'!H$2:H$498)</f>
        <v>0</v>
      </c>
      <c r="Z362" s="56">
        <f t="shared" si="231"/>
        <v>0</v>
      </c>
      <c r="AA362" s="51">
        <f>+SUMIF('GE16FEB14 Tax Bill Unfudged'!$A$2:$A$498, 'Tax Bill Summary'!$A362, 'GE16FEB14 Tax Bill Unfudged'!I$2:I$498)</f>
        <v>0</v>
      </c>
      <c r="AB362" s="13">
        <f>+SUMIF('GE16FEB14 Tax Bill Unfudged'!$A$2:$A$498, 'Tax Bill Summary'!$A362, 'GE16FEB14 Tax Bill Unfudged'!J$2:J$498)</f>
        <v>0</v>
      </c>
      <c r="AC362" s="56">
        <f t="shared" si="232"/>
        <v>0</v>
      </c>
      <c r="AD362" s="51">
        <f t="shared" si="233"/>
        <v>21918</v>
      </c>
      <c r="AE362" s="13">
        <f t="shared" si="234"/>
        <v>0</v>
      </c>
      <c r="AF362" s="56">
        <f t="shared" si="235"/>
        <v>21918</v>
      </c>
      <c r="AG362" s="13">
        <f t="shared" si="236"/>
        <v>115.3578947368421</v>
      </c>
      <c r="AH362" s="13">
        <f t="shared" si="237"/>
        <v>0</v>
      </c>
      <c r="AI362" s="16">
        <f t="shared" si="238"/>
        <v>115.3578947368421</v>
      </c>
      <c r="AJ362" s="15">
        <f t="shared" si="239"/>
        <v>524</v>
      </c>
      <c r="AK362" s="13">
        <f t="shared" si="240"/>
        <v>0</v>
      </c>
      <c r="AL362" s="56">
        <f t="shared" si="241"/>
        <v>524</v>
      </c>
      <c r="AM362" s="51">
        <f t="shared" si="242"/>
        <v>0</v>
      </c>
      <c r="AN362" s="13">
        <f t="shared" si="243"/>
        <v>0</v>
      </c>
      <c r="AO362" s="56">
        <f t="shared" si="244"/>
        <v>0</v>
      </c>
      <c r="AP362" s="51">
        <f t="shared" si="245"/>
        <v>0</v>
      </c>
      <c r="AQ362" s="13">
        <f t="shared" si="246"/>
        <v>0</v>
      </c>
      <c r="AR362" s="56">
        <f t="shared" si="247"/>
        <v>0</v>
      </c>
      <c r="AS362" s="51">
        <f t="shared" si="248"/>
        <v>524</v>
      </c>
      <c r="AT362" s="13">
        <f t="shared" si="249"/>
        <v>0</v>
      </c>
      <c r="AU362" s="56">
        <f t="shared" si="250"/>
        <v>524</v>
      </c>
      <c r="AV362" s="13">
        <f t="shared" si="251"/>
        <v>2.7578947368421041</v>
      </c>
      <c r="AW362" s="13">
        <f t="shared" si="252"/>
        <v>0</v>
      </c>
      <c r="AX362" s="16">
        <f t="shared" si="253"/>
        <v>2.7578947368421041</v>
      </c>
    </row>
    <row r="363" spans="1:50" x14ac:dyDescent="0.25">
      <c r="A363" s="20">
        <v>4008</v>
      </c>
      <c r="B363">
        <v>1</v>
      </c>
      <c r="C363" s="23" t="s">
        <v>22</v>
      </c>
      <c r="D363" s="23">
        <v>7</v>
      </c>
      <c r="E363" s="15">
        <f>+SUMIF('GE16FEB14 Unfudged'!$A$2:$A$498, $A363, 'GE16FEB14 Unfudged'!$D$2:$D$498)</f>
        <v>670</v>
      </c>
      <c r="F363" s="15">
        <f>+SUMIF('GE16FEB14 Unfudged'!$A$2:$A$498, 'Tax Bill Summary'!$A363, 'GE16FEB14 Unfudged'!E$2:E$498)</f>
        <v>75420</v>
      </c>
      <c r="G363" s="13">
        <f>+SUMIF('GE16FEB14 Unfudged'!$A$2:$A$498, 'Tax Bill Summary'!$A363, 'GE16FEB14 Unfudged'!F$2:F$498)</f>
        <v>0</v>
      </c>
      <c r="H363" s="56">
        <f t="shared" si="221"/>
        <v>75420</v>
      </c>
      <c r="I363" s="51">
        <f>+SUMIF('GE16FEB14 Unfudged'!$A$2:$A$498, 'Tax Bill Summary'!$A363, 'GE16FEB14 Unfudged'!G$2:G$498)</f>
        <v>0</v>
      </c>
      <c r="J363" s="13">
        <f>+SUMIF('GE16FEB14 Unfudged'!$A$2:$A$498, 'Tax Bill Summary'!$A363, 'GE16FEB14 Unfudged'!H$2:H$498)</f>
        <v>0</v>
      </c>
      <c r="K363" s="56">
        <f t="shared" si="222"/>
        <v>0</v>
      </c>
      <c r="L363" s="51">
        <f>+SUMIF('GE16FEB14 Unfudged'!$A$2:$A$498, 'Tax Bill Summary'!$A363, 'GE16FEB14 Unfudged'!I$2:IF$498)</f>
        <v>0</v>
      </c>
      <c r="M363" s="13">
        <f>+SUMIF('GE16FEB14 Unfudged'!$A$2:$A$498, 'Tax Bill Summary'!$A363, 'GE16FEB14 Unfudged'!J$2:IG$498)</f>
        <v>0</v>
      </c>
      <c r="N363" s="56">
        <f t="shared" si="223"/>
        <v>0</v>
      </c>
      <c r="O363" s="51">
        <f t="shared" si="224"/>
        <v>75420</v>
      </c>
      <c r="P363" s="13">
        <f t="shared" si="225"/>
        <v>0</v>
      </c>
      <c r="Q363" s="56">
        <f t="shared" si="226"/>
        <v>75420</v>
      </c>
      <c r="R363" s="13">
        <f t="shared" si="227"/>
        <v>112.56716417910448</v>
      </c>
      <c r="S363" s="13">
        <f t="shared" si="228"/>
        <v>0</v>
      </c>
      <c r="T363" s="16">
        <f t="shared" si="229"/>
        <v>112.56716417910448</v>
      </c>
      <c r="U363" s="15">
        <f>+SUMIF('GE16FEB14 Tax Bill Unfudged'!$A$2:$A$498, 'Tax Bill Summary'!$A363, 'GE16FEB14 Tax Bill Unfudged'!E$2:E$498)</f>
        <v>77270</v>
      </c>
      <c r="V363" s="13">
        <f>+SUMIF('GE16FEB14 Tax Bill Unfudged'!$A$2:$A$498, 'Tax Bill Summary'!$A363, 'GE16FEB14 Tax Bill Unfudged'!F$2:F$498)</f>
        <v>0</v>
      </c>
      <c r="W363" s="56">
        <f t="shared" si="230"/>
        <v>77270</v>
      </c>
      <c r="X363" s="51">
        <f>+SUMIF('GE16FEB14 Tax Bill Unfudged'!$A$2:$A$498, 'Tax Bill Summary'!$A363, 'GE16FEB14 Tax Bill Unfudged'!G$2:G$498)</f>
        <v>0</v>
      </c>
      <c r="Y363" s="13">
        <f>+SUMIF('GE16FEB14 Tax Bill Unfudged'!$A$2:$A$498, 'Tax Bill Summary'!$A363, 'GE16FEB14 Tax Bill Unfudged'!H$2:H$498)</f>
        <v>0</v>
      </c>
      <c r="Z363" s="56">
        <f t="shared" si="231"/>
        <v>0</v>
      </c>
      <c r="AA363" s="51">
        <f>+SUMIF('GE16FEB14 Tax Bill Unfudged'!$A$2:$A$498, 'Tax Bill Summary'!$A363, 'GE16FEB14 Tax Bill Unfudged'!I$2:I$498)</f>
        <v>0</v>
      </c>
      <c r="AB363" s="13">
        <f>+SUMIF('GE16FEB14 Tax Bill Unfudged'!$A$2:$A$498, 'Tax Bill Summary'!$A363, 'GE16FEB14 Tax Bill Unfudged'!J$2:J$498)</f>
        <v>0</v>
      </c>
      <c r="AC363" s="56">
        <f t="shared" si="232"/>
        <v>0</v>
      </c>
      <c r="AD363" s="51">
        <f t="shared" si="233"/>
        <v>77270</v>
      </c>
      <c r="AE363" s="13">
        <f t="shared" si="234"/>
        <v>0</v>
      </c>
      <c r="AF363" s="56">
        <f t="shared" si="235"/>
        <v>77270</v>
      </c>
      <c r="AG363" s="13">
        <f t="shared" si="236"/>
        <v>115.32835820895522</v>
      </c>
      <c r="AH363" s="13">
        <f t="shared" si="237"/>
        <v>0</v>
      </c>
      <c r="AI363" s="16">
        <f t="shared" si="238"/>
        <v>115.32835820895522</v>
      </c>
      <c r="AJ363" s="15">
        <f t="shared" si="239"/>
        <v>1850</v>
      </c>
      <c r="AK363" s="13">
        <f t="shared" si="240"/>
        <v>0</v>
      </c>
      <c r="AL363" s="56">
        <f t="shared" si="241"/>
        <v>1850</v>
      </c>
      <c r="AM363" s="51">
        <f t="shared" si="242"/>
        <v>0</v>
      </c>
      <c r="AN363" s="13">
        <f t="shared" si="243"/>
        <v>0</v>
      </c>
      <c r="AO363" s="56">
        <f t="shared" si="244"/>
        <v>0</v>
      </c>
      <c r="AP363" s="51">
        <f t="shared" si="245"/>
        <v>0</v>
      </c>
      <c r="AQ363" s="13">
        <f t="shared" si="246"/>
        <v>0</v>
      </c>
      <c r="AR363" s="56">
        <f t="shared" si="247"/>
        <v>0</v>
      </c>
      <c r="AS363" s="51">
        <f t="shared" si="248"/>
        <v>1850</v>
      </c>
      <c r="AT363" s="13">
        <f t="shared" si="249"/>
        <v>0</v>
      </c>
      <c r="AU363" s="56">
        <f t="shared" si="250"/>
        <v>1850</v>
      </c>
      <c r="AV363" s="13">
        <f t="shared" si="251"/>
        <v>2.761194029850742</v>
      </c>
      <c r="AW363" s="13">
        <f t="shared" si="252"/>
        <v>0</v>
      </c>
      <c r="AX363" s="16">
        <f t="shared" si="253"/>
        <v>2.761194029850742</v>
      </c>
    </row>
    <row r="364" spans="1:50" x14ac:dyDescent="0.25">
      <c r="A364" s="20">
        <v>4011</v>
      </c>
      <c r="B364">
        <v>1</v>
      </c>
      <c r="C364" s="23" t="s">
        <v>23</v>
      </c>
      <c r="D364" s="23">
        <v>7</v>
      </c>
      <c r="E364" s="15">
        <f>+SUMIF('GE16FEB14 Unfudged'!$A$2:$A$498, $A364, 'GE16FEB14 Unfudged'!$D$2:$D$498)</f>
        <v>213</v>
      </c>
      <c r="F364" s="15">
        <f>+SUMIF('GE16FEB14 Unfudged'!$A$2:$A$498, 'Tax Bill Summary'!$A364, 'GE16FEB14 Unfudged'!E$2:E$498)</f>
        <v>23949</v>
      </c>
      <c r="G364" s="13">
        <f>+SUMIF('GE16FEB14 Unfudged'!$A$2:$A$498, 'Tax Bill Summary'!$A364, 'GE16FEB14 Unfudged'!F$2:F$498)</f>
        <v>0</v>
      </c>
      <c r="H364" s="56">
        <f t="shared" si="221"/>
        <v>23949</v>
      </c>
      <c r="I364" s="51">
        <f>+SUMIF('GE16FEB14 Unfudged'!$A$2:$A$498, 'Tax Bill Summary'!$A364, 'GE16FEB14 Unfudged'!G$2:G$498)</f>
        <v>0</v>
      </c>
      <c r="J364" s="13">
        <f>+SUMIF('GE16FEB14 Unfudged'!$A$2:$A$498, 'Tax Bill Summary'!$A364, 'GE16FEB14 Unfudged'!H$2:H$498)</f>
        <v>0</v>
      </c>
      <c r="K364" s="56">
        <f t="shared" si="222"/>
        <v>0</v>
      </c>
      <c r="L364" s="51">
        <f>+SUMIF('GE16FEB14 Unfudged'!$A$2:$A$498, 'Tax Bill Summary'!$A364, 'GE16FEB14 Unfudged'!I$2:IF$498)</f>
        <v>0</v>
      </c>
      <c r="M364" s="13">
        <f>+SUMIF('GE16FEB14 Unfudged'!$A$2:$A$498, 'Tax Bill Summary'!$A364, 'GE16FEB14 Unfudged'!J$2:IG$498)</f>
        <v>0</v>
      </c>
      <c r="N364" s="56">
        <f t="shared" si="223"/>
        <v>0</v>
      </c>
      <c r="O364" s="51">
        <f t="shared" si="224"/>
        <v>23949</v>
      </c>
      <c r="P364" s="13">
        <f t="shared" si="225"/>
        <v>0</v>
      </c>
      <c r="Q364" s="56">
        <f t="shared" si="226"/>
        <v>23949</v>
      </c>
      <c r="R364" s="13">
        <f t="shared" si="227"/>
        <v>112.43661971830986</v>
      </c>
      <c r="S364" s="13">
        <f t="shared" si="228"/>
        <v>0</v>
      </c>
      <c r="T364" s="16">
        <f t="shared" si="229"/>
        <v>112.43661971830986</v>
      </c>
      <c r="U364" s="15">
        <f>+SUMIF('GE16FEB14 Tax Bill Unfudged'!$A$2:$A$498, 'Tax Bill Summary'!$A364, 'GE16FEB14 Tax Bill Unfudged'!E$2:E$498)</f>
        <v>24536</v>
      </c>
      <c r="V364" s="13">
        <f>+SUMIF('GE16FEB14 Tax Bill Unfudged'!$A$2:$A$498, 'Tax Bill Summary'!$A364, 'GE16FEB14 Tax Bill Unfudged'!F$2:F$498)</f>
        <v>0</v>
      </c>
      <c r="W364" s="56">
        <f t="shared" si="230"/>
        <v>24536</v>
      </c>
      <c r="X364" s="51">
        <f>+SUMIF('GE16FEB14 Tax Bill Unfudged'!$A$2:$A$498, 'Tax Bill Summary'!$A364, 'GE16FEB14 Tax Bill Unfudged'!G$2:G$498)</f>
        <v>0</v>
      </c>
      <c r="Y364" s="13">
        <f>+SUMIF('GE16FEB14 Tax Bill Unfudged'!$A$2:$A$498, 'Tax Bill Summary'!$A364, 'GE16FEB14 Tax Bill Unfudged'!H$2:H$498)</f>
        <v>0</v>
      </c>
      <c r="Z364" s="56">
        <f t="shared" si="231"/>
        <v>0</v>
      </c>
      <c r="AA364" s="51">
        <f>+SUMIF('GE16FEB14 Tax Bill Unfudged'!$A$2:$A$498, 'Tax Bill Summary'!$A364, 'GE16FEB14 Tax Bill Unfudged'!I$2:I$498)</f>
        <v>0</v>
      </c>
      <c r="AB364" s="13">
        <f>+SUMIF('GE16FEB14 Tax Bill Unfudged'!$A$2:$A$498, 'Tax Bill Summary'!$A364, 'GE16FEB14 Tax Bill Unfudged'!J$2:J$498)</f>
        <v>0</v>
      </c>
      <c r="AC364" s="56">
        <f t="shared" si="232"/>
        <v>0</v>
      </c>
      <c r="AD364" s="51">
        <f t="shared" si="233"/>
        <v>24536</v>
      </c>
      <c r="AE364" s="13">
        <f t="shared" si="234"/>
        <v>0</v>
      </c>
      <c r="AF364" s="56">
        <f t="shared" si="235"/>
        <v>24536</v>
      </c>
      <c r="AG364" s="13">
        <f t="shared" si="236"/>
        <v>115.1924882629108</v>
      </c>
      <c r="AH364" s="13">
        <f t="shared" si="237"/>
        <v>0</v>
      </c>
      <c r="AI364" s="16">
        <f t="shared" si="238"/>
        <v>115.1924882629108</v>
      </c>
      <c r="AJ364" s="15">
        <f t="shared" si="239"/>
        <v>587</v>
      </c>
      <c r="AK364" s="13">
        <f t="shared" si="240"/>
        <v>0</v>
      </c>
      <c r="AL364" s="56">
        <f t="shared" si="241"/>
        <v>587</v>
      </c>
      <c r="AM364" s="51">
        <f t="shared" si="242"/>
        <v>0</v>
      </c>
      <c r="AN364" s="13">
        <f t="shared" si="243"/>
        <v>0</v>
      </c>
      <c r="AO364" s="56">
        <f t="shared" si="244"/>
        <v>0</v>
      </c>
      <c r="AP364" s="51">
        <f t="shared" si="245"/>
        <v>0</v>
      </c>
      <c r="AQ364" s="13">
        <f t="shared" si="246"/>
        <v>0</v>
      </c>
      <c r="AR364" s="56">
        <f t="shared" si="247"/>
        <v>0</v>
      </c>
      <c r="AS364" s="51">
        <f t="shared" si="248"/>
        <v>587</v>
      </c>
      <c r="AT364" s="13">
        <f t="shared" si="249"/>
        <v>0</v>
      </c>
      <c r="AU364" s="56">
        <f t="shared" si="250"/>
        <v>587</v>
      </c>
      <c r="AV364" s="13">
        <f t="shared" si="251"/>
        <v>2.7558685446009434</v>
      </c>
      <c r="AW364" s="13">
        <f t="shared" si="252"/>
        <v>0</v>
      </c>
      <c r="AX364" s="16">
        <f t="shared" si="253"/>
        <v>2.7558685446009434</v>
      </c>
    </row>
    <row r="365" spans="1:50" x14ac:dyDescent="0.25">
      <c r="A365" s="20">
        <v>4015</v>
      </c>
      <c r="B365">
        <v>1</v>
      </c>
      <c r="C365" s="23" t="s">
        <v>24</v>
      </c>
      <c r="D365" s="23">
        <v>7</v>
      </c>
      <c r="E365" s="15">
        <f>+SUMIF('GE16FEB14 Unfudged'!$A$2:$A$498, $A365, 'GE16FEB14 Unfudged'!$D$2:$D$498)</f>
        <v>840</v>
      </c>
      <c r="F365" s="15">
        <f>+SUMIF('GE16FEB14 Unfudged'!$A$2:$A$498, 'Tax Bill Summary'!$A365, 'GE16FEB14 Unfudged'!E$2:E$498)</f>
        <v>94512</v>
      </c>
      <c r="G365" s="13">
        <f>+SUMIF('GE16FEB14 Unfudged'!$A$2:$A$498, 'Tax Bill Summary'!$A365, 'GE16FEB14 Unfudged'!F$2:F$498)</f>
        <v>0</v>
      </c>
      <c r="H365" s="56">
        <f t="shared" si="221"/>
        <v>94512</v>
      </c>
      <c r="I365" s="51">
        <f>+SUMIF('GE16FEB14 Unfudged'!$A$2:$A$498, 'Tax Bill Summary'!$A365, 'GE16FEB14 Unfudged'!G$2:G$498)</f>
        <v>0</v>
      </c>
      <c r="J365" s="13">
        <f>+SUMIF('GE16FEB14 Unfudged'!$A$2:$A$498, 'Tax Bill Summary'!$A365, 'GE16FEB14 Unfudged'!H$2:H$498)</f>
        <v>0</v>
      </c>
      <c r="K365" s="56">
        <f t="shared" si="222"/>
        <v>0</v>
      </c>
      <c r="L365" s="51">
        <f>+SUMIF('GE16FEB14 Unfudged'!$A$2:$A$498, 'Tax Bill Summary'!$A365, 'GE16FEB14 Unfudged'!I$2:IF$498)</f>
        <v>0</v>
      </c>
      <c r="M365" s="13">
        <f>+SUMIF('GE16FEB14 Unfudged'!$A$2:$A$498, 'Tax Bill Summary'!$A365, 'GE16FEB14 Unfudged'!J$2:IG$498)</f>
        <v>0</v>
      </c>
      <c r="N365" s="56">
        <f t="shared" si="223"/>
        <v>0</v>
      </c>
      <c r="O365" s="51">
        <f t="shared" si="224"/>
        <v>94512</v>
      </c>
      <c r="P365" s="13">
        <f t="shared" si="225"/>
        <v>0</v>
      </c>
      <c r="Q365" s="56">
        <f t="shared" si="226"/>
        <v>94512</v>
      </c>
      <c r="R365" s="13">
        <f t="shared" si="227"/>
        <v>112.51428571428572</v>
      </c>
      <c r="S365" s="13">
        <f t="shared" si="228"/>
        <v>0</v>
      </c>
      <c r="T365" s="16">
        <f t="shared" si="229"/>
        <v>112.51428571428572</v>
      </c>
      <c r="U365" s="15">
        <f>+SUMIF('GE16FEB14 Tax Bill Unfudged'!$A$2:$A$498, 'Tax Bill Summary'!$A365, 'GE16FEB14 Tax Bill Unfudged'!E$2:E$498)</f>
        <v>96829</v>
      </c>
      <c r="V365" s="13">
        <f>+SUMIF('GE16FEB14 Tax Bill Unfudged'!$A$2:$A$498, 'Tax Bill Summary'!$A365, 'GE16FEB14 Tax Bill Unfudged'!F$2:F$498)</f>
        <v>0</v>
      </c>
      <c r="W365" s="56">
        <f t="shared" si="230"/>
        <v>96829</v>
      </c>
      <c r="X365" s="51">
        <f>+SUMIF('GE16FEB14 Tax Bill Unfudged'!$A$2:$A$498, 'Tax Bill Summary'!$A365, 'GE16FEB14 Tax Bill Unfudged'!G$2:G$498)</f>
        <v>0</v>
      </c>
      <c r="Y365" s="13">
        <f>+SUMIF('GE16FEB14 Tax Bill Unfudged'!$A$2:$A$498, 'Tax Bill Summary'!$A365, 'GE16FEB14 Tax Bill Unfudged'!H$2:H$498)</f>
        <v>0</v>
      </c>
      <c r="Z365" s="56">
        <f t="shared" si="231"/>
        <v>0</v>
      </c>
      <c r="AA365" s="51">
        <f>+SUMIF('GE16FEB14 Tax Bill Unfudged'!$A$2:$A$498, 'Tax Bill Summary'!$A365, 'GE16FEB14 Tax Bill Unfudged'!I$2:I$498)</f>
        <v>0</v>
      </c>
      <c r="AB365" s="13">
        <f>+SUMIF('GE16FEB14 Tax Bill Unfudged'!$A$2:$A$498, 'Tax Bill Summary'!$A365, 'GE16FEB14 Tax Bill Unfudged'!J$2:J$498)</f>
        <v>0</v>
      </c>
      <c r="AC365" s="56">
        <f t="shared" si="232"/>
        <v>0</v>
      </c>
      <c r="AD365" s="51">
        <f t="shared" si="233"/>
        <v>96829</v>
      </c>
      <c r="AE365" s="13">
        <f t="shared" si="234"/>
        <v>0</v>
      </c>
      <c r="AF365" s="56">
        <f t="shared" si="235"/>
        <v>96829</v>
      </c>
      <c r="AG365" s="13">
        <f t="shared" si="236"/>
        <v>115.27261904761905</v>
      </c>
      <c r="AH365" s="13">
        <f t="shared" si="237"/>
        <v>0</v>
      </c>
      <c r="AI365" s="16">
        <f t="shared" si="238"/>
        <v>115.27261904761905</v>
      </c>
      <c r="AJ365" s="15">
        <f t="shared" si="239"/>
        <v>2317</v>
      </c>
      <c r="AK365" s="13">
        <f t="shared" si="240"/>
        <v>0</v>
      </c>
      <c r="AL365" s="56">
        <f t="shared" si="241"/>
        <v>2317</v>
      </c>
      <c r="AM365" s="51">
        <f t="shared" si="242"/>
        <v>0</v>
      </c>
      <c r="AN365" s="13">
        <f t="shared" si="243"/>
        <v>0</v>
      </c>
      <c r="AO365" s="56">
        <f t="shared" si="244"/>
        <v>0</v>
      </c>
      <c r="AP365" s="51">
        <f t="shared" si="245"/>
        <v>0</v>
      </c>
      <c r="AQ365" s="13">
        <f t="shared" si="246"/>
        <v>0</v>
      </c>
      <c r="AR365" s="56">
        <f t="shared" si="247"/>
        <v>0</v>
      </c>
      <c r="AS365" s="51">
        <f t="shared" si="248"/>
        <v>2317</v>
      </c>
      <c r="AT365" s="13">
        <f t="shared" si="249"/>
        <v>0</v>
      </c>
      <c r="AU365" s="56">
        <f t="shared" si="250"/>
        <v>2317</v>
      </c>
      <c r="AV365" s="13">
        <f t="shared" si="251"/>
        <v>2.7583333333333258</v>
      </c>
      <c r="AW365" s="13">
        <f t="shared" si="252"/>
        <v>0</v>
      </c>
      <c r="AX365" s="16">
        <f t="shared" si="253"/>
        <v>2.7583333333333258</v>
      </c>
    </row>
    <row r="366" spans="1:50" x14ac:dyDescent="0.25">
      <c r="A366" s="20">
        <v>4016</v>
      </c>
      <c r="B366">
        <v>1</v>
      </c>
      <c r="C366" s="23" t="s">
        <v>25</v>
      </c>
      <c r="D366" s="23">
        <v>7</v>
      </c>
      <c r="E366" s="15">
        <f>+SUMIF('GE16FEB14 Unfudged'!$A$2:$A$498, $A366, 'GE16FEB14 Unfudged'!$D$2:$D$498)</f>
        <v>229</v>
      </c>
      <c r="F366" s="15">
        <f>+SUMIF('GE16FEB14 Unfudged'!$A$2:$A$498, 'Tax Bill Summary'!$A366, 'GE16FEB14 Unfudged'!E$2:E$498)</f>
        <v>25756</v>
      </c>
      <c r="G366" s="13">
        <f>+SUMIF('GE16FEB14 Unfudged'!$A$2:$A$498, 'Tax Bill Summary'!$A366, 'GE16FEB14 Unfudged'!F$2:F$498)</f>
        <v>0</v>
      </c>
      <c r="H366" s="56">
        <f t="shared" si="221"/>
        <v>25756</v>
      </c>
      <c r="I366" s="51">
        <f>+SUMIF('GE16FEB14 Unfudged'!$A$2:$A$498, 'Tax Bill Summary'!$A366, 'GE16FEB14 Unfudged'!G$2:G$498)</f>
        <v>0</v>
      </c>
      <c r="J366" s="13">
        <f>+SUMIF('GE16FEB14 Unfudged'!$A$2:$A$498, 'Tax Bill Summary'!$A366, 'GE16FEB14 Unfudged'!H$2:H$498)</f>
        <v>0</v>
      </c>
      <c r="K366" s="56">
        <f t="shared" si="222"/>
        <v>0</v>
      </c>
      <c r="L366" s="51">
        <f>+SUMIF('GE16FEB14 Unfudged'!$A$2:$A$498, 'Tax Bill Summary'!$A366, 'GE16FEB14 Unfudged'!I$2:IF$498)</f>
        <v>0</v>
      </c>
      <c r="M366" s="13">
        <f>+SUMIF('GE16FEB14 Unfudged'!$A$2:$A$498, 'Tax Bill Summary'!$A366, 'GE16FEB14 Unfudged'!J$2:IG$498)</f>
        <v>0</v>
      </c>
      <c r="N366" s="56">
        <f t="shared" si="223"/>
        <v>0</v>
      </c>
      <c r="O366" s="51">
        <f t="shared" si="224"/>
        <v>25756</v>
      </c>
      <c r="P366" s="13">
        <f t="shared" si="225"/>
        <v>0</v>
      </c>
      <c r="Q366" s="56">
        <f t="shared" si="226"/>
        <v>25756</v>
      </c>
      <c r="R366" s="13">
        <f t="shared" si="227"/>
        <v>112.47161572052401</v>
      </c>
      <c r="S366" s="13">
        <f t="shared" si="228"/>
        <v>0</v>
      </c>
      <c r="T366" s="16">
        <f t="shared" si="229"/>
        <v>112.47161572052401</v>
      </c>
      <c r="U366" s="15">
        <f>+SUMIF('GE16FEB14 Tax Bill Unfudged'!$A$2:$A$498, 'Tax Bill Summary'!$A366, 'GE16FEB14 Tax Bill Unfudged'!E$2:E$498)</f>
        <v>26387</v>
      </c>
      <c r="V366" s="13">
        <f>+SUMIF('GE16FEB14 Tax Bill Unfudged'!$A$2:$A$498, 'Tax Bill Summary'!$A366, 'GE16FEB14 Tax Bill Unfudged'!F$2:F$498)</f>
        <v>0</v>
      </c>
      <c r="W366" s="56">
        <f t="shared" si="230"/>
        <v>26387</v>
      </c>
      <c r="X366" s="51">
        <f>+SUMIF('GE16FEB14 Tax Bill Unfudged'!$A$2:$A$498, 'Tax Bill Summary'!$A366, 'GE16FEB14 Tax Bill Unfudged'!G$2:G$498)</f>
        <v>0</v>
      </c>
      <c r="Y366" s="13">
        <f>+SUMIF('GE16FEB14 Tax Bill Unfudged'!$A$2:$A$498, 'Tax Bill Summary'!$A366, 'GE16FEB14 Tax Bill Unfudged'!H$2:H$498)</f>
        <v>0</v>
      </c>
      <c r="Z366" s="56">
        <f t="shared" si="231"/>
        <v>0</v>
      </c>
      <c r="AA366" s="51">
        <f>+SUMIF('GE16FEB14 Tax Bill Unfudged'!$A$2:$A$498, 'Tax Bill Summary'!$A366, 'GE16FEB14 Tax Bill Unfudged'!I$2:I$498)</f>
        <v>0</v>
      </c>
      <c r="AB366" s="13">
        <f>+SUMIF('GE16FEB14 Tax Bill Unfudged'!$A$2:$A$498, 'Tax Bill Summary'!$A366, 'GE16FEB14 Tax Bill Unfudged'!J$2:J$498)</f>
        <v>0</v>
      </c>
      <c r="AC366" s="56">
        <f t="shared" si="232"/>
        <v>0</v>
      </c>
      <c r="AD366" s="51">
        <f t="shared" si="233"/>
        <v>26387</v>
      </c>
      <c r="AE366" s="13">
        <f t="shared" si="234"/>
        <v>0</v>
      </c>
      <c r="AF366" s="56">
        <f t="shared" si="235"/>
        <v>26387</v>
      </c>
      <c r="AG366" s="13">
        <f t="shared" si="236"/>
        <v>115.22707423580786</v>
      </c>
      <c r="AH366" s="13">
        <f t="shared" si="237"/>
        <v>0</v>
      </c>
      <c r="AI366" s="16">
        <f t="shared" si="238"/>
        <v>115.22707423580786</v>
      </c>
      <c r="AJ366" s="15">
        <f t="shared" si="239"/>
        <v>631</v>
      </c>
      <c r="AK366" s="13">
        <f t="shared" si="240"/>
        <v>0</v>
      </c>
      <c r="AL366" s="56">
        <f t="shared" si="241"/>
        <v>631</v>
      </c>
      <c r="AM366" s="51">
        <f t="shared" si="242"/>
        <v>0</v>
      </c>
      <c r="AN366" s="13">
        <f t="shared" si="243"/>
        <v>0</v>
      </c>
      <c r="AO366" s="56">
        <f t="shared" si="244"/>
        <v>0</v>
      </c>
      <c r="AP366" s="51">
        <f t="shared" si="245"/>
        <v>0</v>
      </c>
      <c r="AQ366" s="13">
        <f t="shared" si="246"/>
        <v>0</v>
      </c>
      <c r="AR366" s="56">
        <f t="shared" si="247"/>
        <v>0</v>
      </c>
      <c r="AS366" s="51">
        <f t="shared" si="248"/>
        <v>631</v>
      </c>
      <c r="AT366" s="13">
        <f t="shared" si="249"/>
        <v>0</v>
      </c>
      <c r="AU366" s="56">
        <f t="shared" si="250"/>
        <v>631</v>
      </c>
      <c r="AV366" s="13">
        <f t="shared" si="251"/>
        <v>2.7554585152838484</v>
      </c>
      <c r="AW366" s="13">
        <f t="shared" si="252"/>
        <v>0</v>
      </c>
      <c r="AX366" s="16">
        <f t="shared" si="253"/>
        <v>2.7554585152838484</v>
      </c>
    </row>
    <row r="367" spans="1:50" x14ac:dyDescent="0.25">
      <c r="A367" s="20">
        <v>4017</v>
      </c>
      <c r="B367">
        <v>1</v>
      </c>
      <c r="C367" s="23" t="s">
        <v>473</v>
      </c>
      <c r="D367" s="23">
        <v>7</v>
      </c>
      <c r="E367" s="15">
        <f>+SUMIF('GE16FEB14 Unfudged'!$A$2:$A$498, $A367, 'GE16FEB14 Unfudged'!$D$2:$D$498)</f>
        <v>3422</v>
      </c>
      <c r="F367" s="15">
        <f>+SUMIF('GE16FEB14 Unfudged'!$A$2:$A$498, 'Tax Bill Summary'!$A367, 'GE16FEB14 Unfudged'!E$2:E$498)</f>
        <v>385207</v>
      </c>
      <c r="G367" s="13">
        <f>+SUMIF('GE16FEB14 Unfudged'!$A$2:$A$498, 'Tax Bill Summary'!$A367, 'GE16FEB14 Unfudged'!F$2:F$498)</f>
        <v>0</v>
      </c>
      <c r="H367" s="56">
        <f t="shared" si="221"/>
        <v>385207</v>
      </c>
      <c r="I367" s="51">
        <f>+SUMIF('GE16FEB14 Unfudged'!$A$2:$A$498, 'Tax Bill Summary'!$A367, 'GE16FEB14 Unfudged'!G$2:G$498)</f>
        <v>0</v>
      </c>
      <c r="J367" s="13">
        <f>+SUMIF('GE16FEB14 Unfudged'!$A$2:$A$498, 'Tax Bill Summary'!$A367, 'GE16FEB14 Unfudged'!H$2:H$498)</f>
        <v>0</v>
      </c>
      <c r="K367" s="56">
        <f t="shared" si="222"/>
        <v>0</v>
      </c>
      <c r="L367" s="51">
        <f>+SUMIF('GE16FEB14 Unfudged'!$A$2:$A$498, 'Tax Bill Summary'!$A367, 'GE16FEB14 Unfudged'!I$2:IF$498)</f>
        <v>0</v>
      </c>
      <c r="M367" s="13">
        <f>+SUMIF('GE16FEB14 Unfudged'!$A$2:$A$498, 'Tax Bill Summary'!$A367, 'GE16FEB14 Unfudged'!J$2:IG$498)</f>
        <v>0</v>
      </c>
      <c r="N367" s="56">
        <f t="shared" si="223"/>
        <v>0</v>
      </c>
      <c r="O367" s="51">
        <f t="shared" si="224"/>
        <v>385207</v>
      </c>
      <c r="P367" s="13">
        <f t="shared" si="225"/>
        <v>0</v>
      </c>
      <c r="Q367" s="56">
        <f t="shared" si="226"/>
        <v>385207</v>
      </c>
      <c r="R367" s="13">
        <f t="shared" si="227"/>
        <v>112.56779661016949</v>
      </c>
      <c r="S367" s="13">
        <f t="shared" si="228"/>
        <v>0</v>
      </c>
      <c r="T367" s="16">
        <f t="shared" si="229"/>
        <v>112.56779661016949</v>
      </c>
      <c r="U367" s="15">
        <f>+SUMIF('GE16FEB14 Tax Bill Unfudged'!$A$2:$A$498, 'Tax Bill Summary'!$A367, 'GE16FEB14 Tax Bill Unfudged'!E$2:E$498)</f>
        <v>394652</v>
      </c>
      <c r="V367" s="13">
        <f>+SUMIF('GE16FEB14 Tax Bill Unfudged'!$A$2:$A$498, 'Tax Bill Summary'!$A367, 'GE16FEB14 Tax Bill Unfudged'!F$2:F$498)</f>
        <v>0</v>
      </c>
      <c r="W367" s="56">
        <f t="shared" si="230"/>
        <v>394652</v>
      </c>
      <c r="X367" s="51">
        <f>+SUMIF('GE16FEB14 Tax Bill Unfudged'!$A$2:$A$498, 'Tax Bill Summary'!$A367, 'GE16FEB14 Tax Bill Unfudged'!G$2:G$498)</f>
        <v>0</v>
      </c>
      <c r="Y367" s="13">
        <f>+SUMIF('GE16FEB14 Tax Bill Unfudged'!$A$2:$A$498, 'Tax Bill Summary'!$A367, 'GE16FEB14 Tax Bill Unfudged'!H$2:H$498)</f>
        <v>0</v>
      </c>
      <c r="Z367" s="56">
        <f t="shared" si="231"/>
        <v>0</v>
      </c>
      <c r="AA367" s="51">
        <f>+SUMIF('GE16FEB14 Tax Bill Unfudged'!$A$2:$A$498, 'Tax Bill Summary'!$A367, 'GE16FEB14 Tax Bill Unfudged'!I$2:I$498)</f>
        <v>0</v>
      </c>
      <c r="AB367" s="13">
        <f>+SUMIF('GE16FEB14 Tax Bill Unfudged'!$A$2:$A$498, 'Tax Bill Summary'!$A367, 'GE16FEB14 Tax Bill Unfudged'!J$2:J$498)</f>
        <v>0</v>
      </c>
      <c r="AC367" s="56">
        <f t="shared" si="232"/>
        <v>0</v>
      </c>
      <c r="AD367" s="51">
        <f t="shared" si="233"/>
        <v>394652</v>
      </c>
      <c r="AE367" s="13">
        <f t="shared" si="234"/>
        <v>0</v>
      </c>
      <c r="AF367" s="56">
        <f t="shared" si="235"/>
        <v>394652</v>
      </c>
      <c r="AG367" s="13">
        <f t="shared" si="236"/>
        <v>115.32787843366452</v>
      </c>
      <c r="AH367" s="13">
        <f t="shared" si="237"/>
        <v>0</v>
      </c>
      <c r="AI367" s="16">
        <f t="shared" si="238"/>
        <v>115.32787843366452</v>
      </c>
      <c r="AJ367" s="15">
        <f t="shared" si="239"/>
        <v>9445</v>
      </c>
      <c r="AK367" s="13">
        <f t="shared" si="240"/>
        <v>0</v>
      </c>
      <c r="AL367" s="56">
        <f t="shared" si="241"/>
        <v>9445</v>
      </c>
      <c r="AM367" s="51">
        <f t="shared" si="242"/>
        <v>0</v>
      </c>
      <c r="AN367" s="13">
        <f t="shared" si="243"/>
        <v>0</v>
      </c>
      <c r="AO367" s="56">
        <f t="shared" si="244"/>
        <v>0</v>
      </c>
      <c r="AP367" s="51">
        <f t="shared" si="245"/>
        <v>0</v>
      </c>
      <c r="AQ367" s="13">
        <f t="shared" si="246"/>
        <v>0</v>
      </c>
      <c r="AR367" s="56">
        <f t="shared" si="247"/>
        <v>0</v>
      </c>
      <c r="AS367" s="51">
        <f t="shared" si="248"/>
        <v>9445</v>
      </c>
      <c r="AT367" s="13">
        <f t="shared" si="249"/>
        <v>0</v>
      </c>
      <c r="AU367" s="56">
        <f t="shared" si="250"/>
        <v>9445</v>
      </c>
      <c r="AV367" s="13">
        <f t="shared" si="251"/>
        <v>2.7600818234950282</v>
      </c>
      <c r="AW367" s="13">
        <f t="shared" si="252"/>
        <v>0</v>
      </c>
      <c r="AX367" s="16">
        <f t="shared" si="253"/>
        <v>2.7600818234950282</v>
      </c>
    </row>
    <row r="368" spans="1:50" x14ac:dyDescent="0.25">
      <c r="A368" s="20">
        <v>4018</v>
      </c>
      <c r="B368">
        <v>1</v>
      </c>
      <c r="C368" s="23" t="s">
        <v>26</v>
      </c>
      <c r="D368" s="23">
        <v>7</v>
      </c>
      <c r="E368" s="15">
        <f>+SUMIF('GE16FEB14 Unfudged'!$A$2:$A$498, $A368, 'GE16FEB14 Unfudged'!$D$2:$D$498)</f>
        <v>437</v>
      </c>
      <c r="F368" s="15">
        <f>+SUMIF('GE16FEB14 Unfudged'!$A$2:$A$498, 'Tax Bill Summary'!$A368, 'GE16FEB14 Unfudged'!E$2:E$498)</f>
        <v>49170</v>
      </c>
      <c r="G368" s="13">
        <f>+SUMIF('GE16FEB14 Unfudged'!$A$2:$A$498, 'Tax Bill Summary'!$A368, 'GE16FEB14 Unfudged'!F$2:F$498)</f>
        <v>0</v>
      </c>
      <c r="H368" s="56">
        <f t="shared" si="221"/>
        <v>49170</v>
      </c>
      <c r="I368" s="51">
        <f>+SUMIF('GE16FEB14 Unfudged'!$A$2:$A$498, 'Tax Bill Summary'!$A368, 'GE16FEB14 Unfudged'!G$2:G$498)</f>
        <v>0</v>
      </c>
      <c r="J368" s="13">
        <f>+SUMIF('GE16FEB14 Unfudged'!$A$2:$A$498, 'Tax Bill Summary'!$A368, 'GE16FEB14 Unfudged'!H$2:H$498)</f>
        <v>0</v>
      </c>
      <c r="K368" s="56">
        <f t="shared" si="222"/>
        <v>0</v>
      </c>
      <c r="L368" s="51">
        <f>+SUMIF('GE16FEB14 Unfudged'!$A$2:$A$498, 'Tax Bill Summary'!$A368, 'GE16FEB14 Unfudged'!I$2:IF$498)</f>
        <v>0</v>
      </c>
      <c r="M368" s="13">
        <f>+SUMIF('GE16FEB14 Unfudged'!$A$2:$A$498, 'Tax Bill Summary'!$A368, 'GE16FEB14 Unfudged'!J$2:IG$498)</f>
        <v>0</v>
      </c>
      <c r="N368" s="56">
        <f t="shared" si="223"/>
        <v>0</v>
      </c>
      <c r="O368" s="51">
        <f t="shared" si="224"/>
        <v>49170</v>
      </c>
      <c r="P368" s="13">
        <f t="shared" si="225"/>
        <v>0</v>
      </c>
      <c r="Q368" s="56">
        <f t="shared" si="226"/>
        <v>49170</v>
      </c>
      <c r="R368" s="13">
        <f t="shared" si="227"/>
        <v>112.51716247139588</v>
      </c>
      <c r="S368" s="13">
        <f t="shared" si="228"/>
        <v>0</v>
      </c>
      <c r="T368" s="16">
        <f t="shared" si="229"/>
        <v>112.51716247139588</v>
      </c>
      <c r="U368" s="15">
        <f>+SUMIF('GE16FEB14 Tax Bill Unfudged'!$A$2:$A$498, 'Tax Bill Summary'!$A368, 'GE16FEB14 Tax Bill Unfudged'!E$2:E$498)</f>
        <v>50375</v>
      </c>
      <c r="V368" s="13">
        <f>+SUMIF('GE16FEB14 Tax Bill Unfudged'!$A$2:$A$498, 'Tax Bill Summary'!$A368, 'GE16FEB14 Tax Bill Unfudged'!F$2:F$498)</f>
        <v>0</v>
      </c>
      <c r="W368" s="56">
        <f t="shared" si="230"/>
        <v>50375</v>
      </c>
      <c r="X368" s="51">
        <f>+SUMIF('GE16FEB14 Tax Bill Unfudged'!$A$2:$A$498, 'Tax Bill Summary'!$A368, 'GE16FEB14 Tax Bill Unfudged'!G$2:G$498)</f>
        <v>0</v>
      </c>
      <c r="Y368" s="13">
        <f>+SUMIF('GE16FEB14 Tax Bill Unfudged'!$A$2:$A$498, 'Tax Bill Summary'!$A368, 'GE16FEB14 Tax Bill Unfudged'!H$2:H$498)</f>
        <v>0</v>
      </c>
      <c r="Z368" s="56">
        <f t="shared" si="231"/>
        <v>0</v>
      </c>
      <c r="AA368" s="51">
        <f>+SUMIF('GE16FEB14 Tax Bill Unfudged'!$A$2:$A$498, 'Tax Bill Summary'!$A368, 'GE16FEB14 Tax Bill Unfudged'!I$2:I$498)</f>
        <v>0</v>
      </c>
      <c r="AB368" s="13">
        <f>+SUMIF('GE16FEB14 Tax Bill Unfudged'!$A$2:$A$498, 'Tax Bill Summary'!$A368, 'GE16FEB14 Tax Bill Unfudged'!J$2:J$498)</f>
        <v>0</v>
      </c>
      <c r="AC368" s="56">
        <f t="shared" si="232"/>
        <v>0</v>
      </c>
      <c r="AD368" s="51">
        <f t="shared" si="233"/>
        <v>50375</v>
      </c>
      <c r="AE368" s="13">
        <f t="shared" si="234"/>
        <v>0</v>
      </c>
      <c r="AF368" s="56">
        <f t="shared" si="235"/>
        <v>50375</v>
      </c>
      <c r="AG368" s="13">
        <f t="shared" si="236"/>
        <v>115.2745995423341</v>
      </c>
      <c r="AH368" s="13">
        <f t="shared" si="237"/>
        <v>0</v>
      </c>
      <c r="AI368" s="16">
        <f t="shared" si="238"/>
        <v>115.2745995423341</v>
      </c>
      <c r="AJ368" s="15">
        <f t="shared" si="239"/>
        <v>1205</v>
      </c>
      <c r="AK368" s="13">
        <f t="shared" si="240"/>
        <v>0</v>
      </c>
      <c r="AL368" s="56">
        <f t="shared" si="241"/>
        <v>1205</v>
      </c>
      <c r="AM368" s="51">
        <f t="shared" si="242"/>
        <v>0</v>
      </c>
      <c r="AN368" s="13">
        <f t="shared" si="243"/>
        <v>0</v>
      </c>
      <c r="AO368" s="56">
        <f t="shared" si="244"/>
        <v>0</v>
      </c>
      <c r="AP368" s="51">
        <f t="shared" si="245"/>
        <v>0</v>
      </c>
      <c r="AQ368" s="13">
        <f t="shared" si="246"/>
        <v>0</v>
      </c>
      <c r="AR368" s="56">
        <f t="shared" si="247"/>
        <v>0</v>
      </c>
      <c r="AS368" s="51">
        <f t="shared" si="248"/>
        <v>1205</v>
      </c>
      <c r="AT368" s="13">
        <f t="shared" si="249"/>
        <v>0</v>
      </c>
      <c r="AU368" s="56">
        <f t="shared" si="250"/>
        <v>1205</v>
      </c>
      <c r="AV368" s="13">
        <f t="shared" si="251"/>
        <v>2.7574370709382237</v>
      </c>
      <c r="AW368" s="13">
        <f t="shared" si="252"/>
        <v>0</v>
      </c>
      <c r="AX368" s="16">
        <f t="shared" si="253"/>
        <v>2.7574370709382237</v>
      </c>
    </row>
    <row r="369" spans="1:50" x14ac:dyDescent="0.25">
      <c r="A369" s="20">
        <v>4020</v>
      </c>
      <c r="B369">
        <v>1</v>
      </c>
      <c r="C369" s="23" t="s">
        <v>27</v>
      </c>
      <c r="D369" s="23">
        <v>7</v>
      </c>
      <c r="E369" s="15">
        <f>+SUMIF('GE16FEB14 Unfudged'!$A$2:$A$498, $A369, 'GE16FEB14 Unfudged'!$D$2:$D$498)</f>
        <v>1292</v>
      </c>
      <c r="F369" s="15">
        <f>+SUMIF('GE16FEB14 Unfudged'!$A$2:$A$498, 'Tax Bill Summary'!$A369, 'GE16FEB14 Unfudged'!E$2:E$498)</f>
        <v>145381</v>
      </c>
      <c r="G369" s="13">
        <f>+SUMIF('GE16FEB14 Unfudged'!$A$2:$A$498, 'Tax Bill Summary'!$A369, 'GE16FEB14 Unfudged'!F$2:F$498)</f>
        <v>0</v>
      </c>
      <c r="H369" s="56">
        <f t="shared" si="221"/>
        <v>145381</v>
      </c>
      <c r="I369" s="51">
        <f>+SUMIF('GE16FEB14 Unfudged'!$A$2:$A$498, 'Tax Bill Summary'!$A369, 'GE16FEB14 Unfudged'!G$2:G$498)</f>
        <v>0</v>
      </c>
      <c r="J369" s="13">
        <f>+SUMIF('GE16FEB14 Unfudged'!$A$2:$A$498, 'Tax Bill Summary'!$A369, 'GE16FEB14 Unfudged'!H$2:H$498)</f>
        <v>0</v>
      </c>
      <c r="K369" s="56">
        <f t="shared" si="222"/>
        <v>0</v>
      </c>
      <c r="L369" s="51">
        <f>+SUMIF('GE16FEB14 Unfudged'!$A$2:$A$498, 'Tax Bill Summary'!$A369, 'GE16FEB14 Unfudged'!I$2:IF$498)</f>
        <v>0</v>
      </c>
      <c r="M369" s="13">
        <f>+SUMIF('GE16FEB14 Unfudged'!$A$2:$A$498, 'Tax Bill Summary'!$A369, 'GE16FEB14 Unfudged'!J$2:IG$498)</f>
        <v>0</v>
      </c>
      <c r="N369" s="56">
        <f t="shared" si="223"/>
        <v>0</v>
      </c>
      <c r="O369" s="51">
        <f t="shared" si="224"/>
        <v>145381</v>
      </c>
      <c r="P369" s="13">
        <f t="shared" si="225"/>
        <v>0</v>
      </c>
      <c r="Q369" s="56">
        <f t="shared" si="226"/>
        <v>145381</v>
      </c>
      <c r="R369" s="13">
        <f t="shared" si="227"/>
        <v>112.52399380804954</v>
      </c>
      <c r="S369" s="13">
        <f t="shared" si="228"/>
        <v>0</v>
      </c>
      <c r="T369" s="16">
        <f t="shared" si="229"/>
        <v>112.52399380804954</v>
      </c>
      <c r="U369" s="15">
        <f>+SUMIF('GE16FEB14 Tax Bill Unfudged'!$A$2:$A$498, 'Tax Bill Summary'!$A369, 'GE16FEB14 Tax Bill Unfudged'!E$2:E$498)</f>
        <v>148946</v>
      </c>
      <c r="V369" s="13">
        <f>+SUMIF('GE16FEB14 Tax Bill Unfudged'!$A$2:$A$498, 'Tax Bill Summary'!$A369, 'GE16FEB14 Tax Bill Unfudged'!F$2:F$498)</f>
        <v>0</v>
      </c>
      <c r="W369" s="56">
        <f t="shared" si="230"/>
        <v>148946</v>
      </c>
      <c r="X369" s="51">
        <f>+SUMIF('GE16FEB14 Tax Bill Unfudged'!$A$2:$A$498, 'Tax Bill Summary'!$A369, 'GE16FEB14 Tax Bill Unfudged'!G$2:G$498)</f>
        <v>0</v>
      </c>
      <c r="Y369" s="13">
        <f>+SUMIF('GE16FEB14 Tax Bill Unfudged'!$A$2:$A$498, 'Tax Bill Summary'!$A369, 'GE16FEB14 Tax Bill Unfudged'!H$2:H$498)</f>
        <v>0</v>
      </c>
      <c r="Z369" s="56">
        <f t="shared" si="231"/>
        <v>0</v>
      </c>
      <c r="AA369" s="51">
        <f>+SUMIF('GE16FEB14 Tax Bill Unfudged'!$A$2:$A$498, 'Tax Bill Summary'!$A369, 'GE16FEB14 Tax Bill Unfudged'!I$2:I$498)</f>
        <v>0</v>
      </c>
      <c r="AB369" s="13">
        <f>+SUMIF('GE16FEB14 Tax Bill Unfudged'!$A$2:$A$498, 'Tax Bill Summary'!$A369, 'GE16FEB14 Tax Bill Unfudged'!J$2:J$498)</f>
        <v>0</v>
      </c>
      <c r="AC369" s="56">
        <f t="shared" si="232"/>
        <v>0</v>
      </c>
      <c r="AD369" s="51">
        <f t="shared" si="233"/>
        <v>148946</v>
      </c>
      <c r="AE369" s="13">
        <f t="shared" si="234"/>
        <v>0</v>
      </c>
      <c r="AF369" s="56">
        <f t="shared" si="235"/>
        <v>148946</v>
      </c>
      <c r="AG369" s="13">
        <f t="shared" si="236"/>
        <v>115.28328173374614</v>
      </c>
      <c r="AH369" s="13">
        <f t="shared" si="237"/>
        <v>0</v>
      </c>
      <c r="AI369" s="16">
        <f t="shared" si="238"/>
        <v>115.28328173374614</v>
      </c>
      <c r="AJ369" s="15">
        <f t="shared" si="239"/>
        <v>3565</v>
      </c>
      <c r="AK369" s="13">
        <f t="shared" si="240"/>
        <v>0</v>
      </c>
      <c r="AL369" s="56">
        <f t="shared" si="241"/>
        <v>3565</v>
      </c>
      <c r="AM369" s="51">
        <f t="shared" si="242"/>
        <v>0</v>
      </c>
      <c r="AN369" s="13">
        <f t="shared" si="243"/>
        <v>0</v>
      </c>
      <c r="AO369" s="56">
        <f t="shared" si="244"/>
        <v>0</v>
      </c>
      <c r="AP369" s="51">
        <f t="shared" si="245"/>
        <v>0</v>
      </c>
      <c r="AQ369" s="13">
        <f t="shared" si="246"/>
        <v>0</v>
      </c>
      <c r="AR369" s="56">
        <f t="shared" si="247"/>
        <v>0</v>
      </c>
      <c r="AS369" s="51">
        <f t="shared" si="248"/>
        <v>3565</v>
      </c>
      <c r="AT369" s="13">
        <f t="shared" si="249"/>
        <v>0</v>
      </c>
      <c r="AU369" s="56">
        <f t="shared" si="250"/>
        <v>3565</v>
      </c>
      <c r="AV369" s="13">
        <f t="shared" si="251"/>
        <v>2.7592879256965972</v>
      </c>
      <c r="AW369" s="13">
        <f t="shared" si="252"/>
        <v>0</v>
      </c>
      <c r="AX369" s="16">
        <f t="shared" si="253"/>
        <v>2.7592879256965972</v>
      </c>
    </row>
    <row r="370" spans="1:50" x14ac:dyDescent="0.25">
      <c r="A370" s="20">
        <v>4025</v>
      </c>
      <c r="B370">
        <v>1</v>
      </c>
      <c r="C370" s="23" t="s">
        <v>28</v>
      </c>
      <c r="D370" s="23">
        <v>7</v>
      </c>
      <c r="E370" s="15">
        <f>+SUMIF('GE16FEB14 Unfudged'!$A$2:$A$498, $A370, 'GE16FEB14 Unfudged'!$D$2:$D$498)</f>
        <v>171</v>
      </c>
      <c r="F370" s="15">
        <f>+SUMIF('GE16FEB14 Unfudged'!$A$2:$A$498, 'Tax Bill Summary'!$A370, 'GE16FEB14 Unfudged'!E$2:E$498)</f>
        <v>19249</v>
      </c>
      <c r="G370" s="13">
        <f>+SUMIF('GE16FEB14 Unfudged'!$A$2:$A$498, 'Tax Bill Summary'!$A370, 'GE16FEB14 Unfudged'!F$2:F$498)</f>
        <v>0</v>
      </c>
      <c r="H370" s="56">
        <f t="shared" si="221"/>
        <v>19249</v>
      </c>
      <c r="I370" s="51">
        <f>+SUMIF('GE16FEB14 Unfudged'!$A$2:$A$498, 'Tax Bill Summary'!$A370, 'GE16FEB14 Unfudged'!G$2:G$498)</f>
        <v>0</v>
      </c>
      <c r="J370" s="13">
        <f>+SUMIF('GE16FEB14 Unfudged'!$A$2:$A$498, 'Tax Bill Summary'!$A370, 'GE16FEB14 Unfudged'!H$2:H$498)</f>
        <v>0</v>
      </c>
      <c r="K370" s="56">
        <f t="shared" si="222"/>
        <v>0</v>
      </c>
      <c r="L370" s="51">
        <f>+SUMIF('GE16FEB14 Unfudged'!$A$2:$A$498, 'Tax Bill Summary'!$A370, 'GE16FEB14 Unfudged'!I$2:IF$498)</f>
        <v>0</v>
      </c>
      <c r="M370" s="13">
        <f>+SUMIF('GE16FEB14 Unfudged'!$A$2:$A$498, 'Tax Bill Summary'!$A370, 'GE16FEB14 Unfudged'!J$2:IG$498)</f>
        <v>0</v>
      </c>
      <c r="N370" s="56">
        <f t="shared" si="223"/>
        <v>0</v>
      </c>
      <c r="O370" s="51">
        <f t="shared" si="224"/>
        <v>19249</v>
      </c>
      <c r="P370" s="13">
        <f t="shared" si="225"/>
        <v>0</v>
      </c>
      <c r="Q370" s="56">
        <f t="shared" si="226"/>
        <v>19249</v>
      </c>
      <c r="R370" s="13">
        <f t="shared" si="227"/>
        <v>112.56725146198831</v>
      </c>
      <c r="S370" s="13">
        <f t="shared" si="228"/>
        <v>0</v>
      </c>
      <c r="T370" s="16">
        <f t="shared" si="229"/>
        <v>112.56725146198831</v>
      </c>
      <c r="U370" s="15">
        <f>+SUMIF('GE16FEB14 Tax Bill Unfudged'!$A$2:$A$498, 'Tax Bill Summary'!$A370, 'GE16FEB14 Tax Bill Unfudged'!E$2:E$498)</f>
        <v>19721</v>
      </c>
      <c r="V370" s="13">
        <f>+SUMIF('GE16FEB14 Tax Bill Unfudged'!$A$2:$A$498, 'Tax Bill Summary'!$A370, 'GE16FEB14 Tax Bill Unfudged'!F$2:F$498)</f>
        <v>0</v>
      </c>
      <c r="W370" s="56">
        <f t="shared" si="230"/>
        <v>19721</v>
      </c>
      <c r="X370" s="51">
        <f>+SUMIF('GE16FEB14 Tax Bill Unfudged'!$A$2:$A$498, 'Tax Bill Summary'!$A370, 'GE16FEB14 Tax Bill Unfudged'!G$2:G$498)</f>
        <v>0</v>
      </c>
      <c r="Y370" s="13">
        <f>+SUMIF('GE16FEB14 Tax Bill Unfudged'!$A$2:$A$498, 'Tax Bill Summary'!$A370, 'GE16FEB14 Tax Bill Unfudged'!H$2:H$498)</f>
        <v>0</v>
      </c>
      <c r="Z370" s="56">
        <f t="shared" si="231"/>
        <v>0</v>
      </c>
      <c r="AA370" s="51">
        <f>+SUMIF('GE16FEB14 Tax Bill Unfudged'!$A$2:$A$498, 'Tax Bill Summary'!$A370, 'GE16FEB14 Tax Bill Unfudged'!I$2:I$498)</f>
        <v>0</v>
      </c>
      <c r="AB370" s="13">
        <f>+SUMIF('GE16FEB14 Tax Bill Unfudged'!$A$2:$A$498, 'Tax Bill Summary'!$A370, 'GE16FEB14 Tax Bill Unfudged'!J$2:J$498)</f>
        <v>0</v>
      </c>
      <c r="AC370" s="56">
        <f t="shared" si="232"/>
        <v>0</v>
      </c>
      <c r="AD370" s="51">
        <f t="shared" si="233"/>
        <v>19721</v>
      </c>
      <c r="AE370" s="13">
        <f t="shared" si="234"/>
        <v>0</v>
      </c>
      <c r="AF370" s="56">
        <f t="shared" si="235"/>
        <v>19721</v>
      </c>
      <c r="AG370" s="13">
        <f t="shared" si="236"/>
        <v>115.32748538011695</v>
      </c>
      <c r="AH370" s="13">
        <f t="shared" si="237"/>
        <v>0</v>
      </c>
      <c r="AI370" s="16">
        <f t="shared" si="238"/>
        <v>115.32748538011695</v>
      </c>
      <c r="AJ370" s="15">
        <f t="shared" si="239"/>
        <v>472</v>
      </c>
      <c r="AK370" s="13">
        <f t="shared" si="240"/>
        <v>0</v>
      </c>
      <c r="AL370" s="56">
        <f t="shared" si="241"/>
        <v>472</v>
      </c>
      <c r="AM370" s="51">
        <f t="shared" si="242"/>
        <v>0</v>
      </c>
      <c r="AN370" s="13">
        <f t="shared" si="243"/>
        <v>0</v>
      </c>
      <c r="AO370" s="56">
        <f t="shared" si="244"/>
        <v>0</v>
      </c>
      <c r="AP370" s="51">
        <f t="shared" si="245"/>
        <v>0</v>
      </c>
      <c r="AQ370" s="13">
        <f t="shared" si="246"/>
        <v>0</v>
      </c>
      <c r="AR370" s="56">
        <f t="shared" si="247"/>
        <v>0</v>
      </c>
      <c r="AS370" s="51">
        <f t="shared" si="248"/>
        <v>472</v>
      </c>
      <c r="AT370" s="13">
        <f t="shared" si="249"/>
        <v>0</v>
      </c>
      <c r="AU370" s="56">
        <f t="shared" si="250"/>
        <v>472</v>
      </c>
      <c r="AV370" s="13">
        <f t="shared" si="251"/>
        <v>2.7602339181286482</v>
      </c>
      <c r="AW370" s="13">
        <f t="shared" si="252"/>
        <v>0</v>
      </c>
      <c r="AX370" s="16">
        <f t="shared" si="253"/>
        <v>2.7602339181286482</v>
      </c>
    </row>
    <row r="371" spans="1:50" x14ac:dyDescent="0.25">
      <c r="A371" s="20">
        <v>4026</v>
      </c>
      <c r="B371">
        <v>1</v>
      </c>
      <c r="C371" s="23" t="s">
        <v>29</v>
      </c>
      <c r="D371" s="23">
        <v>7</v>
      </c>
      <c r="E371" s="15">
        <f>+SUMIF('GE16FEB14 Unfudged'!$A$2:$A$498, $A371, 'GE16FEB14 Unfudged'!$D$2:$D$498)</f>
        <v>119</v>
      </c>
      <c r="F371" s="15">
        <f>+SUMIF('GE16FEB14 Unfudged'!$A$2:$A$498, 'Tax Bill Summary'!$A371, 'GE16FEB14 Unfudged'!E$2:E$498)</f>
        <v>13373</v>
      </c>
      <c r="G371" s="13">
        <f>+SUMIF('GE16FEB14 Unfudged'!$A$2:$A$498, 'Tax Bill Summary'!$A371, 'GE16FEB14 Unfudged'!F$2:F$498)</f>
        <v>0</v>
      </c>
      <c r="H371" s="56">
        <f t="shared" si="221"/>
        <v>13373</v>
      </c>
      <c r="I371" s="51">
        <f>+SUMIF('GE16FEB14 Unfudged'!$A$2:$A$498, 'Tax Bill Summary'!$A371, 'GE16FEB14 Unfudged'!G$2:G$498)</f>
        <v>0</v>
      </c>
      <c r="J371" s="13">
        <f>+SUMIF('GE16FEB14 Unfudged'!$A$2:$A$498, 'Tax Bill Summary'!$A371, 'GE16FEB14 Unfudged'!H$2:H$498)</f>
        <v>0</v>
      </c>
      <c r="K371" s="56">
        <f t="shared" si="222"/>
        <v>0</v>
      </c>
      <c r="L371" s="51">
        <f>+SUMIF('GE16FEB14 Unfudged'!$A$2:$A$498, 'Tax Bill Summary'!$A371, 'GE16FEB14 Unfudged'!I$2:IF$498)</f>
        <v>0</v>
      </c>
      <c r="M371" s="13">
        <f>+SUMIF('GE16FEB14 Unfudged'!$A$2:$A$498, 'Tax Bill Summary'!$A371, 'GE16FEB14 Unfudged'!J$2:IG$498)</f>
        <v>0</v>
      </c>
      <c r="N371" s="56">
        <f t="shared" si="223"/>
        <v>0</v>
      </c>
      <c r="O371" s="51">
        <f t="shared" si="224"/>
        <v>13373</v>
      </c>
      <c r="P371" s="13">
        <f t="shared" si="225"/>
        <v>0</v>
      </c>
      <c r="Q371" s="56">
        <f t="shared" si="226"/>
        <v>13373</v>
      </c>
      <c r="R371" s="13">
        <f t="shared" si="227"/>
        <v>112.3781512605042</v>
      </c>
      <c r="S371" s="13">
        <f t="shared" si="228"/>
        <v>0</v>
      </c>
      <c r="T371" s="16">
        <f t="shared" si="229"/>
        <v>112.3781512605042</v>
      </c>
      <c r="U371" s="15">
        <f>+SUMIF('GE16FEB14 Tax Bill Unfudged'!$A$2:$A$498, 'Tax Bill Summary'!$A371, 'GE16FEB14 Tax Bill Unfudged'!E$2:E$498)</f>
        <v>13701</v>
      </c>
      <c r="V371" s="13">
        <f>+SUMIF('GE16FEB14 Tax Bill Unfudged'!$A$2:$A$498, 'Tax Bill Summary'!$A371, 'GE16FEB14 Tax Bill Unfudged'!F$2:F$498)</f>
        <v>0</v>
      </c>
      <c r="W371" s="56">
        <f t="shared" si="230"/>
        <v>13701</v>
      </c>
      <c r="X371" s="51">
        <f>+SUMIF('GE16FEB14 Tax Bill Unfudged'!$A$2:$A$498, 'Tax Bill Summary'!$A371, 'GE16FEB14 Tax Bill Unfudged'!G$2:G$498)</f>
        <v>0</v>
      </c>
      <c r="Y371" s="13">
        <f>+SUMIF('GE16FEB14 Tax Bill Unfudged'!$A$2:$A$498, 'Tax Bill Summary'!$A371, 'GE16FEB14 Tax Bill Unfudged'!H$2:H$498)</f>
        <v>0</v>
      </c>
      <c r="Z371" s="56">
        <f t="shared" si="231"/>
        <v>0</v>
      </c>
      <c r="AA371" s="51">
        <f>+SUMIF('GE16FEB14 Tax Bill Unfudged'!$A$2:$A$498, 'Tax Bill Summary'!$A371, 'GE16FEB14 Tax Bill Unfudged'!I$2:I$498)</f>
        <v>0</v>
      </c>
      <c r="AB371" s="13">
        <f>+SUMIF('GE16FEB14 Tax Bill Unfudged'!$A$2:$A$498, 'Tax Bill Summary'!$A371, 'GE16FEB14 Tax Bill Unfudged'!J$2:J$498)</f>
        <v>0</v>
      </c>
      <c r="AC371" s="56">
        <f t="shared" si="232"/>
        <v>0</v>
      </c>
      <c r="AD371" s="51">
        <f t="shared" si="233"/>
        <v>13701</v>
      </c>
      <c r="AE371" s="13">
        <f t="shared" si="234"/>
        <v>0</v>
      </c>
      <c r="AF371" s="56">
        <f t="shared" si="235"/>
        <v>13701</v>
      </c>
      <c r="AG371" s="13">
        <f t="shared" si="236"/>
        <v>115.1344537815126</v>
      </c>
      <c r="AH371" s="13">
        <f t="shared" si="237"/>
        <v>0</v>
      </c>
      <c r="AI371" s="16">
        <f t="shared" si="238"/>
        <v>115.1344537815126</v>
      </c>
      <c r="AJ371" s="15">
        <f t="shared" si="239"/>
        <v>328</v>
      </c>
      <c r="AK371" s="13">
        <f t="shared" si="240"/>
        <v>0</v>
      </c>
      <c r="AL371" s="56">
        <f t="shared" si="241"/>
        <v>328</v>
      </c>
      <c r="AM371" s="51">
        <f t="shared" si="242"/>
        <v>0</v>
      </c>
      <c r="AN371" s="13">
        <f t="shared" si="243"/>
        <v>0</v>
      </c>
      <c r="AO371" s="56">
        <f t="shared" si="244"/>
        <v>0</v>
      </c>
      <c r="AP371" s="51">
        <f t="shared" si="245"/>
        <v>0</v>
      </c>
      <c r="AQ371" s="13">
        <f t="shared" si="246"/>
        <v>0</v>
      </c>
      <c r="AR371" s="56">
        <f t="shared" si="247"/>
        <v>0</v>
      </c>
      <c r="AS371" s="51">
        <f t="shared" si="248"/>
        <v>328</v>
      </c>
      <c r="AT371" s="13">
        <f t="shared" si="249"/>
        <v>0</v>
      </c>
      <c r="AU371" s="56">
        <f t="shared" si="250"/>
        <v>328</v>
      </c>
      <c r="AV371" s="13">
        <f t="shared" si="251"/>
        <v>2.7563025210084078</v>
      </c>
      <c r="AW371" s="13">
        <f t="shared" si="252"/>
        <v>0</v>
      </c>
      <c r="AX371" s="16">
        <f t="shared" si="253"/>
        <v>2.7563025210084078</v>
      </c>
    </row>
    <row r="372" spans="1:50" x14ac:dyDescent="0.25">
      <c r="A372" s="20">
        <v>4027</v>
      </c>
      <c r="B372">
        <v>1</v>
      </c>
      <c r="C372" s="23" t="s">
        <v>30</v>
      </c>
      <c r="D372" s="23">
        <v>7</v>
      </c>
      <c r="E372" s="15">
        <f>+SUMIF('GE16FEB14 Unfudged'!$A$2:$A$498, $A372, 'GE16FEB14 Unfudged'!$D$2:$D$498)</f>
        <v>1118</v>
      </c>
      <c r="F372" s="15">
        <f>+SUMIF('GE16FEB14 Unfudged'!$A$2:$A$498, 'Tax Bill Summary'!$A372, 'GE16FEB14 Unfudged'!E$2:E$498)</f>
        <v>125851</v>
      </c>
      <c r="G372" s="13">
        <f>+SUMIF('GE16FEB14 Unfudged'!$A$2:$A$498, 'Tax Bill Summary'!$A372, 'GE16FEB14 Unfudged'!F$2:F$498)</f>
        <v>0</v>
      </c>
      <c r="H372" s="56">
        <f t="shared" si="221"/>
        <v>125851</v>
      </c>
      <c r="I372" s="51">
        <f>+SUMIF('GE16FEB14 Unfudged'!$A$2:$A$498, 'Tax Bill Summary'!$A372, 'GE16FEB14 Unfudged'!G$2:G$498)</f>
        <v>0</v>
      </c>
      <c r="J372" s="13">
        <f>+SUMIF('GE16FEB14 Unfudged'!$A$2:$A$498, 'Tax Bill Summary'!$A372, 'GE16FEB14 Unfudged'!H$2:H$498)</f>
        <v>0</v>
      </c>
      <c r="K372" s="56">
        <f t="shared" si="222"/>
        <v>0</v>
      </c>
      <c r="L372" s="51">
        <f>+SUMIF('GE16FEB14 Unfudged'!$A$2:$A$498, 'Tax Bill Summary'!$A372, 'GE16FEB14 Unfudged'!I$2:IF$498)</f>
        <v>0</v>
      </c>
      <c r="M372" s="13">
        <f>+SUMIF('GE16FEB14 Unfudged'!$A$2:$A$498, 'Tax Bill Summary'!$A372, 'GE16FEB14 Unfudged'!J$2:IG$498)</f>
        <v>0</v>
      </c>
      <c r="N372" s="56">
        <f t="shared" si="223"/>
        <v>0</v>
      </c>
      <c r="O372" s="51">
        <f t="shared" si="224"/>
        <v>125851</v>
      </c>
      <c r="P372" s="13">
        <f t="shared" si="225"/>
        <v>0</v>
      </c>
      <c r="Q372" s="56">
        <f t="shared" si="226"/>
        <v>125851</v>
      </c>
      <c r="R372" s="13">
        <f t="shared" si="227"/>
        <v>112.56797853309482</v>
      </c>
      <c r="S372" s="13">
        <f t="shared" si="228"/>
        <v>0</v>
      </c>
      <c r="T372" s="16">
        <f t="shared" si="229"/>
        <v>112.56797853309482</v>
      </c>
      <c r="U372" s="15">
        <f>+SUMIF('GE16FEB14 Tax Bill Unfudged'!$A$2:$A$498, 'Tax Bill Summary'!$A372, 'GE16FEB14 Tax Bill Unfudged'!E$2:E$498)</f>
        <v>128937</v>
      </c>
      <c r="V372" s="13">
        <f>+SUMIF('GE16FEB14 Tax Bill Unfudged'!$A$2:$A$498, 'Tax Bill Summary'!$A372, 'GE16FEB14 Tax Bill Unfudged'!F$2:F$498)</f>
        <v>0</v>
      </c>
      <c r="W372" s="56">
        <f t="shared" si="230"/>
        <v>128937</v>
      </c>
      <c r="X372" s="51">
        <f>+SUMIF('GE16FEB14 Tax Bill Unfudged'!$A$2:$A$498, 'Tax Bill Summary'!$A372, 'GE16FEB14 Tax Bill Unfudged'!G$2:G$498)</f>
        <v>0</v>
      </c>
      <c r="Y372" s="13">
        <f>+SUMIF('GE16FEB14 Tax Bill Unfudged'!$A$2:$A$498, 'Tax Bill Summary'!$A372, 'GE16FEB14 Tax Bill Unfudged'!H$2:H$498)</f>
        <v>0</v>
      </c>
      <c r="Z372" s="56">
        <f t="shared" si="231"/>
        <v>0</v>
      </c>
      <c r="AA372" s="51">
        <f>+SUMIF('GE16FEB14 Tax Bill Unfudged'!$A$2:$A$498, 'Tax Bill Summary'!$A372, 'GE16FEB14 Tax Bill Unfudged'!I$2:I$498)</f>
        <v>0</v>
      </c>
      <c r="AB372" s="13">
        <f>+SUMIF('GE16FEB14 Tax Bill Unfudged'!$A$2:$A$498, 'Tax Bill Summary'!$A372, 'GE16FEB14 Tax Bill Unfudged'!J$2:J$498)</f>
        <v>0</v>
      </c>
      <c r="AC372" s="56">
        <f t="shared" si="232"/>
        <v>0</v>
      </c>
      <c r="AD372" s="51">
        <f t="shared" si="233"/>
        <v>128937</v>
      </c>
      <c r="AE372" s="13">
        <f t="shared" si="234"/>
        <v>0</v>
      </c>
      <c r="AF372" s="56">
        <f t="shared" si="235"/>
        <v>128937</v>
      </c>
      <c r="AG372" s="13">
        <f t="shared" si="236"/>
        <v>115.32826475849731</v>
      </c>
      <c r="AH372" s="13">
        <f t="shared" si="237"/>
        <v>0</v>
      </c>
      <c r="AI372" s="16">
        <f t="shared" si="238"/>
        <v>115.32826475849731</v>
      </c>
      <c r="AJ372" s="15">
        <f t="shared" si="239"/>
        <v>3086</v>
      </c>
      <c r="AK372" s="13">
        <f t="shared" si="240"/>
        <v>0</v>
      </c>
      <c r="AL372" s="56">
        <f t="shared" si="241"/>
        <v>3086</v>
      </c>
      <c r="AM372" s="51">
        <f t="shared" si="242"/>
        <v>0</v>
      </c>
      <c r="AN372" s="13">
        <f t="shared" si="243"/>
        <v>0</v>
      </c>
      <c r="AO372" s="56">
        <f t="shared" si="244"/>
        <v>0</v>
      </c>
      <c r="AP372" s="51">
        <f t="shared" si="245"/>
        <v>0</v>
      </c>
      <c r="AQ372" s="13">
        <f t="shared" si="246"/>
        <v>0</v>
      </c>
      <c r="AR372" s="56">
        <f t="shared" si="247"/>
        <v>0</v>
      </c>
      <c r="AS372" s="51">
        <f t="shared" si="248"/>
        <v>3086</v>
      </c>
      <c r="AT372" s="13">
        <f t="shared" si="249"/>
        <v>0</v>
      </c>
      <c r="AU372" s="56">
        <f t="shared" si="250"/>
        <v>3086</v>
      </c>
      <c r="AV372" s="13">
        <f t="shared" si="251"/>
        <v>2.7602862254024956</v>
      </c>
      <c r="AW372" s="13">
        <f t="shared" si="252"/>
        <v>0</v>
      </c>
      <c r="AX372" s="16">
        <f t="shared" si="253"/>
        <v>2.7602862254024956</v>
      </c>
    </row>
    <row r="373" spans="1:50" x14ac:dyDescent="0.25">
      <c r="A373" s="20">
        <v>4029</v>
      </c>
      <c r="B373">
        <v>1</v>
      </c>
      <c r="C373" s="23" t="s">
        <v>460</v>
      </c>
      <c r="D373" s="23">
        <v>7</v>
      </c>
      <c r="E373" s="15">
        <f>+SUMIF('GE16FEB14 Unfudged'!$A$2:$A$498, $A373, 'GE16FEB14 Unfudged'!$D$2:$D$498)</f>
        <v>377</v>
      </c>
      <c r="F373" s="15">
        <f>+SUMIF('GE16FEB14 Unfudged'!$A$2:$A$498, 'Tax Bill Summary'!$A373, 'GE16FEB14 Unfudged'!E$2:E$498)</f>
        <v>42404</v>
      </c>
      <c r="G373" s="13">
        <f>+SUMIF('GE16FEB14 Unfudged'!$A$2:$A$498, 'Tax Bill Summary'!$A373, 'GE16FEB14 Unfudged'!F$2:F$498)</f>
        <v>0</v>
      </c>
      <c r="H373" s="56">
        <f t="shared" si="221"/>
        <v>42404</v>
      </c>
      <c r="I373" s="51">
        <f>+SUMIF('GE16FEB14 Unfudged'!$A$2:$A$498, 'Tax Bill Summary'!$A373, 'GE16FEB14 Unfudged'!G$2:G$498)</f>
        <v>0</v>
      </c>
      <c r="J373" s="13">
        <f>+SUMIF('GE16FEB14 Unfudged'!$A$2:$A$498, 'Tax Bill Summary'!$A373, 'GE16FEB14 Unfudged'!H$2:H$498)</f>
        <v>0</v>
      </c>
      <c r="K373" s="56">
        <f t="shared" si="222"/>
        <v>0</v>
      </c>
      <c r="L373" s="51">
        <f>+SUMIF('GE16FEB14 Unfudged'!$A$2:$A$498, 'Tax Bill Summary'!$A373, 'GE16FEB14 Unfudged'!I$2:IF$498)</f>
        <v>0</v>
      </c>
      <c r="M373" s="13">
        <f>+SUMIF('GE16FEB14 Unfudged'!$A$2:$A$498, 'Tax Bill Summary'!$A373, 'GE16FEB14 Unfudged'!J$2:IG$498)</f>
        <v>0</v>
      </c>
      <c r="N373" s="56">
        <f t="shared" si="223"/>
        <v>0</v>
      </c>
      <c r="O373" s="51">
        <f t="shared" si="224"/>
        <v>42404</v>
      </c>
      <c r="P373" s="13">
        <f t="shared" si="225"/>
        <v>0</v>
      </c>
      <c r="Q373" s="56">
        <f t="shared" si="226"/>
        <v>42404</v>
      </c>
      <c r="R373" s="13">
        <f t="shared" si="227"/>
        <v>112.47745358090185</v>
      </c>
      <c r="S373" s="13">
        <f t="shared" si="228"/>
        <v>0</v>
      </c>
      <c r="T373" s="16">
        <f t="shared" si="229"/>
        <v>112.47745358090185</v>
      </c>
      <c r="U373" s="15">
        <f>+SUMIF('GE16FEB14 Tax Bill Unfudged'!$A$2:$A$498, 'Tax Bill Summary'!$A373, 'GE16FEB14 Tax Bill Unfudged'!E$2:E$498)</f>
        <v>43444</v>
      </c>
      <c r="V373" s="13">
        <f>+SUMIF('GE16FEB14 Tax Bill Unfudged'!$A$2:$A$498, 'Tax Bill Summary'!$A373, 'GE16FEB14 Tax Bill Unfudged'!F$2:F$498)</f>
        <v>0</v>
      </c>
      <c r="W373" s="56">
        <f t="shared" si="230"/>
        <v>43444</v>
      </c>
      <c r="X373" s="51">
        <f>+SUMIF('GE16FEB14 Tax Bill Unfudged'!$A$2:$A$498, 'Tax Bill Summary'!$A373, 'GE16FEB14 Tax Bill Unfudged'!G$2:G$498)</f>
        <v>0</v>
      </c>
      <c r="Y373" s="13">
        <f>+SUMIF('GE16FEB14 Tax Bill Unfudged'!$A$2:$A$498, 'Tax Bill Summary'!$A373, 'GE16FEB14 Tax Bill Unfudged'!H$2:H$498)</f>
        <v>0</v>
      </c>
      <c r="Z373" s="56">
        <f t="shared" si="231"/>
        <v>0</v>
      </c>
      <c r="AA373" s="51">
        <f>+SUMIF('GE16FEB14 Tax Bill Unfudged'!$A$2:$A$498, 'Tax Bill Summary'!$A373, 'GE16FEB14 Tax Bill Unfudged'!I$2:I$498)</f>
        <v>0</v>
      </c>
      <c r="AB373" s="13">
        <f>+SUMIF('GE16FEB14 Tax Bill Unfudged'!$A$2:$A$498, 'Tax Bill Summary'!$A373, 'GE16FEB14 Tax Bill Unfudged'!J$2:J$498)</f>
        <v>0</v>
      </c>
      <c r="AC373" s="56">
        <f t="shared" si="232"/>
        <v>0</v>
      </c>
      <c r="AD373" s="51">
        <f t="shared" si="233"/>
        <v>43444</v>
      </c>
      <c r="AE373" s="13">
        <f t="shared" si="234"/>
        <v>0</v>
      </c>
      <c r="AF373" s="56">
        <f t="shared" si="235"/>
        <v>43444</v>
      </c>
      <c r="AG373" s="13">
        <f t="shared" si="236"/>
        <v>115.23607427055703</v>
      </c>
      <c r="AH373" s="13">
        <f t="shared" si="237"/>
        <v>0</v>
      </c>
      <c r="AI373" s="16">
        <f t="shared" si="238"/>
        <v>115.23607427055703</v>
      </c>
      <c r="AJ373" s="15">
        <f t="shared" si="239"/>
        <v>1040</v>
      </c>
      <c r="AK373" s="13">
        <f t="shared" si="240"/>
        <v>0</v>
      </c>
      <c r="AL373" s="56">
        <f t="shared" si="241"/>
        <v>1040</v>
      </c>
      <c r="AM373" s="51">
        <f t="shared" si="242"/>
        <v>0</v>
      </c>
      <c r="AN373" s="13">
        <f t="shared" si="243"/>
        <v>0</v>
      </c>
      <c r="AO373" s="56">
        <f t="shared" si="244"/>
        <v>0</v>
      </c>
      <c r="AP373" s="51">
        <f t="shared" si="245"/>
        <v>0</v>
      </c>
      <c r="AQ373" s="13">
        <f t="shared" si="246"/>
        <v>0</v>
      </c>
      <c r="AR373" s="56">
        <f t="shared" si="247"/>
        <v>0</v>
      </c>
      <c r="AS373" s="51">
        <f t="shared" si="248"/>
        <v>1040</v>
      </c>
      <c r="AT373" s="13">
        <f t="shared" si="249"/>
        <v>0</v>
      </c>
      <c r="AU373" s="56">
        <f t="shared" si="250"/>
        <v>1040</v>
      </c>
      <c r="AV373" s="13">
        <f t="shared" si="251"/>
        <v>2.7586206896551744</v>
      </c>
      <c r="AW373" s="13">
        <f t="shared" si="252"/>
        <v>0</v>
      </c>
      <c r="AX373" s="16">
        <f t="shared" si="253"/>
        <v>2.7586206896551744</v>
      </c>
    </row>
    <row r="374" spans="1:50" x14ac:dyDescent="0.25">
      <c r="A374" s="20">
        <v>4030</v>
      </c>
      <c r="B374">
        <v>1</v>
      </c>
      <c r="C374" s="23" t="s">
        <v>461</v>
      </c>
      <c r="D374" s="23">
        <v>7</v>
      </c>
      <c r="E374" s="15">
        <f>+SUMIF('GE16FEB14 Unfudged'!$A$2:$A$498, $A374, 'GE16FEB14 Unfudged'!$D$2:$D$498)</f>
        <v>355</v>
      </c>
      <c r="F374" s="15">
        <f>+SUMIF('GE16FEB14 Unfudged'!$A$2:$A$498, 'Tax Bill Summary'!$A374, 'GE16FEB14 Unfudged'!E$2:E$498)</f>
        <v>39950</v>
      </c>
      <c r="G374" s="13">
        <f>+SUMIF('GE16FEB14 Unfudged'!$A$2:$A$498, 'Tax Bill Summary'!$A374, 'GE16FEB14 Unfudged'!F$2:F$498)</f>
        <v>0</v>
      </c>
      <c r="H374" s="56">
        <f t="shared" si="221"/>
        <v>39950</v>
      </c>
      <c r="I374" s="51">
        <f>+SUMIF('GE16FEB14 Unfudged'!$A$2:$A$498, 'Tax Bill Summary'!$A374, 'GE16FEB14 Unfudged'!G$2:G$498)</f>
        <v>0</v>
      </c>
      <c r="J374" s="13">
        <f>+SUMIF('GE16FEB14 Unfudged'!$A$2:$A$498, 'Tax Bill Summary'!$A374, 'GE16FEB14 Unfudged'!H$2:H$498)</f>
        <v>0</v>
      </c>
      <c r="K374" s="56">
        <f t="shared" si="222"/>
        <v>0</v>
      </c>
      <c r="L374" s="51">
        <f>+SUMIF('GE16FEB14 Unfudged'!$A$2:$A$498, 'Tax Bill Summary'!$A374, 'GE16FEB14 Unfudged'!I$2:IF$498)</f>
        <v>0</v>
      </c>
      <c r="M374" s="13">
        <f>+SUMIF('GE16FEB14 Unfudged'!$A$2:$A$498, 'Tax Bill Summary'!$A374, 'GE16FEB14 Unfudged'!J$2:IG$498)</f>
        <v>0</v>
      </c>
      <c r="N374" s="56">
        <f t="shared" si="223"/>
        <v>0</v>
      </c>
      <c r="O374" s="51">
        <f t="shared" si="224"/>
        <v>39950</v>
      </c>
      <c r="P374" s="13">
        <f t="shared" si="225"/>
        <v>0</v>
      </c>
      <c r="Q374" s="56">
        <f t="shared" si="226"/>
        <v>39950</v>
      </c>
      <c r="R374" s="13">
        <f t="shared" si="227"/>
        <v>112.53521126760563</v>
      </c>
      <c r="S374" s="13">
        <f t="shared" si="228"/>
        <v>0</v>
      </c>
      <c r="T374" s="16">
        <f t="shared" si="229"/>
        <v>112.53521126760563</v>
      </c>
      <c r="U374" s="15">
        <f>+SUMIF('GE16FEB14 Tax Bill Unfudged'!$A$2:$A$498, 'Tax Bill Summary'!$A374, 'GE16FEB14 Tax Bill Unfudged'!E$2:E$498)</f>
        <v>40930</v>
      </c>
      <c r="V374" s="13">
        <f>+SUMIF('GE16FEB14 Tax Bill Unfudged'!$A$2:$A$498, 'Tax Bill Summary'!$A374, 'GE16FEB14 Tax Bill Unfudged'!F$2:F$498)</f>
        <v>0</v>
      </c>
      <c r="W374" s="56">
        <f t="shared" si="230"/>
        <v>40930</v>
      </c>
      <c r="X374" s="51">
        <f>+SUMIF('GE16FEB14 Tax Bill Unfudged'!$A$2:$A$498, 'Tax Bill Summary'!$A374, 'GE16FEB14 Tax Bill Unfudged'!G$2:G$498)</f>
        <v>0</v>
      </c>
      <c r="Y374" s="13">
        <f>+SUMIF('GE16FEB14 Tax Bill Unfudged'!$A$2:$A$498, 'Tax Bill Summary'!$A374, 'GE16FEB14 Tax Bill Unfudged'!H$2:H$498)</f>
        <v>0</v>
      </c>
      <c r="Z374" s="56">
        <f t="shared" si="231"/>
        <v>0</v>
      </c>
      <c r="AA374" s="51">
        <f>+SUMIF('GE16FEB14 Tax Bill Unfudged'!$A$2:$A$498, 'Tax Bill Summary'!$A374, 'GE16FEB14 Tax Bill Unfudged'!I$2:I$498)</f>
        <v>0</v>
      </c>
      <c r="AB374" s="13">
        <f>+SUMIF('GE16FEB14 Tax Bill Unfudged'!$A$2:$A$498, 'Tax Bill Summary'!$A374, 'GE16FEB14 Tax Bill Unfudged'!J$2:J$498)</f>
        <v>0</v>
      </c>
      <c r="AC374" s="56">
        <f t="shared" si="232"/>
        <v>0</v>
      </c>
      <c r="AD374" s="51">
        <f t="shared" si="233"/>
        <v>40930</v>
      </c>
      <c r="AE374" s="13">
        <f t="shared" si="234"/>
        <v>0</v>
      </c>
      <c r="AF374" s="56">
        <f t="shared" si="235"/>
        <v>40930</v>
      </c>
      <c r="AG374" s="13">
        <f t="shared" si="236"/>
        <v>115.29577464788733</v>
      </c>
      <c r="AH374" s="13">
        <f t="shared" si="237"/>
        <v>0</v>
      </c>
      <c r="AI374" s="16">
        <f t="shared" si="238"/>
        <v>115.29577464788733</v>
      </c>
      <c r="AJ374" s="15">
        <f t="shared" si="239"/>
        <v>980</v>
      </c>
      <c r="AK374" s="13">
        <f t="shared" si="240"/>
        <v>0</v>
      </c>
      <c r="AL374" s="56">
        <f t="shared" si="241"/>
        <v>980</v>
      </c>
      <c r="AM374" s="51">
        <f t="shared" si="242"/>
        <v>0</v>
      </c>
      <c r="AN374" s="13">
        <f t="shared" si="243"/>
        <v>0</v>
      </c>
      <c r="AO374" s="56">
        <f t="shared" si="244"/>
        <v>0</v>
      </c>
      <c r="AP374" s="51">
        <f t="shared" si="245"/>
        <v>0</v>
      </c>
      <c r="AQ374" s="13">
        <f t="shared" si="246"/>
        <v>0</v>
      </c>
      <c r="AR374" s="56">
        <f t="shared" si="247"/>
        <v>0</v>
      </c>
      <c r="AS374" s="51">
        <f t="shared" si="248"/>
        <v>980</v>
      </c>
      <c r="AT374" s="13">
        <f t="shared" si="249"/>
        <v>0</v>
      </c>
      <c r="AU374" s="56">
        <f t="shared" si="250"/>
        <v>980</v>
      </c>
      <c r="AV374" s="13">
        <f t="shared" si="251"/>
        <v>2.7605633802816953</v>
      </c>
      <c r="AW374" s="13">
        <f t="shared" si="252"/>
        <v>0</v>
      </c>
      <c r="AX374" s="16">
        <f t="shared" si="253"/>
        <v>2.7605633802816953</v>
      </c>
    </row>
    <row r="375" spans="1:50" x14ac:dyDescent="0.25">
      <c r="A375" s="20">
        <v>4031</v>
      </c>
      <c r="B375">
        <v>7</v>
      </c>
      <c r="C375" s="23" t="s">
        <v>474</v>
      </c>
      <c r="D375" s="23">
        <v>7</v>
      </c>
      <c r="E375" s="15">
        <f>+SUMIF('GE16FEB14 Unfudged'!$A$2:$A$498, $A375, 'GE16FEB14 Unfudged'!$D$2:$D$498)</f>
        <v>84</v>
      </c>
      <c r="F375" s="15">
        <f>+SUMIF('GE16FEB14 Unfudged'!$A$2:$A$498, 'Tax Bill Summary'!$A375, 'GE16FEB14 Unfudged'!E$2:E$498)</f>
        <v>9456</v>
      </c>
      <c r="G375" s="13">
        <f>+SUMIF('GE16FEB14 Unfudged'!$A$2:$A$498, 'Tax Bill Summary'!$A375, 'GE16FEB14 Unfudged'!F$2:F$498)</f>
        <v>0</v>
      </c>
      <c r="H375" s="56">
        <f t="shared" si="221"/>
        <v>9456</v>
      </c>
      <c r="I375" s="51">
        <f>+SUMIF('GE16FEB14 Unfudged'!$A$2:$A$498, 'Tax Bill Summary'!$A375, 'GE16FEB14 Unfudged'!G$2:G$498)</f>
        <v>0</v>
      </c>
      <c r="J375" s="13">
        <f>+SUMIF('GE16FEB14 Unfudged'!$A$2:$A$498, 'Tax Bill Summary'!$A375, 'GE16FEB14 Unfudged'!H$2:H$498)</f>
        <v>0</v>
      </c>
      <c r="K375" s="56">
        <f t="shared" si="222"/>
        <v>0</v>
      </c>
      <c r="L375" s="51">
        <f>+SUMIF('GE16FEB14 Unfudged'!$A$2:$A$498, 'Tax Bill Summary'!$A375, 'GE16FEB14 Unfudged'!I$2:IF$498)</f>
        <v>0</v>
      </c>
      <c r="M375" s="13">
        <f>+SUMIF('GE16FEB14 Unfudged'!$A$2:$A$498, 'Tax Bill Summary'!$A375, 'GE16FEB14 Unfudged'!J$2:IG$498)</f>
        <v>0</v>
      </c>
      <c r="N375" s="56">
        <f t="shared" si="223"/>
        <v>0</v>
      </c>
      <c r="O375" s="51">
        <f t="shared" si="224"/>
        <v>9456</v>
      </c>
      <c r="P375" s="13">
        <f t="shared" si="225"/>
        <v>0</v>
      </c>
      <c r="Q375" s="56">
        <f t="shared" si="226"/>
        <v>9456</v>
      </c>
      <c r="R375" s="13">
        <f t="shared" si="227"/>
        <v>112.57142857142857</v>
      </c>
      <c r="S375" s="13">
        <f t="shared" si="228"/>
        <v>0</v>
      </c>
      <c r="T375" s="16">
        <f t="shared" si="229"/>
        <v>112.57142857142857</v>
      </c>
      <c r="U375" s="15">
        <f>+SUMIF('GE16FEB14 Tax Bill Unfudged'!$A$2:$A$498, 'Tax Bill Summary'!$A375, 'GE16FEB14 Tax Bill Unfudged'!E$2:E$498)</f>
        <v>9688</v>
      </c>
      <c r="V375" s="13">
        <f>+SUMIF('GE16FEB14 Tax Bill Unfudged'!$A$2:$A$498, 'Tax Bill Summary'!$A375, 'GE16FEB14 Tax Bill Unfudged'!F$2:F$498)</f>
        <v>0</v>
      </c>
      <c r="W375" s="56">
        <f t="shared" si="230"/>
        <v>9688</v>
      </c>
      <c r="X375" s="51">
        <f>+SUMIF('GE16FEB14 Tax Bill Unfudged'!$A$2:$A$498, 'Tax Bill Summary'!$A375, 'GE16FEB14 Tax Bill Unfudged'!G$2:G$498)</f>
        <v>0</v>
      </c>
      <c r="Y375" s="13">
        <f>+SUMIF('GE16FEB14 Tax Bill Unfudged'!$A$2:$A$498, 'Tax Bill Summary'!$A375, 'GE16FEB14 Tax Bill Unfudged'!H$2:H$498)</f>
        <v>0</v>
      </c>
      <c r="Z375" s="56">
        <f t="shared" si="231"/>
        <v>0</v>
      </c>
      <c r="AA375" s="51">
        <f>+SUMIF('GE16FEB14 Tax Bill Unfudged'!$A$2:$A$498, 'Tax Bill Summary'!$A375, 'GE16FEB14 Tax Bill Unfudged'!I$2:I$498)</f>
        <v>0</v>
      </c>
      <c r="AB375" s="13">
        <f>+SUMIF('GE16FEB14 Tax Bill Unfudged'!$A$2:$A$498, 'Tax Bill Summary'!$A375, 'GE16FEB14 Tax Bill Unfudged'!J$2:J$498)</f>
        <v>0</v>
      </c>
      <c r="AC375" s="56">
        <f t="shared" si="232"/>
        <v>0</v>
      </c>
      <c r="AD375" s="51">
        <f t="shared" si="233"/>
        <v>9688</v>
      </c>
      <c r="AE375" s="13">
        <f t="shared" si="234"/>
        <v>0</v>
      </c>
      <c r="AF375" s="56">
        <f t="shared" si="235"/>
        <v>9688</v>
      </c>
      <c r="AG375" s="13">
        <f t="shared" si="236"/>
        <v>115.33333333333333</v>
      </c>
      <c r="AH375" s="13">
        <f t="shared" si="237"/>
        <v>0</v>
      </c>
      <c r="AI375" s="16">
        <f t="shared" si="238"/>
        <v>115.33333333333333</v>
      </c>
      <c r="AJ375" s="15">
        <f t="shared" si="239"/>
        <v>232</v>
      </c>
      <c r="AK375" s="13">
        <f t="shared" si="240"/>
        <v>0</v>
      </c>
      <c r="AL375" s="56">
        <f t="shared" si="241"/>
        <v>232</v>
      </c>
      <c r="AM375" s="51">
        <f t="shared" si="242"/>
        <v>0</v>
      </c>
      <c r="AN375" s="13">
        <f t="shared" si="243"/>
        <v>0</v>
      </c>
      <c r="AO375" s="56">
        <f t="shared" si="244"/>
        <v>0</v>
      </c>
      <c r="AP375" s="51">
        <f t="shared" si="245"/>
        <v>0</v>
      </c>
      <c r="AQ375" s="13">
        <f t="shared" si="246"/>
        <v>0</v>
      </c>
      <c r="AR375" s="56">
        <f t="shared" si="247"/>
        <v>0</v>
      </c>
      <c r="AS375" s="51">
        <f t="shared" si="248"/>
        <v>232</v>
      </c>
      <c r="AT375" s="13">
        <f t="shared" si="249"/>
        <v>0</v>
      </c>
      <c r="AU375" s="56">
        <f t="shared" si="250"/>
        <v>232</v>
      </c>
      <c r="AV375" s="13">
        <f t="shared" si="251"/>
        <v>2.7619047619047592</v>
      </c>
      <c r="AW375" s="13">
        <f t="shared" si="252"/>
        <v>0</v>
      </c>
      <c r="AX375" s="16">
        <f t="shared" si="253"/>
        <v>2.7619047619047592</v>
      </c>
    </row>
    <row r="376" spans="1:50" x14ac:dyDescent="0.25">
      <c r="A376" s="20">
        <v>4032</v>
      </c>
      <c r="B376">
        <v>7</v>
      </c>
      <c r="C376" s="23" t="s">
        <v>475</v>
      </c>
      <c r="D376" s="23">
        <v>7</v>
      </c>
      <c r="E376" s="15">
        <f>+SUMIF('GE16FEB14 Unfudged'!$A$2:$A$498, $A376, 'GE16FEB14 Unfudged'!$D$2:$D$498)</f>
        <v>364</v>
      </c>
      <c r="F376" s="15">
        <f>+SUMIF('GE16FEB14 Unfudged'!$A$2:$A$498, 'Tax Bill Summary'!$A376, 'GE16FEB14 Unfudged'!E$2:E$498)</f>
        <v>40918</v>
      </c>
      <c r="G376" s="13">
        <f>+SUMIF('GE16FEB14 Unfudged'!$A$2:$A$498, 'Tax Bill Summary'!$A376, 'GE16FEB14 Unfudged'!F$2:F$498)</f>
        <v>0</v>
      </c>
      <c r="H376" s="56">
        <f t="shared" si="221"/>
        <v>40918</v>
      </c>
      <c r="I376" s="51">
        <f>+SUMIF('GE16FEB14 Unfudged'!$A$2:$A$498, 'Tax Bill Summary'!$A376, 'GE16FEB14 Unfudged'!G$2:G$498)</f>
        <v>0</v>
      </c>
      <c r="J376" s="13">
        <f>+SUMIF('GE16FEB14 Unfudged'!$A$2:$A$498, 'Tax Bill Summary'!$A376, 'GE16FEB14 Unfudged'!H$2:H$498)</f>
        <v>0</v>
      </c>
      <c r="K376" s="56">
        <f t="shared" si="222"/>
        <v>0</v>
      </c>
      <c r="L376" s="51">
        <f>+SUMIF('GE16FEB14 Unfudged'!$A$2:$A$498, 'Tax Bill Summary'!$A376, 'GE16FEB14 Unfudged'!I$2:IF$498)</f>
        <v>0</v>
      </c>
      <c r="M376" s="13">
        <f>+SUMIF('GE16FEB14 Unfudged'!$A$2:$A$498, 'Tax Bill Summary'!$A376, 'GE16FEB14 Unfudged'!J$2:IG$498)</f>
        <v>0</v>
      </c>
      <c r="N376" s="56">
        <f t="shared" si="223"/>
        <v>0</v>
      </c>
      <c r="O376" s="51">
        <f t="shared" si="224"/>
        <v>40918</v>
      </c>
      <c r="P376" s="13">
        <f t="shared" si="225"/>
        <v>0</v>
      </c>
      <c r="Q376" s="56">
        <f t="shared" si="226"/>
        <v>40918</v>
      </c>
      <c r="R376" s="13">
        <f t="shared" si="227"/>
        <v>112.41208791208791</v>
      </c>
      <c r="S376" s="13">
        <f t="shared" si="228"/>
        <v>0</v>
      </c>
      <c r="T376" s="16">
        <f t="shared" si="229"/>
        <v>112.41208791208791</v>
      </c>
      <c r="U376" s="15">
        <f>+SUMIF('GE16FEB14 Tax Bill Unfudged'!$A$2:$A$498, 'Tax Bill Summary'!$A376, 'GE16FEB14 Tax Bill Unfudged'!E$2:E$498)</f>
        <v>41922</v>
      </c>
      <c r="V376" s="13">
        <f>+SUMIF('GE16FEB14 Tax Bill Unfudged'!$A$2:$A$498, 'Tax Bill Summary'!$A376, 'GE16FEB14 Tax Bill Unfudged'!F$2:F$498)</f>
        <v>0</v>
      </c>
      <c r="W376" s="56">
        <f t="shared" si="230"/>
        <v>41922</v>
      </c>
      <c r="X376" s="51">
        <f>+SUMIF('GE16FEB14 Tax Bill Unfudged'!$A$2:$A$498, 'Tax Bill Summary'!$A376, 'GE16FEB14 Tax Bill Unfudged'!G$2:G$498)</f>
        <v>0</v>
      </c>
      <c r="Y376" s="13">
        <f>+SUMIF('GE16FEB14 Tax Bill Unfudged'!$A$2:$A$498, 'Tax Bill Summary'!$A376, 'GE16FEB14 Tax Bill Unfudged'!H$2:H$498)</f>
        <v>0</v>
      </c>
      <c r="Z376" s="56">
        <f t="shared" si="231"/>
        <v>0</v>
      </c>
      <c r="AA376" s="51">
        <f>+SUMIF('GE16FEB14 Tax Bill Unfudged'!$A$2:$A$498, 'Tax Bill Summary'!$A376, 'GE16FEB14 Tax Bill Unfudged'!I$2:I$498)</f>
        <v>0</v>
      </c>
      <c r="AB376" s="13">
        <f>+SUMIF('GE16FEB14 Tax Bill Unfudged'!$A$2:$A$498, 'Tax Bill Summary'!$A376, 'GE16FEB14 Tax Bill Unfudged'!J$2:J$498)</f>
        <v>0</v>
      </c>
      <c r="AC376" s="56">
        <f t="shared" si="232"/>
        <v>0</v>
      </c>
      <c r="AD376" s="51">
        <f t="shared" si="233"/>
        <v>41922</v>
      </c>
      <c r="AE376" s="13">
        <f t="shared" si="234"/>
        <v>0</v>
      </c>
      <c r="AF376" s="56">
        <f t="shared" si="235"/>
        <v>41922</v>
      </c>
      <c r="AG376" s="13">
        <f t="shared" si="236"/>
        <v>115.17032967032966</v>
      </c>
      <c r="AH376" s="13">
        <f t="shared" si="237"/>
        <v>0</v>
      </c>
      <c r="AI376" s="16">
        <f t="shared" si="238"/>
        <v>115.17032967032966</v>
      </c>
      <c r="AJ376" s="15">
        <f t="shared" si="239"/>
        <v>1004</v>
      </c>
      <c r="AK376" s="13">
        <f t="shared" si="240"/>
        <v>0</v>
      </c>
      <c r="AL376" s="56">
        <f t="shared" si="241"/>
        <v>1004</v>
      </c>
      <c r="AM376" s="51">
        <f t="shared" si="242"/>
        <v>0</v>
      </c>
      <c r="AN376" s="13">
        <f t="shared" si="243"/>
        <v>0</v>
      </c>
      <c r="AO376" s="56">
        <f t="shared" si="244"/>
        <v>0</v>
      </c>
      <c r="AP376" s="51">
        <f t="shared" si="245"/>
        <v>0</v>
      </c>
      <c r="AQ376" s="13">
        <f t="shared" si="246"/>
        <v>0</v>
      </c>
      <c r="AR376" s="56">
        <f t="shared" si="247"/>
        <v>0</v>
      </c>
      <c r="AS376" s="51">
        <f t="shared" si="248"/>
        <v>1004</v>
      </c>
      <c r="AT376" s="13">
        <f t="shared" si="249"/>
        <v>0</v>
      </c>
      <c r="AU376" s="56">
        <f t="shared" si="250"/>
        <v>1004</v>
      </c>
      <c r="AV376" s="13">
        <f t="shared" si="251"/>
        <v>2.758241758241752</v>
      </c>
      <c r="AW376" s="13">
        <f t="shared" si="252"/>
        <v>0</v>
      </c>
      <c r="AX376" s="16">
        <f t="shared" si="253"/>
        <v>2.758241758241752</v>
      </c>
    </row>
    <row r="377" spans="1:50" x14ac:dyDescent="0.25">
      <c r="A377" s="20">
        <v>4035</v>
      </c>
      <c r="B377">
        <v>7</v>
      </c>
      <c r="C377" s="23" t="s">
        <v>476</v>
      </c>
      <c r="D377" s="23">
        <v>7</v>
      </c>
      <c r="E377" s="15">
        <f>+SUMIF('GE16FEB14 Unfudged'!$A$2:$A$498, $A377, 'GE16FEB14 Unfudged'!$D$2:$D$498)</f>
        <v>404</v>
      </c>
      <c r="F377" s="15">
        <f>+SUMIF('GE16FEB14 Unfudged'!$A$2:$A$498, 'Tax Bill Summary'!$A377, 'GE16FEB14 Unfudged'!E$2:E$498)</f>
        <v>45421</v>
      </c>
      <c r="G377" s="13">
        <f>+SUMIF('GE16FEB14 Unfudged'!$A$2:$A$498, 'Tax Bill Summary'!$A377, 'GE16FEB14 Unfudged'!F$2:F$498)</f>
        <v>0</v>
      </c>
      <c r="H377" s="56">
        <f t="shared" si="221"/>
        <v>45421</v>
      </c>
      <c r="I377" s="51">
        <f>+SUMIF('GE16FEB14 Unfudged'!$A$2:$A$498, 'Tax Bill Summary'!$A377, 'GE16FEB14 Unfudged'!G$2:G$498)</f>
        <v>0</v>
      </c>
      <c r="J377" s="13">
        <f>+SUMIF('GE16FEB14 Unfudged'!$A$2:$A$498, 'Tax Bill Summary'!$A377, 'GE16FEB14 Unfudged'!H$2:H$498)</f>
        <v>0</v>
      </c>
      <c r="K377" s="56">
        <f t="shared" si="222"/>
        <v>0</v>
      </c>
      <c r="L377" s="51">
        <f>+SUMIF('GE16FEB14 Unfudged'!$A$2:$A$498, 'Tax Bill Summary'!$A377, 'GE16FEB14 Unfudged'!I$2:IF$498)</f>
        <v>0</v>
      </c>
      <c r="M377" s="13">
        <f>+SUMIF('GE16FEB14 Unfudged'!$A$2:$A$498, 'Tax Bill Summary'!$A377, 'GE16FEB14 Unfudged'!J$2:IG$498)</f>
        <v>0</v>
      </c>
      <c r="N377" s="56">
        <f t="shared" si="223"/>
        <v>0</v>
      </c>
      <c r="O377" s="51">
        <f t="shared" si="224"/>
        <v>45421</v>
      </c>
      <c r="P377" s="13">
        <f t="shared" si="225"/>
        <v>0</v>
      </c>
      <c r="Q377" s="56">
        <f t="shared" si="226"/>
        <v>45421</v>
      </c>
      <c r="R377" s="13">
        <f t="shared" si="227"/>
        <v>112.42821782178218</v>
      </c>
      <c r="S377" s="13">
        <f t="shared" si="228"/>
        <v>0</v>
      </c>
      <c r="T377" s="16">
        <f t="shared" si="229"/>
        <v>112.42821782178218</v>
      </c>
      <c r="U377" s="15">
        <f>+SUMIF('GE16FEB14 Tax Bill Unfudged'!$A$2:$A$498, 'Tax Bill Summary'!$A377, 'GE16FEB14 Tax Bill Unfudged'!E$2:E$498)</f>
        <v>46535</v>
      </c>
      <c r="V377" s="13">
        <f>+SUMIF('GE16FEB14 Tax Bill Unfudged'!$A$2:$A$498, 'Tax Bill Summary'!$A377, 'GE16FEB14 Tax Bill Unfudged'!F$2:F$498)</f>
        <v>0</v>
      </c>
      <c r="W377" s="56">
        <f t="shared" si="230"/>
        <v>46535</v>
      </c>
      <c r="X377" s="51">
        <f>+SUMIF('GE16FEB14 Tax Bill Unfudged'!$A$2:$A$498, 'Tax Bill Summary'!$A377, 'GE16FEB14 Tax Bill Unfudged'!G$2:G$498)</f>
        <v>0</v>
      </c>
      <c r="Y377" s="13">
        <f>+SUMIF('GE16FEB14 Tax Bill Unfudged'!$A$2:$A$498, 'Tax Bill Summary'!$A377, 'GE16FEB14 Tax Bill Unfudged'!H$2:H$498)</f>
        <v>0</v>
      </c>
      <c r="Z377" s="56">
        <f t="shared" si="231"/>
        <v>0</v>
      </c>
      <c r="AA377" s="51">
        <f>+SUMIF('GE16FEB14 Tax Bill Unfudged'!$A$2:$A$498, 'Tax Bill Summary'!$A377, 'GE16FEB14 Tax Bill Unfudged'!I$2:I$498)</f>
        <v>0</v>
      </c>
      <c r="AB377" s="13">
        <f>+SUMIF('GE16FEB14 Tax Bill Unfudged'!$A$2:$A$498, 'Tax Bill Summary'!$A377, 'GE16FEB14 Tax Bill Unfudged'!J$2:J$498)</f>
        <v>0</v>
      </c>
      <c r="AC377" s="56">
        <f t="shared" si="232"/>
        <v>0</v>
      </c>
      <c r="AD377" s="51">
        <f t="shared" si="233"/>
        <v>46535</v>
      </c>
      <c r="AE377" s="13">
        <f t="shared" si="234"/>
        <v>0</v>
      </c>
      <c r="AF377" s="56">
        <f t="shared" si="235"/>
        <v>46535</v>
      </c>
      <c r="AG377" s="13">
        <f t="shared" si="236"/>
        <v>115.18564356435644</v>
      </c>
      <c r="AH377" s="13">
        <f t="shared" si="237"/>
        <v>0</v>
      </c>
      <c r="AI377" s="16">
        <f t="shared" si="238"/>
        <v>115.18564356435644</v>
      </c>
      <c r="AJ377" s="15">
        <f t="shared" si="239"/>
        <v>1114</v>
      </c>
      <c r="AK377" s="13">
        <f t="shared" si="240"/>
        <v>0</v>
      </c>
      <c r="AL377" s="56">
        <f t="shared" si="241"/>
        <v>1114</v>
      </c>
      <c r="AM377" s="51">
        <f t="shared" si="242"/>
        <v>0</v>
      </c>
      <c r="AN377" s="13">
        <f t="shared" si="243"/>
        <v>0</v>
      </c>
      <c r="AO377" s="56">
        <f t="shared" si="244"/>
        <v>0</v>
      </c>
      <c r="AP377" s="51">
        <f t="shared" si="245"/>
        <v>0</v>
      </c>
      <c r="AQ377" s="13">
        <f t="shared" si="246"/>
        <v>0</v>
      </c>
      <c r="AR377" s="56">
        <f t="shared" si="247"/>
        <v>0</v>
      </c>
      <c r="AS377" s="51">
        <f t="shared" si="248"/>
        <v>1114</v>
      </c>
      <c r="AT377" s="13">
        <f t="shared" si="249"/>
        <v>0</v>
      </c>
      <c r="AU377" s="56">
        <f t="shared" si="250"/>
        <v>1114</v>
      </c>
      <c r="AV377" s="13">
        <f t="shared" si="251"/>
        <v>2.7574257425742559</v>
      </c>
      <c r="AW377" s="13">
        <f t="shared" si="252"/>
        <v>0</v>
      </c>
      <c r="AX377" s="16">
        <f t="shared" si="253"/>
        <v>2.7574257425742559</v>
      </c>
    </row>
    <row r="378" spans="1:50" x14ac:dyDescent="0.25">
      <c r="A378" s="20">
        <v>4036</v>
      </c>
      <c r="B378">
        <v>7</v>
      </c>
      <c r="C378" s="23" t="s">
        <v>31</v>
      </c>
      <c r="D378" s="23">
        <v>7</v>
      </c>
      <c r="E378" s="15">
        <f>+SUMIF('GE16FEB14 Unfudged'!$A$2:$A$498, $A378, 'GE16FEB14 Unfudged'!$D$2:$D$498)</f>
        <v>83</v>
      </c>
      <c r="F378" s="15">
        <f>+SUMIF('GE16FEB14 Unfudged'!$A$2:$A$498, 'Tax Bill Summary'!$A378, 'GE16FEB14 Unfudged'!E$2:E$498)</f>
        <v>9321</v>
      </c>
      <c r="G378" s="13">
        <f>+SUMIF('GE16FEB14 Unfudged'!$A$2:$A$498, 'Tax Bill Summary'!$A378, 'GE16FEB14 Unfudged'!F$2:F$498)</f>
        <v>0</v>
      </c>
      <c r="H378" s="56">
        <f t="shared" si="221"/>
        <v>9321</v>
      </c>
      <c r="I378" s="51">
        <f>+SUMIF('GE16FEB14 Unfudged'!$A$2:$A$498, 'Tax Bill Summary'!$A378, 'GE16FEB14 Unfudged'!G$2:G$498)</f>
        <v>0</v>
      </c>
      <c r="J378" s="13">
        <f>+SUMIF('GE16FEB14 Unfudged'!$A$2:$A$498, 'Tax Bill Summary'!$A378, 'GE16FEB14 Unfudged'!H$2:H$498)</f>
        <v>0</v>
      </c>
      <c r="K378" s="56">
        <f t="shared" si="222"/>
        <v>0</v>
      </c>
      <c r="L378" s="51">
        <f>+SUMIF('GE16FEB14 Unfudged'!$A$2:$A$498, 'Tax Bill Summary'!$A378, 'GE16FEB14 Unfudged'!I$2:IF$498)</f>
        <v>0</v>
      </c>
      <c r="M378" s="13">
        <f>+SUMIF('GE16FEB14 Unfudged'!$A$2:$A$498, 'Tax Bill Summary'!$A378, 'GE16FEB14 Unfudged'!J$2:IG$498)</f>
        <v>0</v>
      </c>
      <c r="N378" s="56">
        <f t="shared" si="223"/>
        <v>0</v>
      </c>
      <c r="O378" s="51">
        <f t="shared" si="224"/>
        <v>9321</v>
      </c>
      <c r="P378" s="13">
        <f t="shared" si="225"/>
        <v>0</v>
      </c>
      <c r="Q378" s="56">
        <f t="shared" si="226"/>
        <v>9321</v>
      </c>
      <c r="R378" s="13">
        <f t="shared" si="227"/>
        <v>112.3012048192771</v>
      </c>
      <c r="S378" s="13">
        <f t="shared" si="228"/>
        <v>0</v>
      </c>
      <c r="T378" s="16">
        <f t="shared" si="229"/>
        <v>112.3012048192771</v>
      </c>
      <c r="U378" s="15">
        <f>+SUMIF('GE16FEB14 Tax Bill Unfudged'!$A$2:$A$498, 'Tax Bill Summary'!$A378, 'GE16FEB14 Tax Bill Unfudged'!E$2:E$498)</f>
        <v>9549</v>
      </c>
      <c r="V378" s="13">
        <f>+SUMIF('GE16FEB14 Tax Bill Unfudged'!$A$2:$A$498, 'Tax Bill Summary'!$A378, 'GE16FEB14 Tax Bill Unfudged'!F$2:F$498)</f>
        <v>0</v>
      </c>
      <c r="W378" s="56">
        <f t="shared" si="230"/>
        <v>9549</v>
      </c>
      <c r="X378" s="51">
        <f>+SUMIF('GE16FEB14 Tax Bill Unfudged'!$A$2:$A$498, 'Tax Bill Summary'!$A378, 'GE16FEB14 Tax Bill Unfudged'!G$2:G$498)</f>
        <v>0</v>
      </c>
      <c r="Y378" s="13">
        <f>+SUMIF('GE16FEB14 Tax Bill Unfudged'!$A$2:$A$498, 'Tax Bill Summary'!$A378, 'GE16FEB14 Tax Bill Unfudged'!H$2:H$498)</f>
        <v>0</v>
      </c>
      <c r="Z378" s="56">
        <f t="shared" si="231"/>
        <v>0</v>
      </c>
      <c r="AA378" s="51">
        <f>+SUMIF('GE16FEB14 Tax Bill Unfudged'!$A$2:$A$498, 'Tax Bill Summary'!$A378, 'GE16FEB14 Tax Bill Unfudged'!I$2:I$498)</f>
        <v>0</v>
      </c>
      <c r="AB378" s="13">
        <f>+SUMIF('GE16FEB14 Tax Bill Unfudged'!$A$2:$A$498, 'Tax Bill Summary'!$A378, 'GE16FEB14 Tax Bill Unfudged'!J$2:J$498)</f>
        <v>0</v>
      </c>
      <c r="AC378" s="56">
        <f t="shared" si="232"/>
        <v>0</v>
      </c>
      <c r="AD378" s="51">
        <f t="shared" si="233"/>
        <v>9549</v>
      </c>
      <c r="AE378" s="13">
        <f t="shared" si="234"/>
        <v>0</v>
      </c>
      <c r="AF378" s="56">
        <f t="shared" si="235"/>
        <v>9549</v>
      </c>
      <c r="AG378" s="13">
        <f t="shared" si="236"/>
        <v>115.04819277108433</v>
      </c>
      <c r="AH378" s="13">
        <f t="shared" si="237"/>
        <v>0</v>
      </c>
      <c r="AI378" s="16">
        <f t="shared" si="238"/>
        <v>115.04819277108433</v>
      </c>
      <c r="AJ378" s="15">
        <f t="shared" si="239"/>
        <v>228</v>
      </c>
      <c r="AK378" s="13">
        <f t="shared" si="240"/>
        <v>0</v>
      </c>
      <c r="AL378" s="56">
        <f t="shared" si="241"/>
        <v>228</v>
      </c>
      <c r="AM378" s="51">
        <f t="shared" si="242"/>
        <v>0</v>
      </c>
      <c r="AN378" s="13">
        <f t="shared" si="243"/>
        <v>0</v>
      </c>
      <c r="AO378" s="56">
        <f t="shared" si="244"/>
        <v>0</v>
      </c>
      <c r="AP378" s="51">
        <f t="shared" si="245"/>
        <v>0</v>
      </c>
      <c r="AQ378" s="13">
        <f t="shared" si="246"/>
        <v>0</v>
      </c>
      <c r="AR378" s="56">
        <f t="shared" si="247"/>
        <v>0</v>
      </c>
      <c r="AS378" s="51">
        <f t="shared" si="248"/>
        <v>228</v>
      </c>
      <c r="AT378" s="13">
        <f t="shared" si="249"/>
        <v>0</v>
      </c>
      <c r="AU378" s="56">
        <f t="shared" si="250"/>
        <v>228</v>
      </c>
      <c r="AV378" s="13">
        <f t="shared" si="251"/>
        <v>2.7469879518072275</v>
      </c>
      <c r="AW378" s="13">
        <f t="shared" si="252"/>
        <v>0</v>
      </c>
      <c r="AX378" s="16">
        <f t="shared" si="253"/>
        <v>2.7469879518072275</v>
      </c>
    </row>
    <row r="379" spans="1:50" x14ac:dyDescent="0.25">
      <c r="A379" s="20">
        <v>4038</v>
      </c>
      <c r="B379">
        <v>7</v>
      </c>
      <c r="C379" s="23" t="s">
        <v>32</v>
      </c>
      <c r="D379" s="23">
        <v>7</v>
      </c>
      <c r="E379" s="15">
        <f>+SUMIF('GE16FEB14 Unfudged'!$A$2:$A$498, $A379, 'GE16FEB14 Unfudged'!$D$2:$D$498)</f>
        <v>403</v>
      </c>
      <c r="F379" s="15">
        <f>+SUMIF('GE16FEB14 Unfudged'!$A$2:$A$498, 'Tax Bill Summary'!$A379, 'GE16FEB14 Unfudged'!E$2:E$498)</f>
        <v>45354</v>
      </c>
      <c r="G379" s="13">
        <f>+SUMIF('GE16FEB14 Unfudged'!$A$2:$A$498, 'Tax Bill Summary'!$A379, 'GE16FEB14 Unfudged'!F$2:F$498)</f>
        <v>0</v>
      </c>
      <c r="H379" s="56">
        <f t="shared" si="221"/>
        <v>45354</v>
      </c>
      <c r="I379" s="51">
        <f>+SUMIF('GE16FEB14 Unfudged'!$A$2:$A$498, 'Tax Bill Summary'!$A379, 'GE16FEB14 Unfudged'!G$2:G$498)</f>
        <v>0</v>
      </c>
      <c r="J379" s="13">
        <f>+SUMIF('GE16FEB14 Unfudged'!$A$2:$A$498, 'Tax Bill Summary'!$A379, 'GE16FEB14 Unfudged'!H$2:H$498)</f>
        <v>0</v>
      </c>
      <c r="K379" s="56">
        <f t="shared" si="222"/>
        <v>0</v>
      </c>
      <c r="L379" s="51">
        <f>+SUMIF('GE16FEB14 Unfudged'!$A$2:$A$498, 'Tax Bill Summary'!$A379, 'GE16FEB14 Unfudged'!I$2:IF$498)</f>
        <v>0</v>
      </c>
      <c r="M379" s="13">
        <f>+SUMIF('GE16FEB14 Unfudged'!$A$2:$A$498, 'Tax Bill Summary'!$A379, 'GE16FEB14 Unfudged'!J$2:IG$498)</f>
        <v>0</v>
      </c>
      <c r="N379" s="56">
        <f t="shared" si="223"/>
        <v>0</v>
      </c>
      <c r="O379" s="51">
        <f t="shared" si="224"/>
        <v>45354</v>
      </c>
      <c r="P379" s="13">
        <f t="shared" si="225"/>
        <v>0</v>
      </c>
      <c r="Q379" s="56">
        <f t="shared" si="226"/>
        <v>45354</v>
      </c>
      <c r="R379" s="13">
        <f t="shared" si="227"/>
        <v>112.5409429280397</v>
      </c>
      <c r="S379" s="13">
        <f t="shared" si="228"/>
        <v>0</v>
      </c>
      <c r="T379" s="16">
        <f t="shared" si="229"/>
        <v>112.5409429280397</v>
      </c>
      <c r="U379" s="15">
        <f>+SUMIF('GE16FEB14 Tax Bill Unfudged'!$A$2:$A$498, 'Tax Bill Summary'!$A379, 'GE16FEB14 Tax Bill Unfudged'!E$2:E$498)</f>
        <v>46466</v>
      </c>
      <c r="V379" s="13">
        <f>+SUMIF('GE16FEB14 Tax Bill Unfudged'!$A$2:$A$498, 'Tax Bill Summary'!$A379, 'GE16FEB14 Tax Bill Unfudged'!F$2:F$498)</f>
        <v>0</v>
      </c>
      <c r="W379" s="56">
        <f t="shared" si="230"/>
        <v>46466</v>
      </c>
      <c r="X379" s="51">
        <f>+SUMIF('GE16FEB14 Tax Bill Unfudged'!$A$2:$A$498, 'Tax Bill Summary'!$A379, 'GE16FEB14 Tax Bill Unfudged'!G$2:G$498)</f>
        <v>0</v>
      </c>
      <c r="Y379" s="13">
        <f>+SUMIF('GE16FEB14 Tax Bill Unfudged'!$A$2:$A$498, 'Tax Bill Summary'!$A379, 'GE16FEB14 Tax Bill Unfudged'!H$2:H$498)</f>
        <v>0</v>
      </c>
      <c r="Z379" s="56">
        <f t="shared" si="231"/>
        <v>0</v>
      </c>
      <c r="AA379" s="51">
        <f>+SUMIF('GE16FEB14 Tax Bill Unfudged'!$A$2:$A$498, 'Tax Bill Summary'!$A379, 'GE16FEB14 Tax Bill Unfudged'!I$2:I$498)</f>
        <v>0</v>
      </c>
      <c r="AB379" s="13">
        <f>+SUMIF('GE16FEB14 Tax Bill Unfudged'!$A$2:$A$498, 'Tax Bill Summary'!$A379, 'GE16FEB14 Tax Bill Unfudged'!J$2:J$498)</f>
        <v>0</v>
      </c>
      <c r="AC379" s="56">
        <f t="shared" si="232"/>
        <v>0</v>
      </c>
      <c r="AD379" s="51">
        <f t="shared" si="233"/>
        <v>46466</v>
      </c>
      <c r="AE379" s="13">
        <f t="shared" si="234"/>
        <v>0</v>
      </c>
      <c r="AF379" s="56">
        <f t="shared" si="235"/>
        <v>46466</v>
      </c>
      <c r="AG379" s="13">
        <f t="shared" si="236"/>
        <v>115.30024813895781</v>
      </c>
      <c r="AH379" s="13">
        <f t="shared" si="237"/>
        <v>0</v>
      </c>
      <c r="AI379" s="16">
        <f t="shared" si="238"/>
        <v>115.30024813895781</v>
      </c>
      <c r="AJ379" s="15">
        <f t="shared" si="239"/>
        <v>1112</v>
      </c>
      <c r="AK379" s="13">
        <f t="shared" si="240"/>
        <v>0</v>
      </c>
      <c r="AL379" s="56">
        <f t="shared" si="241"/>
        <v>1112</v>
      </c>
      <c r="AM379" s="51">
        <f t="shared" si="242"/>
        <v>0</v>
      </c>
      <c r="AN379" s="13">
        <f t="shared" si="243"/>
        <v>0</v>
      </c>
      <c r="AO379" s="56">
        <f t="shared" si="244"/>
        <v>0</v>
      </c>
      <c r="AP379" s="51">
        <f t="shared" si="245"/>
        <v>0</v>
      </c>
      <c r="AQ379" s="13">
        <f t="shared" si="246"/>
        <v>0</v>
      </c>
      <c r="AR379" s="56">
        <f t="shared" si="247"/>
        <v>0</v>
      </c>
      <c r="AS379" s="51">
        <f t="shared" si="248"/>
        <v>1112</v>
      </c>
      <c r="AT379" s="13">
        <f t="shared" si="249"/>
        <v>0</v>
      </c>
      <c r="AU379" s="56">
        <f t="shared" si="250"/>
        <v>1112</v>
      </c>
      <c r="AV379" s="13">
        <f t="shared" si="251"/>
        <v>2.7593052109181144</v>
      </c>
      <c r="AW379" s="13">
        <f t="shared" si="252"/>
        <v>0</v>
      </c>
      <c r="AX379" s="16">
        <f t="shared" si="253"/>
        <v>2.7593052109181144</v>
      </c>
    </row>
    <row r="380" spans="1:50" x14ac:dyDescent="0.25">
      <c r="A380" s="20">
        <v>4039</v>
      </c>
      <c r="B380">
        <v>7</v>
      </c>
      <c r="C380" s="23" t="s">
        <v>33</v>
      </c>
      <c r="D380" s="23">
        <v>7</v>
      </c>
      <c r="E380" s="15">
        <f>+SUMIF('GE16FEB14 Unfudged'!$A$2:$A$498, $A380, 'GE16FEB14 Unfudged'!$D$2:$D$498)</f>
        <v>300</v>
      </c>
      <c r="F380" s="15">
        <f>+SUMIF('GE16FEB14 Unfudged'!$A$2:$A$498, 'Tax Bill Summary'!$A380, 'GE16FEB14 Unfudged'!E$2:E$498)</f>
        <v>33770</v>
      </c>
      <c r="G380" s="13">
        <f>+SUMIF('GE16FEB14 Unfudged'!$A$2:$A$498, 'Tax Bill Summary'!$A380, 'GE16FEB14 Unfudged'!F$2:F$498)</f>
        <v>0</v>
      </c>
      <c r="H380" s="56">
        <f t="shared" si="221"/>
        <v>33770</v>
      </c>
      <c r="I380" s="51">
        <f>+SUMIF('GE16FEB14 Unfudged'!$A$2:$A$498, 'Tax Bill Summary'!$A380, 'GE16FEB14 Unfudged'!G$2:G$498)</f>
        <v>0</v>
      </c>
      <c r="J380" s="13">
        <f>+SUMIF('GE16FEB14 Unfudged'!$A$2:$A$498, 'Tax Bill Summary'!$A380, 'GE16FEB14 Unfudged'!H$2:H$498)</f>
        <v>0</v>
      </c>
      <c r="K380" s="56">
        <f t="shared" si="222"/>
        <v>0</v>
      </c>
      <c r="L380" s="51">
        <f>+SUMIF('GE16FEB14 Unfudged'!$A$2:$A$498, 'Tax Bill Summary'!$A380, 'GE16FEB14 Unfudged'!I$2:IF$498)</f>
        <v>0</v>
      </c>
      <c r="M380" s="13">
        <f>+SUMIF('GE16FEB14 Unfudged'!$A$2:$A$498, 'Tax Bill Summary'!$A380, 'GE16FEB14 Unfudged'!J$2:IG$498)</f>
        <v>0</v>
      </c>
      <c r="N380" s="56">
        <f t="shared" si="223"/>
        <v>0</v>
      </c>
      <c r="O380" s="51">
        <f t="shared" si="224"/>
        <v>33770</v>
      </c>
      <c r="P380" s="13">
        <f t="shared" si="225"/>
        <v>0</v>
      </c>
      <c r="Q380" s="56">
        <f t="shared" si="226"/>
        <v>33770</v>
      </c>
      <c r="R380" s="13">
        <f t="shared" si="227"/>
        <v>112.56666666666666</v>
      </c>
      <c r="S380" s="13">
        <f t="shared" si="228"/>
        <v>0</v>
      </c>
      <c r="T380" s="16">
        <f t="shared" si="229"/>
        <v>112.56666666666666</v>
      </c>
      <c r="U380" s="15">
        <f>+SUMIF('GE16FEB14 Tax Bill Unfudged'!$A$2:$A$498, 'Tax Bill Summary'!$A380, 'GE16FEB14 Tax Bill Unfudged'!E$2:E$498)</f>
        <v>34598</v>
      </c>
      <c r="V380" s="13">
        <f>+SUMIF('GE16FEB14 Tax Bill Unfudged'!$A$2:$A$498, 'Tax Bill Summary'!$A380, 'GE16FEB14 Tax Bill Unfudged'!F$2:F$498)</f>
        <v>0</v>
      </c>
      <c r="W380" s="56">
        <f t="shared" si="230"/>
        <v>34598</v>
      </c>
      <c r="X380" s="51">
        <f>+SUMIF('GE16FEB14 Tax Bill Unfudged'!$A$2:$A$498, 'Tax Bill Summary'!$A380, 'GE16FEB14 Tax Bill Unfudged'!G$2:G$498)</f>
        <v>0</v>
      </c>
      <c r="Y380" s="13">
        <f>+SUMIF('GE16FEB14 Tax Bill Unfudged'!$A$2:$A$498, 'Tax Bill Summary'!$A380, 'GE16FEB14 Tax Bill Unfudged'!H$2:H$498)</f>
        <v>0</v>
      </c>
      <c r="Z380" s="56">
        <f t="shared" si="231"/>
        <v>0</v>
      </c>
      <c r="AA380" s="51">
        <f>+SUMIF('GE16FEB14 Tax Bill Unfudged'!$A$2:$A$498, 'Tax Bill Summary'!$A380, 'GE16FEB14 Tax Bill Unfudged'!I$2:I$498)</f>
        <v>0</v>
      </c>
      <c r="AB380" s="13">
        <f>+SUMIF('GE16FEB14 Tax Bill Unfudged'!$A$2:$A$498, 'Tax Bill Summary'!$A380, 'GE16FEB14 Tax Bill Unfudged'!J$2:J$498)</f>
        <v>0</v>
      </c>
      <c r="AC380" s="56">
        <f t="shared" si="232"/>
        <v>0</v>
      </c>
      <c r="AD380" s="51">
        <f t="shared" si="233"/>
        <v>34598</v>
      </c>
      <c r="AE380" s="13">
        <f t="shared" si="234"/>
        <v>0</v>
      </c>
      <c r="AF380" s="56">
        <f t="shared" si="235"/>
        <v>34598</v>
      </c>
      <c r="AG380" s="13">
        <f t="shared" si="236"/>
        <v>115.32666666666667</v>
      </c>
      <c r="AH380" s="13">
        <f t="shared" si="237"/>
        <v>0</v>
      </c>
      <c r="AI380" s="16">
        <f t="shared" si="238"/>
        <v>115.32666666666667</v>
      </c>
      <c r="AJ380" s="15">
        <f t="shared" si="239"/>
        <v>828</v>
      </c>
      <c r="AK380" s="13">
        <f t="shared" si="240"/>
        <v>0</v>
      </c>
      <c r="AL380" s="56">
        <f t="shared" si="241"/>
        <v>828</v>
      </c>
      <c r="AM380" s="51">
        <f t="shared" si="242"/>
        <v>0</v>
      </c>
      <c r="AN380" s="13">
        <f t="shared" si="243"/>
        <v>0</v>
      </c>
      <c r="AO380" s="56">
        <f t="shared" si="244"/>
        <v>0</v>
      </c>
      <c r="AP380" s="51">
        <f t="shared" si="245"/>
        <v>0</v>
      </c>
      <c r="AQ380" s="13">
        <f t="shared" si="246"/>
        <v>0</v>
      </c>
      <c r="AR380" s="56">
        <f t="shared" si="247"/>
        <v>0</v>
      </c>
      <c r="AS380" s="51">
        <f t="shared" si="248"/>
        <v>828</v>
      </c>
      <c r="AT380" s="13">
        <f t="shared" si="249"/>
        <v>0</v>
      </c>
      <c r="AU380" s="56">
        <f t="shared" si="250"/>
        <v>828</v>
      </c>
      <c r="AV380" s="13">
        <f t="shared" si="251"/>
        <v>2.7600000000000051</v>
      </c>
      <c r="AW380" s="13">
        <f t="shared" si="252"/>
        <v>0</v>
      </c>
      <c r="AX380" s="16">
        <f t="shared" si="253"/>
        <v>2.7600000000000051</v>
      </c>
    </row>
    <row r="381" spans="1:50" x14ac:dyDescent="0.25">
      <c r="A381" s="20">
        <v>4042</v>
      </c>
      <c r="B381">
        <v>7</v>
      </c>
      <c r="C381" s="23" t="s">
        <v>34</v>
      </c>
      <c r="D381" s="23">
        <v>7</v>
      </c>
      <c r="E381" s="15">
        <f>+SUMIF('GE16FEB14 Unfudged'!$A$2:$A$498, $A381, 'GE16FEB14 Unfudged'!$D$2:$D$498)</f>
        <v>243</v>
      </c>
      <c r="F381" s="15">
        <f>+SUMIF('GE16FEB14 Unfudged'!$A$2:$A$498, 'Tax Bill Summary'!$A381, 'GE16FEB14 Unfudged'!E$2:E$498)</f>
        <v>27354</v>
      </c>
      <c r="G381" s="13">
        <f>+SUMIF('GE16FEB14 Unfudged'!$A$2:$A$498, 'Tax Bill Summary'!$A381, 'GE16FEB14 Unfudged'!F$2:F$498)</f>
        <v>0</v>
      </c>
      <c r="H381" s="56">
        <f t="shared" si="221"/>
        <v>27354</v>
      </c>
      <c r="I381" s="51">
        <f>+SUMIF('GE16FEB14 Unfudged'!$A$2:$A$498, 'Tax Bill Summary'!$A381, 'GE16FEB14 Unfudged'!G$2:G$498)</f>
        <v>0</v>
      </c>
      <c r="J381" s="13">
        <f>+SUMIF('GE16FEB14 Unfudged'!$A$2:$A$498, 'Tax Bill Summary'!$A381, 'GE16FEB14 Unfudged'!H$2:H$498)</f>
        <v>0</v>
      </c>
      <c r="K381" s="56">
        <f t="shared" si="222"/>
        <v>0</v>
      </c>
      <c r="L381" s="51">
        <f>+SUMIF('GE16FEB14 Unfudged'!$A$2:$A$498, 'Tax Bill Summary'!$A381, 'GE16FEB14 Unfudged'!I$2:IF$498)</f>
        <v>0</v>
      </c>
      <c r="M381" s="13">
        <f>+SUMIF('GE16FEB14 Unfudged'!$A$2:$A$498, 'Tax Bill Summary'!$A381, 'GE16FEB14 Unfudged'!J$2:IG$498)</f>
        <v>0</v>
      </c>
      <c r="N381" s="56">
        <f t="shared" si="223"/>
        <v>0</v>
      </c>
      <c r="O381" s="51">
        <f t="shared" si="224"/>
        <v>27354</v>
      </c>
      <c r="P381" s="13">
        <f t="shared" si="225"/>
        <v>0</v>
      </c>
      <c r="Q381" s="56">
        <f t="shared" si="226"/>
        <v>27354</v>
      </c>
      <c r="R381" s="13">
        <f t="shared" si="227"/>
        <v>112.5679012345679</v>
      </c>
      <c r="S381" s="13">
        <f t="shared" si="228"/>
        <v>0</v>
      </c>
      <c r="T381" s="16">
        <f t="shared" si="229"/>
        <v>112.5679012345679</v>
      </c>
      <c r="U381" s="15">
        <f>+SUMIF('GE16FEB14 Tax Bill Unfudged'!$A$2:$A$498, 'Tax Bill Summary'!$A381, 'GE16FEB14 Tax Bill Unfudged'!E$2:E$498)</f>
        <v>28025</v>
      </c>
      <c r="V381" s="13">
        <f>+SUMIF('GE16FEB14 Tax Bill Unfudged'!$A$2:$A$498, 'Tax Bill Summary'!$A381, 'GE16FEB14 Tax Bill Unfudged'!F$2:F$498)</f>
        <v>0</v>
      </c>
      <c r="W381" s="56">
        <f t="shared" si="230"/>
        <v>28025</v>
      </c>
      <c r="X381" s="51">
        <f>+SUMIF('GE16FEB14 Tax Bill Unfudged'!$A$2:$A$498, 'Tax Bill Summary'!$A381, 'GE16FEB14 Tax Bill Unfudged'!G$2:G$498)</f>
        <v>0</v>
      </c>
      <c r="Y381" s="13">
        <f>+SUMIF('GE16FEB14 Tax Bill Unfudged'!$A$2:$A$498, 'Tax Bill Summary'!$A381, 'GE16FEB14 Tax Bill Unfudged'!H$2:H$498)</f>
        <v>0</v>
      </c>
      <c r="Z381" s="56">
        <f t="shared" si="231"/>
        <v>0</v>
      </c>
      <c r="AA381" s="51">
        <f>+SUMIF('GE16FEB14 Tax Bill Unfudged'!$A$2:$A$498, 'Tax Bill Summary'!$A381, 'GE16FEB14 Tax Bill Unfudged'!I$2:I$498)</f>
        <v>0</v>
      </c>
      <c r="AB381" s="13">
        <f>+SUMIF('GE16FEB14 Tax Bill Unfudged'!$A$2:$A$498, 'Tax Bill Summary'!$A381, 'GE16FEB14 Tax Bill Unfudged'!J$2:J$498)</f>
        <v>0</v>
      </c>
      <c r="AC381" s="56">
        <f t="shared" si="232"/>
        <v>0</v>
      </c>
      <c r="AD381" s="51">
        <f t="shared" si="233"/>
        <v>28025</v>
      </c>
      <c r="AE381" s="13">
        <f t="shared" si="234"/>
        <v>0</v>
      </c>
      <c r="AF381" s="56">
        <f t="shared" si="235"/>
        <v>28025</v>
      </c>
      <c r="AG381" s="13">
        <f t="shared" si="236"/>
        <v>115.32921810699588</v>
      </c>
      <c r="AH381" s="13">
        <f t="shared" si="237"/>
        <v>0</v>
      </c>
      <c r="AI381" s="16">
        <f t="shared" si="238"/>
        <v>115.32921810699588</v>
      </c>
      <c r="AJ381" s="15">
        <f t="shared" si="239"/>
        <v>671</v>
      </c>
      <c r="AK381" s="13">
        <f t="shared" si="240"/>
        <v>0</v>
      </c>
      <c r="AL381" s="56">
        <f t="shared" si="241"/>
        <v>671</v>
      </c>
      <c r="AM381" s="51">
        <f t="shared" si="242"/>
        <v>0</v>
      </c>
      <c r="AN381" s="13">
        <f t="shared" si="243"/>
        <v>0</v>
      </c>
      <c r="AO381" s="56">
        <f t="shared" si="244"/>
        <v>0</v>
      </c>
      <c r="AP381" s="51">
        <f t="shared" si="245"/>
        <v>0</v>
      </c>
      <c r="AQ381" s="13">
        <f t="shared" si="246"/>
        <v>0</v>
      </c>
      <c r="AR381" s="56">
        <f t="shared" si="247"/>
        <v>0</v>
      </c>
      <c r="AS381" s="51">
        <f t="shared" si="248"/>
        <v>671</v>
      </c>
      <c r="AT381" s="13">
        <f t="shared" si="249"/>
        <v>0</v>
      </c>
      <c r="AU381" s="56">
        <f t="shared" si="250"/>
        <v>671</v>
      </c>
      <c r="AV381" s="13">
        <f t="shared" si="251"/>
        <v>2.7613168724279831</v>
      </c>
      <c r="AW381" s="13">
        <f t="shared" si="252"/>
        <v>0</v>
      </c>
      <c r="AX381" s="16">
        <f t="shared" si="253"/>
        <v>2.7613168724279831</v>
      </c>
    </row>
    <row r="382" spans="1:50" x14ac:dyDescent="0.25">
      <c r="A382" s="20">
        <v>4043</v>
      </c>
      <c r="B382">
        <v>7</v>
      </c>
      <c r="C382" s="23" t="s">
        <v>35</v>
      </c>
      <c r="D382" s="23">
        <v>7</v>
      </c>
      <c r="E382" s="15">
        <f>+SUMIF('GE16FEB14 Unfudged'!$A$2:$A$498, $A382, 'GE16FEB14 Unfudged'!$D$2:$D$498)</f>
        <v>528</v>
      </c>
      <c r="F382" s="15">
        <f>+SUMIF('GE16FEB14 Unfudged'!$A$2:$A$498, 'Tax Bill Summary'!$A382, 'GE16FEB14 Unfudged'!E$2:E$498)</f>
        <v>59481</v>
      </c>
      <c r="G382" s="13">
        <f>+SUMIF('GE16FEB14 Unfudged'!$A$2:$A$498, 'Tax Bill Summary'!$A382, 'GE16FEB14 Unfudged'!F$2:F$498)</f>
        <v>0</v>
      </c>
      <c r="H382" s="56">
        <f t="shared" si="221"/>
        <v>59481</v>
      </c>
      <c r="I382" s="51">
        <f>+SUMIF('GE16FEB14 Unfudged'!$A$2:$A$498, 'Tax Bill Summary'!$A382, 'GE16FEB14 Unfudged'!G$2:G$498)</f>
        <v>0</v>
      </c>
      <c r="J382" s="13">
        <f>+SUMIF('GE16FEB14 Unfudged'!$A$2:$A$498, 'Tax Bill Summary'!$A382, 'GE16FEB14 Unfudged'!H$2:H$498)</f>
        <v>0</v>
      </c>
      <c r="K382" s="56">
        <f t="shared" si="222"/>
        <v>0</v>
      </c>
      <c r="L382" s="51">
        <f>+SUMIF('GE16FEB14 Unfudged'!$A$2:$A$498, 'Tax Bill Summary'!$A382, 'GE16FEB14 Unfudged'!I$2:IF$498)</f>
        <v>0</v>
      </c>
      <c r="M382" s="13">
        <f>+SUMIF('GE16FEB14 Unfudged'!$A$2:$A$498, 'Tax Bill Summary'!$A382, 'GE16FEB14 Unfudged'!J$2:IG$498)</f>
        <v>0</v>
      </c>
      <c r="N382" s="56">
        <f t="shared" si="223"/>
        <v>0</v>
      </c>
      <c r="O382" s="51">
        <f t="shared" si="224"/>
        <v>59481</v>
      </c>
      <c r="P382" s="13">
        <f t="shared" si="225"/>
        <v>0</v>
      </c>
      <c r="Q382" s="56">
        <f t="shared" si="226"/>
        <v>59481</v>
      </c>
      <c r="R382" s="13">
        <f t="shared" si="227"/>
        <v>112.65340909090909</v>
      </c>
      <c r="S382" s="13">
        <f t="shared" si="228"/>
        <v>0</v>
      </c>
      <c r="T382" s="16">
        <f t="shared" si="229"/>
        <v>112.65340909090909</v>
      </c>
      <c r="U382" s="15">
        <f>+SUMIF('GE16FEB14 Tax Bill Unfudged'!$A$2:$A$498, 'Tax Bill Summary'!$A382, 'GE16FEB14 Tax Bill Unfudged'!E$2:E$498)</f>
        <v>60939</v>
      </c>
      <c r="V382" s="13">
        <f>+SUMIF('GE16FEB14 Tax Bill Unfudged'!$A$2:$A$498, 'Tax Bill Summary'!$A382, 'GE16FEB14 Tax Bill Unfudged'!F$2:F$498)</f>
        <v>0</v>
      </c>
      <c r="W382" s="56">
        <f t="shared" si="230"/>
        <v>60939</v>
      </c>
      <c r="X382" s="51">
        <f>+SUMIF('GE16FEB14 Tax Bill Unfudged'!$A$2:$A$498, 'Tax Bill Summary'!$A382, 'GE16FEB14 Tax Bill Unfudged'!G$2:G$498)</f>
        <v>0</v>
      </c>
      <c r="Y382" s="13">
        <f>+SUMIF('GE16FEB14 Tax Bill Unfudged'!$A$2:$A$498, 'Tax Bill Summary'!$A382, 'GE16FEB14 Tax Bill Unfudged'!H$2:H$498)</f>
        <v>0</v>
      </c>
      <c r="Z382" s="56">
        <f t="shared" si="231"/>
        <v>0</v>
      </c>
      <c r="AA382" s="51">
        <f>+SUMIF('GE16FEB14 Tax Bill Unfudged'!$A$2:$A$498, 'Tax Bill Summary'!$A382, 'GE16FEB14 Tax Bill Unfudged'!I$2:I$498)</f>
        <v>0</v>
      </c>
      <c r="AB382" s="13">
        <f>+SUMIF('GE16FEB14 Tax Bill Unfudged'!$A$2:$A$498, 'Tax Bill Summary'!$A382, 'GE16FEB14 Tax Bill Unfudged'!J$2:J$498)</f>
        <v>0</v>
      </c>
      <c r="AC382" s="56">
        <f t="shared" si="232"/>
        <v>0</v>
      </c>
      <c r="AD382" s="51">
        <f t="shared" si="233"/>
        <v>60939</v>
      </c>
      <c r="AE382" s="13">
        <f t="shared" si="234"/>
        <v>0</v>
      </c>
      <c r="AF382" s="56">
        <f t="shared" si="235"/>
        <v>60939</v>
      </c>
      <c r="AG382" s="13">
        <f t="shared" si="236"/>
        <v>115.41477272727273</v>
      </c>
      <c r="AH382" s="13">
        <f t="shared" si="237"/>
        <v>0</v>
      </c>
      <c r="AI382" s="16">
        <f t="shared" si="238"/>
        <v>115.41477272727273</v>
      </c>
      <c r="AJ382" s="15">
        <f t="shared" si="239"/>
        <v>1458</v>
      </c>
      <c r="AK382" s="13">
        <f t="shared" si="240"/>
        <v>0</v>
      </c>
      <c r="AL382" s="56">
        <f t="shared" si="241"/>
        <v>1458</v>
      </c>
      <c r="AM382" s="51">
        <f t="shared" si="242"/>
        <v>0</v>
      </c>
      <c r="AN382" s="13">
        <f t="shared" si="243"/>
        <v>0</v>
      </c>
      <c r="AO382" s="56">
        <f t="shared" si="244"/>
        <v>0</v>
      </c>
      <c r="AP382" s="51">
        <f t="shared" si="245"/>
        <v>0</v>
      </c>
      <c r="AQ382" s="13">
        <f t="shared" si="246"/>
        <v>0</v>
      </c>
      <c r="AR382" s="56">
        <f t="shared" si="247"/>
        <v>0</v>
      </c>
      <c r="AS382" s="51">
        <f t="shared" si="248"/>
        <v>1458</v>
      </c>
      <c r="AT382" s="13">
        <f t="shared" si="249"/>
        <v>0</v>
      </c>
      <c r="AU382" s="56">
        <f t="shared" si="250"/>
        <v>1458</v>
      </c>
      <c r="AV382" s="13">
        <f t="shared" si="251"/>
        <v>2.7613636363636402</v>
      </c>
      <c r="AW382" s="13">
        <f t="shared" si="252"/>
        <v>0</v>
      </c>
      <c r="AX382" s="16">
        <f t="shared" si="253"/>
        <v>2.7613636363636402</v>
      </c>
    </row>
    <row r="383" spans="1:50" x14ac:dyDescent="0.25">
      <c r="A383" s="20">
        <v>4045</v>
      </c>
      <c r="B383">
        <v>7</v>
      </c>
      <c r="C383" s="23" t="s">
        <v>36</v>
      </c>
      <c r="D383" s="23">
        <v>7</v>
      </c>
      <c r="E383" s="15">
        <f>+SUMIF('GE16FEB14 Unfudged'!$A$2:$A$498, $A383, 'GE16FEB14 Unfudged'!$D$2:$D$498)</f>
        <v>0</v>
      </c>
      <c r="F383" s="15">
        <f>+SUMIF('GE16FEB14 Unfudged'!$A$2:$A$498, 'Tax Bill Summary'!$A383, 'GE16FEB14 Unfudged'!E$2:E$498)</f>
        <v>0</v>
      </c>
      <c r="G383" s="13">
        <f>+SUMIF('GE16FEB14 Unfudged'!$A$2:$A$498, 'Tax Bill Summary'!$A383, 'GE16FEB14 Unfudged'!F$2:F$498)</f>
        <v>0</v>
      </c>
      <c r="H383" s="56">
        <f t="shared" si="221"/>
        <v>0</v>
      </c>
      <c r="I383" s="51">
        <f>+SUMIF('GE16FEB14 Unfudged'!$A$2:$A$498, 'Tax Bill Summary'!$A383, 'GE16FEB14 Unfudged'!G$2:G$498)</f>
        <v>0</v>
      </c>
      <c r="J383" s="13">
        <f>+SUMIF('GE16FEB14 Unfudged'!$A$2:$A$498, 'Tax Bill Summary'!$A383, 'GE16FEB14 Unfudged'!H$2:H$498)</f>
        <v>0</v>
      </c>
      <c r="K383" s="56">
        <f t="shared" si="222"/>
        <v>0</v>
      </c>
      <c r="L383" s="51">
        <f>+SUMIF('GE16FEB14 Unfudged'!$A$2:$A$498, 'Tax Bill Summary'!$A383, 'GE16FEB14 Unfudged'!I$2:IF$498)</f>
        <v>0</v>
      </c>
      <c r="M383" s="13">
        <f>+SUMIF('GE16FEB14 Unfudged'!$A$2:$A$498, 'Tax Bill Summary'!$A383, 'GE16FEB14 Unfudged'!J$2:IG$498)</f>
        <v>0</v>
      </c>
      <c r="N383" s="56">
        <f t="shared" si="223"/>
        <v>0</v>
      </c>
      <c r="O383" s="51">
        <f t="shared" si="224"/>
        <v>0</v>
      </c>
      <c r="P383" s="13">
        <f t="shared" si="225"/>
        <v>0</v>
      </c>
      <c r="Q383" s="56">
        <f t="shared" si="226"/>
        <v>0</v>
      </c>
      <c r="R383" s="13">
        <f t="shared" si="227"/>
        <v>0</v>
      </c>
      <c r="S383" s="13">
        <f t="shared" si="228"/>
        <v>0</v>
      </c>
      <c r="T383" s="16">
        <f t="shared" si="229"/>
        <v>0</v>
      </c>
      <c r="U383" s="15">
        <f>+SUMIF('GE16FEB14 Tax Bill Unfudged'!$A$2:$A$498, 'Tax Bill Summary'!$A383, 'GE16FEB14 Tax Bill Unfudged'!E$2:E$498)</f>
        <v>0</v>
      </c>
      <c r="V383" s="13">
        <f>+SUMIF('GE16FEB14 Tax Bill Unfudged'!$A$2:$A$498, 'Tax Bill Summary'!$A383, 'GE16FEB14 Tax Bill Unfudged'!F$2:F$498)</f>
        <v>0</v>
      </c>
      <c r="W383" s="56">
        <f t="shared" si="230"/>
        <v>0</v>
      </c>
      <c r="X383" s="51">
        <f>+SUMIF('GE16FEB14 Tax Bill Unfudged'!$A$2:$A$498, 'Tax Bill Summary'!$A383, 'GE16FEB14 Tax Bill Unfudged'!G$2:G$498)</f>
        <v>0</v>
      </c>
      <c r="Y383" s="13">
        <f>+SUMIF('GE16FEB14 Tax Bill Unfudged'!$A$2:$A$498, 'Tax Bill Summary'!$A383, 'GE16FEB14 Tax Bill Unfudged'!H$2:H$498)</f>
        <v>0</v>
      </c>
      <c r="Z383" s="56">
        <f t="shared" si="231"/>
        <v>0</v>
      </c>
      <c r="AA383" s="51">
        <f>+SUMIF('GE16FEB14 Tax Bill Unfudged'!$A$2:$A$498, 'Tax Bill Summary'!$A383, 'GE16FEB14 Tax Bill Unfudged'!I$2:I$498)</f>
        <v>0</v>
      </c>
      <c r="AB383" s="13">
        <f>+SUMIF('GE16FEB14 Tax Bill Unfudged'!$A$2:$A$498, 'Tax Bill Summary'!$A383, 'GE16FEB14 Tax Bill Unfudged'!J$2:J$498)</f>
        <v>0</v>
      </c>
      <c r="AC383" s="56">
        <f t="shared" si="232"/>
        <v>0</v>
      </c>
      <c r="AD383" s="51">
        <f t="shared" si="233"/>
        <v>0</v>
      </c>
      <c r="AE383" s="13">
        <f t="shared" si="234"/>
        <v>0</v>
      </c>
      <c r="AF383" s="56">
        <f t="shared" si="235"/>
        <v>0</v>
      </c>
      <c r="AG383" s="13">
        <f t="shared" si="236"/>
        <v>0</v>
      </c>
      <c r="AH383" s="13">
        <f t="shared" si="237"/>
        <v>0</v>
      </c>
      <c r="AI383" s="16">
        <f t="shared" si="238"/>
        <v>0</v>
      </c>
      <c r="AJ383" s="15">
        <f t="shared" si="239"/>
        <v>0</v>
      </c>
      <c r="AK383" s="13">
        <f t="shared" si="240"/>
        <v>0</v>
      </c>
      <c r="AL383" s="56">
        <f t="shared" si="241"/>
        <v>0</v>
      </c>
      <c r="AM383" s="51">
        <f t="shared" si="242"/>
        <v>0</v>
      </c>
      <c r="AN383" s="13">
        <f t="shared" si="243"/>
        <v>0</v>
      </c>
      <c r="AO383" s="56">
        <f t="shared" si="244"/>
        <v>0</v>
      </c>
      <c r="AP383" s="51">
        <f t="shared" si="245"/>
        <v>0</v>
      </c>
      <c r="AQ383" s="13">
        <f t="shared" si="246"/>
        <v>0</v>
      </c>
      <c r="AR383" s="56">
        <f t="shared" si="247"/>
        <v>0</v>
      </c>
      <c r="AS383" s="51">
        <f t="shared" si="248"/>
        <v>0</v>
      </c>
      <c r="AT383" s="13">
        <f t="shared" si="249"/>
        <v>0</v>
      </c>
      <c r="AU383" s="56">
        <f t="shared" si="250"/>
        <v>0</v>
      </c>
      <c r="AV383" s="13">
        <f t="shared" si="251"/>
        <v>0</v>
      </c>
      <c r="AW383" s="13">
        <f t="shared" si="252"/>
        <v>0</v>
      </c>
      <c r="AX383" s="16">
        <f t="shared" si="253"/>
        <v>0</v>
      </c>
    </row>
    <row r="384" spans="1:50" x14ac:dyDescent="0.25">
      <c r="A384" s="20">
        <v>4049</v>
      </c>
      <c r="B384">
        <v>7</v>
      </c>
      <c r="C384" s="23" t="s">
        <v>462</v>
      </c>
      <c r="D384" s="23">
        <v>7</v>
      </c>
      <c r="E384" s="15">
        <f>+SUMIF('GE16FEB14 Unfudged'!$A$2:$A$498, $A384, 'GE16FEB14 Unfudged'!$D$2:$D$498)</f>
        <v>150</v>
      </c>
      <c r="F384" s="15">
        <f>+SUMIF('GE16FEB14 Unfudged'!$A$2:$A$498, 'Tax Bill Summary'!$A384, 'GE16FEB14 Unfudged'!E$2:E$498)</f>
        <v>16885</v>
      </c>
      <c r="G384" s="13">
        <f>+SUMIF('GE16FEB14 Unfudged'!$A$2:$A$498, 'Tax Bill Summary'!$A384, 'GE16FEB14 Unfudged'!F$2:F$498)</f>
        <v>0</v>
      </c>
      <c r="H384" s="56">
        <f t="shared" si="221"/>
        <v>16885</v>
      </c>
      <c r="I384" s="51">
        <f>+SUMIF('GE16FEB14 Unfudged'!$A$2:$A$498, 'Tax Bill Summary'!$A384, 'GE16FEB14 Unfudged'!G$2:G$498)</f>
        <v>0</v>
      </c>
      <c r="J384" s="13">
        <f>+SUMIF('GE16FEB14 Unfudged'!$A$2:$A$498, 'Tax Bill Summary'!$A384, 'GE16FEB14 Unfudged'!H$2:H$498)</f>
        <v>0</v>
      </c>
      <c r="K384" s="56">
        <f t="shared" si="222"/>
        <v>0</v>
      </c>
      <c r="L384" s="51">
        <f>+SUMIF('GE16FEB14 Unfudged'!$A$2:$A$498, 'Tax Bill Summary'!$A384, 'GE16FEB14 Unfudged'!I$2:IF$498)</f>
        <v>0</v>
      </c>
      <c r="M384" s="13">
        <f>+SUMIF('GE16FEB14 Unfudged'!$A$2:$A$498, 'Tax Bill Summary'!$A384, 'GE16FEB14 Unfudged'!J$2:IG$498)</f>
        <v>0</v>
      </c>
      <c r="N384" s="56">
        <f t="shared" si="223"/>
        <v>0</v>
      </c>
      <c r="O384" s="51">
        <f t="shared" si="224"/>
        <v>16885</v>
      </c>
      <c r="P384" s="13">
        <f t="shared" si="225"/>
        <v>0</v>
      </c>
      <c r="Q384" s="56">
        <f t="shared" si="226"/>
        <v>16885</v>
      </c>
      <c r="R384" s="13">
        <f t="shared" si="227"/>
        <v>112.56666666666666</v>
      </c>
      <c r="S384" s="13">
        <f t="shared" si="228"/>
        <v>0</v>
      </c>
      <c r="T384" s="16">
        <f t="shared" si="229"/>
        <v>112.56666666666666</v>
      </c>
      <c r="U384" s="15">
        <f>+SUMIF('GE16FEB14 Tax Bill Unfudged'!$A$2:$A$498, 'Tax Bill Summary'!$A384, 'GE16FEB14 Tax Bill Unfudged'!E$2:E$498)</f>
        <v>17299</v>
      </c>
      <c r="V384" s="13">
        <f>+SUMIF('GE16FEB14 Tax Bill Unfudged'!$A$2:$A$498, 'Tax Bill Summary'!$A384, 'GE16FEB14 Tax Bill Unfudged'!F$2:F$498)</f>
        <v>0</v>
      </c>
      <c r="W384" s="56">
        <f t="shared" si="230"/>
        <v>17299</v>
      </c>
      <c r="X384" s="51">
        <f>+SUMIF('GE16FEB14 Tax Bill Unfudged'!$A$2:$A$498, 'Tax Bill Summary'!$A384, 'GE16FEB14 Tax Bill Unfudged'!G$2:G$498)</f>
        <v>0</v>
      </c>
      <c r="Y384" s="13">
        <f>+SUMIF('GE16FEB14 Tax Bill Unfudged'!$A$2:$A$498, 'Tax Bill Summary'!$A384, 'GE16FEB14 Tax Bill Unfudged'!H$2:H$498)</f>
        <v>0</v>
      </c>
      <c r="Z384" s="56">
        <f t="shared" si="231"/>
        <v>0</v>
      </c>
      <c r="AA384" s="51">
        <f>+SUMIF('GE16FEB14 Tax Bill Unfudged'!$A$2:$A$498, 'Tax Bill Summary'!$A384, 'GE16FEB14 Tax Bill Unfudged'!I$2:I$498)</f>
        <v>0</v>
      </c>
      <c r="AB384" s="13">
        <f>+SUMIF('GE16FEB14 Tax Bill Unfudged'!$A$2:$A$498, 'Tax Bill Summary'!$A384, 'GE16FEB14 Tax Bill Unfudged'!J$2:J$498)</f>
        <v>0</v>
      </c>
      <c r="AC384" s="56">
        <f t="shared" si="232"/>
        <v>0</v>
      </c>
      <c r="AD384" s="51">
        <f t="shared" si="233"/>
        <v>17299</v>
      </c>
      <c r="AE384" s="13">
        <f t="shared" si="234"/>
        <v>0</v>
      </c>
      <c r="AF384" s="56">
        <f t="shared" si="235"/>
        <v>17299</v>
      </c>
      <c r="AG384" s="13">
        <f t="shared" si="236"/>
        <v>115.32666666666667</v>
      </c>
      <c r="AH384" s="13">
        <f t="shared" si="237"/>
        <v>0</v>
      </c>
      <c r="AI384" s="16">
        <f t="shared" si="238"/>
        <v>115.32666666666667</v>
      </c>
      <c r="AJ384" s="15">
        <f t="shared" si="239"/>
        <v>414</v>
      </c>
      <c r="AK384" s="13">
        <f t="shared" si="240"/>
        <v>0</v>
      </c>
      <c r="AL384" s="56">
        <f t="shared" si="241"/>
        <v>414</v>
      </c>
      <c r="AM384" s="51">
        <f t="shared" si="242"/>
        <v>0</v>
      </c>
      <c r="AN384" s="13">
        <f t="shared" si="243"/>
        <v>0</v>
      </c>
      <c r="AO384" s="56">
        <f t="shared" si="244"/>
        <v>0</v>
      </c>
      <c r="AP384" s="51">
        <f t="shared" si="245"/>
        <v>0</v>
      </c>
      <c r="AQ384" s="13">
        <f t="shared" si="246"/>
        <v>0</v>
      </c>
      <c r="AR384" s="56">
        <f t="shared" si="247"/>
        <v>0</v>
      </c>
      <c r="AS384" s="51">
        <f t="shared" si="248"/>
        <v>414</v>
      </c>
      <c r="AT384" s="13">
        <f t="shared" si="249"/>
        <v>0</v>
      </c>
      <c r="AU384" s="56">
        <f t="shared" si="250"/>
        <v>414</v>
      </c>
      <c r="AV384" s="13">
        <f t="shared" si="251"/>
        <v>2.7600000000000051</v>
      </c>
      <c r="AW384" s="13">
        <f t="shared" si="252"/>
        <v>0</v>
      </c>
      <c r="AX384" s="16">
        <f t="shared" si="253"/>
        <v>2.7600000000000051</v>
      </c>
    </row>
    <row r="385" spans="1:50" x14ac:dyDescent="0.25">
      <c r="A385" s="20">
        <v>4050</v>
      </c>
      <c r="B385">
        <v>7</v>
      </c>
      <c r="C385" s="23" t="s">
        <v>477</v>
      </c>
      <c r="D385" s="23">
        <v>7</v>
      </c>
      <c r="E385" s="15">
        <f>+SUMIF('GE16FEB14 Unfudged'!$A$2:$A$498, $A385, 'GE16FEB14 Unfudged'!$D$2:$D$498)</f>
        <v>119</v>
      </c>
      <c r="F385" s="15">
        <f>+SUMIF('GE16FEB14 Unfudged'!$A$2:$A$498, 'Tax Bill Summary'!$A385, 'GE16FEB14 Unfudged'!E$2:E$498)</f>
        <v>13351</v>
      </c>
      <c r="G385" s="13">
        <f>+SUMIF('GE16FEB14 Unfudged'!$A$2:$A$498, 'Tax Bill Summary'!$A385, 'GE16FEB14 Unfudged'!F$2:F$498)</f>
        <v>0</v>
      </c>
      <c r="H385" s="56">
        <f t="shared" si="221"/>
        <v>13351</v>
      </c>
      <c r="I385" s="51">
        <f>+SUMIF('GE16FEB14 Unfudged'!$A$2:$A$498, 'Tax Bill Summary'!$A385, 'GE16FEB14 Unfudged'!G$2:G$498)</f>
        <v>0</v>
      </c>
      <c r="J385" s="13">
        <f>+SUMIF('GE16FEB14 Unfudged'!$A$2:$A$498, 'Tax Bill Summary'!$A385, 'GE16FEB14 Unfudged'!H$2:H$498)</f>
        <v>0</v>
      </c>
      <c r="K385" s="56">
        <f t="shared" si="222"/>
        <v>0</v>
      </c>
      <c r="L385" s="51">
        <f>+SUMIF('GE16FEB14 Unfudged'!$A$2:$A$498, 'Tax Bill Summary'!$A385, 'GE16FEB14 Unfudged'!I$2:IF$498)</f>
        <v>0</v>
      </c>
      <c r="M385" s="13">
        <f>+SUMIF('GE16FEB14 Unfudged'!$A$2:$A$498, 'Tax Bill Summary'!$A385, 'GE16FEB14 Unfudged'!J$2:IG$498)</f>
        <v>0</v>
      </c>
      <c r="N385" s="56">
        <f t="shared" si="223"/>
        <v>0</v>
      </c>
      <c r="O385" s="51">
        <f t="shared" si="224"/>
        <v>13351</v>
      </c>
      <c r="P385" s="13">
        <f t="shared" si="225"/>
        <v>0</v>
      </c>
      <c r="Q385" s="56">
        <f t="shared" si="226"/>
        <v>13351</v>
      </c>
      <c r="R385" s="13">
        <f t="shared" si="227"/>
        <v>112.19327731092437</v>
      </c>
      <c r="S385" s="13">
        <f t="shared" si="228"/>
        <v>0</v>
      </c>
      <c r="T385" s="16">
        <f t="shared" si="229"/>
        <v>112.19327731092437</v>
      </c>
      <c r="U385" s="15">
        <f>+SUMIF('GE16FEB14 Tax Bill Unfudged'!$A$2:$A$498, 'Tax Bill Summary'!$A385, 'GE16FEB14 Tax Bill Unfudged'!E$2:E$498)</f>
        <v>13678</v>
      </c>
      <c r="V385" s="13">
        <f>+SUMIF('GE16FEB14 Tax Bill Unfudged'!$A$2:$A$498, 'Tax Bill Summary'!$A385, 'GE16FEB14 Tax Bill Unfudged'!F$2:F$498)</f>
        <v>0</v>
      </c>
      <c r="W385" s="56">
        <f t="shared" si="230"/>
        <v>13678</v>
      </c>
      <c r="X385" s="51">
        <f>+SUMIF('GE16FEB14 Tax Bill Unfudged'!$A$2:$A$498, 'Tax Bill Summary'!$A385, 'GE16FEB14 Tax Bill Unfudged'!G$2:G$498)</f>
        <v>0</v>
      </c>
      <c r="Y385" s="13">
        <f>+SUMIF('GE16FEB14 Tax Bill Unfudged'!$A$2:$A$498, 'Tax Bill Summary'!$A385, 'GE16FEB14 Tax Bill Unfudged'!H$2:H$498)</f>
        <v>0</v>
      </c>
      <c r="Z385" s="56">
        <f t="shared" si="231"/>
        <v>0</v>
      </c>
      <c r="AA385" s="51">
        <f>+SUMIF('GE16FEB14 Tax Bill Unfudged'!$A$2:$A$498, 'Tax Bill Summary'!$A385, 'GE16FEB14 Tax Bill Unfudged'!I$2:I$498)</f>
        <v>0</v>
      </c>
      <c r="AB385" s="13">
        <f>+SUMIF('GE16FEB14 Tax Bill Unfudged'!$A$2:$A$498, 'Tax Bill Summary'!$A385, 'GE16FEB14 Tax Bill Unfudged'!J$2:J$498)</f>
        <v>0</v>
      </c>
      <c r="AC385" s="56">
        <f t="shared" si="232"/>
        <v>0</v>
      </c>
      <c r="AD385" s="51">
        <f t="shared" si="233"/>
        <v>13678</v>
      </c>
      <c r="AE385" s="13">
        <f t="shared" si="234"/>
        <v>0</v>
      </c>
      <c r="AF385" s="56">
        <f t="shared" si="235"/>
        <v>13678</v>
      </c>
      <c r="AG385" s="13">
        <f t="shared" si="236"/>
        <v>114.94117647058823</v>
      </c>
      <c r="AH385" s="13">
        <f t="shared" si="237"/>
        <v>0</v>
      </c>
      <c r="AI385" s="16">
        <f t="shared" si="238"/>
        <v>114.94117647058823</v>
      </c>
      <c r="AJ385" s="15">
        <f t="shared" si="239"/>
        <v>327</v>
      </c>
      <c r="AK385" s="13">
        <f t="shared" si="240"/>
        <v>0</v>
      </c>
      <c r="AL385" s="56">
        <f t="shared" si="241"/>
        <v>327</v>
      </c>
      <c r="AM385" s="51">
        <f t="shared" si="242"/>
        <v>0</v>
      </c>
      <c r="AN385" s="13">
        <f t="shared" si="243"/>
        <v>0</v>
      </c>
      <c r="AO385" s="56">
        <f t="shared" si="244"/>
        <v>0</v>
      </c>
      <c r="AP385" s="51">
        <f t="shared" si="245"/>
        <v>0</v>
      </c>
      <c r="AQ385" s="13">
        <f t="shared" si="246"/>
        <v>0</v>
      </c>
      <c r="AR385" s="56">
        <f t="shared" si="247"/>
        <v>0</v>
      </c>
      <c r="AS385" s="51">
        <f t="shared" si="248"/>
        <v>327</v>
      </c>
      <c r="AT385" s="13">
        <f t="shared" si="249"/>
        <v>0</v>
      </c>
      <c r="AU385" s="56">
        <f t="shared" si="250"/>
        <v>327</v>
      </c>
      <c r="AV385" s="13">
        <f t="shared" si="251"/>
        <v>2.7478991596638593</v>
      </c>
      <c r="AW385" s="13">
        <f t="shared" si="252"/>
        <v>0</v>
      </c>
      <c r="AX385" s="16">
        <f t="shared" si="253"/>
        <v>2.7478991596638593</v>
      </c>
    </row>
    <row r="386" spans="1:50" x14ac:dyDescent="0.25">
      <c r="A386" s="20">
        <v>4052</v>
      </c>
      <c r="B386">
        <v>7</v>
      </c>
      <c r="C386" s="23" t="s">
        <v>478</v>
      </c>
      <c r="D386" s="23">
        <v>7</v>
      </c>
      <c r="E386" s="15">
        <f>+SUMIF('GE16FEB14 Unfudged'!$A$2:$A$498, $A386, 'GE16FEB14 Unfudged'!$D$2:$D$498)</f>
        <v>0</v>
      </c>
      <c r="F386" s="15">
        <f>+SUMIF('GE16FEB14 Unfudged'!$A$2:$A$498, 'Tax Bill Summary'!$A386, 'GE16FEB14 Unfudged'!E$2:E$498)</f>
        <v>0</v>
      </c>
      <c r="G386" s="13">
        <f>+SUMIF('GE16FEB14 Unfudged'!$A$2:$A$498, 'Tax Bill Summary'!$A386, 'GE16FEB14 Unfudged'!F$2:F$498)</f>
        <v>0</v>
      </c>
      <c r="H386" s="56">
        <f t="shared" si="221"/>
        <v>0</v>
      </c>
      <c r="I386" s="51">
        <f>+SUMIF('GE16FEB14 Unfudged'!$A$2:$A$498, 'Tax Bill Summary'!$A386, 'GE16FEB14 Unfudged'!G$2:G$498)</f>
        <v>0</v>
      </c>
      <c r="J386" s="13">
        <f>+SUMIF('GE16FEB14 Unfudged'!$A$2:$A$498, 'Tax Bill Summary'!$A386, 'GE16FEB14 Unfudged'!H$2:H$498)</f>
        <v>0</v>
      </c>
      <c r="K386" s="56">
        <f t="shared" si="222"/>
        <v>0</v>
      </c>
      <c r="L386" s="51">
        <f>+SUMIF('GE16FEB14 Unfudged'!$A$2:$A$498, 'Tax Bill Summary'!$A386, 'GE16FEB14 Unfudged'!I$2:IF$498)</f>
        <v>0</v>
      </c>
      <c r="M386" s="13">
        <f>+SUMIF('GE16FEB14 Unfudged'!$A$2:$A$498, 'Tax Bill Summary'!$A386, 'GE16FEB14 Unfudged'!J$2:IG$498)</f>
        <v>0</v>
      </c>
      <c r="N386" s="56">
        <f t="shared" si="223"/>
        <v>0</v>
      </c>
      <c r="O386" s="51">
        <f t="shared" si="224"/>
        <v>0</v>
      </c>
      <c r="P386" s="13">
        <f t="shared" si="225"/>
        <v>0</v>
      </c>
      <c r="Q386" s="56">
        <f t="shared" si="226"/>
        <v>0</v>
      </c>
      <c r="R386" s="13">
        <f t="shared" si="227"/>
        <v>0</v>
      </c>
      <c r="S386" s="13">
        <f t="shared" si="228"/>
        <v>0</v>
      </c>
      <c r="T386" s="16">
        <f t="shared" si="229"/>
        <v>0</v>
      </c>
      <c r="U386" s="15">
        <f>+SUMIF('GE16FEB14 Tax Bill Unfudged'!$A$2:$A$498, 'Tax Bill Summary'!$A386, 'GE16FEB14 Tax Bill Unfudged'!E$2:E$498)</f>
        <v>0</v>
      </c>
      <c r="V386" s="13">
        <f>+SUMIF('GE16FEB14 Tax Bill Unfudged'!$A$2:$A$498, 'Tax Bill Summary'!$A386, 'GE16FEB14 Tax Bill Unfudged'!F$2:F$498)</f>
        <v>0</v>
      </c>
      <c r="W386" s="56">
        <f t="shared" si="230"/>
        <v>0</v>
      </c>
      <c r="X386" s="51">
        <f>+SUMIF('GE16FEB14 Tax Bill Unfudged'!$A$2:$A$498, 'Tax Bill Summary'!$A386, 'GE16FEB14 Tax Bill Unfudged'!G$2:G$498)</f>
        <v>0</v>
      </c>
      <c r="Y386" s="13">
        <f>+SUMIF('GE16FEB14 Tax Bill Unfudged'!$A$2:$A$498, 'Tax Bill Summary'!$A386, 'GE16FEB14 Tax Bill Unfudged'!H$2:H$498)</f>
        <v>0</v>
      </c>
      <c r="Z386" s="56">
        <f t="shared" si="231"/>
        <v>0</v>
      </c>
      <c r="AA386" s="51">
        <f>+SUMIF('GE16FEB14 Tax Bill Unfudged'!$A$2:$A$498, 'Tax Bill Summary'!$A386, 'GE16FEB14 Tax Bill Unfudged'!I$2:I$498)</f>
        <v>0</v>
      </c>
      <c r="AB386" s="13">
        <f>+SUMIF('GE16FEB14 Tax Bill Unfudged'!$A$2:$A$498, 'Tax Bill Summary'!$A386, 'GE16FEB14 Tax Bill Unfudged'!J$2:J$498)</f>
        <v>0</v>
      </c>
      <c r="AC386" s="56">
        <f t="shared" si="232"/>
        <v>0</v>
      </c>
      <c r="AD386" s="51">
        <f t="shared" si="233"/>
        <v>0</v>
      </c>
      <c r="AE386" s="13">
        <f t="shared" si="234"/>
        <v>0</v>
      </c>
      <c r="AF386" s="56">
        <f t="shared" si="235"/>
        <v>0</v>
      </c>
      <c r="AG386" s="13">
        <f t="shared" si="236"/>
        <v>0</v>
      </c>
      <c r="AH386" s="13">
        <f t="shared" si="237"/>
        <v>0</v>
      </c>
      <c r="AI386" s="16">
        <f t="shared" si="238"/>
        <v>0</v>
      </c>
      <c r="AJ386" s="15">
        <f t="shared" si="239"/>
        <v>0</v>
      </c>
      <c r="AK386" s="13">
        <f t="shared" si="240"/>
        <v>0</v>
      </c>
      <c r="AL386" s="56">
        <f t="shared" si="241"/>
        <v>0</v>
      </c>
      <c r="AM386" s="51">
        <f t="shared" si="242"/>
        <v>0</v>
      </c>
      <c r="AN386" s="13">
        <f t="shared" si="243"/>
        <v>0</v>
      </c>
      <c r="AO386" s="56">
        <f t="shared" si="244"/>
        <v>0</v>
      </c>
      <c r="AP386" s="51">
        <f t="shared" si="245"/>
        <v>0</v>
      </c>
      <c r="AQ386" s="13">
        <f t="shared" si="246"/>
        <v>0</v>
      </c>
      <c r="AR386" s="56">
        <f t="shared" si="247"/>
        <v>0</v>
      </c>
      <c r="AS386" s="51">
        <f t="shared" si="248"/>
        <v>0</v>
      </c>
      <c r="AT386" s="13">
        <f t="shared" si="249"/>
        <v>0</v>
      </c>
      <c r="AU386" s="56">
        <f t="shared" si="250"/>
        <v>0</v>
      </c>
      <c r="AV386" s="13">
        <f t="shared" si="251"/>
        <v>0</v>
      </c>
      <c r="AW386" s="13">
        <f t="shared" si="252"/>
        <v>0</v>
      </c>
      <c r="AX386" s="16">
        <f t="shared" si="253"/>
        <v>0</v>
      </c>
    </row>
    <row r="387" spans="1:50" x14ac:dyDescent="0.25">
      <c r="A387" s="20">
        <v>4053</v>
      </c>
      <c r="B387">
        <v>7</v>
      </c>
      <c r="C387" s="23" t="s">
        <v>37</v>
      </c>
      <c r="D387" s="23">
        <v>7</v>
      </c>
      <c r="E387" s="15">
        <f>+SUMIF('GE16FEB14 Unfudged'!$A$2:$A$498, $A387, 'GE16FEB14 Unfudged'!$D$2:$D$498)</f>
        <v>478</v>
      </c>
      <c r="F387" s="15">
        <f>+SUMIF('GE16FEB14 Unfudged'!$A$2:$A$498, 'Tax Bill Summary'!$A387, 'GE16FEB14 Unfudged'!E$2:E$498)</f>
        <v>53807</v>
      </c>
      <c r="G387" s="13">
        <f>+SUMIF('GE16FEB14 Unfudged'!$A$2:$A$498, 'Tax Bill Summary'!$A387, 'GE16FEB14 Unfudged'!F$2:F$498)</f>
        <v>0</v>
      </c>
      <c r="H387" s="56">
        <f t="shared" si="221"/>
        <v>53807</v>
      </c>
      <c r="I387" s="51">
        <f>+SUMIF('GE16FEB14 Unfudged'!$A$2:$A$498, 'Tax Bill Summary'!$A387, 'GE16FEB14 Unfudged'!G$2:G$498)</f>
        <v>0</v>
      </c>
      <c r="J387" s="13">
        <f>+SUMIF('GE16FEB14 Unfudged'!$A$2:$A$498, 'Tax Bill Summary'!$A387, 'GE16FEB14 Unfudged'!H$2:H$498)</f>
        <v>0</v>
      </c>
      <c r="K387" s="56">
        <f t="shared" si="222"/>
        <v>0</v>
      </c>
      <c r="L387" s="51">
        <f>+SUMIF('GE16FEB14 Unfudged'!$A$2:$A$498, 'Tax Bill Summary'!$A387, 'GE16FEB14 Unfudged'!I$2:IF$498)</f>
        <v>0</v>
      </c>
      <c r="M387" s="13">
        <f>+SUMIF('GE16FEB14 Unfudged'!$A$2:$A$498, 'Tax Bill Summary'!$A387, 'GE16FEB14 Unfudged'!J$2:IG$498)</f>
        <v>0</v>
      </c>
      <c r="N387" s="56">
        <f t="shared" si="223"/>
        <v>0</v>
      </c>
      <c r="O387" s="51">
        <f t="shared" si="224"/>
        <v>53807</v>
      </c>
      <c r="P387" s="13">
        <f t="shared" si="225"/>
        <v>0</v>
      </c>
      <c r="Q387" s="56">
        <f t="shared" si="226"/>
        <v>53807</v>
      </c>
      <c r="R387" s="13">
        <f t="shared" si="227"/>
        <v>112.56694560669456</v>
      </c>
      <c r="S387" s="13">
        <f t="shared" si="228"/>
        <v>0</v>
      </c>
      <c r="T387" s="16">
        <f t="shared" si="229"/>
        <v>112.56694560669456</v>
      </c>
      <c r="U387" s="15">
        <f>+SUMIF('GE16FEB14 Tax Bill Unfudged'!$A$2:$A$498, 'Tax Bill Summary'!$A387, 'GE16FEB14 Tax Bill Unfudged'!E$2:E$498)</f>
        <v>55127</v>
      </c>
      <c r="V387" s="13">
        <f>+SUMIF('GE16FEB14 Tax Bill Unfudged'!$A$2:$A$498, 'Tax Bill Summary'!$A387, 'GE16FEB14 Tax Bill Unfudged'!F$2:F$498)</f>
        <v>0</v>
      </c>
      <c r="W387" s="56">
        <f t="shared" si="230"/>
        <v>55127</v>
      </c>
      <c r="X387" s="51">
        <f>+SUMIF('GE16FEB14 Tax Bill Unfudged'!$A$2:$A$498, 'Tax Bill Summary'!$A387, 'GE16FEB14 Tax Bill Unfudged'!G$2:G$498)</f>
        <v>0</v>
      </c>
      <c r="Y387" s="13">
        <f>+SUMIF('GE16FEB14 Tax Bill Unfudged'!$A$2:$A$498, 'Tax Bill Summary'!$A387, 'GE16FEB14 Tax Bill Unfudged'!H$2:H$498)</f>
        <v>0</v>
      </c>
      <c r="Z387" s="56">
        <f t="shared" si="231"/>
        <v>0</v>
      </c>
      <c r="AA387" s="51">
        <f>+SUMIF('GE16FEB14 Tax Bill Unfudged'!$A$2:$A$498, 'Tax Bill Summary'!$A387, 'GE16FEB14 Tax Bill Unfudged'!I$2:I$498)</f>
        <v>0</v>
      </c>
      <c r="AB387" s="13">
        <f>+SUMIF('GE16FEB14 Tax Bill Unfudged'!$A$2:$A$498, 'Tax Bill Summary'!$A387, 'GE16FEB14 Tax Bill Unfudged'!J$2:J$498)</f>
        <v>0</v>
      </c>
      <c r="AC387" s="56">
        <f t="shared" si="232"/>
        <v>0</v>
      </c>
      <c r="AD387" s="51">
        <f t="shared" si="233"/>
        <v>55127</v>
      </c>
      <c r="AE387" s="13">
        <f t="shared" si="234"/>
        <v>0</v>
      </c>
      <c r="AF387" s="56">
        <f t="shared" si="235"/>
        <v>55127</v>
      </c>
      <c r="AG387" s="13">
        <f t="shared" si="236"/>
        <v>115.32845188284519</v>
      </c>
      <c r="AH387" s="13">
        <f t="shared" si="237"/>
        <v>0</v>
      </c>
      <c r="AI387" s="16">
        <f t="shared" si="238"/>
        <v>115.32845188284519</v>
      </c>
      <c r="AJ387" s="15">
        <f t="shared" si="239"/>
        <v>1320</v>
      </c>
      <c r="AK387" s="13">
        <f t="shared" si="240"/>
        <v>0</v>
      </c>
      <c r="AL387" s="56">
        <f t="shared" si="241"/>
        <v>1320</v>
      </c>
      <c r="AM387" s="51">
        <f t="shared" si="242"/>
        <v>0</v>
      </c>
      <c r="AN387" s="13">
        <f t="shared" si="243"/>
        <v>0</v>
      </c>
      <c r="AO387" s="56">
        <f t="shared" si="244"/>
        <v>0</v>
      </c>
      <c r="AP387" s="51">
        <f t="shared" si="245"/>
        <v>0</v>
      </c>
      <c r="AQ387" s="13">
        <f t="shared" si="246"/>
        <v>0</v>
      </c>
      <c r="AR387" s="56">
        <f t="shared" si="247"/>
        <v>0</v>
      </c>
      <c r="AS387" s="51">
        <f t="shared" si="248"/>
        <v>1320</v>
      </c>
      <c r="AT387" s="13">
        <f t="shared" si="249"/>
        <v>0</v>
      </c>
      <c r="AU387" s="56">
        <f t="shared" si="250"/>
        <v>1320</v>
      </c>
      <c r="AV387" s="13">
        <f t="shared" si="251"/>
        <v>2.7615062761506266</v>
      </c>
      <c r="AW387" s="13">
        <f t="shared" si="252"/>
        <v>0</v>
      </c>
      <c r="AX387" s="16">
        <f t="shared" si="253"/>
        <v>2.7615062761506266</v>
      </c>
    </row>
    <row r="388" spans="1:50" x14ac:dyDescent="0.25">
      <c r="A388" s="20">
        <v>4054</v>
      </c>
      <c r="B388">
        <v>7</v>
      </c>
      <c r="C388" s="23" t="s">
        <v>38</v>
      </c>
      <c r="D388" s="23">
        <v>7</v>
      </c>
      <c r="E388" s="15">
        <f>+SUMIF('GE16FEB14 Unfudged'!$A$2:$A$498, $A388, 'GE16FEB14 Unfudged'!$D$2:$D$498)</f>
        <v>69</v>
      </c>
      <c r="F388" s="15">
        <f>+SUMIF('GE16FEB14 Unfudged'!$A$2:$A$498, 'Tax Bill Summary'!$A388, 'GE16FEB14 Unfudged'!E$2:E$498)</f>
        <v>7745</v>
      </c>
      <c r="G388" s="13">
        <f>+SUMIF('GE16FEB14 Unfudged'!$A$2:$A$498, 'Tax Bill Summary'!$A388, 'GE16FEB14 Unfudged'!F$2:F$498)</f>
        <v>0</v>
      </c>
      <c r="H388" s="56">
        <f t="shared" si="221"/>
        <v>7745</v>
      </c>
      <c r="I388" s="51">
        <f>+SUMIF('GE16FEB14 Unfudged'!$A$2:$A$498, 'Tax Bill Summary'!$A388, 'GE16FEB14 Unfudged'!G$2:G$498)</f>
        <v>0</v>
      </c>
      <c r="J388" s="13">
        <f>+SUMIF('GE16FEB14 Unfudged'!$A$2:$A$498, 'Tax Bill Summary'!$A388, 'GE16FEB14 Unfudged'!H$2:H$498)</f>
        <v>0</v>
      </c>
      <c r="K388" s="56">
        <f t="shared" si="222"/>
        <v>0</v>
      </c>
      <c r="L388" s="51">
        <f>+SUMIF('GE16FEB14 Unfudged'!$A$2:$A$498, 'Tax Bill Summary'!$A388, 'GE16FEB14 Unfudged'!I$2:IF$498)</f>
        <v>0</v>
      </c>
      <c r="M388" s="13">
        <f>+SUMIF('GE16FEB14 Unfudged'!$A$2:$A$498, 'Tax Bill Summary'!$A388, 'GE16FEB14 Unfudged'!J$2:IG$498)</f>
        <v>0</v>
      </c>
      <c r="N388" s="56">
        <f t="shared" si="223"/>
        <v>0</v>
      </c>
      <c r="O388" s="51">
        <f t="shared" si="224"/>
        <v>7745</v>
      </c>
      <c r="P388" s="13">
        <f t="shared" si="225"/>
        <v>0</v>
      </c>
      <c r="Q388" s="56">
        <f t="shared" si="226"/>
        <v>7745</v>
      </c>
      <c r="R388" s="13">
        <f t="shared" si="227"/>
        <v>112.2463768115942</v>
      </c>
      <c r="S388" s="13">
        <f t="shared" si="228"/>
        <v>0</v>
      </c>
      <c r="T388" s="16">
        <f t="shared" si="229"/>
        <v>112.2463768115942</v>
      </c>
      <c r="U388" s="15">
        <f>+SUMIF('GE16FEB14 Tax Bill Unfudged'!$A$2:$A$498, 'Tax Bill Summary'!$A388, 'GE16FEB14 Tax Bill Unfudged'!E$2:E$498)</f>
        <v>7935</v>
      </c>
      <c r="V388" s="13">
        <f>+SUMIF('GE16FEB14 Tax Bill Unfudged'!$A$2:$A$498, 'Tax Bill Summary'!$A388, 'GE16FEB14 Tax Bill Unfudged'!F$2:F$498)</f>
        <v>0</v>
      </c>
      <c r="W388" s="56">
        <f t="shared" si="230"/>
        <v>7935</v>
      </c>
      <c r="X388" s="51">
        <f>+SUMIF('GE16FEB14 Tax Bill Unfudged'!$A$2:$A$498, 'Tax Bill Summary'!$A388, 'GE16FEB14 Tax Bill Unfudged'!G$2:G$498)</f>
        <v>0</v>
      </c>
      <c r="Y388" s="13">
        <f>+SUMIF('GE16FEB14 Tax Bill Unfudged'!$A$2:$A$498, 'Tax Bill Summary'!$A388, 'GE16FEB14 Tax Bill Unfudged'!H$2:H$498)</f>
        <v>0</v>
      </c>
      <c r="Z388" s="56">
        <f t="shared" si="231"/>
        <v>0</v>
      </c>
      <c r="AA388" s="51">
        <f>+SUMIF('GE16FEB14 Tax Bill Unfudged'!$A$2:$A$498, 'Tax Bill Summary'!$A388, 'GE16FEB14 Tax Bill Unfudged'!I$2:I$498)</f>
        <v>0</v>
      </c>
      <c r="AB388" s="13">
        <f>+SUMIF('GE16FEB14 Tax Bill Unfudged'!$A$2:$A$498, 'Tax Bill Summary'!$A388, 'GE16FEB14 Tax Bill Unfudged'!J$2:J$498)</f>
        <v>0</v>
      </c>
      <c r="AC388" s="56">
        <f t="shared" si="232"/>
        <v>0</v>
      </c>
      <c r="AD388" s="51">
        <f t="shared" si="233"/>
        <v>7935</v>
      </c>
      <c r="AE388" s="13">
        <f t="shared" si="234"/>
        <v>0</v>
      </c>
      <c r="AF388" s="56">
        <f t="shared" si="235"/>
        <v>7935</v>
      </c>
      <c r="AG388" s="13">
        <f t="shared" si="236"/>
        <v>115</v>
      </c>
      <c r="AH388" s="13">
        <f t="shared" si="237"/>
        <v>0</v>
      </c>
      <c r="AI388" s="16">
        <f t="shared" si="238"/>
        <v>115</v>
      </c>
      <c r="AJ388" s="15">
        <f t="shared" si="239"/>
        <v>190</v>
      </c>
      <c r="AK388" s="13">
        <f t="shared" si="240"/>
        <v>0</v>
      </c>
      <c r="AL388" s="56">
        <f t="shared" si="241"/>
        <v>190</v>
      </c>
      <c r="AM388" s="51">
        <f t="shared" si="242"/>
        <v>0</v>
      </c>
      <c r="AN388" s="13">
        <f t="shared" si="243"/>
        <v>0</v>
      </c>
      <c r="AO388" s="56">
        <f t="shared" si="244"/>
        <v>0</v>
      </c>
      <c r="AP388" s="51">
        <f t="shared" si="245"/>
        <v>0</v>
      </c>
      <c r="AQ388" s="13">
        <f t="shared" si="246"/>
        <v>0</v>
      </c>
      <c r="AR388" s="56">
        <f t="shared" si="247"/>
        <v>0</v>
      </c>
      <c r="AS388" s="51">
        <f t="shared" si="248"/>
        <v>190</v>
      </c>
      <c r="AT388" s="13">
        <f t="shared" si="249"/>
        <v>0</v>
      </c>
      <c r="AU388" s="56">
        <f t="shared" si="250"/>
        <v>190</v>
      </c>
      <c r="AV388" s="13">
        <f t="shared" si="251"/>
        <v>2.7536231884057969</v>
      </c>
      <c r="AW388" s="13">
        <f t="shared" si="252"/>
        <v>0</v>
      </c>
      <c r="AX388" s="16">
        <f t="shared" si="253"/>
        <v>2.7536231884057969</v>
      </c>
    </row>
    <row r="389" spans="1:50" x14ac:dyDescent="0.25">
      <c r="A389" s="20">
        <v>4055</v>
      </c>
      <c r="B389">
        <v>7</v>
      </c>
      <c r="C389" s="23" t="s">
        <v>39</v>
      </c>
      <c r="D389" s="23">
        <v>7</v>
      </c>
      <c r="E389" s="15">
        <f>+SUMIF('GE16FEB14 Unfudged'!$A$2:$A$498, $A389, 'GE16FEB14 Unfudged'!$D$2:$D$498)</f>
        <v>155</v>
      </c>
      <c r="F389" s="15">
        <f>+SUMIF('GE16FEB14 Unfudged'!$A$2:$A$498, 'Tax Bill Summary'!$A389, 'GE16FEB14 Unfudged'!E$2:E$498)</f>
        <v>17448</v>
      </c>
      <c r="G389" s="13">
        <f>+SUMIF('GE16FEB14 Unfudged'!$A$2:$A$498, 'Tax Bill Summary'!$A389, 'GE16FEB14 Unfudged'!F$2:F$498)</f>
        <v>0</v>
      </c>
      <c r="H389" s="56">
        <f t="shared" si="221"/>
        <v>17448</v>
      </c>
      <c r="I389" s="51">
        <f>+SUMIF('GE16FEB14 Unfudged'!$A$2:$A$498, 'Tax Bill Summary'!$A389, 'GE16FEB14 Unfudged'!G$2:G$498)</f>
        <v>0</v>
      </c>
      <c r="J389" s="13">
        <f>+SUMIF('GE16FEB14 Unfudged'!$A$2:$A$498, 'Tax Bill Summary'!$A389, 'GE16FEB14 Unfudged'!H$2:H$498)</f>
        <v>0</v>
      </c>
      <c r="K389" s="56">
        <f t="shared" si="222"/>
        <v>0</v>
      </c>
      <c r="L389" s="51">
        <f>+SUMIF('GE16FEB14 Unfudged'!$A$2:$A$498, 'Tax Bill Summary'!$A389, 'GE16FEB14 Unfudged'!I$2:IF$498)</f>
        <v>0</v>
      </c>
      <c r="M389" s="13">
        <f>+SUMIF('GE16FEB14 Unfudged'!$A$2:$A$498, 'Tax Bill Summary'!$A389, 'GE16FEB14 Unfudged'!J$2:IG$498)</f>
        <v>0</v>
      </c>
      <c r="N389" s="56">
        <f t="shared" si="223"/>
        <v>0</v>
      </c>
      <c r="O389" s="51">
        <f t="shared" si="224"/>
        <v>17448</v>
      </c>
      <c r="P389" s="13">
        <f t="shared" si="225"/>
        <v>0</v>
      </c>
      <c r="Q389" s="56">
        <f t="shared" si="226"/>
        <v>17448</v>
      </c>
      <c r="R389" s="13">
        <f t="shared" si="227"/>
        <v>112.56774193548387</v>
      </c>
      <c r="S389" s="13">
        <f t="shared" si="228"/>
        <v>0</v>
      </c>
      <c r="T389" s="16">
        <f t="shared" si="229"/>
        <v>112.56774193548387</v>
      </c>
      <c r="U389" s="15">
        <f>+SUMIF('GE16FEB14 Tax Bill Unfudged'!$A$2:$A$498, 'Tax Bill Summary'!$A389, 'GE16FEB14 Tax Bill Unfudged'!E$2:E$498)</f>
        <v>17876</v>
      </c>
      <c r="V389" s="13">
        <f>+SUMIF('GE16FEB14 Tax Bill Unfudged'!$A$2:$A$498, 'Tax Bill Summary'!$A389, 'GE16FEB14 Tax Bill Unfudged'!F$2:F$498)</f>
        <v>0</v>
      </c>
      <c r="W389" s="56">
        <f t="shared" si="230"/>
        <v>17876</v>
      </c>
      <c r="X389" s="51">
        <f>+SUMIF('GE16FEB14 Tax Bill Unfudged'!$A$2:$A$498, 'Tax Bill Summary'!$A389, 'GE16FEB14 Tax Bill Unfudged'!G$2:G$498)</f>
        <v>0</v>
      </c>
      <c r="Y389" s="13">
        <f>+SUMIF('GE16FEB14 Tax Bill Unfudged'!$A$2:$A$498, 'Tax Bill Summary'!$A389, 'GE16FEB14 Tax Bill Unfudged'!H$2:H$498)</f>
        <v>0</v>
      </c>
      <c r="Z389" s="56">
        <f t="shared" si="231"/>
        <v>0</v>
      </c>
      <c r="AA389" s="51">
        <f>+SUMIF('GE16FEB14 Tax Bill Unfudged'!$A$2:$A$498, 'Tax Bill Summary'!$A389, 'GE16FEB14 Tax Bill Unfudged'!I$2:I$498)</f>
        <v>0</v>
      </c>
      <c r="AB389" s="13">
        <f>+SUMIF('GE16FEB14 Tax Bill Unfudged'!$A$2:$A$498, 'Tax Bill Summary'!$A389, 'GE16FEB14 Tax Bill Unfudged'!J$2:J$498)</f>
        <v>0</v>
      </c>
      <c r="AC389" s="56">
        <f t="shared" si="232"/>
        <v>0</v>
      </c>
      <c r="AD389" s="51">
        <f t="shared" si="233"/>
        <v>17876</v>
      </c>
      <c r="AE389" s="13">
        <f t="shared" si="234"/>
        <v>0</v>
      </c>
      <c r="AF389" s="56">
        <f t="shared" si="235"/>
        <v>17876</v>
      </c>
      <c r="AG389" s="13">
        <f t="shared" si="236"/>
        <v>115.32903225806452</v>
      </c>
      <c r="AH389" s="13">
        <f t="shared" si="237"/>
        <v>0</v>
      </c>
      <c r="AI389" s="16">
        <f t="shared" si="238"/>
        <v>115.32903225806452</v>
      </c>
      <c r="AJ389" s="15">
        <f t="shared" si="239"/>
        <v>428</v>
      </c>
      <c r="AK389" s="13">
        <f t="shared" si="240"/>
        <v>0</v>
      </c>
      <c r="AL389" s="56">
        <f t="shared" si="241"/>
        <v>428</v>
      </c>
      <c r="AM389" s="51">
        <f t="shared" si="242"/>
        <v>0</v>
      </c>
      <c r="AN389" s="13">
        <f t="shared" si="243"/>
        <v>0</v>
      </c>
      <c r="AO389" s="56">
        <f t="shared" si="244"/>
        <v>0</v>
      </c>
      <c r="AP389" s="51">
        <f t="shared" si="245"/>
        <v>0</v>
      </c>
      <c r="AQ389" s="13">
        <f t="shared" si="246"/>
        <v>0</v>
      </c>
      <c r="AR389" s="56">
        <f t="shared" si="247"/>
        <v>0</v>
      </c>
      <c r="AS389" s="51">
        <f t="shared" si="248"/>
        <v>428</v>
      </c>
      <c r="AT389" s="13">
        <f t="shared" si="249"/>
        <v>0</v>
      </c>
      <c r="AU389" s="56">
        <f t="shared" si="250"/>
        <v>428</v>
      </c>
      <c r="AV389" s="13">
        <f t="shared" si="251"/>
        <v>2.7612903225806491</v>
      </c>
      <c r="AW389" s="13">
        <f t="shared" si="252"/>
        <v>0</v>
      </c>
      <c r="AX389" s="16">
        <f t="shared" si="253"/>
        <v>2.7612903225806491</v>
      </c>
    </row>
    <row r="390" spans="1:50" x14ac:dyDescent="0.25">
      <c r="A390" s="20">
        <v>4056</v>
      </c>
      <c r="B390">
        <v>7</v>
      </c>
      <c r="C390" s="23" t="s">
        <v>479</v>
      </c>
      <c r="D390" s="23">
        <v>7</v>
      </c>
      <c r="E390" s="15">
        <f>+SUMIF('GE16FEB14 Unfudged'!$A$2:$A$498, $A390, 'GE16FEB14 Unfudged'!$D$2:$D$498)</f>
        <v>120</v>
      </c>
      <c r="F390" s="15">
        <f>+SUMIF('GE16FEB14 Unfudged'!$A$2:$A$498, 'Tax Bill Summary'!$A390, 'GE16FEB14 Unfudged'!E$2:E$498)</f>
        <v>13508</v>
      </c>
      <c r="G390" s="13">
        <f>+SUMIF('GE16FEB14 Unfudged'!$A$2:$A$498, 'Tax Bill Summary'!$A390, 'GE16FEB14 Unfudged'!F$2:F$498)</f>
        <v>0</v>
      </c>
      <c r="H390" s="56">
        <f t="shared" si="221"/>
        <v>13508</v>
      </c>
      <c r="I390" s="51">
        <f>+SUMIF('GE16FEB14 Unfudged'!$A$2:$A$498, 'Tax Bill Summary'!$A390, 'GE16FEB14 Unfudged'!G$2:G$498)</f>
        <v>0</v>
      </c>
      <c r="J390" s="13">
        <f>+SUMIF('GE16FEB14 Unfudged'!$A$2:$A$498, 'Tax Bill Summary'!$A390, 'GE16FEB14 Unfudged'!H$2:H$498)</f>
        <v>0</v>
      </c>
      <c r="K390" s="56">
        <f t="shared" si="222"/>
        <v>0</v>
      </c>
      <c r="L390" s="51">
        <f>+SUMIF('GE16FEB14 Unfudged'!$A$2:$A$498, 'Tax Bill Summary'!$A390, 'GE16FEB14 Unfudged'!I$2:IF$498)</f>
        <v>0</v>
      </c>
      <c r="M390" s="13">
        <f>+SUMIF('GE16FEB14 Unfudged'!$A$2:$A$498, 'Tax Bill Summary'!$A390, 'GE16FEB14 Unfudged'!J$2:IG$498)</f>
        <v>0</v>
      </c>
      <c r="N390" s="56">
        <f t="shared" si="223"/>
        <v>0</v>
      </c>
      <c r="O390" s="51">
        <f t="shared" si="224"/>
        <v>13508</v>
      </c>
      <c r="P390" s="13">
        <f t="shared" si="225"/>
        <v>0</v>
      </c>
      <c r="Q390" s="56">
        <f t="shared" si="226"/>
        <v>13508</v>
      </c>
      <c r="R390" s="13">
        <f t="shared" si="227"/>
        <v>112.56666666666666</v>
      </c>
      <c r="S390" s="13">
        <f t="shared" si="228"/>
        <v>0</v>
      </c>
      <c r="T390" s="16">
        <f t="shared" si="229"/>
        <v>112.56666666666666</v>
      </c>
      <c r="U390" s="15">
        <f>+SUMIF('GE16FEB14 Tax Bill Unfudged'!$A$2:$A$498, 'Tax Bill Summary'!$A390, 'GE16FEB14 Tax Bill Unfudged'!E$2:E$498)</f>
        <v>13839</v>
      </c>
      <c r="V390" s="13">
        <f>+SUMIF('GE16FEB14 Tax Bill Unfudged'!$A$2:$A$498, 'Tax Bill Summary'!$A390, 'GE16FEB14 Tax Bill Unfudged'!F$2:F$498)</f>
        <v>0</v>
      </c>
      <c r="W390" s="56">
        <f t="shared" si="230"/>
        <v>13839</v>
      </c>
      <c r="X390" s="51">
        <f>+SUMIF('GE16FEB14 Tax Bill Unfudged'!$A$2:$A$498, 'Tax Bill Summary'!$A390, 'GE16FEB14 Tax Bill Unfudged'!G$2:G$498)</f>
        <v>0</v>
      </c>
      <c r="Y390" s="13">
        <f>+SUMIF('GE16FEB14 Tax Bill Unfudged'!$A$2:$A$498, 'Tax Bill Summary'!$A390, 'GE16FEB14 Tax Bill Unfudged'!H$2:H$498)</f>
        <v>0</v>
      </c>
      <c r="Z390" s="56">
        <f t="shared" si="231"/>
        <v>0</v>
      </c>
      <c r="AA390" s="51">
        <f>+SUMIF('GE16FEB14 Tax Bill Unfudged'!$A$2:$A$498, 'Tax Bill Summary'!$A390, 'GE16FEB14 Tax Bill Unfudged'!I$2:I$498)</f>
        <v>0</v>
      </c>
      <c r="AB390" s="13">
        <f>+SUMIF('GE16FEB14 Tax Bill Unfudged'!$A$2:$A$498, 'Tax Bill Summary'!$A390, 'GE16FEB14 Tax Bill Unfudged'!J$2:J$498)</f>
        <v>0</v>
      </c>
      <c r="AC390" s="56">
        <f t="shared" si="232"/>
        <v>0</v>
      </c>
      <c r="AD390" s="51">
        <f t="shared" si="233"/>
        <v>13839</v>
      </c>
      <c r="AE390" s="13">
        <f t="shared" si="234"/>
        <v>0</v>
      </c>
      <c r="AF390" s="56">
        <f t="shared" si="235"/>
        <v>13839</v>
      </c>
      <c r="AG390" s="13">
        <f t="shared" si="236"/>
        <v>115.325</v>
      </c>
      <c r="AH390" s="13">
        <f t="shared" si="237"/>
        <v>0</v>
      </c>
      <c r="AI390" s="16">
        <f t="shared" si="238"/>
        <v>115.325</v>
      </c>
      <c r="AJ390" s="15">
        <f t="shared" si="239"/>
        <v>331</v>
      </c>
      <c r="AK390" s="13">
        <f t="shared" si="240"/>
        <v>0</v>
      </c>
      <c r="AL390" s="56">
        <f t="shared" si="241"/>
        <v>331</v>
      </c>
      <c r="AM390" s="51">
        <f t="shared" si="242"/>
        <v>0</v>
      </c>
      <c r="AN390" s="13">
        <f t="shared" si="243"/>
        <v>0</v>
      </c>
      <c r="AO390" s="56">
        <f t="shared" si="244"/>
        <v>0</v>
      </c>
      <c r="AP390" s="51">
        <f t="shared" si="245"/>
        <v>0</v>
      </c>
      <c r="AQ390" s="13">
        <f t="shared" si="246"/>
        <v>0</v>
      </c>
      <c r="AR390" s="56">
        <f t="shared" si="247"/>
        <v>0</v>
      </c>
      <c r="AS390" s="51">
        <f t="shared" si="248"/>
        <v>331</v>
      </c>
      <c r="AT390" s="13">
        <f t="shared" si="249"/>
        <v>0</v>
      </c>
      <c r="AU390" s="56">
        <f t="shared" si="250"/>
        <v>331</v>
      </c>
      <c r="AV390" s="13">
        <f t="shared" si="251"/>
        <v>2.75833333333334</v>
      </c>
      <c r="AW390" s="13">
        <f t="shared" si="252"/>
        <v>0</v>
      </c>
      <c r="AX390" s="16">
        <f t="shared" si="253"/>
        <v>2.75833333333334</v>
      </c>
    </row>
    <row r="391" spans="1:50" x14ac:dyDescent="0.25">
      <c r="A391" s="20">
        <v>4057</v>
      </c>
      <c r="B391">
        <v>7</v>
      </c>
      <c r="C391" s="23" t="s">
        <v>40</v>
      </c>
      <c r="D391" s="23">
        <v>7</v>
      </c>
      <c r="E391" s="15">
        <f>+SUMIF('GE16FEB14 Unfudged'!$A$2:$A$498, $A391, 'GE16FEB14 Unfudged'!$D$2:$D$498)</f>
        <v>96</v>
      </c>
      <c r="F391" s="15">
        <f>+SUMIF('GE16FEB14 Unfudged'!$A$2:$A$498, 'Tax Bill Summary'!$A391, 'GE16FEB14 Unfudged'!E$2:E$498)</f>
        <v>10807</v>
      </c>
      <c r="G391" s="13">
        <f>+SUMIF('GE16FEB14 Unfudged'!$A$2:$A$498, 'Tax Bill Summary'!$A391, 'GE16FEB14 Unfudged'!F$2:F$498)</f>
        <v>0</v>
      </c>
      <c r="H391" s="56">
        <f t="shared" si="221"/>
        <v>10807</v>
      </c>
      <c r="I391" s="51">
        <f>+SUMIF('GE16FEB14 Unfudged'!$A$2:$A$498, 'Tax Bill Summary'!$A391, 'GE16FEB14 Unfudged'!G$2:G$498)</f>
        <v>0</v>
      </c>
      <c r="J391" s="13">
        <f>+SUMIF('GE16FEB14 Unfudged'!$A$2:$A$498, 'Tax Bill Summary'!$A391, 'GE16FEB14 Unfudged'!H$2:H$498)</f>
        <v>0</v>
      </c>
      <c r="K391" s="56">
        <f t="shared" si="222"/>
        <v>0</v>
      </c>
      <c r="L391" s="51">
        <f>+SUMIF('GE16FEB14 Unfudged'!$A$2:$A$498, 'Tax Bill Summary'!$A391, 'GE16FEB14 Unfudged'!I$2:IF$498)</f>
        <v>0</v>
      </c>
      <c r="M391" s="13">
        <f>+SUMIF('GE16FEB14 Unfudged'!$A$2:$A$498, 'Tax Bill Summary'!$A391, 'GE16FEB14 Unfudged'!J$2:IG$498)</f>
        <v>0</v>
      </c>
      <c r="N391" s="56">
        <f t="shared" si="223"/>
        <v>0</v>
      </c>
      <c r="O391" s="51">
        <f t="shared" si="224"/>
        <v>10807</v>
      </c>
      <c r="P391" s="13">
        <f t="shared" si="225"/>
        <v>0</v>
      </c>
      <c r="Q391" s="56">
        <f t="shared" si="226"/>
        <v>10807</v>
      </c>
      <c r="R391" s="13">
        <f t="shared" si="227"/>
        <v>112.57291666666667</v>
      </c>
      <c r="S391" s="13">
        <f t="shared" si="228"/>
        <v>0</v>
      </c>
      <c r="T391" s="16">
        <f t="shared" si="229"/>
        <v>112.57291666666667</v>
      </c>
      <c r="U391" s="15">
        <f>+SUMIF('GE16FEB14 Tax Bill Unfudged'!$A$2:$A$498, 'Tax Bill Summary'!$A391, 'GE16FEB14 Tax Bill Unfudged'!E$2:E$498)</f>
        <v>11071</v>
      </c>
      <c r="V391" s="13">
        <f>+SUMIF('GE16FEB14 Tax Bill Unfudged'!$A$2:$A$498, 'Tax Bill Summary'!$A391, 'GE16FEB14 Tax Bill Unfudged'!F$2:F$498)</f>
        <v>0</v>
      </c>
      <c r="W391" s="56">
        <f t="shared" si="230"/>
        <v>11071</v>
      </c>
      <c r="X391" s="51">
        <f>+SUMIF('GE16FEB14 Tax Bill Unfudged'!$A$2:$A$498, 'Tax Bill Summary'!$A391, 'GE16FEB14 Tax Bill Unfudged'!G$2:G$498)</f>
        <v>0</v>
      </c>
      <c r="Y391" s="13">
        <f>+SUMIF('GE16FEB14 Tax Bill Unfudged'!$A$2:$A$498, 'Tax Bill Summary'!$A391, 'GE16FEB14 Tax Bill Unfudged'!H$2:H$498)</f>
        <v>0</v>
      </c>
      <c r="Z391" s="56">
        <f t="shared" si="231"/>
        <v>0</v>
      </c>
      <c r="AA391" s="51">
        <f>+SUMIF('GE16FEB14 Tax Bill Unfudged'!$A$2:$A$498, 'Tax Bill Summary'!$A391, 'GE16FEB14 Tax Bill Unfudged'!I$2:I$498)</f>
        <v>0</v>
      </c>
      <c r="AB391" s="13">
        <f>+SUMIF('GE16FEB14 Tax Bill Unfudged'!$A$2:$A$498, 'Tax Bill Summary'!$A391, 'GE16FEB14 Tax Bill Unfudged'!J$2:J$498)</f>
        <v>0</v>
      </c>
      <c r="AC391" s="56">
        <f t="shared" si="232"/>
        <v>0</v>
      </c>
      <c r="AD391" s="51">
        <f t="shared" si="233"/>
        <v>11071</v>
      </c>
      <c r="AE391" s="13">
        <f t="shared" si="234"/>
        <v>0</v>
      </c>
      <c r="AF391" s="56">
        <f t="shared" si="235"/>
        <v>11071</v>
      </c>
      <c r="AG391" s="13">
        <f t="shared" si="236"/>
        <v>115.32291666666667</v>
      </c>
      <c r="AH391" s="13">
        <f t="shared" si="237"/>
        <v>0</v>
      </c>
      <c r="AI391" s="16">
        <f t="shared" si="238"/>
        <v>115.32291666666667</v>
      </c>
      <c r="AJ391" s="15">
        <f t="shared" si="239"/>
        <v>264</v>
      </c>
      <c r="AK391" s="13">
        <f t="shared" si="240"/>
        <v>0</v>
      </c>
      <c r="AL391" s="56">
        <f t="shared" si="241"/>
        <v>264</v>
      </c>
      <c r="AM391" s="51">
        <f t="shared" si="242"/>
        <v>0</v>
      </c>
      <c r="AN391" s="13">
        <f t="shared" si="243"/>
        <v>0</v>
      </c>
      <c r="AO391" s="56">
        <f t="shared" si="244"/>
        <v>0</v>
      </c>
      <c r="AP391" s="51">
        <f t="shared" si="245"/>
        <v>0</v>
      </c>
      <c r="AQ391" s="13">
        <f t="shared" si="246"/>
        <v>0</v>
      </c>
      <c r="AR391" s="56">
        <f t="shared" si="247"/>
        <v>0</v>
      </c>
      <c r="AS391" s="51">
        <f t="shared" si="248"/>
        <v>264</v>
      </c>
      <c r="AT391" s="13">
        <f t="shared" si="249"/>
        <v>0</v>
      </c>
      <c r="AU391" s="56">
        <f t="shared" si="250"/>
        <v>264</v>
      </c>
      <c r="AV391" s="13">
        <f t="shared" si="251"/>
        <v>2.75</v>
      </c>
      <c r="AW391" s="13">
        <f t="shared" si="252"/>
        <v>0</v>
      </c>
      <c r="AX391" s="16">
        <f t="shared" si="253"/>
        <v>2.75</v>
      </c>
    </row>
    <row r="392" spans="1:50" x14ac:dyDescent="0.25">
      <c r="A392" s="20">
        <v>4058</v>
      </c>
      <c r="B392">
        <v>7</v>
      </c>
      <c r="C392" s="23" t="s">
        <v>480</v>
      </c>
      <c r="D392" s="23">
        <v>7</v>
      </c>
      <c r="E392" s="15">
        <f>+SUMIF('GE16FEB14 Unfudged'!$A$2:$A$498, $A392, 'GE16FEB14 Unfudged'!$D$2:$D$498)</f>
        <v>197</v>
      </c>
      <c r="F392" s="15">
        <f>+SUMIF('GE16FEB14 Unfudged'!$A$2:$A$498, 'Tax Bill Summary'!$A392, 'GE16FEB14 Unfudged'!E$2:E$498)</f>
        <v>22131</v>
      </c>
      <c r="G392" s="13">
        <f>+SUMIF('GE16FEB14 Unfudged'!$A$2:$A$498, 'Tax Bill Summary'!$A392, 'GE16FEB14 Unfudged'!F$2:F$498)</f>
        <v>0</v>
      </c>
      <c r="H392" s="56">
        <f t="shared" si="221"/>
        <v>22131</v>
      </c>
      <c r="I392" s="51">
        <f>+SUMIF('GE16FEB14 Unfudged'!$A$2:$A$498, 'Tax Bill Summary'!$A392, 'GE16FEB14 Unfudged'!G$2:G$498)</f>
        <v>0</v>
      </c>
      <c r="J392" s="13">
        <f>+SUMIF('GE16FEB14 Unfudged'!$A$2:$A$498, 'Tax Bill Summary'!$A392, 'GE16FEB14 Unfudged'!H$2:H$498)</f>
        <v>0</v>
      </c>
      <c r="K392" s="56">
        <f t="shared" si="222"/>
        <v>0</v>
      </c>
      <c r="L392" s="51">
        <f>+SUMIF('GE16FEB14 Unfudged'!$A$2:$A$498, 'Tax Bill Summary'!$A392, 'GE16FEB14 Unfudged'!I$2:IF$498)</f>
        <v>0</v>
      </c>
      <c r="M392" s="13">
        <f>+SUMIF('GE16FEB14 Unfudged'!$A$2:$A$498, 'Tax Bill Summary'!$A392, 'GE16FEB14 Unfudged'!J$2:IG$498)</f>
        <v>0</v>
      </c>
      <c r="N392" s="56">
        <f t="shared" si="223"/>
        <v>0</v>
      </c>
      <c r="O392" s="51">
        <f t="shared" si="224"/>
        <v>22131</v>
      </c>
      <c r="P392" s="13">
        <f t="shared" si="225"/>
        <v>0</v>
      </c>
      <c r="Q392" s="56">
        <f t="shared" si="226"/>
        <v>22131</v>
      </c>
      <c r="R392" s="13">
        <f t="shared" si="227"/>
        <v>112.34010152284264</v>
      </c>
      <c r="S392" s="13">
        <f t="shared" si="228"/>
        <v>0</v>
      </c>
      <c r="T392" s="16">
        <f t="shared" si="229"/>
        <v>112.34010152284264</v>
      </c>
      <c r="U392" s="15">
        <f>+SUMIF('GE16FEB14 Tax Bill Unfudged'!$A$2:$A$498, 'Tax Bill Summary'!$A392, 'GE16FEB14 Tax Bill Unfudged'!E$2:E$498)</f>
        <v>22673</v>
      </c>
      <c r="V392" s="13">
        <f>+SUMIF('GE16FEB14 Tax Bill Unfudged'!$A$2:$A$498, 'Tax Bill Summary'!$A392, 'GE16FEB14 Tax Bill Unfudged'!F$2:F$498)</f>
        <v>0</v>
      </c>
      <c r="W392" s="56">
        <f t="shared" si="230"/>
        <v>22673</v>
      </c>
      <c r="X392" s="51">
        <f>+SUMIF('GE16FEB14 Tax Bill Unfudged'!$A$2:$A$498, 'Tax Bill Summary'!$A392, 'GE16FEB14 Tax Bill Unfudged'!G$2:G$498)</f>
        <v>0</v>
      </c>
      <c r="Y392" s="13">
        <f>+SUMIF('GE16FEB14 Tax Bill Unfudged'!$A$2:$A$498, 'Tax Bill Summary'!$A392, 'GE16FEB14 Tax Bill Unfudged'!H$2:H$498)</f>
        <v>0</v>
      </c>
      <c r="Z392" s="56">
        <f t="shared" si="231"/>
        <v>0</v>
      </c>
      <c r="AA392" s="51">
        <f>+SUMIF('GE16FEB14 Tax Bill Unfudged'!$A$2:$A$498, 'Tax Bill Summary'!$A392, 'GE16FEB14 Tax Bill Unfudged'!I$2:I$498)</f>
        <v>0</v>
      </c>
      <c r="AB392" s="13">
        <f>+SUMIF('GE16FEB14 Tax Bill Unfudged'!$A$2:$A$498, 'Tax Bill Summary'!$A392, 'GE16FEB14 Tax Bill Unfudged'!J$2:J$498)</f>
        <v>0</v>
      </c>
      <c r="AC392" s="56">
        <f t="shared" si="232"/>
        <v>0</v>
      </c>
      <c r="AD392" s="51">
        <f t="shared" si="233"/>
        <v>22673</v>
      </c>
      <c r="AE392" s="13">
        <f t="shared" si="234"/>
        <v>0</v>
      </c>
      <c r="AF392" s="56">
        <f t="shared" si="235"/>
        <v>22673</v>
      </c>
      <c r="AG392" s="13">
        <f t="shared" si="236"/>
        <v>115.09137055837563</v>
      </c>
      <c r="AH392" s="13">
        <f t="shared" si="237"/>
        <v>0</v>
      </c>
      <c r="AI392" s="16">
        <f t="shared" si="238"/>
        <v>115.09137055837563</v>
      </c>
      <c r="AJ392" s="15">
        <f t="shared" si="239"/>
        <v>542</v>
      </c>
      <c r="AK392" s="13">
        <f t="shared" si="240"/>
        <v>0</v>
      </c>
      <c r="AL392" s="56">
        <f t="shared" si="241"/>
        <v>542</v>
      </c>
      <c r="AM392" s="51">
        <f t="shared" si="242"/>
        <v>0</v>
      </c>
      <c r="AN392" s="13">
        <f t="shared" si="243"/>
        <v>0</v>
      </c>
      <c r="AO392" s="56">
        <f t="shared" si="244"/>
        <v>0</v>
      </c>
      <c r="AP392" s="51">
        <f t="shared" si="245"/>
        <v>0</v>
      </c>
      <c r="AQ392" s="13">
        <f t="shared" si="246"/>
        <v>0</v>
      </c>
      <c r="AR392" s="56">
        <f t="shared" si="247"/>
        <v>0</v>
      </c>
      <c r="AS392" s="51">
        <f t="shared" si="248"/>
        <v>542</v>
      </c>
      <c r="AT392" s="13">
        <f t="shared" si="249"/>
        <v>0</v>
      </c>
      <c r="AU392" s="56">
        <f t="shared" si="250"/>
        <v>542</v>
      </c>
      <c r="AV392" s="13">
        <f t="shared" si="251"/>
        <v>2.7512690355329852</v>
      </c>
      <c r="AW392" s="13">
        <f t="shared" si="252"/>
        <v>0</v>
      </c>
      <c r="AX392" s="16">
        <f t="shared" si="253"/>
        <v>2.7512690355329852</v>
      </c>
    </row>
    <row r="393" spans="1:50" x14ac:dyDescent="0.25">
      <c r="A393" s="20">
        <v>4059</v>
      </c>
      <c r="B393">
        <v>7</v>
      </c>
      <c r="C393" s="23" t="s">
        <v>481</v>
      </c>
      <c r="D393" s="23">
        <v>7</v>
      </c>
      <c r="E393" s="15">
        <f>+SUMIF('GE16FEB14 Unfudged'!$A$2:$A$498, $A393, 'GE16FEB14 Unfudged'!$D$2:$D$498)</f>
        <v>168</v>
      </c>
      <c r="F393" s="15">
        <f>+SUMIF('GE16FEB14 Unfudged'!$A$2:$A$498, 'Tax Bill Summary'!$A393, 'GE16FEB14 Unfudged'!E$2:E$498)</f>
        <v>18917</v>
      </c>
      <c r="G393" s="13">
        <f>+SUMIF('GE16FEB14 Unfudged'!$A$2:$A$498, 'Tax Bill Summary'!$A393, 'GE16FEB14 Unfudged'!F$2:F$498)</f>
        <v>0</v>
      </c>
      <c r="H393" s="56">
        <f t="shared" si="221"/>
        <v>18917</v>
      </c>
      <c r="I393" s="51">
        <f>+SUMIF('GE16FEB14 Unfudged'!$A$2:$A$498, 'Tax Bill Summary'!$A393, 'GE16FEB14 Unfudged'!G$2:G$498)</f>
        <v>0</v>
      </c>
      <c r="J393" s="13">
        <f>+SUMIF('GE16FEB14 Unfudged'!$A$2:$A$498, 'Tax Bill Summary'!$A393, 'GE16FEB14 Unfudged'!H$2:H$498)</f>
        <v>0</v>
      </c>
      <c r="K393" s="56">
        <f t="shared" si="222"/>
        <v>0</v>
      </c>
      <c r="L393" s="51">
        <f>+SUMIF('GE16FEB14 Unfudged'!$A$2:$A$498, 'Tax Bill Summary'!$A393, 'GE16FEB14 Unfudged'!I$2:IF$498)</f>
        <v>0</v>
      </c>
      <c r="M393" s="13">
        <f>+SUMIF('GE16FEB14 Unfudged'!$A$2:$A$498, 'Tax Bill Summary'!$A393, 'GE16FEB14 Unfudged'!J$2:IG$498)</f>
        <v>0</v>
      </c>
      <c r="N393" s="56">
        <f t="shared" si="223"/>
        <v>0</v>
      </c>
      <c r="O393" s="51">
        <f t="shared" si="224"/>
        <v>18917</v>
      </c>
      <c r="P393" s="13">
        <f t="shared" si="225"/>
        <v>0</v>
      </c>
      <c r="Q393" s="56">
        <f t="shared" si="226"/>
        <v>18917</v>
      </c>
      <c r="R393" s="13">
        <f t="shared" si="227"/>
        <v>112.60119047619048</v>
      </c>
      <c r="S393" s="13">
        <f t="shared" si="228"/>
        <v>0</v>
      </c>
      <c r="T393" s="16">
        <f t="shared" si="229"/>
        <v>112.60119047619048</v>
      </c>
      <c r="U393" s="15">
        <f>+SUMIF('GE16FEB14 Tax Bill Unfudged'!$A$2:$A$498, 'Tax Bill Summary'!$A393, 'GE16FEB14 Tax Bill Unfudged'!E$2:E$498)</f>
        <v>19381</v>
      </c>
      <c r="V393" s="13">
        <f>+SUMIF('GE16FEB14 Tax Bill Unfudged'!$A$2:$A$498, 'Tax Bill Summary'!$A393, 'GE16FEB14 Tax Bill Unfudged'!F$2:F$498)</f>
        <v>0</v>
      </c>
      <c r="W393" s="56">
        <f t="shared" si="230"/>
        <v>19381</v>
      </c>
      <c r="X393" s="51">
        <f>+SUMIF('GE16FEB14 Tax Bill Unfudged'!$A$2:$A$498, 'Tax Bill Summary'!$A393, 'GE16FEB14 Tax Bill Unfudged'!G$2:G$498)</f>
        <v>0</v>
      </c>
      <c r="Y393" s="13">
        <f>+SUMIF('GE16FEB14 Tax Bill Unfudged'!$A$2:$A$498, 'Tax Bill Summary'!$A393, 'GE16FEB14 Tax Bill Unfudged'!H$2:H$498)</f>
        <v>0</v>
      </c>
      <c r="Z393" s="56">
        <f t="shared" si="231"/>
        <v>0</v>
      </c>
      <c r="AA393" s="51">
        <f>+SUMIF('GE16FEB14 Tax Bill Unfudged'!$A$2:$A$498, 'Tax Bill Summary'!$A393, 'GE16FEB14 Tax Bill Unfudged'!I$2:I$498)</f>
        <v>0</v>
      </c>
      <c r="AB393" s="13">
        <f>+SUMIF('GE16FEB14 Tax Bill Unfudged'!$A$2:$A$498, 'Tax Bill Summary'!$A393, 'GE16FEB14 Tax Bill Unfudged'!J$2:J$498)</f>
        <v>0</v>
      </c>
      <c r="AC393" s="56">
        <f t="shared" si="232"/>
        <v>0</v>
      </c>
      <c r="AD393" s="51">
        <f t="shared" si="233"/>
        <v>19381</v>
      </c>
      <c r="AE393" s="13">
        <f t="shared" si="234"/>
        <v>0</v>
      </c>
      <c r="AF393" s="56">
        <f t="shared" si="235"/>
        <v>19381</v>
      </c>
      <c r="AG393" s="13">
        <f t="shared" si="236"/>
        <v>115.36309523809524</v>
      </c>
      <c r="AH393" s="13">
        <f t="shared" si="237"/>
        <v>0</v>
      </c>
      <c r="AI393" s="16">
        <f t="shared" si="238"/>
        <v>115.36309523809524</v>
      </c>
      <c r="AJ393" s="15">
        <f t="shared" si="239"/>
        <v>464</v>
      </c>
      <c r="AK393" s="13">
        <f t="shared" si="240"/>
        <v>0</v>
      </c>
      <c r="AL393" s="56">
        <f t="shared" si="241"/>
        <v>464</v>
      </c>
      <c r="AM393" s="51">
        <f t="shared" si="242"/>
        <v>0</v>
      </c>
      <c r="AN393" s="13">
        <f t="shared" si="243"/>
        <v>0</v>
      </c>
      <c r="AO393" s="56">
        <f t="shared" si="244"/>
        <v>0</v>
      </c>
      <c r="AP393" s="51">
        <f t="shared" si="245"/>
        <v>0</v>
      </c>
      <c r="AQ393" s="13">
        <f t="shared" si="246"/>
        <v>0</v>
      </c>
      <c r="AR393" s="56">
        <f t="shared" si="247"/>
        <v>0</v>
      </c>
      <c r="AS393" s="51">
        <f t="shared" si="248"/>
        <v>464</v>
      </c>
      <c r="AT393" s="13">
        <f t="shared" si="249"/>
        <v>0</v>
      </c>
      <c r="AU393" s="56">
        <f t="shared" si="250"/>
        <v>464</v>
      </c>
      <c r="AV393" s="13">
        <f t="shared" si="251"/>
        <v>2.7619047619047592</v>
      </c>
      <c r="AW393" s="13">
        <f t="shared" si="252"/>
        <v>0</v>
      </c>
      <c r="AX393" s="16">
        <f t="shared" si="253"/>
        <v>2.7619047619047592</v>
      </c>
    </row>
    <row r="394" spans="1:50" x14ac:dyDescent="0.25">
      <c r="A394" s="20">
        <v>4064</v>
      </c>
      <c r="B394">
        <v>7</v>
      </c>
      <c r="C394" s="23" t="s">
        <v>482</v>
      </c>
      <c r="D394" s="23">
        <v>7</v>
      </c>
      <c r="E394" s="15">
        <f>+SUMIF('GE16FEB14 Unfudged'!$A$2:$A$498, $A394, 'GE16FEB14 Unfudged'!$D$2:$D$498)</f>
        <v>108</v>
      </c>
      <c r="F394" s="15">
        <f>+SUMIF('GE16FEB14 Unfudged'!$A$2:$A$498, 'Tax Bill Summary'!$A394, 'GE16FEB14 Unfudged'!E$2:E$498)</f>
        <v>12202</v>
      </c>
      <c r="G394" s="13">
        <f>+SUMIF('GE16FEB14 Unfudged'!$A$2:$A$498, 'Tax Bill Summary'!$A394, 'GE16FEB14 Unfudged'!F$2:F$498)</f>
        <v>0</v>
      </c>
      <c r="H394" s="56">
        <f t="shared" si="221"/>
        <v>12202</v>
      </c>
      <c r="I394" s="51">
        <f>+SUMIF('GE16FEB14 Unfudged'!$A$2:$A$498, 'Tax Bill Summary'!$A394, 'GE16FEB14 Unfudged'!G$2:G$498)</f>
        <v>0</v>
      </c>
      <c r="J394" s="13">
        <f>+SUMIF('GE16FEB14 Unfudged'!$A$2:$A$498, 'Tax Bill Summary'!$A394, 'GE16FEB14 Unfudged'!H$2:H$498)</f>
        <v>0</v>
      </c>
      <c r="K394" s="56">
        <f t="shared" si="222"/>
        <v>0</v>
      </c>
      <c r="L394" s="51">
        <f>+SUMIF('GE16FEB14 Unfudged'!$A$2:$A$498, 'Tax Bill Summary'!$A394, 'GE16FEB14 Unfudged'!I$2:IF$498)</f>
        <v>0</v>
      </c>
      <c r="M394" s="13">
        <f>+SUMIF('GE16FEB14 Unfudged'!$A$2:$A$498, 'Tax Bill Summary'!$A394, 'GE16FEB14 Unfudged'!J$2:IG$498)</f>
        <v>0</v>
      </c>
      <c r="N394" s="56">
        <f t="shared" si="223"/>
        <v>0</v>
      </c>
      <c r="O394" s="51">
        <f t="shared" si="224"/>
        <v>12202</v>
      </c>
      <c r="P394" s="13">
        <f t="shared" si="225"/>
        <v>0</v>
      </c>
      <c r="Q394" s="56">
        <f t="shared" si="226"/>
        <v>12202</v>
      </c>
      <c r="R394" s="13">
        <f t="shared" si="227"/>
        <v>112.98148148148148</v>
      </c>
      <c r="S394" s="13">
        <f t="shared" si="228"/>
        <v>0</v>
      </c>
      <c r="T394" s="16">
        <f t="shared" si="229"/>
        <v>112.98148148148148</v>
      </c>
      <c r="U394" s="15">
        <f>+SUMIF('GE16FEB14 Tax Bill Unfudged'!$A$2:$A$498, 'Tax Bill Summary'!$A394, 'GE16FEB14 Tax Bill Unfudged'!E$2:E$498)</f>
        <v>12502</v>
      </c>
      <c r="V394" s="13">
        <f>+SUMIF('GE16FEB14 Tax Bill Unfudged'!$A$2:$A$498, 'Tax Bill Summary'!$A394, 'GE16FEB14 Tax Bill Unfudged'!F$2:F$498)</f>
        <v>0</v>
      </c>
      <c r="W394" s="56">
        <f t="shared" si="230"/>
        <v>12502</v>
      </c>
      <c r="X394" s="51">
        <f>+SUMIF('GE16FEB14 Tax Bill Unfudged'!$A$2:$A$498, 'Tax Bill Summary'!$A394, 'GE16FEB14 Tax Bill Unfudged'!G$2:G$498)</f>
        <v>0</v>
      </c>
      <c r="Y394" s="13">
        <f>+SUMIF('GE16FEB14 Tax Bill Unfudged'!$A$2:$A$498, 'Tax Bill Summary'!$A394, 'GE16FEB14 Tax Bill Unfudged'!H$2:H$498)</f>
        <v>0</v>
      </c>
      <c r="Z394" s="56">
        <f t="shared" si="231"/>
        <v>0</v>
      </c>
      <c r="AA394" s="51">
        <f>+SUMIF('GE16FEB14 Tax Bill Unfudged'!$A$2:$A$498, 'Tax Bill Summary'!$A394, 'GE16FEB14 Tax Bill Unfudged'!I$2:I$498)</f>
        <v>0</v>
      </c>
      <c r="AB394" s="13">
        <f>+SUMIF('GE16FEB14 Tax Bill Unfudged'!$A$2:$A$498, 'Tax Bill Summary'!$A394, 'GE16FEB14 Tax Bill Unfudged'!J$2:J$498)</f>
        <v>0</v>
      </c>
      <c r="AC394" s="56">
        <f t="shared" si="232"/>
        <v>0</v>
      </c>
      <c r="AD394" s="51">
        <f t="shared" si="233"/>
        <v>12502</v>
      </c>
      <c r="AE394" s="13">
        <f t="shared" si="234"/>
        <v>0</v>
      </c>
      <c r="AF394" s="56">
        <f t="shared" si="235"/>
        <v>12502</v>
      </c>
      <c r="AG394" s="13">
        <f t="shared" si="236"/>
        <v>115.75925925925925</v>
      </c>
      <c r="AH394" s="13">
        <f t="shared" si="237"/>
        <v>0</v>
      </c>
      <c r="AI394" s="16">
        <f t="shared" si="238"/>
        <v>115.75925925925925</v>
      </c>
      <c r="AJ394" s="15">
        <f t="shared" si="239"/>
        <v>300</v>
      </c>
      <c r="AK394" s="13">
        <f t="shared" si="240"/>
        <v>0</v>
      </c>
      <c r="AL394" s="56">
        <f t="shared" si="241"/>
        <v>300</v>
      </c>
      <c r="AM394" s="51">
        <f t="shared" si="242"/>
        <v>0</v>
      </c>
      <c r="AN394" s="13">
        <f t="shared" si="243"/>
        <v>0</v>
      </c>
      <c r="AO394" s="56">
        <f t="shared" si="244"/>
        <v>0</v>
      </c>
      <c r="AP394" s="51">
        <f t="shared" si="245"/>
        <v>0</v>
      </c>
      <c r="AQ394" s="13">
        <f t="shared" si="246"/>
        <v>0</v>
      </c>
      <c r="AR394" s="56">
        <f t="shared" si="247"/>
        <v>0</v>
      </c>
      <c r="AS394" s="51">
        <f t="shared" si="248"/>
        <v>300</v>
      </c>
      <c r="AT394" s="13">
        <f t="shared" si="249"/>
        <v>0</v>
      </c>
      <c r="AU394" s="56">
        <f t="shared" si="250"/>
        <v>300</v>
      </c>
      <c r="AV394" s="13">
        <f t="shared" si="251"/>
        <v>2.7777777777777715</v>
      </c>
      <c r="AW394" s="13">
        <f t="shared" si="252"/>
        <v>0</v>
      </c>
      <c r="AX394" s="16">
        <f t="shared" si="253"/>
        <v>2.7777777777777715</v>
      </c>
    </row>
    <row r="395" spans="1:50" x14ac:dyDescent="0.25">
      <c r="A395" s="20">
        <v>4066</v>
      </c>
      <c r="B395">
        <v>7</v>
      </c>
      <c r="C395" s="23" t="s">
        <v>41</v>
      </c>
      <c r="D395" s="23">
        <v>7</v>
      </c>
      <c r="E395" s="15">
        <f>+SUMIF('GE16FEB14 Unfudged'!$A$2:$A$498, $A395, 'GE16FEB14 Unfudged'!$D$2:$D$498)</f>
        <v>81</v>
      </c>
      <c r="F395" s="15">
        <f>+SUMIF('GE16FEB14 Unfudged'!$A$2:$A$498, 'Tax Bill Summary'!$A395, 'GE16FEB14 Unfudged'!E$2:E$498)</f>
        <v>9163</v>
      </c>
      <c r="G395" s="13">
        <f>+SUMIF('GE16FEB14 Unfudged'!$A$2:$A$498, 'Tax Bill Summary'!$A395, 'GE16FEB14 Unfudged'!F$2:F$498)</f>
        <v>0</v>
      </c>
      <c r="H395" s="56">
        <f t="shared" si="221"/>
        <v>9163</v>
      </c>
      <c r="I395" s="51">
        <f>+SUMIF('GE16FEB14 Unfudged'!$A$2:$A$498, 'Tax Bill Summary'!$A395, 'GE16FEB14 Unfudged'!G$2:G$498)</f>
        <v>0</v>
      </c>
      <c r="J395" s="13">
        <f>+SUMIF('GE16FEB14 Unfudged'!$A$2:$A$498, 'Tax Bill Summary'!$A395, 'GE16FEB14 Unfudged'!H$2:H$498)</f>
        <v>0</v>
      </c>
      <c r="K395" s="56">
        <f t="shared" si="222"/>
        <v>0</v>
      </c>
      <c r="L395" s="51">
        <f>+SUMIF('GE16FEB14 Unfudged'!$A$2:$A$498, 'Tax Bill Summary'!$A395, 'GE16FEB14 Unfudged'!I$2:IF$498)</f>
        <v>0</v>
      </c>
      <c r="M395" s="13">
        <f>+SUMIF('GE16FEB14 Unfudged'!$A$2:$A$498, 'Tax Bill Summary'!$A395, 'GE16FEB14 Unfudged'!J$2:IG$498)</f>
        <v>0</v>
      </c>
      <c r="N395" s="56">
        <f t="shared" si="223"/>
        <v>0</v>
      </c>
      <c r="O395" s="51">
        <f t="shared" si="224"/>
        <v>9163</v>
      </c>
      <c r="P395" s="13">
        <f t="shared" si="225"/>
        <v>0</v>
      </c>
      <c r="Q395" s="56">
        <f t="shared" si="226"/>
        <v>9163</v>
      </c>
      <c r="R395" s="13">
        <f t="shared" si="227"/>
        <v>113.12345679012346</v>
      </c>
      <c r="S395" s="13">
        <f t="shared" si="228"/>
        <v>0</v>
      </c>
      <c r="T395" s="16">
        <f t="shared" si="229"/>
        <v>113.12345679012346</v>
      </c>
      <c r="U395" s="15">
        <f>+SUMIF('GE16FEB14 Tax Bill Unfudged'!$A$2:$A$498, 'Tax Bill Summary'!$A395, 'GE16FEB14 Tax Bill Unfudged'!E$2:E$498)</f>
        <v>9388</v>
      </c>
      <c r="V395" s="13">
        <f>+SUMIF('GE16FEB14 Tax Bill Unfudged'!$A$2:$A$498, 'Tax Bill Summary'!$A395, 'GE16FEB14 Tax Bill Unfudged'!F$2:F$498)</f>
        <v>0</v>
      </c>
      <c r="W395" s="56">
        <f t="shared" si="230"/>
        <v>9388</v>
      </c>
      <c r="X395" s="51">
        <f>+SUMIF('GE16FEB14 Tax Bill Unfudged'!$A$2:$A$498, 'Tax Bill Summary'!$A395, 'GE16FEB14 Tax Bill Unfudged'!G$2:G$498)</f>
        <v>0</v>
      </c>
      <c r="Y395" s="13">
        <f>+SUMIF('GE16FEB14 Tax Bill Unfudged'!$A$2:$A$498, 'Tax Bill Summary'!$A395, 'GE16FEB14 Tax Bill Unfudged'!H$2:H$498)</f>
        <v>0</v>
      </c>
      <c r="Z395" s="56">
        <f t="shared" si="231"/>
        <v>0</v>
      </c>
      <c r="AA395" s="51">
        <f>+SUMIF('GE16FEB14 Tax Bill Unfudged'!$A$2:$A$498, 'Tax Bill Summary'!$A395, 'GE16FEB14 Tax Bill Unfudged'!I$2:I$498)</f>
        <v>0</v>
      </c>
      <c r="AB395" s="13">
        <f>+SUMIF('GE16FEB14 Tax Bill Unfudged'!$A$2:$A$498, 'Tax Bill Summary'!$A395, 'GE16FEB14 Tax Bill Unfudged'!J$2:J$498)</f>
        <v>0</v>
      </c>
      <c r="AC395" s="56">
        <f t="shared" si="232"/>
        <v>0</v>
      </c>
      <c r="AD395" s="51">
        <f t="shared" si="233"/>
        <v>9388</v>
      </c>
      <c r="AE395" s="13">
        <f t="shared" si="234"/>
        <v>0</v>
      </c>
      <c r="AF395" s="56">
        <f t="shared" si="235"/>
        <v>9388</v>
      </c>
      <c r="AG395" s="13">
        <f t="shared" si="236"/>
        <v>115.90123456790124</v>
      </c>
      <c r="AH395" s="13">
        <f t="shared" si="237"/>
        <v>0</v>
      </c>
      <c r="AI395" s="16">
        <f t="shared" si="238"/>
        <v>115.90123456790124</v>
      </c>
      <c r="AJ395" s="15">
        <f t="shared" si="239"/>
        <v>225</v>
      </c>
      <c r="AK395" s="13">
        <f t="shared" si="240"/>
        <v>0</v>
      </c>
      <c r="AL395" s="56">
        <f t="shared" si="241"/>
        <v>225</v>
      </c>
      <c r="AM395" s="51">
        <f t="shared" si="242"/>
        <v>0</v>
      </c>
      <c r="AN395" s="13">
        <f t="shared" si="243"/>
        <v>0</v>
      </c>
      <c r="AO395" s="56">
        <f t="shared" si="244"/>
        <v>0</v>
      </c>
      <c r="AP395" s="51">
        <f t="shared" si="245"/>
        <v>0</v>
      </c>
      <c r="AQ395" s="13">
        <f t="shared" si="246"/>
        <v>0</v>
      </c>
      <c r="AR395" s="56">
        <f t="shared" si="247"/>
        <v>0</v>
      </c>
      <c r="AS395" s="51">
        <f t="shared" si="248"/>
        <v>225</v>
      </c>
      <c r="AT395" s="13">
        <f t="shared" si="249"/>
        <v>0</v>
      </c>
      <c r="AU395" s="56">
        <f t="shared" si="250"/>
        <v>225</v>
      </c>
      <c r="AV395" s="13">
        <f t="shared" si="251"/>
        <v>2.7777777777777857</v>
      </c>
      <c r="AW395" s="13">
        <f t="shared" si="252"/>
        <v>0</v>
      </c>
      <c r="AX395" s="16">
        <f t="shared" si="253"/>
        <v>2.7777777777777857</v>
      </c>
    </row>
    <row r="396" spans="1:50" x14ac:dyDescent="0.25">
      <c r="A396" s="20">
        <v>4067</v>
      </c>
      <c r="B396">
        <v>7</v>
      </c>
      <c r="C396" s="23" t="s">
        <v>42</v>
      </c>
      <c r="D396" s="23">
        <v>7</v>
      </c>
      <c r="E396" s="15">
        <f>+SUMIF('GE16FEB14 Unfudged'!$A$2:$A$498, $A396, 'GE16FEB14 Unfudged'!$D$2:$D$498)</f>
        <v>305</v>
      </c>
      <c r="F396" s="15">
        <f>+SUMIF('GE16FEB14 Unfudged'!$A$2:$A$498, 'Tax Bill Summary'!$A396, 'GE16FEB14 Unfudged'!E$2:E$498)</f>
        <v>34311</v>
      </c>
      <c r="G396" s="13">
        <f>+SUMIF('GE16FEB14 Unfudged'!$A$2:$A$498, 'Tax Bill Summary'!$A396, 'GE16FEB14 Unfudged'!F$2:F$498)</f>
        <v>0</v>
      </c>
      <c r="H396" s="56">
        <f t="shared" si="221"/>
        <v>34311</v>
      </c>
      <c r="I396" s="51">
        <f>+SUMIF('GE16FEB14 Unfudged'!$A$2:$A$498, 'Tax Bill Summary'!$A396, 'GE16FEB14 Unfudged'!G$2:G$498)</f>
        <v>0</v>
      </c>
      <c r="J396" s="13">
        <f>+SUMIF('GE16FEB14 Unfudged'!$A$2:$A$498, 'Tax Bill Summary'!$A396, 'GE16FEB14 Unfudged'!H$2:H$498)</f>
        <v>0</v>
      </c>
      <c r="K396" s="56">
        <f t="shared" si="222"/>
        <v>0</v>
      </c>
      <c r="L396" s="51">
        <f>+SUMIF('GE16FEB14 Unfudged'!$A$2:$A$498, 'Tax Bill Summary'!$A396, 'GE16FEB14 Unfudged'!I$2:IF$498)</f>
        <v>0</v>
      </c>
      <c r="M396" s="13">
        <f>+SUMIF('GE16FEB14 Unfudged'!$A$2:$A$498, 'Tax Bill Summary'!$A396, 'GE16FEB14 Unfudged'!J$2:IG$498)</f>
        <v>0</v>
      </c>
      <c r="N396" s="56">
        <f t="shared" si="223"/>
        <v>0</v>
      </c>
      <c r="O396" s="51">
        <f t="shared" si="224"/>
        <v>34311</v>
      </c>
      <c r="P396" s="13">
        <f t="shared" si="225"/>
        <v>0</v>
      </c>
      <c r="Q396" s="56">
        <f t="shared" si="226"/>
        <v>34311</v>
      </c>
      <c r="R396" s="13">
        <f t="shared" si="227"/>
        <v>112.49508196721311</v>
      </c>
      <c r="S396" s="13">
        <f t="shared" si="228"/>
        <v>0</v>
      </c>
      <c r="T396" s="16">
        <f t="shared" si="229"/>
        <v>112.49508196721311</v>
      </c>
      <c r="U396" s="15">
        <f>+SUMIF('GE16FEB14 Tax Bill Unfudged'!$A$2:$A$498, 'Tax Bill Summary'!$A396, 'GE16FEB14 Tax Bill Unfudged'!E$2:E$498)</f>
        <v>35152</v>
      </c>
      <c r="V396" s="13">
        <f>+SUMIF('GE16FEB14 Tax Bill Unfudged'!$A$2:$A$498, 'Tax Bill Summary'!$A396, 'GE16FEB14 Tax Bill Unfudged'!F$2:F$498)</f>
        <v>0</v>
      </c>
      <c r="W396" s="56">
        <f t="shared" si="230"/>
        <v>35152</v>
      </c>
      <c r="X396" s="51">
        <f>+SUMIF('GE16FEB14 Tax Bill Unfudged'!$A$2:$A$498, 'Tax Bill Summary'!$A396, 'GE16FEB14 Tax Bill Unfudged'!G$2:G$498)</f>
        <v>0</v>
      </c>
      <c r="Y396" s="13">
        <f>+SUMIF('GE16FEB14 Tax Bill Unfudged'!$A$2:$A$498, 'Tax Bill Summary'!$A396, 'GE16FEB14 Tax Bill Unfudged'!H$2:H$498)</f>
        <v>0</v>
      </c>
      <c r="Z396" s="56">
        <f t="shared" si="231"/>
        <v>0</v>
      </c>
      <c r="AA396" s="51">
        <f>+SUMIF('GE16FEB14 Tax Bill Unfudged'!$A$2:$A$498, 'Tax Bill Summary'!$A396, 'GE16FEB14 Tax Bill Unfudged'!I$2:I$498)</f>
        <v>0</v>
      </c>
      <c r="AB396" s="13">
        <f>+SUMIF('GE16FEB14 Tax Bill Unfudged'!$A$2:$A$498, 'Tax Bill Summary'!$A396, 'GE16FEB14 Tax Bill Unfudged'!J$2:J$498)</f>
        <v>0</v>
      </c>
      <c r="AC396" s="56">
        <f t="shared" si="232"/>
        <v>0</v>
      </c>
      <c r="AD396" s="51">
        <f t="shared" si="233"/>
        <v>35152</v>
      </c>
      <c r="AE396" s="13">
        <f t="shared" si="234"/>
        <v>0</v>
      </c>
      <c r="AF396" s="56">
        <f t="shared" si="235"/>
        <v>35152</v>
      </c>
      <c r="AG396" s="13">
        <f t="shared" si="236"/>
        <v>115.25245901639344</v>
      </c>
      <c r="AH396" s="13">
        <f t="shared" si="237"/>
        <v>0</v>
      </c>
      <c r="AI396" s="16">
        <f t="shared" si="238"/>
        <v>115.25245901639344</v>
      </c>
      <c r="AJ396" s="15">
        <f t="shared" si="239"/>
        <v>841</v>
      </c>
      <c r="AK396" s="13">
        <f t="shared" si="240"/>
        <v>0</v>
      </c>
      <c r="AL396" s="56">
        <f t="shared" si="241"/>
        <v>841</v>
      </c>
      <c r="AM396" s="51">
        <f t="shared" si="242"/>
        <v>0</v>
      </c>
      <c r="AN396" s="13">
        <f t="shared" si="243"/>
        <v>0</v>
      </c>
      <c r="AO396" s="56">
        <f t="shared" si="244"/>
        <v>0</v>
      </c>
      <c r="AP396" s="51">
        <f t="shared" si="245"/>
        <v>0</v>
      </c>
      <c r="AQ396" s="13">
        <f t="shared" si="246"/>
        <v>0</v>
      </c>
      <c r="AR396" s="56">
        <f t="shared" si="247"/>
        <v>0</v>
      </c>
      <c r="AS396" s="51">
        <f t="shared" si="248"/>
        <v>841</v>
      </c>
      <c r="AT396" s="13">
        <f t="shared" si="249"/>
        <v>0</v>
      </c>
      <c r="AU396" s="56">
        <f t="shared" si="250"/>
        <v>841</v>
      </c>
      <c r="AV396" s="13">
        <f t="shared" si="251"/>
        <v>2.7573770491803344</v>
      </c>
      <c r="AW396" s="13">
        <f t="shared" si="252"/>
        <v>0</v>
      </c>
      <c r="AX396" s="16">
        <f t="shared" si="253"/>
        <v>2.7573770491803344</v>
      </c>
    </row>
    <row r="397" spans="1:50" x14ac:dyDescent="0.25">
      <c r="A397" s="20">
        <v>4068</v>
      </c>
      <c r="B397">
        <v>7</v>
      </c>
      <c r="C397" s="23" t="s">
        <v>43</v>
      </c>
      <c r="D397" s="23">
        <v>7</v>
      </c>
      <c r="E397" s="15">
        <f>+SUMIF('GE16FEB14 Unfudged'!$A$2:$A$498, $A397, 'GE16FEB14 Unfudged'!$D$2:$D$498)</f>
        <v>388</v>
      </c>
      <c r="F397" s="15">
        <f>+SUMIF('GE16FEB14 Unfudged'!$A$2:$A$498, 'Tax Bill Summary'!$A397, 'GE16FEB14 Unfudged'!E$2:E$498)</f>
        <v>43676</v>
      </c>
      <c r="G397" s="13">
        <f>+SUMIF('GE16FEB14 Unfudged'!$A$2:$A$498, 'Tax Bill Summary'!$A397, 'GE16FEB14 Unfudged'!F$2:F$498)</f>
        <v>0</v>
      </c>
      <c r="H397" s="56">
        <f t="shared" si="221"/>
        <v>43676</v>
      </c>
      <c r="I397" s="51">
        <f>+SUMIF('GE16FEB14 Unfudged'!$A$2:$A$498, 'Tax Bill Summary'!$A397, 'GE16FEB14 Unfudged'!G$2:G$498)</f>
        <v>0</v>
      </c>
      <c r="J397" s="13">
        <f>+SUMIF('GE16FEB14 Unfudged'!$A$2:$A$498, 'Tax Bill Summary'!$A397, 'GE16FEB14 Unfudged'!H$2:H$498)</f>
        <v>0</v>
      </c>
      <c r="K397" s="56">
        <f t="shared" si="222"/>
        <v>0</v>
      </c>
      <c r="L397" s="51">
        <f>+SUMIF('GE16FEB14 Unfudged'!$A$2:$A$498, 'Tax Bill Summary'!$A397, 'GE16FEB14 Unfudged'!I$2:IF$498)</f>
        <v>0</v>
      </c>
      <c r="M397" s="13">
        <f>+SUMIF('GE16FEB14 Unfudged'!$A$2:$A$498, 'Tax Bill Summary'!$A397, 'GE16FEB14 Unfudged'!J$2:IG$498)</f>
        <v>0</v>
      </c>
      <c r="N397" s="56">
        <f t="shared" si="223"/>
        <v>0</v>
      </c>
      <c r="O397" s="51">
        <f t="shared" si="224"/>
        <v>43676</v>
      </c>
      <c r="P397" s="13">
        <f t="shared" si="225"/>
        <v>0</v>
      </c>
      <c r="Q397" s="56">
        <f t="shared" si="226"/>
        <v>43676</v>
      </c>
      <c r="R397" s="13">
        <f t="shared" si="227"/>
        <v>112.56701030927834</v>
      </c>
      <c r="S397" s="13">
        <f t="shared" si="228"/>
        <v>0</v>
      </c>
      <c r="T397" s="16">
        <f t="shared" si="229"/>
        <v>112.56701030927834</v>
      </c>
      <c r="U397" s="15">
        <f>+SUMIF('GE16FEB14 Tax Bill Unfudged'!$A$2:$A$498, 'Tax Bill Summary'!$A397, 'GE16FEB14 Tax Bill Unfudged'!E$2:E$498)</f>
        <v>44747</v>
      </c>
      <c r="V397" s="13">
        <f>+SUMIF('GE16FEB14 Tax Bill Unfudged'!$A$2:$A$498, 'Tax Bill Summary'!$A397, 'GE16FEB14 Tax Bill Unfudged'!F$2:F$498)</f>
        <v>0</v>
      </c>
      <c r="W397" s="56">
        <f t="shared" si="230"/>
        <v>44747</v>
      </c>
      <c r="X397" s="51">
        <f>+SUMIF('GE16FEB14 Tax Bill Unfudged'!$A$2:$A$498, 'Tax Bill Summary'!$A397, 'GE16FEB14 Tax Bill Unfudged'!G$2:G$498)</f>
        <v>0</v>
      </c>
      <c r="Y397" s="13">
        <f>+SUMIF('GE16FEB14 Tax Bill Unfudged'!$A$2:$A$498, 'Tax Bill Summary'!$A397, 'GE16FEB14 Tax Bill Unfudged'!H$2:H$498)</f>
        <v>0</v>
      </c>
      <c r="Z397" s="56">
        <f t="shared" si="231"/>
        <v>0</v>
      </c>
      <c r="AA397" s="51">
        <f>+SUMIF('GE16FEB14 Tax Bill Unfudged'!$A$2:$A$498, 'Tax Bill Summary'!$A397, 'GE16FEB14 Tax Bill Unfudged'!I$2:I$498)</f>
        <v>0</v>
      </c>
      <c r="AB397" s="13">
        <f>+SUMIF('GE16FEB14 Tax Bill Unfudged'!$A$2:$A$498, 'Tax Bill Summary'!$A397, 'GE16FEB14 Tax Bill Unfudged'!J$2:J$498)</f>
        <v>0</v>
      </c>
      <c r="AC397" s="56">
        <f t="shared" si="232"/>
        <v>0</v>
      </c>
      <c r="AD397" s="51">
        <f t="shared" si="233"/>
        <v>44747</v>
      </c>
      <c r="AE397" s="13">
        <f t="shared" si="234"/>
        <v>0</v>
      </c>
      <c r="AF397" s="56">
        <f t="shared" si="235"/>
        <v>44747</v>
      </c>
      <c r="AG397" s="13">
        <f t="shared" si="236"/>
        <v>115.32731958762886</v>
      </c>
      <c r="AH397" s="13">
        <f t="shared" si="237"/>
        <v>0</v>
      </c>
      <c r="AI397" s="16">
        <f t="shared" si="238"/>
        <v>115.32731958762886</v>
      </c>
      <c r="AJ397" s="15">
        <f t="shared" si="239"/>
        <v>1071</v>
      </c>
      <c r="AK397" s="13">
        <f t="shared" si="240"/>
        <v>0</v>
      </c>
      <c r="AL397" s="56">
        <f t="shared" si="241"/>
        <v>1071</v>
      </c>
      <c r="AM397" s="51">
        <f t="shared" si="242"/>
        <v>0</v>
      </c>
      <c r="AN397" s="13">
        <f t="shared" si="243"/>
        <v>0</v>
      </c>
      <c r="AO397" s="56">
        <f t="shared" si="244"/>
        <v>0</v>
      </c>
      <c r="AP397" s="51">
        <f t="shared" si="245"/>
        <v>0</v>
      </c>
      <c r="AQ397" s="13">
        <f t="shared" si="246"/>
        <v>0</v>
      </c>
      <c r="AR397" s="56">
        <f t="shared" si="247"/>
        <v>0</v>
      </c>
      <c r="AS397" s="51">
        <f t="shared" si="248"/>
        <v>1071</v>
      </c>
      <c r="AT397" s="13">
        <f t="shared" si="249"/>
        <v>0</v>
      </c>
      <c r="AU397" s="56">
        <f t="shared" si="250"/>
        <v>1071</v>
      </c>
      <c r="AV397" s="13">
        <f t="shared" si="251"/>
        <v>2.760309278350519</v>
      </c>
      <c r="AW397" s="13">
        <f t="shared" si="252"/>
        <v>0</v>
      </c>
      <c r="AX397" s="16">
        <f t="shared" si="253"/>
        <v>2.760309278350519</v>
      </c>
    </row>
    <row r="398" spans="1:50" x14ac:dyDescent="0.25">
      <c r="A398" s="20">
        <v>4070</v>
      </c>
      <c r="B398">
        <v>7</v>
      </c>
      <c r="C398" s="23" t="s">
        <v>44</v>
      </c>
      <c r="D398" s="23">
        <v>7</v>
      </c>
      <c r="E398" s="15">
        <f>+SUMIF('GE16FEB14 Unfudged'!$A$2:$A$498, $A398, 'GE16FEB14 Unfudged'!$D$2:$D$498)</f>
        <v>496</v>
      </c>
      <c r="F398" s="15">
        <f>+SUMIF('GE16FEB14 Unfudged'!$A$2:$A$498, 'Tax Bill Summary'!$A398, 'GE16FEB14 Unfudged'!E$2:E$498)</f>
        <v>55811</v>
      </c>
      <c r="G398" s="13">
        <f>+SUMIF('GE16FEB14 Unfudged'!$A$2:$A$498, 'Tax Bill Summary'!$A398, 'GE16FEB14 Unfudged'!F$2:F$498)</f>
        <v>0</v>
      </c>
      <c r="H398" s="56">
        <f t="shared" si="221"/>
        <v>55811</v>
      </c>
      <c r="I398" s="51">
        <f>+SUMIF('GE16FEB14 Unfudged'!$A$2:$A$498, 'Tax Bill Summary'!$A398, 'GE16FEB14 Unfudged'!G$2:G$498)</f>
        <v>0</v>
      </c>
      <c r="J398" s="13">
        <f>+SUMIF('GE16FEB14 Unfudged'!$A$2:$A$498, 'Tax Bill Summary'!$A398, 'GE16FEB14 Unfudged'!H$2:H$498)</f>
        <v>0</v>
      </c>
      <c r="K398" s="56">
        <f t="shared" si="222"/>
        <v>0</v>
      </c>
      <c r="L398" s="51">
        <f>+SUMIF('GE16FEB14 Unfudged'!$A$2:$A$498, 'Tax Bill Summary'!$A398, 'GE16FEB14 Unfudged'!I$2:IF$498)</f>
        <v>0</v>
      </c>
      <c r="M398" s="13">
        <f>+SUMIF('GE16FEB14 Unfudged'!$A$2:$A$498, 'Tax Bill Summary'!$A398, 'GE16FEB14 Unfudged'!J$2:IG$498)</f>
        <v>0</v>
      </c>
      <c r="N398" s="56">
        <f t="shared" si="223"/>
        <v>0</v>
      </c>
      <c r="O398" s="51">
        <f t="shared" si="224"/>
        <v>55811</v>
      </c>
      <c r="P398" s="13">
        <f t="shared" si="225"/>
        <v>0</v>
      </c>
      <c r="Q398" s="56">
        <f t="shared" si="226"/>
        <v>55811</v>
      </c>
      <c r="R398" s="13">
        <f t="shared" si="227"/>
        <v>112.52217741935483</v>
      </c>
      <c r="S398" s="13">
        <f t="shared" si="228"/>
        <v>0</v>
      </c>
      <c r="T398" s="16">
        <f t="shared" si="229"/>
        <v>112.52217741935483</v>
      </c>
      <c r="U398" s="15">
        <f>+SUMIF('GE16FEB14 Tax Bill Unfudged'!$A$2:$A$498, 'Tax Bill Summary'!$A398, 'GE16FEB14 Tax Bill Unfudged'!E$2:E$498)</f>
        <v>57180</v>
      </c>
      <c r="V398" s="13">
        <f>+SUMIF('GE16FEB14 Tax Bill Unfudged'!$A$2:$A$498, 'Tax Bill Summary'!$A398, 'GE16FEB14 Tax Bill Unfudged'!F$2:F$498)</f>
        <v>0</v>
      </c>
      <c r="W398" s="56">
        <f t="shared" si="230"/>
        <v>57180</v>
      </c>
      <c r="X398" s="51">
        <f>+SUMIF('GE16FEB14 Tax Bill Unfudged'!$A$2:$A$498, 'Tax Bill Summary'!$A398, 'GE16FEB14 Tax Bill Unfudged'!G$2:G$498)</f>
        <v>0</v>
      </c>
      <c r="Y398" s="13">
        <f>+SUMIF('GE16FEB14 Tax Bill Unfudged'!$A$2:$A$498, 'Tax Bill Summary'!$A398, 'GE16FEB14 Tax Bill Unfudged'!H$2:H$498)</f>
        <v>0</v>
      </c>
      <c r="Z398" s="56">
        <f t="shared" si="231"/>
        <v>0</v>
      </c>
      <c r="AA398" s="51">
        <f>+SUMIF('GE16FEB14 Tax Bill Unfudged'!$A$2:$A$498, 'Tax Bill Summary'!$A398, 'GE16FEB14 Tax Bill Unfudged'!I$2:I$498)</f>
        <v>0</v>
      </c>
      <c r="AB398" s="13">
        <f>+SUMIF('GE16FEB14 Tax Bill Unfudged'!$A$2:$A$498, 'Tax Bill Summary'!$A398, 'GE16FEB14 Tax Bill Unfudged'!J$2:J$498)</f>
        <v>0</v>
      </c>
      <c r="AC398" s="56">
        <f t="shared" si="232"/>
        <v>0</v>
      </c>
      <c r="AD398" s="51">
        <f t="shared" si="233"/>
        <v>57180</v>
      </c>
      <c r="AE398" s="13">
        <f t="shared" si="234"/>
        <v>0</v>
      </c>
      <c r="AF398" s="56">
        <f t="shared" si="235"/>
        <v>57180</v>
      </c>
      <c r="AG398" s="13">
        <f t="shared" si="236"/>
        <v>115.28225806451613</v>
      </c>
      <c r="AH398" s="13">
        <f t="shared" si="237"/>
        <v>0</v>
      </c>
      <c r="AI398" s="16">
        <f t="shared" si="238"/>
        <v>115.28225806451613</v>
      </c>
      <c r="AJ398" s="15">
        <f t="shared" si="239"/>
        <v>1369</v>
      </c>
      <c r="AK398" s="13">
        <f t="shared" si="240"/>
        <v>0</v>
      </c>
      <c r="AL398" s="56">
        <f t="shared" si="241"/>
        <v>1369</v>
      </c>
      <c r="AM398" s="51">
        <f t="shared" si="242"/>
        <v>0</v>
      </c>
      <c r="AN398" s="13">
        <f t="shared" si="243"/>
        <v>0</v>
      </c>
      <c r="AO398" s="56">
        <f t="shared" si="244"/>
        <v>0</v>
      </c>
      <c r="AP398" s="51">
        <f t="shared" si="245"/>
        <v>0</v>
      </c>
      <c r="AQ398" s="13">
        <f t="shared" si="246"/>
        <v>0</v>
      </c>
      <c r="AR398" s="56">
        <f t="shared" si="247"/>
        <v>0</v>
      </c>
      <c r="AS398" s="51">
        <f t="shared" si="248"/>
        <v>1369</v>
      </c>
      <c r="AT398" s="13">
        <f t="shared" si="249"/>
        <v>0</v>
      </c>
      <c r="AU398" s="56">
        <f t="shared" si="250"/>
        <v>1369</v>
      </c>
      <c r="AV398" s="13">
        <f t="shared" si="251"/>
        <v>2.7600806451612954</v>
      </c>
      <c r="AW398" s="13">
        <f t="shared" si="252"/>
        <v>0</v>
      </c>
      <c r="AX398" s="16">
        <f t="shared" si="253"/>
        <v>2.7600806451612954</v>
      </c>
    </row>
    <row r="399" spans="1:50" x14ac:dyDescent="0.25">
      <c r="A399" s="20">
        <v>4073</v>
      </c>
      <c r="B399">
        <v>7</v>
      </c>
      <c r="C399" s="23" t="s">
        <v>483</v>
      </c>
      <c r="D399" s="23">
        <v>7</v>
      </c>
      <c r="E399" s="15">
        <f>+SUMIF('GE16FEB14 Unfudged'!$A$2:$A$498, $A399, 'GE16FEB14 Unfudged'!$D$2:$D$498)</f>
        <v>410</v>
      </c>
      <c r="F399" s="15">
        <f>+SUMIF('GE16FEB14 Unfudged'!$A$2:$A$498, 'Tax Bill Summary'!$A399, 'GE16FEB14 Unfudged'!E$2:E$498)</f>
        <v>46153</v>
      </c>
      <c r="G399" s="13">
        <f>+SUMIF('GE16FEB14 Unfudged'!$A$2:$A$498, 'Tax Bill Summary'!$A399, 'GE16FEB14 Unfudged'!F$2:F$498)</f>
        <v>0</v>
      </c>
      <c r="H399" s="56">
        <f t="shared" si="221"/>
        <v>46153</v>
      </c>
      <c r="I399" s="51">
        <f>+SUMIF('GE16FEB14 Unfudged'!$A$2:$A$498, 'Tax Bill Summary'!$A399, 'GE16FEB14 Unfudged'!G$2:G$498)</f>
        <v>0</v>
      </c>
      <c r="J399" s="13">
        <f>+SUMIF('GE16FEB14 Unfudged'!$A$2:$A$498, 'Tax Bill Summary'!$A399, 'GE16FEB14 Unfudged'!H$2:H$498)</f>
        <v>0</v>
      </c>
      <c r="K399" s="56">
        <f t="shared" si="222"/>
        <v>0</v>
      </c>
      <c r="L399" s="51">
        <f>+SUMIF('GE16FEB14 Unfudged'!$A$2:$A$498, 'Tax Bill Summary'!$A399, 'GE16FEB14 Unfudged'!I$2:IF$498)</f>
        <v>0</v>
      </c>
      <c r="M399" s="13">
        <f>+SUMIF('GE16FEB14 Unfudged'!$A$2:$A$498, 'Tax Bill Summary'!$A399, 'GE16FEB14 Unfudged'!J$2:IG$498)</f>
        <v>0</v>
      </c>
      <c r="N399" s="56">
        <f t="shared" si="223"/>
        <v>0</v>
      </c>
      <c r="O399" s="51">
        <f t="shared" si="224"/>
        <v>46153</v>
      </c>
      <c r="P399" s="13">
        <f t="shared" si="225"/>
        <v>0</v>
      </c>
      <c r="Q399" s="56">
        <f t="shared" si="226"/>
        <v>46153</v>
      </c>
      <c r="R399" s="13">
        <f t="shared" si="227"/>
        <v>112.56829268292682</v>
      </c>
      <c r="S399" s="13">
        <f t="shared" si="228"/>
        <v>0</v>
      </c>
      <c r="T399" s="16">
        <f t="shared" si="229"/>
        <v>112.56829268292682</v>
      </c>
      <c r="U399" s="15">
        <f>+SUMIF('GE16FEB14 Tax Bill Unfudged'!$A$2:$A$498, 'Tax Bill Summary'!$A399, 'GE16FEB14 Tax Bill Unfudged'!E$2:E$498)</f>
        <v>47284</v>
      </c>
      <c r="V399" s="13">
        <f>+SUMIF('GE16FEB14 Tax Bill Unfudged'!$A$2:$A$498, 'Tax Bill Summary'!$A399, 'GE16FEB14 Tax Bill Unfudged'!F$2:F$498)</f>
        <v>0</v>
      </c>
      <c r="W399" s="56">
        <f t="shared" si="230"/>
        <v>47284</v>
      </c>
      <c r="X399" s="51">
        <f>+SUMIF('GE16FEB14 Tax Bill Unfudged'!$A$2:$A$498, 'Tax Bill Summary'!$A399, 'GE16FEB14 Tax Bill Unfudged'!G$2:G$498)</f>
        <v>0</v>
      </c>
      <c r="Y399" s="13">
        <f>+SUMIF('GE16FEB14 Tax Bill Unfudged'!$A$2:$A$498, 'Tax Bill Summary'!$A399, 'GE16FEB14 Tax Bill Unfudged'!H$2:H$498)</f>
        <v>0</v>
      </c>
      <c r="Z399" s="56">
        <f t="shared" si="231"/>
        <v>0</v>
      </c>
      <c r="AA399" s="51">
        <f>+SUMIF('GE16FEB14 Tax Bill Unfudged'!$A$2:$A$498, 'Tax Bill Summary'!$A399, 'GE16FEB14 Tax Bill Unfudged'!I$2:I$498)</f>
        <v>0</v>
      </c>
      <c r="AB399" s="13">
        <f>+SUMIF('GE16FEB14 Tax Bill Unfudged'!$A$2:$A$498, 'Tax Bill Summary'!$A399, 'GE16FEB14 Tax Bill Unfudged'!J$2:J$498)</f>
        <v>0</v>
      </c>
      <c r="AC399" s="56">
        <f t="shared" si="232"/>
        <v>0</v>
      </c>
      <c r="AD399" s="51">
        <f t="shared" si="233"/>
        <v>47284</v>
      </c>
      <c r="AE399" s="13">
        <f t="shared" si="234"/>
        <v>0</v>
      </c>
      <c r="AF399" s="56">
        <f t="shared" si="235"/>
        <v>47284</v>
      </c>
      <c r="AG399" s="13">
        <f t="shared" si="236"/>
        <v>115.32682926829268</v>
      </c>
      <c r="AH399" s="13">
        <f t="shared" si="237"/>
        <v>0</v>
      </c>
      <c r="AI399" s="16">
        <f t="shared" si="238"/>
        <v>115.32682926829268</v>
      </c>
      <c r="AJ399" s="15">
        <f t="shared" si="239"/>
        <v>1131</v>
      </c>
      <c r="AK399" s="13">
        <f t="shared" si="240"/>
        <v>0</v>
      </c>
      <c r="AL399" s="56">
        <f t="shared" si="241"/>
        <v>1131</v>
      </c>
      <c r="AM399" s="51">
        <f t="shared" si="242"/>
        <v>0</v>
      </c>
      <c r="AN399" s="13">
        <f t="shared" si="243"/>
        <v>0</v>
      </c>
      <c r="AO399" s="56">
        <f t="shared" si="244"/>
        <v>0</v>
      </c>
      <c r="AP399" s="51">
        <f t="shared" si="245"/>
        <v>0</v>
      </c>
      <c r="AQ399" s="13">
        <f t="shared" si="246"/>
        <v>0</v>
      </c>
      <c r="AR399" s="56">
        <f t="shared" si="247"/>
        <v>0</v>
      </c>
      <c r="AS399" s="51">
        <f t="shared" si="248"/>
        <v>1131</v>
      </c>
      <c r="AT399" s="13">
        <f t="shared" si="249"/>
        <v>0</v>
      </c>
      <c r="AU399" s="56">
        <f t="shared" si="250"/>
        <v>1131</v>
      </c>
      <c r="AV399" s="13">
        <f t="shared" si="251"/>
        <v>2.7585365853658601</v>
      </c>
      <c r="AW399" s="13">
        <f t="shared" si="252"/>
        <v>0</v>
      </c>
      <c r="AX399" s="16">
        <f t="shared" si="253"/>
        <v>2.7585365853658601</v>
      </c>
    </row>
    <row r="400" spans="1:50" x14ac:dyDescent="0.25">
      <c r="A400" s="20">
        <v>4074</v>
      </c>
      <c r="B400">
        <v>7</v>
      </c>
      <c r="C400" s="23" t="s">
        <v>484</v>
      </c>
      <c r="D400" s="23">
        <v>7</v>
      </c>
      <c r="E400" s="15">
        <f>+SUMIF('GE16FEB14 Unfudged'!$A$2:$A$498, $A400, 'GE16FEB14 Unfudged'!$D$2:$D$498)</f>
        <v>360</v>
      </c>
      <c r="F400" s="15">
        <f>+SUMIF('GE16FEB14 Unfudged'!$A$2:$A$498, 'Tax Bill Summary'!$A400, 'GE16FEB14 Unfudged'!E$2:E$498)</f>
        <v>40524</v>
      </c>
      <c r="G400" s="13">
        <f>+SUMIF('GE16FEB14 Unfudged'!$A$2:$A$498, 'Tax Bill Summary'!$A400, 'GE16FEB14 Unfudged'!F$2:F$498)</f>
        <v>0</v>
      </c>
      <c r="H400" s="56">
        <f t="shared" si="221"/>
        <v>40524</v>
      </c>
      <c r="I400" s="51">
        <f>+SUMIF('GE16FEB14 Unfudged'!$A$2:$A$498, 'Tax Bill Summary'!$A400, 'GE16FEB14 Unfudged'!G$2:G$498)</f>
        <v>0</v>
      </c>
      <c r="J400" s="13">
        <f>+SUMIF('GE16FEB14 Unfudged'!$A$2:$A$498, 'Tax Bill Summary'!$A400, 'GE16FEB14 Unfudged'!H$2:H$498)</f>
        <v>0</v>
      </c>
      <c r="K400" s="56">
        <f t="shared" si="222"/>
        <v>0</v>
      </c>
      <c r="L400" s="51">
        <f>+SUMIF('GE16FEB14 Unfudged'!$A$2:$A$498, 'Tax Bill Summary'!$A400, 'GE16FEB14 Unfudged'!I$2:IF$498)</f>
        <v>0</v>
      </c>
      <c r="M400" s="13">
        <f>+SUMIF('GE16FEB14 Unfudged'!$A$2:$A$498, 'Tax Bill Summary'!$A400, 'GE16FEB14 Unfudged'!J$2:IG$498)</f>
        <v>0</v>
      </c>
      <c r="N400" s="56">
        <f t="shared" si="223"/>
        <v>0</v>
      </c>
      <c r="O400" s="51">
        <f t="shared" si="224"/>
        <v>40524</v>
      </c>
      <c r="P400" s="13">
        <f t="shared" si="225"/>
        <v>0</v>
      </c>
      <c r="Q400" s="56">
        <f t="shared" si="226"/>
        <v>40524</v>
      </c>
      <c r="R400" s="13">
        <f t="shared" si="227"/>
        <v>112.56666666666666</v>
      </c>
      <c r="S400" s="13">
        <f t="shared" si="228"/>
        <v>0</v>
      </c>
      <c r="T400" s="16">
        <f t="shared" si="229"/>
        <v>112.56666666666666</v>
      </c>
      <c r="U400" s="15">
        <f>+SUMIF('GE16FEB14 Tax Bill Unfudged'!$A$2:$A$498, 'Tax Bill Summary'!$A400, 'GE16FEB14 Tax Bill Unfudged'!E$2:E$498)</f>
        <v>41518</v>
      </c>
      <c r="V400" s="13">
        <f>+SUMIF('GE16FEB14 Tax Bill Unfudged'!$A$2:$A$498, 'Tax Bill Summary'!$A400, 'GE16FEB14 Tax Bill Unfudged'!F$2:F$498)</f>
        <v>0</v>
      </c>
      <c r="W400" s="56">
        <f t="shared" si="230"/>
        <v>41518</v>
      </c>
      <c r="X400" s="51">
        <f>+SUMIF('GE16FEB14 Tax Bill Unfudged'!$A$2:$A$498, 'Tax Bill Summary'!$A400, 'GE16FEB14 Tax Bill Unfudged'!G$2:G$498)</f>
        <v>0</v>
      </c>
      <c r="Y400" s="13">
        <f>+SUMIF('GE16FEB14 Tax Bill Unfudged'!$A$2:$A$498, 'Tax Bill Summary'!$A400, 'GE16FEB14 Tax Bill Unfudged'!H$2:H$498)</f>
        <v>0</v>
      </c>
      <c r="Z400" s="56">
        <f t="shared" si="231"/>
        <v>0</v>
      </c>
      <c r="AA400" s="51">
        <f>+SUMIF('GE16FEB14 Tax Bill Unfudged'!$A$2:$A$498, 'Tax Bill Summary'!$A400, 'GE16FEB14 Tax Bill Unfudged'!I$2:I$498)</f>
        <v>0</v>
      </c>
      <c r="AB400" s="13">
        <f>+SUMIF('GE16FEB14 Tax Bill Unfudged'!$A$2:$A$498, 'Tax Bill Summary'!$A400, 'GE16FEB14 Tax Bill Unfudged'!J$2:J$498)</f>
        <v>0</v>
      </c>
      <c r="AC400" s="56">
        <f t="shared" si="232"/>
        <v>0</v>
      </c>
      <c r="AD400" s="51">
        <f t="shared" si="233"/>
        <v>41518</v>
      </c>
      <c r="AE400" s="13">
        <f t="shared" si="234"/>
        <v>0</v>
      </c>
      <c r="AF400" s="56">
        <f t="shared" si="235"/>
        <v>41518</v>
      </c>
      <c r="AG400" s="13">
        <f t="shared" si="236"/>
        <v>115.32777777777778</v>
      </c>
      <c r="AH400" s="13">
        <f t="shared" si="237"/>
        <v>0</v>
      </c>
      <c r="AI400" s="16">
        <f t="shared" si="238"/>
        <v>115.32777777777778</v>
      </c>
      <c r="AJ400" s="15">
        <f t="shared" si="239"/>
        <v>994</v>
      </c>
      <c r="AK400" s="13">
        <f t="shared" si="240"/>
        <v>0</v>
      </c>
      <c r="AL400" s="56">
        <f t="shared" si="241"/>
        <v>994</v>
      </c>
      <c r="AM400" s="51">
        <f t="shared" si="242"/>
        <v>0</v>
      </c>
      <c r="AN400" s="13">
        <f t="shared" si="243"/>
        <v>0</v>
      </c>
      <c r="AO400" s="56">
        <f t="shared" si="244"/>
        <v>0</v>
      </c>
      <c r="AP400" s="51">
        <f t="shared" si="245"/>
        <v>0</v>
      </c>
      <c r="AQ400" s="13">
        <f t="shared" si="246"/>
        <v>0</v>
      </c>
      <c r="AR400" s="56">
        <f t="shared" si="247"/>
        <v>0</v>
      </c>
      <c r="AS400" s="51">
        <f t="shared" si="248"/>
        <v>994</v>
      </c>
      <c r="AT400" s="13">
        <f t="shared" si="249"/>
        <v>0</v>
      </c>
      <c r="AU400" s="56">
        <f t="shared" si="250"/>
        <v>994</v>
      </c>
      <c r="AV400" s="13">
        <f t="shared" si="251"/>
        <v>2.76111111111112</v>
      </c>
      <c r="AW400" s="13">
        <f t="shared" si="252"/>
        <v>0</v>
      </c>
      <c r="AX400" s="16">
        <f t="shared" si="253"/>
        <v>2.76111111111112</v>
      </c>
    </row>
    <row r="401" spans="1:50" x14ac:dyDescent="0.25">
      <c r="A401" s="20">
        <v>4075</v>
      </c>
      <c r="B401">
        <v>7</v>
      </c>
      <c r="C401" s="23" t="s">
        <v>45</v>
      </c>
      <c r="D401" s="23">
        <v>7</v>
      </c>
      <c r="E401" s="15">
        <f>+SUMIF('GE16FEB14 Unfudged'!$A$2:$A$498, $A401, 'GE16FEB14 Unfudged'!$D$2:$D$498)</f>
        <v>225</v>
      </c>
      <c r="F401" s="15">
        <f>+SUMIF('GE16FEB14 Unfudged'!$A$2:$A$498, 'Tax Bill Summary'!$A401, 'GE16FEB14 Unfudged'!E$2:E$498)</f>
        <v>25328</v>
      </c>
      <c r="G401" s="13">
        <f>+SUMIF('GE16FEB14 Unfudged'!$A$2:$A$498, 'Tax Bill Summary'!$A401, 'GE16FEB14 Unfudged'!F$2:F$498)</f>
        <v>0</v>
      </c>
      <c r="H401" s="56">
        <f t="shared" si="221"/>
        <v>25328</v>
      </c>
      <c r="I401" s="51">
        <f>+SUMIF('GE16FEB14 Unfudged'!$A$2:$A$498, 'Tax Bill Summary'!$A401, 'GE16FEB14 Unfudged'!G$2:G$498)</f>
        <v>0</v>
      </c>
      <c r="J401" s="13">
        <f>+SUMIF('GE16FEB14 Unfudged'!$A$2:$A$498, 'Tax Bill Summary'!$A401, 'GE16FEB14 Unfudged'!H$2:H$498)</f>
        <v>0</v>
      </c>
      <c r="K401" s="56">
        <f t="shared" si="222"/>
        <v>0</v>
      </c>
      <c r="L401" s="51">
        <f>+SUMIF('GE16FEB14 Unfudged'!$A$2:$A$498, 'Tax Bill Summary'!$A401, 'GE16FEB14 Unfudged'!I$2:IF$498)</f>
        <v>0</v>
      </c>
      <c r="M401" s="13">
        <f>+SUMIF('GE16FEB14 Unfudged'!$A$2:$A$498, 'Tax Bill Summary'!$A401, 'GE16FEB14 Unfudged'!J$2:IG$498)</f>
        <v>0</v>
      </c>
      <c r="N401" s="56">
        <f t="shared" si="223"/>
        <v>0</v>
      </c>
      <c r="O401" s="51">
        <f t="shared" si="224"/>
        <v>25328</v>
      </c>
      <c r="P401" s="13">
        <f t="shared" si="225"/>
        <v>0</v>
      </c>
      <c r="Q401" s="56">
        <f t="shared" si="226"/>
        <v>25328</v>
      </c>
      <c r="R401" s="13">
        <f t="shared" si="227"/>
        <v>112.56888888888889</v>
      </c>
      <c r="S401" s="13">
        <f t="shared" si="228"/>
        <v>0</v>
      </c>
      <c r="T401" s="16">
        <f t="shared" si="229"/>
        <v>112.56888888888889</v>
      </c>
      <c r="U401" s="15">
        <f>+SUMIF('GE16FEB14 Tax Bill Unfudged'!$A$2:$A$498, 'Tax Bill Summary'!$A401, 'GE16FEB14 Tax Bill Unfudged'!E$2:E$498)</f>
        <v>25949</v>
      </c>
      <c r="V401" s="13">
        <f>+SUMIF('GE16FEB14 Tax Bill Unfudged'!$A$2:$A$498, 'Tax Bill Summary'!$A401, 'GE16FEB14 Tax Bill Unfudged'!F$2:F$498)</f>
        <v>0</v>
      </c>
      <c r="W401" s="56">
        <f t="shared" si="230"/>
        <v>25949</v>
      </c>
      <c r="X401" s="51">
        <f>+SUMIF('GE16FEB14 Tax Bill Unfudged'!$A$2:$A$498, 'Tax Bill Summary'!$A401, 'GE16FEB14 Tax Bill Unfudged'!G$2:G$498)</f>
        <v>0</v>
      </c>
      <c r="Y401" s="13">
        <f>+SUMIF('GE16FEB14 Tax Bill Unfudged'!$A$2:$A$498, 'Tax Bill Summary'!$A401, 'GE16FEB14 Tax Bill Unfudged'!H$2:H$498)</f>
        <v>0</v>
      </c>
      <c r="Z401" s="56">
        <f t="shared" si="231"/>
        <v>0</v>
      </c>
      <c r="AA401" s="51">
        <f>+SUMIF('GE16FEB14 Tax Bill Unfudged'!$A$2:$A$498, 'Tax Bill Summary'!$A401, 'GE16FEB14 Tax Bill Unfudged'!I$2:I$498)</f>
        <v>0</v>
      </c>
      <c r="AB401" s="13">
        <f>+SUMIF('GE16FEB14 Tax Bill Unfudged'!$A$2:$A$498, 'Tax Bill Summary'!$A401, 'GE16FEB14 Tax Bill Unfudged'!J$2:J$498)</f>
        <v>0</v>
      </c>
      <c r="AC401" s="56">
        <f t="shared" si="232"/>
        <v>0</v>
      </c>
      <c r="AD401" s="51">
        <f t="shared" si="233"/>
        <v>25949</v>
      </c>
      <c r="AE401" s="13">
        <f t="shared" si="234"/>
        <v>0</v>
      </c>
      <c r="AF401" s="56">
        <f t="shared" si="235"/>
        <v>25949</v>
      </c>
      <c r="AG401" s="13">
        <f t="shared" si="236"/>
        <v>115.32888888888888</v>
      </c>
      <c r="AH401" s="13">
        <f t="shared" si="237"/>
        <v>0</v>
      </c>
      <c r="AI401" s="16">
        <f t="shared" si="238"/>
        <v>115.32888888888888</v>
      </c>
      <c r="AJ401" s="15">
        <f t="shared" si="239"/>
        <v>621</v>
      </c>
      <c r="AK401" s="13">
        <f t="shared" si="240"/>
        <v>0</v>
      </c>
      <c r="AL401" s="56">
        <f t="shared" si="241"/>
        <v>621</v>
      </c>
      <c r="AM401" s="51">
        <f t="shared" si="242"/>
        <v>0</v>
      </c>
      <c r="AN401" s="13">
        <f t="shared" si="243"/>
        <v>0</v>
      </c>
      <c r="AO401" s="56">
        <f t="shared" si="244"/>
        <v>0</v>
      </c>
      <c r="AP401" s="51">
        <f t="shared" si="245"/>
        <v>0</v>
      </c>
      <c r="AQ401" s="13">
        <f t="shared" si="246"/>
        <v>0</v>
      </c>
      <c r="AR401" s="56">
        <f t="shared" si="247"/>
        <v>0</v>
      </c>
      <c r="AS401" s="51">
        <f t="shared" si="248"/>
        <v>621</v>
      </c>
      <c r="AT401" s="13">
        <f t="shared" si="249"/>
        <v>0</v>
      </c>
      <c r="AU401" s="56">
        <f t="shared" si="250"/>
        <v>621</v>
      </c>
      <c r="AV401" s="13">
        <f t="shared" si="251"/>
        <v>2.7599999999999909</v>
      </c>
      <c r="AW401" s="13">
        <f t="shared" si="252"/>
        <v>0</v>
      </c>
      <c r="AX401" s="16">
        <f t="shared" si="253"/>
        <v>2.7599999999999909</v>
      </c>
    </row>
    <row r="402" spans="1:50" x14ac:dyDescent="0.25">
      <c r="A402" s="20">
        <v>4077</v>
      </c>
      <c r="B402">
        <v>7</v>
      </c>
      <c r="C402" s="23" t="s">
        <v>485</v>
      </c>
      <c r="D402" s="23">
        <v>7</v>
      </c>
      <c r="E402" s="15">
        <f>+SUMIF('GE16FEB14 Unfudged'!$A$2:$A$498, $A402, 'GE16FEB14 Unfudged'!$D$2:$D$498)</f>
        <v>524</v>
      </c>
      <c r="F402" s="15">
        <f>+SUMIF('GE16FEB14 Unfudged'!$A$2:$A$498, 'Tax Bill Summary'!$A402, 'GE16FEB14 Unfudged'!E$2:E$498)</f>
        <v>59014</v>
      </c>
      <c r="G402" s="13">
        <f>+SUMIF('GE16FEB14 Unfudged'!$A$2:$A$498, 'Tax Bill Summary'!$A402, 'GE16FEB14 Unfudged'!F$2:F$498)</f>
        <v>0</v>
      </c>
      <c r="H402" s="56">
        <f t="shared" si="221"/>
        <v>59014</v>
      </c>
      <c r="I402" s="51">
        <f>+SUMIF('GE16FEB14 Unfudged'!$A$2:$A$498, 'Tax Bill Summary'!$A402, 'GE16FEB14 Unfudged'!G$2:G$498)</f>
        <v>0</v>
      </c>
      <c r="J402" s="13">
        <f>+SUMIF('GE16FEB14 Unfudged'!$A$2:$A$498, 'Tax Bill Summary'!$A402, 'GE16FEB14 Unfudged'!H$2:H$498)</f>
        <v>0</v>
      </c>
      <c r="K402" s="56">
        <f t="shared" si="222"/>
        <v>0</v>
      </c>
      <c r="L402" s="51">
        <f>+SUMIF('GE16FEB14 Unfudged'!$A$2:$A$498, 'Tax Bill Summary'!$A402, 'GE16FEB14 Unfudged'!I$2:IF$498)</f>
        <v>0</v>
      </c>
      <c r="M402" s="13">
        <f>+SUMIF('GE16FEB14 Unfudged'!$A$2:$A$498, 'Tax Bill Summary'!$A402, 'GE16FEB14 Unfudged'!J$2:IG$498)</f>
        <v>0</v>
      </c>
      <c r="N402" s="56">
        <f t="shared" si="223"/>
        <v>0</v>
      </c>
      <c r="O402" s="51">
        <f t="shared" si="224"/>
        <v>59014</v>
      </c>
      <c r="P402" s="13">
        <f t="shared" si="225"/>
        <v>0</v>
      </c>
      <c r="Q402" s="56">
        <f t="shared" si="226"/>
        <v>59014</v>
      </c>
      <c r="R402" s="13">
        <f t="shared" si="227"/>
        <v>112.62213740458016</v>
      </c>
      <c r="S402" s="13">
        <f t="shared" si="228"/>
        <v>0</v>
      </c>
      <c r="T402" s="16">
        <f t="shared" si="229"/>
        <v>112.62213740458016</v>
      </c>
      <c r="U402" s="15">
        <f>+SUMIF('GE16FEB14 Tax Bill Unfudged'!$A$2:$A$498, 'Tax Bill Summary'!$A402, 'GE16FEB14 Tax Bill Unfudged'!E$2:E$498)</f>
        <v>60461</v>
      </c>
      <c r="V402" s="13">
        <f>+SUMIF('GE16FEB14 Tax Bill Unfudged'!$A$2:$A$498, 'Tax Bill Summary'!$A402, 'GE16FEB14 Tax Bill Unfudged'!F$2:F$498)</f>
        <v>0</v>
      </c>
      <c r="W402" s="56">
        <f t="shared" si="230"/>
        <v>60461</v>
      </c>
      <c r="X402" s="51">
        <f>+SUMIF('GE16FEB14 Tax Bill Unfudged'!$A$2:$A$498, 'Tax Bill Summary'!$A402, 'GE16FEB14 Tax Bill Unfudged'!G$2:G$498)</f>
        <v>0</v>
      </c>
      <c r="Y402" s="13">
        <f>+SUMIF('GE16FEB14 Tax Bill Unfudged'!$A$2:$A$498, 'Tax Bill Summary'!$A402, 'GE16FEB14 Tax Bill Unfudged'!H$2:H$498)</f>
        <v>0</v>
      </c>
      <c r="Z402" s="56">
        <f t="shared" si="231"/>
        <v>0</v>
      </c>
      <c r="AA402" s="51">
        <f>+SUMIF('GE16FEB14 Tax Bill Unfudged'!$A$2:$A$498, 'Tax Bill Summary'!$A402, 'GE16FEB14 Tax Bill Unfudged'!I$2:I$498)</f>
        <v>0</v>
      </c>
      <c r="AB402" s="13">
        <f>+SUMIF('GE16FEB14 Tax Bill Unfudged'!$A$2:$A$498, 'Tax Bill Summary'!$A402, 'GE16FEB14 Tax Bill Unfudged'!J$2:J$498)</f>
        <v>0</v>
      </c>
      <c r="AC402" s="56">
        <f t="shared" si="232"/>
        <v>0</v>
      </c>
      <c r="AD402" s="51">
        <f t="shared" si="233"/>
        <v>60461</v>
      </c>
      <c r="AE402" s="13">
        <f t="shared" si="234"/>
        <v>0</v>
      </c>
      <c r="AF402" s="56">
        <f t="shared" si="235"/>
        <v>60461</v>
      </c>
      <c r="AG402" s="13">
        <f t="shared" si="236"/>
        <v>115.38358778625954</v>
      </c>
      <c r="AH402" s="13">
        <f t="shared" si="237"/>
        <v>0</v>
      </c>
      <c r="AI402" s="16">
        <f t="shared" si="238"/>
        <v>115.38358778625954</v>
      </c>
      <c r="AJ402" s="15">
        <f t="shared" si="239"/>
        <v>1447</v>
      </c>
      <c r="AK402" s="13">
        <f t="shared" si="240"/>
        <v>0</v>
      </c>
      <c r="AL402" s="56">
        <f t="shared" si="241"/>
        <v>1447</v>
      </c>
      <c r="AM402" s="51">
        <f t="shared" si="242"/>
        <v>0</v>
      </c>
      <c r="AN402" s="13">
        <f t="shared" si="243"/>
        <v>0</v>
      </c>
      <c r="AO402" s="56">
        <f t="shared" si="244"/>
        <v>0</v>
      </c>
      <c r="AP402" s="51">
        <f t="shared" si="245"/>
        <v>0</v>
      </c>
      <c r="AQ402" s="13">
        <f t="shared" si="246"/>
        <v>0</v>
      </c>
      <c r="AR402" s="56">
        <f t="shared" si="247"/>
        <v>0</v>
      </c>
      <c r="AS402" s="51">
        <f t="shared" si="248"/>
        <v>1447</v>
      </c>
      <c r="AT402" s="13">
        <f t="shared" si="249"/>
        <v>0</v>
      </c>
      <c r="AU402" s="56">
        <f t="shared" si="250"/>
        <v>1447</v>
      </c>
      <c r="AV402" s="13">
        <f t="shared" si="251"/>
        <v>2.7614503816793814</v>
      </c>
      <c r="AW402" s="13">
        <f t="shared" si="252"/>
        <v>0</v>
      </c>
      <c r="AX402" s="16">
        <f t="shared" si="253"/>
        <v>2.7614503816793814</v>
      </c>
    </row>
    <row r="403" spans="1:50" x14ac:dyDescent="0.25">
      <c r="A403" s="20">
        <v>4078</v>
      </c>
      <c r="B403">
        <v>7</v>
      </c>
      <c r="C403" s="23" t="s">
        <v>486</v>
      </c>
      <c r="D403" s="23">
        <v>7</v>
      </c>
      <c r="E403" s="15">
        <f>+SUMIF('GE16FEB14 Unfudged'!$A$2:$A$498, $A403, 'GE16FEB14 Unfudged'!$D$2:$D$498)</f>
        <v>501</v>
      </c>
      <c r="F403" s="15">
        <f>+SUMIF('GE16FEB14 Unfudged'!$A$2:$A$498, 'Tax Bill Summary'!$A403, 'GE16FEB14 Unfudged'!E$2:E$498)</f>
        <v>56396</v>
      </c>
      <c r="G403" s="13">
        <f>+SUMIF('GE16FEB14 Unfudged'!$A$2:$A$498, 'Tax Bill Summary'!$A403, 'GE16FEB14 Unfudged'!F$2:F$498)</f>
        <v>0</v>
      </c>
      <c r="H403" s="56">
        <f t="shared" si="221"/>
        <v>56396</v>
      </c>
      <c r="I403" s="51">
        <f>+SUMIF('GE16FEB14 Unfudged'!$A$2:$A$498, 'Tax Bill Summary'!$A403, 'GE16FEB14 Unfudged'!G$2:G$498)</f>
        <v>0</v>
      </c>
      <c r="J403" s="13">
        <f>+SUMIF('GE16FEB14 Unfudged'!$A$2:$A$498, 'Tax Bill Summary'!$A403, 'GE16FEB14 Unfudged'!H$2:H$498)</f>
        <v>0</v>
      </c>
      <c r="K403" s="56">
        <f t="shared" si="222"/>
        <v>0</v>
      </c>
      <c r="L403" s="51">
        <f>+SUMIF('GE16FEB14 Unfudged'!$A$2:$A$498, 'Tax Bill Summary'!$A403, 'GE16FEB14 Unfudged'!I$2:IF$498)</f>
        <v>0</v>
      </c>
      <c r="M403" s="13">
        <f>+SUMIF('GE16FEB14 Unfudged'!$A$2:$A$498, 'Tax Bill Summary'!$A403, 'GE16FEB14 Unfudged'!J$2:IG$498)</f>
        <v>0</v>
      </c>
      <c r="N403" s="56">
        <f t="shared" si="223"/>
        <v>0</v>
      </c>
      <c r="O403" s="51">
        <f t="shared" si="224"/>
        <v>56396</v>
      </c>
      <c r="P403" s="13">
        <f t="shared" si="225"/>
        <v>0</v>
      </c>
      <c r="Q403" s="56">
        <f t="shared" si="226"/>
        <v>56396</v>
      </c>
      <c r="R403" s="13">
        <f t="shared" si="227"/>
        <v>112.56686626746507</v>
      </c>
      <c r="S403" s="13">
        <f t="shared" si="228"/>
        <v>0</v>
      </c>
      <c r="T403" s="16">
        <f t="shared" si="229"/>
        <v>112.56686626746507</v>
      </c>
      <c r="U403" s="15">
        <f>+SUMIF('GE16FEB14 Tax Bill Unfudged'!$A$2:$A$498, 'Tax Bill Summary'!$A403, 'GE16FEB14 Tax Bill Unfudged'!E$2:E$498)</f>
        <v>57779</v>
      </c>
      <c r="V403" s="13">
        <f>+SUMIF('GE16FEB14 Tax Bill Unfudged'!$A$2:$A$498, 'Tax Bill Summary'!$A403, 'GE16FEB14 Tax Bill Unfudged'!F$2:F$498)</f>
        <v>0</v>
      </c>
      <c r="W403" s="56">
        <f t="shared" si="230"/>
        <v>57779</v>
      </c>
      <c r="X403" s="51">
        <f>+SUMIF('GE16FEB14 Tax Bill Unfudged'!$A$2:$A$498, 'Tax Bill Summary'!$A403, 'GE16FEB14 Tax Bill Unfudged'!G$2:G$498)</f>
        <v>0</v>
      </c>
      <c r="Y403" s="13">
        <f>+SUMIF('GE16FEB14 Tax Bill Unfudged'!$A$2:$A$498, 'Tax Bill Summary'!$A403, 'GE16FEB14 Tax Bill Unfudged'!H$2:H$498)</f>
        <v>0</v>
      </c>
      <c r="Z403" s="56">
        <f t="shared" si="231"/>
        <v>0</v>
      </c>
      <c r="AA403" s="51">
        <f>+SUMIF('GE16FEB14 Tax Bill Unfudged'!$A$2:$A$498, 'Tax Bill Summary'!$A403, 'GE16FEB14 Tax Bill Unfudged'!I$2:I$498)</f>
        <v>0</v>
      </c>
      <c r="AB403" s="13">
        <f>+SUMIF('GE16FEB14 Tax Bill Unfudged'!$A$2:$A$498, 'Tax Bill Summary'!$A403, 'GE16FEB14 Tax Bill Unfudged'!J$2:J$498)</f>
        <v>0</v>
      </c>
      <c r="AC403" s="56">
        <f t="shared" si="232"/>
        <v>0</v>
      </c>
      <c r="AD403" s="51">
        <f t="shared" si="233"/>
        <v>57779</v>
      </c>
      <c r="AE403" s="13">
        <f t="shared" si="234"/>
        <v>0</v>
      </c>
      <c r="AF403" s="56">
        <f t="shared" si="235"/>
        <v>57779</v>
      </c>
      <c r="AG403" s="13">
        <f t="shared" si="236"/>
        <v>115.32734530938124</v>
      </c>
      <c r="AH403" s="13">
        <f t="shared" si="237"/>
        <v>0</v>
      </c>
      <c r="AI403" s="16">
        <f t="shared" si="238"/>
        <v>115.32734530938124</v>
      </c>
      <c r="AJ403" s="15">
        <f t="shared" si="239"/>
        <v>1383</v>
      </c>
      <c r="AK403" s="13">
        <f t="shared" si="240"/>
        <v>0</v>
      </c>
      <c r="AL403" s="56">
        <f t="shared" si="241"/>
        <v>1383</v>
      </c>
      <c r="AM403" s="51">
        <f t="shared" si="242"/>
        <v>0</v>
      </c>
      <c r="AN403" s="13">
        <f t="shared" si="243"/>
        <v>0</v>
      </c>
      <c r="AO403" s="56">
        <f t="shared" si="244"/>
        <v>0</v>
      </c>
      <c r="AP403" s="51">
        <f t="shared" si="245"/>
        <v>0</v>
      </c>
      <c r="AQ403" s="13">
        <f t="shared" si="246"/>
        <v>0</v>
      </c>
      <c r="AR403" s="56">
        <f t="shared" si="247"/>
        <v>0</v>
      </c>
      <c r="AS403" s="51">
        <f t="shared" si="248"/>
        <v>1383</v>
      </c>
      <c r="AT403" s="13">
        <f t="shared" si="249"/>
        <v>0</v>
      </c>
      <c r="AU403" s="56">
        <f t="shared" si="250"/>
        <v>1383</v>
      </c>
      <c r="AV403" s="13">
        <f t="shared" si="251"/>
        <v>2.7604790419161702</v>
      </c>
      <c r="AW403" s="13">
        <f t="shared" si="252"/>
        <v>0</v>
      </c>
      <c r="AX403" s="16">
        <f t="shared" si="253"/>
        <v>2.7604790419161702</v>
      </c>
    </row>
    <row r="404" spans="1:50" x14ac:dyDescent="0.25">
      <c r="A404" s="20">
        <v>4079</v>
      </c>
      <c r="B404">
        <v>7</v>
      </c>
      <c r="C404" s="23" t="s">
        <v>487</v>
      </c>
      <c r="D404" s="23">
        <v>7</v>
      </c>
      <c r="E404" s="15">
        <f>+SUMIF('GE16FEB14 Unfudged'!$A$2:$A$498, $A404, 'GE16FEB14 Unfudged'!$D$2:$D$498)</f>
        <v>124</v>
      </c>
      <c r="F404" s="15">
        <f>+SUMIF('GE16FEB14 Unfudged'!$A$2:$A$498, 'Tax Bill Summary'!$A404, 'GE16FEB14 Unfudged'!E$2:E$498)</f>
        <v>13930</v>
      </c>
      <c r="G404" s="13">
        <f>+SUMIF('GE16FEB14 Unfudged'!$A$2:$A$498, 'Tax Bill Summary'!$A404, 'GE16FEB14 Unfudged'!F$2:F$498)</f>
        <v>0</v>
      </c>
      <c r="H404" s="56">
        <f t="shared" si="221"/>
        <v>13930</v>
      </c>
      <c r="I404" s="51">
        <f>+SUMIF('GE16FEB14 Unfudged'!$A$2:$A$498, 'Tax Bill Summary'!$A404, 'GE16FEB14 Unfudged'!G$2:G$498)</f>
        <v>0</v>
      </c>
      <c r="J404" s="13">
        <f>+SUMIF('GE16FEB14 Unfudged'!$A$2:$A$498, 'Tax Bill Summary'!$A404, 'GE16FEB14 Unfudged'!H$2:H$498)</f>
        <v>0</v>
      </c>
      <c r="K404" s="56">
        <f t="shared" si="222"/>
        <v>0</v>
      </c>
      <c r="L404" s="51">
        <f>+SUMIF('GE16FEB14 Unfudged'!$A$2:$A$498, 'Tax Bill Summary'!$A404, 'GE16FEB14 Unfudged'!I$2:IF$498)</f>
        <v>0</v>
      </c>
      <c r="M404" s="13">
        <f>+SUMIF('GE16FEB14 Unfudged'!$A$2:$A$498, 'Tax Bill Summary'!$A404, 'GE16FEB14 Unfudged'!J$2:IG$498)</f>
        <v>0</v>
      </c>
      <c r="N404" s="56">
        <f t="shared" si="223"/>
        <v>0</v>
      </c>
      <c r="O404" s="51">
        <f t="shared" si="224"/>
        <v>13930</v>
      </c>
      <c r="P404" s="13">
        <f t="shared" si="225"/>
        <v>0</v>
      </c>
      <c r="Q404" s="56">
        <f t="shared" si="226"/>
        <v>13930</v>
      </c>
      <c r="R404" s="13">
        <f t="shared" si="227"/>
        <v>112.33870967741936</v>
      </c>
      <c r="S404" s="13">
        <f t="shared" si="228"/>
        <v>0</v>
      </c>
      <c r="T404" s="16">
        <f t="shared" si="229"/>
        <v>112.33870967741936</v>
      </c>
      <c r="U404" s="15">
        <f>+SUMIF('GE16FEB14 Tax Bill Unfudged'!$A$2:$A$498, 'Tax Bill Summary'!$A404, 'GE16FEB14 Tax Bill Unfudged'!E$2:E$498)</f>
        <v>14272</v>
      </c>
      <c r="V404" s="13">
        <f>+SUMIF('GE16FEB14 Tax Bill Unfudged'!$A$2:$A$498, 'Tax Bill Summary'!$A404, 'GE16FEB14 Tax Bill Unfudged'!F$2:F$498)</f>
        <v>0</v>
      </c>
      <c r="W404" s="56">
        <f t="shared" si="230"/>
        <v>14272</v>
      </c>
      <c r="X404" s="51">
        <f>+SUMIF('GE16FEB14 Tax Bill Unfudged'!$A$2:$A$498, 'Tax Bill Summary'!$A404, 'GE16FEB14 Tax Bill Unfudged'!G$2:G$498)</f>
        <v>0</v>
      </c>
      <c r="Y404" s="13">
        <f>+SUMIF('GE16FEB14 Tax Bill Unfudged'!$A$2:$A$498, 'Tax Bill Summary'!$A404, 'GE16FEB14 Tax Bill Unfudged'!H$2:H$498)</f>
        <v>0</v>
      </c>
      <c r="Z404" s="56">
        <f t="shared" si="231"/>
        <v>0</v>
      </c>
      <c r="AA404" s="51">
        <f>+SUMIF('GE16FEB14 Tax Bill Unfudged'!$A$2:$A$498, 'Tax Bill Summary'!$A404, 'GE16FEB14 Tax Bill Unfudged'!I$2:I$498)</f>
        <v>0</v>
      </c>
      <c r="AB404" s="13">
        <f>+SUMIF('GE16FEB14 Tax Bill Unfudged'!$A$2:$A$498, 'Tax Bill Summary'!$A404, 'GE16FEB14 Tax Bill Unfudged'!J$2:J$498)</f>
        <v>0</v>
      </c>
      <c r="AC404" s="56">
        <f t="shared" si="232"/>
        <v>0</v>
      </c>
      <c r="AD404" s="51">
        <f t="shared" si="233"/>
        <v>14272</v>
      </c>
      <c r="AE404" s="13">
        <f t="shared" si="234"/>
        <v>0</v>
      </c>
      <c r="AF404" s="56">
        <f t="shared" si="235"/>
        <v>14272</v>
      </c>
      <c r="AG404" s="13">
        <f t="shared" si="236"/>
        <v>115.09677419354838</v>
      </c>
      <c r="AH404" s="13">
        <f t="shared" si="237"/>
        <v>0</v>
      </c>
      <c r="AI404" s="16">
        <f t="shared" si="238"/>
        <v>115.09677419354838</v>
      </c>
      <c r="AJ404" s="15">
        <f t="shared" si="239"/>
        <v>342</v>
      </c>
      <c r="AK404" s="13">
        <f t="shared" si="240"/>
        <v>0</v>
      </c>
      <c r="AL404" s="56">
        <f t="shared" si="241"/>
        <v>342</v>
      </c>
      <c r="AM404" s="51">
        <f t="shared" si="242"/>
        <v>0</v>
      </c>
      <c r="AN404" s="13">
        <f t="shared" si="243"/>
        <v>0</v>
      </c>
      <c r="AO404" s="56">
        <f t="shared" si="244"/>
        <v>0</v>
      </c>
      <c r="AP404" s="51">
        <f t="shared" si="245"/>
        <v>0</v>
      </c>
      <c r="AQ404" s="13">
        <f t="shared" si="246"/>
        <v>0</v>
      </c>
      <c r="AR404" s="56">
        <f t="shared" si="247"/>
        <v>0</v>
      </c>
      <c r="AS404" s="51">
        <f t="shared" si="248"/>
        <v>342</v>
      </c>
      <c r="AT404" s="13">
        <f t="shared" si="249"/>
        <v>0</v>
      </c>
      <c r="AU404" s="56">
        <f t="shared" si="250"/>
        <v>342</v>
      </c>
      <c r="AV404" s="13">
        <f t="shared" si="251"/>
        <v>2.7580645161290249</v>
      </c>
      <c r="AW404" s="13">
        <f t="shared" si="252"/>
        <v>0</v>
      </c>
      <c r="AX404" s="16">
        <f t="shared" si="253"/>
        <v>2.7580645161290249</v>
      </c>
    </row>
    <row r="405" spans="1:50" x14ac:dyDescent="0.25">
      <c r="A405" s="20">
        <v>4080</v>
      </c>
      <c r="B405">
        <v>7</v>
      </c>
      <c r="C405" s="23" t="s">
        <v>46</v>
      </c>
      <c r="D405" s="23">
        <v>7</v>
      </c>
      <c r="E405" s="15">
        <f>+SUMIF('GE16FEB14 Unfudged'!$A$2:$A$498, $A405, 'GE16FEB14 Unfudged'!$D$2:$D$498)</f>
        <v>54</v>
      </c>
      <c r="F405" s="15">
        <f>+SUMIF('GE16FEB14 Unfudged'!$A$2:$A$498, 'Tax Bill Summary'!$A405, 'GE16FEB14 Unfudged'!E$2:E$498)</f>
        <v>6079</v>
      </c>
      <c r="G405" s="13">
        <f>+SUMIF('GE16FEB14 Unfudged'!$A$2:$A$498, 'Tax Bill Summary'!$A405, 'GE16FEB14 Unfudged'!F$2:F$498)</f>
        <v>0</v>
      </c>
      <c r="H405" s="56">
        <f t="shared" si="221"/>
        <v>6079</v>
      </c>
      <c r="I405" s="51">
        <f>+SUMIF('GE16FEB14 Unfudged'!$A$2:$A$498, 'Tax Bill Summary'!$A405, 'GE16FEB14 Unfudged'!G$2:G$498)</f>
        <v>0</v>
      </c>
      <c r="J405" s="13">
        <f>+SUMIF('GE16FEB14 Unfudged'!$A$2:$A$498, 'Tax Bill Summary'!$A405, 'GE16FEB14 Unfudged'!H$2:H$498)</f>
        <v>0</v>
      </c>
      <c r="K405" s="56">
        <f t="shared" si="222"/>
        <v>0</v>
      </c>
      <c r="L405" s="51">
        <f>+SUMIF('GE16FEB14 Unfudged'!$A$2:$A$498, 'Tax Bill Summary'!$A405, 'GE16FEB14 Unfudged'!I$2:IF$498)</f>
        <v>0</v>
      </c>
      <c r="M405" s="13">
        <f>+SUMIF('GE16FEB14 Unfudged'!$A$2:$A$498, 'Tax Bill Summary'!$A405, 'GE16FEB14 Unfudged'!J$2:IG$498)</f>
        <v>0</v>
      </c>
      <c r="N405" s="56">
        <f t="shared" si="223"/>
        <v>0</v>
      </c>
      <c r="O405" s="51">
        <f t="shared" si="224"/>
        <v>6079</v>
      </c>
      <c r="P405" s="13">
        <f t="shared" si="225"/>
        <v>0</v>
      </c>
      <c r="Q405" s="56">
        <f t="shared" si="226"/>
        <v>6079</v>
      </c>
      <c r="R405" s="13">
        <f t="shared" si="227"/>
        <v>112.57407407407408</v>
      </c>
      <c r="S405" s="13">
        <f t="shared" si="228"/>
        <v>0</v>
      </c>
      <c r="T405" s="16">
        <f t="shared" si="229"/>
        <v>112.57407407407408</v>
      </c>
      <c r="U405" s="15">
        <f>+SUMIF('GE16FEB14 Tax Bill Unfudged'!$A$2:$A$498, 'Tax Bill Summary'!$A405, 'GE16FEB14 Tax Bill Unfudged'!E$2:E$498)</f>
        <v>6228</v>
      </c>
      <c r="V405" s="13">
        <f>+SUMIF('GE16FEB14 Tax Bill Unfudged'!$A$2:$A$498, 'Tax Bill Summary'!$A405, 'GE16FEB14 Tax Bill Unfudged'!F$2:F$498)</f>
        <v>0</v>
      </c>
      <c r="W405" s="56">
        <f t="shared" si="230"/>
        <v>6228</v>
      </c>
      <c r="X405" s="51">
        <f>+SUMIF('GE16FEB14 Tax Bill Unfudged'!$A$2:$A$498, 'Tax Bill Summary'!$A405, 'GE16FEB14 Tax Bill Unfudged'!G$2:G$498)</f>
        <v>0</v>
      </c>
      <c r="Y405" s="13">
        <f>+SUMIF('GE16FEB14 Tax Bill Unfudged'!$A$2:$A$498, 'Tax Bill Summary'!$A405, 'GE16FEB14 Tax Bill Unfudged'!H$2:H$498)</f>
        <v>0</v>
      </c>
      <c r="Z405" s="56">
        <f t="shared" si="231"/>
        <v>0</v>
      </c>
      <c r="AA405" s="51">
        <f>+SUMIF('GE16FEB14 Tax Bill Unfudged'!$A$2:$A$498, 'Tax Bill Summary'!$A405, 'GE16FEB14 Tax Bill Unfudged'!I$2:I$498)</f>
        <v>0</v>
      </c>
      <c r="AB405" s="13">
        <f>+SUMIF('GE16FEB14 Tax Bill Unfudged'!$A$2:$A$498, 'Tax Bill Summary'!$A405, 'GE16FEB14 Tax Bill Unfudged'!J$2:J$498)</f>
        <v>0</v>
      </c>
      <c r="AC405" s="56">
        <f t="shared" si="232"/>
        <v>0</v>
      </c>
      <c r="AD405" s="51">
        <f t="shared" si="233"/>
        <v>6228</v>
      </c>
      <c r="AE405" s="13">
        <f t="shared" si="234"/>
        <v>0</v>
      </c>
      <c r="AF405" s="56">
        <f t="shared" si="235"/>
        <v>6228</v>
      </c>
      <c r="AG405" s="13">
        <f t="shared" si="236"/>
        <v>115.33333333333333</v>
      </c>
      <c r="AH405" s="13">
        <f t="shared" si="237"/>
        <v>0</v>
      </c>
      <c r="AI405" s="16">
        <f t="shared" si="238"/>
        <v>115.33333333333333</v>
      </c>
      <c r="AJ405" s="15">
        <f t="shared" si="239"/>
        <v>149</v>
      </c>
      <c r="AK405" s="13">
        <f t="shared" si="240"/>
        <v>0</v>
      </c>
      <c r="AL405" s="56">
        <f t="shared" si="241"/>
        <v>149</v>
      </c>
      <c r="AM405" s="51">
        <f t="shared" si="242"/>
        <v>0</v>
      </c>
      <c r="AN405" s="13">
        <f t="shared" si="243"/>
        <v>0</v>
      </c>
      <c r="AO405" s="56">
        <f t="shared" si="244"/>
        <v>0</v>
      </c>
      <c r="AP405" s="51">
        <f t="shared" si="245"/>
        <v>0</v>
      </c>
      <c r="AQ405" s="13">
        <f t="shared" si="246"/>
        <v>0</v>
      </c>
      <c r="AR405" s="56">
        <f t="shared" si="247"/>
        <v>0</v>
      </c>
      <c r="AS405" s="51">
        <f t="shared" si="248"/>
        <v>149</v>
      </c>
      <c r="AT405" s="13">
        <f t="shared" si="249"/>
        <v>0</v>
      </c>
      <c r="AU405" s="56">
        <f t="shared" si="250"/>
        <v>149</v>
      </c>
      <c r="AV405" s="13">
        <f t="shared" si="251"/>
        <v>2.7592592592592524</v>
      </c>
      <c r="AW405" s="13">
        <f t="shared" si="252"/>
        <v>0</v>
      </c>
      <c r="AX405" s="16">
        <f t="shared" si="253"/>
        <v>2.7592592592592524</v>
      </c>
    </row>
    <row r="406" spans="1:50" x14ac:dyDescent="0.25">
      <c r="A406" s="20">
        <v>4081</v>
      </c>
      <c r="B406">
        <v>7</v>
      </c>
      <c r="C406" s="23" t="s">
        <v>488</v>
      </c>
      <c r="D406" s="23">
        <v>7</v>
      </c>
      <c r="E406" s="15">
        <f>+SUMIF('GE16FEB14 Unfudged'!$A$2:$A$498, $A406, 'GE16FEB14 Unfudged'!$D$2:$D$498)</f>
        <v>67</v>
      </c>
      <c r="F406" s="15">
        <f>+SUMIF('GE16FEB14 Unfudged'!$A$2:$A$498, 'Tax Bill Summary'!$A406, 'GE16FEB14 Unfudged'!E$2:E$498)</f>
        <v>7497</v>
      </c>
      <c r="G406" s="13">
        <f>+SUMIF('GE16FEB14 Unfudged'!$A$2:$A$498, 'Tax Bill Summary'!$A406, 'GE16FEB14 Unfudged'!F$2:F$498)</f>
        <v>0</v>
      </c>
      <c r="H406" s="56">
        <f t="shared" ref="H406:H469" si="254">+F406-G406</f>
        <v>7497</v>
      </c>
      <c r="I406" s="51">
        <f>+SUMIF('GE16FEB14 Unfudged'!$A$2:$A$498, 'Tax Bill Summary'!$A406, 'GE16FEB14 Unfudged'!G$2:G$498)</f>
        <v>0</v>
      </c>
      <c r="J406" s="13">
        <f>+SUMIF('GE16FEB14 Unfudged'!$A$2:$A$498, 'Tax Bill Summary'!$A406, 'GE16FEB14 Unfudged'!H$2:H$498)</f>
        <v>0</v>
      </c>
      <c r="K406" s="56">
        <f t="shared" ref="K406:K469" si="255">+I406-J406</f>
        <v>0</v>
      </c>
      <c r="L406" s="51">
        <f>+SUMIF('GE16FEB14 Unfudged'!$A$2:$A$498, 'Tax Bill Summary'!$A406, 'GE16FEB14 Unfudged'!I$2:IF$498)</f>
        <v>0</v>
      </c>
      <c r="M406" s="13">
        <f>+SUMIF('GE16FEB14 Unfudged'!$A$2:$A$498, 'Tax Bill Summary'!$A406, 'GE16FEB14 Unfudged'!J$2:IG$498)</f>
        <v>0</v>
      </c>
      <c r="N406" s="56">
        <f t="shared" ref="N406:N469" si="256">+L406-M406</f>
        <v>0</v>
      </c>
      <c r="O406" s="51">
        <f t="shared" ref="O406:O469" si="257">+F406+I406+L406</f>
        <v>7497</v>
      </c>
      <c r="P406" s="13">
        <f t="shared" ref="P406:P469" si="258">+G406+J406+M406</f>
        <v>0</v>
      </c>
      <c r="Q406" s="56">
        <f t="shared" ref="Q406:Q469" si="259">+H406+K406+N406</f>
        <v>7497</v>
      </c>
      <c r="R406" s="13">
        <f t="shared" ref="R406:R469" si="260">+IF($E406=0, 0, O406/$E406)</f>
        <v>111.8955223880597</v>
      </c>
      <c r="S406" s="13">
        <f t="shared" ref="S406:S469" si="261">+IF($E406=0, 0, P406/$E406)</f>
        <v>0</v>
      </c>
      <c r="T406" s="16">
        <f t="shared" ref="T406:T469" si="262">+IF($E406=0, 0, Q406/$E406)</f>
        <v>111.8955223880597</v>
      </c>
      <c r="U406" s="15">
        <f>+SUMIF('GE16FEB14 Tax Bill Unfudged'!$A$2:$A$498, 'Tax Bill Summary'!$A406, 'GE16FEB14 Tax Bill Unfudged'!E$2:E$498)</f>
        <v>7681</v>
      </c>
      <c r="V406" s="13">
        <f>+SUMIF('GE16FEB14 Tax Bill Unfudged'!$A$2:$A$498, 'Tax Bill Summary'!$A406, 'GE16FEB14 Tax Bill Unfudged'!F$2:F$498)</f>
        <v>0</v>
      </c>
      <c r="W406" s="56">
        <f t="shared" ref="W406:W469" si="263">+U406-V406</f>
        <v>7681</v>
      </c>
      <c r="X406" s="51">
        <f>+SUMIF('GE16FEB14 Tax Bill Unfudged'!$A$2:$A$498, 'Tax Bill Summary'!$A406, 'GE16FEB14 Tax Bill Unfudged'!G$2:G$498)</f>
        <v>0</v>
      </c>
      <c r="Y406" s="13">
        <f>+SUMIF('GE16FEB14 Tax Bill Unfudged'!$A$2:$A$498, 'Tax Bill Summary'!$A406, 'GE16FEB14 Tax Bill Unfudged'!H$2:H$498)</f>
        <v>0</v>
      </c>
      <c r="Z406" s="56">
        <f t="shared" ref="Z406:Z469" si="264">+X406-Y406</f>
        <v>0</v>
      </c>
      <c r="AA406" s="51">
        <f>+SUMIF('GE16FEB14 Tax Bill Unfudged'!$A$2:$A$498, 'Tax Bill Summary'!$A406, 'GE16FEB14 Tax Bill Unfudged'!I$2:I$498)</f>
        <v>0</v>
      </c>
      <c r="AB406" s="13">
        <f>+SUMIF('GE16FEB14 Tax Bill Unfudged'!$A$2:$A$498, 'Tax Bill Summary'!$A406, 'GE16FEB14 Tax Bill Unfudged'!J$2:J$498)</f>
        <v>0</v>
      </c>
      <c r="AC406" s="56">
        <f t="shared" ref="AC406:AC469" si="265">+AA406-AB406</f>
        <v>0</v>
      </c>
      <c r="AD406" s="51">
        <f t="shared" ref="AD406:AD469" si="266">+U406+X406+AA406</f>
        <v>7681</v>
      </c>
      <c r="AE406" s="13">
        <f t="shared" ref="AE406:AE469" si="267">+V406+Y406+AB406</f>
        <v>0</v>
      </c>
      <c r="AF406" s="56">
        <f t="shared" ref="AF406:AF469" si="268">+W406+Z406+AC406</f>
        <v>7681</v>
      </c>
      <c r="AG406" s="13">
        <f t="shared" ref="AG406:AG469" si="269">+IF($E406=0, 0, AD406/$E406)</f>
        <v>114.64179104477611</v>
      </c>
      <c r="AH406" s="13">
        <f t="shared" ref="AH406:AH469" si="270">+IF($E406=0, 0, AE406/$E406)</f>
        <v>0</v>
      </c>
      <c r="AI406" s="16">
        <f t="shared" ref="AI406:AI469" si="271">+IF($E406=0, 0, AF406/$E406)</f>
        <v>114.64179104477611</v>
      </c>
      <c r="AJ406" s="15">
        <f t="shared" ref="AJ406:AJ469" si="272">+U406-F406</f>
        <v>184</v>
      </c>
      <c r="AK406" s="13">
        <f t="shared" ref="AK406:AK469" si="273">+V406-G406</f>
        <v>0</v>
      </c>
      <c r="AL406" s="56">
        <f t="shared" ref="AL406:AL469" si="274">+W406-H406</f>
        <v>184</v>
      </c>
      <c r="AM406" s="51">
        <f t="shared" ref="AM406:AM469" si="275">+X406-I406</f>
        <v>0</v>
      </c>
      <c r="AN406" s="13">
        <f t="shared" ref="AN406:AN469" si="276">+Y406-J406</f>
        <v>0</v>
      </c>
      <c r="AO406" s="56">
        <f t="shared" ref="AO406:AO469" si="277">+Z406-K406</f>
        <v>0</v>
      </c>
      <c r="AP406" s="51">
        <f t="shared" ref="AP406:AP469" si="278">+AA406-L406</f>
        <v>0</v>
      </c>
      <c r="AQ406" s="13">
        <f t="shared" ref="AQ406:AQ469" si="279">+AB406-M406</f>
        <v>0</v>
      </c>
      <c r="AR406" s="56">
        <f t="shared" ref="AR406:AR469" si="280">+AC406-N406</f>
        <v>0</v>
      </c>
      <c r="AS406" s="51">
        <f t="shared" ref="AS406:AS469" si="281">+AD406-O406</f>
        <v>184</v>
      </c>
      <c r="AT406" s="13">
        <f t="shared" ref="AT406:AT469" si="282">+AE406-P406</f>
        <v>0</v>
      </c>
      <c r="AU406" s="56">
        <f t="shared" ref="AU406:AU469" si="283">+AF406-Q406</f>
        <v>184</v>
      </c>
      <c r="AV406" s="13">
        <f t="shared" ref="AV406:AV469" si="284">+AG406-R406</f>
        <v>2.7462686567164099</v>
      </c>
      <c r="AW406" s="13">
        <f t="shared" ref="AW406:AW469" si="285">+AH406-S406</f>
        <v>0</v>
      </c>
      <c r="AX406" s="16">
        <f t="shared" ref="AX406:AX469" si="286">+AI406-T406</f>
        <v>2.7462686567164099</v>
      </c>
    </row>
    <row r="407" spans="1:50" x14ac:dyDescent="0.25">
      <c r="A407" s="20">
        <v>4082</v>
      </c>
      <c r="B407">
        <v>7</v>
      </c>
      <c r="C407" s="23" t="s">
        <v>47</v>
      </c>
      <c r="D407" s="23">
        <v>7</v>
      </c>
      <c r="E407" s="15">
        <f>+SUMIF('GE16FEB14 Unfudged'!$A$2:$A$498, $A407, 'GE16FEB14 Unfudged'!$D$2:$D$498)</f>
        <v>600</v>
      </c>
      <c r="F407" s="15">
        <f>+SUMIF('GE16FEB14 Unfudged'!$A$2:$A$498, 'Tax Bill Summary'!$A407, 'GE16FEB14 Unfudged'!E$2:E$498)</f>
        <v>67541</v>
      </c>
      <c r="G407" s="13">
        <f>+SUMIF('GE16FEB14 Unfudged'!$A$2:$A$498, 'Tax Bill Summary'!$A407, 'GE16FEB14 Unfudged'!F$2:F$498)</f>
        <v>0</v>
      </c>
      <c r="H407" s="56">
        <f t="shared" si="254"/>
        <v>67541</v>
      </c>
      <c r="I407" s="51">
        <f>+SUMIF('GE16FEB14 Unfudged'!$A$2:$A$498, 'Tax Bill Summary'!$A407, 'GE16FEB14 Unfudged'!G$2:G$498)</f>
        <v>0</v>
      </c>
      <c r="J407" s="13">
        <f>+SUMIF('GE16FEB14 Unfudged'!$A$2:$A$498, 'Tax Bill Summary'!$A407, 'GE16FEB14 Unfudged'!H$2:H$498)</f>
        <v>0</v>
      </c>
      <c r="K407" s="56">
        <f t="shared" si="255"/>
        <v>0</v>
      </c>
      <c r="L407" s="51">
        <f>+SUMIF('GE16FEB14 Unfudged'!$A$2:$A$498, 'Tax Bill Summary'!$A407, 'GE16FEB14 Unfudged'!I$2:IF$498)</f>
        <v>0</v>
      </c>
      <c r="M407" s="13">
        <f>+SUMIF('GE16FEB14 Unfudged'!$A$2:$A$498, 'Tax Bill Summary'!$A407, 'GE16FEB14 Unfudged'!J$2:IG$498)</f>
        <v>0</v>
      </c>
      <c r="N407" s="56">
        <f t="shared" si="256"/>
        <v>0</v>
      </c>
      <c r="O407" s="51">
        <f t="shared" si="257"/>
        <v>67541</v>
      </c>
      <c r="P407" s="13">
        <f t="shared" si="258"/>
        <v>0</v>
      </c>
      <c r="Q407" s="56">
        <f t="shared" si="259"/>
        <v>67541</v>
      </c>
      <c r="R407" s="13">
        <f t="shared" si="260"/>
        <v>112.56833333333333</v>
      </c>
      <c r="S407" s="13">
        <f t="shared" si="261"/>
        <v>0</v>
      </c>
      <c r="T407" s="16">
        <f t="shared" si="262"/>
        <v>112.56833333333333</v>
      </c>
      <c r="U407" s="15">
        <f>+SUMIF('GE16FEB14 Tax Bill Unfudged'!$A$2:$A$498, 'Tax Bill Summary'!$A407, 'GE16FEB14 Tax Bill Unfudged'!E$2:E$498)</f>
        <v>69197</v>
      </c>
      <c r="V407" s="13">
        <f>+SUMIF('GE16FEB14 Tax Bill Unfudged'!$A$2:$A$498, 'Tax Bill Summary'!$A407, 'GE16FEB14 Tax Bill Unfudged'!F$2:F$498)</f>
        <v>0</v>
      </c>
      <c r="W407" s="56">
        <f t="shared" si="263"/>
        <v>69197</v>
      </c>
      <c r="X407" s="51">
        <f>+SUMIF('GE16FEB14 Tax Bill Unfudged'!$A$2:$A$498, 'Tax Bill Summary'!$A407, 'GE16FEB14 Tax Bill Unfudged'!G$2:G$498)</f>
        <v>0</v>
      </c>
      <c r="Y407" s="13">
        <f>+SUMIF('GE16FEB14 Tax Bill Unfudged'!$A$2:$A$498, 'Tax Bill Summary'!$A407, 'GE16FEB14 Tax Bill Unfudged'!H$2:H$498)</f>
        <v>0</v>
      </c>
      <c r="Z407" s="56">
        <f t="shared" si="264"/>
        <v>0</v>
      </c>
      <c r="AA407" s="51">
        <f>+SUMIF('GE16FEB14 Tax Bill Unfudged'!$A$2:$A$498, 'Tax Bill Summary'!$A407, 'GE16FEB14 Tax Bill Unfudged'!I$2:I$498)</f>
        <v>0</v>
      </c>
      <c r="AB407" s="13">
        <f>+SUMIF('GE16FEB14 Tax Bill Unfudged'!$A$2:$A$498, 'Tax Bill Summary'!$A407, 'GE16FEB14 Tax Bill Unfudged'!J$2:J$498)</f>
        <v>0</v>
      </c>
      <c r="AC407" s="56">
        <f t="shared" si="265"/>
        <v>0</v>
      </c>
      <c r="AD407" s="51">
        <f t="shared" si="266"/>
        <v>69197</v>
      </c>
      <c r="AE407" s="13">
        <f t="shared" si="267"/>
        <v>0</v>
      </c>
      <c r="AF407" s="56">
        <f t="shared" si="268"/>
        <v>69197</v>
      </c>
      <c r="AG407" s="13">
        <f t="shared" si="269"/>
        <v>115.32833333333333</v>
      </c>
      <c r="AH407" s="13">
        <f t="shared" si="270"/>
        <v>0</v>
      </c>
      <c r="AI407" s="16">
        <f t="shared" si="271"/>
        <v>115.32833333333333</v>
      </c>
      <c r="AJ407" s="15">
        <f t="shared" si="272"/>
        <v>1656</v>
      </c>
      <c r="AK407" s="13">
        <f t="shared" si="273"/>
        <v>0</v>
      </c>
      <c r="AL407" s="56">
        <f t="shared" si="274"/>
        <v>1656</v>
      </c>
      <c r="AM407" s="51">
        <f t="shared" si="275"/>
        <v>0</v>
      </c>
      <c r="AN407" s="13">
        <f t="shared" si="276"/>
        <v>0</v>
      </c>
      <c r="AO407" s="56">
        <f t="shared" si="277"/>
        <v>0</v>
      </c>
      <c r="AP407" s="51">
        <f t="shared" si="278"/>
        <v>0</v>
      </c>
      <c r="AQ407" s="13">
        <f t="shared" si="279"/>
        <v>0</v>
      </c>
      <c r="AR407" s="56">
        <f t="shared" si="280"/>
        <v>0</v>
      </c>
      <c r="AS407" s="51">
        <f t="shared" si="281"/>
        <v>1656</v>
      </c>
      <c r="AT407" s="13">
        <f t="shared" si="282"/>
        <v>0</v>
      </c>
      <c r="AU407" s="56">
        <f t="shared" si="283"/>
        <v>1656</v>
      </c>
      <c r="AV407" s="13">
        <f t="shared" si="284"/>
        <v>2.7600000000000051</v>
      </c>
      <c r="AW407" s="13">
        <f t="shared" si="285"/>
        <v>0</v>
      </c>
      <c r="AX407" s="16">
        <f t="shared" si="286"/>
        <v>2.7600000000000051</v>
      </c>
    </row>
    <row r="408" spans="1:50" x14ac:dyDescent="0.25">
      <c r="A408" s="20">
        <v>4083</v>
      </c>
      <c r="B408">
        <v>7</v>
      </c>
      <c r="C408" s="23" t="s">
        <v>48</v>
      </c>
      <c r="D408" s="23">
        <v>7</v>
      </c>
      <c r="E408" s="15">
        <f>+SUMIF('GE16FEB14 Unfudged'!$A$2:$A$498, $A408, 'GE16FEB14 Unfudged'!$D$2:$D$498)</f>
        <v>102</v>
      </c>
      <c r="F408" s="15">
        <f>+SUMIF('GE16FEB14 Unfudged'!$A$2:$A$498, 'Tax Bill Summary'!$A408, 'GE16FEB14 Unfudged'!E$2:E$498)</f>
        <v>11482</v>
      </c>
      <c r="G408" s="13">
        <f>+SUMIF('GE16FEB14 Unfudged'!$A$2:$A$498, 'Tax Bill Summary'!$A408, 'GE16FEB14 Unfudged'!F$2:F$498)</f>
        <v>0</v>
      </c>
      <c r="H408" s="56">
        <f t="shared" si="254"/>
        <v>11482</v>
      </c>
      <c r="I408" s="51">
        <f>+SUMIF('GE16FEB14 Unfudged'!$A$2:$A$498, 'Tax Bill Summary'!$A408, 'GE16FEB14 Unfudged'!G$2:G$498)</f>
        <v>0</v>
      </c>
      <c r="J408" s="13">
        <f>+SUMIF('GE16FEB14 Unfudged'!$A$2:$A$498, 'Tax Bill Summary'!$A408, 'GE16FEB14 Unfudged'!H$2:H$498)</f>
        <v>0</v>
      </c>
      <c r="K408" s="56">
        <f t="shared" si="255"/>
        <v>0</v>
      </c>
      <c r="L408" s="51">
        <f>+SUMIF('GE16FEB14 Unfudged'!$A$2:$A$498, 'Tax Bill Summary'!$A408, 'GE16FEB14 Unfudged'!I$2:IF$498)</f>
        <v>0</v>
      </c>
      <c r="M408" s="13">
        <f>+SUMIF('GE16FEB14 Unfudged'!$A$2:$A$498, 'Tax Bill Summary'!$A408, 'GE16FEB14 Unfudged'!J$2:IG$498)</f>
        <v>0</v>
      </c>
      <c r="N408" s="56">
        <f t="shared" si="256"/>
        <v>0</v>
      </c>
      <c r="O408" s="51">
        <f t="shared" si="257"/>
        <v>11482</v>
      </c>
      <c r="P408" s="13">
        <f t="shared" si="258"/>
        <v>0</v>
      </c>
      <c r="Q408" s="56">
        <f t="shared" si="259"/>
        <v>11482</v>
      </c>
      <c r="R408" s="13">
        <f t="shared" si="260"/>
        <v>112.56862745098039</v>
      </c>
      <c r="S408" s="13">
        <f t="shared" si="261"/>
        <v>0</v>
      </c>
      <c r="T408" s="16">
        <f t="shared" si="262"/>
        <v>112.56862745098039</v>
      </c>
      <c r="U408" s="15">
        <f>+SUMIF('GE16FEB14 Tax Bill Unfudged'!$A$2:$A$498, 'Tax Bill Summary'!$A408, 'GE16FEB14 Tax Bill Unfudged'!E$2:E$498)</f>
        <v>11763</v>
      </c>
      <c r="V408" s="13">
        <f>+SUMIF('GE16FEB14 Tax Bill Unfudged'!$A$2:$A$498, 'Tax Bill Summary'!$A408, 'GE16FEB14 Tax Bill Unfudged'!F$2:F$498)</f>
        <v>0</v>
      </c>
      <c r="W408" s="56">
        <f t="shared" si="263"/>
        <v>11763</v>
      </c>
      <c r="X408" s="51">
        <f>+SUMIF('GE16FEB14 Tax Bill Unfudged'!$A$2:$A$498, 'Tax Bill Summary'!$A408, 'GE16FEB14 Tax Bill Unfudged'!G$2:G$498)</f>
        <v>0</v>
      </c>
      <c r="Y408" s="13">
        <f>+SUMIF('GE16FEB14 Tax Bill Unfudged'!$A$2:$A$498, 'Tax Bill Summary'!$A408, 'GE16FEB14 Tax Bill Unfudged'!H$2:H$498)</f>
        <v>0</v>
      </c>
      <c r="Z408" s="56">
        <f t="shared" si="264"/>
        <v>0</v>
      </c>
      <c r="AA408" s="51">
        <f>+SUMIF('GE16FEB14 Tax Bill Unfudged'!$A$2:$A$498, 'Tax Bill Summary'!$A408, 'GE16FEB14 Tax Bill Unfudged'!I$2:I$498)</f>
        <v>0</v>
      </c>
      <c r="AB408" s="13">
        <f>+SUMIF('GE16FEB14 Tax Bill Unfudged'!$A$2:$A$498, 'Tax Bill Summary'!$A408, 'GE16FEB14 Tax Bill Unfudged'!J$2:J$498)</f>
        <v>0</v>
      </c>
      <c r="AC408" s="56">
        <f t="shared" si="265"/>
        <v>0</v>
      </c>
      <c r="AD408" s="51">
        <f t="shared" si="266"/>
        <v>11763</v>
      </c>
      <c r="AE408" s="13">
        <f t="shared" si="267"/>
        <v>0</v>
      </c>
      <c r="AF408" s="56">
        <f t="shared" si="268"/>
        <v>11763</v>
      </c>
      <c r="AG408" s="13">
        <f t="shared" si="269"/>
        <v>115.32352941176471</v>
      </c>
      <c r="AH408" s="13">
        <f t="shared" si="270"/>
        <v>0</v>
      </c>
      <c r="AI408" s="16">
        <f t="shared" si="271"/>
        <v>115.32352941176471</v>
      </c>
      <c r="AJ408" s="15">
        <f t="shared" si="272"/>
        <v>281</v>
      </c>
      <c r="AK408" s="13">
        <f t="shared" si="273"/>
        <v>0</v>
      </c>
      <c r="AL408" s="56">
        <f t="shared" si="274"/>
        <v>281</v>
      </c>
      <c r="AM408" s="51">
        <f t="shared" si="275"/>
        <v>0</v>
      </c>
      <c r="AN408" s="13">
        <f t="shared" si="276"/>
        <v>0</v>
      </c>
      <c r="AO408" s="56">
        <f t="shared" si="277"/>
        <v>0</v>
      </c>
      <c r="AP408" s="51">
        <f t="shared" si="278"/>
        <v>0</v>
      </c>
      <c r="AQ408" s="13">
        <f t="shared" si="279"/>
        <v>0</v>
      </c>
      <c r="AR408" s="56">
        <f t="shared" si="280"/>
        <v>0</v>
      </c>
      <c r="AS408" s="51">
        <f t="shared" si="281"/>
        <v>281</v>
      </c>
      <c r="AT408" s="13">
        <f t="shared" si="282"/>
        <v>0</v>
      </c>
      <c r="AU408" s="56">
        <f t="shared" si="283"/>
        <v>281</v>
      </c>
      <c r="AV408" s="13">
        <f t="shared" si="284"/>
        <v>2.7549019607843235</v>
      </c>
      <c r="AW408" s="13">
        <f t="shared" si="285"/>
        <v>0</v>
      </c>
      <c r="AX408" s="16">
        <f t="shared" si="286"/>
        <v>2.7549019607843235</v>
      </c>
    </row>
    <row r="409" spans="1:50" x14ac:dyDescent="0.25">
      <c r="A409" s="20">
        <v>4084</v>
      </c>
      <c r="B409">
        <v>7</v>
      </c>
      <c r="C409" s="23" t="s">
        <v>49</v>
      </c>
      <c r="D409" s="23">
        <v>7</v>
      </c>
      <c r="E409" s="15">
        <f>+SUMIF('GE16FEB14 Unfudged'!$A$2:$A$498, $A409, 'GE16FEB14 Unfudged'!$D$2:$D$498)</f>
        <v>338</v>
      </c>
      <c r="F409" s="15">
        <f>+SUMIF('GE16FEB14 Unfudged'!$A$2:$A$498, 'Tax Bill Summary'!$A409, 'GE16FEB14 Unfudged'!E$2:E$498)</f>
        <v>38003</v>
      </c>
      <c r="G409" s="13">
        <f>+SUMIF('GE16FEB14 Unfudged'!$A$2:$A$498, 'Tax Bill Summary'!$A409, 'GE16FEB14 Unfudged'!F$2:F$498)</f>
        <v>0</v>
      </c>
      <c r="H409" s="56">
        <f t="shared" si="254"/>
        <v>38003</v>
      </c>
      <c r="I409" s="51">
        <f>+SUMIF('GE16FEB14 Unfudged'!$A$2:$A$498, 'Tax Bill Summary'!$A409, 'GE16FEB14 Unfudged'!G$2:G$498)</f>
        <v>0</v>
      </c>
      <c r="J409" s="13">
        <f>+SUMIF('GE16FEB14 Unfudged'!$A$2:$A$498, 'Tax Bill Summary'!$A409, 'GE16FEB14 Unfudged'!H$2:H$498)</f>
        <v>0</v>
      </c>
      <c r="K409" s="56">
        <f t="shared" si="255"/>
        <v>0</v>
      </c>
      <c r="L409" s="51">
        <f>+SUMIF('GE16FEB14 Unfudged'!$A$2:$A$498, 'Tax Bill Summary'!$A409, 'GE16FEB14 Unfudged'!I$2:IF$498)</f>
        <v>0</v>
      </c>
      <c r="M409" s="13">
        <f>+SUMIF('GE16FEB14 Unfudged'!$A$2:$A$498, 'Tax Bill Summary'!$A409, 'GE16FEB14 Unfudged'!J$2:IG$498)</f>
        <v>0</v>
      </c>
      <c r="N409" s="56">
        <f t="shared" si="256"/>
        <v>0</v>
      </c>
      <c r="O409" s="51">
        <f t="shared" si="257"/>
        <v>38003</v>
      </c>
      <c r="P409" s="13">
        <f t="shared" si="258"/>
        <v>0</v>
      </c>
      <c r="Q409" s="56">
        <f t="shared" si="259"/>
        <v>38003</v>
      </c>
      <c r="R409" s="13">
        <f t="shared" si="260"/>
        <v>112.43491124260355</v>
      </c>
      <c r="S409" s="13">
        <f t="shared" si="261"/>
        <v>0</v>
      </c>
      <c r="T409" s="16">
        <f t="shared" si="262"/>
        <v>112.43491124260355</v>
      </c>
      <c r="U409" s="15">
        <f>+SUMIF('GE16FEB14 Tax Bill Unfudged'!$A$2:$A$498, 'Tax Bill Summary'!$A409, 'GE16FEB14 Tax Bill Unfudged'!E$2:E$498)</f>
        <v>38935</v>
      </c>
      <c r="V409" s="13">
        <f>+SUMIF('GE16FEB14 Tax Bill Unfudged'!$A$2:$A$498, 'Tax Bill Summary'!$A409, 'GE16FEB14 Tax Bill Unfudged'!F$2:F$498)</f>
        <v>0</v>
      </c>
      <c r="W409" s="56">
        <f t="shared" si="263"/>
        <v>38935</v>
      </c>
      <c r="X409" s="51">
        <f>+SUMIF('GE16FEB14 Tax Bill Unfudged'!$A$2:$A$498, 'Tax Bill Summary'!$A409, 'GE16FEB14 Tax Bill Unfudged'!G$2:G$498)</f>
        <v>0</v>
      </c>
      <c r="Y409" s="13">
        <f>+SUMIF('GE16FEB14 Tax Bill Unfudged'!$A$2:$A$498, 'Tax Bill Summary'!$A409, 'GE16FEB14 Tax Bill Unfudged'!H$2:H$498)</f>
        <v>0</v>
      </c>
      <c r="Z409" s="56">
        <f t="shared" si="264"/>
        <v>0</v>
      </c>
      <c r="AA409" s="51">
        <f>+SUMIF('GE16FEB14 Tax Bill Unfudged'!$A$2:$A$498, 'Tax Bill Summary'!$A409, 'GE16FEB14 Tax Bill Unfudged'!I$2:I$498)</f>
        <v>0</v>
      </c>
      <c r="AB409" s="13">
        <f>+SUMIF('GE16FEB14 Tax Bill Unfudged'!$A$2:$A$498, 'Tax Bill Summary'!$A409, 'GE16FEB14 Tax Bill Unfudged'!J$2:J$498)</f>
        <v>0</v>
      </c>
      <c r="AC409" s="56">
        <f t="shared" si="265"/>
        <v>0</v>
      </c>
      <c r="AD409" s="51">
        <f t="shared" si="266"/>
        <v>38935</v>
      </c>
      <c r="AE409" s="13">
        <f t="shared" si="267"/>
        <v>0</v>
      </c>
      <c r="AF409" s="56">
        <f t="shared" si="268"/>
        <v>38935</v>
      </c>
      <c r="AG409" s="13">
        <f t="shared" si="269"/>
        <v>115.19230769230769</v>
      </c>
      <c r="AH409" s="13">
        <f t="shared" si="270"/>
        <v>0</v>
      </c>
      <c r="AI409" s="16">
        <f t="shared" si="271"/>
        <v>115.19230769230769</v>
      </c>
      <c r="AJ409" s="15">
        <f t="shared" si="272"/>
        <v>932</v>
      </c>
      <c r="AK409" s="13">
        <f t="shared" si="273"/>
        <v>0</v>
      </c>
      <c r="AL409" s="56">
        <f t="shared" si="274"/>
        <v>932</v>
      </c>
      <c r="AM409" s="51">
        <f t="shared" si="275"/>
        <v>0</v>
      </c>
      <c r="AN409" s="13">
        <f t="shared" si="276"/>
        <v>0</v>
      </c>
      <c r="AO409" s="56">
        <f t="shared" si="277"/>
        <v>0</v>
      </c>
      <c r="AP409" s="51">
        <f t="shared" si="278"/>
        <v>0</v>
      </c>
      <c r="AQ409" s="13">
        <f t="shared" si="279"/>
        <v>0</v>
      </c>
      <c r="AR409" s="56">
        <f t="shared" si="280"/>
        <v>0</v>
      </c>
      <c r="AS409" s="51">
        <f t="shared" si="281"/>
        <v>932</v>
      </c>
      <c r="AT409" s="13">
        <f t="shared" si="282"/>
        <v>0</v>
      </c>
      <c r="AU409" s="56">
        <f t="shared" si="283"/>
        <v>932</v>
      </c>
      <c r="AV409" s="13">
        <f t="shared" si="284"/>
        <v>2.7573964497041459</v>
      </c>
      <c r="AW409" s="13">
        <f t="shared" si="285"/>
        <v>0</v>
      </c>
      <c r="AX409" s="16">
        <f t="shared" si="286"/>
        <v>2.7573964497041459</v>
      </c>
    </row>
    <row r="410" spans="1:50" x14ac:dyDescent="0.25">
      <c r="A410" s="20">
        <v>4085</v>
      </c>
      <c r="B410">
        <v>7</v>
      </c>
      <c r="C410" s="23" t="s">
        <v>489</v>
      </c>
      <c r="D410" s="23">
        <v>7</v>
      </c>
      <c r="E410" s="15">
        <f>+SUMIF('GE16FEB14 Unfudged'!$A$2:$A$498, $A410, 'GE16FEB14 Unfudged'!$D$2:$D$498)</f>
        <v>216</v>
      </c>
      <c r="F410" s="15">
        <f>+SUMIF('GE16FEB14 Unfudged'!$A$2:$A$498, 'Tax Bill Summary'!$A410, 'GE16FEB14 Unfudged'!E$2:E$498)</f>
        <v>24315</v>
      </c>
      <c r="G410" s="13">
        <f>+SUMIF('GE16FEB14 Unfudged'!$A$2:$A$498, 'Tax Bill Summary'!$A410, 'GE16FEB14 Unfudged'!F$2:F$498)</f>
        <v>0</v>
      </c>
      <c r="H410" s="56">
        <f t="shared" si="254"/>
        <v>24315</v>
      </c>
      <c r="I410" s="51">
        <f>+SUMIF('GE16FEB14 Unfudged'!$A$2:$A$498, 'Tax Bill Summary'!$A410, 'GE16FEB14 Unfudged'!G$2:G$498)</f>
        <v>0</v>
      </c>
      <c r="J410" s="13">
        <f>+SUMIF('GE16FEB14 Unfudged'!$A$2:$A$498, 'Tax Bill Summary'!$A410, 'GE16FEB14 Unfudged'!H$2:H$498)</f>
        <v>0</v>
      </c>
      <c r="K410" s="56">
        <f t="shared" si="255"/>
        <v>0</v>
      </c>
      <c r="L410" s="51">
        <f>+SUMIF('GE16FEB14 Unfudged'!$A$2:$A$498, 'Tax Bill Summary'!$A410, 'GE16FEB14 Unfudged'!I$2:IF$498)</f>
        <v>0</v>
      </c>
      <c r="M410" s="13">
        <f>+SUMIF('GE16FEB14 Unfudged'!$A$2:$A$498, 'Tax Bill Summary'!$A410, 'GE16FEB14 Unfudged'!J$2:IG$498)</f>
        <v>0</v>
      </c>
      <c r="N410" s="56">
        <f t="shared" si="256"/>
        <v>0</v>
      </c>
      <c r="O410" s="51">
        <f t="shared" si="257"/>
        <v>24315</v>
      </c>
      <c r="P410" s="13">
        <f t="shared" si="258"/>
        <v>0</v>
      </c>
      <c r="Q410" s="56">
        <f t="shared" si="259"/>
        <v>24315</v>
      </c>
      <c r="R410" s="13">
        <f t="shared" si="260"/>
        <v>112.56944444444444</v>
      </c>
      <c r="S410" s="13">
        <f t="shared" si="261"/>
        <v>0</v>
      </c>
      <c r="T410" s="16">
        <f t="shared" si="262"/>
        <v>112.56944444444444</v>
      </c>
      <c r="U410" s="15">
        <f>+SUMIF('GE16FEB14 Tax Bill Unfudged'!$A$2:$A$498, 'Tax Bill Summary'!$A410, 'GE16FEB14 Tax Bill Unfudged'!E$2:E$498)</f>
        <v>24911</v>
      </c>
      <c r="V410" s="13">
        <f>+SUMIF('GE16FEB14 Tax Bill Unfudged'!$A$2:$A$498, 'Tax Bill Summary'!$A410, 'GE16FEB14 Tax Bill Unfudged'!F$2:F$498)</f>
        <v>0</v>
      </c>
      <c r="W410" s="56">
        <f t="shared" si="263"/>
        <v>24911</v>
      </c>
      <c r="X410" s="51">
        <f>+SUMIF('GE16FEB14 Tax Bill Unfudged'!$A$2:$A$498, 'Tax Bill Summary'!$A410, 'GE16FEB14 Tax Bill Unfudged'!G$2:G$498)</f>
        <v>0</v>
      </c>
      <c r="Y410" s="13">
        <f>+SUMIF('GE16FEB14 Tax Bill Unfudged'!$A$2:$A$498, 'Tax Bill Summary'!$A410, 'GE16FEB14 Tax Bill Unfudged'!H$2:H$498)</f>
        <v>0</v>
      </c>
      <c r="Z410" s="56">
        <f t="shared" si="264"/>
        <v>0</v>
      </c>
      <c r="AA410" s="51">
        <f>+SUMIF('GE16FEB14 Tax Bill Unfudged'!$A$2:$A$498, 'Tax Bill Summary'!$A410, 'GE16FEB14 Tax Bill Unfudged'!I$2:I$498)</f>
        <v>0</v>
      </c>
      <c r="AB410" s="13">
        <f>+SUMIF('GE16FEB14 Tax Bill Unfudged'!$A$2:$A$498, 'Tax Bill Summary'!$A410, 'GE16FEB14 Tax Bill Unfudged'!J$2:J$498)</f>
        <v>0</v>
      </c>
      <c r="AC410" s="56">
        <f t="shared" si="265"/>
        <v>0</v>
      </c>
      <c r="AD410" s="51">
        <f t="shared" si="266"/>
        <v>24911</v>
      </c>
      <c r="AE410" s="13">
        <f t="shared" si="267"/>
        <v>0</v>
      </c>
      <c r="AF410" s="56">
        <f t="shared" si="268"/>
        <v>24911</v>
      </c>
      <c r="AG410" s="13">
        <f t="shared" si="269"/>
        <v>115.32870370370371</v>
      </c>
      <c r="AH410" s="13">
        <f t="shared" si="270"/>
        <v>0</v>
      </c>
      <c r="AI410" s="16">
        <f t="shared" si="271"/>
        <v>115.32870370370371</v>
      </c>
      <c r="AJ410" s="15">
        <f t="shared" si="272"/>
        <v>596</v>
      </c>
      <c r="AK410" s="13">
        <f t="shared" si="273"/>
        <v>0</v>
      </c>
      <c r="AL410" s="56">
        <f t="shared" si="274"/>
        <v>596</v>
      </c>
      <c r="AM410" s="51">
        <f t="shared" si="275"/>
        <v>0</v>
      </c>
      <c r="AN410" s="13">
        <f t="shared" si="276"/>
        <v>0</v>
      </c>
      <c r="AO410" s="56">
        <f t="shared" si="277"/>
        <v>0</v>
      </c>
      <c r="AP410" s="51">
        <f t="shared" si="278"/>
        <v>0</v>
      </c>
      <c r="AQ410" s="13">
        <f t="shared" si="279"/>
        <v>0</v>
      </c>
      <c r="AR410" s="56">
        <f t="shared" si="280"/>
        <v>0</v>
      </c>
      <c r="AS410" s="51">
        <f t="shared" si="281"/>
        <v>596</v>
      </c>
      <c r="AT410" s="13">
        <f t="shared" si="282"/>
        <v>0</v>
      </c>
      <c r="AU410" s="56">
        <f t="shared" si="283"/>
        <v>596</v>
      </c>
      <c r="AV410" s="13">
        <f t="shared" si="284"/>
        <v>2.7592592592592666</v>
      </c>
      <c r="AW410" s="13">
        <f t="shared" si="285"/>
        <v>0</v>
      </c>
      <c r="AX410" s="16">
        <f t="shared" si="286"/>
        <v>2.7592592592592666</v>
      </c>
    </row>
    <row r="411" spans="1:50" x14ac:dyDescent="0.25">
      <c r="A411" s="20">
        <v>4086</v>
      </c>
      <c r="B411">
        <v>7</v>
      </c>
      <c r="C411" s="23" t="s">
        <v>490</v>
      </c>
      <c r="D411" s="23">
        <v>7</v>
      </c>
      <c r="E411" s="15">
        <f>+SUMIF('GE16FEB14 Unfudged'!$A$2:$A$498, $A411, 'GE16FEB14 Unfudged'!$D$2:$D$498)</f>
        <v>365</v>
      </c>
      <c r="F411" s="15">
        <f>+SUMIF('GE16FEB14 Unfudged'!$A$2:$A$498, 'Tax Bill Summary'!$A411, 'GE16FEB14 Unfudged'!E$2:E$498)</f>
        <v>41065</v>
      </c>
      <c r="G411" s="13">
        <f>+SUMIF('GE16FEB14 Unfudged'!$A$2:$A$498, 'Tax Bill Summary'!$A411, 'GE16FEB14 Unfudged'!F$2:F$498)</f>
        <v>0</v>
      </c>
      <c r="H411" s="56">
        <f t="shared" si="254"/>
        <v>41065</v>
      </c>
      <c r="I411" s="51">
        <f>+SUMIF('GE16FEB14 Unfudged'!$A$2:$A$498, 'Tax Bill Summary'!$A411, 'GE16FEB14 Unfudged'!G$2:G$498)</f>
        <v>0</v>
      </c>
      <c r="J411" s="13">
        <f>+SUMIF('GE16FEB14 Unfudged'!$A$2:$A$498, 'Tax Bill Summary'!$A411, 'GE16FEB14 Unfudged'!H$2:H$498)</f>
        <v>0</v>
      </c>
      <c r="K411" s="56">
        <f t="shared" si="255"/>
        <v>0</v>
      </c>
      <c r="L411" s="51">
        <f>+SUMIF('GE16FEB14 Unfudged'!$A$2:$A$498, 'Tax Bill Summary'!$A411, 'GE16FEB14 Unfudged'!I$2:IF$498)</f>
        <v>0</v>
      </c>
      <c r="M411" s="13">
        <f>+SUMIF('GE16FEB14 Unfudged'!$A$2:$A$498, 'Tax Bill Summary'!$A411, 'GE16FEB14 Unfudged'!J$2:IG$498)</f>
        <v>0</v>
      </c>
      <c r="N411" s="56">
        <f t="shared" si="256"/>
        <v>0</v>
      </c>
      <c r="O411" s="51">
        <f t="shared" si="257"/>
        <v>41065</v>
      </c>
      <c r="P411" s="13">
        <f t="shared" si="258"/>
        <v>0</v>
      </c>
      <c r="Q411" s="56">
        <f t="shared" si="259"/>
        <v>41065</v>
      </c>
      <c r="R411" s="13">
        <f t="shared" si="260"/>
        <v>112.50684931506849</v>
      </c>
      <c r="S411" s="13">
        <f t="shared" si="261"/>
        <v>0</v>
      </c>
      <c r="T411" s="16">
        <f t="shared" si="262"/>
        <v>112.50684931506849</v>
      </c>
      <c r="U411" s="15">
        <f>+SUMIF('GE16FEB14 Tax Bill Unfudged'!$A$2:$A$498, 'Tax Bill Summary'!$A411, 'GE16FEB14 Tax Bill Unfudged'!E$2:E$498)</f>
        <v>42072</v>
      </c>
      <c r="V411" s="13">
        <f>+SUMIF('GE16FEB14 Tax Bill Unfudged'!$A$2:$A$498, 'Tax Bill Summary'!$A411, 'GE16FEB14 Tax Bill Unfudged'!F$2:F$498)</f>
        <v>0</v>
      </c>
      <c r="W411" s="56">
        <f t="shared" si="263"/>
        <v>42072</v>
      </c>
      <c r="X411" s="51">
        <f>+SUMIF('GE16FEB14 Tax Bill Unfudged'!$A$2:$A$498, 'Tax Bill Summary'!$A411, 'GE16FEB14 Tax Bill Unfudged'!G$2:G$498)</f>
        <v>0</v>
      </c>
      <c r="Y411" s="13">
        <f>+SUMIF('GE16FEB14 Tax Bill Unfudged'!$A$2:$A$498, 'Tax Bill Summary'!$A411, 'GE16FEB14 Tax Bill Unfudged'!H$2:H$498)</f>
        <v>0</v>
      </c>
      <c r="Z411" s="56">
        <f t="shared" si="264"/>
        <v>0</v>
      </c>
      <c r="AA411" s="51">
        <f>+SUMIF('GE16FEB14 Tax Bill Unfudged'!$A$2:$A$498, 'Tax Bill Summary'!$A411, 'GE16FEB14 Tax Bill Unfudged'!I$2:I$498)</f>
        <v>0</v>
      </c>
      <c r="AB411" s="13">
        <f>+SUMIF('GE16FEB14 Tax Bill Unfudged'!$A$2:$A$498, 'Tax Bill Summary'!$A411, 'GE16FEB14 Tax Bill Unfudged'!J$2:J$498)</f>
        <v>0</v>
      </c>
      <c r="AC411" s="56">
        <f t="shared" si="265"/>
        <v>0</v>
      </c>
      <c r="AD411" s="51">
        <f t="shared" si="266"/>
        <v>42072</v>
      </c>
      <c r="AE411" s="13">
        <f t="shared" si="267"/>
        <v>0</v>
      </c>
      <c r="AF411" s="56">
        <f t="shared" si="268"/>
        <v>42072</v>
      </c>
      <c r="AG411" s="13">
        <f t="shared" si="269"/>
        <v>115.26575342465753</v>
      </c>
      <c r="AH411" s="13">
        <f t="shared" si="270"/>
        <v>0</v>
      </c>
      <c r="AI411" s="16">
        <f t="shared" si="271"/>
        <v>115.26575342465753</v>
      </c>
      <c r="AJ411" s="15">
        <f t="shared" si="272"/>
        <v>1007</v>
      </c>
      <c r="AK411" s="13">
        <f t="shared" si="273"/>
        <v>0</v>
      </c>
      <c r="AL411" s="56">
        <f t="shared" si="274"/>
        <v>1007</v>
      </c>
      <c r="AM411" s="51">
        <f t="shared" si="275"/>
        <v>0</v>
      </c>
      <c r="AN411" s="13">
        <f t="shared" si="276"/>
        <v>0</v>
      </c>
      <c r="AO411" s="56">
        <f t="shared" si="277"/>
        <v>0</v>
      </c>
      <c r="AP411" s="51">
        <f t="shared" si="278"/>
        <v>0</v>
      </c>
      <c r="AQ411" s="13">
        <f t="shared" si="279"/>
        <v>0</v>
      </c>
      <c r="AR411" s="56">
        <f t="shared" si="280"/>
        <v>0</v>
      </c>
      <c r="AS411" s="51">
        <f t="shared" si="281"/>
        <v>1007</v>
      </c>
      <c r="AT411" s="13">
        <f t="shared" si="282"/>
        <v>0</v>
      </c>
      <c r="AU411" s="56">
        <f t="shared" si="283"/>
        <v>1007</v>
      </c>
      <c r="AV411" s="13">
        <f t="shared" si="284"/>
        <v>2.7589041095890394</v>
      </c>
      <c r="AW411" s="13">
        <f t="shared" si="285"/>
        <v>0</v>
      </c>
      <c r="AX411" s="16">
        <f t="shared" si="286"/>
        <v>2.7589041095890394</v>
      </c>
    </row>
    <row r="412" spans="1:50" x14ac:dyDescent="0.25">
      <c r="A412" s="20">
        <v>4087</v>
      </c>
      <c r="B412">
        <v>7</v>
      </c>
      <c r="C412" s="23" t="s">
        <v>50</v>
      </c>
      <c r="D412" s="23">
        <v>7</v>
      </c>
      <c r="E412" s="15">
        <f>+SUMIF('GE16FEB14 Unfudged'!$A$2:$A$498, $A412, 'GE16FEB14 Unfudged'!$D$2:$D$498)</f>
        <v>98</v>
      </c>
      <c r="F412" s="15">
        <f>+SUMIF('GE16FEB14 Unfudged'!$A$2:$A$498, 'Tax Bill Summary'!$A412, 'GE16FEB14 Unfudged'!E$2:E$498)</f>
        <v>11077</v>
      </c>
      <c r="G412" s="13">
        <f>+SUMIF('GE16FEB14 Unfudged'!$A$2:$A$498, 'Tax Bill Summary'!$A412, 'GE16FEB14 Unfudged'!F$2:F$498)</f>
        <v>0</v>
      </c>
      <c r="H412" s="56">
        <f t="shared" si="254"/>
        <v>11077</v>
      </c>
      <c r="I412" s="51">
        <f>+SUMIF('GE16FEB14 Unfudged'!$A$2:$A$498, 'Tax Bill Summary'!$A412, 'GE16FEB14 Unfudged'!G$2:G$498)</f>
        <v>0</v>
      </c>
      <c r="J412" s="13">
        <f>+SUMIF('GE16FEB14 Unfudged'!$A$2:$A$498, 'Tax Bill Summary'!$A412, 'GE16FEB14 Unfudged'!H$2:H$498)</f>
        <v>0</v>
      </c>
      <c r="K412" s="56">
        <f t="shared" si="255"/>
        <v>0</v>
      </c>
      <c r="L412" s="51">
        <f>+SUMIF('GE16FEB14 Unfudged'!$A$2:$A$498, 'Tax Bill Summary'!$A412, 'GE16FEB14 Unfudged'!I$2:IF$498)</f>
        <v>0</v>
      </c>
      <c r="M412" s="13">
        <f>+SUMIF('GE16FEB14 Unfudged'!$A$2:$A$498, 'Tax Bill Summary'!$A412, 'GE16FEB14 Unfudged'!J$2:IG$498)</f>
        <v>0</v>
      </c>
      <c r="N412" s="56">
        <f t="shared" si="256"/>
        <v>0</v>
      </c>
      <c r="O412" s="51">
        <f t="shared" si="257"/>
        <v>11077</v>
      </c>
      <c r="P412" s="13">
        <f t="shared" si="258"/>
        <v>0</v>
      </c>
      <c r="Q412" s="56">
        <f t="shared" si="259"/>
        <v>11077</v>
      </c>
      <c r="R412" s="13">
        <f t="shared" si="260"/>
        <v>113.03061224489795</v>
      </c>
      <c r="S412" s="13">
        <f t="shared" si="261"/>
        <v>0</v>
      </c>
      <c r="T412" s="16">
        <f t="shared" si="262"/>
        <v>113.03061224489795</v>
      </c>
      <c r="U412" s="15">
        <f>+SUMIF('GE16FEB14 Tax Bill Unfudged'!$A$2:$A$498, 'Tax Bill Summary'!$A412, 'GE16FEB14 Tax Bill Unfudged'!E$2:E$498)</f>
        <v>11348</v>
      </c>
      <c r="V412" s="13">
        <f>+SUMIF('GE16FEB14 Tax Bill Unfudged'!$A$2:$A$498, 'Tax Bill Summary'!$A412, 'GE16FEB14 Tax Bill Unfudged'!F$2:F$498)</f>
        <v>0</v>
      </c>
      <c r="W412" s="56">
        <f t="shared" si="263"/>
        <v>11348</v>
      </c>
      <c r="X412" s="51">
        <f>+SUMIF('GE16FEB14 Tax Bill Unfudged'!$A$2:$A$498, 'Tax Bill Summary'!$A412, 'GE16FEB14 Tax Bill Unfudged'!G$2:G$498)</f>
        <v>0</v>
      </c>
      <c r="Y412" s="13">
        <f>+SUMIF('GE16FEB14 Tax Bill Unfudged'!$A$2:$A$498, 'Tax Bill Summary'!$A412, 'GE16FEB14 Tax Bill Unfudged'!H$2:H$498)</f>
        <v>0</v>
      </c>
      <c r="Z412" s="56">
        <f t="shared" si="264"/>
        <v>0</v>
      </c>
      <c r="AA412" s="51">
        <f>+SUMIF('GE16FEB14 Tax Bill Unfudged'!$A$2:$A$498, 'Tax Bill Summary'!$A412, 'GE16FEB14 Tax Bill Unfudged'!I$2:I$498)</f>
        <v>0</v>
      </c>
      <c r="AB412" s="13">
        <f>+SUMIF('GE16FEB14 Tax Bill Unfudged'!$A$2:$A$498, 'Tax Bill Summary'!$A412, 'GE16FEB14 Tax Bill Unfudged'!J$2:J$498)</f>
        <v>0</v>
      </c>
      <c r="AC412" s="56">
        <f t="shared" si="265"/>
        <v>0</v>
      </c>
      <c r="AD412" s="51">
        <f t="shared" si="266"/>
        <v>11348</v>
      </c>
      <c r="AE412" s="13">
        <f t="shared" si="267"/>
        <v>0</v>
      </c>
      <c r="AF412" s="56">
        <f t="shared" si="268"/>
        <v>11348</v>
      </c>
      <c r="AG412" s="13">
        <f t="shared" si="269"/>
        <v>115.79591836734694</v>
      </c>
      <c r="AH412" s="13">
        <f t="shared" si="270"/>
        <v>0</v>
      </c>
      <c r="AI412" s="16">
        <f t="shared" si="271"/>
        <v>115.79591836734694</v>
      </c>
      <c r="AJ412" s="15">
        <f t="shared" si="272"/>
        <v>271</v>
      </c>
      <c r="AK412" s="13">
        <f t="shared" si="273"/>
        <v>0</v>
      </c>
      <c r="AL412" s="56">
        <f t="shared" si="274"/>
        <v>271</v>
      </c>
      <c r="AM412" s="51">
        <f t="shared" si="275"/>
        <v>0</v>
      </c>
      <c r="AN412" s="13">
        <f t="shared" si="276"/>
        <v>0</v>
      </c>
      <c r="AO412" s="56">
        <f t="shared" si="277"/>
        <v>0</v>
      </c>
      <c r="AP412" s="51">
        <f t="shared" si="278"/>
        <v>0</v>
      </c>
      <c r="AQ412" s="13">
        <f t="shared" si="279"/>
        <v>0</v>
      </c>
      <c r="AR412" s="56">
        <f t="shared" si="280"/>
        <v>0</v>
      </c>
      <c r="AS412" s="51">
        <f t="shared" si="281"/>
        <v>271</v>
      </c>
      <c r="AT412" s="13">
        <f t="shared" si="282"/>
        <v>0</v>
      </c>
      <c r="AU412" s="56">
        <f t="shared" si="283"/>
        <v>271</v>
      </c>
      <c r="AV412" s="13">
        <f t="shared" si="284"/>
        <v>2.7653061224489903</v>
      </c>
      <c r="AW412" s="13">
        <f t="shared" si="285"/>
        <v>0</v>
      </c>
      <c r="AX412" s="16">
        <f t="shared" si="286"/>
        <v>2.7653061224489903</v>
      </c>
    </row>
    <row r="413" spans="1:50" x14ac:dyDescent="0.25">
      <c r="A413" s="20">
        <v>4088</v>
      </c>
      <c r="B413">
        <v>7</v>
      </c>
      <c r="C413" s="23" t="s">
        <v>51</v>
      </c>
      <c r="D413" s="23">
        <v>7</v>
      </c>
      <c r="E413" s="15">
        <f>+SUMIF('GE16FEB14 Unfudged'!$A$2:$A$498, $A413, 'GE16FEB14 Unfudged'!$D$2:$D$498)</f>
        <v>311</v>
      </c>
      <c r="F413" s="15">
        <f>+SUMIF('GE16FEB14 Unfudged'!$A$2:$A$498, 'Tax Bill Summary'!$A413, 'GE16FEB14 Unfudged'!E$2:E$498)</f>
        <v>35009</v>
      </c>
      <c r="G413" s="13">
        <f>+SUMIF('GE16FEB14 Unfudged'!$A$2:$A$498, 'Tax Bill Summary'!$A413, 'GE16FEB14 Unfudged'!F$2:F$498)</f>
        <v>0</v>
      </c>
      <c r="H413" s="56">
        <f t="shared" si="254"/>
        <v>35009</v>
      </c>
      <c r="I413" s="51">
        <f>+SUMIF('GE16FEB14 Unfudged'!$A$2:$A$498, 'Tax Bill Summary'!$A413, 'GE16FEB14 Unfudged'!G$2:G$498)</f>
        <v>0</v>
      </c>
      <c r="J413" s="13">
        <f>+SUMIF('GE16FEB14 Unfudged'!$A$2:$A$498, 'Tax Bill Summary'!$A413, 'GE16FEB14 Unfudged'!H$2:H$498)</f>
        <v>0</v>
      </c>
      <c r="K413" s="56">
        <f t="shared" si="255"/>
        <v>0</v>
      </c>
      <c r="L413" s="51">
        <f>+SUMIF('GE16FEB14 Unfudged'!$A$2:$A$498, 'Tax Bill Summary'!$A413, 'GE16FEB14 Unfudged'!I$2:IF$498)</f>
        <v>0</v>
      </c>
      <c r="M413" s="13">
        <f>+SUMIF('GE16FEB14 Unfudged'!$A$2:$A$498, 'Tax Bill Summary'!$A413, 'GE16FEB14 Unfudged'!J$2:IG$498)</f>
        <v>0</v>
      </c>
      <c r="N413" s="56">
        <f t="shared" si="256"/>
        <v>0</v>
      </c>
      <c r="O413" s="51">
        <f t="shared" si="257"/>
        <v>35009</v>
      </c>
      <c r="P413" s="13">
        <f t="shared" si="258"/>
        <v>0</v>
      </c>
      <c r="Q413" s="56">
        <f t="shared" si="259"/>
        <v>35009</v>
      </c>
      <c r="R413" s="13">
        <f t="shared" si="260"/>
        <v>112.56913183279742</v>
      </c>
      <c r="S413" s="13">
        <f t="shared" si="261"/>
        <v>0</v>
      </c>
      <c r="T413" s="16">
        <f t="shared" si="262"/>
        <v>112.56913183279742</v>
      </c>
      <c r="U413" s="15">
        <f>+SUMIF('GE16FEB14 Tax Bill Unfudged'!$A$2:$A$498, 'Tax Bill Summary'!$A413, 'GE16FEB14 Tax Bill Unfudged'!E$2:E$498)</f>
        <v>35867</v>
      </c>
      <c r="V413" s="13">
        <f>+SUMIF('GE16FEB14 Tax Bill Unfudged'!$A$2:$A$498, 'Tax Bill Summary'!$A413, 'GE16FEB14 Tax Bill Unfudged'!F$2:F$498)</f>
        <v>0</v>
      </c>
      <c r="W413" s="56">
        <f t="shared" si="263"/>
        <v>35867</v>
      </c>
      <c r="X413" s="51">
        <f>+SUMIF('GE16FEB14 Tax Bill Unfudged'!$A$2:$A$498, 'Tax Bill Summary'!$A413, 'GE16FEB14 Tax Bill Unfudged'!G$2:G$498)</f>
        <v>0</v>
      </c>
      <c r="Y413" s="13">
        <f>+SUMIF('GE16FEB14 Tax Bill Unfudged'!$A$2:$A$498, 'Tax Bill Summary'!$A413, 'GE16FEB14 Tax Bill Unfudged'!H$2:H$498)</f>
        <v>0</v>
      </c>
      <c r="Z413" s="56">
        <f t="shared" si="264"/>
        <v>0</v>
      </c>
      <c r="AA413" s="51">
        <f>+SUMIF('GE16FEB14 Tax Bill Unfudged'!$A$2:$A$498, 'Tax Bill Summary'!$A413, 'GE16FEB14 Tax Bill Unfudged'!I$2:I$498)</f>
        <v>0</v>
      </c>
      <c r="AB413" s="13">
        <f>+SUMIF('GE16FEB14 Tax Bill Unfudged'!$A$2:$A$498, 'Tax Bill Summary'!$A413, 'GE16FEB14 Tax Bill Unfudged'!J$2:J$498)</f>
        <v>0</v>
      </c>
      <c r="AC413" s="56">
        <f t="shared" si="265"/>
        <v>0</v>
      </c>
      <c r="AD413" s="51">
        <f t="shared" si="266"/>
        <v>35867</v>
      </c>
      <c r="AE413" s="13">
        <f t="shared" si="267"/>
        <v>0</v>
      </c>
      <c r="AF413" s="56">
        <f t="shared" si="268"/>
        <v>35867</v>
      </c>
      <c r="AG413" s="13">
        <f t="shared" si="269"/>
        <v>115.32797427652733</v>
      </c>
      <c r="AH413" s="13">
        <f t="shared" si="270"/>
        <v>0</v>
      </c>
      <c r="AI413" s="16">
        <f t="shared" si="271"/>
        <v>115.32797427652733</v>
      </c>
      <c r="AJ413" s="15">
        <f t="shared" si="272"/>
        <v>858</v>
      </c>
      <c r="AK413" s="13">
        <f t="shared" si="273"/>
        <v>0</v>
      </c>
      <c r="AL413" s="56">
        <f t="shared" si="274"/>
        <v>858</v>
      </c>
      <c r="AM413" s="51">
        <f t="shared" si="275"/>
        <v>0</v>
      </c>
      <c r="AN413" s="13">
        <f t="shared" si="276"/>
        <v>0</v>
      </c>
      <c r="AO413" s="56">
        <f t="shared" si="277"/>
        <v>0</v>
      </c>
      <c r="AP413" s="51">
        <f t="shared" si="278"/>
        <v>0</v>
      </c>
      <c r="AQ413" s="13">
        <f t="shared" si="279"/>
        <v>0</v>
      </c>
      <c r="AR413" s="56">
        <f t="shared" si="280"/>
        <v>0</v>
      </c>
      <c r="AS413" s="51">
        <f t="shared" si="281"/>
        <v>858</v>
      </c>
      <c r="AT413" s="13">
        <f t="shared" si="282"/>
        <v>0</v>
      </c>
      <c r="AU413" s="56">
        <f t="shared" si="283"/>
        <v>858</v>
      </c>
      <c r="AV413" s="13">
        <f t="shared" si="284"/>
        <v>2.7588424437299039</v>
      </c>
      <c r="AW413" s="13">
        <f t="shared" si="285"/>
        <v>0</v>
      </c>
      <c r="AX413" s="16">
        <f t="shared" si="286"/>
        <v>2.7588424437299039</v>
      </c>
    </row>
    <row r="414" spans="1:50" x14ac:dyDescent="0.25">
      <c r="A414" s="20">
        <v>4089</v>
      </c>
      <c r="B414">
        <v>7</v>
      </c>
      <c r="C414" s="23" t="s">
        <v>52</v>
      </c>
      <c r="D414" s="23">
        <v>7</v>
      </c>
      <c r="E414" s="15">
        <f>+SUMIF('GE16FEB14 Unfudged'!$A$2:$A$498, $A414, 'GE16FEB14 Unfudged'!$D$2:$D$498)</f>
        <v>225</v>
      </c>
      <c r="F414" s="15">
        <f>+SUMIF('GE16FEB14 Unfudged'!$A$2:$A$498, 'Tax Bill Summary'!$A414, 'GE16FEB14 Unfudged'!E$2:E$498)</f>
        <v>25328</v>
      </c>
      <c r="G414" s="13">
        <f>+SUMIF('GE16FEB14 Unfudged'!$A$2:$A$498, 'Tax Bill Summary'!$A414, 'GE16FEB14 Unfudged'!F$2:F$498)</f>
        <v>0</v>
      </c>
      <c r="H414" s="56">
        <f t="shared" si="254"/>
        <v>25328</v>
      </c>
      <c r="I414" s="51">
        <f>+SUMIF('GE16FEB14 Unfudged'!$A$2:$A$498, 'Tax Bill Summary'!$A414, 'GE16FEB14 Unfudged'!G$2:G$498)</f>
        <v>0</v>
      </c>
      <c r="J414" s="13">
        <f>+SUMIF('GE16FEB14 Unfudged'!$A$2:$A$498, 'Tax Bill Summary'!$A414, 'GE16FEB14 Unfudged'!H$2:H$498)</f>
        <v>0</v>
      </c>
      <c r="K414" s="56">
        <f t="shared" si="255"/>
        <v>0</v>
      </c>
      <c r="L414" s="51">
        <f>+SUMIF('GE16FEB14 Unfudged'!$A$2:$A$498, 'Tax Bill Summary'!$A414, 'GE16FEB14 Unfudged'!I$2:IF$498)</f>
        <v>0</v>
      </c>
      <c r="M414" s="13">
        <f>+SUMIF('GE16FEB14 Unfudged'!$A$2:$A$498, 'Tax Bill Summary'!$A414, 'GE16FEB14 Unfudged'!J$2:IG$498)</f>
        <v>0</v>
      </c>
      <c r="N414" s="56">
        <f t="shared" si="256"/>
        <v>0</v>
      </c>
      <c r="O414" s="51">
        <f t="shared" si="257"/>
        <v>25328</v>
      </c>
      <c r="P414" s="13">
        <f t="shared" si="258"/>
        <v>0</v>
      </c>
      <c r="Q414" s="56">
        <f t="shared" si="259"/>
        <v>25328</v>
      </c>
      <c r="R414" s="13">
        <f t="shared" si="260"/>
        <v>112.56888888888889</v>
      </c>
      <c r="S414" s="13">
        <f t="shared" si="261"/>
        <v>0</v>
      </c>
      <c r="T414" s="16">
        <f t="shared" si="262"/>
        <v>112.56888888888889</v>
      </c>
      <c r="U414" s="15">
        <f>+SUMIF('GE16FEB14 Tax Bill Unfudged'!$A$2:$A$498, 'Tax Bill Summary'!$A414, 'GE16FEB14 Tax Bill Unfudged'!E$2:E$498)</f>
        <v>25949</v>
      </c>
      <c r="V414" s="13">
        <f>+SUMIF('GE16FEB14 Tax Bill Unfudged'!$A$2:$A$498, 'Tax Bill Summary'!$A414, 'GE16FEB14 Tax Bill Unfudged'!F$2:F$498)</f>
        <v>0</v>
      </c>
      <c r="W414" s="56">
        <f t="shared" si="263"/>
        <v>25949</v>
      </c>
      <c r="X414" s="51">
        <f>+SUMIF('GE16FEB14 Tax Bill Unfudged'!$A$2:$A$498, 'Tax Bill Summary'!$A414, 'GE16FEB14 Tax Bill Unfudged'!G$2:G$498)</f>
        <v>0</v>
      </c>
      <c r="Y414" s="13">
        <f>+SUMIF('GE16FEB14 Tax Bill Unfudged'!$A$2:$A$498, 'Tax Bill Summary'!$A414, 'GE16FEB14 Tax Bill Unfudged'!H$2:H$498)</f>
        <v>0</v>
      </c>
      <c r="Z414" s="56">
        <f t="shared" si="264"/>
        <v>0</v>
      </c>
      <c r="AA414" s="51">
        <f>+SUMIF('GE16FEB14 Tax Bill Unfudged'!$A$2:$A$498, 'Tax Bill Summary'!$A414, 'GE16FEB14 Tax Bill Unfudged'!I$2:I$498)</f>
        <v>0</v>
      </c>
      <c r="AB414" s="13">
        <f>+SUMIF('GE16FEB14 Tax Bill Unfudged'!$A$2:$A$498, 'Tax Bill Summary'!$A414, 'GE16FEB14 Tax Bill Unfudged'!J$2:J$498)</f>
        <v>0</v>
      </c>
      <c r="AC414" s="56">
        <f t="shared" si="265"/>
        <v>0</v>
      </c>
      <c r="AD414" s="51">
        <f t="shared" si="266"/>
        <v>25949</v>
      </c>
      <c r="AE414" s="13">
        <f t="shared" si="267"/>
        <v>0</v>
      </c>
      <c r="AF414" s="56">
        <f t="shared" si="268"/>
        <v>25949</v>
      </c>
      <c r="AG414" s="13">
        <f t="shared" si="269"/>
        <v>115.32888888888888</v>
      </c>
      <c r="AH414" s="13">
        <f t="shared" si="270"/>
        <v>0</v>
      </c>
      <c r="AI414" s="16">
        <f t="shared" si="271"/>
        <v>115.32888888888888</v>
      </c>
      <c r="AJ414" s="15">
        <f t="shared" si="272"/>
        <v>621</v>
      </c>
      <c r="AK414" s="13">
        <f t="shared" si="273"/>
        <v>0</v>
      </c>
      <c r="AL414" s="56">
        <f t="shared" si="274"/>
        <v>621</v>
      </c>
      <c r="AM414" s="51">
        <f t="shared" si="275"/>
        <v>0</v>
      </c>
      <c r="AN414" s="13">
        <f t="shared" si="276"/>
        <v>0</v>
      </c>
      <c r="AO414" s="56">
        <f t="shared" si="277"/>
        <v>0</v>
      </c>
      <c r="AP414" s="51">
        <f t="shared" si="278"/>
        <v>0</v>
      </c>
      <c r="AQ414" s="13">
        <f t="shared" si="279"/>
        <v>0</v>
      </c>
      <c r="AR414" s="56">
        <f t="shared" si="280"/>
        <v>0</v>
      </c>
      <c r="AS414" s="51">
        <f t="shared" si="281"/>
        <v>621</v>
      </c>
      <c r="AT414" s="13">
        <f t="shared" si="282"/>
        <v>0</v>
      </c>
      <c r="AU414" s="56">
        <f t="shared" si="283"/>
        <v>621</v>
      </c>
      <c r="AV414" s="13">
        <f t="shared" si="284"/>
        <v>2.7599999999999909</v>
      </c>
      <c r="AW414" s="13">
        <f t="shared" si="285"/>
        <v>0</v>
      </c>
      <c r="AX414" s="16">
        <f t="shared" si="286"/>
        <v>2.7599999999999909</v>
      </c>
    </row>
    <row r="415" spans="1:50" x14ac:dyDescent="0.25">
      <c r="A415" s="20">
        <v>4090</v>
      </c>
      <c r="B415">
        <v>7</v>
      </c>
      <c r="C415" s="23" t="s">
        <v>53</v>
      </c>
      <c r="D415" s="23">
        <v>7</v>
      </c>
      <c r="E415" s="15">
        <f>+SUMIF('GE16FEB14 Unfudged'!$A$2:$A$498, $A415, 'GE16FEB14 Unfudged'!$D$2:$D$498)</f>
        <v>180</v>
      </c>
      <c r="F415" s="15">
        <f>+SUMIF('GE16FEB14 Unfudged'!$A$2:$A$498, 'Tax Bill Summary'!$A415, 'GE16FEB14 Unfudged'!E$2:E$498)</f>
        <v>20262</v>
      </c>
      <c r="G415" s="13">
        <f>+SUMIF('GE16FEB14 Unfudged'!$A$2:$A$498, 'Tax Bill Summary'!$A415, 'GE16FEB14 Unfudged'!F$2:F$498)</f>
        <v>0</v>
      </c>
      <c r="H415" s="56">
        <f t="shared" si="254"/>
        <v>20262</v>
      </c>
      <c r="I415" s="51">
        <f>+SUMIF('GE16FEB14 Unfudged'!$A$2:$A$498, 'Tax Bill Summary'!$A415, 'GE16FEB14 Unfudged'!G$2:G$498)</f>
        <v>0</v>
      </c>
      <c r="J415" s="13">
        <f>+SUMIF('GE16FEB14 Unfudged'!$A$2:$A$498, 'Tax Bill Summary'!$A415, 'GE16FEB14 Unfudged'!H$2:H$498)</f>
        <v>0</v>
      </c>
      <c r="K415" s="56">
        <f t="shared" si="255"/>
        <v>0</v>
      </c>
      <c r="L415" s="51">
        <f>+SUMIF('GE16FEB14 Unfudged'!$A$2:$A$498, 'Tax Bill Summary'!$A415, 'GE16FEB14 Unfudged'!I$2:IF$498)</f>
        <v>0</v>
      </c>
      <c r="M415" s="13">
        <f>+SUMIF('GE16FEB14 Unfudged'!$A$2:$A$498, 'Tax Bill Summary'!$A415, 'GE16FEB14 Unfudged'!J$2:IG$498)</f>
        <v>0</v>
      </c>
      <c r="N415" s="56">
        <f t="shared" si="256"/>
        <v>0</v>
      </c>
      <c r="O415" s="51">
        <f t="shared" si="257"/>
        <v>20262</v>
      </c>
      <c r="P415" s="13">
        <f t="shared" si="258"/>
        <v>0</v>
      </c>
      <c r="Q415" s="56">
        <f t="shared" si="259"/>
        <v>20262</v>
      </c>
      <c r="R415" s="13">
        <f t="shared" si="260"/>
        <v>112.56666666666666</v>
      </c>
      <c r="S415" s="13">
        <f t="shared" si="261"/>
        <v>0</v>
      </c>
      <c r="T415" s="16">
        <f t="shared" si="262"/>
        <v>112.56666666666666</v>
      </c>
      <c r="U415" s="15">
        <f>+SUMIF('GE16FEB14 Tax Bill Unfudged'!$A$2:$A$498, 'Tax Bill Summary'!$A415, 'GE16FEB14 Tax Bill Unfudged'!E$2:E$498)</f>
        <v>20759</v>
      </c>
      <c r="V415" s="13">
        <f>+SUMIF('GE16FEB14 Tax Bill Unfudged'!$A$2:$A$498, 'Tax Bill Summary'!$A415, 'GE16FEB14 Tax Bill Unfudged'!F$2:F$498)</f>
        <v>0</v>
      </c>
      <c r="W415" s="56">
        <f t="shared" si="263"/>
        <v>20759</v>
      </c>
      <c r="X415" s="51">
        <f>+SUMIF('GE16FEB14 Tax Bill Unfudged'!$A$2:$A$498, 'Tax Bill Summary'!$A415, 'GE16FEB14 Tax Bill Unfudged'!G$2:G$498)</f>
        <v>0</v>
      </c>
      <c r="Y415" s="13">
        <f>+SUMIF('GE16FEB14 Tax Bill Unfudged'!$A$2:$A$498, 'Tax Bill Summary'!$A415, 'GE16FEB14 Tax Bill Unfudged'!H$2:H$498)</f>
        <v>0</v>
      </c>
      <c r="Z415" s="56">
        <f t="shared" si="264"/>
        <v>0</v>
      </c>
      <c r="AA415" s="51">
        <f>+SUMIF('GE16FEB14 Tax Bill Unfudged'!$A$2:$A$498, 'Tax Bill Summary'!$A415, 'GE16FEB14 Tax Bill Unfudged'!I$2:I$498)</f>
        <v>0</v>
      </c>
      <c r="AB415" s="13">
        <f>+SUMIF('GE16FEB14 Tax Bill Unfudged'!$A$2:$A$498, 'Tax Bill Summary'!$A415, 'GE16FEB14 Tax Bill Unfudged'!J$2:J$498)</f>
        <v>0</v>
      </c>
      <c r="AC415" s="56">
        <f t="shared" si="265"/>
        <v>0</v>
      </c>
      <c r="AD415" s="51">
        <f t="shared" si="266"/>
        <v>20759</v>
      </c>
      <c r="AE415" s="13">
        <f t="shared" si="267"/>
        <v>0</v>
      </c>
      <c r="AF415" s="56">
        <f t="shared" si="268"/>
        <v>20759</v>
      </c>
      <c r="AG415" s="13">
        <f t="shared" si="269"/>
        <v>115.32777777777778</v>
      </c>
      <c r="AH415" s="13">
        <f t="shared" si="270"/>
        <v>0</v>
      </c>
      <c r="AI415" s="16">
        <f t="shared" si="271"/>
        <v>115.32777777777778</v>
      </c>
      <c r="AJ415" s="15">
        <f t="shared" si="272"/>
        <v>497</v>
      </c>
      <c r="AK415" s="13">
        <f t="shared" si="273"/>
        <v>0</v>
      </c>
      <c r="AL415" s="56">
        <f t="shared" si="274"/>
        <v>497</v>
      </c>
      <c r="AM415" s="51">
        <f t="shared" si="275"/>
        <v>0</v>
      </c>
      <c r="AN415" s="13">
        <f t="shared" si="276"/>
        <v>0</v>
      </c>
      <c r="AO415" s="56">
        <f t="shared" si="277"/>
        <v>0</v>
      </c>
      <c r="AP415" s="51">
        <f t="shared" si="278"/>
        <v>0</v>
      </c>
      <c r="AQ415" s="13">
        <f t="shared" si="279"/>
        <v>0</v>
      </c>
      <c r="AR415" s="56">
        <f t="shared" si="280"/>
        <v>0</v>
      </c>
      <c r="AS415" s="51">
        <f t="shared" si="281"/>
        <v>497</v>
      </c>
      <c r="AT415" s="13">
        <f t="shared" si="282"/>
        <v>0</v>
      </c>
      <c r="AU415" s="56">
        <f t="shared" si="283"/>
        <v>497</v>
      </c>
      <c r="AV415" s="13">
        <f t="shared" si="284"/>
        <v>2.76111111111112</v>
      </c>
      <c r="AW415" s="13">
        <f t="shared" si="285"/>
        <v>0</v>
      </c>
      <c r="AX415" s="16">
        <f t="shared" si="286"/>
        <v>2.76111111111112</v>
      </c>
    </row>
    <row r="416" spans="1:50" x14ac:dyDescent="0.25">
      <c r="A416" s="20">
        <v>4091</v>
      </c>
      <c r="B416">
        <v>7</v>
      </c>
      <c r="C416" s="23" t="s">
        <v>54</v>
      </c>
      <c r="D416" s="23">
        <v>7</v>
      </c>
      <c r="E416" s="15">
        <f>+SUMIF('GE16FEB14 Unfudged'!$A$2:$A$498, $A416, 'GE16FEB14 Unfudged'!$D$2:$D$498)</f>
        <v>140</v>
      </c>
      <c r="F416" s="15">
        <f>+SUMIF('GE16FEB14 Unfudged'!$A$2:$A$498, 'Tax Bill Summary'!$A416, 'GE16FEB14 Unfudged'!E$2:E$498)</f>
        <v>15805</v>
      </c>
      <c r="G416" s="13">
        <f>+SUMIF('GE16FEB14 Unfudged'!$A$2:$A$498, 'Tax Bill Summary'!$A416, 'GE16FEB14 Unfudged'!F$2:F$498)</f>
        <v>0</v>
      </c>
      <c r="H416" s="56">
        <f t="shared" si="254"/>
        <v>15805</v>
      </c>
      <c r="I416" s="51">
        <f>+SUMIF('GE16FEB14 Unfudged'!$A$2:$A$498, 'Tax Bill Summary'!$A416, 'GE16FEB14 Unfudged'!G$2:G$498)</f>
        <v>0</v>
      </c>
      <c r="J416" s="13">
        <f>+SUMIF('GE16FEB14 Unfudged'!$A$2:$A$498, 'Tax Bill Summary'!$A416, 'GE16FEB14 Unfudged'!H$2:H$498)</f>
        <v>0</v>
      </c>
      <c r="K416" s="56">
        <f t="shared" si="255"/>
        <v>0</v>
      </c>
      <c r="L416" s="51">
        <f>+SUMIF('GE16FEB14 Unfudged'!$A$2:$A$498, 'Tax Bill Summary'!$A416, 'GE16FEB14 Unfudged'!I$2:IF$498)</f>
        <v>0</v>
      </c>
      <c r="M416" s="13">
        <f>+SUMIF('GE16FEB14 Unfudged'!$A$2:$A$498, 'Tax Bill Summary'!$A416, 'GE16FEB14 Unfudged'!J$2:IG$498)</f>
        <v>0</v>
      </c>
      <c r="N416" s="56">
        <f t="shared" si="256"/>
        <v>0</v>
      </c>
      <c r="O416" s="51">
        <f t="shared" si="257"/>
        <v>15805</v>
      </c>
      <c r="P416" s="13">
        <f t="shared" si="258"/>
        <v>0</v>
      </c>
      <c r="Q416" s="56">
        <f t="shared" si="259"/>
        <v>15805</v>
      </c>
      <c r="R416" s="13">
        <f t="shared" si="260"/>
        <v>112.89285714285714</v>
      </c>
      <c r="S416" s="13">
        <f t="shared" si="261"/>
        <v>0</v>
      </c>
      <c r="T416" s="16">
        <f t="shared" si="262"/>
        <v>112.89285714285714</v>
      </c>
      <c r="U416" s="15">
        <f>+SUMIF('GE16FEB14 Tax Bill Unfudged'!$A$2:$A$498, 'Tax Bill Summary'!$A416, 'GE16FEB14 Tax Bill Unfudged'!E$2:E$498)</f>
        <v>16192</v>
      </c>
      <c r="V416" s="13">
        <f>+SUMIF('GE16FEB14 Tax Bill Unfudged'!$A$2:$A$498, 'Tax Bill Summary'!$A416, 'GE16FEB14 Tax Bill Unfudged'!F$2:F$498)</f>
        <v>0</v>
      </c>
      <c r="W416" s="56">
        <f t="shared" si="263"/>
        <v>16192</v>
      </c>
      <c r="X416" s="51">
        <f>+SUMIF('GE16FEB14 Tax Bill Unfudged'!$A$2:$A$498, 'Tax Bill Summary'!$A416, 'GE16FEB14 Tax Bill Unfudged'!G$2:G$498)</f>
        <v>0</v>
      </c>
      <c r="Y416" s="13">
        <f>+SUMIF('GE16FEB14 Tax Bill Unfudged'!$A$2:$A$498, 'Tax Bill Summary'!$A416, 'GE16FEB14 Tax Bill Unfudged'!H$2:H$498)</f>
        <v>0</v>
      </c>
      <c r="Z416" s="56">
        <f t="shared" si="264"/>
        <v>0</v>
      </c>
      <c r="AA416" s="51">
        <f>+SUMIF('GE16FEB14 Tax Bill Unfudged'!$A$2:$A$498, 'Tax Bill Summary'!$A416, 'GE16FEB14 Tax Bill Unfudged'!I$2:I$498)</f>
        <v>0</v>
      </c>
      <c r="AB416" s="13">
        <f>+SUMIF('GE16FEB14 Tax Bill Unfudged'!$A$2:$A$498, 'Tax Bill Summary'!$A416, 'GE16FEB14 Tax Bill Unfudged'!J$2:J$498)</f>
        <v>0</v>
      </c>
      <c r="AC416" s="56">
        <f t="shared" si="265"/>
        <v>0</v>
      </c>
      <c r="AD416" s="51">
        <f t="shared" si="266"/>
        <v>16192</v>
      </c>
      <c r="AE416" s="13">
        <f t="shared" si="267"/>
        <v>0</v>
      </c>
      <c r="AF416" s="56">
        <f t="shared" si="268"/>
        <v>16192</v>
      </c>
      <c r="AG416" s="13">
        <f t="shared" si="269"/>
        <v>115.65714285714286</v>
      </c>
      <c r="AH416" s="13">
        <f t="shared" si="270"/>
        <v>0</v>
      </c>
      <c r="AI416" s="16">
        <f t="shared" si="271"/>
        <v>115.65714285714286</v>
      </c>
      <c r="AJ416" s="15">
        <f t="shared" si="272"/>
        <v>387</v>
      </c>
      <c r="AK416" s="13">
        <f t="shared" si="273"/>
        <v>0</v>
      </c>
      <c r="AL416" s="56">
        <f t="shared" si="274"/>
        <v>387</v>
      </c>
      <c r="AM416" s="51">
        <f t="shared" si="275"/>
        <v>0</v>
      </c>
      <c r="AN416" s="13">
        <f t="shared" si="276"/>
        <v>0</v>
      </c>
      <c r="AO416" s="56">
        <f t="shared" si="277"/>
        <v>0</v>
      </c>
      <c r="AP416" s="51">
        <f t="shared" si="278"/>
        <v>0</v>
      </c>
      <c r="AQ416" s="13">
        <f t="shared" si="279"/>
        <v>0</v>
      </c>
      <c r="AR416" s="56">
        <f t="shared" si="280"/>
        <v>0</v>
      </c>
      <c r="AS416" s="51">
        <f t="shared" si="281"/>
        <v>387</v>
      </c>
      <c r="AT416" s="13">
        <f t="shared" si="282"/>
        <v>0</v>
      </c>
      <c r="AU416" s="56">
        <f t="shared" si="283"/>
        <v>387</v>
      </c>
      <c r="AV416" s="13">
        <f t="shared" si="284"/>
        <v>2.7642857142857196</v>
      </c>
      <c r="AW416" s="13">
        <f t="shared" si="285"/>
        <v>0</v>
      </c>
      <c r="AX416" s="16">
        <f t="shared" si="286"/>
        <v>2.7642857142857196</v>
      </c>
    </row>
    <row r="417" spans="1:50" x14ac:dyDescent="0.25">
      <c r="A417" s="20">
        <v>4092</v>
      </c>
      <c r="B417">
        <v>7</v>
      </c>
      <c r="C417" s="23" t="s">
        <v>55</v>
      </c>
      <c r="D417" s="23">
        <v>7</v>
      </c>
      <c r="E417" s="15">
        <f>+SUMIF('GE16FEB14 Unfudged'!$A$2:$A$498, $A417, 'GE16FEB14 Unfudged'!$D$2:$D$498)</f>
        <v>79</v>
      </c>
      <c r="F417" s="15">
        <f>+SUMIF('GE16FEB14 Unfudged'!$A$2:$A$498, 'Tax Bill Summary'!$A417, 'GE16FEB14 Unfudged'!E$2:E$498)</f>
        <v>8915</v>
      </c>
      <c r="G417" s="13">
        <f>+SUMIF('GE16FEB14 Unfudged'!$A$2:$A$498, 'Tax Bill Summary'!$A417, 'GE16FEB14 Unfudged'!F$2:F$498)</f>
        <v>0</v>
      </c>
      <c r="H417" s="56">
        <f t="shared" si="254"/>
        <v>8915</v>
      </c>
      <c r="I417" s="51">
        <f>+SUMIF('GE16FEB14 Unfudged'!$A$2:$A$498, 'Tax Bill Summary'!$A417, 'GE16FEB14 Unfudged'!G$2:G$498)</f>
        <v>0</v>
      </c>
      <c r="J417" s="13">
        <f>+SUMIF('GE16FEB14 Unfudged'!$A$2:$A$498, 'Tax Bill Summary'!$A417, 'GE16FEB14 Unfudged'!H$2:H$498)</f>
        <v>0</v>
      </c>
      <c r="K417" s="56">
        <f t="shared" si="255"/>
        <v>0</v>
      </c>
      <c r="L417" s="51">
        <f>+SUMIF('GE16FEB14 Unfudged'!$A$2:$A$498, 'Tax Bill Summary'!$A417, 'GE16FEB14 Unfudged'!I$2:IF$498)</f>
        <v>0</v>
      </c>
      <c r="M417" s="13">
        <f>+SUMIF('GE16FEB14 Unfudged'!$A$2:$A$498, 'Tax Bill Summary'!$A417, 'GE16FEB14 Unfudged'!J$2:IG$498)</f>
        <v>0</v>
      </c>
      <c r="N417" s="56">
        <f t="shared" si="256"/>
        <v>0</v>
      </c>
      <c r="O417" s="51">
        <f t="shared" si="257"/>
        <v>8915</v>
      </c>
      <c r="P417" s="13">
        <f t="shared" si="258"/>
        <v>0</v>
      </c>
      <c r="Q417" s="56">
        <f t="shared" si="259"/>
        <v>8915</v>
      </c>
      <c r="R417" s="13">
        <f t="shared" si="260"/>
        <v>112.84810126582279</v>
      </c>
      <c r="S417" s="13">
        <f t="shared" si="261"/>
        <v>0</v>
      </c>
      <c r="T417" s="16">
        <f t="shared" si="262"/>
        <v>112.84810126582279</v>
      </c>
      <c r="U417" s="15">
        <f>+SUMIF('GE16FEB14 Tax Bill Unfudged'!$A$2:$A$498, 'Tax Bill Summary'!$A417, 'GE16FEB14 Tax Bill Unfudged'!E$2:E$498)</f>
        <v>9134</v>
      </c>
      <c r="V417" s="13">
        <f>+SUMIF('GE16FEB14 Tax Bill Unfudged'!$A$2:$A$498, 'Tax Bill Summary'!$A417, 'GE16FEB14 Tax Bill Unfudged'!F$2:F$498)</f>
        <v>0</v>
      </c>
      <c r="W417" s="56">
        <f t="shared" si="263"/>
        <v>9134</v>
      </c>
      <c r="X417" s="51">
        <f>+SUMIF('GE16FEB14 Tax Bill Unfudged'!$A$2:$A$498, 'Tax Bill Summary'!$A417, 'GE16FEB14 Tax Bill Unfudged'!G$2:G$498)</f>
        <v>0</v>
      </c>
      <c r="Y417" s="13">
        <f>+SUMIF('GE16FEB14 Tax Bill Unfudged'!$A$2:$A$498, 'Tax Bill Summary'!$A417, 'GE16FEB14 Tax Bill Unfudged'!H$2:H$498)</f>
        <v>0</v>
      </c>
      <c r="Z417" s="56">
        <f t="shared" si="264"/>
        <v>0</v>
      </c>
      <c r="AA417" s="51">
        <f>+SUMIF('GE16FEB14 Tax Bill Unfudged'!$A$2:$A$498, 'Tax Bill Summary'!$A417, 'GE16FEB14 Tax Bill Unfudged'!I$2:I$498)</f>
        <v>0</v>
      </c>
      <c r="AB417" s="13">
        <f>+SUMIF('GE16FEB14 Tax Bill Unfudged'!$A$2:$A$498, 'Tax Bill Summary'!$A417, 'GE16FEB14 Tax Bill Unfudged'!J$2:J$498)</f>
        <v>0</v>
      </c>
      <c r="AC417" s="56">
        <f t="shared" si="265"/>
        <v>0</v>
      </c>
      <c r="AD417" s="51">
        <f t="shared" si="266"/>
        <v>9134</v>
      </c>
      <c r="AE417" s="13">
        <f t="shared" si="267"/>
        <v>0</v>
      </c>
      <c r="AF417" s="56">
        <f t="shared" si="268"/>
        <v>9134</v>
      </c>
      <c r="AG417" s="13">
        <f t="shared" si="269"/>
        <v>115.62025316455696</v>
      </c>
      <c r="AH417" s="13">
        <f t="shared" si="270"/>
        <v>0</v>
      </c>
      <c r="AI417" s="16">
        <f t="shared" si="271"/>
        <v>115.62025316455696</v>
      </c>
      <c r="AJ417" s="15">
        <f t="shared" si="272"/>
        <v>219</v>
      </c>
      <c r="AK417" s="13">
        <f t="shared" si="273"/>
        <v>0</v>
      </c>
      <c r="AL417" s="56">
        <f t="shared" si="274"/>
        <v>219</v>
      </c>
      <c r="AM417" s="51">
        <f t="shared" si="275"/>
        <v>0</v>
      </c>
      <c r="AN417" s="13">
        <f t="shared" si="276"/>
        <v>0</v>
      </c>
      <c r="AO417" s="56">
        <f t="shared" si="277"/>
        <v>0</v>
      </c>
      <c r="AP417" s="51">
        <f t="shared" si="278"/>
        <v>0</v>
      </c>
      <c r="AQ417" s="13">
        <f t="shared" si="279"/>
        <v>0</v>
      </c>
      <c r="AR417" s="56">
        <f t="shared" si="280"/>
        <v>0</v>
      </c>
      <c r="AS417" s="51">
        <f t="shared" si="281"/>
        <v>219</v>
      </c>
      <c r="AT417" s="13">
        <f t="shared" si="282"/>
        <v>0</v>
      </c>
      <c r="AU417" s="56">
        <f t="shared" si="283"/>
        <v>219</v>
      </c>
      <c r="AV417" s="13">
        <f t="shared" si="284"/>
        <v>2.7721518987341653</v>
      </c>
      <c r="AW417" s="13">
        <f t="shared" si="285"/>
        <v>0</v>
      </c>
      <c r="AX417" s="16">
        <f t="shared" si="286"/>
        <v>2.7721518987341653</v>
      </c>
    </row>
    <row r="418" spans="1:50" x14ac:dyDescent="0.25">
      <c r="A418" s="20">
        <v>4093</v>
      </c>
      <c r="B418">
        <v>7</v>
      </c>
      <c r="C418" s="23" t="s">
        <v>56</v>
      </c>
      <c r="D418" s="23">
        <v>7</v>
      </c>
      <c r="E418" s="15">
        <f>+SUMIF('GE16FEB14 Unfudged'!$A$2:$A$498, $A418, 'GE16FEB14 Unfudged'!$D$2:$D$498)</f>
        <v>180</v>
      </c>
      <c r="F418" s="15">
        <f>+SUMIF('GE16FEB14 Unfudged'!$A$2:$A$498, 'Tax Bill Summary'!$A418, 'GE16FEB14 Unfudged'!E$2:E$498)</f>
        <v>20262</v>
      </c>
      <c r="G418" s="13">
        <f>+SUMIF('GE16FEB14 Unfudged'!$A$2:$A$498, 'Tax Bill Summary'!$A418, 'GE16FEB14 Unfudged'!F$2:F$498)</f>
        <v>0</v>
      </c>
      <c r="H418" s="56">
        <f t="shared" si="254"/>
        <v>20262</v>
      </c>
      <c r="I418" s="51">
        <f>+SUMIF('GE16FEB14 Unfudged'!$A$2:$A$498, 'Tax Bill Summary'!$A418, 'GE16FEB14 Unfudged'!G$2:G$498)</f>
        <v>0</v>
      </c>
      <c r="J418" s="13">
        <f>+SUMIF('GE16FEB14 Unfudged'!$A$2:$A$498, 'Tax Bill Summary'!$A418, 'GE16FEB14 Unfudged'!H$2:H$498)</f>
        <v>0</v>
      </c>
      <c r="K418" s="56">
        <f t="shared" si="255"/>
        <v>0</v>
      </c>
      <c r="L418" s="51">
        <f>+SUMIF('GE16FEB14 Unfudged'!$A$2:$A$498, 'Tax Bill Summary'!$A418, 'GE16FEB14 Unfudged'!I$2:IF$498)</f>
        <v>0</v>
      </c>
      <c r="M418" s="13">
        <f>+SUMIF('GE16FEB14 Unfudged'!$A$2:$A$498, 'Tax Bill Summary'!$A418, 'GE16FEB14 Unfudged'!J$2:IG$498)</f>
        <v>0</v>
      </c>
      <c r="N418" s="56">
        <f t="shared" si="256"/>
        <v>0</v>
      </c>
      <c r="O418" s="51">
        <f t="shared" si="257"/>
        <v>20262</v>
      </c>
      <c r="P418" s="13">
        <f t="shared" si="258"/>
        <v>0</v>
      </c>
      <c r="Q418" s="56">
        <f t="shared" si="259"/>
        <v>20262</v>
      </c>
      <c r="R418" s="13">
        <f t="shared" si="260"/>
        <v>112.56666666666666</v>
      </c>
      <c r="S418" s="13">
        <f t="shared" si="261"/>
        <v>0</v>
      </c>
      <c r="T418" s="16">
        <f t="shared" si="262"/>
        <v>112.56666666666666</v>
      </c>
      <c r="U418" s="15">
        <f>+SUMIF('GE16FEB14 Tax Bill Unfudged'!$A$2:$A$498, 'Tax Bill Summary'!$A418, 'GE16FEB14 Tax Bill Unfudged'!E$2:E$498)</f>
        <v>20759</v>
      </c>
      <c r="V418" s="13">
        <f>+SUMIF('GE16FEB14 Tax Bill Unfudged'!$A$2:$A$498, 'Tax Bill Summary'!$A418, 'GE16FEB14 Tax Bill Unfudged'!F$2:F$498)</f>
        <v>0</v>
      </c>
      <c r="W418" s="56">
        <f t="shared" si="263"/>
        <v>20759</v>
      </c>
      <c r="X418" s="51">
        <f>+SUMIF('GE16FEB14 Tax Bill Unfudged'!$A$2:$A$498, 'Tax Bill Summary'!$A418, 'GE16FEB14 Tax Bill Unfudged'!G$2:G$498)</f>
        <v>0</v>
      </c>
      <c r="Y418" s="13">
        <f>+SUMIF('GE16FEB14 Tax Bill Unfudged'!$A$2:$A$498, 'Tax Bill Summary'!$A418, 'GE16FEB14 Tax Bill Unfudged'!H$2:H$498)</f>
        <v>0</v>
      </c>
      <c r="Z418" s="56">
        <f t="shared" si="264"/>
        <v>0</v>
      </c>
      <c r="AA418" s="51">
        <f>+SUMIF('GE16FEB14 Tax Bill Unfudged'!$A$2:$A$498, 'Tax Bill Summary'!$A418, 'GE16FEB14 Tax Bill Unfudged'!I$2:I$498)</f>
        <v>0</v>
      </c>
      <c r="AB418" s="13">
        <f>+SUMIF('GE16FEB14 Tax Bill Unfudged'!$A$2:$A$498, 'Tax Bill Summary'!$A418, 'GE16FEB14 Tax Bill Unfudged'!J$2:J$498)</f>
        <v>0</v>
      </c>
      <c r="AC418" s="56">
        <f t="shared" si="265"/>
        <v>0</v>
      </c>
      <c r="AD418" s="51">
        <f t="shared" si="266"/>
        <v>20759</v>
      </c>
      <c r="AE418" s="13">
        <f t="shared" si="267"/>
        <v>0</v>
      </c>
      <c r="AF418" s="56">
        <f t="shared" si="268"/>
        <v>20759</v>
      </c>
      <c r="AG418" s="13">
        <f t="shared" si="269"/>
        <v>115.32777777777778</v>
      </c>
      <c r="AH418" s="13">
        <f t="shared" si="270"/>
        <v>0</v>
      </c>
      <c r="AI418" s="16">
        <f t="shared" si="271"/>
        <v>115.32777777777778</v>
      </c>
      <c r="AJ418" s="15">
        <f t="shared" si="272"/>
        <v>497</v>
      </c>
      <c r="AK418" s="13">
        <f t="shared" si="273"/>
        <v>0</v>
      </c>
      <c r="AL418" s="56">
        <f t="shared" si="274"/>
        <v>497</v>
      </c>
      <c r="AM418" s="51">
        <f t="shared" si="275"/>
        <v>0</v>
      </c>
      <c r="AN418" s="13">
        <f t="shared" si="276"/>
        <v>0</v>
      </c>
      <c r="AO418" s="56">
        <f t="shared" si="277"/>
        <v>0</v>
      </c>
      <c r="AP418" s="51">
        <f t="shared" si="278"/>
        <v>0</v>
      </c>
      <c r="AQ418" s="13">
        <f t="shared" si="279"/>
        <v>0</v>
      </c>
      <c r="AR418" s="56">
        <f t="shared" si="280"/>
        <v>0</v>
      </c>
      <c r="AS418" s="51">
        <f t="shared" si="281"/>
        <v>497</v>
      </c>
      <c r="AT418" s="13">
        <f t="shared" si="282"/>
        <v>0</v>
      </c>
      <c r="AU418" s="56">
        <f t="shared" si="283"/>
        <v>497</v>
      </c>
      <c r="AV418" s="13">
        <f t="shared" si="284"/>
        <v>2.76111111111112</v>
      </c>
      <c r="AW418" s="13">
        <f t="shared" si="285"/>
        <v>0</v>
      </c>
      <c r="AX418" s="16">
        <f t="shared" si="286"/>
        <v>2.76111111111112</v>
      </c>
    </row>
    <row r="419" spans="1:50" x14ac:dyDescent="0.25">
      <c r="A419" s="20">
        <v>4095</v>
      </c>
      <c r="B419">
        <v>7</v>
      </c>
      <c r="C419" s="23" t="s">
        <v>491</v>
      </c>
      <c r="D419" s="23">
        <v>7</v>
      </c>
      <c r="E419" s="15">
        <f>+SUMIF('GE16FEB14 Unfudged'!$A$2:$A$498, $A419, 'GE16FEB14 Unfudged'!$D$2:$D$498)</f>
        <v>168</v>
      </c>
      <c r="F419" s="15">
        <f>+SUMIF('GE16FEB14 Unfudged'!$A$2:$A$498, 'Tax Bill Summary'!$A419, 'GE16FEB14 Unfudged'!E$2:E$498)</f>
        <v>18911</v>
      </c>
      <c r="G419" s="13">
        <f>+SUMIF('GE16FEB14 Unfudged'!$A$2:$A$498, 'Tax Bill Summary'!$A419, 'GE16FEB14 Unfudged'!F$2:F$498)</f>
        <v>0</v>
      </c>
      <c r="H419" s="56">
        <f t="shared" si="254"/>
        <v>18911</v>
      </c>
      <c r="I419" s="51">
        <f>+SUMIF('GE16FEB14 Unfudged'!$A$2:$A$498, 'Tax Bill Summary'!$A419, 'GE16FEB14 Unfudged'!G$2:G$498)</f>
        <v>0</v>
      </c>
      <c r="J419" s="13">
        <f>+SUMIF('GE16FEB14 Unfudged'!$A$2:$A$498, 'Tax Bill Summary'!$A419, 'GE16FEB14 Unfudged'!H$2:H$498)</f>
        <v>0</v>
      </c>
      <c r="K419" s="56">
        <f t="shared" si="255"/>
        <v>0</v>
      </c>
      <c r="L419" s="51">
        <f>+SUMIF('GE16FEB14 Unfudged'!$A$2:$A$498, 'Tax Bill Summary'!$A419, 'GE16FEB14 Unfudged'!I$2:IF$498)</f>
        <v>0</v>
      </c>
      <c r="M419" s="13">
        <f>+SUMIF('GE16FEB14 Unfudged'!$A$2:$A$498, 'Tax Bill Summary'!$A419, 'GE16FEB14 Unfudged'!J$2:IG$498)</f>
        <v>0</v>
      </c>
      <c r="N419" s="56">
        <f t="shared" si="256"/>
        <v>0</v>
      </c>
      <c r="O419" s="51">
        <f t="shared" si="257"/>
        <v>18911</v>
      </c>
      <c r="P419" s="13">
        <f t="shared" si="258"/>
        <v>0</v>
      </c>
      <c r="Q419" s="56">
        <f t="shared" si="259"/>
        <v>18911</v>
      </c>
      <c r="R419" s="13">
        <f t="shared" si="260"/>
        <v>112.56547619047619</v>
      </c>
      <c r="S419" s="13">
        <f t="shared" si="261"/>
        <v>0</v>
      </c>
      <c r="T419" s="16">
        <f t="shared" si="262"/>
        <v>112.56547619047619</v>
      </c>
      <c r="U419" s="15">
        <f>+SUMIF('GE16FEB14 Tax Bill Unfudged'!$A$2:$A$498, 'Tax Bill Summary'!$A419, 'GE16FEB14 Tax Bill Unfudged'!E$2:E$498)</f>
        <v>19375</v>
      </c>
      <c r="V419" s="13">
        <f>+SUMIF('GE16FEB14 Tax Bill Unfudged'!$A$2:$A$498, 'Tax Bill Summary'!$A419, 'GE16FEB14 Tax Bill Unfudged'!F$2:F$498)</f>
        <v>0</v>
      </c>
      <c r="W419" s="56">
        <f t="shared" si="263"/>
        <v>19375</v>
      </c>
      <c r="X419" s="51">
        <f>+SUMIF('GE16FEB14 Tax Bill Unfudged'!$A$2:$A$498, 'Tax Bill Summary'!$A419, 'GE16FEB14 Tax Bill Unfudged'!G$2:G$498)</f>
        <v>0</v>
      </c>
      <c r="Y419" s="13">
        <f>+SUMIF('GE16FEB14 Tax Bill Unfudged'!$A$2:$A$498, 'Tax Bill Summary'!$A419, 'GE16FEB14 Tax Bill Unfudged'!H$2:H$498)</f>
        <v>0</v>
      </c>
      <c r="Z419" s="56">
        <f t="shared" si="264"/>
        <v>0</v>
      </c>
      <c r="AA419" s="51">
        <f>+SUMIF('GE16FEB14 Tax Bill Unfudged'!$A$2:$A$498, 'Tax Bill Summary'!$A419, 'GE16FEB14 Tax Bill Unfudged'!I$2:I$498)</f>
        <v>0</v>
      </c>
      <c r="AB419" s="13">
        <f>+SUMIF('GE16FEB14 Tax Bill Unfudged'!$A$2:$A$498, 'Tax Bill Summary'!$A419, 'GE16FEB14 Tax Bill Unfudged'!J$2:J$498)</f>
        <v>0</v>
      </c>
      <c r="AC419" s="56">
        <f t="shared" si="265"/>
        <v>0</v>
      </c>
      <c r="AD419" s="51">
        <f t="shared" si="266"/>
        <v>19375</v>
      </c>
      <c r="AE419" s="13">
        <f t="shared" si="267"/>
        <v>0</v>
      </c>
      <c r="AF419" s="56">
        <f t="shared" si="268"/>
        <v>19375</v>
      </c>
      <c r="AG419" s="13">
        <f t="shared" si="269"/>
        <v>115.32738095238095</v>
      </c>
      <c r="AH419" s="13">
        <f t="shared" si="270"/>
        <v>0</v>
      </c>
      <c r="AI419" s="16">
        <f t="shared" si="271"/>
        <v>115.32738095238095</v>
      </c>
      <c r="AJ419" s="15">
        <f t="shared" si="272"/>
        <v>464</v>
      </c>
      <c r="AK419" s="13">
        <f t="shared" si="273"/>
        <v>0</v>
      </c>
      <c r="AL419" s="56">
        <f t="shared" si="274"/>
        <v>464</v>
      </c>
      <c r="AM419" s="51">
        <f t="shared" si="275"/>
        <v>0</v>
      </c>
      <c r="AN419" s="13">
        <f t="shared" si="276"/>
        <v>0</v>
      </c>
      <c r="AO419" s="56">
        <f t="shared" si="277"/>
        <v>0</v>
      </c>
      <c r="AP419" s="51">
        <f t="shared" si="278"/>
        <v>0</v>
      </c>
      <c r="AQ419" s="13">
        <f t="shared" si="279"/>
        <v>0</v>
      </c>
      <c r="AR419" s="56">
        <f t="shared" si="280"/>
        <v>0</v>
      </c>
      <c r="AS419" s="51">
        <f t="shared" si="281"/>
        <v>464</v>
      </c>
      <c r="AT419" s="13">
        <f t="shared" si="282"/>
        <v>0</v>
      </c>
      <c r="AU419" s="56">
        <f t="shared" si="283"/>
        <v>464</v>
      </c>
      <c r="AV419" s="13">
        <f t="shared" si="284"/>
        <v>2.7619047619047592</v>
      </c>
      <c r="AW419" s="13">
        <f t="shared" si="285"/>
        <v>0</v>
      </c>
      <c r="AX419" s="16">
        <f t="shared" si="286"/>
        <v>2.7619047619047592</v>
      </c>
    </row>
    <row r="420" spans="1:50" x14ac:dyDescent="0.25">
      <c r="A420" s="20">
        <v>4097</v>
      </c>
      <c r="B420">
        <v>7</v>
      </c>
      <c r="C420" s="23" t="s">
        <v>57</v>
      </c>
      <c r="D420" s="23">
        <v>7</v>
      </c>
      <c r="E420" s="15">
        <f>+SUMIF('GE16FEB14 Unfudged'!$A$2:$A$498, $A420, 'GE16FEB14 Unfudged'!$D$2:$D$498)</f>
        <v>270</v>
      </c>
      <c r="F420" s="15">
        <f>+SUMIF('GE16FEB14 Unfudged'!$A$2:$A$498, 'Tax Bill Summary'!$A420, 'GE16FEB14 Unfudged'!E$2:E$498)</f>
        <v>30393</v>
      </c>
      <c r="G420" s="13">
        <f>+SUMIF('GE16FEB14 Unfudged'!$A$2:$A$498, 'Tax Bill Summary'!$A420, 'GE16FEB14 Unfudged'!F$2:F$498)</f>
        <v>0</v>
      </c>
      <c r="H420" s="56">
        <f t="shared" si="254"/>
        <v>30393</v>
      </c>
      <c r="I420" s="51">
        <f>+SUMIF('GE16FEB14 Unfudged'!$A$2:$A$498, 'Tax Bill Summary'!$A420, 'GE16FEB14 Unfudged'!G$2:G$498)</f>
        <v>0</v>
      </c>
      <c r="J420" s="13">
        <f>+SUMIF('GE16FEB14 Unfudged'!$A$2:$A$498, 'Tax Bill Summary'!$A420, 'GE16FEB14 Unfudged'!H$2:H$498)</f>
        <v>0</v>
      </c>
      <c r="K420" s="56">
        <f t="shared" si="255"/>
        <v>0</v>
      </c>
      <c r="L420" s="51">
        <f>+SUMIF('GE16FEB14 Unfudged'!$A$2:$A$498, 'Tax Bill Summary'!$A420, 'GE16FEB14 Unfudged'!I$2:IF$498)</f>
        <v>0</v>
      </c>
      <c r="M420" s="13">
        <f>+SUMIF('GE16FEB14 Unfudged'!$A$2:$A$498, 'Tax Bill Summary'!$A420, 'GE16FEB14 Unfudged'!J$2:IG$498)</f>
        <v>0</v>
      </c>
      <c r="N420" s="56">
        <f t="shared" si="256"/>
        <v>0</v>
      </c>
      <c r="O420" s="51">
        <f t="shared" si="257"/>
        <v>30393</v>
      </c>
      <c r="P420" s="13">
        <f t="shared" si="258"/>
        <v>0</v>
      </c>
      <c r="Q420" s="56">
        <f t="shared" si="259"/>
        <v>30393</v>
      </c>
      <c r="R420" s="13">
        <f t="shared" si="260"/>
        <v>112.56666666666666</v>
      </c>
      <c r="S420" s="13">
        <f t="shared" si="261"/>
        <v>0</v>
      </c>
      <c r="T420" s="16">
        <f t="shared" si="262"/>
        <v>112.56666666666666</v>
      </c>
      <c r="U420" s="15">
        <f>+SUMIF('GE16FEB14 Tax Bill Unfudged'!$A$2:$A$498, 'Tax Bill Summary'!$A420, 'GE16FEB14 Tax Bill Unfudged'!E$2:E$498)</f>
        <v>31139</v>
      </c>
      <c r="V420" s="13">
        <f>+SUMIF('GE16FEB14 Tax Bill Unfudged'!$A$2:$A$498, 'Tax Bill Summary'!$A420, 'GE16FEB14 Tax Bill Unfudged'!F$2:F$498)</f>
        <v>0</v>
      </c>
      <c r="W420" s="56">
        <f t="shared" si="263"/>
        <v>31139</v>
      </c>
      <c r="X420" s="51">
        <f>+SUMIF('GE16FEB14 Tax Bill Unfudged'!$A$2:$A$498, 'Tax Bill Summary'!$A420, 'GE16FEB14 Tax Bill Unfudged'!G$2:G$498)</f>
        <v>0</v>
      </c>
      <c r="Y420" s="13">
        <f>+SUMIF('GE16FEB14 Tax Bill Unfudged'!$A$2:$A$498, 'Tax Bill Summary'!$A420, 'GE16FEB14 Tax Bill Unfudged'!H$2:H$498)</f>
        <v>0</v>
      </c>
      <c r="Z420" s="56">
        <f t="shared" si="264"/>
        <v>0</v>
      </c>
      <c r="AA420" s="51">
        <f>+SUMIF('GE16FEB14 Tax Bill Unfudged'!$A$2:$A$498, 'Tax Bill Summary'!$A420, 'GE16FEB14 Tax Bill Unfudged'!I$2:I$498)</f>
        <v>0</v>
      </c>
      <c r="AB420" s="13">
        <f>+SUMIF('GE16FEB14 Tax Bill Unfudged'!$A$2:$A$498, 'Tax Bill Summary'!$A420, 'GE16FEB14 Tax Bill Unfudged'!J$2:J$498)</f>
        <v>0</v>
      </c>
      <c r="AC420" s="56">
        <f t="shared" si="265"/>
        <v>0</v>
      </c>
      <c r="AD420" s="51">
        <f t="shared" si="266"/>
        <v>31139</v>
      </c>
      <c r="AE420" s="13">
        <f t="shared" si="267"/>
        <v>0</v>
      </c>
      <c r="AF420" s="56">
        <f t="shared" si="268"/>
        <v>31139</v>
      </c>
      <c r="AG420" s="13">
        <f t="shared" si="269"/>
        <v>115.32962962962964</v>
      </c>
      <c r="AH420" s="13">
        <f t="shared" si="270"/>
        <v>0</v>
      </c>
      <c r="AI420" s="16">
        <f t="shared" si="271"/>
        <v>115.32962962962964</v>
      </c>
      <c r="AJ420" s="15">
        <f t="shared" si="272"/>
        <v>746</v>
      </c>
      <c r="AK420" s="13">
        <f t="shared" si="273"/>
        <v>0</v>
      </c>
      <c r="AL420" s="56">
        <f t="shared" si="274"/>
        <v>746</v>
      </c>
      <c r="AM420" s="51">
        <f t="shared" si="275"/>
        <v>0</v>
      </c>
      <c r="AN420" s="13">
        <f t="shared" si="276"/>
        <v>0</v>
      </c>
      <c r="AO420" s="56">
        <f t="shared" si="277"/>
        <v>0</v>
      </c>
      <c r="AP420" s="51">
        <f t="shared" si="278"/>
        <v>0</v>
      </c>
      <c r="AQ420" s="13">
        <f t="shared" si="279"/>
        <v>0</v>
      </c>
      <c r="AR420" s="56">
        <f t="shared" si="280"/>
        <v>0</v>
      </c>
      <c r="AS420" s="51">
        <f t="shared" si="281"/>
        <v>746</v>
      </c>
      <c r="AT420" s="13">
        <f t="shared" si="282"/>
        <v>0</v>
      </c>
      <c r="AU420" s="56">
        <f t="shared" si="283"/>
        <v>746</v>
      </c>
      <c r="AV420" s="13">
        <f t="shared" si="284"/>
        <v>2.7629629629629733</v>
      </c>
      <c r="AW420" s="13">
        <f t="shared" si="285"/>
        <v>0</v>
      </c>
      <c r="AX420" s="16">
        <f t="shared" si="286"/>
        <v>2.7629629629629733</v>
      </c>
    </row>
    <row r="421" spans="1:50" x14ac:dyDescent="0.25">
      <c r="A421" s="20">
        <v>4098</v>
      </c>
      <c r="B421">
        <v>7</v>
      </c>
      <c r="C421" s="23" t="s">
        <v>58</v>
      </c>
      <c r="D421" s="23">
        <v>7</v>
      </c>
      <c r="E421" s="15">
        <f>+SUMIF('GE16FEB14 Unfudged'!$A$2:$A$498, $A421, 'GE16FEB14 Unfudged'!$D$2:$D$498)</f>
        <v>975</v>
      </c>
      <c r="F421" s="15">
        <f>+SUMIF('GE16FEB14 Unfudged'!$A$2:$A$498, 'Tax Bill Summary'!$A421, 'GE16FEB14 Unfudged'!E$2:E$498)</f>
        <v>109776</v>
      </c>
      <c r="G421" s="13">
        <f>+SUMIF('GE16FEB14 Unfudged'!$A$2:$A$498, 'Tax Bill Summary'!$A421, 'GE16FEB14 Unfudged'!F$2:F$498)</f>
        <v>0</v>
      </c>
      <c r="H421" s="56">
        <f t="shared" si="254"/>
        <v>109776</v>
      </c>
      <c r="I421" s="51">
        <f>+SUMIF('GE16FEB14 Unfudged'!$A$2:$A$498, 'Tax Bill Summary'!$A421, 'GE16FEB14 Unfudged'!G$2:G$498)</f>
        <v>0</v>
      </c>
      <c r="J421" s="13">
        <f>+SUMIF('GE16FEB14 Unfudged'!$A$2:$A$498, 'Tax Bill Summary'!$A421, 'GE16FEB14 Unfudged'!H$2:H$498)</f>
        <v>0</v>
      </c>
      <c r="K421" s="56">
        <f t="shared" si="255"/>
        <v>0</v>
      </c>
      <c r="L421" s="51">
        <f>+SUMIF('GE16FEB14 Unfudged'!$A$2:$A$498, 'Tax Bill Summary'!$A421, 'GE16FEB14 Unfudged'!I$2:IF$498)</f>
        <v>0</v>
      </c>
      <c r="M421" s="13">
        <f>+SUMIF('GE16FEB14 Unfudged'!$A$2:$A$498, 'Tax Bill Summary'!$A421, 'GE16FEB14 Unfudged'!J$2:IG$498)</f>
        <v>0</v>
      </c>
      <c r="N421" s="56">
        <f t="shared" si="256"/>
        <v>0</v>
      </c>
      <c r="O421" s="51">
        <f t="shared" si="257"/>
        <v>109776</v>
      </c>
      <c r="P421" s="13">
        <f t="shared" si="258"/>
        <v>0</v>
      </c>
      <c r="Q421" s="56">
        <f t="shared" si="259"/>
        <v>109776</v>
      </c>
      <c r="R421" s="13">
        <f t="shared" si="260"/>
        <v>112.59076923076923</v>
      </c>
      <c r="S421" s="13">
        <f t="shared" si="261"/>
        <v>0</v>
      </c>
      <c r="T421" s="16">
        <f t="shared" si="262"/>
        <v>112.59076923076923</v>
      </c>
      <c r="U421" s="15">
        <f>+SUMIF('GE16FEB14 Tax Bill Unfudged'!$A$2:$A$498, 'Tax Bill Summary'!$A421, 'GE16FEB14 Tax Bill Unfudged'!E$2:E$498)</f>
        <v>112468</v>
      </c>
      <c r="V421" s="13">
        <f>+SUMIF('GE16FEB14 Tax Bill Unfudged'!$A$2:$A$498, 'Tax Bill Summary'!$A421, 'GE16FEB14 Tax Bill Unfudged'!F$2:F$498)</f>
        <v>0</v>
      </c>
      <c r="W421" s="56">
        <f t="shared" si="263"/>
        <v>112468</v>
      </c>
      <c r="X421" s="51">
        <f>+SUMIF('GE16FEB14 Tax Bill Unfudged'!$A$2:$A$498, 'Tax Bill Summary'!$A421, 'GE16FEB14 Tax Bill Unfudged'!G$2:G$498)</f>
        <v>0</v>
      </c>
      <c r="Y421" s="13">
        <f>+SUMIF('GE16FEB14 Tax Bill Unfudged'!$A$2:$A$498, 'Tax Bill Summary'!$A421, 'GE16FEB14 Tax Bill Unfudged'!H$2:H$498)</f>
        <v>0</v>
      </c>
      <c r="Z421" s="56">
        <f t="shared" si="264"/>
        <v>0</v>
      </c>
      <c r="AA421" s="51">
        <f>+SUMIF('GE16FEB14 Tax Bill Unfudged'!$A$2:$A$498, 'Tax Bill Summary'!$A421, 'GE16FEB14 Tax Bill Unfudged'!I$2:I$498)</f>
        <v>0</v>
      </c>
      <c r="AB421" s="13">
        <f>+SUMIF('GE16FEB14 Tax Bill Unfudged'!$A$2:$A$498, 'Tax Bill Summary'!$A421, 'GE16FEB14 Tax Bill Unfudged'!J$2:J$498)</f>
        <v>0</v>
      </c>
      <c r="AC421" s="56">
        <f t="shared" si="265"/>
        <v>0</v>
      </c>
      <c r="AD421" s="51">
        <f t="shared" si="266"/>
        <v>112468</v>
      </c>
      <c r="AE421" s="13">
        <f t="shared" si="267"/>
        <v>0</v>
      </c>
      <c r="AF421" s="56">
        <f t="shared" si="268"/>
        <v>112468</v>
      </c>
      <c r="AG421" s="13">
        <f t="shared" si="269"/>
        <v>115.35179487179487</v>
      </c>
      <c r="AH421" s="13">
        <f t="shared" si="270"/>
        <v>0</v>
      </c>
      <c r="AI421" s="16">
        <f t="shared" si="271"/>
        <v>115.35179487179487</v>
      </c>
      <c r="AJ421" s="15">
        <f t="shared" si="272"/>
        <v>2692</v>
      </c>
      <c r="AK421" s="13">
        <f t="shared" si="273"/>
        <v>0</v>
      </c>
      <c r="AL421" s="56">
        <f t="shared" si="274"/>
        <v>2692</v>
      </c>
      <c r="AM421" s="51">
        <f t="shared" si="275"/>
        <v>0</v>
      </c>
      <c r="AN421" s="13">
        <f t="shared" si="276"/>
        <v>0</v>
      </c>
      <c r="AO421" s="56">
        <f t="shared" si="277"/>
        <v>0</v>
      </c>
      <c r="AP421" s="51">
        <f t="shared" si="278"/>
        <v>0</v>
      </c>
      <c r="AQ421" s="13">
        <f t="shared" si="279"/>
        <v>0</v>
      </c>
      <c r="AR421" s="56">
        <f t="shared" si="280"/>
        <v>0</v>
      </c>
      <c r="AS421" s="51">
        <f t="shared" si="281"/>
        <v>2692</v>
      </c>
      <c r="AT421" s="13">
        <f t="shared" si="282"/>
        <v>0</v>
      </c>
      <c r="AU421" s="56">
        <f t="shared" si="283"/>
        <v>2692</v>
      </c>
      <c r="AV421" s="13">
        <f t="shared" si="284"/>
        <v>2.7610256410256397</v>
      </c>
      <c r="AW421" s="13">
        <f t="shared" si="285"/>
        <v>0</v>
      </c>
      <c r="AX421" s="16">
        <f t="shared" si="286"/>
        <v>2.7610256410256397</v>
      </c>
    </row>
    <row r="422" spans="1:50" x14ac:dyDescent="0.25">
      <c r="A422" s="20">
        <v>4100</v>
      </c>
      <c r="B422">
        <v>7</v>
      </c>
      <c r="C422" s="23" t="s">
        <v>59</v>
      </c>
      <c r="D422" s="23">
        <v>7</v>
      </c>
      <c r="E422" s="15">
        <f>+SUMIF('GE16FEB14 Unfudged'!$A$2:$A$498, $A422, 'GE16FEB14 Unfudged'!$D$2:$D$498)</f>
        <v>91</v>
      </c>
      <c r="F422" s="15">
        <f>+SUMIF('GE16FEB14 Unfudged'!$A$2:$A$498, 'Tax Bill Summary'!$A422, 'GE16FEB14 Unfudged'!E$2:E$498)</f>
        <v>10210</v>
      </c>
      <c r="G422" s="13">
        <f>+SUMIF('GE16FEB14 Unfudged'!$A$2:$A$498, 'Tax Bill Summary'!$A422, 'GE16FEB14 Unfudged'!F$2:F$498)</f>
        <v>0</v>
      </c>
      <c r="H422" s="56">
        <f t="shared" si="254"/>
        <v>10210</v>
      </c>
      <c r="I422" s="51">
        <f>+SUMIF('GE16FEB14 Unfudged'!$A$2:$A$498, 'Tax Bill Summary'!$A422, 'GE16FEB14 Unfudged'!G$2:G$498)</f>
        <v>0</v>
      </c>
      <c r="J422" s="13">
        <f>+SUMIF('GE16FEB14 Unfudged'!$A$2:$A$498, 'Tax Bill Summary'!$A422, 'GE16FEB14 Unfudged'!H$2:H$498)</f>
        <v>0</v>
      </c>
      <c r="K422" s="56">
        <f t="shared" si="255"/>
        <v>0</v>
      </c>
      <c r="L422" s="51">
        <f>+SUMIF('GE16FEB14 Unfudged'!$A$2:$A$498, 'Tax Bill Summary'!$A422, 'GE16FEB14 Unfudged'!I$2:IF$498)</f>
        <v>0</v>
      </c>
      <c r="M422" s="13">
        <f>+SUMIF('GE16FEB14 Unfudged'!$A$2:$A$498, 'Tax Bill Summary'!$A422, 'GE16FEB14 Unfudged'!J$2:IG$498)</f>
        <v>0</v>
      </c>
      <c r="N422" s="56">
        <f t="shared" si="256"/>
        <v>0</v>
      </c>
      <c r="O422" s="51">
        <f t="shared" si="257"/>
        <v>10210</v>
      </c>
      <c r="P422" s="13">
        <f t="shared" si="258"/>
        <v>0</v>
      </c>
      <c r="Q422" s="56">
        <f t="shared" si="259"/>
        <v>10210</v>
      </c>
      <c r="R422" s="13">
        <f t="shared" si="260"/>
        <v>112.1978021978022</v>
      </c>
      <c r="S422" s="13">
        <f t="shared" si="261"/>
        <v>0</v>
      </c>
      <c r="T422" s="16">
        <f t="shared" si="262"/>
        <v>112.1978021978022</v>
      </c>
      <c r="U422" s="15">
        <f>+SUMIF('GE16FEB14 Tax Bill Unfudged'!$A$2:$A$498, 'Tax Bill Summary'!$A422, 'GE16FEB14 Tax Bill Unfudged'!E$2:E$498)</f>
        <v>10460</v>
      </c>
      <c r="V422" s="13">
        <f>+SUMIF('GE16FEB14 Tax Bill Unfudged'!$A$2:$A$498, 'Tax Bill Summary'!$A422, 'GE16FEB14 Tax Bill Unfudged'!F$2:F$498)</f>
        <v>0</v>
      </c>
      <c r="W422" s="56">
        <f t="shared" si="263"/>
        <v>10460</v>
      </c>
      <c r="X422" s="51">
        <f>+SUMIF('GE16FEB14 Tax Bill Unfudged'!$A$2:$A$498, 'Tax Bill Summary'!$A422, 'GE16FEB14 Tax Bill Unfudged'!G$2:G$498)</f>
        <v>0</v>
      </c>
      <c r="Y422" s="13">
        <f>+SUMIF('GE16FEB14 Tax Bill Unfudged'!$A$2:$A$498, 'Tax Bill Summary'!$A422, 'GE16FEB14 Tax Bill Unfudged'!H$2:H$498)</f>
        <v>0</v>
      </c>
      <c r="Z422" s="56">
        <f t="shared" si="264"/>
        <v>0</v>
      </c>
      <c r="AA422" s="51">
        <f>+SUMIF('GE16FEB14 Tax Bill Unfudged'!$A$2:$A$498, 'Tax Bill Summary'!$A422, 'GE16FEB14 Tax Bill Unfudged'!I$2:I$498)</f>
        <v>0</v>
      </c>
      <c r="AB422" s="13">
        <f>+SUMIF('GE16FEB14 Tax Bill Unfudged'!$A$2:$A$498, 'Tax Bill Summary'!$A422, 'GE16FEB14 Tax Bill Unfudged'!J$2:J$498)</f>
        <v>0</v>
      </c>
      <c r="AC422" s="56">
        <f t="shared" si="265"/>
        <v>0</v>
      </c>
      <c r="AD422" s="51">
        <f t="shared" si="266"/>
        <v>10460</v>
      </c>
      <c r="AE422" s="13">
        <f t="shared" si="267"/>
        <v>0</v>
      </c>
      <c r="AF422" s="56">
        <f t="shared" si="268"/>
        <v>10460</v>
      </c>
      <c r="AG422" s="13">
        <f t="shared" si="269"/>
        <v>114.94505494505495</v>
      </c>
      <c r="AH422" s="13">
        <f t="shared" si="270"/>
        <v>0</v>
      </c>
      <c r="AI422" s="16">
        <f t="shared" si="271"/>
        <v>114.94505494505495</v>
      </c>
      <c r="AJ422" s="15">
        <f t="shared" si="272"/>
        <v>250</v>
      </c>
      <c r="AK422" s="13">
        <f t="shared" si="273"/>
        <v>0</v>
      </c>
      <c r="AL422" s="56">
        <f t="shared" si="274"/>
        <v>250</v>
      </c>
      <c r="AM422" s="51">
        <f t="shared" si="275"/>
        <v>0</v>
      </c>
      <c r="AN422" s="13">
        <f t="shared" si="276"/>
        <v>0</v>
      </c>
      <c r="AO422" s="56">
        <f t="shared" si="277"/>
        <v>0</v>
      </c>
      <c r="AP422" s="51">
        <f t="shared" si="278"/>
        <v>0</v>
      </c>
      <c r="AQ422" s="13">
        <f t="shared" si="279"/>
        <v>0</v>
      </c>
      <c r="AR422" s="56">
        <f t="shared" si="280"/>
        <v>0</v>
      </c>
      <c r="AS422" s="51">
        <f t="shared" si="281"/>
        <v>250</v>
      </c>
      <c r="AT422" s="13">
        <f t="shared" si="282"/>
        <v>0</v>
      </c>
      <c r="AU422" s="56">
        <f t="shared" si="283"/>
        <v>250</v>
      </c>
      <c r="AV422" s="13">
        <f t="shared" si="284"/>
        <v>2.7472527472527446</v>
      </c>
      <c r="AW422" s="13">
        <f t="shared" si="285"/>
        <v>0</v>
      </c>
      <c r="AX422" s="16">
        <f t="shared" si="286"/>
        <v>2.7472527472527446</v>
      </c>
    </row>
    <row r="423" spans="1:50" x14ac:dyDescent="0.25">
      <c r="A423" s="20">
        <v>4102</v>
      </c>
      <c r="B423">
        <v>7</v>
      </c>
      <c r="C423" s="23" t="s">
        <v>60</v>
      </c>
      <c r="D423" s="23">
        <v>7</v>
      </c>
      <c r="E423" s="15">
        <f>+SUMIF('GE16FEB14 Unfudged'!$A$2:$A$498, $A423, 'GE16FEB14 Unfudged'!$D$2:$D$498)</f>
        <v>288</v>
      </c>
      <c r="F423" s="15">
        <f>+SUMIF('GE16FEB14 Unfudged'!$A$2:$A$498, 'Tax Bill Summary'!$A423, 'GE16FEB14 Unfudged'!E$2:E$498)</f>
        <v>32420</v>
      </c>
      <c r="G423" s="13">
        <f>+SUMIF('GE16FEB14 Unfudged'!$A$2:$A$498, 'Tax Bill Summary'!$A423, 'GE16FEB14 Unfudged'!F$2:F$498)</f>
        <v>0</v>
      </c>
      <c r="H423" s="56">
        <f t="shared" si="254"/>
        <v>32420</v>
      </c>
      <c r="I423" s="51">
        <f>+SUMIF('GE16FEB14 Unfudged'!$A$2:$A$498, 'Tax Bill Summary'!$A423, 'GE16FEB14 Unfudged'!G$2:G$498)</f>
        <v>0</v>
      </c>
      <c r="J423" s="13">
        <f>+SUMIF('GE16FEB14 Unfudged'!$A$2:$A$498, 'Tax Bill Summary'!$A423, 'GE16FEB14 Unfudged'!H$2:H$498)</f>
        <v>0</v>
      </c>
      <c r="K423" s="56">
        <f t="shared" si="255"/>
        <v>0</v>
      </c>
      <c r="L423" s="51">
        <f>+SUMIF('GE16FEB14 Unfudged'!$A$2:$A$498, 'Tax Bill Summary'!$A423, 'GE16FEB14 Unfudged'!I$2:IF$498)</f>
        <v>0</v>
      </c>
      <c r="M423" s="13">
        <f>+SUMIF('GE16FEB14 Unfudged'!$A$2:$A$498, 'Tax Bill Summary'!$A423, 'GE16FEB14 Unfudged'!J$2:IG$498)</f>
        <v>0</v>
      </c>
      <c r="N423" s="56">
        <f t="shared" si="256"/>
        <v>0</v>
      </c>
      <c r="O423" s="51">
        <f t="shared" si="257"/>
        <v>32420</v>
      </c>
      <c r="P423" s="13">
        <f t="shared" si="258"/>
        <v>0</v>
      </c>
      <c r="Q423" s="56">
        <f t="shared" si="259"/>
        <v>32420</v>
      </c>
      <c r="R423" s="13">
        <f t="shared" si="260"/>
        <v>112.56944444444444</v>
      </c>
      <c r="S423" s="13">
        <f t="shared" si="261"/>
        <v>0</v>
      </c>
      <c r="T423" s="16">
        <f t="shared" si="262"/>
        <v>112.56944444444444</v>
      </c>
      <c r="U423" s="15">
        <f>+SUMIF('GE16FEB14 Tax Bill Unfudged'!$A$2:$A$498, 'Tax Bill Summary'!$A423, 'GE16FEB14 Tax Bill Unfudged'!E$2:E$498)</f>
        <v>33214</v>
      </c>
      <c r="V423" s="13">
        <f>+SUMIF('GE16FEB14 Tax Bill Unfudged'!$A$2:$A$498, 'Tax Bill Summary'!$A423, 'GE16FEB14 Tax Bill Unfudged'!F$2:F$498)</f>
        <v>0</v>
      </c>
      <c r="W423" s="56">
        <f t="shared" si="263"/>
        <v>33214</v>
      </c>
      <c r="X423" s="51">
        <f>+SUMIF('GE16FEB14 Tax Bill Unfudged'!$A$2:$A$498, 'Tax Bill Summary'!$A423, 'GE16FEB14 Tax Bill Unfudged'!G$2:G$498)</f>
        <v>0</v>
      </c>
      <c r="Y423" s="13">
        <f>+SUMIF('GE16FEB14 Tax Bill Unfudged'!$A$2:$A$498, 'Tax Bill Summary'!$A423, 'GE16FEB14 Tax Bill Unfudged'!H$2:H$498)</f>
        <v>0</v>
      </c>
      <c r="Z423" s="56">
        <f t="shared" si="264"/>
        <v>0</v>
      </c>
      <c r="AA423" s="51">
        <f>+SUMIF('GE16FEB14 Tax Bill Unfudged'!$A$2:$A$498, 'Tax Bill Summary'!$A423, 'GE16FEB14 Tax Bill Unfudged'!I$2:I$498)</f>
        <v>0</v>
      </c>
      <c r="AB423" s="13">
        <f>+SUMIF('GE16FEB14 Tax Bill Unfudged'!$A$2:$A$498, 'Tax Bill Summary'!$A423, 'GE16FEB14 Tax Bill Unfudged'!J$2:J$498)</f>
        <v>0</v>
      </c>
      <c r="AC423" s="56">
        <f t="shared" si="265"/>
        <v>0</v>
      </c>
      <c r="AD423" s="51">
        <f t="shared" si="266"/>
        <v>33214</v>
      </c>
      <c r="AE423" s="13">
        <f t="shared" si="267"/>
        <v>0</v>
      </c>
      <c r="AF423" s="56">
        <f t="shared" si="268"/>
        <v>33214</v>
      </c>
      <c r="AG423" s="13">
        <f t="shared" si="269"/>
        <v>115.32638888888889</v>
      </c>
      <c r="AH423" s="13">
        <f t="shared" si="270"/>
        <v>0</v>
      </c>
      <c r="AI423" s="16">
        <f t="shared" si="271"/>
        <v>115.32638888888889</v>
      </c>
      <c r="AJ423" s="15">
        <f t="shared" si="272"/>
        <v>794</v>
      </c>
      <c r="AK423" s="13">
        <f t="shared" si="273"/>
        <v>0</v>
      </c>
      <c r="AL423" s="56">
        <f t="shared" si="274"/>
        <v>794</v>
      </c>
      <c r="AM423" s="51">
        <f t="shared" si="275"/>
        <v>0</v>
      </c>
      <c r="AN423" s="13">
        <f t="shared" si="276"/>
        <v>0</v>
      </c>
      <c r="AO423" s="56">
        <f t="shared" si="277"/>
        <v>0</v>
      </c>
      <c r="AP423" s="51">
        <f t="shared" si="278"/>
        <v>0</v>
      </c>
      <c r="AQ423" s="13">
        <f t="shared" si="279"/>
        <v>0</v>
      </c>
      <c r="AR423" s="56">
        <f t="shared" si="280"/>
        <v>0</v>
      </c>
      <c r="AS423" s="51">
        <f t="shared" si="281"/>
        <v>794</v>
      </c>
      <c r="AT423" s="13">
        <f t="shared" si="282"/>
        <v>0</v>
      </c>
      <c r="AU423" s="56">
        <f t="shared" si="283"/>
        <v>794</v>
      </c>
      <c r="AV423" s="13">
        <f t="shared" si="284"/>
        <v>2.7569444444444429</v>
      </c>
      <c r="AW423" s="13">
        <f t="shared" si="285"/>
        <v>0</v>
      </c>
      <c r="AX423" s="16">
        <f t="shared" si="286"/>
        <v>2.7569444444444429</v>
      </c>
    </row>
    <row r="424" spans="1:50" x14ac:dyDescent="0.25">
      <c r="A424" s="20">
        <v>4103</v>
      </c>
      <c r="B424">
        <v>7</v>
      </c>
      <c r="C424" s="23" t="s">
        <v>463</v>
      </c>
      <c r="D424" s="23">
        <v>7</v>
      </c>
      <c r="E424" s="15">
        <f>+SUMIF('GE16FEB14 Unfudged'!$A$2:$A$498, $A424, 'GE16FEB14 Unfudged'!$D$2:$D$498)</f>
        <v>1236</v>
      </c>
      <c r="F424" s="15">
        <f>+SUMIF('GE16FEB14 Unfudged'!$A$2:$A$498, 'Tax Bill Summary'!$A424, 'GE16FEB14 Unfudged'!E$2:E$498)</f>
        <v>139134</v>
      </c>
      <c r="G424" s="13">
        <f>+SUMIF('GE16FEB14 Unfudged'!$A$2:$A$498, 'Tax Bill Summary'!$A424, 'GE16FEB14 Unfudged'!F$2:F$498)</f>
        <v>0</v>
      </c>
      <c r="H424" s="56">
        <f t="shared" si="254"/>
        <v>139134</v>
      </c>
      <c r="I424" s="51">
        <f>+SUMIF('GE16FEB14 Unfudged'!$A$2:$A$498, 'Tax Bill Summary'!$A424, 'GE16FEB14 Unfudged'!G$2:G$498)</f>
        <v>0</v>
      </c>
      <c r="J424" s="13">
        <f>+SUMIF('GE16FEB14 Unfudged'!$A$2:$A$498, 'Tax Bill Summary'!$A424, 'GE16FEB14 Unfudged'!H$2:H$498)</f>
        <v>0</v>
      </c>
      <c r="K424" s="56">
        <f t="shared" si="255"/>
        <v>0</v>
      </c>
      <c r="L424" s="51">
        <f>+SUMIF('GE16FEB14 Unfudged'!$A$2:$A$498, 'Tax Bill Summary'!$A424, 'GE16FEB14 Unfudged'!I$2:IF$498)</f>
        <v>0</v>
      </c>
      <c r="M424" s="13">
        <f>+SUMIF('GE16FEB14 Unfudged'!$A$2:$A$498, 'Tax Bill Summary'!$A424, 'GE16FEB14 Unfudged'!J$2:IG$498)</f>
        <v>0</v>
      </c>
      <c r="N424" s="56">
        <f t="shared" si="256"/>
        <v>0</v>
      </c>
      <c r="O424" s="51">
        <f t="shared" si="257"/>
        <v>139134</v>
      </c>
      <c r="P424" s="13">
        <f t="shared" si="258"/>
        <v>0</v>
      </c>
      <c r="Q424" s="56">
        <f t="shared" si="259"/>
        <v>139134</v>
      </c>
      <c r="R424" s="13">
        <f t="shared" si="260"/>
        <v>112.56796116504854</v>
      </c>
      <c r="S424" s="13">
        <f t="shared" si="261"/>
        <v>0</v>
      </c>
      <c r="T424" s="16">
        <f t="shared" si="262"/>
        <v>112.56796116504854</v>
      </c>
      <c r="U424" s="15">
        <f>+SUMIF('GE16FEB14 Tax Bill Unfudged'!$A$2:$A$498, 'Tax Bill Summary'!$A424, 'GE16FEB14 Tax Bill Unfudged'!E$2:E$498)</f>
        <v>142545</v>
      </c>
      <c r="V424" s="13">
        <f>+SUMIF('GE16FEB14 Tax Bill Unfudged'!$A$2:$A$498, 'Tax Bill Summary'!$A424, 'GE16FEB14 Tax Bill Unfudged'!F$2:F$498)</f>
        <v>0</v>
      </c>
      <c r="W424" s="56">
        <f t="shared" si="263"/>
        <v>142545</v>
      </c>
      <c r="X424" s="51">
        <f>+SUMIF('GE16FEB14 Tax Bill Unfudged'!$A$2:$A$498, 'Tax Bill Summary'!$A424, 'GE16FEB14 Tax Bill Unfudged'!G$2:G$498)</f>
        <v>0</v>
      </c>
      <c r="Y424" s="13">
        <f>+SUMIF('GE16FEB14 Tax Bill Unfudged'!$A$2:$A$498, 'Tax Bill Summary'!$A424, 'GE16FEB14 Tax Bill Unfudged'!H$2:H$498)</f>
        <v>0</v>
      </c>
      <c r="Z424" s="56">
        <f t="shared" si="264"/>
        <v>0</v>
      </c>
      <c r="AA424" s="51">
        <f>+SUMIF('GE16FEB14 Tax Bill Unfudged'!$A$2:$A$498, 'Tax Bill Summary'!$A424, 'GE16FEB14 Tax Bill Unfudged'!I$2:I$498)</f>
        <v>0</v>
      </c>
      <c r="AB424" s="13">
        <f>+SUMIF('GE16FEB14 Tax Bill Unfudged'!$A$2:$A$498, 'Tax Bill Summary'!$A424, 'GE16FEB14 Tax Bill Unfudged'!J$2:J$498)</f>
        <v>0</v>
      </c>
      <c r="AC424" s="56">
        <f t="shared" si="265"/>
        <v>0</v>
      </c>
      <c r="AD424" s="51">
        <f t="shared" si="266"/>
        <v>142545</v>
      </c>
      <c r="AE424" s="13">
        <f t="shared" si="267"/>
        <v>0</v>
      </c>
      <c r="AF424" s="56">
        <f t="shared" si="268"/>
        <v>142545</v>
      </c>
      <c r="AG424" s="13">
        <f t="shared" si="269"/>
        <v>115.32766990291262</v>
      </c>
      <c r="AH424" s="13">
        <f t="shared" si="270"/>
        <v>0</v>
      </c>
      <c r="AI424" s="16">
        <f t="shared" si="271"/>
        <v>115.32766990291262</v>
      </c>
      <c r="AJ424" s="15">
        <f t="shared" si="272"/>
        <v>3411</v>
      </c>
      <c r="AK424" s="13">
        <f t="shared" si="273"/>
        <v>0</v>
      </c>
      <c r="AL424" s="56">
        <f t="shared" si="274"/>
        <v>3411</v>
      </c>
      <c r="AM424" s="51">
        <f t="shared" si="275"/>
        <v>0</v>
      </c>
      <c r="AN424" s="13">
        <f t="shared" si="276"/>
        <v>0</v>
      </c>
      <c r="AO424" s="56">
        <f t="shared" si="277"/>
        <v>0</v>
      </c>
      <c r="AP424" s="51">
        <f t="shared" si="278"/>
        <v>0</v>
      </c>
      <c r="AQ424" s="13">
        <f t="shared" si="279"/>
        <v>0</v>
      </c>
      <c r="AR424" s="56">
        <f t="shared" si="280"/>
        <v>0</v>
      </c>
      <c r="AS424" s="51">
        <f t="shared" si="281"/>
        <v>3411</v>
      </c>
      <c r="AT424" s="13">
        <f t="shared" si="282"/>
        <v>0</v>
      </c>
      <c r="AU424" s="56">
        <f t="shared" si="283"/>
        <v>3411</v>
      </c>
      <c r="AV424" s="13">
        <f t="shared" si="284"/>
        <v>2.7597087378640737</v>
      </c>
      <c r="AW424" s="13">
        <f t="shared" si="285"/>
        <v>0</v>
      </c>
      <c r="AX424" s="16">
        <f t="shared" si="286"/>
        <v>2.7597087378640737</v>
      </c>
    </row>
    <row r="425" spans="1:50" x14ac:dyDescent="0.25">
      <c r="A425" s="20">
        <v>4104</v>
      </c>
      <c r="B425">
        <v>7</v>
      </c>
      <c r="C425" s="23" t="s">
        <v>464</v>
      </c>
      <c r="D425" s="23">
        <v>7</v>
      </c>
      <c r="E425" s="15">
        <f>+SUMIF('GE16FEB14 Unfudged'!$A$2:$A$498, $A425, 'GE16FEB14 Unfudged'!$D$2:$D$498)</f>
        <v>336</v>
      </c>
      <c r="F425" s="15">
        <f>+SUMIF('GE16FEB14 Unfudged'!$A$2:$A$498, 'Tax Bill Summary'!$A425, 'GE16FEB14 Unfudged'!E$2:E$498)</f>
        <v>37823</v>
      </c>
      <c r="G425" s="13">
        <f>+SUMIF('GE16FEB14 Unfudged'!$A$2:$A$498, 'Tax Bill Summary'!$A425, 'GE16FEB14 Unfudged'!F$2:F$498)</f>
        <v>0</v>
      </c>
      <c r="H425" s="56">
        <f t="shared" si="254"/>
        <v>37823</v>
      </c>
      <c r="I425" s="51">
        <f>+SUMIF('GE16FEB14 Unfudged'!$A$2:$A$498, 'Tax Bill Summary'!$A425, 'GE16FEB14 Unfudged'!G$2:G$498)</f>
        <v>0</v>
      </c>
      <c r="J425" s="13">
        <f>+SUMIF('GE16FEB14 Unfudged'!$A$2:$A$498, 'Tax Bill Summary'!$A425, 'GE16FEB14 Unfudged'!H$2:H$498)</f>
        <v>0</v>
      </c>
      <c r="K425" s="56">
        <f t="shared" si="255"/>
        <v>0</v>
      </c>
      <c r="L425" s="51">
        <f>+SUMIF('GE16FEB14 Unfudged'!$A$2:$A$498, 'Tax Bill Summary'!$A425, 'GE16FEB14 Unfudged'!I$2:IF$498)</f>
        <v>0</v>
      </c>
      <c r="M425" s="13">
        <f>+SUMIF('GE16FEB14 Unfudged'!$A$2:$A$498, 'Tax Bill Summary'!$A425, 'GE16FEB14 Unfudged'!J$2:IG$498)</f>
        <v>0</v>
      </c>
      <c r="N425" s="56">
        <f t="shared" si="256"/>
        <v>0</v>
      </c>
      <c r="O425" s="51">
        <f t="shared" si="257"/>
        <v>37823</v>
      </c>
      <c r="P425" s="13">
        <f t="shared" si="258"/>
        <v>0</v>
      </c>
      <c r="Q425" s="56">
        <f t="shared" si="259"/>
        <v>37823</v>
      </c>
      <c r="R425" s="13">
        <f t="shared" si="260"/>
        <v>112.56845238095238</v>
      </c>
      <c r="S425" s="13">
        <f t="shared" si="261"/>
        <v>0</v>
      </c>
      <c r="T425" s="16">
        <f t="shared" si="262"/>
        <v>112.56845238095238</v>
      </c>
      <c r="U425" s="15">
        <f>+SUMIF('GE16FEB14 Tax Bill Unfudged'!$A$2:$A$498, 'Tax Bill Summary'!$A425, 'GE16FEB14 Tax Bill Unfudged'!E$2:E$498)</f>
        <v>38750</v>
      </c>
      <c r="V425" s="13">
        <f>+SUMIF('GE16FEB14 Tax Bill Unfudged'!$A$2:$A$498, 'Tax Bill Summary'!$A425, 'GE16FEB14 Tax Bill Unfudged'!F$2:F$498)</f>
        <v>0</v>
      </c>
      <c r="W425" s="56">
        <f t="shared" si="263"/>
        <v>38750</v>
      </c>
      <c r="X425" s="51">
        <f>+SUMIF('GE16FEB14 Tax Bill Unfudged'!$A$2:$A$498, 'Tax Bill Summary'!$A425, 'GE16FEB14 Tax Bill Unfudged'!G$2:G$498)</f>
        <v>0</v>
      </c>
      <c r="Y425" s="13">
        <f>+SUMIF('GE16FEB14 Tax Bill Unfudged'!$A$2:$A$498, 'Tax Bill Summary'!$A425, 'GE16FEB14 Tax Bill Unfudged'!H$2:H$498)</f>
        <v>0</v>
      </c>
      <c r="Z425" s="56">
        <f t="shared" si="264"/>
        <v>0</v>
      </c>
      <c r="AA425" s="51">
        <f>+SUMIF('GE16FEB14 Tax Bill Unfudged'!$A$2:$A$498, 'Tax Bill Summary'!$A425, 'GE16FEB14 Tax Bill Unfudged'!I$2:I$498)</f>
        <v>0</v>
      </c>
      <c r="AB425" s="13">
        <f>+SUMIF('GE16FEB14 Tax Bill Unfudged'!$A$2:$A$498, 'Tax Bill Summary'!$A425, 'GE16FEB14 Tax Bill Unfudged'!J$2:J$498)</f>
        <v>0</v>
      </c>
      <c r="AC425" s="56">
        <f t="shared" si="265"/>
        <v>0</v>
      </c>
      <c r="AD425" s="51">
        <f t="shared" si="266"/>
        <v>38750</v>
      </c>
      <c r="AE425" s="13">
        <f t="shared" si="267"/>
        <v>0</v>
      </c>
      <c r="AF425" s="56">
        <f t="shared" si="268"/>
        <v>38750</v>
      </c>
      <c r="AG425" s="13">
        <f t="shared" si="269"/>
        <v>115.32738095238095</v>
      </c>
      <c r="AH425" s="13">
        <f t="shared" si="270"/>
        <v>0</v>
      </c>
      <c r="AI425" s="16">
        <f t="shared" si="271"/>
        <v>115.32738095238095</v>
      </c>
      <c r="AJ425" s="15">
        <f t="shared" si="272"/>
        <v>927</v>
      </c>
      <c r="AK425" s="13">
        <f t="shared" si="273"/>
        <v>0</v>
      </c>
      <c r="AL425" s="56">
        <f t="shared" si="274"/>
        <v>927</v>
      </c>
      <c r="AM425" s="51">
        <f t="shared" si="275"/>
        <v>0</v>
      </c>
      <c r="AN425" s="13">
        <f t="shared" si="276"/>
        <v>0</v>
      </c>
      <c r="AO425" s="56">
        <f t="shared" si="277"/>
        <v>0</v>
      </c>
      <c r="AP425" s="51">
        <f t="shared" si="278"/>
        <v>0</v>
      </c>
      <c r="AQ425" s="13">
        <f t="shared" si="279"/>
        <v>0</v>
      </c>
      <c r="AR425" s="56">
        <f t="shared" si="280"/>
        <v>0</v>
      </c>
      <c r="AS425" s="51">
        <f t="shared" si="281"/>
        <v>927</v>
      </c>
      <c r="AT425" s="13">
        <f t="shared" si="282"/>
        <v>0</v>
      </c>
      <c r="AU425" s="56">
        <f t="shared" si="283"/>
        <v>927</v>
      </c>
      <c r="AV425" s="13">
        <f t="shared" si="284"/>
        <v>2.7589285714285694</v>
      </c>
      <c r="AW425" s="13">
        <f t="shared" si="285"/>
        <v>0</v>
      </c>
      <c r="AX425" s="16">
        <f t="shared" si="286"/>
        <v>2.7589285714285694</v>
      </c>
    </row>
    <row r="426" spans="1:50" x14ac:dyDescent="0.25">
      <c r="A426" s="20">
        <v>4105</v>
      </c>
      <c r="B426">
        <v>7</v>
      </c>
      <c r="C426" s="23" t="s">
        <v>61</v>
      </c>
      <c r="D426" s="23">
        <v>7</v>
      </c>
      <c r="E426" s="15">
        <f>+SUMIF('GE16FEB14 Unfudged'!$A$2:$A$498, $A426, 'GE16FEB14 Unfudged'!$D$2:$D$498)</f>
        <v>417</v>
      </c>
      <c r="F426" s="15">
        <f>+SUMIF('GE16FEB14 Unfudged'!$A$2:$A$498, 'Tax Bill Summary'!$A426, 'GE16FEB14 Unfudged'!E$2:E$498)</f>
        <v>46969</v>
      </c>
      <c r="G426" s="13">
        <f>+SUMIF('GE16FEB14 Unfudged'!$A$2:$A$498, 'Tax Bill Summary'!$A426, 'GE16FEB14 Unfudged'!F$2:F$498)</f>
        <v>0</v>
      </c>
      <c r="H426" s="56">
        <f t="shared" si="254"/>
        <v>46969</v>
      </c>
      <c r="I426" s="51">
        <f>+SUMIF('GE16FEB14 Unfudged'!$A$2:$A$498, 'Tax Bill Summary'!$A426, 'GE16FEB14 Unfudged'!G$2:G$498)</f>
        <v>0</v>
      </c>
      <c r="J426" s="13">
        <f>+SUMIF('GE16FEB14 Unfudged'!$A$2:$A$498, 'Tax Bill Summary'!$A426, 'GE16FEB14 Unfudged'!H$2:H$498)</f>
        <v>0</v>
      </c>
      <c r="K426" s="56">
        <f t="shared" si="255"/>
        <v>0</v>
      </c>
      <c r="L426" s="51">
        <f>+SUMIF('GE16FEB14 Unfudged'!$A$2:$A$498, 'Tax Bill Summary'!$A426, 'GE16FEB14 Unfudged'!I$2:IF$498)</f>
        <v>0</v>
      </c>
      <c r="M426" s="13">
        <f>+SUMIF('GE16FEB14 Unfudged'!$A$2:$A$498, 'Tax Bill Summary'!$A426, 'GE16FEB14 Unfudged'!J$2:IG$498)</f>
        <v>0</v>
      </c>
      <c r="N426" s="56">
        <f t="shared" si="256"/>
        <v>0</v>
      </c>
      <c r="O426" s="51">
        <f t="shared" si="257"/>
        <v>46969</v>
      </c>
      <c r="P426" s="13">
        <f t="shared" si="258"/>
        <v>0</v>
      </c>
      <c r="Q426" s="56">
        <f t="shared" si="259"/>
        <v>46969</v>
      </c>
      <c r="R426" s="13">
        <f t="shared" si="260"/>
        <v>112.63549160671462</v>
      </c>
      <c r="S426" s="13">
        <f t="shared" si="261"/>
        <v>0</v>
      </c>
      <c r="T426" s="16">
        <f t="shared" si="262"/>
        <v>112.63549160671462</v>
      </c>
      <c r="U426" s="15">
        <f>+SUMIF('GE16FEB14 Tax Bill Unfudged'!$A$2:$A$498, 'Tax Bill Summary'!$A426, 'GE16FEB14 Tax Bill Unfudged'!E$2:E$498)</f>
        <v>48121</v>
      </c>
      <c r="V426" s="13">
        <f>+SUMIF('GE16FEB14 Tax Bill Unfudged'!$A$2:$A$498, 'Tax Bill Summary'!$A426, 'GE16FEB14 Tax Bill Unfudged'!F$2:F$498)</f>
        <v>0</v>
      </c>
      <c r="W426" s="56">
        <f t="shared" si="263"/>
        <v>48121</v>
      </c>
      <c r="X426" s="51">
        <f>+SUMIF('GE16FEB14 Tax Bill Unfudged'!$A$2:$A$498, 'Tax Bill Summary'!$A426, 'GE16FEB14 Tax Bill Unfudged'!G$2:G$498)</f>
        <v>0</v>
      </c>
      <c r="Y426" s="13">
        <f>+SUMIF('GE16FEB14 Tax Bill Unfudged'!$A$2:$A$498, 'Tax Bill Summary'!$A426, 'GE16FEB14 Tax Bill Unfudged'!H$2:H$498)</f>
        <v>0</v>
      </c>
      <c r="Z426" s="56">
        <f t="shared" si="264"/>
        <v>0</v>
      </c>
      <c r="AA426" s="51">
        <f>+SUMIF('GE16FEB14 Tax Bill Unfudged'!$A$2:$A$498, 'Tax Bill Summary'!$A426, 'GE16FEB14 Tax Bill Unfudged'!I$2:I$498)</f>
        <v>0</v>
      </c>
      <c r="AB426" s="13">
        <f>+SUMIF('GE16FEB14 Tax Bill Unfudged'!$A$2:$A$498, 'Tax Bill Summary'!$A426, 'GE16FEB14 Tax Bill Unfudged'!J$2:J$498)</f>
        <v>0</v>
      </c>
      <c r="AC426" s="56">
        <f t="shared" si="265"/>
        <v>0</v>
      </c>
      <c r="AD426" s="51">
        <f t="shared" si="266"/>
        <v>48121</v>
      </c>
      <c r="AE426" s="13">
        <f t="shared" si="267"/>
        <v>0</v>
      </c>
      <c r="AF426" s="56">
        <f t="shared" si="268"/>
        <v>48121</v>
      </c>
      <c r="AG426" s="13">
        <f t="shared" si="269"/>
        <v>115.39808153477219</v>
      </c>
      <c r="AH426" s="13">
        <f t="shared" si="270"/>
        <v>0</v>
      </c>
      <c r="AI426" s="16">
        <f t="shared" si="271"/>
        <v>115.39808153477219</v>
      </c>
      <c r="AJ426" s="15">
        <f t="shared" si="272"/>
        <v>1152</v>
      </c>
      <c r="AK426" s="13">
        <f t="shared" si="273"/>
        <v>0</v>
      </c>
      <c r="AL426" s="56">
        <f t="shared" si="274"/>
        <v>1152</v>
      </c>
      <c r="AM426" s="51">
        <f t="shared" si="275"/>
        <v>0</v>
      </c>
      <c r="AN426" s="13">
        <f t="shared" si="276"/>
        <v>0</v>
      </c>
      <c r="AO426" s="56">
        <f t="shared" si="277"/>
        <v>0</v>
      </c>
      <c r="AP426" s="51">
        <f t="shared" si="278"/>
        <v>0</v>
      </c>
      <c r="AQ426" s="13">
        <f t="shared" si="279"/>
        <v>0</v>
      </c>
      <c r="AR426" s="56">
        <f t="shared" si="280"/>
        <v>0</v>
      </c>
      <c r="AS426" s="51">
        <f t="shared" si="281"/>
        <v>1152</v>
      </c>
      <c r="AT426" s="13">
        <f t="shared" si="282"/>
        <v>0</v>
      </c>
      <c r="AU426" s="56">
        <f t="shared" si="283"/>
        <v>1152</v>
      </c>
      <c r="AV426" s="13">
        <f t="shared" si="284"/>
        <v>2.7625899280575652</v>
      </c>
      <c r="AW426" s="13">
        <f t="shared" si="285"/>
        <v>0</v>
      </c>
      <c r="AX426" s="16">
        <f t="shared" si="286"/>
        <v>2.7625899280575652</v>
      </c>
    </row>
    <row r="427" spans="1:50" x14ac:dyDescent="0.25">
      <c r="A427" s="20">
        <v>4106</v>
      </c>
      <c r="B427">
        <v>7</v>
      </c>
      <c r="C427" s="23" t="s">
        <v>62</v>
      </c>
      <c r="D427" s="23">
        <v>7</v>
      </c>
      <c r="E427" s="15">
        <f>+SUMIF('GE16FEB14 Unfudged'!$A$2:$A$498, $A427, 'GE16FEB14 Unfudged'!$D$2:$D$498)</f>
        <v>265</v>
      </c>
      <c r="F427" s="15">
        <f>+SUMIF('GE16FEB14 Unfudged'!$A$2:$A$498, 'Tax Bill Summary'!$A427, 'GE16FEB14 Unfudged'!E$2:E$498)</f>
        <v>29785</v>
      </c>
      <c r="G427" s="13">
        <f>+SUMIF('GE16FEB14 Unfudged'!$A$2:$A$498, 'Tax Bill Summary'!$A427, 'GE16FEB14 Unfudged'!F$2:F$498)</f>
        <v>0</v>
      </c>
      <c r="H427" s="56">
        <f t="shared" si="254"/>
        <v>29785</v>
      </c>
      <c r="I427" s="51">
        <f>+SUMIF('GE16FEB14 Unfudged'!$A$2:$A$498, 'Tax Bill Summary'!$A427, 'GE16FEB14 Unfudged'!G$2:G$498)</f>
        <v>0</v>
      </c>
      <c r="J427" s="13">
        <f>+SUMIF('GE16FEB14 Unfudged'!$A$2:$A$498, 'Tax Bill Summary'!$A427, 'GE16FEB14 Unfudged'!H$2:H$498)</f>
        <v>0</v>
      </c>
      <c r="K427" s="56">
        <f t="shared" si="255"/>
        <v>0</v>
      </c>
      <c r="L427" s="51">
        <f>+SUMIF('GE16FEB14 Unfudged'!$A$2:$A$498, 'Tax Bill Summary'!$A427, 'GE16FEB14 Unfudged'!I$2:IF$498)</f>
        <v>0</v>
      </c>
      <c r="M427" s="13">
        <f>+SUMIF('GE16FEB14 Unfudged'!$A$2:$A$498, 'Tax Bill Summary'!$A427, 'GE16FEB14 Unfudged'!J$2:IG$498)</f>
        <v>0</v>
      </c>
      <c r="N427" s="56">
        <f t="shared" si="256"/>
        <v>0</v>
      </c>
      <c r="O427" s="51">
        <f t="shared" si="257"/>
        <v>29785</v>
      </c>
      <c r="P427" s="13">
        <f t="shared" si="258"/>
        <v>0</v>
      </c>
      <c r="Q427" s="56">
        <f t="shared" si="259"/>
        <v>29785</v>
      </c>
      <c r="R427" s="13">
        <f t="shared" si="260"/>
        <v>112.39622641509433</v>
      </c>
      <c r="S427" s="13">
        <f t="shared" si="261"/>
        <v>0</v>
      </c>
      <c r="T427" s="16">
        <f t="shared" si="262"/>
        <v>112.39622641509433</v>
      </c>
      <c r="U427" s="15">
        <f>+SUMIF('GE16FEB14 Tax Bill Unfudged'!$A$2:$A$498, 'Tax Bill Summary'!$A427, 'GE16FEB14 Tax Bill Unfudged'!E$2:E$498)</f>
        <v>30516</v>
      </c>
      <c r="V427" s="13">
        <f>+SUMIF('GE16FEB14 Tax Bill Unfudged'!$A$2:$A$498, 'Tax Bill Summary'!$A427, 'GE16FEB14 Tax Bill Unfudged'!F$2:F$498)</f>
        <v>0</v>
      </c>
      <c r="W427" s="56">
        <f t="shared" si="263"/>
        <v>30516</v>
      </c>
      <c r="X427" s="51">
        <f>+SUMIF('GE16FEB14 Tax Bill Unfudged'!$A$2:$A$498, 'Tax Bill Summary'!$A427, 'GE16FEB14 Tax Bill Unfudged'!G$2:G$498)</f>
        <v>0</v>
      </c>
      <c r="Y427" s="13">
        <f>+SUMIF('GE16FEB14 Tax Bill Unfudged'!$A$2:$A$498, 'Tax Bill Summary'!$A427, 'GE16FEB14 Tax Bill Unfudged'!H$2:H$498)</f>
        <v>0</v>
      </c>
      <c r="Z427" s="56">
        <f t="shared" si="264"/>
        <v>0</v>
      </c>
      <c r="AA427" s="51">
        <f>+SUMIF('GE16FEB14 Tax Bill Unfudged'!$A$2:$A$498, 'Tax Bill Summary'!$A427, 'GE16FEB14 Tax Bill Unfudged'!I$2:I$498)</f>
        <v>0</v>
      </c>
      <c r="AB427" s="13">
        <f>+SUMIF('GE16FEB14 Tax Bill Unfudged'!$A$2:$A$498, 'Tax Bill Summary'!$A427, 'GE16FEB14 Tax Bill Unfudged'!J$2:J$498)</f>
        <v>0</v>
      </c>
      <c r="AC427" s="56">
        <f t="shared" si="265"/>
        <v>0</v>
      </c>
      <c r="AD427" s="51">
        <f t="shared" si="266"/>
        <v>30516</v>
      </c>
      <c r="AE427" s="13">
        <f t="shared" si="267"/>
        <v>0</v>
      </c>
      <c r="AF427" s="56">
        <f t="shared" si="268"/>
        <v>30516</v>
      </c>
      <c r="AG427" s="13">
        <f t="shared" si="269"/>
        <v>115.15471698113207</v>
      </c>
      <c r="AH427" s="13">
        <f t="shared" si="270"/>
        <v>0</v>
      </c>
      <c r="AI427" s="16">
        <f t="shared" si="271"/>
        <v>115.15471698113207</v>
      </c>
      <c r="AJ427" s="15">
        <f t="shared" si="272"/>
        <v>731</v>
      </c>
      <c r="AK427" s="13">
        <f t="shared" si="273"/>
        <v>0</v>
      </c>
      <c r="AL427" s="56">
        <f t="shared" si="274"/>
        <v>731</v>
      </c>
      <c r="AM427" s="51">
        <f t="shared" si="275"/>
        <v>0</v>
      </c>
      <c r="AN427" s="13">
        <f t="shared" si="276"/>
        <v>0</v>
      </c>
      <c r="AO427" s="56">
        <f t="shared" si="277"/>
        <v>0</v>
      </c>
      <c r="AP427" s="51">
        <f t="shared" si="278"/>
        <v>0</v>
      </c>
      <c r="AQ427" s="13">
        <f t="shared" si="279"/>
        <v>0</v>
      </c>
      <c r="AR427" s="56">
        <f t="shared" si="280"/>
        <v>0</v>
      </c>
      <c r="AS427" s="51">
        <f t="shared" si="281"/>
        <v>731</v>
      </c>
      <c r="AT427" s="13">
        <f t="shared" si="282"/>
        <v>0</v>
      </c>
      <c r="AU427" s="56">
        <f t="shared" si="283"/>
        <v>731</v>
      </c>
      <c r="AV427" s="13">
        <f t="shared" si="284"/>
        <v>2.7584905660377359</v>
      </c>
      <c r="AW427" s="13">
        <f t="shared" si="285"/>
        <v>0</v>
      </c>
      <c r="AX427" s="16">
        <f t="shared" si="286"/>
        <v>2.7584905660377359</v>
      </c>
    </row>
    <row r="428" spans="1:50" x14ac:dyDescent="0.25">
      <c r="A428" s="20">
        <v>4107</v>
      </c>
      <c r="B428">
        <v>7</v>
      </c>
      <c r="C428" s="23" t="s">
        <v>63</v>
      </c>
      <c r="D428" s="23">
        <v>7</v>
      </c>
      <c r="E428" s="15">
        <f>+SUMIF('GE16FEB14 Unfudged'!$A$2:$A$498, $A428, 'GE16FEB14 Unfudged'!$D$2:$D$498)</f>
        <v>120</v>
      </c>
      <c r="F428" s="15">
        <f>+SUMIF('GE16FEB14 Unfudged'!$A$2:$A$498, 'Tax Bill Summary'!$A428, 'GE16FEB14 Unfudged'!E$2:E$498)</f>
        <v>13508</v>
      </c>
      <c r="G428" s="13">
        <f>+SUMIF('GE16FEB14 Unfudged'!$A$2:$A$498, 'Tax Bill Summary'!$A428, 'GE16FEB14 Unfudged'!F$2:F$498)</f>
        <v>0</v>
      </c>
      <c r="H428" s="56">
        <f t="shared" si="254"/>
        <v>13508</v>
      </c>
      <c r="I428" s="51">
        <f>+SUMIF('GE16FEB14 Unfudged'!$A$2:$A$498, 'Tax Bill Summary'!$A428, 'GE16FEB14 Unfudged'!G$2:G$498)</f>
        <v>0</v>
      </c>
      <c r="J428" s="13">
        <f>+SUMIF('GE16FEB14 Unfudged'!$A$2:$A$498, 'Tax Bill Summary'!$A428, 'GE16FEB14 Unfudged'!H$2:H$498)</f>
        <v>0</v>
      </c>
      <c r="K428" s="56">
        <f t="shared" si="255"/>
        <v>0</v>
      </c>
      <c r="L428" s="51">
        <f>+SUMIF('GE16FEB14 Unfudged'!$A$2:$A$498, 'Tax Bill Summary'!$A428, 'GE16FEB14 Unfudged'!I$2:IF$498)</f>
        <v>0</v>
      </c>
      <c r="M428" s="13">
        <f>+SUMIF('GE16FEB14 Unfudged'!$A$2:$A$498, 'Tax Bill Summary'!$A428, 'GE16FEB14 Unfudged'!J$2:IG$498)</f>
        <v>0</v>
      </c>
      <c r="N428" s="56">
        <f t="shared" si="256"/>
        <v>0</v>
      </c>
      <c r="O428" s="51">
        <f t="shared" si="257"/>
        <v>13508</v>
      </c>
      <c r="P428" s="13">
        <f t="shared" si="258"/>
        <v>0</v>
      </c>
      <c r="Q428" s="56">
        <f t="shared" si="259"/>
        <v>13508</v>
      </c>
      <c r="R428" s="13">
        <f t="shared" si="260"/>
        <v>112.56666666666666</v>
      </c>
      <c r="S428" s="13">
        <f t="shared" si="261"/>
        <v>0</v>
      </c>
      <c r="T428" s="16">
        <f t="shared" si="262"/>
        <v>112.56666666666666</v>
      </c>
      <c r="U428" s="15">
        <f>+SUMIF('GE16FEB14 Tax Bill Unfudged'!$A$2:$A$498, 'Tax Bill Summary'!$A428, 'GE16FEB14 Tax Bill Unfudged'!E$2:E$498)</f>
        <v>13839</v>
      </c>
      <c r="V428" s="13">
        <f>+SUMIF('GE16FEB14 Tax Bill Unfudged'!$A$2:$A$498, 'Tax Bill Summary'!$A428, 'GE16FEB14 Tax Bill Unfudged'!F$2:F$498)</f>
        <v>0</v>
      </c>
      <c r="W428" s="56">
        <f t="shared" si="263"/>
        <v>13839</v>
      </c>
      <c r="X428" s="51">
        <f>+SUMIF('GE16FEB14 Tax Bill Unfudged'!$A$2:$A$498, 'Tax Bill Summary'!$A428, 'GE16FEB14 Tax Bill Unfudged'!G$2:G$498)</f>
        <v>0</v>
      </c>
      <c r="Y428" s="13">
        <f>+SUMIF('GE16FEB14 Tax Bill Unfudged'!$A$2:$A$498, 'Tax Bill Summary'!$A428, 'GE16FEB14 Tax Bill Unfudged'!H$2:H$498)</f>
        <v>0</v>
      </c>
      <c r="Z428" s="56">
        <f t="shared" si="264"/>
        <v>0</v>
      </c>
      <c r="AA428" s="51">
        <f>+SUMIF('GE16FEB14 Tax Bill Unfudged'!$A$2:$A$498, 'Tax Bill Summary'!$A428, 'GE16FEB14 Tax Bill Unfudged'!I$2:I$498)</f>
        <v>0</v>
      </c>
      <c r="AB428" s="13">
        <f>+SUMIF('GE16FEB14 Tax Bill Unfudged'!$A$2:$A$498, 'Tax Bill Summary'!$A428, 'GE16FEB14 Tax Bill Unfudged'!J$2:J$498)</f>
        <v>0</v>
      </c>
      <c r="AC428" s="56">
        <f t="shared" si="265"/>
        <v>0</v>
      </c>
      <c r="AD428" s="51">
        <f t="shared" si="266"/>
        <v>13839</v>
      </c>
      <c r="AE428" s="13">
        <f t="shared" si="267"/>
        <v>0</v>
      </c>
      <c r="AF428" s="56">
        <f t="shared" si="268"/>
        <v>13839</v>
      </c>
      <c r="AG428" s="13">
        <f t="shared" si="269"/>
        <v>115.325</v>
      </c>
      <c r="AH428" s="13">
        <f t="shared" si="270"/>
        <v>0</v>
      </c>
      <c r="AI428" s="16">
        <f t="shared" si="271"/>
        <v>115.325</v>
      </c>
      <c r="AJ428" s="15">
        <f t="shared" si="272"/>
        <v>331</v>
      </c>
      <c r="AK428" s="13">
        <f t="shared" si="273"/>
        <v>0</v>
      </c>
      <c r="AL428" s="56">
        <f t="shared" si="274"/>
        <v>331</v>
      </c>
      <c r="AM428" s="51">
        <f t="shared" si="275"/>
        <v>0</v>
      </c>
      <c r="AN428" s="13">
        <f t="shared" si="276"/>
        <v>0</v>
      </c>
      <c r="AO428" s="56">
        <f t="shared" si="277"/>
        <v>0</v>
      </c>
      <c r="AP428" s="51">
        <f t="shared" si="278"/>
        <v>0</v>
      </c>
      <c r="AQ428" s="13">
        <f t="shared" si="279"/>
        <v>0</v>
      </c>
      <c r="AR428" s="56">
        <f t="shared" si="280"/>
        <v>0</v>
      </c>
      <c r="AS428" s="51">
        <f t="shared" si="281"/>
        <v>331</v>
      </c>
      <c r="AT428" s="13">
        <f t="shared" si="282"/>
        <v>0</v>
      </c>
      <c r="AU428" s="56">
        <f t="shared" si="283"/>
        <v>331</v>
      </c>
      <c r="AV428" s="13">
        <f t="shared" si="284"/>
        <v>2.75833333333334</v>
      </c>
      <c r="AW428" s="13">
        <f t="shared" si="285"/>
        <v>0</v>
      </c>
      <c r="AX428" s="16">
        <f t="shared" si="286"/>
        <v>2.75833333333334</v>
      </c>
    </row>
    <row r="429" spans="1:50" x14ac:dyDescent="0.25">
      <c r="A429" s="20">
        <v>4108</v>
      </c>
      <c r="B429">
        <v>7</v>
      </c>
      <c r="C429" s="23" t="s">
        <v>492</v>
      </c>
      <c r="D429" s="23">
        <v>7</v>
      </c>
      <c r="E429" s="15">
        <f>+SUMIF('GE16FEB14 Unfudged'!$A$2:$A$498, $A429, 'GE16FEB14 Unfudged'!$D$2:$D$498)</f>
        <v>0</v>
      </c>
      <c r="F429" s="15">
        <f>+SUMIF('GE16FEB14 Unfudged'!$A$2:$A$498, 'Tax Bill Summary'!$A429, 'GE16FEB14 Unfudged'!E$2:E$498)</f>
        <v>0</v>
      </c>
      <c r="G429" s="13">
        <f>+SUMIF('GE16FEB14 Unfudged'!$A$2:$A$498, 'Tax Bill Summary'!$A429, 'GE16FEB14 Unfudged'!F$2:F$498)</f>
        <v>0</v>
      </c>
      <c r="H429" s="56">
        <f t="shared" si="254"/>
        <v>0</v>
      </c>
      <c r="I429" s="51">
        <f>+SUMIF('GE16FEB14 Unfudged'!$A$2:$A$498, 'Tax Bill Summary'!$A429, 'GE16FEB14 Unfudged'!G$2:G$498)</f>
        <v>0</v>
      </c>
      <c r="J429" s="13">
        <f>+SUMIF('GE16FEB14 Unfudged'!$A$2:$A$498, 'Tax Bill Summary'!$A429, 'GE16FEB14 Unfudged'!H$2:H$498)</f>
        <v>0</v>
      </c>
      <c r="K429" s="56">
        <f t="shared" si="255"/>
        <v>0</v>
      </c>
      <c r="L429" s="51">
        <f>+SUMIF('GE16FEB14 Unfudged'!$A$2:$A$498, 'Tax Bill Summary'!$A429, 'GE16FEB14 Unfudged'!I$2:IF$498)</f>
        <v>0</v>
      </c>
      <c r="M429" s="13">
        <f>+SUMIF('GE16FEB14 Unfudged'!$A$2:$A$498, 'Tax Bill Summary'!$A429, 'GE16FEB14 Unfudged'!J$2:IG$498)</f>
        <v>0</v>
      </c>
      <c r="N429" s="56">
        <f t="shared" si="256"/>
        <v>0</v>
      </c>
      <c r="O429" s="51">
        <f t="shared" si="257"/>
        <v>0</v>
      </c>
      <c r="P429" s="13">
        <f t="shared" si="258"/>
        <v>0</v>
      </c>
      <c r="Q429" s="56">
        <f t="shared" si="259"/>
        <v>0</v>
      </c>
      <c r="R429" s="13">
        <f t="shared" si="260"/>
        <v>0</v>
      </c>
      <c r="S429" s="13">
        <f t="shared" si="261"/>
        <v>0</v>
      </c>
      <c r="T429" s="16">
        <f t="shared" si="262"/>
        <v>0</v>
      </c>
      <c r="U429" s="15">
        <f>+SUMIF('GE16FEB14 Tax Bill Unfudged'!$A$2:$A$498, 'Tax Bill Summary'!$A429, 'GE16FEB14 Tax Bill Unfudged'!E$2:E$498)</f>
        <v>0</v>
      </c>
      <c r="V429" s="13">
        <f>+SUMIF('GE16FEB14 Tax Bill Unfudged'!$A$2:$A$498, 'Tax Bill Summary'!$A429, 'GE16FEB14 Tax Bill Unfudged'!F$2:F$498)</f>
        <v>0</v>
      </c>
      <c r="W429" s="56">
        <f t="shared" si="263"/>
        <v>0</v>
      </c>
      <c r="X429" s="51">
        <f>+SUMIF('GE16FEB14 Tax Bill Unfudged'!$A$2:$A$498, 'Tax Bill Summary'!$A429, 'GE16FEB14 Tax Bill Unfudged'!G$2:G$498)</f>
        <v>0</v>
      </c>
      <c r="Y429" s="13">
        <f>+SUMIF('GE16FEB14 Tax Bill Unfudged'!$A$2:$A$498, 'Tax Bill Summary'!$A429, 'GE16FEB14 Tax Bill Unfudged'!H$2:H$498)</f>
        <v>0</v>
      </c>
      <c r="Z429" s="56">
        <f t="shared" si="264"/>
        <v>0</v>
      </c>
      <c r="AA429" s="51">
        <f>+SUMIF('GE16FEB14 Tax Bill Unfudged'!$A$2:$A$498, 'Tax Bill Summary'!$A429, 'GE16FEB14 Tax Bill Unfudged'!I$2:I$498)</f>
        <v>0</v>
      </c>
      <c r="AB429" s="13">
        <f>+SUMIF('GE16FEB14 Tax Bill Unfudged'!$A$2:$A$498, 'Tax Bill Summary'!$A429, 'GE16FEB14 Tax Bill Unfudged'!J$2:J$498)</f>
        <v>0</v>
      </c>
      <c r="AC429" s="56">
        <f t="shared" si="265"/>
        <v>0</v>
      </c>
      <c r="AD429" s="51">
        <f t="shared" si="266"/>
        <v>0</v>
      </c>
      <c r="AE429" s="13">
        <f t="shared" si="267"/>
        <v>0</v>
      </c>
      <c r="AF429" s="56">
        <f t="shared" si="268"/>
        <v>0</v>
      </c>
      <c r="AG429" s="13">
        <f t="shared" si="269"/>
        <v>0</v>
      </c>
      <c r="AH429" s="13">
        <f t="shared" si="270"/>
        <v>0</v>
      </c>
      <c r="AI429" s="16">
        <f t="shared" si="271"/>
        <v>0</v>
      </c>
      <c r="AJ429" s="15">
        <f t="shared" si="272"/>
        <v>0</v>
      </c>
      <c r="AK429" s="13">
        <f t="shared" si="273"/>
        <v>0</v>
      </c>
      <c r="AL429" s="56">
        <f t="shared" si="274"/>
        <v>0</v>
      </c>
      <c r="AM429" s="51">
        <f t="shared" si="275"/>
        <v>0</v>
      </c>
      <c r="AN429" s="13">
        <f t="shared" si="276"/>
        <v>0</v>
      </c>
      <c r="AO429" s="56">
        <f t="shared" si="277"/>
        <v>0</v>
      </c>
      <c r="AP429" s="51">
        <f t="shared" si="278"/>
        <v>0</v>
      </c>
      <c r="AQ429" s="13">
        <f t="shared" si="279"/>
        <v>0</v>
      </c>
      <c r="AR429" s="56">
        <f t="shared" si="280"/>
        <v>0</v>
      </c>
      <c r="AS429" s="51">
        <f t="shared" si="281"/>
        <v>0</v>
      </c>
      <c r="AT429" s="13">
        <f t="shared" si="282"/>
        <v>0</v>
      </c>
      <c r="AU429" s="56">
        <f t="shared" si="283"/>
        <v>0</v>
      </c>
      <c r="AV429" s="13">
        <f t="shared" si="284"/>
        <v>0</v>
      </c>
      <c r="AW429" s="13">
        <f t="shared" si="285"/>
        <v>0</v>
      </c>
      <c r="AX429" s="16">
        <f t="shared" si="286"/>
        <v>0</v>
      </c>
    </row>
    <row r="430" spans="1:50" x14ac:dyDescent="0.25">
      <c r="A430" s="20">
        <v>4109</v>
      </c>
      <c r="B430">
        <v>7</v>
      </c>
      <c r="C430" s="23" t="s">
        <v>64</v>
      </c>
      <c r="D430" s="23">
        <v>7</v>
      </c>
      <c r="E430" s="15">
        <f>+SUMIF('GE16FEB14 Unfudged'!$A$2:$A$498, $A430, 'GE16FEB14 Unfudged'!$D$2:$D$498)</f>
        <v>0</v>
      </c>
      <c r="F430" s="15">
        <f>+SUMIF('GE16FEB14 Unfudged'!$A$2:$A$498, 'Tax Bill Summary'!$A430, 'GE16FEB14 Unfudged'!E$2:E$498)</f>
        <v>0</v>
      </c>
      <c r="G430" s="13">
        <f>+SUMIF('GE16FEB14 Unfudged'!$A$2:$A$498, 'Tax Bill Summary'!$A430, 'GE16FEB14 Unfudged'!F$2:F$498)</f>
        <v>0</v>
      </c>
      <c r="H430" s="56">
        <f t="shared" si="254"/>
        <v>0</v>
      </c>
      <c r="I430" s="51">
        <f>+SUMIF('GE16FEB14 Unfudged'!$A$2:$A$498, 'Tax Bill Summary'!$A430, 'GE16FEB14 Unfudged'!G$2:G$498)</f>
        <v>0</v>
      </c>
      <c r="J430" s="13">
        <f>+SUMIF('GE16FEB14 Unfudged'!$A$2:$A$498, 'Tax Bill Summary'!$A430, 'GE16FEB14 Unfudged'!H$2:H$498)</f>
        <v>0</v>
      </c>
      <c r="K430" s="56">
        <f t="shared" si="255"/>
        <v>0</v>
      </c>
      <c r="L430" s="51">
        <f>+SUMIF('GE16FEB14 Unfudged'!$A$2:$A$498, 'Tax Bill Summary'!$A430, 'GE16FEB14 Unfudged'!I$2:IF$498)</f>
        <v>0</v>
      </c>
      <c r="M430" s="13">
        <f>+SUMIF('GE16FEB14 Unfudged'!$A$2:$A$498, 'Tax Bill Summary'!$A430, 'GE16FEB14 Unfudged'!J$2:IG$498)</f>
        <v>0</v>
      </c>
      <c r="N430" s="56">
        <f t="shared" si="256"/>
        <v>0</v>
      </c>
      <c r="O430" s="51">
        <f t="shared" si="257"/>
        <v>0</v>
      </c>
      <c r="P430" s="13">
        <f t="shared" si="258"/>
        <v>0</v>
      </c>
      <c r="Q430" s="56">
        <f t="shared" si="259"/>
        <v>0</v>
      </c>
      <c r="R430" s="13">
        <f t="shared" si="260"/>
        <v>0</v>
      </c>
      <c r="S430" s="13">
        <f t="shared" si="261"/>
        <v>0</v>
      </c>
      <c r="T430" s="16">
        <f t="shared" si="262"/>
        <v>0</v>
      </c>
      <c r="U430" s="15">
        <f>+SUMIF('GE16FEB14 Tax Bill Unfudged'!$A$2:$A$498, 'Tax Bill Summary'!$A430, 'GE16FEB14 Tax Bill Unfudged'!E$2:E$498)</f>
        <v>0</v>
      </c>
      <c r="V430" s="13">
        <f>+SUMIF('GE16FEB14 Tax Bill Unfudged'!$A$2:$A$498, 'Tax Bill Summary'!$A430, 'GE16FEB14 Tax Bill Unfudged'!F$2:F$498)</f>
        <v>0</v>
      </c>
      <c r="W430" s="56">
        <f t="shared" si="263"/>
        <v>0</v>
      </c>
      <c r="X430" s="51">
        <f>+SUMIF('GE16FEB14 Tax Bill Unfudged'!$A$2:$A$498, 'Tax Bill Summary'!$A430, 'GE16FEB14 Tax Bill Unfudged'!G$2:G$498)</f>
        <v>0</v>
      </c>
      <c r="Y430" s="13">
        <f>+SUMIF('GE16FEB14 Tax Bill Unfudged'!$A$2:$A$498, 'Tax Bill Summary'!$A430, 'GE16FEB14 Tax Bill Unfudged'!H$2:H$498)</f>
        <v>0</v>
      </c>
      <c r="Z430" s="56">
        <f t="shared" si="264"/>
        <v>0</v>
      </c>
      <c r="AA430" s="51">
        <f>+SUMIF('GE16FEB14 Tax Bill Unfudged'!$A$2:$A$498, 'Tax Bill Summary'!$A430, 'GE16FEB14 Tax Bill Unfudged'!I$2:I$498)</f>
        <v>0</v>
      </c>
      <c r="AB430" s="13">
        <f>+SUMIF('GE16FEB14 Tax Bill Unfudged'!$A$2:$A$498, 'Tax Bill Summary'!$A430, 'GE16FEB14 Tax Bill Unfudged'!J$2:J$498)</f>
        <v>0</v>
      </c>
      <c r="AC430" s="56">
        <f t="shared" si="265"/>
        <v>0</v>
      </c>
      <c r="AD430" s="51">
        <f t="shared" si="266"/>
        <v>0</v>
      </c>
      <c r="AE430" s="13">
        <f t="shared" si="267"/>
        <v>0</v>
      </c>
      <c r="AF430" s="56">
        <f t="shared" si="268"/>
        <v>0</v>
      </c>
      <c r="AG430" s="13">
        <f t="shared" si="269"/>
        <v>0</v>
      </c>
      <c r="AH430" s="13">
        <f t="shared" si="270"/>
        <v>0</v>
      </c>
      <c r="AI430" s="16">
        <f t="shared" si="271"/>
        <v>0</v>
      </c>
      <c r="AJ430" s="15">
        <f t="shared" si="272"/>
        <v>0</v>
      </c>
      <c r="AK430" s="13">
        <f t="shared" si="273"/>
        <v>0</v>
      </c>
      <c r="AL430" s="56">
        <f t="shared" si="274"/>
        <v>0</v>
      </c>
      <c r="AM430" s="51">
        <f t="shared" si="275"/>
        <v>0</v>
      </c>
      <c r="AN430" s="13">
        <f t="shared" si="276"/>
        <v>0</v>
      </c>
      <c r="AO430" s="56">
        <f t="shared" si="277"/>
        <v>0</v>
      </c>
      <c r="AP430" s="51">
        <f t="shared" si="278"/>
        <v>0</v>
      </c>
      <c r="AQ430" s="13">
        <f t="shared" si="279"/>
        <v>0</v>
      </c>
      <c r="AR430" s="56">
        <f t="shared" si="280"/>
        <v>0</v>
      </c>
      <c r="AS430" s="51">
        <f t="shared" si="281"/>
        <v>0</v>
      </c>
      <c r="AT430" s="13">
        <f t="shared" si="282"/>
        <v>0</v>
      </c>
      <c r="AU430" s="56">
        <f t="shared" si="283"/>
        <v>0</v>
      </c>
      <c r="AV430" s="13">
        <f t="shared" si="284"/>
        <v>0</v>
      </c>
      <c r="AW430" s="13">
        <f t="shared" si="285"/>
        <v>0</v>
      </c>
      <c r="AX430" s="16">
        <f t="shared" si="286"/>
        <v>0</v>
      </c>
    </row>
    <row r="431" spans="1:50" x14ac:dyDescent="0.25">
      <c r="A431" s="20">
        <v>4110</v>
      </c>
      <c r="B431">
        <v>7</v>
      </c>
      <c r="C431" s="23" t="s">
        <v>493</v>
      </c>
      <c r="D431" s="23">
        <v>7</v>
      </c>
      <c r="E431" s="15">
        <f>+SUMIF('GE16FEB14 Unfudged'!$A$2:$A$498, $A431, 'GE16FEB14 Unfudged'!$D$2:$D$498)</f>
        <v>336</v>
      </c>
      <c r="F431" s="15">
        <f>+SUMIF('GE16FEB14 Unfudged'!$A$2:$A$498, 'Tax Bill Summary'!$A431, 'GE16FEB14 Unfudged'!E$2:E$498)</f>
        <v>37823</v>
      </c>
      <c r="G431" s="13">
        <f>+SUMIF('GE16FEB14 Unfudged'!$A$2:$A$498, 'Tax Bill Summary'!$A431, 'GE16FEB14 Unfudged'!F$2:F$498)</f>
        <v>0</v>
      </c>
      <c r="H431" s="56">
        <f t="shared" si="254"/>
        <v>37823</v>
      </c>
      <c r="I431" s="51">
        <f>+SUMIF('GE16FEB14 Unfudged'!$A$2:$A$498, 'Tax Bill Summary'!$A431, 'GE16FEB14 Unfudged'!G$2:G$498)</f>
        <v>0</v>
      </c>
      <c r="J431" s="13">
        <f>+SUMIF('GE16FEB14 Unfudged'!$A$2:$A$498, 'Tax Bill Summary'!$A431, 'GE16FEB14 Unfudged'!H$2:H$498)</f>
        <v>0</v>
      </c>
      <c r="K431" s="56">
        <f t="shared" si="255"/>
        <v>0</v>
      </c>
      <c r="L431" s="51">
        <f>+SUMIF('GE16FEB14 Unfudged'!$A$2:$A$498, 'Tax Bill Summary'!$A431, 'GE16FEB14 Unfudged'!I$2:IF$498)</f>
        <v>0</v>
      </c>
      <c r="M431" s="13">
        <f>+SUMIF('GE16FEB14 Unfudged'!$A$2:$A$498, 'Tax Bill Summary'!$A431, 'GE16FEB14 Unfudged'!J$2:IG$498)</f>
        <v>0</v>
      </c>
      <c r="N431" s="56">
        <f t="shared" si="256"/>
        <v>0</v>
      </c>
      <c r="O431" s="51">
        <f t="shared" si="257"/>
        <v>37823</v>
      </c>
      <c r="P431" s="13">
        <f t="shared" si="258"/>
        <v>0</v>
      </c>
      <c r="Q431" s="56">
        <f t="shared" si="259"/>
        <v>37823</v>
      </c>
      <c r="R431" s="13">
        <f t="shared" si="260"/>
        <v>112.56845238095238</v>
      </c>
      <c r="S431" s="13">
        <f t="shared" si="261"/>
        <v>0</v>
      </c>
      <c r="T431" s="16">
        <f t="shared" si="262"/>
        <v>112.56845238095238</v>
      </c>
      <c r="U431" s="15">
        <f>+SUMIF('GE16FEB14 Tax Bill Unfudged'!$A$2:$A$498, 'Tax Bill Summary'!$A431, 'GE16FEB14 Tax Bill Unfudged'!E$2:E$498)</f>
        <v>38750</v>
      </c>
      <c r="V431" s="13">
        <f>+SUMIF('GE16FEB14 Tax Bill Unfudged'!$A$2:$A$498, 'Tax Bill Summary'!$A431, 'GE16FEB14 Tax Bill Unfudged'!F$2:F$498)</f>
        <v>0</v>
      </c>
      <c r="W431" s="56">
        <f t="shared" si="263"/>
        <v>38750</v>
      </c>
      <c r="X431" s="51">
        <f>+SUMIF('GE16FEB14 Tax Bill Unfudged'!$A$2:$A$498, 'Tax Bill Summary'!$A431, 'GE16FEB14 Tax Bill Unfudged'!G$2:G$498)</f>
        <v>0</v>
      </c>
      <c r="Y431" s="13">
        <f>+SUMIF('GE16FEB14 Tax Bill Unfudged'!$A$2:$A$498, 'Tax Bill Summary'!$A431, 'GE16FEB14 Tax Bill Unfudged'!H$2:H$498)</f>
        <v>0</v>
      </c>
      <c r="Z431" s="56">
        <f t="shared" si="264"/>
        <v>0</v>
      </c>
      <c r="AA431" s="51">
        <f>+SUMIF('GE16FEB14 Tax Bill Unfudged'!$A$2:$A$498, 'Tax Bill Summary'!$A431, 'GE16FEB14 Tax Bill Unfudged'!I$2:I$498)</f>
        <v>0</v>
      </c>
      <c r="AB431" s="13">
        <f>+SUMIF('GE16FEB14 Tax Bill Unfudged'!$A$2:$A$498, 'Tax Bill Summary'!$A431, 'GE16FEB14 Tax Bill Unfudged'!J$2:J$498)</f>
        <v>0</v>
      </c>
      <c r="AC431" s="56">
        <f t="shared" si="265"/>
        <v>0</v>
      </c>
      <c r="AD431" s="51">
        <f t="shared" si="266"/>
        <v>38750</v>
      </c>
      <c r="AE431" s="13">
        <f t="shared" si="267"/>
        <v>0</v>
      </c>
      <c r="AF431" s="56">
        <f t="shared" si="268"/>
        <v>38750</v>
      </c>
      <c r="AG431" s="13">
        <f t="shared" si="269"/>
        <v>115.32738095238095</v>
      </c>
      <c r="AH431" s="13">
        <f t="shared" si="270"/>
        <v>0</v>
      </c>
      <c r="AI431" s="16">
        <f t="shared" si="271"/>
        <v>115.32738095238095</v>
      </c>
      <c r="AJ431" s="15">
        <f t="shared" si="272"/>
        <v>927</v>
      </c>
      <c r="AK431" s="13">
        <f t="shared" si="273"/>
        <v>0</v>
      </c>
      <c r="AL431" s="56">
        <f t="shared" si="274"/>
        <v>927</v>
      </c>
      <c r="AM431" s="51">
        <f t="shared" si="275"/>
        <v>0</v>
      </c>
      <c r="AN431" s="13">
        <f t="shared" si="276"/>
        <v>0</v>
      </c>
      <c r="AO431" s="56">
        <f t="shared" si="277"/>
        <v>0</v>
      </c>
      <c r="AP431" s="51">
        <f t="shared" si="278"/>
        <v>0</v>
      </c>
      <c r="AQ431" s="13">
        <f t="shared" si="279"/>
        <v>0</v>
      </c>
      <c r="AR431" s="56">
        <f t="shared" si="280"/>
        <v>0</v>
      </c>
      <c r="AS431" s="51">
        <f t="shared" si="281"/>
        <v>927</v>
      </c>
      <c r="AT431" s="13">
        <f t="shared" si="282"/>
        <v>0</v>
      </c>
      <c r="AU431" s="56">
        <f t="shared" si="283"/>
        <v>927</v>
      </c>
      <c r="AV431" s="13">
        <f t="shared" si="284"/>
        <v>2.7589285714285694</v>
      </c>
      <c r="AW431" s="13">
        <f t="shared" si="285"/>
        <v>0</v>
      </c>
      <c r="AX431" s="16">
        <f t="shared" si="286"/>
        <v>2.7589285714285694</v>
      </c>
    </row>
    <row r="432" spans="1:50" x14ac:dyDescent="0.25">
      <c r="A432" s="20">
        <v>4111</v>
      </c>
      <c r="B432">
        <v>7</v>
      </c>
      <c r="C432" s="23" t="s">
        <v>494</v>
      </c>
      <c r="D432" s="23">
        <v>7</v>
      </c>
      <c r="E432" s="15">
        <f>+SUMIF('GE16FEB14 Unfudged'!$A$2:$A$498, $A432, 'GE16FEB14 Unfudged'!$D$2:$D$498)</f>
        <v>168</v>
      </c>
      <c r="F432" s="15">
        <f>+SUMIF('GE16FEB14 Unfudged'!$A$2:$A$498, 'Tax Bill Summary'!$A432, 'GE16FEB14 Unfudged'!E$2:E$498)</f>
        <v>18911</v>
      </c>
      <c r="G432" s="13">
        <f>+SUMIF('GE16FEB14 Unfudged'!$A$2:$A$498, 'Tax Bill Summary'!$A432, 'GE16FEB14 Unfudged'!F$2:F$498)</f>
        <v>0</v>
      </c>
      <c r="H432" s="56">
        <f t="shared" si="254"/>
        <v>18911</v>
      </c>
      <c r="I432" s="51">
        <f>+SUMIF('GE16FEB14 Unfudged'!$A$2:$A$498, 'Tax Bill Summary'!$A432, 'GE16FEB14 Unfudged'!G$2:G$498)</f>
        <v>0</v>
      </c>
      <c r="J432" s="13">
        <f>+SUMIF('GE16FEB14 Unfudged'!$A$2:$A$498, 'Tax Bill Summary'!$A432, 'GE16FEB14 Unfudged'!H$2:H$498)</f>
        <v>0</v>
      </c>
      <c r="K432" s="56">
        <f t="shared" si="255"/>
        <v>0</v>
      </c>
      <c r="L432" s="51">
        <f>+SUMIF('GE16FEB14 Unfudged'!$A$2:$A$498, 'Tax Bill Summary'!$A432, 'GE16FEB14 Unfudged'!I$2:IF$498)</f>
        <v>0</v>
      </c>
      <c r="M432" s="13">
        <f>+SUMIF('GE16FEB14 Unfudged'!$A$2:$A$498, 'Tax Bill Summary'!$A432, 'GE16FEB14 Unfudged'!J$2:IG$498)</f>
        <v>0</v>
      </c>
      <c r="N432" s="56">
        <f t="shared" si="256"/>
        <v>0</v>
      </c>
      <c r="O432" s="51">
        <f t="shared" si="257"/>
        <v>18911</v>
      </c>
      <c r="P432" s="13">
        <f t="shared" si="258"/>
        <v>0</v>
      </c>
      <c r="Q432" s="56">
        <f t="shared" si="259"/>
        <v>18911</v>
      </c>
      <c r="R432" s="13">
        <f t="shared" si="260"/>
        <v>112.56547619047619</v>
      </c>
      <c r="S432" s="13">
        <f t="shared" si="261"/>
        <v>0</v>
      </c>
      <c r="T432" s="16">
        <f t="shared" si="262"/>
        <v>112.56547619047619</v>
      </c>
      <c r="U432" s="15">
        <f>+SUMIF('GE16FEB14 Tax Bill Unfudged'!$A$2:$A$498, 'Tax Bill Summary'!$A432, 'GE16FEB14 Tax Bill Unfudged'!E$2:E$498)</f>
        <v>19375</v>
      </c>
      <c r="V432" s="13">
        <f>+SUMIF('GE16FEB14 Tax Bill Unfudged'!$A$2:$A$498, 'Tax Bill Summary'!$A432, 'GE16FEB14 Tax Bill Unfudged'!F$2:F$498)</f>
        <v>0</v>
      </c>
      <c r="W432" s="56">
        <f t="shared" si="263"/>
        <v>19375</v>
      </c>
      <c r="X432" s="51">
        <f>+SUMIF('GE16FEB14 Tax Bill Unfudged'!$A$2:$A$498, 'Tax Bill Summary'!$A432, 'GE16FEB14 Tax Bill Unfudged'!G$2:G$498)</f>
        <v>0</v>
      </c>
      <c r="Y432" s="13">
        <f>+SUMIF('GE16FEB14 Tax Bill Unfudged'!$A$2:$A$498, 'Tax Bill Summary'!$A432, 'GE16FEB14 Tax Bill Unfudged'!H$2:H$498)</f>
        <v>0</v>
      </c>
      <c r="Z432" s="56">
        <f t="shared" si="264"/>
        <v>0</v>
      </c>
      <c r="AA432" s="51">
        <f>+SUMIF('GE16FEB14 Tax Bill Unfudged'!$A$2:$A$498, 'Tax Bill Summary'!$A432, 'GE16FEB14 Tax Bill Unfudged'!I$2:I$498)</f>
        <v>0</v>
      </c>
      <c r="AB432" s="13">
        <f>+SUMIF('GE16FEB14 Tax Bill Unfudged'!$A$2:$A$498, 'Tax Bill Summary'!$A432, 'GE16FEB14 Tax Bill Unfudged'!J$2:J$498)</f>
        <v>0</v>
      </c>
      <c r="AC432" s="56">
        <f t="shared" si="265"/>
        <v>0</v>
      </c>
      <c r="AD432" s="51">
        <f t="shared" si="266"/>
        <v>19375</v>
      </c>
      <c r="AE432" s="13">
        <f t="shared" si="267"/>
        <v>0</v>
      </c>
      <c r="AF432" s="56">
        <f t="shared" si="268"/>
        <v>19375</v>
      </c>
      <c r="AG432" s="13">
        <f t="shared" si="269"/>
        <v>115.32738095238095</v>
      </c>
      <c r="AH432" s="13">
        <f t="shared" si="270"/>
        <v>0</v>
      </c>
      <c r="AI432" s="16">
        <f t="shared" si="271"/>
        <v>115.32738095238095</v>
      </c>
      <c r="AJ432" s="15">
        <f t="shared" si="272"/>
        <v>464</v>
      </c>
      <c r="AK432" s="13">
        <f t="shared" si="273"/>
        <v>0</v>
      </c>
      <c r="AL432" s="56">
        <f t="shared" si="274"/>
        <v>464</v>
      </c>
      <c r="AM432" s="51">
        <f t="shared" si="275"/>
        <v>0</v>
      </c>
      <c r="AN432" s="13">
        <f t="shared" si="276"/>
        <v>0</v>
      </c>
      <c r="AO432" s="56">
        <f t="shared" si="277"/>
        <v>0</v>
      </c>
      <c r="AP432" s="51">
        <f t="shared" si="278"/>
        <v>0</v>
      </c>
      <c r="AQ432" s="13">
        <f t="shared" si="279"/>
        <v>0</v>
      </c>
      <c r="AR432" s="56">
        <f t="shared" si="280"/>
        <v>0</v>
      </c>
      <c r="AS432" s="51">
        <f t="shared" si="281"/>
        <v>464</v>
      </c>
      <c r="AT432" s="13">
        <f t="shared" si="282"/>
        <v>0</v>
      </c>
      <c r="AU432" s="56">
        <f t="shared" si="283"/>
        <v>464</v>
      </c>
      <c r="AV432" s="13">
        <f t="shared" si="284"/>
        <v>2.7619047619047592</v>
      </c>
      <c r="AW432" s="13">
        <f t="shared" si="285"/>
        <v>0</v>
      </c>
      <c r="AX432" s="16">
        <f t="shared" si="286"/>
        <v>2.7619047619047592</v>
      </c>
    </row>
    <row r="433" spans="1:50" x14ac:dyDescent="0.25">
      <c r="A433" s="20">
        <v>4112</v>
      </c>
      <c r="B433">
        <v>7</v>
      </c>
      <c r="C433" s="23" t="s">
        <v>495</v>
      </c>
      <c r="D433" s="23">
        <v>7</v>
      </c>
      <c r="E433" s="15">
        <f>+SUMIF('GE16FEB14 Unfudged'!$A$2:$A$498, $A433, 'GE16FEB14 Unfudged'!$D$2:$D$498)</f>
        <v>768</v>
      </c>
      <c r="F433" s="15">
        <f>+SUMIF('GE16FEB14 Unfudged'!$A$2:$A$498, 'Tax Bill Summary'!$A433, 'GE16FEB14 Unfudged'!E$2:E$498)</f>
        <v>86452</v>
      </c>
      <c r="G433" s="13">
        <f>+SUMIF('GE16FEB14 Unfudged'!$A$2:$A$498, 'Tax Bill Summary'!$A433, 'GE16FEB14 Unfudged'!F$2:F$498)</f>
        <v>0</v>
      </c>
      <c r="H433" s="56">
        <f t="shared" si="254"/>
        <v>86452</v>
      </c>
      <c r="I433" s="51">
        <f>+SUMIF('GE16FEB14 Unfudged'!$A$2:$A$498, 'Tax Bill Summary'!$A433, 'GE16FEB14 Unfudged'!G$2:G$498)</f>
        <v>0</v>
      </c>
      <c r="J433" s="13">
        <f>+SUMIF('GE16FEB14 Unfudged'!$A$2:$A$498, 'Tax Bill Summary'!$A433, 'GE16FEB14 Unfudged'!H$2:H$498)</f>
        <v>0</v>
      </c>
      <c r="K433" s="56">
        <f t="shared" si="255"/>
        <v>0</v>
      </c>
      <c r="L433" s="51">
        <f>+SUMIF('GE16FEB14 Unfudged'!$A$2:$A$498, 'Tax Bill Summary'!$A433, 'GE16FEB14 Unfudged'!I$2:IF$498)</f>
        <v>0</v>
      </c>
      <c r="M433" s="13">
        <f>+SUMIF('GE16FEB14 Unfudged'!$A$2:$A$498, 'Tax Bill Summary'!$A433, 'GE16FEB14 Unfudged'!J$2:IG$498)</f>
        <v>0</v>
      </c>
      <c r="N433" s="56">
        <f t="shared" si="256"/>
        <v>0</v>
      </c>
      <c r="O433" s="51">
        <f t="shared" si="257"/>
        <v>86452</v>
      </c>
      <c r="P433" s="13">
        <f t="shared" si="258"/>
        <v>0</v>
      </c>
      <c r="Q433" s="56">
        <f t="shared" si="259"/>
        <v>86452</v>
      </c>
      <c r="R433" s="13">
        <f t="shared" si="260"/>
        <v>112.56770833333333</v>
      </c>
      <c r="S433" s="13">
        <f t="shared" si="261"/>
        <v>0</v>
      </c>
      <c r="T433" s="16">
        <f t="shared" si="262"/>
        <v>112.56770833333333</v>
      </c>
      <c r="U433" s="15">
        <f>+SUMIF('GE16FEB14 Tax Bill Unfudged'!$A$2:$A$498, 'Tax Bill Summary'!$A433, 'GE16FEB14 Tax Bill Unfudged'!E$2:E$498)</f>
        <v>88572</v>
      </c>
      <c r="V433" s="13">
        <f>+SUMIF('GE16FEB14 Tax Bill Unfudged'!$A$2:$A$498, 'Tax Bill Summary'!$A433, 'GE16FEB14 Tax Bill Unfudged'!F$2:F$498)</f>
        <v>0</v>
      </c>
      <c r="W433" s="56">
        <f t="shared" si="263"/>
        <v>88572</v>
      </c>
      <c r="X433" s="51">
        <f>+SUMIF('GE16FEB14 Tax Bill Unfudged'!$A$2:$A$498, 'Tax Bill Summary'!$A433, 'GE16FEB14 Tax Bill Unfudged'!G$2:G$498)</f>
        <v>0</v>
      </c>
      <c r="Y433" s="13">
        <f>+SUMIF('GE16FEB14 Tax Bill Unfudged'!$A$2:$A$498, 'Tax Bill Summary'!$A433, 'GE16FEB14 Tax Bill Unfudged'!H$2:H$498)</f>
        <v>0</v>
      </c>
      <c r="Z433" s="56">
        <f t="shared" si="264"/>
        <v>0</v>
      </c>
      <c r="AA433" s="51">
        <f>+SUMIF('GE16FEB14 Tax Bill Unfudged'!$A$2:$A$498, 'Tax Bill Summary'!$A433, 'GE16FEB14 Tax Bill Unfudged'!I$2:I$498)</f>
        <v>0</v>
      </c>
      <c r="AB433" s="13">
        <f>+SUMIF('GE16FEB14 Tax Bill Unfudged'!$A$2:$A$498, 'Tax Bill Summary'!$A433, 'GE16FEB14 Tax Bill Unfudged'!J$2:J$498)</f>
        <v>0</v>
      </c>
      <c r="AC433" s="56">
        <f t="shared" si="265"/>
        <v>0</v>
      </c>
      <c r="AD433" s="51">
        <f t="shared" si="266"/>
        <v>88572</v>
      </c>
      <c r="AE433" s="13">
        <f t="shared" si="267"/>
        <v>0</v>
      </c>
      <c r="AF433" s="56">
        <f t="shared" si="268"/>
        <v>88572</v>
      </c>
      <c r="AG433" s="13">
        <f t="shared" si="269"/>
        <v>115.328125</v>
      </c>
      <c r="AH433" s="13">
        <f t="shared" si="270"/>
        <v>0</v>
      </c>
      <c r="AI433" s="16">
        <f t="shared" si="271"/>
        <v>115.328125</v>
      </c>
      <c r="AJ433" s="15">
        <f t="shared" si="272"/>
        <v>2120</v>
      </c>
      <c r="AK433" s="13">
        <f t="shared" si="273"/>
        <v>0</v>
      </c>
      <c r="AL433" s="56">
        <f t="shared" si="274"/>
        <v>2120</v>
      </c>
      <c r="AM433" s="51">
        <f t="shared" si="275"/>
        <v>0</v>
      </c>
      <c r="AN433" s="13">
        <f t="shared" si="276"/>
        <v>0</v>
      </c>
      <c r="AO433" s="56">
        <f t="shared" si="277"/>
        <v>0</v>
      </c>
      <c r="AP433" s="51">
        <f t="shared" si="278"/>
        <v>0</v>
      </c>
      <c r="AQ433" s="13">
        <f t="shared" si="279"/>
        <v>0</v>
      </c>
      <c r="AR433" s="56">
        <f t="shared" si="280"/>
        <v>0</v>
      </c>
      <c r="AS433" s="51">
        <f t="shared" si="281"/>
        <v>2120</v>
      </c>
      <c r="AT433" s="13">
        <f t="shared" si="282"/>
        <v>0</v>
      </c>
      <c r="AU433" s="56">
        <f t="shared" si="283"/>
        <v>2120</v>
      </c>
      <c r="AV433" s="13">
        <f t="shared" si="284"/>
        <v>2.7604166666666714</v>
      </c>
      <c r="AW433" s="13">
        <f t="shared" si="285"/>
        <v>0</v>
      </c>
      <c r="AX433" s="16">
        <f t="shared" si="286"/>
        <v>2.7604166666666714</v>
      </c>
    </row>
    <row r="434" spans="1:50" x14ac:dyDescent="0.25">
      <c r="A434" s="20">
        <v>4113</v>
      </c>
      <c r="B434">
        <v>7</v>
      </c>
      <c r="C434" s="23" t="s">
        <v>65</v>
      </c>
      <c r="D434" s="23">
        <v>7</v>
      </c>
      <c r="E434" s="15">
        <f>+SUMIF('GE16FEB14 Unfudged'!$A$2:$A$498, $A434, 'GE16FEB14 Unfudged'!$D$2:$D$498)</f>
        <v>80</v>
      </c>
      <c r="F434" s="15">
        <f>+SUMIF('GE16FEB14 Unfudged'!$A$2:$A$498, 'Tax Bill Summary'!$A434, 'GE16FEB14 Unfudged'!E$2:E$498)</f>
        <v>9005</v>
      </c>
      <c r="G434" s="13">
        <f>+SUMIF('GE16FEB14 Unfudged'!$A$2:$A$498, 'Tax Bill Summary'!$A434, 'GE16FEB14 Unfudged'!F$2:F$498)</f>
        <v>0</v>
      </c>
      <c r="H434" s="56">
        <f t="shared" si="254"/>
        <v>9005</v>
      </c>
      <c r="I434" s="51">
        <f>+SUMIF('GE16FEB14 Unfudged'!$A$2:$A$498, 'Tax Bill Summary'!$A434, 'GE16FEB14 Unfudged'!G$2:G$498)</f>
        <v>0</v>
      </c>
      <c r="J434" s="13">
        <f>+SUMIF('GE16FEB14 Unfudged'!$A$2:$A$498, 'Tax Bill Summary'!$A434, 'GE16FEB14 Unfudged'!H$2:H$498)</f>
        <v>0</v>
      </c>
      <c r="K434" s="56">
        <f t="shared" si="255"/>
        <v>0</v>
      </c>
      <c r="L434" s="51">
        <f>+SUMIF('GE16FEB14 Unfudged'!$A$2:$A$498, 'Tax Bill Summary'!$A434, 'GE16FEB14 Unfudged'!I$2:IF$498)</f>
        <v>0</v>
      </c>
      <c r="M434" s="13">
        <f>+SUMIF('GE16FEB14 Unfudged'!$A$2:$A$498, 'Tax Bill Summary'!$A434, 'GE16FEB14 Unfudged'!J$2:IG$498)</f>
        <v>0</v>
      </c>
      <c r="N434" s="56">
        <f t="shared" si="256"/>
        <v>0</v>
      </c>
      <c r="O434" s="51">
        <f t="shared" si="257"/>
        <v>9005</v>
      </c>
      <c r="P434" s="13">
        <f t="shared" si="258"/>
        <v>0</v>
      </c>
      <c r="Q434" s="56">
        <f t="shared" si="259"/>
        <v>9005</v>
      </c>
      <c r="R434" s="13">
        <f t="shared" si="260"/>
        <v>112.5625</v>
      </c>
      <c r="S434" s="13">
        <f t="shared" si="261"/>
        <v>0</v>
      </c>
      <c r="T434" s="16">
        <f t="shared" si="262"/>
        <v>112.5625</v>
      </c>
      <c r="U434" s="15">
        <f>+SUMIF('GE16FEB14 Tax Bill Unfudged'!$A$2:$A$498, 'Tax Bill Summary'!$A434, 'GE16FEB14 Tax Bill Unfudged'!E$2:E$498)</f>
        <v>9226</v>
      </c>
      <c r="V434" s="13">
        <f>+SUMIF('GE16FEB14 Tax Bill Unfudged'!$A$2:$A$498, 'Tax Bill Summary'!$A434, 'GE16FEB14 Tax Bill Unfudged'!F$2:F$498)</f>
        <v>0</v>
      </c>
      <c r="W434" s="56">
        <f t="shared" si="263"/>
        <v>9226</v>
      </c>
      <c r="X434" s="51">
        <f>+SUMIF('GE16FEB14 Tax Bill Unfudged'!$A$2:$A$498, 'Tax Bill Summary'!$A434, 'GE16FEB14 Tax Bill Unfudged'!G$2:G$498)</f>
        <v>0</v>
      </c>
      <c r="Y434" s="13">
        <f>+SUMIF('GE16FEB14 Tax Bill Unfudged'!$A$2:$A$498, 'Tax Bill Summary'!$A434, 'GE16FEB14 Tax Bill Unfudged'!H$2:H$498)</f>
        <v>0</v>
      </c>
      <c r="Z434" s="56">
        <f t="shared" si="264"/>
        <v>0</v>
      </c>
      <c r="AA434" s="51">
        <f>+SUMIF('GE16FEB14 Tax Bill Unfudged'!$A$2:$A$498, 'Tax Bill Summary'!$A434, 'GE16FEB14 Tax Bill Unfudged'!I$2:I$498)</f>
        <v>0</v>
      </c>
      <c r="AB434" s="13">
        <f>+SUMIF('GE16FEB14 Tax Bill Unfudged'!$A$2:$A$498, 'Tax Bill Summary'!$A434, 'GE16FEB14 Tax Bill Unfudged'!J$2:J$498)</f>
        <v>0</v>
      </c>
      <c r="AC434" s="56">
        <f t="shared" si="265"/>
        <v>0</v>
      </c>
      <c r="AD434" s="51">
        <f t="shared" si="266"/>
        <v>9226</v>
      </c>
      <c r="AE434" s="13">
        <f t="shared" si="267"/>
        <v>0</v>
      </c>
      <c r="AF434" s="56">
        <f t="shared" si="268"/>
        <v>9226</v>
      </c>
      <c r="AG434" s="13">
        <f t="shared" si="269"/>
        <v>115.325</v>
      </c>
      <c r="AH434" s="13">
        <f t="shared" si="270"/>
        <v>0</v>
      </c>
      <c r="AI434" s="16">
        <f t="shared" si="271"/>
        <v>115.325</v>
      </c>
      <c r="AJ434" s="15">
        <f t="shared" si="272"/>
        <v>221</v>
      </c>
      <c r="AK434" s="13">
        <f t="shared" si="273"/>
        <v>0</v>
      </c>
      <c r="AL434" s="56">
        <f t="shared" si="274"/>
        <v>221</v>
      </c>
      <c r="AM434" s="51">
        <f t="shared" si="275"/>
        <v>0</v>
      </c>
      <c r="AN434" s="13">
        <f t="shared" si="276"/>
        <v>0</v>
      </c>
      <c r="AO434" s="56">
        <f t="shared" si="277"/>
        <v>0</v>
      </c>
      <c r="AP434" s="51">
        <f t="shared" si="278"/>
        <v>0</v>
      </c>
      <c r="AQ434" s="13">
        <f t="shared" si="279"/>
        <v>0</v>
      </c>
      <c r="AR434" s="56">
        <f t="shared" si="280"/>
        <v>0</v>
      </c>
      <c r="AS434" s="51">
        <f t="shared" si="281"/>
        <v>221</v>
      </c>
      <c r="AT434" s="13">
        <f t="shared" si="282"/>
        <v>0</v>
      </c>
      <c r="AU434" s="56">
        <f t="shared" si="283"/>
        <v>221</v>
      </c>
      <c r="AV434" s="13">
        <f t="shared" si="284"/>
        <v>2.7625000000000028</v>
      </c>
      <c r="AW434" s="13">
        <f t="shared" si="285"/>
        <v>0</v>
      </c>
      <c r="AX434" s="16">
        <f t="shared" si="286"/>
        <v>2.7625000000000028</v>
      </c>
    </row>
    <row r="435" spans="1:50" x14ac:dyDescent="0.25">
      <c r="A435" s="20">
        <v>4115</v>
      </c>
      <c r="B435">
        <v>7</v>
      </c>
      <c r="C435" s="23" t="s">
        <v>496</v>
      </c>
      <c r="D435" s="23">
        <v>7</v>
      </c>
      <c r="E435" s="15">
        <f>+SUMIF('GE16FEB14 Unfudged'!$A$2:$A$498, $A435, 'GE16FEB14 Unfudged'!$D$2:$D$498)</f>
        <v>110</v>
      </c>
      <c r="F435" s="15">
        <f>+SUMIF('GE16FEB14 Unfudged'!$A$2:$A$498, 'Tax Bill Summary'!$A435, 'GE16FEB14 Unfudged'!E$2:E$498)</f>
        <v>12382</v>
      </c>
      <c r="G435" s="13">
        <f>+SUMIF('GE16FEB14 Unfudged'!$A$2:$A$498, 'Tax Bill Summary'!$A435, 'GE16FEB14 Unfudged'!F$2:F$498)</f>
        <v>0</v>
      </c>
      <c r="H435" s="56">
        <f t="shared" si="254"/>
        <v>12382</v>
      </c>
      <c r="I435" s="51">
        <f>+SUMIF('GE16FEB14 Unfudged'!$A$2:$A$498, 'Tax Bill Summary'!$A435, 'GE16FEB14 Unfudged'!G$2:G$498)</f>
        <v>0</v>
      </c>
      <c r="J435" s="13">
        <f>+SUMIF('GE16FEB14 Unfudged'!$A$2:$A$498, 'Tax Bill Summary'!$A435, 'GE16FEB14 Unfudged'!H$2:H$498)</f>
        <v>0</v>
      </c>
      <c r="K435" s="56">
        <f t="shared" si="255"/>
        <v>0</v>
      </c>
      <c r="L435" s="51">
        <f>+SUMIF('GE16FEB14 Unfudged'!$A$2:$A$498, 'Tax Bill Summary'!$A435, 'GE16FEB14 Unfudged'!I$2:IF$498)</f>
        <v>0</v>
      </c>
      <c r="M435" s="13">
        <f>+SUMIF('GE16FEB14 Unfudged'!$A$2:$A$498, 'Tax Bill Summary'!$A435, 'GE16FEB14 Unfudged'!J$2:IG$498)</f>
        <v>0</v>
      </c>
      <c r="N435" s="56">
        <f t="shared" si="256"/>
        <v>0</v>
      </c>
      <c r="O435" s="51">
        <f t="shared" si="257"/>
        <v>12382</v>
      </c>
      <c r="P435" s="13">
        <f t="shared" si="258"/>
        <v>0</v>
      </c>
      <c r="Q435" s="56">
        <f t="shared" si="259"/>
        <v>12382</v>
      </c>
      <c r="R435" s="13">
        <f t="shared" si="260"/>
        <v>112.56363636363636</v>
      </c>
      <c r="S435" s="13">
        <f t="shared" si="261"/>
        <v>0</v>
      </c>
      <c r="T435" s="16">
        <f t="shared" si="262"/>
        <v>112.56363636363636</v>
      </c>
      <c r="U435" s="15">
        <f>+SUMIF('GE16FEB14 Tax Bill Unfudged'!$A$2:$A$498, 'Tax Bill Summary'!$A435, 'GE16FEB14 Tax Bill Unfudged'!E$2:E$498)</f>
        <v>12686</v>
      </c>
      <c r="V435" s="13">
        <f>+SUMIF('GE16FEB14 Tax Bill Unfudged'!$A$2:$A$498, 'Tax Bill Summary'!$A435, 'GE16FEB14 Tax Bill Unfudged'!F$2:F$498)</f>
        <v>0</v>
      </c>
      <c r="W435" s="56">
        <f t="shared" si="263"/>
        <v>12686</v>
      </c>
      <c r="X435" s="51">
        <f>+SUMIF('GE16FEB14 Tax Bill Unfudged'!$A$2:$A$498, 'Tax Bill Summary'!$A435, 'GE16FEB14 Tax Bill Unfudged'!G$2:G$498)</f>
        <v>0</v>
      </c>
      <c r="Y435" s="13">
        <f>+SUMIF('GE16FEB14 Tax Bill Unfudged'!$A$2:$A$498, 'Tax Bill Summary'!$A435, 'GE16FEB14 Tax Bill Unfudged'!H$2:H$498)</f>
        <v>0</v>
      </c>
      <c r="Z435" s="56">
        <f t="shared" si="264"/>
        <v>0</v>
      </c>
      <c r="AA435" s="51">
        <f>+SUMIF('GE16FEB14 Tax Bill Unfudged'!$A$2:$A$498, 'Tax Bill Summary'!$A435, 'GE16FEB14 Tax Bill Unfudged'!I$2:I$498)</f>
        <v>0</v>
      </c>
      <c r="AB435" s="13">
        <f>+SUMIF('GE16FEB14 Tax Bill Unfudged'!$A$2:$A$498, 'Tax Bill Summary'!$A435, 'GE16FEB14 Tax Bill Unfudged'!J$2:J$498)</f>
        <v>0</v>
      </c>
      <c r="AC435" s="56">
        <f t="shared" si="265"/>
        <v>0</v>
      </c>
      <c r="AD435" s="51">
        <f t="shared" si="266"/>
        <v>12686</v>
      </c>
      <c r="AE435" s="13">
        <f t="shared" si="267"/>
        <v>0</v>
      </c>
      <c r="AF435" s="56">
        <f t="shared" si="268"/>
        <v>12686</v>
      </c>
      <c r="AG435" s="13">
        <f t="shared" si="269"/>
        <v>115.32727272727273</v>
      </c>
      <c r="AH435" s="13">
        <f t="shared" si="270"/>
        <v>0</v>
      </c>
      <c r="AI435" s="16">
        <f t="shared" si="271"/>
        <v>115.32727272727273</v>
      </c>
      <c r="AJ435" s="15">
        <f t="shared" si="272"/>
        <v>304</v>
      </c>
      <c r="AK435" s="13">
        <f t="shared" si="273"/>
        <v>0</v>
      </c>
      <c r="AL435" s="56">
        <f t="shared" si="274"/>
        <v>304</v>
      </c>
      <c r="AM435" s="51">
        <f t="shared" si="275"/>
        <v>0</v>
      </c>
      <c r="AN435" s="13">
        <f t="shared" si="276"/>
        <v>0</v>
      </c>
      <c r="AO435" s="56">
        <f t="shared" si="277"/>
        <v>0</v>
      </c>
      <c r="AP435" s="51">
        <f t="shared" si="278"/>
        <v>0</v>
      </c>
      <c r="AQ435" s="13">
        <f t="shared" si="279"/>
        <v>0</v>
      </c>
      <c r="AR435" s="56">
        <f t="shared" si="280"/>
        <v>0</v>
      </c>
      <c r="AS435" s="51">
        <f t="shared" si="281"/>
        <v>304</v>
      </c>
      <c r="AT435" s="13">
        <f t="shared" si="282"/>
        <v>0</v>
      </c>
      <c r="AU435" s="56">
        <f t="shared" si="283"/>
        <v>304</v>
      </c>
      <c r="AV435" s="13">
        <f t="shared" si="284"/>
        <v>2.7636363636363654</v>
      </c>
      <c r="AW435" s="13">
        <f t="shared" si="285"/>
        <v>0</v>
      </c>
      <c r="AX435" s="16">
        <f t="shared" si="286"/>
        <v>2.7636363636363654</v>
      </c>
    </row>
    <row r="436" spans="1:50" x14ac:dyDescent="0.25">
      <c r="A436" s="20">
        <v>4116</v>
      </c>
      <c r="B436">
        <v>7</v>
      </c>
      <c r="C436" s="23" t="s">
        <v>497</v>
      </c>
      <c r="D436" s="23">
        <v>7</v>
      </c>
      <c r="E436" s="15">
        <f>+SUMIF('GE16FEB14 Unfudged'!$A$2:$A$498, $A436, 'GE16FEB14 Unfudged'!$D$2:$D$498)</f>
        <v>786</v>
      </c>
      <c r="F436" s="15">
        <f>+SUMIF('GE16FEB14 Unfudged'!$A$2:$A$498, 'Tax Bill Summary'!$A436, 'GE16FEB14 Unfudged'!E$2:E$498)</f>
        <v>88478</v>
      </c>
      <c r="G436" s="13">
        <f>+SUMIF('GE16FEB14 Unfudged'!$A$2:$A$498, 'Tax Bill Summary'!$A436, 'GE16FEB14 Unfudged'!F$2:F$498)</f>
        <v>0</v>
      </c>
      <c r="H436" s="56">
        <f t="shared" si="254"/>
        <v>88478</v>
      </c>
      <c r="I436" s="51">
        <f>+SUMIF('GE16FEB14 Unfudged'!$A$2:$A$498, 'Tax Bill Summary'!$A436, 'GE16FEB14 Unfudged'!G$2:G$498)</f>
        <v>0</v>
      </c>
      <c r="J436" s="13">
        <f>+SUMIF('GE16FEB14 Unfudged'!$A$2:$A$498, 'Tax Bill Summary'!$A436, 'GE16FEB14 Unfudged'!H$2:H$498)</f>
        <v>0</v>
      </c>
      <c r="K436" s="56">
        <f t="shared" si="255"/>
        <v>0</v>
      </c>
      <c r="L436" s="51">
        <f>+SUMIF('GE16FEB14 Unfudged'!$A$2:$A$498, 'Tax Bill Summary'!$A436, 'GE16FEB14 Unfudged'!I$2:IF$498)</f>
        <v>0</v>
      </c>
      <c r="M436" s="13">
        <f>+SUMIF('GE16FEB14 Unfudged'!$A$2:$A$498, 'Tax Bill Summary'!$A436, 'GE16FEB14 Unfudged'!J$2:IG$498)</f>
        <v>0</v>
      </c>
      <c r="N436" s="56">
        <f t="shared" si="256"/>
        <v>0</v>
      </c>
      <c r="O436" s="51">
        <f t="shared" si="257"/>
        <v>88478</v>
      </c>
      <c r="P436" s="13">
        <f t="shared" si="258"/>
        <v>0</v>
      </c>
      <c r="Q436" s="56">
        <f t="shared" si="259"/>
        <v>88478</v>
      </c>
      <c r="R436" s="13">
        <f t="shared" si="260"/>
        <v>112.56743002544529</v>
      </c>
      <c r="S436" s="13">
        <f t="shared" si="261"/>
        <v>0</v>
      </c>
      <c r="T436" s="16">
        <f t="shared" si="262"/>
        <v>112.56743002544529</v>
      </c>
      <c r="U436" s="15">
        <f>+SUMIF('GE16FEB14 Tax Bill Unfudged'!$A$2:$A$498, 'Tax Bill Summary'!$A436, 'GE16FEB14 Tax Bill Unfudged'!E$2:E$498)</f>
        <v>90648</v>
      </c>
      <c r="V436" s="13">
        <f>+SUMIF('GE16FEB14 Tax Bill Unfudged'!$A$2:$A$498, 'Tax Bill Summary'!$A436, 'GE16FEB14 Tax Bill Unfudged'!F$2:F$498)</f>
        <v>0</v>
      </c>
      <c r="W436" s="56">
        <f t="shared" si="263"/>
        <v>90648</v>
      </c>
      <c r="X436" s="51">
        <f>+SUMIF('GE16FEB14 Tax Bill Unfudged'!$A$2:$A$498, 'Tax Bill Summary'!$A436, 'GE16FEB14 Tax Bill Unfudged'!G$2:G$498)</f>
        <v>0</v>
      </c>
      <c r="Y436" s="13">
        <f>+SUMIF('GE16FEB14 Tax Bill Unfudged'!$A$2:$A$498, 'Tax Bill Summary'!$A436, 'GE16FEB14 Tax Bill Unfudged'!H$2:H$498)</f>
        <v>0</v>
      </c>
      <c r="Z436" s="56">
        <f t="shared" si="264"/>
        <v>0</v>
      </c>
      <c r="AA436" s="51">
        <f>+SUMIF('GE16FEB14 Tax Bill Unfudged'!$A$2:$A$498, 'Tax Bill Summary'!$A436, 'GE16FEB14 Tax Bill Unfudged'!I$2:I$498)</f>
        <v>0</v>
      </c>
      <c r="AB436" s="13">
        <f>+SUMIF('GE16FEB14 Tax Bill Unfudged'!$A$2:$A$498, 'Tax Bill Summary'!$A436, 'GE16FEB14 Tax Bill Unfudged'!J$2:J$498)</f>
        <v>0</v>
      </c>
      <c r="AC436" s="56">
        <f t="shared" si="265"/>
        <v>0</v>
      </c>
      <c r="AD436" s="51">
        <f t="shared" si="266"/>
        <v>90648</v>
      </c>
      <c r="AE436" s="13">
        <f t="shared" si="267"/>
        <v>0</v>
      </c>
      <c r="AF436" s="56">
        <f t="shared" si="268"/>
        <v>90648</v>
      </c>
      <c r="AG436" s="13">
        <f t="shared" si="269"/>
        <v>115.32824427480917</v>
      </c>
      <c r="AH436" s="13">
        <f t="shared" si="270"/>
        <v>0</v>
      </c>
      <c r="AI436" s="16">
        <f t="shared" si="271"/>
        <v>115.32824427480917</v>
      </c>
      <c r="AJ436" s="15">
        <f t="shared" si="272"/>
        <v>2170</v>
      </c>
      <c r="AK436" s="13">
        <f t="shared" si="273"/>
        <v>0</v>
      </c>
      <c r="AL436" s="56">
        <f t="shared" si="274"/>
        <v>2170</v>
      </c>
      <c r="AM436" s="51">
        <f t="shared" si="275"/>
        <v>0</v>
      </c>
      <c r="AN436" s="13">
        <f t="shared" si="276"/>
        <v>0</v>
      </c>
      <c r="AO436" s="56">
        <f t="shared" si="277"/>
        <v>0</v>
      </c>
      <c r="AP436" s="51">
        <f t="shared" si="278"/>
        <v>0</v>
      </c>
      <c r="AQ436" s="13">
        <f t="shared" si="279"/>
        <v>0</v>
      </c>
      <c r="AR436" s="56">
        <f t="shared" si="280"/>
        <v>0</v>
      </c>
      <c r="AS436" s="51">
        <f t="shared" si="281"/>
        <v>2170</v>
      </c>
      <c r="AT436" s="13">
        <f t="shared" si="282"/>
        <v>0</v>
      </c>
      <c r="AU436" s="56">
        <f t="shared" si="283"/>
        <v>2170</v>
      </c>
      <c r="AV436" s="13">
        <f t="shared" si="284"/>
        <v>2.7608142493638752</v>
      </c>
      <c r="AW436" s="13">
        <f t="shared" si="285"/>
        <v>0</v>
      </c>
      <c r="AX436" s="16">
        <f t="shared" si="286"/>
        <v>2.7608142493638752</v>
      </c>
    </row>
    <row r="437" spans="1:50" x14ac:dyDescent="0.25">
      <c r="A437" s="20">
        <v>4118</v>
      </c>
      <c r="B437">
        <v>7</v>
      </c>
      <c r="C437" s="23" t="s">
        <v>66</v>
      </c>
      <c r="D437" s="23">
        <v>7</v>
      </c>
      <c r="E437" s="15">
        <f>+SUMIF('GE16FEB14 Unfudged'!$A$2:$A$498, $A437, 'GE16FEB14 Unfudged'!$D$2:$D$498)</f>
        <v>585</v>
      </c>
      <c r="F437" s="15">
        <f>+SUMIF('GE16FEB14 Unfudged'!$A$2:$A$498, 'Tax Bill Summary'!$A437, 'GE16FEB14 Unfudged'!E$2:E$498)</f>
        <v>65852</v>
      </c>
      <c r="G437" s="13">
        <f>+SUMIF('GE16FEB14 Unfudged'!$A$2:$A$498, 'Tax Bill Summary'!$A437, 'GE16FEB14 Unfudged'!F$2:F$498)</f>
        <v>0</v>
      </c>
      <c r="H437" s="56">
        <f t="shared" si="254"/>
        <v>65852</v>
      </c>
      <c r="I437" s="51">
        <f>+SUMIF('GE16FEB14 Unfudged'!$A$2:$A$498, 'Tax Bill Summary'!$A437, 'GE16FEB14 Unfudged'!G$2:G$498)</f>
        <v>0</v>
      </c>
      <c r="J437" s="13">
        <f>+SUMIF('GE16FEB14 Unfudged'!$A$2:$A$498, 'Tax Bill Summary'!$A437, 'GE16FEB14 Unfudged'!H$2:H$498)</f>
        <v>0</v>
      </c>
      <c r="K437" s="56">
        <f t="shared" si="255"/>
        <v>0</v>
      </c>
      <c r="L437" s="51">
        <f>+SUMIF('GE16FEB14 Unfudged'!$A$2:$A$498, 'Tax Bill Summary'!$A437, 'GE16FEB14 Unfudged'!I$2:IF$498)</f>
        <v>0</v>
      </c>
      <c r="M437" s="13">
        <f>+SUMIF('GE16FEB14 Unfudged'!$A$2:$A$498, 'Tax Bill Summary'!$A437, 'GE16FEB14 Unfudged'!J$2:IG$498)</f>
        <v>0</v>
      </c>
      <c r="N437" s="56">
        <f t="shared" si="256"/>
        <v>0</v>
      </c>
      <c r="O437" s="51">
        <f t="shared" si="257"/>
        <v>65852</v>
      </c>
      <c r="P437" s="13">
        <f t="shared" si="258"/>
        <v>0</v>
      </c>
      <c r="Q437" s="56">
        <f t="shared" si="259"/>
        <v>65852</v>
      </c>
      <c r="R437" s="13">
        <f t="shared" si="260"/>
        <v>112.56752136752137</v>
      </c>
      <c r="S437" s="13">
        <f t="shared" si="261"/>
        <v>0</v>
      </c>
      <c r="T437" s="16">
        <f t="shared" si="262"/>
        <v>112.56752136752137</v>
      </c>
      <c r="U437" s="15">
        <f>+SUMIF('GE16FEB14 Tax Bill Unfudged'!$A$2:$A$498, 'Tax Bill Summary'!$A437, 'GE16FEB14 Tax Bill Unfudged'!E$2:E$498)</f>
        <v>67467</v>
      </c>
      <c r="V437" s="13">
        <f>+SUMIF('GE16FEB14 Tax Bill Unfudged'!$A$2:$A$498, 'Tax Bill Summary'!$A437, 'GE16FEB14 Tax Bill Unfudged'!F$2:F$498)</f>
        <v>0</v>
      </c>
      <c r="W437" s="56">
        <f t="shared" si="263"/>
        <v>67467</v>
      </c>
      <c r="X437" s="51">
        <f>+SUMIF('GE16FEB14 Tax Bill Unfudged'!$A$2:$A$498, 'Tax Bill Summary'!$A437, 'GE16FEB14 Tax Bill Unfudged'!G$2:G$498)</f>
        <v>0</v>
      </c>
      <c r="Y437" s="13">
        <f>+SUMIF('GE16FEB14 Tax Bill Unfudged'!$A$2:$A$498, 'Tax Bill Summary'!$A437, 'GE16FEB14 Tax Bill Unfudged'!H$2:H$498)</f>
        <v>0</v>
      </c>
      <c r="Z437" s="56">
        <f t="shared" si="264"/>
        <v>0</v>
      </c>
      <c r="AA437" s="51">
        <f>+SUMIF('GE16FEB14 Tax Bill Unfudged'!$A$2:$A$498, 'Tax Bill Summary'!$A437, 'GE16FEB14 Tax Bill Unfudged'!I$2:I$498)</f>
        <v>0</v>
      </c>
      <c r="AB437" s="13">
        <f>+SUMIF('GE16FEB14 Tax Bill Unfudged'!$A$2:$A$498, 'Tax Bill Summary'!$A437, 'GE16FEB14 Tax Bill Unfudged'!J$2:J$498)</f>
        <v>0</v>
      </c>
      <c r="AC437" s="56">
        <f t="shared" si="265"/>
        <v>0</v>
      </c>
      <c r="AD437" s="51">
        <f t="shared" si="266"/>
        <v>67467</v>
      </c>
      <c r="AE437" s="13">
        <f t="shared" si="267"/>
        <v>0</v>
      </c>
      <c r="AF437" s="56">
        <f t="shared" si="268"/>
        <v>67467</v>
      </c>
      <c r="AG437" s="13">
        <f t="shared" si="269"/>
        <v>115.32820512820513</v>
      </c>
      <c r="AH437" s="13">
        <f t="shared" si="270"/>
        <v>0</v>
      </c>
      <c r="AI437" s="16">
        <f t="shared" si="271"/>
        <v>115.32820512820513</v>
      </c>
      <c r="AJ437" s="15">
        <f t="shared" si="272"/>
        <v>1615</v>
      </c>
      <c r="AK437" s="13">
        <f t="shared" si="273"/>
        <v>0</v>
      </c>
      <c r="AL437" s="56">
        <f t="shared" si="274"/>
        <v>1615</v>
      </c>
      <c r="AM437" s="51">
        <f t="shared" si="275"/>
        <v>0</v>
      </c>
      <c r="AN437" s="13">
        <f t="shared" si="276"/>
        <v>0</v>
      </c>
      <c r="AO437" s="56">
        <f t="shared" si="277"/>
        <v>0</v>
      </c>
      <c r="AP437" s="51">
        <f t="shared" si="278"/>
        <v>0</v>
      </c>
      <c r="AQ437" s="13">
        <f t="shared" si="279"/>
        <v>0</v>
      </c>
      <c r="AR437" s="56">
        <f t="shared" si="280"/>
        <v>0</v>
      </c>
      <c r="AS437" s="51">
        <f t="shared" si="281"/>
        <v>1615</v>
      </c>
      <c r="AT437" s="13">
        <f t="shared" si="282"/>
        <v>0</v>
      </c>
      <c r="AU437" s="56">
        <f t="shared" si="283"/>
        <v>1615</v>
      </c>
      <c r="AV437" s="13">
        <f t="shared" si="284"/>
        <v>2.7606837606837615</v>
      </c>
      <c r="AW437" s="13">
        <f t="shared" si="285"/>
        <v>0</v>
      </c>
      <c r="AX437" s="16">
        <f t="shared" si="286"/>
        <v>2.7606837606837615</v>
      </c>
    </row>
    <row r="438" spans="1:50" x14ac:dyDescent="0.25">
      <c r="A438" s="20">
        <v>4119</v>
      </c>
      <c r="B438">
        <v>7</v>
      </c>
      <c r="C438" s="23" t="s">
        <v>67</v>
      </c>
      <c r="D438" s="23">
        <v>7</v>
      </c>
      <c r="E438" s="15">
        <f>+SUMIF('GE16FEB14 Unfudged'!$A$2:$A$498, $A438, 'GE16FEB14 Unfudged'!$D$2:$D$498)</f>
        <v>112</v>
      </c>
      <c r="F438" s="15">
        <f>+SUMIF('GE16FEB14 Unfudged'!$A$2:$A$498, 'Tax Bill Summary'!$A438, 'GE16FEB14 Unfudged'!E$2:E$498)</f>
        <v>12563</v>
      </c>
      <c r="G438" s="13">
        <f>+SUMIF('GE16FEB14 Unfudged'!$A$2:$A$498, 'Tax Bill Summary'!$A438, 'GE16FEB14 Unfudged'!F$2:F$498)</f>
        <v>0</v>
      </c>
      <c r="H438" s="56">
        <f t="shared" si="254"/>
        <v>12563</v>
      </c>
      <c r="I438" s="51">
        <f>+SUMIF('GE16FEB14 Unfudged'!$A$2:$A$498, 'Tax Bill Summary'!$A438, 'GE16FEB14 Unfudged'!G$2:G$498)</f>
        <v>0</v>
      </c>
      <c r="J438" s="13">
        <f>+SUMIF('GE16FEB14 Unfudged'!$A$2:$A$498, 'Tax Bill Summary'!$A438, 'GE16FEB14 Unfudged'!H$2:H$498)</f>
        <v>0</v>
      </c>
      <c r="K438" s="56">
        <f t="shared" si="255"/>
        <v>0</v>
      </c>
      <c r="L438" s="51">
        <f>+SUMIF('GE16FEB14 Unfudged'!$A$2:$A$498, 'Tax Bill Summary'!$A438, 'GE16FEB14 Unfudged'!I$2:IF$498)</f>
        <v>0</v>
      </c>
      <c r="M438" s="13">
        <f>+SUMIF('GE16FEB14 Unfudged'!$A$2:$A$498, 'Tax Bill Summary'!$A438, 'GE16FEB14 Unfudged'!J$2:IG$498)</f>
        <v>0</v>
      </c>
      <c r="N438" s="56">
        <f t="shared" si="256"/>
        <v>0</v>
      </c>
      <c r="O438" s="51">
        <f t="shared" si="257"/>
        <v>12563</v>
      </c>
      <c r="P438" s="13">
        <f t="shared" si="258"/>
        <v>0</v>
      </c>
      <c r="Q438" s="56">
        <f t="shared" si="259"/>
        <v>12563</v>
      </c>
      <c r="R438" s="13">
        <f t="shared" si="260"/>
        <v>112.16964285714286</v>
      </c>
      <c r="S438" s="13">
        <f t="shared" si="261"/>
        <v>0</v>
      </c>
      <c r="T438" s="16">
        <f t="shared" si="262"/>
        <v>112.16964285714286</v>
      </c>
      <c r="U438" s="15">
        <f>+SUMIF('GE16FEB14 Tax Bill Unfudged'!$A$2:$A$498, 'Tax Bill Summary'!$A438, 'GE16FEB14 Tax Bill Unfudged'!E$2:E$498)</f>
        <v>12871</v>
      </c>
      <c r="V438" s="13">
        <f>+SUMIF('GE16FEB14 Tax Bill Unfudged'!$A$2:$A$498, 'Tax Bill Summary'!$A438, 'GE16FEB14 Tax Bill Unfudged'!F$2:F$498)</f>
        <v>0</v>
      </c>
      <c r="W438" s="56">
        <f t="shared" si="263"/>
        <v>12871</v>
      </c>
      <c r="X438" s="51">
        <f>+SUMIF('GE16FEB14 Tax Bill Unfudged'!$A$2:$A$498, 'Tax Bill Summary'!$A438, 'GE16FEB14 Tax Bill Unfudged'!G$2:G$498)</f>
        <v>0</v>
      </c>
      <c r="Y438" s="13">
        <f>+SUMIF('GE16FEB14 Tax Bill Unfudged'!$A$2:$A$498, 'Tax Bill Summary'!$A438, 'GE16FEB14 Tax Bill Unfudged'!H$2:H$498)</f>
        <v>0</v>
      </c>
      <c r="Z438" s="56">
        <f t="shared" si="264"/>
        <v>0</v>
      </c>
      <c r="AA438" s="51">
        <f>+SUMIF('GE16FEB14 Tax Bill Unfudged'!$A$2:$A$498, 'Tax Bill Summary'!$A438, 'GE16FEB14 Tax Bill Unfudged'!I$2:I$498)</f>
        <v>0</v>
      </c>
      <c r="AB438" s="13">
        <f>+SUMIF('GE16FEB14 Tax Bill Unfudged'!$A$2:$A$498, 'Tax Bill Summary'!$A438, 'GE16FEB14 Tax Bill Unfudged'!J$2:J$498)</f>
        <v>0</v>
      </c>
      <c r="AC438" s="56">
        <f t="shared" si="265"/>
        <v>0</v>
      </c>
      <c r="AD438" s="51">
        <f t="shared" si="266"/>
        <v>12871</v>
      </c>
      <c r="AE438" s="13">
        <f t="shared" si="267"/>
        <v>0</v>
      </c>
      <c r="AF438" s="56">
        <f t="shared" si="268"/>
        <v>12871</v>
      </c>
      <c r="AG438" s="13">
        <f t="shared" si="269"/>
        <v>114.91964285714286</v>
      </c>
      <c r="AH438" s="13">
        <f t="shared" si="270"/>
        <v>0</v>
      </c>
      <c r="AI438" s="16">
        <f t="shared" si="271"/>
        <v>114.91964285714286</v>
      </c>
      <c r="AJ438" s="15">
        <f t="shared" si="272"/>
        <v>308</v>
      </c>
      <c r="AK438" s="13">
        <f t="shared" si="273"/>
        <v>0</v>
      </c>
      <c r="AL438" s="56">
        <f t="shared" si="274"/>
        <v>308</v>
      </c>
      <c r="AM438" s="51">
        <f t="shared" si="275"/>
        <v>0</v>
      </c>
      <c r="AN438" s="13">
        <f t="shared" si="276"/>
        <v>0</v>
      </c>
      <c r="AO438" s="56">
        <f t="shared" si="277"/>
        <v>0</v>
      </c>
      <c r="AP438" s="51">
        <f t="shared" si="278"/>
        <v>0</v>
      </c>
      <c r="AQ438" s="13">
        <f t="shared" si="279"/>
        <v>0</v>
      </c>
      <c r="AR438" s="56">
        <f t="shared" si="280"/>
        <v>0</v>
      </c>
      <c r="AS438" s="51">
        <f t="shared" si="281"/>
        <v>308</v>
      </c>
      <c r="AT438" s="13">
        <f t="shared" si="282"/>
        <v>0</v>
      </c>
      <c r="AU438" s="56">
        <f t="shared" si="283"/>
        <v>308</v>
      </c>
      <c r="AV438" s="13">
        <f t="shared" si="284"/>
        <v>2.75</v>
      </c>
      <c r="AW438" s="13">
        <f t="shared" si="285"/>
        <v>0</v>
      </c>
      <c r="AX438" s="16">
        <f t="shared" si="286"/>
        <v>2.75</v>
      </c>
    </row>
    <row r="439" spans="1:50" x14ac:dyDescent="0.25">
      <c r="A439" s="20">
        <v>4120</v>
      </c>
      <c r="B439">
        <v>7</v>
      </c>
      <c r="C439" s="23" t="s">
        <v>68</v>
      </c>
      <c r="D439" s="23">
        <v>7</v>
      </c>
      <c r="E439" s="15">
        <f>+SUMIF('GE16FEB14 Unfudged'!$A$2:$A$498, $A439, 'GE16FEB14 Unfudged'!$D$2:$D$498)</f>
        <v>1247</v>
      </c>
      <c r="F439" s="15">
        <f>+SUMIF('GE16FEB14 Unfudged'!$A$2:$A$498, 'Tax Bill Summary'!$A439, 'GE16FEB14 Unfudged'!E$2:E$498)</f>
        <v>140349</v>
      </c>
      <c r="G439" s="13">
        <f>+SUMIF('GE16FEB14 Unfudged'!$A$2:$A$498, 'Tax Bill Summary'!$A439, 'GE16FEB14 Unfudged'!F$2:F$498)</f>
        <v>0</v>
      </c>
      <c r="H439" s="56">
        <f t="shared" si="254"/>
        <v>140349</v>
      </c>
      <c r="I439" s="51">
        <f>+SUMIF('GE16FEB14 Unfudged'!$A$2:$A$498, 'Tax Bill Summary'!$A439, 'GE16FEB14 Unfudged'!G$2:G$498)</f>
        <v>0</v>
      </c>
      <c r="J439" s="13">
        <f>+SUMIF('GE16FEB14 Unfudged'!$A$2:$A$498, 'Tax Bill Summary'!$A439, 'GE16FEB14 Unfudged'!H$2:H$498)</f>
        <v>0</v>
      </c>
      <c r="K439" s="56">
        <f t="shared" si="255"/>
        <v>0</v>
      </c>
      <c r="L439" s="51">
        <f>+SUMIF('GE16FEB14 Unfudged'!$A$2:$A$498, 'Tax Bill Summary'!$A439, 'GE16FEB14 Unfudged'!I$2:IF$498)</f>
        <v>0</v>
      </c>
      <c r="M439" s="13">
        <f>+SUMIF('GE16FEB14 Unfudged'!$A$2:$A$498, 'Tax Bill Summary'!$A439, 'GE16FEB14 Unfudged'!J$2:IG$498)</f>
        <v>0</v>
      </c>
      <c r="N439" s="56">
        <f t="shared" si="256"/>
        <v>0</v>
      </c>
      <c r="O439" s="51">
        <f t="shared" si="257"/>
        <v>140349</v>
      </c>
      <c r="P439" s="13">
        <f t="shared" si="258"/>
        <v>0</v>
      </c>
      <c r="Q439" s="56">
        <f t="shared" si="259"/>
        <v>140349</v>
      </c>
      <c r="R439" s="13">
        <f t="shared" si="260"/>
        <v>112.54931836407378</v>
      </c>
      <c r="S439" s="13">
        <f t="shared" si="261"/>
        <v>0</v>
      </c>
      <c r="T439" s="16">
        <f t="shared" si="262"/>
        <v>112.54931836407378</v>
      </c>
      <c r="U439" s="15">
        <f>+SUMIF('GE16FEB14 Tax Bill Unfudged'!$A$2:$A$498, 'Tax Bill Summary'!$A439, 'GE16FEB14 Tax Bill Unfudged'!E$2:E$498)</f>
        <v>143791</v>
      </c>
      <c r="V439" s="13">
        <f>+SUMIF('GE16FEB14 Tax Bill Unfudged'!$A$2:$A$498, 'Tax Bill Summary'!$A439, 'GE16FEB14 Tax Bill Unfudged'!F$2:F$498)</f>
        <v>0</v>
      </c>
      <c r="W439" s="56">
        <f t="shared" si="263"/>
        <v>143791</v>
      </c>
      <c r="X439" s="51">
        <f>+SUMIF('GE16FEB14 Tax Bill Unfudged'!$A$2:$A$498, 'Tax Bill Summary'!$A439, 'GE16FEB14 Tax Bill Unfudged'!G$2:G$498)</f>
        <v>0</v>
      </c>
      <c r="Y439" s="13">
        <f>+SUMIF('GE16FEB14 Tax Bill Unfudged'!$A$2:$A$498, 'Tax Bill Summary'!$A439, 'GE16FEB14 Tax Bill Unfudged'!H$2:H$498)</f>
        <v>0</v>
      </c>
      <c r="Z439" s="56">
        <f t="shared" si="264"/>
        <v>0</v>
      </c>
      <c r="AA439" s="51">
        <f>+SUMIF('GE16FEB14 Tax Bill Unfudged'!$A$2:$A$498, 'Tax Bill Summary'!$A439, 'GE16FEB14 Tax Bill Unfudged'!I$2:I$498)</f>
        <v>0</v>
      </c>
      <c r="AB439" s="13">
        <f>+SUMIF('GE16FEB14 Tax Bill Unfudged'!$A$2:$A$498, 'Tax Bill Summary'!$A439, 'GE16FEB14 Tax Bill Unfudged'!J$2:J$498)</f>
        <v>0</v>
      </c>
      <c r="AC439" s="56">
        <f t="shared" si="265"/>
        <v>0</v>
      </c>
      <c r="AD439" s="51">
        <f t="shared" si="266"/>
        <v>143791</v>
      </c>
      <c r="AE439" s="13">
        <f t="shared" si="267"/>
        <v>0</v>
      </c>
      <c r="AF439" s="56">
        <f t="shared" si="268"/>
        <v>143791</v>
      </c>
      <c r="AG439" s="13">
        <f t="shared" si="269"/>
        <v>115.30954290296712</v>
      </c>
      <c r="AH439" s="13">
        <f t="shared" si="270"/>
        <v>0</v>
      </c>
      <c r="AI439" s="16">
        <f t="shared" si="271"/>
        <v>115.30954290296712</v>
      </c>
      <c r="AJ439" s="15">
        <f t="shared" si="272"/>
        <v>3442</v>
      </c>
      <c r="AK439" s="13">
        <f t="shared" si="273"/>
        <v>0</v>
      </c>
      <c r="AL439" s="56">
        <f t="shared" si="274"/>
        <v>3442</v>
      </c>
      <c r="AM439" s="51">
        <f t="shared" si="275"/>
        <v>0</v>
      </c>
      <c r="AN439" s="13">
        <f t="shared" si="276"/>
        <v>0</v>
      </c>
      <c r="AO439" s="56">
        <f t="shared" si="277"/>
        <v>0</v>
      </c>
      <c r="AP439" s="51">
        <f t="shared" si="278"/>
        <v>0</v>
      </c>
      <c r="AQ439" s="13">
        <f t="shared" si="279"/>
        <v>0</v>
      </c>
      <c r="AR439" s="56">
        <f t="shared" si="280"/>
        <v>0</v>
      </c>
      <c r="AS439" s="51">
        <f t="shared" si="281"/>
        <v>3442</v>
      </c>
      <c r="AT439" s="13">
        <f t="shared" si="282"/>
        <v>0</v>
      </c>
      <c r="AU439" s="56">
        <f t="shared" si="283"/>
        <v>3442</v>
      </c>
      <c r="AV439" s="13">
        <f t="shared" si="284"/>
        <v>2.7602245388933397</v>
      </c>
      <c r="AW439" s="13">
        <f t="shared" si="285"/>
        <v>0</v>
      </c>
      <c r="AX439" s="16">
        <f t="shared" si="286"/>
        <v>2.7602245388933397</v>
      </c>
    </row>
    <row r="440" spans="1:50" x14ac:dyDescent="0.25">
      <c r="A440" s="20">
        <v>4121</v>
      </c>
      <c r="B440">
        <v>7</v>
      </c>
      <c r="C440" s="23" t="s">
        <v>498</v>
      </c>
      <c r="D440" s="23">
        <v>7</v>
      </c>
      <c r="E440" s="15">
        <f>+SUMIF('GE16FEB14 Unfudged'!$A$2:$A$498, $A440, 'GE16FEB14 Unfudged'!$D$2:$D$498)</f>
        <v>456</v>
      </c>
      <c r="F440" s="15">
        <f>+SUMIF('GE16FEB14 Unfudged'!$A$2:$A$498, 'Tax Bill Summary'!$A440, 'GE16FEB14 Unfudged'!E$2:E$498)</f>
        <v>51331</v>
      </c>
      <c r="G440" s="13">
        <f>+SUMIF('GE16FEB14 Unfudged'!$A$2:$A$498, 'Tax Bill Summary'!$A440, 'GE16FEB14 Unfudged'!F$2:F$498)</f>
        <v>0</v>
      </c>
      <c r="H440" s="56">
        <f t="shared" si="254"/>
        <v>51331</v>
      </c>
      <c r="I440" s="51">
        <f>+SUMIF('GE16FEB14 Unfudged'!$A$2:$A$498, 'Tax Bill Summary'!$A440, 'GE16FEB14 Unfudged'!G$2:G$498)</f>
        <v>0</v>
      </c>
      <c r="J440" s="13">
        <f>+SUMIF('GE16FEB14 Unfudged'!$A$2:$A$498, 'Tax Bill Summary'!$A440, 'GE16FEB14 Unfudged'!H$2:H$498)</f>
        <v>0</v>
      </c>
      <c r="K440" s="56">
        <f t="shared" si="255"/>
        <v>0</v>
      </c>
      <c r="L440" s="51">
        <f>+SUMIF('GE16FEB14 Unfudged'!$A$2:$A$498, 'Tax Bill Summary'!$A440, 'GE16FEB14 Unfudged'!I$2:IF$498)</f>
        <v>0</v>
      </c>
      <c r="M440" s="13">
        <f>+SUMIF('GE16FEB14 Unfudged'!$A$2:$A$498, 'Tax Bill Summary'!$A440, 'GE16FEB14 Unfudged'!J$2:IG$498)</f>
        <v>0</v>
      </c>
      <c r="N440" s="56">
        <f t="shared" si="256"/>
        <v>0</v>
      </c>
      <c r="O440" s="51">
        <f t="shared" si="257"/>
        <v>51331</v>
      </c>
      <c r="P440" s="13">
        <f t="shared" si="258"/>
        <v>0</v>
      </c>
      <c r="Q440" s="56">
        <f t="shared" si="259"/>
        <v>51331</v>
      </c>
      <c r="R440" s="13">
        <f t="shared" si="260"/>
        <v>112.56798245614036</v>
      </c>
      <c r="S440" s="13">
        <f t="shared" si="261"/>
        <v>0</v>
      </c>
      <c r="T440" s="16">
        <f t="shared" si="262"/>
        <v>112.56798245614036</v>
      </c>
      <c r="U440" s="15">
        <f>+SUMIF('GE16FEB14 Tax Bill Unfudged'!$A$2:$A$498, 'Tax Bill Summary'!$A440, 'GE16FEB14 Tax Bill Unfudged'!E$2:E$498)</f>
        <v>52590</v>
      </c>
      <c r="V440" s="13">
        <f>+SUMIF('GE16FEB14 Tax Bill Unfudged'!$A$2:$A$498, 'Tax Bill Summary'!$A440, 'GE16FEB14 Tax Bill Unfudged'!F$2:F$498)</f>
        <v>0</v>
      </c>
      <c r="W440" s="56">
        <f t="shared" si="263"/>
        <v>52590</v>
      </c>
      <c r="X440" s="51">
        <f>+SUMIF('GE16FEB14 Tax Bill Unfudged'!$A$2:$A$498, 'Tax Bill Summary'!$A440, 'GE16FEB14 Tax Bill Unfudged'!G$2:G$498)</f>
        <v>0</v>
      </c>
      <c r="Y440" s="13">
        <f>+SUMIF('GE16FEB14 Tax Bill Unfudged'!$A$2:$A$498, 'Tax Bill Summary'!$A440, 'GE16FEB14 Tax Bill Unfudged'!H$2:H$498)</f>
        <v>0</v>
      </c>
      <c r="Z440" s="56">
        <f t="shared" si="264"/>
        <v>0</v>
      </c>
      <c r="AA440" s="51">
        <f>+SUMIF('GE16FEB14 Tax Bill Unfudged'!$A$2:$A$498, 'Tax Bill Summary'!$A440, 'GE16FEB14 Tax Bill Unfudged'!I$2:I$498)</f>
        <v>0</v>
      </c>
      <c r="AB440" s="13">
        <f>+SUMIF('GE16FEB14 Tax Bill Unfudged'!$A$2:$A$498, 'Tax Bill Summary'!$A440, 'GE16FEB14 Tax Bill Unfudged'!J$2:J$498)</f>
        <v>0</v>
      </c>
      <c r="AC440" s="56">
        <f t="shared" si="265"/>
        <v>0</v>
      </c>
      <c r="AD440" s="51">
        <f t="shared" si="266"/>
        <v>52590</v>
      </c>
      <c r="AE440" s="13">
        <f t="shared" si="267"/>
        <v>0</v>
      </c>
      <c r="AF440" s="56">
        <f t="shared" si="268"/>
        <v>52590</v>
      </c>
      <c r="AG440" s="13">
        <f t="shared" si="269"/>
        <v>115.32894736842105</v>
      </c>
      <c r="AH440" s="13">
        <f t="shared" si="270"/>
        <v>0</v>
      </c>
      <c r="AI440" s="16">
        <f t="shared" si="271"/>
        <v>115.32894736842105</v>
      </c>
      <c r="AJ440" s="15">
        <f t="shared" si="272"/>
        <v>1259</v>
      </c>
      <c r="AK440" s="13">
        <f t="shared" si="273"/>
        <v>0</v>
      </c>
      <c r="AL440" s="56">
        <f t="shared" si="274"/>
        <v>1259</v>
      </c>
      <c r="AM440" s="51">
        <f t="shared" si="275"/>
        <v>0</v>
      </c>
      <c r="AN440" s="13">
        <f t="shared" si="276"/>
        <v>0</v>
      </c>
      <c r="AO440" s="56">
        <f t="shared" si="277"/>
        <v>0</v>
      </c>
      <c r="AP440" s="51">
        <f t="shared" si="278"/>
        <v>0</v>
      </c>
      <c r="AQ440" s="13">
        <f t="shared" si="279"/>
        <v>0</v>
      </c>
      <c r="AR440" s="56">
        <f t="shared" si="280"/>
        <v>0</v>
      </c>
      <c r="AS440" s="51">
        <f t="shared" si="281"/>
        <v>1259</v>
      </c>
      <c r="AT440" s="13">
        <f t="shared" si="282"/>
        <v>0</v>
      </c>
      <c r="AU440" s="56">
        <f t="shared" si="283"/>
        <v>1259</v>
      </c>
      <c r="AV440" s="13">
        <f t="shared" si="284"/>
        <v>2.7609649122806985</v>
      </c>
      <c r="AW440" s="13">
        <f t="shared" si="285"/>
        <v>0</v>
      </c>
      <c r="AX440" s="16">
        <f t="shared" si="286"/>
        <v>2.7609649122806985</v>
      </c>
    </row>
    <row r="441" spans="1:50" x14ac:dyDescent="0.25">
      <c r="A441" s="20">
        <v>4122</v>
      </c>
      <c r="B441">
        <v>7</v>
      </c>
      <c r="C441" s="23" t="s">
        <v>499</v>
      </c>
      <c r="D441" s="23">
        <v>7</v>
      </c>
      <c r="E441" s="15">
        <f>+SUMIF('GE16FEB14 Unfudged'!$A$2:$A$498, $A441, 'GE16FEB14 Unfudged'!$D$2:$D$498)</f>
        <v>943</v>
      </c>
      <c r="F441" s="15">
        <f>+SUMIF('GE16FEB14 Unfudged'!$A$2:$A$498, 'Tax Bill Summary'!$A441, 'GE16FEB14 Unfudged'!E$2:E$498)</f>
        <v>106123</v>
      </c>
      <c r="G441" s="13">
        <f>+SUMIF('GE16FEB14 Unfudged'!$A$2:$A$498, 'Tax Bill Summary'!$A441, 'GE16FEB14 Unfudged'!F$2:F$498)</f>
        <v>0</v>
      </c>
      <c r="H441" s="56">
        <f t="shared" si="254"/>
        <v>106123</v>
      </c>
      <c r="I441" s="51">
        <f>+SUMIF('GE16FEB14 Unfudged'!$A$2:$A$498, 'Tax Bill Summary'!$A441, 'GE16FEB14 Unfudged'!G$2:G$498)</f>
        <v>0</v>
      </c>
      <c r="J441" s="13">
        <f>+SUMIF('GE16FEB14 Unfudged'!$A$2:$A$498, 'Tax Bill Summary'!$A441, 'GE16FEB14 Unfudged'!H$2:H$498)</f>
        <v>0</v>
      </c>
      <c r="K441" s="56">
        <f t="shared" si="255"/>
        <v>0</v>
      </c>
      <c r="L441" s="51">
        <f>+SUMIF('GE16FEB14 Unfudged'!$A$2:$A$498, 'Tax Bill Summary'!$A441, 'GE16FEB14 Unfudged'!I$2:IF$498)</f>
        <v>0</v>
      </c>
      <c r="M441" s="13">
        <f>+SUMIF('GE16FEB14 Unfudged'!$A$2:$A$498, 'Tax Bill Summary'!$A441, 'GE16FEB14 Unfudged'!J$2:IG$498)</f>
        <v>0</v>
      </c>
      <c r="N441" s="56">
        <f t="shared" si="256"/>
        <v>0</v>
      </c>
      <c r="O441" s="51">
        <f t="shared" si="257"/>
        <v>106123</v>
      </c>
      <c r="P441" s="13">
        <f t="shared" si="258"/>
        <v>0</v>
      </c>
      <c r="Q441" s="56">
        <f t="shared" si="259"/>
        <v>106123</v>
      </c>
      <c r="R441" s="13">
        <f t="shared" si="260"/>
        <v>112.53764581124072</v>
      </c>
      <c r="S441" s="13">
        <f t="shared" si="261"/>
        <v>0</v>
      </c>
      <c r="T441" s="16">
        <f t="shared" si="262"/>
        <v>112.53764581124072</v>
      </c>
      <c r="U441" s="15">
        <f>+SUMIF('GE16FEB14 Tax Bill Unfudged'!$A$2:$A$498, 'Tax Bill Summary'!$A441, 'GE16FEB14 Tax Bill Unfudged'!E$2:E$498)</f>
        <v>108725</v>
      </c>
      <c r="V441" s="13">
        <f>+SUMIF('GE16FEB14 Tax Bill Unfudged'!$A$2:$A$498, 'Tax Bill Summary'!$A441, 'GE16FEB14 Tax Bill Unfudged'!F$2:F$498)</f>
        <v>0</v>
      </c>
      <c r="W441" s="56">
        <f t="shared" si="263"/>
        <v>108725</v>
      </c>
      <c r="X441" s="51">
        <f>+SUMIF('GE16FEB14 Tax Bill Unfudged'!$A$2:$A$498, 'Tax Bill Summary'!$A441, 'GE16FEB14 Tax Bill Unfudged'!G$2:G$498)</f>
        <v>0</v>
      </c>
      <c r="Y441" s="13">
        <f>+SUMIF('GE16FEB14 Tax Bill Unfudged'!$A$2:$A$498, 'Tax Bill Summary'!$A441, 'GE16FEB14 Tax Bill Unfudged'!H$2:H$498)</f>
        <v>0</v>
      </c>
      <c r="Z441" s="56">
        <f t="shared" si="264"/>
        <v>0</v>
      </c>
      <c r="AA441" s="51">
        <f>+SUMIF('GE16FEB14 Tax Bill Unfudged'!$A$2:$A$498, 'Tax Bill Summary'!$A441, 'GE16FEB14 Tax Bill Unfudged'!I$2:I$498)</f>
        <v>0</v>
      </c>
      <c r="AB441" s="13">
        <f>+SUMIF('GE16FEB14 Tax Bill Unfudged'!$A$2:$A$498, 'Tax Bill Summary'!$A441, 'GE16FEB14 Tax Bill Unfudged'!J$2:J$498)</f>
        <v>0</v>
      </c>
      <c r="AC441" s="56">
        <f t="shared" si="265"/>
        <v>0</v>
      </c>
      <c r="AD441" s="51">
        <f t="shared" si="266"/>
        <v>108725</v>
      </c>
      <c r="AE441" s="13">
        <f t="shared" si="267"/>
        <v>0</v>
      </c>
      <c r="AF441" s="56">
        <f t="shared" si="268"/>
        <v>108725</v>
      </c>
      <c r="AG441" s="13">
        <f t="shared" si="269"/>
        <v>115.29692470837752</v>
      </c>
      <c r="AH441" s="13">
        <f t="shared" si="270"/>
        <v>0</v>
      </c>
      <c r="AI441" s="16">
        <f t="shared" si="271"/>
        <v>115.29692470837752</v>
      </c>
      <c r="AJ441" s="15">
        <f t="shared" si="272"/>
        <v>2602</v>
      </c>
      <c r="AK441" s="13">
        <f t="shared" si="273"/>
        <v>0</v>
      </c>
      <c r="AL441" s="56">
        <f t="shared" si="274"/>
        <v>2602</v>
      </c>
      <c r="AM441" s="51">
        <f t="shared" si="275"/>
        <v>0</v>
      </c>
      <c r="AN441" s="13">
        <f t="shared" si="276"/>
        <v>0</v>
      </c>
      <c r="AO441" s="56">
        <f t="shared" si="277"/>
        <v>0</v>
      </c>
      <c r="AP441" s="51">
        <f t="shared" si="278"/>
        <v>0</v>
      </c>
      <c r="AQ441" s="13">
        <f t="shared" si="279"/>
        <v>0</v>
      </c>
      <c r="AR441" s="56">
        <f t="shared" si="280"/>
        <v>0</v>
      </c>
      <c r="AS441" s="51">
        <f t="shared" si="281"/>
        <v>2602</v>
      </c>
      <c r="AT441" s="13">
        <f t="shared" si="282"/>
        <v>0</v>
      </c>
      <c r="AU441" s="56">
        <f t="shared" si="283"/>
        <v>2602</v>
      </c>
      <c r="AV441" s="13">
        <f t="shared" si="284"/>
        <v>2.7592788971367952</v>
      </c>
      <c r="AW441" s="13">
        <f t="shared" si="285"/>
        <v>0</v>
      </c>
      <c r="AX441" s="16">
        <f t="shared" si="286"/>
        <v>2.7592788971367952</v>
      </c>
    </row>
    <row r="442" spans="1:50" x14ac:dyDescent="0.25">
      <c r="A442" s="20">
        <v>4123</v>
      </c>
      <c r="B442">
        <v>7</v>
      </c>
      <c r="C442" s="23" t="s">
        <v>500</v>
      </c>
      <c r="D442" s="23">
        <v>7</v>
      </c>
      <c r="E442" s="15">
        <f>+SUMIF('GE16FEB14 Unfudged'!$A$2:$A$498, $A442, 'GE16FEB14 Unfudged'!$D$2:$D$498)</f>
        <v>46</v>
      </c>
      <c r="F442" s="15">
        <f>+SUMIF('GE16FEB14 Unfudged'!$A$2:$A$498, 'Tax Bill Summary'!$A442, 'GE16FEB14 Unfudged'!E$2:E$498)</f>
        <v>5172</v>
      </c>
      <c r="G442" s="13">
        <f>+SUMIF('GE16FEB14 Unfudged'!$A$2:$A$498, 'Tax Bill Summary'!$A442, 'GE16FEB14 Unfudged'!F$2:F$498)</f>
        <v>0</v>
      </c>
      <c r="H442" s="56">
        <f t="shared" si="254"/>
        <v>5172</v>
      </c>
      <c r="I442" s="51">
        <f>+SUMIF('GE16FEB14 Unfudged'!$A$2:$A$498, 'Tax Bill Summary'!$A442, 'GE16FEB14 Unfudged'!G$2:G$498)</f>
        <v>0</v>
      </c>
      <c r="J442" s="13">
        <f>+SUMIF('GE16FEB14 Unfudged'!$A$2:$A$498, 'Tax Bill Summary'!$A442, 'GE16FEB14 Unfudged'!H$2:H$498)</f>
        <v>0</v>
      </c>
      <c r="K442" s="56">
        <f t="shared" si="255"/>
        <v>0</v>
      </c>
      <c r="L442" s="51">
        <f>+SUMIF('GE16FEB14 Unfudged'!$A$2:$A$498, 'Tax Bill Summary'!$A442, 'GE16FEB14 Unfudged'!I$2:IF$498)</f>
        <v>0</v>
      </c>
      <c r="M442" s="13">
        <f>+SUMIF('GE16FEB14 Unfudged'!$A$2:$A$498, 'Tax Bill Summary'!$A442, 'GE16FEB14 Unfudged'!J$2:IG$498)</f>
        <v>0</v>
      </c>
      <c r="N442" s="56">
        <f t="shared" si="256"/>
        <v>0</v>
      </c>
      <c r="O442" s="51">
        <f t="shared" si="257"/>
        <v>5172</v>
      </c>
      <c r="P442" s="13">
        <f t="shared" si="258"/>
        <v>0</v>
      </c>
      <c r="Q442" s="56">
        <f t="shared" si="259"/>
        <v>5172</v>
      </c>
      <c r="R442" s="13">
        <f t="shared" si="260"/>
        <v>112.43478260869566</v>
      </c>
      <c r="S442" s="13">
        <f t="shared" si="261"/>
        <v>0</v>
      </c>
      <c r="T442" s="16">
        <f t="shared" si="262"/>
        <v>112.43478260869566</v>
      </c>
      <c r="U442" s="15">
        <f>+SUMIF('GE16FEB14 Tax Bill Unfudged'!$A$2:$A$498, 'Tax Bill Summary'!$A442, 'GE16FEB14 Tax Bill Unfudged'!E$2:E$498)</f>
        <v>5299</v>
      </c>
      <c r="V442" s="13">
        <f>+SUMIF('GE16FEB14 Tax Bill Unfudged'!$A$2:$A$498, 'Tax Bill Summary'!$A442, 'GE16FEB14 Tax Bill Unfudged'!F$2:F$498)</f>
        <v>0</v>
      </c>
      <c r="W442" s="56">
        <f t="shared" si="263"/>
        <v>5299</v>
      </c>
      <c r="X442" s="51">
        <f>+SUMIF('GE16FEB14 Tax Bill Unfudged'!$A$2:$A$498, 'Tax Bill Summary'!$A442, 'GE16FEB14 Tax Bill Unfudged'!G$2:G$498)</f>
        <v>0</v>
      </c>
      <c r="Y442" s="13">
        <f>+SUMIF('GE16FEB14 Tax Bill Unfudged'!$A$2:$A$498, 'Tax Bill Summary'!$A442, 'GE16FEB14 Tax Bill Unfudged'!H$2:H$498)</f>
        <v>0</v>
      </c>
      <c r="Z442" s="56">
        <f t="shared" si="264"/>
        <v>0</v>
      </c>
      <c r="AA442" s="51">
        <f>+SUMIF('GE16FEB14 Tax Bill Unfudged'!$A$2:$A$498, 'Tax Bill Summary'!$A442, 'GE16FEB14 Tax Bill Unfudged'!I$2:I$498)</f>
        <v>0</v>
      </c>
      <c r="AB442" s="13">
        <f>+SUMIF('GE16FEB14 Tax Bill Unfudged'!$A$2:$A$498, 'Tax Bill Summary'!$A442, 'GE16FEB14 Tax Bill Unfudged'!J$2:J$498)</f>
        <v>0</v>
      </c>
      <c r="AC442" s="56">
        <f t="shared" si="265"/>
        <v>0</v>
      </c>
      <c r="AD442" s="51">
        <f t="shared" si="266"/>
        <v>5299</v>
      </c>
      <c r="AE442" s="13">
        <f t="shared" si="267"/>
        <v>0</v>
      </c>
      <c r="AF442" s="56">
        <f t="shared" si="268"/>
        <v>5299</v>
      </c>
      <c r="AG442" s="13">
        <f t="shared" si="269"/>
        <v>115.19565217391305</v>
      </c>
      <c r="AH442" s="13">
        <f t="shared" si="270"/>
        <v>0</v>
      </c>
      <c r="AI442" s="16">
        <f t="shared" si="271"/>
        <v>115.19565217391305</v>
      </c>
      <c r="AJ442" s="15">
        <f t="shared" si="272"/>
        <v>127</v>
      </c>
      <c r="AK442" s="13">
        <f t="shared" si="273"/>
        <v>0</v>
      </c>
      <c r="AL442" s="56">
        <f t="shared" si="274"/>
        <v>127</v>
      </c>
      <c r="AM442" s="51">
        <f t="shared" si="275"/>
        <v>0</v>
      </c>
      <c r="AN442" s="13">
        <f t="shared" si="276"/>
        <v>0</v>
      </c>
      <c r="AO442" s="56">
        <f t="shared" si="277"/>
        <v>0</v>
      </c>
      <c r="AP442" s="51">
        <f t="shared" si="278"/>
        <v>0</v>
      </c>
      <c r="AQ442" s="13">
        <f t="shared" si="279"/>
        <v>0</v>
      </c>
      <c r="AR442" s="56">
        <f t="shared" si="280"/>
        <v>0</v>
      </c>
      <c r="AS442" s="51">
        <f t="shared" si="281"/>
        <v>127</v>
      </c>
      <c r="AT442" s="13">
        <f t="shared" si="282"/>
        <v>0</v>
      </c>
      <c r="AU442" s="56">
        <f t="shared" si="283"/>
        <v>127</v>
      </c>
      <c r="AV442" s="13">
        <f t="shared" si="284"/>
        <v>2.7608695652173907</v>
      </c>
      <c r="AW442" s="13">
        <f t="shared" si="285"/>
        <v>0</v>
      </c>
      <c r="AX442" s="16">
        <f t="shared" si="286"/>
        <v>2.7608695652173907</v>
      </c>
    </row>
    <row r="443" spans="1:50" x14ac:dyDescent="0.25">
      <c r="A443" s="20">
        <v>4124</v>
      </c>
      <c r="B443">
        <v>7</v>
      </c>
      <c r="C443" s="23" t="s">
        <v>69</v>
      </c>
      <c r="D443" s="23">
        <v>7</v>
      </c>
      <c r="E443" s="15">
        <f>+SUMIF('GE16FEB14 Unfudged'!$A$2:$A$498, $A443, 'GE16FEB14 Unfudged'!$D$2:$D$498)</f>
        <v>434</v>
      </c>
      <c r="F443" s="15">
        <f>+SUMIF('GE16FEB14 Unfudged'!$A$2:$A$498, 'Tax Bill Summary'!$A443, 'GE16FEB14 Unfudged'!E$2:E$498)</f>
        <v>48809</v>
      </c>
      <c r="G443" s="13">
        <f>+SUMIF('GE16FEB14 Unfudged'!$A$2:$A$498, 'Tax Bill Summary'!$A443, 'GE16FEB14 Unfudged'!F$2:F$498)</f>
        <v>0</v>
      </c>
      <c r="H443" s="56">
        <f t="shared" si="254"/>
        <v>48809</v>
      </c>
      <c r="I443" s="51">
        <f>+SUMIF('GE16FEB14 Unfudged'!$A$2:$A$498, 'Tax Bill Summary'!$A443, 'GE16FEB14 Unfudged'!G$2:G$498)</f>
        <v>0</v>
      </c>
      <c r="J443" s="13">
        <f>+SUMIF('GE16FEB14 Unfudged'!$A$2:$A$498, 'Tax Bill Summary'!$A443, 'GE16FEB14 Unfudged'!H$2:H$498)</f>
        <v>0</v>
      </c>
      <c r="K443" s="56">
        <f t="shared" si="255"/>
        <v>0</v>
      </c>
      <c r="L443" s="51">
        <f>+SUMIF('GE16FEB14 Unfudged'!$A$2:$A$498, 'Tax Bill Summary'!$A443, 'GE16FEB14 Unfudged'!I$2:IF$498)</f>
        <v>0</v>
      </c>
      <c r="M443" s="13">
        <f>+SUMIF('GE16FEB14 Unfudged'!$A$2:$A$498, 'Tax Bill Summary'!$A443, 'GE16FEB14 Unfudged'!J$2:IG$498)</f>
        <v>0</v>
      </c>
      <c r="N443" s="56">
        <f t="shared" si="256"/>
        <v>0</v>
      </c>
      <c r="O443" s="51">
        <f t="shared" si="257"/>
        <v>48809</v>
      </c>
      <c r="P443" s="13">
        <f t="shared" si="258"/>
        <v>0</v>
      </c>
      <c r="Q443" s="56">
        <f t="shared" si="259"/>
        <v>48809</v>
      </c>
      <c r="R443" s="13">
        <f t="shared" si="260"/>
        <v>112.463133640553</v>
      </c>
      <c r="S443" s="13">
        <f t="shared" si="261"/>
        <v>0</v>
      </c>
      <c r="T443" s="16">
        <f t="shared" si="262"/>
        <v>112.463133640553</v>
      </c>
      <c r="U443" s="15">
        <f>+SUMIF('GE16FEB14 Tax Bill Unfudged'!$A$2:$A$498, 'Tax Bill Summary'!$A443, 'GE16FEB14 Tax Bill Unfudged'!E$2:E$498)</f>
        <v>50006</v>
      </c>
      <c r="V443" s="13">
        <f>+SUMIF('GE16FEB14 Tax Bill Unfudged'!$A$2:$A$498, 'Tax Bill Summary'!$A443, 'GE16FEB14 Tax Bill Unfudged'!F$2:F$498)</f>
        <v>0</v>
      </c>
      <c r="W443" s="56">
        <f t="shared" si="263"/>
        <v>50006</v>
      </c>
      <c r="X443" s="51">
        <f>+SUMIF('GE16FEB14 Tax Bill Unfudged'!$A$2:$A$498, 'Tax Bill Summary'!$A443, 'GE16FEB14 Tax Bill Unfudged'!G$2:G$498)</f>
        <v>0</v>
      </c>
      <c r="Y443" s="13">
        <f>+SUMIF('GE16FEB14 Tax Bill Unfudged'!$A$2:$A$498, 'Tax Bill Summary'!$A443, 'GE16FEB14 Tax Bill Unfudged'!H$2:H$498)</f>
        <v>0</v>
      </c>
      <c r="Z443" s="56">
        <f t="shared" si="264"/>
        <v>0</v>
      </c>
      <c r="AA443" s="51">
        <f>+SUMIF('GE16FEB14 Tax Bill Unfudged'!$A$2:$A$498, 'Tax Bill Summary'!$A443, 'GE16FEB14 Tax Bill Unfudged'!I$2:I$498)</f>
        <v>0</v>
      </c>
      <c r="AB443" s="13">
        <f>+SUMIF('GE16FEB14 Tax Bill Unfudged'!$A$2:$A$498, 'Tax Bill Summary'!$A443, 'GE16FEB14 Tax Bill Unfudged'!J$2:J$498)</f>
        <v>0</v>
      </c>
      <c r="AC443" s="56">
        <f t="shared" si="265"/>
        <v>0</v>
      </c>
      <c r="AD443" s="51">
        <f t="shared" si="266"/>
        <v>50006</v>
      </c>
      <c r="AE443" s="13">
        <f t="shared" si="267"/>
        <v>0</v>
      </c>
      <c r="AF443" s="56">
        <f t="shared" si="268"/>
        <v>50006</v>
      </c>
      <c r="AG443" s="13">
        <f t="shared" si="269"/>
        <v>115.22119815668202</v>
      </c>
      <c r="AH443" s="13">
        <f t="shared" si="270"/>
        <v>0</v>
      </c>
      <c r="AI443" s="16">
        <f t="shared" si="271"/>
        <v>115.22119815668202</v>
      </c>
      <c r="AJ443" s="15">
        <f t="shared" si="272"/>
        <v>1197</v>
      </c>
      <c r="AK443" s="13">
        <f t="shared" si="273"/>
        <v>0</v>
      </c>
      <c r="AL443" s="56">
        <f t="shared" si="274"/>
        <v>1197</v>
      </c>
      <c r="AM443" s="51">
        <f t="shared" si="275"/>
        <v>0</v>
      </c>
      <c r="AN443" s="13">
        <f t="shared" si="276"/>
        <v>0</v>
      </c>
      <c r="AO443" s="56">
        <f t="shared" si="277"/>
        <v>0</v>
      </c>
      <c r="AP443" s="51">
        <f t="shared" si="278"/>
        <v>0</v>
      </c>
      <c r="AQ443" s="13">
        <f t="shared" si="279"/>
        <v>0</v>
      </c>
      <c r="AR443" s="56">
        <f t="shared" si="280"/>
        <v>0</v>
      </c>
      <c r="AS443" s="51">
        <f t="shared" si="281"/>
        <v>1197</v>
      </c>
      <c r="AT443" s="13">
        <f t="shared" si="282"/>
        <v>0</v>
      </c>
      <c r="AU443" s="56">
        <f t="shared" si="283"/>
        <v>1197</v>
      </c>
      <c r="AV443" s="13">
        <f t="shared" si="284"/>
        <v>2.7580645161290249</v>
      </c>
      <c r="AW443" s="13">
        <f t="shared" si="285"/>
        <v>0</v>
      </c>
      <c r="AX443" s="16">
        <f t="shared" si="286"/>
        <v>2.7580645161290249</v>
      </c>
    </row>
    <row r="444" spans="1:50" x14ac:dyDescent="0.25">
      <c r="A444" s="20">
        <v>4126</v>
      </c>
      <c r="B444">
        <v>7</v>
      </c>
      <c r="C444" s="23" t="s">
        <v>70</v>
      </c>
      <c r="D444" s="23">
        <v>7</v>
      </c>
      <c r="E444" s="15">
        <f>+SUMIF('GE16FEB14 Unfudged'!$A$2:$A$498, $A444, 'GE16FEB14 Unfudged'!$D$2:$D$498)</f>
        <v>849</v>
      </c>
      <c r="F444" s="15">
        <f>+SUMIF('GE16FEB14 Unfudged'!$A$2:$A$498, 'Tax Bill Summary'!$A444, 'GE16FEB14 Unfudged'!E$2:E$498)</f>
        <v>95570</v>
      </c>
      <c r="G444" s="13">
        <f>+SUMIF('GE16FEB14 Unfudged'!$A$2:$A$498, 'Tax Bill Summary'!$A444, 'GE16FEB14 Unfudged'!F$2:F$498)</f>
        <v>0</v>
      </c>
      <c r="H444" s="56">
        <f t="shared" si="254"/>
        <v>95570</v>
      </c>
      <c r="I444" s="51">
        <f>+SUMIF('GE16FEB14 Unfudged'!$A$2:$A$498, 'Tax Bill Summary'!$A444, 'GE16FEB14 Unfudged'!G$2:G$498)</f>
        <v>0</v>
      </c>
      <c r="J444" s="13">
        <f>+SUMIF('GE16FEB14 Unfudged'!$A$2:$A$498, 'Tax Bill Summary'!$A444, 'GE16FEB14 Unfudged'!H$2:H$498)</f>
        <v>0</v>
      </c>
      <c r="K444" s="56">
        <f t="shared" si="255"/>
        <v>0</v>
      </c>
      <c r="L444" s="51">
        <f>+SUMIF('GE16FEB14 Unfudged'!$A$2:$A$498, 'Tax Bill Summary'!$A444, 'GE16FEB14 Unfudged'!I$2:IF$498)</f>
        <v>0</v>
      </c>
      <c r="M444" s="13">
        <f>+SUMIF('GE16FEB14 Unfudged'!$A$2:$A$498, 'Tax Bill Summary'!$A444, 'GE16FEB14 Unfudged'!J$2:IG$498)</f>
        <v>0</v>
      </c>
      <c r="N444" s="56">
        <f t="shared" si="256"/>
        <v>0</v>
      </c>
      <c r="O444" s="51">
        <f t="shared" si="257"/>
        <v>95570</v>
      </c>
      <c r="P444" s="13">
        <f t="shared" si="258"/>
        <v>0</v>
      </c>
      <c r="Q444" s="56">
        <f t="shared" si="259"/>
        <v>95570</v>
      </c>
      <c r="R444" s="13">
        <f t="shared" si="260"/>
        <v>112.56772673733805</v>
      </c>
      <c r="S444" s="13">
        <f t="shared" si="261"/>
        <v>0</v>
      </c>
      <c r="T444" s="16">
        <f t="shared" si="262"/>
        <v>112.56772673733805</v>
      </c>
      <c r="U444" s="15">
        <f>+SUMIF('GE16FEB14 Tax Bill Unfudged'!$A$2:$A$498, 'Tax Bill Summary'!$A444, 'GE16FEB14 Tax Bill Unfudged'!E$2:E$498)</f>
        <v>97913</v>
      </c>
      <c r="V444" s="13">
        <f>+SUMIF('GE16FEB14 Tax Bill Unfudged'!$A$2:$A$498, 'Tax Bill Summary'!$A444, 'GE16FEB14 Tax Bill Unfudged'!F$2:F$498)</f>
        <v>0</v>
      </c>
      <c r="W444" s="56">
        <f t="shared" si="263"/>
        <v>97913</v>
      </c>
      <c r="X444" s="51">
        <f>+SUMIF('GE16FEB14 Tax Bill Unfudged'!$A$2:$A$498, 'Tax Bill Summary'!$A444, 'GE16FEB14 Tax Bill Unfudged'!G$2:G$498)</f>
        <v>0</v>
      </c>
      <c r="Y444" s="13">
        <f>+SUMIF('GE16FEB14 Tax Bill Unfudged'!$A$2:$A$498, 'Tax Bill Summary'!$A444, 'GE16FEB14 Tax Bill Unfudged'!H$2:H$498)</f>
        <v>0</v>
      </c>
      <c r="Z444" s="56">
        <f t="shared" si="264"/>
        <v>0</v>
      </c>
      <c r="AA444" s="51">
        <f>+SUMIF('GE16FEB14 Tax Bill Unfudged'!$A$2:$A$498, 'Tax Bill Summary'!$A444, 'GE16FEB14 Tax Bill Unfudged'!I$2:I$498)</f>
        <v>0</v>
      </c>
      <c r="AB444" s="13">
        <f>+SUMIF('GE16FEB14 Tax Bill Unfudged'!$A$2:$A$498, 'Tax Bill Summary'!$A444, 'GE16FEB14 Tax Bill Unfudged'!J$2:J$498)</f>
        <v>0</v>
      </c>
      <c r="AC444" s="56">
        <f t="shared" si="265"/>
        <v>0</v>
      </c>
      <c r="AD444" s="51">
        <f t="shared" si="266"/>
        <v>97913</v>
      </c>
      <c r="AE444" s="13">
        <f t="shared" si="267"/>
        <v>0</v>
      </c>
      <c r="AF444" s="56">
        <f t="shared" si="268"/>
        <v>97913</v>
      </c>
      <c r="AG444" s="13">
        <f t="shared" si="269"/>
        <v>115.32744405182568</v>
      </c>
      <c r="AH444" s="13">
        <f t="shared" si="270"/>
        <v>0</v>
      </c>
      <c r="AI444" s="16">
        <f t="shared" si="271"/>
        <v>115.32744405182568</v>
      </c>
      <c r="AJ444" s="15">
        <f t="shared" si="272"/>
        <v>2343</v>
      </c>
      <c r="AK444" s="13">
        <f t="shared" si="273"/>
        <v>0</v>
      </c>
      <c r="AL444" s="56">
        <f t="shared" si="274"/>
        <v>2343</v>
      </c>
      <c r="AM444" s="51">
        <f t="shared" si="275"/>
        <v>0</v>
      </c>
      <c r="AN444" s="13">
        <f t="shared" si="276"/>
        <v>0</v>
      </c>
      <c r="AO444" s="56">
        <f t="shared" si="277"/>
        <v>0</v>
      </c>
      <c r="AP444" s="51">
        <f t="shared" si="278"/>
        <v>0</v>
      </c>
      <c r="AQ444" s="13">
        <f t="shared" si="279"/>
        <v>0</v>
      </c>
      <c r="AR444" s="56">
        <f t="shared" si="280"/>
        <v>0</v>
      </c>
      <c r="AS444" s="51">
        <f t="shared" si="281"/>
        <v>2343</v>
      </c>
      <c r="AT444" s="13">
        <f t="shared" si="282"/>
        <v>0</v>
      </c>
      <c r="AU444" s="56">
        <f t="shared" si="283"/>
        <v>2343</v>
      </c>
      <c r="AV444" s="13">
        <f t="shared" si="284"/>
        <v>2.7597173144876308</v>
      </c>
      <c r="AW444" s="13">
        <f t="shared" si="285"/>
        <v>0</v>
      </c>
      <c r="AX444" s="16">
        <f t="shared" si="286"/>
        <v>2.7597173144876308</v>
      </c>
    </row>
    <row r="445" spans="1:50" x14ac:dyDescent="0.25">
      <c r="A445" s="20">
        <v>4127</v>
      </c>
      <c r="B445">
        <v>7</v>
      </c>
      <c r="C445" s="23" t="s">
        <v>71</v>
      </c>
      <c r="D445" s="23">
        <v>7</v>
      </c>
      <c r="E445" s="15">
        <f>+SUMIF('GE16FEB14 Unfudged'!$A$2:$A$498, $A445, 'GE16FEB14 Unfudged'!$D$2:$D$498)</f>
        <v>129</v>
      </c>
      <c r="F445" s="15">
        <f>+SUMIF('GE16FEB14 Unfudged'!$A$2:$A$498, 'Tax Bill Summary'!$A445, 'GE16FEB14 Unfudged'!E$2:E$498)</f>
        <v>14521</v>
      </c>
      <c r="G445" s="13">
        <f>+SUMIF('GE16FEB14 Unfudged'!$A$2:$A$498, 'Tax Bill Summary'!$A445, 'GE16FEB14 Unfudged'!F$2:F$498)</f>
        <v>0</v>
      </c>
      <c r="H445" s="56">
        <f t="shared" si="254"/>
        <v>14521</v>
      </c>
      <c r="I445" s="51">
        <f>+SUMIF('GE16FEB14 Unfudged'!$A$2:$A$498, 'Tax Bill Summary'!$A445, 'GE16FEB14 Unfudged'!G$2:G$498)</f>
        <v>0</v>
      </c>
      <c r="J445" s="13">
        <f>+SUMIF('GE16FEB14 Unfudged'!$A$2:$A$498, 'Tax Bill Summary'!$A445, 'GE16FEB14 Unfudged'!H$2:H$498)</f>
        <v>0</v>
      </c>
      <c r="K445" s="56">
        <f t="shared" si="255"/>
        <v>0</v>
      </c>
      <c r="L445" s="51">
        <f>+SUMIF('GE16FEB14 Unfudged'!$A$2:$A$498, 'Tax Bill Summary'!$A445, 'GE16FEB14 Unfudged'!I$2:IF$498)</f>
        <v>0</v>
      </c>
      <c r="M445" s="13">
        <f>+SUMIF('GE16FEB14 Unfudged'!$A$2:$A$498, 'Tax Bill Summary'!$A445, 'GE16FEB14 Unfudged'!J$2:IG$498)</f>
        <v>0</v>
      </c>
      <c r="N445" s="56">
        <f t="shared" si="256"/>
        <v>0</v>
      </c>
      <c r="O445" s="51">
        <f t="shared" si="257"/>
        <v>14521</v>
      </c>
      <c r="P445" s="13">
        <f t="shared" si="258"/>
        <v>0</v>
      </c>
      <c r="Q445" s="56">
        <f t="shared" si="259"/>
        <v>14521</v>
      </c>
      <c r="R445" s="13">
        <f t="shared" si="260"/>
        <v>112.56589147286822</v>
      </c>
      <c r="S445" s="13">
        <f t="shared" si="261"/>
        <v>0</v>
      </c>
      <c r="T445" s="16">
        <f t="shared" si="262"/>
        <v>112.56589147286822</v>
      </c>
      <c r="U445" s="15">
        <f>+SUMIF('GE16FEB14 Tax Bill Unfudged'!$A$2:$A$498, 'Tax Bill Summary'!$A445, 'GE16FEB14 Tax Bill Unfudged'!E$2:E$498)</f>
        <v>14877</v>
      </c>
      <c r="V445" s="13">
        <f>+SUMIF('GE16FEB14 Tax Bill Unfudged'!$A$2:$A$498, 'Tax Bill Summary'!$A445, 'GE16FEB14 Tax Bill Unfudged'!F$2:F$498)</f>
        <v>0</v>
      </c>
      <c r="W445" s="56">
        <f t="shared" si="263"/>
        <v>14877</v>
      </c>
      <c r="X445" s="51">
        <f>+SUMIF('GE16FEB14 Tax Bill Unfudged'!$A$2:$A$498, 'Tax Bill Summary'!$A445, 'GE16FEB14 Tax Bill Unfudged'!G$2:G$498)</f>
        <v>0</v>
      </c>
      <c r="Y445" s="13">
        <f>+SUMIF('GE16FEB14 Tax Bill Unfudged'!$A$2:$A$498, 'Tax Bill Summary'!$A445, 'GE16FEB14 Tax Bill Unfudged'!H$2:H$498)</f>
        <v>0</v>
      </c>
      <c r="Z445" s="56">
        <f t="shared" si="264"/>
        <v>0</v>
      </c>
      <c r="AA445" s="51">
        <f>+SUMIF('GE16FEB14 Tax Bill Unfudged'!$A$2:$A$498, 'Tax Bill Summary'!$A445, 'GE16FEB14 Tax Bill Unfudged'!I$2:I$498)</f>
        <v>0</v>
      </c>
      <c r="AB445" s="13">
        <f>+SUMIF('GE16FEB14 Tax Bill Unfudged'!$A$2:$A$498, 'Tax Bill Summary'!$A445, 'GE16FEB14 Tax Bill Unfudged'!J$2:J$498)</f>
        <v>0</v>
      </c>
      <c r="AC445" s="56">
        <f t="shared" si="265"/>
        <v>0</v>
      </c>
      <c r="AD445" s="51">
        <f t="shared" si="266"/>
        <v>14877</v>
      </c>
      <c r="AE445" s="13">
        <f t="shared" si="267"/>
        <v>0</v>
      </c>
      <c r="AF445" s="56">
        <f t="shared" si="268"/>
        <v>14877</v>
      </c>
      <c r="AG445" s="13">
        <f t="shared" si="269"/>
        <v>115.32558139534883</v>
      </c>
      <c r="AH445" s="13">
        <f t="shared" si="270"/>
        <v>0</v>
      </c>
      <c r="AI445" s="16">
        <f t="shared" si="271"/>
        <v>115.32558139534883</v>
      </c>
      <c r="AJ445" s="15">
        <f t="shared" si="272"/>
        <v>356</v>
      </c>
      <c r="AK445" s="13">
        <f t="shared" si="273"/>
        <v>0</v>
      </c>
      <c r="AL445" s="56">
        <f t="shared" si="274"/>
        <v>356</v>
      </c>
      <c r="AM445" s="51">
        <f t="shared" si="275"/>
        <v>0</v>
      </c>
      <c r="AN445" s="13">
        <f t="shared" si="276"/>
        <v>0</v>
      </c>
      <c r="AO445" s="56">
        <f t="shared" si="277"/>
        <v>0</v>
      </c>
      <c r="AP445" s="51">
        <f t="shared" si="278"/>
        <v>0</v>
      </c>
      <c r="AQ445" s="13">
        <f t="shared" si="279"/>
        <v>0</v>
      </c>
      <c r="AR445" s="56">
        <f t="shared" si="280"/>
        <v>0</v>
      </c>
      <c r="AS445" s="51">
        <f t="shared" si="281"/>
        <v>356</v>
      </c>
      <c r="AT445" s="13">
        <f t="shared" si="282"/>
        <v>0</v>
      </c>
      <c r="AU445" s="56">
        <f t="shared" si="283"/>
        <v>356</v>
      </c>
      <c r="AV445" s="13">
        <f t="shared" si="284"/>
        <v>2.759689922480618</v>
      </c>
      <c r="AW445" s="13">
        <f t="shared" si="285"/>
        <v>0</v>
      </c>
      <c r="AX445" s="16">
        <f t="shared" si="286"/>
        <v>2.759689922480618</v>
      </c>
    </row>
    <row r="446" spans="1:50" x14ac:dyDescent="0.25">
      <c r="A446" s="20">
        <v>4131</v>
      </c>
      <c r="B446">
        <v>7</v>
      </c>
      <c r="C446" s="23" t="s">
        <v>72</v>
      </c>
      <c r="D446" s="23">
        <v>7</v>
      </c>
      <c r="E446" s="15">
        <f>+SUMIF('GE16FEB14 Unfudged'!$A$2:$A$498, $A446, 'GE16FEB14 Unfudged'!$D$2:$D$498)</f>
        <v>310</v>
      </c>
      <c r="F446" s="15">
        <f>+SUMIF('GE16FEB14 Unfudged'!$A$2:$A$498, 'Tax Bill Summary'!$A446, 'GE16FEB14 Unfudged'!E$2:E$498)</f>
        <v>34896</v>
      </c>
      <c r="G446" s="13">
        <f>+SUMIF('GE16FEB14 Unfudged'!$A$2:$A$498, 'Tax Bill Summary'!$A446, 'GE16FEB14 Unfudged'!F$2:F$498)</f>
        <v>0</v>
      </c>
      <c r="H446" s="56">
        <f t="shared" si="254"/>
        <v>34896</v>
      </c>
      <c r="I446" s="51">
        <f>+SUMIF('GE16FEB14 Unfudged'!$A$2:$A$498, 'Tax Bill Summary'!$A446, 'GE16FEB14 Unfudged'!G$2:G$498)</f>
        <v>0</v>
      </c>
      <c r="J446" s="13">
        <f>+SUMIF('GE16FEB14 Unfudged'!$A$2:$A$498, 'Tax Bill Summary'!$A446, 'GE16FEB14 Unfudged'!H$2:H$498)</f>
        <v>0</v>
      </c>
      <c r="K446" s="56">
        <f t="shared" si="255"/>
        <v>0</v>
      </c>
      <c r="L446" s="51">
        <f>+SUMIF('GE16FEB14 Unfudged'!$A$2:$A$498, 'Tax Bill Summary'!$A446, 'GE16FEB14 Unfudged'!I$2:IF$498)</f>
        <v>0</v>
      </c>
      <c r="M446" s="13">
        <f>+SUMIF('GE16FEB14 Unfudged'!$A$2:$A$498, 'Tax Bill Summary'!$A446, 'GE16FEB14 Unfudged'!J$2:IG$498)</f>
        <v>0</v>
      </c>
      <c r="N446" s="56">
        <f t="shared" si="256"/>
        <v>0</v>
      </c>
      <c r="O446" s="51">
        <f t="shared" si="257"/>
        <v>34896</v>
      </c>
      <c r="P446" s="13">
        <f t="shared" si="258"/>
        <v>0</v>
      </c>
      <c r="Q446" s="56">
        <f t="shared" si="259"/>
        <v>34896</v>
      </c>
      <c r="R446" s="13">
        <f t="shared" si="260"/>
        <v>112.56774193548387</v>
      </c>
      <c r="S446" s="13">
        <f t="shared" si="261"/>
        <v>0</v>
      </c>
      <c r="T446" s="16">
        <f t="shared" si="262"/>
        <v>112.56774193548387</v>
      </c>
      <c r="U446" s="15">
        <f>+SUMIF('GE16FEB14 Tax Bill Unfudged'!$A$2:$A$498, 'Tax Bill Summary'!$A446, 'GE16FEB14 Tax Bill Unfudged'!E$2:E$498)</f>
        <v>35752</v>
      </c>
      <c r="V446" s="13">
        <f>+SUMIF('GE16FEB14 Tax Bill Unfudged'!$A$2:$A$498, 'Tax Bill Summary'!$A446, 'GE16FEB14 Tax Bill Unfudged'!F$2:F$498)</f>
        <v>0</v>
      </c>
      <c r="W446" s="56">
        <f t="shared" si="263"/>
        <v>35752</v>
      </c>
      <c r="X446" s="51">
        <f>+SUMIF('GE16FEB14 Tax Bill Unfudged'!$A$2:$A$498, 'Tax Bill Summary'!$A446, 'GE16FEB14 Tax Bill Unfudged'!G$2:G$498)</f>
        <v>0</v>
      </c>
      <c r="Y446" s="13">
        <f>+SUMIF('GE16FEB14 Tax Bill Unfudged'!$A$2:$A$498, 'Tax Bill Summary'!$A446, 'GE16FEB14 Tax Bill Unfudged'!H$2:H$498)</f>
        <v>0</v>
      </c>
      <c r="Z446" s="56">
        <f t="shared" si="264"/>
        <v>0</v>
      </c>
      <c r="AA446" s="51">
        <f>+SUMIF('GE16FEB14 Tax Bill Unfudged'!$A$2:$A$498, 'Tax Bill Summary'!$A446, 'GE16FEB14 Tax Bill Unfudged'!I$2:I$498)</f>
        <v>0</v>
      </c>
      <c r="AB446" s="13">
        <f>+SUMIF('GE16FEB14 Tax Bill Unfudged'!$A$2:$A$498, 'Tax Bill Summary'!$A446, 'GE16FEB14 Tax Bill Unfudged'!J$2:J$498)</f>
        <v>0</v>
      </c>
      <c r="AC446" s="56">
        <f t="shared" si="265"/>
        <v>0</v>
      </c>
      <c r="AD446" s="51">
        <f t="shared" si="266"/>
        <v>35752</v>
      </c>
      <c r="AE446" s="13">
        <f t="shared" si="267"/>
        <v>0</v>
      </c>
      <c r="AF446" s="56">
        <f t="shared" si="268"/>
        <v>35752</v>
      </c>
      <c r="AG446" s="13">
        <f t="shared" si="269"/>
        <v>115.32903225806452</v>
      </c>
      <c r="AH446" s="13">
        <f t="shared" si="270"/>
        <v>0</v>
      </c>
      <c r="AI446" s="16">
        <f t="shared" si="271"/>
        <v>115.32903225806452</v>
      </c>
      <c r="AJ446" s="15">
        <f t="shared" si="272"/>
        <v>856</v>
      </c>
      <c r="AK446" s="13">
        <f t="shared" si="273"/>
        <v>0</v>
      </c>
      <c r="AL446" s="56">
        <f t="shared" si="274"/>
        <v>856</v>
      </c>
      <c r="AM446" s="51">
        <f t="shared" si="275"/>
        <v>0</v>
      </c>
      <c r="AN446" s="13">
        <f t="shared" si="276"/>
        <v>0</v>
      </c>
      <c r="AO446" s="56">
        <f t="shared" si="277"/>
        <v>0</v>
      </c>
      <c r="AP446" s="51">
        <f t="shared" si="278"/>
        <v>0</v>
      </c>
      <c r="AQ446" s="13">
        <f t="shared" si="279"/>
        <v>0</v>
      </c>
      <c r="AR446" s="56">
        <f t="shared" si="280"/>
        <v>0</v>
      </c>
      <c r="AS446" s="51">
        <f t="shared" si="281"/>
        <v>856</v>
      </c>
      <c r="AT446" s="13">
        <f t="shared" si="282"/>
        <v>0</v>
      </c>
      <c r="AU446" s="56">
        <f t="shared" si="283"/>
        <v>856</v>
      </c>
      <c r="AV446" s="13">
        <f t="shared" si="284"/>
        <v>2.7612903225806491</v>
      </c>
      <c r="AW446" s="13">
        <f t="shared" si="285"/>
        <v>0</v>
      </c>
      <c r="AX446" s="16">
        <f t="shared" si="286"/>
        <v>2.7612903225806491</v>
      </c>
    </row>
    <row r="447" spans="1:50" x14ac:dyDescent="0.25">
      <c r="A447" s="20">
        <v>4132</v>
      </c>
      <c r="B447">
        <v>7</v>
      </c>
      <c r="C447" s="23" t="s">
        <v>73</v>
      </c>
      <c r="D447" s="23">
        <v>7</v>
      </c>
      <c r="E447" s="15">
        <f>+SUMIF('GE16FEB14 Unfudged'!$A$2:$A$498, $A447, 'GE16FEB14 Unfudged'!$D$2:$D$498)</f>
        <v>246</v>
      </c>
      <c r="F447" s="15">
        <f>+SUMIF('GE16FEB14 Unfudged'!$A$2:$A$498, 'Tax Bill Summary'!$A447, 'GE16FEB14 Unfudged'!E$2:E$498)</f>
        <v>27692</v>
      </c>
      <c r="G447" s="13">
        <f>+SUMIF('GE16FEB14 Unfudged'!$A$2:$A$498, 'Tax Bill Summary'!$A447, 'GE16FEB14 Unfudged'!F$2:F$498)</f>
        <v>0</v>
      </c>
      <c r="H447" s="56">
        <f t="shared" si="254"/>
        <v>27692</v>
      </c>
      <c r="I447" s="51">
        <f>+SUMIF('GE16FEB14 Unfudged'!$A$2:$A$498, 'Tax Bill Summary'!$A447, 'GE16FEB14 Unfudged'!G$2:G$498)</f>
        <v>0</v>
      </c>
      <c r="J447" s="13">
        <f>+SUMIF('GE16FEB14 Unfudged'!$A$2:$A$498, 'Tax Bill Summary'!$A447, 'GE16FEB14 Unfudged'!H$2:H$498)</f>
        <v>0</v>
      </c>
      <c r="K447" s="56">
        <f t="shared" si="255"/>
        <v>0</v>
      </c>
      <c r="L447" s="51">
        <f>+SUMIF('GE16FEB14 Unfudged'!$A$2:$A$498, 'Tax Bill Summary'!$A447, 'GE16FEB14 Unfudged'!I$2:IF$498)</f>
        <v>0</v>
      </c>
      <c r="M447" s="13">
        <f>+SUMIF('GE16FEB14 Unfudged'!$A$2:$A$498, 'Tax Bill Summary'!$A447, 'GE16FEB14 Unfudged'!J$2:IG$498)</f>
        <v>0</v>
      </c>
      <c r="N447" s="56">
        <f t="shared" si="256"/>
        <v>0</v>
      </c>
      <c r="O447" s="51">
        <f t="shared" si="257"/>
        <v>27692</v>
      </c>
      <c r="P447" s="13">
        <f t="shared" si="258"/>
        <v>0</v>
      </c>
      <c r="Q447" s="56">
        <f t="shared" si="259"/>
        <v>27692</v>
      </c>
      <c r="R447" s="13">
        <f t="shared" si="260"/>
        <v>112.5691056910569</v>
      </c>
      <c r="S447" s="13">
        <f t="shared" si="261"/>
        <v>0</v>
      </c>
      <c r="T447" s="16">
        <f t="shared" si="262"/>
        <v>112.5691056910569</v>
      </c>
      <c r="U447" s="15">
        <f>+SUMIF('GE16FEB14 Tax Bill Unfudged'!$A$2:$A$498, 'Tax Bill Summary'!$A447, 'GE16FEB14 Tax Bill Unfudged'!E$2:E$498)</f>
        <v>28371</v>
      </c>
      <c r="V447" s="13">
        <f>+SUMIF('GE16FEB14 Tax Bill Unfudged'!$A$2:$A$498, 'Tax Bill Summary'!$A447, 'GE16FEB14 Tax Bill Unfudged'!F$2:F$498)</f>
        <v>0</v>
      </c>
      <c r="W447" s="56">
        <f t="shared" si="263"/>
        <v>28371</v>
      </c>
      <c r="X447" s="51">
        <f>+SUMIF('GE16FEB14 Tax Bill Unfudged'!$A$2:$A$498, 'Tax Bill Summary'!$A447, 'GE16FEB14 Tax Bill Unfudged'!G$2:G$498)</f>
        <v>0</v>
      </c>
      <c r="Y447" s="13">
        <f>+SUMIF('GE16FEB14 Tax Bill Unfudged'!$A$2:$A$498, 'Tax Bill Summary'!$A447, 'GE16FEB14 Tax Bill Unfudged'!H$2:H$498)</f>
        <v>0</v>
      </c>
      <c r="Z447" s="56">
        <f t="shared" si="264"/>
        <v>0</v>
      </c>
      <c r="AA447" s="51">
        <f>+SUMIF('GE16FEB14 Tax Bill Unfudged'!$A$2:$A$498, 'Tax Bill Summary'!$A447, 'GE16FEB14 Tax Bill Unfudged'!I$2:I$498)</f>
        <v>0</v>
      </c>
      <c r="AB447" s="13">
        <f>+SUMIF('GE16FEB14 Tax Bill Unfudged'!$A$2:$A$498, 'Tax Bill Summary'!$A447, 'GE16FEB14 Tax Bill Unfudged'!J$2:J$498)</f>
        <v>0</v>
      </c>
      <c r="AC447" s="56">
        <f t="shared" si="265"/>
        <v>0</v>
      </c>
      <c r="AD447" s="51">
        <f t="shared" si="266"/>
        <v>28371</v>
      </c>
      <c r="AE447" s="13">
        <f t="shared" si="267"/>
        <v>0</v>
      </c>
      <c r="AF447" s="56">
        <f t="shared" si="268"/>
        <v>28371</v>
      </c>
      <c r="AG447" s="13">
        <f t="shared" si="269"/>
        <v>115.32926829268293</v>
      </c>
      <c r="AH447" s="13">
        <f t="shared" si="270"/>
        <v>0</v>
      </c>
      <c r="AI447" s="16">
        <f t="shared" si="271"/>
        <v>115.32926829268293</v>
      </c>
      <c r="AJ447" s="15">
        <f t="shared" si="272"/>
        <v>679</v>
      </c>
      <c r="AK447" s="13">
        <f t="shared" si="273"/>
        <v>0</v>
      </c>
      <c r="AL447" s="56">
        <f t="shared" si="274"/>
        <v>679</v>
      </c>
      <c r="AM447" s="51">
        <f t="shared" si="275"/>
        <v>0</v>
      </c>
      <c r="AN447" s="13">
        <f t="shared" si="276"/>
        <v>0</v>
      </c>
      <c r="AO447" s="56">
        <f t="shared" si="277"/>
        <v>0</v>
      </c>
      <c r="AP447" s="51">
        <f t="shared" si="278"/>
        <v>0</v>
      </c>
      <c r="AQ447" s="13">
        <f t="shared" si="279"/>
        <v>0</v>
      </c>
      <c r="AR447" s="56">
        <f t="shared" si="280"/>
        <v>0</v>
      </c>
      <c r="AS447" s="51">
        <f t="shared" si="281"/>
        <v>679</v>
      </c>
      <c r="AT447" s="13">
        <f t="shared" si="282"/>
        <v>0</v>
      </c>
      <c r="AU447" s="56">
        <f t="shared" si="283"/>
        <v>679</v>
      </c>
      <c r="AV447" s="13">
        <f t="shared" si="284"/>
        <v>2.7601626016260212</v>
      </c>
      <c r="AW447" s="13">
        <f t="shared" si="285"/>
        <v>0</v>
      </c>
      <c r="AX447" s="16">
        <f t="shared" si="286"/>
        <v>2.7601626016260212</v>
      </c>
    </row>
    <row r="448" spans="1:50" x14ac:dyDescent="0.25">
      <c r="A448" s="20">
        <v>4133</v>
      </c>
      <c r="B448">
        <v>7</v>
      </c>
      <c r="C448" s="23" t="s">
        <v>74</v>
      </c>
      <c r="D448" s="23">
        <v>7</v>
      </c>
      <c r="E448" s="15">
        <f>+SUMIF('GE16FEB14 Unfudged'!$A$2:$A$498, $A448, 'GE16FEB14 Unfudged'!$D$2:$D$498)</f>
        <v>297</v>
      </c>
      <c r="F448" s="15">
        <f>+SUMIF('GE16FEB14 Unfudged'!$A$2:$A$498, 'Tax Bill Summary'!$A448, 'GE16FEB14 Unfudged'!E$2:E$498)</f>
        <v>33433</v>
      </c>
      <c r="G448" s="13">
        <f>+SUMIF('GE16FEB14 Unfudged'!$A$2:$A$498, 'Tax Bill Summary'!$A448, 'GE16FEB14 Unfudged'!F$2:F$498)</f>
        <v>0</v>
      </c>
      <c r="H448" s="56">
        <f t="shared" si="254"/>
        <v>33433</v>
      </c>
      <c r="I448" s="51">
        <f>+SUMIF('GE16FEB14 Unfudged'!$A$2:$A$498, 'Tax Bill Summary'!$A448, 'GE16FEB14 Unfudged'!G$2:G$498)</f>
        <v>0</v>
      </c>
      <c r="J448" s="13">
        <f>+SUMIF('GE16FEB14 Unfudged'!$A$2:$A$498, 'Tax Bill Summary'!$A448, 'GE16FEB14 Unfudged'!H$2:H$498)</f>
        <v>0</v>
      </c>
      <c r="K448" s="56">
        <f t="shared" si="255"/>
        <v>0</v>
      </c>
      <c r="L448" s="51">
        <f>+SUMIF('GE16FEB14 Unfudged'!$A$2:$A$498, 'Tax Bill Summary'!$A448, 'GE16FEB14 Unfudged'!I$2:IF$498)</f>
        <v>0</v>
      </c>
      <c r="M448" s="13">
        <f>+SUMIF('GE16FEB14 Unfudged'!$A$2:$A$498, 'Tax Bill Summary'!$A448, 'GE16FEB14 Unfudged'!J$2:IG$498)</f>
        <v>0</v>
      </c>
      <c r="N448" s="56">
        <f t="shared" si="256"/>
        <v>0</v>
      </c>
      <c r="O448" s="51">
        <f t="shared" si="257"/>
        <v>33433</v>
      </c>
      <c r="P448" s="13">
        <f t="shared" si="258"/>
        <v>0</v>
      </c>
      <c r="Q448" s="56">
        <f t="shared" si="259"/>
        <v>33433</v>
      </c>
      <c r="R448" s="13">
        <f t="shared" si="260"/>
        <v>112.56902356902357</v>
      </c>
      <c r="S448" s="13">
        <f t="shared" si="261"/>
        <v>0</v>
      </c>
      <c r="T448" s="16">
        <f t="shared" si="262"/>
        <v>112.56902356902357</v>
      </c>
      <c r="U448" s="15">
        <f>+SUMIF('GE16FEB14 Tax Bill Unfudged'!$A$2:$A$498, 'Tax Bill Summary'!$A448, 'GE16FEB14 Tax Bill Unfudged'!E$2:E$498)</f>
        <v>34252</v>
      </c>
      <c r="V448" s="13">
        <f>+SUMIF('GE16FEB14 Tax Bill Unfudged'!$A$2:$A$498, 'Tax Bill Summary'!$A448, 'GE16FEB14 Tax Bill Unfudged'!F$2:F$498)</f>
        <v>0</v>
      </c>
      <c r="W448" s="56">
        <f t="shared" si="263"/>
        <v>34252</v>
      </c>
      <c r="X448" s="51">
        <f>+SUMIF('GE16FEB14 Tax Bill Unfudged'!$A$2:$A$498, 'Tax Bill Summary'!$A448, 'GE16FEB14 Tax Bill Unfudged'!G$2:G$498)</f>
        <v>0</v>
      </c>
      <c r="Y448" s="13">
        <f>+SUMIF('GE16FEB14 Tax Bill Unfudged'!$A$2:$A$498, 'Tax Bill Summary'!$A448, 'GE16FEB14 Tax Bill Unfudged'!H$2:H$498)</f>
        <v>0</v>
      </c>
      <c r="Z448" s="56">
        <f t="shared" si="264"/>
        <v>0</v>
      </c>
      <c r="AA448" s="51">
        <f>+SUMIF('GE16FEB14 Tax Bill Unfudged'!$A$2:$A$498, 'Tax Bill Summary'!$A448, 'GE16FEB14 Tax Bill Unfudged'!I$2:I$498)</f>
        <v>0</v>
      </c>
      <c r="AB448" s="13">
        <f>+SUMIF('GE16FEB14 Tax Bill Unfudged'!$A$2:$A$498, 'Tax Bill Summary'!$A448, 'GE16FEB14 Tax Bill Unfudged'!J$2:J$498)</f>
        <v>0</v>
      </c>
      <c r="AC448" s="56">
        <f t="shared" si="265"/>
        <v>0</v>
      </c>
      <c r="AD448" s="51">
        <f t="shared" si="266"/>
        <v>34252</v>
      </c>
      <c r="AE448" s="13">
        <f t="shared" si="267"/>
        <v>0</v>
      </c>
      <c r="AF448" s="56">
        <f t="shared" si="268"/>
        <v>34252</v>
      </c>
      <c r="AG448" s="13">
        <f t="shared" si="269"/>
        <v>115.32659932659932</v>
      </c>
      <c r="AH448" s="13">
        <f t="shared" si="270"/>
        <v>0</v>
      </c>
      <c r="AI448" s="16">
        <f t="shared" si="271"/>
        <v>115.32659932659932</v>
      </c>
      <c r="AJ448" s="15">
        <f t="shared" si="272"/>
        <v>819</v>
      </c>
      <c r="AK448" s="13">
        <f t="shared" si="273"/>
        <v>0</v>
      </c>
      <c r="AL448" s="56">
        <f t="shared" si="274"/>
        <v>819</v>
      </c>
      <c r="AM448" s="51">
        <f t="shared" si="275"/>
        <v>0</v>
      </c>
      <c r="AN448" s="13">
        <f t="shared" si="276"/>
        <v>0</v>
      </c>
      <c r="AO448" s="56">
        <f t="shared" si="277"/>
        <v>0</v>
      </c>
      <c r="AP448" s="51">
        <f t="shared" si="278"/>
        <v>0</v>
      </c>
      <c r="AQ448" s="13">
        <f t="shared" si="279"/>
        <v>0</v>
      </c>
      <c r="AR448" s="56">
        <f t="shared" si="280"/>
        <v>0</v>
      </c>
      <c r="AS448" s="51">
        <f t="shared" si="281"/>
        <v>819</v>
      </c>
      <c r="AT448" s="13">
        <f t="shared" si="282"/>
        <v>0</v>
      </c>
      <c r="AU448" s="56">
        <f t="shared" si="283"/>
        <v>819</v>
      </c>
      <c r="AV448" s="13">
        <f t="shared" si="284"/>
        <v>2.7575757575757507</v>
      </c>
      <c r="AW448" s="13">
        <f t="shared" si="285"/>
        <v>0</v>
      </c>
      <c r="AX448" s="16">
        <f t="shared" si="286"/>
        <v>2.7575757575757507</v>
      </c>
    </row>
    <row r="449" spans="1:50" x14ac:dyDescent="0.25">
      <c r="A449" s="20">
        <v>4135</v>
      </c>
      <c r="B449">
        <v>7</v>
      </c>
      <c r="C449" s="23" t="s">
        <v>465</v>
      </c>
      <c r="D449" s="23">
        <v>7</v>
      </c>
      <c r="E449" s="15">
        <f>+SUMIF('GE16FEB14 Unfudged'!$A$2:$A$498, $A449, 'GE16FEB14 Unfudged'!$D$2:$D$498)</f>
        <v>262</v>
      </c>
      <c r="F449" s="15">
        <f>+SUMIF('GE16FEB14 Unfudged'!$A$2:$A$498, 'Tax Bill Summary'!$A449, 'GE16FEB14 Unfudged'!E$2:E$498)</f>
        <v>29515</v>
      </c>
      <c r="G449" s="13">
        <f>+SUMIF('GE16FEB14 Unfudged'!$A$2:$A$498, 'Tax Bill Summary'!$A449, 'GE16FEB14 Unfudged'!F$2:F$498)</f>
        <v>0</v>
      </c>
      <c r="H449" s="56">
        <f t="shared" si="254"/>
        <v>29515</v>
      </c>
      <c r="I449" s="51">
        <f>+SUMIF('GE16FEB14 Unfudged'!$A$2:$A$498, 'Tax Bill Summary'!$A449, 'GE16FEB14 Unfudged'!G$2:G$498)</f>
        <v>0</v>
      </c>
      <c r="J449" s="13">
        <f>+SUMIF('GE16FEB14 Unfudged'!$A$2:$A$498, 'Tax Bill Summary'!$A449, 'GE16FEB14 Unfudged'!H$2:H$498)</f>
        <v>0</v>
      </c>
      <c r="K449" s="56">
        <f t="shared" si="255"/>
        <v>0</v>
      </c>
      <c r="L449" s="51">
        <f>+SUMIF('GE16FEB14 Unfudged'!$A$2:$A$498, 'Tax Bill Summary'!$A449, 'GE16FEB14 Unfudged'!I$2:IF$498)</f>
        <v>0</v>
      </c>
      <c r="M449" s="13">
        <f>+SUMIF('GE16FEB14 Unfudged'!$A$2:$A$498, 'Tax Bill Summary'!$A449, 'GE16FEB14 Unfudged'!J$2:IG$498)</f>
        <v>0</v>
      </c>
      <c r="N449" s="56">
        <f t="shared" si="256"/>
        <v>0</v>
      </c>
      <c r="O449" s="51">
        <f t="shared" si="257"/>
        <v>29515</v>
      </c>
      <c r="P449" s="13">
        <f t="shared" si="258"/>
        <v>0</v>
      </c>
      <c r="Q449" s="56">
        <f t="shared" si="259"/>
        <v>29515</v>
      </c>
      <c r="R449" s="13">
        <f t="shared" si="260"/>
        <v>112.65267175572519</v>
      </c>
      <c r="S449" s="13">
        <f t="shared" si="261"/>
        <v>0</v>
      </c>
      <c r="T449" s="16">
        <f t="shared" si="262"/>
        <v>112.65267175572519</v>
      </c>
      <c r="U449" s="15">
        <f>+SUMIF('GE16FEB14 Tax Bill Unfudged'!$A$2:$A$498, 'Tax Bill Summary'!$A449, 'GE16FEB14 Tax Bill Unfudged'!E$2:E$498)</f>
        <v>30239</v>
      </c>
      <c r="V449" s="13">
        <f>+SUMIF('GE16FEB14 Tax Bill Unfudged'!$A$2:$A$498, 'Tax Bill Summary'!$A449, 'GE16FEB14 Tax Bill Unfudged'!F$2:F$498)</f>
        <v>0</v>
      </c>
      <c r="W449" s="56">
        <f t="shared" si="263"/>
        <v>30239</v>
      </c>
      <c r="X449" s="51">
        <f>+SUMIF('GE16FEB14 Tax Bill Unfudged'!$A$2:$A$498, 'Tax Bill Summary'!$A449, 'GE16FEB14 Tax Bill Unfudged'!G$2:G$498)</f>
        <v>0</v>
      </c>
      <c r="Y449" s="13">
        <f>+SUMIF('GE16FEB14 Tax Bill Unfudged'!$A$2:$A$498, 'Tax Bill Summary'!$A449, 'GE16FEB14 Tax Bill Unfudged'!H$2:H$498)</f>
        <v>0</v>
      </c>
      <c r="Z449" s="56">
        <f t="shared" si="264"/>
        <v>0</v>
      </c>
      <c r="AA449" s="51">
        <f>+SUMIF('GE16FEB14 Tax Bill Unfudged'!$A$2:$A$498, 'Tax Bill Summary'!$A449, 'GE16FEB14 Tax Bill Unfudged'!I$2:I$498)</f>
        <v>0</v>
      </c>
      <c r="AB449" s="13">
        <f>+SUMIF('GE16FEB14 Tax Bill Unfudged'!$A$2:$A$498, 'Tax Bill Summary'!$A449, 'GE16FEB14 Tax Bill Unfudged'!J$2:J$498)</f>
        <v>0</v>
      </c>
      <c r="AC449" s="56">
        <f t="shared" si="265"/>
        <v>0</v>
      </c>
      <c r="AD449" s="51">
        <f t="shared" si="266"/>
        <v>30239</v>
      </c>
      <c r="AE449" s="13">
        <f t="shared" si="267"/>
        <v>0</v>
      </c>
      <c r="AF449" s="56">
        <f t="shared" si="268"/>
        <v>30239</v>
      </c>
      <c r="AG449" s="13">
        <f t="shared" si="269"/>
        <v>115.41603053435115</v>
      </c>
      <c r="AH449" s="13">
        <f t="shared" si="270"/>
        <v>0</v>
      </c>
      <c r="AI449" s="16">
        <f t="shared" si="271"/>
        <v>115.41603053435115</v>
      </c>
      <c r="AJ449" s="15">
        <f t="shared" si="272"/>
        <v>724</v>
      </c>
      <c r="AK449" s="13">
        <f t="shared" si="273"/>
        <v>0</v>
      </c>
      <c r="AL449" s="56">
        <f t="shared" si="274"/>
        <v>724</v>
      </c>
      <c r="AM449" s="51">
        <f t="shared" si="275"/>
        <v>0</v>
      </c>
      <c r="AN449" s="13">
        <f t="shared" si="276"/>
        <v>0</v>
      </c>
      <c r="AO449" s="56">
        <f t="shared" si="277"/>
        <v>0</v>
      </c>
      <c r="AP449" s="51">
        <f t="shared" si="278"/>
        <v>0</v>
      </c>
      <c r="AQ449" s="13">
        <f t="shared" si="279"/>
        <v>0</v>
      </c>
      <c r="AR449" s="56">
        <f t="shared" si="280"/>
        <v>0</v>
      </c>
      <c r="AS449" s="51">
        <f t="shared" si="281"/>
        <v>724</v>
      </c>
      <c r="AT449" s="13">
        <f t="shared" si="282"/>
        <v>0</v>
      </c>
      <c r="AU449" s="56">
        <f t="shared" si="283"/>
        <v>724</v>
      </c>
      <c r="AV449" s="13">
        <f t="shared" si="284"/>
        <v>2.7633587786259568</v>
      </c>
      <c r="AW449" s="13">
        <f t="shared" si="285"/>
        <v>0</v>
      </c>
      <c r="AX449" s="16">
        <f t="shared" si="286"/>
        <v>2.7633587786259568</v>
      </c>
    </row>
    <row r="450" spans="1:50" x14ac:dyDescent="0.25">
      <c r="A450" s="20">
        <v>4137</v>
      </c>
      <c r="B450">
        <v>7</v>
      </c>
      <c r="C450" s="23" t="s">
        <v>501</v>
      </c>
      <c r="D450" s="23">
        <v>7</v>
      </c>
      <c r="E450" s="15">
        <f>+SUMIF('GE16FEB14 Unfudged'!$A$2:$A$498, $A450, 'GE16FEB14 Unfudged'!$D$2:$D$498)</f>
        <v>133</v>
      </c>
      <c r="F450" s="15">
        <f>+SUMIF('GE16FEB14 Unfudged'!$A$2:$A$498, 'Tax Bill Summary'!$A450, 'GE16FEB14 Unfudged'!E$2:E$498)</f>
        <v>14994</v>
      </c>
      <c r="G450" s="13">
        <f>+SUMIF('GE16FEB14 Unfudged'!$A$2:$A$498, 'Tax Bill Summary'!$A450, 'GE16FEB14 Unfudged'!F$2:F$498)</f>
        <v>0</v>
      </c>
      <c r="H450" s="56">
        <f t="shared" si="254"/>
        <v>14994</v>
      </c>
      <c r="I450" s="51">
        <f>+SUMIF('GE16FEB14 Unfudged'!$A$2:$A$498, 'Tax Bill Summary'!$A450, 'GE16FEB14 Unfudged'!G$2:G$498)</f>
        <v>0</v>
      </c>
      <c r="J450" s="13">
        <f>+SUMIF('GE16FEB14 Unfudged'!$A$2:$A$498, 'Tax Bill Summary'!$A450, 'GE16FEB14 Unfudged'!H$2:H$498)</f>
        <v>0</v>
      </c>
      <c r="K450" s="56">
        <f t="shared" si="255"/>
        <v>0</v>
      </c>
      <c r="L450" s="51">
        <f>+SUMIF('GE16FEB14 Unfudged'!$A$2:$A$498, 'Tax Bill Summary'!$A450, 'GE16FEB14 Unfudged'!I$2:IF$498)</f>
        <v>0</v>
      </c>
      <c r="M450" s="13">
        <f>+SUMIF('GE16FEB14 Unfudged'!$A$2:$A$498, 'Tax Bill Summary'!$A450, 'GE16FEB14 Unfudged'!J$2:IG$498)</f>
        <v>0</v>
      </c>
      <c r="N450" s="56">
        <f t="shared" si="256"/>
        <v>0</v>
      </c>
      <c r="O450" s="51">
        <f t="shared" si="257"/>
        <v>14994</v>
      </c>
      <c r="P450" s="13">
        <f t="shared" si="258"/>
        <v>0</v>
      </c>
      <c r="Q450" s="56">
        <f t="shared" si="259"/>
        <v>14994</v>
      </c>
      <c r="R450" s="13">
        <f t="shared" si="260"/>
        <v>112.73684210526316</v>
      </c>
      <c r="S450" s="13">
        <f t="shared" si="261"/>
        <v>0</v>
      </c>
      <c r="T450" s="16">
        <f t="shared" si="262"/>
        <v>112.73684210526316</v>
      </c>
      <c r="U450" s="15">
        <f>+SUMIF('GE16FEB14 Tax Bill Unfudged'!$A$2:$A$498, 'Tax Bill Summary'!$A450, 'GE16FEB14 Tax Bill Unfudged'!E$2:E$498)</f>
        <v>15362</v>
      </c>
      <c r="V450" s="13">
        <f>+SUMIF('GE16FEB14 Tax Bill Unfudged'!$A$2:$A$498, 'Tax Bill Summary'!$A450, 'GE16FEB14 Tax Bill Unfudged'!F$2:F$498)</f>
        <v>0</v>
      </c>
      <c r="W450" s="56">
        <f t="shared" si="263"/>
        <v>15362</v>
      </c>
      <c r="X450" s="51">
        <f>+SUMIF('GE16FEB14 Tax Bill Unfudged'!$A$2:$A$498, 'Tax Bill Summary'!$A450, 'GE16FEB14 Tax Bill Unfudged'!G$2:G$498)</f>
        <v>0</v>
      </c>
      <c r="Y450" s="13">
        <f>+SUMIF('GE16FEB14 Tax Bill Unfudged'!$A$2:$A$498, 'Tax Bill Summary'!$A450, 'GE16FEB14 Tax Bill Unfudged'!H$2:H$498)</f>
        <v>0</v>
      </c>
      <c r="Z450" s="56">
        <f t="shared" si="264"/>
        <v>0</v>
      </c>
      <c r="AA450" s="51">
        <f>+SUMIF('GE16FEB14 Tax Bill Unfudged'!$A$2:$A$498, 'Tax Bill Summary'!$A450, 'GE16FEB14 Tax Bill Unfudged'!I$2:I$498)</f>
        <v>0</v>
      </c>
      <c r="AB450" s="13">
        <f>+SUMIF('GE16FEB14 Tax Bill Unfudged'!$A$2:$A$498, 'Tax Bill Summary'!$A450, 'GE16FEB14 Tax Bill Unfudged'!J$2:J$498)</f>
        <v>0</v>
      </c>
      <c r="AC450" s="56">
        <f t="shared" si="265"/>
        <v>0</v>
      </c>
      <c r="AD450" s="51">
        <f t="shared" si="266"/>
        <v>15362</v>
      </c>
      <c r="AE450" s="13">
        <f t="shared" si="267"/>
        <v>0</v>
      </c>
      <c r="AF450" s="56">
        <f t="shared" si="268"/>
        <v>15362</v>
      </c>
      <c r="AG450" s="13">
        <f t="shared" si="269"/>
        <v>115.50375939849624</v>
      </c>
      <c r="AH450" s="13">
        <f t="shared" si="270"/>
        <v>0</v>
      </c>
      <c r="AI450" s="16">
        <f t="shared" si="271"/>
        <v>115.50375939849624</v>
      </c>
      <c r="AJ450" s="15">
        <f t="shared" si="272"/>
        <v>368</v>
      </c>
      <c r="AK450" s="13">
        <f t="shared" si="273"/>
        <v>0</v>
      </c>
      <c r="AL450" s="56">
        <f t="shared" si="274"/>
        <v>368</v>
      </c>
      <c r="AM450" s="51">
        <f t="shared" si="275"/>
        <v>0</v>
      </c>
      <c r="AN450" s="13">
        <f t="shared" si="276"/>
        <v>0</v>
      </c>
      <c r="AO450" s="56">
        <f t="shared" si="277"/>
        <v>0</v>
      </c>
      <c r="AP450" s="51">
        <f t="shared" si="278"/>
        <v>0</v>
      </c>
      <c r="AQ450" s="13">
        <f t="shared" si="279"/>
        <v>0</v>
      </c>
      <c r="AR450" s="56">
        <f t="shared" si="280"/>
        <v>0</v>
      </c>
      <c r="AS450" s="51">
        <f t="shared" si="281"/>
        <v>368</v>
      </c>
      <c r="AT450" s="13">
        <f t="shared" si="282"/>
        <v>0</v>
      </c>
      <c r="AU450" s="56">
        <f t="shared" si="283"/>
        <v>368</v>
      </c>
      <c r="AV450" s="13">
        <f t="shared" si="284"/>
        <v>2.7669172932330781</v>
      </c>
      <c r="AW450" s="13">
        <f t="shared" si="285"/>
        <v>0</v>
      </c>
      <c r="AX450" s="16">
        <f t="shared" si="286"/>
        <v>2.7669172932330781</v>
      </c>
    </row>
    <row r="451" spans="1:50" x14ac:dyDescent="0.25">
      <c r="A451" s="20">
        <v>4138</v>
      </c>
      <c r="B451">
        <v>7</v>
      </c>
      <c r="C451" s="23" t="s">
        <v>75</v>
      </c>
      <c r="D451" s="23">
        <v>7</v>
      </c>
      <c r="E451" s="15">
        <f>+SUMIF('GE16FEB14 Unfudged'!$A$2:$A$498, $A451, 'GE16FEB14 Unfudged'!$D$2:$D$498)</f>
        <v>47</v>
      </c>
      <c r="F451" s="15">
        <f>+SUMIF('GE16FEB14 Unfudged'!$A$2:$A$498, 'Tax Bill Summary'!$A451, 'GE16FEB14 Unfudged'!E$2:E$498)</f>
        <v>5291</v>
      </c>
      <c r="G451" s="13">
        <f>+SUMIF('GE16FEB14 Unfudged'!$A$2:$A$498, 'Tax Bill Summary'!$A451, 'GE16FEB14 Unfudged'!F$2:F$498)</f>
        <v>0</v>
      </c>
      <c r="H451" s="56">
        <f t="shared" si="254"/>
        <v>5291</v>
      </c>
      <c r="I451" s="51">
        <f>+SUMIF('GE16FEB14 Unfudged'!$A$2:$A$498, 'Tax Bill Summary'!$A451, 'GE16FEB14 Unfudged'!G$2:G$498)</f>
        <v>0</v>
      </c>
      <c r="J451" s="13">
        <f>+SUMIF('GE16FEB14 Unfudged'!$A$2:$A$498, 'Tax Bill Summary'!$A451, 'GE16FEB14 Unfudged'!H$2:H$498)</f>
        <v>0</v>
      </c>
      <c r="K451" s="56">
        <f t="shared" si="255"/>
        <v>0</v>
      </c>
      <c r="L451" s="51">
        <f>+SUMIF('GE16FEB14 Unfudged'!$A$2:$A$498, 'Tax Bill Summary'!$A451, 'GE16FEB14 Unfudged'!I$2:IF$498)</f>
        <v>0</v>
      </c>
      <c r="M451" s="13">
        <f>+SUMIF('GE16FEB14 Unfudged'!$A$2:$A$498, 'Tax Bill Summary'!$A451, 'GE16FEB14 Unfudged'!J$2:IG$498)</f>
        <v>0</v>
      </c>
      <c r="N451" s="56">
        <f t="shared" si="256"/>
        <v>0</v>
      </c>
      <c r="O451" s="51">
        <f t="shared" si="257"/>
        <v>5291</v>
      </c>
      <c r="P451" s="13">
        <f t="shared" si="258"/>
        <v>0</v>
      </c>
      <c r="Q451" s="56">
        <f t="shared" si="259"/>
        <v>5291</v>
      </c>
      <c r="R451" s="13">
        <f t="shared" si="260"/>
        <v>112.57446808510639</v>
      </c>
      <c r="S451" s="13">
        <f t="shared" si="261"/>
        <v>0</v>
      </c>
      <c r="T451" s="16">
        <f t="shared" si="262"/>
        <v>112.57446808510639</v>
      </c>
      <c r="U451" s="15">
        <f>+SUMIF('GE16FEB14 Tax Bill Unfudged'!$A$2:$A$498, 'Tax Bill Summary'!$A451, 'GE16FEB14 Tax Bill Unfudged'!E$2:E$498)</f>
        <v>5420</v>
      </c>
      <c r="V451" s="13">
        <f>+SUMIF('GE16FEB14 Tax Bill Unfudged'!$A$2:$A$498, 'Tax Bill Summary'!$A451, 'GE16FEB14 Tax Bill Unfudged'!F$2:F$498)</f>
        <v>0</v>
      </c>
      <c r="W451" s="56">
        <f t="shared" si="263"/>
        <v>5420</v>
      </c>
      <c r="X451" s="51">
        <f>+SUMIF('GE16FEB14 Tax Bill Unfudged'!$A$2:$A$498, 'Tax Bill Summary'!$A451, 'GE16FEB14 Tax Bill Unfudged'!G$2:G$498)</f>
        <v>0</v>
      </c>
      <c r="Y451" s="13">
        <f>+SUMIF('GE16FEB14 Tax Bill Unfudged'!$A$2:$A$498, 'Tax Bill Summary'!$A451, 'GE16FEB14 Tax Bill Unfudged'!H$2:H$498)</f>
        <v>0</v>
      </c>
      <c r="Z451" s="56">
        <f t="shared" si="264"/>
        <v>0</v>
      </c>
      <c r="AA451" s="51">
        <f>+SUMIF('GE16FEB14 Tax Bill Unfudged'!$A$2:$A$498, 'Tax Bill Summary'!$A451, 'GE16FEB14 Tax Bill Unfudged'!I$2:I$498)</f>
        <v>0</v>
      </c>
      <c r="AB451" s="13">
        <f>+SUMIF('GE16FEB14 Tax Bill Unfudged'!$A$2:$A$498, 'Tax Bill Summary'!$A451, 'GE16FEB14 Tax Bill Unfudged'!J$2:J$498)</f>
        <v>0</v>
      </c>
      <c r="AC451" s="56">
        <f t="shared" si="265"/>
        <v>0</v>
      </c>
      <c r="AD451" s="51">
        <f t="shared" si="266"/>
        <v>5420</v>
      </c>
      <c r="AE451" s="13">
        <f t="shared" si="267"/>
        <v>0</v>
      </c>
      <c r="AF451" s="56">
        <f t="shared" si="268"/>
        <v>5420</v>
      </c>
      <c r="AG451" s="13">
        <f t="shared" si="269"/>
        <v>115.31914893617021</v>
      </c>
      <c r="AH451" s="13">
        <f t="shared" si="270"/>
        <v>0</v>
      </c>
      <c r="AI451" s="16">
        <f t="shared" si="271"/>
        <v>115.31914893617021</v>
      </c>
      <c r="AJ451" s="15">
        <f t="shared" si="272"/>
        <v>129</v>
      </c>
      <c r="AK451" s="13">
        <f t="shared" si="273"/>
        <v>0</v>
      </c>
      <c r="AL451" s="56">
        <f t="shared" si="274"/>
        <v>129</v>
      </c>
      <c r="AM451" s="51">
        <f t="shared" si="275"/>
        <v>0</v>
      </c>
      <c r="AN451" s="13">
        <f t="shared" si="276"/>
        <v>0</v>
      </c>
      <c r="AO451" s="56">
        <f t="shared" si="277"/>
        <v>0</v>
      </c>
      <c r="AP451" s="51">
        <f t="shared" si="278"/>
        <v>0</v>
      </c>
      <c r="AQ451" s="13">
        <f t="shared" si="279"/>
        <v>0</v>
      </c>
      <c r="AR451" s="56">
        <f t="shared" si="280"/>
        <v>0</v>
      </c>
      <c r="AS451" s="51">
        <f t="shared" si="281"/>
        <v>129</v>
      </c>
      <c r="AT451" s="13">
        <f t="shared" si="282"/>
        <v>0</v>
      </c>
      <c r="AU451" s="56">
        <f t="shared" si="283"/>
        <v>129</v>
      </c>
      <c r="AV451" s="13">
        <f t="shared" si="284"/>
        <v>2.7446808510638192</v>
      </c>
      <c r="AW451" s="13">
        <f t="shared" si="285"/>
        <v>0</v>
      </c>
      <c r="AX451" s="16">
        <f t="shared" si="286"/>
        <v>2.7446808510638192</v>
      </c>
    </row>
    <row r="452" spans="1:50" x14ac:dyDescent="0.25">
      <c r="A452" s="20">
        <v>4139</v>
      </c>
      <c r="B452">
        <v>7</v>
      </c>
      <c r="C452" s="23" t="s">
        <v>76</v>
      </c>
      <c r="D452" s="23">
        <v>7</v>
      </c>
      <c r="E452" s="15">
        <f>+SUMIF('GE16FEB14 Unfudged'!$A$2:$A$498, $A452, 'GE16FEB14 Unfudged'!$D$2:$D$498)</f>
        <v>276</v>
      </c>
      <c r="F452" s="15">
        <f>+SUMIF('GE16FEB14 Unfudged'!$A$2:$A$498, 'Tax Bill Summary'!$A452, 'GE16FEB14 Unfudged'!E$2:E$498)</f>
        <v>31035</v>
      </c>
      <c r="G452" s="13">
        <f>+SUMIF('GE16FEB14 Unfudged'!$A$2:$A$498, 'Tax Bill Summary'!$A452, 'GE16FEB14 Unfudged'!F$2:F$498)</f>
        <v>0</v>
      </c>
      <c r="H452" s="56">
        <f t="shared" si="254"/>
        <v>31035</v>
      </c>
      <c r="I452" s="51">
        <f>+SUMIF('GE16FEB14 Unfudged'!$A$2:$A$498, 'Tax Bill Summary'!$A452, 'GE16FEB14 Unfudged'!G$2:G$498)</f>
        <v>0</v>
      </c>
      <c r="J452" s="13">
        <f>+SUMIF('GE16FEB14 Unfudged'!$A$2:$A$498, 'Tax Bill Summary'!$A452, 'GE16FEB14 Unfudged'!H$2:H$498)</f>
        <v>0</v>
      </c>
      <c r="K452" s="56">
        <f t="shared" si="255"/>
        <v>0</v>
      </c>
      <c r="L452" s="51">
        <f>+SUMIF('GE16FEB14 Unfudged'!$A$2:$A$498, 'Tax Bill Summary'!$A452, 'GE16FEB14 Unfudged'!I$2:IF$498)</f>
        <v>0</v>
      </c>
      <c r="M452" s="13">
        <f>+SUMIF('GE16FEB14 Unfudged'!$A$2:$A$498, 'Tax Bill Summary'!$A452, 'GE16FEB14 Unfudged'!J$2:IG$498)</f>
        <v>0</v>
      </c>
      <c r="N452" s="56">
        <f t="shared" si="256"/>
        <v>0</v>
      </c>
      <c r="O452" s="51">
        <f t="shared" si="257"/>
        <v>31035</v>
      </c>
      <c r="P452" s="13">
        <f t="shared" si="258"/>
        <v>0</v>
      </c>
      <c r="Q452" s="56">
        <f t="shared" si="259"/>
        <v>31035</v>
      </c>
      <c r="R452" s="13">
        <f t="shared" si="260"/>
        <v>112.44565217391305</v>
      </c>
      <c r="S452" s="13">
        <f t="shared" si="261"/>
        <v>0</v>
      </c>
      <c r="T452" s="16">
        <f t="shared" si="262"/>
        <v>112.44565217391305</v>
      </c>
      <c r="U452" s="15">
        <f>+SUMIF('GE16FEB14 Tax Bill Unfudged'!$A$2:$A$498, 'Tax Bill Summary'!$A452, 'GE16FEB14 Tax Bill Unfudged'!E$2:E$498)</f>
        <v>31796</v>
      </c>
      <c r="V452" s="13">
        <f>+SUMIF('GE16FEB14 Tax Bill Unfudged'!$A$2:$A$498, 'Tax Bill Summary'!$A452, 'GE16FEB14 Tax Bill Unfudged'!F$2:F$498)</f>
        <v>0</v>
      </c>
      <c r="W452" s="56">
        <f t="shared" si="263"/>
        <v>31796</v>
      </c>
      <c r="X452" s="51">
        <f>+SUMIF('GE16FEB14 Tax Bill Unfudged'!$A$2:$A$498, 'Tax Bill Summary'!$A452, 'GE16FEB14 Tax Bill Unfudged'!G$2:G$498)</f>
        <v>0</v>
      </c>
      <c r="Y452" s="13">
        <f>+SUMIF('GE16FEB14 Tax Bill Unfudged'!$A$2:$A$498, 'Tax Bill Summary'!$A452, 'GE16FEB14 Tax Bill Unfudged'!H$2:H$498)</f>
        <v>0</v>
      </c>
      <c r="Z452" s="56">
        <f t="shared" si="264"/>
        <v>0</v>
      </c>
      <c r="AA452" s="51">
        <f>+SUMIF('GE16FEB14 Tax Bill Unfudged'!$A$2:$A$498, 'Tax Bill Summary'!$A452, 'GE16FEB14 Tax Bill Unfudged'!I$2:I$498)</f>
        <v>0</v>
      </c>
      <c r="AB452" s="13">
        <f>+SUMIF('GE16FEB14 Tax Bill Unfudged'!$A$2:$A$498, 'Tax Bill Summary'!$A452, 'GE16FEB14 Tax Bill Unfudged'!J$2:J$498)</f>
        <v>0</v>
      </c>
      <c r="AC452" s="56">
        <f t="shared" si="265"/>
        <v>0</v>
      </c>
      <c r="AD452" s="51">
        <f t="shared" si="266"/>
        <v>31796</v>
      </c>
      <c r="AE452" s="13">
        <f t="shared" si="267"/>
        <v>0</v>
      </c>
      <c r="AF452" s="56">
        <f t="shared" si="268"/>
        <v>31796</v>
      </c>
      <c r="AG452" s="13">
        <f t="shared" si="269"/>
        <v>115.20289855072464</v>
      </c>
      <c r="AH452" s="13">
        <f t="shared" si="270"/>
        <v>0</v>
      </c>
      <c r="AI452" s="16">
        <f t="shared" si="271"/>
        <v>115.20289855072464</v>
      </c>
      <c r="AJ452" s="15">
        <f t="shared" si="272"/>
        <v>761</v>
      </c>
      <c r="AK452" s="13">
        <f t="shared" si="273"/>
        <v>0</v>
      </c>
      <c r="AL452" s="56">
        <f t="shared" si="274"/>
        <v>761</v>
      </c>
      <c r="AM452" s="51">
        <f t="shared" si="275"/>
        <v>0</v>
      </c>
      <c r="AN452" s="13">
        <f t="shared" si="276"/>
        <v>0</v>
      </c>
      <c r="AO452" s="56">
        <f t="shared" si="277"/>
        <v>0</v>
      </c>
      <c r="AP452" s="51">
        <f t="shared" si="278"/>
        <v>0</v>
      </c>
      <c r="AQ452" s="13">
        <f t="shared" si="279"/>
        <v>0</v>
      </c>
      <c r="AR452" s="56">
        <f t="shared" si="280"/>
        <v>0</v>
      </c>
      <c r="AS452" s="51">
        <f t="shared" si="281"/>
        <v>761</v>
      </c>
      <c r="AT452" s="13">
        <f t="shared" si="282"/>
        <v>0</v>
      </c>
      <c r="AU452" s="56">
        <f t="shared" si="283"/>
        <v>761</v>
      </c>
      <c r="AV452" s="13">
        <f t="shared" si="284"/>
        <v>2.7572463768115938</v>
      </c>
      <c r="AW452" s="13">
        <f t="shared" si="285"/>
        <v>0</v>
      </c>
      <c r="AX452" s="16">
        <f t="shared" si="286"/>
        <v>2.7572463768115938</v>
      </c>
    </row>
    <row r="453" spans="1:50" x14ac:dyDescent="0.25">
      <c r="A453" s="20">
        <v>4140</v>
      </c>
      <c r="B453">
        <v>7</v>
      </c>
      <c r="C453" s="23" t="s">
        <v>77</v>
      </c>
      <c r="D453" s="23">
        <v>7</v>
      </c>
      <c r="E453" s="15">
        <f>+SUMIF('GE16FEB14 Unfudged'!$A$2:$A$498, $A453, 'GE16FEB14 Unfudged'!$D$2:$D$498)</f>
        <v>610</v>
      </c>
      <c r="F453" s="15">
        <f>+SUMIF('GE16FEB14 Unfudged'!$A$2:$A$498, 'Tax Bill Summary'!$A453, 'GE16FEB14 Unfudged'!E$2:E$498)</f>
        <v>68689</v>
      </c>
      <c r="G453" s="13">
        <f>+SUMIF('GE16FEB14 Unfudged'!$A$2:$A$498, 'Tax Bill Summary'!$A453, 'GE16FEB14 Unfudged'!F$2:F$498)</f>
        <v>0</v>
      </c>
      <c r="H453" s="56">
        <f t="shared" si="254"/>
        <v>68689</v>
      </c>
      <c r="I453" s="51">
        <f>+SUMIF('GE16FEB14 Unfudged'!$A$2:$A$498, 'Tax Bill Summary'!$A453, 'GE16FEB14 Unfudged'!G$2:G$498)</f>
        <v>0</v>
      </c>
      <c r="J453" s="13">
        <f>+SUMIF('GE16FEB14 Unfudged'!$A$2:$A$498, 'Tax Bill Summary'!$A453, 'GE16FEB14 Unfudged'!H$2:H$498)</f>
        <v>0</v>
      </c>
      <c r="K453" s="56">
        <f t="shared" si="255"/>
        <v>0</v>
      </c>
      <c r="L453" s="51">
        <f>+SUMIF('GE16FEB14 Unfudged'!$A$2:$A$498, 'Tax Bill Summary'!$A453, 'GE16FEB14 Unfudged'!I$2:IF$498)</f>
        <v>0</v>
      </c>
      <c r="M453" s="13">
        <f>+SUMIF('GE16FEB14 Unfudged'!$A$2:$A$498, 'Tax Bill Summary'!$A453, 'GE16FEB14 Unfudged'!J$2:IG$498)</f>
        <v>0</v>
      </c>
      <c r="N453" s="56">
        <f t="shared" si="256"/>
        <v>0</v>
      </c>
      <c r="O453" s="51">
        <f t="shared" si="257"/>
        <v>68689</v>
      </c>
      <c r="P453" s="13">
        <f t="shared" si="258"/>
        <v>0</v>
      </c>
      <c r="Q453" s="56">
        <f t="shared" si="259"/>
        <v>68689</v>
      </c>
      <c r="R453" s="13">
        <f t="shared" si="260"/>
        <v>112.60491803278688</v>
      </c>
      <c r="S453" s="13">
        <f t="shared" si="261"/>
        <v>0</v>
      </c>
      <c r="T453" s="16">
        <f t="shared" si="262"/>
        <v>112.60491803278688</v>
      </c>
      <c r="U453" s="15">
        <f>+SUMIF('GE16FEB14 Tax Bill Unfudged'!$A$2:$A$498, 'Tax Bill Summary'!$A453, 'GE16FEB14 Tax Bill Unfudged'!E$2:E$498)</f>
        <v>70373</v>
      </c>
      <c r="V453" s="13">
        <f>+SUMIF('GE16FEB14 Tax Bill Unfudged'!$A$2:$A$498, 'Tax Bill Summary'!$A453, 'GE16FEB14 Tax Bill Unfudged'!F$2:F$498)</f>
        <v>0</v>
      </c>
      <c r="W453" s="56">
        <f t="shared" si="263"/>
        <v>70373</v>
      </c>
      <c r="X453" s="51">
        <f>+SUMIF('GE16FEB14 Tax Bill Unfudged'!$A$2:$A$498, 'Tax Bill Summary'!$A453, 'GE16FEB14 Tax Bill Unfudged'!G$2:G$498)</f>
        <v>0</v>
      </c>
      <c r="Y453" s="13">
        <f>+SUMIF('GE16FEB14 Tax Bill Unfudged'!$A$2:$A$498, 'Tax Bill Summary'!$A453, 'GE16FEB14 Tax Bill Unfudged'!H$2:H$498)</f>
        <v>0</v>
      </c>
      <c r="Z453" s="56">
        <f t="shared" si="264"/>
        <v>0</v>
      </c>
      <c r="AA453" s="51">
        <f>+SUMIF('GE16FEB14 Tax Bill Unfudged'!$A$2:$A$498, 'Tax Bill Summary'!$A453, 'GE16FEB14 Tax Bill Unfudged'!I$2:I$498)</f>
        <v>0</v>
      </c>
      <c r="AB453" s="13">
        <f>+SUMIF('GE16FEB14 Tax Bill Unfudged'!$A$2:$A$498, 'Tax Bill Summary'!$A453, 'GE16FEB14 Tax Bill Unfudged'!J$2:J$498)</f>
        <v>0</v>
      </c>
      <c r="AC453" s="56">
        <f t="shared" si="265"/>
        <v>0</v>
      </c>
      <c r="AD453" s="51">
        <f t="shared" si="266"/>
        <v>70373</v>
      </c>
      <c r="AE453" s="13">
        <f t="shared" si="267"/>
        <v>0</v>
      </c>
      <c r="AF453" s="56">
        <f t="shared" si="268"/>
        <v>70373</v>
      </c>
      <c r="AG453" s="13">
        <f t="shared" si="269"/>
        <v>115.36557377049181</v>
      </c>
      <c r="AH453" s="13">
        <f t="shared" si="270"/>
        <v>0</v>
      </c>
      <c r="AI453" s="16">
        <f t="shared" si="271"/>
        <v>115.36557377049181</v>
      </c>
      <c r="AJ453" s="15">
        <f t="shared" si="272"/>
        <v>1684</v>
      </c>
      <c r="AK453" s="13">
        <f t="shared" si="273"/>
        <v>0</v>
      </c>
      <c r="AL453" s="56">
        <f t="shared" si="274"/>
        <v>1684</v>
      </c>
      <c r="AM453" s="51">
        <f t="shared" si="275"/>
        <v>0</v>
      </c>
      <c r="AN453" s="13">
        <f t="shared" si="276"/>
        <v>0</v>
      </c>
      <c r="AO453" s="56">
        <f t="shared" si="277"/>
        <v>0</v>
      </c>
      <c r="AP453" s="51">
        <f t="shared" si="278"/>
        <v>0</v>
      </c>
      <c r="AQ453" s="13">
        <f t="shared" si="279"/>
        <v>0</v>
      </c>
      <c r="AR453" s="56">
        <f t="shared" si="280"/>
        <v>0</v>
      </c>
      <c r="AS453" s="51">
        <f t="shared" si="281"/>
        <v>1684</v>
      </c>
      <c r="AT453" s="13">
        <f t="shared" si="282"/>
        <v>0</v>
      </c>
      <c r="AU453" s="56">
        <f t="shared" si="283"/>
        <v>1684</v>
      </c>
      <c r="AV453" s="13">
        <f t="shared" si="284"/>
        <v>2.7606557377049228</v>
      </c>
      <c r="AW453" s="13">
        <f t="shared" si="285"/>
        <v>0</v>
      </c>
      <c r="AX453" s="16">
        <f t="shared" si="286"/>
        <v>2.7606557377049228</v>
      </c>
    </row>
    <row r="454" spans="1:50" x14ac:dyDescent="0.25">
      <c r="A454" s="20">
        <v>4141</v>
      </c>
      <c r="B454">
        <v>7</v>
      </c>
      <c r="C454" s="23" t="s">
        <v>78</v>
      </c>
      <c r="D454" s="23">
        <v>7</v>
      </c>
      <c r="E454" s="15">
        <f>+SUMIF('GE16FEB14 Unfudged'!$A$2:$A$498, $A454, 'GE16FEB14 Unfudged'!$D$2:$D$498)</f>
        <v>414</v>
      </c>
      <c r="F454" s="15">
        <f>+SUMIF('GE16FEB14 Unfudged'!$A$2:$A$498, 'Tax Bill Summary'!$A454, 'GE16FEB14 Unfudged'!E$2:E$498)</f>
        <v>46558</v>
      </c>
      <c r="G454" s="13">
        <f>+SUMIF('GE16FEB14 Unfudged'!$A$2:$A$498, 'Tax Bill Summary'!$A454, 'GE16FEB14 Unfudged'!F$2:F$498)</f>
        <v>0</v>
      </c>
      <c r="H454" s="56">
        <f t="shared" si="254"/>
        <v>46558</v>
      </c>
      <c r="I454" s="51">
        <f>+SUMIF('GE16FEB14 Unfudged'!$A$2:$A$498, 'Tax Bill Summary'!$A454, 'GE16FEB14 Unfudged'!G$2:G$498)</f>
        <v>0</v>
      </c>
      <c r="J454" s="13">
        <f>+SUMIF('GE16FEB14 Unfudged'!$A$2:$A$498, 'Tax Bill Summary'!$A454, 'GE16FEB14 Unfudged'!H$2:H$498)</f>
        <v>0</v>
      </c>
      <c r="K454" s="56">
        <f t="shared" si="255"/>
        <v>0</v>
      </c>
      <c r="L454" s="51">
        <f>+SUMIF('GE16FEB14 Unfudged'!$A$2:$A$498, 'Tax Bill Summary'!$A454, 'GE16FEB14 Unfudged'!I$2:IF$498)</f>
        <v>0</v>
      </c>
      <c r="M454" s="13">
        <f>+SUMIF('GE16FEB14 Unfudged'!$A$2:$A$498, 'Tax Bill Summary'!$A454, 'GE16FEB14 Unfudged'!J$2:IG$498)</f>
        <v>0</v>
      </c>
      <c r="N454" s="56">
        <f t="shared" si="256"/>
        <v>0</v>
      </c>
      <c r="O454" s="51">
        <f t="shared" si="257"/>
        <v>46558</v>
      </c>
      <c r="P454" s="13">
        <f t="shared" si="258"/>
        <v>0</v>
      </c>
      <c r="Q454" s="56">
        <f t="shared" si="259"/>
        <v>46558</v>
      </c>
      <c r="R454" s="13">
        <f t="shared" si="260"/>
        <v>112.45893719806763</v>
      </c>
      <c r="S454" s="13">
        <f t="shared" si="261"/>
        <v>0</v>
      </c>
      <c r="T454" s="16">
        <f t="shared" si="262"/>
        <v>112.45893719806763</v>
      </c>
      <c r="U454" s="15">
        <f>+SUMIF('GE16FEB14 Tax Bill Unfudged'!$A$2:$A$498, 'Tax Bill Summary'!$A454, 'GE16FEB14 Tax Bill Unfudged'!E$2:E$498)</f>
        <v>47700</v>
      </c>
      <c r="V454" s="13">
        <f>+SUMIF('GE16FEB14 Tax Bill Unfudged'!$A$2:$A$498, 'Tax Bill Summary'!$A454, 'GE16FEB14 Tax Bill Unfudged'!F$2:F$498)</f>
        <v>0</v>
      </c>
      <c r="W454" s="56">
        <f t="shared" si="263"/>
        <v>47700</v>
      </c>
      <c r="X454" s="51">
        <f>+SUMIF('GE16FEB14 Tax Bill Unfudged'!$A$2:$A$498, 'Tax Bill Summary'!$A454, 'GE16FEB14 Tax Bill Unfudged'!G$2:G$498)</f>
        <v>0</v>
      </c>
      <c r="Y454" s="13">
        <f>+SUMIF('GE16FEB14 Tax Bill Unfudged'!$A$2:$A$498, 'Tax Bill Summary'!$A454, 'GE16FEB14 Tax Bill Unfudged'!H$2:H$498)</f>
        <v>0</v>
      </c>
      <c r="Z454" s="56">
        <f t="shared" si="264"/>
        <v>0</v>
      </c>
      <c r="AA454" s="51">
        <f>+SUMIF('GE16FEB14 Tax Bill Unfudged'!$A$2:$A$498, 'Tax Bill Summary'!$A454, 'GE16FEB14 Tax Bill Unfudged'!I$2:I$498)</f>
        <v>0</v>
      </c>
      <c r="AB454" s="13">
        <f>+SUMIF('GE16FEB14 Tax Bill Unfudged'!$A$2:$A$498, 'Tax Bill Summary'!$A454, 'GE16FEB14 Tax Bill Unfudged'!J$2:J$498)</f>
        <v>0</v>
      </c>
      <c r="AC454" s="56">
        <f t="shared" si="265"/>
        <v>0</v>
      </c>
      <c r="AD454" s="51">
        <f t="shared" si="266"/>
        <v>47700</v>
      </c>
      <c r="AE454" s="13">
        <f t="shared" si="267"/>
        <v>0</v>
      </c>
      <c r="AF454" s="56">
        <f t="shared" si="268"/>
        <v>47700</v>
      </c>
      <c r="AG454" s="13">
        <f t="shared" si="269"/>
        <v>115.21739130434783</v>
      </c>
      <c r="AH454" s="13">
        <f t="shared" si="270"/>
        <v>0</v>
      </c>
      <c r="AI454" s="16">
        <f t="shared" si="271"/>
        <v>115.21739130434783</v>
      </c>
      <c r="AJ454" s="15">
        <f t="shared" si="272"/>
        <v>1142</v>
      </c>
      <c r="AK454" s="13">
        <f t="shared" si="273"/>
        <v>0</v>
      </c>
      <c r="AL454" s="56">
        <f t="shared" si="274"/>
        <v>1142</v>
      </c>
      <c r="AM454" s="51">
        <f t="shared" si="275"/>
        <v>0</v>
      </c>
      <c r="AN454" s="13">
        <f t="shared" si="276"/>
        <v>0</v>
      </c>
      <c r="AO454" s="56">
        <f t="shared" si="277"/>
        <v>0</v>
      </c>
      <c r="AP454" s="51">
        <f t="shared" si="278"/>
        <v>0</v>
      </c>
      <c r="AQ454" s="13">
        <f t="shared" si="279"/>
        <v>0</v>
      </c>
      <c r="AR454" s="56">
        <f t="shared" si="280"/>
        <v>0</v>
      </c>
      <c r="AS454" s="51">
        <f t="shared" si="281"/>
        <v>1142</v>
      </c>
      <c r="AT454" s="13">
        <f t="shared" si="282"/>
        <v>0</v>
      </c>
      <c r="AU454" s="56">
        <f t="shared" si="283"/>
        <v>1142</v>
      </c>
      <c r="AV454" s="13">
        <f t="shared" si="284"/>
        <v>2.7584541062801975</v>
      </c>
      <c r="AW454" s="13">
        <f t="shared" si="285"/>
        <v>0</v>
      </c>
      <c r="AX454" s="16">
        <f t="shared" si="286"/>
        <v>2.7584541062801975</v>
      </c>
    </row>
    <row r="455" spans="1:50" x14ac:dyDescent="0.25">
      <c r="A455" s="20">
        <v>4142</v>
      </c>
      <c r="B455">
        <v>7</v>
      </c>
      <c r="C455" s="23" t="s">
        <v>79</v>
      </c>
      <c r="D455" s="23">
        <v>7</v>
      </c>
      <c r="E455" s="15">
        <f>+SUMIF('GE16FEB14 Unfudged'!$A$2:$A$498, $A455, 'GE16FEB14 Unfudged'!$D$2:$D$498)</f>
        <v>673</v>
      </c>
      <c r="F455" s="15">
        <f>+SUMIF('GE16FEB14 Unfudged'!$A$2:$A$498, 'Tax Bill Summary'!$A455, 'GE16FEB14 Unfudged'!E$2:E$498)</f>
        <v>75781</v>
      </c>
      <c r="G455" s="13">
        <f>+SUMIF('GE16FEB14 Unfudged'!$A$2:$A$498, 'Tax Bill Summary'!$A455, 'GE16FEB14 Unfudged'!F$2:F$498)</f>
        <v>0</v>
      </c>
      <c r="H455" s="56">
        <f t="shared" si="254"/>
        <v>75781</v>
      </c>
      <c r="I455" s="51">
        <f>+SUMIF('GE16FEB14 Unfudged'!$A$2:$A$498, 'Tax Bill Summary'!$A455, 'GE16FEB14 Unfudged'!G$2:G$498)</f>
        <v>0</v>
      </c>
      <c r="J455" s="13">
        <f>+SUMIF('GE16FEB14 Unfudged'!$A$2:$A$498, 'Tax Bill Summary'!$A455, 'GE16FEB14 Unfudged'!H$2:H$498)</f>
        <v>0</v>
      </c>
      <c r="K455" s="56">
        <f t="shared" si="255"/>
        <v>0</v>
      </c>
      <c r="L455" s="51">
        <f>+SUMIF('GE16FEB14 Unfudged'!$A$2:$A$498, 'Tax Bill Summary'!$A455, 'GE16FEB14 Unfudged'!I$2:IF$498)</f>
        <v>0</v>
      </c>
      <c r="M455" s="13">
        <f>+SUMIF('GE16FEB14 Unfudged'!$A$2:$A$498, 'Tax Bill Summary'!$A455, 'GE16FEB14 Unfudged'!J$2:IG$498)</f>
        <v>0</v>
      </c>
      <c r="N455" s="56">
        <f t="shared" si="256"/>
        <v>0</v>
      </c>
      <c r="O455" s="51">
        <f t="shared" si="257"/>
        <v>75781</v>
      </c>
      <c r="P455" s="13">
        <f t="shared" si="258"/>
        <v>0</v>
      </c>
      <c r="Q455" s="56">
        <f t="shared" si="259"/>
        <v>75781</v>
      </c>
      <c r="R455" s="13">
        <f t="shared" si="260"/>
        <v>112.60178306092125</v>
      </c>
      <c r="S455" s="13">
        <f t="shared" si="261"/>
        <v>0</v>
      </c>
      <c r="T455" s="16">
        <f t="shared" si="262"/>
        <v>112.60178306092125</v>
      </c>
      <c r="U455" s="15">
        <f>+SUMIF('GE16FEB14 Tax Bill Unfudged'!$A$2:$A$498, 'Tax Bill Summary'!$A455, 'GE16FEB14 Tax Bill Unfudged'!E$2:E$498)</f>
        <v>77639</v>
      </c>
      <c r="V455" s="13">
        <f>+SUMIF('GE16FEB14 Tax Bill Unfudged'!$A$2:$A$498, 'Tax Bill Summary'!$A455, 'GE16FEB14 Tax Bill Unfudged'!F$2:F$498)</f>
        <v>0</v>
      </c>
      <c r="W455" s="56">
        <f t="shared" si="263"/>
        <v>77639</v>
      </c>
      <c r="X455" s="51">
        <f>+SUMIF('GE16FEB14 Tax Bill Unfudged'!$A$2:$A$498, 'Tax Bill Summary'!$A455, 'GE16FEB14 Tax Bill Unfudged'!G$2:G$498)</f>
        <v>0</v>
      </c>
      <c r="Y455" s="13">
        <f>+SUMIF('GE16FEB14 Tax Bill Unfudged'!$A$2:$A$498, 'Tax Bill Summary'!$A455, 'GE16FEB14 Tax Bill Unfudged'!H$2:H$498)</f>
        <v>0</v>
      </c>
      <c r="Z455" s="56">
        <f t="shared" si="264"/>
        <v>0</v>
      </c>
      <c r="AA455" s="51">
        <f>+SUMIF('GE16FEB14 Tax Bill Unfudged'!$A$2:$A$498, 'Tax Bill Summary'!$A455, 'GE16FEB14 Tax Bill Unfudged'!I$2:I$498)</f>
        <v>0</v>
      </c>
      <c r="AB455" s="13">
        <f>+SUMIF('GE16FEB14 Tax Bill Unfudged'!$A$2:$A$498, 'Tax Bill Summary'!$A455, 'GE16FEB14 Tax Bill Unfudged'!J$2:J$498)</f>
        <v>0</v>
      </c>
      <c r="AC455" s="56">
        <f t="shared" si="265"/>
        <v>0</v>
      </c>
      <c r="AD455" s="51">
        <f t="shared" si="266"/>
        <v>77639</v>
      </c>
      <c r="AE455" s="13">
        <f t="shared" si="267"/>
        <v>0</v>
      </c>
      <c r="AF455" s="56">
        <f t="shared" si="268"/>
        <v>77639</v>
      </c>
      <c r="AG455" s="13">
        <f t="shared" si="269"/>
        <v>115.36255572065379</v>
      </c>
      <c r="AH455" s="13">
        <f t="shared" si="270"/>
        <v>0</v>
      </c>
      <c r="AI455" s="16">
        <f t="shared" si="271"/>
        <v>115.36255572065379</v>
      </c>
      <c r="AJ455" s="15">
        <f t="shared" si="272"/>
        <v>1858</v>
      </c>
      <c r="AK455" s="13">
        <f t="shared" si="273"/>
        <v>0</v>
      </c>
      <c r="AL455" s="56">
        <f t="shared" si="274"/>
        <v>1858</v>
      </c>
      <c r="AM455" s="51">
        <f t="shared" si="275"/>
        <v>0</v>
      </c>
      <c r="AN455" s="13">
        <f t="shared" si="276"/>
        <v>0</v>
      </c>
      <c r="AO455" s="56">
        <f t="shared" si="277"/>
        <v>0</v>
      </c>
      <c r="AP455" s="51">
        <f t="shared" si="278"/>
        <v>0</v>
      </c>
      <c r="AQ455" s="13">
        <f t="shared" si="279"/>
        <v>0</v>
      </c>
      <c r="AR455" s="56">
        <f t="shared" si="280"/>
        <v>0</v>
      </c>
      <c r="AS455" s="51">
        <f t="shared" si="281"/>
        <v>1858</v>
      </c>
      <c r="AT455" s="13">
        <f t="shared" si="282"/>
        <v>0</v>
      </c>
      <c r="AU455" s="56">
        <f t="shared" si="283"/>
        <v>1858</v>
      </c>
      <c r="AV455" s="13">
        <f t="shared" si="284"/>
        <v>2.7607726597325382</v>
      </c>
      <c r="AW455" s="13">
        <f t="shared" si="285"/>
        <v>0</v>
      </c>
      <c r="AX455" s="16">
        <f t="shared" si="286"/>
        <v>2.7607726597325382</v>
      </c>
    </row>
    <row r="456" spans="1:50" x14ac:dyDescent="0.25">
      <c r="A456" s="20">
        <v>4143</v>
      </c>
      <c r="B456">
        <v>7</v>
      </c>
      <c r="C456" s="23" t="s">
        <v>502</v>
      </c>
      <c r="D456" s="23">
        <v>7</v>
      </c>
      <c r="E456" s="15">
        <f>+SUMIF('GE16FEB14 Unfudged'!$A$2:$A$498, $A456, 'GE16FEB14 Unfudged'!$D$2:$D$498)</f>
        <v>442</v>
      </c>
      <c r="F456" s="15">
        <f>+SUMIF('GE16FEB14 Unfudged'!$A$2:$A$498, 'Tax Bill Summary'!$A456, 'GE16FEB14 Unfudged'!E$2:E$498)</f>
        <v>49710</v>
      </c>
      <c r="G456" s="13">
        <f>+SUMIF('GE16FEB14 Unfudged'!$A$2:$A$498, 'Tax Bill Summary'!$A456, 'GE16FEB14 Unfudged'!F$2:F$498)</f>
        <v>0</v>
      </c>
      <c r="H456" s="56">
        <f t="shared" si="254"/>
        <v>49710</v>
      </c>
      <c r="I456" s="51">
        <f>+SUMIF('GE16FEB14 Unfudged'!$A$2:$A$498, 'Tax Bill Summary'!$A456, 'GE16FEB14 Unfudged'!G$2:G$498)</f>
        <v>0</v>
      </c>
      <c r="J456" s="13">
        <f>+SUMIF('GE16FEB14 Unfudged'!$A$2:$A$498, 'Tax Bill Summary'!$A456, 'GE16FEB14 Unfudged'!H$2:H$498)</f>
        <v>0</v>
      </c>
      <c r="K456" s="56">
        <f t="shared" si="255"/>
        <v>0</v>
      </c>
      <c r="L456" s="51">
        <f>+SUMIF('GE16FEB14 Unfudged'!$A$2:$A$498, 'Tax Bill Summary'!$A456, 'GE16FEB14 Unfudged'!I$2:IF$498)</f>
        <v>0</v>
      </c>
      <c r="M456" s="13">
        <f>+SUMIF('GE16FEB14 Unfudged'!$A$2:$A$498, 'Tax Bill Summary'!$A456, 'GE16FEB14 Unfudged'!J$2:IG$498)</f>
        <v>0</v>
      </c>
      <c r="N456" s="56">
        <f t="shared" si="256"/>
        <v>0</v>
      </c>
      <c r="O456" s="51">
        <f t="shared" si="257"/>
        <v>49710</v>
      </c>
      <c r="P456" s="13">
        <f t="shared" si="258"/>
        <v>0</v>
      </c>
      <c r="Q456" s="56">
        <f t="shared" si="259"/>
        <v>49710</v>
      </c>
      <c r="R456" s="13">
        <f t="shared" si="260"/>
        <v>112.46606334841628</v>
      </c>
      <c r="S456" s="13">
        <f t="shared" si="261"/>
        <v>0</v>
      </c>
      <c r="T456" s="16">
        <f t="shared" si="262"/>
        <v>112.46606334841628</v>
      </c>
      <c r="U456" s="15">
        <f>+SUMIF('GE16FEB14 Tax Bill Unfudged'!$A$2:$A$498, 'Tax Bill Summary'!$A456, 'GE16FEB14 Tax Bill Unfudged'!E$2:E$498)</f>
        <v>50929</v>
      </c>
      <c r="V456" s="13">
        <f>+SUMIF('GE16FEB14 Tax Bill Unfudged'!$A$2:$A$498, 'Tax Bill Summary'!$A456, 'GE16FEB14 Tax Bill Unfudged'!F$2:F$498)</f>
        <v>0</v>
      </c>
      <c r="W456" s="56">
        <f t="shared" si="263"/>
        <v>50929</v>
      </c>
      <c r="X456" s="51">
        <f>+SUMIF('GE16FEB14 Tax Bill Unfudged'!$A$2:$A$498, 'Tax Bill Summary'!$A456, 'GE16FEB14 Tax Bill Unfudged'!G$2:G$498)</f>
        <v>0</v>
      </c>
      <c r="Y456" s="13">
        <f>+SUMIF('GE16FEB14 Tax Bill Unfudged'!$A$2:$A$498, 'Tax Bill Summary'!$A456, 'GE16FEB14 Tax Bill Unfudged'!H$2:H$498)</f>
        <v>0</v>
      </c>
      <c r="Z456" s="56">
        <f t="shared" si="264"/>
        <v>0</v>
      </c>
      <c r="AA456" s="51">
        <f>+SUMIF('GE16FEB14 Tax Bill Unfudged'!$A$2:$A$498, 'Tax Bill Summary'!$A456, 'GE16FEB14 Tax Bill Unfudged'!I$2:I$498)</f>
        <v>0</v>
      </c>
      <c r="AB456" s="13">
        <f>+SUMIF('GE16FEB14 Tax Bill Unfudged'!$A$2:$A$498, 'Tax Bill Summary'!$A456, 'GE16FEB14 Tax Bill Unfudged'!J$2:J$498)</f>
        <v>0</v>
      </c>
      <c r="AC456" s="56">
        <f t="shared" si="265"/>
        <v>0</v>
      </c>
      <c r="AD456" s="51">
        <f t="shared" si="266"/>
        <v>50929</v>
      </c>
      <c r="AE456" s="13">
        <f t="shared" si="267"/>
        <v>0</v>
      </c>
      <c r="AF456" s="56">
        <f t="shared" si="268"/>
        <v>50929</v>
      </c>
      <c r="AG456" s="13">
        <f t="shared" si="269"/>
        <v>115.22398190045249</v>
      </c>
      <c r="AH456" s="13">
        <f t="shared" si="270"/>
        <v>0</v>
      </c>
      <c r="AI456" s="16">
        <f t="shared" si="271"/>
        <v>115.22398190045249</v>
      </c>
      <c r="AJ456" s="15">
        <f t="shared" si="272"/>
        <v>1219</v>
      </c>
      <c r="AK456" s="13">
        <f t="shared" si="273"/>
        <v>0</v>
      </c>
      <c r="AL456" s="56">
        <f t="shared" si="274"/>
        <v>1219</v>
      </c>
      <c r="AM456" s="51">
        <f t="shared" si="275"/>
        <v>0</v>
      </c>
      <c r="AN456" s="13">
        <f t="shared" si="276"/>
        <v>0</v>
      </c>
      <c r="AO456" s="56">
        <f t="shared" si="277"/>
        <v>0</v>
      </c>
      <c r="AP456" s="51">
        <f t="shared" si="278"/>
        <v>0</v>
      </c>
      <c r="AQ456" s="13">
        <f t="shared" si="279"/>
        <v>0</v>
      </c>
      <c r="AR456" s="56">
        <f t="shared" si="280"/>
        <v>0</v>
      </c>
      <c r="AS456" s="51">
        <f t="shared" si="281"/>
        <v>1219</v>
      </c>
      <c r="AT456" s="13">
        <f t="shared" si="282"/>
        <v>0</v>
      </c>
      <c r="AU456" s="56">
        <f t="shared" si="283"/>
        <v>1219</v>
      </c>
      <c r="AV456" s="13">
        <f t="shared" si="284"/>
        <v>2.7579185520362017</v>
      </c>
      <c r="AW456" s="13">
        <f t="shared" si="285"/>
        <v>0</v>
      </c>
      <c r="AX456" s="16">
        <f t="shared" si="286"/>
        <v>2.7579185520362017</v>
      </c>
    </row>
    <row r="457" spans="1:50" x14ac:dyDescent="0.25">
      <c r="A457" s="20">
        <v>4144</v>
      </c>
      <c r="B457">
        <v>7</v>
      </c>
      <c r="C457" s="23" t="s">
        <v>80</v>
      </c>
      <c r="D457" s="23">
        <v>7</v>
      </c>
      <c r="E457" s="15">
        <f>+SUMIF('GE16FEB14 Unfudged'!$A$2:$A$498, $A457, 'GE16FEB14 Unfudged'!$D$2:$D$498)</f>
        <v>82</v>
      </c>
      <c r="F457" s="15">
        <f>+SUMIF('GE16FEB14 Unfudged'!$A$2:$A$498, 'Tax Bill Summary'!$A457, 'GE16FEB14 Unfudged'!E$2:E$498)</f>
        <v>9186</v>
      </c>
      <c r="G457" s="13">
        <f>+SUMIF('GE16FEB14 Unfudged'!$A$2:$A$498, 'Tax Bill Summary'!$A457, 'GE16FEB14 Unfudged'!F$2:F$498)</f>
        <v>0</v>
      </c>
      <c r="H457" s="56">
        <f t="shared" si="254"/>
        <v>9186</v>
      </c>
      <c r="I457" s="51">
        <f>+SUMIF('GE16FEB14 Unfudged'!$A$2:$A$498, 'Tax Bill Summary'!$A457, 'GE16FEB14 Unfudged'!G$2:G$498)</f>
        <v>0</v>
      </c>
      <c r="J457" s="13">
        <f>+SUMIF('GE16FEB14 Unfudged'!$A$2:$A$498, 'Tax Bill Summary'!$A457, 'GE16FEB14 Unfudged'!H$2:H$498)</f>
        <v>0</v>
      </c>
      <c r="K457" s="56">
        <f t="shared" si="255"/>
        <v>0</v>
      </c>
      <c r="L457" s="51">
        <f>+SUMIF('GE16FEB14 Unfudged'!$A$2:$A$498, 'Tax Bill Summary'!$A457, 'GE16FEB14 Unfudged'!I$2:IF$498)</f>
        <v>0</v>
      </c>
      <c r="M457" s="13">
        <f>+SUMIF('GE16FEB14 Unfudged'!$A$2:$A$498, 'Tax Bill Summary'!$A457, 'GE16FEB14 Unfudged'!J$2:IG$498)</f>
        <v>0</v>
      </c>
      <c r="N457" s="56">
        <f t="shared" si="256"/>
        <v>0</v>
      </c>
      <c r="O457" s="51">
        <f t="shared" si="257"/>
        <v>9186</v>
      </c>
      <c r="P457" s="13">
        <f t="shared" si="258"/>
        <v>0</v>
      </c>
      <c r="Q457" s="56">
        <f t="shared" si="259"/>
        <v>9186</v>
      </c>
      <c r="R457" s="13">
        <f t="shared" si="260"/>
        <v>112.02439024390245</v>
      </c>
      <c r="S457" s="13">
        <f t="shared" si="261"/>
        <v>0</v>
      </c>
      <c r="T457" s="16">
        <f t="shared" si="262"/>
        <v>112.02439024390245</v>
      </c>
      <c r="U457" s="15">
        <f>+SUMIF('GE16FEB14 Tax Bill Unfudged'!$A$2:$A$498, 'Tax Bill Summary'!$A457, 'GE16FEB14 Tax Bill Unfudged'!E$2:E$498)</f>
        <v>9411</v>
      </c>
      <c r="V457" s="13">
        <f>+SUMIF('GE16FEB14 Tax Bill Unfudged'!$A$2:$A$498, 'Tax Bill Summary'!$A457, 'GE16FEB14 Tax Bill Unfudged'!F$2:F$498)</f>
        <v>0</v>
      </c>
      <c r="W457" s="56">
        <f t="shared" si="263"/>
        <v>9411</v>
      </c>
      <c r="X457" s="51">
        <f>+SUMIF('GE16FEB14 Tax Bill Unfudged'!$A$2:$A$498, 'Tax Bill Summary'!$A457, 'GE16FEB14 Tax Bill Unfudged'!G$2:G$498)</f>
        <v>0</v>
      </c>
      <c r="Y457" s="13">
        <f>+SUMIF('GE16FEB14 Tax Bill Unfudged'!$A$2:$A$498, 'Tax Bill Summary'!$A457, 'GE16FEB14 Tax Bill Unfudged'!H$2:H$498)</f>
        <v>0</v>
      </c>
      <c r="Z457" s="56">
        <f t="shared" si="264"/>
        <v>0</v>
      </c>
      <c r="AA457" s="51">
        <f>+SUMIF('GE16FEB14 Tax Bill Unfudged'!$A$2:$A$498, 'Tax Bill Summary'!$A457, 'GE16FEB14 Tax Bill Unfudged'!I$2:I$498)</f>
        <v>0</v>
      </c>
      <c r="AB457" s="13">
        <f>+SUMIF('GE16FEB14 Tax Bill Unfudged'!$A$2:$A$498, 'Tax Bill Summary'!$A457, 'GE16FEB14 Tax Bill Unfudged'!J$2:J$498)</f>
        <v>0</v>
      </c>
      <c r="AC457" s="56">
        <f t="shared" si="265"/>
        <v>0</v>
      </c>
      <c r="AD457" s="51">
        <f t="shared" si="266"/>
        <v>9411</v>
      </c>
      <c r="AE457" s="13">
        <f t="shared" si="267"/>
        <v>0</v>
      </c>
      <c r="AF457" s="56">
        <f t="shared" si="268"/>
        <v>9411</v>
      </c>
      <c r="AG457" s="13">
        <f t="shared" si="269"/>
        <v>114.76829268292683</v>
      </c>
      <c r="AH457" s="13">
        <f t="shared" si="270"/>
        <v>0</v>
      </c>
      <c r="AI457" s="16">
        <f t="shared" si="271"/>
        <v>114.76829268292683</v>
      </c>
      <c r="AJ457" s="15">
        <f t="shared" si="272"/>
        <v>225</v>
      </c>
      <c r="AK457" s="13">
        <f t="shared" si="273"/>
        <v>0</v>
      </c>
      <c r="AL457" s="56">
        <f t="shared" si="274"/>
        <v>225</v>
      </c>
      <c r="AM457" s="51">
        <f t="shared" si="275"/>
        <v>0</v>
      </c>
      <c r="AN457" s="13">
        <f t="shared" si="276"/>
        <v>0</v>
      </c>
      <c r="AO457" s="56">
        <f t="shared" si="277"/>
        <v>0</v>
      </c>
      <c r="AP457" s="51">
        <f t="shared" si="278"/>
        <v>0</v>
      </c>
      <c r="AQ457" s="13">
        <f t="shared" si="279"/>
        <v>0</v>
      </c>
      <c r="AR457" s="56">
        <f t="shared" si="280"/>
        <v>0</v>
      </c>
      <c r="AS457" s="51">
        <f t="shared" si="281"/>
        <v>225</v>
      </c>
      <c r="AT457" s="13">
        <f t="shared" si="282"/>
        <v>0</v>
      </c>
      <c r="AU457" s="56">
        <f t="shared" si="283"/>
        <v>225</v>
      </c>
      <c r="AV457" s="13">
        <f t="shared" si="284"/>
        <v>2.7439024390243816</v>
      </c>
      <c r="AW457" s="13">
        <f t="shared" si="285"/>
        <v>0</v>
      </c>
      <c r="AX457" s="16">
        <f t="shared" si="286"/>
        <v>2.7439024390243816</v>
      </c>
    </row>
    <row r="458" spans="1:50" x14ac:dyDescent="0.25">
      <c r="A458" s="20">
        <v>4145</v>
      </c>
      <c r="B458">
        <v>7</v>
      </c>
      <c r="C458" s="23" t="s">
        <v>81</v>
      </c>
      <c r="D458" s="23">
        <v>7</v>
      </c>
      <c r="E458" s="15">
        <f>+SUMIF('GE16FEB14 Unfudged'!$A$2:$A$498, $A458, 'GE16FEB14 Unfudged'!$D$2:$D$498)</f>
        <v>30</v>
      </c>
      <c r="F458" s="15">
        <f>+SUMIF('GE16FEB14 Unfudged'!$A$2:$A$498, 'Tax Bill Summary'!$A458, 'GE16FEB14 Unfudged'!E$2:E$498)</f>
        <v>3349</v>
      </c>
      <c r="G458" s="13">
        <f>+SUMIF('GE16FEB14 Unfudged'!$A$2:$A$498, 'Tax Bill Summary'!$A458, 'GE16FEB14 Unfudged'!F$2:F$498)</f>
        <v>0</v>
      </c>
      <c r="H458" s="56">
        <f t="shared" si="254"/>
        <v>3349</v>
      </c>
      <c r="I458" s="51">
        <f>+SUMIF('GE16FEB14 Unfudged'!$A$2:$A$498, 'Tax Bill Summary'!$A458, 'GE16FEB14 Unfudged'!G$2:G$498)</f>
        <v>0</v>
      </c>
      <c r="J458" s="13">
        <f>+SUMIF('GE16FEB14 Unfudged'!$A$2:$A$498, 'Tax Bill Summary'!$A458, 'GE16FEB14 Unfudged'!H$2:H$498)</f>
        <v>0</v>
      </c>
      <c r="K458" s="56">
        <f t="shared" si="255"/>
        <v>0</v>
      </c>
      <c r="L458" s="51">
        <f>+SUMIF('GE16FEB14 Unfudged'!$A$2:$A$498, 'Tax Bill Summary'!$A458, 'GE16FEB14 Unfudged'!I$2:IF$498)</f>
        <v>0</v>
      </c>
      <c r="M458" s="13">
        <f>+SUMIF('GE16FEB14 Unfudged'!$A$2:$A$498, 'Tax Bill Summary'!$A458, 'GE16FEB14 Unfudged'!J$2:IG$498)</f>
        <v>0</v>
      </c>
      <c r="N458" s="56">
        <f t="shared" si="256"/>
        <v>0</v>
      </c>
      <c r="O458" s="51">
        <f t="shared" si="257"/>
        <v>3349</v>
      </c>
      <c r="P458" s="13">
        <f t="shared" si="258"/>
        <v>0</v>
      </c>
      <c r="Q458" s="56">
        <f t="shared" si="259"/>
        <v>3349</v>
      </c>
      <c r="R458" s="13">
        <f t="shared" si="260"/>
        <v>111.63333333333334</v>
      </c>
      <c r="S458" s="13">
        <f t="shared" si="261"/>
        <v>0</v>
      </c>
      <c r="T458" s="16">
        <f t="shared" si="262"/>
        <v>111.63333333333334</v>
      </c>
      <c r="U458" s="15">
        <f>+SUMIF('GE16FEB14 Tax Bill Unfudged'!$A$2:$A$498, 'Tax Bill Summary'!$A458, 'GE16FEB14 Tax Bill Unfudged'!E$2:E$498)</f>
        <v>3431</v>
      </c>
      <c r="V458" s="13">
        <f>+SUMIF('GE16FEB14 Tax Bill Unfudged'!$A$2:$A$498, 'Tax Bill Summary'!$A458, 'GE16FEB14 Tax Bill Unfudged'!F$2:F$498)</f>
        <v>0</v>
      </c>
      <c r="W458" s="56">
        <f t="shared" si="263"/>
        <v>3431</v>
      </c>
      <c r="X458" s="51">
        <f>+SUMIF('GE16FEB14 Tax Bill Unfudged'!$A$2:$A$498, 'Tax Bill Summary'!$A458, 'GE16FEB14 Tax Bill Unfudged'!G$2:G$498)</f>
        <v>0</v>
      </c>
      <c r="Y458" s="13">
        <f>+SUMIF('GE16FEB14 Tax Bill Unfudged'!$A$2:$A$498, 'Tax Bill Summary'!$A458, 'GE16FEB14 Tax Bill Unfudged'!H$2:H$498)</f>
        <v>0</v>
      </c>
      <c r="Z458" s="56">
        <f t="shared" si="264"/>
        <v>0</v>
      </c>
      <c r="AA458" s="51">
        <f>+SUMIF('GE16FEB14 Tax Bill Unfudged'!$A$2:$A$498, 'Tax Bill Summary'!$A458, 'GE16FEB14 Tax Bill Unfudged'!I$2:I$498)</f>
        <v>0</v>
      </c>
      <c r="AB458" s="13">
        <f>+SUMIF('GE16FEB14 Tax Bill Unfudged'!$A$2:$A$498, 'Tax Bill Summary'!$A458, 'GE16FEB14 Tax Bill Unfudged'!J$2:J$498)</f>
        <v>0</v>
      </c>
      <c r="AC458" s="56">
        <f t="shared" si="265"/>
        <v>0</v>
      </c>
      <c r="AD458" s="51">
        <f t="shared" si="266"/>
        <v>3431</v>
      </c>
      <c r="AE458" s="13">
        <f t="shared" si="267"/>
        <v>0</v>
      </c>
      <c r="AF458" s="56">
        <f t="shared" si="268"/>
        <v>3431</v>
      </c>
      <c r="AG458" s="13">
        <f t="shared" si="269"/>
        <v>114.36666666666666</v>
      </c>
      <c r="AH458" s="13">
        <f t="shared" si="270"/>
        <v>0</v>
      </c>
      <c r="AI458" s="16">
        <f t="shared" si="271"/>
        <v>114.36666666666666</v>
      </c>
      <c r="AJ458" s="15">
        <f t="shared" si="272"/>
        <v>82</v>
      </c>
      <c r="AK458" s="13">
        <f t="shared" si="273"/>
        <v>0</v>
      </c>
      <c r="AL458" s="56">
        <f t="shared" si="274"/>
        <v>82</v>
      </c>
      <c r="AM458" s="51">
        <f t="shared" si="275"/>
        <v>0</v>
      </c>
      <c r="AN458" s="13">
        <f t="shared" si="276"/>
        <v>0</v>
      </c>
      <c r="AO458" s="56">
        <f t="shared" si="277"/>
        <v>0</v>
      </c>
      <c r="AP458" s="51">
        <f t="shared" si="278"/>
        <v>0</v>
      </c>
      <c r="AQ458" s="13">
        <f t="shared" si="279"/>
        <v>0</v>
      </c>
      <c r="AR458" s="56">
        <f t="shared" si="280"/>
        <v>0</v>
      </c>
      <c r="AS458" s="51">
        <f t="shared" si="281"/>
        <v>82</v>
      </c>
      <c r="AT458" s="13">
        <f t="shared" si="282"/>
        <v>0</v>
      </c>
      <c r="AU458" s="56">
        <f t="shared" si="283"/>
        <v>82</v>
      </c>
      <c r="AV458" s="13">
        <f t="shared" si="284"/>
        <v>2.7333333333333201</v>
      </c>
      <c r="AW458" s="13">
        <f t="shared" si="285"/>
        <v>0</v>
      </c>
      <c r="AX458" s="16">
        <f t="shared" si="286"/>
        <v>2.7333333333333201</v>
      </c>
    </row>
    <row r="459" spans="1:50" x14ac:dyDescent="0.25">
      <c r="A459" s="20">
        <v>4146</v>
      </c>
      <c r="B459">
        <v>7</v>
      </c>
      <c r="C459" s="23" t="s">
        <v>503</v>
      </c>
      <c r="D459" s="23">
        <v>7</v>
      </c>
      <c r="E459" s="15">
        <f>+SUMIF('GE16FEB14 Unfudged'!$A$2:$A$498, $A459, 'GE16FEB14 Unfudged'!$D$2:$D$498)</f>
        <v>60</v>
      </c>
      <c r="F459" s="15">
        <f>+SUMIF('GE16FEB14 Unfudged'!$A$2:$A$498, 'Tax Bill Summary'!$A459, 'GE16FEB14 Unfudged'!E$2:E$498)</f>
        <v>6732</v>
      </c>
      <c r="G459" s="13">
        <f>+SUMIF('GE16FEB14 Unfudged'!$A$2:$A$498, 'Tax Bill Summary'!$A459, 'GE16FEB14 Unfudged'!F$2:F$498)</f>
        <v>0</v>
      </c>
      <c r="H459" s="56">
        <f t="shared" si="254"/>
        <v>6732</v>
      </c>
      <c r="I459" s="51">
        <f>+SUMIF('GE16FEB14 Unfudged'!$A$2:$A$498, 'Tax Bill Summary'!$A459, 'GE16FEB14 Unfudged'!G$2:G$498)</f>
        <v>0</v>
      </c>
      <c r="J459" s="13">
        <f>+SUMIF('GE16FEB14 Unfudged'!$A$2:$A$498, 'Tax Bill Summary'!$A459, 'GE16FEB14 Unfudged'!H$2:H$498)</f>
        <v>0</v>
      </c>
      <c r="K459" s="56">
        <f t="shared" si="255"/>
        <v>0</v>
      </c>
      <c r="L459" s="51">
        <f>+SUMIF('GE16FEB14 Unfudged'!$A$2:$A$498, 'Tax Bill Summary'!$A459, 'GE16FEB14 Unfudged'!I$2:IF$498)</f>
        <v>0</v>
      </c>
      <c r="M459" s="13">
        <f>+SUMIF('GE16FEB14 Unfudged'!$A$2:$A$498, 'Tax Bill Summary'!$A459, 'GE16FEB14 Unfudged'!J$2:IG$498)</f>
        <v>0</v>
      </c>
      <c r="N459" s="56">
        <f t="shared" si="256"/>
        <v>0</v>
      </c>
      <c r="O459" s="51">
        <f t="shared" si="257"/>
        <v>6732</v>
      </c>
      <c r="P459" s="13">
        <f t="shared" si="258"/>
        <v>0</v>
      </c>
      <c r="Q459" s="56">
        <f t="shared" si="259"/>
        <v>6732</v>
      </c>
      <c r="R459" s="13">
        <f t="shared" si="260"/>
        <v>112.2</v>
      </c>
      <c r="S459" s="13">
        <f t="shared" si="261"/>
        <v>0</v>
      </c>
      <c r="T459" s="16">
        <f t="shared" si="262"/>
        <v>112.2</v>
      </c>
      <c r="U459" s="15">
        <f>+SUMIF('GE16FEB14 Tax Bill Unfudged'!$A$2:$A$498, 'Tax Bill Summary'!$A459, 'GE16FEB14 Tax Bill Unfudged'!E$2:E$498)</f>
        <v>6897</v>
      </c>
      <c r="V459" s="13">
        <f>+SUMIF('GE16FEB14 Tax Bill Unfudged'!$A$2:$A$498, 'Tax Bill Summary'!$A459, 'GE16FEB14 Tax Bill Unfudged'!F$2:F$498)</f>
        <v>0</v>
      </c>
      <c r="W459" s="56">
        <f t="shared" si="263"/>
        <v>6897</v>
      </c>
      <c r="X459" s="51">
        <f>+SUMIF('GE16FEB14 Tax Bill Unfudged'!$A$2:$A$498, 'Tax Bill Summary'!$A459, 'GE16FEB14 Tax Bill Unfudged'!G$2:G$498)</f>
        <v>0</v>
      </c>
      <c r="Y459" s="13">
        <f>+SUMIF('GE16FEB14 Tax Bill Unfudged'!$A$2:$A$498, 'Tax Bill Summary'!$A459, 'GE16FEB14 Tax Bill Unfudged'!H$2:H$498)</f>
        <v>0</v>
      </c>
      <c r="Z459" s="56">
        <f t="shared" si="264"/>
        <v>0</v>
      </c>
      <c r="AA459" s="51">
        <f>+SUMIF('GE16FEB14 Tax Bill Unfudged'!$A$2:$A$498, 'Tax Bill Summary'!$A459, 'GE16FEB14 Tax Bill Unfudged'!I$2:I$498)</f>
        <v>0</v>
      </c>
      <c r="AB459" s="13">
        <f>+SUMIF('GE16FEB14 Tax Bill Unfudged'!$A$2:$A$498, 'Tax Bill Summary'!$A459, 'GE16FEB14 Tax Bill Unfudged'!J$2:J$498)</f>
        <v>0</v>
      </c>
      <c r="AC459" s="56">
        <f t="shared" si="265"/>
        <v>0</v>
      </c>
      <c r="AD459" s="51">
        <f t="shared" si="266"/>
        <v>6897</v>
      </c>
      <c r="AE459" s="13">
        <f t="shared" si="267"/>
        <v>0</v>
      </c>
      <c r="AF459" s="56">
        <f t="shared" si="268"/>
        <v>6897</v>
      </c>
      <c r="AG459" s="13">
        <f t="shared" si="269"/>
        <v>114.95</v>
      </c>
      <c r="AH459" s="13">
        <f t="shared" si="270"/>
        <v>0</v>
      </c>
      <c r="AI459" s="16">
        <f t="shared" si="271"/>
        <v>114.95</v>
      </c>
      <c r="AJ459" s="15">
        <f t="shared" si="272"/>
        <v>165</v>
      </c>
      <c r="AK459" s="13">
        <f t="shared" si="273"/>
        <v>0</v>
      </c>
      <c r="AL459" s="56">
        <f t="shared" si="274"/>
        <v>165</v>
      </c>
      <c r="AM459" s="51">
        <f t="shared" si="275"/>
        <v>0</v>
      </c>
      <c r="AN459" s="13">
        <f t="shared" si="276"/>
        <v>0</v>
      </c>
      <c r="AO459" s="56">
        <f t="shared" si="277"/>
        <v>0</v>
      </c>
      <c r="AP459" s="51">
        <f t="shared" si="278"/>
        <v>0</v>
      </c>
      <c r="AQ459" s="13">
        <f t="shared" si="279"/>
        <v>0</v>
      </c>
      <c r="AR459" s="56">
        <f t="shared" si="280"/>
        <v>0</v>
      </c>
      <c r="AS459" s="51">
        <f t="shared" si="281"/>
        <v>165</v>
      </c>
      <c r="AT459" s="13">
        <f t="shared" si="282"/>
        <v>0</v>
      </c>
      <c r="AU459" s="56">
        <f t="shared" si="283"/>
        <v>165</v>
      </c>
      <c r="AV459" s="13">
        <f t="shared" si="284"/>
        <v>2.75</v>
      </c>
      <c r="AW459" s="13">
        <f t="shared" si="285"/>
        <v>0</v>
      </c>
      <c r="AX459" s="16">
        <f t="shared" si="286"/>
        <v>2.75</v>
      </c>
    </row>
    <row r="460" spans="1:50" x14ac:dyDescent="0.25">
      <c r="A460" s="20">
        <v>4150</v>
      </c>
      <c r="B460">
        <v>7</v>
      </c>
      <c r="C460" s="23" t="s">
        <v>82</v>
      </c>
      <c r="D460" s="23">
        <v>7</v>
      </c>
      <c r="E460" s="15">
        <f>+SUMIF('GE16FEB14 Unfudged'!$A$2:$A$498, $A460, 'GE16FEB14 Unfudged'!$D$2:$D$498)</f>
        <v>142</v>
      </c>
      <c r="F460" s="15">
        <f>+SUMIF('GE16FEB14 Unfudged'!$A$2:$A$498, 'Tax Bill Summary'!$A460, 'GE16FEB14 Unfudged'!E$2:E$498)</f>
        <v>15940</v>
      </c>
      <c r="G460" s="13">
        <f>+SUMIF('GE16FEB14 Unfudged'!$A$2:$A$498, 'Tax Bill Summary'!$A460, 'GE16FEB14 Unfudged'!F$2:F$498)</f>
        <v>0</v>
      </c>
      <c r="H460" s="56">
        <f t="shared" si="254"/>
        <v>15940</v>
      </c>
      <c r="I460" s="51">
        <f>+SUMIF('GE16FEB14 Unfudged'!$A$2:$A$498, 'Tax Bill Summary'!$A460, 'GE16FEB14 Unfudged'!G$2:G$498)</f>
        <v>0</v>
      </c>
      <c r="J460" s="13">
        <f>+SUMIF('GE16FEB14 Unfudged'!$A$2:$A$498, 'Tax Bill Summary'!$A460, 'GE16FEB14 Unfudged'!H$2:H$498)</f>
        <v>0</v>
      </c>
      <c r="K460" s="56">
        <f t="shared" si="255"/>
        <v>0</v>
      </c>
      <c r="L460" s="51">
        <f>+SUMIF('GE16FEB14 Unfudged'!$A$2:$A$498, 'Tax Bill Summary'!$A460, 'GE16FEB14 Unfudged'!I$2:IF$498)</f>
        <v>0</v>
      </c>
      <c r="M460" s="13">
        <f>+SUMIF('GE16FEB14 Unfudged'!$A$2:$A$498, 'Tax Bill Summary'!$A460, 'GE16FEB14 Unfudged'!J$2:IG$498)</f>
        <v>0</v>
      </c>
      <c r="N460" s="56">
        <f t="shared" si="256"/>
        <v>0</v>
      </c>
      <c r="O460" s="51">
        <f t="shared" si="257"/>
        <v>15940</v>
      </c>
      <c r="P460" s="13">
        <f t="shared" si="258"/>
        <v>0</v>
      </c>
      <c r="Q460" s="56">
        <f t="shared" si="259"/>
        <v>15940</v>
      </c>
      <c r="R460" s="13">
        <f t="shared" si="260"/>
        <v>112.25352112676056</v>
      </c>
      <c r="S460" s="13">
        <f t="shared" si="261"/>
        <v>0</v>
      </c>
      <c r="T460" s="16">
        <f t="shared" si="262"/>
        <v>112.25352112676056</v>
      </c>
      <c r="U460" s="15">
        <f>+SUMIF('GE16FEB14 Tax Bill Unfudged'!$A$2:$A$498, 'Tax Bill Summary'!$A460, 'GE16FEB14 Tax Bill Unfudged'!E$2:E$498)</f>
        <v>16330</v>
      </c>
      <c r="V460" s="13">
        <f>+SUMIF('GE16FEB14 Tax Bill Unfudged'!$A$2:$A$498, 'Tax Bill Summary'!$A460, 'GE16FEB14 Tax Bill Unfudged'!F$2:F$498)</f>
        <v>0</v>
      </c>
      <c r="W460" s="56">
        <f t="shared" si="263"/>
        <v>16330</v>
      </c>
      <c r="X460" s="51">
        <f>+SUMIF('GE16FEB14 Tax Bill Unfudged'!$A$2:$A$498, 'Tax Bill Summary'!$A460, 'GE16FEB14 Tax Bill Unfudged'!G$2:G$498)</f>
        <v>0</v>
      </c>
      <c r="Y460" s="13">
        <f>+SUMIF('GE16FEB14 Tax Bill Unfudged'!$A$2:$A$498, 'Tax Bill Summary'!$A460, 'GE16FEB14 Tax Bill Unfudged'!H$2:H$498)</f>
        <v>0</v>
      </c>
      <c r="Z460" s="56">
        <f t="shared" si="264"/>
        <v>0</v>
      </c>
      <c r="AA460" s="51">
        <f>+SUMIF('GE16FEB14 Tax Bill Unfudged'!$A$2:$A$498, 'Tax Bill Summary'!$A460, 'GE16FEB14 Tax Bill Unfudged'!I$2:I$498)</f>
        <v>0</v>
      </c>
      <c r="AB460" s="13">
        <f>+SUMIF('GE16FEB14 Tax Bill Unfudged'!$A$2:$A$498, 'Tax Bill Summary'!$A460, 'GE16FEB14 Tax Bill Unfudged'!J$2:J$498)</f>
        <v>0</v>
      </c>
      <c r="AC460" s="56">
        <f t="shared" si="265"/>
        <v>0</v>
      </c>
      <c r="AD460" s="51">
        <f t="shared" si="266"/>
        <v>16330</v>
      </c>
      <c r="AE460" s="13">
        <f t="shared" si="267"/>
        <v>0</v>
      </c>
      <c r="AF460" s="56">
        <f t="shared" si="268"/>
        <v>16330</v>
      </c>
      <c r="AG460" s="13">
        <f t="shared" si="269"/>
        <v>115</v>
      </c>
      <c r="AH460" s="13">
        <f t="shared" si="270"/>
        <v>0</v>
      </c>
      <c r="AI460" s="16">
        <f t="shared" si="271"/>
        <v>115</v>
      </c>
      <c r="AJ460" s="15">
        <f t="shared" si="272"/>
        <v>390</v>
      </c>
      <c r="AK460" s="13">
        <f t="shared" si="273"/>
        <v>0</v>
      </c>
      <c r="AL460" s="56">
        <f t="shared" si="274"/>
        <v>390</v>
      </c>
      <c r="AM460" s="51">
        <f t="shared" si="275"/>
        <v>0</v>
      </c>
      <c r="AN460" s="13">
        <f t="shared" si="276"/>
        <v>0</v>
      </c>
      <c r="AO460" s="56">
        <f t="shared" si="277"/>
        <v>0</v>
      </c>
      <c r="AP460" s="51">
        <f t="shared" si="278"/>
        <v>0</v>
      </c>
      <c r="AQ460" s="13">
        <f t="shared" si="279"/>
        <v>0</v>
      </c>
      <c r="AR460" s="56">
        <f t="shared" si="280"/>
        <v>0</v>
      </c>
      <c r="AS460" s="51">
        <f t="shared" si="281"/>
        <v>390</v>
      </c>
      <c r="AT460" s="13">
        <f t="shared" si="282"/>
        <v>0</v>
      </c>
      <c r="AU460" s="56">
        <f t="shared" si="283"/>
        <v>390</v>
      </c>
      <c r="AV460" s="13">
        <f t="shared" si="284"/>
        <v>2.7464788732394396</v>
      </c>
      <c r="AW460" s="13">
        <f t="shared" si="285"/>
        <v>0</v>
      </c>
      <c r="AX460" s="16">
        <f t="shared" si="286"/>
        <v>2.7464788732394396</v>
      </c>
    </row>
    <row r="461" spans="1:50" x14ac:dyDescent="0.25">
      <c r="A461" s="20">
        <v>4151</v>
      </c>
      <c r="B461">
        <v>7</v>
      </c>
      <c r="C461" s="23" t="s">
        <v>83</v>
      </c>
      <c r="D461" s="23">
        <v>7</v>
      </c>
      <c r="E461" s="15">
        <f>+SUMIF('GE16FEB14 Unfudged'!$A$2:$A$498, $A461, 'GE16FEB14 Unfudged'!$D$2:$D$498)</f>
        <v>121</v>
      </c>
      <c r="F461" s="15">
        <f>+SUMIF('GE16FEB14 Unfudged'!$A$2:$A$498, 'Tax Bill Summary'!$A461, 'GE16FEB14 Unfudged'!E$2:E$498)</f>
        <v>13643</v>
      </c>
      <c r="G461" s="13">
        <f>+SUMIF('GE16FEB14 Unfudged'!$A$2:$A$498, 'Tax Bill Summary'!$A461, 'GE16FEB14 Unfudged'!F$2:F$498)</f>
        <v>0</v>
      </c>
      <c r="H461" s="56">
        <f t="shared" si="254"/>
        <v>13643</v>
      </c>
      <c r="I461" s="51">
        <f>+SUMIF('GE16FEB14 Unfudged'!$A$2:$A$498, 'Tax Bill Summary'!$A461, 'GE16FEB14 Unfudged'!G$2:G$498)</f>
        <v>0</v>
      </c>
      <c r="J461" s="13">
        <f>+SUMIF('GE16FEB14 Unfudged'!$A$2:$A$498, 'Tax Bill Summary'!$A461, 'GE16FEB14 Unfudged'!H$2:H$498)</f>
        <v>0</v>
      </c>
      <c r="K461" s="56">
        <f t="shared" si="255"/>
        <v>0</v>
      </c>
      <c r="L461" s="51">
        <f>+SUMIF('GE16FEB14 Unfudged'!$A$2:$A$498, 'Tax Bill Summary'!$A461, 'GE16FEB14 Unfudged'!I$2:IF$498)</f>
        <v>0</v>
      </c>
      <c r="M461" s="13">
        <f>+SUMIF('GE16FEB14 Unfudged'!$A$2:$A$498, 'Tax Bill Summary'!$A461, 'GE16FEB14 Unfudged'!J$2:IG$498)</f>
        <v>0</v>
      </c>
      <c r="N461" s="56">
        <f t="shared" si="256"/>
        <v>0</v>
      </c>
      <c r="O461" s="51">
        <f t="shared" si="257"/>
        <v>13643</v>
      </c>
      <c r="P461" s="13">
        <f t="shared" si="258"/>
        <v>0</v>
      </c>
      <c r="Q461" s="56">
        <f t="shared" si="259"/>
        <v>13643</v>
      </c>
      <c r="R461" s="13">
        <f t="shared" si="260"/>
        <v>112.75206611570248</v>
      </c>
      <c r="S461" s="13">
        <f t="shared" si="261"/>
        <v>0</v>
      </c>
      <c r="T461" s="16">
        <f t="shared" si="262"/>
        <v>112.75206611570248</v>
      </c>
      <c r="U461" s="15">
        <f>+SUMIF('GE16FEB14 Tax Bill Unfudged'!$A$2:$A$498, 'Tax Bill Summary'!$A461, 'GE16FEB14 Tax Bill Unfudged'!E$2:E$498)</f>
        <v>13978</v>
      </c>
      <c r="V461" s="13">
        <f>+SUMIF('GE16FEB14 Tax Bill Unfudged'!$A$2:$A$498, 'Tax Bill Summary'!$A461, 'GE16FEB14 Tax Bill Unfudged'!F$2:F$498)</f>
        <v>0</v>
      </c>
      <c r="W461" s="56">
        <f t="shared" si="263"/>
        <v>13978</v>
      </c>
      <c r="X461" s="51">
        <f>+SUMIF('GE16FEB14 Tax Bill Unfudged'!$A$2:$A$498, 'Tax Bill Summary'!$A461, 'GE16FEB14 Tax Bill Unfudged'!G$2:G$498)</f>
        <v>0</v>
      </c>
      <c r="Y461" s="13">
        <f>+SUMIF('GE16FEB14 Tax Bill Unfudged'!$A$2:$A$498, 'Tax Bill Summary'!$A461, 'GE16FEB14 Tax Bill Unfudged'!H$2:H$498)</f>
        <v>0</v>
      </c>
      <c r="Z461" s="56">
        <f t="shared" si="264"/>
        <v>0</v>
      </c>
      <c r="AA461" s="51">
        <f>+SUMIF('GE16FEB14 Tax Bill Unfudged'!$A$2:$A$498, 'Tax Bill Summary'!$A461, 'GE16FEB14 Tax Bill Unfudged'!I$2:I$498)</f>
        <v>0</v>
      </c>
      <c r="AB461" s="13">
        <f>+SUMIF('GE16FEB14 Tax Bill Unfudged'!$A$2:$A$498, 'Tax Bill Summary'!$A461, 'GE16FEB14 Tax Bill Unfudged'!J$2:J$498)</f>
        <v>0</v>
      </c>
      <c r="AC461" s="56">
        <f t="shared" si="265"/>
        <v>0</v>
      </c>
      <c r="AD461" s="51">
        <f t="shared" si="266"/>
        <v>13978</v>
      </c>
      <c r="AE461" s="13">
        <f t="shared" si="267"/>
        <v>0</v>
      </c>
      <c r="AF461" s="56">
        <f t="shared" si="268"/>
        <v>13978</v>
      </c>
      <c r="AG461" s="13">
        <f t="shared" si="269"/>
        <v>115.52066115702479</v>
      </c>
      <c r="AH461" s="13">
        <f t="shared" si="270"/>
        <v>0</v>
      </c>
      <c r="AI461" s="16">
        <f t="shared" si="271"/>
        <v>115.52066115702479</v>
      </c>
      <c r="AJ461" s="15">
        <f t="shared" si="272"/>
        <v>335</v>
      </c>
      <c r="AK461" s="13">
        <f t="shared" si="273"/>
        <v>0</v>
      </c>
      <c r="AL461" s="56">
        <f t="shared" si="274"/>
        <v>335</v>
      </c>
      <c r="AM461" s="51">
        <f t="shared" si="275"/>
        <v>0</v>
      </c>
      <c r="AN461" s="13">
        <f t="shared" si="276"/>
        <v>0</v>
      </c>
      <c r="AO461" s="56">
        <f t="shared" si="277"/>
        <v>0</v>
      </c>
      <c r="AP461" s="51">
        <f t="shared" si="278"/>
        <v>0</v>
      </c>
      <c r="AQ461" s="13">
        <f t="shared" si="279"/>
        <v>0</v>
      </c>
      <c r="AR461" s="56">
        <f t="shared" si="280"/>
        <v>0</v>
      </c>
      <c r="AS461" s="51">
        <f t="shared" si="281"/>
        <v>335</v>
      </c>
      <c r="AT461" s="13">
        <f t="shared" si="282"/>
        <v>0</v>
      </c>
      <c r="AU461" s="56">
        <f t="shared" si="283"/>
        <v>335</v>
      </c>
      <c r="AV461" s="13">
        <f t="shared" si="284"/>
        <v>2.7685950413223139</v>
      </c>
      <c r="AW461" s="13">
        <f t="shared" si="285"/>
        <v>0</v>
      </c>
      <c r="AX461" s="16">
        <f t="shared" si="286"/>
        <v>2.7685950413223139</v>
      </c>
    </row>
    <row r="462" spans="1:50" x14ac:dyDescent="0.25">
      <c r="A462" s="20">
        <v>4152</v>
      </c>
      <c r="B462">
        <v>7</v>
      </c>
      <c r="C462" s="23" t="s">
        <v>504</v>
      </c>
      <c r="D462" s="23">
        <v>7</v>
      </c>
      <c r="E462" s="15">
        <f>+SUMIF('GE16FEB14 Unfudged'!$A$2:$A$498, $A462, 'GE16FEB14 Unfudged'!$D$2:$D$498)</f>
        <v>420</v>
      </c>
      <c r="F462" s="15">
        <f>+SUMIF('GE16FEB14 Unfudged'!$A$2:$A$498, 'Tax Bill Summary'!$A462, 'GE16FEB14 Unfudged'!E$2:E$498)</f>
        <v>47278</v>
      </c>
      <c r="G462" s="13">
        <f>+SUMIF('GE16FEB14 Unfudged'!$A$2:$A$498, 'Tax Bill Summary'!$A462, 'GE16FEB14 Unfudged'!F$2:F$498)</f>
        <v>0</v>
      </c>
      <c r="H462" s="56">
        <f t="shared" si="254"/>
        <v>47278</v>
      </c>
      <c r="I462" s="51">
        <f>+SUMIF('GE16FEB14 Unfudged'!$A$2:$A$498, 'Tax Bill Summary'!$A462, 'GE16FEB14 Unfudged'!G$2:G$498)</f>
        <v>0</v>
      </c>
      <c r="J462" s="13">
        <f>+SUMIF('GE16FEB14 Unfudged'!$A$2:$A$498, 'Tax Bill Summary'!$A462, 'GE16FEB14 Unfudged'!H$2:H$498)</f>
        <v>0</v>
      </c>
      <c r="K462" s="56">
        <f t="shared" si="255"/>
        <v>0</v>
      </c>
      <c r="L462" s="51">
        <f>+SUMIF('GE16FEB14 Unfudged'!$A$2:$A$498, 'Tax Bill Summary'!$A462, 'GE16FEB14 Unfudged'!I$2:IF$498)</f>
        <v>0</v>
      </c>
      <c r="M462" s="13">
        <f>+SUMIF('GE16FEB14 Unfudged'!$A$2:$A$498, 'Tax Bill Summary'!$A462, 'GE16FEB14 Unfudged'!J$2:IG$498)</f>
        <v>0</v>
      </c>
      <c r="N462" s="56">
        <f t="shared" si="256"/>
        <v>0</v>
      </c>
      <c r="O462" s="51">
        <f t="shared" si="257"/>
        <v>47278</v>
      </c>
      <c r="P462" s="13">
        <f t="shared" si="258"/>
        <v>0</v>
      </c>
      <c r="Q462" s="56">
        <f t="shared" si="259"/>
        <v>47278</v>
      </c>
      <c r="R462" s="13">
        <f t="shared" si="260"/>
        <v>112.56666666666666</v>
      </c>
      <c r="S462" s="13">
        <f t="shared" si="261"/>
        <v>0</v>
      </c>
      <c r="T462" s="16">
        <f t="shared" si="262"/>
        <v>112.56666666666666</v>
      </c>
      <c r="U462" s="15">
        <f>+SUMIF('GE16FEB14 Tax Bill Unfudged'!$A$2:$A$498, 'Tax Bill Summary'!$A462, 'GE16FEB14 Tax Bill Unfudged'!E$2:E$498)</f>
        <v>48438</v>
      </c>
      <c r="V462" s="13">
        <f>+SUMIF('GE16FEB14 Tax Bill Unfudged'!$A$2:$A$498, 'Tax Bill Summary'!$A462, 'GE16FEB14 Tax Bill Unfudged'!F$2:F$498)</f>
        <v>0</v>
      </c>
      <c r="W462" s="56">
        <f t="shared" si="263"/>
        <v>48438</v>
      </c>
      <c r="X462" s="51">
        <f>+SUMIF('GE16FEB14 Tax Bill Unfudged'!$A$2:$A$498, 'Tax Bill Summary'!$A462, 'GE16FEB14 Tax Bill Unfudged'!G$2:G$498)</f>
        <v>0</v>
      </c>
      <c r="Y462" s="13">
        <f>+SUMIF('GE16FEB14 Tax Bill Unfudged'!$A$2:$A$498, 'Tax Bill Summary'!$A462, 'GE16FEB14 Tax Bill Unfudged'!H$2:H$498)</f>
        <v>0</v>
      </c>
      <c r="Z462" s="56">
        <f t="shared" si="264"/>
        <v>0</v>
      </c>
      <c r="AA462" s="51">
        <f>+SUMIF('GE16FEB14 Tax Bill Unfudged'!$A$2:$A$498, 'Tax Bill Summary'!$A462, 'GE16FEB14 Tax Bill Unfudged'!I$2:I$498)</f>
        <v>0</v>
      </c>
      <c r="AB462" s="13">
        <f>+SUMIF('GE16FEB14 Tax Bill Unfudged'!$A$2:$A$498, 'Tax Bill Summary'!$A462, 'GE16FEB14 Tax Bill Unfudged'!J$2:J$498)</f>
        <v>0</v>
      </c>
      <c r="AC462" s="56">
        <f t="shared" si="265"/>
        <v>0</v>
      </c>
      <c r="AD462" s="51">
        <f t="shared" si="266"/>
        <v>48438</v>
      </c>
      <c r="AE462" s="13">
        <f t="shared" si="267"/>
        <v>0</v>
      </c>
      <c r="AF462" s="56">
        <f t="shared" si="268"/>
        <v>48438</v>
      </c>
      <c r="AG462" s="13">
        <f t="shared" si="269"/>
        <v>115.32857142857142</v>
      </c>
      <c r="AH462" s="13">
        <f t="shared" si="270"/>
        <v>0</v>
      </c>
      <c r="AI462" s="16">
        <f t="shared" si="271"/>
        <v>115.32857142857142</v>
      </c>
      <c r="AJ462" s="15">
        <f t="shared" si="272"/>
        <v>1160</v>
      </c>
      <c r="AK462" s="13">
        <f t="shared" si="273"/>
        <v>0</v>
      </c>
      <c r="AL462" s="56">
        <f t="shared" si="274"/>
        <v>1160</v>
      </c>
      <c r="AM462" s="51">
        <f t="shared" si="275"/>
        <v>0</v>
      </c>
      <c r="AN462" s="13">
        <f t="shared" si="276"/>
        <v>0</v>
      </c>
      <c r="AO462" s="56">
        <f t="shared" si="277"/>
        <v>0</v>
      </c>
      <c r="AP462" s="51">
        <f t="shared" si="278"/>
        <v>0</v>
      </c>
      <c r="AQ462" s="13">
        <f t="shared" si="279"/>
        <v>0</v>
      </c>
      <c r="AR462" s="56">
        <f t="shared" si="280"/>
        <v>0</v>
      </c>
      <c r="AS462" s="51">
        <f t="shared" si="281"/>
        <v>1160</v>
      </c>
      <c r="AT462" s="13">
        <f t="shared" si="282"/>
        <v>0</v>
      </c>
      <c r="AU462" s="56">
        <f t="shared" si="283"/>
        <v>1160</v>
      </c>
      <c r="AV462" s="13">
        <f t="shared" si="284"/>
        <v>2.7619047619047592</v>
      </c>
      <c r="AW462" s="13">
        <f t="shared" si="285"/>
        <v>0</v>
      </c>
      <c r="AX462" s="16">
        <f t="shared" si="286"/>
        <v>2.7619047619047592</v>
      </c>
    </row>
    <row r="463" spans="1:50" x14ac:dyDescent="0.25">
      <c r="A463" s="20">
        <v>4153</v>
      </c>
      <c r="B463">
        <v>7</v>
      </c>
      <c r="C463" s="23" t="s">
        <v>84</v>
      </c>
      <c r="D463" s="23">
        <v>7</v>
      </c>
      <c r="E463" s="15">
        <f>+SUMIF('GE16FEB14 Unfudged'!$A$2:$A$498, $A463, 'GE16FEB14 Unfudged'!$D$2:$D$498)</f>
        <v>416</v>
      </c>
      <c r="F463" s="15">
        <f>+SUMIF('GE16FEB14 Unfudged'!$A$2:$A$498, 'Tax Bill Summary'!$A463, 'GE16FEB14 Unfudged'!E$2:E$498)</f>
        <v>46806</v>
      </c>
      <c r="G463" s="13">
        <f>+SUMIF('GE16FEB14 Unfudged'!$A$2:$A$498, 'Tax Bill Summary'!$A463, 'GE16FEB14 Unfudged'!F$2:F$498)</f>
        <v>0</v>
      </c>
      <c r="H463" s="56">
        <f t="shared" si="254"/>
        <v>46806</v>
      </c>
      <c r="I463" s="51">
        <f>+SUMIF('GE16FEB14 Unfudged'!$A$2:$A$498, 'Tax Bill Summary'!$A463, 'GE16FEB14 Unfudged'!G$2:G$498)</f>
        <v>0</v>
      </c>
      <c r="J463" s="13">
        <f>+SUMIF('GE16FEB14 Unfudged'!$A$2:$A$498, 'Tax Bill Summary'!$A463, 'GE16FEB14 Unfudged'!H$2:H$498)</f>
        <v>0</v>
      </c>
      <c r="K463" s="56">
        <f t="shared" si="255"/>
        <v>0</v>
      </c>
      <c r="L463" s="51">
        <f>+SUMIF('GE16FEB14 Unfudged'!$A$2:$A$498, 'Tax Bill Summary'!$A463, 'GE16FEB14 Unfudged'!I$2:IF$498)</f>
        <v>0</v>
      </c>
      <c r="M463" s="13">
        <f>+SUMIF('GE16FEB14 Unfudged'!$A$2:$A$498, 'Tax Bill Summary'!$A463, 'GE16FEB14 Unfudged'!J$2:IG$498)</f>
        <v>0</v>
      </c>
      <c r="N463" s="56">
        <f t="shared" si="256"/>
        <v>0</v>
      </c>
      <c r="O463" s="51">
        <f t="shared" si="257"/>
        <v>46806</v>
      </c>
      <c r="P463" s="13">
        <f t="shared" si="258"/>
        <v>0</v>
      </c>
      <c r="Q463" s="56">
        <f t="shared" si="259"/>
        <v>46806</v>
      </c>
      <c r="R463" s="13">
        <f t="shared" si="260"/>
        <v>112.51442307692308</v>
      </c>
      <c r="S463" s="13">
        <f t="shared" si="261"/>
        <v>0</v>
      </c>
      <c r="T463" s="16">
        <f t="shared" si="262"/>
        <v>112.51442307692308</v>
      </c>
      <c r="U463" s="15">
        <f>+SUMIF('GE16FEB14 Tax Bill Unfudged'!$A$2:$A$498, 'Tax Bill Summary'!$A463, 'GE16FEB14 Tax Bill Unfudged'!E$2:E$498)</f>
        <v>47953</v>
      </c>
      <c r="V463" s="13">
        <f>+SUMIF('GE16FEB14 Tax Bill Unfudged'!$A$2:$A$498, 'Tax Bill Summary'!$A463, 'GE16FEB14 Tax Bill Unfudged'!F$2:F$498)</f>
        <v>0</v>
      </c>
      <c r="W463" s="56">
        <f t="shared" si="263"/>
        <v>47953</v>
      </c>
      <c r="X463" s="51">
        <f>+SUMIF('GE16FEB14 Tax Bill Unfudged'!$A$2:$A$498, 'Tax Bill Summary'!$A463, 'GE16FEB14 Tax Bill Unfudged'!G$2:G$498)</f>
        <v>0</v>
      </c>
      <c r="Y463" s="13">
        <f>+SUMIF('GE16FEB14 Tax Bill Unfudged'!$A$2:$A$498, 'Tax Bill Summary'!$A463, 'GE16FEB14 Tax Bill Unfudged'!H$2:H$498)</f>
        <v>0</v>
      </c>
      <c r="Z463" s="56">
        <f t="shared" si="264"/>
        <v>0</v>
      </c>
      <c r="AA463" s="51">
        <f>+SUMIF('GE16FEB14 Tax Bill Unfudged'!$A$2:$A$498, 'Tax Bill Summary'!$A463, 'GE16FEB14 Tax Bill Unfudged'!I$2:I$498)</f>
        <v>0</v>
      </c>
      <c r="AB463" s="13">
        <f>+SUMIF('GE16FEB14 Tax Bill Unfudged'!$A$2:$A$498, 'Tax Bill Summary'!$A463, 'GE16FEB14 Tax Bill Unfudged'!J$2:J$498)</f>
        <v>0</v>
      </c>
      <c r="AC463" s="56">
        <f t="shared" si="265"/>
        <v>0</v>
      </c>
      <c r="AD463" s="51">
        <f t="shared" si="266"/>
        <v>47953</v>
      </c>
      <c r="AE463" s="13">
        <f t="shared" si="267"/>
        <v>0</v>
      </c>
      <c r="AF463" s="56">
        <f t="shared" si="268"/>
        <v>47953</v>
      </c>
      <c r="AG463" s="13">
        <f t="shared" si="269"/>
        <v>115.27163461538461</v>
      </c>
      <c r="AH463" s="13">
        <f t="shared" si="270"/>
        <v>0</v>
      </c>
      <c r="AI463" s="16">
        <f t="shared" si="271"/>
        <v>115.27163461538461</v>
      </c>
      <c r="AJ463" s="15">
        <f t="shared" si="272"/>
        <v>1147</v>
      </c>
      <c r="AK463" s="13">
        <f t="shared" si="273"/>
        <v>0</v>
      </c>
      <c r="AL463" s="56">
        <f t="shared" si="274"/>
        <v>1147</v>
      </c>
      <c r="AM463" s="51">
        <f t="shared" si="275"/>
        <v>0</v>
      </c>
      <c r="AN463" s="13">
        <f t="shared" si="276"/>
        <v>0</v>
      </c>
      <c r="AO463" s="56">
        <f t="shared" si="277"/>
        <v>0</v>
      </c>
      <c r="AP463" s="51">
        <f t="shared" si="278"/>
        <v>0</v>
      </c>
      <c r="AQ463" s="13">
        <f t="shared" si="279"/>
        <v>0</v>
      </c>
      <c r="AR463" s="56">
        <f t="shared" si="280"/>
        <v>0</v>
      </c>
      <c r="AS463" s="51">
        <f t="shared" si="281"/>
        <v>1147</v>
      </c>
      <c r="AT463" s="13">
        <f t="shared" si="282"/>
        <v>0</v>
      </c>
      <c r="AU463" s="56">
        <f t="shared" si="283"/>
        <v>1147</v>
      </c>
      <c r="AV463" s="13">
        <f t="shared" si="284"/>
        <v>2.757211538461533</v>
      </c>
      <c r="AW463" s="13">
        <f t="shared" si="285"/>
        <v>0</v>
      </c>
      <c r="AX463" s="16">
        <f t="shared" si="286"/>
        <v>2.757211538461533</v>
      </c>
    </row>
    <row r="464" spans="1:50" x14ac:dyDescent="0.25">
      <c r="A464" s="20">
        <v>4155</v>
      </c>
      <c r="B464">
        <v>7</v>
      </c>
      <c r="C464" s="23" t="s">
        <v>505</v>
      </c>
      <c r="D464" s="23">
        <v>7</v>
      </c>
      <c r="E464" s="15">
        <f>+SUMIF('GE16FEB14 Unfudged'!$A$2:$A$498, $A464, 'GE16FEB14 Unfudged'!$D$2:$D$498)</f>
        <v>135</v>
      </c>
      <c r="F464" s="15">
        <f>+SUMIF('GE16FEB14 Unfudged'!$A$2:$A$498, 'Tax Bill Summary'!$A464, 'GE16FEB14 Unfudged'!E$2:E$498)</f>
        <v>15197</v>
      </c>
      <c r="G464" s="13">
        <f>+SUMIF('GE16FEB14 Unfudged'!$A$2:$A$498, 'Tax Bill Summary'!$A464, 'GE16FEB14 Unfudged'!F$2:F$498)</f>
        <v>0</v>
      </c>
      <c r="H464" s="56">
        <f t="shared" si="254"/>
        <v>15197</v>
      </c>
      <c r="I464" s="51">
        <f>+SUMIF('GE16FEB14 Unfudged'!$A$2:$A$498, 'Tax Bill Summary'!$A464, 'GE16FEB14 Unfudged'!G$2:G$498)</f>
        <v>0</v>
      </c>
      <c r="J464" s="13">
        <f>+SUMIF('GE16FEB14 Unfudged'!$A$2:$A$498, 'Tax Bill Summary'!$A464, 'GE16FEB14 Unfudged'!H$2:H$498)</f>
        <v>0</v>
      </c>
      <c r="K464" s="56">
        <f t="shared" si="255"/>
        <v>0</v>
      </c>
      <c r="L464" s="51">
        <f>+SUMIF('GE16FEB14 Unfudged'!$A$2:$A$498, 'Tax Bill Summary'!$A464, 'GE16FEB14 Unfudged'!I$2:IF$498)</f>
        <v>0</v>
      </c>
      <c r="M464" s="13">
        <f>+SUMIF('GE16FEB14 Unfudged'!$A$2:$A$498, 'Tax Bill Summary'!$A464, 'GE16FEB14 Unfudged'!J$2:IG$498)</f>
        <v>0</v>
      </c>
      <c r="N464" s="56">
        <f t="shared" si="256"/>
        <v>0</v>
      </c>
      <c r="O464" s="51">
        <f t="shared" si="257"/>
        <v>15197</v>
      </c>
      <c r="P464" s="13">
        <f t="shared" si="258"/>
        <v>0</v>
      </c>
      <c r="Q464" s="56">
        <f t="shared" si="259"/>
        <v>15197</v>
      </c>
      <c r="R464" s="13">
        <f t="shared" si="260"/>
        <v>112.57037037037037</v>
      </c>
      <c r="S464" s="13">
        <f t="shared" si="261"/>
        <v>0</v>
      </c>
      <c r="T464" s="16">
        <f t="shared" si="262"/>
        <v>112.57037037037037</v>
      </c>
      <c r="U464" s="15">
        <f>+SUMIF('GE16FEB14 Tax Bill Unfudged'!$A$2:$A$498, 'Tax Bill Summary'!$A464, 'GE16FEB14 Tax Bill Unfudged'!E$2:E$498)</f>
        <v>15569</v>
      </c>
      <c r="V464" s="13">
        <f>+SUMIF('GE16FEB14 Tax Bill Unfudged'!$A$2:$A$498, 'Tax Bill Summary'!$A464, 'GE16FEB14 Tax Bill Unfudged'!F$2:F$498)</f>
        <v>0</v>
      </c>
      <c r="W464" s="56">
        <f t="shared" si="263"/>
        <v>15569</v>
      </c>
      <c r="X464" s="51">
        <f>+SUMIF('GE16FEB14 Tax Bill Unfudged'!$A$2:$A$498, 'Tax Bill Summary'!$A464, 'GE16FEB14 Tax Bill Unfudged'!G$2:G$498)</f>
        <v>0</v>
      </c>
      <c r="Y464" s="13">
        <f>+SUMIF('GE16FEB14 Tax Bill Unfudged'!$A$2:$A$498, 'Tax Bill Summary'!$A464, 'GE16FEB14 Tax Bill Unfudged'!H$2:H$498)</f>
        <v>0</v>
      </c>
      <c r="Z464" s="56">
        <f t="shared" si="264"/>
        <v>0</v>
      </c>
      <c r="AA464" s="51">
        <f>+SUMIF('GE16FEB14 Tax Bill Unfudged'!$A$2:$A$498, 'Tax Bill Summary'!$A464, 'GE16FEB14 Tax Bill Unfudged'!I$2:I$498)</f>
        <v>0</v>
      </c>
      <c r="AB464" s="13">
        <f>+SUMIF('GE16FEB14 Tax Bill Unfudged'!$A$2:$A$498, 'Tax Bill Summary'!$A464, 'GE16FEB14 Tax Bill Unfudged'!J$2:J$498)</f>
        <v>0</v>
      </c>
      <c r="AC464" s="56">
        <f t="shared" si="265"/>
        <v>0</v>
      </c>
      <c r="AD464" s="51">
        <f t="shared" si="266"/>
        <v>15569</v>
      </c>
      <c r="AE464" s="13">
        <f t="shared" si="267"/>
        <v>0</v>
      </c>
      <c r="AF464" s="56">
        <f t="shared" si="268"/>
        <v>15569</v>
      </c>
      <c r="AG464" s="13">
        <f t="shared" si="269"/>
        <v>115.32592592592593</v>
      </c>
      <c r="AH464" s="13">
        <f t="shared" si="270"/>
        <v>0</v>
      </c>
      <c r="AI464" s="16">
        <f t="shared" si="271"/>
        <v>115.32592592592593</v>
      </c>
      <c r="AJ464" s="15">
        <f t="shared" si="272"/>
        <v>372</v>
      </c>
      <c r="AK464" s="13">
        <f t="shared" si="273"/>
        <v>0</v>
      </c>
      <c r="AL464" s="56">
        <f t="shared" si="274"/>
        <v>372</v>
      </c>
      <c r="AM464" s="51">
        <f t="shared" si="275"/>
        <v>0</v>
      </c>
      <c r="AN464" s="13">
        <f t="shared" si="276"/>
        <v>0</v>
      </c>
      <c r="AO464" s="56">
        <f t="shared" si="277"/>
        <v>0</v>
      </c>
      <c r="AP464" s="51">
        <f t="shared" si="278"/>
        <v>0</v>
      </c>
      <c r="AQ464" s="13">
        <f t="shared" si="279"/>
        <v>0</v>
      </c>
      <c r="AR464" s="56">
        <f t="shared" si="280"/>
        <v>0</v>
      </c>
      <c r="AS464" s="51">
        <f t="shared" si="281"/>
        <v>372</v>
      </c>
      <c r="AT464" s="13">
        <f t="shared" si="282"/>
        <v>0</v>
      </c>
      <c r="AU464" s="56">
        <f t="shared" si="283"/>
        <v>372</v>
      </c>
      <c r="AV464" s="13">
        <f t="shared" si="284"/>
        <v>2.75555555555556</v>
      </c>
      <c r="AW464" s="13">
        <f t="shared" si="285"/>
        <v>0</v>
      </c>
      <c r="AX464" s="16">
        <f t="shared" si="286"/>
        <v>2.75555555555556</v>
      </c>
    </row>
    <row r="465" spans="1:50" x14ac:dyDescent="0.25">
      <c r="A465" s="20">
        <v>4159</v>
      </c>
      <c r="B465">
        <v>7</v>
      </c>
      <c r="C465" s="23" t="s">
        <v>85</v>
      </c>
      <c r="D465" s="23">
        <v>7</v>
      </c>
      <c r="E465" s="15">
        <f>+SUMIF('GE16FEB14 Unfudged'!$A$2:$A$498, $A465, 'GE16FEB14 Unfudged'!$D$2:$D$498)</f>
        <v>465</v>
      </c>
      <c r="F465" s="15">
        <f>+SUMIF('GE16FEB14 Unfudged'!$A$2:$A$498, 'Tax Bill Summary'!$A465, 'GE16FEB14 Unfudged'!E$2:E$498)</f>
        <v>52344</v>
      </c>
      <c r="G465" s="13">
        <f>+SUMIF('GE16FEB14 Unfudged'!$A$2:$A$498, 'Tax Bill Summary'!$A465, 'GE16FEB14 Unfudged'!F$2:F$498)</f>
        <v>0</v>
      </c>
      <c r="H465" s="56">
        <f t="shared" si="254"/>
        <v>52344</v>
      </c>
      <c r="I465" s="51">
        <f>+SUMIF('GE16FEB14 Unfudged'!$A$2:$A$498, 'Tax Bill Summary'!$A465, 'GE16FEB14 Unfudged'!G$2:G$498)</f>
        <v>0</v>
      </c>
      <c r="J465" s="13">
        <f>+SUMIF('GE16FEB14 Unfudged'!$A$2:$A$498, 'Tax Bill Summary'!$A465, 'GE16FEB14 Unfudged'!H$2:H$498)</f>
        <v>0</v>
      </c>
      <c r="K465" s="56">
        <f t="shared" si="255"/>
        <v>0</v>
      </c>
      <c r="L465" s="51">
        <f>+SUMIF('GE16FEB14 Unfudged'!$A$2:$A$498, 'Tax Bill Summary'!$A465, 'GE16FEB14 Unfudged'!I$2:IF$498)</f>
        <v>0</v>
      </c>
      <c r="M465" s="13">
        <f>+SUMIF('GE16FEB14 Unfudged'!$A$2:$A$498, 'Tax Bill Summary'!$A465, 'GE16FEB14 Unfudged'!J$2:IG$498)</f>
        <v>0</v>
      </c>
      <c r="N465" s="56">
        <f t="shared" si="256"/>
        <v>0</v>
      </c>
      <c r="O465" s="51">
        <f t="shared" si="257"/>
        <v>52344</v>
      </c>
      <c r="P465" s="13">
        <f t="shared" si="258"/>
        <v>0</v>
      </c>
      <c r="Q465" s="56">
        <f t="shared" si="259"/>
        <v>52344</v>
      </c>
      <c r="R465" s="13">
        <f t="shared" si="260"/>
        <v>112.56774193548387</v>
      </c>
      <c r="S465" s="13">
        <f t="shared" si="261"/>
        <v>0</v>
      </c>
      <c r="T465" s="16">
        <f t="shared" si="262"/>
        <v>112.56774193548387</v>
      </c>
      <c r="U465" s="15">
        <f>+SUMIF('GE16FEB14 Tax Bill Unfudged'!$A$2:$A$498, 'Tax Bill Summary'!$A465, 'GE16FEB14 Tax Bill Unfudged'!E$2:E$498)</f>
        <v>53628</v>
      </c>
      <c r="V465" s="13">
        <f>+SUMIF('GE16FEB14 Tax Bill Unfudged'!$A$2:$A$498, 'Tax Bill Summary'!$A465, 'GE16FEB14 Tax Bill Unfudged'!F$2:F$498)</f>
        <v>0</v>
      </c>
      <c r="W465" s="56">
        <f t="shared" si="263"/>
        <v>53628</v>
      </c>
      <c r="X465" s="51">
        <f>+SUMIF('GE16FEB14 Tax Bill Unfudged'!$A$2:$A$498, 'Tax Bill Summary'!$A465, 'GE16FEB14 Tax Bill Unfudged'!G$2:G$498)</f>
        <v>0</v>
      </c>
      <c r="Y465" s="13">
        <f>+SUMIF('GE16FEB14 Tax Bill Unfudged'!$A$2:$A$498, 'Tax Bill Summary'!$A465, 'GE16FEB14 Tax Bill Unfudged'!H$2:H$498)</f>
        <v>0</v>
      </c>
      <c r="Z465" s="56">
        <f t="shared" si="264"/>
        <v>0</v>
      </c>
      <c r="AA465" s="51">
        <f>+SUMIF('GE16FEB14 Tax Bill Unfudged'!$A$2:$A$498, 'Tax Bill Summary'!$A465, 'GE16FEB14 Tax Bill Unfudged'!I$2:I$498)</f>
        <v>0</v>
      </c>
      <c r="AB465" s="13">
        <f>+SUMIF('GE16FEB14 Tax Bill Unfudged'!$A$2:$A$498, 'Tax Bill Summary'!$A465, 'GE16FEB14 Tax Bill Unfudged'!J$2:J$498)</f>
        <v>0</v>
      </c>
      <c r="AC465" s="56">
        <f t="shared" si="265"/>
        <v>0</v>
      </c>
      <c r="AD465" s="51">
        <f t="shared" si="266"/>
        <v>53628</v>
      </c>
      <c r="AE465" s="13">
        <f t="shared" si="267"/>
        <v>0</v>
      </c>
      <c r="AF465" s="56">
        <f t="shared" si="268"/>
        <v>53628</v>
      </c>
      <c r="AG465" s="13">
        <f t="shared" si="269"/>
        <v>115.32903225806452</v>
      </c>
      <c r="AH465" s="13">
        <f t="shared" si="270"/>
        <v>0</v>
      </c>
      <c r="AI465" s="16">
        <f t="shared" si="271"/>
        <v>115.32903225806452</v>
      </c>
      <c r="AJ465" s="15">
        <f t="shared" si="272"/>
        <v>1284</v>
      </c>
      <c r="AK465" s="13">
        <f t="shared" si="273"/>
        <v>0</v>
      </c>
      <c r="AL465" s="56">
        <f t="shared" si="274"/>
        <v>1284</v>
      </c>
      <c r="AM465" s="51">
        <f t="shared" si="275"/>
        <v>0</v>
      </c>
      <c r="AN465" s="13">
        <f t="shared" si="276"/>
        <v>0</v>
      </c>
      <c r="AO465" s="56">
        <f t="shared" si="277"/>
        <v>0</v>
      </c>
      <c r="AP465" s="51">
        <f t="shared" si="278"/>
        <v>0</v>
      </c>
      <c r="AQ465" s="13">
        <f t="shared" si="279"/>
        <v>0</v>
      </c>
      <c r="AR465" s="56">
        <f t="shared" si="280"/>
        <v>0</v>
      </c>
      <c r="AS465" s="51">
        <f t="shared" si="281"/>
        <v>1284</v>
      </c>
      <c r="AT465" s="13">
        <f t="shared" si="282"/>
        <v>0</v>
      </c>
      <c r="AU465" s="56">
        <f t="shared" si="283"/>
        <v>1284</v>
      </c>
      <c r="AV465" s="13">
        <f t="shared" si="284"/>
        <v>2.7612903225806491</v>
      </c>
      <c r="AW465" s="13">
        <f t="shared" si="285"/>
        <v>0</v>
      </c>
      <c r="AX465" s="16">
        <f t="shared" si="286"/>
        <v>2.7612903225806491</v>
      </c>
    </row>
    <row r="466" spans="1:50" x14ac:dyDescent="0.25">
      <c r="A466" s="20">
        <v>4160</v>
      </c>
      <c r="B466">
        <v>7</v>
      </c>
      <c r="C466" s="23" t="s">
        <v>86</v>
      </c>
      <c r="D466" s="23">
        <v>7</v>
      </c>
      <c r="E466" s="15">
        <f>+SUMIF('GE16FEB14 Unfudged'!$A$2:$A$498, $A466, 'GE16FEB14 Unfudged'!$D$2:$D$498)</f>
        <v>625</v>
      </c>
      <c r="F466" s="15">
        <f>+SUMIF('GE16FEB14 Unfudged'!$A$2:$A$498, 'Tax Bill Summary'!$A466, 'GE16FEB14 Unfudged'!E$2:E$498)</f>
        <v>70310</v>
      </c>
      <c r="G466" s="13">
        <f>+SUMIF('GE16FEB14 Unfudged'!$A$2:$A$498, 'Tax Bill Summary'!$A466, 'GE16FEB14 Unfudged'!F$2:F$498)</f>
        <v>0</v>
      </c>
      <c r="H466" s="56">
        <f t="shared" si="254"/>
        <v>70310</v>
      </c>
      <c r="I466" s="51">
        <f>+SUMIF('GE16FEB14 Unfudged'!$A$2:$A$498, 'Tax Bill Summary'!$A466, 'GE16FEB14 Unfudged'!G$2:G$498)</f>
        <v>0</v>
      </c>
      <c r="J466" s="13">
        <f>+SUMIF('GE16FEB14 Unfudged'!$A$2:$A$498, 'Tax Bill Summary'!$A466, 'GE16FEB14 Unfudged'!H$2:H$498)</f>
        <v>0</v>
      </c>
      <c r="K466" s="56">
        <f t="shared" si="255"/>
        <v>0</v>
      </c>
      <c r="L466" s="51">
        <f>+SUMIF('GE16FEB14 Unfudged'!$A$2:$A$498, 'Tax Bill Summary'!$A466, 'GE16FEB14 Unfudged'!I$2:IF$498)</f>
        <v>0</v>
      </c>
      <c r="M466" s="13">
        <f>+SUMIF('GE16FEB14 Unfudged'!$A$2:$A$498, 'Tax Bill Summary'!$A466, 'GE16FEB14 Unfudged'!J$2:IG$498)</f>
        <v>0</v>
      </c>
      <c r="N466" s="56">
        <f t="shared" si="256"/>
        <v>0</v>
      </c>
      <c r="O466" s="51">
        <f t="shared" si="257"/>
        <v>70310</v>
      </c>
      <c r="P466" s="13">
        <f t="shared" si="258"/>
        <v>0</v>
      </c>
      <c r="Q466" s="56">
        <f t="shared" si="259"/>
        <v>70310</v>
      </c>
      <c r="R466" s="13">
        <f t="shared" si="260"/>
        <v>112.496</v>
      </c>
      <c r="S466" s="13">
        <f t="shared" si="261"/>
        <v>0</v>
      </c>
      <c r="T466" s="16">
        <f t="shared" si="262"/>
        <v>112.496</v>
      </c>
      <c r="U466" s="15">
        <f>+SUMIF('GE16FEB14 Tax Bill Unfudged'!$A$2:$A$498, 'Tax Bill Summary'!$A466, 'GE16FEB14 Tax Bill Unfudged'!E$2:E$498)</f>
        <v>72034</v>
      </c>
      <c r="V466" s="13">
        <f>+SUMIF('GE16FEB14 Tax Bill Unfudged'!$A$2:$A$498, 'Tax Bill Summary'!$A466, 'GE16FEB14 Tax Bill Unfudged'!F$2:F$498)</f>
        <v>0</v>
      </c>
      <c r="W466" s="56">
        <f t="shared" si="263"/>
        <v>72034</v>
      </c>
      <c r="X466" s="51">
        <f>+SUMIF('GE16FEB14 Tax Bill Unfudged'!$A$2:$A$498, 'Tax Bill Summary'!$A466, 'GE16FEB14 Tax Bill Unfudged'!G$2:G$498)</f>
        <v>0</v>
      </c>
      <c r="Y466" s="13">
        <f>+SUMIF('GE16FEB14 Tax Bill Unfudged'!$A$2:$A$498, 'Tax Bill Summary'!$A466, 'GE16FEB14 Tax Bill Unfudged'!H$2:H$498)</f>
        <v>0</v>
      </c>
      <c r="Z466" s="56">
        <f t="shared" si="264"/>
        <v>0</v>
      </c>
      <c r="AA466" s="51">
        <f>+SUMIF('GE16FEB14 Tax Bill Unfudged'!$A$2:$A$498, 'Tax Bill Summary'!$A466, 'GE16FEB14 Tax Bill Unfudged'!I$2:I$498)</f>
        <v>0</v>
      </c>
      <c r="AB466" s="13">
        <f>+SUMIF('GE16FEB14 Tax Bill Unfudged'!$A$2:$A$498, 'Tax Bill Summary'!$A466, 'GE16FEB14 Tax Bill Unfudged'!J$2:J$498)</f>
        <v>0</v>
      </c>
      <c r="AC466" s="56">
        <f t="shared" si="265"/>
        <v>0</v>
      </c>
      <c r="AD466" s="51">
        <f t="shared" si="266"/>
        <v>72034</v>
      </c>
      <c r="AE466" s="13">
        <f t="shared" si="267"/>
        <v>0</v>
      </c>
      <c r="AF466" s="56">
        <f t="shared" si="268"/>
        <v>72034</v>
      </c>
      <c r="AG466" s="13">
        <f t="shared" si="269"/>
        <v>115.2544</v>
      </c>
      <c r="AH466" s="13">
        <f t="shared" si="270"/>
        <v>0</v>
      </c>
      <c r="AI466" s="16">
        <f t="shared" si="271"/>
        <v>115.2544</v>
      </c>
      <c r="AJ466" s="15">
        <f t="shared" si="272"/>
        <v>1724</v>
      </c>
      <c r="AK466" s="13">
        <f t="shared" si="273"/>
        <v>0</v>
      </c>
      <c r="AL466" s="56">
        <f t="shared" si="274"/>
        <v>1724</v>
      </c>
      <c r="AM466" s="51">
        <f t="shared" si="275"/>
        <v>0</v>
      </c>
      <c r="AN466" s="13">
        <f t="shared" si="276"/>
        <v>0</v>
      </c>
      <c r="AO466" s="56">
        <f t="shared" si="277"/>
        <v>0</v>
      </c>
      <c r="AP466" s="51">
        <f t="shared" si="278"/>
        <v>0</v>
      </c>
      <c r="AQ466" s="13">
        <f t="shared" si="279"/>
        <v>0</v>
      </c>
      <c r="AR466" s="56">
        <f t="shared" si="280"/>
        <v>0</v>
      </c>
      <c r="AS466" s="51">
        <f t="shared" si="281"/>
        <v>1724</v>
      </c>
      <c r="AT466" s="13">
        <f t="shared" si="282"/>
        <v>0</v>
      </c>
      <c r="AU466" s="56">
        <f t="shared" si="283"/>
        <v>1724</v>
      </c>
      <c r="AV466" s="13">
        <f t="shared" si="284"/>
        <v>2.7584000000000088</v>
      </c>
      <c r="AW466" s="13">
        <f t="shared" si="285"/>
        <v>0</v>
      </c>
      <c r="AX466" s="16">
        <f t="shared" si="286"/>
        <v>2.7584000000000088</v>
      </c>
    </row>
    <row r="467" spans="1:50" x14ac:dyDescent="0.25">
      <c r="A467" s="20">
        <v>4161</v>
      </c>
      <c r="B467">
        <v>7</v>
      </c>
      <c r="C467" s="23" t="s">
        <v>87</v>
      </c>
      <c r="D467" s="23">
        <v>7</v>
      </c>
      <c r="E467" s="15">
        <f>+SUMIF('GE16FEB14 Unfudged'!$A$2:$A$498, $A467, 'GE16FEB14 Unfudged'!$D$2:$D$498)</f>
        <v>172</v>
      </c>
      <c r="F467" s="15">
        <f>+SUMIF('GE16FEB14 Unfudged'!$A$2:$A$498, 'Tax Bill Summary'!$A467, 'GE16FEB14 Unfudged'!E$2:E$498)</f>
        <v>19362</v>
      </c>
      <c r="G467" s="13">
        <f>+SUMIF('GE16FEB14 Unfudged'!$A$2:$A$498, 'Tax Bill Summary'!$A467, 'GE16FEB14 Unfudged'!F$2:F$498)</f>
        <v>0</v>
      </c>
      <c r="H467" s="56">
        <f t="shared" si="254"/>
        <v>19362</v>
      </c>
      <c r="I467" s="51">
        <f>+SUMIF('GE16FEB14 Unfudged'!$A$2:$A$498, 'Tax Bill Summary'!$A467, 'GE16FEB14 Unfudged'!G$2:G$498)</f>
        <v>0</v>
      </c>
      <c r="J467" s="13">
        <f>+SUMIF('GE16FEB14 Unfudged'!$A$2:$A$498, 'Tax Bill Summary'!$A467, 'GE16FEB14 Unfudged'!H$2:H$498)</f>
        <v>0</v>
      </c>
      <c r="K467" s="56">
        <f t="shared" si="255"/>
        <v>0</v>
      </c>
      <c r="L467" s="51">
        <f>+SUMIF('GE16FEB14 Unfudged'!$A$2:$A$498, 'Tax Bill Summary'!$A467, 'GE16FEB14 Unfudged'!I$2:IF$498)</f>
        <v>0</v>
      </c>
      <c r="M467" s="13">
        <f>+SUMIF('GE16FEB14 Unfudged'!$A$2:$A$498, 'Tax Bill Summary'!$A467, 'GE16FEB14 Unfudged'!J$2:IG$498)</f>
        <v>0</v>
      </c>
      <c r="N467" s="56">
        <f t="shared" si="256"/>
        <v>0</v>
      </c>
      <c r="O467" s="51">
        <f t="shared" si="257"/>
        <v>19362</v>
      </c>
      <c r="P467" s="13">
        <f t="shared" si="258"/>
        <v>0</v>
      </c>
      <c r="Q467" s="56">
        <f t="shared" si="259"/>
        <v>19362</v>
      </c>
      <c r="R467" s="13">
        <f t="shared" si="260"/>
        <v>112.56976744186046</v>
      </c>
      <c r="S467" s="13">
        <f t="shared" si="261"/>
        <v>0</v>
      </c>
      <c r="T467" s="16">
        <f t="shared" si="262"/>
        <v>112.56976744186046</v>
      </c>
      <c r="U467" s="15">
        <f>+SUMIF('GE16FEB14 Tax Bill Unfudged'!$A$2:$A$498, 'Tax Bill Summary'!$A467, 'GE16FEB14 Tax Bill Unfudged'!E$2:E$498)</f>
        <v>19836</v>
      </c>
      <c r="V467" s="13">
        <f>+SUMIF('GE16FEB14 Tax Bill Unfudged'!$A$2:$A$498, 'Tax Bill Summary'!$A467, 'GE16FEB14 Tax Bill Unfudged'!F$2:F$498)</f>
        <v>0</v>
      </c>
      <c r="W467" s="56">
        <f t="shared" si="263"/>
        <v>19836</v>
      </c>
      <c r="X467" s="51">
        <f>+SUMIF('GE16FEB14 Tax Bill Unfudged'!$A$2:$A$498, 'Tax Bill Summary'!$A467, 'GE16FEB14 Tax Bill Unfudged'!G$2:G$498)</f>
        <v>0</v>
      </c>
      <c r="Y467" s="13">
        <f>+SUMIF('GE16FEB14 Tax Bill Unfudged'!$A$2:$A$498, 'Tax Bill Summary'!$A467, 'GE16FEB14 Tax Bill Unfudged'!H$2:H$498)</f>
        <v>0</v>
      </c>
      <c r="Z467" s="56">
        <f t="shared" si="264"/>
        <v>0</v>
      </c>
      <c r="AA467" s="51">
        <f>+SUMIF('GE16FEB14 Tax Bill Unfudged'!$A$2:$A$498, 'Tax Bill Summary'!$A467, 'GE16FEB14 Tax Bill Unfudged'!I$2:I$498)</f>
        <v>0</v>
      </c>
      <c r="AB467" s="13">
        <f>+SUMIF('GE16FEB14 Tax Bill Unfudged'!$A$2:$A$498, 'Tax Bill Summary'!$A467, 'GE16FEB14 Tax Bill Unfudged'!J$2:J$498)</f>
        <v>0</v>
      </c>
      <c r="AC467" s="56">
        <f t="shared" si="265"/>
        <v>0</v>
      </c>
      <c r="AD467" s="51">
        <f t="shared" si="266"/>
        <v>19836</v>
      </c>
      <c r="AE467" s="13">
        <f t="shared" si="267"/>
        <v>0</v>
      </c>
      <c r="AF467" s="56">
        <f t="shared" si="268"/>
        <v>19836</v>
      </c>
      <c r="AG467" s="13">
        <f t="shared" si="269"/>
        <v>115.32558139534883</v>
      </c>
      <c r="AH467" s="13">
        <f t="shared" si="270"/>
        <v>0</v>
      </c>
      <c r="AI467" s="16">
        <f t="shared" si="271"/>
        <v>115.32558139534883</v>
      </c>
      <c r="AJ467" s="15">
        <f t="shared" si="272"/>
        <v>474</v>
      </c>
      <c r="AK467" s="13">
        <f t="shared" si="273"/>
        <v>0</v>
      </c>
      <c r="AL467" s="56">
        <f t="shared" si="274"/>
        <v>474</v>
      </c>
      <c r="AM467" s="51">
        <f t="shared" si="275"/>
        <v>0</v>
      </c>
      <c r="AN467" s="13">
        <f t="shared" si="276"/>
        <v>0</v>
      </c>
      <c r="AO467" s="56">
        <f t="shared" si="277"/>
        <v>0</v>
      </c>
      <c r="AP467" s="51">
        <f t="shared" si="278"/>
        <v>0</v>
      </c>
      <c r="AQ467" s="13">
        <f t="shared" si="279"/>
        <v>0</v>
      </c>
      <c r="AR467" s="56">
        <f t="shared" si="280"/>
        <v>0</v>
      </c>
      <c r="AS467" s="51">
        <f t="shared" si="281"/>
        <v>474</v>
      </c>
      <c r="AT467" s="13">
        <f t="shared" si="282"/>
        <v>0</v>
      </c>
      <c r="AU467" s="56">
        <f t="shared" si="283"/>
        <v>474</v>
      </c>
      <c r="AV467" s="13">
        <f t="shared" si="284"/>
        <v>2.7558139534883708</v>
      </c>
      <c r="AW467" s="13">
        <f t="shared" si="285"/>
        <v>0</v>
      </c>
      <c r="AX467" s="16">
        <f t="shared" si="286"/>
        <v>2.7558139534883708</v>
      </c>
    </row>
    <row r="468" spans="1:50" x14ac:dyDescent="0.25">
      <c r="A468" s="20">
        <v>4162</v>
      </c>
      <c r="B468">
        <v>7</v>
      </c>
      <c r="C468" s="23" t="s">
        <v>88</v>
      </c>
      <c r="D468" s="23">
        <v>7</v>
      </c>
      <c r="E468" s="15">
        <f>+SUMIF('GE16FEB14 Unfudged'!$A$2:$A$498, $A468, 'GE16FEB14 Unfudged'!$D$2:$D$498)</f>
        <v>114</v>
      </c>
      <c r="F468" s="15">
        <f>+SUMIF('GE16FEB14 Unfudged'!$A$2:$A$498, 'Tax Bill Summary'!$A468, 'GE16FEB14 Unfudged'!E$2:E$498)</f>
        <v>12810</v>
      </c>
      <c r="G468" s="13">
        <f>+SUMIF('GE16FEB14 Unfudged'!$A$2:$A$498, 'Tax Bill Summary'!$A468, 'GE16FEB14 Unfudged'!F$2:F$498)</f>
        <v>0</v>
      </c>
      <c r="H468" s="56">
        <f t="shared" si="254"/>
        <v>12810</v>
      </c>
      <c r="I468" s="51">
        <f>+SUMIF('GE16FEB14 Unfudged'!$A$2:$A$498, 'Tax Bill Summary'!$A468, 'GE16FEB14 Unfudged'!G$2:G$498)</f>
        <v>0</v>
      </c>
      <c r="J468" s="13">
        <f>+SUMIF('GE16FEB14 Unfudged'!$A$2:$A$498, 'Tax Bill Summary'!$A468, 'GE16FEB14 Unfudged'!H$2:H$498)</f>
        <v>0</v>
      </c>
      <c r="K468" s="56">
        <f t="shared" si="255"/>
        <v>0</v>
      </c>
      <c r="L468" s="51">
        <f>+SUMIF('GE16FEB14 Unfudged'!$A$2:$A$498, 'Tax Bill Summary'!$A468, 'GE16FEB14 Unfudged'!I$2:IF$498)</f>
        <v>0</v>
      </c>
      <c r="M468" s="13">
        <f>+SUMIF('GE16FEB14 Unfudged'!$A$2:$A$498, 'Tax Bill Summary'!$A468, 'GE16FEB14 Unfudged'!J$2:IG$498)</f>
        <v>0</v>
      </c>
      <c r="N468" s="56">
        <f t="shared" si="256"/>
        <v>0</v>
      </c>
      <c r="O468" s="51">
        <f t="shared" si="257"/>
        <v>12810</v>
      </c>
      <c r="P468" s="13">
        <f t="shared" si="258"/>
        <v>0</v>
      </c>
      <c r="Q468" s="56">
        <f t="shared" si="259"/>
        <v>12810</v>
      </c>
      <c r="R468" s="13">
        <f t="shared" si="260"/>
        <v>112.36842105263158</v>
      </c>
      <c r="S468" s="13">
        <f t="shared" si="261"/>
        <v>0</v>
      </c>
      <c r="T468" s="16">
        <f t="shared" si="262"/>
        <v>112.36842105263158</v>
      </c>
      <c r="U468" s="15">
        <f>+SUMIF('GE16FEB14 Tax Bill Unfudged'!$A$2:$A$498, 'Tax Bill Summary'!$A468, 'GE16FEB14 Tax Bill Unfudged'!E$2:E$498)</f>
        <v>13124</v>
      </c>
      <c r="V468" s="13">
        <f>+SUMIF('GE16FEB14 Tax Bill Unfudged'!$A$2:$A$498, 'Tax Bill Summary'!$A468, 'GE16FEB14 Tax Bill Unfudged'!F$2:F$498)</f>
        <v>0</v>
      </c>
      <c r="W468" s="56">
        <f t="shared" si="263"/>
        <v>13124</v>
      </c>
      <c r="X468" s="51">
        <f>+SUMIF('GE16FEB14 Tax Bill Unfudged'!$A$2:$A$498, 'Tax Bill Summary'!$A468, 'GE16FEB14 Tax Bill Unfudged'!G$2:G$498)</f>
        <v>0</v>
      </c>
      <c r="Y468" s="13">
        <f>+SUMIF('GE16FEB14 Tax Bill Unfudged'!$A$2:$A$498, 'Tax Bill Summary'!$A468, 'GE16FEB14 Tax Bill Unfudged'!H$2:H$498)</f>
        <v>0</v>
      </c>
      <c r="Z468" s="56">
        <f t="shared" si="264"/>
        <v>0</v>
      </c>
      <c r="AA468" s="51">
        <f>+SUMIF('GE16FEB14 Tax Bill Unfudged'!$A$2:$A$498, 'Tax Bill Summary'!$A468, 'GE16FEB14 Tax Bill Unfudged'!I$2:I$498)</f>
        <v>0</v>
      </c>
      <c r="AB468" s="13">
        <f>+SUMIF('GE16FEB14 Tax Bill Unfudged'!$A$2:$A$498, 'Tax Bill Summary'!$A468, 'GE16FEB14 Tax Bill Unfudged'!J$2:J$498)</f>
        <v>0</v>
      </c>
      <c r="AC468" s="56">
        <f t="shared" si="265"/>
        <v>0</v>
      </c>
      <c r="AD468" s="51">
        <f t="shared" si="266"/>
        <v>13124</v>
      </c>
      <c r="AE468" s="13">
        <f t="shared" si="267"/>
        <v>0</v>
      </c>
      <c r="AF468" s="56">
        <f t="shared" si="268"/>
        <v>13124</v>
      </c>
      <c r="AG468" s="13">
        <f t="shared" si="269"/>
        <v>115.12280701754386</v>
      </c>
      <c r="AH468" s="13">
        <f t="shared" si="270"/>
        <v>0</v>
      </c>
      <c r="AI468" s="16">
        <f t="shared" si="271"/>
        <v>115.12280701754386</v>
      </c>
      <c r="AJ468" s="15">
        <f t="shared" si="272"/>
        <v>314</v>
      </c>
      <c r="AK468" s="13">
        <f t="shared" si="273"/>
        <v>0</v>
      </c>
      <c r="AL468" s="56">
        <f t="shared" si="274"/>
        <v>314</v>
      </c>
      <c r="AM468" s="51">
        <f t="shared" si="275"/>
        <v>0</v>
      </c>
      <c r="AN468" s="13">
        <f t="shared" si="276"/>
        <v>0</v>
      </c>
      <c r="AO468" s="56">
        <f t="shared" si="277"/>
        <v>0</v>
      </c>
      <c r="AP468" s="51">
        <f t="shared" si="278"/>
        <v>0</v>
      </c>
      <c r="AQ468" s="13">
        <f t="shared" si="279"/>
        <v>0</v>
      </c>
      <c r="AR468" s="56">
        <f t="shared" si="280"/>
        <v>0</v>
      </c>
      <c r="AS468" s="51">
        <f t="shared" si="281"/>
        <v>314</v>
      </c>
      <c r="AT468" s="13">
        <f t="shared" si="282"/>
        <v>0</v>
      </c>
      <c r="AU468" s="56">
        <f t="shared" si="283"/>
        <v>314</v>
      </c>
      <c r="AV468" s="13">
        <f t="shared" si="284"/>
        <v>2.7543859649122879</v>
      </c>
      <c r="AW468" s="13">
        <f t="shared" si="285"/>
        <v>0</v>
      </c>
      <c r="AX468" s="16">
        <f t="shared" si="286"/>
        <v>2.7543859649122879</v>
      </c>
    </row>
    <row r="469" spans="1:50" x14ac:dyDescent="0.25">
      <c r="A469" s="20">
        <v>4163</v>
      </c>
      <c r="B469">
        <v>7</v>
      </c>
      <c r="C469" s="23" t="s">
        <v>89</v>
      </c>
      <c r="D469" s="23">
        <v>7</v>
      </c>
      <c r="E469" s="15">
        <f>+SUMIF('GE16FEB14 Unfudged'!$A$2:$A$498, $A469, 'GE16FEB14 Unfudged'!$D$2:$D$498)</f>
        <v>258</v>
      </c>
      <c r="F469" s="15">
        <f>+SUMIF('GE16FEB14 Unfudged'!$A$2:$A$498, 'Tax Bill Summary'!$A469, 'GE16FEB14 Unfudged'!E$2:E$498)</f>
        <v>29048</v>
      </c>
      <c r="G469" s="13">
        <f>+SUMIF('GE16FEB14 Unfudged'!$A$2:$A$498, 'Tax Bill Summary'!$A469, 'GE16FEB14 Unfudged'!F$2:F$498)</f>
        <v>0</v>
      </c>
      <c r="H469" s="56">
        <f t="shared" si="254"/>
        <v>29048</v>
      </c>
      <c r="I469" s="51">
        <f>+SUMIF('GE16FEB14 Unfudged'!$A$2:$A$498, 'Tax Bill Summary'!$A469, 'GE16FEB14 Unfudged'!G$2:G$498)</f>
        <v>0</v>
      </c>
      <c r="J469" s="13">
        <f>+SUMIF('GE16FEB14 Unfudged'!$A$2:$A$498, 'Tax Bill Summary'!$A469, 'GE16FEB14 Unfudged'!H$2:H$498)</f>
        <v>0</v>
      </c>
      <c r="K469" s="56">
        <f t="shared" si="255"/>
        <v>0</v>
      </c>
      <c r="L469" s="51">
        <f>+SUMIF('GE16FEB14 Unfudged'!$A$2:$A$498, 'Tax Bill Summary'!$A469, 'GE16FEB14 Unfudged'!I$2:IF$498)</f>
        <v>0</v>
      </c>
      <c r="M469" s="13">
        <f>+SUMIF('GE16FEB14 Unfudged'!$A$2:$A$498, 'Tax Bill Summary'!$A469, 'GE16FEB14 Unfudged'!J$2:IG$498)</f>
        <v>0</v>
      </c>
      <c r="N469" s="56">
        <f t="shared" si="256"/>
        <v>0</v>
      </c>
      <c r="O469" s="51">
        <f t="shared" si="257"/>
        <v>29048</v>
      </c>
      <c r="P469" s="13">
        <f t="shared" si="258"/>
        <v>0</v>
      </c>
      <c r="Q469" s="56">
        <f t="shared" si="259"/>
        <v>29048</v>
      </c>
      <c r="R469" s="13">
        <f t="shared" si="260"/>
        <v>112.5891472868217</v>
      </c>
      <c r="S469" s="13">
        <f t="shared" si="261"/>
        <v>0</v>
      </c>
      <c r="T469" s="16">
        <f t="shared" si="262"/>
        <v>112.5891472868217</v>
      </c>
      <c r="U469" s="15">
        <f>+SUMIF('GE16FEB14 Tax Bill Unfudged'!$A$2:$A$498, 'Tax Bill Summary'!$A469, 'GE16FEB14 Tax Bill Unfudged'!E$2:E$498)</f>
        <v>29760</v>
      </c>
      <c r="V469" s="13">
        <f>+SUMIF('GE16FEB14 Tax Bill Unfudged'!$A$2:$A$498, 'Tax Bill Summary'!$A469, 'GE16FEB14 Tax Bill Unfudged'!F$2:F$498)</f>
        <v>0</v>
      </c>
      <c r="W469" s="56">
        <f t="shared" si="263"/>
        <v>29760</v>
      </c>
      <c r="X469" s="51">
        <f>+SUMIF('GE16FEB14 Tax Bill Unfudged'!$A$2:$A$498, 'Tax Bill Summary'!$A469, 'GE16FEB14 Tax Bill Unfudged'!G$2:G$498)</f>
        <v>0</v>
      </c>
      <c r="Y469" s="13">
        <f>+SUMIF('GE16FEB14 Tax Bill Unfudged'!$A$2:$A$498, 'Tax Bill Summary'!$A469, 'GE16FEB14 Tax Bill Unfudged'!H$2:H$498)</f>
        <v>0</v>
      </c>
      <c r="Z469" s="56">
        <f t="shared" si="264"/>
        <v>0</v>
      </c>
      <c r="AA469" s="51">
        <f>+SUMIF('GE16FEB14 Tax Bill Unfudged'!$A$2:$A$498, 'Tax Bill Summary'!$A469, 'GE16FEB14 Tax Bill Unfudged'!I$2:I$498)</f>
        <v>0</v>
      </c>
      <c r="AB469" s="13">
        <f>+SUMIF('GE16FEB14 Tax Bill Unfudged'!$A$2:$A$498, 'Tax Bill Summary'!$A469, 'GE16FEB14 Tax Bill Unfudged'!J$2:J$498)</f>
        <v>0</v>
      </c>
      <c r="AC469" s="56">
        <f t="shared" si="265"/>
        <v>0</v>
      </c>
      <c r="AD469" s="51">
        <f t="shared" si="266"/>
        <v>29760</v>
      </c>
      <c r="AE469" s="13">
        <f t="shared" si="267"/>
        <v>0</v>
      </c>
      <c r="AF469" s="56">
        <f t="shared" si="268"/>
        <v>29760</v>
      </c>
      <c r="AG469" s="13">
        <f t="shared" si="269"/>
        <v>115.34883720930233</v>
      </c>
      <c r="AH469" s="13">
        <f t="shared" si="270"/>
        <v>0</v>
      </c>
      <c r="AI469" s="16">
        <f t="shared" si="271"/>
        <v>115.34883720930233</v>
      </c>
      <c r="AJ469" s="15">
        <f t="shared" si="272"/>
        <v>712</v>
      </c>
      <c r="AK469" s="13">
        <f t="shared" si="273"/>
        <v>0</v>
      </c>
      <c r="AL469" s="56">
        <f t="shared" si="274"/>
        <v>712</v>
      </c>
      <c r="AM469" s="51">
        <f t="shared" si="275"/>
        <v>0</v>
      </c>
      <c r="AN469" s="13">
        <f t="shared" si="276"/>
        <v>0</v>
      </c>
      <c r="AO469" s="56">
        <f t="shared" si="277"/>
        <v>0</v>
      </c>
      <c r="AP469" s="51">
        <f t="shared" si="278"/>
        <v>0</v>
      </c>
      <c r="AQ469" s="13">
        <f t="shared" si="279"/>
        <v>0</v>
      </c>
      <c r="AR469" s="56">
        <f t="shared" si="280"/>
        <v>0</v>
      </c>
      <c r="AS469" s="51">
        <f t="shared" si="281"/>
        <v>712</v>
      </c>
      <c r="AT469" s="13">
        <f t="shared" si="282"/>
        <v>0</v>
      </c>
      <c r="AU469" s="56">
        <f t="shared" si="283"/>
        <v>712</v>
      </c>
      <c r="AV469" s="13">
        <f t="shared" si="284"/>
        <v>2.7596899224806322</v>
      </c>
      <c r="AW469" s="13">
        <f t="shared" si="285"/>
        <v>0</v>
      </c>
      <c r="AX469" s="16">
        <f t="shared" si="286"/>
        <v>2.7596899224806322</v>
      </c>
    </row>
    <row r="470" spans="1:50" x14ac:dyDescent="0.25">
      <c r="A470" s="20">
        <v>4164</v>
      </c>
      <c r="B470">
        <v>7</v>
      </c>
      <c r="C470" s="23" t="s">
        <v>90</v>
      </c>
      <c r="D470" s="23">
        <v>7</v>
      </c>
      <c r="E470" s="15">
        <f>+SUMIF('GE16FEB14 Unfudged'!$A$2:$A$498, $A470, 'GE16FEB14 Unfudged'!$D$2:$D$498)</f>
        <v>220</v>
      </c>
      <c r="F470" s="15">
        <f>+SUMIF('GE16FEB14 Unfudged'!$A$2:$A$498, 'Tax Bill Summary'!$A470, 'GE16FEB14 Unfudged'!E$2:E$498)</f>
        <v>24765</v>
      </c>
      <c r="G470" s="13">
        <f>+SUMIF('GE16FEB14 Unfudged'!$A$2:$A$498, 'Tax Bill Summary'!$A470, 'GE16FEB14 Unfudged'!F$2:F$498)</f>
        <v>0</v>
      </c>
      <c r="H470" s="56">
        <f t="shared" ref="H470:H517" si="287">+F470-G470</f>
        <v>24765</v>
      </c>
      <c r="I470" s="51">
        <f>+SUMIF('GE16FEB14 Unfudged'!$A$2:$A$498, 'Tax Bill Summary'!$A470, 'GE16FEB14 Unfudged'!G$2:G$498)</f>
        <v>0</v>
      </c>
      <c r="J470" s="13">
        <f>+SUMIF('GE16FEB14 Unfudged'!$A$2:$A$498, 'Tax Bill Summary'!$A470, 'GE16FEB14 Unfudged'!H$2:H$498)</f>
        <v>0</v>
      </c>
      <c r="K470" s="56">
        <f t="shared" ref="K470:K517" si="288">+I470-J470</f>
        <v>0</v>
      </c>
      <c r="L470" s="51">
        <f>+SUMIF('GE16FEB14 Unfudged'!$A$2:$A$498, 'Tax Bill Summary'!$A470, 'GE16FEB14 Unfudged'!I$2:IF$498)</f>
        <v>0</v>
      </c>
      <c r="M470" s="13">
        <f>+SUMIF('GE16FEB14 Unfudged'!$A$2:$A$498, 'Tax Bill Summary'!$A470, 'GE16FEB14 Unfudged'!J$2:IG$498)</f>
        <v>0</v>
      </c>
      <c r="N470" s="56">
        <f t="shared" ref="N470:N517" si="289">+L470-M470</f>
        <v>0</v>
      </c>
      <c r="O470" s="51">
        <f t="shared" ref="O470:O517" si="290">+F470+I470+L470</f>
        <v>24765</v>
      </c>
      <c r="P470" s="13">
        <f t="shared" ref="P470:P517" si="291">+G470+J470+M470</f>
        <v>0</v>
      </c>
      <c r="Q470" s="56">
        <f t="shared" ref="Q470:Q517" si="292">+H470+K470+N470</f>
        <v>24765</v>
      </c>
      <c r="R470" s="13">
        <f t="shared" ref="R470:R517" si="293">+IF($E470=0, 0, O470/$E470)</f>
        <v>112.56818181818181</v>
      </c>
      <c r="S470" s="13">
        <f t="shared" ref="S470:S517" si="294">+IF($E470=0, 0, P470/$E470)</f>
        <v>0</v>
      </c>
      <c r="T470" s="16">
        <f t="shared" ref="T470:T517" si="295">+IF($E470=0, 0, Q470/$E470)</f>
        <v>112.56818181818181</v>
      </c>
      <c r="U470" s="15">
        <f>+SUMIF('GE16FEB14 Tax Bill Unfudged'!$A$2:$A$498, 'Tax Bill Summary'!$A470, 'GE16FEB14 Tax Bill Unfudged'!E$2:E$498)</f>
        <v>25372</v>
      </c>
      <c r="V470" s="13">
        <f>+SUMIF('GE16FEB14 Tax Bill Unfudged'!$A$2:$A$498, 'Tax Bill Summary'!$A470, 'GE16FEB14 Tax Bill Unfudged'!F$2:F$498)</f>
        <v>0</v>
      </c>
      <c r="W470" s="56">
        <f t="shared" ref="W470:W517" si="296">+U470-V470</f>
        <v>25372</v>
      </c>
      <c r="X470" s="51">
        <f>+SUMIF('GE16FEB14 Tax Bill Unfudged'!$A$2:$A$498, 'Tax Bill Summary'!$A470, 'GE16FEB14 Tax Bill Unfudged'!G$2:G$498)</f>
        <v>0</v>
      </c>
      <c r="Y470" s="13">
        <f>+SUMIF('GE16FEB14 Tax Bill Unfudged'!$A$2:$A$498, 'Tax Bill Summary'!$A470, 'GE16FEB14 Tax Bill Unfudged'!H$2:H$498)</f>
        <v>0</v>
      </c>
      <c r="Z470" s="56">
        <f t="shared" ref="Z470:Z517" si="297">+X470-Y470</f>
        <v>0</v>
      </c>
      <c r="AA470" s="51">
        <f>+SUMIF('GE16FEB14 Tax Bill Unfudged'!$A$2:$A$498, 'Tax Bill Summary'!$A470, 'GE16FEB14 Tax Bill Unfudged'!I$2:I$498)</f>
        <v>0</v>
      </c>
      <c r="AB470" s="13">
        <f>+SUMIF('GE16FEB14 Tax Bill Unfudged'!$A$2:$A$498, 'Tax Bill Summary'!$A470, 'GE16FEB14 Tax Bill Unfudged'!J$2:J$498)</f>
        <v>0</v>
      </c>
      <c r="AC470" s="56">
        <f t="shared" ref="AC470:AC517" si="298">+AA470-AB470</f>
        <v>0</v>
      </c>
      <c r="AD470" s="51">
        <f t="shared" ref="AD470:AD517" si="299">+U470+X470+AA470</f>
        <v>25372</v>
      </c>
      <c r="AE470" s="13">
        <f t="shared" ref="AE470:AE517" si="300">+V470+Y470+AB470</f>
        <v>0</v>
      </c>
      <c r="AF470" s="56">
        <f t="shared" ref="AF470:AF517" si="301">+W470+Z470+AC470</f>
        <v>25372</v>
      </c>
      <c r="AG470" s="13">
        <f t="shared" ref="AG470:AG517" si="302">+IF($E470=0, 0, AD470/$E470)</f>
        <v>115.32727272727273</v>
      </c>
      <c r="AH470" s="13">
        <f t="shared" ref="AH470:AH517" si="303">+IF($E470=0, 0, AE470/$E470)</f>
        <v>0</v>
      </c>
      <c r="AI470" s="16">
        <f t="shared" ref="AI470:AI517" si="304">+IF($E470=0, 0, AF470/$E470)</f>
        <v>115.32727272727273</v>
      </c>
      <c r="AJ470" s="15">
        <f t="shared" ref="AJ470:AJ517" si="305">+U470-F470</f>
        <v>607</v>
      </c>
      <c r="AK470" s="13">
        <f t="shared" ref="AK470:AK517" si="306">+V470-G470</f>
        <v>0</v>
      </c>
      <c r="AL470" s="56">
        <f t="shared" ref="AL470:AL517" si="307">+W470-H470</f>
        <v>607</v>
      </c>
      <c r="AM470" s="51">
        <f t="shared" ref="AM470:AM517" si="308">+X470-I470</f>
        <v>0</v>
      </c>
      <c r="AN470" s="13">
        <f t="shared" ref="AN470:AN517" si="309">+Y470-J470</f>
        <v>0</v>
      </c>
      <c r="AO470" s="56">
        <f t="shared" ref="AO470:AO517" si="310">+Z470-K470</f>
        <v>0</v>
      </c>
      <c r="AP470" s="51">
        <f t="shared" ref="AP470:AP517" si="311">+AA470-L470</f>
        <v>0</v>
      </c>
      <c r="AQ470" s="13">
        <f t="shared" ref="AQ470:AQ517" si="312">+AB470-M470</f>
        <v>0</v>
      </c>
      <c r="AR470" s="56">
        <f t="shared" ref="AR470:AR517" si="313">+AC470-N470</f>
        <v>0</v>
      </c>
      <c r="AS470" s="51">
        <f t="shared" ref="AS470:AS517" si="314">+AD470-O470</f>
        <v>607</v>
      </c>
      <c r="AT470" s="13">
        <f t="shared" ref="AT470:AT517" si="315">+AE470-P470</f>
        <v>0</v>
      </c>
      <c r="AU470" s="56">
        <f t="shared" ref="AU470:AU517" si="316">+AF470-Q470</f>
        <v>607</v>
      </c>
      <c r="AV470" s="13">
        <f t="shared" ref="AV470:AV517" si="317">+AG470-R470</f>
        <v>2.759090909090915</v>
      </c>
      <c r="AW470" s="13">
        <f t="shared" ref="AW470:AW517" si="318">+AH470-S470</f>
        <v>0</v>
      </c>
      <c r="AX470" s="16">
        <f t="shared" ref="AX470:AX517" si="319">+AI470-T470</f>
        <v>2.759090909090915</v>
      </c>
    </row>
    <row r="471" spans="1:50" x14ac:dyDescent="0.25">
      <c r="A471" s="20">
        <v>4166</v>
      </c>
      <c r="B471">
        <v>7</v>
      </c>
      <c r="C471" s="23" t="s">
        <v>91</v>
      </c>
      <c r="D471" s="23">
        <v>7</v>
      </c>
      <c r="E471" s="15">
        <f>+SUMIF('GE16FEB14 Unfudged'!$A$2:$A$498, $A471, 'GE16FEB14 Unfudged'!$D$2:$D$498)</f>
        <v>120</v>
      </c>
      <c r="F471" s="15">
        <f>+SUMIF('GE16FEB14 Unfudged'!$A$2:$A$498, 'Tax Bill Summary'!$A471, 'GE16FEB14 Unfudged'!E$2:E$498)</f>
        <v>13508</v>
      </c>
      <c r="G471" s="13">
        <f>+SUMIF('GE16FEB14 Unfudged'!$A$2:$A$498, 'Tax Bill Summary'!$A471, 'GE16FEB14 Unfudged'!F$2:F$498)</f>
        <v>0</v>
      </c>
      <c r="H471" s="56">
        <f t="shared" si="287"/>
        <v>13508</v>
      </c>
      <c r="I471" s="51">
        <f>+SUMIF('GE16FEB14 Unfudged'!$A$2:$A$498, 'Tax Bill Summary'!$A471, 'GE16FEB14 Unfudged'!G$2:G$498)</f>
        <v>0</v>
      </c>
      <c r="J471" s="13">
        <f>+SUMIF('GE16FEB14 Unfudged'!$A$2:$A$498, 'Tax Bill Summary'!$A471, 'GE16FEB14 Unfudged'!H$2:H$498)</f>
        <v>0</v>
      </c>
      <c r="K471" s="56">
        <f t="shared" si="288"/>
        <v>0</v>
      </c>
      <c r="L471" s="51">
        <f>+SUMIF('GE16FEB14 Unfudged'!$A$2:$A$498, 'Tax Bill Summary'!$A471, 'GE16FEB14 Unfudged'!I$2:IF$498)</f>
        <v>0</v>
      </c>
      <c r="M471" s="13">
        <f>+SUMIF('GE16FEB14 Unfudged'!$A$2:$A$498, 'Tax Bill Summary'!$A471, 'GE16FEB14 Unfudged'!J$2:IG$498)</f>
        <v>0</v>
      </c>
      <c r="N471" s="56">
        <f t="shared" si="289"/>
        <v>0</v>
      </c>
      <c r="O471" s="51">
        <f t="shared" si="290"/>
        <v>13508</v>
      </c>
      <c r="P471" s="13">
        <f t="shared" si="291"/>
        <v>0</v>
      </c>
      <c r="Q471" s="56">
        <f t="shared" si="292"/>
        <v>13508</v>
      </c>
      <c r="R471" s="13">
        <f t="shared" si="293"/>
        <v>112.56666666666666</v>
      </c>
      <c r="S471" s="13">
        <f t="shared" si="294"/>
        <v>0</v>
      </c>
      <c r="T471" s="16">
        <f t="shared" si="295"/>
        <v>112.56666666666666</v>
      </c>
      <c r="U471" s="15">
        <f>+SUMIF('GE16FEB14 Tax Bill Unfudged'!$A$2:$A$498, 'Tax Bill Summary'!$A471, 'GE16FEB14 Tax Bill Unfudged'!E$2:E$498)</f>
        <v>13839</v>
      </c>
      <c r="V471" s="13">
        <f>+SUMIF('GE16FEB14 Tax Bill Unfudged'!$A$2:$A$498, 'Tax Bill Summary'!$A471, 'GE16FEB14 Tax Bill Unfudged'!F$2:F$498)</f>
        <v>0</v>
      </c>
      <c r="W471" s="56">
        <f t="shared" si="296"/>
        <v>13839</v>
      </c>
      <c r="X471" s="51">
        <f>+SUMIF('GE16FEB14 Tax Bill Unfudged'!$A$2:$A$498, 'Tax Bill Summary'!$A471, 'GE16FEB14 Tax Bill Unfudged'!G$2:G$498)</f>
        <v>0</v>
      </c>
      <c r="Y471" s="13">
        <f>+SUMIF('GE16FEB14 Tax Bill Unfudged'!$A$2:$A$498, 'Tax Bill Summary'!$A471, 'GE16FEB14 Tax Bill Unfudged'!H$2:H$498)</f>
        <v>0</v>
      </c>
      <c r="Z471" s="56">
        <f t="shared" si="297"/>
        <v>0</v>
      </c>
      <c r="AA471" s="51">
        <f>+SUMIF('GE16FEB14 Tax Bill Unfudged'!$A$2:$A$498, 'Tax Bill Summary'!$A471, 'GE16FEB14 Tax Bill Unfudged'!I$2:I$498)</f>
        <v>0</v>
      </c>
      <c r="AB471" s="13">
        <f>+SUMIF('GE16FEB14 Tax Bill Unfudged'!$A$2:$A$498, 'Tax Bill Summary'!$A471, 'GE16FEB14 Tax Bill Unfudged'!J$2:J$498)</f>
        <v>0</v>
      </c>
      <c r="AC471" s="56">
        <f t="shared" si="298"/>
        <v>0</v>
      </c>
      <c r="AD471" s="51">
        <f t="shared" si="299"/>
        <v>13839</v>
      </c>
      <c r="AE471" s="13">
        <f t="shared" si="300"/>
        <v>0</v>
      </c>
      <c r="AF471" s="56">
        <f t="shared" si="301"/>
        <v>13839</v>
      </c>
      <c r="AG471" s="13">
        <f t="shared" si="302"/>
        <v>115.325</v>
      </c>
      <c r="AH471" s="13">
        <f t="shared" si="303"/>
        <v>0</v>
      </c>
      <c r="AI471" s="16">
        <f t="shared" si="304"/>
        <v>115.325</v>
      </c>
      <c r="AJ471" s="15">
        <f t="shared" si="305"/>
        <v>331</v>
      </c>
      <c r="AK471" s="13">
        <f t="shared" si="306"/>
        <v>0</v>
      </c>
      <c r="AL471" s="56">
        <f t="shared" si="307"/>
        <v>331</v>
      </c>
      <c r="AM471" s="51">
        <f t="shared" si="308"/>
        <v>0</v>
      </c>
      <c r="AN471" s="13">
        <f t="shared" si="309"/>
        <v>0</v>
      </c>
      <c r="AO471" s="56">
        <f t="shared" si="310"/>
        <v>0</v>
      </c>
      <c r="AP471" s="51">
        <f t="shared" si="311"/>
        <v>0</v>
      </c>
      <c r="AQ471" s="13">
        <f t="shared" si="312"/>
        <v>0</v>
      </c>
      <c r="AR471" s="56">
        <f t="shared" si="313"/>
        <v>0</v>
      </c>
      <c r="AS471" s="51">
        <f t="shared" si="314"/>
        <v>331</v>
      </c>
      <c r="AT471" s="13">
        <f t="shared" si="315"/>
        <v>0</v>
      </c>
      <c r="AU471" s="56">
        <f t="shared" si="316"/>
        <v>331</v>
      </c>
      <c r="AV471" s="13">
        <f t="shared" si="317"/>
        <v>2.75833333333334</v>
      </c>
      <c r="AW471" s="13">
        <f t="shared" si="318"/>
        <v>0</v>
      </c>
      <c r="AX471" s="16">
        <f t="shared" si="319"/>
        <v>2.75833333333334</v>
      </c>
    </row>
    <row r="472" spans="1:50" x14ac:dyDescent="0.25">
      <c r="A472" s="20">
        <v>4167</v>
      </c>
      <c r="B472">
        <v>7</v>
      </c>
      <c r="C472" s="23" t="s">
        <v>92</v>
      </c>
      <c r="D472" s="23">
        <v>7</v>
      </c>
      <c r="E472" s="15">
        <f>+SUMIF('GE16FEB14 Unfudged'!$A$2:$A$498, $A472, 'GE16FEB14 Unfudged'!$D$2:$D$498)</f>
        <v>311</v>
      </c>
      <c r="F472" s="15">
        <f>+SUMIF('GE16FEB14 Unfudged'!$A$2:$A$498, 'Tax Bill Summary'!$A472, 'GE16FEB14 Unfudged'!E$2:E$498)</f>
        <v>34952</v>
      </c>
      <c r="G472" s="13">
        <f>+SUMIF('GE16FEB14 Unfudged'!$A$2:$A$498, 'Tax Bill Summary'!$A472, 'GE16FEB14 Unfudged'!F$2:F$498)</f>
        <v>0</v>
      </c>
      <c r="H472" s="56">
        <f t="shared" si="287"/>
        <v>34952</v>
      </c>
      <c r="I472" s="51">
        <f>+SUMIF('GE16FEB14 Unfudged'!$A$2:$A$498, 'Tax Bill Summary'!$A472, 'GE16FEB14 Unfudged'!G$2:G$498)</f>
        <v>0</v>
      </c>
      <c r="J472" s="13">
        <f>+SUMIF('GE16FEB14 Unfudged'!$A$2:$A$498, 'Tax Bill Summary'!$A472, 'GE16FEB14 Unfudged'!H$2:H$498)</f>
        <v>0</v>
      </c>
      <c r="K472" s="56">
        <f t="shared" si="288"/>
        <v>0</v>
      </c>
      <c r="L472" s="51">
        <f>+SUMIF('GE16FEB14 Unfudged'!$A$2:$A$498, 'Tax Bill Summary'!$A472, 'GE16FEB14 Unfudged'!I$2:IF$498)</f>
        <v>0</v>
      </c>
      <c r="M472" s="13">
        <f>+SUMIF('GE16FEB14 Unfudged'!$A$2:$A$498, 'Tax Bill Summary'!$A472, 'GE16FEB14 Unfudged'!J$2:IG$498)</f>
        <v>0</v>
      </c>
      <c r="N472" s="56">
        <f t="shared" si="289"/>
        <v>0</v>
      </c>
      <c r="O472" s="51">
        <f t="shared" si="290"/>
        <v>34952</v>
      </c>
      <c r="P472" s="13">
        <f t="shared" si="291"/>
        <v>0</v>
      </c>
      <c r="Q472" s="56">
        <f t="shared" si="292"/>
        <v>34952</v>
      </c>
      <c r="R472" s="13">
        <f t="shared" si="293"/>
        <v>112.38585209003216</v>
      </c>
      <c r="S472" s="13">
        <f t="shared" si="294"/>
        <v>0</v>
      </c>
      <c r="T472" s="16">
        <f t="shared" si="295"/>
        <v>112.38585209003216</v>
      </c>
      <c r="U472" s="15">
        <f>+SUMIF('GE16FEB14 Tax Bill Unfudged'!$A$2:$A$498, 'Tax Bill Summary'!$A472, 'GE16FEB14 Tax Bill Unfudged'!E$2:E$498)</f>
        <v>35809</v>
      </c>
      <c r="V472" s="13">
        <f>+SUMIF('GE16FEB14 Tax Bill Unfudged'!$A$2:$A$498, 'Tax Bill Summary'!$A472, 'GE16FEB14 Tax Bill Unfudged'!F$2:F$498)</f>
        <v>0</v>
      </c>
      <c r="W472" s="56">
        <f t="shared" si="296"/>
        <v>35809</v>
      </c>
      <c r="X472" s="51">
        <f>+SUMIF('GE16FEB14 Tax Bill Unfudged'!$A$2:$A$498, 'Tax Bill Summary'!$A472, 'GE16FEB14 Tax Bill Unfudged'!G$2:G$498)</f>
        <v>0</v>
      </c>
      <c r="Y472" s="13">
        <f>+SUMIF('GE16FEB14 Tax Bill Unfudged'!$A$2:$A$498, 'Tax Bill Summary'!$A472, 'GE16FEB14 Tax Bill Unfudged'!H$2:H$498)</f>
        <v>0</v>
      </c>
      <c r="Z472" s="56">
        <f t="shared" si="297"/>
        <v>0</v>
      </c>
      <c r="AA472" s="51">
        <f>+SUMIF('GE16FEB14 Tax Bill Unfudged'!$A$2:$A$498, 'Tax Bill Summary'!$A472, 'GE16FEB14 Tax Bill Unfudged'!I$2:I$498)</f>
        <v>0</v>
      </c>
      <c r="AB472" s="13">
        <f>+SUMIF('GE16FEB14 Tax Bill Unfudged'!$A$2:$A$498, 'Tax Bill Summary'!$A472, 'GE16FEB14 Tax Bill Unfudged'!J$2:J$498)</f>
        <v>0</v>
      </c>
      <c r="AC472" s="56">
        <f t="shared" si="298"/>
        <v>0</v>
      </c>
      <c r="AD472" s="51">
        <f t="shared" si="299"/>
        <v>35809</v>
      </c>
      <c r="AE472" s="13">
        <f t="shared" si="300"/>
        <v>0</v>
      </c>
      <c r="AF472" s="56">
        <f t="shared" si="301"/>
        <v>35809</v>
      </c>
      <c r="AG472" s="13">
        <f t="shared" si="302"/>
        <v>115.14147909967846</v>
      </c>
      <c r="AH472" s="13">
        <f t="shared" si="303"/>
        <v>0</v>
      </c>
      <c r="AI472" s="16">
        <f t="shared" si="304"/>
        <v>115.14147909967846</v>
      </c>
      <c r="AJ472" s="15">
        <f t="shared" si="305"/>
        <v>857</v>
      </c>
      <c r="AK472" s="13">
        <f t="shared" si="306"/>
        <v>0</v>
      </c>
      <c r="AL472" s="56">
        <f t="shared" si="307"/>
        <v>857</v>
      </c>
      <c r="AM472" s="51">
        <f t="shared" si="308"/>
        <v>0</v>
      </c>
      <c r="AN472" s="13">
        <f t="shared" si="309"/>
        <v>0</v>
      </c>
      <c r="AO472" s="56">
        <f t="shared" si="310"/>
        <v>0</v>
      </c>
      <c r="AP472" s="51">
        <f t="shared" si="311"/>
        <v>0</v>
      </c>
      <c r="AQ472" s="13">
        <f t="shared" si="312"/>
        <v>0</v>
      </c>
      <c r="AR472" s="56">
        <f t="shared" si="313"/>
        <v>0</v>
      </c>
      <c r="AS472" s="51">
        <f t="shared" si="314"/>
        <v>857</v>
      </c>
      <c r="AT472" s="13">
        <f t="shared" si="315"/>
        <v>0</v>
      </c>
      <c r="AU472" s="56">
        <f t="shared" si="316"/>
        <v>857</v>
      </c>
      <c r="AV472" s="13">
        <f t="shared" si="317"/>
        <v>2.7556270096463038</v>
      </c>
      <c r="AW472" s="13">
        <f t="shared" si="318"/>
        <v>0</v>
      </c>
      <c r="AX472" s="16">
        <f t="shared" si="319"/>
        <v>2.7556270096463038</v>
      </c>
    </row>
    <row r="473" spans="1:50" x14ac:dyDescent="0.25">
      <c r="A473" s="20">
        <v>4168</v>
      </c>
      <c r="B473">
        <v>7</v>
      </c>
      <c r="C473" s="23" t="s">
        <v>93</v>
      </c>
      <c r="D473" s="23">
        <v>7</v>
      </c>
      <c r="E473" s="15">
        <f>+SUMIF('GE16FEB14 Unfudged'!$A$2:$A$498, $A473, 'GE16FEB14 Unfudged'!$D$2:$D$498)</f>
        <v>133</v>
      </c>
      <c r="F473" s="15">
        <f>+SUMIF('GE16FEB14 Unfudged'!$A$2:$A$498, 'Tax Bill Summary'!$A473, 'GE16FEB14 Unfudged'!E$2:E$498)</f>
        <v>14960</v>
      </c>
      <c r="G473" s="13">
        <f>+SUMIF('GE16FEB14 Unfudged'!$A$2:$A$498, 'Tax Bill Summary'!$A473, 'GE16FEB14 Unfudged'!F$2:F$498)</f>
        <v>0</v>
      </c>
      <c r="H473" s="56">
        <f t="shared" si="287"/>
        <v>14960</v>
      </c>
      <c r="I473" s="51">
        <f>+SUMIF('GE16FEB14 Unfudged'!$A$2:$A$498, 'Tax Bill Summary'!$A473, 'GE16FEB14 Unfudged'!G$2:G$498)</f>
        <v>0</v>
      </c>
      <c r="J473" s="13">
        <f>+SUMIF('GE16FEB14 Unfudged'!$A$2:$A$498, 'Tax Bill Summary'!$A473, 'GE16FEB14 Unfudged'!H$2:H$498)</f>
        <v>0</v>
      </c>
      <c r="K473" s="56">
        <f t="shared" si="288"/>
        <v>0</v>
      </c>
      <c r="L473" s="51">
        <f>+SUMIF('GE16FEB14 Unfudged'!$A$2:$A$498, 'Tax Bill Summary'!$A473, 'GE16FEB14 Unfudged'!I$2:IF$498)</f>
        <v>0</v>
      </c>
      <c r="M473" s="13">
        <f>+SUMIF('GE16FEB14 Unfudged'!$A$2:$A$498, 'Tax Bill Summary'!$A473, 'GE16FEB14 Unfudged'!J$2:IG$498)</f>
        <v>0</v>
      </c>
      <c r="N473" s="56">
        <f t="shared" si="289"/>
        <v>0</v>
      </c>
      <c r="O473" s="51">
        <f t="shared" si="290"/>
        <v>14960</v>
      </c>
      <c r="P473" s="13">
        <f t="shared" si="291"/>
        <v>0</v>
      </c>
      <c r="Q473" s="56">
        <f t="shared" si="292"/>
        <v>14960</v>
      </c>
      <c r="R473" s="13">
        <f t="shared" si="293"/>
        <v>112.4812030075188</v>
      </c>
      <c r="S473" s="13">
        <f t="shared" si="294"/>
        <v>0</v>
      </c>
      <c r="T473" s="16">
        <f t="shared" si="295"/>
        <v>112.4812030075188</v>
      </c>
      <c r="U473" s="15">
        <f>+SUMIF('GE16FEB14 Tax Bill Unfudged'!$A$2:$A$498, 'Tax Bill Summary'!$A473, 'GE16FEB14 Tax Bill Unfudged'!E$2:E$498)</f>
        <v>15327</v>
      </c>
      <c r="V473" s="13">
        <f>+SUMIF('GE16FEB14 Tax Bill Unfudged'!$A$2:$A$498, 'Tax Bill Summary'!$A473, 'GE16FEB14 Tax Bill Unfudged'!F$2:F$498)</f>
        <v>0</v>
      </c>
      <c r="W473" s="56">
        <f t="shared" si="296"/>
        <v>15327</v>
      </c>
      <c r="X473" s="51">
        <f>+SUMIF('GE16FEB14 Tax Bill Unfudged'!$A$2:$A$498, 'Tax Bill Summary'!$A473, 'GE16FEB14 Tax Bill Unfudged'!G$2:G$498)</f>
        <v>0</v>
      </c>
      <c r="Y473" s="13">
        <f>+SUMIF('GE16FEB14 Tax Bill Unfudged'!$A$2:$A$498, 'Tax Bill Summary'!$A473, 'GE16FEB14 Tax Bill Unfudged'!H$2:H$498)</f>
        <v>0</v>
      </c>
      <c r="Z473" s="56">
        <f t="shared" si="297"/>
        <v>0</v>
      </c>
      <c r="AA473" s="51">
        <f>+SUMIF('GE16FEB14 Tax Bill Unfudged'!$A$2:$A$498, 'Tax Bill Summary'!$A473, 'GE16FEB14 Tax Bill Unfudged'!I$2:I$498)</f>
        <v>0</v>
      </c>
      <c r="AB473" s="13">
        <f>+SUMIF('GE16FEB14 Tax Bill Unfudged'!$A$2:$A$498, 'Tax Bill Summary'!$A473, 'GE16FEB14 Tax Bill Unfudged'!J$2:J$498)</f>
        <v>0</v>
      </c>
      <c r="AC473" s="56">
        <f t="shared" si="298"/>
        <v>0</v>
      </c>
      <c r="AD473" s="51">
        <f t="shared" si="299"/>
        <v>15327</v>
      </c>
      <c r="AE473" s="13">
        <f t="shared" si="300"/>
        <v>0</v>
      </c>
      <c r="AF473" s="56">
        <f t="shared" si="301"/>
        <v>15327</v>
      </c>
      <c r="AG473" s="13">
        <f t="shared" si="302"/>
        <v>115.24060150375939</v>
      </c>
      <c r="AH473" s="13">
        <f t="shared" si="303"/>
        <v>0</v>
      </c>
      <c r="AI473" s="16">
        <f t="shared" si="304"/>
        <v>115.24060150375939</v>
      </c>
      <c r="AJ473" s="15">
        <f t="shared" si="305"/>
        <v>367</v>
      </c>
      <c r="AK473" s="13">
        <f t="shared" si="306"/>
        <v>0</v>
      </c>
      <c r="AL473" s="56">
        <f t="shared" si="307"/>
        <v>367</v>
      </c>
      <c r="AM473" s="51">
        <f t="shared" si="308"/>
        <v>0</v>
      </c>
      <c r="AN473" s="13">
        <f t="shared" si="309"/>
        <v>0</v>
      </c>
      <c r="AO473" s="56">
        <f t="shared" si="310"/>
        <v>0</v>
      </c>
      <c r="AP473" s="51">
        <f t="shared" si="311"/>
        <v>0</v>
      </c>
      <c r="AQ473" s="13">
        <f t="shared" si="312"/>
        <v>0</v>
      </c>
      <c r="AR473" s="56">
        <f t="shared" si="313"/>
        <v>0</v>
      </c>
      <c r="AS473" s="51">
        <f t="shared" si="314"/>
        <v>367</v>
      </c>
      <c r="AT473" s="13">
        <f t="shared" si="315"/>
        <v>0</v>
      </c>
      <c r="AU473" s="56">
        <f t="shared" si="316"/>
        <v>367</v>
      </c>
      <c r="AV473" s="13">
        <f t="shared" si="317"/>
        <v>2.7593984962405926</v>
      </c>
      <c r="AW473" s="13">
        <f t="shared" si="318"/>
        <v>0</v>
      </c>
      <c r="AX473" s="16">
        <f t="shared" si="319"/>
        <v>2.7593984962405926</v>
      </c>
    </row>
    <row r="474" spans="1:50" x14ac:dyDescent="0.25">
      <c r="A474" s="20">
        <v>4169</v>
      </c>
      <c r="B474">
        <v>7</v>
      </c>
      <c r="C474" s="23" t="s">
        <v>506</v>
      </c>
      <c r="D474" s="23">
        <v>7</v>
      </c>
      <c r="E474" s="15">
        <f>+SUMIF('GE16FEB14 Unfudged'!$A$2:$A$498, $A474, 'GE16FEB14 Unfudged'!$D$2:$D$498)</f>
        <v>291</v>
      </c>
      <c r="F474" s="15">
        <f>+SUMIF('GE16FEB14 Unfudged'!$A$2:$A$498, 'Tax Bill Summary'!$A474, 'GE16FEB14 Unfudged'!E$2:E$498)</f>
        <v>32780</v>
      </c>
      <c r="G474" s="13">
        <f>+SUMIF('GE16FEB14 Unfudged'!$A$2:$A$498, 'Tax Bill Summary'!$A474, 'GE16FEB14 Unfudged'!F$2:F$498)</f>
        <v>0</v>
      </c>
      <c r="H474" s="56">
        <f t="shared" si="287"/>
        <v>32780</v>
      </c>
      <c r="I474" s="51">
        <f>+SUMIF('GE16FEB14 Unfudged'!$A$2:$A$498, 'Tax Bill Summary'!$A474, 'GE16FEB14 Unfudged'!G$2:G$498)</f>
        <v>0</v>
      </c>
      <c r="J474" s="13">
        <f>+SUMIF('GE16FEB14 Unfudged'!$A$2:$A$498, 'Tax Bill Summary'!$A474, 'GE16FEB14 Unfudged'!H$2:H$498)</f>
        <v>0</v>
      </c>
      <c r="K474" s="56">
        <f t="shared" si="288"/>
        <v>0</v>
      </c>
      <c r="L474" s="51">
        <f>+SUMIF('GE16FEB14 Unfudged'!$A$2:$A$498, 'Tax Bill Summary'!$A474, 'GE16FEB14 Unfudged'!I$2:IF$498)</f>
        <v>0</v>
      </c>
      <c r="M474" s="13">
        <f>+SUMIF('GE16FEB14 Unfudged'!$A$2:$A$498, 'Tax Bill Summary'!$A474, 'GE16FEB14 Unfudged'!J$2:IG$498)</f>
        <v>0</v>
      </c>
      <c r="N474" s="56">
        <f t="shared" si="289"/>
        <v>0</v>
      </c>
      <c r="O474" s="51">
        <f t="shared" si="290"/>
        <v>32780</v>
      </c>
      <c r="P474" s="13">
        <f t="shared" si="291"/>
        <v>0</v>
      </c>
      <c r="Q474" s="56">
        <f t="shared" si="292"/>
        <v>32780</v>
      </c>
      <c r="R474" s="13">
        <f t="shared" si="293"/>
        <v>112.64604810996563</v>
      </c>
      <c r="S474" s="13">
        <f t="shared" si="294"/>
        <v>0</v>
      </c>
      <c r="T474" s="16">
        <f t="shared" si="295"/>
        <v>112.64604810996563</v>
      </c>
      <c r="U474" s="15">
        <f>+SUMIF('GE16FEB14 Tax Bill Unfudged'!$A$2:$A$498, 'Tax Bill Summary'!$A474, 'GE16FEB14 Tax Bill Unfudged'!E$2:E$498)</f>
        <v>33584</v>
      </c>
      <c r="V474" s="13">
        <f>+SUMIF('GE16FEB14 Tax Bill Unfudged'!$A$2:$A$498, 'Tax Bill Summary'!$A474, 'GE16FEB14 Tax Bill Unfudged'!F$2:F$498)</f>
        <v>0</v>
      </c>
      <c r="W474" s="56">
        <f t="shared" si="296"/>
        <v>33584</v>
      </c>
      <c r="X474" s="51">
        <f>+SUMIF('GE16FEB14 Tax Bill Unfudged'!$A$2:$A$498, 'Tax Bill Summary'!$A474, 'GE16FEB14 Tax Bill Unfudged'!G$2:G$498)</f>
        <v>0</v>
      </c>
      <c r="Y474" s="13">
        <f>+SUMIF('GE16FEB14 Tax Bill Unfudged'!$A$2:$A$498, 'Tax Bill Summary'!$A474, 'GE16FEB14 Tax Bill Unfudged'!H$2:H$498)</f>
        <v>0</v>
      </c>
      <c r="Z474" s="56">
        <f t="shared" si="297"/>
        <v>0</v>
      </c>
      <c r="AA474" s="51">
        <f>+SUMIF('GE16FEB14 Tax Bill Unfudged'!$A$2:$A$498, 'Tax Bill Summary'!$A474, 'GE16FEB14 Tax Bill Unfudged'!I$2:I$498)</f>
        <v>0</v>
      </c>
      <c r="AB474" s="13">
        <f>+SUMIF('GE16FEB14 Tax Bill Unfudged'!$A$2:$A$498, 'Tax Bill Summary'!$A474, 'GE16FEB14 Tax Bill Unfudged'!J$2:J$498)</f>
        <v>0</v>
      </c>
      <c r="AC474" s="56">
        <f t="shared" si="298"/>
        <v>0</v>
      </c>
      <c r="AD474" s="51">
        <f t="shared" si="299"/>
        <v>33584</v>
      </c>
      <c r="AE474" s="13">
        <f t="shared" si="300"/>
        <v>0</v>
      </c>
      <c r="AF474" s="56">
        <f t="shared" si="301"/>
        <v>33584</v>
      </c>
      <c r="AG474" s="13">
        <f t="shared" si="302"/>
        <v>115.40893470790378</v>
      </c>
      <c r="AH474" s="13">
        <f t="shared" si="303"/>
        <v>0</v>
      </c>
      <c r="AI474" s="16">
        <f t="shared" si="304"/>
        <v>115.40893470790378</v>
      </c>
      <c r="AJ474" s="15">
        <f t="shared" si="305"/>
        <v>804</v>
      </c>
      <c r="AK474" s="13">
        <f t="shared" si="306"/>
        <v>0</v>
      </c>
      <c r="AL474" s="56">
        <f t="shared" si="307"/>
        <v>804</v>
      </c>
      <c r="AM474" s="51">
        <f t="shared" si="308"/>
        <v>0</v>
      </c>
      <c r="AN474" s="13">
        <f t="shared" si="309"/>
        <v>0</v>
      </c>
      <c r="AO474" s="56">
        <f t="shared" si="310"/>
        <v>0</v>
      </c>
      <c r="AP474" s="51">
        <f t="shared" si="311"/>
        <v>0</v>
      </c>
      <c r="AQ474" s="13">
        <f t="shared" si="312"/>
        <v>0</v>
      </c>
      <c r="AR474" s="56">
        <f t="shared" si="313"/>
        <v>0</v>
      </c>
      <c r="AS474" s="51">
        <f t="shared" si="314"/>
        <v>804</v>
      </c>
      <c r="AT474" s="13">
        <f t="shared" si="315"/>
        <v>0</v>
      </c>
      <c r="AU474" s="56">
        <f t="shared" si="316"/>
        <v>804</v>
      </c>
      <c r="AV474" s="13">
        <f t="shared" si="317"/>
        <v>2.7628865979381487</v>
      </c>
      <c r="AW474" s="13">
        <f t="shared" si="318"/>
        <v>0</v>
      </c>
      <c r="AX474" s="16">
        <f t="shared" si="319"/>
        <v>2.7628865979381487</v>
      </c>
    </row>
    <row r="475" spans="1:50" x14ac:dyDescent="0.25">
      <c r="A475" s="20">
        <v>4170</v>
      </c>
      <c r="B475">
        <v>7</v>
      </c>
      <c r="C475" s="23" t="s">
        <v>94</v>
      </c>
      <c r="D475" s="23">
        <v>7</v>
      </c>
      <c r="E475" s="15">
        <f>+SUMIF('GE16FEB14 Unfudged'!$A$2:$A$498, $A475, 'GE16FEB14 Unfudged'!$D$2:$D$498)</f>
        <v>957</v>
      </c>
      <c r="F475" s="15">
        <f>+SUMIF('GE16FEB14 Unfudged'!$A$2:$A$498, 'Tax Bill Summary'!$A475, 'GE16FEB14 Unfudged'!E$2:E$498)</f>
        <v>107727</v>
      </c>
      <c r="G475" s="13">
        <f>+SUMIF('GE16FEB14 Unfudged'!$A$2:$A$498, 'Tax Bill Summary'!$A475, 'GE16FEB14 Unfudged'!F$2:F$498)</f>
        <v>0</v>
      </c>
      <c r="H475" s="56">
        <f t="shared" si="287"/>
        <v>107727</v>
      </c>
      <c r="I475" s="51">
        <f>+SUMIF('GE16FEB14 Unfudged'!$A$2:$A$498, 'Tax Bill Summary'!$A475, 'GE16FEB14 Unfudged'!G$2:G$498)</f>
        <v>0</v>
      </c>
      <c r="J475" s="13">
        <f>+SUMIF('GE16FEB14 Unfudged'!$A$2:$A$498, 'Tax Bill Summary'!$A475, 'GE16FEB14 Unfudged'!H$2:H$498)</f>
        <v>0</v>
      </c>
      <c r="K475" s="56">
        <f t="shared" si="288"/>
        <v>0</v>
      </c>
      <c r="L475" s="51">
        <f>+SUMIF('GE16FEB14 Unfudged'!$A$2:$A$498, 'Tax Bill Summary'!$A475, 'GE16FEB14 Unfudged'!I$2:IF$498)</f>
        <v>0</v>
      </c>
      <c r="M475" s="13">
        <f>+SUMIF('GE16FEB14 Unfudged'!$A$2:$A$498, 'Tax Bill Summary'!$A475, 'GE16FEB14 Unfudged'!J$2:IG$498)</f>
        <v>0</v>
      </c>
      <c r="N475" s="56">
        <f t="shared" si="289"/>
        <v>0</v>
      </c>
      <c r="O475" s="51">
        <f t="shared" si="290"/>
        <v>107727</v>
      </c>
      <c r="P475" s="13">
        <f t="shared" si="291"/>
        <v>0</v>
      </c>
      <c r="Q475" s="56">
        <f t="shared" si="292"/>
        <v>107727</v>
      </c>
      <c r="R475" s="13">
        <f t="shared" si="293"/>
        <v>112.56739811912226</v>
      </c>
      <c r="S475" s="13">
        <f t="shared" si="294"/>
        <v>0</v>
      </c>
      <c r="T475" s="16">
        <f t="shared" si="295"/>
        <v>112.56739811912226</v>
      </c>
      <c r="U475" s="15">
        <f>+SUMIF('GE16FEB14 Tax Bill Unfudged'!$A$2:$A$498, 'Tax Bill Summary'!$A475, 'GE16FEB14 Tax Bill Unfudged'!E$2:E$498)</f>
        <v>110369</v>
      </c>
      <c r="V475" s="13">
        <f>+SUMIF('GE16FEB14 Tax Bill Unfudged'!$A$2:$A$498, 'Tax Bill Summary'!$A475, 'GE16FEB14 Tax Bill Unfudged'!F$2:F$498)</f>
        <v>0</v>
      </c>
      <c r="W475" s="56">
        <f t="shared" si="296"/>
        <v>110369</v>
      </c>
      <c r="X475" s="51">
        <f>+SUMIF('GE16FEB14 Tax Bill Unfudged'!$A$2:$A$498, 'Tax Bill Summary'!$A475, 'GE16FEB14 Tax Bill Unfudged'!G$2:G$498)</f>
        <v>0</v>
      </c>
      <c r="Y475" s="13">
        <f>+SUMIF('GE16FEB14 Tax Bill Unfudged'!$A$2:$A$498, 'Tax Bill Summary'!$A475, 'GE16FEB14 Tax Bill Unfudged'!H$2:H$498)</f>
        <v>0</v>
      </c>
      <c r="Z475" s="56">
        <f t="shared" si="297"/>
        <v>0</v>
      </c>
      <c r="AA475" s="51">
        <f>+SUMIF('GE16FEB14 Tax Bill Unfudged'!$A$2:$A$498, 'Tax Bill Summary'!$A475, 'GE16FEB14 Tax Bill Unfudged'!I$2:I$498)</f>
        <v>0</v>
      </c>
      <c r="AB475" s="13">
        <f>+SUMIF('GE16FEB14 Tax Bill Unfudged'!$A$2:$A$498, 'Tax Bill Summary'!$A475, 'GE16FEB14 Tax Bill Unfudged'!J$2:J$498)</f>
        <v>0</v>
      </c>
      <c r="AC475" s="56">
        <f t="shared" si="298"/>
        <v>0</v>
      </c>
      <c r="AD475" s="51">
        <f t="shared" si="299"/>
        <v>110369</v>
      </c>
      <c r="AE475" s="13">
        <f t="shared" si="300"/>
        <v>0</v>
      </c>
      <c r="AF475" s="56">
        <f t="shared" si="301"/>
        <v>110369</v>
      </c>
      <c r="AG475" s="13">
        <f t="shared" si="302"/>
        <v>115.32810867293625</v>
      </c>
      <c r="AH475" s="13">
        <f t="shared" si="303"/>
        <v>0</v>
      </c>
      <c r="AI475" s="16">
        <f t="shared" si="304"/>
        <v>115.32810867293625</v>
      </c>
      <c r="AJ475" s="15">
        <f t="shared" si="305"/>
        <v>2642</v>
      </c>
      <c r="AK475" s="13">
        <f t="shared" si="306"/>
        <v>0</v>
      </c>
      <c r="AL475" s="56">
        <f t="shared" si="307"/>
        <v>2642</v>
      </c>
      <c r="AM475" s="51">
        <f t="shared" si="308"/>
        <v>0</v>
      </c>
      <c r="AN475" s="13">
        <f t="shared" si="309"/>
        <v>0</v>
      </c>
      <c r="AO475" s="56">
        <f t="shared" si="310"/>
        <v>0</v>
      </c>
      <c r="AP475" s="51">
        <f t="shared" si="311"/>
        <v>0</v>
      </c>
      <c r="AQ475" s="13">
        <f t="shared" si="312"/>
        <v>0</v>
      </c>
      <c r="AR475" s="56">
        <f t="shared" si="313"/>
        <v>0</v>
      </c>
      <c r="AS475" s="51">
        <f t="shared" si="314"/>
        <v>2642</v>
      </c>
      <c r="AT475" s="13">
        <f t="shared" si="315"/>
        <v>0</v>
      </c>
      <c r="AU475" s="56">
        <f t="shared" si="316"/>
        <v>2642</v>
      </c>
      <c r="AV475" s="13">
        <f t="shared" si="317"/>
        <v>2.7607105538139933</v>
      </c>
      <c r="AW475" s="13">
        <f t="shared" si="318"/>
        <v>0</v>
      </c>
      <c r="AX475" s="16">
        <f t="shared" si="319"/>
        <v>2.7607105538139933</v>
      </c>
    </row>
    <row r="476" spans="1:50" x14ac:dyDescent="0.25">
      <c r="A476" s="20">
        <v>4171</v>
      </c>
      <c r="B476">
        <v>7</v>
      </c>
      <c r="C476" s="23" t="s">
        <v>95</v>
      </c>
      <c r="D476" s="23">
        <v>7</v>
      </c>
      <c r="E476" s="15">
        <f>+SUMIF('GE16FEB14 Unfudged'!$A$2:$A$498, $A476, 'GE16FEB14 Unfudged'!$D$2:$D$498)</f>
        <v>528</v>
      </c>
      <c r="F476" s="15">
        <f>+SUMIF('GE16FEB14 Unfudged'!$A$2:$A$498, 'Tax Bill Summary'!$A476, 'GE16FEB14 Unfudged'!E$2:E$498)</f>
        <v>59436</v>
      </c>
      <c r="G476" s="13">
        <f>+SUMIF('GE16FEB14 Unfudged'!$A$2:$A$498, 'Tax Bill Summary'!$A476, 'GE16FEB14 Unfudged'!F$2:F$498)</f>
        <v>0</v>
      </c>
      <c r="H476" s="56">
        <f t="shared" si="287"/>
        <v>59436</v>
      </c>
      <c r="I476" s="51">
        <f>+SUMIF('GE16FEB14 Unfudged'!$A$2:$A$498, 'Tax Bill Summary'!$A476, 'GE16FEB14 Unfudged'!G$2:G$498)</f>
        <v>0</v>
      </c>
      <c r="J476" s="13">
        <f>+SUMIF('GE16FEB14 Unfudged'!$A$2:$A$498, 'Tax Bill Summary'!$A476, 'GE16FEB14 Unfudged'!H$2:H$498)</f>
        <v>0</v>
      </c>
      <c r="K476" s="56">
        <f t="shared" si="288"/>
        <v>0</v>
      </c>
      <c r="L476" s="51">
        <f>+SUMIF('GE16FEB14 Unfudged'!$A$2:$A$498, 'Tax Bill Summary'!$A476, 'GE16FEB14 Unfudged'!I$2:IF$498)</f>
        <v>0</v>
      </c>
      <c r="M476" s="13">
        <f>+SUMIF('GE16FEB14 Unfudged'!$A$2:$A$498, 'Tax Bill Summary'!$A476, 'GE16FEB14 Unfudged'!J$2:IG$498)</f>
        <v>0</v>
      </c>
      <c r="N476" s="56">
        <f t="shared" si="289"/>
        <v>0</v>
      </c>
      <c r="O476" s="51">
        <f t="shared" si="290"/>
        <v>59436</v>
      </c>
      <c r="P476" s="13">
        <f t="shared" si="291"/>
        <v>0</v>
      </c>
      <c r="Q476" s="56">
        <f t="shared" si="292"/>
        <v>59436</v>
      </c>
      <c r="R476" s="13">
        <f t="shared" si="293"/>
        <v>112.56818181818181</v>
      </c>
      <c r="S476" s="13">
        <f t="shared" si="294"/>
        <v>0</v>
      </c>
      <c r="T476" s="16">
        <f t="shared" si="295"/>
        <v>112.56818181818181</v>
      </c>
      <c r="U476" s="15">
        <f>+SUMIF('GE16FEB14 Tax Bill Unfudged'!$A$2:$A$498, 'Tax Bill Summary'!$A476, 'GE16FEB14 Tax Bill Unfudged'!E$2:E$498)</f>
        <v>60893</v>
      </c>
      <c r="V476" s="13">
        <f>+SUMIF('GE16FEB14 Tax Bill Unfudged'!$A$2:$A$498, 'Tax Bill Summary'!$A476, 'GE16FEB14 Tax Bill Unfudged'!F$2:F$498)</f>
        <v>0</v>
      </c>
      <c r="W476" s="56">
        <f t="shared" si="296"/>
        <v>60893</v>
      </c>
      <c r="X476" s="51">
        <f>+SUMIF('GE16FEB14 Tax Bill Unfudged'!$A$2:$A$498, 'Tax Bill Summary'!$A476, 'GE16FEB14 Tax Bill Unfudged'!G$2:G$498)</f>
        <v>0</v>
      </c>
      <c r="Y476" s="13">
        <f>+SUMIF('GE16FEB14 Tax Bill Unfudged'!$A$2:$A$498, 'Tax Bill Summary'!$A476, 'GE16FEB14 Tax Bill Unfudged'!H$2:H$498)</f>
        <v>0</v>
      </c>
      <c r="Z476" s="56">
        <f t="shared" si="297"/>
        <v>0</v>
      </c>
      <c r="AA476" s="51">
        <f>+SUMIF('GE16FEB14 Tax Bill Unfudged'!$A$2:$A$498, 'Tax Bill Summary'!$A476, 'GE16FEB14 Tax Bill Unfudged'!I$2:I$498)</f>
        <v>0</v>
      </c>
      <c r="AB476" s="13">
        <f>+SUMIF('GE16FEB14 Tax Bill Unfudged'!$A$2:$A$498, 'Tax Bill Summary'!$A476, 'GE16FEB14 Tax Bill Unfudged'!J$2:J$498)</f>
        <v>0</v>
      </c>
      <c r="AC476" s="56">
        <f t="shared" si="298"/>
        <v>0</v>
      </c>
      <c r="AD476" s="51">
        <f t="shared" si="299"/>
        <v>60893</v>
      </c>
      <c r="AE476" s="13">
        <f t="shared" si="300"/>
        <v>0</v>
      </c>
      <c r="AF476" s="56">
        <f t="shared" si="301"/>
        <v>60893</v>
      </c>
      <c r="AG476" s="13">
        <f t="shared" si="302"/>
        <v>115.32765151515152</v>
      </c>
      <c r="AH476" s="13">
        <f t="shared" si="303"/>
        <v>0</v>
      </c>
      <c r="AI476" s="16">
        <f t="shared" si="304"/>
        <v>115.32765151515152</v>
      </c>
      <c r="AJ476" s="15">
        <f t="shared" si="305"/>
        <v>1457</v>
      </c>
      <c r="AK476" s="13">
        <f t="shared" si="306"/>
        <v>0</v>
      </c>
      <c r="AL476" s="56">
        <f t="shared" si="307"/>
        <v>1457</v>
      </c>
      <c r="AM476" s="51">
        <f t="shared" si="308"/>
        <v>0</v>
      </c>
      <c r="AN476" s="13">
        <f t="shared" si="309"/>
        <v>0</v>
      </c>
      <c r="AO476" s="56">
        <f t="shared" si="310"/>
        <v>0</v>
      </c>
      <c r="AP476" s="51">
        <f t="shared" si="311"/>
        <v>0</v>
      </c>
      <c r="AQ476" s="13">
        <f t="shared" si="312"/>
        <v>0</v>
      </c>
      <c r="AR476" s="56">
        <f t="shared" si="313"/>
        <v>0</v>
      </c>
      <c r="AS476" s="51">
        <f t="shared" si="314"/>
        <v>1457</v>
      </c>
      <c r="AT476" s="13">
        <f t="shared" si="315"/>
        <v>0</v>
      </c>
      <c r="AU476" s="56">
        <f t="shared" si="316"/>
        <v>1457</v>
      </c>
      <c r="AV476" s="13">
        <f t="shared" si="317"/>
        <v>2.7594696969697026</v>
      </c>
      <c r="AW476" s="13">
        <f t="shared" si="318"/>
        <v>0</v>
      </c>
      <c r="AX476" s="16">
        <f t="shared" si="319"/>
        <v>2.7594696969697026</v>
      </c>
    </row>
    <row r="477" spans="1:50" x14ac:dyDescent="0.25">
      <c r="A477" s="20">
        <v>4172</v>
      </c>
      <c r="B477">
        <v>7</v>
      </c>
      <c r="C477" s="23" t="s">
        <v>96</v>
      </c>
      <c r="D477" s="23">
        <v>7</v>
      </c>
      <c r="E477" s="15">
        <f>+SUMIF('GE16FEB14 Unfudged'!$A$2:$A$498, $A477, 'GE16FEB14 Unfudged'!$D$2:$D$498)</f>
        <v>68</v>
      </c>
      <c r="F477" s="15">
        <f>+SUMIF('GE16FEB14 Unfudged'!$A$2:$A$498, 'Tax Bill Summary'!$A477, 'GE16FEB14 Unfudged'!E$2:E$498)</f>
        <v>7655</v>
      </c>
      <c r="G477" s="13">
        <f>+SUMIF('GE16FEB14 Unfudged'!$A$2:$A$498, 'Tax Bill Summary'!$A477, 'GE16FEB14 Unfudged'!F$2:F$498)</f>
        <v>0</v>
      </c>
      <c r="H477" s="56">
        <f t="shared" si="287"/>
        <v>7655</v>
      </c>
      <c r="I477" s="51">
        <f>+SUMIF('GE16FEB14 Unfudged'!$A$2:$A$498, 'Tax Bill Summary'!$A477, 'GE16FEB14 Unfudged'!G$2:G$498)</f>
        <v>0</v>
      </c>
      <c r="J477" s="13">
        <f>+SUMIF('GE16FEB14 Unfudged'!$A$2:$A$498, 'Tax Bill Summary'!$A477, 'GE16FEB14 Unfudged'!H$2:H$498)</f>
        <v>0</v>
      </c>
      <c r="K477" s="56">
        <f t="shared" si="288"/>
        <v>0</v>
      </c>
      <c r="L477" s="51">
        <f>+SUMIF('GE16FEB14 Unfudged'!$A$2:$A$498, 'Tax Bill Summary'!$A477, 'GE16FEB14 Unfudged'!I$2:IF$498)</f>
        <v>0</v>
      </c>
      <c r="M477" s="13">
        <f>+SUMIF('GE16FEB14 Unfudged'!$A$2:$A$498, 'Tax Bill Summary'!$A477, 'GE16FEB14 Unfudged'!J$2:IG$498)</f>
        <v>0</v>
      </c>
      <c r="N477" s="56">
        <f t="shared" si="289"/>
        <v>0</v>
      </c>
      <c r="O477" s="51">
        <f t="shared" si="290"/>
        <v>7655</v>
      </c>
      <c r="P477" s="13">
        <f t="shared" si="291"/>
        <v>0</v>
      </c>
      <c r="Q477" s="56">
        <f t="shared" si="292"/>
        <v>7655</v>
      </c>
      <c r="R477" s="13">
        <f t="shared" si="293"/>
        <v>112.57352941176471</v>
      </c>
      <c r="S477" s="13">
        <f t="shared" si="294"/>
        <v>0</v>
      </c>
      <c r="T477" s="16">
        <f t="shared" si="295"/>
        <v>112.57352941176471</v>
      </c>
      <c r="U477" s="15">
        <f>+SUMIF('GE16FEB14 Tax Bill Unfudged'!$A$2:$A$498, 'Tax Bill Summary'!$A477, 'GE16FEB14 Tax Bill Unfudged'!E$2:E$498)</f>
        <v>7842</v>
      </c>
      <c r="V477" s="13">
        <f>+SUMIF('GE16FEB14 Tax Bill Unfudged'!$A$2:$A$498, 'Tax Bill Summary'!$A477, 'GE16FEB14 Tax Bill Unfudged'!F$2:F$498)</f>
        <v>0</v>
      </c>
      <c r="W477" s="56">
        <f t="shared" si="296"/>
        <v>7842</v>
      </c>
      <c r="X477" s="51">
        <f>+SUMIF('GE16FEB14 Tax Bill Unfudged'!$A$2:$A$498, 'Tax Bill Summary'!$A477, 'GE16FEB14 Tax Bill Unfudged'!G$2:G$498)</f>
        <v>0</v>
      </c>
      <c r="Y477" s="13">
        <f>+SUMIF('GE16FEB14 Tax Bill Unfudged'!$A$2:$A$498, 'Tax Bill Summary'!$A477, 'GE16FEB14 Tax Bill Unfudged'!H$2:H$498)</f>
        <v>0</v>
      </c>
      <c r="Z477" s="56">
        <f t="shared" si="297"/>
        <v>0</v>
      </c>
      <c r="AA477" s="51">
        <f>+SUMIF('GE16FEB14 Tax Bill Unfudged'!$A$2:$A$498, 'Tax Bill Summary'!$A477, 'GE16FEB14 Tax Bill Unfudged'!I$2:I$498)</f>
        <v>0</v>
      </c>
      <c r="AB477" s="13">
        <f>+SUMIF('GE16FEB14 Tax Bill Unfudged'!$A$2:$A$498, 'Tax Bill Summary'!$A477, 'GE16FEB14 Tax Bill Unfudged'!J$2:J$498)</f>
        <v>0</v>
      </c>
      <c r="AC477" s="56">
        <f t="shared" si="298"/>
        <v>0</v>
      </c>
      <c r="AD477" s="51">
        <f t="shared" si="299"/>
        <v>7842</v>
      </c>
      <c r="AE477" s="13">
        <f t="shared" si="300"/>
        <v>0</v>
      </c>
      <c r="AF477" s="56">
        <f t="shared" si="301"/>
        <v>7842</v>
      </c>
      <c r="AG477" s="13">
        <f t="shared" si="302"/>
        <v>115.32352941176471</v>
      </c>
      <c r="AH477" s="13">
        <f t="shared" si="303"/>
        <v>0</v>
      </c>
      <c r="AI477" s="16">
        <f t="shared" si="304"/>
        <v>115.32352941176471</v>
      </c>
      <c r="AJ477" s="15">
        <f t="shared" si="305"/>
        <v>187</v>
      </c>
      <c r="AK477" s="13">
        <f t="shared" si="306"/>
        <v>0</v>
      </c>
      <c r="AL477" s="56">
        <f t="shared" si="307"/>
        <v>187</v>
      </c>
      <c r="AM477" s="51">
        <f t="shared" si="308"/>
        <v>0</v>
      </c>
      <c r="AN477" s="13">
        <f t="shared" si="309"/>
        <v>0</v>
      </c>
      <c r="AO477" s="56">
        <f t="shared" si="310"/>
        <v>0</v>
      </c>
      <c r="AP477" s="51">
        <f t="shared" si="311"/>
        <v>0</v>
      </c>
      <c r="AQ477" s="13">
        <f t="shared" si="312"/>
        <v>0</v>
      </c>
      <c r="AR477" s="56">
        <f t="shared" si="313"/>
        <v>0</v>
      </c>
      <c r="AS477" s="51">
        <f t="shared" si="314"/>
        <v>187</v>
      </c>
      <c r="AT477" s="13">
        <f t="shared" si="315"/>
        <v>0</v>
      </c>
      <c r="AU477" s="56">
        <f t="shared" si="316"/>
        <v>187</v>
      </c>
      <c r="AV477" s="13">
        <f t="shared" si="317"/>
        <v>2.75</v>
      </c>
      <c r="AW477" s="13">
        <f t="shared" si="318"/>
        <v>0</v>
      </c>
      <c r="AX477" s="16">
        <f t="shared" si="319"/>
        <v>2.75</v>
      </c>
    </row>
    <row r="478" spans="1:50" x14ac:dyDescent="0.25">
      <c r="A478" s="20">
        <v>4173</v>
      </c>
      <c r="B478">
        <v>7</v>
      </c>
      <c r="C478" s="23" t="s">
        <v>97</v>
      </c>
      <c r="D478" s="23">
        <v>7</v>
      </c>
      <c r="E478" s="15">
        <f>+SUMIF('GE16FEB14 Unfudged'!$A$2:$A$498, $A478, 'GE16FEB14 Unfudged'!$D$2:$D$498)</f>
        <v>0</v>
      </c>
      <c r="F478" s="15">
        <f>+SUMIF('GE16FEB14 Unfudged'!$A$2:$A$498, 'Tax Bill Summary'!$A478, 'GE16FEB14 Unfudged'!E$2:E$498)</f>
        <v>0</v>
      </c>
      <c r="G478" s="13">
        <f>+SUMIF('GE16FEB14 Unfudged'!$A$2:$A$498, 'Tax Bill Summary'!$A478, 'GE16FEB14 Unfudged'!F$2:F$498)</f>
        <v>0</v>
      </c>
      <c r="H478" s="56">
        <f t="shared" si="287"/>
        <v>0</v>
      </c>
      <c r="I478" s="51">
        <f>+SUMIF('GE16FEB14 Unfudged'!$A$2:$A$498, 'Tax Bill Summary'!$A478, 'GE16FEB14 Unfudged'!G$2:G$498)</f>
        <v>0</v>
      </c>
      <c r="J478" s="13">
        <f>+SUMIF('GE16FEB14 Unfudged'!$A$2:$A$498, 'Tax Bill Summary'!$A478, 'GE16FEB14 Unfudged'!H$2:H$498)</f>
        <v>0</v>
      </c>
      <c r="K478" s="56">
        <f t="shared" si="288"/>
        <v>0</v>
      </c>
      <c r="L478" s="51">
        <f>+SUMIF('GE16FEB14 Unfudged'!$A$2:$A$498, 'Tax Bill Summary'!$A478, 'GE16FEB14 Unfudged'!I$2:IF$498)</f>
        <v>0</v>
      </c>
      <c r="M478" s="13">
        <f>+SUMIF('GE16FEB14 Unfudged'!$A$2:$A$498, 'Tax Bill Summary'!$A478, 'GE16FEB14 Unfudged'!J$2:IG$498)</f>
        <v>0</v>
      </c>
      <c r="N478" s="56">
        <f t="shared" si="289"/>
        <v>0</v>
      </c>
      <c r="O478" s="51">
        <f t="shared" si="290"/>
        <v>0</v>
      </c>
      <c r="P478" s="13">
        <f t="shared" si="291"/>
        <v>0</v>
      </c>
      <c r="Q478" s="56">
        <f t="shared" si="292"/>
        <v>0</v>
      </c>
      <c r="R478" s="13">
        <f t="shared" si="293"/>
        <v>0</v>
      </c>
      <c r="S478" s="13">
        <f t="shared" si="294"/>
        <v>0</v>
      </c>
      <c r="T478" s="16">
        <f t="shared" si="295"/>
        <v>0</v>
      </c>
      <c r="U478" s="15">
        <f>+SUMIF('GE16FEB14 Tax Bill Unfudged'!$A$2:$A$498, 'Tax Bill Summary'!$A478, 'GE16FEB14 Tax Bill Unfudged'!E$2:E$498)</f>
        <v>0</v>
      </c>
      <c r="V478" s="13">
        <f>+SUMIF('GE16FEB14 Tax Bill Unfudged'!$A$2:$A$498, 'Tax Bill Summary'!$A478, 'GE16FEB14 Tax Bill Unfudged'!F$2:F$498)</f>
        <v>0</v>
      </c>
      <c r="W478" s="56">
        <f t="shared" si="296"/>
        <v>0</v>
      </c>
      <c r="X478" s="51">
        <f>+SUMIF('GE16FEB14 Tax Bill Unfudged'!$A$2:$A$498, 'Tax Bill Summary'!$A478, 'GE16FEB14 Tax Bill Unfudged'!G$2:G$498)</f>
        <v>0</v>
      </c>
      <c r="Y478" s="13">
        <f>+SUMIF('GE16FEB14 Tax Bill Unfudged'!$A$2:$A$498, 'Tax Bill Summary'!$A478, 'GE16FEB14 Tax Bill Unfudged'!H$2:H$498)</f>
        <v>0</v>
      </c>
      <c r="Z478" s="56">
        <f t="shared" si="297"/>
        <v>0</v>
      </c>
      <c r="AA478" s="51">
        <f>+SUMIF('GE16FEB14 Tax Bill Unfudged'!$A$2:$A$498, 'Tax Bill Summary'!$A478, 'GE16FEB14 Tax Bill Unfudged'!I$2:I$498)</f>
        <v>0</v>
      </c>
      <c r="AB478" s="13">
        <f>+SUMIF('GE16FEB14 Tax Bill Unfudged'!$A$2:$A$498, 'Tax Bill Summary'!$A478, 'GE16FEB14 Tax Bill Unfudged'!J$2:J$498)</f>
        <v>0</v>
      </c>
      <c r="AC478" s="56">
        <f t="shared" si="298"/>
        <v>0</v>
      </c>
      <c r="AD478" s="51">
        <f t="shared" si="299"/>
        <v>0</v>
      </c>
      <c r="AE478" s="13">
        <f t="shared" si="300"/>
        <v>0</v>
      </c>
      <c r="AF478" s="56">
        <f t="shared" si="301"/>
        <v>0</v>
      </c>
      <c r="AG478" s="13">
        <f t="shared" si="302"/>
        <v>0</v>
      </c>
      <c r="AH478" s="13">
        <f t="shared" si="303"/>
        <v>0</v>
      </c>
      <c r="AI478" s="16">
        <f t="shared" si="304"/>
        <v>0</v>
      </c>
      <c r="AJ478" s="15">
        <f t="shared" si="305"/>
        <v>0</v>
      </c>
      <c r="AK478" s="13">
        <f t="shared" si="306"/>
        <v>0</v>
      </c>
      <c r="AL478" s="56">
        <f t="shared" si="307"/>
        <v>0</v>
      </c>
      <c r="AM478" s="51">
        <f t="shared" si="308"/>
        <v>0</v>
      </c>
      <c r="AN478" s="13">
        <f t="shared" si="309"/>
        <v>0</v>
      </c>
      <c r="AO478" s="56">
        <f t="shared" si="310"/>
        <v>0</v>
      </c>
      <c r="AP478" s="51">
        <f t="shared" si="311"/>
        <v>0</v>
      </c>
      <c r="AQ478" s="13">
        <f t="shared" si="312"/>
        <v>0</v>
      </c>
      <c r="AR478" s="56">
        <f t="shared" si="313"/>
        <v>0</v>
      </c>
      <c r="AS478" s="51">
        <f t="shared" si="314"/>
        <v>0</v>
      </c>
      <c r="AT478" s="13">
        <f t="shared" si="315"/>
        <v>0</v>
      </c>
      <c r="AU478" s="56">
        <f t="shared" si="316"/>
        <v>0</v>
      </c>
      <c r="AV478" s="13">
        <f t="shared" si="317"/>
        <v>0</v>
      </c>
      <c r="AW478" s="13">
        <f t="shared" si="318"/>
        <v>0</v>
      </c>
      <c r="AX478" s="16">
        <f t="shared" si="319"/>
        <v>0</v>
      </c>
    </row>
    <row r="479" spans="1:50" x14ac:dyDescent="0.25">
      <c r="A479" s="20">
        <v>4174</v>
      </c>
      <c r="B479">
        <v>7</v>
      </c>
      <c r="C479" s="23" t="s">
        <v>98</v>
      </c>
      <c r="D479" s="23">
        <v>7</v>
      </c>
      <c r="E479" s="15">
        <f>+SUMIF('GE16FEB14 Unfudged'!$A$2:$A$498, $A479, 'GE16FEB14 Unfudged'!$D$2:$D$498)</f>
        <v>0</v>
      </c>
      <c r="F479" s="15">
        <f>+SUMIF('GE16FEB14 Unfudged'!$A$2:$A$498, 'Tax Bill Summary'!$A479, 'GE16FEB14 Unfudged'!E$2:E$498)</f>
        <v>0</v>
      </c>
      <c r="G479" s="13">
        <f>+SUMIF('GE16FEB14 Unfudged'!$A$2:$A$498, 'Tax Bill Summary'!$A479, 'GE16FEB14 Unfudged'!F$2:F$498)</f>
        <v>0</v>
      </c>
      <c r="H479" s="56">
        <f t="shared" si="287"/>
        <v>0</v>
      </c>
      <c r="I479" s="51">
        <f>+SUMIF('GE16FEB14 Unfudged'!$A$2:$A$498, 'Tax Bill Summary'!$A479, 'GE16FEB14 Unfudged'!G$2:G$498)</f>
        <v>0</v>
      </c>
      <c r="J479" s="13">
        <f>+SUMIF('GE16FEB14 Unfudged'!$A$2:$A$498, 'Tax Bill Summary'!$A479, 'GE16FEB14 Unfudged'!H$2:H$498)</f>
        <v>0</v>
      </c>
      <c r="K479" s="56">
        <f t="shared" si="288"/>
        <v>0</v>
      </c>
      <c r="L479" s="51">
        <f>+SUMIF('GE16FEB14 Unfudged'!$A$2:$A$498, 'Tax Bill Summary'!$A479, 'GE16FEB14 Unfudged'!I$2:IF$498)</f>
        <v>0</v>
      </c>
      <c r="M479" s="13">
        <f>+SUMIF('GE16FEB14 Unfudged'!$A$2:$A$498, 'Tax Bill Summary'!$A479, 'GE16FEB14 Unfudged'!J$2:IG$498)</f>
        <v>0</v>
      </c>
      <c r="N479" s="56">
        <f t="shared" si="289"/>
        <v>0</v>
      </c>
      <c r="O479" s="51">
        <f t="shared" si="290"/>
        <v>0</v>
      </c>
      <c r="P479" s="13">
        <f t="shared" si="291"/>
        <v>0</v>
      </c>
      <c r="Q479" s="56">
        <f t="shared" si="292"/>
        <v>0</v>
      </c>
      <c r="R479" s="13">
        <f t="shared" si="293"/>
        <v>0</v>
      </c>
      <c r="S479" s="13">
        <f t="shared" si="294"/>
        <v>0</v>
      </c>
      <c r="T479" s="16">
        <f t="shared" si="295"/>
        <v>0</v>
      </c>
      <c r="U479" s="15">
        <f>+SUMIF('GE16FEB14 Tax Bill Unfudged'!$A$2:$A$498, 'Tax Bill Summary'!$A479, 'GE16FEB14 Tax Bill Unfudged'!E$2:E$498)</f>
        <v>0</v>
      </c>
      <c r="V479" s="13">
        <f>+SUMIF('GE16FEB14 Tax Bill Unfudged'!$A$2:$A$498, 'Tax Bill Summary'!$A479, 'GE16FEB14 Tax Bill Unfudged'!F$2:F$498)</f>
        <v>0</v>
      </c>
      <c r="W479" s="56">
        <f t="shared" si="296"/>
        <v>0</v>
      </c>
      <c r="X479" s="51">
        <f>+SUMIF('GE16FEB14 Tax Bill Unfudged'!$A$2:$A$498, 'Tax Bill Summary'!$A479, 'GE16FEB14 Tax Bill Unfudged'!G$2:G$498)</f>
        <v>0</v>
      </c>
      <c r="Y479" s="13">
        <f>+SUMIF('GE16FEB14 Tax Bill Unfudged'!$A$2:$A$498, 'Tax Bill Summary'!$A479, 'GE16FEB14 Tax Bill Unfudged'!H$2:H$498)</f>
        <v>0</v>
      </c>
      <c r="Z479" s="56">
        <f t="shared" si="297"/>
        <v>0</v>
      </c>
      <c r="AA479" s="51">
        <f>+SUMIF('GE16FEB14 Tax Bill Unfudged'!$A$2:$A$498, 'Tax Bill Summary'!$A479, 'GE16FEB14 Tax Bill Unfudged'!I$2:I$498)</f>
        <v>0</v>
      </c>
      <c r="AB479" s="13">
        <f>+SUMIF('GE16FEB14 Tax Bill Unfudged'!$A$2:$A$498, 'Tax Bill Summary'!$A479, 'GE16FEB14 Tax Bill Unfudged'!J$2:J$498)</f>
        <v>0</v>
      </c>
      <c r="AC479" s="56">
        <f t="shared" si="298"/>
        <v>0</v>
      </c>
      <c r="AD479" s="51">
        <f t="shared" si="299"/>
        <v>0</v>
      </c>
      <c r="AE479" s="13">
        <f t="shared" si="300"/>
        <v>0</v>
      </c>
      <c r="AF479" s="56">
        <f t="shared" si="301"/>
        <v>0</v>
      </c>
      <c r="AG479" s="13">
        <f t="shared" si="302"/>
        <v>0</v>
      </c>
      <c r="AH479" s="13">
        <f t="shared" si="303"/>
        <v>0</v>
      </c>
      <c r="AI479" s="16">
        <f t="shared" si="304"/>
        <v>0</v>
      </c>
      <c r="AJ479" s="15">
        <f t="shared" si="305"/>
        <v>0</v>
      </c>
      <c r="AK479" s="13">
        <f t="shared" si="306"/>
        <v>0</v>
      </c>
      <c r="AL479" s="56">
        <f t="shared" si="307"/>
        <v>0</v>
      </c>
      <c r="AM479" s="51">
        <f t="shared" si="308"/>
        <v>0</v>
      </c>
      <c r="AN479" s="13">
        <f t="shared" si="309"/>
        <v>0</v>
      </c>
      <c r="AO479" s="56">
        <f t="shared" si="310"/>
        <v>0</v>
      </c>
      <c r="AP479" s="51">
        <f t="shared" si="311"/>
        <v>0</v>
      </c>
      <c r="AQ479" s="13">
        <f t="shared" si="312"/>
        <v>0</v>
      </c>
      <c r="AR479" s="56">
        <f t="shared" si="313"/>
        <v>0</v>
      </c>
      <c r="AS479" s="51">
        <f t="shared" si="314"/>
        <v>0</v>
      </c>
      <c r="AT479" s="13">
        <f t="shared" si="315"/>
        <v>0</v>
      </c>
      <c r="AU479" s="56">
        <f t="shared" si="316"/>
        <v>0</v>
      </c>
      <c r="AV479" s="13">
        <f t="shared" si="317"/>
        <v>0</v>
      </c>
      <c r="AW479" s="13">
        <f t="shared" si="318"/>
        <v>0</v>
      </c>
      <c r="AX479" s="16">
        <f t="shared" si="319"/>
        <v>0</v>
      </c>
    </row>
    <row r="480" spans="1:50" x14ac:dyDescent="0.25">
      <c r="A480" s="20">
        <v>4177</v>
      </c>
      <c r="B480">
        <v>7</v>
      </c>
      <c r="C480" s="23" t="s">
        <v>99</v>
      </c>
      <c r="D480" s="23">
        <v>7</v>
      </c>
      <c r="E480" s="15">
        <f>+SUMIF('GE16FEB14 Unfudged'!$A$2:$A$498, $A480, 'GE16FEB14 Unfudged'!$D$2:$D$498)</f>
        <v>55</v>
      </c>
      <c r="F480" s="15">
        <f>+SUMIF('GE16FEB14 Unfudged'!$A$2:$A$498, 'Tax Bill Summary'!$A480, 'GE16FEB14 Unfudged'!E$2:E$498)</f>
        <v>6191</v>
      </c>
      <c r="G480" s="13">
        <f>+SUMIF('GE16FEB14 Unfudged'!$A$2:$A$498, 'Tax Bill Summary'!$A480, 'GE16FEB14 Unfudged'!F$2:F$498)</f>
        <v>0</v>
      </c>
      <c r="H480" s="56">
        <f t="shared" si="287"/>
        <v>6191</v>
      </c>
      <c r="I480" s="51">
        <f>+SUMIF('GE16FEB14 Unfudged'!$A$2:$A$498, 'Tax Bill Summary'!$A480, 'GE16FEB14 Unfudged'!G$2:G$498)</f>
        <v>0</v>
      </c>
      <c r="J480" s="13">
        <f>+SUMIF('GE16FEB14 Unfudged'!$A$2:$A$498, 'Tax Bill Summary'!$A480, 'GE16FEB14 Unfudged'!H$2:H$498)</f>
        <v>0</v>
      </c>
      <c r="K480" s="56">
        <f t="shared" si="288"/>
        <v>0</v>
      </c>
      <c r="L480" s="51">
        <f>+SUMIF('GE16FEB14 Unfudged'!$A$2:$A$498, 'Tax Bill Summary'!$A480, 'GE16FEB14 Unfudged'!I$2:IF$498)</f>
        <v>0</v>
      </c>
      <c r="M480" s="13">
        <f>+SUMIF('GE16FEB14 Unfudged'!$A$2:$A$498, 'Tax Bill Summary'!$A480, 'GE16FEB14 Unfudged'!J$2:IG$498)</f>
        <v>0</v>
      </c>
      <c r="N480" s="56">
        <f t="shared" si="289"/>
        <v>0</v>
      </c>
      <c r="O480" s="51">
        <f t="shared" si="290"/>
        <v>6191</v>
      </c>
      <c r="P480" s="13">
        <f t="shared" si="291"/>
        <v>0</v>
      </c>
      <c r="Q480" s="56">
        <f t="shared" si="292"/>
        <v>6191</v>
      </c>
      <c r="R480" s="13">
        <f t="shared" si="293"/>
        <v>112.56363636363636</v>
      </c>
      <c r="S480" s="13">
        <f t="shared" si="294"/>
        <v>0</v>
      </c>
      <c r="T480" s="16">
        <f t="shared" si="295"/>
        <v>112.56363636363636</v>
      </c>
      <c r="U480" s="15">
        <f>+SUMIF('GE16FEB14 Tax Bill Unfudged'!$A$2:$A$498, 'Tax Bill Summary'!$A480, 'GE16FEB14 Tax Bill Unfudged'!E$2:E$498)</f>
        <v>6343</v>
      </c>
      <c r="V480" s="13">
        <f>+SUMIF('GE16FEB14 Tax Bill Unfudged'!$A$2:$A$498, 'Tax Bill Summary'!$A480, 'GE16FEB14 Tax Bill Unfudged'!F$2:F$498)</f>
        <v>0</v>
      </c>
      <c r="W480" s="56">
        <f t="shared" si="296"/>
        <v>6343</v>
      </c>
      <c r="X480" s="51">
        <f>+SUMIF('GE16FEB14 Tax Bill Unfudged'!$A$2:$A$498, 'Tax Bill Summary'!$A480, 'GE16FEB14 Tax Bill Unfudged'!G$2:G$498)</f>
        <v>0</v>
      </c>
      <c r="Y480" s="13">
        <f>+SUMIF('GE16FEB14 Tax Bill Unfudged'!$A$2:$A$498, 'Tax Bill Summary'!$A480, 'GE16FEB14 Tax Bill Unfudged'!H$2:H$498)</f>
        <v>0</v>
      </c>
      <c r="Z480" s="56">
        <f t="shared" si="297"/>
        <v>0</v>
      </c>
      <c r="AA480" s="51">
        <f>+SUMIF('GE16FEB14 Tax Bill Unfudged'!$A$2:$A$498, 'Tax Bill Summary'!$A480, 'GE16FEB14 Tax Bill Unfudged'!I$2:I$498)</f>
        <v>0</v>
      </c>
      <c r="AB480" s="13">
        <f>+SUMIF('GE16FEB14 Tax Bill Unfudged'!$A$2:$A$498, 'Tax Bill Summary'!$A480, 'GE16FEB14 Tax Bill Unfudged'!J$2:J$498)</f>
        <v>0</v>
      </c>
      <c r="AC480" s="56">
        <f t="shared" si="298"/>
        <v>0</v>
      </c>
      <c r="AD480" s="51">
        <f t="shared" si="299"/>
        <v>6343</v>
      </c>
      <c r="AE480" s="13">
        <f t="shared" si="300"/>
        <v>0</v>
      </c>
      <c r="AF480" s="56">
        <f t="shared" si="301"/>
        <v>6343</v>
      </c>
      <c r="AG480" s="13">
        <f t="shared" si="302"/>
        <v>115.32727272727273</v>
      </c>
      <c r="AH480" s="13">
        <f t="shared" si="303"/>
        <v>0</v>
      </c>
      <c r="AI480" s="16">
        <f t="shared" si="304"/>
        <v>115.32727272727273</v>
      </c>
      <c r="AJ480" s="15">
        <f t="shared" si="305"/>
        <v>152</v>
      </c>
      <c r="AK480" s="13">
        <f t="shared" si="306"/>
        <v>0</v>
      </c>
      <c r="AL480" s="56">
        <f t="shared" si="307"/>
        <v>152</v>
      </c>
      <c r="AM480" s="51">
        <f t="shared" si="308"/>
        <v>0</v>
      </c>
      <c r="AN480" s="13">
        <f t="shared" si="309"/>
        <v>0</v>
      </c>
      <c r="AO480" s="56">
        <f t="shared" si="310"/>
        <v>0</v>
      </c>
      <c r="AP480" s="51">
        <f t="shared" si="311"/>
        <v>0</v>
      </c>
      <c r="AQ480" s="13">
        <f t="shared" si="312"/>
        <v>0</v>
      </c>
      <c r="AR480" s="56">
        <f t="shared" si="313"/>
        <v>0</v>
      </c>
      <c r="AS480" s="51">
        <f t="shared" si="314"/>
        <v>152</v>
      </c>
      <c r="AT480" s="13">
        <f t="shared" si="315"/>
        <v>0</v>
      </c>
      <c r="AU480" s="56">
        <f t="shared" si="316"/>
        <v>152</v>
      </c>
      <c r="AV480" s="13">
        <f t="shared" si="317"/>
        <v>2.7636363636363654</v>
      </c>
      <c r="AW480" s="13">
        <f t="shared" si="318"/>
        <v>0</v>
      </c>
      <c r="AX480" s="16">
        <f t="shared" si="319"/>
        <v>2.7636363636363654</v>
      </c>
    </row>
    <row r="481" spans="1:50" x14ac:dyDescent="0.25">
      <c r="A481" s="20">
        <v>4178</v>
      </c>
      <c r="B481">
        <v>7</v>
      </c>
      <c r="C481" s="23" t="s">
        <v>100</v>
      </c>
      <c r="D481" s="23">
        <v>7</v>
      </c>
      <c r="E481" s="15">
        <f>+SUMIF('GE16FEB14 Unfudged'!$A$2:$A$498, $A481, 'GE16FEB14 Unfudged'!$D$2:$D$498)</f>
        <v>216</v>
      </c>
      <c r="F481" s="15">
        <f>+SUMIF('GE16FEB14 Unfudged'!$A$2:$A$498, 'Tax Bill Summary'!$A481, 'GE16FEB14 Unfudged'!E$2:E$498)</f>
        <v>24315</v>
      </c>
      <c r="G481" s="13">
        <f>+SUMIF('GE16FEB14 Unfudged'!$A$2:$A$498, 'Tax Bill Summary'!$A481, 'GE16FEB14 Unfudged'!F$2:F$498)</f>
        <v>0</v>
      </c>
      <c r="H481" s="56">
        <f t="shared" si="287"/>
        <v>24315</v>
      </c>
      <c r="I481" s="51">
        <f>+SUMIF('GE16FEB14 Unfudged'!$A$2:$A$498, 'Tax Bill Summary'!$A481, 'GE16FEB14 Unfudged'!G$2:G$498)</f>
        <v>0</v>
      </c>
      <c r="J481" s="13">
        <f>+SUMIF('GE16FEB14 Unfudged'!$A$2:$A$498, 'Tax Bill Summary'!$A481, 'GE16FEB14 Unfudged'!H$2:H$498)</f>
        <v>0</v>
      </c>
      <c r="K481" s="56">
        <f t="shared" si="288"/>
        <v>0</v>
      </c>
      <c r="L481" s="51">
        <f>+SUMIF('GE16FEB14 Unfudged'!$A$2:$A$498, 'Tax Bill Summary'!$A481, 'GE16FEB14 Unfudged'!I$2:IF$498)</f>
        <v>0</v>
      </c>
      <c r="M481" s="13">
        <f>+SUMIF('GE16FEB14 Unfudged'!$A$2:$A$498, 'Tax Bill Summary'!$A481, 'GE16FEB14 Unfudged'!J$2:IG$498)</f>
        <v>0</v>
      </c>
      <c r="N481" s="56">
        <f t="shared" si="289"/>
        <v>0</v>
      </c>
      <c r="O481" s="51">
        <f t="shared" si="290"/>
        <v>24315</v>
      </c>
      <c r="P481" s="13">
        <f t="shared" si="291"/>
        <v>0</v>
      </c>
      <c r="Q481" s="56">
        <f t="shared" si="292"/>
        <v>24315</v>
      </c>
      <c r="R481" s="13">
        <f t="shared" si="293"/>
        <v>112.56944444444444</v>
      </c>
      <c r="S481" s="13">
        <f t="shared" si="294"/>
        <v>0</v>
      </c>
      <c r="T481" s="16">
        <f t="shared" si="295"/>
        <v>112.56944444444444</v>
      </c>
      <c r="U481" s="15">
        <f>+SUMIF('GE16FEB14 Tax Bill Unfudged'!$A$2:$A$498, 'Tax Bill Summary'!$A481, 'GE16FEB14 Tax Bill Unfudged'!E$2:E$498)</f>
        <v>24911</v>
      </c>
      <c r="V481" s="13">
        <f>+SUMIF('GE16FEB14 Tax Bill Unfudged'!$A$2:$A$498, 'Tax Bill Summary'!$A481, 'GE16FEB14 Tax Bill Unfudged'!F$2:F$498)</f>
        <v>0</v>
      </c>
      <c r="W481" s="56">
        <f t="shared" si="296"/>
        <v>24911</v>
      </c>
      <c r="X481" s="51">
        <f>+SUMIF('GE16FEB14 Tax Bill Unfudged'!$A$2:$A$498, 'Tax Bill Summary'!$A481, 'GE16FEB14 Tax Bill Unfudged'!G$2:G$498)</f>
        <v>0</v>
      </c>
      <c r="Y481" s="13">
        <f>+SUMIF('GE16FEB14 Tax Bill Unfudged'!$A$2:$A$498, 'Tax Bill Summary'!$A481, 'GE16FEB14 Tax Bill Unfudged'!H$2:H$498)</f>
        <v>0</v>
      </c>
      <c r="Z481" s="56">
        <f t="shared" si="297"/>
        <v>0</v>
      </c>
      <c r="AA481" s="51">
        <f>+SUMIF('GE16FEB14 Tax Bill Unfudged'!$A$2:$A$498, 'Tax Bill Summary'!$A481, 'GE16FEB14 Tax Bill Unfudged'!I$2:I$498)</f>
        <v>0</v>
      </c>
      <c r="AB481" s="13">
        <f>+SUMIF('GE16FEB14 Tax Bill Unfudged'!$A$2:$A$498, 'Tax Bill Summary'!$A481, 'GE16FEB14 Tax Bill Unfudged'!J$2:J$498)</f>
        <v>0</v>
      </c>
      <c r="AC481" s="56">
        <f t="shared" si="298"/>
        <v>0</v>
      </c>
      <c r="AD481" s="51">
        <f t="shared" si="299"/>
        <v>24911</v>
      </c>
      <c r="AE481" s="13">
        <f t="shared" si="300"/>
        <v>0</v>
      </c>
      <c r="AF481" s="56">
        <f t="shared" si="301"/>
        <v>24911</v>
      </c>
      <c r="AG481" s="13">
        <f t="shared" si="302"/>
        <v>115.32870370370371</v>
      </c>
      <c r="AH481" s="13">
        <f t="shared" si="303"/>
        <v>0</v>
      </c>
      <c r="AI481" s="16">
        <f t="shared" si="304"/>
        <v>115.32870370370371</v>
      </c>
      <c r="AJ481" s="15">
        <f t="shared" si="305"/>
        <v>596</v>
      </c>
      <c r="AK481" s="13">
        <f t="shared" si="306"/>
        <v>0</v>
      </c>
      <c r="AL481" s="56">
        <f t="shared" si="307"/>
        <v>596</v>
      </c>
      <c r="AM481" s="51">
        <f t="shared" si="308"/>
        <v>0</v>
      </c>
      <c r="AN481" s="13">
        <f t="shared" si="309"/>
        <v>0</v>
      </c>
      <c r="AO481" s="56">
        <f t="shared" si="310"/>
        <v>0</v>
      </c>
      <c r="AP481" s="51">
        <f t="shared" si="311"/>
        <v>0</v>
      </c>
      <c r="AQ481" s="13">
        <f t="shared" si="312"/>
        <v>0</v>
      </c>
      <c r="AR481" s="56">
        <f t="shared" si="313"/>
        <v>0</v>
      </c>
      <c r="AS481" s="51">
        <f t="shared" si="314"/>
        <v>596</v>
      </c>
      <c r="AT481" s="13">
        <f t="shared" si="315"/>
        <v>0</v>
      </c>
      <c r="AU481" s="56">
        <f t="shared" si="316"/>
        <v>596</v>
      </c>
      <c r="AV481" s="13">
        <f t="shared" si="317"/>
        <v>2.7592592592592666</v>
      </c>
      <c r="AW481" s="13">
        <f t="shared" si="318"/>
        <v>0</v>
      </c>
      <c r="AX481" s="16">
        <f t="shared" si="319"/>
        <v>2.7592592592592666</v>
      </c>
    </row>
    <row r="482" spans="1:50" x14ac:dyDescent="0.25">
      <c r="A482" s="20">
        <v>4180</v>
      </c>
      <c r="B482">
        <v>7</v>
      </c>
      <c r="C482" s="23" t="s">
        <v>101</v>
      </c>
      <c r="D482" s="23">
        <v>7</v>
      </c>
      <c r="E482" s="15">
        <f>+SUMIF('GE16FEB14 Unfudged'!$A$2:$A$498, $A482, 'GE16FEB14 Unfudged'!$D$2:$D$498)</f>
        <v>0</v>
      </c>
      <c r="F482" s="15">
        <f>+SUMIF('GE16FEB14 Unfudged'!$A$2:$A$498, 'Tax Bill Summary'!$A482, 'GE16FEB14 Unfudged'!E$2:E$498)</f>
        <v>0</v>
      </c>
      <c r="G482" s="13">
        <f>+SUMIF('GE16FEB14 Unfudged'!$A$2:$A$498, 'Tax Bill Summary'!$A482, 'GE16FEB14 Unfudged'!F$2:F$498)</f>
        <v>0</v>
      </c>
      <c r="H482" s="56">
        <f t="shared" si="287"/>
        <v>0</v>
      </c>
      <c r="I482" s="51">
        <f>+SUMIF('GE16FEB14 Unfudged'!$A$2:$A$498, 'Tax Bill Summary'!$A482, 'GE16FEB14 Unfudged'!G$2:G$498)</f>
        <v>0</v>
      </c>
      <c r="J482" s="13">
        <f>+SUMIF('GE16FEB14 Unfudged'!$A$2:$A$498, 'Tax Bill Summary'!$A482, 'GE16FEB14 Unfudged'!H$2:H$498)</f>
        <v>0</v>
      </c>
      <c r="K482" s="56">
        <f t="shared" si="288"/>
        <v>0</v>
      </c>
      <c r="L482" s="51">
        <f>+SUMIF('GE16FEB14 Unfudged'!$A$2:$A$498, 'Tax Bill Summary'!$A482, 'GE16FEB14 Unfudged'!I$2:IF$498)</f>
        <v>0</v>
      </c>
      <c r="M482" s="13">
        <f>+SUMIF('GE16FEB14 Unfudged'!$A$2:$A$498, 'Tax Bill Summary'!$A482, 'GE16FEB14 Unfudged'!J$2:IG$498)</f>
        <v>0</v>
      </c>
      <c r="N482" s="56">
        <f t="shared" si="289"/>
        <v>0</v>
      </c>
      <c r="O482" s="51">
        <f t="shared" si="290"/>
        <v>0</v>
      </c>
      <c r="P482" s="13">
        <f t="shared" si="291"/>
        <v>0</v>
      </c>
      <c r="Q482" s="56">
        <f t="shared" si="292"/>
        <v>0</v>
      </c>
      <c r="R482" s="13">
        <f t="shared" si="293"/>
        <v>0</v>
      </c>
      <c r="S482" s="13">
        <f t="shared" si="294"/>
        <v>0</v>
      </c>
      <c r="T482" s="16">
        <f t="shared" si="295"/>
        <v>0</v>
      </c>
      <c r="U482" s="15">
        <f>+SUMIF('GE16FEB14 Tax Bill Unfudged'!$A$2:$A$498, 'Tax Bill Summary'!$A482, 'GE16FEB14 Tax Bill Unfudged'!E$2:E$498)</f>
        <v>0</v>
      </c>
      <c r="V482" s="13">
        <f>+SUMIF('GE16FEB14 Tax Bill Unfudged'!$A$2:$A$498, 'Tax Bill Summary'!$A482, 'GE16FEB14 Tax Bill Unfudged'!F$2:F$498)</f>
        <v>0</v>
      </c>
      <c r="W482" s="56">
        <f t="shared" si="296"/>
        <v>0</v>
      </c>
      <c r="X482" s="51">
        <f>+SUMIF('GE16FEB14 Tax Bill Unfudged'!$A$2:$A$498, 'Tax Bill Summary'!$A482, 'GE16FEB14 Tax Bill Unfudged'!G$2:G$498)</f>
        <v>0</v>
      </c>
      <c r="Y482" s="13">
        <f>+SUMIF('GE16FEB14 Tax Bill Unfudged'!$A$2:$A$498, 'Tax Bill Summary'!$A482, 'GE16FEB14 Tax Bill Unfudged'!H$2:H$498)</f>
        <v>0</v>
      </c>
      <c r="Z482" s="56">
        <f t="shared" si="297"/>
        <v>0</v>
      </c>
      <c r="AA482" s="51">
        <f>+SUMIF('GE16FEB14 Tax Bill Unfudged'!$A$2:$A$498, 'Tax Bill Summary'!$A482, 'GE16FEB14 Tax Bill Unfudged'!I$2:I$498)</f>
        <v>0</v>
      </c>
      <c r="AB482" s="13">
        <f>+SUMIF('GE16FEB14 Tax Bill Unfudged'!$A$2:$A$498, 'Tax Bill Summary'!$A482, 'GE16FEB14 Tax Bill Unfudged'!J$2:J$498)</f>
        <v>0</v>
      </c>
      <c r="AC482" s="56">
        <f t="shared" si="298"/>
        <v>0</v>
      </c>
      <c r="AD482" s="51">
        <f t="shared" si="299"/>
        <v>0</v>
      </c>
      <c r="AE482" s="13">
        <f t="shared" si="300"/>
        <v>0</v>
      </c>
      <c r="AF482" s="56">
        <f t="shared" si="301"/>
        <v>0</v>
      </c>
      <c r="AG482" s="13">
        <f t="shared" si="302"/>
        <v>0</v>
      </c>
      <c r="AH482" s="13">
        <f t="shared" si="303"/>
        <v>0</v>
      </c>
      <c r="AI482" s="16">
        <f t="shared" si="304"/>
        <v>0</v>
      </c>
      <c r="AJ482" s="15">
        <f t="shared" si="305"/>
        <v>0</v>
      </c>
      <c r="AK482" s="13">
        <f t="shared" si="306"/>
        <v>0</v>
      </c>
      <c r="AL482" s="56">
        <f t="shared" si="307"/>
        <v>0</v>
      </c>
      <c r="AM482" s="51">
        <f t="shared" si="308"/>
        <v>0</v>
      </c>
      <c r="AN482" s="13">
        <f t="shared" si="309"/>
        <v>0</v>
      </c>
      <c r="AO482" s="56">
        <f t="shared" si="310"/>
        <v>0</v>
      </c>
      <c r="AP482" s="51">
        <f t="shared" si="311"/>
        <v>0</v>
      </c>
      <c r="AQ482" s="13">
        <f t="shared" si="312"/>
        <v>0</v>
      </c>
      <c r="AR482" s="56">
        <f t="shared" si="313"/>
        <v>0</v>
      </c>
      <c r="AS482" s="51">
        <f t="shared" si="314"/>
        <v>0</v>
      </c>
      <c r="AT482" s="13">
        <f t="shared" si="315"/>
        <v>0</v>
      </c>
      <c r="AU482" s="56">
        <f t="shared" si="316"/>
        <v>0</v>
      </c>
      <c r="AV482" s="13">
        <f t="shared" si="317"/>
        <v>0</v>
      </c>
      <c r="AW482" s="13">
        <f t="shared" si="318"/>
        <v>0</v>
      </c>
      <c r="AX482" s="16">
        <f t="shared" si="319"/>
        <v>0</v>
      </c>
    </row>
    <row r="483" spans="1:50" x14ac:dyDescent="0.25">
      <c r="A483" s="20">
        <v>4181</v>
      </c>
      <c r="B483">
        <v>7</v>
      </c>
      <c r="C483" s="23" t="s">
        <v>102</v>
      </c>
      <c r="D483" s="23">
        <v>7</v>
      </c>
      <c r="E483" s="15">
        <f>+SUMIF('GE16FEB14 Unfudged'!$A$2:$A$498, $A483, 'GE16FEB14 Unfudged'!$D$2:$D$498)</f>
        <v>956</v>
      </c>
      <c r="F483" s="15">
        <f>+SUMIF('GE16FEB14 Unfudged'!$A$2:$A$498, 'Tax Bill Summary'!$A483, 'GE16FEB14 Unfudged'!E$2:E$498)</f>
        <v>107558</v>
      </c>
      <c r="G483" s="13">
        <f>+SUMIF('GE16FEB14 Unfudged'!$A$2:$A$498, 'Tax Bill Summary'!$A483, 'GE16FEB14 Unfudged'!F$2:F$498)</f>
        <v>0</v>
      </c>
      <c r="H483" s="56">
        <f t="shared" si="287"/>
        <v>107558</v>
      </c>
      <c r="I483" s="51">
        <f>+SUMIF('GE16FEB14 Unfudged'!$A$2:$A$498, 'Tax Bill Summary'!$A483, 'GE16FEB14 Unfudged'!G$2:G$498)</f>
        <v>0</v>
      </c>
      <c r="J483" s="13">
        <f>+SUMIF('GE16FEB14 Unfudged'!$A$2:$A$498, 'Tax Bill Summary'!$A483, 'GE16FEB14 Unfudged'!H$2:H$498)</f>
        <v>0</v>
      </c>
      <c r="K483" s="56">
        <f t="shared" si="288"/>
        <v>0</v>
      </c>
      <c r="L483" s="51">
        <f>+SUMIF('GE16FEB14 Unfudged'!$A$2:$A$498, 'Tax Bill Summary'!$A483, 'GE16FEB14 Unfudged'!I$2:IF$498)</f>
        <v>0</v>
      </c>
      <c r="M483" s="13">
        <f>+SUMIF('GE16FEB14 Unfudged'!$A$2:$A$498, 'Tax Bill Summary'!$A483, 'GE16FEB14 Unfudged'!J$2:IG$498)</f>
        <v>0</v>
      </c>
      <c r="N483" s="56">
        <f t="shared" si="289"/>
        <v>0</v>
      </c>
      <c r="O483" s="51">
        <f t="shared" si="290"/>
        <v>107558</v>
      </c>
      <c r="P483" s="13">
        <f t="shared" si="291"/>
        <v>0</v>
      </c>
      <c r="Q483" s="56">
        <f t="shared" si="292"/>
        <v>107558</v>
      </c>
      <c r="R483" s="13">
        <f t="shared" si="293"/>
        <v>112.50836820083683</v>
      </c>
      <c r="S483" s="13">
        <f t="shared" si="294"/>
        <v>0</v>
      </c>
      <c r="T483" s="16">
        <f t="shared" si="295"/>
        <v>112.50836820083683</v>
      </c>
      <c r="U483" s="15">
        <f>+SUMIF('GE16FEB14 Tax Bill Unfudged'!$A$2:$A$498, 'Tax Bill Summary'!$A483, 'GE16FEB14 Tax Bill Unfudged'!E$2:E$498)</f>
        <v>110196</v>
      </c>
      <c r="V483" s="13">
        <f>+SUMIF('GE16FEB14 Tax Bill Unfudged'!$A$2:$A$498, 'Tax Bill Summary'!$A483, 'GE16FEB14 Tax Bill Unfudged'!F$2:F$498)</f>
        <v>0</v>
      </c>
      <c r="W483" s="56">
        <f t="shared" si="296"/>
        <v>110196</v>
      </c>
      <c r="X483" s="51">
        <f>+SUMIF('GE16FEB14 Tax Bill Unfudged'!$A$2:$A$498, 'Tax Bill Summary'!$A483, 'GE16FEB14 Tax Bill Unfudged'!G$2:G$498)</f>
        <v>0</v>
      </c>
      <c r="Y483" s="13">
        <f>+SUMIF('GE16FEB14 Tax Bill Unfudged'!$A$2:$A$498, 'Tax Bill Summary'!$A483, 'GE16FEB14 Tax Bill Unfudged'!H$2:H$498)</f>
        <v>0</v>
      </c>
      <c r="Z483" s="56">
        <f t="shared" si="297"/>
        <v>0</v>
      </c>
      <c r="AA483" s="51">
        <f>+SUMIF('GE16FEB14 Tax Bill Unfudged'!$A$2:$A$498, 'Tax Bill Summary'!$A483, 'GE16FEB14 Tax Bill Unfudged'!I$2:I$498)</f>
        <v>0</v>
      </c>
      <c r="AB483" s="13">
        <f>+SUMIF('GE16FEB14 Tax Bill Unfudged'!$A$2:$A$498, 'Tax Bill Summary'!$A483, 'GE16FEB14 Tax Bill Unfudged'!J$2:J$498)</f>
        <v>0</v>
      </c>
      <c r="AC483" s="56">
        <f t="shared" si="298"/>
        <v>0</v>
      </c>
      <c r="AD483" s="51">
        <f t="shared" si="299"/>
        <v>110196</v>
      </c>
      <c r="AE483" s="13">
        <f t="shared" si="300"/>
        <v>0</v>
      </c>
      <c r="AF483" s="56">
        <f t="shared" si="301"/>
        <v>110196</v>
      </c>
      <c r="AG483" s="13">
        <f t="shared" si="302"/>
        <v>115.26778242677824</v>
      </c>
      <c r="AH483" s="13">
        <f t="shared" si="303"/>
        <v>0</v>
      </c>
      <c r="AI483" s="16">
        <f t="shared" si="304"/>
        <v>115.26778242677824</v>
      </c>
      <c r="AJ483" s="15">
        <f t="shared" si="305"/>
        <v>2638</v>
      </c>
      <c r="AK483" s="13">
        <f t="shared" si="306"/>
        <v>0</v>
      </c>
      <c r="AL483" s="56">
        <f t="shared" si="307"/>
        <v>2638</v>
      </c>
      <c r="AM483" s="51">
        <f t="shared" si="308"/>
        <v>0</v>
      </c>
      <c r="AN483" s="13">
        <f t="shared" si="309"/>
        <v>0</v>
      </c>
      <c r="AO483" s="56">
        <f t="shared" si="310"/>
        <v>0</v>
      </c>
      <c r="AP483" s="51">
        <f t="shared" si="311"/>
        <v>0</v>
      </c>
      <c r="AQ483" s="13">
        <f t="shared" si="312"/>
        <v>0</v>
      </c>
      <c r="AR483" s="56">
        <f t="shared" si="313"/>
        <v>0</v>
      </c>
      <c r="AS483" s="51">
        <f t="shared" si="314"/>
        <v>2638</v>
      </c>
      <c r="AT483" s="13">
        <f t="shared" si="315"/>
        <v>0</v>
      </c>
      <c r="AU483" s="56">
        <f t="shared" si="316"/>
        <v>2638</v>
      </c>
      <c r="AV483" s="13">
        <f t="shared" si="317"/>
        <v>2.7594142259414127</v>
      </c>
      <c r="AW483" s="13">
        <f t="shared" si="318"/>
        <v>0</v>
      </c>
      <c r="AX483" s="16">
        <f t="shared" si="319"/>
        <v>2.7594142259414127</v>
      </c>
    </row>
    <row r="484" spans="1:50" x14ac:dyDescent="0.25">
      <c r="A484" s="20">
        <v>4182</v>
      </c>
      <c r="B484">
        <v>7</v>
      </c>
      <c r="C484" s="23" t="s">
        <v>103</v>
      </c>
      <c r="D484" s="23">
        <v>7</v>
      </c>
      <c r="E484" s="15">
        <f>+SUMIF('GE16FEB14 Unfudged'!$A$2:$A$498, $A484, 'GE16FEB14 Unfudged'!$D$2:$D$498)</f>
        <v>0</v>
      </c>
      <c r="F484" s="15">
        <f>+SUMIF('GE16FEB14 Unfudged'!$A$2:$A$498, 'Tax Bill Summary'!$A484, 'GE16FEB14 Unfudged'!E$2:E$498)</f>
        <v>0</v>
      </c>
      <c r="G484" s="13">
        <f>+SUMIF('GE16FEB14 Unfudged'!$A$2:$A$498, 'Tax Bill Summary'!$A484, 'GE16FEB14 Unfudged'!F$2:F$498)</f>
        <v>0</v>
      </c>
      <c r="H484" s="56">
        <f t="shared" si="287"/>
        <v>0</v>
      </c>
      <c r="I484" s="51">
        <f>+SUMIF('GE16FEB14 Unfudged'!$A$2:$A$498, 'Tax Bill Summary'!$A484, 'GE16FEB14 Unfudged'!G$2:G$498)</f>
        <v>0</v>
      </c>
      <c r="J484" s="13">
        <f>+SUMIF('GE16FEB14 Unfudged'!$A$2:$A$498, 'Tax Bill Summary'!$A484, 'GE16FEB14 Unfudged'!H$2:H$498)</f>
        <v>0</v>
      </c>
      <c r="K484" s="56">
        <f t="shared" si="288"/>
        <v>0</v>
      </c>
      <c r="L484" s="51">
        <f>+SUMIF('GE16FEB14 Unfudged'!$A$2:$A$498, 'Tax Bill Summary'!$A484, 'GE16FEB14 Unfudged'!I$2:IF$498)</f>
        <v>0</v>
      </c>
      <c r="M484" s="13">
        <f>+SUMIF('GE16FEB14 Unfudged'!$A$2:$A$498, 'Tax Bill Summary'!$A484, 'GE16FEB14 Unfudged'!J$2:IG$498)</f>
        <v>0</v>
      </c>
      <c r="N484" s="56">
        <f t="shared" si="289"/>
        <v>0</v>
      </c>
      <c r="O484" s="51">
        <f t="shared" si="290"/>
        <v>0</v>
      </c>
      <c r="P484" s="13">
        <f t="shared" si="291"/>
        <v>0</v>
      </c>
      <c r="Q484" s="56">
        <f t="shared" si="292"/>
        <v>0</v>
      </c>
      <c r="R484" s="13">
        <f t="shared" si="293"/>
        <v>0</v>
      </c>
      <c r="S484" s="13">
        <f t="shared" si="294"/>
        <v>0</v>
      </c>
      <c r="T484" s="16">
        <f t="shared" si="295"/>
        <v>0</v>
      </c>
      <c r="U484" s="15">
        <f>+SUMIF('GE16FEB14 Tax Bill Unfudged'!$A$2:$A$498, 'Tax Bill Summary'!$A484, 'GE16FEB14 Tax Bill Unfudged'!E$2:E$498)</f>
        <v>0</v>
      </c>
      <c r="V484" s="13">
        <f>+SUMIF('GE16FEB14 Tax Bill Unfudged'!$A$2:$A$498, 'Tax Bill Summary'!$A484, 'GE16FEB14 Tax Bill Unfudged'!F$2:F$498)</f>
        <v>0</v>
      </c>
      <c r="W484" s="56">
        <f t="shared" si="296"/>
        <v>0</v>
      </c>
      <c r="X484" s="51">
        <f>+SUMIF('GE16FEB14 Tax Bill Unfudged'!$A$2:$A$498, 'Tax Bill Summary'!$A484, 'GE16FEB14 Tax Bill Unfudged'!G$2:G$498)</f>
        <v>0</v>
      </c>
      <c r="Y484" s="13">
        <f>+SUMIF('GE16FEB14 Tax Bill Unfudged'!$A$2:$A$498, 'Tax Bill Summary'!$A484, 'GE16FEB14 Tax Bill Unfudged'!H$2:H$498)</f>
        <v>0</v>
      </c>
      <c r="Z484" s="56">
        <f t="shared" si="297"/>
        <v>0</v>
      </c>
      <c r="AA484" s="51">
        <f>+SUMIF('GE16FEB14 Tax Bill Unfudged'!$A$2:$A$498, 'Tax Bill Summary'!$A484, 'GE16FEB14 Tax Bill Unfudged'!I$2:I$498)</f>
        <v>0</v>
      </c>
      <c r="AB484" s="13">
        <f>+SUMIF('GE16FEB14 Tax Bill Unfudged'!$A$2:$A$498, 'Tax Bill Summary'!$A484, 'GE16FEB14 Tax Bill Unfudged'!J$2:J$498)</f>
        <v>0</v>
      </c>
      <c r="AC484" s="56">
        <f t="shared" si="298"/>
        <v>0</v>
      </c>
      <c r="AD484" s="51">
        <f t="shared" si="299"/>
        <v>0</v>
      </c>
      <c r="AE484" s="13">
        <f t="shared" si="300"/>
        <v>0</v>
      </c>
      <c r="AF484" s="56">
        <f t="shared" si="301"/>
        <v>0</v>
      </c>
      <c r="AG484" s="13">
        <f t="shared" si="302"/>
        <v>0</v>
      </c>
      <c r="AH484" s="13">
        <f t="shared" si="303"/>
        <v>0</v>
      </c>
      <c r="AI484" s="16">
        <f t="shared" si="304"/>
        <v>0</v>
      </c>
      <c r="AJ484" s="15">
        <f t="shared" si="305"/>
        <v>0</v>
      </c>
      <c r="AK484" s="13">
        <f t="shared" si="306"/>
        <v>0</v>
      </c>
      <c r="AL484" s="56">
        <f t="shared" si="307"/>
        <v>0</v>
      </c>
      <c r="AM484" s="51">
        <f t="shared" si="308"/>
        <v>0</v>
      </c>
      <c r="AN484" s="13">
        <f t="shared" si="309"/>
        <v>0</v>
      </c>
      <c r="AO484" s="56">
        <f t="shared" si="310"/>
        <v>0</v>
      </c>
      <c r="AP484" s="51">
        <f t="shared" si="311"/>
        <v>0</v>
      </c>
      <c r="AQ484" s="13">
        <f t="shared" si="312"/>
        <v>0</v>
      </c>
      <c r="AR484" s="56">
        <f t="shared" si="313"/>
        <v>0</v>
      </c>
      <c r="AS484" s="51">
        <f t="shared" si="314"/>
        <v>0</v>
      </c>
      <c r="AT484" s="13">
        <f t="shared" si="315"/>
        <v>0</v>
      </c>
      <c r="AU484" s="56">
        <f t="shared" si="316"/>
        <v>0</v>
      </c>
      <c r="AV484" s="13">
        <f t="shared" si="317"/>
        <v>0</v>
      </c>
      <c r="AW484" s="13">
        <f t="shared" si="318"/>
        <v>0</v>
      </c>
      <c r="AX484" s="16">
        <f t="shared" si="319"/>
        <v>0</v>
      </c>
    </row>
    <row r="485" spans="1:50" x14ac:dyDescent="0.25">
      <c r="A485" s="20">
        <v>4183</v>
      </c>
      <c r="B485">
        <v>7</v>
      </c>
      <c r="C485" s="23" t="s">
        <v>104</v>
      </c>
      <c r="D485" s="23">
        <v>7</v>
      </c>
      <c r="E485" s="15">
        <f>+SUMIF('GE16FEB14 Unfudged'!$A$2:$A$498, $A485, 'GE16FEB14 Unfudged'!$D$2:$D$498)</f>
        <v>172</v>
      </c>
      <c r="F485" s="15">
        <f>+SUMIF('GE16FEB14 Unfudged'!$A$2:$A$498, 'Tax Bill Summary'!$A485, 'GE16FEB14 Unfudged'!E$2:E$498)</f>
        <v>19317</v>
      </c>
      <c r="G485" s="13">
        <f>+SUMIF('GE16FEB14 Unfudged'!$A$2:$A$498, 'Tax Bill Summary'!$A485, 'GE16FEB14 Unfudged'!F$2:F$498)</f>
        <v>0</v>
      </c>
      <c r="H485" s="56">
        <f t="shared" si="287"/>
        <v>19317</v>
      </c>
      <c r="I485" s="51">
        <f>+SUMIF('GE16FEB14 Unfudged'!$A$2:$A$498, 'Tax Bill Summary'!$A485, 'GE16FEB14 Unfudged'!G$2:G$498)</f>
        <v>0</v>
      </c>
      <c r="J485" s="13">
        <f>+SUMIF('GE16FEB14 Unfudged'!$A$2:$A$498, 'Tax Bill Summary'!$A485, 'GE16FEB14 Unfudged'!H$2:H$498)</f>
        <v>0</v>
      </c>
      <c r="K485" s="56">
        <f t="shared" si="288"/>
        <v>0</v>
      </c>
      <c r="L485" s="51">
        <f>+SUMIF('GE16FEB14 Unfudged'!$A$2:$A$498, 'Tax Bill Summary'!$A485, 'GE16FEB14 Unfudged'!I$2:IF$498)</f>
        <v>0</v>
      </c>
      <c r="M485" s="13">
        <f>+SUMIF('GE16FEB14 Unfudged'!$A$2:$A$498, 'Tax Bill Summary'!$A485, 'GE16FEB14 Unfudged'!J$2:IG$498)</f>
        <v>0</v>
      </c>
      <c r="N485" s="56">
        <f t="shared" si="289"/>
        <v>0</v>
      </c>
      <c r="O485" s="51">
        <f t="shared" si="290"/>
        <v>19317</v>
      </c>
      <c r="P485" s="13">
        <f t="shared" si="291"/>
        <v>0</v>
      </c>
      <c r="Q485" s="56">
        <f t="shared" si="292"/>
        <v>19317</v>
      </c>
      <c r="R485" s="13">
        <f t="shared" si="293"/>
        <v>112.30813953488372</v>
      </c>
      <c r="S485" s="13">
        <f t="shared" si="294"/>
        <v>0</v>
      </c>
      <c r="T485" s="16">
        <f t="shared" si="295"/>
        <v>112.30813953488372</v>
      </c>
      <c r="U485" s="15">
        <f>+SUMIF('GE16FEB14 Tax Bill Unfudged'!$A$2:$A$498, 'Tax Bill Summary'!$A485, 'GE16FEB14 Tax Bill Unfudged'!E$2:E$498)</f>
        <v>19790</v>
      </c>
      <c r="V485" s="13">
        <f>+SUMIF('GE16FEB14 Tax Bill Unfudged'!$A$2:$A$498, 'Tax Bill Summary'!$A485, 'GE16FEB14 Tax Bill Unfudged'!F$2:F$498)</f>
        <v>0</v>
      </c>
      <c r="W485" s="56">
        <f t="shared" si="296"/>
        <v>19790</v>
      </c>
      <c r="X485" s="51">
        <f>+SUMIF('GE16FEB14 Tax Bill Unfudged'!$A$2:$A$498, 'Tax Bill Summary'!$A485, 'GE16FEB14 Tax Bill Unfudged'!G$2:G$498)</f>
        <v>0</v>
      </c>
      <c r="Y485" s="13">
        <f>+SUMIF('GE16FEB14 Tax Bill Unfudged'!$A$2:$A$498, 'Tax Bill Summary'!$A485, 'GE16FEB14 Tax Bill Unfudged'!H$2:H$498)</f>
        <v>0</v>
      </c>
      <c r="Z485" s="56">
        <f t="shared" si="297"/>
        <v>0</v>
      </c>
      <c r="AA485" s="51">
        <f>+SUMIF('GE16FEB14 Tax Bill Unfudged'!$A$2:$A$498, 'Tax Bill Summary'!$A485, 'GE16FEB14 Tax Bill Unfudged'!I$2:I$498)</f>
        <v>0</v>
      </c>
      <c r="AB485" s="13">
        <f>+SUMIF('GE16FEB14 Tax Bill Unfudged'!$A$2:$A$498, 'Tax Bill Summary'!$A485, 'GE16FEB14 Tax Bill Unfudged'!J$2:J$498)</f>
        <v>0</v>
      </c>
      <c r="AC485" s="56">
        <f t="shared" si="298"/>
        <v>0</v>
      </c>
      <c r="AD485" s="51">
        <f t="shared" si="299"/>
        <v>19790</v>
      </c>
      <c r="AE485" s="13">
        <f t="shared" si="300"/>
        <v>0</v>
      </c>
      <c r="AF485" s="56">
        <f t="shared" si="301"/>
        <v>19790</v>
      </c>
      <c r="AG485" s="13">
        <f t="shared" si="302"/>
        <v>115.05813953488372</v>
      </c>
      <c r="AH485" s="13">
        <f t="shared" si="303"/>
        <v>0</v>
      </c>
      <c r="AI485" s="16">
        <f t="shared" si="304"/>
        <v>115.05813953488372</v>
      </c>
      <c r="AJ485" s="15">
        <f t="shared" si="305"/>
        <v>473</v>
      </c>
      <c r="AK485" s="13">
        <f t="shared" si="306"/>
        <v>0</v>
      </c>
      <c r="AL485" s="56">
        <f t="shared" si="307"/>
        <v>473</v>
      </c>
      <c r="AM485" s="51">
        <f t="shared" si="308"/>
        <v>0</v>
      </c>
      <c r="AN485" s="13">
        <f t="shared" si="309"/>
        <v>0</v>
      </c>
      <c r="AO485" s="56">
        <f t="shared" si="310"/>
        <v>0</v>
      </c>
      <c r="AP485" s="51">
        <f t="shared" si="311"/>
        <v>0</v>
      </c>
      <c r="AQ485" s="13">
        <f t="shared" si="312"/>
        <v>0</v>
      </c>
      <c r="AR485" s="56">
        <f t="shared" si="313"/>
        <v>0</v>
      </c>
      <c r="AS485" s="51">
        <f t="shared" si="314"/>
        <v>473</v>
      </c>
      <c r="AT485" s="13">
        <f t="shared" si="315"/>
        <v>0</v>
      </c>
      <c r="AU485" s="56">
        <f t="shared" si="316"/>
        <v>473</v>
      </c>
      <c r="AV485" s="13">
        <f t="shared" si="317"/>
        <v>2.75</v>
      </c>
      <c r="AW485" s="13">
        <f t="shared" si="318"/>
        <v>0</v>
      </c>
      <c r="AX485" s="16">
        <f t="shared" si="319"/>
        <v>2.75</v>
      </c>
    </row>
    <row r="486" spans="1:50" x14ac:dyDescent="0.25">
      <c r="A486" s="20">
        <v>4184</v>
      </c>
      <c r="B486">
        <v>7</v>
      </c>
      <c r="C486" s="23" t="s">
        <v>105</v>
      </c>
      <c r="D486" s="23">
        <v>7</v>
      </c>
      <c r="E486" s="15">
        <f>+SUMIF('GE16FEB14 Unfudged'!$A$2:$A$498, $A486, 'GE16FEB14 Unfudged'!$D$2:$D$498)</f>
        <v>783</v>
      </c>
      <c r="F486" s="15">
        <f>+SUMIF('GE16FEB14 Unfudged'!$A$2:$A$498, 'Tax Bill Summary'!$A486, 'GE16FEB14 Unfudged'!E$2:E$498)</f>
        <v>88141</v>
      </c>
      <c r="G486" s="13">
        <f>+SUMIF('GE16FEB14 Unfudged'!$A$2:$A$498, 'Tax Bill Summary'!$A486, 'GE16FEB14 Unfudged'!F$2:F$498)</f>
        <v>0</v>
      </c>
      <c r="H486" s="56">
        <f t="shared" si="287"/>
        <v>88141</v>
      </c>
      <c r="I486" s="51">
        <f>+SUMIF('GE16FEB14 Unfudged'!$A$2:$A$498, 'Tax Bill Summary'!$A486, 'GE16FEB14 Unfudged'!G$2:G$498)</f>
        <v>0</v>
      </c>
      <c r="J486" s="13">
        <f>+SUMIF('GE16FEB14 Unfudged'!$A$2:$A$498, 'Tax Bill Summary'!$A486, 'GE16FEB14 Unfudged'!H$2:H$498)</f>
        <v>0</v>
      </c>
      <c r="K486" s="56">
        <f t="shared" si="288"/>
        <v>0</v>
      </c>
      <c r="L486" s="51">
        <f>+SUMIF('GE16FEB14 Unfudged'!$A$2:$A$498, 'Tax Bill Summary'!$A486, 'GE16FEB14 Unfudged'!I$2:IF$498)</f>
        <v>0</v>
      </c>
      <c r="M486" s="13">
        <f>+SUMIF('GE16FEB14 Unfudged'!$A$2:$A$498, 'Tax Bill Summary'!$A486, 'GE16FEB14 Unfudged'!J$2:IG$498)</f>
        <v>0</v>
      </c>
      <c r="N486" s="56">
        <f t="shared" si="289"/>
        <v>0</v>
      </c>
      <c r="O486" s="51">
        <f t="shared" si="290"/>
        <v>88141</v>
      </c>
      <c r="P486" s="13">
        <f t="shared" si="291"/>
        <v>0</v>
      </c>
      <c r="Q486" s="56">
        <f t="shared" si="292"/>
        <v>88141</v>
      </c>
      <c r="R486" s="13">
        <f t="shared" si="293"/>
        <v>112.56832694763729</v>
      </c>
      <c r="S486" s="13">
        <f t="shared" si="294"/>
        <v>0</v>
      </c>
      <c r="T486" s="16">
        <f t="shared" si="295"/>
        <v>112.56832694763729</v>
      </c>
      <c r="U486" s="15">
        <f>+SUMIF('GE16FEB14 Tax Bill Unfudged'!$A$2:$A$498, 'Tax Bill Summary'!$A486, 'GE16FEB14 Tax Bill Unfudged'!E$2:E$498)</f>
        <v>90302</v>
      </c>
      <c r="V486" s="13">
        <f>+SUMIF('GE16FEB14 Tax Bill Unfudged'!$A$2:$A$498, 'Tax Bill Summary'!$A486, 'GE16FEB14 Tax Bill Unfudged'!F$2:F$498)</f>
        <v>0</v>
      </c>
      <c r="W486" s="56">
        <f t="shared" si="296"/>
        <v>90302</v>
      </c>
      <c r="X486" s="51">
        <f>+SUMIF('GE16FEB14 Tax Bill Unfudged'!$A$2:$A$498, 'Tax Bill Summary'!$A486, 'GE16FEB14 Tax Bill Unfudged'!G$2:G$498)</f>
        <v>0</v>
      </c>
      <c r="Y486" s="13">
        <f>+SUMIF('GE16FEB14 Tax Bill Unfudged'!$A$2:$A$498, 'Tax Bill Summary'!$A486, 'GE16FEB14 Tax Bill Unfudged'!H$2:H$498)</f>
        <v>0</v>
      </c>
      <c r="Z486" s="56">
        <f t="shared" si="297"/>
        <v>0</v>
      </c>
      <c r="AA486" s="51">
        <f>+SUMIF('GE16FEB14 Tax Bill Unfudged'!$A$2:$A$498, 'Tax Bill Summary'!$A486, 'GE16FEB14 Tax Bill Unfudged'!I$2:I$498)</f>
        <v>0</v>
      </c>
      <c r="AB486" s="13">
        <f>+SUMIF('GE16FEB14 Tax Bill Unfudged'!$A$2:$A$498, 'Tax Bill Summary'!$A486, 'GE16FEB14 Tax Bill Unfudged'!J$2:J$498)</f>
        <v>0</v>
      </c>
      <c r="AC486" s="56">
        <f t="shared" si="298"/>
        <v>0</v>
      </c>
      <c r="AD486" s="51">
        <f t="shared" si="299"/>
        <v>90302</v>
      </c>
      <c r="AE486" s="13">
        <f t="shared" si="300"/>
        <v>0</v>
      </c>
      <c r="AF486" s="56">
        <f t="shared" si="301"/>
        <v>90302</v>
      </c>
      <c r="AG486" s="13">
        <f t="shared" si="302"/>
        <v>115.32822477650063</v>
      </c>
      <c r="AH486" s="13">
        <f t="shared" si="303"/>
        <v>0</v>
      </c>
      <c r="AI486" s="16">
        <f t="shared" si="304"/>
        <v>115.32822477650063</v>
      </c>
      <c r="AJ486" s="15">
        <f t="shared" si="305"/>
        <v>2161</v>
      </c>
      <c r="AK486" s="13">
        <f t="shared" si="306"/>
        <v>0</v>
      </c>
      <c r="AL486" s="56">
        <f t="shared" si="307"/>
        <v>2161</v>
      </c>
      <c r="AM486" s="51">
        <f t="shared" si="308"/>
        <v>0</v>
      </c>
      <c r="AN486" s="13">
        <f t="shared" si="309"/>
        <v>0</v>
      </c>
      <c r="AO486" s="56">
        <f t="shared" si="310"/>
        <v>0</v>
      </c>
      <c r="AP486" s="51">
        <f t="shared" si="311"/>
        <v>0</v>
      </c>
      <c r="AQ486" s="13">
        <f t="shared" si="312"/>
        <v>0</v>
      </c>
      <c r="AR486" s="56">
        <f t="shared" si="313"/>
        <v>0</v>
      </c>
      <c r="AS486" s="51">
        <f t="shared" si="314"/>
        <v>2161</v>
      </c>
      <c r="AT486" s="13">
        <f t="shared" si="315"/>
        <v>0</v>
      </c>
      <c r="AU486" s="56">
        <f t="shared" si="316"/>
        <v>2161</v>
      </c>
      <c r="AV486" s="13">
        <f t="shared" si="317"/>
        <v>2.7598978288633447</v>
      </c>
      <c r="AW486" s="13">
        <f t="shared" si="318"/>
        <v>0</v>
      </c>
      <c r="AX486" s="16">
        <f t="shared" si="319"/>
        <v>2.7598978288633447</v>
      </c>
    </row>
    <row r="487" spans="1:50" x14ac:dyDescent="0.25">
      <c r="A487" s="20">
        <v>4185</v>
      </c>
      <c r="B487">
        <v>7</v>
      </c>
      <c r="C487" s="23" t="s">
        <v>106</v>
      </c>
      <c r="D487" s="23">
        <v>7</v>
      </c>
      <c r="E487" s="15">
        <f>+SUMIF('GE16FEB14 Unfudged'!$A$2:$A$498, $A487, 'GE16FEB14 Unfudged'!$D$2:$D$498)</f>
        <v>545</v>
      </c>
      <c r="F487" s="15">
        <f>+SUMIF('GE16FEB14 Unfudged'!$A$2:$A$498, 'Tax Bill Summary'!$A487, 'GE16FEB14 Unfudged'!E$2:E$498)</f>
        <v>61316</v>
      </c>
      <c r="G487" s="13">
        <f>+SUMIF('GE16FEB14 Unfudged'!$A$2:$A$498, 'Tax Bill Summary'!$A487, 'GE16FEB14 Unfudged'!F$2:F$498)</f>
        <v>0</v>
      </c>
      <c r="H487" s="56">
        <f t="shared" si="287"/>
        <v>61316</v>
      </c>
      <c r="I487" s="51">
        <f>+SUMIF('GE16FEB14 Unfudged'!$A$2:$A$498, 'Tax Bill Summary'!$A487, 'GE16FEB14 Unfudged'!G$2:G$498)</f>
        <v>0</v>
      </c>
      <c r="J487" s="13">
        <f>+SUMIF('GE16FEB14 Unfudged'!$A$2:$A$498, 'Tax Bill Summary'!$A487, 'GE16FEB14 Unfudged'!H$2:H$498)</f>
        <v>0</v>
      </c>
      <c r="K487" s="56">
        <f t="shared" si="288"/>
        <v>0</v>
      </c>
      <c r="L487" s="51">
        <f>+SUMIF('GE16FEB14 Unfudged'!$A$2:$A$498, 'Tax Bill Summary'!$A487, 'GE16FEB14 Unfudged'!I$2:IF$498)</f>
        <v>0</v>
      </c>
      <c r="M487" s="13">
        <f>+SUMIF('GE16FEB14 Unfudged'!$A$2:$A$498, 'Tax Bill Summary'!$A487, 'GE16FEB14 Unfudged'!J$2:IG$498)</f>
        <v>0</v>
      </c>
      <c r="N487" s="56">
        <f t="shared" si="289"/>
        <v>0</v>
      </c>
      <c r="O487" s="51">
        <f t="shared" si="290"/>
        <v>61316</v>
      </c>
      <c r="P487" s="13">
        <f t="shared" si="291"/>
        <v>0</v>
      </c>
      <c r="Q487" s="56">
        <f t="shared" si="292"/>
        <v>61316</v>
      </c>
      <c r="R487" s="13">
        <f t="shared" si="293"/>
        <v>112.50642201834863</v>
      </c>
      <c r="S487" s="13">
        <f t="shared" si="294"/>
        <v>0</v>
      </c>
      <c r="T487" s="16">
        <f t="shared" si="295"/>
        <v>112.50642201834863</v>
      </c>
      <c r="U487" s="15">
        <f>+SUMIF('GE16FEB14 Tax Bill Unfudged'!$A$2:$A$498, 'Tax Bill Summary'!$A487, 'GE16FEB14 Tax Bill Unfudged'!E$2:E$498)</f>
        <v>62819</v>
      </c>
      <c r="V487" s="13">
        <f>+SUMIF('GE16FEB14 Tax Bill Unfudged'!$A$2:$A$498, 'Tax Bill Summary'!$A487, 'GE16FEB14 Tax Bill Unfudged'!F$2:F$498)</f>
        <v>0</v>
      </c>
      <c r="W487" s="56">
        <f t="shared" si="296"/>
        <v>62819</v>
      </c>
      <c r="X487" s="51">
        <f>+SUMIF('GE16FEB14 Tax Bill Unfudged'!$A$2:$A$498, 'Tax Bill Summary'!$A487, 'GE16FEB14 Tax Bill Unfudged'!G$2:G$498)</f>
        <v>0</v>
      </c>
      <c r="Y487" s="13">
        <f>+SUMIF('GE16FEB14 Tax Bill Unfudged'!$A$2:$A$498, 'Tax Bill Summary'!$A487, 'GE16FEB14 Tax Bill Unfudged'!H$2:H$498)</f>
        <v>0</v>
      </c>
      <c r="Z487" s="56">
        <f t="shared" si="297"/>
        <v>0</v>
      </c>
      <c r="AA487" s="51">
        <f>+SUMIF('GE16FEB14 Tax Bill Unfudged'!$A$2:$A$498, 'Tax Bill Summary'!$A487, 'GE16FEB14 Tax Bill Unfudged'!I$2:I$498)</f>
        <v>0</v>
      </c>
      <c r="AB487" s="13">
        <f>+SUMIF('GE16FEB14 Tax Bill Unfudged'!$A$2:$A$498, 'Tax Bill Summary'!$A487, 'GE16FEB14 Tax Bill Unfudged'!J$2:J$498)</f>
        <v>0</v>
      </c>
      <c r="AC487" s="56">
        <f t="shared" si="298"/>
        <v>0</v>
      </c>
      <c r="AD487" s="51">
        <f t="shared" si="299"/>
        <v>62819</v>
      </c>
      <c r="AE487" s="13">
        <f t="shared" si="300"/>
        <v>0</v>
      </c>
      <c r="AF487" s="56">
        <f t="shared" si="301"/>
        <v>62819</v>
      </c>
      <c r="AG487" s="13">
        <f t="shared" si="302"/>
        <v>115.26422018348624</v>
      </c>
      <c r="AH487" s="13">
        <f t="shared" si="303"/>
        <v>0</v>
      </c>
      <c r="AI487" s="16">
        <f t="shared" si="304"/>
        <v>115.26422018348624</v>
      </c>
      <c r="AJ487" s="15">
        <f t="shared" si="305"/>
        <v>1503</v>
      </c>
      <c r="AK487" s="13">
        <f t="shared" si="306"/>
        <v>0</v>
      </c>
      <c r="AL487" s="56">
        <f t="shared" si="307"/>
        <v>1503</v>
      </c>
      <c r="AM487" s="51">
        <f t="shared" si="308"/>
        <v>0</v>
      </c>
      <c r="AN487" s="13">
        <f t="shared" si="309"/>
        <v>0</v>
      </c>
      <c r="AO487" s="56">
        <f t="shared" si="310"/>
        <v>0</v>
      </c>
      <c r="AP487" s="51">
        <f t="shared" si="311"/>
        <v>0</v>
      </c>
      <c r="AQ487" s="13">
        <f t="shared" si="312"/>
        <v>0</v>
      </c>
      <c r="AR487" s="56">
        <f t="shared" si="313"/>
        <v>0</v>
      </c>
      <c r="AS487" s="51">
        <f t="shared" si="314"/>
        <v>1503</v>
      </c>
      <c r="AT487" s="13">
        <f t="shared" si="315"/>
        <v>0</v>
      </c>
      <c r="AU487" s="56">
        <f t="shared" si="316"/>
        <v>1503</v>
      </c>
      <c r="AV487" s="13">
        <f t="shared" si="317"/>
        <v>2.7577981651376149</v>
      </c>
      <c r="AW487" s="13">
        <f t="shared" si="318"/>
        <v>0</v>
      </c>
      <c r="AX487" s="16">
        <f t="shared" si="319"/>
        <v>2.7577981651376149</v>
      </c>
    </row>
    <row r="488" spans="1:50" x14ac:dyDescent="0.25">
      <c r="A488" s="20">
        <v>4186</v>
      </c>
      <c r="B488">
        <v>7</v>
      </c>
      <c r="C488" s="23" t="s">
        <v>107</v>
      </c>
      <c r="D488" s="23">
        <v>7</v>
      </c>
      <c r="E488" s="15">
        <f>+SUMIF('GE16FEB14 Unfudged'!$A$2:$A$498, $A488, 'GE16FEB14 Unfudged'!$D$2:$D$498)</f>
        <v>435</v>
      </c>
      <c r="F488" s="15">
        <f>+SUMIF('GE16FEB14 Unfudged'!$A$2:$A$498, 'Tax Bill Summary'!$A488, 'GE16FEB14 Unfudged'!E$2:E$498)</f>
        <v>48933</v>
      </c>
      <c r="G488" s="13">
        <f>+SUMIF('GE16FEB14 Unfudged'!$A$2:$A$498, 'Tax Bill Summary'!$A488, 'GE16FEB14 Unfudged'!F$2:F$498)</f>
        <v>0</v>
      </c>
      <c r="H488" s="56">
        <f t="shared" si="287"/>
        <v>48933</v>
      </c>
      <c r="I488" s="51">
        <f>+SUMIF('GE16FEB14 Unfudged'!$A$2:$A$498, 'Tax Bill Summary'!$A488, 'GE16FEB14 Unfudged'!G$2:G$498)</f>
        <v>0</v>
      </c>
      <c r="J488" s="13">
        <f>+SUMIF('GE16FEB14 Unfudged'!$A$2:$A$498, 'Tax Bill Summary'!$A488, 'GE16FEB14 Unfudged'!H$2:H$498)</f>
        <v>0</v>
      </c>
      <c r="K488" s="56">
        <f t="shared" si="288"/>
        <v>0</v>
      </c>
      <c r="L488" s="51">
        <f>+SUMIF('GE16FEB14 Unfudged'!$A$2:$A$498, 'Tax Bill Summary'!$A488, 'GE16FEB14 Unfudged'!I$2:IF$498)</f>
        <v>0</v>
      </c>
      <c r="M488" s="13">
        <f>+SUMIF('GE16FEB14 Unfudged'!$A$2:$A$498, 'Tax Bill Summary'!$A488, 'GE16FEB14 Unfudged'!J$2:IG$498)</f>
        <v>0</v>
      </c>
      <c r="N488" s="56">
        <f t="shared" si="289"/>
        <v>0</v>
      </c>
      <c r="O488" s="51">
        <f t="shared" si="290"/>
        <v>48933</v>
      </c>
      <c r="P488" s="13">
        <f t="shared" si="291"/>
        <v>0</v>
      </c>
      <c r="Q488" s="56">
        <f t="shared" si="292"/>
        <v>48933</v>
      </c>
      <c r="R488" s="13">
        <f t="shared" si="293"/>
        <v>112.48965517241379</v>
      </c>
      <c r="S488" s="13">
        <f t="shared" si="294"/>
        <v>0</v>
      </c>
      <c r="T488" s="16">
        <f t="shared" si="295"/>
        <v>112.48965517241379</v>
      </c>
      <c r="U488" s="15">
        <f>+SUMIF('GE16FEB14 Tax Bill Unfudged'!$A$2:$A$498, 'Tax Bill Summary'!$A488, 'GE16FEB14 Tax Bill Unfudged'!E$2:E$498)</f>
        <v>50133</v>
      </c>
      <c r="V488" s="13">
        <f>+SUMIF('GE16FEB14 Tax Bill Unfudged'!$A$2:$A$498, 'Tax Bill Summary'!$A488, 'GE16FEB14 Tax Bill Unfudged'!F$2:F$498)</f>
        <v>0</v>
      </c>
      <c r="W488" s="56">
        <f t="shared" si="296"/>
        <v>50133</v>
      </c>
      <c r="X488" s="51">
        <f>+SUMIF('GE16FEB14 Tax Bill Unfudged'!$A$2:$A$498, 'Tax Bill Summary'!$A488, 'GE16FEB14 Tax Bill Unfudged'!G$2:G$498)</f>
        <v>0</v>
      </c>
      <c r="Y488" s="13">
        <f>+SUMIF('GE16FEB14 Tax Bill Unfudged'!$A$2:$A$498, 'Tax Bill Summary'!$A488, 'GE16FEB14 Tax Bill Unfudged'!H$2:H$498)</f>
        <v>0</v>
      </c>
      <c r="Z488" s="56">
        <f t="shared" si="297"/>
        <v>0</v>
      </c>
      <c r="AA488" s="51">
        <f>+SUMIF('GE16FEB14 Tax Bill Unfudged'!$A$2:$A$498, 'Tax Bill Summary'!$A488, 'GE16FEB14 Tax Bill Unfudged'!I$2:I$498)</f>
        <v>0</v>
      </c>
      <c r="AB488" s="13">
        <f>+SUMIF('GE16FEB14 Tax Bill Unfudged'!$A$2:$A$498, 'Tax Bill Summary'!$A488, 'GE16FEB14 Tax Bill Unfudged'!J$2:J$498)</f>
        <v>0</v>
      </c>
      <c r="AC488" s="56">
        <f t="shared" si="298"/>
        <v>0</v>
      </c>
      <c r="AD488" s="51">
        <f t="shared" si="299"/>
        <v>50133</v>
      </c>
      <c r="AE488" s="13">
        <f t="shared" si="300"/>
        <v>0</v>
      </c>
      <c r="AF488" s="56">
        <f t="shared" si="301"/>
        <v>50133</v>
      </c>
      <c r="AG488" s="13">
        <f t="shared" si="302"/>
        <v>115.24827586206897</v>
      </c>
      <c r="AH488" s="13">
        <f t="shared" si="303"/>
        <v>0</v>
      </c>
      <c r="AI488" s="16">
        <f t="shared" si="304"/>
        <v>115.24827586206897</v>
      </c>
      <c r="AJ488" s="15">
        <f t="shared" si="305"/>
        <v>1200</v>
      </c>
      <c r="AK488" s="13">
        <f t="shared" si="306"/>
        <v>0</v>
      </c>
      <c r="AL488" s="56">
        <f t="shared" si="307"/>
        <v>1200</v>
      </c>
      <c r="AM488" s="51">
        <f t="shared" si="308"/>
        <v>0</v>
      </c>
      <c r="AN488" s="13">
        <f t="shared" si="309"/>
        <v>0</v>
      </c>
      <c r="AO488" s="56">
        <f t="shared" si="310"/>
        <v>0</v>
      </c>
      <c r="AP488" s="51">
        <f t="shared" si="311"/>
        <v>0</v>
      </c>
      <c r="AQ488" s="13">
        <f t="shared" si="312"/>
        <v>0</v>
      </c>
      <c r="AR488" s="56">
        <f t="shared" si="313"/>
        <v>0</v>
      </c>
      <c r="AS488" s="51">
        <f t="shared" si="314"/>
        <v>1200</v>
      </c>
      <c r="AT488" s="13">
        <f t="shared" si="315"/>
        <v>0</v>
      </c>
      <c r="AU488" s="56">
        <f t="shared" si="316"/>
        <v>1200</v>
      </c>
      <c r="AV488" s="13">
        <f t="shared" si="317"/>
        <v>2.7586206896551744</v>
      </c>
      <c r="AW488" s="13">
        <f t="shared" si="318"/>
        <v>0</v>
      </c>
      <c r="AX488" s="16">
        <f t="shared" si="319"/>
        <v>2.7586206896551744</v>
      </c>
    </row>
    <row r="489" spans="1:50" x14ac:dyDescent="0.25">
      <c r="A489" s="20">
        <v>4187</v>
      </c>
      <c r="B489">
        <v>7</v>
      </c>
      <c r="C489" s="23" t="s">
        <v>108</v>
      </c>
      <c r="D489" s="23">
        <v>7</v>
      </c>
      <c r="E489" s="15">
        <f>+SUMIF('GE16FEB14 Unfudged'!$A$2:$A$498, $A489, 'GE16FEB14 Unfudged'!$D$2:$D$498)</f>
        <v>101</v>
      </c>
      <c r="F489" s="15">
        <f>+SUMIF('GE16FEB14 Unfudged'!$A$2:$A$498, 'Tax Bill Summary'!$A489, 'GE16FEB14 Unfudged'!E$2:E$498)</f>
        <v>11369</v>
      </c>
      <c r="G489" s="13">
        <f>+SUMIF('GE16FEB14 Unfudged'!$A$2:$A$498, 'Tax Bill Summary'!$A489, 'GE16FEB14 Unfudged'!F$2:F$498)</f>
        <v>0</v>
      </c>
      <c r="H489" s="56">
        <f t="shared" si="287"/>
        <v>11369</v>
      </c>
      <c r="I489" s="51">
        <f>+SUMIF('GE16FEB14 Unfudged'!$A$2:$A$498, 'Tax Bill Summary'!$A489, 'GE16FEB14 Unfudged'!G$2:G$498)</f>
        <v>0</v>
      </c>
      <c r="J489" s="13">
        <f>+SUMIF('GE16FEB14 Unfudged'!$A$2:$A$498, 'Tax Bill Summary'!$A489, 'GE16FEB14 Unfudged'!H$2:H$498)</f>
        <v>0</v>
      </c>
      <c r="K489" s="56">
        <f t="shared" si="288"/>
        <v>0</v>
      </c>
      <c r="L489" s="51">
        <f>+SUMIF('GE16FEB14 Unfudged'!$A$2:$A$498, 'Tax Bill Summary'!$A489, 'GE16FEB14 Unfudged'!I$2:IF$498)</f>
        <v>0</v>
      </c>
      <c r="M489" s="13">
        <f>+SUMIF('GE16FEB14 Unfudged'!$A$2:$A$498, 'Tax Bill Summary'!$A489, 'GE16FEB14 Unfudged'!J$2:IG$498)</f>
        <v>0</v>
      </c>
      <c r="N489" s="56">
        <f t="shared" si="289"/>
        <v>0</v>
      </c>
      <c r="O489" s="51">
        <f t="shared" si="290"/>
        <v>11369</v>
      </c>
      <c r="P489" s="13">
        <f t="shared" si="291"/>
        <v>0</v>
      </c>
      <c r="Q489" s="56">
        <f t="shared" si="292"/>
        <v>11369</v>
      </c>
      <c r="R489" s="13">
        <f t="shared" si="293"/>
        <v>112.56435643564356</v>
      </c>
      <c r="S489" s="13">
        <f t="shared" si="294"/>
        <v>0</v>
      </c>
      <c r="T489" s="16">
        <f t="shared" si="295"/>
        <v>112.56435643564356</v>
      </c>
      <c r="U489" s="15">
        <f>+SUMIF('GE16FEB14 Tax Bill Unfudged'!$A$2:$A$498, 'Tax Bill Summary'!$A489, 'GE16FEB14 Tax Bill Unfudged'!E$2:E$498)</f>
        <v>11648</v>
      </c>
      <c r="V489" s="13">
        <f>+SUMIF('GE16FEB14 Tax Bill Unfudged'!$A$2:$A$498, 'Tax Bill Summary'!$A489, 'GE16FEB14 Tax Bill Unfudged'!F$2:F$498)</f>
        <v>0</v>
      </c>
      <c r="W489" s="56">
        <f t="shared" si="296"/>
        <v>11648</v>
      </c>
      <c r="X489" s="51">
        <f>+SUMIF('GE16FEB14 Tax Bill Unfudged'!$A$2:$A$498, 'Tax Bill Summary'!$A489, 'GE16FEB14 Tax Bill Unfudged'!G$2:G$498)</f>
        <v>0</v>
      </c>
      <c r="Y489" s="13">
        <f>+SUMIF('GE16FEB14 Tax Bill Unfudged'!$A$2:$A$498, 'Tax Bill Summary'!$A489, 'GE16FEB14 Tax Bill Unfudged'!H$2:H$498)</f>
        <v>0</v>
      </c>
      <c r="Z489" s="56">
        <f t="shared" si="297"/>
        <v>0</v>
      </c>
      <c r="AA489" s="51">
        <f>+SUMIF('GE16FEB14 Tax Bill Unfudged'!$A$2:$A$498, 'Tax Bill Summary'!$A489, 'GE16FEB14 Tax Bill Unfudged'!I$2:I$498)</f>
        <v>0</v>
      </c>
      <c r="AB489" s="13">
        <f>+SUMIF('GE16FEB14 Tax Bill Unfudged'!$A$2:$A$498, 'Tax Bill Summary'!$A489, 'GE16FEB14 Tax Bill Unfudged'!J$2:J$498)</f>
        <v>0</v>
      </c>
      <c r="AC489" s="56">
        <f t="shared" si="298"/>
        <v>0</v>
      </c>
      <c r="AD489" s="51">
        <f t="shared" si="299"/>
        <v>11648</v>
      </c>
      <c r="AE489" s="13">
        <f t="shared" si="300"/>
        <v>0</v>
      </c>
      <c r="AF489" s="56">
        <f t="shared" si="301"/>
        <v>11648</v>
      </c>
      <c r="AG489" s="13">
        <f t="shared" si="302"/>
        <v>115.32673267326733</v>
      </c>
      <c r="AH489" s="13">
        <f t="shared" si="303"/>
        <v>0</v>
      </c>
      <c r="AI489" s="16">
        <f t="shared" si="304"/>
        <v>115.32673267326733</v>
      </c>
      <c r="AJ489" s="15">
        <f t="shared" si="305"/>
        <v>279</v>
      </c>
      <c r="AK489" s="13">
        <f t="shared" si="306"/>
        <v>0</v>
      </c>
      <c r="AL489" s="56">
        <f t="shared" si="307"/>
        <v>279</v>
      </c>
      <c r="AM489" s="51">
        <f t="shared" si="308"/>
        <v>0</v>
      </c>
      <c r="AN489" s="13">
        <f t="shared" si="309"/>
        <v>0</v>
      </c>
      <c r="AO489" s="56">
        <f t="shared" si="310"/>
        <v>0</v>
      </c>
      <c r="AP489" s="51">
        <f t="shared" si="311"/>
        <v>0</v>
      </c>
      <c r="AQ489" s="13">
        <f t="shared" si="312"/>
        <v>0</v>
      </c>
      <c r="AR489" s="56">
        <f t="shared" si="313"/>
        <v>0</v>
      </c>
      <c r="AS489" s="51">
        <f t="shared" si="314"/>
        <v>279</v>
      </c>
      <c r="AT489" s="13">
        <f t="shared" si="315"/>
        <v>0</v>
      </c>
      <c r="AU489" s="56">
        <f t="shared" si="316"/>
        <v>279</v>
      </c>
      <c r="AV489" s="13">
        <f t="shared" si="317"/>
        <v>2.7623762376237693</v>
      </c>
      <c r="AW489" s="13">
        <f t="shared" si="318"/>
        <v>0</v>
      </c>
      <c r="AX489" s="16">
        <f t="shared" si="319"/>
        <v>2.7623762376237693</v>
      </c>
    </row>
    <row r="490" spans="1:50" x14ac:dyDescent="0.25">
      <c r="A490" s="20">
        <v>4188</v>
      </c>
      <c r="B490">
        <v>7</v>
      </c>
      <c r="C490" s="23" t="s">
        <v>109</v>
      </c>
      <c r="D490" s="23">
        <v>7</v>
      </c>
      <c r="E490" s="15">
        <f>+SUMIF('GE16FEB14 Unfudged'!$A$2:$A$498, $A490, 'GE16FEB14 Unfudged'!$D$2:$D$498)</f>
        <v>621</v>
      </c>
      <c r="F490" s="15">
        <f>+SUMIF('GE16FEB14 Unfudged'!$A$2:$A$498, 'Tax Bill Summary'!$A490, 'GE16FEB14 Unfudged'!E$2:E$498)</f>
        <v>69882</v>
      </c>
      <c r="G490" s="13">
        <f>+SUMIF('GE16FEB14 Unfudged'!$A$2:$A$498, 'Tax Bill Summary'!$A490, 'GE16FEB14 Unfudged'!F$2:F$498)</f>
        <v>0</v>
      </c>
      <c r="H490" s="56">
        <f t="shared" si="287"/>
        <v>69882</v>
      </c>
      <c r="I490" s="51">
        <f>+SUMIF('GE16FEB14 Unfudged'!$A$2:$A$498, 'Tax Bill Summary'!$A490, 'GE16FEB14 Unfudged'!G$2:G$498)</f>
        <v>0</v>
      </c>
      <c r="J490" s="13">
        <f>+SUMIF('GE16FEB14 Unfudged'!$A$2:$A$498, 'Tax Bill Summary'!$A490, 'GE16FEB14 Unfudged'!H$2:H$498)</f>
        <v>0</v>
      </c>
      <c r="K490" s="56">
        <f t="shared" si="288"/>
        <v>0</v>
      </c>
      <c r="L490" s="51">
        <f>+SUMIF('GE16FEB14 Unfudged'!$A$2:$A$498, 'Tax Bill Summary'!$A490, 'GE16FEB14 Unfudged'!I$2:IF$498)</f>
        <v>0</v>
      </c>
      <c r="M490" s="13">
        <f>+SUMIF('GE16FEB14 Unfudged'!$A$2:$A$498, 'Tax Bill Summary'!$A490, 'GE16FEB14 Unfudged'!J$2:IG$498)</f>
        <v>0</v>
      </c>
      <c r="N490" s="56">
        <f t="shared" si="289"/>
        <v>0</v>
      </c>
      <c r="O490" s="51">
        <f t="shared" si="290"/>
        <v>69882</v>
      </c>
      <c r="P490" s="13">
        <f t="shared" si="291"/>
        <v>0</v>
      </c>
      <c r="Q490" s="56">
        <f t="shared" si="292"/>
        <v>69882</v>
      </c>
      <c r="R490" s="13">
        <f t="shared" si="293"/>
        <v>112.53140096618357</v>
      </c>
      <c r="S490" s="13">
        <f t="shared" si="294"/>
        <v>0</v>
      </c>
      <c r="T490" s="16">
        <f t="shared" si="295"/>
        <v>112.53140096618357</v>
      </c>
      <c r="U490" s="15">
        <f>+SUMIF('GE16FEB14 Tax Bill Unfudged'!$A$2:$A$498, 'Tax Bill Summary'!$A490, 'GE16FEB14 Tax Bill Unfudged'!E$2:E$498)</f>
        <v>71596</v>
      </c>
      <c r="V490" s="13">
        <f>+SUMIF('GE16FEB14 Tax Bill Unfudged'!$A$2:$A$498, 'Tax Bill Summary'!$A490, 'GE16FEB14 Tax Bill Unfudged'!F$2:F$498)</f>
        <v>0</v>
      </c>
      <c r="W490" s="56">
        <f t="shared" si="296"/>
        <v>71596</v>
      </c>
      <c r="X490" s="51">
        <f>+SUMIF('GE16FEB14 Tax Bill Unfudged'!$A$2:$A$498, 'Tax Bill Summary'!$A490, 'GE16FEB14 Tax Bill Unfudged'!G$2:G$498)</f>
        <v>0</v>
      </c>
      <c r="Y490" s="13">
        <f>+SUMIF('GE16FEB14 Tax Bill Unfudged'!$A$2:$A$498, 'Tax Bill Summary'!$A490, 'GE16FEB14 Tax Bill Unfudged'!H$2:H$498)</f>
        <v>0</v>
      </c>
      <c r="Z490" s="56">
        <f t="shared" si="297"/>
        <v>0</v>
      </c>
      <c r="AA490" s="51">
        <f>+SUMIF('GE16FEB14 Tax Bill Unfudged'!$A$2:$A$498, 'Tax Bill Summary'!$A490, 'GE16FEB14 Tax Bill Unfudged'!I$2:I$498)</f>
        <v>0</v>
      </c>
      <c r="AB490" s="13">
        <f>+SUMIF('GE16FEB14 Tax Bill Unfudged'!$A$2:$A$498, 'Tax Bill Summary'!$A490, 'GE16FEB14 Tax Bill Unfudged'!J$2:J$498)</f>
        <v>0</v>
      </c>
      <c r="AC490" s="56">
        <f t="shared" si="298"/>
        <v>0</v>
      </c>
      <c r="AD490" s="51">
        <f t="shared" si="299"/>
        <v>71596</v>
      </c>
      <c r="AE490" s="13">
        <f t="shared" si="300"/>
        <v>0</v>
      </c>
      <c r="AF490" s="56">
        <f t="shared" si="301"/>
        <v>71596</v>
      </c>
      <c r="AG490" s="13">
        <f t="shared" si="302"/>
        <v>115.2914653784219</v>
      </c>
      <c r="AH490" s="13">
        <f t="shared" si="303"/>
        <v>0</v>
      </c>
      <c r="AI490" s="16">
        <f t="shared" si="304"/>
        <v>115.2914653784219</v>
      </c>
      <c r="AJ490" s="15">
        <f t="shared" si="305"/>
        <v>1714</v>
      </c>
      <c r="AK490" s="13">
        <f t="shared" si="306"/>
        <v>0</v>
      </c>
      <c r="AL490" s="56">
        <f t="shared" si="307"/>
        <v>1714</v>
      </c>
      <c r="AM490" s="51">
        <f t="shared" si="308"/>
        <v>0</v>
      </c>
      <c r="AN490" s="13">
        <f t="shared" si="309"/>
        <v>0</v>
      </c>
      <c r="AO490" s="56">
        <f t="shared" si="310"/>
        <v>0</v>
      </c>
      <c r="AP490" s="51">
        <f t="shared" si="311"/>
        <v>0</v>
      </c>
      <c r="AQ490" s="13">
        <f t="shared" si="312"/>
        <v>0</v>
      </c>
      <c r="AR490" s="56">
        <f t="shared" si="313"/>
        <v>0</v>
      </c>
      <c r="AS490" s="51">
        <f t="shared" si="314"/>
        <v>1714</v>
      </c>
      <c r="AT490" s="13">
        <f t="shared" si="315"/>
        <v>0</v>
      </c>
      <c r="AU490" s="56">
        <f t="shared" si="316"/>
        <v>1714</v>
      </c>
      <c r="AV490" s="13">
        <f t="shared" si="317"/>
        <v>2.7600644122383358</v>
      </c>
      <c r="AW490" s="13">
        <f t="shared" si="318"/>
        <v>0</v>
      </c>
      <c r="AX490" s="16">
        <f t="shared" si="319"/>
        <v>2.7600644122383358</v>
      </c>
    </row>
    <row r="491" spans="1:50" x14ac:dyDescent="0.25">
      <c r="A491" s="20">
        <v>4189</v>
      </c>
      <c r="B491">
        <v>7</v>
      </c>
      <c r="C491" s="23" t="s">
        <v>110</v>
      </c>
      <c r="D491" s="23">
        <v>7</v>
      </c>
      <c r="E491" s="15">
        <f>+SUMIF('GE16FEB14 Unfudged'!$A$2:$A$498, $A491, 'GE16FEB14 Unfudged'!$D$2:$D$498)</f>
        <v>210</v>
      </c>
      <c r="F491" s="15">
        <f>+SUMIF('GE16FEB14 Unfudged'!$A$2:$A$498, 'Tax Bill Summary'!$A491, 'GE16FEB14 Unfudged'!E$2:E$498)</f>
        <v>23679</v>
      </c>
      <c r="G491" s="13">
        <f>+SUMIF('GE16FEB14 Unfudged'!$A$2:$A$498, 'Tax Bill Summary'!$A491, 'GE16FEB14 Unfudged'!F$2:F$498)</f>
        <v>0</v>
      </c>
      <c r="H491" s="56">
        <f t="shared" si="287"/>
        <v>23679</v>
      </c>
      <c r="I491" s="51">
        <f>+SUMIF('GE16FEB14 Unfudged'!$A$2:$A$498, 'Tax Bill Summary'!$A491, 'GE16FEB14 Unfudged'!G$2:G$498)</f>
        <v>0</v>
      </c>
      <c r="J491" s="13">
        <f>+SUMIF('GE16FEB14 Unfudged'!$A$2:$A$498, 'Tax Bill Summary'!$A491, 'GE16FEB14 Unfudged'!H$2:H$498)</f>
        <v>0</v>
      </c>
      <c r="K491" s="56">
        <f t="shared" si="288"/>
        <v>0</v>
      </c>
      <c r="L491" s="51">
        <f>+SUMIF('GE16FEB14 Unfudged'!$A$2:$A$498, 'Tax Bill Summary'!$A491, 'GE16FEB14 Unfudged'!I$2:IF$498)</f>
        <v>0</v>
      </c>
      <c r="M491" s="13">
        <f>+SUMIF('GE16FEB14 Unfudged'!$A$2:$A$498, 'Tax Bill Summary'!$A491, 'GE16FEB14 Unfudged'!J$2:IG$498)</f>
        <v>0</v>
      </c>
      <c r="N491" s="56">
        <f t="shared" si="289"/>
        <v>0</v>
      </c>
      <c r="O491" s="51">
        <f t="shared" si="290"/>
        <v>23679</v>
      </c>
      <c r="P491" s="13">
        <f t="shared" si="291"/>
        <v>0</v>
      </c>
      <c r="Q491" s="56">
        <f t="shared" si="292"/>
        <v>23679</v>
      </c>
      <c r="R491" s="13">
        <f t="shared" si="293"/>
        <v>112.75714285714285</v>
      </c>
      <c r="S491" s="13">
        <f t="shared" si="294"/>
        <v>0</v>
      </c>
      <c r="T491" s="16">
        <f t="shared" si="295"/>
        <v>112.75714285714285</v>
      </c>
      <c r="U491" s="15">
        <f>+SUMIF('GE16FEB14 Tax Bill Unfudged'!$A$2:$A$498, 'Tax Bill Summary'!$A491, 'GE16FEB14 Tax Bill Unfudged'!E$2:E$498)</f>
        <v>24259</v>
      </c>
      <c r="V491" s="13">
        <f>+SUMIF('GE16FEB14 Tax Bill Unfudged'!$A$2:$A$498, 'Tax Bill Summary'!$A491, 'GE16FEB14 Tax Bill Unfudged'!F$2:F$498)</f>
        <v>0</v>
      </c>
      <c r="W491" s="56">
        <f t="shared" si="296"/>
        <v>24259</v>
      </c>
      <c r="X491" s="51">
        <f>+SUMIF('GE16FEB14 Tax Bill Unfudged'!$A$2:$A$498, 'Tax Bill Summary'!$A491, 'GE16FEB14 Tax Bill Unfudged'!G$2:G$498)</f>
        <v>0</v>
      </c>
      <c r="Y491" s="13">
        <f>+SUMIF('GE16FEB14 Tax Bill Unfudged'!$A$2:$A$498, 'Tax Bill Summary'!$A491, 'GE16FEB14 Tax Bill Unfudged'!H$2:H$498)</f>
        <v>0</v>
      </c>
      <c r="Z491" s="56">
        <f t="shared" si="297"/>
        <v>0</v>
      </c>
      <c r="AA491" s="51">
        <f>+SUMIF('GE16FEB14 Tax Bill Unfudged'!$A$2:$A$498, 'Tax Bill Summary'!$A491, 'GE16FEB14 Tax Bill Unfudged'!I$2:I$498)</f>
        <v>0</v>
      </c>
      <c r="AB491" s="13">
        <f>+SUMIF('GE16FEB14 Tax Bill Unfudged'!$A$2:$A$498, 'Tax Bill Summary'!$A491, 'GE16FEB14 Tax Bill Unfudged'!J$2:J$498)</f>
        <v>0</v>
      </c>
      <c r="AC491" s="56">
        <f t="shared" si="298"/>
        <v>0</v>
      </c>
      <c r="AD491" s="51">
        <f t="shared" si="299"/>
        <v>24259</v>
      </c>
      <c r="AE491" s="13">
        <f t="shared" si="300"/>
        <v>0</v>
      </c>
      <c r="AF491" s="56">
        <f t="shared" si="301"/>
        <v>24259</v>
      </c>
      <c r="AG491" s="13">
        <f t="shared" si="302"/>
        <v>115.51904761904763</v>
      </c>
      <c r="AH491" s="13">
        <f t="shared" si="303"/>
        <v>0</v>
      </c>
      <c r="AI491" s="16">
        <f t="shared" si="304"/>
        <v>115.51904761904763</v>
      </c>
      <c r="AJ491" s="15">
        <f t="shared" si="305"/>
        <v>580</v>
      </c>
      <c r="AK491" s="13">
        <f t="shared" si="306"/>
        <v>0</v>
      </c>
      <c r="AL491" s="56">
        <f t="shared" si="307"/>
        <v>580</v>
      </c>
      <c r="AM491" s="51">
        <f t="shared" si="308"/>
        <v>0</v>
      </c>
      <c r="AN491" s="13">
        <f t="shared" si="309"/>
        <v>0</v>
      </c>
      <c r="AO491" s="56">
        <f t="shared" si="310"/>
        <v>0</v>
      </c>
      <c r="AP491" s="51">
        <f t="shared" si="311"/>
        <v>0</v>
      </c>
      <c r="AQ491" s="13">
        <f t="shared" si="312"/>
        <v>0</v>
      </c>
      <c r="AR491" s="56">
        <f t="shared" si="313"/>
        <v>0</v>
      </c>
      <c r="AS491" s="51">
        <f t="shared" si="314"/>
        <v>580</v>
      </c>
      <c r="AT491" s="13">
        <f t="shared" si="315"/>
        <v>0</v>
      </c>
      <c r="AU491" s="56">
        <f t="shared" si="316"/>
        <v>580</v>
      </c>
      <c r="AV491" s="13">
        <f t="shared" si="317"/>
        <v>2.7619047619047734</v>
      </c>
      <c r="AW491" s="13">
        <f t="shared" si="318"/>
        <v>0</v>
      </c>
      <c r="AX491" s="16">
        <f t="shared" si="319"/>
        <v>2.7619047619047734</v>
      </c>
    </row>
    <row r="492" spans="1:50" x14ac:dyDescent="0.25">
      <c r="A492" s="20">
        <v>4190</v>
      </c>
      <c r="B492">
        <v>7</v>
      </c>
      <c r="C492" s="23" t="s">
        <v>507</v>
      </c>
      <c r="D492" s="23">
        <v>7</v>
      </c>
      <c r="E492" s="15">
        <f>+SUMIF('GE16FEB14 Unfudged'!$A$2:$A$498, $A492, 'GE16FEB14 Unfudged'!$D$2:$D$498)</f>
        <v>114</v>
      </c>
      <c r="F492" s="15">
        <f>+SUMIF('GE16FEB14 Unfudged'!$A$2:$A$498, 'Tax Bill Summary'!$A492, 'GE16FEB14 Unfudged'!E$2:E$498)</f>
        <v>12833</v>
      </c>
      <c r="G492" s="13">
        <f>+SUMIF('GE16FEB14 Unfudged'!$A$2:$A$498, 'Tax Bill Summary'!$A492, 'GE16FEB14 Unfudged'!F$2:F$498)</f>
        <v>0</v>
      </c>
      <c r="H492" s="56">
        <f t="shared" si="287"/>
        <v>12833</v>
      </c>
      <c r="I492" s="51">
        <f>+SUMIF('GE16FEB14 Unfudged'!$A$2:$A$498, 'Tax Bill Summary'!$A492, 'GE16FEB14 Unfudged'!G$2:G$498)</f>
        <v>0</v>
      </c>
      <c r="J492" s="13">
        <f>+SUMIF('GE16FEB14 Unfudged'!$A$2:$A$498, 'Tax Bill Summary'!$A492, 'GE16FEB14 Unfudged'!H$2:H$498)</f>
        <v>0</v>
      </c>
      <c r="K492" s="56">
        <f t="shared" si="288"/>
        <v>0</v>
      </c>
      <c r="L492" s="51">
        <f>+SUMIF('GE16FEB14 Unfudged'!$A$2:$A$498, 'Tax Bill Summary'!$A492, 'GE16FEB14 Unfudged'!I$2:IF$498)</f>
        <v>0</v>
      </c>
      <c r="M492" s="13">
        <f>+SUMIF('GE16FEB14 Unfudged'!$A$2:$A$498, 'Tax Bill Summary'!$A492, 'GE16FEB14 Unfudged'!J$2:IG$498)</f>
        <v>0</v>
      </c>
      <c r="N492" s="56">
        <f t="shared" si="289"/>
        <v>0</v>
      </c>
      <c r="O492" s="51">
        <f t="shared" si="290"/>
        <v>12833</v>
      </c>
      <c r="P492" s="13">
        <f t="shared" si="291"/>
        <v>0</v>
      </c>
      <c r="Q492" s="56">
        <f t="shared" si="292"/>
        <v>12833</v>
      </c>
      <c r="R492" s="13">
        <f t="shared" si="293"/>
        <v>112.57017543859649</v>
      </c>
      <c r="S492" s="13">
        <f t="shared" si="294"/>
        <v>0</v>
      </c>
      <c r="T492" s="16">
        <f t="shared" si="295"/>
        <v>112.57017543859649</v>
      </c>
      <c r="U492" s="15">
        <f>+SUMIF('GE16FEB14 Tax Bill Unfudged'!$A$2:$A$498, 'Tax Bill Summary'!$A492, 'GE16FEB14 Tax Bill Unfudged'!E$2:E$498)</f>
        <v>13147</v>
      </c>
      <c r="V492" s="13">
        <f>+SUMIF('GE16FEB14 Tax Bill Unfudged'!$A$2:$A$498, 'Tax Bill Summary'!$A492, 'GE16FEB14 Tax Bill Unfudged'!F$2:F$498)</f>
        <v>0</v>
      </c>
      <c r="W492" s="56">
        <f t="shared" si="296"/>
        <v>13147</v>
      </c>
      <c r="X492" s="51">
        <f>+SUMIF('GE16FEB14 Tax Bill Unfudged'!$A$2:$A$498, 'Tax Bill Summary'!$A492, 'GE16FEB14 Tax Bill Unfudged'!G$2:G$498)</f>
        <v>0</v>
      </c>
      <c r="Y492" s="13">
        <f>+SUMIF('GE16FEB14 Tax Bill Unfudged'!$A$2:$A$498, 'Tax Bill Summary'!$A492, 'GE16FEB14 Tax Bill Unfudged'!H$2:H$498)</f>
        <v>0</v>
      </c>
      <c r="Z492" s="56">
        <f t="shared" si="297"/>
        <v>0</v>
      </c>
      <c r="AA492" s="51">
        <f>+SUMIF('GE16FEB14 Tax Bill Unfudged'!$A$2:$A$498, 'Tax Bill Summary'!$A492, 'GE16FEB14 Tax Bill Unfudged'!I$2:I$498)</f>
        <v>0</v>
      </c>
      <c r="AB492" s="13">
        <f>+SUMIF('GE16FEB14 Tax Bill Unfudged'!$A$2:$A$498, 'Tax Bill Summary'!$A492, 'GE16FEB14 Tax Bill Unfudged'!J$2:J$498)</f>
        <v>0</v>
      </c>
      <c r="AC492" s="56">
        <f t="shared" si="298"/>
        <v>0</v>
      </c>
      <c r="AD492" s="51">
        <f t="shared" si="299"/>
        <v>13147</v>
      </c>
      <c r="AE492" s="13">
        <f t="shared" si="300"/>
        <v>0</v>
      </c>
      <c r="AF492" s="56">
        <f t="shared" si="301"/>
        <v>13147</v>
      </c>
      <c r="AG492" s="13">
        <f t="shared" si="302"/>
        <v>115.32456140350877</v>
      </c>
      <c r="AH492" s="13">
        <f t="shared" si="303"/>
        <v>0</v>
      </c>
      <c r="AI492" s="16">
        <f t="shared" si="304"/>
        <v>115.32456140350877</v>
      </c>
      <c r="AJ492" s="15">
        <f t="shared" si="305"/>
        <v>314</v>
      </c>
      <c r="AK492" s="13">
        <f t="shared" si="306"/>
        <v>0</v>
      </c>
      <c r="AL492" s="56">
        <f t="shared" si="307"/>
        <v>314</v>
      </c>
      <c r="AM492" s="51">
        <f t="shared" si="308"/>
        <v>0</v>
      </c>
      <c r="AN492" s="13">
        <f t="shared" si="309"/>
        <v>0</v>
      </c>
      <c r="AO492" s="56">
        <f t="shared" si="310"/>
        <v>0</v>
      </c>
      <c r="AP492" s="51">
        <f t="shared" si="311"/>
        <v>0</v>
      </c>
      <c r="AQ492" s="13">
        <f t="shared" si="312"/>
        <v>0</v>
      </c>
      <c r="AR492" s="56">
        <f t="shared" si="313"/>
        <v>0</v>
      </c>
      <c r="AS492" s="51">
        <f t="shared" si="314"/>
        <v>314</v>
      </c>
      <c r="AT492" s="13">
        <f t="shared" si="315"/>
        <v>0</v>
      </c>
      <c r="AU492" s="56">
        <f t="shared" si="316"/>
        <v>314</v>
      </c>
      <c r="AV492" s="13">
        <f t="shared" si="317"/>
        <v>2.7543859649122737</v>
      </c>
      <c r="AW492" s="13">
        <f t="shared" si="318"/>
        <v>0</v>
      </c>
      <c r="AX492" s="16">
        <f t="shared" si="319"/>
        <v>2.7543859649122737</v>
      </c>
    </row>
    <row r="493" spans="1:50" x14ac:dyDescent="0.25">
      <c r="A493" s="20">
        <v>4191</v>
      </c>
      <c r="B493">
        <v>7</v>
      </c>
      <c r="C493" s="23" t="s">
        <v>111</v>
      </c>
      <c r="D493" s="23">
        <v>7</v>
      </c>
      <c r="E493" s="15">
        <f>+SUMIF('GE16FEB14 Unfudged'!$A$2:$A$498, $A493, 'GE16FEB14 Unfudged'!$D$2:$D$498)</f>
        <v>268</v>
      </c>
      <c r="F493" s="15">
        <f>+SUMIF('GE16FEB14 Unfudged'!$A$2:$A$498, 'Tax Bill Summary'!$A493, 'GE16FEB14 Unfudged'!E$2:E$498)</f>
        <v>30168</v>
      </c>
      <c r="G493" s="13">
        <f>+SUMIF('GE16FEB14 Unfudged'!$A$2:$A$498, 'Tax Bill Summary'!$A493, 'GE16FEB14 Unfudged'!F$2:F$498)</f>
        <v>0</v>
      </c>
      <c r="H493" s="56">
        <f t="shared" si="287"/>
        <v>30168</v>
      </c>
      <c r="I493" s="51">
        <f>+SUMIF('GE16FEB14 Unfudged'!$A$2:$A$498, 'Tax Bill Summary'!$A493, 'GE16FEB14 Unfudged'!G$2:G$498)</f>
        <v>0</v>
      </c>
      <c r="J493" s="13">
        <f>+SUMIF('GE16FEB14 Unfudged'!$A$2:$A$498, 'Tax Bill Summary'!$A493, 'GE16FEB14 Unfudged'!H$2:H$498)</f>
        <v>0</v>
      </c>
      <c r="K493" s="56">
        <f t="shared" si="288"/>
        <v>0</v>
      </c>
      <c r="L493" s="51">
        <f>+SUMIF('GE16FEB14 Unfudged'!$A$2:$A$498, 'Tax Bill Summary'!$A493, 'GE16FEB14 Unfudged'!I$2:IF$498)</f>
        <v>0</v>
      </c>
      <c r="M493" s="13">
        <f>+SUMIF('GE16FEB14 Unfudged'!$A$2:$A$498, 'Tax Bill Summary'!$A493, 'GE16FEB14 Unfudged'!J$2:IG$498)</f>
        <v>0</v>
      </c>
      <c r="N493" s="56">
        <f t="shared" si="289"/>
        <v>0</v>
      </c>
      <c r="O493" s="51">
        <f t="shared" si="290"/>
        <v>30168</v>
      </c>
      <c r="P493" s="13">
        <f t="shared" si="291"/>
        <v>0</v>
      </c>
      <c r="Q493" s="56">
        <f t="shared" si="292"/>
        <v>30168</v>
      </c>
      <c r="R493" s="13">
        <f t="shared" si="293"/>
        <v>112.56716417910448</v>
      </c>
      <c r="S493" s="13">
        <f t="shared" si="294"/>
        <v>0</v>
      </c>
      <c r="T493" s="16">
        <f t="shared" si="295"/>
        <v>112.56716417910448</v>
      </c>
      <c r="U493" s="15">
        <f>+SUMIF('GE16FEB14 Tax Bill Unfudged'!$A$2:$A$498, 'Tax Bill Summary'!$A493, 'GE16FEB14 Tax Bill Unfudged'!E$2:E$498)</f>
        <v>30908</v>
      </c>
      <c r="V493" s="13">
        <f>+SUMIF('GE16FEB14 Tax Bill Unfudged'!$A$2:$A$498, 'Tax Bill Summary'!$A493, 'GE16FEB14 Tax Bill Unfudged'!F$2:F$498)</f>
        <v>0</v>
      </c>
      <c r="W493" s="56">
        <f t="shared" si="296"/>
        <v>30908</v>
      </c>
      <c r="X493" s="51">
        <f>+SUMIF('GE16FEB14 Tax Bill Unfudged'!$A$2:$A$498, 'Tax Bill Summary'!$A493, 'GE16FEB14 Tax Bill Unfudged'!G$2:G$498)</f>
        <v>0</v>
      </c>
      <c r="Y493" s="13">
        <f>+SUMIF('GE16FEB14 Tax Bill Unfudged'!$A$2:$A$498, 'Tax Bill Summary'!$A493, 'GE16FEB14 Tax Bill Unfudged'!H$2:H$498)</f>
        <v>0</v>
      </c>
      <c r="Z493" s="56">
        <f t="shared" si="297"/>
        <v>0</v>
      </c>
      <c r="AA493" s="51">
        <f>+SUMIF('GE16FEB14 Tax Bill Unfudged'!$A$2:$A$498, 'Tax Bill Summary'!$A493, 'GE16FEB14 Tax Bill Unfudged'!I$2:I$498)</f>
        <v>0</v>
      </c>
      <c r="AB493" s="13">
        <f>+SUMIF('GE16FEB14 Tax Bill Unfudged'!$A$2:$A$498, 'Tax Bill Summary'!$A493, 'GE16FEB14 Tax Bill Unfudged'!J$2:J$498)</f>
        <v>0</v>
      </c>
      <c r="AC493" s="56">
        <f t="shared" si="298"/>
        <v>0</v>
      </c>
      <c r="AD493" s="51">
        <f t="shared" si="299"/>
        <v>30908</v>
      </c>
      <c r="AE493" s="13">
        <f t="shared" si="300"/>
        <v>0</v>
      </c>
      <c r="AF493" s="56">
        <f t="shared" si="301"/>
        <v>30908</v>
      </c>
      <c r="AG493" s="13">
        <f t="shared" si="302"/>
        <v>115.32835820895522</v>
      </c>
      <c r="AH493" s="13">
        <f t="shared" si="303"/>
        <v>0</v>
      </c>
      <c r="AI493" s="16">
        <f t="shared" si="304"/>
        <v>115.32835820895522</v>
      </c>
      <c r="AJ493" s="15">
        <f t="shared" si="305"/>
        <v>740</v>
      </c>
      <c r="AK493" s="13">
        <f t="shared" si="306"/>
        <v>0</v>
      </c>
      <c r="AL493" s="56">
        <f t="shared" si="307"/>
        <v>740</v>
      </c>
      <c r="AM493" s="51">
        <f t="shared" si="308"/>
        <v>0</v>
      </c>
      <c r="AN493" s="13">
        <f t="shared" si="309"/>
        <v>0</v>
      </c>
      <c r="AO493" s="56">
        <f t="shared" si="310"/>
        <v>0</v>
      </c>
      <c r="AP493" s="51">
        <f t="shared" si="311"/>
        <v>0</v>
      </c>
      <c r="AQ493" s="13">
        <f t="shared" si="312"/>
        <v>0</v>
      </c>
      <c r="AR493" s="56">
        <f t="shared" si="313"/>
        <v>0</v>
      </c>
      <c r="AS493" s="51">
        <f t="shared" si="314"/>
        <v>740</v>
      </c>
      <c r="AT493" s="13">
        <f t="shared" si="315"/>
        <v>0</v>
      </c>
      <c r="AU493" s="56">
        <f t="shared" si="316"/>
        <v>740</v>
      </c>
      <c r="AV493" s="13">
        <f t="shared" si="317"/>
        <v>2.761194029850742</v>
      </c>
      <c r="AW493" s="13">
        <f t="shared" si="318"/>
        <v>0</v>
      </c>
      <c r="AX493" s="16">
        <f t="shared" si="319"/>
        <v>2.761194029850742</v>
      </c>
    </row>
    <row r="494" spans="1:50" x14ac:dyDescent="0.25">
      <c r="A494" s="20">
        <v>4192</v>
      </c>
      <c r="B494">
        <v>7</v>
      </c>
      <c r="C494" s="23" t="s">
        <v>112</v>
      </c>
      <c r="D494" s="23">
        <v>7</v>
      </c>
      <c r="E494" s="15">
        <f>+SUMIF('GE16FEB14 Unfudged'!$A$2:$A$498, $A494, 'GE16FEB14 Unfudged'!$D$2:$D$498)</f>
        <v>428</v>
      </c>
      <c r="F494" s="15">
        <f>+SUMIF('GE16FEB14 Unfudged'!$A$2:$A$498, 'Tax Bill Summary'!$A494, 'GE16FEB14 Unfudged'!E$2:E$498)</f>
        <v>48123</v>
      </c>
      <c r="G494" s="13">
        <f>+SUMIF('GE16FEB14 Unfudged'!$A$2:$A$498, 'Tax Bill Summary'!$A494, 'GE16FEB14 Unfudged'!F$2:F$498)</f>
        <v>0</v>
      </c>
      <c r="H494" s="56">
        <f t="shared" si="287"/>
        <v>48123</v>
      </c>
      <c r="I494" s="51">
        <f>+SUMIF('GE16FEB14 Unfudged'!$A$2:$A$498, 'Tax Bill Summary'!$A494, 'GE16FEB14 Unfudged'!G$2:G$498)</f>
        <v>0</v>
      </c>
      <c r="J494" s="13">
        <f>+SUMIF('GE16FEB14 Unfudged'!$A$2:$A$498, 'Tax Bill Summary'!$A494, 'GE16FEB14 Unfudged'!H$2:H$498)</f>
        <v>0</v>
      </c>
      <c r="K494" s="56">
        <f t="shared" si="288"/>
        <v>0</v>
      </c>
      <c r="L494" s="51">
        <f>+SUMIF('GE16FEB14 Unfudged'!$A$2:$A$498, 'Tax Bill Summary'!$A494, 'GE16FEB14 Unfudged'!I$2:IF$498)</f>
        <v>0</v>
      </c>
      <c r="M494" s="13">
        <f>+SUMIF('GE16FEB14 Unfudged'!$A$2:$A$498, 'Tax Bill Summary'!$A494, 'GE16FEB14 Unfudged'!J$2:IG$498)</f>
        <v>0</v>
      </c>
      <c r="N494" s="56">
        <f t="shared" si="289"/>
        <v>0</v>
      </c>
      <c r="O494" s="51">
        <f t="shared" si="290"/>
        <v>48123</v>
      </c>
      <c r="P494" s="13">
        <f t="shared" si="291"/>
        <v>0</v>
      </c>
      <c r="Q494" s="56">
        <f t="shared" si="292"/>
        <v>48123</v>
      </c>
      <c r="R494" s="13">
        <f t="shared" si="293"/>
        <v>112.43691588785046</v>
      </c>
      <c r="S494" s="13">
        <f t="shared" si="294"/>
        <v>0</v>
      </c>
      <c r="T494" s="16">
        <f t="shared" si="295"/>
        <v>112.43691588785046</v>
      </c>
      <c r="U494" s="15">
        <f>+SUMIF('GE16FEB14 Tax Bill Unfudged'!$A$2:$A$498, 'Tax Bill Summary'!$A494, 'GE16FEB14 Tax Bill Unfudged'!E$2:E$498)</f>
        <v>49303</v>
      </c>
      <c r="V494" s="13">
        <f>+SUMIF('GE16FEB14 Tax Bill Unfudged'!$A$2:$A$498, 'Tax Bill Summary'!$A494, 'GE16FEB14 Tax Bill Unfudged'!F$2:F$498)</f>
        <v>0</v>
      </c>
      <c r="W494" s="56">
        <f t="shared" si="296"/>
        <v>49303</v>
      </c>
      <c r="X494" s="51">
        <f>+SUMIF('GE16FEB14 Tax Bill Unfudged'!$A$2:$A$498, 'Tax Bill Summary'!$A494, 'GE16FEB14 Tax Bill Unfudged'!G$2:G$498)</f>
        <v>0</v>
      </c>
      <c r="Y494" s="13">
        <f>+SUMIF('GE16FEB14 Tax Bill Unfudged'!$A$2:$A$498, 'Tax Bill Summary'!$A494, 'GE16FEB14 Tax Bill Unfudged'!H$2:H$498)</f>
        <v>0</v>
      </c>
      <c r="Z494" s="56">
        <f t="shared" si="297"/>
        <v>0</v>
      </c>
      <c r="AA494" s="51">
        <f>+SUMIF('GE16FEB14 Tax Bill Unfudged'!$A$2:$A$498, 'Tax Bill Summary'!$A494, 'GE16FEB14 Tax Bill Unfudged'!I$2:I$498)</f>
        <v>0</v>
      </c>
      <c r="AB494" s="13">
        <f>+SUMIF('GE16FEB14 Tax Bill Unfudged'!$A$2:$A$498, 'Tax Bill Summary'!$A494, 'GE16FEB14 Tax Bill Unfudged'!J$2:J$498)</f>
        <v>0</v>
      </c>
      <c r="AC494" s="56">
        <f t="shared" si="298"/>
        <v>0</v>
      </c>
      <c r="AD494" s="51">
        <f t="shared" si="299"/>
        <v>49303</v>
      </c>
      <c r="AE494" s="13">
        <f t="shared" si="300"/>
        <v>0</v>
      </c>
      <c r="AF494" s="56">
        <f t="shared" si="301"/>
        <v>49303</v>
      </c>
      <c r="AG494" s="13">
        <f t="shared" si="302"/>
        <v>115.19392523364486</v>
      </c>
      <c r="AH494" s="13">
        <f t="shared" si="303"/>
        <v>0</v>
      </c>
      <c r="AI494" s="16">
        <f t="shared" si="304"/>
        <v>115.19392523364486</v>
      </c>
      <c r="AJ494" s="15">
        <f t="shared" si="305"/>
        <v>1180</v>
      </c>
      <c r="AK494" s="13">
        <f t="shared" si="306"/>
        <v>0</v>
      </c>
      <c r="AL494" s="56">
        <f t="shared" si="307"/>
        <v>1180</v>
      </c>
      <c r="AM494" s="51">
        <f t="shared" si="308"/>
        <v>0</v>
      </c>
      <c r="AN494" s="13">
        <f t="shared" si="309"/>
        <v>0</v>
      </c>
      <c r="AO494" s="56">
        <f t="shared" si="310"/>
        <v>0</v>
      </c>
      <c r="AP494" s="51">
        <f t="shared" si="311"/>
        <v>0</v>
      </c>
      <c r="AQ494" s="13">
        <f t="shared" si="312"/>
        <v>0</v>
      </c>
      <c r="AR494" s="56">
        <f t="shared" si="313"/>
        <v>0</v>
      </c>
      <c r="AS494" s="51">
        <f t="shared" si="314"/>
        <v>1180</v>
      </c>
      <c r="AT494" s="13">
        <f t="shared" si="315"/>
        <v>0</v>
      </c>
      <c r="AU494" s="56">
        <f t="shared" si="316"/>
        <v>1180</v>
      </c>
      <c r="AV494" s="13">
        <f t="shared" si="317"/>
        <v>2.7570093457944012</v>
      </c>
      <c r="AW494" s="13">
        <f t="shared" si="318"/>
        <v>0</v>
      </c>
      <c r="AX494" s="16">
        <f t="shared" si="319"/>
        <v>2.7570093457944012</v>
      </c>
    </row>
    <row r="495" spans="1:50" x14ac:dyDescent="0.25">
      <c r="A495" s="20">
        <v>4193</v>
      </c>
      <c r="B495">
        <v>7</v>
      </c>
      <c r="C495" s="23" t="s">
        <v>508</v>
      </c>
      <c r="D495" s="23">
        <v>7</v>
      </c>
      <c r="E495" s="15">
        <f>+SUMIF('GE16FEB14 Unfudged'!$A$2:$A$498, $A495, 'GE16FEB14 Unfudged'!$D$2:$D$498)</f>
        <v>369</v>
      </c>
      <c r="F495" s="15">
        <f>+SUMIF('GE16FEB14 Unfudged'!$A$2:$A$498, 'Tax Bill Summary'!$A495, 'GE16FEB14 Unfudged'!E$2:E$498)</f>
        <v>41537</v>
      </c>
      <c r="G495" s="13">
        <f>+SUMIF('GE16FEB14 Unfudged'!$A$2:$A$498, 'Tax Bill Summary'!$A495, 'GE16FEB14 Unfudged'!F$2:F$498)</f>
        <v>0</v>
      </c>
      <c r="H495" s="56">
        <f t="shared" si="287"/>
        <v>41537</v>
      </c>
      <c r="I495" s="51">
        <f>+SUMIF('GE16FEB14 Unfudged'!$A$2:$A$498, 'Tax Bill Summary'!$A495, 'GE16FEB14 Unfudged'!G$2:G$498)</f>
        <v>0</v>
      </c>
      <c r="J495" s="13">
        <f>+SUMIF('GE16FEB14 Unfudged'!$A$2:$A$498, 'Tax Bill Summary'!$A495, 'GE16FEB14 Unfudged'!H$2:H$498)</f>
        <v>0</v>
      </c>
      <c r="K495" s="56">
        <f t="shared" si="288"/>
        <v>0</v>
      </c>
      <c r="L495" s="51">
        <f>+SUMIF('GE16FEB14 Unfudged'!$A$2:$A$498, 'Tax Bill Summary'!$A495, 'GE16FEB14 Unfudged'!I$2:IF$498)</f>
        <v>0</v>
      </c>
      <c r="M495" s="13">
        <f>+SUMIF('GE16FEB14 Unfudged'!$A$2:$A$498, 'Tax Bill Summary'!$A495, 'GE16FEB14 Unfudged'!J$2:IG$498)</f>
        <v>0</v>
      </c>
      <c r="N495" s="56">
        <f t="shared" si="289"/>
        <v>0</v>
      </c>
      <c r="O495" s="51">
        <f t="shared" si="290"/>
        <v>41537</v>
      </c>
      <c r="P495" s="13">
        <f t="shared" si="291"/>
        <v>0</v>
      </c>
      <c r="Q495" s="56">
        <f t="shared" si="292"/>
        <v>41537</v>
      </c>
      <c r="R495" s="13">
        <f t="shared" si="293"/>
        <v>112.56639566395664</v>
      </c>
      <c r="S495" s="13">
        <f t="shared" si="294"/>
        <v>0</v>
      </c>
      <c r="T495" s="16">
        <f t="shared" si="295"/>
        <v>112.56639566395664</v>
      </c>
      <c r="U495" s="15">
        <f>+SUMIF('GE16FEB14 Tax Bill Unfudged'!$A$2:$A$498, 'Tax Bill Summary'!$A495, 'GE16FEB14 Tax Bill Unfudged'!E$2:E$498)</f>
        <v>42556</v>
      </c>
      <c r="V495" s="13">
        <f>+SUMIF('GE16FEB14 Tax Bill Unfudged'!$A$2:$A$498, 'Tax Bill Summary'!$A495, 'GE16FEB14 Tax Bill Unfudged'!F$2:F$498)</f>
        <v>0</v>
      </c>
      <c r="W495" s="56">
        <f t="shared" si="296"/>
        <v>42556</v>
      </c>
      <c r="X495" s="51">
        <f>+SUMIF('GE16FEB14 Tax Bill Unfudged'!$A$2:$A$498, 'Tax Bill Summary'!$A495, 'GE16FEB14 Tax Bill Unfudged'!G$2:G$498)</f>
        <v>0</v>
      </c>
      <c r="Y495" s="13">
        <f>+SUMIF('GE16FEB14 Tax Bill Unfudged'!$A$2:$A$498, 'Tax Bill Summary'!$A495, 'GE16FEB14 Tax Bill Unfudged'!H$2:H$498)</f>
        <v>0</v>
      </c>
      <c r="Z495" s="56">
        <f t="shared" si="297"/>
        <v>0</v>
      </c>
      <c r="AA495" s="51">
        <f>+SUMIF('GE16FEB14 Tax Bill Unfudged'!$A$2:$A$498, 'Tax Bill Summary'!$A495, 'GE16FEB14 Tax Bill Unfudged'!I$2:I$498)</f>
        <v>0</v>
      </c>
      <c r="AB495" s="13">
        <f>+SUMIF('GE16FEB14 Tax Bill Unfudged'!$A$2:$A$498, 'Tax Bill Summary'!$A495, 'GE16FEB14 Tax Bill Unfudged'!J$2:J$498)</f>
        <v>0</v>
      </c>
      <c r="AC495" s="56">
        <f t="shared" si="298"/>
        <v>0</v>
      </c>
      <c r="AD495" s="51">
        <f t="shared" si="299"/>
        <v>42556</v>
      </c>
      <c r="AE495" s="13">
        <f t="shared" si="300"/>
        <v>0</v>
      </c>
      <c r="AF495" s="56">
        <f t="shared" si="301"/>
        <v>42556</v>
      </c>
      <c r="AG495" s="13">
        <f t="shared" si="302"/>
        <v>115.32791327913279</v>
      </c>
      <c r="AH495" s="13">
        <f t="shared" si="303"/>
        <v>0</v>
      </c>
      <c r="AI495" s="16">
        <f t="shared" si="304"/>
        <v>115.32791327913279</v>
      </c>
      <c r="AJ495" s="15">
        <f t="shared" si="305"/>
        <v>1019</v>
      </c>
      <c r="AK495" s="13">
        <f t="shared" si="306"/>
        <v>0</v>
      </c>
      <c r="AL495" s="56">
        <f t="shared" si="307"/>
        <v>1019</v>
      </c>
      <c r="AM495" s="51">
        <f t="shared" si="308"/>
        <v>0</v>
      </c>
      <c r="AN495" s="13">
        <f t="shared" si="309"/>
        <v>0</v>
      </c>
      <c r="AO495" s="56">
        <f t="shared" si="310"/>
        <v>0</v>
      </c>
      <c r="AP495" s="51">
        <f t="shared" si="311"/>
        <v>0</v>
      </c>
      <c r="AQ495" s="13">
        <f t="shared" si="312"/>
        <v>0</v>
      </c>
      <c r="AR495" s="56">
        <f t="shared" si="313"/>
        <v>0</v>
      </c>
      <c r="AS495" s="51">
        <f t="shared" si="314"/>
        <v>1019</v>
      </c>
      <c r="AT495" s="13">
        <f t="shared" si="315"/>
        <v>0</v>
      </c>
      <c r="AU495" s="56">
        <f t="shared" si="316"/>
        <v>1019</v>
      </c>
      <c r="AV495" s="13">
        <f t="shared" si="317"/>
        <v>2.761517615176146</v>
      </c>
      <c r="AW495" s="13">
        <f t="shared" si="318"/>
        <v>0</v>
      </c>
      <c r="AX495" s="16">
        <f t="shared" si="319"/>
        <v>2.761517615176146</v>
      </c>
    </row>
    <row r="496" spans="1:50" x14ac:dyDescent="0.25">
      <c r="A496" s="20">
        <v>4194</v>
      </c>
      <c r="B496">
        <v>7</v>
      </c>
      <c r="C496" s="23" t="s">
        <v>113</v>
      </c>
      <c r="D496" s="23">
        <v>7</v>
      </c>
      <c r="E496" s="15">
        <f>+SUMIF('GE16FEB14 Unfudged'!$A$2:$A$498, $A496, 'GE16FEB14 Unfudged'!$D$2:$D$498)</f>
        <v>345</v>
      </c>
      <c r="F496" s="15">
        <f>+SUMIF('GE16FEB14 Unfudged'!$A$2:$A$498, 'Tax Bill Summary'!$A496, 'GE16FEB14 Unfudged'!E$2:E$498)</f>
        <v>38813</v>
      </c>
      <c r="G496" s="13">
        <f>+SUMIF('GE16FEB14 Unfudged'!$A$2:$A$498, 'Tax Bill Summary'!$A496, 'GE16FEB14 Unfudged'!F$2:F$498)</f>
        <v>0</v>
      </c>
      <c r="H496" s="56">
        <f t="shared" si="287"/>
        <v>38813</v>
      </c>
      <c r="I496" s="51">
        <f>+SUMIF('GE16FEB14 Unfudged'!$A$2:$A$498, 'Tax Bill Summary'!$A496, 'GE16FEB14 Unfudged'!G$2:G$498)</f>
        <v>0</v>
      </c>
      <c r="J496" s="13">
        <f>+SUMIF('GE16FEB14 Unfudged'!$A$2:$A$498, 'Tax Bill Summary'!$A496, 'GE16FEB14 Unfudged'!H$2:H$498)</f>
        <v>0</v>
      </c>
      <c r="K496" s="56">
        <f t="shared" si="288"/>
        <v>0</v>
      </c>
      <c r="L496" s="51">
        <f>+SUMIF('GE16FEB14 Unfudged'!$A$2:$A$498, 'Tax Bill Summary'!$A496, 'GE16FEB14 Unfudged'!I$2:IF$498)</f>
        <v>0</v>
      </c>
      <c r="M496" s="13">
        <f>+SUMIF('GE16FEB14 Unfudged'!$A$2:$A$498, 'Tax Bill Summary'!$A496, 'GE16FEB14 Unfudged'!J$2:IG$498)</f>
        <v>0</v>
      </c>
      <c r="N496" s="56">
        <f t="shared" si="289"/>
        <v>0</v>
      </c>
      <c r="O496" s="51">
        <f t="shared" si="290"/>
        <v>38813</v>
      </c>
      <c r="P496" s="13">
        <f t="shared" si="291"/>
        <v>0</v>
      </c>
      <c r="Q496" s="56">
        <f t="shared" si="292"/>
        <v>38813</v>
      </c>
      <c r="R496" s="13">
        <f t="shared" si="293"/>
        <v>112.50144927536232</v>
      </c>
      <c r="S496" s="13">
        <f t="shared" si="294"/>
        <v>0</v>
      </c>
      <c r="T496" s="16">
        <f t="shared" si="295"/>
        <v>112.50144927536232</v>
      </c>
      <c r="U496" s="15">
        <f>+SUMIF('GE16FEB14 Tax Bill Unfudged'!$A$2:$A$498, 'Tax Bill Summary'!$A496, 'GE16FEB14 Tax Bill Unfudged'!E$2:E$498)</f>
        <v>39765</v>
      </c>
      <c r="V496" s="13">
        <f>+SUMIF('GE16FEB14 Tax Bill Unfudged'!$A$2:$A$498, 'Tax Bill Summary'!$A496, 'GE16FEB14 Tax Bill Unfudged'!F$2:F$498)</f>
        <v>0</v>
      </c>
      <c r="W496" s="56">
        <f t="shared" si="296"/>
        <v>39765</v>
      </c>
      <c r="X496" s="51">
        <f>+SUMIF('GE16FEB14 Tax Bill Unfudged'!$A$2:$A$498, 'Tax Bill Summary'!$A496, 'GE16FEB14 Tax Bill Unfudged'!G$2:G$498)</f>
        <v>0</v>
      </c>
      <c r="Y496" s="13">
        <f>+SUMIF('GE16FEB14 Tax Bill Unfudged'!$A$2:$A$498, 'Tax Bill Summary'!$A496, 'GE16FEB14 Tax Bill Unfudged'!H$2:H$498)</f>
        <v>0</v>
      </c>
      <c r="Z496" s="56">
        <f t="shared" si="297"/>
        <v>0</v>
      </c>
      <c r="AA496" s="51">
        <f>+SUMIF('GE16FEB14 Tax Bill Unfudged'!$A$2:$A$498, 'Tax Bill Summary'!$A496, 'GE16FEB14 Tax Bill Unfudged'!I$2:I$498)</f>
        <v>0</v>
      </c>
      <c r="AB496" s="13">
        <f>+SUMIF('GE16FEB14 Tax Bill Unfudged'!$A$2:$A$498, 'Tax Bill Summary'!$A496, 'GE16FEB14 Tax Bill Unfudged'!J$2:J$498)</f>
        <v>0</v>
      </c>
      <c r="AC496" s="56">
        <f t="shared" si="298"/>
        <v>0</v>
      </c>
      <c r="AD496" s="51">
        <f t="shared" si="299"/>
        <v>39765</v>
      </c>
      <c r="AE496" s="13">
        <f t="shared" si="300"/>
        <v>0</v>
      </c>
      <c r="AF496" s="56">
        <f t="shared" si="301"/>
        <v>39765</v>
      </c>
      <c r="AG496" s="13">
        <f t="shared" si="302"/>
        <v>115.26086956521739</v>
      </c>
      <c r="AH496" s="13">
        <f t="shared" si="303"/>
        <v>0</v>
      </c>
      <c r="AI496" s="16">
        <f t="shared" si="304"/>
        <v>115.26086956521739</v>
      </c>
      <c r="AJ496" s="15">
        <f t="shared" si="305"/>
        <v>952</v>
      </c>
      <c r="AK496" s="13">
        <f t="shared" si="306"/>
        <v>0</v>
      </c>
      <c r="AL496" s="56">
        <f t="shared" si="307"/>
        <v>952</v>
      </c>
      <c r="AM496" s="51">
        <f t="shared" si="308"/>
        <v>0</v>
      </c>
      <c r="AN496" s="13">
        <f t="shared" si="309"/>
        <v>0</v>
      </c>
      <c r="AO496" s="56">
        <f t="shared" si="310"/>
        <v>0</v>
      </c>
      <c r="AP496" s="51">
        <f t="shared" si="311"/>
        <v>0</v>
      </c>
      <c r="AQ496" s="13">
        <f t="shared" si="312"/>
        <v>0</v>
      </c>
      <c r="AR496" s="56">
        <f t="shared" si="313"/>
        <v>0</v>
      </c>
      <c r="AS496" s="51">
        <f t="shared" si="314"/>
        <v>952</v>
      </c>
      <c r="AT496" s="13">
        <f t="shared" si="315"/>
        <v>0</v>
      </c>
      <c r="AU496" s="56">
        <f t="shared" si="316"/>
        <v>952</v>
      </c>
      <c r="AV496" s="13">
        <f t="shared" si="317"/>
        <v>2.7594202898550719</v>
      </c>
      <c r="AW496" s="13">
        <f t="shared" si="318"/>
        <v>0</v>
      </c>
      <c r="AX496" s="16">
        <f t="shared" si="319"/>
        <v>2.7594202898550719</v>
      </c>
    </row>
    <row r="497" spans="1:50" x14ac:dyDescent="0.25">
      <c r="A497" s="20">
        <v>4195</v>
      </c>
      <c r="B497">
        <v>7</v>
      </c>
      <c r="C497" s="23" t="s">
        <v>459</v>
      </c>
      <c r="D497" s="23">
        <v>7</v>
      </c>
      <c r="E497" s="15">
        <f>+SUMIF('GE16FEB14 Unfudged'!$A$2:$A$498, $A497, 'GE16FEB14 Unfudged'!$D$2:$D$498)</f>
        <v>37</v>
      </c>
      <c r="F497" s="15">
        <f>+SUMIF('GE16FEB14 Unfudged'!$A$2:$A$498, 'Tax Bill Summary'!$A497, 'GE16FEB14 Unfudged'!E$2:E$498)</f>
        <v>4188</v>
      </c>
      <c r="G497" s="13">
        <f>+SUMIF('GE16FEB14 Unfudged'!$A$2:$A$498, 'Tax Bill Summary'!$A497, 'GE16FEB14 Unfudged'!F$2:F$498)</f>
        <v>0</v>
      </c>
      <c r="H497" s="56">
        <f t="shared" si="287"/>
        <v>4188</v>
      </c>
      <c r="I497" s="51">
        <f>+SUMIF('GE16FEB14 Unfudged'!$A$2:$A$498, 'Tax Bill Summary'!$A497, 'GE16FEB14 Unfudged'!G$2:G$498)</f>
        <v>0</v>
      </c>
      <c r="J497" s="13">
        <f>+SUMIF('GE16FEB14 Unfudged'!$A$2:$A$498, 'Tax Bill Summary'!$A497, 'GE16FEB14 Unfudged'!H$2:H$498)</f>
        <v>0</v>
      </c>
      <c r="K497" s="56">
        <f t="shared" si="288"/>
        <v>0</v>
      </c>
      <c r="L497" s="51">
        <f>+SUMIF('GE16FEB14 Unfudged'!$A$2:$A$498, 'Tax Bill Summary'!$A497, 'GE16FEB14 Unfudged'!I$2:IF$498)</f>
        <v>0</v>
      </c>
      <c r="M497" s="13">
        <f>+SUMIF('GE16FEB14 Unfudged'!$A$2:$A$498, 'Tax Bill Summary'!$A497, 'GE16FEB14 Unfudged'!J$2:IG$498)</f>
        <v>0</v>
      </c>
      <c r="N497" s="56">
        <f t="shared" si="289"/>
        <v>0</v>
      </c>
      <c r="O497" s="51">
        <f t="shared" si="290"/>
        <v>4188</v>
      </c>
      <c r="P497" s="13">
        <f t="shared" si="291"/>
        <v>0</v>
      </c>
      <c r="Q497" s="56">
        <f t="shared" si="292"/>
        <v>4188</v>
      </c>
      <c r="R497" s="13">
        <f t="shared" si="293"/>
        <v>113.18918918918919</v>
      </c>
      <c r="S497" s="13">
        <f t="shared" si="294"/>
        <v>0</v>
      </c>
      <c r="T497" s="16">
        <f t="shared" si="295"/>
        <v>113.18918918918919</v>
      </c>
      <c r="U497" s="15">
        <f>+SUMIF('GE16FEB14 Tax Bill Unfudged'!$A$2:$A$498, 'Tax Bill Summary'!$A497, 'GE16FEB14 Tax Bill Unfudged'!E$2:E$498)</f>
        <v>4290</v>
      </c>
      <c r="V497" s="13">
        <f>+SUMIF('GE16FEB14 Tax Bill Unfudged'!$A$2:$A$498, 'Tax Bill Summary'!$A497, 'GE16FEB14 Tax Bill Unfudged'!F$2:F$498)</f>
        <v>0</v>
      </c>
      <c r="W497" s="56">
        <f t="shared" si="296"/>
        <v>4290</v>
      </c>
      <c r="X497" s="51">
        <f>+SUMIF('GE16FEB14 Tax Bill Unfudged'!$A$2:$A$498, 'Tax Bill Summary'!$A497, 'GE16FEB14 Tax Bill Unfudged'!G$2:G$498)</f>
        <v>0</v>
      </c>
      <c r="Y497" s="13">
        <f>+SUMIF('GE16FEB14 Tax Bill Unfudged'!$A$2:$A$498, 'Tax Bill Summary'!$A497, 'GE16FEB14 Tax Bill Unfudged'!H$2:H$498)</f>
        <v>0</v>
      </c>
      <c r="Z497" s="56">
        <f t="shared" si="297"/>
        <v>0</v>
      </c>
      <c r="AA497" s="51">
        <f>+SUMIF('GE16FEB14 Tax Bill Unfudged'!$A$2:$A$498, 'Tax Bill Summary'!$A497, 'GE16FEB14 Tax Bill Unfudged'!I$2:I$498)</f>
        <v>0</v>
      </c>
      <c r="AB497" s="13">
        <f>+SUMIF('GE16FEB14 Tax Bill Unfudged'!$A$2:$A$498, 'Tax Bill Summary'!$A497, 'GE16FEB14 Tax Bill Unfudged'!J$2:J$498)</f>
        <v>0</v>
      </c>
      <c r="AC497" s="56">
        <f t="shared" si="298"/>
        <v>0</v>
      </c>
      <c r="AD497" s="51">
        <f t="shared" si="299"/>
        <v>4290</v>
      </c>
      <c r="AE497" s="13">
        <f t="shared" si="300"/>
        <v>0</v>
      </c>
      <c r="AF497" s="56">
        <f t="shared" si="301"/>
        <v>4290</v>
      </c>
      <c r="AG497" s="13">
        <f t="shared" si="302"/>
        <v>115.94594594594595</v>
      </c>
      <c r="AH497" s="13">
        <f t="shared" si="303"/>
        <v>0</v>
      </c>
      <c r="AI497" s="16">
        <f t="shared" si="304"/>
        <v>115.94594594594595</v>
      </c>
      <c r="AJ497" s="15">
        <f t="shared" si="305"/>
        <v>102</v>
      </c>
      <c r="AK497" s="13">
        <f t="shared" si="306"/>
        <v>0</v>
      </c>
      <c r="AL497" s="56">
        <f t="shared" si="307"/>
        <v>102</v>
      </c>
      <c r="AM497" s="51">
        <f t="shared" si="308"/>
        <v>0</v>
      </c>
      <c r="AN497" s="13">
        <f t="shared" si="309"/>
        <v>0</v>
      </c>
      <c r="AO497" s="56">
        <f t="shared" si="310"/>
        <v>0</v>
      </c>
      <c r="AP497" s="51">
        <f t="shared" si="311"/>
        <v>0</v>
      </c>
      <c r="AQ497" s="13">
        <f t="shared" si="312"/>
        <v>0</v>
      </c>
      <c r="AR497" s="56">
        <f t="shared" si="313"/>
        <v>0</v>
      </c>
      <c r="AS497" s="51">
        <f t="shared" si="314"/>
        <v>102</v>
      </c>
      <c r="AT497" s="13">
        <f t="shared" si="315"/>
        <v>0</v>
      </c>
      <c r="AU497" s="56">
        <f t="shared" si="316"/>
        <v>102</v>
      </c>
      <c r="AV497" s="13">
        <f t="shared" si="317"/>
        <v>2.7567567567567579</v>
      </c>
      <c r="AW497" s="13">
        <f t="shared" si="318"/>
        <v>0</v>
      </c>
      <c r="AX497" s="16">
        <f t="shared" si="319"/>
        <v>2.7567567567567579</v>
      </c>
    </row>
    <row r="498" spans="1:50" x14ac:dyDescent="0.25">
      <c r="A498" s="20">
        <v>4197</v>
      </c>
      <c r="B498">
        <v>7</v>
      </c>
      <c r="C498" s="23" t="s">
        <v>114</v>
      </c>
      <c r="D498" s="23">
        <v>7</v>
      </c>
      <c r="E498" s="15">
        <f>+SUMIF('GE16FEB14 Unfudged'!$A$2:$A$498, $A498, 'GE16FEB14 Unfudged'!$D$2:$D$498)</f>
        <v>0</v>
      </c>
      <c r="F498" s="15">
        <f>+SUMIF('GE16FEB14 Unfudged'!$A$2:$A$498, 'Tax Bill Summary'!$A498, 'GE16FEB14 Unfudged'!E$2:E$498)</f>
        <v>0</v>
      </c>
      <c r="G498" s="13">
        <f>+SUMIF('GE16FEB14 Unfudged'!$A$2:$A$498, 'Tax Bill Summary'!$A498, 'GE16FEB14 Unfudged'!F$2:F$498)</f>
        <v>0</v>
      </c>
      <c r="H498" s="56">
        <f t="shared" si="287"/>
        <v>0</v>
      </c>
      <c r="I498" s="51">
        <f>+SUMIF('GE16FEB14 Unfudged'!$A$2:$A$498, 'Tax Bill Summary'!$A498, 'GE16FEB14 Unfudged'!G$2:G$498)</f>
        <v>0</v>
      </c>
      <c r="J498" s="13">
        <f>+SUMIF('GE16FEB14 Unfudged'!$A$2:$A$498, 'Tax Bill Summary'!$A498, 'GE16FEB14 Unfudged'!H$2:H$498)</f>
        <v>0</v>
      </c>
      <c r="K498" s="56">
        <f t="shared" si="288"/>
        <v>0</v>
      </c>
      <c r="L498" s="51">
        <f>+SUMIF('GE16FEB14 Unfudged'!$A$2:$A$498, 'Tax Bill Summary'!$A498, 'GE16FEB14 Unfudged'!I$2:IF$498)</f>
        <v>0</v>
      </c>
      <c r="M498" s="13">
        <f>+SUMIF('GE16FEB14 Unfudged'!$A$2:$A$498, 'Tax Bill Summary'!$A498, 'GE16FEB14 Unfudged'!J$2:IG$498)</f>
        <v>0</v>
      </c>
      <c r="N498" s="56">
        <f t="shared" si="289"/>
        <v>0</v>
      </c>
      <c r="O498" s="51">
        <f t="shared" si="290"/>
        <v>0</v>
      </c>
      <c r="P498" s="13">
        <f t="shared" si="291"/>
        <v>0</v>
      </c>
      <c r="Q498" s="56">
        <f t="shared" si="292"/>
        <v>0</v>
      </c>
      <c r="R498" s="13">
        <f t="shared" si="293"/>
        <v>0</v>
      </c>
      <c r="S498" s="13">
        <f t="shared" si="294"/>
        <v>0</v>
      </c>
      <c r="T498" s="16">
        <f t="shared" si="295"/>
        <v>0</v>
      </c>
      <c r="U498" s="15">
        <f>+SUMIF('GE16FEB14 Tax Bill Unfudged'!$A$2:$A$498, 'Tax Bill Summary'!$A498, 'GE16FEB14 Tax Bill Unfudged'!E$2:E$498)</f>
        <v>0</v>
      </c>
      <c r="V498" s="13">
        <f>+SUMIF('GE16FEB14 Tax Bill Unfudged'!$A$2:$A$498, 'Tax Bill Summary'!$A498, 'GE16FEB14 Tax Bill Unfudged'!F$2:F$498)</f>
        <v>0</v>
      </c>
      <c r="W498" s="56">
        <f t="shared" si="296"/>
        <v>0</v>
      </c>
      <c r="X498" s="51">
        <f>+SUMIF('GE16FEB14 Tax Bill Unfudged'!$A$2:$A$498, 'Tax Bill Summary'!$A498, 'GE16FEB14 Tax Bill Unfudged'!G$2:G$498)</f>
        <v>0</v>
      </c>
      <c r="Y498" s="13">
        <f>+SUMIF('GE16FEB14 Tax Bill Unfudged'!$A$2:$A$498, 'Tax Bill Summary'!$A498, 'GE16FEB14 Tax Bill Unfudged'!H$2:H$498)</f>
        <v>0</v>
      </c>
      <c r="Z498" s="56">
        <f t="shared" si="297"/>
        <v>0</v>
      </c>
      <c r="AA498" s="51">
        <f>+SUMIF('GE16FEB14 Tax Bill Unfudged'!$A$2:$A$498, 'Tax Bill Summary'!$A498, 'GE16FEB14 Tax Bill Unfudged'!I$2:I$498)</f>
        <v>0</v>
      </c>
      <c r="AB498" s="13">
        <f>+SUMIF('GE16FEB14 Tax Bill Unfudged'!$A$2:$A$498, 'Tax Bill Summary'!$A498, 'GE16FEB14 Tax Bill Unfudged'!J$2:J$498)</f>
        <v>0</v>
      </c>
      <c r="AC498" s="56">
        <f t="shared" si="298"/>
        <v>0</v>
      </c>
      <c r="AD498" s="51">
        <f t="shared" si="299"/>
        <v>0</v>
      </c>
      <c r="AE498" s="13">
        <f t="shared" si="300"/>
        <v>0</v>
      </c>
      <c r="AF498" s="56">
        <f t="shared" si="301"/>
        <v>0</v>
      </c>
      <c r="AG498" s="13">
        <f t="shared" si="302"/>
        <v>0</v>
      </c>
      <c r="AH498" s="13">
        <f t="shared" si="303"/>
        <v>0</v>
      </c>
      <c r="AI498" s="16">
        <f t="shared" si="304"/>
        <v>0</v>
      </c>
      <c r="AJ498" s="15">
        <f t="shared" si="305"/>
        <v>0</v>
      </c>
      <c r="AK498" s="13">
        <f t="shared" si="306"/>
        <v>0</v>
      </c>
      <c r="AL498" s="56">
        <f t="shared" si="307"/>
        <v>0</v>
      </c>
      <c r="AM498" s="51">
        <f t="shared" si="308"/>
        <v>0</v>
      </c>
      <c r="AN498" s="13">
        <f t="shared" si="309"/>
        <v>0</v>
      </c>
      <c r="AO498" s="56">
        <f t="shared" si="310"/>
        <v>0</v>
      </c>
      <c r="AP498" s="51">
        <f t="shared" si="311"/>
        <v>0</v>
      </c>
      <c r="AQ498" s="13">
        <f t="shared" si="312"/>
        <v>0</v>
      </c>
      <c r="AR498" s="56">
        <f t="shared" si="313"/>
        <v>0</v>
      </c>
      <c r="AS498" s="51">
        <f t="shared" si="314"/>
        <v>0</v>
      </c>
      <c r="AT498" s="13">
        <f t="shared" si="315"/>
        <v>0</v>
      </c>
      <c r="AU498" s="56">
        <f t="shared" si="316"/>
        <v>0</v>
      </c>
      <c r="AV498" s="13">
        <f t="shared" si="317"/>
        <v>0</v>
      </c>
      <c r="AW498" s="13">
        <f t="shared" si="318"/>
        <v>0</v>
      </c>
      <c r="AX498" s="16">
        <f t="shared" si="319"/>
        <v>0</v>
      </c>
    </row>
    <row r="499" spans="1:50" x14ac:dyDescent="0.25">
      <c r="A499" s="20">
        <v>4198</v>
      </c>
      <c r="B499">
        <v>7</v>
      </c>
      <c r="C499" s="23" t="s">
        <v>115</v>
      </c>
      <c r="D499" s="23">
        <v>7</v>
      </c>
      <c r="E499" s="15">
        <f>+SUMIF('GE16FEB14 Unfudged'!$A$2:$A$498, $A499, 'GE16FEB14 Unfudged'!$D$2:$D$498)</f>
        <v>151</v>
      </c>
      <c r="F499" s="15">
        <f>+SUMIF('GE16FEB14 Unfudged'!$A$2:$A$498, 'Tax Bill Summary'!$A499, 'GE16FEB14 Unfudged'!E$2:E$498)</f>
        <v>17020</v>
      </c>
      <c r="G499" s="13">
        <f>+SUMIF('GE16FEB14 Unfudged'!$A$2:$A$498, 'Tax Bill Summary'!$A499, 'GE16FEB14 Unfudged'!F$2:F$498)</f>
        <v>0</v>
      </c>
      <c r="H499" s="56">
        <f t="shared" si="287"/>
        <v>17020</v>
      </c>
      <c r="I499" s="51">
        <f>+SUMIF('GE16FEB14 Unfudged'!$A$2:$A$498, 'Tax Bill Summary'!$A499, 'GE16FEB14 Unfudged'!G$2:G$498)</f>
        <v>0</v>
      </c>
      <c r="J499" s="13">
        <f>+SUMIF('GE16FEB14 Unfudged'!$A$2:$A$498, 'Tax Bill Summary'!$A499, 'GE16FEB14 Unfudged'!H$2:H$498)</f>
        <v>0</v>
      </c>
      <c r="K499" s="56">
        <f t="shared" si="288"/>
        <v>0</v>
      </c>
      <c r="L499" s="51">
        <f>+SUMIF('GE16FEB14 Unfudged'!$A$2:$A$498, 'Tax Bill Summary'!$A499, 'GE16FEB14 Unfudged'!I$2:IF$498)</f>
        <v>0</v>
      </c>
      <c r="M499" s="13">
        <f>+SUMIF('GE16FEB14 Unfudged'!$A$2:$A$498, 'Tax Bill Summary'!$A499, 'GE16FEB14 Unfudged'!J$2:IG$498)</f>
        <v>0</v>
      </c>
      <c r="N499" s="56">
        <f t="shared" si="289"/>
        <v>0</v>
      </c>
      <c r="O499" s="51">
        <f t="shared" si="290"/>
        <v>17020</v>
      </c>
      <c r="P499" s="13">
        <f t="shared" si="291"/>
        <v>0</v>
      </c>
      <c r="Q499" s="56">
        <f t="shared" si="292"/>
        <v>17020</v>
      </c>
      <c r="R499" s="13">
        <f t="shared" si="293"/>
        <v>112.71523178807946</v>
      </c>
      <c r="S499" s="13">
        <f t="shared" si="294"/>
        <v>0</v>
      </c>
      <c r="T499" s="16">
        <f t="shared" si="295"/>
        <v>112.71523178807946</v>
      </c>
      <c r="U499" s="15">
        <f>+SUMIF('GE16FEB14 Tax Bill Unfudged'!$A$2:$A$498, 'Tax Bill Summary'!$A499, 'GE16FEB14 Tax Bill Unfudged'!E$2:E$498)</f>
        <v>17438</v>
      </c>
      <c r="V499" s="13">
        <f>+SUMIF('GE16FEB14 Tax Bill Unfudged'!$A$2:$A$498, 'Tax Bill Summary'!$A499, 'GE16FEB14 Tax Bill Unfudged'!F$2:F$498)</f>
        <v>0</v>
      </c>
      <c r="W499" s="56">
        <f t="shared" si="296"/>
        <v>17438</v>
      </c>
      <c r="X499" s="51">
        <f>+SUMIF('GE16FEB14 Tax Bill Unfudged'!$A$2:$A$498, 'Tax Bill Summary'!$A499, 'GE16FEB14 Tax Bill Unfudged'!G$2:G$498)</f>
        <v>0</v>
      </c>
      <c r="Y499" s="13">
        <f>+SUMIF('GE16FEB14 Tax Bill Unfudged'!$A$2:$A$498, 'Tax Bill Summary'!$A499, 'GE16FEB14 Tax Bill Unfudged'!H$2:H$498)</f>
        <v>0</v>
      </c>
      <c r="Z499" s="56">
        <f t="shared" si="297"/>
        <v>0</v>
      </c>
      <c r="AA499" s="51">
        <f>+SUMIF('GE16FEB14 Tax Bill Unfudged'!$A$2:$A$498, 'Tax Bill Summary'!$A499, 'GE16FEB14 Tax Bill Unfudged'!I$2:I$498)</f>
        <v>0</v>
      </c>
      <c r="AB499" s="13">
        <f>+SUMIF('GE16FEB14 Tax Bill Unfudged'!$A$2:$A$498, 'Tax Bill Summary'!$A499, 'GE16FEB14 Tax Bill Unfudged'!J$2:J$498)</f>
        <v>0</v>
      </c>
      <c r="AC499" s="56">
        <f t="shared" si="298"/>
        <v>0</v>
      </c>
      <c r="AD499" s="51">
        <f t="shared" si="299"/>
        <v>17438</v>
      </c>
      <c r="AE499" s="13">
        <f t="shared" si="300"/>
        <v>0</v>
      </c>
      <c r="AF499" s="56">
        <f t="shared" si="301"/>
        <v>17438</v>
      </c>
      <c r="AG499" s="13">
        <f t="shared" si="302"/>
        <v>115.48344370860927</v>
      </c>
      <c r="AH499" s="13">
        <f t="shared" si="303"/>
        <v>0</v>
      </c>
      <c r="AI499" s="16">
        <f t="shared" si="304"/>
        <v>115.48344370860927</v>
      </c>
      <c r="AJ499" s="15">
        <f t="shared" si="305"/>
        <v>418</v>
      </c>
      <c r="AK499" s="13">
        <f t="shared" si="306"/>
        <v>0</v>
      </c>
      <c r="AL499" s="56">
        <f t="shared" si="307"/>
        <v>418</v>
      </c>
      <c r="AM499" s="51">
        <f t="shared" si="308"/>
        <v>0</v>
      </c>
      <c r="AN499" s="13">
        <f t="shared" si="309"/>
        <v>0</v>
      </c>
      <c r="AO499" s="56">
        <f t="shared" si="310"/>
        <v>0</v>
      </c>
      <c r="AP499" s="51">
        <f t="shared" si="311"/>
        <v>0</v>
      </c>
      <c r="AQ499" s="13">
        <f t="shared" si="312"/>
        <v>0</v>
      </c>
      <c r="AR499" s="56">
        <f t="shared" si="313"/>
        <v>0</v>
      </c>
      <c r="AS499" s="51">
        <f t="shared" si="314"/>
        <v>418</v>
      </c>
      <c r="AT499" s="13">
        <f t="shared" si="315"/>
        <v>0</v>
      </c>
      <c r="AU499" s="56">
        <f t="shared" si="316"/>
        <v>418</v>
      </c>
      <c r="AV499" s="13">
        <f t="shared" si="317"/>
        <v>2.7682119205298079</v>
      </c>
      <c r="AW499" s="13">
        <f t="shared" si="318"/>
        <v>0</v>
      </c>
      <c r="AX499" s="16">
        <f t="shared" si="319"/>
        <v>2.7682119205298079</v>
      </c>
    </row>
    <row r="500" spans="1:50" x14ac:dyDescent="0.25">
      <c r="A500" s="20">
        <v>4199</v>
      </c>
      <c r="B500">
        <v>7</v>
      </c>
      <c r="C500" s="23" t="s">
        <v>116</v>
      </c>
      <c r="D500" s="23">
        <v>7</v>
      </c>
      <c r="E500" s="15">
        <f>+SUMIF('GE16FEB14 Unfudged'!$A$2:$A$498, $A500, 'GE16FEB14 Unfudged'!$D$2:$D$498)</f>
        <v>869</v>
      </c>
      <c r="F500" s="15">
        <f>+SUMIF('GE16FEB14 Unfudged'!$A$2:$A$498, 'Tax Bill Summary'!$A500, 'GE16FEB14 Unfudged'!E$2:E$498)</f>
        <v>97776</v>
      </c>
      <c r="G500" s="13">
        <f>+SUMIF('GE16FEB14 Unfudged'!$A$2:$A$498, 'Tax Bill Summary'!$A500, 'GE16FEB14 Unfudged'!F$2:F$498)</f>
        <v>0</v>
      </c>
      <c r="H500" s="56">
        <f t="shared" si="287"/>
        <v>97776</v>
      </c>
      <c r="I500" s="51">
        <f>+SUMIF('GE16FEB14 Unfudged'!$A$2:$A$498, 'Tax Bill Summary'!$A500, 'GE16FEB14 Unfudged'!G$2:G$498)</f>
        <v>0</v>
      </c>
      <c r="J500" s="13">
        <f>+SUMIF('GE16FEB14 Unfudged'!$A$2:$A$498, 'Tax Bill Summary'!$A500, 'GE16FEB14 Unfudged'!H$2:H$498)</f>
        <v>0</v>
      </c>
      <c r="K500" s="56">
        <f t="shared" si="288"/>
        <v>0</v>
      </c>
      <c r="L500" s="51">
        <f>+SUMIF('GE16FEB14 Unfudged'!$A$2:$A$498, 'Tax Bill Summary'!$A500, 'GE16FEB14 Unfudged'!I$2:IF$498)</f>
        <v>0</v>
      </c>
      <c r="M500" s="13">
        <f>+SUMIF('GE16FEB14 Unfudged'!$A$2:$A$498, 'Tax Bill Summary'!$A500, 'GE16FEB14 Unfudged'!J$2:IG$498)</f>
        <v>0</v>
      </c>
      <c r="N500" s="56">
        <f t="shared" si="289"/>
        <v>0</v>
      </c>
      <c r="O500" s="51">
        <f t="shared" si="290"/>
        <v>97776</v>
      </c>
      <c r="P500" s="13">
        <f t="shared" si="291"/>
        <v>0</v>
      </c>
      <c r="Q500" s="56">
        <f t="shared" si="292"/>
        <v>97776</v>
      </c>
      <c r="R500" s="13">
        <f t="shared" si="293"/>
        <v>112.51553509781358</v>
      </c>
      <c r="S500" s="13">
        <f t="shared" si="294"/>
        <v>0</v>
      </c>
      <c r="T500" s="16">
        <f t="shared" si="295"/>
        <v>112.51553509781358</v>
      </c>
      <c r="U500" s="15">
        <f>+SUMIF('GE16FEB14 Tax Bill Unfudged'!$A$2:$A$498, 'Tax Bill Summary'!$A500, 'GE16FEB14 Tax Bill Unfudged'!E$2:E$498)</f>
        <v>100174</v>
      </c>
      <c r="V500" s="13">
        <f>+SUMIF('GE16FEB14 Tax Bill Unfudged'!$A$2:$A$498, 'Tax Bill Summary'!$A500, 'GE16FEB14 Tax Bill Unfudged'!F$2:F$498)</f>
        <v>0</v>
      </c>
      <c r="W500" s="56">
        <f t="shared" si="296"/>
        <v>100174</v>
      </c>
      <c r="X500" s="51">
        <f>+SUMIF('GE16FEB14 Tax Bill Unfudged'!$A$2:$A$498, 'Tax Bill Summary'!$A500, 'GE16FEB14 Tax Bill Unfudged'!G$2:G$498)</f>
        <v>0</v>
      </c>
      <c r="Y500" s="13">
        <f>+SUMIF('GE16FEB14 Tax Bill Unfudged'!$A$2:$A$498, 'Tax Bill Summary'!$A500, 'GE16FEB14 Tax Bill Unfudged'!H$2:H$498)</f>
        <v>0</v>
      </c>
      <c r="Z500" s="56">
        <f t="shared" si="297"/>
        <v>0</v>
      </c>
      <c r="AA500" s="51">
        <f>+SUMIF('GE16FEB14 Tax Bill Unfudged'!$A$2:$A$498, 'Tax Bill Summary'!$A500, 'GE16FEB14 Tax Bill Unfudged'!I$2:I$498)</f>
        <v>0</v>
      </c>
      <c r="AB500" s="13">
        <f>+SUMIF('GE16FEB14 Tax Bill Unfudged'!$A$2:$A$498, 'Tax Bill Summary'!$A500, 'GE16FEB14 Tax Bill Unfudged'!J$2:J$498)</f>
        <v>0</v>
      </c>
      <c r="AC500" s="56">
        <f t="shared" si="298"/>
        <v>0</v>
      </c>
      <c r="AD500" s="51">
        <f t="shared" si="299"/>
        <v>100174</v>
      </c>
      <c r="AE500" s="13">
        <f t="shared" si="300"/>
        <v>0</v>
      </c>
      <c r="AF500" s="56">
        <f t="shared" si="301"/>
        <v>100174</v>
      </c>
      <c r="AG500" s="13">
        <f t="shared" si="302"/>
        <v>115.27502876869966</v>
      </c>
      <c r="AH500" s="13">
        <f t="shared" si="303"/>
        <v>0</v>
      </c>
      <c r="AI500" s="16">
        <f t="shared" si="304"/>
        <v>115.27502876869966</v>
      </c>
      <c r="AJ500" s="15">
        <f t="shared" si="305"/>
        <v>2398</v>
      </c>
      <c r="AK500" s="13">
        <f t="shared" si="306"/>
        <v>0</v>
      </c>
      <c r="AL500" s="56">
        <f t="shared" si="307"/>
        <v>2398</v>
      </c>
      <c r="AM500" s="51">
        <f t="shared" si="308"/>
        <v>0</v>
      </c>
      <c r="AN500" s="13">
        <f t="shared" si="309"/>
        <v>0</v>
      </c>
      <c r="AO500" s="56">
        <f t="shared" si="310"/>
        <v>0</v>
      </c>
      <c r="AP500" s="51">
        <f t="shared" si="311"/>
        <v>0</v>
      </c>
      <c r="AQ500" s="13">
        <f t="shared" si="312"/>
        <v>0</v>
      </c>
      <c r="AR500" s="56">
        <f t="shared" si="313"/>
        <v>0</v>
      </c>
      <c r="AS500" s="51">
        <f t="shared" si="314"/>
        <v>2398</v>
      </c>
      <c r="AT500" s="13">
        <f t="shared" si="315"/>
        <v>0</v>
      </c>
      <c r="AU500" s="56">
        <f t="shared" si="316"/>
        <v>2398</v>
      </c>
      <c r="AV500" s="13">
        <f t="shared" si="317"/>
        <v>2.7594936708860729</v>
      </c>
      <c r="AW500" s="13">
        <f t="shared" si="318"/>
        <v>0</v>
      </c>
      <c r="AX500" s="16">
        <f t="shared" si="319"/>
        <v>2.7594936708860729</v>
      </c>
    </row>
    <row r="501" spans="1:50" x14ac:dyDescent="0.25">
      <c r="A501" s="20">
        <v>4200</v>
      </c>
      <c r="B501">
        <v>7</v>
      </c>
      <c r="C501" s="23" t="s">
        <v>117</v>
      </c>
      <c r="D501" s="23">
        <v>7</v>
      </c>
      <c r="E501" s="15">
        <f>+SUMIF('GE16FEB14 Unfudged'!$A$2:$A$498, $A501, 'GE16FEB14 Unfudged'!$D$2:$D$498)</f>
        <v>206</v>
      </c>
      <c r="F501" s="15">
        <f>+SUMIF('GE16FEB14 Unfudged'!$A$2:$A$498, 'Tax Bill Summary'!$A501, 'GE16FEB14 Unfudged'!E$2:E$498)</f>
        <v>23144</v>
      </c>
      <c r="G501" s="13">
        <f>+SUMIF('GE16FEB14 Unfudged'!$A$2:$A$498, 'Tax Bill Summary'!$A501, 'GE16FEB14 Unfudged'!F$2:F$498)</f>
        <v>0</v>
      </c>
      <c r="H501" s="56">
        <f t="shared" si="287"/>
        <v>23144</v>
      </c>
      <c r="I501" s="51">
        <f>+SUMIF('GE16FEB14 Unfudged'!$A$2:$A$498, 'Tax Bill Summary'!$A501, 'GE16FEB14 Unfudged'!G$2:G$498)</f>
        <v>0</v>
      </c>
      <c r="J501" s="13">
        <f>+SUMIF('GE16FEB14 Unfudged'!$A$2:$A$498, 'Tax Bill Summary'!$A501, 'GE16FEB14 Unfudged'!H$2:H$498)</f>
        <v>0</v>
      </c>
      <c r="K501" s="56">
        <f t="shared" si="288"/>
        <v>0</v>
      </c>
      <c r="L501" s="51">
        <f>+SUMIF('GE16FEB14 Unfudged'!$A$2:$A$498, 'Tax Bill Summary'!$A501, 'GE16FEB14 Unfudged'!I$2:IF$498)</f>
        <v>0</v>
      </c>
      <c r="M501" s="13">
        <f>+SUMIF('GE16FEB14 Unfudged'!$A$2:$A$498, 'Tax Bill Summary'!$A501, 'GE16FEB14 Unfudged'!J$2:IG$498)</f>
        <v>0</v>
      </c>
      <c r="N501" s="56">
        <f t="shared" si="289"/>
        <v>0</v>
      </c>
      <c r="O501" s="51">
        <f t="shared" si="290"/>
        <v>23144</v>
      </c>
      <c r="P501" s="13">
        <f t="shared" si="291"/>
        <v>0</v>
      </c>
      <c r="Q501" s="56">
        <f t="shared" si="292"/>
        <v>23144</v>
      </c>
      <c r="R501" s="13">
        <f t="shared" si="293"/>
        <v>112.34951456310679</v>
      </c>
      <c r="S501" s="13">
        <f t="shared" si="294"/>
        <v>0</v>
      </c>
      <c r="T501" s="16">
        <f t="shared" si="295"/>
        <v>112.34951456310679</v>
      </c>
      <c r="U501" s="15">
        <f>+SUMIF('GE16FEB14 Tax Bill Unfudged'!$A$2:$A$498, 'Tax Bill Summary'!$A501, 'GE16FEB14 Tax Bill Unfudged'!E$2:E$498)</f>
        <v>23711</v>
      </c>
      <c r="V501" s="13">
        <f>+SUMIF('GE16FEB14 Tax Bill Unfudged'!$A$2:$A$498, 'Tax Bill Summary'!$A501, 'GE16FEB14 Tax Bill Unfudged'!F$2:F$498)</f>
        <v>0</v>
      </c>
      <c r="W501" s="56">
        <f t="shared" si="296"/>
        <v>23711</v>
      </c>
      <c r="X501" s="51">
        <f>+SUMIF('GE16FEB14 Tax Bill Unfudged'!$A$2:$A$498, 'Tax Bill Summary'!$A501, 'GE16FEB14 Tax Bill Unfudged'!G$2:G$498)</f>
        <v>0</v>
      </c>
      <c r="Y501" s="13">
        <f>+SUMIF('GE16FEB14 Tax Bill Unfudged'!$A$2:$A$498, 'Tax Bill Summary'!$A501, 'GE16FEB14 Tax Bill Unfudged'!H$2:H$498)</f>
        <v>0</v>
      </c>
      <c r="Z501" s="56">
        <f t="shared" si="297"/>
        <v>0</v>
      </c>
      <c r="AA501" s="51">
        <f>+SUMIF('GE16FEB14 Tax Bill Unfudged'!$A$2:$A$498, 'Tax Bill Summary'!$A501, 'GE16FEB14 Tax Bill Unfudged'!I$2:I$498)</f>
        <v>0</v>
      </c>
      <c r="AB501" s="13">
        <f>+SUMIF('GE16FEB14 Tax Bill Unfudged'!$A$2:$A$498, 'Tax Bill Summary'!$A501, 'GE16FEB14 Tax Bill Unfudged'!J$2:J$498)</f>
        <v>0</v>
      </c>
      <c r="AC501" s="56">
        <f t="shared" si="298"/>
        <v>0</v>
      </c>
      <c r="AD501" s="51">
        <f t="shared" si="299"/>
        <v>23711</v>
      </c>
      <c r="AE501" s="13">
        <f t="shared" si="300"/>
        <v>0</v>
      </c>
      <c r="AF501" s="56">
        <f t="shared" si="301"/>
        <v>23711</v>
      </c>
      <c r="AG501" s="13">
        <f t="shared" si="302"/>
        <v>115.10194174757281</v>
      </c>
      <c r="AH501" s="13">
        <f t="shared" si="303"/>
        <v>0</v>
      </c>
      <c r="AI501" s="16">
        <f t="shared" si="304"/>
        <v>115.10194174757281</v>
      </c>
      <c r="AJ501" s="15">
        <f t="shared" si="305"/>
        <v>567</v>
      </c>
      <c r="AK501" s="13">
        <f t="shared" si="306"/>
        <v>0</v>
      </c>
      <c r="AL501" s="56">
        <f t="shared" si="307"/>
        <v>567</v>
      </c>
      <c r="AM501" s="51">
        <f t="shared" si="308"/>
        <v>0</v>
      </c>
      <c r="AN501" s="13">
        <f t="shared" si="309"/>
        <v>0</v>
      </c>
      <c r="AO501" s="56">
        <f t="shared" si="310"/>
        <v>0</v>
      </c>
      <c r="AP501" s="51">
        <f t="shared" si="311"/>
        <v>0</v>
      </c>
      <c r="AQ501" s="13">
        <f t="shared" si="312"/>
        <v>0</v>
      </c>
      <c r="AR501" s="56">
        <f t="shared" si="313"/>
        <v>0</v>
      </c>
      <c r="AS501" s="51">
        <f t="shared" si="314"/>
        <v>567</v>
      </c>
      <c r="AT501" s="13">
        <f t="shared" si="315"/>
        <v>0</v>
      </c>
      <c r="AU501" s="56">
        <f t="shared" si="316"/>
        <v>567</v>
      </c>
      <c r="AV501" s="13">
        <f t="shared" si="317"/>
        <v>2.7524271844660149</v>
      </c>
      <c r="AW501" s="13">
        <f t="shared" si="318"/>
        <v>0</v>
      </c>
      <c r="AX501" s="16">
        <f t="shared" si="319"/>
        <v>2.7524271844660149</v>
      </c>
    </row>
    <row r="502" spans="1:50" x14ac:dyDescent="0.25">
      <c r="A502" s="20">
        <v>4201</v>
      </c>
      <c r="B502">
        <v>7</v>
      </c>
      <c r="C502" s="23" t="s">
        <v>455</v>
      </c>
      <c r="D502" s="23">
        <v>7</v>
      </c>
      <c r="E502" s="15">
        <f>+SUMIF('GE16FEB14 Unfudged'!$A$2:$A$498, $A502, 'GE16FEB14 Unfudged'!$D$2:$D$498)</f>
        <v>91</v>
      </c>
      <c r="F502" s="15">
        <f>+SUMIF('GE16FEB14 Unfudged'!$A$2:$A$498, 'Tax Bill Summary'!$A502, 'GE16FEB14 Unfudged'!E$2:E$498)</f>
        <v>10244</v>
      </c>
      <c r="G502" s="13">
        <f>+SUMIF('GE16FEB14 Unfudged'!$A$2:$A$498, 'Tax Bill Summary'!$A502, 'GE16FEB14 Unfudged'!F$2:F$498)</f>
        <v>0</v>
      </c>
      <c r="H502" s="56">
        <f t="shared" si="287"/>
        <v>10244</v>
      </c>
      <c r="I502" s="51">
        <f>+SUMIF('GE16FEB14 Unfudged'!$A$2:$A$498, 'Tax Bill Summary'!$A502, 'GE16FEB14 Unfudged'!G$2:G$498)</f>
        <v>0</v>
      </c>
      <c r="J502" s="13">
        <f>+SUMIF('GE16FEB14 Unfudged'!$A$2:$A$498, 'Tax Bill Summary'!$A502, 'GE16FEB14 Unfudged'!H$2:H$498)</f>
        <v>0</v>
      </c>
      <c r="K502" s="56">
        <f t="shared" si="288"/>
        <v>0</v>
      </c>
      <c r="L502" s="51">
        <f>+SUMIF('GE16FEB14 Unfudged'!$A$2:$A$498, 'Tax Bill Summary'!$A502, 'GE16FEB14 Unfudged'!I$2:IF$498)</f>
        <v>0</v>
      </c>
      <c r="M502" s="13">
        <f>+SUMIF('GE16FEB14 Unfudged'!$A$2:$A$498, 'Tax Bill Summary'!$A502, 'GE16FEB14 Unfudged'!J$2:IG$498)</f>
        <v>0</v>
      </c>
      <c r="N502" s="56">
        <f t="shared" si="289"/>
        <v>0</v>
      </c>
      <c r="O502" s="51">
        <f t="shared" si="290"/>
        <v>10244</v>
      </c>
      <c r="P502" s="13">
        <f t="shared" si="291"/>
        <v>0</v>
      </c>
      <c r="Q502" s="56">
        <f t="shared" si="292"/>
        <v>10244</v>
      </c>
      <c r="R502" s="13">
        <f t="shared" si="293"/>
        <v>112.57142857142857</v>
      </c>
      <c r="S502" s="13">
        <f t="shared" si="294"/>
        <v>0</v>
      </c>
      <c r="T502" s="16">
        <f t="shared" si="295"/>
        <v>112.57142857142857</v>
      </c>
      <c r="U502" s="15">
        <f>+SUMIF('GE16FEB14 Tax Bill Unfudged'!$A$2:$A$498, 'Tax Bill Summary'!$A502, 'GE16FEB14 Tax Bill Unfudged'!E$2:E$498)</f>
        <v>10495</v>
      </c>
      <c r="V502" s="13">
        <f>+SUMIF('GE16FEB14 Tax Bill Unfudged'!$A$2:$A$498, 'Tax Bill Summary'!$A502, 'GE16FEB14 Tax Bill Unfudged'!F$2:F$498)</f>
        <v>0</v>
      </c>
      <c r="W502" s="56">
        <f t="shared" si="296"/>
        <v>10495</v>
      </c>
      <c r="X502" s="51">
        <f>+SUMIF('GE16FEB14 Tax Bill Unfudged'!$A$2:$A$498, 'Tax Bill Summary'!$A502, 'GE16FEB14 Tax Bill Unfudged'!G$2:G$498)</f>
        <v>0</v>
      </c>
      <c r="Y502" s="13">
        <f>+SUMIF('GE16FEB14 Tax Bill Unfudged'!$A$2:$A$498, 'Tax Bill Summary'!$A502, 'GE16FEB14 Tax Bill Unfudged'!H$2:H$498)</f>
        <v>0</v>
      </c>
      <c r="Z502" s="56">
        <f t="shared" si="297"/>
        <v>0</v>
      </c>
      <c r="AA502" s="51">
        <f>+SUMIF('GE16FEB14 Tax Bill Unfudged'!$A$2:$A$498, 'Tax Bill Summary'!$A502, 'GE16FEB14 Tax Bill Unfudged'!I$2:I$498)</f>
        <v>0</v>
      </c>
      <c r="AB502" s="13">
        <f>+SUMIF('GE16FEB14 Tax Bill Unfudged'!$A$2:$A$498, 'Tax Bill Summary'!$A502, 'GE16FEB14 Tax Bill Unfudged'!J$2:J$498)</f>
        <v>0</v>
      </c>
      <c r="AC502" s="56">
        <f t="shared" si="298"/>
        <v>0</v>
      </c>
      <c r="AD502" s="51">
        <f t="shared" si="299"/>
        <v>10495</v>
      </c>
      <c r="AE502" s="13">
        <f t="shared" si="300"/>
        <v>0</v>
      </c>
      <c r="AF502" s="56">
        <f t="shared" si="301"/>
        <v>10495</v>
      </c>
      <c r="AG502" s="13">
        <f t="shared" si="302"/>
        <v>115.32967032967034</v>
      </c>
      <c r="AH502" s="13">
        <f t="shared" si="303"/>
        <v>0</v>
      </c>
      <c r="AI502" s="16">
        <f t="shared" si="304"/>
        <v>115.32967032967034</v>
      </c>
      <c r="AJ502" s="15">
        <f t="shared" si="305"/>
        <v>251</v>
      </c>
      <c r="AK502" s="13">
        <f t="shared" si="306"/>
        <v>0</v>
      </c>
      <c r="AL502" s="56">
        <f t="shared" si="307"/>
        <v>251</v>
      </c>
      <c r="AM502" s="51">
        <f t="shared" si="308"/>
        <v>0</v>
      </c>
      <c r="AN502" s="13">
        <f t="shared" si="309"/>
        <v>0</v>
      </c>
      <c r="AO502" s="56">
        <f t="shared" si="310"/>
        <v>0</v>
      </c>
      <c r="AP502" s="51">
        <f t="shared" si="311"/>
        <v>0</v>
      </c>
      <c r="AQ502" s="13">
        <f t="shared" si="312"/>
        <v>0</v>
      </c>
      <c r="AR502" s="56">
        <f t="shared" si="313"/>
        <v>0</v>
      </c>
      <c r="AS502" s="51">
        <f t="shared" si="314"/>
        <v>251</v>
      </c>
      <c r="AT502" s="13">
        <f t="shared" si="315"/>
        <v>0</v>
      </c>
      <c r="AU502" s="56">
        <f t="shared" si="316"/>
        <v>251</v>
      </c>
      <c r="AV502" s="13">
        <f t="shared" si="317"/>
        <v>2.7582417582417662</v>
      </c>
      <c r="AW502" s="13">
        <f t="shared" si="318"/>
        <v>0</v>
      </c>
      <c r="AX502" s="16">
        <f t="shared" si="319"/>
        <v>2.7582417582417662</v>
      </c>
    </row>
    <row r="503" spans="1:50" x14ac:dyDescent="0.25">
      <c r="A503" s="20">
        <v>4202</v>
      </c>
      <c r="B503">
        <v>7</v>
      </c>
      <c r="C503" s="23" t="s">
        <v>118</v>
      </c>
      <c r="D503" s="23">
        <v>7</v>
      </c>
      <c r="E503" s="15">
        <f>+SUMIF('GE16FEB14 Unfudged'!$A$2:$A$498, $A503, 'GE16FEB14 Unfudged'!$D$2:$D$498)</f>
        <v>0</v>
      </c>
      <c r="F503" s="15">
        <f>+SUMIF('GE16FEB14 Unfudged'!$A$2:$A$498, 'Tax Bill Summary'!$A503, 'GE16FEB14 Unfudged'!E$2:E$498)</f>
        <v>0</v>
      </c>
      <c r="G503" s="13">
        <f>+SUMIF('GE16FEB14 Unfudged'!$A$2:$A$498, 'Tax Bill Summary'!$A503, 'GE16FEB14 Unfudged'!F$2:F$498)</f>
        <v>0</v>
      </c>
      <c r="H503" s="56">
        <f t="shared" si="287"/>
        <v>0</v>
      </c>
      <c r="I503" s="51">
        <f>+SUMIF('GE16FEB14 Unfudged'!$A$2:$A$498, 'Tax Bill Summary'!$A503, 'GE16FEB14 Unfudged'!G$2:G$498)</f>
        <v>0</v>
      </c>
      <c r="J503" s="13">
        <f>+SUMIF('GE16FEB14 Unfudged'!$A$2:$A$498, 'Tax Bill Summary'!$A503, 'GE16FEB14 Unfudged'!H$2:H$498)</f>
        <v>0</v>
      </c>
      <c r="K503" s="56">
        <f t="shared" si="288"/>
        <v>0</v>
      </c>
      <c r="L503" s="51">
        <f>+SUMIF('GE16FEB14 Unfudged'!$A$2:$A$498, 'Tax Bill Summary'!$A503, 'GE16FEB14 Unfudged'!I$2:IF$498)</f>
        <v>0</v>
      </c>
      <c r="M503" s="13">
        <f>+SUMIF('GE16FEB14 Unfudged'!$A$2:$A$498, 'Tax Bill Summary'!$A503, 'GE16FEB14 Unfudged'!J$2:IG$498)</f>
        <v>0</v>
      </c>
      <c r="N503" s="56">
        <f t="shared" si="289"/>
        <v>0</v>
      </c>
      <c r="O503" s="51">
        <f t="shared" si="290"/>
        <v>0</v>
      </c>
      <c r="P503" s="13">
        <f t="shared" si="291"/>
        <v>0</v>
      </c>
      <c r="Q503" s="56">
        <f t="shared" si="292"/>
        <v>0</v>
      </c>
      <c r="R503" s="13">
        <f t="shared" si="293"/>
        <v>0</v>
      </c>
      <c r="S503" s="13">
        <f t="shared" si="294"/>
        <v>0</v>
      </c>
      <c r="T503" s="16">
        <f t="shared" si="295"/>
        <v>0</v>
      </c>
      <c r="U503" s="15">
        <f>+SUMIF('GE16FEB14 Tax Bill Unfudged'!$A$2:$A$498, 'Tax Bill Summary'!$A503, 'GE16FEB14 Tax Bill Unfudged'!E$2:E$498)</f>
        <v>0</v>
      </c>
      <c r="V503" s="13">
        <f>+SUMIF('GE16FEB14 Tax Bill Unfudged'!$A$2:$A$498, 'Tax Bill Summary'!$A503, 'GE16FEB14 Tax Bill Unfudged'!F$2:F$498)</f>
        <v>0</v>
      </c>
      <c r="W503" s="56">
        <f t="shared" si="296"/>
        <v>0</v>
      </c>
      <c r="X503" s="51">
        <f>+SUMIF('GE16FEB14 Tax Bill Unfudged'!$A$2:$A$498, 'Tax Bill Summary'!$A503, 'GE16FEB14 Tax Bill Unfudged'!G$2:G$498)</f>
        <v>0</v>
      </c>
      <c r="Y503" s="13">
        <f>+SUMIF('GE16FEB14 Tax Bill Unfudged'!$A$2:$A$498, 'Tax Bill Summary'!$A503, 'GE16FEB14 Tax Bill Unfudged'!H$2:H$498)</f>
        <v>0</v>
      </c>
      <c r="Z503" s="56">
        <f t="shared" si="297"/>
        <v>0</v>
      </c>
      <c r="AA503" s="51">
        <f>+SUMIF('GE16FEB14 Tax Bill Unfudged'!$A$2:$A$498, 'Tax Bill Summary'!$A503, 'GE16FEB14 Tax Bill Unfudged'!I$2:I$498)</f>
        <v>0</v>
      </c>
      <c r="AB503" s="13">
        <f>+SUMIF('GE16FEB14 Tax Bill Unfudged'!$A$2:$A$498, 'Tax Bill Summary'!$A503, 'GE16FEB14 Tax Bill Unfudged'!J$2:J$498)</f>
        <v>0</v>
      </c>
      <c r="AC503" s="56">
        <f t="shared" si="298"/>
        <v>0</v>
      </c>
      <c r="AD503" s="51">
        <f t="shared" si="299"/>
        <v>0</v>
      </c>
      <c r="AE503" s="13">
        <f t="shared" si="300"/>
        <v>0</v>
      </c>
      <c r="AF503" s="56">
        <f t="shared" si="301"/>
        <v>0</v>
      </c>
      <c r="AG503" s="13">
        <f t="shared" si="302"/>
        <v>0</v>
      </c>
      <c r="AH503" s="13">
        <f t="shared" si="303"/>
        <v>0</v>
      </c>
      <c r="AI503" s="16">
        <f t="shared" si="304"/>
        <v>0</v>
      </c>
      <c r="AJ503" s="15">
        <f t="shared" si="305"/>
        <v>0</v>
      </c>
      <c r="AK503" s="13">
        <f t="shared" si="306"/>
        <v>0</v>
      </c>
      <c r="AL503" s="56">
        <f t="shared" si="307"/>
        <v>0</v>
      </c>
      <c r="AM503" s="51">
        <f t="shared" si="308"/>
        <v>0</v>
      </c>
      <c r="AN503" s="13">
        <f t="shared" si="309"/>
        <v>0</v>
      </c>
      <c r="AO503" s="56">
        <f t="shared" si="310"/>
        <v>0</v>
      </c>
      <c r="AP503" s="51">
        <f t="shared" si="311"/>
        <v>0</v>
      </c>
      <c r="AQ503" s="13">
        <f t="shared" si="312"/>
        <v>0</v>
      </c>
      <c r="AR503" s="56">
        <f t="shared" si="313"/>
        <v>0</v>
      </c>
      <c r="AS503" s="51">
        <f t="shared" si="314"/>
        <v>0</v>
      </c>
      <c r="AT503" s="13">
        <f t="shared" si="315"/>
        <v>0</v>
      </c>
      <c r="AU503" s="56">
        <f t="shared" si="316"/>
        <v>0</v>
      </c>
      <c r="AV503" s="13">
        <f t="shared" si="317"/>
        <v>0</v>
      </c>
      <c r="AW503" s="13">
        <f t="shared" si="318"/>
        <v>0</v>
      </c>
      <c r="AX503" s="16">
        <f t="shared" si="319"/>
        <v>0</v>
      </c>
    </row>
    <row r="504" spans="1:50" x14ac:dyDescent="0.25">
      <c r="A504" s="20">
        <v>4203</v>
      </c>
      <c r="B504">
        <v>7</v>
      </c>
      <c r="C504" s="23" t="s">
        <v>119</v>
      </c>
      <c r="D504" s="23">
        <v>7</v>
      </c>
      <c r="E504" s="15">
        <f>+SUMIF('GE16FEB14 Unfudged'!$A$2:$A$498, $A504, 'GE16FEB14 Unfudged'!$D$2:$D$498)</f>
        <v>97</v>
      </c>
      <c r="F504" s="15">
        <f>+SUMIF('GE16FEB14 Unfudged'!$A$2:$A$498, 'Tax Bill Summary'!$A504, 'GE16FEB14 Unfudged'!E$2:E$498)</f>
        <v>10942</v>
      </c>
      <c r="G504" s="13">
        <f>+SUMIF('GE16FEB14 Unfudged'!$A$2:$A$498, 'Tax Bill Summary'!$A504, 'GE16FEB14 Unfudged'!F$2:F$498)</f>
        <v>0</v>
      </c>
      <c r="H504" s="56">
        <f t="shared" si="287"/>
        <v>10942</v>
      </c>
      <c r="I504" s="51">
        <f>+SUMIF('GE16FEB14 Unfudged'!$A$2:$A$498, 'Tax Bill Summary'!$A504, 'GE16FEB14 Unfudged'!G$2:G$498)</f>
        <v>0</v>
      </c>
      <c r="J504" s="13">
        <f>+SUMIF('GE16FEB14 Unfudged'!$A$2:$A$498, 'Tax Bill Summary'!$A504, 'GE16FEB14 Unfudged'!H$2:H$498)</f>
        <v>0</v>
      </c>
      <c r="K504" s="56">
        <f t="shared" si="288"/>
        <v>0</v>
      </c>
      <c r="L504" s="51">
        <f>+SUMIF('GE16FEB14 Unfudged'!$A$2:$A$498, 'Tax Bill Summary'!$A504, 'GE16FEB14 Unfudged'!I$2:IF$498)</f>
        <v>0</v>
      </c>
      <c r="M504" s="13">
        <f>+SUMIF('GE16FEB14 Unfudged'!$A$2:$A$498, 'Tax Bill Summary'!$A504, 'GE16FEB14 Unfudged'!J$2:IG$498)</f>
        <v>0</v>
      </c>
      <c r="N504" s="56">
        <f t="shared" si="289"/>
        <v>0</v>
      </c>
      <c r="O504" s="51">
        <f t="shared" si="290"/>
        <v>10942</v>
      </c>
      <c r="P504" s="13">
        <f t="shared" si="291"/>
        <v>0</v>
      </c>
      <c r="Q504" s="56">
        <f t="shared" si="292"/>
        <v>10942</v>
      </c>
      <c r="R504" s="13">
        <f t="shared" si="293"/>
        <v>112.80412371134021</v>
      </c>
      <c r="S504" s="13">
        <f t="shared" si="294"/>
        <v>0</v>
      </c>
      <c r="T504" s="16">
        <f t="shared" si="295"/>
        <v>112.80412371134021</v>
      </c>
      <c r="U504" s="15">
        <f>+SUMIF('GE16FEB14 Tax Bill Unfudged'!$A$2:$A$498, 'Tax Bill Summary'!$A504, 'GE16FEB14 Tax Bill Unfudged'!E$2:E$498)</f>
        <v>11210</v>
      </c>
      <c r="V504" s="13">
        <f>+SUMIF('GE16FEB14 Tax Bill Unfudged'!$A$2:$A$498, 'Tax Bill Summary'!$A504, 'GE16FEB14 Tax Bill Unfudged'!F$2:F$498)</f>
        <v>0</v>
      </c>
      <c r="W504" s="56">
        <f t="shared" si="296"/>
        <v>11210</v>
      </c>
      <c r="X504" s="51">
        <f>+SUMIF('GE16FEB14 Tax Bill Unfudged'!$A$2:$A$498, 'Tax Bill Summary'!$A504, 'GE16FEB14 Tax Bill Unfudged'!G$2:G$498)</f>
        <v>0</v>
      </c>
      <c r="Y504" s="13">
        <f>+SUMIF('GE16FEB14 Tax Bill Unfudged'!$A$2:$A$498, 'Tax Bill Summary'!$A504, 'GE16FEB14 Tax Bill Unfudged'!H$2:H$498)</f>
        <v>0</v>
      </c>
      <c r="Z504" s="56">
        <f t="shared" si="297"/>
        <v>0</v>
      </c>
      <c r="AA504" s="51">
        <f>+SUMIF('GE16FEB14 Tax Bill Unfudged'!$A$2:$A$498, 'Tax Bill Summary'!$A504, 'GE16FEB14 Tax Bill Unfudged'!I$2:I$498)</f>
        <v>0</v>
      </c>
      <c r="AB504" s="13">
        <f>+SUMIF('GE16FEB14 Tax Bill Unfudged'!$A$2:$A$498, 'Tax Bill Summary'!$A504, 'GE16FEB14 Tax Bill Unfudged'!J$2:J$498)</f>
        <v>0</v>
      </c>
      <c r="AC504" s="56">
        <f t="shared" si="298"/>
        <v>0</v>
      </c>
      <c r="AD504" s="51">
        <f t="shared" si="299"/>
        <v>11210</v>
      </c>
      <c r="AE504" s="13">
        <f t="shared" si="300"/>
        <v>0</v>
      </c>
      <c r="AF504" s="56">
        <f t="shared" si="301"/>
        <v>11210</v>
      </c>
      <c r="AG504" s="13">
        <f t="shared" si="302"/>
        <v>115.56701030927834</v>
      </c>
      <c r="AH504" s="13">
        <f t="shared" si="303"/>
        <v>0</v>
      </c>
      <c r="AI504" s="16">
        <f t="shared" si="304"/>
        <v>115.56701030927834</v>
      </c>
      <c r="AJ504" s="15">
        <f t="shared" si="305"/>
        <v>268</v>
      </c>
      <c r="AK504" s="13">
        <f t="shared" si="306"/>
        <v>0</v>
      </c>
      <c r="AL504" s="56">
        <f t="shared" si="307"/>
        <v>268</v>
      </c>
      <c r="AM504" s="51">
        <f t="shared" si="308"/>
        <v>0</v>
      </c>
      <c r="AN504" s="13">
        <f t="shared" si="309"/>
        <v>0</v>
      </c>
      <c r="AO504" s="56">
        <f t="shared" si="310"/>
        <v>0</v>
      </c>
      <c r="AP504" s="51">
        <f t="shared" si="311"/>
        <v>0</v>
      </c>
      <c r="AQ504" s="13">
        <f t="shared" si="312"/>
        <v>0</v>
      </c>
      <c r="AR504" s="56">
        <f t="shared" si="313"/>
        <v>0</v>
      </c>
      <c r="AS504" s="51">
        <f t="shared" si="314"/>
        <v>268</v>
      </c>
      <c r="AT504" s="13">
        <f t="shared" si="315"/>
        <v>0</v>
      </c>
      <c r="AU504" s="56">
        <f t="shared" si="316"/>
        <v>268</v>
      </c>
      <c r="AV504" s="13">
        <f t="shared" si="317"/>
        <v>2.7628865979381345</v>
      </c>
      <c r="AW504" s="13">
        <f t="shared" si="318"/>
        <v>0</v>
      </c>
      <c r="AX504" s="16">
        <f t="shared" si="319"/>
        <v>2.7628865979381345</v>
      </c>
    </row>
    <row r="505" spans="1:50" x14ac:dyDescent="0.25">
      <c r="A505" s="20">
        <v>4204</v>
      </c>
      <c r="B505">
        <v>7</v>
      </c>
      <c r="C505" s="23" t="s">
        <v>120</v>
      </c>
      <c r="D505" s="23">
        <v>7</v>
      </c>
      <c r="E505" s="15">
        <f>+SUMIF('GE16FEB14 Unfudged'!$A$2:$A$498, $A505, 'GE16FEB14 Unfudged'!$D$2:$D$498)</f>
        <v>216</v>
      </c>
      <c r="F505" s="15">
        <f>+SUMIF('GE16FEB14 Unfudged'!$A$2:$A$498, 'Tax Bill Summary'!$A505, 'GE16FEB14 Unfudged'!E$2:E$498)</f>
        <v>24315</v>
      </c>
      <c r="G505" s="13">
        <f>+SUMIF('GE16FEB14 Unfudged'!$A$2:$A$498, 'Tax Bill Summary'!$A505, 'GE16FEB14 Unfudged'!F$2:F$498)</f>
        <v>0</v>
      </c>
      <c r="H505" s="56">
        <f t="shared" si="287"/>
        <v>24315</v>
      </c>
      <c r="I505" s="51">
        <f>+SUMIF('GE16FEB14 Unfudged'!$A$2:$A$498, 'Tax Bill Summary'!$A505, 'GE16FEB14 Unfudged'!G$2:G$498)</f>
        <v>0</v>
      </c>
      <c r="J505" s="13">
        <f>+SUMIF('GE16FEB14 Unfudged'!$A$2:$A$498, 'Tax Bill Summary'!$A505, 'GE16FEB14 Unfudged'!H$2:H$498)</f>
        <v>0</v>
      </c>
      <c r="K505" s="56">
        <f t="shared" si="288"/>
        <v>0</v>
      </c>
      <c r="L505" s="51">
        <f>+SUMIF('GE16FEB14 Unfudged'!$A$2:$A$498, 'Tax Bill Summary'!$A505, 'GE16FEB14 Unfudged'!I$2:IF$498)</f>
        <v>0</v>
      </c>
      <c r="M505" s="13">
        <f>+SUMIF('GE16FEB14 Unfudged'!$A$2:$A$498, 'Tax Bill Summary'!$A505, 'GE16FEB14 Unfudged'!J$2:IG$498)</f>
        <v>0</v>
      </c>
      <c r="N505" s="56">
        <f t="shared" si="289"/>
        <v>0</v>
      </c>
      <c r="O505" s="51">
        <f t="shared" si="290"/>
        <v>24315</v>
      </c>
      <c r="P505" s="13">
        <f t="shared" si="291"/>
        <v>0</v>
      </c>
      <c r="Q505" s="56">
        <f t="shared" si="292"/>
        <v>24315</v>
      </c>
      <c r="R505" s="13">
        <f t="shared" si="293"/>
        <v>112.56944444444444</v>
      </c>
      <c r="S505" s="13">
        <f t="shared" si="294"/>
        <v>0</v>
      </c>
      <c r="T505" s="16">
        <f t="shared" si="295"/>
        <v>112.56944444444444</v>
      </c>
      <c r="U505" s="15">
        <f>+SUMIF('GE16FEB14 Tax Bill Unfudged'!$A$2:$A$498, 'Tax Bill Summary'!$A505, 'GE16FEB14 Tax Bill Unfudged'!E$2:E$498)</f>
        <v>24911</v>
      </c>
      <c r="V505" s="13">
        <f>+SUMIF('GE16FEB14 Tax Bill Unfudged'!$A$2:$A$498, 'Tax Bill Summary'!$A505, 'GE16FEB14 Tax Bill Unfudged'!F$2:F$498)</f>
        <v>0</v>
      </c>
      <c r="W505" s="56">
        <f t="shared" si="296"/>
        <v>24911</v>
      </c>
      <c r="X505" s="51">
        <f>+SUMIF('GE16FEB14 Tax Bill Unfudged'!$A$2:$A$498, 'Tax Bill Summary'!$A505, 'GE16FEB14 Tax Bill Unfudged'!G$2:G$498)</f>
        <v>0</v>
      </c>
      <c r="Y505" s="13">
        <f>+SUMIF('GE16FEB14 Tax Bill Unfudged'!$A$2:$A$498, 'Tax Bill Summary'!$A505, 'GE16FEB14 Tax Bill Unfudged'!H$2:H$498)</f>
        <v>0</v>
      </c>
      <c r="Z505" s="56">
        <f t="shared" si="297"/>
        <v>0</v>
      </c>
      <c r="AA505" s="51">
        <f>+SUMIF('GE16FEB14 Tax Bill Unfudged'!$A$2:$A$498, 'Tax Bill Summary'!$A505, 'GE16FEB14 Tax Bill Unfudged'!I$2:I$498)</f>
        <v>0</v>
      </c>
      <c r="AB505" s="13">
        <f>+SUMIF('GE16FEB14 Tax Bill Unfudged'!$A$2:$A$498, 'Tax Bill Summary'!$A505, 'GE16FEB14 Tax Bill Unfudged'!J$2:J$498)</f>
        <v>0</v>
      </c>
      <c r="AC505" s="56">
        <f t="shared" si="298"/>
        <v>0</v>
      </c>
      <c r="AD505" s="51">
        <f t="shared" si="299"/>
        <v>24911</v>
      </c>
      <c r="AE505" s="13">
        <f t="shared" si="300"/>
        <v>0</v>
      </c>
      <c r="AF505" s="56">
        <f t="shared" si="301"/>
        <v>24911</v>
      </c>
      <c r="AG505" s="13">
        <f t="shared" si="302"/>
        <v>115.32870370370371</v>
      </c>
      <c r="AH505" s="13">
        <f t="shared" si="303"/>
        <v>0</v>
      </c>
      <c r="AI505" s="16">
        <f t="shared" si="304"/>
        <v>115.32870370370371</v>
      </c>
      <c r="AJ505" s="15">
        <f t="shared" si="305"/>
        <v>596</v>
      </c>
      <c r="AK505" s="13">
        <f t="shared" si="306"/>
        <v>0</v>
      </c>
      <c r="AL505" s="56">
        <f t="shared" si="307"/>
        <v>596</v>
      </c>
      <c r="AM505" s="51">
        <f t="shared" si="308"/>
        <v>0</v>
      </c>
      <c r="AN505" s="13">
        <f t="shared" si="309"/>
        <v>0</v>
      </c>
      <c r="AO505" s="56">
        <f t="shared" si="310"/>
        <v>0</v>
      </c>
      <c r="AP505" s="51">
        <f t="shared" si="311"/>
        <v>0</v>
      </c>
      <c r="AQ505" s="13">
        <f t="shared" si="312"/>
        <v>0</v>
      </c>
      <c r="AR505" s="56">
        <f t="shared" si="313"/>
        <v>0</v>
      </c>
      <c r="AS505" s="51">
        <f t="shared" si="314"/>
        <v>596</v>
      </c>
      <c r="AT505" s="13">
        <f t="shared" si="315"/>
        <v>0</v>
      </c>
      <c r="AU505" s="56">
        <f t="shared" si="316"/>
        <v>596</v>
      </c>
      <c r="AV505" s="13">
        <f t="shared" si="317"/>
        <v>2.7592592592592666</v>
      </c>
      <c r="AW505" s="13">
        <f t="shared" si="318"/>
        <v>0</v>
      </c>
      <c r="AX505" s="16">
        <f t="shared" si="319"/>
        <v>2.7592592592592666</v>
      </c>
    </row>
    <row r="506" spans="1:50" x14ac:dyDescent="0.25">
      <c r="A506" s="20">
        <v>4205</v>
      </c>
      <c r="B506">
        <v>7</v>
      </c>
      <c r="C506" s="23" t="s">
        <v>121</v>
      </c>
      <c r="D506" s="23">
        <v>7</v>
      </c>
      <c r="E506" s="15">
        <f>+SUMIF('GE16FEB14 Unfudged'!$A$2:$A$498, $A506, 'GE16FEB14 Unfudged'!$D$2:$D$498)</f>
        <v>189</v>
      </c>
      <c r="F506" s="15">
        <f>+SUMIF('GE16FEB14 Unfudged'!$A$2:$A$498, 'Tax Bill Summary'!$A506, 'GE16FEB14 Unfudged'!E$2:E$498)</f>
        <v>21275</v>
      </c>
      <c r="G506" s="13">
        <f>+SUMIF('GE16FEB14 Unfudged'!$A$2:$A$498, 'Tax Bill Summary'!$A506, 'GE16FEB14 Unfudged'!F$2:F$498)</f>
        <v>0</v>
      </c>
      <c r="H506" s="56">
        <f t="shared" si="287"/>
        <v>21275</v>
      </c>
      <c r="I506" s="51">
        <f>+SUMIF('GE16FEB14 Unfudged'!$A$2:$A$498, 'Tax Bill Summary'!$A506, 'GE16FEB14 Unfudged'!G$2:G$498)</f>
        <v>0</v>
      </c>
      <c r="J506" s="13">
        <f>+SUMIF('GE16FEB14 Unfudged'!$A$2:$A$498, 'Tax Bill Summary'!$A506, 'GE16FEB14 Unfudged'!H$2:H$498)</f>
        <v>0</v>
      </c>
      <c r="K506" s="56">
        <f t="shared" si="288"/>
        <v>0</v>
      </c>
      <c r="L506" s="51">
        <f>+SUMIF('GE16FEB14 Unfudged'!$A$2:$A$498, 'Tax Bill Summary'!$A506, 'GE16FEB14 Unfudged'!I$2:IF$498)</f>
        <v>0</v>
      </c>
      <c r="M506" s="13">
        <f>+SUMIF('GE16FEB14 Unfudged'!$A$2:$A$498, 'Tax Bill Summary'!$A506, 'GE16FEB14 Unfudged'!J$2:IG$498)</f>
        <v>0</v>
      </c>
      <c r="N506" s="56">
        <f t="shared" si="289"/>
        <v>0</v>
      </c>
      <c r="O506" s="51">
        <f t="shared" si="290"/>
        <v>21275</v>
      </c>
      <c r="P506" s="13">
        <f t="shared" si="291"/>
        <v>0</v>
      </c>
      <c r="Q506" s="56">
        <f t="shared" si="292"/>
        <v>21275</v>
      </c>
      <c r="R506" s="13">
        <f t="shared" si="293"/>
        <v>112.56613756613757</v>
      </c>
      <c r="S506" s="13">
        <f t="shared" si="294"/>
        <v>0</v>
      </c>
      <c r="T506" s="16">
        <f t="shared" si="295"/>
        <v>112.56613756613757</v>
      </c>
      <c r="U506" s="15">
        <f>+SUMIF('GE16FEB14 Tax Bill Unfudged'!$A$2:$A$498, 'Tax Bill Summary'!$A506, 'GE16FEB14 Tax Bill Unfudged'!E$2:E$498)</f>
        <v>21797</v>
      </c>
      <c r="V506" s="13">
        <f>+SUMIF('GE16FEB14 Tax Bill Unfudged'!$A$2:$A$498, 'Tax Bill Summary'!$A506, 'GE16FEB14 Tax Bill Unfudged'!F$2:F$498)</f>
        <v>0</v>
      </c>
      <c r="W506" s="56">
        <f t="shared" si="296"/>
        <v>21797</v>
      </c>
      <c r="X506" s="51">
        <f>+SUMIF('GE16FEB14 Tax Bill Unfudged'!$A$2:$A$498, 'Tax Bill Summary'!$A506, 'GE16FEB14 Tax Bill Unfudged'!G$2:G$498)</f>
        <v>0</v>
      </c>
      <c r="Y506" s="13">
        <f>+SUMIF('GE16FEB14 Tax Bill Unfudged'!$A$2:$A$498, 'Tax Bill Summary'!$A506, 'GE16FEB14 Tax Bill Unfudged'!H$2:H$498)</f>
        <v>0</v>
      </c>
      <c r="Z506" s="56">
        <f t="shared" si="297"/>
        <v>0</v>
      </c>
      <c r="AA506" s="51">
        <f>+SUMIF('GE16FEB14 Tax Bill Unfudged'!$A$2:$A$498, 'Tax Bill Summary'!$A506, 'GE16FEB14 Tax Bill Unfudged'!I$2:I$498)</f>
        <v>0</v>
      </c>
      <c r="AB506" s="13">
        <f>+SUMIF('GE16FEB14 Tax Bill Unfudged'!$A$2:$A$498, 'Tax Bill Summary'!$A506, 'GE16FEB14 Tax Bill Unfudged'!J$2:J$498)</f>
        <v>0</v>
      </c>
      <c r="AC506" s="56">
        <f t="shared" si="298"/>
        <v>0</v>
      </c>
      <c r="AD506" s="51">
        <f t="shared" si="299"/>
        <v>21797</v>
      </c>
      <c r="AE506" s="13">
        <f t="shared" si="300"/>
        <v>0</v>
      </c>
      <c r="AF506" s="56">
        <f t="shared" si="301"/>
        <v>21797</v>
      </c>
      <c r="AG506" s="13">
        <f t="shared" si="302"/>
        <v>115.32804232804233</v>
      </c>
      <c r="AH506" s="13">
        <f t="shared" si="303"/>
        <v>0</v>
      </c>
      <c r="AI506" s="16">
        <f t="shared" si="304"/>
        <v>115.32804232804233</v>
      </c>
      <c r="AJ506" s="15">
        <f t="shared" si="305"/>
        <v>522</v>
      </c>
      <c r="AK506" s="13">
        <f t="shared" si="306"/>
        <v>0</v>
      </c>
      <c r="AL506" s="56">
        <f t="shared" si="307"/>
        <v>522</v>
      </c>
      <c r="AM506" s="51">
        <f t="shared" si="308"/>
        <v>0</v>
      </c>
      <c r="AN506" s="13">
        <f t="shared" si="309"/>
        <v>0</v>
      </c>
      <c r="AO506" s="56">
        <f t="shared" si="310"/>
        <v>0</v>
      </c>
      <c r="AP506" s="51">
        <f t="shared" si="311"/>
        <v>0</v>
      </c>
      <c r="AQ506" s="13">
        <f t="shared" si="312"/>
        <v>0</v>
      </c>
      <c r="AR506" s="56">
        <f t="shared" si="313"/>
        <v>0</v>
      </c>
      <c r="AS506" s="51">
        <f t="shared" si="314"/>
        <v>522</v>
      </c>
      <c r="AT506" s="13">
        <f t="shared" si="315"/>
        <v>0</v>
      </c>
      <c r="AU506" s="56">
        <f t="shared" si="316"/>
        <v>522</v>
      </c>
      <c r="AV506" s="13">
        <f t="shared" si="317"/>
        <v>2.7619047619047592</v>
      </c>
      <c r="AW506" s="13">
        <f t="shared" si="318"/>
        <v>0</v>
      </c>
      <c r="AX506" s="16">
        <f t="shared" si="319"/>
        <v>2.7619047619047592</v>
      </c>
    </row>
    <row r="507" spans="1:50" x14ac:dyDescent="0.25">
      <c r="A507" s="20">
        <v>4207</v>
      </c>
      <c r="B507">
        <v>7</v>
      </c>
      <c r="C507" s="23" t="s">
        <v>509</v>
      </c>
      <c r="D507" s="23">
        <v>7</v>
      </c>
      <c r="E507" s="15">
        <f>+SUMIF('GE16FEB14 Unfudged'!$A$2:$A$498, $A507, 'GE16FEB14 Unfudged'!$D$2:$D$498)</f>
        <v>70</v>
      </c>
      <c r="F507" s="15">
        <f>+SUMIF('GE16FEB14 Unfudged'!$A$2:$A$498, 'Tax Bill Summary'!$A507, 'GE16FEB14 Unfudged'!E$2:E$498)</f>
        <v>7835</v>
      </c>
      <c r="G507" s="13">
        <f>+SUMIF('GE16FEB14 Unfudged'!$A$2:$A$498, 'Tax Bill Summary'!$A507, 'GE16FEB14 Unfudged'!F$2:F$498)</f>
        <v>0</v>
      </c>
      <c r="H507" s="56">
        <f t="shared" si="287"/>
        <v>7835</v>
      </c>
      <c r="I507" s="51">
        <f>+SUMIF('GE16FEB14 Unfudged'!$A$2:$A$498, 'Tax Bill Summary'!$A507, 'GE16FEB14 Unfudged'!G$2:G$498)</f>
        <v>0</v>
      </c>
      <c r="J507" s="13">
        <f>+SUMIF('GE16FEB14 Unfudged'!$A$2:$A$498, 'Tax Bill Summary'!$A507, 'GE16FEB14 Unfudged'!H$2:H$498)</f>
        <v>0</v>
      </c>
      <c r="K507" s="56">
        <f t="shared" si="288"/>
        <v>0</v>
      </c>
      <c r="L507" s="51">
        <f>+SUMIF('GE16FEB14 Unfudged'!$A$2:$A$498, 'Tax Bill Summary'!$A507, 'GE16FEB14 Unfudged'!I$2:IF$498)</f>
        <v>0</v>
      </c>
      <c r="M507" s="13">
        <f>+SUMIF('GE16FEB14 Unfudged'!$A$2:$A$498, 'Tax Bill Summary'!$A507, 'GE16FEB14 Unfudged'!J$2:IG$498)</f>
        <v>0</v>
      </c>
      <c r="N507" s="56">
        <f t="shared" si="289"/>
        <v>0</v>
      </c>
      <c r="O507" s="51">
        <f t="shared" si="290"/>
        <v>7835</v>
      </c>
      <c r="P507" s="13">
        <f t="shared" si="291"/>
        <v>0</v>
      </c>
      <c r="Q507" s="56">
        <f t="shared" si="292"/>
        <v>7835</v>
      </c>
      <c r="R507" s="13">
        <f t="shared" si="293"/>
        <v>111.92857142857143</v>
      </c>
      <c r="S507" s="13">
        <f t="shared" si="294"/>
        <v>0</v>
      </c>
      <c r="T507" s="16">
        <f t="shared" si="295"/>
        <v>111.92857142857143</v>
      </c>
      <c r="U507" s="15">
        <f>+SUMIF('GE16FEB14 Tax Bill Unfudged'!$A$2:$A$498, 'Tax Bill Summary'!$A507, 'GE16FEB14 Tax Bill Unfudged'!E$2:E$498)</f>
        <v>8027</v>
      </c>
      <c r="V507" s="13">
        <f>+SUMIF('GE16FEB14 Tax Bill Unfudged'!$A$2:$A$498, 'Tax Bill Summary'!$A507, 'GE16FEB14 Tax Bill Unfudged'!F$2:F$498)</f>
        <v>0</v>
      </c>
      <c r="W507" s="56">
        <f t="shared" si="296"/>
        <v>8027</v>
      </c>
      <c r="X507" s="51">
        <f>+SUMIF('GE16FEB14 Tax Bill Unfudged'!$A$2:$A$498, 'Tax Bill Summary'!$A507, 'GE16FEB14 Tax Bill Unfudged'!G$2:G$498)</f>
        <v>0</v>
      </c>
      <c r="Y507" s="13">
        <f>+SUMIF('GE16FEB14 Tax Bill Unfudged'!$A$2:$A$498, 'Tax Bill Summary'!$A507, 'GE16FEB14 Tax Bill Unfudged'!H$2:H$498)</f>
        <v>0</v>
      </c>
      <c r="Z507" s="56">
        <f t="shared" si="297"/>
        <v>0</v>
      </c>
      <c r="AA507" s="51">
        <f>+SUMIF('GE16FEB14 Tax Bill Unfudged'!$A$2:$A$498, 'Tax Bill Summary'!$A507, 'GE16FEB14 Tax Bill Unfudged'!I$2:I$498)</f>
        <v>0</v>
      </c>
      <c r="AB507" s="13">
        <f>+SUMIF('GE16FEB14 Tax Bill Unfudged'!$A$2:$A$498, 'Tax Bill Summary'!$A507, 'GE16FEB14 Tax Bill Unfudged'!J$2:J$498)</f>
        <v>0</v>
      </c>
      <c r="AC507" s="56">
        <f t="shared" si="298"/>
        <v>0</v>
      </c>
      <c r="AD507" s="51">
        <f t="shared" si="299"/>
        <v>8027</v>
      </c>
      <c r="AE507" s="13">
        <f t="shared" si="300"/>
        <v>0</v>
      </c>
      <c r="AF507" s="56">
        <f t="shared" si="301"/>
        <v>8027</v>
      </c>
      <c r="AG507" s="13">
        <f t="shared" si="302"/>
        <v>114.67142857142858</v>
      </c>
      <c r="AH507" s="13">
        <f t="shared" si="303"/>
        <v>0</v>
      </c>
      <c r="AI507" s="16">
        <f t="shared" si="304"/>
        <v>114.67142857142858</v>
      </c>
      <c r="AJ507" s="15">
        <f t="shared" si="305"/>
        <v>192</v>
      </c>
      <c r="AK507" s="13">
        <f t="shared" si="306"/>
        <v>0</v>
      </c>
      <c r="AL507" s="56">
        <f t="shared" si="307"/>
        <v>192</v>
      </c>
      <c r="AM507" s="51">
        <f t="shared" si="308"/>
        <v>0</v>
      </c>
      <c r="AN507" s="13">
        <f t="shared" si="309"/>
        <v>0</v>
      </c>
      <c r="AO507" s="56">
        <f t="shared" si="310"/>
        <v>0</v>
      </c>
      <c r="AP507" s="51">
        <f t="shared" si="311"/>
        <v>0</v>
      </c>
      <c r="AQ507" s="13">
        <f t="shared" si="312"/>
        <v>0</v>
      </c>
      <c r="AR507" s="56">
        <f t="shared" si="313"/>
        <v>0</v>
      </c>
      <c r="AS507" s="51">
        <f t="shared" si="314"/>
        <v>192</v>
      </c>
      <c r="AT507" s="13">
        <f t="shared" si="315"/>
        <v>0</v>
      </c>
      <c r="AU507" s="56">
        <f t="shared" si="316"/>
        <v>192</v>
      </c>
      <c r="AV507" s="13">
        <f t="shared" si="317"/>
        <v>2.7428571428571473</v>
      </c>
      <c r="AW507" s="13">
        <f t="shared" si="318"/>
        <v>0</v>
      </c>
      <c r="AX507" s="16">
        <f t="shared" si="319"/>
        <v>2.7428571428571473</v>
      </c>
    </row>
    <row r="508" spans="1:50" x14ac:dyDescent="0.25">
      <c r="A508" s="20">
        <v>4208</v>
      </c>
      <c r="B508">
        <v>7</v>
      </c>
      <c r="C508" s="23" t="s">
        <v>122</v>
      </c>
      <c r="D508" s="23">
        <v>7</v>
      </c>
      <c r="E508" s="15">
        <f>+SUMIF('GE16FEB14 Unfudged'!$A$2:$A$498, $A508, 'GE16FEB14 Unfudged'!$D$2:$D$498)</f>
        <v>143</v>
      </c>
      <c r="F508" s="15">
        <f>+SUMIF('GE16FEB14 Unfudged'!$A$2:$A$498, 'Tax Bill Summary'!$A508, 'GE16FEB14 Unfudged'!E$2:E$498)</f>
        <v>16047</v>
      </c>
      <c r="G508" s="13">
        <f>+SUMIF('GE16FEB14 Unfudged'!$A$2:$A$498, 'Tax Bill Summary'!$A508, 'GE16FEB14 Unfudged'!F$2:F$498)</f>
        <v>0</v>
      </c>
      <c r="H508" s="56">
        <f t="shared" si="287"/>
        <v>16047</v>
      </c>
      <c r="I508" s="51">
        <f>+SUMIF('GE16FEB14 Unfudged'!$A$2:$A$498, 'Tax Bill Summary'!$A508, 'GE16FEB14 Unfudged'!G$2:G$498)</f>
        <v>0</v>
      </c>
      <c r="J508" s="13">
        <f>+SUMIF('GE16FEB14 Unfudged'!$A$2:$A$498, 'Tax Bill Summary'!$A508, 'GE16FEB14 Unfudged'!H$2:H$498)</f>
        <v>0</v>
      </c>
      <c r="K508" s="56">
        <f t="shared" si="288"/>
        <v>0</v>
      </c>
      <c r="L508" s="51">
        <f>+SUMIF('GE16FEB14 Unfudged'!$A$2:$A$498, 'Tax Bill Summary'!$A508, 'GE16FEB14 Unfudged'!I$2:IF$498)</f>
        <v>0</v>
      </c>
      <c r="M508" s="13">
        <f>+SUMIF('GE16FEB14 Unfudged'!$A$2:$A$498, 'Tax Bill Summary'!$A508, 'GE16FEB14 Unfudged'!J$2:IG$498)</f>
        <v>0</v>
      </c>
      <c r="N508" s="56">
        <f t="shared" si="289"/>
        <v>0</v>
      </c>
      <c r="O508" s="51">
        <f t="shared" si="290"/>
        <v>16047</v>
      </c>
      <c r="P508" s="13">
        <f t="shared" si="291"/>
        <v>0</v>
      </c>
      <c r="Q508" s="56">
        <f t="shared" si="292"/>
        <v>16047</v>
      </c>
      <c r="R508" s="13">
        <f t="shared" si="293"/>
        <v>112.21678321678321</v>
      </c>
      <c r="S508" s="13">
        <f t="shared" si="294"/>
        <v>0</v>
      </c>
      <c r="T508" s="16">
        <f t="shared" si="295"/>
        <v>112.21678321678321</v>
      </c>
      <c r="U508" s="15">
        <f>+SUMIF('GE16FEB14 Tax Bill Unfudged'!$A$2:$A$498, 'Tax Bill Summary'!$A508, 'GE16FEB14 Tax Bill Unfudged'!E$2:E$498)</f>
        <v>16440</v>
      </c>
      <c r="V508" s="13">
        <f>+SUMIF('GE16FEB14 Tax Bill Unfudged'!$A$2:$A$498, 'Tax Bill Summary'!$A508, 'GE16FEB14 Tax Bill Unfudged'!F$2:F$498)</f>
        <v>0</v>
      </c>
      <c r="W508" s="56">
        <f t="shared" si="296"/>
        <v>16440</v>
      </c>
      <c r="X508" s="51">
        <f>+SUMIF('GE16FEB14 Tax Bill Unfudged'!$A$2:$A$498, 'Tax Bill Summary'!$A508, 'GE16FEB14 Tax Bill Unfudged'!G$2:G$498)</f>
        <v>0</v>
      </c>
      <c r="Y508" s="13">
        <f>+SUMIF('GE16FEB14 Tax Bill Unfudged'!$A$2:$A$498, 'Tax Bill Summary'!$A508, 'GE16FEB14 Tax Bill Unfudged'!H$2:H$498)</f>
        <v>0</v>
      </c>
      <c r="Z508" s="56">
        <f t="shared" si="297"/>
        <v>0</v>
      </c>
      <c r="AA508" s="51">
        <f>+SUMIF('GE16FEB14 Tax Bill Unfudged'!$A$2:$A$498, 'Tax Bill Summary'!$A508, 'GE16FEB14 Tax Bill Unfudged'!I$2:I$498)</f>
        <v>0</v>
      </c>
      <c r="AB508" s="13">
        <f>+SUMIF('GE16FEB14 Tax Bill Unfudged'!$A$2:$A$498, 'Tax Bill Summary'!$A508, 'GE16FEB14 Tax Bill Unfudged'!J$2:J$498)</f>
        <v>0</v>
      </c>
      <c r="AC508" s="56">
        <f t="shared" si="298"/>
        <v>0</v>
      </c>
      <c r="AD508" s="51">
        <f t="shared" si="299"/>
        <v>16440</v>
      </c>
      <c r="AE508" s="13">
        <f t="shared" si="300"/>
        <v>0</v>
      </c>
      <c r="AF508" s="56">
        <f t="shared" si="301"/>
        <v>16440</v>
      </c>
      <c r="AG508" s="13">
        <f t="shared" si="302"/>
        <v>114.96503496503496</v>
      </c>
      <c r="AH508" s="13">
        <f t="shared" si="303"/>
        <v>0</v>
      </c>
      <c r="AI508" s="16">
        <f t="shared" si="304"/>
        <v>114.96503496503496</v>
      </c>
      <c r="AJ508" s="15">
        <f t="shared" si="305"/>
        <v>393</v>
      </c>
      <c r="AK508" s="13">
        <f t="shared" si="306"/>
        <v>0</v>
      </c>
      <c r="AL508" s="56">
        <f t="shared" si="307"/>
        <v>393</v>
      </c>
      <c r="AM508" s="51">
        <f t="shared" si="308"/>
        <v>0</v>
      </c>
      <c r="AN508" s="13">
        <f t="shared" si="309"/>
        <v>0</v>
      </c>
      <c r="AO508" s="56">
        <f t="shared" si="310"/>
        <v>0</v>
      </c>
      <c r="AP508" s="51">
        <f t="shared" si="311"/>
        <v>0</v>
      </c>
      <c r="AQ508" s="13">
        <f t="shared" si="312"/>
        <v>0</v>
      </c>
      <c r="AR508" s="56">
        <f t="shared" si="313"/>
        <v>0</v>
      </c>
      <c r="AS508" s="51">
        <f t="shared" si="314"/>
        <v>393</v>
      </c>
      <c r="AT508" s="13">
        <f t="shared" si="315"/>
        <v>0</v>
      </c>
      <c r="AU508" s="56">
        <f t="shared" si="316"/>
        <v>393</v>
      </c>
      <c r="AV508" s="13">
        <f t="shared" si="317"/>
        <v>2.7482517482517466</v>
      </c>
      <c r="AW508" s="13">
        <f t="shared" si="318"/>
        <v>0</v>
      </c>
      <c r="AX508" s="16">
        <f t="shared" si="319"/>
        <v>2.7482517482517466</v>
      </c>
    </row>
    <row r="509" spans="1:50" x14ac:dyDescent="0.25">
      <c r="A509" s="20">
        <v>4209</v>
      </c>
      <c r="B509">
        <v>7</v>
      </c>
      <c r="C509" s="23" t="s">
        <v>123</v>
      </c>
      <c r="D509" s="23">
        <v>7</v>
      </c>
      <c r="E509" s="15">
        <f>+SUMIF('GE16FEB14 Unfudged'!$A$2:$A$498, $A509, 'GE16FEB14 Unfudged'!$D$2:$D$498)</f>
        <v>273</v>
      </c>
      <c r="F509" s="15">
        <f>+SUMIF('GE16FEB14 Unfudged'!$A$2:$A$498, 'Tax Bill Summary'!$A509, 'GE16FEB14 Unfudged'!E$2:E$498)</f>
        <v>30731</v>
      </c>
      <c r="G509" s="13">
        <f>+SUMIF('GE16FEB14 Unfudged'!$A$2:$A$498, 'Tax Bill Summary'!$A509, 'GE16FEB14 Unfudged'!F$2:F$498)</f>
        <v>0</v>
      </c>
      <c r="H509" s="56">
        <f t="shared" si="287"/>
        <v>30731</v>
      </c>
      <c r="I509" s="51">
        <f>+SUMIF('GE16FEB14 Unfudged'!$A$2:$A$498, 'Tax Bill Summary'!$A509, 'GE16FEB14 Unfudged'!G$2:G$498)</f>
        <v>0</v>
      </c>
      <c r="J509" s="13">
        <f>+SUMIF('GE16FEB14 Unfudged'!$A$2:$A$498, 'Tax Bill Summary'!$A509, 'GE16FEB14 Unfudged'!H$2:H$498)</f>
        <v>0</v>
      </c>
      <c r="K509" s="56">
        <f t="shared" si="288"/>
        <v>0</v>
      </c>
      <c r="L509" s="51">
        <f>+SUMIF('GE16FEB14 Unfudged'!$A$2:$A$498, 'Tax Bill Summary'!$A509, 'GE16FEB14 Unfudged'!I$2:IF$498)</f>
        <v>0</v>
      </c>
      <c r="M509" s="13">
        <f>+SUMIF('GE16FEB14 Unfudged'!$A$2:$A$498, 'Tax Bill Summary'!$A509, 'GE16FEB14 Unfudged'!J$2:IG$498)</f>
        <v>0</v>
      </c>
      <c r="N509" s="56">
        <f t="shared" si="289"/>
        <v>0</v>
      </c>
      <c r="O509" s="51">
        <f t="shared" si="290"/>
        <v>30731</v>
      </c>
      <c r="P509" s="13">
        <f t="shared" si="291"/>
        <v>0</v>
      </c>
      <c r="Q509" s="56">
        <f t="shared" si="292"/>
        <v>30731</v>
      </c>
      <c r="R509" s="13">
        <f t="shared" si="293"/>
        <v>112.56776556776556</v>
      </c>
      <c r="S509" s="13">
        <f t="shared" si="294"/>
        <v>0</v>
      </c>
      <c r="T509" s="16">
        <f t="shared" si="295"/>
        <v>112.56776556776556</v>
      </c>
      <c r="U509" s="15">
        <f>+SUMIF('GE16FEB14 Tax Bill Unfudged'!$A$2:$A$498, 'Tax Bill Summary'!$A509, 'GE16FEB14 Tax Bill Unfudged'!E$2:E$498)</f>
        <v>31485</v>
      </c>
      <c r="V509" s="13">
        <f>+SUMIF('GE16FEB14 Tax Bill Unfudged'!$A$2:$A$498, 'Tax Bill Summary'!$A509, 'GE16FEB14 Tax Bill Unfudged'!F$2:F$498)</f>
        <v>0</v>
      </c>
      <c r="W509" s="56">
        <f t="shared" si="296"/>
        <v>31485</v>
      </c>
      <c r="X509" s="51">
        <f>+SUMIF('GE16FEB14 Tax Bill Unfudged'!$A$2:$A$498, 'Tax Bill Summary'!$A509, 'GE16FEB14 Tax Bill Unfudged'!G$2:G$498)</f>
        <v>0</v>
      </c>
      <c r="Y509" s="13">
        <f>+SUMIF('GE16FEB14 Tax Bill Unfudged'!$A$2:$A$498, 'Tax Bill Summary'!$A509, 'GE16FEB14 Tax Bill Unfudged'!H$2:H$498)</f>
        <v>0</v>
      </c>
      <c r="Z509" s="56">
        <f t="shared" si="297"/>
        <v>0</v>
      </c>
      <c r="AA509" s="51">
        <f>+SUMIF('GE16FEB14 Tax Bill Unfudged'!$A$2:$A$498, 'Tax Bill Summary'!$A509, 'GE16FEB14 Tax Bill Unfudged'!I$2:I$498)</f>
        <v>0</v>
      </c>
      <c r="AB509" s="13">
        <f>+SUMIF('GE16FEB14 Tax Bill Unfudged'!$A$2:$A$498, 'Tax Bill Summary'!$A509, 'GE16FEB14 Tax Bill Unfudged'!J$2:J$498)</f>
        <v>0</v>
      </c>
      <c r="AC509" s="56">
        <f t="shared" si="298"/>
        <v>0</v>
      </c>
      <c r="AD509" s="51">
        <f t="shared" si="299"/>
        <v>31485</v>
      </c>
      <c r="AE509" s="13">
        <f t="shared" si="300"/>
        <v>0</v>
      </c>
      <c r="AF509" s="56">
        <f t="shared" si="301"/>
        <v>31485</v>
      </c>
      <c r="AG509" s="13">
        <f t="shared" si="302"/>
        <v>115.32967032967034</v>
      </c>
      <c r="AH509" s="13">
        <f t="shared" si="303"/>
        <v>0</v>
      </c>
      <c r="AI509" s="16">
        <f t="shared" si="304"/>
        <v>115.32967032967034</v>
      </c>
      <c r="AJ509" s="15">
        <f t="shared" si="305"/>
        <v>754</v>
      </c>
      <c r="AK509" s="13">
        <f t="shared" si="306"/>
        <v>0</v>
      </c>
      <c r="AL509" s="56">
        <f t="shared" si="307"/>
        <v>754</v>
      </c>
      <c r="AM509" s="51">
        <f t="shared" si="308"/>
        <v>0</v>
      </c>
      <c r="AN509" s="13">
        <f t="shared" si="309"/>
        <v>0</v>
      </c>
      <c r="AO509" s="56">
        <f t="shared" si="310"/>
        <v>0</v>
      </c>
      <c r="AP509" s="51">
        <f t="shared" si="311"/>
        <v>0</v>
      </c>
      <c r="AQ509" s="13">
        <f t="shared" si="312"/>
        <v>0</v>
      </c>
      <c r="AR509" s="56">
        <f t="shared" si="313"/>
        <v>0</v>
      </c>
      <c r="AS509" s="51">
        <f t="shared" si="314"/>
        <v>754</v>
      </c>
      <c r="AT509" s="13">
        <f t="shared" si="315"/>
        <v>0</v>
      </c>
      <c r="AU509" s="56">
        <f t="shared" si="316"/>
        <v>754</v>
      </c>
      <c r="AV509" s="13">
        <f t="shared" si="317"/>
        <v>2.7619047619047734</v>
      </c>
      <c r="AW509" s="13">
        <f t="shared" si="318"/>
        <v>0</v>
      </c>
      <c r="AX509" s="16">
        <f t="shared" si="319"/>
        <v>2.7619047619047734</v>
      </c>
    </row>
    <row r="510" spans="1:50" x14ac:dyDescent="0.25">
      <c r="A510" s="20">
        <v>4210</v>
      </c>
      <c r="B510">
        <v>7</v>
      </c>
      <c r="C510" s="23" t="s">
        <v>510</v>
      </c>
      <c r="D510" s="23">
        <v>7</v>
      </c>
      <c r="E510" s="15">
        <f>+SUMIF('GE16FEB14 Unfudged'!$A$2:$A$498, $A510, 'GE16FEB14 Unfudged'!$D$2:$D$498)</f>
        <v>182</v>
      </c>
      <c r="F510" s="15">
        <f>+SUMIF('GE16FEB14 Unfudged'!$A$2:$A$498, 'Tax Bill Summary'!$A510, 'GE16FEB14 Unfudged'!E$2:E$498)</f>
        <v>20487</v>
      </c>
      <c r="G510" s="13">
        <f>+SUMIF('GE16FEB14 Unfudged'!$A$2:$A$498, 'Tax Bill Summary'!$A510, 'GE16FEB14 Unfudged'!F$2:F$498)</f>
        <v>0</v>
      </c>
      <c r="H510" s="56">
        <f t="shared" si="287"/>
        <v>20487</v>
      </c>
      <c r="I510" s="51">
        <f>+SUMIF('GE16FEB14 Unfudged'!$A$2:$A$498, 'Tax Bill Summary'!$A510, 'GE16FEB14 Unfudged'!G$2:G$498)</f>
        <v>0</v>
      </c>
      <c r="J510" s="13">
        <f>+SUMIF('GE16FEB14 Unfudged'!$A$2:$A$498, 'Tax Bill Summary'!$A510, 'GE16FEB14 Unfudged'!H$2:H$498)</f>
        <v>0</v>
      </c>
      <c r="K510" s="56">
        <f t="shared" si="288"/>
        <v>0</v>
      </c>
      <c r="L510" s="51">
        <f>+SUMIF('GE16FEB14 Unfudged'!$A$2:$A$498, 'Tax Bill Summary'!$A510, 'GE16FEB14 Unfudged'!I$2:IF$498)</f>
        <v>0</v>
      </c>
      <c r="M510" s="13">
        <f>+SUMIF('GE16FEB14 Unfudged'!$A$2:$A$498, 'Tax Bill Summary'!$A510, 'GE16FEB14 Unfudged'!J$2:IG$498)</f>
        <v>0</v>
      </c>
      <c r="N510" s="56">
        <f t="shared" si="289"/>
        <v>0</v>
      </c>
      <c r="O510" s="51">
        <f t="shared" si="290"/>
        <v>20487</v>
      </c>
      <c r="P510" s="13">
        <f t="shared" si="291"/>
        <v>0</v>
      </c>
      <c r="Q510" s="56">
        <f t="shared" si="292"/>
        <v>20487</v>
      </c>
      <c r="R510" s="13">
        <f t="shared" si="293"/>
        <v>112.56593406593407</v>
      </c>
      <c r="S510" s="13">
        <f t="shared" si="294"/>
        <v>0</v>
      </c>
      <c r="T510" s="16">
        <f t="shared" si="295"/>
        <v>112.56593406593407</v>
      </c>
      <c r="U510" s="15">
        <f>+SUMIF('GE16FEB14 Tax Bill Unfudged'!$A$2:$A$498, 'Tax Bill Summary'!$A510, 'GE16FEB14 Tax Bill Unfudged'!E$2:E$498)</f>
        <v>20990</v>
      </c>
      <c r="V510" s="13">
        <f>+SUMIF('GE16FEB14 Tax Bill Unfudged'!$A$2:$A$498, 'Tax Bill Summary'!$A510, 'GE16FEB14 Tax Bill Unfudged'!F$2:F$498)</f>
        <v>0</v>
      </c>
      <c r="W510" s="56">
        <f t="shared" si="296"/>
        <v>20990</v>
      </c>
      <c r="X510" s="51">
        <f>+SUMIF('GE16FEB14 Tax Bill Unfudged'!$A$2:$A$498, 'Tax Bill Summary'!$A510, 'GE16FEB14 Tax Bill Unfudged'!G$2:G$498)</f>
        <v>0</v>
      </c>
      <c r="Y510" s="13">
        <f>+SUMIF('GE16FEB14 Tax Bill Unfudged'!$A$2:$A$498, 'Tax Bill Summary'!$A510, 'GE16FEB14 Tax Bill Unfudged'!H$2:H$498)</f>
        <v>0</v>
      </c>
      <c r="Z510" s="56">
        <f t="shared" si="297"/>
        <v>0</v>
      </c>
      <c r="AA510" s="51">
        <f>+SUMIF('GE16FEB14 Tax Bill Unfudged'!$A$2:$A$498, 'Tax Bill Summary'!$A510, 'GE16FEB14 Tax Bill Unfudged'!I$2:I$498)</f>
        <v>0</v>
      </c>
      <c r="AB510" s="13">
        <f>+SUMIF('GE16FEB14 Tax Bill Unfudged'!$A$2:$A$498, 'Tax Bill Summary'!$A510, 'GE16FEB14 Tax Bill Unfudged'!J$2:J$498)</f>
        <v>0</v>
      </c>
      <c r="AC510" s="56">
        <f t="shared" si="298"/>
        <v>0</v>
      </c>
      <c r="AD510" s="51">
        <f t="shared" si="299"/>
        <v>20990</v>
      </c>
      <c r="AE510" s="13">
        <f t="shared" si="300"/>
        <v>0</v>
      </c>
      <c r="AF510" s="56">
        <f t="shared" si="301"/>
        <v>20990</v>
      </c>
      <c r="AG510" s="13">
        <f t="shared" si="302"/>
        <v>115.32967032967034</v>
      </c>
      <c r="AH510" s="13">
        <f t="shared" si="303"/>
        <v>0</v>
      </c>
      <c r="AI510" s="16">
        <f t="shared" si="304"/>
        <v>115.32967032967034</v>
      </c>
      <c r="AJ510" s="15">
        <f t="shared" si="305"/>
        <v>503</v>
      </c>
      <c r="AK510" s="13">
        <f t="shared" si="306"/>
        <v>0</v>
      </c>
      <c r="AL510" s="56">
        <f t="shared" si="307"/>
        <v>503</v>
      </c>
      <c r="AM510" s="51">
        <f t="shared" si="308"/>
        <v>0</v>
      </c>
      <c r="AN510" s="13">
        <f t="shared" si="309"/>
        <v>0</v>
      </c>
      <c r="AO510" s="56">
        <f t="shared" si="310"/>
        <v>0</v>
      </c>
      <c r="AP510" s="51">
        <f t="shared" si="311"/>
        <v>0</v>
      </c>
      <c r="AQ510" s="13">
        <f t="shared" si="312"/>
        <v>0</v>
      </c>
      <c r="AR510" s="56">
        <f t="shared" si="313"/>
        <v>0</v>
      </c>
      <c r="AS510" s="51">
        <f t="shared" si="314"/>
        <v>503</v>
      </c>
      <c r="AT510" s="13">
        <f t="shared" si="315"/>
        <v>0</v>
      </c>
      <c r="AU510" s="56">
        <f t="shared" si="316"/>
        <v>503</v>
      </c>
      <c r="AV510" s="13">
        <f t="shared" si="317"/>
        <v>2.7637362637362628</v>
      </c>
      <c r="AW510" s="13">
        <f t="shared" si="318"/>
        <v>0</v>
      </c>
      <c r="AX510" s="16">
        <f t="shared" si="319"/>
        <v>2.7637362637362628</v>
      </c>
    </row>
    <row r="511" spans="1:50" x14ac:dyDescent="0.25">
      <c r="A511" s="20">
        <v>4211</v>
      </c>
      <c r="B511">
        <v>7</v>
      </c>
      <c r="C511" s="23" t="s">
        <v>511</v>
      </c>
      <c r="D511" s="23">
        <v>7</v>
      </c>
      <c r="E511" s="15">
        <f>+SUMIF('GE16FEB14 Unfudged'!$A$2:$A$498, $A511, 'GE16FEB14 Unfudged'!$D$2:$D$498)</f>
        <v>49</v>
      </c>
      <c r="F511" s="15">
        <f>+SUMIF('GE16FEB14 Unfudged'!$A$2:$A$498, 'Tax Bill Summary'!$A511, 'GE16FEB14 Unfudged'!E$2:E$498)</f>
        <v>5516</v>
      </c>
      <c r="G511" s="13">
        <f>+SUMIF('GE16FEB14 Unfudged'!$A$2:$A$498, 'Tax Bill Summary'!$A511, 'GE16FEB14 Unfudged'!F$2:F$498)</f>
        <v>0</v>
      </c>
      <c r="H511" s="56">
        <f t="shared" si="287"/>
        <v>5516</v>
      </c>
      <c r="I511" s="51">
        <f>+SUMIF('GE16FEB14 Unfudged'!$A$2:$A$498, 'Tax Bill Summary'!$A511, 'GE16FEB14 Unfudged'!G$2:G$498)</f>
        <v>0</v>
      </c>
      <c r="J511" s="13">
        <f>+SUMIF('GE16FEB14 Unfudged'!$A$2:$A$498, 'Tax Bill Summary'!$A511, 'GE16FEB14 Unfudged'!H$2:H$498)</f>
        <v>0</v>
      </c>
      <c r="K511" s="56">
        <f t="shared" si="288"/>
        <v>0</v>
      </c>
      <c r="L511" s="51">
        <f>+SUMIF('GE16FEB14 Unfudged'!$A$2:$A$498, 'Tax Bill Summary'!$A511, 'GE16FEB14 Unfudged'!I$2:IF$498)</f>
        <v>0</v>
      </c>
      <c r="M511" s="13">
        <f>+SUMIF('GE16FEB14 Unfudged'!$A$2:$A$498, 'Tax Bill Summary'!$A511, 'GE16FEB14 Unfudged'!J$2:IG$498)</f>
        <v>0</v>
      </c>
      <c r="N511" s="56">
        <f t="shared" si="289"/>
        <v>0</v>
      </c>
      <c r="O511" s="51">
        <f t="shared" si="290"/>
        <v>5516</v>
      </c>
      <c r="P511" s="13">
        <f t="shared" si="291"/>
        <v>0</v>
      </c>
      <c r="Q511" s="56">
        <f t="shared" si="292"/>
        <v>5516</v>
      </c>
      <c r="R511" s="13">
        <f t="shared" si="293"/>
        <v>112.57142857142857</v>
      </c>
      <c r="S511" s="13">
        <f t="shared" si="294"/>
        <v>0</v>
      </c>
      <c r="T511" s="16">
        <f t="shared" si="295"/>
        <v>112.57142857142857</v>
      </c>
      <c r="U511" s="15">
        <f>+SUMIF('GE16FEB14 Tax Bill Unfudged'!$A$2:$A$498, 'Tax Bill Summary'!$A511, 'GE16FEB14 Tax Bill Unfudged'!E$2:E$498)</f>
        <v>5651</v>
      </c>
      <c r="V511" s="13">
        <f>+SUMIF('GE16FEB14 Tax Bill Unfudged'!$A$2:$A$498, 'Tax Bill Summary'!$A511, 'GE16FEB14 Tax Bill Unfudged'!F$2:F$498)</f>
        <v>0</v>
      </c>
      <c r="W511" s="56">
        <f t="shared" si="296"/>
        <v>5651</v>
      </c>
      <c r="X511" s="51">
        <f>+SUMIF('GE16FEB14 Tax Bill Unfudged'!$A$2:$A$498, 'Tax Bill Summary'!$A511, 'GE16FEB14 Tax Bill Unfudged'!G$2:G$498)</f>
        <v>0</v>
      </c>
      <c r="Y511" s="13">
        <f>+SUMIF('GE16FEB14 Tax Bill Unfudged'!$A$2:$A$498, 'Tax Bill Summary'!$A511, 'GE16FEB14 Tax Bill Unfudged'!H$2:H$498)</f>
        <v>0</v>
      </c>
      <c r="Z511" s="56">
        <f t="shared" si="297"/>
        <v>0</v>
      </c>
      <c r="AA511" s="51">
        <f>+SUMIF('GE16FEB14 Tax Bill Unfudged'!$A$2:$A$498, 'Tax Bill Summary'!$A511, 'GE16FEB14 Tax Bill Unfudged'!I$2:I$498)</f>
        <v>0</v>
      </c>
      <c r="AB511" s="13">
        <f>+SUMIF('GE16FEB14 Tax Bill Unfudged'!$A$2:$A$498, 'Tax Bill Summary'!$A511, 'GE16FEB14 Tax Bill Unfudged'!J$2:J$498)</f>
        <v>0</v>
      </c>
      <c r="AC511" s="56">
        <f t="shared" si="298"/>
        <v>0</v>
      </c>
      <c r="AD511" s="51">
        <f t="shared" si="299"/>
        <v>5651</v>
      </c>
      <c r="AE511" s="13">
        <f t="shared" si="300"/>
        <v>0</v>
      </c>
      <c r="AF511" s="56">
        <f t="shared" si="301"/>
        <v>5651</v>
      </c>
      <c r="AG511" s="13">
        <f t="shared" si="302"/>
        <v>115.32653061224489</v>
      </c>
      <c r="AH511" s="13">
        <f t="shared" si="303"/>
        <v>0</v>
      </c>
      <c r="AI511" s="16">
        <f t="shared" si="304"/>
        <v>115.32653061224489</v>
      </c>
      <c r="AJ511" s="15">
        <f t="shared" si="305"/>
        <v>135</v>
      </c>
      <c r="AK511" s="13">
        <f t="shared" si="306"/>
        <v>0</v>
      </c>
      <c r="AL511" s="56">
        <f t="shared" si="307"/>
        <v>135</v>
      </c>
      <c r="AM511" s="51">
        <f t="shared" si="308"/>
        <v>0</v>
      </c>
      <c r="AN511" s="13">
        <f t="shared" si="309"/>
        <v>0</v>
      </c>
      <c r="AO511" s="56">
        <f t="shared" si="310"/>
        <v>0</v>
      </c>
      <c r="AP511" s="51">
        <f t="shared" si="311"/>
        <v>0</v>
      </c>
      <c r="AQ511" s="13">
        <f t="shared" si="312"/>
        <v>0</v>
      </c>
      <c r="AR511" s="56">
        <f t="shared" si="313"/>
        <v>0</v>
      </c>
      <c r="AS511" s="51">
        <f t="shared" si="314"/>
        <v>135</v>
      </c>
      <c r="AT511" s="13">
        <f t="shared" si="315"/>
        <v>0</v>
      </c>
      <c r="AU511" s="56">
        <f t="shared" si="316"/>
        <v>135</v>
      </c>
      <c r="AV511" s="13">
        <f t="shared" si="317"/>
        <v>2.7551020408163254</v>
      </c>
      <c r="AW511" s="13">
        <f t="shared" si="318"/>
        <v>0</v>
      </c>
      <c r="AX511" s="16">
        <f t="shared" si="319"/>
        <v>2.7551020408163254</v>
      </c>
    </row>
    <row r="512" spans="1:50" x14ac:dyDescent="0.25">
      <c r="A512" s="20">
        <v>4212</v>
      </c>
      <c r="B512">
        <v>7</v>
      </c>
      <c r="C512" s="23" t="s">
        <v>512</v>
      </c>
      <c r="D512" s="23">
        <v>7</v>
      </c>
      <c r="E512" s="15">
        <f>+SUMIF('GE16FEB14 Unfudged'!$A$2:$A$498, $A512, 'GE16FEB14 Unfudged'!$D$2:$D$498)</f>
        <v>96</v>
      </c>
      <c r="F512" s="15">
        <f>+SUMIF('GE16FEB14 Unfudged'!$A$2:$A$498, 'Tax Bill Summary'!$A512, 'GE16FEB14 Unfudged'!E$2:E$498)</f>
        <v>10807</v>
      </c>
      <c r="G512" s="13">
        <f>+SUMIF('GE16FEB14 Unfudged'!$A$2:$A$498, 'Tax Bill Summary'!$A512, 'GE16FEB14 Unfudged'!F$2:F$498)</f>
        <v>0</v>
      </c>
      <c r="H512" s="56">
        <f t="shared" si="287"/>
        <v>10807</v>
      </c>
      <c r="I512" s="51">
        <f>+SUMIF('GE16FEB14 Unfudged'!$A$2:$A$498, 'Tax Bill Summary'!$A512, 'GE16FEB14 Unfudged'!G$2:G$498)</f>
        <v>0</v>
      </c>
      <c r="J512" s="13">
        <f>+SUMIF('GE16FEB14 Unfudged'!$A$2:$A$498, 'Tax Bill Summary'!$A512, 'GE16FEB14 Unfudged'!H$2:H$498)</f>
        <v>0</v>
      </c>
      <c r="K512" s="56">
        <f t="shared" si="288"/>
        <v>0</v>
      </c>
      <c r="L512" s="51">
        <f>+SUMIF('GE16FEB14 Unfudged'!$A$2:$A$498, 'Tax Bill Summary'!$A512, 'GE16FEB14 Unfudged'!I$2:IF$498)</f>
        <v>0</v>
      </c>
      <c r="M512" s="13">
        <f>+SUMIF('GE16FEB14 Unfudged'!$A$2:$A$498, 'Tax Bill Summary'!$A512, 'GE16FEB14 Unfudged'!J$2:IG$498)</f>
        <v>0</v>
      </c>
      <c r="N512" s="56">
        <f t="shared" si="289"/>
        <v>0</v>
      </c>
      <c r="O512" s="51">
        <f t="shared" si="290"/>
        <v>10807</v>
      </c>
      <c r="P512" s="13">
        <f t="shared" si="291"/>
        <v>0</v>
      </c>
      <c r="Q512" s="56">
        <f t="shared" si="292"/>
        <v>10807</v>
      </c>
      <c r="R512" s="13">
        <f t="shared" si="293"/>
        <v>112.57291666666667</v>
      </c>
      <c r="S512" s="13">
        <f t="shared" si="294"/>
        <v>0</v>
      </c>
      <c r="T512" s="16">
        <f t="shared" si="295"/>
        <v>112.57291666666667</v>
      </c>
      <c r="U512" s="15">
        <f>+SUMIF('GE16FEB14 Tax Bill Unfudged'!$A$2:$A$498, 'Tax Bill Summary'!$A512, 'GE16FEB14 Tax Bill Unfudged'!E$2:E$498)</f>
        <v>11071</v>
      </c>
      <c r="V512" s="13">
        <f>+SUMIF('GE16FEB14 Tax Bill Unfudged'!$A$2:$A$498, 'Tax Bill Summary'!$A512, 'GE16FEB14 Tax Bill Unfudged'!F$2:F$498)</f>
        <v>0</v>
      </c>
      <c r="W512" s="56">
        <f t="shared" si="296"/>
        <v>11071</v>
      </c>
      <c r="X512" s="51">
        <f>+SUMIF('GE16FEB14 Tax Bill Unfudged'!$A$2:$A$498, 'Tax Bill Summary'!$A512, 'GE16FEB14 Tax Bill Unfudged'!G$2:G$498)</f>
        <v>0</v>
      </c>
      <c r="Y512" s="13">
        <f>+SUMIF('GE16FEB14 Tax Bill Unfudged'!$A$2:$A$498, 'Tax Bill Summary'!$A512, 'GE16FEB14 Tax Bill Unfudged'!H$2:H$498)</f>
        <v>0</v>
      </c>
      <c r="Z512" s="56">
        <f t="shared" si="297"/>
        <v>0</v>
      </c>
      <c r="AA512" s="51">
        <f>+SUMIF('GE16FEB14 Tax Bill Unfudged'!$A$2:$A$498, 'Tax Bill Summary'!$A512, 'GE16FEB14 Tax Bill Unfudged'!I$2:I$498)</f>
        <v>0</v>
      </c>
      <c r="AB512" s="13">
        <f>+SUMIF('GE16FEB14 Tax Bill Unfudged'!$A$2:$A$498, 'Tax Bill Summary'!$A512, 'GE16FEB14 Tax Bill Unfudged'!J$2:J$498)</f>
        <v>0</v>
      </c>
      <c r="AC512" s="56">
        <f t="shared" si="298"/>
        <v>0</v>
      </c>
      <c r="AD512" s="51">
        <f t="shared" si="299"/>
        <v>11071</v>
      </c>
      <c r="AE512" s="13">
        <f t="shared" si="300"/>
        <v>0</v>
      </c>
      <c r="AF512" s="56">
        <f t="shared" si="301"/>
        <v>11071</v>
      </c>
      <c r="AG512" s="13">
        <f t="shared" si="302"/>
        <v>115.32291666666667</v>
      </c>
      <c r="AH512" s="13">
        <f t="shared" si="303"/>
        <v>0</v>
      </c>
      <c r="AI512" s="16">
        <f t="shared" si="304"/>
        <v>115.32291666666667</v>
      </c>
      <c r="AJ512" s="15">
        <f t="shared" si="305"/>
        <v>264</v>
      </c>
      <c r="AK512" s="13">
        <f t="shared" si="306"/>
        <v>0</v>
      </c>
      <c r="AL512" s="56">
        <f t="shared" si="307"/>
        <v>264</v>
      </c>
      <c r="AM512" s="51">
        <f t="shared" si="308"/>
        <v>0</v>
      </c>
      <c r="AN512" s="13">
        <f t="shared" si="309"/>
        <v>0</v>
      </c>
      <c r="AO512" s="56">
        <f t="shared" si="310"/>
        <v>0</v>
      </c>
      <c r="AP512" s="51">
        <f t="shared" si="311"/>
        <v>0</v>
      </c>
      <c r="AQ512" s="13">
        <f t="shared" si="312"/>
        <v>0</v>
      </c>
      <c r="AR512" s="56">
        <f t="shared" si="313"/>
        <v>0</v>
      </c>
      <c r="AS512" s="51">
        <f t="shared" si="314"/>
        <v>264</v>
      </c>
      <c r="AT512" s="13">
        <f t="shared" si="315"/>
        <v>0</v>
      </c>
      <c r="AU512" s="56">
        <f t="shared" si="316"/>
        <v>264</v>
      </c>
      <c r="AV512" s="13">
        <f t="shared" si="317"/>
        <v>2.75</v>
      </c>
      <c r="AW512" s="13">
        <f t="shared" si="318"/>
        <v>0</v>
      </c>
      <c r="AX512" s="16">
        <f t="shared" si="319"/>
        <v>2.75</v>
      </c>
    </row>
    <row r="513" spans="1:50" x14ac:dyDescent="0.25">
      <c r="A513" s="20">
        <v>4213</v>
      </c>
      <c r="B513">
        <v>7</v>
      </c>
      <c r="C513" s="23" t="s">
        <v>513</v>
      </c>
      <c r="D513" s="23">
        <v>7</v>
      </c>
      <c r="E513" s="15">
        <f>+SUMIF('GE16FEB14 Unfudged'!$A$2:$A$498, $A513, 'GE16FEB14 Unfudged'!$D$2:$D$498)</f>
        <v>35</v>
      </c>
      <c r="F513" s="15">
        <f>+SUMIF('GE16FEB14 Unfudged'!$A$2:$A$498, 'Tax Bill Summary'!$A513, 'GE16FEB14 Unfudged'!E$2:E$498)</f>
        <v>3900</v>
      </c>
      <c r="G513" s="13">
        <f>+SUMIF('GE16FEB14 Unfudged'!$A$2:$A$498, 'Tax Bill Summary'!$A513, 'GE16FEB14 Unfudged'!F$2:F$498)</f>
        <v>0</v>
      </c>
      <c r="H513" s="56">
        <f t="shared" si="287"/>
        <v>3900</v>
      </c>
      <c r="I513" s="51">
        <f>+SUMIF('GE16FEB14 Unfudged'!$A$2:$A$498, 'Tax Bill Summary'!$A513, 'GE16FEB14 Unfudged'!G$2:G$498)</f>
        <v>0</v>
      </c>
      <c r="J513" s="13">
        <f>+SUMIF('GE16FEB14 Unfudged'!$A$2:$A$498, 'Tax Bill Summary'!$A513, 'GE16FEB14 Unfudged'!H$2:H$498)</f>
        <v>0</v>
      </c>
      <c r="K513" s="56">
        <f t="shared" si="288"/>
        <v>0</v>
      </c>
      <c r="L513" s="51">
        <f>+SUMIF('GE16FEB14 Unfudged'!$A$2:$A$498, 'Tax Bill Summary'!$A513, 'GE16FEB14 Unfudged'!I$2:IF$498)</f>
        <v>0</v>
      </c>
      <c r="M513" s="13">
        <f>+SUMIF('GE16FEB14 Unfudged'!$A$2:$A$498, 'Tax Bill Summary'!$A513, 'GE16FEB14 Unfudged'!J$2:IG$498)</f>
        <v>0</v>
      </c>
      <c r="N513" s="56">
        <f t="shared" si="289"/>
        <v>0</v>
      </c>
      <c r="O513" s="51">
        <f t="shared" si="290"/>
        <v>3900</v>
      </c>
      <c r="P513" s="13">
        <f t="shared" si="291"/>
        <v>0</v>
      </c>
      <c r="Q513" s="56">
        <f t="shared" si="292"/>
        <v>3900</v>
      </c>
      <c r="R513" s="13">
        <f t="shared" si="293"/>
        <v>111.42857142857143</v>
      </c>
      <c r="S513" s="13">
        <f t="shared" si="294"/>
        <v>0</v>
      </c>
      <c r="T513" s="16">
        <f t="shared" si="295"/>
        <v>111.42857142857143</v>
      </c>
      <c r="U513" s="15">
        <f>+SUMIF('GE16FEB14 Tax Bill Unfudged'!$A$2:$A$498, 'Tax Bill Summary'!$A513, 'GE16FEB14 Tax Bill Unfudged'!E$2:E$498)</f>
        <v>3996</v>
      </c>
      <c r="V513" s="13">
        <f>+SUMIF('GE16FEB14 Tax Bill Unfudged'!$A$2:$A$498, 'Tax Bill Summary'!$A513, 'GE16FEB14 Tax Bill Unfudged'!F$2:F$498)</f>
        <v>0</v>
      </c>
      <c r="W513" s="56">
        <f t="shared" si="296"/>
        <v>3996</v>
      </c>
      <c r="X513" s="51">
        <f>+SUMIF('GE16FEB14 Tax Bill Unfudged'!$A$2:$A$498, 'Tax Bill Summary'!$A513, 'GE16FEB14 Tax Bill Unfudged'!G$2:G$498)</f>
        <v>0</v>
      </c>
      <c r="Y513" s="13">
        <f>+SUMIF('GE16FEB14 Tax Bill Unfudged'!$A$2:$A$498, 'Tax Bill Summary'!$A513, 'GE16FEB14 Tax Bill Unfudged'!H$2:H$498)</f>
        <v>0</v>
      </c>
      <c r="Z513" s="56">
        <f t="shared" si="297"/>
        <v>0</v>
      </c>
      <c r="AA513" s="51">
        <f>+SUMIF('GE16FEB14 Tax Bill Unfudged'!$A$2:$A$498, 'Tax Bill Summary'!$A513, 'GE16FEB14 Tax Bill Unfudged'!I$2:I$498)</f>
        <v>0</v>
      </c>
      <c r="AB513" s="13">
        <f>+SUMIF('GE16FEB14 Tax Bill Unfudged'!$A$2:$A$498, 'Tax Bill Summary'!$A513, 'GE16FEB14 Tax Bill Unfudged'!J$2:J$498)</f>
        <v>0</v>
      </c>
      <c r="AC513" s="56">
        <f t="shared" si="298"/>
        <v>0</v>
      </c>
      <c r="AD513" s="51">
        <f t="shared" si="299"/>
        <v>3996</v>
      </c>
      <c r="AE513" s="13">
        <f t="shared" si="300"/>
        <v>0</v>
      </c>
      <c r="AF513" s="56">
        <f t="shared" si="301"/>
        <v>3996</v>
      </c>
      <c r="AG513" s="13">
        <f t="shared" si="302"/>
        <v>114.17142857142858</v>
      </c>
      <c r="AH513" s="13">
        <f t="shared" si="303"/>
        <v>0</v>
      </c>
      <c r="AI513" s="16">
        <f t="shared" si="304"/>
        <v>114.17142857142858</v>
      </c>
      <c r="AJ513" s="15">
        <f t="shared" si="305"/>
        <v>96</v>
      </c>
      <c r="AK513" s="13">
        <f t="shared" si="306"/>
        <v>0</v>
      </c>
      <c r="AL513" s="56">
        <f t="shared" si="307"/>
        <v>96</v>
      </c>
      <c r="AM513" s="51">
        <f t="shared" si="308"/>
        <v>0</v>
      </c>
      <c r="AN513" s="13">
        <f t="shared" si="309"/>
        <v>0</v>
      </c>
      <c r="AO513" s="56">
        <f t="shared" si="310"/>
        <v>0</v>
      </c>
      <c r="AP513" s="51">
        <f t="shared" si="311"/>
        <v>0</v>
      </c>
      <c r="AQ513" s="13">
        <f t="shared" si="312"/>
        <v>0</v>
      </c>
      <c r="AR513" s="56">
        <f t="shared" si="313"/>
        <v>0</v>
      </c>
      <c r="AS513" s="51">
        <f t="shared" si="314"/>
        <v>96</v>
      </c>
      <c r="AT513" s="13">
        <f t="shared" si="315"/>
        <v>0</v>
      </c>
      <c r="AU513" s="56">
        <f t="shared" si="316"/>
        <v>96</v>
      </c>
      <c r="AV513" s="13">
        <f t="shared" si="317"/>
        <v>2.7428571428571473</v>
      </c>
      <c r="AW513" s="13">
        <f t="shared" si="318"/>
        <v>0</v>
      </c>
      <c r="AX513" s="16">
        <f t="shared" si="319"/>
        <v>2.7428571428571473</v>
      </c>
    </row>
    <row r="514" spans="1:50" x14ac:dyDescent="0.25">
      <c r="A514" s="20">
        <v>4214</v>
      </c>
      <c r="B514">
        <v>7</v>
      </c>
      <c r="C514" s="23" t="s">
        <v>514</v>
      </c>
      <c r="D514" s="23">
        <v>7</v>
      </c>
      <c r="E514" s="15">
        <f>+SUMIF('GE16FEB14 Unfudged'!$A$2:$A$498, $A514, 'GE16FEB14 Unfudged'!$D$2:$D$498)</f>
        <v>34</v>
      </c>
      <c r="F514" s="15">
        <f>+SUMIF('GE16FEB14 Unfudged'!$A$2:$A$498, 'Tax Bill Summary'!$A514, 'GE16FEB14 Unfudged'!E$2:E$498)</f>
        <v>3833</v>
      </c>
      <c r="G514" s="13">
        <f>+SUMIF('GE16FEB14 Unfudged'!$A$2:$A$498, 'Tax Bill Summary'!$A514, 'GE16FEB14 Unfudged'!F$2:F$498)</f>
        <v>0</v>
      </c>
      <c r="H514" s="56">
        <f t="shared" si="287"/>
        <v>3833</v>
      </c>
      <c r="I514" s="51">
        <f>+SUMIF('GE16FEB14 Unfudged'!$A$2:$A$498, 'Tax Bill Summary'!$A514, 'GE16FEB14 Unfudged'!G$2:G$498)</f>
        <v>0</v>
      </c>
      <c r="J514" s="13">
        <f>+SUMIF('GE16FEB14 Unfudged'!$A$2:$A$498, 'Tax Bill Summary'!$A514, 'GE16FEB14 Unfudged'!H$2:H$498)</f>
        <v>0</v>
      </c>
      <c r="K514" s="56">
        <f t="shared" si="288"/>
        <v>0</v>
      </c>
      <c r="L514" s="51">
        <f>+SUMIF('GE16FEB14 Unfudged'!$A$2:$A$498, 'Tax Bill Summary'!$A514, 'GE16FEB14 Unfudged'!I$2:IF$498)</f>
        <v>0</v>
      </c>
      <c r="M514" s="13">
        <f>+SUMIF('GE16FEB14 Unfudged'!$A$2:$A$498, 'Tax Bill Summary'!$A514, 'GE16FEB14 Unfudged'!J$2:IG$498)</f>
        <v>0</v>
      </c>
      <c r="N514" s="56">
        <f t="shared" si="289"/>
        <v>0</v>
      </c>
      <c r="O514" s="51">
        <f t="shared" si="290"/>
        <v>3833</v>
      </c>
      <c r="P514" s="13">
        <f t="shared" si="291"/>
        <v>0</v>
      </c>
      <c r="Q514" s="56">
        <f t="shared" si="292"/>
        <v>3833</v>
      </c>
      <c r="R514" s="13">
        <f t="shared" si="293"/>
        <v>112.73529411764706</v>
      </c>
      <c r="S514" s="13">
        <f t="shared" si="294"/>
        <v>0</v>
      </c>
      <c r="T514" s="16">
        <f t="shared" si="295"/>
        <v>112.73529411764706</v>
      </c>
      <c r="U514" s="15">
        <f>+SUMIF('GE16FEB14 Tax Bill Unfudged'!$A$2:$A$498, 'Tax Bill Summary'!$A514, 'GE16FEB14 Tax Bill Unfudged'!E$2:E$498)</f>
        <v>3927</v>
      </c>
      <c r="V514" s="13">
        <f>+SUMIF('GE16FEB14 Tax Bill Unfudged'!$A$2:$A$498, 'Tax Bill Summary'!$A514, 'GE16FEB14 Tax Bill Unfudged'!F$2:F$498)</f>
        <v>0</v>
      </c>
      <c r="W514" s="56">
        <f t="shared" si="296"/>
        <v>3927</v>
      </c>
      <c r="X514" s="51">
        <f>+SUMIF('GE16FEB14 Tax Bill Unfudged'!$A$2:$A$498, 'Tax Bill Summary'!$A514, 'GE16FEB14 Tax Bill Unfudged'!G$2:G$498)</f>
        <v>0</v>
      </c>
      <c r="Y514" s="13">
        <f>+SUMIF('GE16FEB14 Tax Bill Unfudged'!$A$2:$A$498, 'Tax Bill Summary'!$A514, 'GE16FEB14 Tax Bill Unfudged'!H$2:H$498)</f>
        <v>0</v>
      </c>
      <c r="Z514" s="56">
        <f t="shared" si="297"/>
        <v>0</v>
      </c>
      <c r="AA514" s="51">
        <f>+SUMIF('GE16FEB14 Tax Bill Unfudged'!$A$2:$A$498, 'Tax Bill Summary'!$A514, 'GE16FEB14 Tax Bill Unfudged'!I$2:I$498)</f>
        <v>0</v>
      </c>
      <c r="AB514" s="13">
        <f>+SUMIF('GE16FEB14 Tax Bill Unfudged'!$A$2:$A$498, 'Tax Bill Summary'!$A514, 'GE16FEB14 Tax Bill Unfudged'!J$2:J$498)</f>
        <v>0</v>
      </c>
      <c r="AC514" s="56">
        <f t="shared" si="298"/>
        <v>0</v>
      </c>
      <c r="AD514" s="51">
        <f t="shared" si="299"/>
        <v>3927</v>
      </c>
      <c r="AE514" s="13">
        <f t="shared" si="300"/>
        <v>0</v>
      </c>
      <c r="AF514" s="56">
        <f t="shared" si="301"/>
        <v>3927</v>
      </c>
      <c r="AG514" s="13">
        <f t="shared" si="302"/>
        <v>115.5</v>
      </c>
      <c r="AH514" s="13">
        <f t="shared" si="303"/>
        <v>0</v>
      </c>
      <c r="AI514" s="16">
        <f t="shared" si="304"/>
        <v>115.5</v>
      </c>
      <c r="AJ514" s="15">
        <f t="shared" si="305"/>
        <v>94</v>
      </c>
      <c r="AK514" s="13">
        <f t="shared" si="306"/>
        <v>0</v>
      </c>
      <c r="AL514" s="56">
        <f t="shared" si="307"/>
        <v>94</v>
      </c>
      <c r="AM514" s="51">
        <f t="shared" si="308"/>
        <v>0</v>
      </c>
      <c r="AN514" s="13">
        <f t="shared" si="309"/>
        <v>0</v>
      </c>
      <c r="AO514" s="56">
        <f t="shared" si="310"/>
        <v>0</v>
      </c>
      <c r="AP514" s="51">
        <f t="shared" si="311"/>
        <v>0</v>
      </c>
      <c r="AQ514" s="13">
        <f t="shared" si="312"/>
        <v>0</v>
      </c>
      <c r="AR514" s="56">
        <f t="shared" si="313"/>
        <v>0</v>
      </c>
      <c r="AS514" s="51">
        <f t="shared" si="314"/>
        <v>94</v>
      </c>
      <c r="AT514" s="13">
        <f t="shared" si="315"/>
        <v>0</v>
      </c>
      <c r="AU514" s="56">
        <f t="shared" si="316"/>
        <v>94</v>
      </c>
      <c r="AV514" s="13">
        <f t="shared" si="317"/>
        <v>2.764705882352942</v>
      </c>
      <c r="AW514" s="13">
        <f t="shared" si="318"/>
        <v>0</v>
      </c>
      <c r="AX514" s="16">
        <f t="shared" si="319"/>
        <v>2.764705882352942</v>
      </c>
    </row>
    <row r="515" spans="1:50" x14ac:dyDescent="0.25">
      <c r="A515" s="20">
        <v>4218</v>
      </c>
      <c r="B515">
        <v>7</v>
      </c>
      <c r="C515" s="23" t="s">
        <v>515</v>
      </c>
      <c r="D515" s="23">
        <v>7</v>
      </c>
      <c r="E515" s="15">
        <f>+SUMIF('GE16FEB14 Unfudged'!$A$2:$A$498, $A515, 'GE16FEB14 Unfudged'!$D$2:$D$498)</f>
        <v>121</v>
      </c>
      <c r="F515" s="15">
        <f>+SUMIF('GE16FEB14 Unfudged'!$A$2:$A$498, 'Tax Bill Summary'!$A515, 'GE16FEB14 Unfudged'!E$2:E$498)</f>
        <v>13666</v>
      </c>
      <c r="G515" s="13">
        <f>+SUMIF('GE16FEB14 Unfudged'!$A$2:$A$498, 'Tax Bill Summary'!$A515, 'GE16FEB14 Unfudged'!F$2:F$498)</f>
        <v>0</v>
      </c>
      <c r="H515" s="56">
        <f t="shared" si="287"/>
        <v>13666</v>
      </c>
      <c r="I515" s="51">
        <f>+SUMIF('GE16FEB14 Unfudged'!$A$2:$A$498, 'Tax Bill Summary'!$A515, 'GE16FEB14 Unfudged'!G$2:G$498)</f>
        <v>0</v>
      </c>
      <c r="J515" s="13">
        <f>+SUMIF('GE16FEB14 Unfudged'!$A$2:$A$498, 'Tax Bill Summary'!$A515, 'GE16FEB14 Unfudged'!H$2:H$498)</f>
        <v>0</v>
      </c>
      <c r="K515" s="56">
        <f t="shared" si="288"/>
        <v>0</v>
      </c>
      <c r="L515" s="51">
        <f>+SUMIF('GE16FEB14 Unfudged'!$A$2:$A$498, 'Tax Bill Summary'!$A515, 'GE16FEB14 Unfudged'!I$2:IF$498)</f>
        <v>0</v>
      </c>
      <c r="M515" s="13">
        <f>+SUMIF('GE16FEB14 Unfudged'!$A$2:$A$498, 'Tax Bill Summary'!$A515, 'GE16FEB14 Unfudged'!J$2:IG$498)</f>
        <v>0</v>
      </c>
      <c r="N515" s="56">
        <f t="shared" si="289"/>
        <v>0</v>
      </c>
      <c r="O515" s="51">
        <f t="shared" si="290"/>
        <v>13666</v>
      </c>
      <c r="P515" s="13">
        <f t="shared" si="291"/>
        <v>0</v>
      </c>
      <c r="Q515" s="56">
        <f t="shared" si="292"/>
        <v>13666</v>
      </c>
      <c r="R515" s="13">
        <f t="shared" si="293"/>
        <v>112.94214876033058</v>
      </c>
      <c r="S515" s="13">
        <f t="shared" si="294"/>
        <v>0</v>
      </c>
      <c r="T515" s="16">
        <f t="shared" si="295"/>
        <v>112.94214876033058</v>
      </c>
      <c r="U515" s="15">
        <f>+SUMIF('GE16FEB14 Tax Bill Unfudged'!$A$2:$A$498, 'Tax Bill Summary'!$A515, 'GE16FEB14 Tax Bill Unfudged'!E$2:E$498)</f>
        <v>14001</v>
      </c>
      <c r="V515" s="13">
        <f>+SUMIF('GE16FEB14 Tax Bill Unfudged'!$A$2:$A$498, 'Tax Bill Summary'!$A515, 'GE16FEB14 Tax Bill Unfudged'!F$2:F$498)</f>
        <v>0</v>
      </c>
      <c r="W515" s="56">
        <f t="shared" si="296"/>
        <v>14001</v>
      </c>
      <c r="X515" s="51">
        <f>+SUMIF('GE16FEB14 Tax Bill Unfudged'!$A$2:$A$498, 'Tax Bill Summary'!$A515, 'GE16FEB14 Tax Bill Unfudged'!G$2:G$498)</f>
        <v>0</v>
      </c>
      <c r="Y515" s="13">
        <f>+SUMIF('GE16FEB14 Tax Bill Unfudged'!$A$2:$A$498, 'Tax Bill Summary'!$A515, 'GE16FEB14 Tax Bill Unfudged'!H$2:H$498)</f>
        <v>0</v>
      </c>
      <c r="Z515" s="56">
        <f t="shared" si="297"/>
        <v>0</v>
      </c>
      <c r="AA515" s="51">
        <f>+SUMIF('GE16FEB14 Tax Bill Unfudged'!$A$2:$A$498, 'Tax Bill Summary'!$A515, 'GE16FEB14 Tax Bill Unfudged'!I$2:I$498)</f>
        <v>0</v>
      </c>
      <c r="AB515" s="13">
        <f>+SUMIF('GE16FEB14 Tax Bill Unfudged'!$A$2:$A$498, 'Tax Bill Summary'!$A515, 'GE16FEB14 Tax Bill Unfudged'!J$2:J$498)</f>
        <v>0</v>
      </c>
      <c r="AC515" s="56">
        <f t="shared" si="298"/>
        <v>0</v>
      </c>
      <c r="AD515" s="51">
        <f t="shared" si="299"/>
        <v>14001</v>
      </c>
      <c r="AE515" s="13">
        <f t="shared" si="300"/>
        <v>0</v>
      </c>
      <c r="AF515" s="56">
        <f t="shared" si="301"/>
        <v>14001</v>
      </c>
      <c r="AG515" s="13">
        <f t="shared" si="302"/>
        <v>115.7107438016529</v>
      </c>
      <c r="AH515" s="13">
        <f t="shared" si="303"/>
        <v>0</v>
      </c>
      <c r="AI515" s="16">
        <f t="shared" si="304"/>
        <v>115.7107438016529</v>
      </c>
      <c r="AJ515" s="15">
        <f t="shared" si="305"/>
        <v>335</v>
      </c>
      <c r="AK515" s="13">
        <f t="shared" si="306"/>
        <v>0</v>
      </c>
      <c r="AL515" s="56">
        <f t="shared" si="307"/>
        <v>335</v>
      </c>
      <c r="AM515" s="51">
        <f t="shared" si="308"/>
        <v>0</v>
      </c>
      <c r="AN515" s="13">
        <f t="shared" si="309"/>
        <v>0</v>
      </c>
      <c r="AO515" s="56">
        <f t="shared" si="310"/>
        <v>0</v>
      </c>
      <c r="AP515" s="51">
        <f t="shared" si="311"/>
        <v>0</v>
      </c>
      <c r="AQ515" s="13">
        <f t="shared" si="312"/>
        <v>0</v>
      </c>
      <c r="AR515" s="56">
        <f t="shared" si="313"/>
        <v>0</v>
      </c>
      <c r="AS515" s="51">
        <f t="shared" si="314"/>
        <v>335</v>
      </c>
      <c r="AT515" s="13">
        <f t="shared" si="315"/>
        <v>0</v>
      </c>
      <c r="AU515" s="56">
        <f t="shared" si="316"/>
        <v>335</v>
      </c>
      <c r="AV515" s="13">
        <f t="shared" si="317"/>
        <v>2.7685950413223139</v>
      </c>
      <c r="AW515" s="13">
        <f t="shared" si="318"/>
        <v>0</v>
      </c>
      <c r="AX515" s="16">
        <f t="shared" si="319"/>
        <v>2.7685950413223139</v>
      </c>
    </row>
    <row r="516" spans="1:50" x14ac:dyDescent="0.25">
      <c r="A516" s="20">
        <v>4999</v>
      </c>
      <c r="B516">
        <v>7</v>
      </c>
      <c r="C516" s="23" t="s">
        <v>124</v>
      </c>
      <c r="D516" s="23">
        <v>7</v>
      </c>
      <c r="E516" s="15">
        <f>+SUMIF('GE16FEB14 Unfudged'!$A$2:$A$498, $A516, 'GE16FEB14 Unfudged'!$D$2:$D$498)</f>
        <v>6328</v>
      </c>
      <c r="F516" s="15">
        <f>+SUMIF('GE16FEB14 Unfudged'!$A$2:$A$498, 'Tax Bill Summary'!$A516, 'GE16FEB14 Unfudged'!E$2:E$498)</f>
        <v>900122</v>
      </c>
      <c r="G516" s="13">
        <f>+SUMIF('GE16FEB14 Unfudged'!$A$2:$A$498, 'Tax Bill Summary'!$A516, 'GE16FEB14 Unfudged'!F$2:F$498)</f>
        <v>0</v>
      </c>
      <c r="H516" s="56">
        <f t="shared" si="287"/>
        <v>900122</v>
      </c>
      <c r="I516" s="51">
        <f>+SUMIF('GE16FEB14 Unfudged'!$A$2:$A$498, 'Tax Bill Summary'!$A516, 'GE16FEB14 Unfudged'!G$2:G$498)</f>
        <v>0</v>
      </c>
      <c r="J516" s="13">
        <f>+SUMIF('GE16FEB14 Unfudged'!$A$2:$A$498, 'Tax Bill Summary'!$A516, 'GE16FEB14 Unfudged'!H$2:H$498)</f>
        <v>0</v>
      </c>
      <c r="K516" s="56">
        <f t="shared" si="288"/>
        <v>0</v>
      </c>
      <c r="L516" s="51">
        <f>+SUMIF('GE16FEB14 Unfudged'!$A$2:$A$498, 'Tax Bill Summary'!$A516, 'GE16FEB14 Unfudged'!I$2:IF$498)</f>
        <v>0</v>
      </c>
      <c r="M516" s="13">
        <f>+SUMIF('GE16FEB14 Unfudged'!$A$2:$A$498, 'Tax Bill Summary'!$A516, 'GE16FEB14 Unfudged'!J$2:IG$498)</f>
        <v>0</v>
      </c>
      <c r="N516" s="56">
        <f t="shared" si="289"/>
        <v>0</v>
      </c>
      <c r="O516" s="51">
        <f t="shared" si="290"/>
        <v>900122</v>
      </c>
      <c r="P516" s="13">
        <f t="shared" si="291"/>
        <v>0</v>
      </c>
      <c r="Q516" s="56">
        <f t="shared" si="292"/>
        <v>900122</v>
      </c>
      <c r="R516" s="13">
        <f t="shared" si="293"/>
        <v>142.24431099873578</v>
      </c>
      <c r="S516" s="13">
        <f t="shared" si="294"/>
        <v>0</v>
      </c>
      <c r="T516" s="16">
        <f t="shared" si="295"/>
        <v>142.24431099873578</v>
      </c>
      <c r="U516" s="15">
        <f>+SUMIF('GE16FEB14 Tax Bill Unfudged'!$A$2:$A$498, 'Tax Bill Summary'!$A516, 'GE16FEB14 Tax Bill Unfudged'!E$2:E$498)</f>
        <v>900200</v>
      </c>
      <c r="V516" s="13">
        <f>+SUMIF('GE16FEB14 Tax Bill Unfudged'!$A$2:$A$498, 'Tax Bill Summary'!$A516, 'GE16FEB14 Tax Bill Unfudged'!F$2:F$498)</f>
        <v>0</v>
      </c>
      <c r="W516" s="56">
        <f t="shared" si="296"/>
        <v>900200</v>
      </c>
      <c r="X516" s="51">
        <f>+SUMIF('GE16FEB14 Tax Bill Unfudged'!$A$2:$A$498, 'Tax Bill Summary'!$A516, 'GE16FEB14 Tax Bill Unfudged'!G$2:G$498)</f>
        <v>0</v>
      </c>
      <c r="Y516" s="13">
        <f>+SUMIF('GE16FEB14 Tax Bill Unfudged'!$A$2:$A$498, 'Tax Bill Summary'!$A516, 'GE16FEB14 Tax Bill Unfudged'!H$2:H$498)</f>
        <v>0</v>
      </c>
      <c r="Z516" s="56">
        <f t="shared" si="297"/>
        <v>0</v>
      </c>
      <c r="AA516" s="51">
        <f>+SUMIF('GE16FEB14 Tax Bill Unfudged'!$A$2:$A$498, 'Tax Bill Summary'!$A516, 'GE16FEB14 Tax Bill Unfudged'!I$2:I$498)</f>
        <v>0</v>
      </c>
      <c r="AB516" s="13">
        <f>+SUMIF('GE16FEB14 Tax Bill Unfudged'!$A$2:$A$498, 'Tax Bill Summary'!$A516, 'GE16FEB14 Tax Bill Unfudged'!J$2:J$498)</f>
        <v>0</v>
      </c>
      <c r="AC516" s="56">
        <f t="shared" si="298"/>
        <v>0</v>
      </c>
      <c r="AD516" s="51">
        <f t="shared" si="299"/>
        <v>900200</v>
      </c>
      <c r="AE516" s="13">
        <f t="shared" si="300"/>
        <v>0</v>
      </c>
      <c r="AF516" s="56">
        <f t="shared" si="301"/>
        <v>900200</v>
      </c>
      <c r="AG516" s="13">
        <f t="shared" si="302"/>
        <v>142.25663716814159</v>
      </c>
      <c r="AH516" s="13">
        <f t="shared" si="303"/>
        <v>0</v>
      </c>
      <c r="AI516" s="16">
        <f t="shared" si="304"/>
        <v>142.25663716814159</v>
      </c>
      <c r="AJ516" s="15">
        <f t="shared" si="305"/>
        <v>78</v>
      </c>
      <c r="AK516" s="13">
        <f t="shared" si="306"/>
        <v>0</v>
      </c>
      <c r="AL516" s="56">
        <f t="shared" si="307"/>
        <v>78</v>
      </c>
      <c r="AM516" s="51">
        <f t="shared" si="308"/>
        <v>0</v>
      </c>
      <c r="AN516" s="13">
        <f t="shared" si="309"/>
        <v>0</v>
      </c>
      <c r="AO516" s="56">
        <f t="shared" si="310"/>
        <v>0</v>
      </c>
      <c r="AP516" s="51">
        <f t="shared" si="311"/>
        <v>0</v>
      </c>
      <c r="AQ516" s="13">
        <f t="shared" si="312"/>
        <v>0</v>
      </c>
      <c r="AR516" s="56">
        <f t="shared" si="313"/>
        <v>0</v>
      </c>
      <c r="AS516" s="51">
        <f t="shared" si="314"/>
        <v>78</v>
      </c>
      <c r="AT516" s="13">
        <f t="shared" si="315"/>
        <v>0</v>
      </c>
      <c r="AU516" s="56">
        <f t="shared" si="316"/>
        <v>78</v>
      </c>
      <c r="AV516" s="13">
        <f t="shared" si="317"/>
        <v>1.2326169405810106E-2</v>
      </c>
      <c r="AW516" s="13">
        <f t="shared" si="318"/>
        <v>0</v>
      </c>
      <c r="AX516" s="16">
        <f t="shared" si="319"/>
        <v>1.2326169405810106E-2</v>
      </c>
    </row>
    <row r="517" spans="1:50" ht="15.75" thickBot="1" x14ac:dyDescent="0.3">
      <c r="A517" s="20">
        <v>6000</v>
      </c>
      <c r="B517">
        <v>7</v>
      </c>
      <c r="C517" s="23" t="s">
        <v>516</v>
      </c>
      <c r="D517" s="23">
        <v>24</v>
      </c>
      <c r="E517" s="45">
        <f>+SUMIF('GE16FEB14 Unfudged'!$A$2:$A$498, $A517, 'GE16FEB14 Unfudged'!$D$2:$D$498)</f>
        <v>0</v>
      </c>
      <c r="F517" s="45">
        <f>+SUMIF('GE16FEB14 Unfudged'!$A$2:$A$498, 'Tax Bill Summary'!$A517, 'GE16FEB14 Unfudged'!E$2:E$498)</f>
        <v>0</v>
      </c>
      <c r="G517" s="46">
        <f>+SUMIF('GE16FEB14 Unfudged'!$A$2:$A$498, 'Tax Bill Summary'!$A517, 'GE16FEB14 Unfudged'!F$2:F$498)</f>
        <v>0</v>
      </c>
      <c r="H517" s="57">
        <f t="shared" si="287"/>
        <v>0</v>
      </c>
      <c r="I517" s="52">
        <f>+SUMIF('GE16FEB14 Unfudged'!$A$2:$A$498, 'Tax Bill Summary'!$A517, 'GE16FEB14 Unfudged'!G$2:G$498)</f>
        <v>0</v>
      </c>
      <c r="J517" s="46">
        <f>+SUMIF('GE16FEB14 Unfudged'!$A$2:$A$498, 'Tax Bill Summary'!$A517, 'GE16FEB14 Unfudged'!H$2:H$498)</f>
        <v>0</v>
      </c>
      <c r="K517" s="57">
        <f t="shared" si="288"/>
        <v>0</v>
      </c>
      <c r="L517" s="52">
        <f>+SUMIF('GE16FEB14 Unfudged'!$A$2:$A$498, 'Tax Bill Summary'!$A517, 'GE16FEB14 Unfudged'!I$2:IF$498)</f>
        <v>0</v>
      </c>
      <c r="M517" s="46">
        <f>+SUMIF('GE16FEB14 Unfudged'!$A$2:$A$498, 'Tax Bill Summary'!$A517, 'GE16FEB14 Unfudged'!J$2:IG$498)</f>
        <v>0</v>
      </c>
      <c r="N517" s="57">
        <f t="shared" si="289"/>
        <v>0</v>
      </c>
      <c r="O517" s="52">
        <f t="shared" si="290"/>
        <v>0</v>
      </c>
      <c r="P517" s="46">
        <f t="shared" si="291"/>
        <v>0</v>
      </c>
      <c r="Q517" s="57">
        <f t="shared" si="292"/>
        <v>0</v>
      </c>
      <c r="R517" s="46">
        <f t="shared" si="293"/>
        <v>0</v>
      </c>
      <c r="S517" s="46">
        <f t="shared" si="294"/>
        <v>0</v>
      </c>
      <c r="T517" s="47">
        <f t="shared" si="295"/>
        <v>0</v>
      </c>
      <c r="U517" s="45">
        <f>+SUMIF('GE16FEB14 Tax Bill Unfudged'!$A$2:$A$498, 'Tax Bill Summary'!$A517, 'GE16FEB14 Tax Bill Unfudged'!E$2:E$498)</f>
        <v>0</v>
      </c>
      <c r="V517" s="46">
        <f>+SUMIF('GE16FEB14 Tax Bill Unfudged'!$A$2:$A$498, 'Tax Bill Summary'!$A517, 'GE16FEB14 Tax Bill Unfudged'!F$2:F$498)</f>
        <v>0</v>
      </c>
      <c r="W517" s="57">
        <f t="shared" si="296"/>
        <v>0</v>
      </c>
      <c r="X517" s="52">
        <f>+SUMIF('GE16FEB14 Tax Bill Unfudged'!$A$2:$A$498, 'Tax Bill Summary'!$A517, 'GE16FEB14 Tax Bill Unfudged'!G$2:G$498)</f>
        <v>0</v>
      </c>
      <c r="Y517" s="46">
        <f>+SUMIF('GE16FEB14 Tax Bill Unfudged'!$A$2:$A$498, 'Tax Bill Summary'!$A517, 'GE16FEB14 Tax Bill Unfudged'!H$2:H$498)</f>
        <v>0</v>
      </c>
      <c r="Z517" s="57">
        <f t="shared" si="297"/>
        <v>0</v>
      </c>
      <c r="AA517" s="52">
        <f>+SUMIF('GE16FEB14 Tax Bill Unfudged'!$A$2:$A$498, 'Tax Bill Summary'!$A517, 'GE16FEB14 Tax Bill Unfudged'!I$2:I$498)</f>
        <v>0</v>
      </c>
      <c r="AB517" s="46">
        <f>+SUMIF('GE16FEB14 Tax Bill Unfudged'!$A$2:$A$498, 'Tax Bill Summary'!$A517, 'GE16FEB14 Tax Bill Unfudged'!J$2:J$498)</f>
        <v>0</v>
      </c>
      <c r="AC517" s="57">
        <f t="shared" si="298"/>
        <v>0</v>
      </c>
      <c r="AD517" s="52">
        <f t="shared" si="299"/>
        <v>0</v>
      </c>
      <c r="AE517" s="46">
        <f t="shared" si="300"/>
        <v>0</v>
      </c>
      <c r="AF517" s="57">
        <f t="shared" si="301"/>
        <v>0</v>
      </c>
      <c r="AG517" s="46">
        <f t="shared" si="302"/>
        <v>0</v>
      </c>
      <c r="AH517" s="46">
        <f t="shared" si="303"/>
        <v>0</v>
      </c>
      <c r="AI517" s="47">
        <f t="shared" si="304"/>
        <v>0</v>
      </c>
      <c r="AJ517" s="45">
        <f t="shared" si="305"/>
        <v>0</v>
      </c>
      <c r="AK517" s="46">
        <f t="shared" si="306"/>
        <v>0</v>
      </c>
      <c r="AL517" s="57">
        <f t="shared" si="307"/>
        <v>0</v>
      </c>
      <c r="AM517" s="52">
        <f t="shared" si="308"/>
        <v>0</v>
      </c>
      <c r="AN517" s="46">
        <f t="shared" si="309"/>
        <v>0</v>
      </c>
      <c r="AO517" s="57">
        <f t="shared" si="310"/>
        <v>0</v>
      </c>
      <c r="AP517" s="52">
        <f t="shared" si="311"/>
        <v>0</v>
      </c>
      <c r="AQ517" s="46">
        <f t="shared" si="312"/>
        <v>0</v>
      </c>
      <c r="AR517" s="57">
        <f t="shared" si="313"/>
        <v>0</v>
      </c>
      <c r="AS517" s="52">
        <f t="shared" si="314"/>
        <v>0</v>
      </c>
      <c r="AT517" s="46">
        <f t="shared" si="315"/>
        <v>0</v>
      </c>
      <c r="AU517" s="57">
        <f t="shared" si="316"/>
        <v>0</v>
      </c>
      <c r="AV517" s="46">
        <f t="shared" si="317"/>
        <v>0</v>
      </c>
      <c r="AW517" s="46">
        <f t="shared" si="318"/>
        <v>0</v>
      </c>
      <c r="AX517" s="47">
        <f t="shared" si="319"/>
        <v>0</v>
      </c>
    </row>
  </sheetData>
  <mergeCells count="3">
    <mergeCell ref="AJ2:AX2"/>
    <mergeCell ref="U2:AI2"/>
    <mergeCell ref="F2:T2"/>
  </mergeCells>
  <printOptions gridLines="1"/>
  <pageMargins left="0.25" right="0.25" top="0.75" bottom="0.75" header="0.3" footer="0.3"/>
  <pageSetup scale="85" fitToHeight="0" orientation="landscape" r:id="rId1"/>
  <headerFooter>
    <oddHeader>&amp;LMDE
School Finance Division&amp;C&amp;"-,Bold"FY 2014 Tax Bill Summary&amp;R3/26/2014</oddHeader>
    <oddFooter>&amp;L&amp;Z&amp;F&amp;R&amp;P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"/>
  <sheetViews>
    <sheetView workbookViewId="0">
      <selection activeCell="J2" sqref="J2:J498"/>
    </sheetView>
  </sheetViews>
  <sheetFormatPr defaultRowHeight="15" x14ac:dyDescent="0.25"/>
  <cols>
    <col min="1" max="2" width="5.5703125" bestFit="1" customWidth="1"/>
    <col min="3" max="3" width="45.5703125" bestFit="1" customWidth="1"/>
    <col min="4" max="4" width="9" bestFit="1" customWidth="1"/>
    <col min="5" max="5" width="15.5703125" bestFit="1" customWidth="1"/>
    <col min="6" max="6" width="11.28515625" bestFit="1" customWidth="1"/>
    <col min="7" max="10" width="12.42578125" bestFit="1" customWidth="1"/>
  </cols>
  <sheetData>
    <row r="1" spans="1:10" x14ac:dyDescent="0.25">
      <c r="A1" s="28" t="s">
        <v>456</v>
      </c>
      <c r="B1" s="28" t="s">
        <v>457</v>
      </c>
      <c r="C1" s="29" t="s">
        <v>458</v>
      </c>
      <c r="D1" s="31" t="s">
        <v>517</v>
      </c>
      <c r="E1" s="33" t="s">
        <v>519</v>
      </c>
      <c r="F1" s="39" t="s">
        <v>522</v>
      </c>
      <c r="G1" s="37" t="s">
        <v>521</v>
      </c>
      <c r="H1" s="43" t="s">
        <v>524</v>
      </c>
      <c r="I1" s="35" t="s">
        <v>520</v>
      </c>
      <c r="J1" s="41" t="s">
        <v>523</v>
      </c>
    </row>
    <row r="2" spans="1:10" x14ac:dyDescent="0.25">
      <c r="A2" s="30">
        <v>1</v>
      </c>
      <c r="B2" s="30">
        <v>1</v>
      </c>
      <c r="C2" s="29" t="s">
        <v>139</v>
      </c>
      <c r="D2" s="32">
        <v>1285</v>
      </c>
      <c r="E2" s="34">
        <v>185040</v>
      </c>
      <c r="F2" s="40">
        <v>185040</v>
      </c>
      <c r="G2" s="38">
        <v>0</v>
      </c>
      <c r="H2" s="44">
        <v>0</v>
      </c>
      <c r="I2" s="36">
        <v>385500</v>
      </c>
      <c r="J2" s="42">
        <v>260672</v>
      </c>
    </row>
    <row r="3" spans="1:10" x14ac:dyDescent="0.25">
      <c r="A3" s="30">
        <v>1.2</v>
      </c>
      <c r="B3" s="30">
        <v>3</v>
      </c>
      <c r="C3" s="29" t="s">
        <v>140</v>
      </c>
      <c r="D3" s="32">
        <v>39607</v>
      </c>
      <c r="E3" s="34">
        <v>1980330</v>
      </c>
      <c r="F3" s="40">
        <v>1980330</v>
      </c>
      <c r="G3" s="38">
        <v>16793198</v>
      </c>
      <c r="H3" s="44">
        <v>16793198</v>
      </c>
      <c r="I3" s="36">
        <v>55978780</v>
      </c>
      <c r="J3" s="42">
        <v>52894542</v>
      </c>
    </row>
    <row r="4" spans="1:10" x14ac:dyDescent="0.25">
      <c r="A4" s="30">
        <v>2</v>
      </c>
      <c r="B4" s="30">
        <v>1</v>
      </c>
      <c r="C4" s="29" t="s">
        <v>141</v>
      </c>
      <c r="D4" s="32">
        <v>284</v>
      </c>
      <c r="E4" s="34">
        <v>40889</v>
      </c>
      <c r="F4" s="40">
        <v>22793</v>
      </c>
      <c r="G4" s="38">
        <v>0</v>
      </c>
      <c r="H4" s="44">
        <v>0</v>
      </c>
      <c r="I4" s="36">
        <v>85185</v>
      </c>
      <c r="J4" s="42">
        <v>27520</v>
      </c>
    </row>
    <row r="5" spans="1:10" x14ac:dyDescent="0.25">
      <c r="A5" s="30">
        <v>4</v>
      </c>
      <c r="B5" s="30">
        <v>1</v>
      </c>
      <c r="C5" s="29" t="s">
        <v>142</v>
      </c>
      <c r="D5" s="32">
        <v>434</v>
      </c>
      <c r="E5" s="34">
        <v>62554</v>
      </c>
      <c r="F5" s="40">
        <v>62554</v>
      </c>
      <c r="G5" s="38">
        <v>0</v>
      </c>
      <c r="H5" s="44">
        <v>0</v>
      </c>
      <c r="I5" s="36">
        <v>130320</v>
      </c>
      <c r="J5" s="42">
        <v>77314</v>
      </c>
    </row>
    <row r="6" spans="1:10" x14ac:dyDescent="0.25">
      <c r="A6" s="30">
        <v>6</v>
      </c>
      <c r="B6" s="30">
        <v>3</v>
      </c>
      <c r="C6" s="29" t="s">
        <v>143</v>
      </c>
      <c r="D6" s="32">
        <v>3736</v>
      </c>
      <c r="E6" s="34">
        <v>557934</v>
      </c>
      <c r="F6" s="40">
        <v>396251</v>
      </c>
      <c r="G6" s="38">
        <v>1584234</v>
      </c>
      <c r="H6" s="44">
        <v>1125142</v>
      </c>
      <c r="I6" s="36">
        <v>2005625</v>
      </c>
      <c r="J6" s="42">
        <v>1089699</v>
      </c>
    </row>
    <row r="7" spans="1:10" x14ac:dyDescent="0.25">
      <c r="A7" s="30">
        <v>11</v>
      </c>
      <c r="B7" s="30">
        <v>1</v>
      </c>
      <c r="C7" s="29" t="s">
        <v>144</v>
      </c>
      <c r="D7" s="32">
        <v>39798</v>
      </c>
      <c r="E7" s="34">
        <v>4558334</v>
      </c>
      <c r="F7" s="40">
        <v>3244342</v>
      </c>
      <c r="G7" s="38">
        <v>16874267</v>
      </c>
      <c r="H7" s="44">
        <v>12010067</v>
      </c>
      <c r="I7" s="36">
        <v>39397832</v>
      </c>
      <c r="J7" s="42">
        <v>27106091</v>
      </c>
    </row>
    <row r="8" spans="1:10" x14ac:dyDescent="0.25">
      <c r="A8" s="30">
        <v>12</v>
      </c>
      <c r="B8" s="30">
        <v>1</v>
      </c>
      <c r="C8" s="29" t="s">
        <v>145</v>
      </c>
      <c r="D8" s="32">
        <v>6971</v>
      </c>
      <c r="E8" s="34">
        <v>1079123</v>
      </c>
      <c r="F8" s="40">
        <v>838445</v>
      </c>
      <c r="G8" s="38">
        <v>2955789</v>
      </c>
      <c r="H8" s="44">
        <v>2296557</v>
      </c>
      <c r="I8" s="36">
        <v>3244954</v>
      </c>
      <c r="J8" s="42">
        <v>1838023</v>
      </c>
    </row>
    <row r="9" spans="1:10" x14ac:dyDescent="0.25">
      <c r="A9" s="30">
        <v>13</v>
      </c>
      <c r="B9" s="30">
        <v>1</v>
      </c>
      <c r="C9" s="29" t="s">
        <v>146</v>
      </c>
      <c r="D9" s="32">
        <v>3362</v>
      </c>
      <c r="E9" s="34">
        <v>483364</v>
      </c>
      <c r="F9" s="40">
        <v>360094</v>
      </c>
      <c r="G9" s="38">
        <v>1425361</v>
      </c>
      <c r="H9" s="44">
        <v>1061860</v>
      </c>
      <c r="I9" s="36">
        <v>2047040</v>
      </c>
      <c r="J9" s="42">
        <v>1209102</v>
      </c>
    </row>
    <row r="10" spans="1:10" x14ac:dyDescent="0.25">
      <c r="A10" s="30">
        <v>14</v>
      </c>
      <c r="B10" s="30">
        <v>1</v>
      </c>
      <c r="C10" s="29" t="s">
        <v>147</v>
      </c>
      <c r="D10" s="32">
        <v>3199</v>
      </c>
      <c r="E10" s="34">
        <v>491056</v>
      </c>
      <c r="F10" s="40">
        <v>338747</v>
      </c>
      <c r="G10" s="38">
        <v>1356206</v>
      </c>
      <c r="H10" s="44">
        <v>935555</v>
      </c>
      <c r="I10" s="36">
        <v>1542013</v>
      </c>
      <c r="J10" s="42">
        <v>785411</v>
      </c>
    </row>
    <row r="11" spans="1:10" x14ac:dyDescent="0.25">
      <c r="A11" s="30">
        <v>15</v>
      </c>
      <c r="B11" s="30">
        <v>1</v>
      </c>
      <c r="C11" s="29" t="s">
        <v>148</v>
      </c>
      <c r="D11" s="32">
        <v>4887</v>
      </c>
      <c r="E11" s="34">
        <v>818573</v>
      </c>
      <c r="F11" s="40">
        <v>601361</v>
      </c>
      <c r="G11" s="38">
        <v>2072088</v>
      </c>
      <c r="H11" s="44">
        <v>1522250</v>
      </c>
      <c r="I11" s="36">
        <v>1466100</v>
      </c>
      <c r="J11" s="42">
        <v>624207</v>
      </c>
    </row>
    <row r="12" spans="1:10" x14ac:dyDescent="0.25">
      <c r="A12" s="30">
        <v>16</v>
      </c>
      <c r="B12" s="30">
        <v>1</v>
      </c>
      <c r="C12" s="29" t="s">
        <v>149</v>
      </c>
      <c r="D12" s="32">
        <v>5870</v>
      </c>
      <c r="E12" s="34">
        <v>922757</v>
      </c>
      <c r="F12" s="40">
        <v>898386</v>
      </c>
      <c r="G12" s="38">
        <v>2488689</v>
      </c>
      <c r="H12" s="44">
        <v>2422960</v>
      </c>
      <c r="I12" s="36">
        <v>2547619</v>
      </c>
      <c r="J12" s="42">
        <v>1759524</v>
      </c>
    </row>
    <row r="13" spans="1:10" x14ac:dyDescent="0.25">
      <c r="A13" s="30">
        <v>22</v>
      </c>
      <c r="B13" s="30">
        <v>1</v>
      </c>
      <c r="C13" s="29" t="s">
        <v>150</v>
      </c>
      <c r="D13" s="32">
        <v>3112</v>
      </c>
      <c r="E13" s="34">
        <v>448128</v>
      </c>
      <c r="F13" s="40">
        <v>396125</v>
      </c>
      <c r="G13" s="38">
        <v>659744</v>
      </c>
      <c r="H13" s="44">
        <v>583184</v>
      </c>
      <c r="I13" s="36">
        <v>933600</v>
      </c>
      <c r="J13" s="42">
        <v>478276</v>
      </c>
    </row>
    <row r="14" spans="1:10" x14ac:dyDescent="0.25">
      <c r="A14" s="30">
        <v>23</v>
      </c>
      <c r="B14" s="30">
        <v>1</v>
      </c>
      <c r="C14" s="29" t="s">
        <v>151</v>
      </c>
      <c r="D14" s="32">
        <v>977</v>
      </c>
      <c r="E14" s="34">
        <v>116506</v>
      </c>
      <c r="F14" s="40">
        <v>78340</v>
      </c>
      <c r="G14" s="38">
        <v>0</v>
      </c>
      <c r="H14" s="44">
        <v>0</v>
      </c>
      <c r="I14" s="36">
        <v>819877</v>
      </c>
      <c r="J14" s="42">
        <v>493836</v>
      </c>
    </row>
    <row r="15" spans="1:10" x14ac:dyDescent="0.25">
      <c r="A15" s="30">
        <v>25</v>
      </c>
      <c r="B15" s="30">
        <v>1</v>
      </c>
      <c r="C15" s="29" t="s">
        <v>152</v>
      </c>
      <c r="D15" s="32">
        <v>79</v>
      </c>
      <c r="E15" s="34">
        <v>11347</v>
      </c>
      <c r="F15" s="40">
        <v>0</v>
      </c>
      <c r="G15" s="38">
        <v>0</v>
      </c>
      <c r="H15" s="44">
        <v>0</v>
      </c>
      <c r="I15" s="36">
        <v>23640</v>
      </c>
      <c r="J15" s="42">
        <v>0</v>
      </c>
    </row>
    <row r="16" spans="1:10" x14ac:dyDescent="0.25">
      <c r="A16" s="30">
        <v>31</v>
      </c>
      <c r="B16" s="30">
        <v>1</v>
      </c>
      <c r="C16" s="29" t="s">
        <v>153</v>
      </c>
      <c r="D16" s="32">
        <v>5578</v>
      </c>
      <c r="E16" s="34">
        <v>790067</v>
      </c>
      <c r="F16" s="40">
        <v>573047</v>
      </c>
      <c r="G16" s="38">
        <v>1182536</v>
      </c>
      <c r="H16" s="44">
        <v>857710</v>
      </c>
      <c r="I16" s="36">
        <v>1960555</v>
      </c>
      <c r="J16" s="42">
        <v>911696</v>
      </c>
    </row>
    <row r="17" spans="1:10" x14ac:dyDescent="0.25">
      <c r="A17" s="30">
        <v>32</v>
      </c>
      <c r="B17" s="30">
        <v>1</v>
      </c>
      <c r="C17" s="29" t="s">
        <v>154</v>
      </c>
      <c r="D17" s="32">
        <v>540</v>
      </c>
      <c r="E17" s="34">
        <v>77768</v>
      </c>
      <c r="F17" s="40">
        <v>50535</v>
      </c>
      <c r="G17" s="38">
        <v>0</v>
      </c>
      <c r="H17" s="44">
        <v>0</v>
      </c>
      <c r="I17" s="36">
        <v>162015</v>
      </c>
      <c r="J17" s="42">
        <v>61015</v>
      </c>
    </row>
    <row r="18" spans="1:10" x14ac:dyDescent="0.25">
      <c r="A18" s="30">
        <v>36</v>
      </c>
      <c r="B18" s="30">
        <v>1</v>
      </c>
      <c r="C18" s="29" t="s">
        <v>155</v>
      </c>
      <c r="D18" s="32">
        <v>281</v>
      </c>
      <c r="E18" s="34">
        <v>40435</v>
      </c>
      <c r="F18" s="40">
        <v>20427</v>
      </c>
      <c r="G18" s="38">
        <v>0</v>
      </c>
      <c r="H18" s="44">
        <v>0</v>
      </c>
      <c r="I18" s="36">
        <v>84240</v>
      </c>
      <c r="J18" s="42">
        <v>24663</v>
      </c>
    </row>
    <row r="19" spans="1:10" x14ac:dyDescent="0.25">
      <c r="A19" s="30">
        <v>38</v>
      </c>
      <c r="B19" s="30">
        <v>1</v>
      </c>
      <c r="C19" s="29" t="s">
        <v>156</v>
      </c>
      <c r="D19" s="32">
        <v>1572</v>
      </c>
      <c r="E19" s="34">
        <v>140199</v>
      </c>
      <c r="F19" s="40">
        <v>87</v>
      </c>
      <c r="G19" s="38">
        <v>0</v>
      </c>
      <c r="H19" s="44">
        <v>0</v>
      </c>
      <c r="I19" s="36">
        <v>2352515</v>
      </c>
      <c r="J19" s="42">
        <v>71978</v>
      </c>
    </row>
    <row r="20" spans="1:10" x14ac:dyDescent="0.25">
      <c r="A20" s="30">
        <v>47</v>
      </c>
      <c r="B20" s="30">
        <v>1</v>
      </c>
      <c r="C20" s="29" t="s">
        <v>157</v>
      </c>
      <c r="D20" s="32">
        <v>4346</v>
      </c>
      <c r="E20" s="34">
        <v>625882</v>
      </c>
      <c r="F20" s="40">
        <v>404296</v>
      </c>
      <c r="G20" s="38">
        <v>921437</v>
      </c>
      <c r="H20" s="44">
        <v>595213</v>
      </c>
      <c r="I20" s="36">
        <v>1303920</v>
      </c>
      <c r="J20" s="42">
        <v>488141</v>
      </c>
    </row>
    <row r="21" spans="1:10" x14ac:dyDescent="0.25">
      <c r="A21" s="30">
        <v>51</v>
      </c>
      <c r="B21" s="30">
        <v>1</v>
      </c>
      <c r="C21" s="29" t="s">
        <v>158</v>
      </c>
      <c r="D21" s="32">
        <v>1945</v>
      </c>
      <c r="E21" s="34">
        <v>280030</v>
      </c>
      <c r="F21" s="40">
        <v>138866</v>
      </c>
      <c r="G21" s="38">
        <v>0</v>
      </c>
      <c r="H21" s="44">
        <v>0</v>
      </c>
      <c r="I21" s="36">
        <v>583395</v>
      </c>
      <c r="J21" s="42">
        <v>167664</v>
      </c>
    </row>
    <row r="22" spans="1:10" x14ac:dyDescent="0.25">
      <c r="A22" s="30">
        <v>75</v>
      </c>
      <c r="B22" s="30">
        <v>1</v>
      </c>
      <c r="C22" s="29" t="s">
        <v>159</v>
      </c>
      <c r="D22" s="32">
        <v>696</v>
      </c>
      <c r="E22" s="34">
        <v>90433</v>
      </c>
      <c r="F22" s="40">
        <v>73680</v>
      </c>
      <c r="G22" s="38">
        <v>0</v>
      </c>
      <c r="H22" s="44">
        <v>0</v>
      </c>
      <c r="I22" s="36">
        <v>423732</v>
      </c>
      <c r="J22" s="42">
        <v>273665</v>
      </c>
    </row>
    <row r="23" spans="1:10" x14ac:dyDescent="0.25">
      <c r="A23" s="30">
        <v>77</v>
      </c>
      <c r="B23" s="30">
        <v>1</v>
      </c>
      <c r="C23" s="29" t="s">
        <v>160</v>
      </c>
      <c r="D23" s="32">
        <v>8602</v>
      </c>
      <c r="E23" s="34">
        <v>1143257</v>
      </c>
      <c r="F23" s="40">
        <v>1143257</v>
      </c>
      <c r="G23" s="38">
        <v>1823539</v>
      </c>
      <c r="H23" s="44">
        <v>1823539</v>
      </c>
      <c r="I23" s="36">
        <v>4660777</v>
      </c>
      <c r="J23" s="42">
        <v>3619421</v>
      </c>
    </row>
    <row r="24" spans="1:10" x14ac:dyDescent="0.25">
      <c r="A24" s="30">
        <v>81</v>
      </c>
      <c r="B24" s="30">
        <v>1</v>
      </c>
      <c r="C24" s="29" t="s">
        <v>161</v>
      </c>
      <c r="D24" s="32">
        <v>162</v>
      </c>
      <c r="E24" s="34">
        <v>12770</v>
      </c>
      <c r="F24" s="40">
        <v>5721</v>
      </c>
      <c r="G24" s="38">
        <v>0</v>
      </c>
      <c r="H24" s="44">
        <v>0</v>
      </c>
      <c r="I24" s="36">
        <v>280102</v>
      </c>
      <c r="J24" s="42">
        <v>168388</v>
      </c>
    </row>
    <row r="25" spans="1:10" x14ac:dyDescent="0.25">
      <c r="A25" s="30">
        <v>84</v>
      </c>
      <c r="B25" s="30">
        <v>1</v>
      </c>
      <c r="C25" s="29" t="s">
        <v>162</v>
      </c>
      <c r="D25" s="32">
        <v>596</v>
      </c>
      <c r="E25" s="34">
        <v>85832</v>
      </c>
      <c r="F25" s="40">
        <v>69879</v>
      </c>
      <c r="G25" s="38">
        <v>0</v>
      </c>
      <c r="H25" s="44">
        <v>0</v>
      </c>
      <c r="I25" s="36">
        <v>178815</v>
      </c>
      <c r="J25" s="42">
        <v>84370</v>
      </c>
    </row>
    <row r="26" spans="1:10" x14ac:dyDescent="0.25">
      <c r="A26" s="30">
        <v>85</v>
      </c>
      <c r="B26" s="30">
        <v>1</v>
      </c>
      <c r="C26" s="29" t="s">
        <v>163</v>
      </c>
      <c r="D26" s="32">
        <v>601</v>
      </c>
      <c r="E26" s="34">
        <v>75337</v>
      </c>
      <c r="F26" s="40">
        <v>36736</v>
      </c>
      <c r="G26" s="38">
        <v>0</v>
      </c>
      <c r="H26" s="44">
        <v>0</v>
      </c>
      <c r="I26" s="36">
        <v>425781</v>
      </c>
      <c r="J26" s="42">
        <v>170639</v>
      </c>
    </row>
    <row r="27" spans="1:10" x14ac:dyDescent="0.25">
      <c r="A27" s="30">
        <v>88</v>
      </c>
      <c r="B27" s="30">
        <v>1</v>
      </c>
      <c r="C27" s="29" t="s">
        <v>164</v>
      </c>
      <c r="D27" s="32">
        <v>2169</v>
      </c>
      <c r="E27" s="34">
        <v>193659</v>
      </c>
      <c r="F27" s="40">
        <v>193520</v>
      </c>
      <c r="G27" s="38">
        <v>0</v>
      </c>
      <c r="H27" s="44">
        <v>0</v>
      </c>
      <c r="I27" s="36">
        <v>3238604</v>
      </c>
      <c r="J27" s="42">
        <v>2964054</v>
      </c>
    </row>
    <row r="28" spans="1:10" x14ac:dyDescent="0.25">
      <c r="A28" s="30">
        <v>91</v>
      </c>
      <c r="B28" s="30">
        <v>1</v>
      </c>
      <c r="C28" s="29" t="s">
        <v>165</v>
      </c>
      <c r="D28" s="32">
        <v>877</v>
      </c>
      <c r="E28" s="34">
        <v>126259</v>
      </c>
      <c r="F28" s="40">
        <v>67941</v>
      </c>
      <c r="G28" s="38">
        <v>0</v>
      </c>
      <c r="H28" s="44">
        <v>0</v>
      </c>
      <c r="I28" s="36">
        <v>263040</v>
      </c>
      <c r="J28" s="42">
        <v>82031</v>
      </c>
    </row>
    <row r="29" spans="1:10" x14ac:dyDescent="0.25">
      <c r="A29" s="30">
        <v>93</v>
      </c>
      <c r="B29" s="30">
        <v>1</v>
      </c>
      <c r="C29" s="29" t="s">
        <v>166</v>
      </c>
      <c r="D29" s="32">
        <v>479</v>
      </c>
      <c r="E29" s="34">
        <v>39338</v>
      </c>
      <c r="F29" s="40">
        <v>35101</v>
      </c>
      <c r="G29" s="38">
        <v>0</v>
      </c>
      <c r="H29" s="44">
        <v>0</v>
      </c>
      <c r="I29" s="36">
        <v>790848</v>
      </c>
      <c r="J29" s="42">
        <v>697685</v>
      </c>
    </row>
    <row r="30" spans="1:10" x14ac:dyDescent="0.25">
      <c r="A30" s="30">
        <v>94</v>
      </c>
      <c r="B30" s="30">
        <v>1</v>
      </c>
      <c r="C30" s="29" t="s">
        <v>167</v>
      </c>
      <c r="D30" s="32">
        <v>2887</v>
      </c>
      <c r="E30" s="34">
        <v>415757</v>
      </c>
      <c r="F30" s="40">
        <v>265051</v>
      </c>
      <c r="G30" s="38">
        <v>612086</v>
      </c>
      <c r="H30" s="44">
        <v>390213</v>
      </c>
      <c r="I30" s="36">
        <v>866160</v>
      </c>
      <c r="J30" s="42">
        <v>320018</v>
      </c>
    </row>
    <row r="31" spans="1:10" x14ac:dyDescent="0.25">
      <c r="A31" s="30">
        <v>95</v>
      </c>
      <c r="B31" s="30">
        <v>1</v>
      </c>
      <c r="C31" s="29" t="s">
        <v>168</v>
      </c>
      <c r="D31" s="32">
        <v>349</v>
      </c>
      <c r="E31" s="34">
        <v>50256</v>
      </c>
      <c r="F31" s="40">
        <v>36993</v>
      </c>
      <c r="G31" s="38">
        <v>0</v>
      </c>
      <c r="H31" s="44">
        <v>0</v>
      </c>
      <c r="I31" s="36">
        <v>104700</v>
      </c>
      <c r="J31" s="42">
        <v>44665</v>
      </c>
    </row>
    <row r="32" spans="1:10" x14ac:dyDescent="0.25">
      <c r="A32" s="30">
        <v>97</v>
      </c>
      <c r="B32" s="30">
        <v>1</v>
      </c>
      <c r="C32" s="29" t="s">
        <v>169</v>
      </c>
      <c r="D32" s="32">
        <v>689</v>
      </c>
      <c r="E32" s="34">
        <v>94526</v>
      </c>
      <c r="F32" s="40">
        <v>74829</v>
      </c>
      <c r="G32" s="38">
        <v>0</v>
      </c>
      <c r="H32" s="44">
        <v>0</v>
      </c>
      <c r="I32" s="36">
        <v>307625</v>
      </c>
      <c r="J32" s="42">
        <v>174764</v>
      </c>
    </row>
    <row r="33" spans="1:10" x14ac:dyDescent="0.25">
      <c r="A33" s="30">
        <v>99</v>
      </c>
      <c r="B33" s="30">
        <v>1</v>
      </c>
      <c r="C33" s="29" t="s">
        <v>170</v>
      </c>
      <c r="D33" s="32">
        <v>1309</v>
      </c>
      <c r="E33" s="34">
        <v>187528</v>
      </c>
      <c r="F33" s="40">
        <v>127226</v>
      </c>
      <c r="G33" s="38">
        <v>0</v>
      </c>
      <c r="H33" s="44">
        <v>0</v>
      </c>
      <c r="I33" s="36">
        <v>413123</v>
      </c>
      <c r="J33" s="42">
        <v>168277</v>
      </c>
    </row>
    <row r="34" spans="1:10" x14ac:dyDescent="0.25">
      <c r="A34" s="30">
        <v>100</v>
      </c>
      <c r="B34" s="30">
        <v>1</v>
      </c>
      <c r="C34" s="29" t="s">
        <v>171</v>
      </c>
      <c r="D34" s="32">
        <v>326</v>
      </c>
      <c r="E34" s="34">
        <v>43337</v>
      </c>
      <c r="F34" s="40">
        <v>43337</v>
      </c>
      <c r="G34" s="38">
        <v>0</v>
      </c>
      <c r="H34" s="44">
        <v>0</v>
      </c>
      <c r="I34" s="36">
        <v>175101</v>
      </c>
      <c r="J34" s="42">
        <v>150831</v>
      </c>
    </row>
    <row r="35" spans="1:10" x14ac:dyDescent="0.25">
      <c r="A35" s="30">
        <v>108</v>
      </c>
      <c r="B35" s="30">
        <v>1</v>
      </c>
      <c r="C35" s="29" t="s">
        <v>172</v>
      </c>
      <c r="D35" s="32">
        <v>1113</v>
      </c>
      <c r="E35" s="34">
        <v>186428</v>
      </c>
      <c r="F35" s="40">
        <v>149836</v>
      </c>
      <c r="G35" s="38">
        <v>471912</v>
      </c>
      <c r="H35" s="44">
        <v>379287</v>
      </c>
      <c r="I35" s="36">
        <v>333900</v>
      </c>
      <c r="J35" s="42">
        <v>155529</v>
      </c>
    </row>
    <row r="36" spans="1:10" x14ac:dyDescent="0.25">
      <c r="A36" s="30">
        <v>110</v>
      </c>
      <c r="B36" s="30">
        <v>1</v>
      </c>
      <c r="C36" s="29" t="s">
        <v>173</v>
      </c>
      <c r="D36" s="32">
        <v>4173</v>
      </c>
      <c r="E36" s="34">
        <v>695111</v>
      </c>
      <c r="F36" s="40">
        <v>563675</v>
      </c>
      <c r="G36" s="38">
        <v>1769140</v>
      </c>
      <c r="H36" s="44">
        <v>1434620</v>
      </c>
      <c r="I36" s="36">
        <v>1301027</v>
      </c>
      <c r="J36" s="42">
        <v>628233</v>
      </c>
    </row>
    <row r="37" spans="1:10" x14ac:dyDescent="0.25">
      <c r="A37" s="30">
        <v>111</v>
      </c>
      <c r="B37" s="30">
        <v>1</v>
      </c>
      <c r="C37" s="29" t="s">
        <v>174</v>
      </c>
      <c r="D37" s="32">
        <v>1853</v>
      </c>
      <c r="E37" s="34">
        <v>308959</v>
      </c>
      <c r="F37" s="40">
        <v>240244</v>
      </c>
      <c r="G37" s="38">
        <v>785672</v>
      </c>
      <c r="H37" s="44">
        <v>610932</v>
      </c>
      <c r="I37" s="36">
        <v>574374</v>
      </c>
      <c r="J37" s="42">
        <v>264881</v>
      </c>
    </row>
    <row r="38" spans="1:10" x14ac:dyDescent="0.25">
      <c r="A38" s="30">
        <v>112</v>
      </c>
      <c r="B38" s="30">
        <v>1</v>
      </c>
      <c r="C38" s="29" t="s">
        <v>175</v>
      </c>
      <c r="D38" s="32">
        <v>10033</v>
      </c>
      <c r="E38" s="34">
        <v>1275834</v>
      </c>
      <c r="F38" s="40">
        <v>1260515</v>
      </c>
      <c r="G38" s="38">
        <v>4253928</v>
      </c>
      <c r="H38" s="44">
        <v>4202851</v>
      </c>
      <c r="I38" s="36">
        <v>8281516</v>
      </c>
      <c r="J38" s="42">
        <v>6939650</v>
      </c>
    </row>
    <row r="39" spans="1:10" x14ac:dyDescent="0.25">
      <c r="A39" s="30">
        <v>113</v>
      </c>
      <c r="B39" s="30">
        <v>1</v>
      </c>
      <c r="C39" s="29" t="s">
        <v>176</v>
      </c>
      <c r="D39" s="32">
        <v>841</v>
      </c>
      <c r="E39" s="34">
        <v>121162</v>
      </c>
      <c r="F39" s="40">
        <v>121162</v>
      </c>
      <c r="G39" s="38">
        <v>0</v>
      </c>
      <c r="H39" s="44">
        <v>0</v>
      </c>
      <c r="I39" s="36">
        <v>252420</v>
      </c>
      <c r="J39" s="42">
        <v>232302</v>
      </c>
    </row>
    <row r="40" spans="1:10" x14ac:dyDescent="0.25">
      <c r="A40" s="30">
        <v>115</v>
      </c>
      <c r="B40" s="30">
        <v>1</v>
      </c>
      <c r="C40" s="29" t="s">
        <v>177</v>
      </c>
      <c r="D40" s="32">
        <v>1215</v>
      </c>
      <c r="E40" s="34">
        <v>174982</v>
      </c>
      <c r="F40" s="40">
        <v>123678</v>
      </c>
      <c r="G40" s="38">
        <v>0</v>
      </c>
      <c r="H40" s="44">
        <v>0</v>
      </c>
      <c r="I40" s="36">
        <v>364545</v>
      </c>
      <c r="J40" s="42">
        <v>149327</v>
      </c>
    </row>
    <row r="41" spans="1:10" x14ac:dyDescent="0.25">
      <c r="A41" s="30">
        <v>116</v>
      </c>
      <c r="B41" s="30">
        <v>1</v>
      </c>
      <c r="C41" s="29" t="s">
        <v>178</v>
      </c>
      <c r="D41" s="32">
        <v>1073</v>
      </c>
      <c r="E41" s="34">
        <v>154512</v>
      </c>
      <c r="F41" s="40">
        <v>131954</v>
      </c>
      <c r="G41" s="38">
        <v>0</v>
      </c>
      <c r="H41" s="44">
        <v>0</v>
      </c>
      <c r="I41" s="36">
        <v>321900</v>
      </c>
      <c r="J41" s="42">
        <v>159319</v>
      </c>
    </row>
    <row r="42" spans="1:10" x14ac:dyDescent="0.25">
      <c r="A42" s="30">
        <v>118</v>
      </c>
      <c r="B42" s="30">
        <v>1</v>
      </c>
      <c r="C42" s="29" t="s">
        <v>179</v>
      </c>
      <c r="D42" s="32">
        <v>336</v>
      </c>
      <c r="E42" s="34">
        <v>40946</v>
      </c>
      <c r="F42" s="40">
        <v>40946</v>
      </c>
      <c r="G42" s="38">
        <v>0</v>
      </c>
      <c r="H42" s="44">
        <v>0</v>
      </c>
      <c r="I42" s="36">
        <v>263215</v>
      </c>
      <c r="J42" s="42">
        <v>263215</v>
      </c>
    </row>
    <row r="43" spans="1:10" x14ac:dyDescent="0.25">
      <c r="A43" s="30">
        <v>129</v>
      </c>
      <c r="B43" s="30">
        <v>1</v>
      </c>
      <c r="C43" s="29" t="s">
        <v>180</v>
      </c>
      <c r="D43" s="32">
        <v>1501</v>
      </c>
      <c r="E43" s="34">
        <v>173917</v>
      </c>
      <c r="F43" s="40">
        <v>85669</v>
      </c>
      <c r="G43" s="38">
        <v>0</v>
      </c>
      <c r="H43" s="44">
        <v>0</v>
      </c>
      <c r="I43" s="36">
        <v>1371705</v>
      </c>
      <c r="J43" s="42">
        <v>668686</v>
      </c>
    </row>
    <row r="44" spans="1:10" x14ac:dyDescent="0.25">
      <c r="A44" s="30">
        <v>138</v>
      </c>
      <c r="B44" s="30">
        <v>1</v>
      </c>
      <c r="C44" s="29" t="s">
        <v>181</v>
      </c>
      <c r="D44" s="32">
        <v>3045</v>
      </c>
      <c r="E44" s="34">
        <v>438437</v>
      </c>
      <c r="F44" s="40">
        <v>304974</v>
      </c>
      <c r="G44" s="38">
        <v>645476</v>
      </c>
      <c r="H44" s="44">
        <v>448990</v>
      </c>
      <c r="I44" s="36">
        <v>913410</v>
      </c>
      <c r="J44" s="42">
        <v>368222</v>
      </c>
    </row>
    <row r="45" spans="1:10" x14ac:dyDescent="0.25">
      <c r="A45" s="30">
        <v>139</v>
      </c>
      <c r="B45" s="30">
        <v>1</v>
      </c>
      <c r="C45" s="29" t="s">
        <v>182</v>
      </c>
      <c r="D45" s="32">
        <v>997</v>
      </c>
      <c r="E45" s="34">
        <v>143539</v>
      </c>
      <c r="F45" s="40">
        <v>96422</v>
      </c>
      <c r="G45" s="38">
        <v>0</v>
      </c>
      <c r="H45" s="44">
        <v>0</v>
      </c>
      <c r="I45" s="36">
        <v>299040</v>
      </c>
      <c r="J45" s="42">
        <v>116419</v>
      </c>
    </row>
    <row r="46" spans="1:10" x14ac:dyDescent="0.25">
      <c r="A46" s="30">
        <v>146</v>
      </c>
      <c r="B46" s="30">
        <v>1</v>
      </c>
      <c r="C46" s="29" t="s">
        <v>183</v>
      </c>
      <c r="D46" s="32">
        <v>912</v>
      </c>
      <c r="E46" s="34">
        <v>101385</v>
      </c>
      <c r="F46" s="40">
        <v>55418</v>
      </c>
      <c r="G46" s="38">
        <v>0</v>
      </c>
      <c r="H46" s="44">
        <v>0</v>
      </c>
      <c r="I46" s="36">
        <v>925685</v>
      </c>
      <c r="J46" s="42">
        <v>539663</v>
      </c>
    </row>
    <row r="47" spans="1:10" x14ac:dyDescent="0.25">
      <c r="A47" s="30">
        <v>150</v>
      </c>
      <c r="B47" s="30">
        <v>1</v>
      </c>
      <c r="C47" s="29" t="s">
        <v>184</v>
      </c>
      <c r="D47" s="32">
        <v>970</v>
      </c>
      <c r="E47" s="34">
        <v>130325</v>
      </c>
      <c r="F47" s="40">
        <v>73866</v>
      </c>
      <c r="G47" s="38">
        <v>0</v>
      </c>
      <c r="H47" s="44">
        <v>0</v>
      </c>
      <c r="I47" s="36">
        <v>495049</v>
      </c>
      <c r="J47" s="42">
        <v>211239</v>
      </c>
    </row>
    <row r="48" spans="1:10" x14ac:dyDescent="0.25">
      <c r="A48" s="30">
        <v>152</v>
      </c>
      <c r="B48" s="30">
        <v>1</v>
      </c>
      <c r="C48" s="29" t="s">
        <v>185</v>
      </c>
      <c r="D48" s="32">
        <v>6224</v>
      </c>
      <c r="E48" s="34">
        <v>771418</v>
      </c>
      <c r="F48" s="40">
        <v>584216</v>
      </c>
      <c r="G48" s="38">
        <v>1319499</v>
      </c>
      <c r="H48" s="44">
        <v>999293</v>
      </c>
      <c r="I48" s="36">
        <v>4590361</v>
      </c>
      <c r="J48" s="42">
        <v>2881847</v>
      </c>
    </row>
    <row r="49" spans="1:10" x14ac:dyDescent="0.25">
      <c r="A49" s="30">
        <v>160</v>
      </c>
      <c r="B49" s="30">
        <v>70</v>
      </c>
      <c r="C49" s="29" t="s">
        <v>4</v>
      </c>
      <c r="D49" s="32">
        <v>0</v>
      </c>
      <c r="E49" s="34">
        <v>0</v>
      </c>
      <c r="F49" s="40">
        <v>0</v>
      </c>
      <c r="G49" s="38">
        <v>0</v>
      </c>
      <c r="H49" s="44">
        <v>0</v>
      </c>
      <c r="I49" s="36">
        <v>0</v>
      </c>
      <c r="J49" s="42">
        <v>0</v>
      </c>
    </row>
    <row r="50" spans="1:10" x14ac:dyDescent="0.25">
      <c r="A50" s="30">
        <v>160</v>
      </c>
      <c r="B50" s="30">
        <v>90</v>
      </c>
      <c r="C50" s="29" t="s">
        <v>466</v>
      </c>
      <c r="D50" s="32">
        <v>0</v>
      </c>
      <c r="E50" s="34">
        <v>0</v>
      </c>
      <c r="F50" s="40">
        <v>0</v>
      </c>
      <c r="G50" s="38">
        <v>0</v>
      </c>
      <c r="H50" s="44">
        <v>0</v>
      </c>
      <c r="I50" s="36">
        <v>0</v>
      </c>
      <c r="J50" s="42">
        <v>0</v>
      </c>
    </row>
    <row r="51" spans="1:10" x14ac:dyDescent="0.25">
      <c r="A51" s="30">
        <v>162</v>
      </c>
      <c r="B51" s="30">
        <v>1</v>
      </c>
      <c r="C51" s="29" t="s">
        <v>186</v>
      </c>
      <c r="D51" s="32">
        <v>1049</v>
      </c>
      <c r="E51" s="34">
        <v>151093</v>
      </c>
      <c r="F51" s="40">
        <v>76930</v>
      </c>
      <c r="G51" s="38">
        <v>0</v>
      </c>
      <c r="H51" s="44">
        <v>0</v>
      </c>
      <c r="I51" s="36">
        <v>314775</v>
      </c>
      <c r="J51" s="42">
        <v>92883</v>
      </c>
    </row>
    <row r="52" spans="1:10" x14ac:dyDescent="0.25">
      <c r="A52" s="30">
        <v>166</v>
      </c>
      <c r="B52" s="30">
        <v>1</v>
      </c>
      <c r="C52" s="29" t="s">
        <v>187</v>
      </c>
      <c r="D52" s="32">
        <v>495</v>
      </c>
      <c r="E52" s="34">
        <v>58595</v>
      </c>
      <c r="F52" s="40">
        <v>58595</v>
      </c>
      <c r="G52" s="38">
        <v>0</v>
      </c>
      <c r="H52" s="44">
        <v>0</v>
      </c>
      <c r="I52" s="36">
        <v>426569</v>
      </c>
      <c r="J52" s="42">
        <v>426569</v>
      </c>
    </row>
    <row r="53" spans="1:10" x14ac:dyDescent="0.25">
      <c r="A53" s="30">
        <v>173</v>
      </c>
      <c r="B53" s="30">
        <v>1</v>
      </c>
      <c r="C53" s="29" t="s">
        <v>188</v>
      </c>
      <c r="D53" s="32">
        <v>528</v>
      </c>
      <c r="E53" s="34">
        <v>41035</v>
      </c>
      <c r="F53" s="40">
        <v>16743</v>
      </c>
      <c r="G53" s="38">
        <v>0</v>
      </c>
      <c r="H53" s="44">
        <v>0</v>
      </c>
      <c r="I53" s="36">
        <v>921074</v>
      </c>
      <c r="J53" s="42">
        <v>553351</v>
      </c>
    </row>
    <row r="54" spans="1:10" x14ac:dyDescent="0.25">
      <c r="A54" s="30">
        <v>177</v>
      </c>
      <c r="B54" s="30">
        <v>1</v>
      </c>
      <c r="C54" s="29" t="s">
        <v>189</v>
      </c>
      <c r="D54" s="32">
        <v>1112</v>
      </c>
      <c r="E54" s="34">
        <v>109826</v>
      </c>
      <c r="F54" s="40">
        <v>66958</v>
      </c>
      <c r="G54" s="38">
        <v>0</v>
      </c>
      <c r="H54" s="44">
        <v>0</v>
      </c>
      <c r="I54" s="36">
        <v>1430108</v>
      </c>
      <c r="J54" s="42">
        <v>1014796</v>
      </c>
    </row>
    <row r="55" spans="1:10" x14ac:dyDescent="0.25">
      <c r="A55" s="30">
        <v>181</v>
      </c>
      <c r="B55" s="30">
        <v>1</v>
      </c>
      <c r="C55" s="29" t="s">
        <v>190</v>
      </c>
      <c r="D55" s="32">
        <v>6773</v>
      </c>
      <c r="E55" s="34">
        <v>975370</v>
      </c>
      <c r="F55" s="40">
        <v>946135</v>
      </c>
      <c r="G55" s="38">
        <v>1435961</v>
      </c>
      <c r="H55" s="44">
        <v>1392921</v>
      </c>
      <c r="I55" s="36">
        <v>2032020</v>
      </c>
      <c r="J55" s="42">
        <v>1142350</v>
      </c>
    </row>
    <row r="56" spans="1:10" x14ac:dyDescent="0.25">
      <c r="A56" s="30">
        <v>182</v>
      </c>
      <c r="B56" s="30">
        <v>1</v>
      </c>
      <c r="C56" s="29" t="s">
        <v>191</v>
      </c>
      <c r="D56" s="32">
        <v>1204</v>
      </c>
      <c r="E56" s="34">
        <v>162522</v>
      </c>
      <c r="F56" s="40">
        <v>162522</v>
      </c>
      <c r="G56" s="38">
        <v>0</v>
      </c>
      <c r="H56" s="44">
        <v>0</v>
      </c>
      <c r="I56" s="36">
        <v>596576</v>
      </c>
      <c r="J56" s="42">
        <v>484363</v>
      </c>
    </row>
    <row r="57" spans="1:10" x14ac:dyDescent="0.25">
      <c r="A57" s="30">
        <v>186</v>
      </c>
      <c r="B57" s="30">
        <v>1</v>
      </c>
      <c r="C57" s="29" t="s">
        <v>192</v>
      </c>
      <c r="D57" s="32">
        <v>1766</v>
      </c>
      <c r="E57" s="34">
        <v>254333</v>
      </c>
      <c r="F57" s="40">
        <v>254333</v>
      </c>
      <c r="G57" s="38">
        <v>0</v>
      </c>
      <c r="H57" s="44">
        <v>0</v>
      </c>
      <c r="I57" s="36">
        <v>529860</v>
      </c>
      <c r="J57" s="42">
        <v>422909</v>
      </c>
    </row>
    <row r="58" spans="1:10" x14ac:dyDescent="0.25">
      <c r="A58" s="30">
        <v>191</v>
      </c>
      <c r="B58" s="30">
        <v>1</v>
      </c>
      <c r="C58" s="29" t="s">
        <v>193</v>
      </c>
      <c r="D58" s="32">
        <v>10337</v>
      </c>
      <c r="E58" s="34">
        <v>969093</v>
      </c>
      <c r="F58" s="40">
        <v>960711</v>
      </c>
      <c r="G58" s="38">
        <v>4382888</v>
      </c>
      <c r="H58" s="44">
        <v>4344981</v>
      </c>
      <c r="I58" s="36">
        <v>13032373</v>
      </c>
      <c r="J58" s="42">
        <v>11671832</v>
      </c>
    </row>
    <row r="59" spans="1:10" x14ac:dyDescent="0.25">
      <c r="A59" s="30">
        <v>192</v>
      </c>
      <c r="B59" s="30">
        <v>1</v>
      </c>
      <c r="C59" s="29" t="s">
        <v>194</v>
      </c>
      <c r="D59" s="32">
        <v>7149</v>
      </c>
      <c r="E59" s="34">
        <v>1190533</v>
      </c>
      <c r="F59" s="40">
        <v>707441</v>
      </c>
      <c r="G59" s="38">
        <v>3031346</v>
      </c>
      <c r="H59" s="44">
        <v>1801294</v>
      </c>
      <c r="I59" s="36">
        <v>2235903</v>
      </c>
      <c r="J59" s="42">
        <v>792755</v>
      </c>
    </row>
    <row r="60" spans="1:10" x14ac:dyDescent="0.25">
      <c r="A60" s="30">
        <v>194</v>
      </c>
      <c r="B60" s="30">
        <v>1</v>
      </c>
      <c r="C60" s="29" t="s">
        <v>195</v>
      </c>
      <c r="D60" s="32">
        <v>11382</v>
      </c>
      <c r="E60" s="34">
        <v>1208380</v>
      </c>
      <c r="F60" s="40">
        <v>1113583</v>
      </c>
      <c r="G60" s="38">
        <v>4826053</v>
      </c>
      <c r="H60" s="44">
        <v>4447453</v>
      </c>
      <c r="I60" s="36">
        <v>12509379</v>
      </c>
      <c r="J60" s="42">
        <v>10507676</v>
      </c>
    </row>
    <row r="61" spans="1:10" x14ac:dyDescent="0.25">
      <c r="A61" s="30">
        <v>195</v>
      </c>
      <c r="B61" s="30">
        <v>1</v>
      </c>
      <c r="C61" s="29" t="s">
        <v>196</v>
      </c>
      <c r="D61" s="32">
        <v>651</v>
      </c>
      <c r="E61" s="34">
        <v>109076</v>
      </c>
      <c r="F61" s="40">
        <v>109076</v>
      </c>
      <c r="G61" s="38">
        <v>276109</v>
      </c>
      <c r="H61" s="44">
        <v>276109</v>
      </c>
      <c r="I61" s="36">
        <v>195360</v>
      </c>
      <c r="J61" s="42">
        <v>68966</v>
      </c>
    </row>
    <row r="62" spans="1:10" x14ac:dyDescent="0.25">
      <c r="A62" s="30">
        <v>196</v>
      </c>
      <c r="B62" s="30">
        <v>1</v>
      </c>
      <c r="C62" s="29" t="s">
        <v>197</v>
      </c>
      <c r="D62" s="32">
        <v>29138</v>
      </c>
      <c r="E62" s="34">
        <v>3160820</v>
      </c>
      <c r="F62" s="40">
        <v>2816235</v>
      </c>
      <c r="G62" s="38">
        <v>12354682</v>
      </c>
      <c r="H62" s="44">
        <v>11007805</v>
      </c>
      <c r="I62" s="36">
        <v>31146327</v>
      </c>
      <c r="J62" s="42">
        <v>25457387</v>
      </c>
    </row>
    <row r="63" spans="1:10" x14ac:dyDescent="0.25">
      <c r="A63" s="30">
        <v>197</v>
      </c>
      <c r="B63" s="30">
        <v>1</v>
      </c>
      <c r="C63" s="29" t="s">
        <v>198</v>
      </c>
      <c r="D63" s="32">
        <v>5165</v>
      </c>
      <c r="E63" s="34">
        <v>443384</v>
      </c>
      <c r="F63" s="40">
        <v>443384</v>
      </c>
      <c r="G63" s="38">
        <v>2190130</v>
      </c>
      <c r="H63" s="44">
        <v>2190130</v>
      </c>
      <c r="I63" s="36">
        <v>7044727</v>
      </c>
      <c r="J63" s="42">
        <v>7043675</v>
      </c>
    </row>
    <row r="64" spans="1:10" x14ac:dyDescent="0.25">
      <c r="A64" s="30">
        <v>199</v>
      </c>
      <c r="B64" s="30">
        <v>1</v>
      </c>
      <c r="C64" s="29" t="s">
        <v>199</v>
      </c>
      <c r="D64" s="32">
        <v>4200</v>
      </c>
      <c r="E64" s="34">
        <v>618418</v>
      </c>
      <c r="F64" s="40">
        <v>617040</v>
      </c>
      <c r="G64" s="38">
        <v>1780885</v>
      </c>
      <c r="H64" s="44">
        <v>1776918</v>
      </c>
      <c r="I64" s="36">
        <v>2368871</v>
      </c>
      <c r="J64" s="42">
        <v>1834977</v>
      </c>
    </row>
    <row r="65" spans="1:10" x14ac:dyDescent="0.25">
      <c r="A65" s="30">
        <v>200</v>
      </c>
      <c r="B65" s="30">
        <v>1</v>
      </c>
      <c r="C65" s="29" t="s">
        <v>200</v>
      </c>
      <c r="D65" s="32">
        <v>4896</v>
      </c>
      <c r="E65" s="34">
        <v>468940</v>
      </c>
      <c r="F65" s="40">
        <v>426879</v>
      </c>
      <c r="G65" s="38">
        <v>2075904</v>
      </c>
      <c r="H65" s="44">
        <v>1889707</v>
      </c>
      <c r="I65" s="36">
        <v>6043133</v>
      </c>
      <c r="J65" s="42">
        <v>5147212</v>
      </c>
    </row>
    <row r="66" spans="1:10" x14ac:dyDescent="0.25">
      <c r="A66" s="30">
        <v>203</v>
      </c>
      <c r="B66" s="30">
        <v>1</v>
      </c>
      <c r="C66" s="29" t="s">
        <v>201</v>
      </c>
      <c r="D66" s="32">
        <v>798</v>
      </c>
      <c r="E66" s="34">
        <v>86860</v>
      </c>
      <c r="F66" s="40">
        <v>52387</v>
      </c>
      <c r="G66" s="38">
        <v>0</v>
      </c>
      <c r="H66" s="44">
        <v>0</v>
      </c>
      <c r="I66" s="36">
        <v>850763</v>
      </c>
      <c r="J66" s="42">
        <v>549412</v>
      </c>
    </row>
    <row r="67" spans="1:10" x14ac:dyDescent="0.25">
      <c r="A67" s="30">
        <v>204</v>
      </c>
      <c r="B67" s="30">
        <v>1</v>
      </c>
      <c r="C67" s="29" t="s">
        <v>202</v>
      </c>
      <c r="D67" s="32">
        <v>2270</v>
      </c>
      <c r="E67" s="34">
        <v>326909</v>
      </c>
      <c r="F67" s="40">
        <v>171628</v>
      </c>
      <c r="G67" s="38">
        <v>481282</v>
      </c>
      <c r="H67" s="44">
        <v>252674</v>
      </c>
      <c r="I67" s="36">
        <v>681060</v>
      </c>
      <c r="J67" s="42">
        <v>207221</v>
      </c>
    </row>
    <row r="68" spans="1:10" x14ac:dyDescent="0.25">
      <c r="A68" s="30">
        <v>206</v>
      </c>
      <c r="B68" s="30">
        <v>1</v>
      </c>
      <c r="C68" s="29" t="s">
        <v>203</v>
      </c>
      <c r="D68" s="32">
        <v>4192</v>
      </c>
      <c r="E68" s="34">
        <v>603613</v>
      </c>
      <c r="F68" s="40">
        <v>603613</v>
      </c>
      <c r="G68" s="38">
        <v>888651</v>
      </c>
      <c r="H68" s="44">
        <v>888651</v>
      </c>
      <c r="I68" s="36">
        <v>1257525</v>
      </c>
      <c r="J68" s="42">
        <v>871552</v>
      </c>
    </row>
    <row r="69" spans="1:10" x14ac:dyDescent="0.25">
      <c r="A69" s="30">
        <v>213</v>
      </c>
      <c r="B69" s="30">
        <v>1</v>
      </c>
      <c r="C69" s="29" t="s">
        <v>204</v>
      </c>
      <c r="D69" s="32">
        <v>927</v>
      </c>
      <c r="E69" s="34">
        <v>133430</v>
      </c>
      <c r="F69" s="40">
        <v>75037</v>
      </c>
      <c r="G69" s="38">
        <v>0</v>
      </c>
      <c r="H69" s="44">
        <v>0</v>
      </c>
      <c r="I69" s="36">
        <v>277980</v>
      </c>
      <c r="J69" s="42">
        <v>90599</v>
      </c>
    </row>
    <row r="70" spans="1:10" x14ac:dyDescent="0.25">
      <c r="A70" s="30">
        <v>227</v>
      </c>
      <c r="B70" s="30">
        <v>1</v>
      </c>
      <c r="C70" s="29" t="s">
        <v>205</v>
      </c>
      <c r="D70" s="32">
        <v>994</v>
      </c>
      <c r="E70" s="34">
        <v>128174</v>
      </c>
      <c r="F70" s="40">
        <v>84525</v>
      </c>
      <c r="G70" s="38">
        <v>0</v>
      </c>
      <c r="H70" s="44">
        <v>0</v>
      </c>
      <c r="I70" s="36">
        <v>625935</v>
      </c>
      <c r="J70" s="42">
        <v>330059</v>
      </c>
    </row>
    <row r="71" spans="1:10" x14ac:dyDescent="0.25">
      <c r="A71" s="30">
        <v>229</v>
      </c>
      <c r="B71" s="30">
        <v>1</v>
      </c>
      <c r="C71" s="29" t="s">
        <v>206</v>
      </c>
      <c r="D71" s="32">
        <v>342</v>
      </c>
      <c r="E71" s="34">
        <v>49248</v>
      </c>
      <c r="F71" s="40">
        <v>49248</v>
      </c>
      <c r="G71" s="38">
        <v>0</v>
      </c>
      <c r="H71" s="44">
        <v>0</v>
      </c>
      <c r="I71" s="36">
        <v>102600</v>
      </c>
      <c r="J71" s="42">
        <v>57812</v>
      </c>
    </row>
    <row r="72" spans="1:10" x14ac:dyDescent="0.25">
      <c r="A72" s="30">
        <v>238</v>
      </c>
      <c r="B72" s="30">
        <v>1</v>
      </c>
      <c r="C72" s="29" t="s">
        <v>207</v>
      </c>
      <c r="D72" s="32">
        <v>258</v>
      </c>
      <c r="E72" s="34">
        <v>22815</v>
      </c>
      <c r="F72" s="40">
        <v>13449</v>
      </c>
      <c r="G72" s="38">
        <v>0</v>
      </c>
      <c r="H72" s="44">
        <v>0</v>
      </c>
      <c r="I72" s="36">
        <v>390817</v>
      </c>
      <c r="J72" s="42">
        <v>291060</v>
      </c>
    </row>
    <row r="73" spans="1:10" x14ac:dyDescent="0.25">
      <c r="A73" s="30">
        <v>239</v>
      </c>
      <c r="B73" s="30">
        <v>1</v>
      </c>
      <c r="C73" s="29" t="s">
        <v>208</v>
      </c>
      <c r="D73" s="32">
        <v>731</v>
      </c>
      <c r="E73" s="34">
        <v>79628</v>
      </c>
      <c r="F73" s="40">
        <v>49189</v>
      </c>
      <c r="G73" s="38">
        <v>0</v>
      </c>
      <c r="H73" s="44">
        <v>0</v>
      </c>
      <c r="I73" s="36">
        <v>777783</v>
      </c>
      <c r="J73" s="42">
        <v>508524</v>
      </c>
    </row>
    <row r="74" spans="1:10" x14ac:dyDescent="0.25">
      <c r="A74" s="30">
        <v>241</v>
      </c>
      <c r="B74" s="30">
        <v>1</v>
      </c>
      <c r="C74" s="29" t="s">
        <v>209</v>
      </c>
      <c r="D74" s="32">
        <v>3578</v>
      </c>
      <c r="E74" s="34">
        <v>404543</v>
      </c>
      <c r="F74" s="40">
        <v>254602</v>
      </c>
      <c r="G74" s="38">
        <v>758536</v>
      </c>
      <c r="H74" s="44">
        <v>477390</v>
      </c>
      <c r="I74" s="36">
        <v>3487763</v>
      </c>
      <c r="J74" s="42">
        <v>2195842</v>
      </c>
    </row>
    <row r="75" spans="1:10" x14ac:dyDescent="0.25">
      <c r="A75" s="30">
        <v>242</v>
      </c>
      <c r="B75" s="30">
        <v>1</v>
      </c>
      <c r="C75" s="29" t="s">
        <v>210</v>
      </c>
      <c r="D75" s="32">
        <v>541</v>
      </c>
      <c r="E75" s="34">
        <v>62262</v>
      </c>
      <c r="F75" s="40">
        <v>35686</v>
      </c>
      <c r="G75" s="38">
        <v>0</v>
      </c>
      <c r="H75" s="44">
        <v>0</v>
      </c>
      <c r="I75" s="36">
        <v>502991</v>
      </c>
      <c r="J75" s="42">
        <v>197738</v>
      </c>
    </row>
    <row r="76" spans="1:10" x14ac:dyDescent="0.25">
      <c r="A76" s="30">
        <v>252</v>
      </c>
      <c r="B76" s="30">
        <v>1</v>
      </c>
      <c r="C76" s="29" t="s">
        <v>211</v>
      </c>
      <c r="D76" s="32">
        <v>1224</v>
      </c>
      <c r="E76" s="34">
        <v>176221</v>
      </c>
      <c r="F76" s="40">
        <v>176221</v>
      </c>
      <c r="G76" s="38">
        <v>518870</v>
      </c>
      <c r="H76" s="44">
        <v>518870</v>
      </c>
      <c r="I76" s="36">
        <v>367125</v>
      </c>
      <c r="J76" s="42">
        <v>221954</v>
      </c>
    </row>
    <row r="77" spans="1:10" x14ac:dyDescent="0.25">
      <c r="A77" s="30">
        <v>253</v>
      </c>
      <c r="B77" s="30">
        <v>1</v>
      </c>
      <c r="C77" s="29" t="s">
        <v>212</v>
      </c>
      <c r="D77" s="32">
        <v>708</v>
      </c>
      <c r="E77" s="34">
        <v>95717</v>
      </c>
      <c r="F77" s="40">
        <v>55480</v>
      </c>
      <c r="G77" s="38">
        <v>0</v>
      </c>
      <c r="H77" s="44">
        <v>0</v>
      </c>
      <c r="I77" s="36">
        <v>349093</v>
      </c>
      <c r="J77" s="42">
        <v>150567</v>
      </c>
    </row>
    <row r="78" spans="1:10" x14ac:dyDescent="0.25">
      <c r="A78" s="30">
        <v>255</v>
      </c>
      <c r="B78" s="30">
        <v>1</v>
      </c>
      <c r="C78" s="29" t="s">
        <v>213</v>
      </c>
      <c r="D78" s="32">
        <v>1363</v>
      </c>
      <c r="E78" s="34">
        <v>170327</v>
      </c>
      <c r="F78" s="40">
        <v>116238</v>
      </c>
      <c r="G78" s="38">
        <v>0</v>
      </c>
      <c r="H78" s="44">
        <v>0</v>
      </c>
      <c r="I78" s="36">
        <v>973441</v>
      </c>
      <c r="J78" s="42">
        <v>547020</v>
      </c>
    </row>
    <row r="79" spans="1:10" x14ac:dyDescent="0.25">
      <c r="A79" s="30">
        <v>256</v>
      </c>
      <c r="B79" s="30">
        <v>1</v>
      </c>
      <c r="C79" s="29" t="s">
        <v>214</v>
      </c>
      <c r="D79" s="32">
        <v>2995</v>
      </c>
      <c r="E79" s="34">
        <v>338370</v>
      </c>
      <c r="F79" s="40">
        <v>338370</v>
      </c>
      <c r="G79" s="38">
        <v>635025</v>
      </c>
      <c r="H79" s="44">
        <v>635025</v>
      </c>
      <c r="I79" s="36">
        <v>2926446</v>
      </c>
      <c r="J79" s="42">
        <v>2665338</v>
      </c>
    </row>
    <row r="80" spans="1:10" x14ac:dyDescent="0.25">
      <c r="A80" s="30">
        <v>261</v>
      </c>
      <c r="B80" s="30">
        <v>1</v>
      </c>
      <c r="C80" s="29" t="s">
        <v>215</v>
      </c>
      <c r="D80" s="32">
        <v>272</v>
      </c>
      <c r="E80" s="34">
        <v>26362</v>
      </c>
      <c r="F80" s="40">
        <v>19247</v>
      </c>
      <c r="G80" s="38">
        <v>0</v>
      </c>
      <c r="H80" s="44">
        <v>0</v>
      </c>
      <c r="I80" s="36">
        <v>360933</v>
      </c>
      <c r="J80" s="42">
        <v>280089</v>
      </c>
    </row>
    <row r="81" spans="1:10" x14ac:dyDescent="0.25">
      <c r="A81" s="30">
        <v>264</v>
      </c>
      <c r="B81" s="30">
        <v>1</v>
      </c>
      <c r="C81" s="29" t="s">
        <v>216</v>
      </c>
      <c r="D81" s="32">
        <v>119</v>
      </c>
      <c r="E81" s="34">
        <v>5943</v>
      </c>
      <c r="F81" s="40">
        <v>3322</v>
      </c>
      <c r="G81" s="38">
        <v>0</v>
      </c>
      <c r="H81" s="44">
        <v>0</v>
      </c>
      <c r="I81" s="36">
        <v>449507</v>
      </c>
      <c r="J81" s="42">
        <v>202175</v>
      </c>
    </row>
    <row r="82" spans="1:10" x14ac:dyDescent="0.25">
      <c r="A82" s="30">
        <v>270</v>
      </c>
      <c r="B82" s="30">
        <v>1</v>
      </c>
      <c r="C82" s="29" t="s">
        <v>217</v>
      </c>
      <c r="D82" s="32">
        <v>7432</v>
      </c>
      <c r="E82" s="34">
        <v>371590</v>
      </c>
      <c r="F82" s="40">
        <v>371590</v>
      </c>
      <c r="G82" s="38">
        <v>3151083</v>
      </c>
      <c r="H82" s="44">
        <v>3151083</v>
      </c>
      <c r="I82" s="36">
        <v>14129487</v>
      </c>
      <c r="J82" s="42">
        <v>14117237</v>
      </c>
    </row>
    <row r="83" spans="1:10" x14ac:dyDescent="0.25">
      <c r="A83" s="30">
        <v>271</v>
      </c>
      <c r="B83" s="30">
        <v>1</v>
      </c>
      <c r="C83" s="29" t="s">
        <v>218</v>
      </c>
      <c r="D83" s="32">
        <v>11158</v>
      </c>
      <c r="E83" s="34">
        <v>924608</v>
      </c>
      <c r="F83" s="40">
        <v>924608</v>
      </c>
      <c r="G83" s="38">
        <v>4730907</v>
      </c>
      <c r="H83" s="44">
        <v>4730907</v>
      </c>
      <c r="I83" s="36">
        <v>15649149</v>
      </c>
      <c r="J83" s="42">
        <v>15532133</v>
      </c>
    </row>
    <row r="84" spans="1:10" x14ac:dyDescent="0.25">
      <c r="A84" s="30">
        <v>272</v>
      </c>
      <c r="B84" s="30">
        <v>1</v>
      </c>
      <c r="C84" s="29" t="s">
        <v>219</v>
      </c>
      <c r="D84" s="32">
        <v>10035</v>
      </c>
      <c r="E84" s="34">
        <v>1232140</v>
      </c>
      <c r="F84" s="40">
        <v>1232140</v>
      </c>
      <c r="G84" s="38">
        <v>4255010</v>
      </c>
      <c r="H84" s="44">
        <v>4255010</v>
      </c>
      <c r="I84" s="36">
        <v>8857043</v>
      </c>
      <c r="J84" s="42">
        <v>8548776</v>
      </c>
    </row>
    <row r="85" spans="1:10" x14ac:dyDescent="0.25">
      <c r="A85" s="30">
        <v>273</v>
      </c>
      <c r="B85" s="30">
        <v>1</v>
      </c>
      <c r="C85" s="29" t="s">
        <v>220</v>
      </c>
      <c r="D85" s="32">
        <v>9421</v>
      </c>
      <c r="E85" s="34">
        <v>779106</v>
      </c>
      <c r="F85" s="40">
        <v>779106</v>
      </c>
      <c r="G85" s="38">
        <v>3994419</v>
      </c>
      <c r="H85" s="44">
        <v>3994419</v>
      </c>
      <c r="I85" s="36">
        <v>13233304</v>
      </c>
      <c r="J85" s="42">
        <v>13228832</v>
      </c>
    </row>
    <row r="86" spans="1:10" x14ac:dyDescent="0.25">
      <c r="A86" s="30">
        <v>276</v>
      </c>
      <c r="B86" s="30">
        <v>1</v>
      </c>
      <c r="C86" s="29" t="s">
        <v>221</v>
      </c>
      <c r="D86" s="32">
        <v>10955</v>
      </c>
      <c r="E86" s="34">
        <v>1046863</v>
      </c>
      <c r="F86" s="40">
        <v>1046863</v>
      </c>
      <c r="G86" s="38">
        <v>4644708</v>
      </c>
      <c r="H86" s="44">
        <v>4644708</v>
      </c>
      <c r="I86" s="36">
        <v>13551921</v>
      </c>
      <c r="J86" s="42">
        <v>13279508</v>
      </c>
    </row>
    <row r="87" spans="1:10" x14ac:dyDescent="0.25">
      <c r="A87" s="30">
        <v>277</v>
      </c>
      <c r="B87" s="30">
        <v>1</v>
      </c>
      <c r="C87" s="29" t="s">
        <v>222</v>
      </c>
      <c r="D87" s="32">
        <v>2416</v>
      </c>
      <c r="E87" s="34">
        <v>205538</v>
      </c>
      <c r="F87" s="40">
        <v>205538</v>
      </c>
      <c r="G87" s="38">
        <v>1024469</v>
      </c>
      <c r="H87" s="44">
        <v>1024469</v>
      </c>
      <c r="I87" s="36">
        <v>3319545</v>
      </c>
      <c r="J87" s="42">
        <v>3282548</v>
      </c>
    </row>
    <row r="88" spans="1:10" x14ac:dyDescent="0.25">
      <c r="A88" s="30">
        <v>278</v>
      </c>
      <c r="B88" s="30">
        <v>1</v>
      </c>
      <c r="C88" s="29" t="s">
        <v>223</v>
      </c>
      <c r="D88" s="32">
        <v>2981</v>
      </c>
      <c r="E88" s="34">
        <v>235178</v>
      </c>
      <c r="F88" s="40">
        <v>235178</v>
      </c>
      <c r="G88" s="38">
        <v>1263986</v>
      </c>
      <c r="H88" s="44">
        <v>1263986</v>
      </c>
      <c r="I88" s="36">
        <v>4335533</v>
      </c>
      <c r="J88" s="42">
        <v>4213774</v>
      </c>
    </row>
    <row r="89" spans="1:10" x14ac:dyDescent="0.25">
      <c r="A89" s="30">
        <v>279</v>
      </c>
      <c r="B89" s="30">
        <v>1</v>
      </c>
      <c r="C89" s="29" t="s">
        <v>224</v>
      </c>
      <c r="D89" s="32">
        <v>22139</v>
      </c>
      <c r="E89" s="34">
        <v>1106950</v>
      </c>
      <c r="F89" s="40">
        <v>1008653</v>
      </c>
      <c r="G89" s="38">
        <v>9386936</v>
      </c>
      <c r="H89" s="44">
        <v>8553374</v>
      </c>
      <c r="I89" s="36">
        <v>35482397</v>
      </c>
      <c r="J89" s="42">
        <v>31443721</v>
      </c>
    </row>
    <row r="90" spans="1:10" x14ac:dyDescent="0.25">
      <c r="A90" s="30">
        <v>280</v>
      </c>
      <c r="B90" s="30">
        <v>1</v>
      </c>
      <c r="C90" s="29" t="s">
        <v>225</v>
      </c>
      <c r="D90" s="32">
        <v>4775</v>
      </c>
      <c r="E90" s="34">
        <v>578816</v>
      </c>
      <c r="F90" s="40">
        <v>578816</v>
      </c>
      <c r="G90" s="38">
        <v>2024600</v>
      </c>
      <c r="H90" s="44">
        <v>2024600</v>
      </c>
      <c r="I90" s="36">
        <v>4311443</v>
      </c>
      <c r="J90" s="42">
        <v>3927598</v>
      </c>
    </row>
    <row r="91" spans="1:10" x14ac:dyDescent="0.25">
      <c r="A91" s="30">
        <v>281</v>
      </c>
      <c r="B91" s="30">
        <v>1</v>
      </c>
      <c r="C91" s="29" t="s">
        <v>226</v>
      </c>
      <c r="D91" s="32">
        <v>13184</v>
      </c>
      <c r="E91" s="34">
        <v>1045183</v>
      </c>
      <c r="F91" s="40">
        <v>1031678</v>
      </c>
      <c r="G91" s="38">
        <v>5589931</v>
      </c>
      <c r="H91" s="44">
        <v>5517707</v>
      </c>
      <c r="I91" s="36">
        <v>19107018</v>
      </c>
      <c r="J91" s="42">
        <v>17336090</v>
      </c>
    </row>
    <row r="92" spans="1:10" x14ac:dyDescent="0.25">
      <c r="A92" s="30">
        <v>282</v>
      </c>
      <c r="B92" s="30">
        <v>1</v>
      </c>
      <c r="C92" s="29" t="s">
        <v>227</v>
      </c>
      <c r="D92" s="32">
        <v>1796</v>
      </c>
      <c r="E92" s="34">
        <v>206809</v>
      </c>
      <c r="F92" s="40">
        <v>206809</v>
      </c>
      <c r="G92" s="38">
        <v>761334</v>
      </c>
      <c r="H92" s="44">
        <v>761334</v>
      </c>
      <c r="I92" s="36">
        <v>1762633</v>
      </c>
      <c r="J92" s="42">
        <v>1510371</v>
      </c>
    </row>
    <row r="93" spans="1:10" x14ac:dyDescent="0.25">
      <c r="A93" s="30">
        <v>283</v>
      </c>
      <c r="B93" s="30">
        <v>1</v>
      </c>
      <c r="C93" s="29" t="s">
        <v>228</v>
      </c>
      <c r="D93" s="32">
        <v>4703</v>
      </c>
      <c r="E93" s="34">
        <v>235138</v>
      </c>
      <c r="F93" s="40">
        <v>235138</v>
      </c>
      <c r="G93" s="38">
        <v>1993966</v>
      </c>
      <c r="H93" s="44">
        <v>1993966</v>
      </c>
      <c r="I93" s="36">
        <v>9239963</v>
      </c>
      <c r="J93" s="42">
        <v>9239026</v>
      </c>
    </row>
    <row r="94" spans="1:10" x14ac:dyDescent="0.25">
      <c r="A94" s="30">
        <v>284</v>
      </c>
      <c r="B94" s="30">
        <v>1</v>
      </c>
      <c r="C94" s="29" t="s">
        <v>229</v>
      </c>
      <c r="D94" s="32">
        <v>12528</v>
      </c>
      <c r="E94" s="34">
        <v>1081538</v>
      </c>
      <c r="F94" s="40">
        <v>1081538</v>
      </c>
      <c r="G94" s="38">
        <v>5312042</v>
      </c>
      <c r="H94" s="44">
        <v>5312042</v>
      </c>
      <c r="I94" s="36">
        <v>17006677</v>
      </c>
      <c r="J94" s="42">
        <v>16865189</v>
      </c>
    </row>
    <row r="95" spans="1:10" x14ac:dyDescent="0.25">
      <c r="A95" s="30">
        <v>286</v>
      </c>
      <c r="B95" s="30">
        <v>1</v>
      </c>
      <c r="C95" s="29" t="s">
        <v>230</v>
      </c>
      <c r="D95" s="32">
        <v>2474</v>
      </c>
      <c r="E95" s="34">
        <v>414361</v>
      </c>
      <c r="F95" s="40">
        <v>231526</v>
      </c>
      <c r="G95" s="38">
        <v>1048891</v>
      </c>
      <c r="H95" s="44">
        <v>586073</v>
      </c>
      <c r="I95" s="36">
        <v>742140</v>
      </c>
      <c r="J95" s="42">
        <v>240323</v>
      </c>
    </row>
    <row r="96" spans="1:10" x14ac:dyDescent="0.25">
      <c r="A96" s="30">
        <v>294</v>
      </c>
      <c r="B96" s="30">
        <v>1</v>
      </c>
      <c r="C96" s="29" t="s">
        <v>231</v>
      </c>
      <c r="D96" s="32">
        <v>2846</v>
      </c>
      <c r="E96" s="34">
        <v>409824</v>
      </c>
      <c r="F96" s="40">
        <v>269668</v>
      </c>
      <c r="G96" s="38">
        <v>603352</v>
      </c>
      <c r="H96" s="44">
        <v>397011</v>
      </c>
      <c r="I96" s="36">
        <v>853800</v>
      </c>
      <c r="J96" s="42">
        <v>325593</v>
      </c>
    </row>
    <row r="97" spans="1:10" x14ac:dyDescent="0.25">
      <c r="A97" s="30">
        <v>297</v>
      </c>
      <c r="B97" s="30">
        <v>1</v>
      </c>
      <c r="C97" s="29" t="s">
        <v>232</v>
      </c>
      <c r="D97" s="32">
        <v>370</v>
      </c>
      <c r="E97" s="34">
        <v>33728</v>
      </c>
      <c r="F97" s="40">
        <v>18620</v>
      </c>
      <c r="G97" s="38">
        <v>0</v>
      </c>
      <c r="H97" s="44">
        <v>0</v>
      </c>
      <c r="I97" s="36">
        <v>537477</v>
      </c>
      <c r="J97" s="42">
        <v>378297</v>
      </c>
    </row>
    <row r="98" spans="1:10" x14ac:dyDescent="0.25">
      <c r="A98" s="30">
        <v>299</v>
      </c>
      <c r="B98" s="30">
        <v>1</v>
      </c>
      <c r="C98" s="29" t="s">
        <v>233</v>
      </c>
      <c r="D98" s="32">
        <v>722</v>
      </c>
      <c r="E98" s="34">
        <v>88226</v>
      </c>
      <c r="F98" s="40">
        <v>76053</v>
      </c>
      <c r="G98" s="38">
        <v>0</v>
      </c>
      <c r="H98" s="44">
        <v>0</v>
      </c>
      <c r="I98" s="36">
        <v>560658</v>
      </c>
      <c r="J98" s="42">
        <v>406400</v>
      </c>
    </row>
    <row r="99" spans="1:10" x14ac:dyDescent="0.25">
      <c r="A99" s="30">
        <v>300</v>
      </c>
      <c r="B99" s="30">
        <v>1</v>
      </c>
      <c r="C99" s="29" t="s">
        <v>234</v>
      </c>
      <c r="D99" s="32">
        <v>1340</v>
      </c>
      <c r="E99" s="34">
        <v>174013</v>
      </c>
      <c r="F99" s="40">
        <v>171300</v>
      </c>
      <c r="G99" s="38">
        <v>0</v>
      </c>
      <c r="H99" s="44">
        <v>0</v>
      </c>
      <c r="I99" s="36">
        <v>813901</v>
      </c>
      <c r="J99" s="42">
        <v>634873</v>
      </c>
    </row>
    <row r="100" spans="1:10" x14ac:dyDescent="0.25">
      <c r="A100" s="30">
        <v>306</v>
      </c>
      <c r="B100" s="30">
        <v>1</v>
      </c>
      <c r="C100" s="29" t="s">
        <v>235</v>
      </c>
      <c r="D100" s="32">
        <v>278</v>
      </c>
      <c r="E100" s="34">
        <v>40032</v>
      </c>
      <c r="F100" s="40">
        <v>40032</v>
      </c>
      <c r="G100" s="38">
        <v>0</v>
      </c>
      <c r="H100" s="44">
        <v>0</v>
      </c>
      <c r="I100" s="36">
        <v>83400</v>
      </c>
      <c r="J100" s="42">
        <v>56140</v>
      </c>
    </row>
    <row r="101" spans="1:10" x14ac:dyDescent="0.25">
      <c r="A101" s="30">
        <v>308</v>
      </c>
      <c r="B101" s="30">
        <v>1</v>
      </c>
      <c r="C101" s="29" t="s">
        <v>236</v>
      </c>
      <c r="D101" s="32">
        <v>610</v>
      </c>
      <c r="E101" s="34">
        <v>84411</v>
      </c>
      <c r="F101" s="40">
        <v>84411</v>
      </c>
      <c r="G101" s="38">
        <v>0</v>
      </c>
      <c r="H101" s="44">
        <v>0</v>
      </c>
      <c r="I101" s="36">
        <v>256410</v>
      </c>
      <c r="J101" s="42">
        <v>82763</v>
      </c>
    </row>
    <row r="102" spans="1:10" x14ac:dyDescent="0.25">
      <c r="A102" s="30">
        <v>309</v>
      </c>
      <c r="B102" s="30">
        <v>1</v>
      </c>
      <c r="C102" s="29" t="s">
        <v>237</v>
      </c>
      <c r="D102" s="32">
        <v>1635</v>
      </c>
      <c r="E102" s="34">
        <v>204757</v>
      </c>
      <c r="F102" s="40">
        <v>204757</v>
      </c>
      <c r="G102" s="38">
        <v>0</v>
      </c>
      <c r="H102" s="44">
        <v>0</v>
      </c>
      <c r="I102" s="36">
        <v>1159073</v>
      </c>
      <c r="J102" s="42">
        <v>969814</v>
      </c>
    </row>
    <row r="103" spans="1:10" x14ac:dyDescent="0.25">
      <c r="A103" s="30">
        <v>314</v>
      </c>
      <c r="B103" s="30">
        <v>1</v>
      </c>
      <c r="C103" s="29" t="s">
        <v>238</v>
      </c>
      <c r="D103" s="32">
        <v>930</v>
      </c>
      <c r="E103" s="34">
        <v>122155</v>
      </c>
      <c r="F103" s="40">
        <v>62098</v>
      </c>
      <c r="G103" s="38">
        <v>0</v>
      </c>
      <c r="H103" s="44">
        <v>0</v>
      </c>
      <c r="I103" s="36">
        <v>534933</v>
      </c>
      <c r="J103" s="42">
        <v>212315</v>
      </c>
    </row>
    <row r="104" spans="1:10" x14ac:dyDescent="0.25">
      <c r="A104" s="30">
        <v>316</v>
      </c>
      <c r="B104" s="30">
        <v>1</v>
      </c>
      <c r="C104" s="29" t="s">
        <v>239</v>
      </c>
      <c r="D104" s="32">
        <v>1129</v>
      </c>
      <c r="E104" s="34">
        <v>162533</v>
      </c>
      <c r="F104" s="40">
        <v>139911</v>
      </c>
      <c r="G104" s="38">
        <v>0</v>
      </c>
      <c r="H104" s="44">
        <v>0</v>
      </c>
      <c r="I104" s="36">
        <v>338610</v>
      </c>
      <c r="J104" s="42">
        <v>168926</v>
      </c>
    </row>
    <row r="105" spans="1:10" x14ac:dyDescent="0.25">
      <c r="A105" s="30">
        <v>317</v>
      </c>
      <c r="B105" s="30">
        <v>1</v>
      </c>
      <c r="C105" s="29" t="s">
        <v>240</v>
      </c>
      <c r="D105" s="32">
        <v>986</v>
      </c>
      <c r="E105" s="34">
        <v>141984</v>
      </c>
      <c r="F105" s="40">
        <v>99095</v>
      </c>
      <c r="G105" s="38">
        <v>0</v>
      </c>
      <c r="H105" s="44">
        <v>0</v>
      </c>
      <c r="I105" s="36">
        <v>295800</v>
      </c>
      <c r="J105" s="42">
        <v>119646</v>
      </c>
    </row>
    <row r="106" spans="1:10" x14ac:dyDescent="0.25">
      <c r="A106" s="30">
        <v>318</v>
      </c>
      <c r="B106" s="30">
        <v>1</v>
      </c>
      <c r="C106" s="29" t="s">
        <v>241</v>
      </c>
      <c r="D106" s="32">
        <v>4379</v>
      </c>
      <c r="E106" s="34">
        <v>630504</v>
      </c>
      <c r="F106" s="40">
        <v>630504</v>
      </c>
      <c r="G106" s="38">
        <v>928242</v>
      </c>
      <c r="H106" s="44">
        <v>928242</v>
      </c>
      <c r="I106" s="36">
        <v>1313550</v>
      </c>
      <c r="J106" s="42">
        <v>906955</v>
      </c>
    </row>
    <row r="107" spans="1:10" x14ac:dyDescent="0.25">
      <c r="A107" s="30">
        <v>319</v>
      </c>
      <c r="B107" s="30">
        <v>1</v>
      </c>
      <c r="C107" s="29" t="s">
        <v>242</v>
      </c>
      <c r="D107" s="32">
        <v>591</v>
      </c>
      <c r="E107" s="34">
        <v>72711</v>
      </c>
      <c r="F107" s="40">
        <v>46369</v>
      </c>
      <c r="G107" s="38">
        <v>0</v>
      </c>
      <c r="H107" s="44">
        <v>0</v>
      </c>
      <c r="I107" s="36">
        <v>449171</v>
      </c>
      <c r="J107" s="42">
        <v>238869</v>
      </c>
    </row>
    <row r="108" spans="1:10" x14ac:dyDescent="0.25">
      <c r="A108" s="30">
        <v>323</v>
      </c>
      <c r="B108" s="30">
        <v>2</v>
      </c>
      <c r="C108" s="29" t="s">
        <v>243</v>
      </c>
      <c r="D108" s="32">
        <v>32</v>
      </c>
      <c r="E108" s="34">
        <v>3093</v>
      </c>
      <c r="F108" s="40">
        <v>3093</v>
      </c>
      <c r="G108" s="38">
        <v>0</v>
      </c>
      <c r="H108" s="44">
        <v>0</v>
      </c>
      <c r="I108" s="36">
        <v>43181</v>
      </c>
      <c r="J108" s="42">
        <v>39148</v>
      </c>
    </row>
    <row r="109" spans="1:10" x14ac:dyDescent="0.25">
      <c r="A109" s="30">
        <v>330</v>
      </c>
      <c r="B109" s="30">
        <v>1</v>
      </c>
      <c r="C109" s="29" t="s">
        <v>244</v>
      </c>
      <c r="D109" s="32">
        <v>290</v>
      </c>
      <c r="E109" s="34">
        <v>22142</v>
      </c>
      <c r="F109" s="40">
        <v>14121</v>
      </c>
      <c r="G109" s="38">
        <v>0</v>
      </c>
      <c r="H109" s="44">
        <v>0</v>
      </c>
      <c r="I109" s="36">
        <v>514921</v>
      </c>
      <c r="J109" s="42">
        <v>411751</v>
      </c>
    </row>
    <row r="110" spans="1:10" x14ac:dyDescent="0.25">
      <c r="A110" s="30">
        <v>332</v>
      </c>
      <c r="B110" s="30">
        <v>1</v>
      </c>
      <c r="C110" s="29" t="s">
        <v>245</v>
      </c>
      <c r="D110" s="32">
        <v>1878</v>
      </c>
      <c r="E110" s="34">
        <v>270374</v>
      </c>
      <c r="F110" s="40">
        <v>145305</v>
      </c>
      <c r="G110" s="38">
        <v>0</v>
      </c>
      <c r="H110" s="44">
        <v>0</v>
      </c>
      <c r="I110" s="36">
        <v>563280</v>
      </c>
      <c r="J110" s="42">
        <v>175439</v>
      </c>
    </row>
    <row r="111" spans="1:10" x14ac:dyDescent="0.25">
      <c r="A111" s="30">
        <v>333</v>
      </c>
      <c r="B111" s="30">
        <v>1</v>
      </c>
      <c r="C111" s="29" t="s">
        <v>246</v>
      </c>
      <c r="D111" s="32">
        <v>583</v>
      </c>
      <c r="E111" s="34">
        <v>83981</v>
      </c>
      <c r="F111" s="40">
        <v>33387</v>
      </c>
      <c r="G111" s="38">
        <v>0</v>
      </c>
      <c r="H111" s="44">
        <v>0</v>
      </c>
      <c r="I111" s="36">
        <v>174960</v>
      </c>
      <c r="J111" s="42">
        <v>40311</v>
      </c>
    </row>
    <row r="112" spans="1:10" x14ac:dyDescent="0.25">
      <c r="A112" s="30">
        <v>345</v>
      </c>
      <c r="B112" s="30">
        <v>1</v>
      </c>
      <c r="C112" s="29" t="s">
        <v>247</v>
      </c>
      <c r="D112" s="32">
        <v>1454</v>
      </c>
      <c r="E112" s="34">
        <v>188801</v>
      </c>
      <c r="F112" s="40">
        <v>188801</v>
      </c>
      <c r="G112" s="38">
        <v>0</v>
      </c>
      <c r="H112" s="44">
        <v>0</v>
      </c>
      <c r="I112" s="36">
        <v>883600</v>
      </c>
      <c r="J112" s="42">
        <v>759659</v>
      </c>
    </row>
    <row r="113" spans="1:10" x14ac:dyDescent="0.25">
      <c r="A113" s="30">
        <v>347</v>
      </c>
      <c r="B113" s="30">
        <v>1</v>
      </c>
      <c r="C113" s="29" t="s">
        <v>248</v>
      </c>
      <c r="D113" s="32">
        <v>4577</v>
      </c>
      <c r="E113" s="34">
        <v>606429</v>
      </c>
      <c r="F113" s="40">
        <v>366831</v>
      </c>
      <c r="G113" s="38">
        <v>970324</v>
      </c>
      <c r="H113" s="44">
        <v>586952</v>
      </c>
      <c r="I113" s="36">
        <v>2521698</v>
      </c>
      <c r="J113" s="42">
        <v>1176156</v>
      </c>
    </row>
    <row r="114" spans="1:10" x14ac:dyDescent="0.25">
      <c r="A114" s="30">
        <v>356</v>
      </c>
      <c r="B114" s="30">
        <v>1</v>
      </c>
      <c r="C114" s="29" t="s">
        <v>249</v>
      </c>
      <c r="D114" s="32">
        <v>163</v>
      </c>
      <c r="E114" s="34">
        <v>8128</v>
      </c>
      <c r="F114" s="40">
        <v>3132</v>
      </c>
      <c r="G114" s="38">
        <v>0</v>
      </c>
      <c r="H114" s="44">
        <v>0</v>
      </c>
      <c r="I114" s="36">
        <v>400101</v>
      </c>
      <c r="J114" s="42">
        <v>227102</v>
      </c>
    </row>
    <row r="115" spans="1:10" x14ac:dyDescent="0.25">
      <c r="A115" s="30">
        <v>361</v>
      </c>
      <c r="B115" s="30">
        <v>1</v>
      </c>
      <c r="C115" s="29" t="s">
        <v>250</v>
      </c>
      <c r="D115" s="32">
        <v>1169</v>
      </c>
      <c r="E115" s="34">
        <v>143099</v>
      </c>
      <c r="F115" s="40">
        <v>103191</v>
      </c>
      <c r="G115" s="38">
        <v>0</v>
      </c>
      <c r="H115" s="44">
        <v>0</v>
      </c>
      <c r="I115" s="36">
        <v>901182</v>
      </c>
      <c r="J115" s="42">
        <v>547082</v>
      </c>
    </row>
    <row r="116" spans="1:10" x14ac:dyDescent="0.25">
      <c r="A116" s="30">
        <v>362</v>
      </c>
      <c r="B116" s="30">
        <v>1</v>
      </c>
      <c r="C116" s="29" t="s">
        <v>251</v>
      </c>
      <c r="D116" s="32">
        <v>365</v>
      </c>
      <c r="E116" s="34">
        <v>52546</v>
      </c>
      <c r="F116" s="40">
        <v>26173</v>
      </c>
      <c r="G116" s="38">
        <v>0</v>
      </c>
      <c r="H116" s="44">
        <v>0</v>
      </c>
      <c r="I116" s="36">
        <v>109470</v>
      </c>
      <c r="J116" s="42">
        <v>31600</v>
      </c>
    </row>
    <row r="117" spans="1:10" x14ac:dyDescent="0.25">
      <c r="A117" s="30">
        <v>363</v>
      </c>
      <c r="B117" s="30">
        <v>1</v>
      </c>
      <c r="C117" s="29" t="s">
        <v>252</v>
      </c>
      <c r="D117" s="32">
        <v>351</v>
      </c>
      <c r="E117" s="34">
        <v>48854</v>
      </c>
      <c r="F117" s="40">
        <v>23692</v>
      </c>
      <c r="G117" s="38">
        <v>0</v>
      </c>
      <c r="H117" s="44">
        <v>0</v>
      </c>
      <c r="I117" s="36">
        <v>140975</v>
      </c>
      <c r="J117" s="42">
        <v>745</v>
      </c>
    </row>
    <row r="118" spans="1:10" x14ac:dyDescent="0.25">
      <c r="A118" s="30">
        <v>378</v>
      </c>
      <c r="B118" s="30">
        <v>1</v>
      </c>
      <c r="C118" s="29" t="s">
        <v>253</v>
      </c>
      <c r="D118" s="32">
        <v>515</v>
      </c>
      <c r="E118" s="34">
        <v>56634</v>
      </c>
      <c r="F118" s="40">
        <v>25945</v>
      </c>
      <c r="G118" s="38">
        <v>0</v>
      </c>
      <c r="H118" s="44">
        <v>0</v>
      </c>
      <c r="I118" s="36">
        <v>535586</v>
      </c>
      <c r="J118" s="42">
        <v>265821</v>
      </c>
    </row>
    <row r="119" spans="1:10" x14ac:dyDescent="0.25">
      <c r="A119" s="30">
        <v>381</v>
      </c>
      <c r="B119" s="30">
        <v>1</v>
      </c>
      <c r="C119" s="29" t="s">
        <v>254</v>
      </c>
      <c r="D119" s="32">
        <v>1515</v>
      </c>
      <c r="E119" s="34">
        <v>218160</v>
      </c>
      <c r="F119" s="40">
        <v>218160</v>
      </c>
      <c r="G119" s="38">
        <v>0</v>
      </c>
      <c r="H119" s="44">
        <v>0</v>
      </c>
      <c r="I119" s="36">
        <v>454500</v>
      </c>
      <c r="J119" s="42">
        <v>317185</v>
      </c>
    </row>
    <row r="120" spans="1:10" x14ac:dyDescent="0.25">
      <c r="A120" s="30">
        <v>390</v>
      </c>
      <c r="B120" s="30">
        <v>1</v>
      </c>
      <c r="C120" s="29" t="s">
        <v>255</v>
      </c>
      <c r="D120" s="32">
        <v>513</v>
      </c>
      <c r="E120" s="34">
        <v>62981</v>
      </c>
      <c r="F120" s="40">
        <v>50879</v>
      </c>
      <c r="G120" s="38">
        <v>0</v>
      </c>
      <c r="H120" s="44">
        <v>0</v>
      </c>
      <c r="I120" s="36">
        <v>390946</v>
      </c>
      <c r="J120" s="42">
        <v>263792</v>
      </c>
    </row>
    <row r="121" spans="1:10" x14ac:dyDescent="0.25">
      <c r="A121" s="30">
        <v>391</v>
      </c>
      <c r="B121" s="30">
        <v>1</v>
      </c>
      <c r="C121" s="29" t="s">
        <v>256</v>
      </c>
      <c r="D121" s="32">
        <v>496</v>
      </c>
      <c r="E121" s="34">
        <v>60385</v>
      </c>
      <c r="F121" s="40">
        <v>60385</v>
      </c>
      <c r="G121" s="38">
        <v>0</v>
      </c>
      <c r="H121" s="44">
        <v>0</v>
      </c>
      <c r="I121" s="36">
        <v>390950</v>
      </c>
      <c r="J121" s="42">
        <v>344902</v>
      </c>
    </row>
    <row r="122" spans="1:10" x14ac:dyDescent="0.25">
      <c r="A122" s="30">
        <v>402</v>
      </c>
      <c r="B122" s="30">
        <v>1</v>
      </c>
      <c r="C122" s="29" t="s">
        <v>257</v>
      </c>
      <c r="D122" s="32">
        <v>113</v>
      </c>
      <c r="E122" s="34">
        <v>5633</v>
      </c>
      <c r="F122" s="40">
        <v>3437</v>
      </c>
      <c r="G122" s="38">
        <v>0</v>
      </c>
      <c r="H122" s="44">
        <v>0</v>
      </c>
      <c r="I122" s="36">
        <v>320666</v>
      </c>
      <c r="J122" s="42">
        <v>278615</v>
      </c>
    </row>
    <row r="123" spans="1:10" x14ac:dyDescent="0.25">
      <c r="A123" s="30">
        <v>403</v>
      </c>
      <c r="B123" s="30">
        <v>1</v>
      </c>
      <c r="C123" s="29" t="s">
        <v>258</v>
      </c>
      <c r="D123" s="32">
        <v>176</v>
      </c>
      <c r="E123" s="34">
        <v>12848</v>
      </c>
      <c r="F123" s="40">
        <v>6750</v>
      </c>
      <c r="G123" s="38">
        <v>0</v>
      </c>
      <c r="H123" s="44">
        <v>0</v>
      </c>
      <c r="I123" s="36">
        <v>323998</v>
      </c>
      <c r="J123" s="42">
        <v>239775</v>
      </c>
    </row>
    <row r="124" spans="1:10" x14ac:dyDescent="0.25">
      <c r="A124" s="30">
        <v>404</v>
      </c>
      <c r="B124" s="30">
        <v>1</v>
      </c>
      <c r="C124" s="29" t="s">
        <v>259</v>
      </c>
      <c r="D124" s="32">
        <v>165</v>
      </c>
      <c r="E124" s="34">
        <v>8230</v>
      </c>
      <c r="F124" s="40">
        <v>5842</v>
      </c>
      <c r="G124" s="38">
        <v>0</v>
      </c>
      <c r="H124" s="44">
        <v>0</v>
      </c>
      <c r="I124" s="36">
        <v>385725</v>
      </c>
      <c r="J124" s="42">
        <v>313917</v>
      </c>
    </row>
    <row r="125" spans="1:10" x14ac:dyDescent="0.25">
      <c r="A125" s="30">
        <v>413</v>
      </c>
      <c r="B125" s="30">
        <v>1</v>
      </c>
      <c r="C125" s="29" t="s">
        <v>260</v>
      </c>
      <c r="D125" s="32">
        <v>2533</v>
      </c>
      <c r="E125" s="34">
        <v>344021</v>
      </c>
      <c r="F125" s="40">
        <v>273460</v>
      </c>
      <c r="G125" s="38">
        <v>537038</v>
      </c>
      <c r="H125" s="44">
        <v>426888</v>
      </c>
      <c r="I125" s="36">
        <v>1212770</v>
      </c>
      <c r="J125" s="42">
        <v>710032</v>
      </c>
    </row>
    <row r="126" spans="1:10" x14ac:dyDescent="0.25">
      <c r="A126" s="30">
        <v>414</v>
      </c>
      <c r="B126" s="30">
        <v>1</v>
      </c>
      <c r="C126" s="29" t="s">
        <v>261</v>
      </c>
      <c r="D126" s="32">
        <v>496</v>
      </c>
      <c r="E126" s="34">
        <v>61929</v>
      </c>
      <c r="F126" s="40">
        <v>30693</v>
      </c>
      <c r="G126" s="38">
        <v>0</v>
      </c>
      <c r="H126" s="44">
        <v>0</v>
      </c>
      <c r="I126" s="36">
        <v>357129</v>
      </c>
      <c r="J126" s="42">
        <v>145970</v>
      </c>
    </row>
    <row r="127" spans="1:10" x14ac:dyDescent="0.25">
      <c r="A127" s="30">
        <v>415</v>
      </c>
      <c r="B127" s="30">
        <v>1</v>
      </c>
      <c r="C127" s="29" t="s">
        <v>262</v>
      </c>
      <c r="D127" s="32">
        <v>165</v>
      </c>
      <c r="E127" s="34">
        <v>12858</v>
      </c>
      <c r="F127" s="40">
        <v>9554</v>
      </c>
      <c r="G127" s="38">
        <v>0</v>
      </c>
      <c r="H127" s="44">
        <v>0</v>
      </c>
      <c r="I127" s="36">
        <v>285927</v>
      </c>
      <c r="J127" s="42">
        <v>238352</v>
      </c>
    </row>
    <row r="128" spans="1:10" x14ac:dyDescent="0.25">
      <c r="A128" s="30">
        <v>423</v>
      </c>
      <c r="B128" s="30">
        <v>1</v>
      </c>
      <c r="C128" s="29" t="s">
        <v>263</v>
      </c>
      <c r="D128" s="32">
        <v>3139</v>
      </c>
      <c r="E128" s="34">
        <v>376875</v>
      </c>
      <c r="F128" s="40">
        <v>266183</v>
      </c>
      <c r="G128" s="38">
        <v>665553</v>
      </c>
      <c r="H128" s="44">
        <v>470073</v>
      </c>
      <c r="I128" s="36">
        <v>2582062</v>
      </c>
      <c r="J128" s="42">
        <v>1601599</v>
      </c>
    </row>
    <row r="129" spans="1:10" x14ac:dyDescent="0.25">
      <c r="A129" s="30">
        <v>424</v>
      </c>
      <c r="B129" s="30">
        <v>1</v>
      </c>
      <c r="C129" s="29" t="s">
        <v>264</v>
      </c>
      <c r="D129" s="32">
        <v>419</v>
      </c>
      <c r="E129" s="34">
        <v>53515</v>
      </c>
      <c r="F129" s="40">
        <v>41161</v>
      </c>
      <c r="G129" s="38">
        <v>177444</v>
      </c>
      <c r="H129" s="44">
        <v>136479</v>
      </c>
      <c r="I129" s="36">
        <v>272762</v>
      </c>
      <c r="J129" s="42">
        <v>169191</v>
      </c>
    </row>
    <row r="130" spans="1:10" x14ac:dyDescent="0.25">
      <c r="A130" s="30">
        <v>432</v>
      </c>
      <c r="B130" s="30">
        <v>1</v>
      </c>
      <c r="C130" s="29" t="s">
        <v>265</v>
      </c>
      <c r="D130" s="32">
        <v>656</v>
      </c>
      <c r="E130" s="34">
        <v>94493</v>
      </c>
      <c r="F130" s="40">
        <v>27352</v>
      </c>
      <c r="G130" s="38">
        <v>0</v>
      </c>
      <c r="H130" s="44">
        <v>0</v>
      </c>
      <c r="I130" s="36">
        <v>196860</v>
      </c>
      <c r="J130" s="42">
        <v>33024</v>
      </c>
    </row>
    <row r="131" spans="1:10" x14ac:dyDescent="0.25">
      <c r="A131" s="30">
        <v>435</v>
      </c>
      <c r="B131" s="30">
        <v>1</v>
      </c>
      <c r="C131" s="29" t="s">
        <v>266</v>
      </c>
      <c r="D131" s="32">
        <v>634</v>
      </c>
      <c r="E131" s="34">
        <v>91325</v>
      </c>
      <c r="F131" s="40">
        <v>40226</v>
      </c>
      <c r="G131" s="38">
        <v>0</v>
      </c>
      <c r="H131" s="44">
        <v>0</v>
      </c>
      <c r="I131" s="36">
        <v>190260</v>
      </c>
      <c r="J131" s="42">
        <v>48568</v>
      </c>
    </row>
    <row r="132" spans="1:10" x14ac:dyDescent="0.25">
      <c r="A132" s="30">
        <v>441</v>
      </c>
      <c r="B132" s="30">
        <v>1</v>
      </c>
      <c r="C132" s="29" t="s">
        <v>267</v>
      </c>
      <c r="D132" s="32">
        <v>432</v>
      </c>
      <c r="E132" s="34">
        <v>40191</v>
      </c>
      <c r="F132" s="40">
        <v>32017</v>
      </c>
      <c r="G132" s="38">
        <v>0</v>
      </c>
      <c r="H132" s="44">
        <v>0</v>
      </c>
      <c r="I132" s="36">
        <v>610709</v>
      </c>
      <c r="J132" s="42">
        <v>500463</v>
      </c>
    </row>
    <row r="133" spans="1:10" x14ac:dyDescent="0.25">
      <c r="A133" s="30">
        <v>447</v>
      </c>
      <c r="B133" s="30">
        <v>1</v>
      </c>
      <c r="C133" s="29" t="s">
        <v>268</v>
      </c>
      <c r="D133" s="32">
        <v>154</v>
      </c>
      <c r="E133" s="34">
        <v>17782</v>
      </c>
      <c r="F133" s="40">
        <v>8090</v>
      </c>
      <c r="G133" s="38">
        <v>0</v>
      </c>
      <c r="H133" s="44">
        <v>0</v>
      </c>
      <c r="I133" s="36">
        <v>142048</v>
      </c>
      <c r="J133" s="42">
        <v>64417</v>
      </c>
    </row>
    <row r="134" spans="1:10" x14ac:dyDescent="0.25">
      <c r="A134" s="30">
        <v>458</v>
      </c>
      <c r="B134" s="30">
        <v>1</v>
      </c>
      <c r="C134" s="29" t="s">
        <v>269</v>
      </c>
      <c r="D134" s="32">
        <v>215</v>
      </c>
      <c r="E134" s="34">
        <v>10740</v>
      </c>
      <c r="F134" s="40">
        <v>6162</v>
      </c>
      <c r="G134" s="38">
        <v>0</v>
      </c>
      <c r="H134" s="44">
        <v>0</v>
      </c>
      <c r="I134" s="36">
        <v>505104</v>
      </c>
      <c r="J134" s="42">
        <v>300453</v>
      </c>
    </row>
    <row r="135" spans="1:10" x14ac:dyDescent="0.25">
      <c r="A135" s="30">
        <v>463</v>
      </c>
      <c r="B135" s="30">
        <v>1</v>
      </c>
      <c r="C135" s="29" t="s">
        <v>270</v>
      </c>
      <c r="D135" s="32">
        <v>1016</v>
      </c>
      <c r="E135" s="34">
        <v>121341</v>
      </c>
      <c r="F135" s="40">
        <v>65648</v>
      </c>
      <c r="G135" s="38">
        <v>0</v>
      </c>
      <c r="H135" s="44">
        <v>0</v>
      </c>
      <c r="I135" s="36">
        <v>850174</v>
      </c>
      <c r="J135" s="42">
        <v>422553</v>
      </c>
    </row>
    <row r="136" spans="1:10" x14ac:dyDescent="0.25">
      <c r="A136" s="30">
        <v>465</v>
      </c>
      <c r="B136" s="30">
        <v>1</v>
      </c>
      <c r="C136" s="29" t="s">
        <v>271</v>
      </c>
      <c r="D136" s="32">
        <v>1825</v>
      </c>
      <c r="E136" s="34">
        <v>230040</v>
      </c>
      <c r="F136" s="40">
        <v>155149</v>
      </c>
      <c r="G136" s="38">
        <v>0</v>
      </c>
      <c r="H136" s="44">
        <v>0</v>
      </c>
      <c r="I136" s="36">
        <v>1263631</v>
      </c>
      <c r="J136" s="42">
        <v>696955</v>
      </c>
    </row>
    <row r="137" spans="1:10" x14ac:dyDescent="0.25">
      <c r="A137" s="30">
        <v>466</v>
      </c>
      <c r="B137" s="30">
        <v>1</v>
      </c>
      <c r="C137" s="29" t="s">
        <v>272</v>
      </c>
      <c r="D137" s="32">
        <v>2387</v>
      </c>
      <c r="E137" s="34">
        <v>342737</v>
      </c>
      <c r="F137" s="40">
        <v>186677</v>
      </c>
      <c r="G137" s="38">
        <v>505959</v>
      </c>
      <c r="H137" s="44">
        <v>275579</v>
      </c>
      <c r="I137" s="36">
        <v>736338</v>
      </c>
      <c r="J137" s="42">
        <v>237093</v>
      </c>
    </row>
    <row r="138" spans="1:10" x14ac:dyDescent="0.25">
      <c r="A138" s="30">
        <v>473</v>
      </c>
      <c r="B138" s="30">
        <v>1</v>
      </c>
      <c r="C138" s="29" t="s">
        <v>273</v>
      </c>
      <c r="D138" s="32">
        <v>514</v>
      </c>
      <c r="E138" s="34">
        <v>73958</v>
      </c>
      <c r="F138" s="40">
        <v>73958</v>
      </c>
      <c r="G138" s="38">
        <v>0</v>
      </c>
      <c r="H138" s="44">
        <v>0</v>
      </c>
      <c r="I138" s="36">
        <v>154080</v>
      </c>
      <c r="J138" s="42">
        <v>103232</v>
      </c>
    </row>
    <row r="139" spans="1:10" x14ac:dyDescent="0.25">
      <c r="A139" s="30">
        <v>477</v>
      </c>
      <c r="B139" s="30">
        <v>1</v>
      </c>
      <c r="C139" s="29" t="s">
        <v>274</v>
      </c>
      <c r="D139" s="32">
        <v>3467</v>
      </c>
      <c r="E139" s="34">
        <v>499190</v>
      </c>
      <c r="F139" s="40">
        <v>291435</v>
      </c>
      <c r="G139" s="38">
        <v>734919</v>
      </c>
      <c r="H139" s="44">
        <v>429057</v>
      </c>
      <c r="I139" s="36">
        <v>1039980</v>
      </c>
      <c r="J139" s="42">
        <v>351874</v>
      </c>
    </row>
    <row r="140" spans="1:10" x14ac:dyDescent="0.25">
      <c r="A140" s="30">
        <v>480</v>
      </c>
      <c r="B140" s="30">
        <v>1</v>
      </c>
      <c r="C140" s="29" t="s">
        <v>275</v>
      </c>
      <c r="D140" s="32">
        <v>651</v>
      </c>
      <c r="E140" s="34">
        <v>79628</v>
      </c>
      <c r="F140" s="40">
        <v>61582</v>
      </c>
      <c r="G140" s="38">
        <v>0</v>
      </c>
      <c r="H140" s="44">
        <v>0</v>
      </c>
      <c r="I140" s="36">
        <v>502340</v>
      </c>
      <c r="J140" s="42">
        <v>326776</v>
      </c>
    </row>
    <row r="141" spans="1:10" x14ac:dyDescent="0.25">
      <c r="A141" s="30">
        <v>482</v>
      </c>
      <c r="B141" s="30">
        <v>1</v>
      </c>
      <c r="C141" s="29" t="s">
        <v>276</v>
      </c>
      <c r="D141" s="32">
        <v>2615</v>
      </c>
      <c r="E141" s="34">
        <v>324687</v>
      </c>
      <c r="F141" s="40">
        <v>202603</v>
      </c>
      <c r="G141" s="38">
        <v>554380</v>
      </c>
      <c r="H141" s="44">
        <v>345931</v>
      </c>
      <c r="I141" s="36">
        <v>1915958</v>
      </c>
      <c r="J141" s="42">
        <v>989727</v>
      </c>
    </row>
    <row r="142" spans="1:10" x14ac:dyDescent="0.25">
      <c r="A142" s="30">
        <v>484</v>
      </c>
      <c r="B142" s="30">
        <v>1</v>
      </c>
      <c r="C142" s="29" t="s">
        <v>277</v>
      </c>
      <c r="D142" s="32">
        <v>1234</v>
      </c>
      <c r="E142" s="34">
        <v>168460</v>
      </c>
      <c r="F142" s="40">
        <v>88867</v>
      </c>
      <c r="G142" s="38">
        <v>0</v>
      </c>
      <c r="H142" s="44">
        <v>0</v>
      </c>
      <c r="I142" s="36">
        <v>570281</v>
      </c>
      <c r="J142" s="42">
        <v>218754</v>
      </c>
    </row>
    <row r="143" spans="1:10" x14ac:dyDescent="0.25">
      <c r="A143" s="30">
        <v>485</v>
      </c>
      <c r="B143" s="30">
        <v>1</v>
      </c>
      <c r="C143" s="29" t="s">
        <v>278</v>
      </c>
      <c r="D143" s="32">
        <v>941</v>
      </c>
      <c r="E143" s="34">
        <v>135569</v>
      </c>
      <c r="F143" s="40">
        <v>77083</v>
      </c>
      <c r="G143" s="38">
        <v>0</v>
      </c>
      <c r="H143" s="44">
        <v>0</v>
      </c>
      <c r="I143" s="36">
        <v>282435</v>
      </c>
      <c r="J143" s="42">
        <v>93069</v>
      </c>
    </row>
    <row r="144" spans="1:10" x14ac:dyDescent="0.25">
      <c r="A144" s="30">
        <v>486</v>
      </c>
      <c r="B144" s="30">
        <v>1</v>
      </c>
      <c r="C144" s="29" t="s">
        <v>279</v>
      </c>
      <c r="D144" s="32">
        <v>358</v>
      </c>
      <c r="E144" s="34">
        <v>42936</v>
      </c>
      <c r="F144" s="40">
        <v>26045</v>
      </c>
      <c r="G144" s="38">
        <v>0</v>
      </c>
      <c r="H144" s="44">
        <v>0</v>
      </c>
      <c r="I144" s="36">
        <v>293958</v>
      </c>
      <c r="J144" s="42">
        <v>159678</v>
      </c>
    </row>
    <row r="145" spans="1:10" x14ac:dyDescent="0.25">
      <c r="A145" s="30">
        <v>487</v>
      </c>
      <c r="B145" s="30">
        <v>1</v>
      </c>
      <c r="C145" s="29" t="s">
        <v>280</v>
      </c>
      <c r="D145" s="32">
        <v>364</v>
      </c>
      <c r="E145" s="34">
        <v>43259</v>
      </c>
      <c r="F145" s="40">
        <v>29779</v>
      </c>
      <c r="G145" s="38">
        <v>0</v>
      </c>
      <c r="H145" s="44">
        <v>0</v>
      </c>
      <c r="I145" s="36">
        <v>309965</v>
      </c>
      <c r="J145" s="42">
        <v>192060</v>
      </c>
    </row>
    <row r="146" spans="1:10" x14ac:dyDescent="0.25">
      <c r="A146" s="30">
        <v>492</v>
      </c>
      <c r="B146" s="30">
        <v>1</v>
      </c>
      <c r="C146" s="29" t="s">
        <v>281</v>
      </c>
      <c r="D146" s="32">
        <v>5139</v>
      </c>
      <c r="E146" s="34">
        <v>679955</v>
      </c>
      <c r="F146" s="40">
        <v>325142</v>
      </c>
      <c r="G146" s="38">
        <v>1089383</v>
      </c>
      <c r="H146" s="44">
        <v>520923</v>
      </c>
      <c r="I146" s="36">
        <v>2850381</v>
      </c>
      <c r="J146" s="42">
        <v>1053059</v>
      </c>
    </row>
    <row r="147" spans="1:10" x14ac:dyDescent="0.25">
      <c r="A147" s="30">
        <v>495</v>
      </c>
      <c r="B147" s="30">
        <v>1</v>
      </c>
      <c r="C147" s="29" t="s">
        <v>282</v>
      </c>
      <c r="D147" s="32">
        <v>435</v>
      </c>
      <c r="E147" s="34">
        <v>39964</v>
      </c>
      <c r="F147" s="40">
        <v>17900</v>
      </c>
      <c r="G147" s="38">
        <v>0</v>
      </c>
      <c r="H147" s="44">
        <v>0</v>
      </c>
      <c r="I147" s="36">
        <v>624760</v>
      </c>
      <c r="J147" s="42">
        <v>355249</v>
      </c>
    </row>
    <row r="148" spans="1:10" x14ac:dyDescent="0.25">
      <c r="A148" s="30">
        <v>497</v>
      </c>
      <c r="B148" s="30">
        <v>1</v>
      </c>
      <c r="C148" s="29" t="s">
        <v>283</v>
      </c>
      <c r="D148" s="32">
        <v>255</v>
      </c>
      <c r="E148" s="34">
        <v>31604</v>
      </c>
      <c r="F148" s="40">
        <v>15485</v>
      </c>
      <c r="G148" s="38">
        <v>0</v>
      </c>
      <c r="H148" s="44">
        <v>0</v>
      </c>
      <c r="I148" s="36">
        <v>188430</v>
      </c>
      <c r="J148" s="42">
        <v>76561</v>
      </c>
    </row>
    <row r="149" spans="1:10" x14ac:dyDescent="0.25">
      <c r="A149" s="30">
        <v>499</v>
      </c>
      <c r="B149" s="30">
        <v>1</v>
      </c>
      <c r="C149" s="29" t="s">
        <v>284</v>
      </c>
      <c r="D149" s="32">
        <v>305</v>
      </c>
      <c r="E149" s="34">
        <v>22623</v>
      </c>
      <c r="F149" s="40">
        <v>12786</v>
      </c>
      <c r="G149" s="38">
        <v>0</v>
      </c>
      <c r="H149" s="44">
        <v>0</v>
      </c>
      <c r="I149" s="36">
        <v>554661</v>
      </c>
      <c r="J149" s="42">
        <v>394845</v>
      </c>
    </row>
    <row r="150" spans="1:10" x14ac:dyDescent="0.25">
      <c r="A150" s="30">
        <v>500</v>
      </c>
      <c r="B150" s="30">
        <v>1</v>
      </c>
      <c r="C150" s="29" t="s">
        <v>285</v>
      </c>
      <c r="D150" s="32">
        <v>450</v>
      </c>
      <c r="E150" s="34">
        <v>55695</v>
      </c>
      <c r="F150" s="40">
        <v>43760</v>
      </c>
      <c r="G150" s="38">
        <v>0</v>
      </c>
      <c r="H150" s="44">
        <v>0</v>
      </c>
      <c r="I150" s="36">
        <v>331875</v>
      </c>
      <c r="J150" s="42">
        <v>216208</v>
      </c>
    </row>
    <row r="151" spans="1:10" x14ac:dyDescent="0.25">
      <c r="A151" s="30">
        <v>505</v>
      </c>
      <c r="B151" s="30">
        <v>1</v>
      </c>
      <c r="C151" s="29" t="s">
        <v>286</v>
      </c>
      <c r="D151" s="32">
        <v>322</v>
      </c>
      <c r="E151" s="34">
        <v>34548</v>
      </c>
      <c r="F151" s="40">
        <v>19694</v>
      </c>
      <c r="G151" s="38">
        <v>0</v>
      </c>
      <c r="H151" s="44">
        <v>0</v>
      </c>
      <c r="I151" s="36">
        <v>353391</v>
      </c>
      <c r="J151" s="42">
        <v>225140</v>
      </c>
    </row>
    <row r="152" spans="1:10" x14ac:dyDescent="0.25">
      <c r="A152" s="30">
        <v>507</v>
      </c>
      <c r="B152" s="30">
        <v>1</v>
      </c>
      <c r="C152" s="29" t="s">
        <v>287</v>
      </c>
      <c r="D152" s="32">
        <v>387</v>
      </c>
      <c r="E152" s="34">
        <v>33626</v>
      </c>
      <c r="F152" s="40">
        <v>28038</v>
      </c>
      <c r="G152" s="38">
        <v>0</v>
      </c>
      <c r="H152" s="44">
        <v>0</v>
      </c>
      <c r="I152" s="36">
        <v>596814</v>
      </c>
      <c r="J152" s="42">
        <v>465322</v>
      </c>
    </row>
    <row r="153" spans="1:10" x14ac:dyDescent="0.25">
      <c r="A153" s="30">
        <v>508</v>
      </c>
      <c r="B153" s="30">
        <v>1</v>
      </c>
      <c r="C153" s="29" t="s">
        <v>288</v>
      </c>
      <c r="D153" s="32">
        <v>2102</v>
      </c>
      <c r="E153" s="34">
        <v>243078</v>
      </c>
      <c r="F153" s="40">
        <v>172144</v>
      </c>
      <c r="G153" s="38">
        <v>0</v>
      </c>
      <c r="H153" s="44">
        <v>0</v>
      </c>
      <c r="I153" s="36">
        <v>1931501</v>
      </c>
      <c r="J153" s="42">
        <v>1277492</v>
      </c>
    </row>
    <row r="154" spans="1:10" x14ac:dyDescent="0.25">
      <c r="A154" s="30">
        <v>511</v>
      </c>
      <c r="B154" s="30">
        <v>1</v>
      </c>
      <c r="C154" s="29" t="s">
        <v>289</v>
      </c>
      <c r="D154" s="32">
        <v>592</v>
      </c>
      <c r="E154" s="34">
        <v>62483</v>
      </c>
      <c r="F154" s="40">
        <v>27406</v>
      </c>
      <c r="G154" s="38">
        <v>0</v>
      </c>
      <c r="H154" s="44">
        <v>0</v>
      </c>
      <c r="I154" s="36">
        <v>674339</v>
      </c>
      <c r="J154" s="42">
        <v>337682</v>
      </c>
    </row>
    <row r="155" spans="1:10" x14ac:dyDescent="0.25">
      <c r="A155" s="30">
        <v>514</v>
      </c>
      <c r="B155" s="30">
        <v>1</v>
      </c>
      <c r="C155" s="29" t="s">
        <v>290</v>
      </c>
      <c r="D155" s="32">
        <v>153</v>
      </c>
      <c r="E155" s="34">
        <v>11173</v>
      </c>
      <c r="F155" s="40">
        <v>5599</v>
      </c>
      <c r="G155" s="38">
        <v>0</v>
      </c>
      <c r="H155" s="44">
        <v>0</v>
      </c>
      <c r="I155" s="36">
        <v>281732</v>
      </c>
      <c r="J155" s="42">
        <v>189787</v>
      </c>
    </row>
    <row r="156" spans="1:10" x14ac:dyDescent="0.25">
      <c r="A156" s="30">
        <v>518</v>
      </c>
      <c r="B156" s="30">
        <v>1</v>
      </c>
      <c r="C156" s="29" t="s">
        <v>291</v>
      </c>
      <c r="D156" s="32">
        <v>3153</v>
      </c>
      <c r="E156" s="34">
        <v>370577</v>
      </c>
      <c r="F156" s="40">
        <v>153724</v>
      </c>
      <c r="G156" s="38">
        <v>668351</v>
      </c>
      <c r="H156" s="44">
        <v>277248</v>
      </c>
      <c r="I156" s="36">
        <v>2764862</v>
      </c>
      <c r="J156" s="42">
        <v>1098061</v>
      </c>
    </row>
    <row r="157" spans="1:10" x14ac:dyDescent="0.25">
      <c r="A157" s="30">
        <v>531</v>
      </c>
      <c r="B157" s="30">
        <v>1</v>
      </c>
      <c r="C157" s="29" t="s">
        <v>292</v>
      </c>
      <c r="D157" s="32">
        <v>2106</v>
      </c>
      <c r="E157" s="34">
        <v>303250</v>
      </c>
      <c r="F157" s="40">
        <v>209517</v>
      </c>
      <c r="G157" s="38">
        <v>0</v>
      </c>
      <c r="H157" s="44">
        <v>0</v>
      </c>
      <c r="I157" s="36">
        <v>631770</v>
      </c>
      <c r="J157" s="42">
        <v>252968</v>
      </c>
    </row>
    <row r="158" spans="1:10" x14ac:dyDescent="0.25">
      <c r="A158" s="30">
        <v>533</v>
      </c>
      <c r="B158" s="30">
        <v>1</v>
      </c>
      <c r="C158" s="29" t="s">
        <v>293</v>
      </c>
      <c r="D158" s="32">
        <v>1287</v>
      </c>
      <c r="E158" s="34">
        <v>185328</v>
      </c>
      <c r="F158" s="40">
        <v>102521</v>
      </c>
      <c r="G158" s="38">
        <v>0</v>
      </c>
      <c r="H158" s="44">
        <v>0</v>
      </c>
      <c r="I158" s="36">
        <v>386100</v>
      </c>
      <c r="J158" s="42">
        <v>123782</v>
      </c>
    </row>
    <row r="159" spans="1:10" x14ac:dyDescent="0.25">
      <c r="A159" s="30">
        <v>534</v>
      </c>
      <c r="B159" s="30">
        <v>1</v>
      </c>
      <c r="C159" s="29" t="s">
        <v>294</v>
      </c>
      <c r="D159" s="32">
        <v>2071</v>
      </c>
      <c r="E159" s="34">
        <v>254700</v>
      </c>
      <c r="F159" s="40">
        <v>181509</v>
      </c>
      <c r="G159" s="38">
        <v>0</v>
      </c>
      <c r="H159" s="44">
        <v>0</v>
      </c>
      <c r="I159" s="36">
        <v>1572210</v>
      </c>
      <c r="J159" s="42">
        <v>934213</v>
      </c>
    </row>
    <row r="160" spans="1:10" x14ac:dyDescent="0.25">
      <c r="A160" s="30">
        <v>535</v>
      </c>
      <c r="B160" s="30">
        <v>1</v>
      </c>
      <c r="C160" s="29" t="s">
        <v>295</v>
      </c>
      <c r="D160" s="32">
        <v>17934</v>
      </c>
      <c r="E160" s="34">
        <v>2538984</v>
      </c>
      <c r="F160" s="40">
        <v>2538984</v>
      </c>
      <c r="G160" s="38">
        <v>3802093</v>
      </c>
      <c r="H160" s="44">
        <v>3802093</v>
      </c>
      <c r="I160" s="36">
        <v>6330664</v>
      </c>
      <c r="J160" s="42">
        <v>4166440</v>
      </c>
    </row>
    <row r="161" spans="1:10" x14ac:dyDescent="0.25">
      <c r="A161" s="30">
        <v>542</v>
      </c>
      <c r="B161" s="30">
        <v>1</v>
      </c>
      <c r="C161" s="29" t="s">
        <v>296</v>
      </c>
      <c r="D161" s="32">
        <v>455</v>
      </c>
      <c r="E161" s="34">
        <v>59015</v>
      </c>
      <c r="F161" s="40">
        <v>59015</v>
      </c>
      <c r="G161" s="38">
        <v>0</v>
      </c>
      <c r="H161" s="44">
        <v>0</v>
      </c>
      <c r="I161" s="36">
        <v>277196</v>
      </c>
      <c r="J161" s="42">
        <v>277177</v>
      </c>
    </row>
    <row r="162" spans="1:10" x14ac:dyDescent="0.25">
      <c r="A162" s="30">
        <v>544</v>
      </c>
      <c r="B162" s="30">
        <v>1</v>
      </c>
      <c r="C162" s="29" t="s">
        <v>297</v>
      </c>
      <c r="D162" s="32">
        <v>2423</v>
      </c>
      <c r="E162" s="34">
        <v>348941</v>
      </c>
      <c r="F162" s="40">
        <v>348941</v>
      </c>
      <c r="G162" s="38">
        <v>513718</v>
      </c>
      <c r="H162" s="44">
        <v>513718</v>
      </c>
      <c r="I162" s="36">
        <v>726960</v>
      </c>
      <c r="J162" s="42">
        <v>493137</v>
      </c>
    </row>
    <row r="163" spans="1:10" x14ac:dyDescent="0.25">
      <c r="A163" s="30">
        <v>545</v>
      </c>
      <c r="B163" s="30">
        <v>1</v>
      </c>
      <c r="C163" s="29" t="s">
        <v>298</v>
      </c>
      <c r="D163" s="32">
        <v>420</v>
      </c>
      <c r="E163" s="34">
        <v>42276</v>
      </c>
      <c r="F163" s="40">
        <v>32129</v>
      </c>
      <c r="G163" s="38">
        <v>0</v>
      </c>
      <c r="H163" s="44">
        <v>0</v>
      </c>
      <c r="I163" s="36">
        <v>523762</v>
      </c>
      <c r="J163" s="42">
        <v>406832</v>
      </c>
    </row>
    <row r="164" spans="1:10" x14ac:dyDescent="0.25">
      <c r="A164" s="30">
        <v>547</v>
      </c>
      <c r="B164" s="30">
        <v>1</v>
      </c>
      <c r="C164" s="29" t="s">
        <v>299</v>
      </c>
      <c r="D164" s="32">
        <v>531</v>
      </c>
      <c r="E164" s="34">
        <v>54690</v>
      </c>
      <c r="F164" s="40">
        <v>38579</v>
      </c>
      <c r="G164" s="38">
        <v>0</v>
      </c>
      <c r="H164" s="44">
        <v>0</v>
      </c>
      <c r="I164" s="36">
        <v>634933</v>
      </c>
      <c r="J164" s="42">
        <v>468738</v>
      </c>
    </row>
    <row r="165" spans="1:10" x14ac:dyDescent="0.25">
      <c r="A165" s="30">
        <v>548</v>
      </c>
      <c r="B165" s="30">
        <v>1</v>
      </c>
      <c r="C165" s="29" t="s">
        <v>300</v>
      </c>
      <c r="D165" s="32">
        <v>976</v>
      </c>
      <c r="E165" s="34">
        <v>121359</v>
      </c>
      <c r="F165" s="40">
        <v>119039</v>
      </c>
      <c r="G165" s="38">
        <v>0</v>
      </c>
      <c r="H165" s="44">
        <v>0</v>
      </c>
      <c r="I165" s="36">
        <v>710578</v>
      </c>
      <c r="J165" s="42">
        <v>576264</v>
      </c>
    </row>
    <row r="166" spans="1:10" x14ac:dyDescent="0.25">
      <c r="A166" s="30">
        <v>549</v>
      </c>
      <c r="B166" s="30">
        <v>1</v>
      </c>
      <c r="C166" s="29" t="s">
        <v>301</v>
      </c>
      <c r="D166" s="32">
        <v>1369</v>
      </c>
      <c r="E166" s="34">
        <v>197115</v>
      </c>
      <c r="F166" s="40">
        <v>197115</v>
      </c>
      <c r="G166" s="38">
        <v>0</v>
      </c>
      <c r="H166" s="44">
        <v>0</v>
      </c>
      <c r="I166" s="36">
        <v>410655</v>
      </c>
      <c r="J166" s="42">
        <v>374178</v>
      </c>
    </row>
    <row r="167" spans="1:10" x14ac:dyDescent="0.25">
      <c r="A167" s="30">
        <v>550</v>
      </c>
      <c r="B167" s="30">
        <v>1</v>
      </c>
      <c r="C167" s="29" t="s">
        <v>302</v>
      </c>
      <c r="D167" s="32">
        <v>600</v>
      </c>
      <c r="E167" s="34">
        <v>84391</v>
      </c>
      <c r="F167" s="40">
        <v>84391</v>
      </c>
      <c r="G167" s="38">
        <v>0</v>
      </c>
      <c r="H167" s="44">
        <v>0</v>
      </c>
      <c r="I167" s="36">
        <v>225192</v>
      </c>
      <c r="J167" s="42">
        <v>307</v>
      </c>
    </row>
    <row r="168" spans="1:10" x14ac:dyDescent="0.25">
      <c r="A168" s="30">
        <v>553</v>
      </c>
      <c r="B168" s="30">
        <v>1</v>
      </c>
      <c r="C168" s="29" t="s">
        <v>303</v>
      </c>
      <c r="D168" s="32">
        <v>791</v>
      </c>
      <c r="E168" s="34">
        <v>107993</v>
      </c>
      <c r="F168" s="40">
        <v>62117</v>
      </c>
      <c r="G168" s="38">
        <v>0</v>
      </c>
      <c r="H168" s="44">
        <v>0</v>
      </c>
      <c r="I168" s="36">
        <v>365539</v>
      </c>
      <c r="J168" s="42">
        <v>152881</v>
      </c>
    </row>
    <row r="169" spans="1:10" x14ac:dyDescent="0.25">
      <c r="A169" s="30">
        <v>561</v>
      </c>
      <c r="B169" s="30">
        <v>1</v>
      </c>
      <c r="C169" s="29" t="s">
        <v>304</v>
      </c>
      <c r="D169" s="32">
        <v>224</v>
      </c>
      <c r="E169" s="34">
        <v>11180</v>
      </c>
      <c r="F169" s="40">
        <v>3113</v>
      </c>
      <c r="G169" s="38">
        <v>0</v>
      </c>
      <c r="H169" s="44">
        <v>0</v>
      </c>
      <c r="I169" s="36">
        <v>639263</v>
      </c>
      <c r="J169" s="42">
        <v>269321</v>
      </c>
    </row>
    <row r="170" spans="1:10" x14ac:dyDescent="0.25">
      <c r="A170" s="30">
        <v>564</v>
      </c>
      <c r="B170" s="30">
        <v>1</v>
      </c>
      <c r="C170" s="29" t="s">
        <v>305</v>
      </c>
      <c r="D170" s="32">
        <v>2178</v>
      </c>
      <c r="E170" s="34">
        <v>263172</v>
      </c>
      <c r="F170" s="40">
        <v>160144</v>
      </c>
      <c r="G170" s="38">
        <v>0</v>
      </c>
      <c r="H170" s="44">
        <v>0</v>
      </c>
      <c r="I170" s="36">
        <v>1753347</v>
      </c>
      <c r="J170" s="42">
        <v>938229</v>
      </c>
    </row>
    <row r="171" spans="1:10" x14ac:dyDescent="0.25">
      <c r="A171" s="30">
        <v>577</v>
      </c>
      <c r="B171" s="30">
        <v>1</v>
      </c>
      <c r="C171" s="29" t="s">
        <v>306</v>
      </c>
      <c r="D171" s="32">
        <v>457</v>
      </c>
      <c r="E171" s="34">
        <v>65808</v>
      </c>
      <c r="F171" s="40">
        <v>40161</v>
      </c>
      <c r="G171" s="38">
        <v>0</v>
      </c>
      <c r="H171" s="44">
        <v>0</v>
      </c>
      <c r="I171" s="36">
        <v>137100</v>
      </c>
      <c r="J171" s="42">
        <v>48490</v>
      </c>
    </row>
    <row r="172" spans="1:10" x14ac:dyDescent="0.25">
      <c r="A172" s="30">
        <v>578</v>
      </c>
      <c r="B172" s="30">
        <v>1</v>
      </c>
      <c r="C172" s="29" t="s">
        <v>307</v>
      </c>
      <c r="D172" s="32">
        <v>1855</v>
      </c>
      <c r="E172" s="34">
        <v>217983</v>
      </c>
      <c r="F172" s="40">
        <v>131710</v>
      </c>
      <c r="G172" s="38">
        <v>0</v>
      </c>
      <c r="H172" s="44">
        <v>0</v>
      </c>
      <c r="I172" s="36">
        <v>1628977</v>
      </c>
      <c r="J172" s="42">
        <v>929556</v>
      </c>
    </row>
    <row r="173" spans="1:10" x14ac:dyDescent="0.25">
      <c r="A173" s="30">
        <v>581</v>
      </c>
      <c r="B173" s="30">
        <v>1</v>
      </c>
      <c r="C173" s="29" t="s">
        <v>308</v>
      </c>
      <c r="D173" s="32">
        <v>395</v>
      </c>
      <c r="E173" s="34">
        <v>43805</v>
      </c>
      <c r="F173" s="40">
        <v>33692</v>
      </c>
      <c r="G173" s="38">
        <v>0</v>
      </c>
      <c r="H173" s="44">
        <v>0</v>
      </c>
      <c r="I173" s="36">
        <v>402161</v>
      </c>
      <c r="J173" s="42">
        <v>294657</v>
      </c>
    </row>
    <row r="174" spans="1:10" x14ac:dyDescent="0.25">
      <c r="A174" s="30">
        <v>592</v>
      </c>
      <c r="B174" s="30">
        <v>1</v>
      </c>
      <c r="C174" s="29" t="s">
        <v>309</v>
      </c>
      <c r="D174" s="32">
        <v>129</v>
      </c>
      <c r="E174" s="34">
        <v>6425</v>
      </c>
      <c r="F174" s="40">
        <v>2244</v>
      </c>
      <c r="G174" s="38">
        <v>0</v>
      </c>
      <c r="H174" s="44">
        <v>0</v>
      </c>
      <c r="I174" s="36">
        <v>288966</v>
      </c>
      <c r="J174" s="42">
        <v>145969</v>
      </c>
    </row>
    <row r="175" spans="1:10" x14ac:dyDescent="0.25">
      <c r="A175" s="30">
        <v>593</v>
      </c>
      <c r="B175" s="30">
        <v>1</v>
      </c>
      <c r="C175" s="29" t="s">
        <v>310</v>
      </c>
      <c r="D175" s="32">
        <v>1399</v>
      </c>
      <c r="E175" s="34">
        <v>122434</v>
      </c>
      <c r="F175" s="40">
        <v>60196</v>
      </c>
      <c r="G175" s="38">
        <v>0</v>
      </c>
      <c r="H175" s="44">
        <v>0</v>
      </c>
      <c r="I175" s="36">
        <v>2144706</v>
      </c>
      <c r="J175" s="42">
        <v>1386302</v>
      </c>
    </row>
    <row r="176" spans="1:10" x14ac:dyDescent="0.25">
      <c r="A176" s="30">
        <v>595</v>
      </c>
      <c r="B176" s="30">
        <v>1</v>
      </c>
      <c r="C176" s="29" t="s">
        <v>311</v>
      </c>
      <c r="D176" s="32">
        <v>1820</v>
      </c>
      <c r="E176" s="34">
        <v>230334</v>
      </c>
      <c r="F176" s="40">
        <v>144666</v>
      </c>
      <c r="G176" s="38">
        <v>0</v>
      </c>
      <c r="H176" s="44">
        <v>0</v>
      </c>
      <c r="I176" s="36">
        <v>1238455</v>
      </c>
      <c r="J176" s="42">
        <v>633650</v>
      </c>
    </row>
    <row r="177" spans="1:10" x14ac:dyDescent="0.25">
      <c r="A177" s="30">
        <v>599</v>
      </c>
      <c r="B177" s="30">
        <v>1</v>
      </c>
      <c r="C177" s="29" t="s">
        <v>312</v>
      </c>
      <c r="D177" s="32">
        <v>476</v>
      </c>
      <c r="E177" s="34">
        <v>49104</v>
      </c>
      <c r="F177" s="40">
        <v>32896</v>
      </c>
      <c r="G177" s="38">
        <v>0</v>
      </c>
      <c r="H177" s="44">
        <v>0</v>
      </c>
      <c r="I177" s="36">
        <v>565441</v>
      </c>
      <c r="J177" s="42">
        <v>405945</v>
      </c>
    </row>
    <row r="178" spans="1:10" x14ac:dyDescent="0.25">
      <c r="A178" s="30">
        <v>600</v>
      </c>
      <c r="B178" s="30">
        <v>1</v>
      </c>
      <c r="C178" s="29" t="s">
        <v>313</v>
      </c>
      <c r="D178" s="32">
        <v>270</v>
      </c>
      <c r="E178" s="34">
        <v>31580</v>
      </c>
      <c r="F178" s="40">
        <v>19752</v>
      </c>
      <c r="G178" s="38">
        <v>0</v>
      </c>
      <c r="H178" s="44">
        <v>0</v>
      </c>
      <c r="I178" s="36">
        <v>238508</v>
      </c>
      <c r="J178" s="42">
        <v>77667</v>
      </c>
    </row>
    <row r="179" spans="1:10" x14ac:dyDescent="0.25">
      <c r="A179" s="30">
        <v>601</v>
      </c>
      <c r="B179" s="30">
        <v>1</v>
      </c>
      <c r="C179" s="29" t="s">
        <v>314</v>
      </c>
      <c r="D179" s="32">
        <v>682</v>
      </c>
      <c r="E179" s="34">
        <v>71410</v>
      </c>
      <c r="F179" s="40">
        <v>37520</v>
      </c>
      <c r="G179" s="38">
        <v>0</v>
      </c>
      <c r="H179" s="44">
        <v>0</v>
      </c>
      <c r="I179" s="36">
        <v>790506</v>
      </c>
      <c r="J179" s="42">
        <v>478489</v>
      </c>
    </row>
    <row r="180" spans="1:10" x14ac:dyDescent="0.25">
      <c r="A180" s="30">
        <v>621</v>
      </c>
      <c r="B180" s="30">
        <v>1</v>
      </c>
      <c r="C180" s="29" t="s">
        <v>315</v>
      </c>
      <c r="D180" s="32">
        <v>11360</v>
      </c>
      <c r="E180" s="34">
        <v>1160431</v>
      </c>
      <c r="F180" s="40">
        <v>1160431</v>
      </c>
      <c r="G180" s="38">
        <v>4816810</v>
      </c>
      <c r="H180" s="44">
        <v>4816810</v>
      </c>
      <c r="I180" s="36">
        <v>13079910</v>
      </c>
      <c r="J180" s="42">
        <v>12302644</v>
      </c>
    </row>
    <row r="181" spans="1:10" x14ac:dyDescent="0.25">
      <c r="A181" s="30">
        <v>622</v>
      </c>
      <c r="B181" s="30">
        <v>1</v>
      </c>
      <c r="C181" s="29" t="s">
        <v>316</v>
      </c>
      <c r="D181" s="32">
        <v>11790</v>
      </c>
      <c r="E181" s="34">
        <v>1803953</v>
      </c>
      <c r="F181" s="40">
        <v>1803953</v>
      </c>
      <c r="G181" s="38">
        <v>4999130</v>
      </c>
      <c r="H181" s="44">
        <v>4999130</v>
      </c>
      <c r="I181" s="36">
        <v>5763973</v>
      </c>
      <c r="J181" s="42">
        <v>4337292</v>
      </c>
    </row>
    <row r="182" spans="1:10" x14ac:dyDescent="0.25">
      <c r="A182" s="30">
        <v>623</v>
      </c>
      <c r="B182" s="30">
        <v>1</v>
      </c>
      <c r="C182" s="29" t="s">
        <v>317</v>
      </c>
      <c r="D182" s="32">
        <v>7887</v>
      </c>
      <c r="E182" s="34">
        <v>831991</v>
      </c>
      <c r="F182" s="40">
        <v>831991</v>
      </c>
      <c r="G182" s="38">
        <v>3344003</v>
      </c>
      <c r="H182" s="44">
        <v>3344003</v>
      </c>
      <c r="I182" s="36">
        <v>8736918</v>
      </c>
      <c r="J182" s="42">
        <v>8256778</v>
      </c>
    </row>
    <row r="183" spans="1:10" x14ac:dyDescent="0.25">
      <c r="A183" s="30">
        <v>624</v>
      </c>
      <c r="B183" s="30">
        <v>1</v>
      </c>
      <c r="C183" s="29" t="s">
        <v>318</v>
      </c>
      <c r="D183" s="32">
        <v>8949</v>
      </c>
      <c r="E183" s="34">
        <v>723638</v>
      </c>
      <c r="F183" s="40">
        <v>723638</v>
      </c>
      <c r="G183" s="38">
        <v>3794567</v>
      </c>
      <c r="H183" s="44">
        <v>3794567</v>
      </c>
      <c r="I183" s="36">
        <v>12785990</v>
      </c>
      <c r="J183" s="42">
        <v>11985679</v>
      </c>
    </row>
    <row r="184" spans="1:10" x14ac:dyDescent="0.25">
      <c r="A184" s="30">
        <v>625</v>
      </c>
      <c r="B184" s="30">
        <v>1</v>
      </c>
      <c r="C184" s="29" t="s">
        <v>319</v>
      </c>
      <c r="D184" s="32">
        <v>40728</v>
      </c>
      <c r="E184" s="34">
        <v>2036400</v>
      </c>
      <c r="F184" s="40">
        <v>1429379</v>
      </c>
      <c r="G184" s="38">
        <v>17268672</v>
      </c>
      <c r="H184" s="44">
        <v>12121134</v>
      </c>
      <c r="I184" s="36">
        <v>26043112</v>
      </c>
      <c r="J184" s="42">
        <v>14674108</v>
      </c>
    </row>
    <row r="185" spans="1:10" x14ac:dyDescent="0.25">
      <c r="A185" s="30">
        <v>630</v>
      </c>
      <c r="B185" s="30">
        <v>1</v>
      </c>
      <c r="C185" s="29" t="s">
        <v>320</v>
      </c>
      <c r="D185" s="32">
        <v>401</v>
      </c>
      <c r="E185" s="34">
        <v>32458</v>
      </c>
      <c r="F185" s="40">
        <v>12091</v>
      </c>
      <c r="G185" s="38">
        <v>0</v>
      </c>
      <c r="H185" s="44">
        <v>0</v>
      </c>
      <c r="I185" s="36">
        <v>670456</v>
      </c>
      <c r="J185" s="42">
        <v>334354</v>
      </c>
    </row>
    <row r="186" spans="1:10" x14ac:dyDescent="0.25">
      <c r="A186" s="30">
        <v>635</v>
      </c>
      <c r="B186" s="30">
        <v>1</v>
      </c>
      <c r="C186" s="29" t="s">
        <v>321</v>
      </c>
      <c r="D186" s="32">
        <v>56</v>
      </c>
      <c r="E186" s="34">
        <v>2820</v>
      </c>
      <c r="F186" s="40">
        <v>1687</v>
      </c>
      <c r="G186" s="38">
        <v>0</v>
      </c>
      <c r="H186" s="44">
        <v>0</v>
      </c>
      <c r="I186" s="36">
        <v>195026</v>
      </c>
      <c r="J186" s="42">
        <v>159223</v>
      </c>
    </row>
    <row r="187" spans="1:10" x14ac:dyDescent="0.25">
      <c r="A187" s="30">
        <v>640</v>
      </c>
      <c r="B187" s="30">
        <v>1</v>
      </c>
      <c r="C187" s="29" t="s">
        <v>322</v>
      </c>
      <c r="D187" s="32">
        <v>372</v>
      </c>
      <c r="E187" s="34">
        <v>40518</v>
      </c>
      <c r="F187" s="40">
        <v>23620</v>
      </c>
      <c r="G187" s="38">
        <v>0</v>
      </c>
      <c r="H187" s="44">
        <v>0</v>
      </c>
      <c r="I187" s="36">
        <v>396933</v>
      </c>
      <c r="J187" s="42">
        <v>251592</v>
      </c>
    </row>
    <row r="188" spans="1:10" x14ac:dyDescent="0.25">
      <c r="A188" s="30">
        <v>656</v>
      </c>
      <c r="B188" s="30">
        <v>1</v>
      </c>
      <c r="C188" s="29" t="s">
        <v>126</v>
      </c>
      <c r="D188" s="32">
        <v>4097</v>
      </c>
      <c r="E188" s="34">
        <v>469384</v>
      </c>
      <c r="F188" s="40">
        <v>337402</v>
      </c>
      <c r="G188" s="38">
        <v>868606</v>
      </c>
      <c r="H188" s="44">
        <v>624369</v>
      </c>
      <c r="I188" s="36">
        <v>3859972</v>
      </c>
      <c r="J188" s="42">
        <v>2612917</v>
      </c>
    </row>
    <row r="189" spans="1:10" x14ac:dyDescent="0.25">
      <c r="A189" s="30">
        <v>659</v>
      </c>
      <c r="B189" s="30">
        <v>1</v>
      </c>
      <c r="C189" s="29" t="s">
        <v>323</v>
      </c>
      <c r="D189" s="32">
        <v>4029</v>
      </c>
      <c r="E189" s="34">
        <v>376706</v>
      </c>
      <c r="F189" s="40">
        <v>330398</v>
      </c>
      <c r="G189" s="38">
        <v>1708211</v>
      </c>
      <c r="H189" s="44">
        <v>1498224</v>
      </c>
      <c r="I189" s="36">
        <v>5646121</v>
      </c>
      <c r="J189" s="42">
        <v>4824021</v>
      </c>
    </row>
    <row r="190" spans="1:10" x14ac:dyDescent="0.25">
      <c r="A190" s="30">
        <v>671</v>
      </c>
      <c r="B190" s="30">
        <v>1</v>
      </c>
      <c r="C190" s="29" t="s">
        <v>324</v>
      </c>
      <c r="D190" s="32">
        <v>369</v>
      </c>
      <c r="E190" s="34">
        <v>30796</v>
      </c>
      <c r="F190" s="40">
        <v>14391</v>
      </c>
      <c r="G190" s="38">
        <v>0</v>
      </c>
      <c r="H190" s="44">
        <v>0</v>
      </c>
      <c r="I190" s="36">
        <v>596601</v>
      </c>
      <c r="J190" s="42">
        <v>369255</v>
      </c>
    </row>
    <row r="191" spans="1:10" x14ac:dyDescent="0.25">
      <c r="A191" s="30">
        <v>676</v>
      </c>
      <c r="B191" s="30">
        <v>1</v>
      </c>
      <c r="C191" s="29" t="s">
        <v>325</v>
      </c>
      <c r="D191" s="32">
        <v>218</v>
      </c>
      <c r="E191" s="34">
        <v>10878</v>
      </c>
      <c r="F191" s="40">
        <v>3449</v>
      </c>
      <c r="G191" s="38">
        <v>0</v>
      </c>
      <c r="H191" s="44">
        <v>0</v>
      </c>
      <c r="I191" s="36">
        <v>444883</v>
      </c>
      <c r="J191" s="42">
        <v>199602</v>
      </c>
    </row>
    <row r="192" spans="1:10" x14ac:dyDescent="0.25">
      <c r="A192" s="30">
        <v>682</v>
      </c>
      <c r="B192" s="30">
        <v>1</v>
      </c>
      <c r="C192" s="29" t="s">
        <v>326</v>
      </c>
      <c r="D192" s="32">
        <v>1324</v>
      </c>
      <c r="E192" s="34">
        <v>164166</v>
      </c>
      <c r="F192" s="40">
        <v>71318</v>
      </c>
      <c r="G192" s="38">
        <v>0</v>
      </c>
      <c r="H192" s="44">
        <v>0</v>
      </c>
      <c r="I192" s="36">
        <v>975684</v>
      </c>
      <c r="J192" s="42">
        <v>351303</v>
      </c>
    </row>
    <row r="193" spans="1:10" x14ac:dyDescent="0.25">
      <c r="A193" s="30">
        <v>690</v>
      </c>
      <c r="B193" s="30">
        <v>1</v>
      </c>
      <c r="C193" s="29" t="s">
        <v>327</v>
      </c>
      <c r="D193" s="32">
        <v>1134</v>
      </c>
      <c r="E193" s="34">
        <v>143810</v>
      </c>
      <c r="F193" s="40">
        <v>67929</v>
      </c>
      <c r="G193" s="38">
        <v>0</v>
      </c>
      <c r="H193" s="44">
        <v>0</v>
      </c>
      <c r="I193" s="36">
        <v>765925</v>
      </c>
      <c r="J193" s="42">
        <v>294211</v>
      </c>
    </row>
    <row r="194" spans="1:10" x14ac:dyDescent="0.25">
      <c r="A194" s="30">
        <v>695</v>
      </c>
      <c r="B194" s="30">
        <v>1</v>
      </c>
      <c r="C194" s="29" t="s">
        <v>328</v>
      </c>
      <c r="D194" s="32">
        <v>809</v>
      </c>
      <c r="E194" s="34">
        <v>91332</v>
      </c>
      <c r="F194" s="40">
        <v>36489</v>
      </c>
      <c r="G194" s="38">
        <v>0</v>
      </c>
      <c r="H194" s="44">
        <v>0</v>
      </c>
      <c r="I194" s="36">
        <v>790212</v>
      </c>
      <c r="J194" s="42">
        <v>328204</v>
      </c>
    </row>
    <row r="195" spans="1:10" x14ac:dyDescent="0.25">
      <c r="A195" s="30">
        <v>696</v>
      </c>
      <c r="B195" s="30">
        <v>1</v>
      </c>
      <c r="C195" s="29" t="s">
        <v>329</v>
      </c>
      <c r="D195" s="32">
        <v>572</v>
      </c>
      <c r="E195" s="34">
        <v>64311</v>
      </c>
      <c r="F195" s="40">
        <v>64311</v>
      </c>
      <c r="G195" s="38">
        <v>0</v>
      </c>
      <c r="H195" s="44">
        <v>0</v>
      </c>
      <c r="I195" s="36">
        <v>563739</v>
      </c>
      <c r="J195" s="42">
        <v>541604</v>
      </c>
    </row>
    <row r="196" spans="1:10" x14ac:dyDescent="0.25">
      <c r="A196" s="30">
        <v>698</v>
      </c>
      <c r="B196" s="30">
        <v>1</v>
      </c>
      <c r="C196" s="29" t="s">
        <v>330</v>
      </c>
      <c r="D196" s="32">
        <v>267</v>
      </c>
      <c r="E196" s="34">
        <v>38506</v>
      </c>
      <c r="F196" s="40">
        <v>38506</v>
      </c>
      <c r="G196" s="38">
        <v>0</v>
      </c>
      <c r="H196" s="44">
        <v>0</v>
      </c>
      <c r="I196" s="36">
        <v>80220</v>
      </c>
      <c r="J196" s="42">
        <v>71119</v>
      </c>
    </row>
    <row r="197" spans="1:10" x14ac:dyDescent="0.25">
      <c r="A197" s="30">
        <v>700</v>
      </c>
      <c r="B197" s="30">
        <v>1</v>
      </c>
      <c r="C197" s="29" t="s">
        <v>331</v>
      </c>
      <c r="D197" s="32">
        <v>2155</v>
      </c>
      <c r="E197" s="34">
        <v>310277</v>
      </c>
      <c r="F197" s="40">
        <v>310277</v>
      </c>
      <c r="G197" s="38">
        <v>456796</v>
      </c>
      <c r="H197" s="44">
        <v>456796</v>
      </c>
      <c r="I197" s="36">
        <v>646410</v>
      </c>
      <c r="J197" s="42">
        <v>388040</v>
      </c>
    </row>
    <row r="198" spans="1:10" x14ac:dyDescent="0.25">
      <c r="A198" s="30">
        <v>701</v>
      </c>
      <c r="B198" s="30">
        <v>1</v>
      </c>
      <c r="C198" s="29" t="s">
        <v>332</v>
      </c>
      <c r="D198" s="32">
        <v>2514</v>
      </c>
      <c r="E198" s="34">
        <v>339036</v>
      </c>
      <c r="F198" s="40">
        <v>228009</v>
      </c>
      <c r="G198" s="38">
        <v>533053</v>
      </c>
      <c r="H198" s="44">
        <v>358490</v>
      </c>
      <c r="I198" s="36">
        <v>1256823</v>
      </c>
      <c r="J198" s="42">
        <v>631946</v>
      </c>
    </row>
    <row r="199" spans="1:10" x14ac:dyDescent="0.25">
      <c r="A199" s="30">
        <v>704</v>
      </c>
      <c r="B199" s="30">
        <v>1</v>
      </c>
      <c r="C199" s="29" t="s">
        <v>333</v>
      </c>
      <c r="D199" s="32">
        <v>1956</v>
      </c>
      <c r="E199" s="34">
        <v>281664</v>
      </c>
      <c r="F199" s="40">
        <v>263567</v>
      </c>
      <c r="G199" s="38">
        <v>0</v>
      </c>
      <c r="H199" s="44">
        <v>0</v>
      </c>
      <c r="I199" s="36">
        <v>586800</v>
      </c>
      <c r="J199" s="42">
        <v>318228</v>
      </c>
    </row>
    <row r="200" spans="1:10" x14ac:dyDescent="0.25">
      <c r="A200" s="30">
        <v>706</v>
      </c>
      <c r="B200" s="30">
        <v>1</v>
      </c>
      <c r="C200" s="29" t="s">
        <v>334</v>
      </c>
      <c r="D200" s="32">
        <v>1932</v>
      </c>
      <c r="E200" s="34">
        <v>242323</v>
      </c>
      <c r="F200" s="40">
        <v>163621</v>
      </c>
      <c r="G200" s="38">
        <v>0</v>
      </c>
      <c r="H200" s="44">
        <v>0</v>
      </c>
      <c r="I200" s="36">
        <v>1361649</v>
      </c>
      <c r="J200" s="42">
        <v>754881</v>
      </c>
    </row>
    <row r="201" spans="1:10" x14ac:dyDescent="0.25">
      <c r="A201" s="30">
        <v>707</v>
      </c>
      <c r="B201" s="30">
        <v>1</v>
      </c>
      <c r="C201" s="29" t="s">
        <v>335</v>
      </c>
      <c r="D201" s="32">
        <v>135</v>
      </c>
      <c r="E201" s="34">
        <v>17475</v>
      </c>
      <c r="F201" s="40">
        <v>36</v>
      </c>
      <c r="G201" s="38">
        <v>0</v>
      </c>
      <c r="H201" s="44">
        <v>0</v>
      </c>
      <c r="I201" s="36">
        <v>83701</v>
      </c>
      <c r="J201" s="42">
        <v>136</v>
      </c>
    </row>
    <row r="202" spans="1:10" x14ac:dyDescent="0.25">
      <c r="A202" s="30">
        <v>709</v>
      </c>
      <c r="B202" s="30">
        <v>1</v>
      </c>
      <c r="C202" s="29" t="s">
        <v>336</v>
      </c>
      <c r="D202" s="32">
        <v>9023</v>
      </c>
      <c r="E202" s="34">
        <v>451130</v>
      </c>
      <c r="F202" s="40">
        <v>451130</v>
      </c>
      <c r="G202" s="38">
        <v>1912791</v>
      </c>
      <c r="H202" s="44">
        <v>1912791</v>
      </c>
      <c r="I202" s="36">
        <v>5267213</v>
      </c>
      <c r="J202" s="42">
        <v>4233982</v>
      </c>
    </row>
    <row r="203" spans="1:10" x14ac:dyDescent="0.25">
      <c r="A203" s="30">
        <v>712</v>
      </c>
      <c r="B203" s="30">
        <v>1</v>
      </c>
      <c r="C203" s="29" t="s">
        <v>337</v>
      </c>
      <c r="D203" s="32">
        <v>533</v>
      </c>
      <c r="E203" s="34">
        <v>66909</v>
      </c>
      <c r="F203" s="40">
        <v>50533</v>
      </c>
      <c r="G203" s="38">
        <v>0</v>
      </c>
      <c r="H203" s="44">
        <v>0</v>
      </c>
      <c r="I203" s="36">
        <v>375983</v>
      </c>
      <c r="J203" s="42">
        <v>233150</v>
      </c>
    </row>
    <row r="204" spans="1:10" x14ac:dyDescent="0.25">
      <c r="A204" s="30">
        <v>716</v>
      </c>
      <c r="B204" s="30">
        <v>1</v>
      </c>
      <c r="C204" s="29" t="s">
        <v>338</v>
      </c>
      <c r="D204" s="32">
        <v>1741</v>
      </c>
      <c r="E204" s="34">
        <v>291627</v>
      </c>
      <c r="F204" s="40">
        <v>200967</v>
      </c>
      <c r="G204" s="38">
        <v>738205</v>
      </c>
      <c r="H204" s="44">
        <v>508716</v>
      </c>
      <c r="I204" s="36">
        <v>522315</v>
      </c>
      <c r="J204" s="42">
        <v>208602</v>
      </c>
    </row>
    <row r="205" spans="1:10" x14ac:dyDescent="0.25">
      <c r="A205" s="30">
        <v>717</v>
      </c>
      <c r="B205" s="30">
        <v>1</v>
      </c>
      <c r="C205" s="29" t="s">
        <v>339</v>
      </c>
      <c r="D205" s="32">
        <v>1955</v>
      </c>
      <c r="E205" s="34">
        <v>327530</v>
      </c>
      <c r="F205" s="40">
        <v>191491</v>
      </c>
      <c r="G205" s="38">
        <v>829090</v>
      </c>
      <c r="H205" s="44">
        <v>484728</v>
      </c>
      <c r="I205" s="36">
        <v>586620</v>
      </c>
      <c r="J205" s="42">
        <v>198765</v>
      </c>
    </row>
    <row r="206" spans="1:10" x14ac:dyDescent="0.25">
      <c r="A206" s="30">
        <v>719</v>
      </c>
      <c r="B206" s="30">
        <v>1</v>
      </c>
      <c r="C206" s="29" t="s">
        <v>340</v>
      </c>
      <c r="D206" s="32">
        <v>8089</v>
      </c>
      <c r="E206" s="34">
        <v>1101736</v>
      </c>
      <c r="F206" s="40">
        <v>1094681</v>
      </c>
      <c r="G206" s="38">
        <v>3429609</v>
      </c>
      <c r="H206" s="44">
        <v>3407646</v>
      </c>
      <c r="I206" s="36">
        <v>5724049</v>
      </c>
      <c r="J206" s="42">
        <v>4673647</v>
      </c>
    </row>
    <row r="207" spans="1:10" x14ac:dyDescent="0.25">
      <c r="A207" s="30">
        <v>720</v>
      </c>
      <c r="B207" s="30">
        <v>1</v>
      </c>
      <c r="C207" s="29" t="s">
        <v>341</v>
      </c>
      <c r="D207" s="32">
        <v>8915</v>
      </c>
      <c r="E207" s="34">
        <v>1493263</v>
      </c>
      <c r="F207" s="40">
        <v>1206087</v>
      </c>
      <c r="G207" s="38">
        <v>3779960</v>
      </c>
      <c r="H207" s="44">
        <v>3053021</v>
      </c>
      <c r="I207" s="36">
        <v>2674500</v>
      </c>
      <c r="J207" s="42">
        <v>1251909</v>
      </c>
    </row>
    <row r="208" spans="1:10" x14ac:dyDescent="0.25">
      <c r="A208" s="30">
        <v>721</v>
      </c>
      <c r="B208" s="30">
        <v>1</v>
      </c>
      <c r="C208" s="29" t="s">
        <v>342</v>
      </c>
      <c r="D208" s="32">
        <v>4328</v>
      </c>
      <c r="E208" s="34">
        <v>683461</v>
      </c>
      <c r="F208" s="40">
        <v>523399</v>
      </c>
      <c r="G208" s="38">
        <v>1835242</v>
      </c>
      <c r="H208" s="44">
        <v>1405440</v>
      </c>
      <c r="I208" s="36">
        <v>1839743</v>
      </c>
      <c r="J208" s="42">
        <v>990781</v>
      </c>
    </row>
    <row r="209" spans="1:10" x14ac:dyDescent="0.25">
      <c r="A209" s="30">
        <v>726</v>
      </c>
      <c r="B209" s="30">
        <v>1</v>
      </c>
      <c r="C209" s="29" t="s">
        <v>343</v>
      </c>
      <c r="D209" s="32">
        <v>2981</v>
      </c>
      <c r="E209" s="34">
        <v>391572</v>
      </c>
      <c r="F209" s="40">
        <v>367722</v>
      </c>
      <c r="G209" s="38">
        <v>632014</v>
      </c>
      <c r="H209" s="44">
        <v>593519</v>
      </c>
      <c r="I209" s="36">
        <v>1717141</v>
      </c>
      <c r="J209" s="42">
        <v>1259419</v>
      </c>
    </row>
    <row r="210" spans="1:10" x14ac:dyDescent="0.25">
      <c r="A210" s="30">
        <v>727</v>
      </c>
      <c r="B210" s="30">
        <v>1</v>
      </c>
      <c r="C210" s="29" t="s">
        <v>344</v>
      </c>
      <c r="D210" s="32">
        <v>3507</v>
      </c>
      <c r="E210" s="34">
        <v>493065</v>
      </c>
      <c r="F210" s="40">
        <v>273937</v>
      </c>
      <c r="G210" s="38">
        <v>743399</v>
      </c>
      <c r="H210" s="44">
        <v>413017</v>
      </c>
      <c r="I210" s="36">
        <v>1311223</v>
      </c>
      <c r="J210" s="42">
        <v>482750</v>
      </c>
    </row>
    <row r="211" spans="1:10" x14ac:dyDescent="0.25">
      <c r="A211" s="30">
        <v>728</v>
      </c>
      <c r="B211" s="30">
        <v>1</v>
      </c>
      <c r="C211" s="29" t="s">
        <v>345</v>
      </c>
      <c r="D211" s="32">
        <v>14021</v>
      </c>
      <c r="E211" s="34">
        <v>1987958</v>
      </c>
      <c r="F211" s="40">
        <v>1377203</v>
      </c>
      <c r="G211" s="38">
        <v>5944734</v>
      </c>
      <c r="H211" s="44">
        <v>4118350</v>
      </c>
      <c r="I211" s="36">
        <v>4882534</v>
      </c>
      <c r="J211" s="42">
        <v>2157313</v>
      </c>
    </row>
    <row r="212" spans="1:10" x14ac:dyDescent="0.25">
      <c r="A212" s="30">
        <v>738</v>
      </c>
      <c r="B212" s="30">
        <v>1</v>
      </c>
      <c r="C212" s="29" t="s">
        <v>346</v>
      </c>
      <c r="D212" s="32">
        <v>1118</v>
      </c>
      <c r="E212" s="34">
        <v>151837</v>
      </c>
      <c r="F212" s="40">
        <v>90966</v>
      </c>
      <c r="G212" s="38">
        <v>0</v>
      </c>
      <c r="H212" s="44">
        <v>0</v>
      </c>
      <c r="I212" s="36">
        <v>534398</v>
      </c>
      <c r="J212" s="42">
        <v>235688</v>
      </c>
    </row>
    <row r="213" spans="1:10" x14ac:dyDescent="0.25">
      <c r="A213" s="30">
        <v>739</v>
      </c>
      <c r="B213" s="30">
        <v>1</v>
      </c>
      <c r="C213" s="29" t="s">
        <v>347</v>
      </c>
      <c r="D213" s="32">
        <v>706</v>
      </c>
      <c r="E213" s="34">
        <v>76409</v>
      </c>
      <c r="F213" s="40">
        <v>58078</v>
      </c>
      <c r="G213" s="38">
        <v>0</v>
      </c>
      <c r="H213" s="44">
        <v>0</v>
      </c>
      <c r="I213" s="36">
        <v>761968</v>
      </c>
      <c r="J213" s="42">
        <v>565610</v>
      </c>
    </row>
    <row r="214" spans="1:10" x14ac:dyDescent="0.25">
      <c r="A214" s="30">
        <v>740</v>
      </c>
      <c r="B214" s="30">
        <v>1</v>
      </c>
      <c r="C214" s="29" t="s">
        <v>348</v>
      </c>
      <c r="D214" s="32">
        <v>1502</v>
      </c>
      <c r="E214" s="34">
        <v>185643</v>
      </c>
      <c r="F214" s="40">
        <v>117452</v>
      </c>
      <c r="G214" s="38">
        <v>0</v>
      </c>
      <c r="H214" s="44">
        <v>0</v>
      </c>
      <c r="I214" s="36">
        <v>1120415</v>
      </c>
      <c r="J214" s="42">
        <v>588962</v>
      </c>
    </row>
    <row r="215" spans="1:10" x14ac:dyDescent="0.25">
      <c r="A215" s="30">
        <v>741</v>
      </c>
      <c r="B215" s="30">
        <v>1</v>
      </c>
      <c r="C215" s="29" t="s">
        <v>349</v>
      </c>
      <c r="D215" s="32">
        <v>1034</v>
      </c>
      <c r="E215" s="34">
        <v>126959</v>
      </c>
      <c r="F215" s="40">
        <v>99049</v>
      </c>
      <c r="G215" s="38">
        <v>0</v>
      </c>
      <c r="H215" s="44">
        <v>0</v>
      </c>
      <c r="I215" s="36">
        <v>788004</v>
      </c>
      <c r="J215" s="42">
        <v>513546</v>
      </c>
    </row>
    <row r="216" spans="1:10" x14ac:dyDescent="0.25">
      <c r="A216" s="30">
        <v>742</v>
      </c>
      <c r="B216" s="30">
        <v>1</v>
      </c>
      <c r="C216" s="29" t="s">
        <v>350</v>
      </c>
      <c r="D216" s="32">
        <v>10451</v>
      </c>
      <c r="E216" s="34">
        <v>1436242</v>
      </c>
      <c r="F216" s="40">
        <v>1393369</v>
      </c>
      <c r="G216" s="38">
        <v>2215570</v>
      </c>
      <c r="H216" s="44">
        <v>2149433</v>
      </c>
      <c r="I216" s="36">
        <v>4633153</v>
      </c>
      <c r="J216" s="42">
        <v>3215974</v>
      </c>
    </row>
    <row r="217" spans="1:10" x14ac:dyDescent="0.25">
      <c r="A217" s="30">
        <v>743</v>
      </c>
      <c r="B217" s="30">
        <v>1</v>
      </c>
      <c r="C217" s="29" t="s">
        <v>351</v>
      </c>
      <c r="D217" s="32">
        <v>886</v>
      </c>
      <c r="E217" s="34">
        <v>84289</v>
      </c>
      <c r="F217" s="40">
        <v>75686</v>
      </c>
      <c r="G217" s="38">
        <v>0</v>
      </c>
      <c r="H217" s="44">
        <v>0</v>
      </c>
      <c r="I217" s="36">
        <v>1211540</v>
      </c>
      <c r="J217" s="42">
        <v>1042389</v>
      </c>
    </row>
    <row r="218" spans="1:10" x14ac:dyDescent="0.25">
      <c r="A218" s="30">
        <v>745</v>
      </c>
      <c r="B218" s="30">
        <v>1</v>
      </c>
      <c r="C218" s="29" t="s">
        <v>352</v>
      </c>
      <c r="D218" s="32">
        <v>1883</v>
      </c>
      <c r="E218" s="34">
        <v>271152</v>
      </c>
      <c r="F218" s="40">
        <v>173564</v>
      </c>
      <c r="G218" s="38">
        <v>0</v>
      </c>
      <c r="H218" s="44">
        <v>0</v>
      </c>
      <c r="I218" s="36">
        <v>564900</v>
      </c>
      <c r="J218" s="42">
        <v>209559</v>
      </c>
    </row>
    <row r="219" spans="1:10" x14ac:dyDescent="0.25">
      <c r="A219" s="30">
        <v>748</v>
      </c>
      <c r="B219" s="30">
        <v>1</v>
      </c>
      <c r="C219" s="29" t="s">
        <v>353</v>
      </c>
      <c r="D219" s="32">
        <v>4095</v>
      </c>
      <c r="E219" s="34">
        <v>550192</v>
      </c>
      <c r="F219" s="40">
        <v>337498</v>
      </c>
      <c r="G219" s="38">
        <v>868098</v>
      </c>
      <c r="H219" s="44">
        <v>532507</v>
      </c>
      <c r="I219" s="36">
        <v>2089126</v>
      </c>
      <c r="J219" s="42">
        <v>964675</v>
      </c>
    </row>
    <row r="220" spans="1:10" x14ac:dyDescent="0.25">
      <c r="A220" s="30">
        <v>750</v>
      </c>
      <c r="B220" s="30">
        <v>1</v>
      </c>
      <c r="C220" s="29" t="s">
        <v>354</v>
      </c>
      <c r="D220" s="32">
        <v>2214</v>
      </c>
      <c r="E220" s="34">
        <v>318166</v>
      </c>
      <c r="F220" s="40">
        <v>271782</v>
      </c>
      <c r="G220" s="38">
        <v>469453</v>
      </c>
      <c r="H220" s="44">
        <v>401013</v>
      </c>
      <c r="I220" s="36">
        <v>679754</v>
      </c>
      <c r="J220" s="42">
        <v>342059</v>
      </c>
    </row>
    <row r="221" spans="1:10" x14ac:dyDescent="0.25">
      <c r="A221" s="30">
        <v>756</v>
      </c>
      <c r="B221" s="30">
        <v>1</v>
      </c>
      <c r="C221" s="29" t="s">
        <v>355</v>
      </c>
      <c r="D221" s="32">
        <v>746</v>
      </c>
      <c r="E221" s="34">
        <v>88752</v>
      </c>
      <c r="F221" s="40">
        <v>45070</v>
      </c>
      <c r="G221" s="38">
        <v>0</v>
      </c>
      <c r="H221" s="44">
        <v>0</v>
      </c>
      <c r="I221" s="36">
        <v>630579</v>
      </c>
      <c r="J221" s="42">
        <v>296997</v>
      </c>
    </row>
    <row r="222" spans="1:10" x14ac:dyDescent="0.25">
      <c r="A222" s="30">
        <v>761</v>
      </c>
      <c r="B222" s="30">
        <v>1</v>
      </c>
      <c r="C222" s="29" t="s">
        <v>356</v>
      </c>
      <c r="D222" s="32">
        <v>5134</v>
      </c>
      <c r="E222" s="34">
        <v>603163</v>
      </c>
      <c r="F222" s="40">
        <v>414137</v>
      </c>
      <c r="G222" s="38">
        <v>1088323</v>
      </c>
      <c r="H222" s="44">
        <v>747252</v>
      </c>
      <c r="I222" s="36">
        <v>4508174</v>
      </c>
      <c r="J222" s="42">
        <v>2840864</v>
      </c>
    </row>
    <row r="223" spans="1:10" x14ac:dyDescent="0.25">
      <c r="A223" s="30">
        <v>763</v>
      </c>
      <c r="B223" s="30">
        <v>1</v>
      </c>
      <c r="C223" s="29" t="s">
        <v>357</v>
      </c>
      <c r="D223" s="32">
        <v>928</v>
      </c>
      <c r="E223" s="34">
        <v>133574</v>
      </c>
      <c r="F223" s="40">
        <v>79629</v>
      </c>
      <c r="G223" s="38">
        <v>0</v>
      </c>
      <c r="H223" s="44">
        <v>0</v>
      </c>
      <c r="I223" s="36">
        <v>278280</v>
      </c>
      <c r="J223" s="42">
        <v>96144</v>
      </c>
    </row>
    <row r="224" spans="1:10" x14ac:dyDescent="0.25">
      <c r="A224" s="30">
        <v>768</v>
      </c>
      <c r="B224" s="30">
        <v>1</v>
      </c>
      <c r="C224" s="29" t="s">
        <v>358</v>
      </c>
      <c r="D224" s="32">
        <v>356</v>
      </c>
      <c r="E224" s="34">
        <v>39046</v>
      </c>
      <c r="F224" s="40">
        <v>14374</v>
      </c>
      <c r="G224" s="38">
        <v>0</v>
      </c>
      <c r="H224" s="44">
        <v>0</v>
      </c>
      <c r="I224" s="36">
        <v>374676</v>
      </c>
      <c r="J224" s="42">
        <v>150377</v>
      </c>
    </row>
    <row r="225" spans="1:10" x14ac:dyDescent="0.25">
      <c r="A225" s="30">
        <v>771</v>
      </c>
      <c r="B225" s="30">
        <v>1</v>
      </c>
      <c r="C225" s="29" t="s">
        <v>359</v>
      </c>
      <c r="D225" s="32">
        <v>172</v>
      </c>
      <c r="E225" s="34">
        <v>8580</v>
      </c>
      <c r="F225" s="40">
        <v>4156</v>
      </c>
      <c r="G225" s="38">
        <v>0</v>
      </c>
      <c r="H225" s="44">
        <v>0</v>
      </c>
      <c r="I225" s="36">
        <v>601002</v>
      </c>
      <c r="J225" s="42">
        <v>453585</v>
      </c>
    </row>
    <row r="226" spans="1:10" x14ac:dyDescent="0.25">
      <c r="A226" s="30">
        <v>775</v>
      </c>
      <c r="B226" s="30">
        <v>1</v>
      </c>
      <c r="C226" s="29" t="s">
        <v>360</v>
      </c>
      <c r="D226" s="32">
        <v>633</v>
      </c>
      <c r="E226" s="34">
        <v>89601</v>
      </c>
      <c r="F226" s="40">
        <v>49874</v>
      </c>
      <c r="G226" s="38">
        <v>0</v>
      </c>
      <c r="H226" s="44">
        <v>0</v>
      </c>
      <c r="I226" s="36">
        <v>224067</v>
      </c>
      <c r="J226" s="42">
        <v>80271</v>
      </c>
    </row>
    <row r="227" spans="1:10" x14ac:dyDescent="0.25">
      <c r="A227" s="30">
        <v>777</v>
      </c>
      <c r="B227" s="30">
        <v>1</v>
      </c>
      <c r="C227" s="29" t="s">
        <v>361</v>
      </c>
      <c r="D227" s="32">
        <v>922</v>
      </c>
      <c r="E227" s="34">
        <v>94145</v>
      </c>
      <c r="F227" s="40">
        <v>60716</v>
      </c>
      <c r="G227" s="38">
        <v>0</v>
      </c>
      <c r="H227" s="44">
        <v>0</v>
      </c>
      <c r="I227" s="36">
        <v>1119735</v>
      </c>
      <c r="J227" s="42">
        <v>795848</v>
      </c>
    </row>
    <row r="228" spans="1:10" x14ac:dyDescent="0.25">
      <c r="A228" s="30">
        <v>786</v>
      </c>
      <c r="B228" s="30">
        <v>1</v>
      </c>
      <c r="C228" s="29" t="s">
        <v>362</v>
      </c>
      <c r="D228" s="32">
        <v>399</v>
      </c>
      <c r="E228" s="34">
        <v>50161</v>
      </c>
      <c r="F228" s="40">
        <v>23044</v>
      </c>
      <c r="G228" s="38">
        <v>0</v>
      </c>
      <c r="H228" s="44">
        <v>0</v>
      </c>
      <c r="I228" s="36">
        <v>277109</v>
      </c>
      <c r="J228" s="42">
        <v>87676</v>
      </c>
    </row>
    <row r="229" spans="1:10" x14ac:dyDescent="0.25">
      <c r="A229" s="30">
        <v>787</v>
      </c>
      <c r="B229" s="30">
        <v>1</v>
      </c>
      <c r="C229" s="29" t="s">
        <v>363</v>
      </c>
      <c r="D229" s="32">
        <v>396</v>
      </c>
      <c r="E229" s="34">
        <v>57053</v>
      </c>
      <c r="F229" s="40">
        <v>46004</v>
      </c>
      <c r="G229" s="38">
        <v>0</v>
      </c>
      <c r="H229" s="44">
        <v>0</v>
      </c>
      <c r="I229" s="36">
        <v>118860</v>
      </c>
      <c r="J229" s="42">
        <v>39722</v>
      </c>
    </row>
    <row r="230" spans="1:10" x14ac:dyDescent="0.25">
      <c r="A230" s="30">
        <v>801</v>
      </c>
      <c r="B230" s="30">
        <v>1</v>
      </c>
      <c r="C230" s="29" t="s">
        <v>364</v>
      </c>
      <c r="D230" s="32">
        <v>104</v>
      </c>
      <c r="E230" s="34">
        <v>9230</v>
      </c>
      <c r="F230" s="40">
        <v>3654</v>
      </c>
      <c r="G230" s="38">
        <v>0</v>
      </c>
      <c r="H230" s="44">
        <v>0</v>
      </c>
      <c r="I230" s="36">
        <v>156543</v>
      </c>
      <c r="J230" s="42">
        <v>80049</v>
      </c>
    </row>
    <row r="231" spans="1:10" x14ac:dyDescent="0.25">
      <c r="A231" s="30">
        <v>803</v>
      </c>
      <c r="B231" s="30">
        <v>1</v>
      </c>
      <c r="C231" s="29" t="s">
        <v>365</v>
      </c>
      <c r="D231" s="32">
        <v>366</v>
      </c>
      <c r="E231" s="34">
        <v>30973</v>
      </c>
      <c r="F231" s="40">
        <v>15479</v>
      </c>
      <c r="G231" s="38">
        <v>0</v>
      </c>
      <c r="H231" s="44">
        <v>0</v>
      </c>
      <c r="I231" s="36">
        <v>582776</v>
      </c>
      <c r="J231" s="42">
        <v>383777</v>
      </c>
    </row>
    <row r="232" spans="1:10" x14ac:dyDescent="0.25">
      <c r="A232" s="30">
        <v>811</v>
      </c>
      <c r="B232" s="30">
        <v>1</v>
      </c>
      <c r="C232" s="29" t="s">
        <v>366</v>
      </c>
      <c r="D232" s="32">
        <v>629</v>
      </c>
      <c r="E232" s="34">
        <v>66450</v>
      </c>
      <c r="F232" s="40">
        <v>66450</v>
      </c>
      <c r="G232" s="38">
        <v>0</v>
      </c>
      <c r="H232" s="44">
        <v>0</v>
      </c>
      <c r="I232" s="36">
        <v>715633</v>
      </c>
      <c r="J232" s="42">
        <v>663235</v>
      </c>
    </row>
    <row r="233" spans="1:10" x14ac:dyDescent="0.25">
      <c r="A233" s="30">
        <v>813</v>
      </c>
      <c r="B233" s="30">
        <v>1</v>
      </c>
      <c r="C233" s="29" t="s">
        <v>367</v>
      </c>
      <c r="D233" s="32">
        <v>1314</v>
      </c>
      <c r="E233" s="34">
        <v>147863</v>
      </c>
      <c r="F233" s="40">
        <v>147863</v>
      </c>
      <c r="G233" s="38">
        <v>0</v>
      </c>
      <c r="H233" s="44">
        <v>0</v>
      </c>
      <c r="I233" s="36">
        <v>1297227</v>
      </c>
      <c r="J233" s="42">
        <v>1141834</v>
      </c>
    </row>
    <row r="234" spans="1:10" x14ac:dyDescent="0.25">
      <c r="A234" s="30">
        <v>815</v>
      </c>
      <c r="B234" s="30">
        <v>2</v>
      </c>
      <c r="C234" s="29" t="s">
        <v>368</v>
      </c>
      <c r="D234" s="32">
        <v>0</v>
      </c>
      <c r="E234" s="34">
        <v>2432</v>
      </c>
      <c r="F234" s="40">
        <v>2432</v>
      </c>
      <c r="G234" s="38">
        <v>0</v>
      </c>
      <c r="H234" s="44">
        <v>0</v>
      </c>
      <c r="I234" s="36">
        <v>0</v>
      </c>
      <c r="J234" s="42">
        <v>0</v>
      </c>
    </row>
    <row r="235" spans="1:10" x14ac:dyDescent="0.25">
      <c r="A235" s="30">
        <v>818</v>
      </c>
      <c r="B235" s="30">
        <v>1</v>
      </c>
      <c r="C235" s="29" t="s">
        <v>369</v>
      </c>
      <c r="D235" s="32">
        <v>526</v>
      </c>
      <c r="E235" s="34">
        <v>75773</v>
      </c>
      <c r="F235" s="40">
        <v>37784</v>
      </c>
      <c r="G235" s="38">
        <v>0</v>
      </c>
      <c r="H235" s="44">
        <v>0</v>
      </c>
      <c r="I235" s="36">
        <v>157860</v>
      </c>
      <c r="J235" s="42">
        <v>45620</v>
      </c>
    </row>
    <row r="236" spans="1:10" x14ac:dyDescent="0.25">
      <c r="A236" s="30">
        <v>820</v>
      </c>
      <c r="B236" s="30">
        <v>1</v>
      </c>
      <c r="C236" s="29" t="s">
        <v>370</v>
      </c>
      <c r="D236" s="32">
        <v>501</v>
      </c>
      <c r="E236" s="34">
        <v>58705</v>
      </c>
      <c r="F236" s="40">
        <v>25879</v>
      </c>
      <c r="G236" s="38">
        <v>0</v>
      </c>
      <c r="H236" s="44">
        <v>0</v>
      </c>
      <c r="I236" s="36">
        <v>442742</v>
      </c>
      <c r="J236" s="42">
        <v>188104</v>
      </c>
    </row>
    <row r="237" spans="1:10" x14ac:dyDescent="0.25">
      <c r="A237" s="30">
        <v>821</v>
      </c>
      <c r="B237" s="30">
        <v>1</v>
      </c>
      <c r="C237" s="29" t="s">
        <v>371</v>
      </c>
      <c r="D237" s="32">
        <v>1075</v>
      </c>
      <c r="E237" s="34">
        <v>154736</v>
      </c>
      <c r="F237" s="40">
        <v>53141</v>
      </c>
      <c r="G237" s="38">
        <v>0</v>
      </c>
      <c r="H237" s="44">
        <v>0</v>
      </c>
      <c r="I237" s="36">
        <v>322365</v>
      </c>
      <c r="J237" s="42">
        <v>64161</v>
      </c>
    </row>
    <row r="238" spans="1:10" x14ac:dyDescent="0.25">
      <c r="A238" s="30">
        <v>829</v>
      </c>
      <c r="B238" s="30">
        <v>1</v>
      </c>
      <c r="C238" s="29" t="s">
        <v>372</v>
      </c>
      <c r="D238" s="32">
        <v>2007</v>
      </c>
      <c r="E238" s="34">
        <v>247728</v>
      </c>
      <c r="F238" s="40">
        <v>162810</v>
      </c>
      <c r="G238" s="38">
        <v>0</v>
      </c>
      <c r="H238" s="44">
        <v>0</v>
      </c>
      <c r="I238" s="36">
        <v>1501117</v>
      </c>
      <c r="J238" s="42">
        <v>820208</v>
      </c>
    </row>
    <row r="239" spans="1:10" x14ac:dyDescent="0.25">
      <c r="A239" s="30">
        <v>831</v>
      </c>
      <c r="B239" s="30">
        <v>1</v>
      </c>
      <c r="C239" s="29" t="s">
        <v>373</v>
      </c>
      <c r="D239" s="32">
        <v>7091</v>
      </c>
      <c r="E239" s="34">
        <v>1117174</v>
      </c>
      <c r="F239" s="40">
        <v>1117174</v>
      </c>
      <c r="G239" s="38">
        <v>3006372</v>
      </c>
      <c r="H239" s="44">
        <v>3006372</v>
      </c>
      <c r="I239" s="36">
        <v>3045370</v>
      </c>
      <c r="J239" s="42">
        <v>2166247</v>
      </c>
    </row>
    <row r="240" spans="1:10" x14ac:dyDescent="0.25">
      <c r="A240" s="30">
        <v>832</v>
      </c>
      <c r="B240" s="30">
        <v>1</v>
      </c>
      <c r="C240" s="29" t="s">
        <v>374</v>
      </c>
      <c r="D240" s="32">
        <v>3616</v>
      </c>
      <c r="E240" s="34">
        <v>563776</v>
      </c>
      <c r="F240" s="40">
        <v>563776</v>
      </c>
      <c r="G240" s="38">
        <v>1533014</v>
      </c>
      <c r="H240" s="44">
        <v>1533014</v>
      </c>
      <c r="I240" s="36">
        <v>1629696</v>
      </c>
      <c r="J240" s="42">
        <v>1450102</v>
      </c>
    </row>
    <row r="241" spans="1:10" x14ac:dyDescent="0.25">
      <c r="A241" s="30">
        <v>833</v>
      </c>
      <c r="B241" s="30">
        <v>1</v>
      </c>
      <c r="C241" s="29" t="s">
        <v>375</v>
      </c>
      <c r="D241" s="32">
        <v>19571</v>
      </c>
      <c r="E241" s="34">
        <v>2335980</v>
      </c>
      <c r="F241" s="40">
        <v>1813945</v>
      </c>
      <c r="G241" s="38">
        <v>8298189</v>
      </c>
      <c r="H241" s="44">
        <v>6443744</v>
      </c>
      <c r="I241" s="36">
        <v>18145438</v>
      </c>
      <c r="J241" s="42">
        <v>12904474</v>
      </c>
    </row>
    <row r="242" spans="1:10" x14ac:dyDescent="0.25">
      <c r="A242" s="30">
        <v>834</v>
      </c>
      <c r="B242" s="30">
        <v>1</v>
      </c>
      <c r="C242" s="29" t="s">
        <v>376</v>
      </c>
      <c r="D242" s="32">
        <v>8927</v>
      </c>
      <c r="E242" s="34">
        <v>714175</v>
      </c>
      <c r="F242" s="40">
        <v>714175</v>
      </c>
      <c r="G242" s="38">
        <v>3785048</v>
      </c>
      <c r="H242" s="44">
        <v>3785048</v>
      </c>
      <c r="I242" s="36">
        <v>12853541</v>
      </c>
      <c r="J242" s="42">
        <v>12282465</v>
      </c>
    </row>
    <row r="243" spans="1:10" x14ac:dyDescent="0.25">
      <c r="A243" s="30">
        <v>836</v>
      </c>
      <c r="B243" s="30">
        <v>1</v>
      </c>
      <c r="C243" s="29" t="s">
        <v>377</v>
      </c>
      <c r="D243" s="32">
        <v>207</v>
      </c>
      <c r="E243" s="34">
        <v>14827</v>
      </c>
      <c r="F243" s="40">
        <v>5509</v>
      </c>
      <c r="G243" s="38">
        <v>0</v>
      </c>
      <c r="H243" s="44">
        <v>0</v>
      </c>
      <c r="I243" s="36">
        <v>388525</v>
      </c>
      <c r="J243" s="42">
        <v>212303</v>
      </c>
    </row>
    <row r="244" spans="1:10" x14ac:dyDescent="0.25">
      <c r="A244" s="30">
        <v>837</v>
      </c>
      <c r="B244" s="30">
        <v>1</v>
      </c>
      <c r="C244" s="29" t="s">
        <v>378</v>
      </c>
      <c r="D244" s="32">
        <v>510</v>
      </c>
      <c r="E244" s="34">
        <v>49174</v>
      </c>
      <c r="F244" s="40">
        <v>27175</v>
      </c>
      <c r="G244" s="38">
        <v>0</v>
      </c>
      <c r="H244" s="44">
        <v>0</v>
      </c>
      <c r="I244" s="36">
        <v>682646</v>
      </c>
      <c r="J244" s="42">
        <v>465359</v>
      </c>
    </row>
    <row r="245" spans="1:10" x14ac:dyDescent="0.25">
      <c r="A245" s="30">
        <v>840</v>
      </c>
      <c r="B245" s="30">
        <v>1</v>
      </c>
      <c r="C245" s="29" t="s">
        <v>379</v>
      </c>
      <c r="D245" s="32">
        <v>1043</v>
      </c>
      <c r="E245" s="34">
        <v>119357</v>
      </c>
      <c r="F245" s="40">
        <v>54565</v>
      </c>
      <c r="G245" s="38">
        <v>0</v>
      </c>
      <c r="H245" s="44">
        <v>0</v>
      </c>
      <c r="I245" s="36">
        <v>985468</v>
      </c>
      <c r="J245" s="42">
        <v>457233</v>
      </c>
    </row>
    <row r="246" spans="1:10" x14ac:dyDescent="0.25">
      <c r="A246" s="30">
        <v>846</v>
      </c>
      <c r="B246" s="30">
        <v>1</v>
      </c>
      <c r="C246" s="29" t="s">
        <v>380</v>
      </c>
      <c r="D246" s="32">
        <v>748</v>
      </c>
      <c r="E246" s="34">
        <v>75372</v>
      </c>
      <c r="F246" s="40">
        <v>41781</v>
      </c>
      <c r="G246" s="38">
        <v>0</v>
      </c>
      <c r="H246" s="44">
        <v>0</v>
      </c>
      <c r="I246" s="36">
        <v>929801</v>
      </c>
      <c r="J246" s="42">
        <v>615065</v>
      </c>
    </row>
    <row r="247" spans="1:10" x14ac:dyDescent="0.25">
      <c r="A247" s="30">
        <v>850</v>
      </c>
      <c r="B247" s="30">
        <v>1</v>
      </c>
      <c r="C247" s="29" t="s">
        <v>381</v>
      </c>
      <c r="D247" s="32">
        <v>291</v>
      </c>
      <c r="E247" s="34">
        <v>21860</v>
      </c>
      <c r="F247" s="40">
        <v>9552</v>
      </c>
      <c r="G247" s="38">
        <v>0</v>
      </c>
      <c r="H247" s="44">
        <v>0</v>
      </c>
      <c r="I247" s="36">
        <v>524504</v>
      </c>
      <c r="J247" s="42">
        <v>313702</v>
      </c>
    </row>
    <row r="248" spans="1:10" x14ac:dyDescent="0.25">
      <c r="A248" s="30">
        <v>852</v>
      </c>
      <c r="B248" s="30">
        <v>1</v>
      </c>
      <c r="C248" s="29" t="s">
        <v>382</v>
      </c>
      <c r="D248" s="32">
        <v>125</v>
      </c>
      <c r="E248" s="34">
        <v>6250</v>
      </c>
      <c r="F248" s="40">
        <v>4039</v>
      </c>
      <c r="G248" s="38">
        <v>0</v>
      </c>
      <c r="H248" s="44">
        <v>0</v>
      </c>
      <c r="I248" s="36">
        <v>436151</v>
      </c>
      <c r="J248" s="42">
        <v>238468</v>
      </c>
    </row>
    <row r="249" spans="1:10" x14ac:dyDescent="0.25">
      <c r="A249" s="30">
        <v>857</v>
      </c>
      <c r="B249" s="30">
        <v>1</v>
      </c>
      <c r="C249" s="29" t="s">
        <v>383</v>
      </c>
      <c r="D249" s="32">
        <v>833</v>
      </c>
      <c r="E249" s="34">
        <v>101191</v>
      </c>
      <c r="F249" s="40">
        <v>63257</v>
      </c>
      <c r="G249" s="38">
        <v>0</v>
      </c>
      <c r="H249" s="44">
        <v>0</v>
      </c>
      <c r="I249" s="36">
        <v>657737</v>
      </c>
      <c r="J249" s="42">
        <v>354872</v>
      </c>
    </row>
    <row r="250" spans="1:10" x14ac:dyDescent="0.25">
      <c r="A250" s="30">
        <v>858</v>
      </c>
      <c r="B250" s="30">
        <v>1</v>
      </c>
      <c r="C250" s="29" t="s">
        <v>384</v>
      </c>
      <c r="D250" s="32">
        <v>1073</v>
      </c>
      <c r="E250" s="34">
        <v>152911</v>
      </c>
      <c r="F250" s="40">
        <v>87052</v>
      </c>
      <c r="G250" s="38">
        <v>0</v>
      </c>
      <c r="H250" s="44">
        <v>0</v>
      </c>
      <c r="I250" s="36">
        <v>357515</v>
      </c>
      <c r="J250" s="42">
        <v>126467</v>
      </c>
    </row>
    <row r="251" spans="1:10" x14ac:dyDescent="0.25">
      <c r="A251" s="30">
        <v>861</v>
      </c>
      <c r="B251" s="30">
        <v>1</v>
      </c>
      <c r="C251" s="29" t="s">
        <v>385</v>
      </c>
      <c r="D251" s="32">
        <v>3203</v>
      </c>
      <c r="E251" s="34">
        <v>237323</v>
      </c>
      <c r="F251" s="40">
        <v>237323</v>
      </c>
      <c r="G251" s="38">
        <v>679015</v>
      </c>
      <c r="H251" s="44">
        <v>679015</v>
      </c>
      <c r="I251" s="36">
        <v>5844492</v>
      </c>
      <c r="J251" s="42">
        <v>5535175</v>
      </c>
    </row>
    <row r="252" spans="1:10" x14ac:dyDescent="0.25">
      <c r="A252" s="30">
        <v>876</v>
      </c>
      <c r="B252" s="30">
        <v>1</v>
      </c>
      <c r="C252" s="29" t="s">
        <v>386</v>
      </c>
      <c r="D252" s="32">
        <v>1760</v>
      </c>
      <c r="E252" s="34">
        <v>220101</v>
      </c>
      <c r="F252" s="40">
        <v>220101</v>
      </c>
      <c r="G252" s="38">
        <v>0</v>
      </c>
      <c r="H252" s="44">
        <v>0</v>
      </c>
      <c r="I252" s="36">
        <v>1255885</v>
      </c>
      <c r="J252" s="42">
        <v>1050219</v>
      </c>
    </row>
    <row r="253" spans="1:10" x14ac:dyDescent="0.25">
      <c r="A253" s="30">
        <v>877</v>
      </c>
      <c r="B253" s="30">
        <v>1</v>
      </c>
      <c r="C253" s="29" t="s">
        <v>387</v>
      </c>
      <c r="D253" s="32">
        <v>6265</v>
      </c>
      <c r="E253" s="34">
        <v>902131</v>
      </c>
      <c r="F253" s="40">
        <v>607778</v>
      </c>
      <c r="G253" s="38">
        <v>2656275</v>
      </c>
      <c r="H253" s="44">
        <v>1789570</v>
      </c>
      <c r="I253" s="36">
        <v>1879440</v>
      </c>
      <c r="J253" s="42">
        <v>733824</v>
      </c>
    </row>
    <row r="254" spans="1:10" x14ac:dyDescent="0.25">
      <c r="A254" s="30">
        <v>879</v>
      </c>
      <c r="B254" s="30">
        <v>1</v>
      </c>
      <c r="C254" s="29" t="s">
        <v>388</v>
      </c>
      <c r="D254" s="32">
        <v>2551</v>
      </c>
      <c r="E254" s="34">
        <v>326224</v>
      </c>
      <c r="F254" s="40">
        <v>287592</v>
      </c>
      <c r="G254" s="38">
        <v>1081794</v>
      </c>
      <c r="H254" s="44">
        <v>953686</v>
      </c>
      <c r="I254" s="36">
        <v>1663589</v>
      </c>
      <c r="J254" s="42">
        <v>1182871</v>
      </c>
    </row>
    <row r="255" spans="1:10" x14ac:dyDescent="0.25">
      <c r="A255" s="30">
        <v>881</v>
      </c>
      <c r="B255" s="30">
        <v>1</v>
      </c>
      <c r="C255" s="29" t="s">
        <v>389</v>
      </c>
      <c r="D255" s="32">
        <v>958</v>
      </c>
      <c r="E255" s="34">
        <v>120499</v>
      </c>
      <c r="F255" s="40">
        <v>96527</v>
      </c>
      <c r="G255" s="38">
        <v>0</v>
      </c>
      <c r="H255" s="44">
        <v>0</v>
      </c>
      <c r="I255" s="36">
        <v>666719</v>
      </c>
      <c r="J255" s="42">
        <v>437326</v>
      </c>
    </row>
    <row r="256" spans="1:10" x14ac:dyDescent="0.25">
      <c r="A256" s="30">
        <v>882</v>
      </c>
      <c r="B256" s="30">
        <v>1</v>
      </c>
      <c r="C256" s="29" t="s">
        <v>390</v>
      </c>
      <c r="D256" s="32">
        <v>4422</v>
      </c>
      <c r="E256" s="34">
        <v>538855</v>
      </c>
      <c r="F256" s="40">
        <v>455456</v>
      </c>
      <c r="G256" s="38">
        <v>937379</v>
      </c>
      <c r="H256" s="44">
        <v>792300</v>
      </c>
      <c r="I256" s="36">
        <v>3460919</v>
      </c>
      <c r="J256" s="42">
        <v>2469421</v>
      </c>
    </row>
    <row r="257" spans="1:10" x14ac:dyDescent="0.25">
      <c r="A257" s="30">
        <v>883</v>
      </c>
      <c r="B257" s="30">
        <v>1</v>
      </c>
      <c r="C257" s="29" t="s">
        <v>391</v>
      </c>
      <c r="D257" s="32">
        <v>1793</v>
      </c>
      <c r="E257" s="34">
        <v>258134</v>
      </c>
      <c r="F257" s="40">
        <v>221889</v>
      </c>
      <c r="G257" s="38">
        <v>760062</v>
      </c>
      <c r="H257" s="44">
        <v>653341</v>
      </c>
      <c r="I257" s="36">
        <v>537780</v>
      </c>
      <c r="J257" s="42">
        <v>267906</v>
      </c>
    </row>
    <row r="258" spans="1:10" x14ac:dyDescent="0.25">
      <c r="A258" s="30">
        <v>885</v>
      </c>
      <c r="B258" s="30">
        <v>1</v>
      </c>
      <c r="C258" s="29" t="s">
        <v>392</v>
      </c>
      <c r="D258" s="32">
        <v>6299</v>
      </c>
      <c r="E258" s="34">
        <v>852182</v>
      </c>
      <c r="F258" s="40">
        <v>450621</v>
      </c>
      <c r="G258" s="38">
        <v>1335430</v>
      </c>
      <c r="H258" s="44">
        <v>706155</v>
      </c>
      <c r="I258" s="36">
        <v>3087301</v>
      </c>
      <c r="J258" s="42">
        <v>1212367</v>
      </c>
    </row>
    <row r="259" spans="1:10" x14ac:dyDescent="0.25">
      <c r="A259" s="30">
        <v>891</v>
      </c>
      <c r="B259" s="30">
        <v>1</v>
      </c>
      <c r="C259" s="29" t="s">
        <v>393</v>
      </c>
      <c r="D259" s="32">
        <v>536</v>
      </c>
      <c r="E259" s="34">
        <v>66213</v>
      </c>
      <c r="F259" s="40">
        <v>35907</v>
      </c>
      <c r="G259" s="38">
        <v>0</v>
      </c>
      <c r="H259" s="44">
        <v>0</v>
      </c>
      <c r="I259" s="36">
        <v>401474</v>
      </c>
      <c r="J259" s="42">
        <v>181024</v>
      </c>
    </row>
    <row r="260" spans="1:10" x14ac:dyDescent="0.25">
      <c r="A260" s="30">
        <v>911</v>
      </c>
      <c r="B260" s="30">
        <v>1</v>
      </c>
      <c r="C260" s="29" t="s">
        <v>394</v>
      </c>
      <c r="D260" s="32">
        <v>5663</v>
      </c>
      <c r="E260" s="34">
        <v>815480</v>
      </c>
      <c r="F260" s="40">
        <v>471033</v>
      </c>
      <c r="G260" s="38">
        <v>1200567</v>
      </c>
      <c r="H260" s="44">
        <v>693464</v>
      </c>
      <c r="I260" s="36">
        <v>1698915</v>
      </c>
      <c r="J260" s="42">
        <v>568718</v>
      </c>
    </row>
    <row r="261" spans="1:10" x14ac:dyDescent="0.25">
      <c r="A261" s="30">
        <v>912</v>
      </c>
      <c r="B261" s="30">
        <v>1</v>
      </c>
      <c r="C261" s="29" t="s">
        <v>395</v>
      </c>
      <c r="D261" s="32">
        <v>1935</v>
      </c>
      <c r="E261" s="34">
        <v>278597</v>
      </c>
      <c r="F261" s="40">
        <v>129996</v>
      </c>
      <c r="G261" s="38">
        <v>0</v>
      </c>
      <c r="H261" s="44">
        <v>0</v>
      </c>
      <c r="I261" s="36">
        <v>580410</v>
      </c>
      <c r="J261" s="42">
        <v>156956</v>
      </c>
    </row>
    <row r="262" spans="1:10" x14ac:dyDescent="0.25">
      <c r="A262" s="30">
        <v>914</v>
      </c>
      <c r="B262" s="30">
        <v>1</v>
      </c>
      <c r="C262" s="29" t="s">
        <v>396</v>
      </c>
      <c r="D262" s="32">
        <v>341</v>
      </c>
      <c r="E262" s="34">
        <v>17070</v>
      </c>
      <c r="F262" s="40">
        <v>7889</v>
      </c>
      <c r="G262" s="38">
        <v>0</v>
      </c>
      <c r="H262" s="44">
        <v>0</v>
      </c>
      <c r="I262" s="36">
        <v>751145</v>
      </c>
      <c r="J262" s="42">
        <v>499656</v>
      </c>
    </row>
    <row r="263" spans="1:10" x14ac:dyDescent="0.25">
      <c r="A263" s="30">
        <v>2071</v>
      </c>
      <c r="B263" s="30">
        <v>1</v>
      </c>
      <c r="C263" s="29" t="s">
        <v>397</v>
      </c>
      <c r="D263" s="32">
        <v>962</v>
      </c>
      <c r="E263" s="34">
        <v>117718</v>
      </c>
      <c r="F263" s="40">
        <v>83027</v>
      </c>
      <c r="G263" s="38">
        <v>0</v>
      </c>
      <c r="H263" s="44">
        <v>0</v>
      </c>
      <c r="I263" s="36">
        <v>741827</v>
      </c>
      <c r="J263" s="42">
        <v>440846</v>
      </c>
    </row>
    <row r="264" spans="1:10" x14ac:dyDescent="0.25">
      <c r="A264" s="30">
        <v>2125</v>
      </c>
      <c r="B264" s="30">
        <v>1</v>
      </c>
      <c r="C264" s="29" t="s">
        <v>398</v>
      </c>
      <c r="D264" s="32">
        <v>1330</v>
      </c>
      <c r="E264" s="34">
        <v>186841</v>
      </c>
      <c r="F264" s="40">
        <v>97127</v>
      </c>
      <c r="G264" s="38">
        <v>0</v>
      </c>
      <c r="H264" s="44">
        <v>0</v>
      </c>
      <c r="I264" s="36">
        <v>502426</v>
      </c>
      <c r="J264" s="42">
        <v>173944</v>
      </c>
    </row>
    <row r="265" spans="1:10" x14ac:dyDescent="0.25">
      <c r="A265" s="30">
        <v>2134</v>
      </c>
      <c r="B265" s="30">
        <v>1</v>
      </c>
      <c r="C265" s="29" t="s">
        <v>399</v>
      </c>
      <c r="D265" s="32">
        <v>691</v>
      </c>
      <c r="E265" s="34">
        <v>52090</v>
      </c>
      <c r="F265" s="40">
        <v>25612</v>
      </c>
      <c r="G265" s="38">
        <v>0</v>
      </c>
      <c r="H265" s="44">
        <v>0</v>
      </c>
      <c r="I265" s="36">
        <v>1240124</v>
      </c>
      <c r="J265" s="42">
        <v>833712</v>
      </c>
    </row>
    <row r="266" spans="1:10" x14ac:dyDescent="0.25">
      <c r="A266" s="30">
        <v>2135</v>
      </c>
      <c r="B266" s="30">
        <v>1</v>
      </c>
      <c r="C266" s="29" t="s">
        <v>400</v>
      </c>
      <c r="D266" s="32">
        <v>1117</v>
      </c>
      <c r="E266" s="34">
        <v>125442</v>
      </c>
      <c r="F266" s="40">
        <v>69437</v>
      </c>
      <c r="G266" s="38">
        <v>0</v>
      </c>
      <c r="H266" s="44">
        <v>0</v>
      </c>
      <c r="I266" s="36">
        <v>1108061</v>
      </c>
      <c r="J266" s="42">
        <v>644105</v>
      </c>
    </row>
    <row r="267" spans="1:10" x14ac:dyDescent="0.25">
      <c r="A267" s="30">
        <v>2137</v>
      </c>
      <c r="B267" s="30">
        <v>1</v>
      </c>
      <c r="C267" s="29" t="s">
        <v>401</v>
      </c>
      <c r="D267" s="32">
        <v>646</v>
      </c>
      <c r="E267" s="34">
        <v>75943</v>
      </c>
      <c r="F267" s="40">
        <v>52364</v>
      </c>
      <c r="G267" s="38">
        <v>0</v>
      </c>
      <c r="H267" s="44">
        <v>0</v>
      </c>
      <c r="I267" s="36">
        <v>567400</v>
      </c>
      <c r="J267" s="42">
        <v>358682</v>
      </c>
    </row>
    <row r="268" spans="1:10" x14ac:dyDescent="0.25">
      <c r="A268" s="30">
        <v>2142</v>
      </c>
      <c r="B268" s="30">
        <v>1</v>
      </c>
      <c r="C268" s="29" t="s">
        <v>402</v>
      </c>
      <c r="D268" s="32">
        <v>1940</v>
      </c>
      <c r="E268" s="34">
        <v>279302</v>
      </c>
      <c r="F268" s="40">
        <v>279302</v>
      </c>
      <c r="G268" s="38">
        <v>0</v>
      </c>
      <c r="H268" s="44">
        <v>0</v>
      </c>
      <c r="I268" s="36">
        <v>581880</v>
      </c>
      <c r="J268" s="42">
        <v>383195</v>
      </c>
    </row>
    <row r="269" spans="1:10" x14ac:dyDescent="0.25">
      <c r="A269" s="30">
        <v>2143</v>
      </c>
      <c r="B269" s="30">
        <v>1</v>
      </c>
      <c r="C269" s="29" t="s">
        <v>5</v>
      </c>
      <c r="D269" s="32">
        <v>910</v>
      </c>
      <c r="E269" s="34">
        <v>82139</v>
      </c>
      <c r="F269" s="40">
        <v>71938</v>
      </c>
      <c r="G269" s="38">
        <v>0</v>
      </c>
      <c r="H269" s="44">
        <v>0</v>
      </c>
      <c r="I269" s="36">
        <v>1338953</v>
      </c>
      <c r="J269" s="42">
        <v>1152573</v>
      </c>
    </row>
    <row r="270" spans="1:10" x14ac:dyDescent="0.25">
      <c r="A270" s="30">
        <v>2144</v>
      </c>
      <c r="B270" s="30">
        <v>1</v>
      </c>
      <c r="C270" s="29" t="s">
        <v>403</v>
      </c>
      <c r="D270" s="32">
        <v>3596</v>
      </c>
      <c r="E270" s="34">
        <v>480757</v>
      </c>
      <c r="F270" s="40">
        <v>394980</v>
      </c>
      <c r="G270" s="38">
        <v>1524789</v>
      </c>
      <c r="H270" s="44">
        <v>1252735</v>
      </c>
      <c r="I270" s="36">
        <v>1888005</v>
      </c>
      <c r="J270" s="42">
        <v>1178468</v>
      </c>
    </row>
    <row r="271" spans="1:10" x14ac:dyDescent="0.25">
      <c r="A271" s="30">
        <v>2149</v>
      </c>
      <c r="B271" s="30">
        <v>1</v>
      </c>
      <c r="C271" s="29" t="s">
        <v>404</v>
      </c>
      <c r="D271" s="32">
        <v>1123</v>
      </c>
      <c r="E271" s="34">
        <v>137360</v>
      </c>
      <c r="F271" s="40">
        <v>137360</v>
      </c>
      <c r="G271" s="38">
        <v>0</v>
      </c>
      <c r="H271" s="44">
        <v>0</v>
      </c>
      <c r="I271" s="36">
        <v>867906</v>
      </c>
      <c r="J271" s="42">
        <v>763104</v>
      </c>
    </row>
    <row r="272" spans="1:10" x14ac:dyDescent="0.25">
      <c r="A272" s="30">
        <v>2154</v>
      </c>
      <c r="B272" s="30">
        <v>1</v>
      </c>
      <c r="C272" s="29" t="s">
        <v>405</v>
      </c>
      <c r="D272" s="32">
        <v>1167</v>
      </c>
      <c r="E272" s="34">
        <v>142347</v>
      </c>
      <c r="F272" s="40">
        <v>84941</v>
      </c>
      <c r="G272" s="38">
        <v>0</v>
      </c>
      <c r="H272" s="44">
        <v>0</v>
      </c>
      <c r="I272" s="36">
        <v>909306</v>
      </c>
      <c r="J272" s="42">
        <v>463942</v>
      </c>
    </row>
    <row r="273" spans="1:10" x14ac:dyDescent="0.25">
      <c r="A273" s="30">
        <v>2155</v>
      </c>
      <c r="B273" s="30">
        <v>1</v>
      </c>
      <c r="C273" s="29" t="s">
        <v>406</v>
      </c>
      <c r="D273" s="32">
        <v>1050</v>
      </c>
      <c r="E273" s="34">
        <v>123310</v>
      </c>
      <c r="F273" s="40">
        <v>63392</v>
      </c>
      <c r="G273" s="38">
        <v>0</v>
      </c>
      <c r="H273" s="44">
        <v>0</v>
      </c>
      <c r="I273" s="36">
        <v>922489</v>
      </c>
      <c r="J273" s="42">
        <v>454793</v>
      </c>
    </row>
    <row r="274" spans="1:10" x14ac:dyDescent="0.25">
      <c r="A274" s="30">
        <v>2159</v>
      </c>
      <c r="B274" s="30">
        <v>1</v>
      </c>
      <c r="C274" s="29" t="s">
        <v>407</v>
      </c>
      <c r="D274" s="32">
        <v>597</v>
      </c>
      <c r="E274" s="34">
        <v>60503</v>
      </c>
      <c r="F274" s="40">
        <v>36346</v>
      </c>
      <c r="G274" s="38">
        <v>0</v>
      </c>
      <c r="H274" s="44">
        <v>0</v>
      </c>
      <c r="I274" s="36">
        <v>735231</v>
      </c>
      <c r="J274" s="42">
        <v>508760</v>
      </c>
    </row>
    <row r="275" spans="1:10" x14ac:dyDescent="0.25">
      <c r="A275" s="30">
        <v>2164</v>
      </c>
      <c r="B275" s="30">
        <v>1</v>
      </c>
      <c r="C275" s="29" t="s">
        <v>408</v>
      </c>
      <c r="D275" s="32">
        <v>1786</v>
      </c>
      <c r="E275" s="34">
        <v>232568</v>
      </c>
      <c r="F275" s="40">
        <v>112923</v>
      </c>
      <c r="G275" s="38">
        <v>0</v>
      </c>
      <c r="H275" s="44">
        <v>0</v>
      </c>
      <c r="I275" s="36">
        <v>1071360</v>
      </c>
      <c r="J275" s="42">
        <v>410838</v>
      </c>
    </row>
    <row r="276" spans="1:10" x14ac:dyDescent="0.25">
      <c r="A276" s="30">
        <v>2165</v>
      </c>
      <c r="B276" s="30">
        <v>1</v>
      </c>
      <c r="C276" s="29" t="s">
        <v>409</v>
      </c>
      <c r="D276" s="32">
        <v>1056</v>
      </c>
      <c r="E276" s="34">
        <v>151236</v>
      </c>
      <c r="F276" s="40">
        <v>101521</v>
      </c>
      <c r="G276" s="38">
        <v>0</v>
      </c>
      <c r="H276" s="44">
        <v>0</v>
      </c>
      <c r="I276" s="36">
        <v>334171</v>
      </c>
      <c r="J276" s="42">
        <v>134924</v>
      </c>
    </row>
    <row r="277" spans="1:10" x14ac:dyDescent="0.25">
      <c r="A277" s="30">
        <v>2167</v>
      </c>
      <c r="B277" s="30">
        <v>1</v>
      </c>
      <c r="C277" s="29" t="s">
        <v>410</v>
      </c>
      <c r="D277" s="32">
        <v>700</v>
      </c>
      <c r="E277" s="34">
        <v>85328</v>
      </c>
      <c r="F277" s="40">
        <v>40455</v>
      </c>
      <c r="G277" s="38">
        <v>0</v>
      </c>
      <c r="H277" s="44">
        <v>0</v>
      </c>
      <c r="I277" s="36">
        <v>548861</v>
      </c>
      <c r="J277" s="42">
        <v>224293</v>
      </c>
    </row>
    <row r="278" spans="1:10" x14ac:dyDescent="0.25">
      <c r="A278" s="30">
        <v>2168</v>
      </c>
      <c r="B278" s="30">
        <v>1</v>
      </c>
      <c r="C278" s="29" t="s">
        <v>411</v>
      </c>
      <c r="D278" s="32">
        <v>1016</v>
      </c>
      <c r="E278" s="34">
        <v>139116</v>
      </c>
      <c r="F278" s="40">
        <v>85453</v>
      </c>
      <c r="G278" s="38">
        <v>0</v>
      </c>
      <c r="H278" s="44">
        <v>0</v>
      </c>
      <c r="I278" s="36">
        <v>460899</v>
      </c>
      <c r="J278" s="42">
        <v>204407</v>
      </c>
    </row>
    <row r="279" spans="1:10" x14ac:dyDescent="0.25">
      <c r="A279" s="30">
        <v>2169</v>
      </c>
      <c r="B279" s="30">
        <v>1</v>
      </c>
      <c r="C279" s="29" t="s">
        <v>412</v>
      </c>
      <c r="D279" s="32">
        <v>804</v>
      </c>
      <c r="E279" s="34">
        <v>78119</v>
      </c>
      <c r="F279" s="40">
        <v>45537</v>
      </c>
      <c r="G279" s="38">
        <v>0</v>
      </c>
      <c r="H279" s="44">
        <v>0</v>
      </c>
      <c r="I279" s="36">
        <v>1062574</v>
      </c>
      <c r="J279" s="42">
        <v>748603</v>
      </c>
    </row>
    <row r="280" spans="1:10" x14ac:dyDescent="0.25">
      <c r="A280" s="30">
        <v>2170</v>
      </c>
      <c r="B280" s="30">
        <v>1</v>
      </c>
      <c r="C280" s="29" t="s">
        <v>413</v>
      </c>
      <c r="D280" s="32">
        <v>1336</v>
      </c>
      <c r="E280" s="34">
        <v>163043</v>
      </c>
      <c r="F280" s="40">
        <v>95232</v>
      </c>
      <c r="G280" s="38">
        <v>0</v>
      </c>
      <c r="H280" s="44">
        <v>0</v>
      </c>
      <c r="I280" s="36">
        <v>1040107</v>
      </c>
      <c r="J280" s="42">
        <v>519456</v>
      </c>
    </row>
    <row r="281" spans="1:10" x14ac:dyDescent="0.25">
      <c r="A281" s="30">
        <v>2171</v>
      </c>
      <c r="B281" s="30">
        <v>1</v>
      </c>
      <c r="C281" s="29" t="s">
        <v>414</v>
      </c>
      <c r="D281" s="32">
        <v>261</v>
      </c>
      <c r="E281" s="34">
        <v>13030</v>
      </c>
      <c r="F281" s="40">
        <v>13030</v>
      </c>
      <c r="G281" s="38">
        <v>0</v>
      </c>
      <c r="H281" s="44">
        <v>0</v>
      </c>
      <c r="I281" s="36">
        <v>711618</v>
      </c>
      <c r="J281" s="42">
        <v>274802</v>
      </c>
    </row>
    <row r="282" spans="1:10" x14ac:dyDescent="0.25">
      <c r="A282" s="30">
        <v>2172</v>
      </c>
      <c r="B282" s="30">
        <v>1</v>
      </c>
      <c r="C282" s="29" t="s">
        <v>415</v>
      </c>
      <c r="D282" s="32">
        <v>844</v>
      </c>
      <c r="E282" s="34">
        <v>92661</v>
      </c>
      <c r="F282" s="40">
        <v>64203</v>
      </c>
      <c r="G282" s="38">
        <v>0</v>
      </c>
      <c r="H282" s="44">
        <v>0</v>
      </c>
      <c r="I282" s="36">
        <v>881655</v>
      </c>
      <c r="J282" s="42">
        <v>611018</v>
      </c>
    </row>
    <row r="283" spans="1:10" x14ac:dyDescent="0.25">
      <c r="A283" s="30">
        <v>2174</v>
      </c>
      <c r="B283" s="30">
        <v>1</v>
      </c>
      <c r="C283" s="29" t="s">
        <v>416</v>
      </c>
      <c r="D283" s="32">
        <v>965</v>
      </c>
      <c r="E283" s="34">
        <v>138902</v>
      </c>
      <c r="F283" s="40">
        <v>138902</v>
      </c>
      <c r="G283" s="38">
        <v>0</v>
      </c>
      <c r="H283" s="44">
        <v>0</v>
      </c>
      <c r="I283" s="36">
        <v>289380</v>
      </c>
      <c r="J283" s="42">
        <v>175366</v>
      </c>
    </row>
    <row r="284" spans="1:10" x14ac:dyDescent="0.25">
      <c r="A284" s="30">
        <v>2176</v>
      </c>
      <c r="B284" s="30">
        <v>1</v>
      </c>
      <c r="C284" s="29" t="s">
        <v>417</v>
      </c>
      <c r="D284" s="32">
        <v>457</v>
      </c>
      <c r="E284" s="34">
        <v>33418</v>
      </c>
      <c r="F284" s="40">
        <v>18989</v>
      </c>
      <c r="G284" s="38">
        <v>0</v>
      </c>
      <c r="H284" s="44">
        <v>0</v>
      </c>
      <c r="I284" s="36">
        <v>844293</v>
      </c>
      <c r="J284" s="42">
        <v>479189</v>
      </c>
    </row>
    <row r="285" spans="1:10" x14ac:dyDescent="0.25">
      <c r="A285" s="30">
        <v>2180</v>
      </c>
      <c r="B285" s="30">
        <v>1</v>
      </c>
      <c r="C285" s="29" t="s">
        <v>418</v>
      </c>
      <c r="D285" s="32">
        <v>688</v>
      </c>
      <c r="E285" s="34">
        <v>47906</v>
      </c>
      <c r="F285" s="40">
        <v>28709</v>
      </c>
      <c r="G285" s="38">
        <v>0</v>
      </c>
      <c r="H285" s="44">
        <v>0</v>
      </c>
      <c r="I285" s="36">
        <v>1323477</v>
      </c>
      <c r="J285" s="42">
        <v>1061828</v>
      </c>
    </row>
    <row r="286" spans="1:10" x14ac:dyDescent="0.25">
      <c r="A286" s="30">
        <v>2184</v>
      </c>
      <c r="B286" s="30">
        <v>1</v>
      </c>
      <c r="C286" s="29" t="s">
        <v>419</v>
      </c>
      <c r="D286" s="32">
        <v>1271</v>
      </c>
      <c r="E286" s="34">
        <v>129363</v>
      </c>
      <c r="F286" s="40">
        <v>66647</v>
      </c>
      <c r="G286" s="38">
        <v>0</v>
      </c>
      <c r="H286" s="44">
        <v>0</v>
      </c>
      <c r="I286" s="36">
        <v>1551601</v>
      </c>
      <c r="J286" s="42">
        <v>945693</v>
      </c>
    </row>
    <row r="287" spans="1:10" x14ac:dyDescent="0.25">
      <c r="A287" s="30">
        <v>2190</v>
      </c>
      <c r="B287" s="30">
        <v>1</v>
      </c>
      <c r="C287" s="29" t="s">
        <v>6</v>
      </c>
      <c r="D287" s="32">
        <v>817</v>
      </c>
      <c r="E287" s="34">
        <v>77568</v>
      </c>
      <c r="F287" s="40">
        <v>47178</v>
      </c>
      <c r="G287" s="38">
        <v>0</v>
      </c>
      <c r="H287" s="44">
        <v>0</v>
      </c>
      <c r="I287" s="36">
        <v>1119331</v>
      </c>
      <c r="J287" s="42">
        <v>813386</v>
      </c>
    </row>
    <row r="288" spans="1:10" x14ac:dyDescent="0.25">
      <c r="A288" s="30">
        <v>2198</v>
      </c>
      <c r="B288" s="30">
        <v>1</v>
      </c>
      <c r="C288" s="29" t="s">
        <v>7</v>
      </c>
      <c r="D288" s="32">
        <v>580</v>
      </c>
      <c r="E288" s="34">
        <v>59218</v>
      </c>
      <c r="F288" s="40">
        <v>43311</v>
      </c>
      <c r="G288" s="38">
        <v>0</v>
      </c>
      <c r="H288" s="44">
        <v>0</v>
      </c>
      <c r="I288" s="36">
        <v>705465</v>
      </c>
      <c r="J288" s="42">
        <v>533431</v>
      </c>
    </row>
    <row r="289" spans="1:10" x14ac:dyDescent="0.25">
      <c r="A289" s="30">
        <v>2215</v>
      </c>
      <c r="B289" s="30">
        <v>1</v>
      </c>
      <c r="C289" s="29" t="s">
        <v>420</v>
      </c>
      <c r="D289" s="32">
        <v>327</v>
      </c>
      <c r="E289" s="34">
        <v>23705</v>
      </c>
      <c r="F289" s="40">
        <v>7729</v>
      </c>
      <c r="G289" s="38">
        <v>0</v>
      </c>
      <c r="H289" s="44">
        <v>0</v>
      </c>
      <c r="I289" s="36">
        <v>609507</v>
      </c>
      <c r="J289" s="42">
        <v>274463</v>
      </c>
    </row>
    <row r="290" spans="1:10" x14ac:dyDescent="0.25">
      <c r="A290" s="30">
        <v>2310</v>
      </c>
      <c r="B290" s="30">
        <v>1</v>
      </c>
      <c r="C290" s="29" t="s">
        <v>421</v>
      </c>
      <c r="D290" s="32">
        <v>1346</v>
      </c>
      <c r="E290" s="34">
        <v>172206</v>
      </c>
      <c r="F290" s="40">
        <v>79732</v>
      </c>
      <c r="G290" s="38">
        <v>0</v>
      </c>
      <c r="H290" s="44">
        <v>0</v>
      </c>
      <c r="I290" s="36">
        <v>873954</v>
      </c>
      <c r="J290" s="42">
        <v>326060</v>
      </c>
    </row>
    <row r="291" spans="1:10" x14ac:dyDescent="0.25">
      <c r="A291" s="30">
        <v>2311</v>
      </c>
      <c r="B291" s="30">
        <v>1</v>
      </c>
      <c r="C291" s="29" t="s">
        <v>422</v>
      </c>
      <c r="D291" s="32">
        <v>462</v>
      </c>
      <c r="E291" s="34">
        <v>62306</v>
      </c>
      <c r="F291" s="40">
        <v>62306</v>
      </c>
      <c r="G291" s="38">
        <v>0</v>
      </c>
      <c r="H291" s="44">
        <v>0</v>
      </c>
      <c r="I291" s="36">
        <v>229841</v>
      </c>
      <c r="J291" s="42">
        <v>207126</v>
      </c>
    </row>
    <row r="292" spans="1:10" x14ac:dyDescent="0.25">
      <c r="A292" s="30">
        <v>2342</v>
      </c>
      <c r="B292" s="30">
        <v>1</v>
      </c>
      <c r="C292" s="29" t="s">
        <v>8</v>
      </c>
      <c r="D292" s="32">
        <v>784</v>
      </c>
      <c r="E292" s="34">
        <v>70067</v>
      </c>
      <c r="F292" s="40">
        <v>42352</v>
      </c>
      <c r="G292" s="38">
        <v>0</v>
      </c>
      <c r="H292" s="44">
        <v>0</v>
      </c>
      <c r="I292" s="36">
        <v>1169391</v>
      </c>
      <c r="J292" s="42">
        <v>873928</v>
      </c>
    </row>
    <row r="293" spans="1:10" x14ac:dyDescent="0.25">
      <c r="A293" s="30">
        <v>2358</v>
      </c>
      <c r="B293" s="30">
        <v>1</v>
      </c>
      <c r="C293" s="29" t="s">
        <v>423</v>
      </c>
      <c r="D293" s="32">
        <v>220</v>
      </c>
      <c r="E293" s="34">
        <v>17887</v>
      </c>
      <c r="F293" s="40">
        <v>7629</v>
      </c>
      <c r="G293" s="38">
        <v>0</v>
      </c>
      <c r="H293" s="44">
        <v>0</v>
      </c>
      <c r="I293" s="36">
        <v>368068</v>
      </c>
      <c r="J293" s="42">
        <v>210026</v>
      </c>
    </row>
    <row r="294" spans="1:10" x14ac:dyDescent="0.25">
      <c r="A294" s="30">
        <v>2364</v>
      </c>
      <c r="B294" s="30">
        <v>1</v>
      </c>
      <c r="C294" s="29" t="s">
        <v>424</v>
      </c>
      <c r="D294" s="32">
        <v>679</v>
      </c>
      <c r="E294" s="34">
        <v>77887</v>
      </c>
      <c r="F294" s="40">
        <v>44911</v>
      </c>
      <c r="G294" s="38">
        <v>0</v>
      </c>
      <c r="H294" s="44">
        <v>0</v>
      </c>
      <c r="I294" s="36">
        <v>637858</v>
      </c>
      <c r="J294" s="42">
        <v>369952</v>
      </c>
    </row>
    <row r="295" spans="1:10" x14ac:dyDescent="0.25">
      <c r="A295" s="30">
        <v>2365</v>
      </c>
      <c r="B295" s="30">
        <v>1</v>
      </c>
      <c r="C295" s="29" t="s">
        <v>9</v>
      </c>
      <c r="D295" s="32">
        <v>893</v>
      </c>
      <c r="E295" s="34">
        <v>102662</v>
      </c>
      <c r="F295" s="40">
        <v>62811</v>
      </c>
      <c r="G295" s="38">
        <v>0</v>
      </c>
      <c r="H295" s="44">
        <v>0</v>
      </c>
      <c r="I295" s="36">
        <v>834864</v>
      </c>
      <c r="J295" s="42">
        <v>502354</v>
      </c>
    </row>
    <row r="296" spans="1:10" x14ac:dyDescent="0.25">
      <c r="A296" s="30">
        <v>2396</v>
      </c>
      <c r="B296" s="30">
        <v>1</v>
      </c>
      <c r="C296" s="29" t="s">
        <v>10</v>
      </c>
      <c r="D296" s="32">
        <v>841</v>
      </c>
      <c r="E296" s="34">
        <v>85339</v>
      </c>
      <c r="F296" s="40">
        <v>60594</v>
      </c>
      <c r="G296" s="38">
        <v>0</v>
      </c>
      <c r="H296" s="44">
        <v>0</v>
      </c>
      <c r="I296" s="36">
        <v>1033786</v>
      </c>
      <c r="J296" s="42">
        <v>773006</v>
      </c>
    </row>
    <row r="297" spans="1:10" x14ac:dyDescent="0.25">
      <c r="A297" s="30">
        <v>2397</v>
      </c>
      <c r="B297" s="30">
        <v>1</v>
      </c>
      <c r="C297" s="29" t="s">
        <v>425</v>
      </c>
      <c r="D297" s="32">
        <v>1084</v>
      </c>
      <c r="E297" s="34">
        <v>145827</v>
      </c>
      <c r="F297" s="40">
        <v>106621</v>
      </c>
      <c r="G297" s="38">
        <v>459701</v>
      </c>
      <c r="H297" s="44">
        <v>336108</v>
      </c>
      <c r="I297" s="36">
        <v>549874</v>
      </c>
      <c r="J297" s="42">
        <v>302048</v>
      </c>
    </row>
    <row r="298" spans="1:10" x14ac:dyDescent="0.25">
      <c r="A298" s="30">
        <v>2448</v>
      </c>
      <c r="B298" s="30">
        <v>1</v>
      </c>
      <c r="C298" s="29" t="s">
        <v>426</v>
      </c>
      <c r="D298" s="32">
        <v>812</v>
      </c>
      <c r="E298" s="34">
        <v>74046</v>
      </c>
      <c r="F298" s="40">
        <v>56804</v>
      </c>
      <c r="G298" s="38">
        <v>0</v>
      </c>
      <c r="H298" s="44">
        <v>0</v>
      </c>
      <c r="I298" s="36">
        <v>1178951</v>
      </c>
      <c r="J298" s="42">
        <v>952959</v>
      </c>
    </row>
    <row r="299" spans="1:10" x14ac:dyDescent="0.25">
      <c r="A299" s="30">
        <v>2527</v>
      </c>
      <c r="B299" s="30">
        <v>1</v>
      </c>
      <c r="C299" s="29" t="s">
        <v>427</v>
      </c>
      <c r="D299" s="32">
        <v>300</v>
      </c>
      <c r="E299" s="34">
        <v>24853</v>
      </c>
      <c r="F299" s="40">
        <v>9132</v>
      </c>
      <c r="G299" s="38">
        <v>0</v>
      </c>
      <c r="H299" s="44">
        <v>0</v>
      </c>
      <c r="I299" s="36">
        <v>488800</v>
      </c>
      <c r="J299" s="42">
        <v>238514</v>
      </c>
    </row>
    <row r="300" spans="1:10" x14ac:dyDescent="0.25">
      <c r="A300" s="30">
        <v>2534</v>
      </c>
      <c r="B300" s="30">
        <v>1</v>
      </c>
      <c r="C300" s="29" t="s">
        <v>11</v>
      </c>
      <c r="D300" s="32">
        <v>722</v>
      </c>
      <c r="E300" s="34">
        <v>89162</v>
      </c>
      <c r="F300" s="40">
        <v>64441</v>
      </c>
      <c r="G300" s="38">
        <v>0</v>
      </c>
      <c r="H300" s="44">
        <v>0</v>
      </c>
      <c r="I300" s="36">
        <v>539900</v>
      </c>
      <c r="J300" s="42">
        <v>324376</v>
      </c>
    </row>
    <row r="301" spans="1:10" x14ac:dyDescent="0.25">
      <c r="A301" s="30">
        <v>2536</v>
      </c>
      <c r="B301" s="30">
        <v>1</v>
      </c>
      <c r="C301" s="29" t="s">
        <v>428</v>
      </c>
      <c r="D301" s="32">
        <v>218</v>
      </c>
      <c r="E301" s="34">
        <v>10905</v>
      </c>
      <c r="F301" s="40">
        <v>6356</v>
      </c>
      <c r="G301" s="38">
        <v>0</v>
      </c>
      <c r="H301" s="44">
        <v>0</v>
      </c>
      <c r="I301" s="36">
        <v>752377</v>
      </c>
      <c r="J301" s="42">
        <v>575943</v>
      </c>
    </row>
    <row r="302" spans="1:10" x14ac:dyDescent="0.25">
      <c r="A302" s="30">
        <v>2580</v>
      </c>
      <c r="B302" s="30">
        <v>1</v>
      </c>
      <c r="C302" s="29" t="s">
        <v>429</v>
      </c>
      <c r="D302" s="32">
        <v>828</v>
      </c>
      <c r="E302" s="34">
        <v>119290</v>
      </c>
      <c r="F302" s="40">
        <v>58041</v>
      </c>
      <c r="G302" s="38">
        <v>0</v>
      </c>
      <c r="H302" s="44">
        <v>0</v>
      </c>
      <c r="I302" s="36">
        <v>248520</v>
      </c>
      <c r="J302" s="42">
        <v>70077</v>
      </c>
    </row>
    <row r="303" spans="1:10" x14ac:dyDescent="0.25">
      <c r="A303" s="30">
        <v>2609</v>
      </c>
      <c r="B303" s="30">
        <v>1</v>
      </c>
      <c r="C303" s="29" t="s">
        <v>430</v>
      </c>
      <c r="D303" s="32">
        <v>420</v>
      </c>
      <c r="E303" s="34">
        <v>44646</v>
      </c>
      <c r="F303" s="40">
        <v>30129</v>
      </c>
      <c r="G303" s="38">
        <v>0</v>
      </c>
      <c r="H303" s="44">
        <v>0</v>
      </c>
      <c r="I303" s="36">
        <v>471222</v>
      </c>
      <c r="J303" s="42">
        <v>331697</v>
      </c>
    </row>
    <row r="304" spans="1:10" x14ac:dyDescent="0.25">
      <c r="A304" s="30">
        <v>2683</v>
      </c>
      <c r="B304" s="30">
        <v>1</v>
      </c>
      <c r="C304" s="29" t="s">
        <v>431</v>
      </c>
      <c r="D304" s="32">
        <v>417</v>
      </c>
      <c r="E304" s="34">
        <v>42146</v>
      </c>
      <c r="F304" s="40">
        <v>15459</v>
      </c>
      <c r="G304" s="38">
        <v>0</v>
      </c>
      <c r="H304" s="44">
        <v>0</v>
      </c>
      <c r="I304" s="36">
        <v>514197</v>
      </c>
      <c r="J304" s="42">
        <v>224309</v>
      </c>
    </row>
    <row r="305" spans="1:10" x14ac:dyDescent="0.25">
      <c r="A305" s="30">
        <v>2687</v>
      </c>
      <c r="B305" s="30">
        <v>1</v>
      </c>
      <c r="C305" s="29" t="s">
        <v>12</v>
      </c>
      <c r="D305" s="32">
        <v>1228</v>
      </c>
      <c r="E305" s="34">
        <v>174013</v>
      </c>
      <c r="F305" s="40">
        <v>127612</v>
      </c>
      <c r="G305" s="38">
        <v>520587</v>
      </c>
      <c r="H305" s="44">
        <v>381772</v>
      </c>
      <c r="I305" s="36">
        <v>429190</v>
      </c>
      <c r="J305" s="42">
        <v>201172</v>
      </c>
    </row>
    <row r="306" spans="1:10" x14ac:dyDescent="0.25">
      <c r="A306" s="30">
        <v>2689</v>
      </c>
      <c r="B306" s="30">
        <v>1</v>
      </c>
      <c r="C306" s="29" t="s">
        <v>432</v>
      </c>
      <c r="D306" s="32">
        <v>1178</v>
      </c>
      <c r="E306" s="34">
        <v>121161</v>
      </c>
      <c r="F306" s="40">
        <v>59817</v>
      </c>
      <c r="G306" s="38">
        <v>0</v>
      </c>
      <c r="H306" s="44">
        <v>0</v>
      </c>
      <c r="I306" s="36">
        <v>1410655</v>
      </c>
      <c r="J306" s="42">
        <v>816097</v>
      </c>
    </row>
    <row r="307" spans="1:10" x14ac:dyDescent="0.25">
      <c r="A307" s="30">
        <v>2711</v>
      </c>
      <c r="B307" s="30">
        <v>1</v>
      </c>
      <c r="C307" s="29" t="s">
        <v>433</v>
      </c>
      <c r="D307" s="32">
        <v>1034</v>
      </c>
      <c r="E307" s="34">
        <v>148896</v>
      </c>
      <c r="F307" s="40">
        <v>102371</v>
      </c>
      <c r="G307" s="38">
        <v>0</v>
      </c>
      <c r="H307" s="44">
        <v>0</v>
      </c>
      <c r="I307" s="36">
        <v>310200</v>
      </c>
      <c r="J307" s="42">
        <v>123601</v>
      </c>
    </row>
    <row r="308" spans="1:10" x14ac:dyDescent="0.25">
      <c r="A308" s="30">
        <v>2752</v>
      </c>
      <c r="B308" s="30">
        <v>1</v>
      </c>
      <c r="C308" s="29" t="s">
        <v>434</v>
      </c>
      <c r="D308" s="32">
        <v>1964</v>
      </c>
      <c r="E308" s="34">
        <v>222928</v>
      </c>
      <c r="F308" s="40">
        <v>168243</v>
      </c>
      <c r="G308" s="38">
        <v>0</v>
      </c>
      <c r="H308" s="44">
        <v>0</v>
      </c>
      <c r="I308" s="36">
        <v>1894978</v>
      </c>
      <c r="J308" s="42">
        <v>1341907</v>
      </c>
    </row>
    <row r="309" spans="1:10" x14ac:dyDescent="0.25">
      <c r="A309" s="30">
        <v>2753</v>
      </c>
      <c r="B309" s="30">
        <v>1</v>
      </c>
      <c r="C309" s="29" t="s">
        <v>435</v>
      </c>
      <c r="D309" s="32">
        <v>960</v>
      </c>
      <c r="E309" s="34">
        <v>109157</v>
      </c>
      <c r="F309" s="40">
        <v>68203</v>
      </c>
      <c r="G309" s="38">
        <v>0</v>
      </c>
      <c r="H309" s="44">
        <v>0</v>
      </c>
      <c r="I309" s="36">
        <v>922368</v>
      </c>
      <c r="J309" s="42">
        <v>572973</v>
      </c>
    </row>
    <row r="310" spans="1:10" x14ac:dyDescent="0.25">
      <c r="A310" s="30">
        <v>2754</v>
      </c>
      <c r="B310" s="30">
        <v>1</v>
      </c>
      <c r="C310" s="29" t="s">
        <v>436</v>
      </c>
      <c r="D310" s="32">
        <v>562</v>
      </c>
      <c r="E310" s="34">
        <v>73493</v>
      </c>
      <c r="F310" s="40">
        <v>32836</v>
      </c>
      <c r="G310" s="38">
        <v>0</v>
      </c>
      <c r="H310" s="44">
        <v>0</v>
      </c>
      <c r="I310" s="36">
        <v>330074</v>
      </c>
      <c r="J310" s="42">
        <v>115812</v>
      </c>
    </row>
    <row r="311" spans="1:10" x14ac:dyDescent="0.25">
      <c r="A311" s="30">
        <v>2759</v>
      </c>
      <c r="B311" s="30">
        <v>1</v>
      </c>
      <c r="C311" s="29" t="s">
        <v>437</v>
      </c>
      <c r="D311" s="32">
        <v>315</v>
      </c>
      <c r="E311" s="34">
        <v>34661</v>
      </c>
      <c r="F311" s="40">
        <v>15979</v>
      </c>
      <c r="G311" s="38">
        <v>0</v>
      </c>
      <c r="H311" s="44">
        <v>0</v>
      </c>
      <c r="I311" s="36">
        <v>327013</v>
      </c>
      <c r="J311" s="42">
        <v>163158</v>
      </c>
    </row>
    <row r="312" spans="1:10" x14ac:dyDescent="0.25">
      <c r="A312" s="30">
        <v>2769</v>
      </c>
      <c r="B312" s="30">
        <v>1</v>
      </c>
      <c r="C312" s="29" t="s">
        <v>467</v>
      </c>
      <c r="D312" s="32">
        <v>1074</v>
      </c>
      <c r="E312" s="34">
        <v>125427</v>
      </c>
      <c r="F312" s="40">
        <v>90913</v>
      </c>
      <c r="G312" s="38">
        <v>0</v>
      </c>
      <c r="H312" s="44">
        <v>0</v>
      </c>
      <c r="I312" s="36">
        <v>958360</v>
      </c>
      <c r="J312" s="42">
        <v>635679</v>
      </c>
    </row>
    <row r="313" spans="1:10" x14ac:dyDescent="0.25">
      <c r="A313" s="30">
        <v>2805</v>
      </c>
      <c r="B313" s="30">
        <v>1</v>
      </c>
      <c r="C313" s="29" t="s">
        <v>438</v>
      </c>
      <c r="D313" s="32">
        <v>1230</v>
      </c>
      <c r="E313" s="34">
        <v>116798</v>
      </c>
      <c r="F313" s="40">
        <v>93823</v>
      </c>
      <c r="G313" s="38">
        <v>0</v>
      </c>
      <c r="H313" s="44">
        <v>0</v>
      </c>
      <c r="I313" s="36">
        <v>1684756</v>
      </c>
      <c r="J313" s="42">
        <v>1376248</v>
      </c>
    </row>
    <row r="314" spans="1:10" x14ac:dyDescent="0.25">
      <c r="A314" s="30">
        <v>2835</v>
      </c>
      <c r="B314" s="30">
        <v>1</v>
      </c>
      <c r="C314" s="29" t="s">
        <v>439</v>
      </c>
      <c r="D314" s="32">
        <v>639</v>
      </c>
      <c r="E314" s="34">
        <v>41264</v>
      </c>
      <c r="F314" s="40">
        <v>30978</v>
      </c>
      <c r="G314" s="38">
        <v>0</v>
      </c>
      <c r="H314" s="44">
        <v>0</v>
      </c>
      <c r="I314" s="36">
        <v>1299576</v>
      </c>
      <c r="J314" s="42">
        <v>1117943</v>
      </c>
    </row>
    <row r="315" spans="1:10" x14ac:dyDescent="0.25">
      <c r="A315" s="30">
        <v>2853</v>
      </c>
      <c r="B315" s="30">
        <v>1</v>
      </c>
      <c r="C315" s="29" t="s">
        <v>440</v>
      </c>
      <c r="D315" s="32">
        <v>880</v>
      </c>
      <c r="E315" s="34">
        <v>88456</v>
      </c>
      <c r="F315" s="40">
        <v>44377</v>
      </c>
      <c r="G315" s="38">
        <v>0</v>
      </c>
      <c r="H315" s="44">
        <v>0</v>
      </c>
      <c r="I315" s="36">
        <v>1097239</v>
      </c>
      <c r="J315" s="42">
        <v>657979</v>
      </c>
    </row>
    <row r="316" spans="1:10" x14ac:dyDescent="0.25">
      <c r="A316" s="30">
        <v>2854</v>
      </c>
      <c r="B316" s="30">
        <v>1</v>
      </c>
      <c r="C316" s="29" t="s">
        <v>441</v>
      </c>
      <c r="D316" s="32">
        <v>521</v>
      </c>
      <c r="E316" s="34">
        <v>62713</v>
      </c>
      <c r="F316" s="40">
        <v>25306</v>
      </c>
      <c r="G316" s="38">
        <v>0</v>
      </c>
      <c r="H316" s="44">
        <v>0</v>
      </c>
      <c r="I316" s="36">
        <v>426208</v>
      </c>
      <c r="J316" s="42">
        <v>154611</v>
      </c>
    </row>
    <row r="317" spans="1:10" x14ac:dyDescent="0.25">
      <c r="A317" s="30">
        <v>2856</v>
      </c>
      <c r="B317" s="30">
        <v>1</v>
      </c>
      <c r="C317" s="29" t="s">
        <v>442</v>
      </c>
      <c r="D317" s="32">
        <v>313</v>
      </c>
      <c r="E317" s="34">
        <v>23780</v>
      </c>
      <c r="F317" s="40">
        <v>21822</v>
      </c>
      <c r="G317" s="38">
        <v>0</v>
      </c>
      <c r="H317" s="44">
        <v>0</v>
      </c>
      <c r="I317" s="36">
        <v>559881</v>
      </c>
      <c r="J317" s="42">
        <v>411751</v>
      </c>
    </row>
    <row r="318" spans="1:10" x14ac:dyDescent="0.25">
      <c r="A318" s="30">
        <v>2859</v>
      </c>
      <c r="B318" s="30">
        <v>1</v>
      </c>
      <c r="C318" s="29" t="s">
        <v>443</v>
      </c>
      <c r="D318" s="32">
        <v>1759</v>
      </c>
      <c r="E318" s="34">
        <v>242390</v>
      </c>
      <c r="F318" s="40">
        <v>165809</v>
      </c>
      <c r="G318" s="38">
        <v>745731</v>
      </c>
      <c r="H318" s="44">
        <v>510122</v>
      </c>
      <c r="I318" s="36">
        <v>764902</v>
      </c>
      <c r="J318" s="42">
        <v>371480</v>
      </c>
    </row>
    <row r="319" spans="1:10" x14ac:dyDescent="0.25">
      <c r="A319" s="30">
        <v>2860</v>
      </c>
      <c r="B319" s="30">
        <v>1</v>
      </c>
      <c r="C319" s="29" t="s">
        <v>444</v>
      </c>
      <c r="D319" s="32">
        <v>1326</v>
      </c>
      <c r="E319" s="34">
        <v>166127</v>
      </c>
      <c r="F319" s="40">
        <v>88637</v>
      </c>
      <c r="G319" s="38">
        <v>0</v>
      </c>
      <c r="H319" s="44">
        <v>0</v>
      </c>
      <c r="I319" s="36">
        <v>940329</v>
      </c>
      <c r="J319" s="42">
        <v>412450</v>
      </c>
    </row>
    <row r="320" spans="1:10" x14ac:dyDescent="0.25">
      <c r="A320" s="30">
        <v>2884</v>
      </c>
      <c r="B320" s="30">
        <v>1</v>
      </c>
      <c r="C320" s="29" t="s">
        <v>445</v>
      </c>
      <c r="D320" s="32">
        <v>390</v>
      </c>
      <c r="E320" s="34">
        <v>27159</v>
      </c>
      <c r="F320" s="40">
        <v>15797</v>
      </c>
      <c r="G320" s="38">
        <v>0</v>
      </c>
      <c r="H320" s="44">
        <v>0</v>
      </c>
      <c r="I320" s="36">
        <v>749580</v>
      </c>
      <c r="J320" s="42">
        <v>596966</v>
      </c>
    </row>
    <row r="321" spans="1:10" x14ac:dyDescent="0.25">
      <c r="A321" s="30">
        <v>2886</v>
      </c>
      <c r="B321" s="30">
        <v>1</v>
      </c>
      <c r="C321" s="29" t="s">
        <v>446</v>
      </c>
      <c r="D321" s="32">
        <v>385</v>
      </c>
      <c r="E321" s="34">
        <v>43306</v>
      </c>
      <c r="F321" s="40">
        <v>31039</v>
      </c>
      <c r="G321" s="38">
        <v>0</v>
      </c>
      <c r="H321" s="44">
        <v>0</v>
      </c>
      <c r="I321" s="36">
        <v>378639</v>
      </c>
      <c r="J321" s="42">
        <v>221478</v>
      </c>
    </row>
    <row r="322" spans="1:10" x14ac:dyDescent="0.25">
      <c r="A322" s="30">
        <v>2888</v>
      </c>
      <c r="B322" s="30">
        <v>1</v>
      </c>
      <c r="C322" s="29" t="s">
        <v>13</v>
      </c>
      <c r="D322" s="32">
        <v>331</v>
      </c>
      <c r="E322" s="34">
        <v>35525</v>
      </c>
      <c r="F322" s="40">
        <v>18148</v>
      </c>
      <c r="G322" s="38">
        <v>0</v>
      </c>
      <c r="H322" s="44">
        <v>0</v>
      </c>
      <c r="I322" s="36">
        <v>362698</v>
      </c>
      <c r="J322" s="42">
        <v>207176</v>
      </c>
    </row>
    <row r="323" spans="1:10" x14ac:dyDescent="0.25">
      <c r="A323" s="30">
        <v>2889</v>
      </c>
      <c r="B323" s="30">
        <v>1</v>
      </c>
      <c r="C323" s="29" t="s">
        <v>447</v>
      </c>
      <c r="D323" s="32">
        <v>657</v>
      </c>
      <c r="E323" s="34">
        <v>79119</v>
      </c>
      <c r="F323" s="40">
        <v>79119</v>
      </c>
      <c r="G323" s="38">
        <v>0</v>
      </c>
      <c r="H323" s="44">
        <v>0</v>
      </c>
      <c r="I323" s="36">
        <v>535830</v>
      </c>
      <c r="J323" s="42">
        <v>482889</v>
      </c>
    </row>
    <row r="324" spans="1:10" x14ac:dyDescent="0.25">
      <c r="A324" s="30">
        <v>2890</v>
      </c>
      <c r="B324" s="30">
        <v>1</v>
      </c>
      <c r="C324" s="29" t="s">
        <v>448</v>
      </c>
      <c r="D324" s="32">
        <v>559</v>
      </c>
      <c r="E324" s="34">
        <v>27930</v>
      </c>
      <c r="F324" s="40">
        <v>15991</v>
      </c>
      <c r="G324" s="38">
        <v>0</v>
      </c>
      <c r="H324" s="44">
        <v>0</v>
      </c>
      <c r="I324" s="36">
        <v>1300633</v>
      </c>
      <c r="J324" s="42">
        <v>1054477</v>
      </c>
    </row>
    <row r="325" spans="1:10" x14ac:dyDescent="0.25">
      <c r="A325" s="30">
        <v>2895</v>
      </c>
      <c r="B325" s="30">
        <v>1</v>
      </c>
      <c r="C325" s="29" t="s">
        <v>449</v>
      </c>
      <c r="D325" s="32">
        <v>1340</v>
      </c>
      <c r="E325" s="34">
        <v>148443</v>
      </c>
      <c r="F325" s="40">
        <v>92238</v>
      </c>
      <c r="G325" s="38">
        <v>0</v>
      </c>
      <c r="H325" s="44">
        <v>0</v>
      </c>
      <c r="I325" s="36">
        <v>1371630</v>
      </c>
      <c r="J325" s="42">
        <v>881152</v>
      </c>
    </row>
    <row r="326" spans="1:10" x14ac:dyDescent="0.25">
      <c r="A326" s="30">
        <v>2897</v>
      </c>
      <c r="B326" s="30">
        <v>1</v>
      </c>
      <c r="C326" s="29" t="s">
        <v>450</v>
      </c>
      <c r="D326" s="32">
        <v>1210</v>
      </c>
      <c r="E326" s="34">
        <v>132411</v>
      </c>
      <c r="F326" s="40">
        <v>65878</v>
      </c>
      <c r="G326" s="38">
        <v>0</v>
      </c>
      <c r="H326" s="44">
        <v>0</v>
      </c>
      <c r="I326" s="36">
        <v>1276754</v>
      </c>
      <c r="J326" s="42">
        <v>693949</v>
      </c>
    </row>
    <row r="327" spans="1:10" x14ac:dyDescent="0.25">
      <c r="A327" s="30">
        <v>2898</v>
      </c>
      <c r="B327" s="30">
        <v>1</v>
      </c>
      <c r="C327" s="29" t="s">
        <v>451</v>
      </c>
      <c r="D327" s="32">
        <v>425</v>
      </c>
      <c r="E327" s="34">
        <v>52484</v>
      </c>
      <c r="F327" s="40">
        <v>24072</v>
      </c>
      <c r="G327" s="38">
        <v>0</v>
      </c>
      <c r="H327" s="44">
        <v>0</v>
      </c>
      <c r="I327" s="36">
        <v>318999</v>
      </c>
      <c r="J327" s="42">
        <v>121700</v>
      </c>
    </row>
    <row r="328" spans="1:10" x14ac:dyDescent="0.25">
      <c r="A328" s="30">
        <v>2899</v>
      </c>
      <c r="B328" s="30">
        <v>1</v>
      </c>
      <c r="C328" s="29" t="s">
        <v>14</v>
      </c>
      <c r="D328" s="32">
        <v>1550</v>
      </c>
      <c r="E328" s="34">
        <v>222610</v>
      </c>
      <c r="F328" s="40">
        <v>143458</v>
      </c>
      <c r="G328" s="38">
        <v>0</v>
      </c>
      <c r="H328" s="44">
        <v>0</v>
      </c>
      <c r="I328" s="36">
        <v>476487</v>
      </c>
      <c r="J328" s="42">
        <v>181103</v>
      </c>
    </row>
    <row r="329" spans="1:10" x14ac:dyDescent="0.25">
      <c r="A329" s="30">
        <v>2902</v>
      </c>
      <c r="B329" s="30">
        <v>1</v>
      </c>
      <c r="C329" s="29" t="s">
        <v>452</v>
      </c>
      <c r="D329" s="32">
        <v>574</v>
      </c>
      <c r="E329" s="34">
        <v>70435</v>
      </c>
      <c r="F329" s="40">
        <v>40318</v>
      </c>
      <c r="G329" s="38">
        <v>0</v>
      </c>
      <c r="H329" s="44">
        <v>0</v>
      </c>
      <c r="I329" s="36">
        <v>437041</v>
      </c>
      <c r="J329" s="42">
        <v>209268</v>
      </c>
    </row>
    <row r="330" spans="1:10" x14ac:dyDescent="0.25">
      <c r="A330" s="30">
        <v>2903</v>
      </c>
      <c r="B330" s="30">
        <v>1</v>
      </c>
      <c r="C330" s="29" t="s">
        <v>453</v>
      </c>
      <c r="D330" s="32">
        <v>517</v>
      </c>
      <c r="E330" s="34">
        <v>54477</v>
      </c>
      <c r="F330" s="40">
        <v>28873</v>
      </c>
      <c r="G330" s="38">
        <v>0</v>
      </c>
      <c r="H330" s="44">
        <v>0</v>
      </c>
      <c r="I330" s="36">
        <v>591408</v>
      </c>
      <c r="J330" s="42">
        <v>358616</v>
      </c>
    </row>
    <row r="331" spans="1:10" x14ac:dyDescent="0.25">
      <c r="A331" s="30">
        <v>2904</v>
      </c>
      <c r="B331" s="30">
        <v>1</v>
      </c>
      <c r="C331" s="29" t="s">
        <v>454</v>
      </c>
      <c r="D331" s="32">
        <v>794</v>
      </c>
      <c r="E331" s="34">
        <v>89868</v>
      </c>
      <c r="F331" s="40">
        <v>57527</v>
      </c>
      <c r="G331" s="38">
        <v>0</v>
      </c>
      <c r="H331" s="44">
        <v>0</v>
      </c>
      <c r="I331" s="36">
        <v>772582</v>
      </c>
      <c r="J331" s="42">
        <v>491239</v>
      </c>
    </row>
    <row r="332" spans="1:10" x14ac:dyDescent="0.25">
      <c r="A332" s="30">
        <v>2905</v>
      </c>
      <c r="B332" s="30">
        <v>1</v>
      </c>
      <c r="C332" s="29" t="s">
        <v>15</v>
      </c>
      <c r="D332" s="32">
        <v>2098</v>
      </c>
      <c r="E332" s="34">
        <v>280015</v>
      </c>
      <c r="F332" s="40">
        <v>170447</v>
      </c>
      <c r="G332" s="38">
        <v>0</v>
      </c>
      <c r="H332" s="44">
        <v>0</v>
      </c>
      <c r="I332" s="36">
        <v>1112761</v>
      </c>
      <c r="J332" s="42">
        <v>516230</v>
      </c>
    </row>
    <row r="333" spans="1:10" x14ac:dyDescent="0.25">
      <c r="A333" s="30">
        <v>2906</v>
      </c>
      <c r="B333" s="30">
        <v>1</v>
      </c>
      <c r="C333" s="29" t="s">
        <v>468</v>
      </c>
      <c r="D333" s="32">
        <v>412</v>
      </c>
      <c r="E333" s="34">
        <v>44466</v>
      </c>
      <c r="F333" s="40">
        <v>35348</v>
      </c>
      <c r="G333" s="38">
        <v>0</v>
      </c>
      <c r="H333" s="44">
        <v>0</v>
      </c>
      <c r="I333" s="36">
        <v>446401</v>
      </c>
      <c r="J333" s="42">
        <v>340982</v>
      </c>
    </row>
    <row r="334" spans="1:10" x14ac:dyDescent="0.25">
      <c r="A334" s="30">
        <v>2907</v>
      </c>
      <c r="B334" s="30">
        <v>1</v>
      </c>
      <c r="C334" s="29" t="s">
        <v>469</v>
      </c>
      <c r="D334" s="32">
        <v>314</v>
      </c>
      <c r="E334" s="34">
        <v>26854</v>
      </c>
      <c r="F334" s="40">
        <v>15249</v>
      </c>
      <c r="G334" s="38">
        <v>0</v>
      </c>
      <c r="H334" s="44">
        <v>0</v>
      </c>
      <c r="I334" s="36">
        <v>494015</v>
      </c>
      <c r="J334" s="42">
        <v>368188</v>
      </c>
    </row>
    <row r="335" spans="1:10" x14ac:dyDescent="0.25">
      <c r="A335" s="30">
        <v>2908</v>
      </c>
      <c r="B335" s="30">
        <v>1</v>
      </c>
      <c r="C335" s="29" t="s">
        <v>470</v>
      </c>
      <c r="D335" s="32">
        <v>503</v>
      </c>
      <c r="E335" s="34">
        <v>53415</v>
      </c>
      <c r="F335" s="40">
        <v>40427</v>
      </c>
      <c r="G335" s="38">
        <v>0</v>
      </c>
      <c r="H335" s="44">
        <v>0</v>
      </c>
      <c r="I335" s="36">
        <v>566387</v>
      </c>
      <c r="J335" s="42">
        <v>425359</v>
      </c>
    </row>
    <row r="336" spans="1:10" x14ac:dyDescent="0.25">
      <c r="A336" s="30">
        <v>3000</v>
      </c>
      <c r="B336" s="30">
        <v>1</v>
      </c>
      <c r="C336" s="29" t="s">
        <v>16</v>
      </c>
      <c r="D336" s="32">
        <v>0</v>
      </c>
      <c r="E336" s="34">
        <v>2902746</v>
      </c>
      <c r="F336" s="40">
        <v>2560669</v>
      </c>
      <c r="G336" s="38">
        <v>-4681341</v>
      </c>
      <c r="H336" s="44">
        <v>-4506049</v>
      </c>
      <c r="I336" s="36">
        <v>47587263</v>
      </c>
      <c r="J336" s="42">
        <v>44789938</v>
      </c>
    </row>
    <row r="337" spans="1:10" x14ac:dyDescent="0.25">
      <c r="A337" s="30">
        <v>3999</v>
      </c>
      <c r="B337" s="30">
        <v>1</v>
      </c>
      <c r="C337" s="29" t="s">
        <v>17</v>
      </c>
      <c r="D337" s="32">
        <v>8458</v>
      </c>
      <c r="E337" s="34">
        <v>952118</v>
      </c>
      <c r="F337" s="40">
        <v>-1169782</v>
      </c>
      <c r="G337" s="38">
        <v>2442312</v>
      </c>
      <c r="H337" s="44">
        <v>-2606110</v>
      </c>
      <c r="I337" s="36">
        <v>7172950</v>
      </c>
      <c r="J337" s="42">
        <v>-4592940</v>
      </c>
    </row>
    <row r="338" spans="1:10" x14ac:dyDescent="0.25">
      <c r="A338" s="30">
        <v>4000</v>
      </c>
      <c r="B338" s="30">
        <v>7</v>
      </c>
      <c r="C338" s="29" t="s">
        <v>18</v>
      </c>
      <c r="D338" s="32">
        <v>132</v>
      </c>
      <c r="E338" s="34">
        <v>14859</v>
      </c>
      <c r="F338" s="40">
        <v>0</v>
      </c>
      <c r="G338" s="38">
        <v>0</v>
      </c>
      <c r="H338" s="44">
        <v>0</v>
      </c>
      <c r="I338" s="36">
        <v>0</v>
      </c>
      <c r="J338" s="42">
        <v>0</v>
      </c>
    </row>
    <row r="339" spans="1:10" x14ac:dyDescent="0.25">
      <c r="A339" s="30">
        <v>4001</v>
      </c>
      <c r="B339" s="30">
        <v>7</v>
      </c>
      <c r="C339" s="29" t="s">
        <v>19</v>
      </c>
      <c r="D339" s="32">
        <v>228</v>
      </c>
      <c r="E339" s="34">
        <v>25710</v>
      </c>
      <c r="F339" s="40">
        <v>0</v>
      </c>
      <c r="G339" s="38">
        <v>0</v>
      </c>
      <c r="H339" s="44">
        <v>0</v>
      </c>
      <c r="I339" s="36">
        <v>0</v>
      </c>
      <c r="J339" s="42">
        <v>0</v>
      </c>
    </row>
    <row r="340" spans="1:10" x14ac:dyDescent="0.25">
      <c r="A340" s="30">
        <v>4003</v>
      </c>
      <c r="B340" s="30">
        <v>7</v>
      </c>
      <c r="C340" s="29" t="s">
        <v>20</v>
      </c>
      <c r="D340" s="32">
        <v>156</v>
      </c>
      <c r="E340" s="34">
        <v>17561</v>
      </c>
      <c r="F340" s="40">
        <v>0</v>
      </c>
      <c r="G340" s="38">
        <v>0</v>
      </c>
      <c r="H340" s="44">
        <v>0</v>
      </c>
      <c r="I340" s="36">
        <v>0</v>
      </c>
      <c r="J340" s="42">
        <v>0</v>
      </c>
    </row>
    <row r="341" spans="1:10" x14ac:dyDescent="0.25">
      <c r="A341" s="30">
        <v>4004</v>
      </c>
      <c r="B341" s="30">
        <v>7</v>
      </c>
      <c r="C341" s="29" t="s">
        <v>471</v>
      </c>
      <c r="D341" s="32">
        <v>161</v>
      </c>
      <c r="E341" s="34">
        <v>18168</v>
      </c>
      <c r="F341" s="40">
        <v>0</v>
      </c>
      <c r="G341" s="38">
        <v>0</v>
      </c>
      <c r="H341" s="44">
        <v>0</v>
      </c>
      <c r="I341" s="36">
        <v>0</v>
      </c>
      <c r="J341" s="42">
        <v>0</v>
      </c>
    </row>
    <row r="342" spans="1:10" x14ac:dyDescent="0.25">
      <c r="A342" s="30">
        <v>4005</v>
      </c>
      <c r="B342" s="30">
        <v>7</v>
      </c>
      <c r="C342" s="29" t="s">
        <v>472</v>
      </c>
      <c r="D342" s="32">
        <v>26</v>
      </c>
      <c r="E342" s="34">
        <v>2949</v>
      </c>
      <c r="F342" s="40">
        <v>0</v>
      </c>
      <c r="G342" s="38">
        <v>0</v>
      </c>
      <c r="H342" s="44">
        <v>0</v>
      </c>
      <c r="I342" s="36">
        <v>0</v>
      </c>
      <c r="J342" s="42">
        <v>0</v>
      </c>
    </row>
    <row r="343" spans="1:10" x14ac:dyDescent="0.25">
      <c r="A343" s="30">
        <v>4007</v>
      </c>
      <c r="B343" s="30">
        <v>7</v>
      </c>
      <c r="C343" s="29" t="s">
        <v>21</v>
      </c>
      <c r="D343" s="32">
        <v>190</v>
      </c>
      <c r="E343" s="34">
        <v>21394</v>
      </c>
      <c r="F343" s="40">
        <v>0</v>
      </c>
      <c r="G343" s="38">
        <v>0</v>
      </c>
      <c r="H343" s="44">
        <v>0</v>
      </c>
      <c r="I343" s="36">
        <v>0</v>
      </c>
      <c r="J343" s="42">
        <v>0</v>
      </c>
    </row>
    <row r="344" spans="1:10" x14ac:dyDescent="0.25">
      <c r="A344" s="30">
        <v>4008</v>
      </c>
      <c r="B344" s="30">
        <v>7</v>
      </c>
      <c r="C344" s="29" t="s">
        <v>22</v>
      </c>
      <c r="D344" s="32">
        <v>670</v>
      </c>
      <c r="E344" s="34">
        <v>75420</v>
      </c>
      <c r="F344" s="40">
        <v>0</v>
      </c>
      <c r="G344" s="38">
        <v>0</v>
      </c>
      <c r="H344" s="44">
        <v>0</v>
      </c>
      <c r="I344" s="36">
        <v>0</v>
      </c>
      <c r="J344" s="42">
        <v>0</v>
      </c>
    </row>
    <row r="345" spans="1:10" x14ac:dyDescent="0.25">
      <c r="A345" s="30">
        <v>4011</v>
      </c>
      <c r="B345" s="30">
        <v>7</v>
      </c>
      <c r="C345" s="29" t="s">
        <v>23</v>
      </c>
      <c r="D345" s="32">
        <v>213</v>
      </c>
      <c r="E345" s="34">
        <v>23949</v>
      </c>
      <c r="F345" s="40">
        <v>0</v>
      </c>
      <c r="G345" s="38">
        <v>0</v>
      </c>
      <c r="H345" s="44">
        <v>0</v>
      </c>
      <c r="I345" s="36">
        <v>0</v>
      </c>
      <c r="J345" s="42">
        <v>0</v>
      </c>
    </row>
    <row r="346" spans="1:10" x14ac:dyDescent="0.25">
      <c r="A346" s="30">
        <v>4015</v>
      </c>
      <c r="B346" s="30">
        <v>7</v>
      </c>
      <c r="C346" s="29" t="s">
        <v>24</v>
      </c>
      <c r="D346" s="32">
        <v>840</v>
      </c>
      <c r="E346" s="34">
        <v>94512</v>
      </c>
      <c r="F346" s="40">
        <v>0</v>
      </c>
      <c r="G346" s="38">
        <v>0</v>
      </c>
      <c r="H346" s="44">
        <v>0</v>
      </c>
      <c r="I346" s="36">
        <v>0</v>
      </c>
      <c r="J346" s="42">
        <v>0</v>
      </c>
    </row>
    <row r="347" spans="1:10" x14ac:dyDescent="0.25">
      <c r="A347" s="30">
        <v>4016</v>
      </c>
      <c r="B347" s="30">
        <v>7</v>
      </c>
      <c r="C347" s="29" t="s">
        <v>25</v>
      </c>
      <c r="D347" s="32">
        <v>229</v>
      </c>
      <c r="E347" s="34">
        <v>25756</v>
      </c>
      <c r="F347" s="40">
        <v>0</v>
      </c>
      <c r="G347" s="38">
        <v>0</v>
      </c>
      <c r="H347" s="44">
        <v>0</v>
      </c>
      <c r="I347" s="36">
        <v>0</v>
      </c>
      <c r="J347" s="42">
        <v>0</v>
      </c>
    </row>
    <row r="348" spans="1:10" x14ac:dyDescent="0.25">
      <c r="A348" s="30">
        <v>4017</v>
      </c>
      <c r="B348" s="30">
        <v>7</v>
      </c>
      <c r="C348" s="29" t="s">
        <v>473</v>
      </c>
      <c r="D348" s="32">
        <v>3422</v>
      </c>
      <c r="E348" s="34">
        <v>385207</v>
      </c>
      <c r="F348" s="40">
        <v>0</v>
      </c>
      <c r="G348" s="38">
        <v>0</v>
      </c>
      <c r="H348" s="44">
        <v>0</v>
      </c>
      <c r="I348" s="36">
        <v>0</v>
      </c>
      <c r="J348" s="42">
        <v>0</v>
      </c>
    </row>
    <row r="349" spans="1:10" x14ac:dyDescent="0.25">
      <c r="A349" s="30">
        <v>4018</v>
      </c>
      <c r="B349" s="30">
        <v>7</v>
      </c>
      <c r="C349" s="29" t="s">
        <v>26</v>
      </c>
      <c r="D349" s="32">
        <v>437</v>
      </c>
      <c r="E349" s="34">
        <v>49170</v>
      </c>
      <c r="F349" s="40">
        <v>0</v>
      </c>
      <c r="G349" s="38">
        <v>0</v>
      </c>
      <c r="H349" s="44">
        <v>0</v>
      </c>
      <c r="I349" s="36">
        <v>0</v>
      </c>
      <c r="J349" s="42">
        <v>0</v>
      </c>
    </row>
    <row r="350" spans="1:10" x14ac:dyDescent="0.25">
      <c r="A350" s="30">
        <v>4020</v>
      </c>
      <c r="B350" s="30">
        <v>7</v>
      </c>
      <c r="C350" s="29" t="s">
        <v>27</v>
      </c>
      <c r="D350" s="32">
        <v>1292</v>
      </c>
      <c r="E350" s="34">
        <v>145381</v>
      </c>
      <c r="F350" s="40">
        <v>0</v>
      </c>
      <c r="G350" s="38">
        <v>0</v>
      </c>
      <c r="H350" s="44">
        <v>0</v>
      </c>
      <c r="I350" s="36">
        <v>0</v>
      </c>
      <c r="J350" s="42">
        <v>0</v>
      </c>
    </row>
    <row r="351" spans="1:10" x14ac:dyDescent="0.25">
      <c r="A351" s="30">
        <v>4025</v>
      </c>
      <c r="B351" s="30">
        <v>7</v>
      </c>
      <c r="C351" s="29" t="s">
        <v>28</v>
      </c>
      <c r="D351" s="32">
        <v>171</v>
      </c>
      <c r="E351" s="34">
        <v>19249</v>
      </c>
      <c r="F351" s="40">
        <v>0</v>
      </c>
      <c r="G351" s="38">
        <v>0</v>
      </c>
      <c r="H351" s="44">
        <v>0</v>
      </c>
      <c r="I351" s="36">
        <v>0</v>
      </c>
      <c r="J351" s="42">
        <v>0</v>
      </c>
    </row>
    <row r="352" spans="1:10" x14ac:dyDescent="0.25">
      <c r="A352" s="30">
        <v>4026</v>
      </c>
      <c r="B352" s="30">
        <v>7</v>
      </c>
      <c r="C352" s="29" t="s">
        <v>29</v>
      </c>
      <c r="D352" s="32">
        <v>119</v>
      </c>
      <c r="E352" s="34">
        <v>13373</v>
      </c>
      <c r="F352" s="40">
        <v>0</v>
      </c>
      <c r="G352" s="38">
        <v>0</v>
      </c>
      <c r="H352" s="44">
        <v>0</v>
      </c>
      <c r="I352" s="36">
        <v>0</v>
      </c>
      <c r="J352" s="42">
        <v>0</v>
      </c>
    </row>
    <row r="353" spans="1:10" x14ac:dyDescent="0.25">
      <c r="A353" s="30">
        <v>4027</v>
      </c>
      <c r="B353" s="30">
        <v>7</v>
      </c>
      <c r="C353" s="29" t="s">
        <v>30</v>
      </c>
      <c r="D353" s="32">
        <v>1118</v>
      </c>
      <c r="E353" s="34">
        <v>125851</v>
      </c>
      <c r="F353" s="40">
        <v>0</v>
      </c>
      <c r="G353" s="38">
        <v>0</v>
      </c>
      <c r="H353" s="44">
        <v>0</v>
      </c>
      <c r="I353" s="36">
        <v>0</v>
      </c>
      <c r="J353" s="42">
        <v>0</v>
      </c>
    </row>
    <row r="354" spans="1:10" x14ac:dyDescent="0.25">
      <c r="A354" s="30">
        <v>4029</v>
      </c>
      <c r="B354" s="30">
        <v>7</v>
      </c>
      <c r="C354" s="29" t="s">
        <v>460</v>
      </c>
      <c r="D354" s="32">
        <v>377</v>
      </c>
      <c r="E354" s="34">
        <v>42404</v>
      </c>
      <c r="F354" s="40">
        <v>0</v>
      </c>
      <c r="G354" s="38">
        <v>0</v>
      </c>
      <c r="H354" s="44">
        <v>0</v>
      </c>
      <c r="I354" s="36">
        <v>0</v>
      </c>
      <c r="J354" s="42">
        <v>0</v>
      </c>
    </row>
    <row r="355" spans="1:10" x14ac:dyDescent="0.25">
      <c r="A355" s="30">
        <v>4030</v>
      </c>
      <c r="B355" s="30">
        <v>7</v>
      </c>
      <c r="C355" s="29" t="s">
        <v>461</v>
      </c>
      <c r="D355" s="32">
        <v>355</v>
      </c>
      <c r="E355" s="34">
        <v>39950</v>
      </c>
      <c r="F355" s="40">
        <v>0</v>
      </c>
      <c r="G355" s="38">
        <v>0</v>
      </c>
      <c r="H355" s="44">
        <v>0</v>
      </c>
      <c r="I355" s="36">
        <v>0</v>
      </c>
      <c r="J355" s="42">
        <v>0</v>
      </c>
    </row>
    <row r="356" spans="1:10" x14ac:dyDescent="0.25">
      <c r="A356" s="30">
        <v>4031</v>
      </c>
      <c r="B356" s="30">
        <v>7</v>
      </c>
      <c r="C356" s="29" t="s">
        <v>474</v>
      </c>
      <c r="D356" s="32">
        <v>84</v>
      </c>
      <c r="E356" s="34">
        <v>9456</v>
      </c>
      <c r="F356" s="40">
        <v>0</v>
      </c>
      <c r="G356" s="38">
        <v>0</v>
      </c>
      <c r="H356" s="44">
        <v>0</v>
      </c>
      <c r="I356" s="36">
        <v>0</v>
      </c>
      <c r="J356" s="42">
        <v>0</v>
      </c>
    </row>
    <row r="357" spans="1:10" x14ac:dyDescent="0.25">
      <c r="A357" s="30">
        <v>4032</v>
      </c>
      <c r="B357" s="30">
        <v>7</v>
      </c>
      <c r="C357" s="29" t="s">
        <v>475</v>
      </c>
      <c r="D357" s="32">
        <v>364</v>
      </c>
      <c r="E357" s="34">
        <v>40918</v>
      </c>
      <c r="F357" s="40">
        <v>0</v>
      </c>
      <c r="G357" s="38">
        <v>0</v>
      </c>
      <c r="H357" s="44">
        <v>0</v>
      </c>
      <c r="I357" s="36">
        <v>0</v>
      </c>
      <c r="J357" s="42">
        <v>0</v>
      </c>
    </row>
    <row r="358" spans="1:10" x14ac:dyDescent="0.25">
      <c r="A358" s="30">
        <v>4035</v>
      </c>
      <c r="B358" s="30">
        <v>7</v>
      </c>
      <c r="C358" s="29" t="s">
        <v>476</v>
      </c>
      <c r="D358" s="32">
        <v>404</v>
      </c>
      <c r="E358" s="34">
        <v>45421</v>
      </c>
      <c r="F358" s="40">
        <v>0</v>
      </c>
      <c r="G358" s="38">
        <v>0</v>
      </c>
      <c r="H358" s="44">
        <v>0</v>
      </c>
      <c r="I358" s="36">
        <v>0</v>
      </c>
      <c r="J358" s="42">
        <v>0</v>
      </c>
    </row>
    <row r="359" spans="1:10" x14ac:dyDescent="0.25">
      <c r="A359" s="30">
        <v>4036</v>
      </c>
      <c r="B359" s="30">
        <v>7</v>
      </c>
      <c r="C359" s="29" t="s">
        <v>31</v>
      </c>
      <c r="D359" s="32">
        <v>83</v>
      </c>
      <c r="E359" s="34">
        <v>9321</v>
      </c>
      <c r="F359" s="40">
        <v>0</v>
      </c>
      <c r="G359" s="38">
        <v>0</v>
      </c>
      <c r="H359" s="44">
        <v>0</v>
      </c>
      <c r="I359" s="36">
        <v>0</v>
      </c>
      <c r="J359" s="42">
        <v>0</v>
      </c>
    </row>
    <row r="360" spans="1:10" x14ac:dyDescent="0.25">
      <c r="A360" s="30">
        <v>4038</v>
      </c>
      <c r="B360" s="30">
        <v>7</v>
      </c>
      <c r="C360" s="29" t="s">
        <v>32</v>
      </c>
      <c r="D360" s="32">
        <v>403</v>
      </c>
      <c r="E360" s="34">
        <v>45354</v>
      </c>
      <c r="F360" s="40">
        <v>0</v>
      </c>
      <c r="G360" s="38">
        <v>0</v>
      </c>
      <c r="H360" s="44">
        <v>0</v>
      </c>
      <c r="I360" s="36">
        <v>0</v>
      </c>
      <c r="J360" s="42">
        <v>0</v>
      </c>
    </row>
    <row r="361" spans="1:10" x14ac:dyDescent="0.25">
      <c r="A361" s="30">
        <v>4039</v>
      </c>
      <c r="B361" s="30">
        <v>7</v>
      </c>
      <c r="C361" s="29" t="s">
        <v>33</v>
      </c>
      <c r="D361" s="32">
        <v>300</v>
      </c>
      <c r="E361" s="34">
        <v>33770</v>
      </c>
      <c r="F361" s="40">
        <v>0</v>
      </c>
      <c r="G361" s="38">
        <v>0</v>
      </c>
      <c r="H361" s="44">
        <v>0</v>
      </c>
      <c r="I361" s="36">
        <v>0</v>
      </c>
      <c r="J361" s="42">
        <v>0</v>
      </c>
    </row>
    <row r="362" spans="1:10" x14ac:dyDescent="0.25">
      <c r="A362" s="30">
        <v>4042</v>
      </c>
      <c r="B362" s="30">
        <v>7</v>
      </c>
      <c r="C362" s="29" t="s">
        <v>34</v>
      </c>
      <c r="D362" s="32">
        <v>243</v>
      </c>
      <c r="E362" s="34">
        <v>27354</v>
      </c>
      <c r="F362" s="40">
        <v>0</v>
      </c>
      <c r="G362" s="38">
        <v>0</v>
      </c>
      <c r="H362" s="44">
        <v>0</v>
      </c>
      <c r="I362" s="36">
        <v>0</v>
      </c>
      <c r="J362" s="42">
        <v>0</v>
      </c>
    </row>
    <row r="363" spans="1:10" x14ac:dyDescent="0.25">
      <c r="A363" s="30">
        <v>4043</v>
      </c>
      <c r="B363" s="30">
        <v>7</v>
      </c>
      <c r="C363" s="29" t="s">
        <v>35</v>
      </c>
      <c r="D363" s="32">
        <v>528</v>
      </c>
      <c r="E363" s="34">
        <v>59481</v>
      </c>
      <c r="F363" s="40">
        <v>0</v>
      </c>
      <c r="G363" s="38">
        <v>0</v>
      </c>
      <c r="H363" s="44">
        <v>0</v>
      </c>
      <c r="I363" s="36">
        <v>0</v>
      </c>
      <c r="J363" s="42">
        <v>0</v>
      </c>
    </row>
    <row r="364" spans="1:10" x14ac:dyDescent="0.25">
      <c r="A364" s="30">
        <v>4045</v>
      </c>
      <c r="B364" s="30">
        <v>7</v>
      </c>
      <c r="C364" s="29" t="s">
        <v>36</v>
      </c>
      <c r="D364" s="32">
        <v>0</v>
      </c>
      <c r="E364" s="34">
        <v>0</v>
      </c>
      <c r="F364" s="40">
        <v>0</v>
      </c>
      <c r="G364" s="38">
        <v>0</v>
      </c>
      <c r="H364" s="44">
        <v>0</v>
      </c>
      <c r="I364" s="36">
        <v>0</v>
      </c>
      <c r="J364" s="42">
        <v>0</v>
      </c>
    </row>
    <row r="365" spans="1:10" x14ac:dyDescent="0.25">
      <c r="A365" s="30">
        <v>4049</v>
      </c>
      <c r="B365" s="30">
        <v>7</v>
      </c>
      <c r="C365" s="29" t="s">
        <v>462</v>
      </c>
      <c r="D365" s="32">
        <v>150</v>
      </c>
      <c r="E365" s="34">
        <v>16885</v>
      </c>
      <c r="F365" s="40">
        <v>0</v>
      </c>
      <c r="G365" s="38">
        <v>0</v>
      </c>
      <c r="H365" s="44">
        <v>0</v>
      </c>
      <c r="I365" s="36">
        <v>0</v>
      </c>
      <c r="J365" s="42">
        <v>0</v>
      </c>
    </row>
    <row r="366" spans="1:10" x14ac:dyDescent="0.25">
      <c r="A366" s="30">
        <v>4050</v>
      </c>
      <c r="B366" s="30">
        <v>7</v>
      </c>
      <c r="C366" s="29" t="s">
        <v>477</v>
      </c>
      <c r="D366" s="32">
        <v>119</v>
      </c>
      <c r="E366" s="34">
        <v>13351</v>
      </c>
      <c r="F366" s="40">
        <v>0</v>
      </c>
      <c r="G366" s="38">
        <v>0</v>
      </c>
      <c r="H366" s="44">
        <v>0</v>
      </c>
      <c r="I366" s="36">
        <v>0</v>
      </c>
      <c r="J366" s="42">
        <v>0</v>
      </c>
    </row>
    <row r="367" spans="1:10" x14ac:dyDescent="0.25">
      <c r="A367" s="30">
        <v>4052</v>
      </c>
      <c r="B367" s="30">
        <v>7</v>
      </c>
      <c r="C367" s="29" t="s">
        <v>478</v>
      </c>
      <c r="D367" s="32">
        <v>0</v>
      </c>
      <c r="E367" s="34">
        <v>0</v>
      </c>
      <c r="F367" s="40">
        <v>0</v>
      </c>
      <c r="G367" s="38">
        <v>0</v>
      </c>
      <c r="H367" s="44">
        <v>0</v>
      </c>
      <c r="I367" s="36">
        <v>0</v>
      </c>
      <c r="J367" s="42">
        <v>0</v>
      </c>
    </row>
    <row r="368" spans="1:10" x14ac:dyDescent="0.25">
      <c r="A368" s="30">
        <v>4053</v>
      </c>
      <c r="B368" s="30">
        <v>7</v>
      </c>
      <c r="C368" s="29" t="s">
        <v>37</v>
      </c>
      <c r="D368" s="32">
        <v>478</v>
      </c>
      <c r="E368" s="34">
        <v>53807</v>
      </c>
      <c r="F368" s="40">
        <v>0</v>
      </c>
      <c r="G368" s="38">
        <v>0</v>
      </c>
      <c r="H368" s="44">
        <v>0</v>
      </c>
      <c r="I368" s="36">
        <v>0</v>
      </c>
      <c r="J368" s="42">
        <v>0</v>
      </c>
    </row>
    <row r="369" spans="1:10" x14ac:dyDescent="0.25">
      <c r="A369" s="30">
        <v>4054</v>
      </c>
      <c r="B369" s="30">
        <v>7</v>
      </c>
      <c r="C369" s="29" t="s">
        <v>38</v>
      </c>
      <c r="D369" s="32">
        <v>69</v>
      </c>
      <c r="E369" s="34">
        <v>7745</v>
      </c>
      <c r="F369" s="40">
        <v>0</v>
      </c>
      <c r="G369" s="38">
        <v>0</v>
      </c>
      <c r="H369" s="44">
        <v>0</v>
      </c>
      <c r="I369" s="36">
        <v>0</v>
      </c>
      <c r="J369" s="42">
        <v>0</v>
      </c>
    </row>
    <row r="370" spans="1:10" x14ac:dyDescent="0.25">
      <c r="A370" s="30">
        <v>4055</v>
      </c>
      <c r="B370" s="30">
        <v>7</v>
      </c>
      <c r="C370" s="29" t="s">
        <v>39</v>
      </c>
      <c r="D370" s="32">
        <v>155</v>
      </c>
      <c r="E370" s="34">
        <v>17448</v>
      </c>
      <c r="F370" s="40">
        <v>0</v>
      </c>
      <c r="G370" s="38">
        <v>0</v>
      </c>
      <c r="H370" s="44">
        <v>0</v>
      </c>
      <c r="I370" s="36">
        <v>0</v>
      </c>
      <c r="J370" s="42">
        <v>0</v>
      </c>
    </row>
    <row r="371" spans="1:10" x14ac:dyDescent="0.25">
      <c r="A371" s="30">
        <v>4056</v>
      </c>
      <c r="B371" s="30">
        <v>7</v>
      </c>
      <c r="C371" s="29" t="s">
        <v>479</v>
      </c>
      <c r="D371" s="32">
        <v>120</v>
      </c>
      <c r="E371" s="34">
        <v>13508</v>
      </c>
      <c r="F371" s="40">
        <v>0</v>
      </c>
      <c r="G371" s="38">
        <v>0</v>
      </c>
      <c r="H371" s="44">
        <v>0</v>
      </c>
      <c r="I371" s="36">
        <v>0</v>
      </c>
      <c r="J371" s="42">
        <v>0</v>
      </c>
    </row>
    <row r="372" spans="1:10" x14ac:dyDescent="0.25">
      <c r="A372" s="30">
        <v>4057</v>
      </c>
      <c r="B372" s="30">
        <v>7</v>
      </c>
      <c r="C372" s="29" t="s">
        <v>40</v>
      </c>
      <c r="D372" s="32">
        <v>96</v>
      </c>
      <c r="E372" s="34">
        <v>10807</v>
      </c>
      <c r="F372" s="40">
        <v>0</v>
      </c>
      <c r="G372" s="38">
        <v>0</v>
      </c>
      <c r="H372" s="44">
        <v>0</v>
      </c>
      <c r="I372" s="36">
        <v>0</v>
      </c>
      <c r="J372" s="42">
        <v>0</v>
      </c>
    </row>
    <row r="373" spans="1:10" x14ac:dyDescent="0.25">
      <c r="A373" s="30">
        <v>4058</v>
      </c>
      <c r="B373" s="30">
        <v>7</v>
      </c>
      <c r="C373" s="29" t="s">
        <v>480</v>
      </c>
      <c r="D373" s="32">
        <v>197</v>
      </c>
      <c r="E373" s="34">
        <v>22131</v>
      </c>
      <c r="F373" s="40">
        <v>0</v>
      </c>
      <c r="G373" s="38">
        <v>0</v>
      </c>
      <c r="H373" s="44">
        <v>0</v>
      </c>
      <c r="I373" s="36">
        <v>0</v>
      </c>
      <c r="J373" s="42">
        <v>0</v>
      </c>
    </row>
    <row r="374" spans="1:10" x14ac:dyDescent="0.25">
      <c r="A374" s="30">
        <v>4059</v>
      </c>
      <c r="B374" s="30">
        <v>7</v>
      </c>
      <c r="C374" s="29" t="s">
        <v>481</v>
      </c>
      <c r="D374" s="32">
        <v>168</v>
      </c>
      <c r="E374" s="34">
        <v>18917</v>
      </c>
      <c r="F374" s="40">
        <v>0</v>
      </c>
      <c r="G374" s="38">
        <v>0</v>
      </c>
      <c r="H374" s="44">
        <v>0</v>
      </c>
      <c r="I374" s="36">
        <v>0</v>
      </c>
      <c r="J374" s="42">
        <v>0</v>
      </c>
    </row>
    <row r="375" spans="1:10" x14ac:dyDescent="0.25">
      <c r="A375" s="30">
        <v>4064</v>
      </c>
      <c r="B375" s="30">
        <v>7</v>
      </c>
      <c r="C375" s="29" t="s">
        <v>482</v>
      </c>
      <c r="D375" s="32">
        <v>108</v>
      </c>
      <c r="E375" s="34">
        <v>12202</v>
      </c>
      <c r="F375" s="40">
        <v>0</v>
      </c>
      <c r="G375" s="38">
        <v>0</v>
      </c>
      <c r="H375" s="44">
        <v>0</v>
      </c>
      <c r="I375" s="36">
        <v>0</v>
      </c>
      <c r="J375" s="42">
        <v>0</v>
      </c>
    </row>
    <row r="376" spans="1:10" x14ac:dyDescent="0.25">
      <c r="A376" s="30">
        <v>4066</v>
      </c>
      <c r="B376" s="30">
        <v>7</v>
      </c>
      <c r="C376" s="29" t="s">
        <v>41</v>
      </c>
      <c r="D376" s="32">
        <v>81</v>
      </c>
      <c r="E376" s="34">
        <v>9163</v>
      </c>
      <c r="F376" s="40">
        <v>0</v>
      </c>
      <c r="G376" s="38">
        <v>0</v>
      </c>
      <c r="H376" s="44">
        <v>0</v>
      </c>
      <c r="I376" s="36">
        <v>0</v>
      </c>
      <c r="J376" s="42">
        <v>0</v>
      </c>
    </row>
    <row r="377" spans="1:10" x14ac:dyDescent="0.25">
      <c r="A377" s="30">
        <v>4067</v>
      </c>
      <c r="B377" s="30">
        <v>7</v>
      </c>
      <c r="C377" s="29" t="s">
        <v>42</v>
      </c>
      <c r="D377" s="32">
        <v>305</v>
      </c>
      <c r="E377" s="34">
        <v>34311</v>
      </c>
      <c r="F377" s="40">
        <v>0</v>
      </c>
      <c r="G377" s="38">
        <v>0</v>
      </c>
      <c r="H377" s="44">
        <v>0</v>
      </c>
      <c r="I377" s="36">
        <v>0</v>
      </c>
      <c r="J377" s="42">
        <v>0</v>
      </c>
    </row>
    <row r="378" spans="1:10" x14ac:dyDescent="0.25">
      <c r="A378" s="30">
        <v>4068</v>
      </c>
      <c r="B378" s="30">
        <v>7</v>
      </c>
      <c r="C378" s="29" t="s">
        <v>43</v>
      </c>
      <c r="D378" s="32">
        <v>388</v>
      </c>
      <c r="E378" s="34">
        <v>43676</v>
      </c>
      <c r="F378" s="40">
        <v>0</v>
      </c>
      <c r="G378" s="38">
        <v>0</v>
      </c>
      <c r="H378" s="44">
        <v>0</v>
      </c>
      <c r="I378" s="36">
        <v>0</v>
      </c>
      <c r="J378" s="42">
        <v>0</v>
      </c>
    </row>
    <row r="379" spans="1:10" x14ac:dyDescent="0.25">
      <c r="A379" s="30">
        <v>4070</v>
      </c>
      <c r="B379" s="30">
        <v>7</v>
      </c>
      <c r="C379" s="29" t="s">
        <v>44</v>
      </c>
      <c r="D379" s="32">
        <v>496</v>
      </c>
      <c r="E379" s="34">
        <v>55811</v>
      </c>
      <c r="F379" s="40">
        <v>0</v>
      </c>
      <c r="G379" s="38">
        <v>0</v>
      </c>
      <c r="H379" s="44">
        <v>0</v>
      </c>
      <c r="I379" s="36">
        <v>0</v>
      </c>
      <c r="J379" s="42">
        <v>0</v>
      </c>
    </row>
    <row r="380" spans="1:10" x14ac:dyDescent="0.25">
      <c r="A380" s="30">
        <v>4073</v>
      </c>
      <c r="B380" s="30">
        <v>7</v>
      </c>
      <c r="C380" s="29" t="s">
        <v>483</v>
      </c>
      <c r="D380" s="32">
        <v>410</v>
      </c>
      <c r="E380" s="34">
        <v>46153</v>
      </c>
      <c r="F380" s="40">
        <v>0</v>
      </c>
      <c r="G380" s="38">
        <v>0</v>
      </c>
      <c r="H380" s="44">
        <v>0</v>
      </c>
      <c r="I380" s="36">
        <v>0</v>
      </c>
      <c r="J380" s="42">
        <v>0</v>
      </c>
    </row>
    <row r="381" spans="1:10" x14ac:dyDescent="0.25">
      <c r="A381" s="30">
        <v>4074</v>
      </c>
      <c r="B381" s="30">
        <v>7</v>
      </c>
      <c r="C381" s="29" t="s">
        <v>484</v>
      </c>
      <c r="D381" s="32">
        <v>360</v>
      </c>
      <c r="E381" s="34">
        <v>40524</v>
      </c>
      <c r="F381" s="40">
        <v>0</v>
      </c>
      <c r="G381" s="38">
        <v>0</v>
      </c>
      <c r="H381" s="44">
        <v>0</v>
      </c>
      <c r="I381" s="36">
        <v>0</v>
      </c>
      <c r="J381" s="42">
        <v>0</v>
      </c>
    </row>
    <row r="382" spans="1:10" x14ac:dyDescent="0.25">
      <c r="A382" s="30">
        <v>4075</v>
      </c>
      <c r="B382" s="30">
        <v>7</v>
      </c>
      <c r="C382" s="29" t="s">
        <v>45</v>
      </c>
      <c r="D382" s="32">
        <v>225</v>
      </c>
      <c r="E382" s="34">
        <v>25328</v>
      </c>
      <c r="F382" s="40">
        <v>0</v>
      </c>
      <c r="G382" s="38">
        <v>0</v>
      </c>
      <c r="H382" s="44">
        <v>0</v>
      </c>
      <c r="I382" s="36">
        <v>0</v>
      </c>
      <c r="J382" s="42">
        <v>0</v>
      </c>
    </row>
    <row r="383" spans="1:10" x14ac:dyDescent="0.25">
      <c r="A383" s="30">
        <v>4077</v>
      </c>
      <c r="B383" s="30">
        <v>7</v>
      </c>
      <c r="C383" s="29" t="s">
        <v>485</v>
      </c>
      <c r="D383" s="32">
        <v>524</v>
      </c>
      <c r="E383" s="34">
        <v>59014</v>
      </c>
      <c r="F383" s="40">
        <v>0</v>
      </c>
      <c r="G383" s="38">
        <v>0</v>
      </c>
      <c r="H383" s="44">
        <v>0</v>
      </c>
      <c r="I383" s="36">
        <v>0</v>
      </c>
      <c r="J383" s="42">
        <v>0</v>
      </c>
    </row>
    <row r="384" spans="1:10" x14ac:dyDescent="0.25">
      <c r="A384" s="30">
        <v>4078</v>
      </c>
      <c r="B384" s="30">
        <v>7</v>
      </c>
      <c r="C384" s="29" t="s">
        <v>486</v>
      </c>
      <c r="D384" s="32">
        <v>501</v>
      </c>
      <c r="E384" s="34">
        <v>56396</v>
      </c>
      <c r="F384" s="40">
        <v>0</v>
      </c>
      <c r="G384" s="38">
        <v>0</v>
      </c>
      <c r="H384" s="44">
        <v>0</v>
      </c>
      <c r="I384" s="36">
        <v>0</v>
      </c>
      <c r="J384" s="42">
        <v>0</v>
      </c>
    </row>
    <row r="385" spans="1:10" x14ac:dyDescent="0.25">
      <c r="A385" s="30">
        <v>4079</v>
      </c>
      <c r="B385" s="30">
        <v>7</v>
      </c>
      <c r="C385" s="29" t="s">
        <v>487</v>
      </c>
      <c r="D385" s="32">
        <v>124</v>
      </c>
      <c r="E385" s="34">
        <v>13930</v>
      </c>
      <c r="F385" s="40">
        <v>0</v>
      </c>
      <c r="G385" s="38">
        <v>0</v>
      </c>
      <c r="H385" s="44">
        <v>0</v>
      </c>
      <c r="I385" s="36">
        <v>0</v>
      </c>
      <c r="J385" s="42">
        <v>0</v>
      </c>
    </row>
    <row r="386" spans="1:10" x14ac:dyDescent="0.25">
      <c r="A386" s="30">
        <v>4080</v>
      </c>
      <c r="B386" s="30">
        <v>7</v>
      </c>
      <c r="C386" s="29" t="s">
        <v>46</v>
      </c>
      <c r="D386" s="32">
        <v>54</v>
      </c>
      <c r="E386" s="34">
        <v>6079</v>
      </c>
      <c r="F386" s="40">
        <v>0</v>
      </c>
      <c r="G386" s="38">
        <v>0</v>
      </c>
      <c r="H386" s="44">
        <v>0</v>
      </c>
      <c r="I386" s="36">
        <v>0</v>
      </c>
      <c r="J386" s="42">
        <v>0</v>
      </c>
    </row>
    <row r="387" spans="1:10" x14ac:dyDescent="0.25">
      <c r="A387" s="30">
        <v>4081</v>
      </c>
      <c r="B387" s="30">
        <v>7</v>
      </c>
      <c r="C387" s="29" t="s">
        <v>488</v>
      </c>
      <c r="D387" s="32">
        <v>67</v>
      </c>
      <c r="E387" s="34">
        <v>7497</v>
      </c>
      <c r="F387" s="40">
        <v>0</v>
      </c>
      <c r="G387" s="38">
        <v>0</v>
      </c>
      <c r="H387" s="44">
        <v>0</v>
      </c>
      <c r="I387" s="36">
        <v>0</v>
      </c>
      <c r="J387" s="42">
        <v>0</v>
      </c>
    </row>
    <row r="388" spans="1:10" x14ac:dyDescent="0.25">
      <c r="A388" s="30">
        <v>4082</v>
      </c>
      <c r="B388" s="30">
        <v>7</v>
      </c>
      <c r="C388" s="29" t="s">
        <v>47</v>
      </c>
      <c r="D388" s="32">
        <v>600</v>
      </c>
      <c r="E388" s="34">
        <v>67541</v>
      </c>
      <c r="F388" s="40">
        <v>0</v>
      </c>
      <c r="G388" s="38">
        <v>0</v>
      </c>
      <c r="H388" s="44">
        <v>0</v>
      </c>
      <c r="I388" s="36">
        <v>0</v>
      </c>
      <c r="J388" s="42">
        <v>0</v>
      </c>
    </row>
    <row r="389" spans="1:10" x14ac:dyDescent="0.25">
      <c r="A389" s="30">
        <v>4083</v>
      </c>
      <c r="B389" s="30">
        <v>7</v>
      </c>
      <c r="C389" s="29" t="s">
        <v>48</v>
      </c>
      <c r="D389" s="32">
        <v>102</v>
      </c>
      <c r="E389" s="34">
        <v>11482</v>
      </c>
      <c r="F389" s="40">
        <v>0</v>
      </c>
      <c r="G389" s="38">
        <v>0</v>
      </c>
      <c r="H389" s="44">
        <v>0</v>
      </c>
      <c r="I389" s="36">
        <v>0</v>
      </c>
      <c r="J389" s="42">
        <v>0</v>
      </c>
    </row>
    <row r="390" spans="1:10" x14ac:dyDescent="0.25">
      <c r="A390" s="30">
        <v>4084</v>
      </c>
      <c r="B390" s="30">
        <v>7</v>
      </c>
      <c r="C390" s="29" t="s">
        <v>49</v>
      </c>
      <c r="D390" s="32">
        <v>338</v>
      </c>
      <c r="E390" s="34">
        <v>38003</v>
      </c>
      <c r="F390" s="40">
        <v>0</v>
      </c>
      <c r="G390" s="38">
        <v>0</v>
      </c>
      <c r="H390" s="44">
        <v>0</v>
      </c>
      <c r="I390" s="36">
        <v>0</v>
      </c>
      <c r="J390" s="42">
        <v>0</v>
      </c>
    </row>
    <row r="391" spans="1:10" x14ac:dyDescent="0.25">
      <c r="A391" s="30">
        <v>4085</v>
      </c>
      <c r="B391" s="30">
        <v>7</v>
      </c>
      <c r="C391" s="29" t="s">
        <v>489</v>
      </c>
      <c r="D391" s="32">
        <v>216</v>
      </c>
      <c r="E391" s="34">
        <v>24315</v>
      </c>
      <c r="F391" s="40">
        <v>0</v>
      </c>
      <c r="G391" s="38">
        <v>0</v>
      </c>
      <c r="H391" s="44">
        <v>0</v>
      </c>
      <c r="I391" s="36">
        <v>0</v>
      </c>
      <c r="J391" s="42">
        <v>0</v>
      </c>
    </row>
    <row r="392" spans="1:10" x14ac:dyDescent="0.25">
      <c r="A392" s="30">
        <v>4086</v>
      </c>
      <c r="B392" s="30">
        <v>7</v>
      </c>
      <c r="C392" s="29" t="s">
        <v>490</v>
      </c>
      <c r="D392" s="32">
        <v>365</v>
      </c>
      <c r="E392" s="34">
        <v>41065</v>
      </c>
      <c r="F392" s="40">
        <v>0</v>
      </c>
      <c r="G392" s="38">
        <v>0</v>
      </c>
      <c r="H392" s="44">
        <v>0</v>
      </c>
      <c r="I392" s="36">
        <v>0</v>
      </c>
      <c r="J392" s="42">
        <v>0</v>
      </c>
    </row>
    <row r="393" spans="1:10" x14ac:dyDescent="0.25">
      <c r="A393" s="30">
        <v>4087</v>
      </c>
      <c r="B393" s="30">
        <v>7</v>
      </c>
      <c r="C393" s="29" t="s">
        <v>50</v>
      </c>
      <c r="D393" s="32">
        <v>98</v>
      </c>
      <c r="E393" s="34">
        <v>11077</v>
      </c>
      <c r="F393" s="40">
        <v>0</v>
      </c>
      <c r="G393" s="38">
        <v>0</v>
      </c>
      <c r="H393" s="44">
        <v>0</v>
      </c>
      <c r="I393" s="36">
        <v>0</v>
      </c>
      <c r="J393" s="42">
        <v>0</v>
      </c>
    </row>
    <row r="394" spans="1:10" x14ac:dyDescent="0.25">
      <c r="A394" s="30">
        <v>4088</v>
      </c>
      <c r="B394" s="30">
        <v>7</v>
      </c>
      <c r="C394" s="29" t="s">
        <v>51</v>
      </c>
      <c r="D394" s="32">
        <v>311</v>
      </c>
      <c r="E394" s="34">
        <v>35009</v>
      </c>
      <c r="F394" s="40">
        <v>0</v>
      </c>
      <c r="G394" s="38">
        <v>0</v>
      </c>
      <c r="H394" s="44">
        <v>0</v>
      </c>
      <c r="I394" s="36">
        <v>0</v>
      </c>
      <c r="J394" s="42">
        <v>0</v>
      </c>
    </row>
    <row r="395" spans="1:10" x14ac:dyDescent="0.25">
      <c r="A395" s="30">
        <v>4089</v>
      </c>
      <c r="B395" s="30">
        <v>7</v>
      </c>
      <c r="C395" s="29" t="s">
        <v>52</v>
      </c>
      <c r="D395" s="32">
        <v>225</v>
      </c>
      <c r="E395" s="34">
        <v>25328</v>
      </c>
      <c r="F395" s="40">
        <v>0</v>
      </c>
      <c r="G395" s="38">
        <v>0</v>
      </c>
      <c r="H395" s="44">
        <v>0</v>
      </c>
      <c r="I395" s="36">
        <v>0</v>
      </c>
      <c r="J395" s="42">
        <v>0</v>
      </c>
    </row>
    <row r="396" spans="1:10" x14ac:dyDescent="0.25">
      <c r="A396" s="30">
        <v>4090</v>
      </c>
      <c r="B396" s="30">
        <v>7</v>
      </c>
      <c r="C396" s="29" t="s">
        <v>53</v>
      </c>
      <c r="D396" s="32">
        <v>180</v>
      </c>
      <c r="E396" s="34">
        <v>20262</v>
      </c>
      <c r="F396" s="40">
        <v>0</v>
      </c>
      <c r="G396" s="38">
        <v>0</v>
      </c>
      <c r="H396" s="44">
        <v>0</v>
      </c>
      <c r="I396" s="36">
        <v>0</v>
      </c>
      <c r="J396" s="42">
        <v>0</v>
      </c>
    </row>
    <row r="397" spans="1:10" x14ac:dyDescent="0.25">
      <c r="A397" s="30">
        <v>4091</v>
      </c>
      <c r="B397" s="30">
        <v>7</v>
      </c>
      <c r="C397" s="29" t="s">
        <v>54</v>
      </c>
      <c r="D397" s="32">
        <v>140</v>
      </c>
      <c r="E397" s="34">
        <v>15805</v>
      </c>
      <c r="F397" s="40">
        <v>0</v>
      </c>
      <c r="G397" s="38">
        <v>0</v>
      </c>
      <c r="H397" s="44">
        <v>0</v>
      </c>
      <c r="I397" s="36">
        <v>0</v>
      </c>
      <c r="J397" s="42">
        <v>0</v>
      </c>
    </row>
    <row r="398" spans="1:10" x14ac:dyDescent="0.25">
      <c r="A398" s="30">
        <v>4092</v>
      </c>
      <c r="B398" s="30">
        <v>7</v>
      </c>
      <c r="C398" s="29" t="s">
        <v>55</v>
      </c>
      <c r="D398" s="32">
        <v>79</v>
      </c>
      <c r="E398" s="34">
        <v>8915</v>
      </c>
      <c r="F398" s="40">
        <v>0</v>
      </c>
      <c r="G398" s="38">
        <v>0</v>
      </c>
      <c r="H398" s="44">
        <v>0</v>
      </c>
      <c r="I398" s="36">
        <v>0</v>
      </c>
      <c r="J398" s="42">
        <v>0</v>
      </c>
    </row>
    <row r="399" spans="1:10" x14ac:dyDescent="0.25">
      <c r="A399" s="30">
        <v>4093</v>
      </c>
      <c r="B399" s="30">
        <v>7</v>
      </c>
      <c r="C399" s="29" t="s">
        <v>56</v>
      </c>
      <c r="D399" s="32">
        <v>180</v>
      </c>
      <c r="E399" s="34">
        <v>20262</v>
      </c>
      <c r="F399" s="40">
        <v>0</v>
      </c>
      <c r="G399" s="38">
        <v>0</v>
      </c>
      <c r="H399" s="44">
        <v>0</v>
      </c>
      <c r="I399" s="36">
        <v>0</v>
      </c>
      <c r="J399" s="42">
        <v>0</v>
      </c>
    </row>
    <row r="400" spans="1:10" x14ac:dyDescent="0.25">
      <c r="A400" s="30">
        <v>4095</v>
      </c>
      <c r="B400" s="30">
        <v>7</v>
      </c>
      <c r="C400" s="29" t="s">
        <v>491</v>
      </c>
      <c r="D400" s="32">
        <v>168</v>
      </c>
      <c r="E400" s="34">
        <v>18911</v>
      </c>
      <c r="F400" s="40">
        <v>0</v>
      </c>
      <c r="G400" s="38">
        <v>0</v>
      </c>
      <c r="H400" s="44">
        <v>0</v>
      </c>
      <c r="I400" s="36">
        <v>0</v>
      </c>
      <c r="J400" s="42">
        <v>0</v>
      </c>
    </row>
    <row r="401" spans="1:10" x14ac:dyDescent="0.25">
      <c r="A401" s="30">
        <v>4097</v>
      </c>
      <c r="B401" s="30">
        <v>7</v>
      </c>
      <c r="C401" s="29" t="s">
        <v>57</v>
      </c>
      <c r="D401" s="32">
        <v>270</v>
      </c>
      <c r="E401" s="34">
        <v>30393</v>
      </c>
      <c r="F401" s="40">
        <v>0</v>
      </c>
      <c r="G401" s="38">
        <v>0</v>
      </c>
      <c r="H401" s="44">
        <v>0</v>
      </c>
      <c r="I401" s="36">
        <v>0</v>
      </c>
      <c r="J401" s="42">
        <v>0</v>
      </c>
    </row>
    <row r="402" spans="1:10" x14ac:dyDescent="0.25">
      <c r="A402" s="30">
        <v>4098</v>
      </c>
      <c r="B402" s="30">
        <v>7</v>
      </c>
      <c r="C402" s="29" t="s">
        <v>58</v>
      </c>
      <c r="D402" s="32">
        <v>975</v>
      </c>
      <c r="E402" s="34">
        <v>109776</v>
      </c>
      <c r="F402" s="40">
        <v>0</v>
      </c>
      <c r="G402" s="38">
        <v>0</v>
      </c>
      <c r="H402" s="44">
        <v>0</v>
      </c>
      <c r="I402" s="36">
        <v>0</v>
      </c>
      <c r="J402" s="42">
        <v>0</v>
      </c>
    </row>
    <row r="403" spans="1:10" x14ac:dyDescent="0.25">
      <c r="A403" s="30">
        <v>4100</v>
      </c>
      <c r="B403" s="30">
        <v>7</v>
      </c>
      <c r="C403" s="29" t="s">
        <v>59</v>
      </c>
      <c r="D403" s="32">
        <v>91</v>
      </c>
      <c r="E403" s="34">
        <v>10210</v>
      </c>
      <c r="F403" s="40">
        <v>0</v>
      </c>
      <c r="G403" s="38">
        <v>0</v>
      </c>
      <c r="H403" s="44">
        <v>0</v>
      </c>
      <c r="I403" s="36">
        <v>0</v>
      </c>
      <c r="J403" s="42">
        <v>0</v>
      </c>
    </row>
    <row r="404" spans="1:10" x14ac:dyDescent="0.25">
      <c r="A404" s="30">
        <v>4102</v>
      </c>
      <c r="B404" s="30">
        <v>7</v>
      </c>
      <c r="C404" s="29" t="s">
        <v>60</v>
      </c>
      <c r="D404" s="32">
        <v>288</v>
      </c>
      <c r="E404" s="34">
        <v>32420</v>
      </c>
      <c r="F404" s="40">
        <v>0</v>
      </c>
      <c r="G404" s="38">
        <v>0</v>
      </c>
      <c r="H404" s="44">
        <v>0</v>
      </c>
      <c r="I404" s="36">
        <v>0</v>
      </c>
      <c r="J404" s="42">
        <v>0</v>
      </c>
    </row>
    <row r="405" spans="1:10" x14ac:dyDescent="0.25">
      <c r="A405" s="30">
        <v>4103</v>
      </c>
      <c r="B405" s="30">
        <v>7</v>
      </c>
      <c r="C405" s="29" t="s">
        <v>463</v>
      </c>
      <c r="D405" s="32">
        <v>1236</v>
      </c>
      <c r="E405" s="34">
        <v>139134</v>
      </c>
      <c r="F405" s="40">
        <v>0</v>
      </c>
      <c r="G405" s="38">
        <v>0</v>
      </c>
      <c r="H405" s="44">
        <v>0</v>
      </c>
      <c r="I405" s="36">
        <v>0</v>
      </c>
      <c r="J405" s="42">
        <v>0</v>
      </c>
    </row>
    <row r="406" spans="1:10" x14ac:dyDescent="0.25">
      <c r="A406" s="30">
        <v>4104</v>
      </c>
      <c r="B406" s="30">
        <v>7</v>
      </c>
      <c r="C406" s="29" t="s">
        <v>464</v>
      </c>
      <c r="D406" s="32">
        <v>336</v>
      </c>
      <c r="E406" s="34">
        <v>37823</v>
      </c>
      <c r="F406" s="40">
        <v>0</v>
      </c>
      <c r="G406" s="38">
        <v>0</v>
      </c>
      <c r="H406" s="44">
        <v>0</v>
      </c>
      <c r="I406" s="36">
        <v>0</v>
      </c>
      <c r="J406" s="42">
        <v>0</v>
      </c>
    </row>
    <row r="407" spans="1:10" x14ac:dyDescent="0.25">
      <c r="A407" s="30">
        <v>4105</v>
      </c>
      <c r="B407" s="30">
        <v>7</v>
      </c>
      <c r="C407" s="29" t="s">
        <v>61</v>
      </c>
      <c r="D407" s="32">
        <v>417</v>
      </c>
      <c r="E407" s="34">
        <v>46969</v>
      </c>
      <c r="F407" s="40">
        <v>0</v>
      </c>
      <c r="G407" s="38">
        <v>0</v>
      </c>
      <c r="H407" s="44">
        <v>0</v>
      </c>
      <c r="I407" s="36">
        <v>0</v>
      </c>
      <c r="J407" s="42">
        <v>0</v>
      </c>
    </row>
    <row r="408" spans="1:10" x14ac:dyDescent="0.25">
      <c r="A408" s="30">
        <v>4106</v>
      </c>
      <c r="B408" s="30">
        <v>7</v>
      </c>
      <c r="C408" s="29" t="s">
        <v>62</v>
      </c>
      <c r="D408" s="32">
        <v>265</v>
      </c>
      <c r="E408" s="34">
        <v>29785</v>
      </c>
      <c r="F408" s="40">
        <v>0</v>
      </c>
      <c r="G408" s="38">
        <v>0</v>
      </c>
      <c r="H408" s="44">
        <v>0</v>
      </c>
      <c r="I408" s="36">
        <v>0</v>
      </c>
      <c r="J408" s="42">
        <v>0</v>
      </c>
    </row>
    <row r="409" spans="1:10" x14ac:dyDescent="0.25">
      <c r="A409" s="30">
        <v>4107</v>
      </c>
      <c r="B409" s="30">
        <v>7</v>
      </c>
      <c r="C409" s="29" t="s">
        <v>63</v>
      </c>
      <c r="D409" s="32">
        <v>120</v>
      </c>
      <c r="E409" s="34">
        <v>13508</v>
      </c>
      <c r="F409" s="40">
        <v>0</v>
      </c>
      <c r="G409" s="38">
        <v>0</v>
      </c>
      <c r="H409" s="44">
        <v>0</v>
      </c>
      <c r="I409" s="36">
        <v>0</v>
      </c>
      <c r="J409" s="42">
        <v>0</v>
      </c>
    </row>
    <row r="410" spans="1:10" x14ac:dyDescent="0.25">
      <c r="A410" s="30">
        <v>4108</v>
      </c>
      <c r="B410" s="30">
        <v>7</v>
      </c>
      <c r="C410" s="29" t="s">
        <v>492</v>
      </c>
      <c r="D410" s="32">
        <v>0</v>
      </c>
      <c r="E410" s="34">
        <v>0</v>
      </c>
      <c r="F410" s="40">
        <v>0</v>
      </c>
      <c r="G410" s="38">
        <v>0</v>
      </c>
      <c r="H410" s="44">
        <v>0</v>
      </c>
      <c r="I410" s="36">
        <v>0</v>
      </c>
      <c r="J410" s="42">
        <v>0</v>
      </c>
    </row>
    <row r="411" spans="1:10" x14ac:dyDescent="0.25">
      <c r="A411" s="30">
        <v>4109</v>
      </c>
      <c r="B411" s="30">
        <v>7</v>
      </c>
      <c r="C411" s="29" t="s">
        <v>64</v>
      </c>
      <c r="D411" s="32">
        <v>0</v>
      </c>
      <c r="E411" s="34">
        <v>0</v>
      </c>
      <c r="F411" s="40">
        <v>0</v>
      </c>
      <c r="G411" s="38">
        <v>0</v>
      </c>
      <c r="H411" s="44">
        <v>0</v>
      </c>
      <c r="I411" s="36">
        <v>0</v>
      </c>
      <c r="J411" s="42">
        <v>0</v>
      </c>
    </row>
    <row r="412" spans="1:10" x14ac:dyDescent="0.25">
      <c r="A412" s="30">
        <v>4110</v>
      </c>
      <c r="B412" s="30">
        <v>7</v>
      </c>
      <c r="C412" s="29" t="s">
        <v>493</v>
      </c>
      <c r="D412" s="32">
        <v>336</v>
      </c>
      <c r="E412" s="34">
        <v>37823</v>
      </c>
      <c r="F412" s="40">
        <v>0</v>
      </c>
      <c r="G412" s="38">
        <v>0</v>
      </c>
      <c r="H412" s="44">
        <v>0</v>
      </c>
      <c r="I412" s="36">
        <v>0</v>
      </c>
      <c r="J412" s="42">
        <v>0</v>
      </c>
    </row>
    <row r="413" spans="1:10" x14ac:dyDescent="0.25">
      <c r="A413" s="30">
        <v>4111</v>
      </c>
      <c r="B413" s="30">
        <v>7</v>
      </c>
      <c r="C413" s="29" t="s">
        <v>494</v>
      </c>
      <c r="D413" s="32">
        <v>168</v>
      </c>
      <c r="E413" s="34">
        <v>18911</v>
      </c>
      <c r="F413" s="40">
        <v>0</v>
      </c>
      <c r="G413" s="38">
        <v>0</v>
      </c>
      <c r="H413" s="44">
        <v>0</v>
      </c>
      <c r="I413" s="36">
        <v>0</v>
      </c>
      <c r="J413" s="42">
        <v>0</v>
      </c>
    </row>
    <row r="414" spans="1:10" x14ac:dyDescent="0.25">
      <c r="A414" s="30">
        <v>4112</v>
      </c>
      <c r="B414" s="30">
        <v>7</v>
      </c>
      <c r="C414" s="29" t="s">
        <v>495</v>
      </c>
      <c r="D414" s="32">
        <v>768</v>
      </c>
      <c r="E414" s="34">
        <v>86452</v>
      </c>
      <c r="F414" s="40">
        <v>0</v>
      </c>
      <c r="G414" s="38">
        <v>0</v>
      </c>
      <c r="H414" s="44">
        <v>0</v>
      </c>
      <c r="I414" s="36">
        <v>0</v>
      </c>
      <c r="J414" s="42">
        <v>0</v>
      </c>
    </row>
    <row r="415" spans="1:10" x14ac:dyDescent="0.25">
      <c r="A415" s="30">
        <v>4113</v>
      </c>
      <c r="B415" s="30">
        <v>7</v>
      </c>
      <c r="C415" s="29" t="s">
        <v>65</v>
      </c>
      <c r="D415" s="32">
        <v>80</v>
      </c>
      <c r="E415" s="34">
        <v>9005</v>
      </c>
      <c r="F415" s="40">
        <v>0</v>
      </c>
      <c r="G415" s="38">
        <v>0</v>
      </c>
      <c r="H415" s="44">
        <v>0</v>
      </c>
      <c r="I415" s="36">
        <v>0</v>
      </c>
      <c r="J415" s="42">
        <v>0</v>
      </c>
    </row>
    <row r="416" spans="1:10" x14ac:dyDescent="0.25">
      <c r="A416" s="30">
        <v>4115</v>
      </c>
      <c r="B416" s="30">
        <v>7</v>
      </c>
      <c r="C416" s="29" t="s">
        <v>496</v>
      </c>
      <c r="D416" s="32">
        <v>110</v>
      </c>
      <c r="E416" s="34">
        <v>12382</v>
      </c>
      <c r="F416" s="40">
        <v>0</v>
      </c>
      <c r="G416" s="38">
        <v>0</v>
      </c>
      <c r="H416" s="44">
        <v>0</v>
      </c>
      <c r="I416" s="36">
        <v>0</v>
      </c>
      <c r="J416" s="42">
        <v>0</v>
      </c>
    </row>
    <row r="417" spans="1:10" x14ac:dyDescent="0.25">
      <c r="A417" s="30">
        <v>4116</v>
      </c>
      <c r="B417" s="30">
        <v>7</v>
      </c>
      <c r="C417" s="29" t="s">
        <v>497</v>
      </c>
      <c r="D417" s="32">
        <v>786</v>
      </c>
      <c r="E417" s="34">
        <v>88478</v>
      </c>
      <c r="F417" s="40">
        <v>0</v>
      </c>
      <c r="G417" s="38">
        <v>0</v>
      </c>
      <c r="H417" s="44">
        <v>0</v>
      </c>
      <c r="I417" s="36">
        <v>0</v>
      </c>
      <c r="J417" s="42">
        <v>0</v>
      </c>
    </row>
    <row r="418" spans="1:10" x14ac:dyDescent="0.25">
      <c r="A418" s="30">
        <v>4118</v>
      </c>
      <c r="B418" s="30">
        <v>7</v>
      </c>
      <c r="C418" s="29" t="s">
        <v>66</v>
      </c>
      <c r="D418" s="32">
        <v>585</v>
      </c>
      <c r="E418" s="34">
        <v>65852</v>
      </c>
      <c r="F418" s="40">
        <v>0</v>
      </c>
      <c r="G418" s="38">
        <v>0</v>
      </c>
      <c r="H418" s="44">
        <v>0</v>
      </c>
      <c r="I418" s="36">
        <v>0</v>
      </c>
      <c r="J418" s="42">
        <v>0</v>
      </c>
    </row>
    <row r="419" spans="1:10" x14ac:dyDescent="0.25">
      <c r="A419" s="30">
        <v>4119</v>
      </c>
      <c r="B419" s="30">
        <v>7</v>
      </c>
      <c r="C419" s="29" t="s">
        <v>67</v>
      </c>
      <c r="D419" s="32">
        <v>112</v>
      </c>
      <c r="E419" s="34">
        <v>12563</v>
      </c>
      <c r="F419" s="40">
        <v>0</v>
      </c>
      <c r="G419" s="38">
        <v>0</v>
      </c>
      <c r="H419" s="44">
        <v>0</v>
      </c>
      <c r="I419" s="36">
        <v>0</v>
      </c>
      <c r="J419" s="42">
        <v>0</v>
      </c>
    </row>
    <row r="420" spans="1:10" x14ac:dyDescent="0.25">
      <c r="A420" s="30">
        <v>4120</v>
      </c>
      <c r="B420" s="30">
        <v>7</v>
      </c>
      <c r="C420" s="29" t="s">
        <v>68</v>
      </c>
      <c r="D420" s="32">
        <v>1247</v>
      </c>
      <c r="E420" s="34">
        <v>140349</v>
      </c>
      <c r="F420" s="40">
        <v>0</v>
      </c>
      <c r="G420" s="38">
        <v>0</v>
      </c>
      <c r="H420" s="44">
        <v>0</v>
      </c>
      <c r="I420" s="36">
        <v>0</v>
      </c>
      <c r="J420" s="42">
        <v>0</v>
      </c>
    </row>
    <row r="421" spans="1:10" x14ac:dyDescent="0.25">
      <c r="A421" s="30">
        <v>4121</v>
      </c>
      <c r="B421" s="30">
        <v>7</v>
      </c>
      <c r="C421" s="29" t="s">
        <v>498</v>
      </c>
      <c r="D421" s="32">
        <v>456</v>
      </c>
      <c r="E421" s="34">
        <v>51331</v>
      </c>
      <c r="F421" s="40">
        <v>0</v>
      </c>
      <c r="G421" s="38">
        <v>0</v>
      </c>
      <c r="H421" s="44">
        <v>0</v>
      </c>
      <c r="I421" s="36">
        <v>0</v>
      </c>
      <c r="J421" s="42">
        <v>0</v>
      </c>
    </row>
    <row r="422" spans="1:10" x14ac:dyDescent="0.25">
      <c r="A422" s="30">
        <v>4122</v>
      </c>
      <c r="B422" s="30">
        <v>7</v>
      </c>
      <c r="C422" s="29" t="s">
        <v>499</v>
      </c>
      <c r="D422" s="32">
        <v>943</v>
      </c>
      <c r="E422" s="34">
        <v>106123</v>
      </c>
      <c r="F422" s="40">
        <v>0</v>
      </c>
      <c r="G422" s="38">
        <v>0</v>
      </c>
      <c r="H422" s="44">
        <v>0</v>
      </c>
      <c r="I422" s="36">
        <v>0</v>
      </c>
      <c r="J422" s="42">
        <v>0</v>
      </c>
    </row>
    <row r="423" spans="1:10" x14ac:dyDescent="0.25">
      <c r="A423" s="30">
        <v>4123</v>
      </c>
      <c r="B423" s="30">
        <v>7</v>
      </c>
      <c r="C423" s="29" t="s">
        <v>500</v>
      </c>
      <c r="D423" s="32">
        <v>46</v>
      </c>
      <c r="E423" s="34">
        <v>5172</v>
      </c>
      <c r="F423" s="40">
        <v>0</v>
      </c>
      <c r="G423" s="38">
        <v>0</v>
      </c>
      <c r="H423" s="44">
        <v>0</v>
      </c>
      <c r="I423" s="36">
        <v>0</v>
      </c>
      <c r="J423" s="42">
        <v>0</v>
      </c>
    </row>
    <row r="424" spans="1:10" x14ac:dyDescent="0.25">
      <c r="A424" s="30">
        <v>4124</v>
      </c>
      <c r="B424" s="30">
        <v>7</v>
      </c>
      <c r="C424" s="29" t="s">
        <v>69</v>
      </c>
      <c r="D424" s="32">
        <v>434</v>
      </c>
      <c r="E424" s="34">
        <v>48809</v>
      </c>
      <c r="F424" s="40">
        <v>0</v>
      </c>
      <c r="G424" s="38">
        <v>0</v>
      </c>
      <c r="H424" s="44">
        <v>0</v>
      </c>
      <c r="I424" s="36">
        <v>0</v>
      </c>
      <c r="J424" s="42">
        <v>0</v>
      </c>
    </row>
    <row r="425" spans="1:10" x14ac:dyDescent="0.25">
      <c r="A425" s="30">
        <v>4126</v>
      </c>
      <c r="B425" s="30">
        <v>7</v>
      </c>
      <c r="C425" s="29" t="s">
        <v>70</v>
      </c>
      <c r="D425" s="32">
        <v>849</v>
      </c>
      <c r="E425" s="34">
        <v>95570</v>
      </c>
      <c r="F425" s="40">
        <v>0</v>
      </c>
      <c r="G425" s="38">
        <v>0</v>
      </c>
      <c r="H425" s="44">
        <v>0</v>
      </c>
      <c r="I425" s="36">
        <v>0</v>
      </c>
      <c r="J425" s="42">
        <v>0</v>
      </c>
    </row>
    <row r="426" spans="1:10" x14ac:dyDescent="0.25">
      <c r="A426" s="30">
        <v>4127</v>
      </c>
      <c r="B426" s="30">
        <v>7</v>
      </c>
      <c r="C426" s="29" t="s">
        <v>71</v>
      </c>
      <c r="D426" s="32">
        <v>129</v>
      </c>
      <c r="E426" s="34">
        <v>14521</v>
      </c>
      <c r="F426" s="40">
        <v>0</v>
      </c>
      <c r="G426" s="38">
        <v>0</v>
      </c>
      <c r="H426" s="44">
        <v>0</v>
      </c>
      <c r="I426" s="36">
        <v>0</v>
      </c>
      <c r="J426" s="42">
        <v>0</v>
      </c>
    </row>
    <row r="427" spans="1:10" x14ac:dyDescent="0.25">
      <c r="A427" s="30">
        <v>4131</v>
      </c>
      <c r="B427" s="30">
        <v>7</v>
      </c>
      <c r="C427" s="29" t="s">
        <v>72</v>
      </c>
      <c r="D427" s="32">
        <v>310</v>
      </c>
      <c r="E427" s="34">
        <v>34896</v>
      </c>
      <c r="F427" s="40">
        <v>0</v>
      </c>
      <c r="G427" s="38">
        <v>0</v>
      </c>
      <c r="H427" s="44">
        <v>0</v>
      </c>
      <c r="I427" s="36">
        <v>0</v>
      </c>
      <c r="J427" s="42">
        <v>0</v>
      </c>
    </row>
    <row r="428" spans="1:10" x14ac:dyDescent="0.25">
      <c r="A428" s="30">
        <v>4132</v>
      </c>
      <c r="B428" s="30">
        <v>7</v>
      </c>
      <c r="C428" s="29" t="s">
        <v>73</v>
      </c>
      <c r="D428" s="32">
        <v>246</v>
      </c>
      <c r="E428" s="34">
        <v>27692</v>
      </c>
      <c r="F428" s="40">
        <v>0</v>
      </c>
      <c r="G428" s="38">
        <v>0</v>
      </c>
      <c r="H428" s="44">
        <v>0</v>
      </c>
      <c r="I428" s="36">
        <v>0</v>
      </c>
      <c r="J428" s="42">
        <v>0</v>
      </c>
    </row>
    <row r="429" spans="1:10" x14ac:dyDescent="0.25">
      <c r="A429" s="30">
        <v>4133</v>
      </c>
      <c r="B429" s="30">
        <v>7</v>
      </c>
      <c r="C429" s="29" t="s">
        <v>74</v>
      </c>
      <c r="D429" s="32">
        <v>297</v>
      </c>
      <c r="E429" s="34">
        <v>33433</v>
      </c>
      <c r="F429" s="40">
        <v>0</v>
      </c>
      <c r="G429" s="38">
        <v>0</v>
      </c>
      <c r="H429" s="44">
        <v>0</v>
      </c>
      <c r="I429" s="36">
        <v>0</v>
      </c>
      <c r="J429" s="42">
        <v>0</v>
      </c>
    </row>
    <row r="430" spans="1:10" x14ac:dyDescent="0.25">
      <c r="A430" s="30">
        <v>4135</v>
      </c>
      <c r="B430" s="30">
        <v>7</v>
      </c>
      <c r="C430" s="29" t="s">
        <v>465</v>
      </c>
      <c r="D430" s="32">
        <v>262</v>
      </c>
      <c r="E430" s="34">
        <v>29515</v>
      </c>
      <c r="F430" s="40">
        <v>0</v>
      </c>
      <c r="G430" s="38">
        <v>0</v>
      </c>
      <c r="H430" s="44">
        <v>0</v>
      </c>
      <c r="I430" s="36">
        <v>0</v>
      </c>
      <c r="J430" s="42">
        <v>0</v>
      </c>
    </row>
    <row r="431" spans="1:10" x14ac:dyDescent="0.25">
      <c r="A431" s="30">
        <v>4137</v>
      </c>
      <c r="B431" s="30">
        <v>7</v>
      </c>
      <c r="C431" s="29" t="s">
        <v>501</v>
      </c>
      <c r="D431" s="32">
        <v>133</v>
      </c>
      <c r="E431" s="34">
        <v>14994</v>
      </c>
      <c r="F431" s="40">
        <v>0</v>
      </c>
      <c r="G431" s="38">
        <v>0</v>
      </c>
      <c r="H431" s="44">
        <v>0</v>
      </c>
      <c r="I431" s="36">
        <v>0</v>
      </c>
      <c r="J431" s="42">
        <v>0</v>
      </c>
    </row>
    <row r="432" spans="1:10" x14ac:dyDescent="0.25">
      <c r="A432" s="30">
        <v>4138</v>
      </c>
      <c r="B432" s="30">
        <v>7</v>
      </c>
      <c r="C432" s="29" t="s">
        <v>75</v>
      </c>
      <c r="D432" s="32">
        <v>47</v>
      </c>
      <c r="E432" s="34">
        <v>5291</v>
      </c>
      <c r="F432" s="40">
        <v>0</v>
      </c>
      <c r="G432" s="38">
        <v>0</v>
      </c>
      <c r="H432" s="44">
        <v>0</v>
      </c>
      <c r="I432" s="36">
        <v>0</v>
      </c>
      <c r="J432" s="42">
        <v>0</v>
      </c>
    </row>
    <row r="433" spans="1:10" x14ac:dyDescent="0.25">
      <c r="A433" s="30">
        <v>4139</v>
      </c>
      <c r="B433" s="30">
        <v>7</v>
      </c>
      <c r="C433" s="29" t="s">
        <v>76</v>
      </c>
      <c r="D433" s="32">
        <v>276</v>
      </c>
      <c r="E433" s="34">
        <v>31035</v>
      </c>
      <c r="F433" s="40">
        <v>0</v>
      </c>
      <c r="G433" s="38">
        <v>0</v>
      </c>
      <c r="H433" s="44">
        <v>0</v>
      </c>
      <c r="I433" s="36">
        <v>0</v>
      </c>
      <c r="J433" s="42">
        <v>0</v>
      </c>
    </row>
    <row r="434" spans="1:10" x14ac:dyDescent="0.25">
      <c r="A434" s="30">
        <v>4140</v>
      </c>
      <c r="B434" s="30">
        <v>7</v>
      </c>
      <c r="C434" s="29" t="s">
        <v>77</v>
      </c>
      <c r="D434" s="32">
        <v>610</v>
      </c>
      <c r="E434" s="34">
        <v>68689</v>
      </c>
      <c r="F434" s="40">
        <v>0</v>
      </c>
      <c r="G434" s="38">
        <v>0</v>
      </c>
      <c r="H434" s="44">
        <v>0</v>
      </c>
      <c r="I434" s="36">
        <v>0</v>
      </c>
      <c r="J434" s="42">
        <v>0</v>
      </c>
    </row>
    <row r="435" spans="1:10" x14ac:dyDescent="0.25">
      <c r="A435" s="30">
        <v>4141</v>
      </c>
      <c r="B435" s="30">
        <v>7</v>
      </c>
      <c r="C435" s="29" t="s">
        <v>78</v>
      </c>
      <c r="D435" s="32">
        <v>414</v>
      </c>
      <c r="E435" s="34">
        <v>46558</v>
      </c>
      <c r="F435" s="40">
        <v>0</v>
      </c>
      <c r="G435" s="38">
        <v>0</v>
      </c>
      <c r="H435" s="44">
        <v>0</v>
      </c>
      <c r="I435" s="36">
        <v>0</v>
      </c>
      <c r="J435" s="42">
        <v>0</v>
      </c>
    </row>
    <row r="436" spans="1:10" x14ac:dyDescent="0.25">
      <c r="A436" s="30">
        <v>4142</v>
      </c>
      <c r="B436" s="30">
        <v>7</v>
      </c>
      <c r="C436" s="29" t="s">
        <v>79</v>
      </c>
      <c r="D436" s="32">
        <v>673</v>
      </c>
      <c r="E436" s="34">
        <v>75781</v>
      </c>
      <c r="F436" s="40">
        <v>0</v>
      </c>
      <c r="G436" s="38">
        <v>0</v>
      </c>
      <c r="H436" s="44">
        <v>0</v>
      </c>
      <c r="I436" s="36">
        <v>0</v>
      </c>
      <c r="J436" s="42">
        <v>0</v>
      </c>
    </row>
    <row r="437" spans="1:10" x14ac:dyDescent="0.25">
      <c r="A437" s="30">
        <v>4143</v>
      </c>
      <c r="B437" s="30">
        <v>7</v>
      </c>
      <c r="C437" s="29" t="s">
        <v>502</v>
      </c>
      <c r="D437" s="32">
        <v>442</v>
      </c>
      <c r="E437" s="34">
        <v>49710</v>
      </c>
      <c r="F437" s="40">
        <v>0</v>
      </c>
      <c r="G437" s="38">
        <v>0</v>
      </c>
      <c r="H437" s="44">
        <v>0</v>
      </c>
      <c r="I437" s="36">
        <v>0</v>
      </c>
      <c r="J437" s="42">
        <v>0</v>
      </c>
    </row>
    <row r="438" spans="1:10" x14ac:dyDescent="0.25">
      <c r="A438" s="30">
        <v>4144</v>
      </c>
      <c r="B438" s="30">
        <v>7</v>
      </c>
      <c r="C438" s="29" t="s">
        <v>80</v>
      </c>
      <c r="D438" s="32">
        <v>82</v>
      </c>
      <c r="E438" s="34">
        <v>9186</v>
      </c>
      <c r="F438" s="40">
        <v>0</v>
      </c>
      <c r="G438" s="38">
        <v>0</v>
      </c>
      <c r="H438" s="44">
        <v>0</v>
      </c>
      <c r="I438" s="36">
        <v>0</v>
      </c>
      <c r="J438" s="42">
        <v>0</v>
      </c>
    </row>
    <row r="439" spans="1:10" x14ac:dyDescent="0.25">
      <c r="A439" s="30">
        <v>4145</v>
      </c>
      <c r="B439" s="30">
        <v>7</v>
      </c>
      <c r="C439" s="29" t="s">
        <v>81</v>
      </c>
      <c r="D439" s="32">
        <v>30</v>
      </c>
      <c r="E439" s="34">
        <v>3349</v>
      </c>
      <c r="F439" s="40">
        <v>0</v>
      </c>
      <c r="G439" s="38">
        <v>0</v>
      </c>
      <c r="H439" s="44">
        <v>0</v>
      </c>
      <c r="I439" s="36">
        <v>0</v>
      </c>
      <c r="J439" s="42">
        <v>0</v>
      </c>
    </row>
    <row r="440" spans="1:10" x14ac:dyDescent="0.25">
      <c r="A440" s="30">
        <v>4146</v>
      </c>
      <c r="B440" s="30">
        <v>7</v>
      </c>
      <c r="C440" s="29" t="s">
        <v>503</v>
      </c>
      <c r="D440" s="32">
        <v>60</v>
      </c>
      <c r="E440" s="34">
        <v>6732</v>
      </c>
      <c r="F440" s="40">
        <v>0</v>
      </c>
      <c r="G440" s="38">
        <v>0</v>
      </c>
      <c r="H440" s="44">
        <v>0</v>
      </c>
      <c r="I440" s="36">
        <v>0</v>
      </c>
      <c r="J440" s="42">
        <v>0</v>
      </c>
    </row>
    <row r="441" spans="1:10" x14ac:dyDescent="0.25">
      <c r="A441" s="30">
        <v>4150</v>
      </c>
      <c r="B441" s="30">
        <v>7</v>
      </c>
      <c r="C441" s="29" t="s">
        <v>82</v>
      </c>
      <c r="D441" s="32">
        <v>142</v>
      </c>
      <c r="E441" s="34">
        <v>15940</v>
      </c>
      <c r="F441" s="40">
        <v>0</v>
      </c>
      <c r="G441" s="38">
        <v>0</v>
      </c>
      <c r="H441" s="44">
        <v>0</v>
      </c>
      <c r="I441" s="36">
        <v>0</v>
      </c>
      <c r="J441" s="42">
        <v>0</v>
      </c>
    </row>
    <row r="442" spans="1:10" x14ac:dyDescent="0.25">
      <c r="A442" s="30">
        <v>4151</v>
      </c>
      <c r="B442" s="30">
        <v>7</v>
      </c>
      <c r="C442" s="29" t="s">
        <v>83</v>
      </c>
      <c r="D442" s="32">
        <v>121</v>
      </c>
      <c r="E442" s="34">
        <v>13643</v>
      </c>
      <c r="F442" s="40">
        <v>0</v>
      </c>
      <c r="G442" s="38">
        <v>0</v>
      </c>
      <c r="H442" s="44">
        <v>0</v>
      </c>
      <c r="I442" s="36">
        <v>0</v>
      </c>
      <c r="J442" s="42">
        <v>0</v>
      </c>
    </row>
    <row r="443" spans="1:10" x14ac:dyDescent="0.25">
      <c r="A443" s="30">
        <v>4152</v>
      </c>
      <c r="B443" s="30">
        <v>7</v>
      </c>
      <c r="C443" s="29" t="s">
        <v>504</v>
      </c>
      <c r="D443" s="32">
        <v>420</v>
      </c>
      <c r="E443" s="34">
        <v>47278</v>
      </c>
      <c r="F443" s="40">
        <v>0</v>
      </c>
      <c r="G443" s="38">
        <v>0</v>
      </c>
      <c r="H443" s="44">
        <v>0</v>
      </c>
      <c r="I443" s="36">
        <v>0</v>
      </c>
      <c r="J443" s="42">
        <v>0</v>
      </c>
    </row>
    <row r="444" spans="1:10" x14ac:dyDescent="0.25">
      <c r="A444" s="30">
        <v>4153</v>
      </c>
      <c r="B444" s="30">
        <v>7</v>
      </c>
      <c r="C444" s="29" t="s">
        <v>84</v>
      </c>
      <c r="D444" s="32">
        <v>416</v>
      </c>
      <c r="E444" s="34">
        <v>46806</v>
      </c>
      <c r="F444" s="40">
        <v>0</v>
      </c>
      <c r="G444" s="38">
        <v>0</v>
      </c>
      <c r="H444" s="44">
        <v>0</v>
      </c>
      <c r="I444" s="36">
        <v>0</v>
      </c>
      <c r="J444" s="42">
        <v>0</v>
      </c>
    </row>
    <row r="445" spans="1:10" x14ac:dyDescent="0.25">
      <c r="A445" s="30">
        <v>4155</v>
      </c>
      <c r="B445" s="30">
        <v>7</v>
      </c>
      <c r="C445" s="29" t="s">
        <v>505</v>
      </c>
      <c r="D445" s="32">
        <v>135</v>
      </c>
      <c r="E445" s="34">
        <v>15197</v>
      </c>
      <c r="F445" s="40">
        <v>0</v>
      </c>
      <c r="G445" s="38">
        <v>0</v>
      </c>
      <c r="H445" s="44">
        <v>0</v>
      </c>
      <c r="I445" s="36">
        <v>0</v>
      </c>
      <c r="J445" s="42">
        <v>0</v>
      </c>
    </row>
    <row r="446" spans="1:10" x14ac:dyDescent="0.25">
      <c r="A446" s="30">
        <v>4159</v>
      </c>
      <c r="B446" s="30">
        <v>7</v>
      </c>
      <c r="C446" s="29" t="s">
        <v>85</v>
      </c>
      <c r="D446" s="32">
        <v>465</v>
      </c>
      <c r="E446" s="34">
        <v>52344</v>
      </c>
      <c r="F446" s="40">
        <v>0</v>
      </c>
      <c r="G446" s="38">
        <v>0</v>
      </c>
      <c r="H446" s="44">
        <v>0</v>
      </c>
      <c r="I446" s="36">
        <v>0</v>
      </c>
      <c r="J446" s="42">
        <v>0</v>
      </c>
    </row>
    <row r="447" spans="1:10" x14ac:dyDescent="0.25">
      <c r="A447" s="30">
        <v>4160</v>
      </c>
      <c r="B447" s="30">
        <v>7</v>
      </c>
      <c r="C447" s="29" t="s">
        <v>86</v>
      </c>
      <c r="D447" s="32">
        <v>625</v>
      </c>
      <c r="E447" s="34">
        <v>70310</v>
      </c>
      <c r="F447" s="40">
        <v>0</v>
      </c>
      <c r="G447" s="38">
        <v>0</v>
      </c>
      <c r="H447" s="44">
        <v>0</v>
      </c>
      <c r="I447" s="36">
        <v>0</v>
      </c>
      <c r="J447" s="42">
        <v>0</v>
      </c>
    </row>
    <row r="448" spans="1:10" x14ac:dyDescent="0.25">
      <c r="A448" s="30">
        <v>4161</v>
      </c>
      <c r="B448" s="30">
        <v>7</v>
      </c>
      <c r="C448" s="29" t="s">
        <v>87</v>
      </c>
      <c r="D448" s="32">
        <v>172</v>
      </c>
      <c r="E448" s="34">
        <v>19362</v>
      </c>
      <c r="F448" s="40">
        <v>0</v>
      </c>
      <c r="G448" s="38">
        <v>0</v>
      </c>
      <c r="H448" s="44">
        <v>0</v>
      </c>
      <c r="I448" s="36">
        <v>0</v>
      </c>
      <c r="J448" s="42">
        <v>0</v>
      </c>
    </row>
    <row r="449" spans="1:10" x14ac:dyDescent="0.25">
      <c r="A449" s="30">
        <v>4162</v>
      </c>
      <c r="B449" s="30">
        <v>7</v>
      </c>
      <c r="C449" s="29" t="s">
        <v>88</v>
      </c>
      <c r="D449" s="32">
        <v>114</v>
      </c>
      <c r="E449" s="34">
        <v>12810</v>
      </c>
      <c r="F449" s="40">
        <v>0</v>
      </c>
      <c r="G449" s="38">
        <v>0</v>
      </c>
      <c r="H449" s="44">
        <v>0</v>
      </c>
      <c r="I449" s="36">
        <v>0</v>
      </c>
      <c r="J449" s="42">
        <v>0</v>
      </c>
    </row>
    <row r="450" spans="1:10" x14ac:dyDescent="0.25">
      <c r="A450" s="30">
        <v>4163</v>
      </c>
      <c r="B450" s="30">
        <v>7</v>
      </c>
      <c r="C450" s="29" t="s">
        <v>89</v>
      </c>
      <c r="D450" s="32">
        <v>258</v>
      </c>
      <c r="E450" s="34">
        <v>29048</v>
      </c>
      <c r="F450" s="40">
        <v>0</v>
      </c>
      <c r="G450" s="38">
        <v>0</v>
      </c>
      <c r="H450" s="44">
        <v>0</v>
      </c>
      <c r="I450" s="36">
        <v>0</v>
      </c>
      <c r="J450" s="42">
        <v>0</v>
      </c>
    </row>
    <row r="451" spans="1:10" x14ac:dyDescent="0.25">
      <c r="A451" s="30">
        <v>4164</v>
      </c>
      <c r="B451" s="30">
        <v>7</v>
      </c>
      <c r="C451" s="29" t="s">
        <v>90</v>
      </c>
      <c r="D451" s="32">
        <v>220</v>
      </c>
      <c r="E451" s="34">
        <v>24765</v>
      </c>
      <c r="F451" s="40">
        <v>0</v>
      </c>
      <c r="G451" s="38">
        <v>0</v>
      </c>
      <c r="H451" s="44">
        <v>0</v>
      </c>
      <c r="I451" s="36">
        <v>0</v>
      </c>
      <c r="J451" s="42">
        <v>0</v>
      </c>
    </row>
    <row r="452" spans="1:10" x14ac:dyDescent="0.25">
      <c r="A452" s="30">
        <v>4166</v>
      </c>
      <c r="B452" s="30">
        <v>7</v>
      </c>
      <c r="C452" s="29" t="s">
        <v>91</v>
      </c>
      <c r="D452" s="32">
        <v>120</v>
      </c>
      <c r="E452" s="34">
        <v>13508</v>
      </c>
      <c r="F452" s="40">
        <v>0</v>
      </c>
      <c r="G452" s="38">
        <v>0</v>
      </c>
      <c r="H452" s="44">
        <v>0</v>
      </c>
      <c r="I452" s="36">
        <v>0</v>
      </c>
      <c r="J452" s="42">
        <v>0</v>
      </c>
    </row>
    <row r="453" spans="1:10" x14ac:dyDescent="0.25">
      <c r="A453" s="30">
        <v>4167</v>
      </c>
      <c r="B453" s="30">
        <v>7</v>
      </c>
      <c r="C453" s="29" t="s">
        <v>92</v>
      </c>
      <c r="D453" s="32">
        <v>311</v>
      </c>
      <c r="E453" s="34">
        <v>34952</v>
      </c>
      <c r="F453" s="40">
        <v>0</v>
      </c>
      <c r="G453" s="38">
        <v>0</v>
      </c>
      <c r="H453" s="44">
        <v>0</v>
      </c>
      <c r="I453" s="36">
        <v>0</v>
      </c>
      <c r="J453" s="42">
        <v>0</v>
      </c>
    </row>
    <row r="454" spans="1:10" x14ac:dyDescent="0.25">
      <c r="A454" s="30">
        <v>4168</v>
      </c>
      <c r="B454" s="30">
        <v>7</v>
      </c>
      <c r="C454" s="29" t="s">
        <v>93</v>
      </c>
      <c r="D454" s="32">
        <v>133</v>
      </c>
      <c r="E454" s="34">
        <v>14960</v>
      </c>
      <c r="F454" s="40">
        <v>0</v>
      </c>
      <c r="G454" s="38">
        <v>0</v>
      </c>
      <c r="H454" s="44">
        <v>0</v>
      </c>
      <c r="I454" s="36">
        <v>0</v>
      </c>
      <c r="J454" s="42">
        <v>0</v>
      </c>
    </row>
    <row r="455" spans="1:10" x14ac:dyDescent="0.25">
      <c r="A455" s="30">
        <v>4169</v>
      </c>
      <c r="B455" s="30">
        <v>7</v>
      </c>
      <c r="C455" s="29" t="s">
        <v>506</v>
      </c>
      <c r="D455" s="32">
        <v>291</v>
      </c>
      <c r="E455" s="34">
        <v>32780</v>
      </c>
      <c r="F455" s="40">
        <v>0</v>
      </c>
      <c r="G455" s="38">
        <v>0</v>
      </c>
      <c r="H455" s="44">
        <v>0</v>
      </c>
      <c r="I455" s="36">
        <v>0</v>
      </c>
      <c r="J455" s="42">
        <v>0</v>
      </c>
    </row>
    <row r="456" spans="1:10" x14ac:dyDescent="0.25">
      <c r="A456" s="30">
        <v>4170</v>
      </c>
      <c r="B456" s="30">
        <v>7</v>
      </c>
      <c r="C456" s="29" t="s">
        <v>94</v>
      </c>
      <c r="D456" s="32">
        <v>957</v>
      </c>
      <c r="E456" s="34">
        <v>107727</v>
      </c>
      <c r="F456" s="40">
        <v>0</v>
      </c>
      <c r="G456" s="38">
        <v>0</v>
      </c>
      <c r="H456" s="44">
        <v>0</v>
      </c>
      <c r="I456" s="36">
        <v>0</v>
      </c>
      <c r="J456" s="42">
        <v>0</v>
      </c>
    </row>
    <row r="457" spans="1:10" x14ac:dyDescent="0.25">
      <c r="A457" s="30">
        <v>4171</v>
      </c>
      <c r="B457" s="30">
        <v>7</v>
      </c>
      <c r="C457" s="29" t="s">
        <v>95</v>
      </c>
      <c r="D457" s="32">
        <v>528</v>
      </c>
      <c r="E457" s="34">
        <v>59436</v>
      </c>
      <c r="F457" s="40">
        <v>0</v>
      </c>
      <c r="G457" s="38">
        <v>0</v>
      </c>
      <c r="H457" s="44">
        <v>0</v>
      </c>
      <c r="I457" s="36">
        <v>0</v>
      </c>
      <c r="J457" s="42">
        <v>0</v>
      </c>
    </row>
    <row r="458" spans="1:10" x14ac:dyDescent="0.25">
      <c r="A458" s="30">
        <v>4172</v>
      </c>
      <c r="B458" s="30">
        <v>7</v>
      </c>
      <c r="C458" s="29" t="s">
        <v>96</v>
      </c>
      <c r="D458" s="32">
        <v>68</v>
      </c>
      <c r="E458" s="34">
        <v>7655</v>
      </c>
      <c r="F458" s="40">
        <v>0</v>
      </c>
      <c r="G458" s="38">
        <v>0</v>
      </c>
      <c r="H458" s="44">
        <v>0</v>
      </c>
      <c r="I458" s="36">
        <v>0</v>
      </c>
      <c r="J458" s="42">
        <v>0</v>
      </c>
    </row>
    <row r="459" spans="1:10" x14ac:dyDescent="0.25">
      <c r="A459" s="30">
        <v>4173</v>
      </c>
      <c r="B459" s="30">
        <v>7</v>
      </c>
      <c r="C459" s="29" t="s">
        <v>97</v>
      </c>
      <c r="D459" s="32">
        <v>0</v>
      </c>
      <c r="E459" s="34">
        <v>0</v>
      </c>
      <c r="F459" s="40">
        <v>0</v>
      </c>
      <c r="G459" s="38">
        <v>0</v>
      </c>
      <c r="H459" s="44">
        <v>0</v>
      </c>
      <c r="I459" s="36">
        <v>0</v>
      </c>
      <c r="J459" s="42">
        <v>0</v>
      </c>
    </row>
    <row r="460" spans="1:10" x14ac:dyDescent="0.25">
      <c r="A460" s="30">
        <v>4174</v>
      </c>
      <c r="B460" s="30">
        <v>7</v>
      </c>
      <c r="C460" s="29" t="s">
        <v>98</v>
      </c>
      <c r="D460" s="32">
        <v>0</v>
      </c>
      <c r="E460" s="34">
        <v>0</v>
      </c>
      <c r="F460" s="40">
        <v>0</v>
      </c>
      <c r="G460" s="38">
        <v>0</v>
      </c>
      <c r="H460" s="44">
        <v>0</v>
      </c>
      <c r="I460" s="36">
        <v>0</v>
      </c>
      <c r="J460" s="42">
        <v>0</v>
      </c>
    </row>
    <row r="461" spans="1:10" x14ac:dyDescent="0.25">
      <c r="A461" s="30">
        <v>4177</v>
      </c>
      <c r="B461" s="30">
        <v>7</v>
      </c>
      <c r="C461" s="29" t="s">
        <v>99</v>
      </c>
      <c r="D461" s="32">
        <v>55</v>
      </c>
      <c r="E461" s="34">
        <v>6191</v>
      </c>
      <c r="F461" s="40">
        <v>0</v>
      </c>
      <c r="G461" s="38">
        <v>0</v>
      </c>
      <c r="H461" s="44">
        <v>0</v>
      </c>
      <c r="I461" s="36">
        <v>0</v>
      </c>
      <c r="J461" s="42">
        <v>0</v>
      </c>
    </row>
    <row r="462" spans="1:10" x14ac:dyDescent="0.25">
      <c r="A462" s="30">
        <v>4178</v>
      </c>
      <c r="B462" s="30">
        <v>7</v>
      </c>
      <c r="C462" s="29" t="s">
        <v>100</v>
      </c>
      <c r="D462" s="32">
        <v>216</v>
      </c>
      <c r="E462" s="34">
        <v>24315</v>
      </c>
      <c r="F462" s="40">
        <v>0</v>
      </c>
      <c r="G462" s="38">
        <v>0</v>
      </c>
      <c r="H462" s="44">
        <v>0</v>
      </c>
      <c r="I462" s="36">
        <v>0</v>
      </c>
      <c r="J462" s="42">
        <v>0</v>
      </c>
    </row>
    <row r="463" spans="1:10" x14ac:dyDescent="0.25">
      <c r="A463" s="30">
        <v>4180</v>
      </c>
      <c r="B463" s="30">
        <v>7</v>
      </c>
      <c r="C463" s="29" t="s">
        <v>101</v>
      </c>
      <c r="D463" s="32">
        <v>0</v>
      </c>
      <c r="E463" s="34">
        <v>0</v>
      </c>
      <c r="F463" s="40">
        <v>0</v>
      </c>
      <c r="G463" s="38">
        <v>0</v>
      </c>
      <c r="H463" s="44">
        <v>0</v>
      </c>
      <c r="I463" s="36">
        <v>0</v>
      </c>
      <c r="J463" s="42">
        <v>0</v>
      </c>
    </row>
    <row r="464" spans="1:10" x14ac:dyDescent="0.25">
      <c r="A464" s="30">
        <v>4181</v>
      </c>
      <c r="B464" s="30">
        <v>7</v>
      </c>
      <c r="C464" s="29" t="s">
        <v>102</v>
      </c>
      <c r="D464" s="32">
        <v>956</v>
      </c>
      <c r="E464" s="34">
        <v>107558</v>
      </c>
      <c r="F464" s="40">
        <v>0</v>
      </c>
      <c r="G464" s="38">
        <v>0</v>
      </c>
      <c r="H464" s="44">
        <v>0</v>
      </c>
      <c r="I464" s="36">
        <v>0</v>
      </c>
      <c r="J464" s="42">
        <v>0</v>
      </c>
    </row>
    <row r="465" spans="1:10" x14ac:dyDescent="0.25">
      <c r="A465" s="30">
        <v>4182</v>
      </c>
      <c r="B465" s="30">
        <v>7</v>
      </c>
      <c r="C465" s="29" t="s">
        <v>103</v>
      </c>
      <c r="D465" s="32">
        <v>0</v>
      </c>
      <c r="E465" s="34">
        <v>0</v>
      </c>
      <c r="F465" s="40">
        <v>0</v>
      </c>
      <c r="G465" s="38">
        <v>0</v>
      </c>
      <c r="H465" s="44">
        <v>0</v>
      </c>
      <c r="I465" s="36">
        <v>0</v>
      </c>
      <c r="J465" s="42">
        <v>0</v>
      </c>
    </row>
    <row r="466" spans="1:10" x14ac:dyDescent="0.25">
      <c r="A466" s="30">
        <v>4183</v>
      </c>
      <c r="B466" s="30">
        <v>7</v>
      </c>
      <c r="C466" s="29" t="s">
        <v>104</v>
      </c>
      <c r="D466" s="32">
        <v>172</v>
      </c>
      <c r="E466" s="34">
        <v>19317</v>
      </c>
      <c r="F466" s="40">
        <v>0</v>
      </c>
      <c r="G466" s="38">
        <v>0</v>
      </c>
      <c r="H466" s="44">
        <v>0</v>
      </c>
      <c r="I466" s="36">
        <v>0</v>
      </c>
      <c r="J466" s="42">
        <v>0</v>
      </c>
    </row>
    <row r="467" spans="1:10" x14ac:dyDescent="0.25">
      <c r="A467" s="30">
        <v>4184</v>
      </c>
      <c r="B467" s="30">
        <v>7</v>
      </c>
      <c r="C467" s="29" t="s">
        <v>105</v>
      </c>
      <c r="D467" s="32">
        <v>783</v>
      </c>
      <c r="E467" s="34">
        <v>88141</v>
      </c>
      <c r="F467" s="40">
        <v>0</v>
      </c>
      <c r="G467" s="38">
        <v>0</v>
      </c>
      <c r="H467" s="44">
        <v>0</v>
      </c>
      <c r="I467" s="36">
        <v>0</v>
      </c>
      <c r="J467" s="42">
        <v>0</v>
      </c>
    </row>
    <row r="468" spans="1:10" x14ac:dyDescent="0.25">
      <c r="A468" s="30">
        <v>4185</v>
      </c>
      <c r="B468" s="30">
        <v>7</v>
      </c>
      <c r="C468" s="29" t="s">
        <v>106</v>
      </c>
      <c r="D468" s="32">
        <v>545</v>
      </c>
      <c r="E468" s="34">
        <v>61316</v>
      </c>
      <c r="F468" s="40">
        <v>0</v>
      </c>
      <c r="G468" s="38">
        <v>0</v>
      </c>
      <c r="H468" s="44">
        <v>0</v>
      </c>
      <c r="I468" s="36">
        <v>0</v>
      </c>
      <c r="J468" s="42">
        <v>0</v>
      </c>
    </row>
    <row r="469" spans="1:10" x14ac:dyDescent="0.25">
      <c r="A469" s="30">
        <v>4186</v>
      </c>
      <c r="B469" s="30">
        <v>7</v>
      </c>
      <c r="C469" s="29" t="s">
        <v>107</v>
      </c>
      <c r="D469" s="32">
        <v>435</v>
      </c>
      <c r="E469" s="34">
        <v>48933</v>
      </c>
      <c r="F469" s="40">
        <v>0</v>
      </c>
      <c r="G469" s="38">
        <v>0</v>
      </c>
      <c r="H469" s="44">
        <v>0</v>
      </c>
      <c r="I469" s="36">
        <v>0</v>
      </c>
      <c r="J469" s="42">
        <v>0</v>
      </c>
    </row>
    <row r="470" spans="1:10" x14ac:dyDescent="0.25">
      <c r="A470" s="30">
        <v>4187</v>
      </c>
      <c r="B470" s="30">
        <v>7</v>
      </c>
      <c r="C470" s="29" t="s">
        <v>108</v>
      </c>
      <c r="D470" s="32">
        <v>101</v>
      </c>
      <c r="E470" s="34">
        <v>11369</v>
      </c>
      <c r="F470" s="40">
        <v>0</v>
      </c>
      <c r="G470" s="38">
        <v>0</v>
      </c>
      <c r="H470" s="44">
        <v>0</v>
      </c>
      <c r="I470" s="36">
        <v>0</v>
      </c>
      <c r="J470" s="42">
        <v>0</v>
      </c>
    </row>
    <row r="471" spans="1:10" x14ac:dyDescent="0.25">
      <c r="A471" s="30">
        <v>4188</v>
      </c>
      <c r="B471" s="30">
        <v>7</v>
      </c>
      <c r="C471" s="29" t="s">
        <v>109</v>
      </c>
      <c r="D471" s="32">
        <v>621</v>
      </c>
      <c r="E471" s="34">
        <v>69882</v>
      </c>
      <c r="F471" s="40">
        <v>0</v>
      </c>
      <c r="G471" s="38">
        <v>0</v>
      </c>
      <c r="H471" s="44">
        <v>0</v>
      </c>
      <c r="I471" s="36">
        <v>0</v>
      </c>
      <c r="J471" s="42">
        <v>0</v>
      </c>
    </row>
    <row r="472" spans="1:10" x14ac:dyDescent="0.25">
      <c r="A472" s="30">
        <v>4189</v>
      </c>
      <c r="B472" s="30">
        <v>7</v>
      </c>
      <c r="C472" s="29" t="s">
        <v>110</v>
      </c>
      <c r="D472" s="32">
        <v>210</v>
      </c>
      <c r="E472" s="34">
        <v>23679</v>
      </c>
      <c r="F472" s="40">
        <v>0</v>
      </c>
      <c r="G472" s="38">
        <v>0</v>
      </c>
      <c r="H472" s="44">
        <v>0</v>
      </c>
      <c r="I472" s="36">
        <v>0</v>
      </c>
      <c r="J472" s="42">
        <v>0</v>
      </c>
    </row>
    <row r="473" spans="1:10" x14ac:dyDescent="0.25">
      <c r="A473" s="30">
        <v>4190</v>
      </c>
      <c r="B473" s="30">
        <v>7</v>
      </c>
      <c r="C473" s="29" t="s">
        <v>507</v>
      </c>
      <c r="D473" s="32">
        <v>114</v>
      </c>
      <c r="E473" s="34">
        <v>12833</v>
      </c>
      <c r="F473" s="40">
        <v>0</v>
      </c>
      <c r="G473" s="38">
        <v>0</v>
      </c>
      <c r="H473" s="44">
        <v>0</v>
      </c>
      <c r="I473" s="36">
        <v>0</v>
      </c>
      <c r="J473" s="42">
        <v>0</v>
      </c>
    </row>
    <row r="474" spans="1:10" x14ac:dyDescent="0.25">
      <c r="A474" s="30">
        <v>4191</v>
      </c>
      <c r="B474" s="30">
        <v>7</v>
      </c>
      <c r="C474" s="29" t="s">
        <v>111</v>
      </c>
      <c r="D474" s="32">
        <v>268</v>
      </c>
      <c r="E474" s="34">
        <v>30168</v>
      </c>
      <c r="F474" s="40">
        <v>0</v>
      </c>
      <c r="G474" s="38">
        <v>0</v>
      </c>
      <c r="H474" s="44">
        <v>0</v>
      </c>
      <c r="I474" s="36">
        <v>0</v>
      </c>
      <c r="J474" s="42">
        <v>0</v>
      </c>
    </row>
    <row r="475" spans="1:10" x14ac:dyDescent="0.25">
      <c r="A475" s="30">
        <v>4192</v>
      </c>
      <c r="B475" s="30">
        <v>7</v>
      </c>
      <c r="C475" s="29" t="s">
        <v>112</v>
      </c>
      <c r="D475" s="32">
        <v>428</v>
      </c>
      <c r="E475" s="34">
        <v>48123</v>
      </c>
      <c r="F475" s="40">
        <v>0</v>
      </c>
      <c r="G475" s="38">
        <v>0</v>
      </c>
      <c r="H475" s="44">
        <v>0</v>
      </c>
      <c r="I475" s="36">
        <v>0</v>
      </c>
      <c r="J475" s="42">
        <v>0</v>
      </c>
    </row>
    <row r="476" spans="1:10" x14ac:dyDescent="0.25">
      <c r="A476" s="30">
        <v>4193</v>
      </c>
      <c r="B476" s="30">
        <v>7</v>
      </c>
      <c r="C476" s="29" t="s">
        <v>508</v>
      </c>
      <c r="D476" s="32">
        <v>369</v>
      </c>
      <c r="E476" s="34">
        <v>41537</v>
      </c>
      <c r="F476" s="40">
        <v>0</v>
      </c>
      <c r="G476" s="38">
        <v>0</v>
      </c>
      <c r="H476" s="44">
        <v>0</v>
      </c>
      <c r="I476" s="36">
        <v>0</v>
      </c>
      <c r="J476" s="42">
        <v>0</v>
      </c>
    </row>
    <row r="477" spans="1:10" x14ac:dyDescent="0.25">
      <c r="A477" s="30">
        <v>4194</v>
      </c>
      <c r="B477" s="30">
        <v>7</v>
      </c>
      <c r="C477" s="29" t="s">
        <v>113</v>
      </c>
      <c r="D477" s="32">
        <v>345</v>
      </c>
      <c r="E477" s="34">
        <v>38813</v>
      </c>
      <c r="F477" s="40">
        <v>0</v>
      </c>
      <c r="G477" s="38">
        <v>0</v>
      </c>
      <c r="H477" s="44">
        <v>0</v>
      </c>
      <c r="I477" s="36">
        <v>0</v>
      </c>
      <c r="J477" s="42">
        <v>0</v>
      </c>
    </row>
    <row r="478" spans="1:10" x14ac:dyDescent="0.25">
      <c r="A478" s="30">
        <v>4195</v>
      </c>
      <c r="B478" s="30">
        <v>7</v>
      </c>
      <c r="C478" s="29" t="s">
        <v>459</v>
      </c>
      <c r="D478" s="32">
        <v>37</v>
      </c>
      <c r="E478" s="34">
        <v>4188</v>
      </c>
      <c r="F478" s="40">
        <v>0</v>
      </c>
      <c r="G478" s="38">
        <v>0</v>
      </c>
      <c r="H478" s="44">
        <v>0</v>
      </c>
      <c r="I478" s="36">
        <v>0</v>
      </c>
      <c r="J478" s="42">
        <v>0</v>
      </c>
    </row>
    <row r="479" spans="1:10" x14ac:dyDescent="0.25">
      <c r="A479" s="30">
        <v>4197</v>
      </c>
      <c r="B479" s="30">
        <v>7</v>
      </c>
      <c r="C479" s="29" t="s">
        <v>114</v>
      </c>
      <c r="D479" s="32">
        <v>0</v>
      </c>
      <c r="E479" s="34">
        <v>0</v>
      </c>
      <c r="F479" s="40">
        <v>0</v>
      </c>
      <c r="G479" s="38">
        <v>0</v>
      </c>
      <c r="H479" s="44">
        <v>0</v>
      </c>
      <c r="I479" s="36">
        <v>0</v>
      </c>
      <c r="J479" s="42">
        <v>0</v>
      </c>
    </row>
    <row r="480" spans="1:10" x14ac:dyDescent="0.25">
      <c r="A480" s="30">
        <v>4198</v>
      </c>
      <c r="B480" s="30">
        <v>7</v>
      </c>
      <c r="C480" s="29" t="s">
        <v>115</v>
      </c>
      <c r="D480" s="32">
        <v>151</v>
      </c>
      <c r="E480" s="34">
        <v>17020</v>
      </c>
      <c r="F480" s="40">
        <v>0</v>
      </c>
      <c r="G480" s="38">
        <v>0</v>
      </c>
      <c r="H480" s="44">
        <v>0</v>
      </c>
      <c r="I480" s="36">
        <v>0</v>
      </c>
      <c r="J480" s="42">
        <v>0</v>
      </c>
    </row>
    <row r="481" spans="1:10" x14ac:dyDescent="0.25">
      <c r="A481" s="30">
        <v>4199</v>
      </c>
      <c r="B481" s="30">
        <v>7</v>
      </c>
      <c r="C481" s="29" t="s">
        <v>116</v>
      </c>
      <c r="D481" s="32">
        <v>869</v>
      </c>
      <c r="E481" s="34">
        <v>97776</v>
      </c>
      <c r="F481" s="40">
        <v>0</v>
      </c>
      <c r="G481" s="38">
        <v>0</v>
      </c>
      <c r="H481" s="44">
        <v>0</v>
      </c>
      <c r="I481" s="36">
        <v>0</v>
      </c>
      <c r="J481" s="42">
        <v>0</v>
      </c>
    </row>
    <row r="482" spans="1:10" x14ac:dyDescent="0.25">
      <c r="A482" s="30">
        <v>4200</v>
      </c>
      <c r="B482" s="30">
        <v>7</v>
      </c>
      <c r="C482" s="29" t="s">
        <v>117</v>
      </c>
      <c r="D482" s="32">
        <v>206</v>
      </c>
      <c r="E482" s="34">
        <v>23144</v>
      </c>
      <c r="F482" s="40">
        <v>0</v>
      </c>
      <c r="G482" s="38">
        <v>0</v>
      </c>
      <c r="H482" s="44">
        <v>0</v>
      </c>
      <c r="I482" s="36">
        <v>0</v>
      </c>
      <c r="J482" s="42">
        <v>0</v>
      </c>
    </row>
    <row r="483" spans="1:10" x14ac:dyDescent="0.25">
      <c r="A483" s="30">
        <v>4201</v>
      </c>
      <c r="B483" s="30">
        <v>7</v>
      </c>
      <c r="C483" s="29" t="s">
        <v>455</v>
      </c>
      <c r="D483" s="32">
        <v>91</v>
      </c>
      <c r="E483" s="34">
        <v>10244</v>
      </c>
      <c r="F483" s="40">
        <v>0</v>
      </c>
      <c r="G483" s="38">
        <v>0</v>
      </c>
      <c r="H483" s="44">
        <v>0</v>
      </c>
      <c r="I483" s="36">
        <v>0</v>
      </c>
      <c r="J483" s="42">
        <v>0</v>
      </c>
    </row>
    <row r="484" spans="1:10" x14ac:dyDescent="0.25">
      <c r="A484" s="30">
        <v>4202</v>
      </c>
      <c r="B484" s="30">
        <v>7</v>
      </c>
      <c r="C484" s="29" t="s">
        <v>118</v>
      </c>
      <c r="D484" s="32">
        <v>0</v>
      </c>
      <c r="E484" s="34">
        <v>0</v>
      </c>
      <c r="F484" s="40">
        <v>0</v>
      </c>
      <c r="G484" s="38">
        <v>0</v>
      </c>
      <c r="H484" s="44">
        <v>0</v>
      </c>
      <c r="I484" s="36">
        <v>0</v>
      </c>
      <c r="J484" s="42">
        <v>0</v>
      </c>
    </row>
    <row r="485" spans="1:10" x14ac:dyDescent="0.25">
      <c r="A485" s="30">
        <v>4203</v>
      </c>
      <c r="B485" s="30">
        <v>7</v>
      </c>
      <c r="C485" s="29" t="s">
        <v>119</v>
      </c>
      <c r="D485" s="32">
        <v>97</v>
      </c>
      <c r="E485" s="34">
        <v>10942</v>
      </c>
      <c r="F485" s="40">
        <v>0</v>
      </c>
      <c r="G485" s="38">
        <v>0</v>
      </c>
      <c r="H485" s="44">
        <v>0</v>
      </c>
      <c r="I485" s="36">
        <v>0</v>
      </c>
      <c r="J485" s="42">
        <v>0</v>
      </c>
    </row>
    <row r="486" spans="1:10" x14ac:dyDescent="0.25">
      <c r="A486" s="30">
        <v>4204</v>
      </c>
      <c r="B486" s="30">
        <v>7</v>
      </c>
      <c r="C486" s="29" t="s">
        <v>120</v>
      </c>
      <c r="D486" s="32">
        <v>216</v>
      </c>
      <c r="E486" s="34">
        <v>24315</v>
      </c>
      <c r="F486" s="40">
        <v>0</v>
      </c>
      <c r="G486" s="38">
        <v>0</v>
      </c>
      <c r="H486" s="44">
        <v>0</v>
      </c>
      <c r="I486" s="36">
        <v>0</v>
      </c>
      <c r="J486" s="42">
        <v>0</v>
      </c>
    </row>
    <row r="487" spans="1:10" x14ac:dyDescent="0.25">
      <c r="A487" s="30">
        <v>4205</v>
      </c>
      <c r="B487" s="30">
        <v>7</v>
      </c>
      <c r="C487" s="29" t="s">
        <v>121</v>
      </c>
      <c r="D487" s="32">
        <v>189</v>
      </c>
      <c r="E487" s="34">
        <v>21275</v>
      </c>
      <c r="F487" s="40">
        <v>0</v>
      </c>
      <c r="G487" s="38">
        <v>0</v>
      </c>
      <c r="H487" s="44">
        <v>0</v>
      </c>
      <c r="I487" s="36">
        <v>0</v>
      </c>
      <c r="J487" s="42">
        <v>0</v>
      </c>
    </row>
    <row r="488" spans="1:10" x14ac:dyDescent="0.25">
      <c r="A488" s="30">
        <v>4207</v>
      </c>
      <c r="B488" s="30">
        <v>7</v>
      </c>
      <c r="C488" s="29" t="s">
        <v>509</v>
      </c>
      <c r="D488" s="32">
        <v>70</v>
      </c>
      <c r="E488" s="34">
        <v>7835</v>
      </c>
      <c r="F488" s="40">
        <v>0</v>
      </c>
      <c r="G488" s="38">
        <v>0</v>
      </c>
      <c r="H488" s="44">
        <v>0</v>
      </c>
      <c r="I488" s="36">
        <v>0</v>
      </c>
      <c r="J488" s="42">
        <v>0</v>
      </c>
    </row>
    <row r="489" spans="1:10" x14ac:dyDescent="0.25">
      <c r="A489" s="30">
        <v>4208</v>
      </c>
      <c r="B489" s="30">
        <v>7</v>
      </c>
      <c r="C489" s="29" t="s">
        <v>122</v>
      </c>
      <c r="D489" s="32">
        <v>143</v>
      </c>
      <c r="E489" s="34">
        <v>16047</v>
      </c>
      <c r="F489" s="40">
        <v>0</v>
      </c>
      <c r="G489" s="38">
        <v>0</v>
      </c>
      <c r="H489" s="44">
        <v>0</v>
      </c>
      <c r="I489" s="36">
        <v>0</v>
      </c>
      <c r="J489" s="42">
        <v>0</v>
      </c>
    </row>
    <row r="490" spans="1:10" x14ac:dyDescent="0.25">
      <c r="A490" s="30">
        <v>4209</v>
      </c>
      <c r="B490" s="30">
        <v>7</v>
      </c>
      <c r="C490" s="29" t="s">
        <v>123</v>
      </c>
      <c r="D490" s="32">
        <v>273</v>
      </c>
      <c r="E490" s="34">
        <v>30731</v>
      </c>
      <c r="F490" s="40">
        <v>0</v>
      </c>
      <c r="G490" s="38">
        <v>0</v>
      </c>
      <c r="H490" s="44">
        <v>0</v>
      </c>
      <c r="I490" s="36">
        <v>0</v>
      </c>
      <c r="J490" s="42">
        <v>0</v>
      </c>
    </row>
    <row r="491" spans="1:10" x14ac:dyDescent="0.25">
      <c r="A491" s="30">
        <v>4210</v>
      </c>
      <c r="B491" s="30">
        <v>7</v>
      </c>
      <c r="C491" s="29" t="s">
        <v>510</v>
      </c>
      <c r="D491" s="32">
        <v>182</v>
      </c>
      <c r="E491" s="34">
        <v>20487</v>
      </c>
      <c r="F491" s="40">
        <v>0</v>
      </c>
      <c r="G491" s="38">
        <v>0</v>
      </c>
      <c r="H491" s="44">
        <v>0</v>
      </c>
      <c r="I491" s="36">
        <v>0</v>
      </c>
      <c r="J491" s="42">
        <v>0</v>
      </c>
    </row>
    <row r="492" spans="1:10" x14ac:dyDescent="0.25">
      <c r="A492" s="30">
        <v>4211</v>
      </c>
      <c r="B492" s="30">
        <v>7</v>
      </c>
      <c r="C492" s="29" t="s">
        <v>511</v>
      </c>
      <c r="D492" s="32">
        <v>49</v>
      </c>
      <c r="E492" s="34">
        <v>5516</v>
      </c>
      <c r="F492" s="40">
        <v>0</v>
      </c>
      <c r="G492" s="38">
        <v>0</v>
      </c>
      <c r="H492" s="44">
        <v>0</v>
      </c>
      <c r="I492" s="36">
        <v>0</v>
      </c>
      <c r="J492" s="42">
        <v>0</v>
      </c>
    </row>
    <row r="493" spans="1:10" x14ac:dyDescent="0.25">
      <c r="A493" s="30">
        <v>4212</v>
      </c>
      <c r="B493" s="30">
        <v>7</v>
      </c>
      <c r="C493" s="29" t="s">
        <v>512</v>
      </c>
      <c r="D493" s="32">
        <v>96</v>
      </c>
      <c r="E493" s="34">
        <v>10807</v>
      </c>
      <c r="F493" s="40">
        <v>0</v>
      </c>
      <c r="G493" s="38">
        <v>0</v>
      </c>
      <c r="H493" s="44">
        <v>0</v>
      </c>
      <c r="I493" s="36">
        <v>0</v>
      </c>
      <c r="J493" s="42">
        <v>0</v>
      </c>
    </row>
    <row r="494" spans="1:10" x14ac:dyDescent="0.25">
      <c r="A494" s="30">
        <v>4213</v>
      </c>
      <c r="B494" s="30">
        <v>7</v>
      </c>
      <c r="C494" s="29" t="s">
        <v>513</v>
      </c>
      <c r="D494" s="32">
        <v>35</v>
      </c>
      <c r="E494" s="34">
        <v>3900</v>
      </c>
      <c r="F494" s="40">
        <v>0</v>
      </c>
      <c r="G494" s="38">
        <v>0</v>
      </c>
      <c r="H494" s="44">
        <v>0</v>
      </c>
      <c r="I494" s="36">
        <v>0</v>
      </c>
      <c r="J494" s="42">
        <v>0</v>
      </c>
    </row>
    <row r="495" spans="1:10" x14ac:dyDescent="0.25">
      <c r="A495" s="30">
        <v>4214</v>
      </c>
      <c r="B495" s="30">
        <v>7</v>
      </c>
      <c r="C495" s="29" t="s">
        <v>514</v>
      </c>
      <c r="D495" s="32">
        <v>34</v>
      </c>
      <c r="E495" s="34">
        <v>3833</v>
      </c>
      <c r="F495" s="40">
        <v>0</v>
      </c>
      <c r="G495" s="38">
        <v>0</v>
      </c>
      <c r="H495" s="44">
        <v>0</v>
      </c>
      <c r="I495" s="36">
        <v>0</v>
      </c>
      <c r="J495" s="42">
        <v>0</v>
      </c>
    </row>
    <row r="496" spans="1:10" x14ac:dyDescent="0.25">
      <c r="A496" s="30">
        <v>4218</v>
      </c>
      <c r="B496" s="30">
        <v>7</v>
      </c>
      <c r="C496" s="29" t="s">
        <v>515</v>
      </c>
      <c r="D496" s="32">
        <v>121</v>
      </c>
      <c r="E496" s="34">
        <v>13666</v>
      </c>
      <c r="F496" s="40">
        <v>0</v>
      </c>
      <c r="G496" s="38">
        <v>0</v>
      </c>
      <c r="H496" s="44">
        <v>0</v>
      </c>
      <c r="I496" s="36">
        <v>0</v>
      </c>
      <c r="J496" s="42">
        <v>0</v>
      </c>
    </row>
    <row r="497" spans="1:10" x14ac:dyDescent="0.25">
      <c r="A497" s="30">
        <v>4999</v>
      </c>
      <c r="B497" s="30">
        <v>7</v>
      </c>
      <c r="C497" s="29" t="s">
        <v>124</v>
      </c>
      <c r="D497" s="32">
        <v>6328</v>
      </c>
      <c r="E497" s="34">
        <v>900122</v>
      </c>
      <c r="F497" s="40">
        <v>0</v>
      </c>
      <c r="G497" s="38">
        <v>0</v>
      </c>
      <c r="H497" s="44">
        <v>0</v>
      </c>
      <c r="I497" s="36">
        <v>0</v>
      </c>
      <c r="J497" s="42">
        <v>0</v>
      </c>
    </row>
    <row r="498" spans="1:10" x14ac:dyDescent="0.25">
      <c r="A498" s="30">
        <v>6000</v>
      </c>
      <c r="B498" s="30">
        <v>62</v>
      </c>
      <c r="C498" s="29" t="s">
        <v>516</v>
      </c>
      <c r="D498" s="32">
        <v>0</v>
      </c>
      <c r="E498" s="34">
        <v>0</v>
      </c>
      <c r="F498" s="40">
        <v>0</v>
      </c>
      <c r="G498" s="38">
        <v>0</v>
      </c>
      <c r="H498" s="44">
        <v>0</v>
      </c>
      <c r="I498" s="36">
        <v>0</v>
      </c>
      <c r="J498" s="42">
        <v>0</v>
      </c>
    </row>
    <row r="500" spans="1:10" x14ac:dyDescent="0.25">
      <c r="D500" s="17">
        <f>SUM(D2:D499)</f>
        <v>921112</v>
      </c>
      <c r="E500" s="17">
        <f t="shared" ref="E500:J500" si="0">SUM(E2:E499)</f>
        <v>106775552</v>
      </c>
      <c r="F500" s="17">
        <f>SUM(F2:F499)</f>
        <v>78879395</v>
      </c>
      <c r="G500" s="17">
        <f>SUM(G2:G499)</f>
        <v>245125421</v>
      </c>
      <c r="H500" s="17">
        <f>SUM(H2:H499)</f>
        <v>207462464</v>
      </c>
      <c r="I500" s="17">
        <f t="shared" si="0"/>
        <v>781257518</v>
      </c>
      <c r="J500" s="17">
        <f t="shared" si="0"/>
        <v>597059968</v>
      </c>
    </row>
    <row r="501" spans="1:10" x14ac:dyDescent="0.25">
      <c r="D501" s="17">
        <f>+'Tax Bill Summary'!E9</f>
        <v>921112</v>
      </c>
      <c r="E501" s="17">
        <f>+'Tax Bill Summary'!F9</f>
        <v>106775552</v>
      </c>
      <c r="F501" s="17">
        <f>+'Tax Bill Summary'!G9</f>
        <v>78879395</v>
      </c>
      <c r="G501" s="17">
        <f>+'Tax Bill Summary'!I9</f>
        <v>245125421</v>
      </c>
      <c r="H501" s="17">
        <f>+'Tax Bill Summary'!J9</f>
        <v>207462464</v>
      </c>
      <c r="I501" s="17">
        <f>+'Tax Bill Summary'!L9</f>
        <v>781257518</v>
      </c>
      <c r="J501" s="17">
        <f>+'Tax Bill Summary'!M9</f>
        <v>597059968</v>
      </c>
    </row>
    <row r="502" spans="1:10" x14ac:dyDescent="0.25">
      <c r="D502" s="17">
        <f>+D500-D501</f>
        <v>0</v>
      </c>
      <c r="E502" s="17">
        <f t="shared" ref="E502:J502" si="1">+E500-E501</f>
        <v>0</v>
      </c>
      <c r="F502" s="17">
        <f t="shared" si="1"/>
        <v>0</v>
      </c>
      <c r="G502" s="17">
        <f t="shared" si="1"/>
        <v>0</v>
      </c>
      <c r="H502" s="17">
        <f t="shared" si="1"/>
        <v>0</v>
      </c>
      <c r="I502" s="17">
        <f t="shared" si="1"/>
        <v>0</v>
      </c>
      <c r="J502" s="17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"/>
  <sheetViews>
    <sheetView topLeftCell="A463" workbookViewId="0">
      <selection activeCell="J2" sqref="J2:J498"/>
    </sheetView>
  </sheetViews>
  <sheetFormatPr defaultRowHeight="15" x14ac:dyDescent="0.25"/>
  <cols>
    <col min="4" max="4" width="9" bestFit="1" customWidth="1"/>
    <col min="5" max="10" width="12.42578125" bestFit="1" customWidth="1"/>
  </cols>
  <sheetData>
    <row r="1" spans="1:10" x14ac:dyDescent="0.25">
      <c r="A1" s="24" t="s">
        <v>456</v>
      </c>
      <c r="B1" s="24" t="s">
        <v>457</v>
      </c>
      <c r="C1" s="25" t="s">
        <v>458</v>
      </c>
      <c r="D1" s="24" t="s">
        <v>517</v>
      </c>
      <c r="E1" s="24" t="s">
        <v>519</v>
      </c>
      <c r="F1" s="24" t="s">
        <v>522</v>
      </c>
      <c r="G1" s="24" t="s">
        <v>521</v>
      </c>
      <c r="H1" s="24" t="s">
        <v>524</v>
      </c>
      <c r="I1" s="24" t="s">
        <v>520</v>
      </c>
      <c r="J1" s="24" t="s">
        <v>523</v>
      </c>
    </row>
    <row r="2" spans="1:10" x14ac:dyDescent="0.25">
      <c r="A2" s="26">
        <v>1</v>
      </c>
      <c r="B2" s="26">
        <v>1</v>
      </c>
      <c r="C2" s="25" t="s">
        <v>139</v>
      </c>
      <c r="D2" s="27">
        <v>1285</v>
      </c>
      <c r="E2" s="27">
        <v>185040</v>
      </c>
      <c r="F2" s="27">
        <v>185040</v>
      </c>
      <c r="G2" s="27">
        <v>544840</v>
      </c>
      <c r="H2" s="27">
        <v>544840</v>
      </c>
      <c r="I2" s="27">
        <v>385500</v>
      </c>
      <c r="J2" s="27">
        <v>260672</v>
      </c>
    </row>
    <row r="3" spans="1:10" x14ac:dyDescent="0.25">
      <c r="A3" s="26">
        <v>1.2</v>
      </c>
      <c r="B3" s="26">
        <v>3</v>
      </c>
      <c r="C3" s="25" t="s">
        <v>140</v>
      </c>
      <c r="D3" s="27">
        <v>39607</v>
      </c>
      <c r="E3" s="27">
        <v>1980330</v>
      </c>
      <c r="F3" s="27">
        <v>1980330</v>
      </c>
      <c r="G3" s="27">
        <v>16793198</v>
      </c>
      <c r="H3" s="27">
        <v>16793198</v>
      </c>
      <c r="I3" s="27">
        <v>55978780</v>
      </c>
      <c r="J3" s="27">
        <v>52894542</v>
      </c>
    </row>
    <row r="4" spans="1:10" x14ac:dyDescent="0.25">
      <c r="A4" s="26">
        <v>2</v>
      </c>
      <c r="B4" s="26">
        <v>1</v>
      </c>
      <c r="C4" s="25" t="s">
        <v>141</v>
      </c>
      <c r="D4" s="27">
        <v>284</v>
      </c>
      <c r="E4" s="27">
        <v>40889</v>
      </c>
      <c r="F4" s="27">
        <v>22793</v>
      </c>
      <c r="G4" s="27">
        <v>120395</v>
      </c>
      <c r="H4" s="27">
        <v>67113</v>
      </c>
      <c r="I4" s="27">
        <v>85185</v>
      </c>
      <c r="J4" s="27">
        <v>27520</v>
      </c>
    </row>
    <row r="5" spans="1:10" x14ac:dyDescent="0.25">
      <c r="A5" s="26">
        <v>4</v>
      </c>
      <c r="B5" s="26">
        <v>1</v>
      </c>
      <c r="C5" s="25" t="s">
        <v>142</v>
      </c>
      <c r="D5" s="27">
        <v>434</v>
      </c>
      <c r="E5" s="27">
        <v>62554</v>
      </c>
      <c r="F5" s="27">
        <v>62554</v>
      </c>
      <c r="G5" s="27">
        <v>184186</v>
      </c>
      <c r="H5" s="27">
        <v>184186</v>
      </c>
      <c r="I5" s="27">
        <v>130320</v>
      </c>
      <c r="J5" s="27">
        <v>77314</v>
      </c>
    </row>
    <row r="6" spans="1:10" x14ac:dyDescent="0.25">
      <c r="A6" s="26">
        <v>6</v>
      </c>
      <c r="B6" s="26">
        <v>3</v>
      </c>
      <c r="C6" s="25" t="s">
        <v>143</v>
      </c>
      <c r="D6" s="27">
        <v>3736</v>
      </c>
      <c r="E6" s="27">
        <v>557934</v>
      </c>
      <c r="F6" s="27">
        <v>396251</v>
      </c>
      <c r="G6" s="27">
        <v>1584234</v>
      </c>
      <c r="H6" s="27">
        <v>1125142</v>
      </c>
      <c r="I6" s="27">
        <v>2005625</v>
      </c>
      <c r="J6" s="27">
        <v>1089699</v>
      </c>
    </row>
    <row r="7" spans="1:10" x14ac:dyDescent="0.25">
      <c r="A7" s="26">
        <v>11</v>
      </c>
      <c r="B7" s="26">
        <v>1</v>
      </c>
      <c r="C7" s="25" t="s">
        <v>144</v>
      </c>
      <c r="D7" s="27">
        <v>39798</v>
      </c>
      <c r="E7" s="27">
        <v>4558334</v>
      </c>
      <c r="F7" s="27">
        <v>3244342</v>
      </c>
      <c r="G7" s="27">
        <v>16874267</v>
      </c>
      <c r="H7" s="27">
        <v>12010067</v>
      </c>
      <c r="I7" s="27">
        <v>39397832</v>
      </c>
      <c r="J7" s="27">
        <v>27106091</v>
      </c>
    </row>
    <row r="8" spans="1:10" x14ac:dyDescent="0.25">
      <c r="A8" s="26">
        <v>12</v>
      </c>
      <c r="B8" s="26">
        <v>1</v>
      </c>
      <c r="C8" s="25" t="s">
        <v>145</v>
      </c>
      <c r="D8" s="27">
        <v>6971</v>
      </c>
      <c r="E8" s="27">
        <v>1079123</v>
      </c>
      <c r="F8" s="27">
        <v>838445</v>
      </c>
      <c r="G8" s="27">
        <v>2955789</v>
      </c>
      <c r="H8" s="27">
        <v>2296557</v>
      </c>
      <c r="I8" s="27">
        <v>3244954</v>
      </c>
      <c r="J8" s="27">
        <v>1838023</v>
      </c>
    </row>
    <row r="9" spans="1:10" x14ac:dyDescent="0.25">
      <c r="A9" s="26">
        <v>13</v>
      </c>
      <c r="B9" s="26">
        <v>1</v>
      </c>
      <c r="C9" s="25" t="s">
        <v>146</v>
      </c>
      <c r="D9" s="27">
        <v>3362</v>
      </c>
      <c r="E9" s="27">
        <v>483364</v>
      </c>
      <c r="F9" s="27">
        <v>360094</v>
      </c>
      <c r="G9" s="27">
        <v>1425361</v>
      </c>
      <c r="H9" s="27">
        <v>1061860</v>
      </c>
      <c r="I9" s="27">
        <v>2047040</v>
      </c>
      <c r="J9" s="27">
        <v>1209102</v>
      </c>
    </row>
    <row r="10" spans="1:10" x14ac:dyDescent="0.25">
      <c r="A10" s="26">
        <v>14</v>
      </c>
      <c r="B10" s="26">
        <v>1</v>
      </c>
      <c r="C10" s="25" t="s">
        <v>147</v>
      </c>
      <c r="D10" s="27">
        <v>3199</v>
      </c>
      <c r="E10" s="27">
        <v>491056</v>
      </c>
      <c r="F10" s="27">
        <v>338747</v>
      </c>
      <c r="G10" s="27">
        <v>1356206</v>
      </c>
      <c r="H10" s="27">
        <v>935555</v>
      </c>
      <c r="I10" s="27">
        <v>1542013</v>
      </c>
      <c r="J10" s="27">
        <v>785411</v>
      </c>
    </row>
    <row r="11" spans="1:10" x14ac:dyDescent="0.25">
      <c r="A11" s="26">
        <v>15</v>
      </c>
      <c r="B11" s="26">
        <v>1</v>
      </c>
      <c r="C11" s="25" t="s">
        <v>148</v>
      </c>
      <c r="D11" s="27">
        <v>4887</v>
      </c>
      <c r="E11" s="27">
        <v>818573</v>
      </c>
      <c r="F11" s="27">
        <v>601361</v>
      </c>
      <c r="G11" s="27">
        <v>2072088</v>
      </c>
      <c r="H11" s="27">
        <v>1522250</v>
      </c>
      <c r="I11" s="27">
        <v>1466100</v>
      </c>
      <c r="J11" s="27">
        <v>624207</v>
      </c>
    </row>
    <row r="12" spans="1:10" x14ac:dyDescent="0.25">
      <c r="A12" s="26">
        <v>16</v>
      </c>
      <c r="B12" s="26">
        <v>1</v>
      </c>
      <c r="C12" s="25" t="s">
        <v>149</v>
      </c>
      <c r="D12" s="27">
        <v>5870</v>
      </c>
      <c r="E12" s="27">
        <v>922757</v>
      </c>
      <c r="F12" s="27">
        <v>898386</v>
      </c>
      <c r="G12" s="27">
        <v>2488689</v>
      </c>
      <c r="H12" s="27">
        <v>2422960</v>
      </c>
      <c r="I12" s="27">
        <v>2547619</v>
      </c>
      <c r="J12" s="27">
        <v>1759524</v>
      </c>
    </row>
    <row r="13" spans="1:10" x14ac:dyDescent="0.25">
      <c r="A13" s="26">
        <v>22</v>
      </c>
      <c r="B13" s="26">
        <v>1</v>
      </c>
      <c r="C13" s="25" t="s">
        <v>150</v>
      </c>
      <c r="D13" s="27">
        <v>3112</v>
      </c>
      <c r="E13" s="27">
        <v>448128</v>
      </c>
      <c r="F13" s="27">
        <v>396125</v>
      </c>
      <c r="G13" s="27">
        <v>1319488</v>
      </c>
      <c r="H13" s="27">
        <v>1166368</v>
      </c>
      <c r="I13" s="27">
        <v>933600</v>
      </c>
      <c r="J13" s="27">
        <v>478276</v>
      </c>
    </row>
    <row r="14" spans="1:10" x14ac:dyDescent="0.25">
      <c r="A14" s="26">
        <v>23</v>
      </c>
      <c r="B14" s="26">
        <v>1</v>
      </c>
      <c r="C14" s="25" t="s">
        <v>151</v>
      </c>
      <c r="D14" s="27">
        <v>977</v>
      </c>
      <c r="E14" s="27">
        <v>133835</v>
      </c>
      <c r="F14" s="27">
        <v>89992</v>
      </c>
      <c r="G14" s="27">
        <v>414163</v>
      </c>
      <c r="H14" s="27">
        <v>278487</v>
      </c>
      <c r="I14" s="27">
        <v>405714</v>
      </c>
      <c r="J14" s="27">
        <v>189958</v>
      </c>
    </row>
    <row r="15" spans="1:10" x14ac:dyDescent="0.25">
      <c r="A15" s="26">
        <v>25</v>
      </c>
      <c r="B15" s="26">
        <v>1</v>
      </c>
      <c r="C15" s="25" t="s">
        <v>152</v>
      </c>
      <c r="D15" s="27">
        <v>79</v>
      </c>
      <c r="E15" s="27">
        <v>11347</v>
      </c>
      <c r="F15" s="27">
        <v>0</v>
      </c>
      <c r="G15" s="27">
        <v>33411</v>
      </c>
      <c r="H15" s="27">
        <v>0</v>
      </c>
      <c r="I15" s="27">
        <v>23640</v>
      </c>
      <c r="J15" s="27">
        <v>0</v>
      </c>
    </row>
    <row r="16" spans="1:10" x14ac:dyDescent="0.25">
      <c r="A16" s="26">
        <v>31</v>
      </c>
      <c r="B16" s="26">
        <v>1</v>
      </c>
      <c r="C16" s="25" t="s">
        <v>153</v>
      </c>
      <c r="D16" s="27">
        <v>5578</v>
      </c>
      <c r="E16" s="27">
        <v>803232</v>
      </c>
      <c r="F16" s="27">
        <v>582596</v>
      </c>
      <c r="G16" s="27">
        <v>2365072</v>
      </c>
      <c r="H16" s="27">
        <v>1715420</v>
      </c>
      <c r="I16" s="27">
        <v>1673400</v>
      </c>
      <c r="J16" s="27">
        <v>703418</v>
      </c>
    </row>
    <row r="17" spans="1:10" x14ac:dyDescent="0.25">
      <c r="A17" s="26">
        <v>32</v>
      </c>
      <c r="B17" s="26">
        <v>1</v>
      </c>
      <c r="C17" s="25" t="s">
        <v>154</v>
      </c>
      <c r="D17" s="27">
        <v>540</v>
      </c>
      <c r="E17" s="27">
        <v>77768</v>
      </c>
      <c r="F17" s="27">
        <v>50535</v>
      </c>
      <c r="G17" s="27">
        <v>228981</v>
      </c>
      <c r="H17" s="27">
        <v>148797</v>
      </c>
      <c r="I17" s="27">
        <v>162015</v>
      </c>
      <c r="J17" s="27">
        <v>61015</v>
      </c>
    </row>
    <row r="18" spans="1:10" x14ac:dyDescent="0.25">
      <c r="A18" s="26">
        <v>36</v>
      </c>
      <c r="B18" s="26">
        <v>1</v>
      </c>
      <c r="C18" s="25" t="s">
        <v>155</v>
      </c>
      <c r="D18" s="27">
        <v>281</v>
      </c>
      <c r="E18" s="27">
        <v>40435</v>
      </c>
      <c r="F18" s="27">
        <v>20427</v>
      </c>
      <c r="G18" s="27">
        <v>119059</v>
      </c>
      <c r="H18" s="27">
        <v>60145</v>
      </c>
      <c r="I18" s="27">
        <v>84240</v>
      </c>
      <c r="J18" s="27">
        <v>24663</v>
      </c>
    </row>
    <row r="19" spans="1:10" x14ac:dyDescent="0.25">
      <c r="A19" s="26">
        <v>38</v>
      </c>
      <c r="B19" s="26">
        <v>1</v>
      </c>
      <c r="C19" s="25" t="s">
        <v>156</v>
      </c>
      <c r="D19" s="27">
        <v>1572</v>
      </c>
      <c r="E19" s="27">
        <v>152898</v>
      </c>
      <c r="F19" s="27">
        <v>95</v>
      </c>
      <c r="G19" s="27">
        <v>666698</v>
      </c>
      <c r="H19" s="27">
        <v>413</v>
      </c>
      <c r="I19" s="27">
        <v>1685817</v>
      </c>
      <c r="J19" s="27">
        <v>1152</v>
      </c>
    </row>
    <row r="20" spans="1:10" x14ac:dyDescent="0.25">
      <c r="A20" s="26">
        <v>47</v>
      </c>
      <c r="B20" s="26">
        <v>1</v>
      </c>
      <c r="C20" s="25" t="s">
        <v>157</v>
      </c>
      <c r="D20" s="27">
        <v>4346</v>
      </c>
      <c r="E20" s="27">
        <v>625882</v>
      </c>
      <c r="F20" s="27">
        <v>404296</v>
      </c>
      <c r="G20" s="27">
        <v>1842874</v>
      </c>
      <c r="H20" s="27">
        <v>1190425</v>
      </c>
      <c r="I20" s="27">
        <v>1303920</v>
      </c>
      <c r="J20" s="27">
        <v>488141</v>
      </c>
    </row>
    <row r="21" spans="1:10" x14ac:dyDescent="0.25">
      <c r="A21" s="26">
        <v>51</v>
      </c>
      <c r="B21" s="26">
        <v>1</v>
      </c>
      <c r="C21" s="25" t="s">
        <v>158</v>
      </c>
      <c r="D21" s="27">
        <v>1945</v>
      </c>
      <c r="E21" s="27">
        <v>280030</v>
      </c>
      <c r="F21" s="27">
        <v>138866</v>
      </c>
      <c r="G21" s="27">
        <v>824532</v>
      </c>
      <c r="H21" s="27">
        <v>408882</v>
      </c>
      <c r="I21" s="27">
        <v>583395</v>
      </c>
      <c r="J21" s="27">
        <v>167664</v>
      </c>
    </row>
    <row r="22" spans="1:10" x14ac:dyDescent="0.25">
      <c r="A22" s="26">
        <v>75</v>
      </c>
      <c r="B22" s="26">
        <v>1</v>
      </c>
      <c r="C22" s="25" t="s">
        <v>159</v>
      </c>
      <c r="D22" s="27">
        <v>696</v>
      </c>
      <c r="E22" s="27">
        <v>100282</v>
      </c>
      <c r="F22" s="27">
        <v>81704</v>
      </c>
      <c r="G22" s="27">
        <v>295274</v>
      </c>
      <c r="H22" s="27">
        <v>240573</v>
      </c>
      <c r="I22" s="27">
        <v>208920</v>
      </c>
      <c r="J22" s="27">
        <v>98648</v>
      </c>
    </row>
    <row r="23" spans="1:10" x14ac:dyDescent="0.25">
      <c r="A23" s="26">
        <v>77</v>
      </c>
      <c r="B23" s="26">
        <v>1</v>
      </c>
      <c r="C23" s="25" t="s">
        <v>160</v>
      </c>
      <c r="D23" s="27">
        <v>8602</v>
      </c>
      <c r="E23" s="27">
        <v>1223081</v>
      </c>
      <c r="F23" s="27">
        <v>1223081</v>
      </c>
      <c r="G23" s="27">
        <v>3647078</v>
      </c>
      <c r="H23" s="27">
        <v>3647078</v>
      </c>
      <c r="I23" s="27">
        <v>2837238</v>
      </c>
      <c r="J23" s="27">
        <v>1795882</v>
      </c>
    </row>
    <row r="24" spans="1:10" x14ac:dyDescent="0.25">
      <c r="A24" s="26">
        <v>81</v>
      </c>
      <c r="B24" s="26">
        <v>1</v>
      </c>
      <c r="C24" s="25" t="s">
        <v>161</v>
      </c>
      <c r="D24" s="27">
        <v>162</v>
      </c>
      <c r="E24" s="27">
        <v>13534</v>
      </c>
      <c r="F24" s="27">
        <v>6064</v>
      </c>
      <c r="G24" s="27">
        <v>68836</v>
      </c>
      <c r="H24" s="27">
        <v>30840</v>
      </c>
      <c r="I24" s="27">
        <v>211266</v>
      </c>
      <c r="J24" s="27">
        <v>111272</v>
      </c>
    </row>
    <row r="25" spans="1:10" x14ac:dyDescent="0.25">
      <c r="A25" s="26">
        <v>84</v>
      </c>
      <c r="B25" s="26">
        <v>1</v>
      </c>
      <c r="C25" s="25" t="s">
        <v>162</v>
      </c>
      <c r="D25" s="27">
        <v>596</v>
      </c>
      <c r="E25" s="27">
        <v>85832</v>
      </c>
      <c r="F25" s="27">
        <v>69879</v>
      </c>
      <c r="G25" s="27">
        <v>252725</v>
      </c>
      <c r="H25" s="27">
        <v>205753</v>
      </c>
      <c r="I25" s="27">
        <v>178815</v>
      </c>
      <c r="J25" s="27">
        <v>84370</v>
      </c>
    </row>
    <row r="26" spans="1:10" x14ac:dyDescent="0.25">
      <c r="A26" s="26">
        <v>85</v>
      </c>
      <c r="B26" s="26">
        <v>1</v>
      </c>
      <c r="C26" s="25" t="s">
        <v>163</v>
      </c>
      <c r="D26" s="27">
        <v>601</v>
      </c>
      <c r="E26" s="27">
        <v>86587</v>
      </c>
      <c r="F26" s="27">
        <v>42222</v>
      </c>
      <c r="G26" s="27">
        <v>254951</v>
      </c>
      <c r="H26" s="27">
        <v>124321</v>
      </c>
      <c r="I26" s="27">
        <v>180390</v>
      </c>
      <c r="J26" s="27">
        <v>50979</v>
      </c>
    </row>
    <row r="27" spans="1:10" x14ac:dyDescent="0.25">
      <c r="A27" s="26">
        <v>88</v>
      </c>
      <c r="B27" s="26">
        <v>1</v>
      </c>
      <c r="C27" s="25" t="s">
        <v>164</v>
      </c>
      <c r="D27" s="27">
        <v>2169</v>
      </c>
      <c r="E27" s="27">
        <v>211267</v>
      </c>
      <c r="F27" s="27">
        <v>211116</v>
      </c>
      <c r="G27" s="27">
        <v>919571</v>
      </c>
      <c r="H27" s="27">
        <v>918912</v>
      </c>
      <c r="I27" s="27">
        <v>2319033</v>
      </c>
      <c r="J27" s="27">
        <v>2044483</v>
      </c>
    </row>
    <row r="28" spans="1:10" x14ac:dyDescent="0.25">
      <c r="A28" s="26">
        <v>91</v>
      </c>
      <c r="B28" s="26">
        <v>1</v>
      </c>
      <c r="C28" s="25" t="s">
        <v>165</v>
      </c>
      <c r="D28" s="27">
        <v>877</v>
      </c>
      <c r="E28" s="27">
        <v>126259</v>
      </c>
      <c r="F28" s="27">
        <v>67941</v>
      </c>
      <c r="G28" s="27">
        <v>371763</v>
      </c>
      <c r="H28" s="27">
        <v>200047</v>
      </c>
      <c r="I28" s="27">
        <v>263040</v>
      </c>
      <c r="J28" s="27">
        <v>82031</v>
      </c>
    </row>
    <row r="29" spans="1:10" x14ac:dyDescent="0.25">
      <c r="A29" s="26">
        <v>93</v>
      </c>
      <c r="B29" s="26">
        <v>1</v>
      </c>
      <c r="C29" s="25" t="s">
        <v>166</v>
      </c>
      <c r="D29" s="27">
        <v>479</v>
      </c>
      <c r="E29" s="27">
        <v>42121</v>
      </c>
      <c r="F29" s="27">
        <v>37584</v>
      </c>
      <c r="G29" s="27">
        <v>203181</v>
      </c>
      <c r="H29" s="27">
        <v>181295</v>
      </c>
      <c r="I29" s="27">
        <v>587667</v>
      </c>
      <c r="J29" s="27">
        <v>494504</v>
      </c>
    </row>
    <row r="30" spans="1:10" x14ac:dyDescent="0.25">
      <c r="A30" s="26">
        <v>94</v>
      </c>
      <c r="B30" s="26">
        <v>1</v>
      </c>
      <c r="C30" s="25" t="s">
        <v>167</v>
      </c>
      <c r="D30" s="27">
        <v>2887</v>
      </c>
      <c r="E30" s="27">
        <v>415757</v>
      </c>
      <c r="F30" s="27">
        <v>265051</v>
      </c>
      <c r="G30" s="27">
        <v>1224173</v>
      </c>
      <c r="H30" s="27">
        <v>780427</v>
      </c>
      <c r="I30" s="27">
        <v>866160</v>
      </c>
      <c r="J30" s="27">
        <v>320018</v>
      </c>
    </row>
    <row r="31" spans="1:10" x14ac:dyDescent="0.25">
      <c r="A31" s="26">
        <v>95</v>
      </c>
      <c r="B31" s="26">
        <v>1</v>
      </c>
      <c r="C31" s="25" t="s">
        <v>168</v>
      </c>
      <c r="D31" s="27">
        <v>349</v>
      </c>
      <c r="E31" s="27">
        <v>50256</v>
      </c>
      <c r="F31" s="27">
        <v>36993</v>
      </c>
      <c r="G31" s="27">
        <v>147976</v>
      </c>
      <c r="H31" s="27">
        <v>108924</v>
      </c>
      <c r="I31" s="27">
        <v>104700</v>
      </c>
      <c r="J31" s="27">
        <v>44665</v>
      </c>
    </row>
    <row r="32" spans="1:10" x14ac:dyDescent="0.25">
      <c r="A32" s="26">
        <v>97</v>
      </c>
      <c r="B32" s="26">
        <v>1</v>
      </c>
      <c r="C32" s="25" t="s">
        <v>169</v>
      </c>
      <c r="D32" s="27">
        <v>689</v>
      </c>
      <c r="E32" s="27">
        <v>99158</v>
      </c>
      <c r="F32" s="27">
        <v>78495</v>
      </c>
      <c r="G32" s="27">
        <v>291966</v>
      </c>
      <c r="H32" s="27">
        <v>231126</v>
      </c>
      <c r="I32" s="27">
        <v>206580</v>
      </c>
      <c r="J32" s="27">
        <v>94775</v>
      </c>
    </row>
    <row r="33" spans="1:10" x14ac:dyDescent="0.25">
      <c r="A33" s="26">
        <v>99</v>
      </c>
      <c r="B33" s="26">
        <v>1</v>
      </c>
      <c r="C33" s="25" t="s">
        <v>170</v>
      </c>
      <c r="D33" s="27">
        <v>1309</v>
      </c>
      <c r="E33" s="27">
        <v>188467</v>
      </c>
      <c r="F33" s="27">
        <v>127863</v>
      </c>
      <c r="G33" s="27">
        <v>554931</v>
      </c>
      <c r="H33" s="27">
        <v>376487</v>
      </c>
      <c r="I33" s="27">
        <v>392640</v>
      </c>
      <c r="J33" s="27">
        <v>154381</v>
      </c>
    </row>
    <row r="34" spans="1:10" x14ac:dyDescent="0.25">
      <c r="A34" s="26">
        <v>100</v>
      </c>
      <c r="B34" s="26">
        <v>1</v>
      </c>
      <c r="C34" s="25" t="s">
        <v>171</v>
      </c>
      <c r="D34" s="27">
        <v>326</v>
      </c>
      <c r="E34" s="27">
        <v>46886</v>
      </c>
      <c r="F34" s="27">
        <v>46886</v>
      </c>
      <c r="G34" s="27">
        <v>138054</v>
      </c>
      <c r="H34" s="27">
        <v>138054</v>
      </c>
      <c r="I34" s="27">
        <v>97680</v>
      </c>
      <c r="J34" s="27">
        <v>73410</v>
      </c>
    </row>
    <row r="35" spans="1:10" x14ac:dyDescent="0.25">
      <c r="A35" s="26">
        <v>108</v>
      </c>
      <c r="B35" s="26">
        <v>1</v>
      </c>
      <c r="C35" s="25" t="s">
        <v>172</v>
      </c>
      <c r="D35" s="27">
        <v>1113</v>
      </c>
      <c r="E35" s="27">
        <v>186428</v>
      </c>
      <c r="F35" s="27">
        <v>149836</v>
      </c>
      <c r="G35" s="27">
        <v>471912</v>
      </c>
      <c r="H35" s="27">
        <v>379287</v>
      </c>
      <c r="I35" s="27">
        <v>333900</v>
      </c>
      <c r="J35" s="27">
        <v>155529</v>
      </c>
    </row>
    <row r="36" spans="1:10" x14ac:dyDescent="0.25">
      <c r="A36" s="26">
        <v>110</v>
      </c>
      <c r="B36" s="26">
        <v>1</v>
      </c>
      <c r="C36" s="25" t="s">
        <v>173</v>
      </c>
      <c r="D36" s="27">
        <v>4173</v>
      </c>
      <c r="E36" s="27">
        <v>695111</v>
      </c>
      <c r="F36" s="27">
        <v>563675</v>
      </c>
      <c r="G36" s="27">
        <v>1769140</v>
      </c>
      <c r="H36" s="27">
        <v>1434620</v>
      </c>
      <c r="I36" s="27">
        <v>1301027</v>
      </c>
      <c r="J36" s="27">
        <v>628233</v>
      </c>
    </row>
    <row r="37" spans="1:10" x14ac:dyDescent="0.25">
      <c r="A37" s="26">
        <v>111</v>
      </c>
      <c r="B37" s="26">
        <v>1</v>
      </c>
      <c r="C37" s="25" t="s">
        <v>174</v>
      </c>
      <c r="D37" s="27">
        <v>1853</v>
      </c>
      <c r="E37" s="27">
        <v>308959</v>
      </c>
      <c r="F37" s="27">
        <v>240244</v>
      </c>
      <c r="G37" s="27">
        <v>785672</v>
      </c>
      <c r="H37" s="27">
        <v>610932</v>
      </c>
      <c r="I37" s="27">
        <v>574374</v>
      </c>
      <c r="J37" s="27">
        <v>264881</v>
      </c>
    </row>
    <row r="38" spans="1:10" x14ac:dyDescent="0.25">
      <c r="A38" s="26">
        <v>112</v>
      </c>
      <c r="B38" s="26">
        <v>1</v>
      </c>
      <c r="C38" s="25" t="s">
        <v>175</v>
      </c>
      <c r="D38" s="27">
        <v>10033</v>
      </c>
      <c r="E38" s="27">
        <v>1275834</v>
      </c>
      <c r="F38" s="27">
        <v>1260515</v>
      </c>
      <c r="G38" s="27">
        <v>4253928</v>
      </c>
      <c r="H38" s="27">
        <v>4202851</v>
      </c>
      <c r="I38" s="27">
        <v>8281516</v>
      </c>
      <c r="J38" s="27">
        <v>6939650</v>
      </c>
    </row>
    <row r="39" spans="1:10" x14ac:dyDescent="0.25">
      <c r="A39" s="26">
        <v>113</v>
      </c>
      <c r="B39" s="26">
        <v>1</v>
      </c>
      <c r="C39" s="25" t="s">
        <v>176</v>
      </c>
      <c r="D39" s="27">
        <v>841</v>
      </c>
      <c r="E39" s="27">
        <v>121162</v>
      </c>
      <c r="F39" s="27">
        <v>121162</v>
      </c>
      <c r="G39" s="27">
        <v>356754</v>
      </c>
      <c r="H39" s="27">
        <v>356754</v>
      </c>
      <c r="I39" s="27">
        <v>252420</v>
      </c>
      <c r="J39" s="27">
        <v>232302</v>
      </c>
    </row>
    <row r="40" spans="1:10" x14ac:dyDescent="0.25">
      <c r="A40" s="26">
        <v>115</v>
      </c>
      <c r="B40" s="26">
        <v>1</v>
      </c>
      <c r="C40" s="25" t="s">
        <v>177</v>
      </c>
      <c r="D40" s="27">
        <v>1215</v>
      </c>
      <c r="E40" s="27">
        <v>174982</v>
      </c>
      <c r="F40" s="27">
        <v>123678</v>
      </c>
      <c r="G40" s="27">
        <v>515224</v>
      </c>
      <c r="H40" s="27">
        <v>364162</v>
      </c>
      <c r="I40" s="27">
        <v>364545</v>
      </c>
      <c r="J40" s="27">
        <v>149327</v>
      </c>
    </row>
    <row r="41" spans="1:10" x14ac:dyDescent="0.25">
      <c r="A41" s="26">
        <v>116</v>
      </c>
      <c r="B41" s="26">
        <v>1</v>
      </c>
      <c r="C41" s="25" t="s">
        <v>178</v>
      </c>
      <c r="D41" s="27">
        <v>1073</v>
      </c>
      <c r="E41" s="27">
        <v>154512</v>
      </c>
      <c r="F41" s="27">
        <v>131954</v>
      </c>
      <c r="G41" s="27">
        <v>454952</v>
      </c>
      <c r="H41" s="27">
        <v>388530</v>
      </c>
      <c r="I41" s="27">
        <v>321900</v>
      </c>
      <c r="J41" s="27">
        <v>159319</v>
      </c>
    </row>
    <row r="42" spans="1:10" x14ac:dyDescent="0.25">
      <c r="A42" s="26">
        <v>118</v>
      </c>
      <c r="B42" s="26">
        <v>1</v>
      </c>
      <c r="C42" s="25" t="s">
        <v>179</v>
      </c>
      <c r="D42" s="27">
        <v>336</v>
      </c>
      <c r="E42" s="27">
        <v>47186</v>
      </c>
      <c r="F42" s="27">
        <v>47186</v>
      </c>
      <c r="G42" s="27">
        <v>142485</v>
      </c>
      <c r="H42" s="27">
        <v>142485</v>
      </c>
      <c r="I42" s="27">
        <v>120729</v>
      </c>
      <c r="J42" s="27">
        <v>120729</v>
      </c>
    </row>
    <row r="43" spans="1:10" x14ac:dyDescent="0.25">
      <c r="A43" s="26">
        <v>129</v>
      </c>
      <c r="B43" s="26">
        <v>1</v>
      </c>
      <c r="C43" s="25" t="s">
        <v>180</v>
      </c>
      <c r="D43" s="27">
        <v>1501</v>
      </c>
      <c r="E43" s="27">
        <v>198904</v>
      </c>
      <c r="F43" s="27">
        <v>97977</v>
      </c>
      <c r="G43" s="27">
        <v>636466</v>
      </c>
      <c r="H43" s="27">
        <v>313513</v>
      </c>
      <c r="I43" s="27">
        <v>735239</v>
      </c>
      <c r="J43" s="27">
        <v>268900</v>
      </c>
    </row>
    <row r="44" spans="1:10" x14ac:dyDescent="0.25">
      <c r="A44" s="26">
        <v>138</v>
      </c>
      <c r="B44" s="26">
        <v>1</v>
      </c>
      <c r="C44" s="25" t="s">
        <v>181</v>
      </c>
      <c r="D44" s="27">
        <v>3045</v>
      </c>
      <c r="E44" s="27">
        <v>438437</v>
      </c>
      <c r="F44" s="27">
        <v>304974</v>
      </c>
      <c r="G44" s="27">
        <v>1290953</v>
      </c>
      <c r="H44" s="27">
        <v>897980</v>
      </c>
      <c r="I44" s="27">
        <v>913410</v>
      </c>
      <c r="J44" s="27">
        <v>368222</v>
      </c>
    </row>
    <row r="45" spans="1:10" x14ac:dyDescent="0.25">
      <c r="A45" s="26">
        <v>139</v>
      </c>
      <c r="B45" s="26">
        <v>1</v>
      </c>
      <c r="C45" s="25" t="s">
        <v>182</v>
      </c>
      <c r="D45" s="27">
        <v>997</v>
      </c>
      <c r="E45" s="27">
        <v>143539</v>
      </c>
      <c r="F45" s="27">
        <v>96422</v>
      </c>
      <c r="G45" s="27">
        <v>422643</v>
      </c>
      <c r="H45" s="27">
        <v>283910</v>
      </c>
      <c r="I45" s="27">
        <v>299040</v>
      </c>
      <c r="J45" s="27">
        <v>116419</v>
      </c>
    </row>
    <row r="46" spans="1:10" x14ac:dyDescent="0.25">
      <c r="A46" s="26">
        <v>146</v>
      </c>
      <c r="B46" s="26">
        <v>1</v>
      </c>
      <c r="C46" s="25" t="s">
        <v>183</v>
      </c>
      <c r="D46" s="27">
        <v>912</v>
      </c>
      <c r="E46" s="27">
        <v>115199</v>
      </c>
      <c r="F46" s="27">
        <v>62969</v>
      </c>
      <c r="G46" s="27">
        <v>386561</v>
      </c>
      <c r="H46" s="27">
        <v>211299</v>
      </c>
      <c r="I46" s="27">
        <v>539125</v>
      </c>
      <c r="J46" s="27">
        <v>231832</v>
      </c>
    </row>
    <row r="47" spans="1:10" x14ac:dyDescent="0.25">
      <c r="A47" s="26">
        <v>150</v>
      </c>
      <c r="B47" s="26">
        <v>1</v>
      </c>
      <c r="C47" s="25" t="s">
        <v>184</v>
      </c>
      <c r="D47" s="27">
        <v>970</v>
      </c>
      <c r="E47" s="27">
        <v>139680</v>
      </c>
      <c r="F47" s="27">
        <v>79168</v>
      </c>
      <c r="G47" s="27">
        <v>411280</v>
      </c>
      <c r="H47" s="27">
        <v>233107</v>
      </c>
      <c r="I47" s="27">
        <v>291000</v>
      </c>
      <c r="J47" s="27">
        <v>95587</v>
      </c>
    </row>
    <row r="48" spans="1:10" x14ac:dyDescent="0.25">
      <c r="A48" s="26">
        <v>152</v>
      </c>
      <c r="B48" s="26">
        <v>1</v>
      </c>
      <c r="C48" s="25" t="s">
        <v>185</v>
      </c>
      <c r="D48" s="27">
        <v>6224</v>
      </c>
      <c r="E48" s="27">
        <v>811257</v>
      </c>
      <c r="F48" s="27">
        <v>614388</v>
      </c>
      <c r="G48" s="27">
        <v>2638997</v>
      </c>
      <c r="H48" s="27">
        <v>1998586</v>
      </c>
      <c r="I48" s="27">
        <v>3270863</v>
      </c>
      <c r="J48" s="27">
        <v>1882554</v>
      </c>
    </row>
    <row r="49" spans="1:10" x14ac:dyDescent="0.25">
      <c r="A49" s="26">
        <v>160</v>
      </c>
      <c r="B49" s="26">
        <v>70</v>
      </c>
      <c r="C49" s="25" t="s">
        <v>4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</row>
    <row r="50" spans="1:10" x14ac:dyDescent="0.25">
      <c r="A50" s="26">
        <v>160</v>
      </c>
      <c r="B50" s="26">
        <v>90</v>
      </c>
      <c r="C50" s="25" t="s">
        <v>466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</row>
    <row r="51" spans="1:10" x14ac:dyDescent="0.25">
      <c r="A51" s="26">
        <v>162</v>
      </c>
      <c r="B51" s="26">
        <v>1</v>
      </c>
      <c r="C51" s="25" t="s">
        <v>186</v>
      </c>
      <c r="D51" s="27">
        <v>1049</v>
      </c>
      <c r="E51" s="27">
        <v>151093</v>
      </c>
      <c r="F51" s="27">
        <v>76930</v>
      </c>
      <c r="G51" s="27">
        <v>444882</v>
      </c>
      <c r="H51" s="27">
        <v>226514</v>
      </c>
      <c r="I51" s="27">
        <v>314775</v>
      </c>
      <c r="J51" s="27">
        <v>92883</v>
      </c>
    </row>
    <row r="52" spans="1:10" x14ac:dyDescent="0.25">
      <c r="A52" s="26">
        <v>166</v>
      </c>
      <c r="B52" s="26">
        <v>1</v>
      </c>
      <c r="C52" s="25" t="s">
        <v>187</v>
      </c>
      <c r="D52" s="27">
        <v>495</v>
      </c>
      <c r="E52" s="27">
        <v>67225</v>
      </c>
      <c r="F52" s="27">
        <v>67225</v>
      </c>
      <c r="G52" s="27">
        <v>210050</v>
      </c>
      <c r="H52" s="27">
        <v>210050</v>
      </c>
      <c r="I52" s="27">
        <v>216520</v>
      </c>
      <c r="J52" s="27">
        <v>216520</v>
      </c>
    </row>
    <row r="53" spans="1:10" x14ac:dyDescent="0.25">
      <c r="A53" s="26">
        <v>173</v>
      </c>
      <c r="B53" s="26">
        <v>1</v>
      </c>
      <c r="C53" s="25" t="s">
        <v>188</v>
      </c>
      <c r="D53" s="27">
        <v>528</v>
      </c>
      <c r="E53" s="27">
        <v>43364</v>
      </c>
      <c r="F53" s="27">
        <v>17693</v>
      </c>
      <c r="G53" s="27">
        <v>223787</v>
      </c>
      <c r="H53" s="27">
        <v>91306</v>
      </c>
      <c r="I53" s="27">
        <v>697287</v>
      </c>
      <c r="J53" s="27">
        <v>349002</v>
      </c>
    </row>
    <row r="54" spans="1:10" x14ac:dyDescent="0.25">
      <c r="A54" s="26">
        <v>177</v>
      </c>
      <c r="B54" s="26">
        <v>1</v>
      </c>
      <c r="C54" s="25" t="s">
        <v>189</v>
      </c>
      <c r="D54" s="27">
        <v>1112</v>
      </c>
      <c r="E54" s="27">
        <v>122238</v>
      </c>
      <c r="F54" s="27">
        <v>74526</v>
      </c>
      <c r="G54" s="27">
        <v>471403</v>
      </c>
      <c r="H54" s="27">
        <v>287403</v>
      </c>
      <c r="I54" s="27">
        <v>958705</v>
      </c>
      <c r="J54" s="27">
        <v>543393</v>
      </c>
    </row>
    <row r="55" spans="1:10" x14ac:dyDescent="0.25">
      <c r="A55" s="26">
        <v>181</v>
      </c>
      <c r="B55" s="26">
        <v>1</v>
      </c>
      <c r="C55" s="25" t="s">
        <v>190</v>
      </c>
      <c r="D55" s="27">
        <v>6773</v>
      </c>
      <c r="E55" s="27">
        <v>975370</v>
      </c>
      <c r="F55" s="27">
        <v>946135</v>
      </c>
      <c r="G55" s="27">
        <v>2871922</v>
      </c>
      <c r="H55" s="27">
        <v>2785842</v>
      </c>
      <c r="I55" s="27">
        <v>2032020</v>
      </c>
      <c r="J55" s="27">
        <v>1142350</v>
      </c>
    </row>
    <row r="56" spans="1:10" x14ac:dyDescent="0.25">
      <c r="A56" s="26">
        <v>182</v>
      </c>
      <c r="B56" s="26">
        <v>1</v>
      </c>
      <c r="C56" s="25" t="s">
        <v>191</v>
      </c>
      <c r="D56" s="27">
        <v>1204</v>
      </c>
      <c r="E56" s="27">
        <v>173318</v>
      </c>
      <c r="F56" s="27">
        <v>173318</v>
      </c>
      <c r="G56" s="27">
        <v>510326</v>
      </c>
      <c r="H56" s="27">
        <v>510326</v>
      </c>
      <c r="I56" s="27">
        <v>361080</v>
      </c>
      <c r="J56" s="27">
        <v>248867</v>
      </c>
    </row>
    <row r="57" spans="1:10" x14ac:dyDescent="0.25">
      <c r="A57" s="26">
        <v>186</v>
      </c>
      <c r="B57" s="26">
        <v>1</v>
      </c>
      <c r="C57" s="25" t="s">
        <v>192</v>
      </c>
      <c r="D57" s="27">
        <v>1766</v>
      </c>
      <c r="E57" s="27">
        <v>254333</v>
      </c>
      <c r="F57" s="27">
        <v>254333</v>
      </c>
      <c r="G57" s="27">
        <v>748869</v>
      </c>
      <c r="H57" s="27">
        <v>748869</v>
      </c>
      <c r="I57" s="27">
        <v>529860</v>
      </c>
      <c r="J57" s="27">
        <v>422909</v>
      </c>
    </row>
    <row r="58" spans="1:10" x14ac:dyDescent="0.25">
      <c r="A58" s="26">
        <v>191</v>
      </c>
      <c r="B58" s="26">
        <v>1</v>
      </c>
      <c r="C58" s="25" t="s">
        <v>193</v>
      </c>
      <c r="D58" s="27">
        <v>10337</v>
      </c>
      <c r="E58" s="27">
        <v>969093</v>
      </c>
      <c r="F58" s="27">
        <v>960711</v>
      </c>
      <c r="G58" s="27">
        <v>4382888</v>
      </c>
      <c r="H58" s="27">
        <v>4344981</v>
      </c>
      <c r="I58" s="27">
        <v>13032373</v>
      </c>
      <c r="J58" s="27">
        <v>11671832</v>
      </c>
    </row>
    <row r="59" spans="1:10" x14ac:dyDescent="0.25">
      <c r="A59" s="26">
        <v>192</v>
      </c>
      <c r="B59" s="26">
        <v>1</v>
      </c>
      <c r="C59" s="25" t="s">
        <v>194</v>
      </c>
      <c r="D59" s="27">
        <v>7149</v>
      </c>
      <c r="E59" s="27">
        <v>1190533</v>
      </c>
      <c r="F59" s="27">
        <v>707441</v>
      </c>
      <c r="G59" s="27">
        <v>3031346</v>
      </c>
      <c r="H59" s="27">
        <v>1801294</v>
      </c>
      <c r="I59" s="27">
        <v>2235903</v>
      </c>
      <c r="J59" s="27">
        <v>792755</v>
      </c>
    </row>
    <row r="60" spans="1:10" x14ac:dyDescent="0.25">
      <c r="A60" s="26">
        <v>194</v>
      </c>
      <c r="B60" s="26">
        <v>1</v>
      </c>
      <c r="C60" s="25" t="s">
        <v>195</v>
      </c>
      <c r="D60" s="27">
        <v>11382</v>
      </c>
      <c r="E60" s="27">
        <v>1208380</v>
      </c>
      <c r="F60" s="27">
        <v>1113583</v>
      </c>
      <c r="G60" s="27">
        <v>4826053</v>
      </c>
      <c r="H60" s="27">
        <v>4447453</v>
      </c>
      <c r="I60" s="27">
        <v>12509379</v>
      </c>
      <c r="J60" s="27">
        <v>10507676</v>
      </c>
    </row>
    <row r="61" spans="1:10" x14ac:dyDescent="0.25">
      <c r="A61" s="26">
        <v>195</v>
      </c>
      <c r="B61" s="26">
        <v>1</v>
      </c>
      <c r="C61" s="25" t="s">
        <v>196</v>
      </c>
      <c r="D61" s="27">
        <v>651</v>
      </c>
      <c r="E61" s="27">
        <v>109076</v>
      </c>
      <c r="F61" s="27">
        <v>109076</v>
      </c>
      <c r="G61" s="27">
        <v>276109</v>
      </c>
      <c r="H61" s="27">
        <v>276109</v>
      </c>
      <c r="I61" s="27">
        <v>195360</v>
      </c>
      <c r="J61" s="27">
        <v>68966</v>
      </c>
    </row>
    <row r="62" spans="1:10" x14ac:dyDescent="0.25">
      <c r="A62" s="26">
        <v>196</v>
      </c>
      <c r="B62" s="26">
        <v>1</v>
      </c>
      <c r="C62" s="25" t="s">
        <v>197</v>
      </c>
      <c r="D62" s="27">
        <v>29138</v>
      </c>
      <c r="E62" s="27">
        <v>3160820</v>
      </c>
      <c r="F62" s="27">
        <v>2816235</v>
      </c>
      <c r="G62" s="27">
        <v>12354682</v>
      </c>
      <c r="H62" s="27">
        <v>11007805</v>
      </c>
      <c r="I62" s="27">
        <v>31146327</v>
      </c>
      <c r="J62" s="27">
        <v>25457387</v>
      </c>
    </row>
    <row r="63" spans="1:10" x14ac:dyDescent="0.25">
      <c r="A63" s="26">
        <v>197</v>
      </c>
      <c r="B63" s="26">
        <v>1</v>
      </c>
      <c r="C63" s="25" t="s">
        <v>198</v>
      </c>
      <c r="D63" s="27">
        <v>5165</v>
      </c>
      <c r="E63" s="27">
        <v>443384</v>
      </c>
      <c r="F63" s="27">
        <v>443384</v>
      </c>
      <c r="G63" s="27">
        <v>2190130</v>
      </c>
      <c r="H63" s="27">
        <v>2190130</v>
      </c>
      <c r="I63" s="27">
        <v>7044727</v>
      </c>
      <c r="J63" s="27">
        <v>7043675</v>
      </c>
    </row>
    <row r="64" spans="1:10" x14ac:dyDescent="0.25">
      <c r="A64" s="26">
        <v>199</v>
      </c>
      <c r="B64" s="26">
        <v>1</v>
      </c>
      <c r="C64" s="25" t="s">
        <v>199</v>
      </c>
      <c r="D64" s="27">
        <v>4200</v>
      </c>
      <c r="E64" s="27">
        <v>618418</v>
      </c>
      <c r="F64" s="27">
        <v>617040</v>
      </c>
      <c r="G64" s="27">
        <v>1780885</v>
      </c>
      <c r="H64" s="27">
        <v>1776918</v>
      </c>
      <c r="I64" s="27">
        <v>2368871</v>
      </c>
      <c r="J64" s="27">
        <v>1834977</v>
      </c>
    </row>
    <row r="65" spans="1:10" x14ac:dyDescent="0.25">
      <c r="A65" s="26">
        <v>200</v>
      </c>
      <c r="B65" s="26">
        <v>1</v>
      </c>
      <c r="C65" s="25" t="s">
        <v>200</v>
      </c>
      <c r="D65" s="27">
        <v>4896</v>
      </c>
      <c r="E65" s="27">
        <v>468940</v>
      </c>
      <c r="F65" s="27">
        <v>426879</v>
      </c>
      <c r="G65" s="27">
        <v>2075904</v>
      </c>
      <c r="H65" s="27">
        <v>1889707</v>
      </c>
      <c r="I65" s="27">
        <v>6043133</v>
      </c>
      <c r="J65" s="27">
        <v>5147212</v>
      </c>
    </row>
    <row r="66" spans="1:10" x14ac:dyDescent="0.25">
      <c r="A66" s="26">
        <v>203</v>
      </c>
      <c r="B66" s="26">
        <v>1</v>
      </c>
      <c r="C66" s="25" t="s">
        <v>201</v>
      </c>
      <c r="D66" s="27">
        <v>798</v>
      </c>
      <c r="E66" s="27">
        <v>98350</v>
      </c>
      <c r="F66" s="27">
        <v>59317</v>
      </c>
      <c r="G66" s="27">
        <v>338288</v>
      </c>
      <c r="H66" s="27">
        <v>204028</v>
      </c>
      <c r="I66" s="27">
        <v>512475</v>
      </c>
      <c r="J66" s="27">
        <v>248387</v>
      </c>
    </row>
    <row r="67" spans="1:10" x14ac:dyDescent="0.25">
      <c r="A67" s="26">
        <v>204</v>
      </c>
      <c r="B67" s="26">
        <v>1</v>
      </c>
      <c r="C67" s="25" t="s">
        <v>202</v>
      </c>
      <c r="D67" s="27">
        <v>2270</v>
      </c>
      <c r="E67" s="27">
        <v>326909</v>
      </c>
      <c r="F67" s="27">
        <v>171628</v>
      </c>
      <c r="G67" s="27">
        <v>962565</v>
      </c>
      <c r="H67" s="27">
        <v>505349</v>
      </c>
      <c r="I67" s="27">
        <v>681060</v>
      </c>
      <c r="J67" s="27">
        <v>207221</v>
      </c>
    </row>
    <row r="68" spans="1:10" x14ac:dyDescent="0.25">
      <c r="A68" s="26">
        <v>206</v>
      </c>
      <c r="B68" s="26">
        <v>1</v>
      </c>
      <c r="C68" s="25" t="s">
        <v>203</v>
      </c>
      <c r="D68" s="27">
        <v>4192</v>
      </c>
      <c r="E68" s="27">
        <v>603613</v>
      </c>
      <c r="F68" s="27">
        <v>603613</v>
      </c>
      <c r="G68" s="27">
        <v>1777302</v>
      </c>
      <c r="H68" s="27">
        <v>1777302</v>
      </c>
      <c r="I68" s="27">
        <v>1257525</v>
      </c>
      <c r="J68" s="27">
        <v>871552</v>
      </c>
    </row>
    <row r="69" spans="1:10" x14ac:dyDescent="0.25">
      <c r="A69" s="26">
        <v>213</v>
      </c>
      <c r="B69" s="26">
        <v>1</v>
      </c>
      <c r="C69" s="25" t="s">
        <v>204</v>
      </c>
      <c r="D69" s="27">
        <v>927</v>
      </c>
      <c r="E69" s="27">
        <v>133430</v>
      </c>
      <c r="F69" s="27">
        <v>75037</v>
      </c>
      <c r="G69" s="27">
        <v>392878</v>
      </c>
      <c r="H69" s="27">
        <v>220944</v>
      </c>
      <c r="I69" s="27">
        <v>277980</v>
      </c>
      <c r="J69" s="27">
        <v>90599</v>
      </c>
    </row>
    <row r="70" spans="1:10" x14ac:dyDescent="0.25">
      <c r="A70" s="26">
        <v>227</v>
      </c>
      <c r="B70" s="26">
        <v>1</v>
      </c>
      <c r="C70" s="25" t="s">
        <v>205</v>
      </c>
      <c r="D70" s="27">
        <v>994</v>
      </c>
      <c r="E70" s="27">
        <v>143194</v>
      </c>
      <c r="F70" s="27">
        <v>94430</v>
      </c>
      <c r="G70" s="27">
        <v>421626</v>
      </c>
      <c r="H70" s="27">
        <v>278042</v>
      </c>
      <c r="I70" s="27">
        <v>298320</v>
      </c>
      <c r="J70" s="27">
        <v>114013</v>
      </c>
    </row>
    <row r="71" spans="1:10" x14ac:dyDescent="0.25">
      <c r="A71" s="26">
        <v>229</v>
      </c>
      <c r="B71" s="26">
        <v>1</v>
      </c>
      <c r="C71" s="25" t="s">
        <v>206</v>
      </c>
      <c r="D71" s="27">
        <v>342</v>
      </c>
      <c r="E71" s="27">
        <v>49248</v>
      </c>
      <c r="F71" s="27">
        <v>49248</v>
      </c>
      <c r="G71" s="27">
        <v>145008</v>
      </c>
      <c r="H71" s="27">
        <v>145008</v>
      </c>
      <c r="I71" s="27">
        <v>102600</v>
      </c>
      <c r="J71" s="27">
        <v>57812</v>
      </c>
    </row>
    <row r="72" spans="1:10" x14ac:dyDescent="0.25">
      <c r="A72" s="26">
        <v>238</v>
      </c>
      <c r="B72" s="26">
        <v>1</v>
      </c>
      <c r="C72" s="25" t="s">
        <v>207</v>
      </c>
      <c r="D72" s="27">
        <v>258</v>
      </c>
      <c r="E72" s="27">
        <v>24834</v>
      </c>
      <c r="F72" s="27">
        <v>14639</v>
      </c>
      <c r="G72" s="27">
        <v>109477</v>
      </c>
      <c r="H72" s="27">
        <v>64534</v>
      </c>
      <c r="I72" s="27">
        <v>281340</v>
      </c>
      <c r="J72" s="27">
        <v>181583</v>
      </c>
    </row>
    <row r="73" spans="1:10" x14ac:dyDescent="0.25">
      <c r="A73" s="26">
        <v>239</v>
      </c>
      <c r="B73" s="26">
        <v>1</v>
      </c>
      <c r="C73" s="25" t="s">
        <v>208</v>
      </c>
      <c r="D73" s="27">
        <v>731</v>
      </c>
      <c r="E73" s="27">
        <v>90175</v>
      </c>
      <c r="F73" s="27">
        <v>55704</v>
      </c>
      <c r="G73" s="27">
        <v>309859</v>
      </c>
      <c r="H73" s="27">
        <v>191409</v>
      </c>
      <c r="I73" s="27">
        <v>467924</v>
      </c>
      <c r="J73" s="27">
        <v>232107</v>
      </c>
    </row>
    <row r="74" spans="1:10" x14ac:dyDescent="0.25">
      <c r="A74" s="26">
        <v>241</v>
      </c>
      <c r="B74" s="26">
        <v>1</v>
      </c>
      <c r="C74" s="25" t="s">
        <v>209</v>
      </c>
      <c r="D74" s="27">
        <v>3578</v>
      </c>
      <c r="E74" s="27">
        <v>414953</v>
      </c>
      <c r="F74" s="27">
        <v>261153</v>
      </c>
      <c r="G74" s="27">
        <v>1517072</v>
      </c>
      <c r="H74" s="27">
        <v>954780</v>
      </c>
      <c r="I74" s="27">
        <v>2729227</v>
      </c>
      <c r="J74" s="27">
        <v>1437306</v>
      </c>
    </row>
    <row r="75" spans="1:10" x14ac:dyDescent="0.25">
      <c r="A75" s="26">
        <v>242</v>
      </c>
      <c r="B75" s="26">
        <v>1</v>
      </c>
      <c r="C75" s="25" t="s">
        <v>210</v>
      </c>
      <c r="D75" s="27">
        <v>541</v>
      </c>
      <c r="E75" s="27">
        <v>71135</v>
      </c>
      <c r="F75" s="27">
        <v>40771</v>
      </c>
      <c r="G75" s="27">
        <v>229320</v>
      </c>
      <c r="H75" s="27">
        <v>131435</v>
      </c>
      <c r="I75" s="27">
        <v>273670</v>
      </c>
      <c r="J75" s="27">
        <v>117754</v>
      </c>
    </row>
    <row r="76" spans="1:10" x14ac:dyDescent="0.25">
      <c r="A76" s="26">
        <v>252</v>
      </c>
      <c r="B76" s="26">
        <v>1</v>
      </c>
      <c r="C76" s="25" t="s">
        <v>211</v>
      </c>
      <c r="D76" s="27">
        <v>1224</v>
      </c>
      <c r="E76" s="27">
        <v>176221</v>
      </c>
      <c r="F76" s="27">
        <v>176221</v>
      </c>
      <c r="G76" s="27">
        <v>518870</v>
      </c>
      <c r="H76" s="27">
        <v>518870</v>
      </c>
      <c r="I76" s="27">
        <v>367125</v>
      </c>
      <c r="J76" s="27">
        <v>221954</v>
      </c>
    </row>
    <row r="77" spans="1:10" x14ac:dyDescent="0.25">
      <c r="A77" s="26">
        <v>253</v>
      </c>
      <c r="B77" s="26">
        <v>1</v>
      </c>
      <c r="C77" s="25" t="s">
        <v>212</v>
      </c>
      <c r="D77" s="27">
        <v>708</v>
      </c>
      <c r="E77" s="27">
        <v>101981</v>
      </c>
      <c r="F77" s="27">
        <v>59111</v>
      </c>
      <c r="G77" s="27">
        <v>300277</v>
      </c>
      <c r="H77" s="27">
        <v>174050</v>
      </c>
      <c r="I77" s="27">
        <v>212460</v>
      </c>
      <c r="J77" s="27">
        <v>71370</v>
      </c>
    </row>
    <row r="78" spans="1:10" x14ac:dyDescent="0.25">
      <c r="A78" s="26">
        <v>255</v>
      </c>
      <c r="B78" s="26">
        <v>1</v>
      </c>
      <c r="C78" s="25" t="s">
        <v>213</v>
      </c>
      <c r="D78" s="27">
        <v>1363</v>
      </c>
      <c r="E78" s="27">
        <v>196214</v>
      </c>
      <c r="F78" s="27">
        <v>133904</v>
      </c>
      <c r="G78" s="27">
        <v>577742</v>
      </c>
      <c r="H78" s="27">
        <v>394273</v>
      </c>
      <c r="I78" s="27">
        <v>408780</v>
      </c>
      <c r="J78" s="27">
        <v>161674</v>
      </c>
    </row>
    <row r="79" spans="1:10" x14ac:dyDescent="0.25">
      <c r="A79" s="26">
        <v>256</v>
      </c>
      <c r="B79" s="26">
        <v>1</v>
      </c>
      <c r="C79" s="25" t="s">
        <v>214</v>
      </c>
      <c r="D79" s="27">
        <v>2995</v>
      </c>
      <c r="E79" s="27">
        <v>346987</v>
      </c>
      <c r="F79" s="27">
        <v>346987</v>
      </c>
      <c r="G79" s="27">
        <v>1270050</v>
      </c>
      <c r="H79" s="27">
        <v>1270050</v>
      </c>
      <c r="I79" s="27">
        <v>2291421</v>
      </c>
      <c r="J79" s="27">
        <v>2030313</v>
      </c>
    </row>
    <row r="80" spans="1:10" x14ac:dyDescent="0.25">
      <c r="A80" s="26">
        <v>261</v>
      </c>
      <c r="B80" s="26">
        <v>1</v>
      </c>
      <c r="C80" s="25" t="s">
        <v>215</v>
      </c>
      <c r="D80" s="27">
        <v>272</v>
      </c>
      <c r="E80" s="27">
        <v>29236</v>
      </c>
      <c r="F80" s="27">
        <v>21345</v>
      </c>
      <c r="G80" s="27">
        <v>115328</v>
      </c>
      <c r="H80" s="27">
        <v>84200</v>
      </c>
      <c r="I80" s="27">
        <v>245605</v>
      </c>
      <c r="J80" s="27">
        <v>164761</v>
      </c>
    </row>
    <row r="81" spans="1:10" x14ac:dyDescent="0.25">
      <c r="A81" s="26">
        <v>264</v>
      </c>
      <c r="B81" s="26">
        <v>1</v>
      </c>
      <c r="C81" s="25" t="s">
        <v>216</v>
      </c>
      <c r="D81" s="27">
        <v>119</v>
      </c>
      <c r="E81" s="27">
        <v>5943</v>
      </c>
      <c r="F81" s="27">
        <v>3322</v>
      </c>
      <c r="G81" s="27">
        <v>50392</v>
      </c>
      <c r="H81" s="27">
        <v>28172</v>
      </c>
      <c r="I81" s="27">
        <v>399115</v>
      </c>
      <c r="J81" s="27">
        <v>151783</v>
      </c>
    </row>
    <row r="82" spans="1:10" x14ac:dyDescent="0.25">
      <c r="A82" s="26">
        <v>270</v>
      </c>
      <c r="B82" s="26">
        <v>1</v>
      </c>
      <c r="C82" s="25" t="s">
        <v>217</v>
      </c>
      <c r="D82" s="27">
        <v>7432</v>
      </c>
      <c r="E82" s="27">
        <v>371590</v>
      </c>
      <c r="F82" s="27">
        <v>371590</v>
      </c>
      <c r="G82" s="27">
        <v>3151083</v>
      </c>
      <c r="H82" s="27">
        <v>3151083</v>
      </c>
      <c r="I82" s="27">
        <v>14129487</v>
      </c>
      <c r="J82" s="27">
        <v>14117237</v>
      </c>
    </row>
    <row r="83" spans="1:10" x14ac:dyDescent="0.25">
      <c r="A83" s="26">
        <v>271</v>
      </c>
      <c r="B83" s="26">
        <v>1</v>
      </c>
      <c r="C83" s="25" t="s">
        <v>218</v>
      </c>
      <c r="D83" s="27">
        <v>11158</v>
      </c>
      <c r="E83" s="27">
        <v>924608</v>
      </c>
      <c r="F83" s="27">
        <v>924608</v>
      </c>
      <c r="G83" s="27">
        <v>4730907</v>
      </c>
      <c r="H83" s="27">
        <v>4730907</v>
      </c>
      <c r="I83" s="27">
        <v>15649149</v>
      </c>
      <c r="J83" s="27">
        <v>15532133</v>
      </c>
    </row>
    <row r="84" spans="1:10" x14ac:dyDescent="0.25">
      <c r="A84" s="26">
        <v>272</v>
      </c>
      <c r="B84" s="26">
        <v>1</v>
      </c>
      <c r="C84" s="25" t="s">
        <v>219</v>
      </c>
      <c r="D84" s="27">
        <v>10035</v>
      </c>
      <c r="E84" s="27">
        <v>1232140</v>
      </c>
      <c r="F84" s="27">
        <v>1232140</v>
      </c>
      <c r="G84" s="27">
        <v>4255010</v>
      </c>
      <c r="H84" s="27">
        <v>4255010</v>
      </c>
      <c r="I84" s="27">
        <v>8857043</v>
      </c>
      <c r="J84" s="27">
        <v>8548776</v>
      </c>
    </row>
    <row r="85" spans="1:10" x14ac:dyDescent="0.25">
      <c r="A85" s="26">
        <v>273</v>
      </c>
      <c r="B85" s="26">
        <v>1</v>
      </c>
      <c r="C85" s="25" t="s">
        <v>220</v>
      </c>
      <c r="D85" s="27">
        <v>9421</v>
      </c>
      <c r="E85" s="27">
        <v>779106</v>
      </c>
      <c r="F85" s="27">
        <v>779106</v>
      </c>
      <c r="G85" s="27">
        <v>3994419</v>
      </c>
      <c r="H85" s="27">
        <v>3994419</v>
      </c>
      <c r="I85" s="27">
        <v>13233304</v>
      </c>
      <c r="J85" s="27">
        <v>13228832</v>
      </c>
    </row>
    <row r="86" spans="1:10" x14ac:dyDescent="0.25">
      <c r="A86" s="26">
        <v>276</v>
      </c>
      <c r="B86" s="26">
        <v>1</v>
      </c>
      <c r="C86" s="25" t="s">
        <v>221</v>
      </c>
      <c r="D86" s="27">
        <v>10955</v>
      </c>
      <c r="E86" s="27">
        <v>1046863</v>
      </c>
      <c r="F86" s="27">
        <v>1046863</v>
      </c>
      <c r="G86" s="27">
        <v>4644708</v>
      </c>
      <c r="H86" s="27">
        <v>4644708</v>
      </c>
      <c r="I86" s="27">
        <v>13551921</v>
      </c>
      <c r="J86" s="27">
        <v>13279508</v>
      </c>
    </row>
    <row r="87" spans="1:10" x14ac:dyDescent="0.25">
      <c r="A87" s="26">
        <v>277</v>
      </c>
      <c r="B87" s="26">
        <v>1</v>
      </c>
      <c r="C87" s="25" t="s">
        <v>222</v>
      </c>
      <c r="D87" s="27">
        <v>2416</v>
      </c>
      <c r="E87" s="27">
        <v>205538</v>
      </c>
      <c r="F87" s="27">
        <v>205538</v>
      </c>
      <c r="G87" s="27">
        <v>1024469</v>
      </c>
      <c r="H87" s="27">
        <v>1024469</v>
      </c>
      <c r="I87" s="27">
        <v>3319545</v>
      </c>
      <c r="J87" s="27">
        <v>3282548</v>
      </c>
    </row>
    <row r="88" spans="1:10" x14ac:dyDescent="0.25">
      <c r="A88" s="26">
        <v>278</v>
      </c>
      <c r="B88" s="26">
        <v>1</v>
      </c>
      <c r="C88" s="25" t="s">
        <v>223</v>
      </c>
      <c r="D88" s="27">
        <v>2981</v>
      </c>
      <c r="E88" s="27">
        <v>235178</v>
      </c>
      <c r="F88" s="27">
        <v>235178</v>
      </c>
      <c r="G88" s="27">
        <v>1263986</v>
      </c>
      <c r="H88" s="27">
        <v>1263986</v>
      </c>
      <c r="I88" s="27">
        <v>4335533</v>
      </c>
      <c r="J88" s="27">
        <v>4213774</v>
      </c>
    </row>
    <row r="89" spans="1:10" x14ac:dyDescent="0.25">
      <c r="A89" s="26">
        <v>279</v>
      </c>
      <c r="B89" s="26">
        <v>1</v>
      </c>
      <c r="C89" s="25" t="s">
        <v>224</v>
      </c>
      <c r="D89" s="27">
        <v>22139</v>
      </c>
      <c r="E89" s="27">
        <v>1106950</v>
      </c>
      <c r="F89" s="27">
        <v>1008653</v>
      </c>
      <c r="G89" s="27">
        <v>9386936</v>
      </c>
      <c r="H89" s="27">
        <v>8553374</v>
      </c>
      <c r="I89" s="27">
        <v>35482397</v>
      </c>
      <c r="J89" s="27">
        <v>31443721</v>
      </c>
    </row>
    <row r="90" spans="1:10" x14ac:dyDescent="0.25">
      <c r="A90" s="26">
        <v>280</v>
      </c>
      <c r="B90" s="26">
        <v>1</v>
      </c>
      <c r="C90" s="25" t="s">
        <v>225</v>
      </c>
      <c r="D90" s="27">
        <v>4775</v>
      </c>
      <c r="E90" s="27">
        <v>578816</v>
      </c>
      <c r="F90" s="27">
        <v>578816</v>
      </c>
      <c r="G90" s="27">
        <v>2024600</v>
      </c>
      <c r="H90" s="27">
        <v>2024600</v>
      </c>
      <c r="I90" s="27">
        <v>4311443</v>
      </c>
      <c r="J90" s="27">
        <v>3927598</v>
      </c>
    </row>
    <row r="91" spans="1:10" x14ac:dyDescent="0.25">
      <c r="A91" s="26">
        <v>281</v>
      </c>
      <c r="B91" s="26">
        <v>1</v>
      </c>
      <c r="C91" s="25" t="s">
        <v>226</v>
      </c>
      <c r="D91" s="27">
        <v>13184</v>
      </c>
      <c r="E91" s="27">
        <v>1045183</v>
      </c>
      <c r="F91" s="27">
        <v>1031678</v>
      </c>
      <c r="G91" s="27">
        <v>5589931</v>
      </c>
      <c r="H91" s="27">
        <v>5517707</v>
      </c>
      <c r="I91" s="27">
        <v>19107018</v>
      </c>
      <c r="J91" s="27">
        <v>17336090</v>
      </c>
    </row>
    <row r="92" spans="1:10" x14ac:dyDescent="0.25">
      <c r="A92" s="26">
        <v>282</v>
      </c>
      <c r="B92" s="26">
        <v>1</v>
      </c>
      <c r="C92" s="25" t="s">
        <v>227</v>
      </c>
      <c r="D92" s="27">
        <v>1796</v>
      </c>
      <c r="E92" s="27">
        <v>206809</v>
      </c>
      <c r="F92" s="27">
        <v>206809</v>
      </c>
      <c r="G92" s="27">
        <v>761334</v>
      </c>
      <c r="H92" s="27">
        <v>761334</v>
      </c>
      <c r="I92" s="27">
        <v>1762633</v>
      </c>
      <c r="J92" s="27">
        <v>1510371</v>
      </c>
    </row>
    <row r="93" spans="1:10" x14ac:dyDescent="0.25">
      <c r="A93" s="26">
        <v>283</v>
      </c>
      <c r="B93" s="26">
        <v>1</v>
      </c>
      <c r="C93" s="25" t="s">
        <v>228</v>
      </c>
      <c r="D93" s="27">
        <v>4703</v>
      </c>
      <c r="E93" s="27">
        <v>235138</v>
      </c>
      <c r="F93" s="27">
        <v>235138</v>
      </c>
      <c r="G93" s="27">
        <v>1993966</v>
      </c>
      <c r="H93" s="27">
        <v>1993966</v>
      </c>
      <c r="I93" s="27">
        <v>9239963</v>
      </c>
      <c r="J93" s="27">
        <v>9239026</v>
      </c>
    </row>
    <row r="94" spans="1:10" x14ac:dyDescent="0.25">
      <c r="A94" s="26">
        <v>284</v>
      </c>
      <c r="B94" s="26">
        <v>1</v>
      </c>
      <c r="C94" s="25" t="s">
        <v>229</v>
      </c>
      <c r="D94" s="27">
        <v>12528</v>
      </c>
      <c r="E94" s="27">
        <v>1081538</v>
      </c>
      <c r="F94" s="27">
        <v>1081538</v>
      </c>
      <c r="G94" s="27">
        <v>5312042</v>
      </c>
      <c r="H94" s="27">
        <v>5312042</v>
      </c>
      <c r="I94" s="27">
        <v>17006677</v>
      </c>
      <c r="J94" s="27">
        <v>16865189</v>
      </c>
    </row>
    <row r="95" spans="1:10" x14ac:dyDescent="0.25">
      <c r="A95" s="26">
        <v>286</v>
      </c>
      <c r="B95" s="26">
        <v>1</v>
      </c>
      <c r="C95" s="25" t="s">
        <v>230</v>
      </c>
      <c r="D95" s="27">
        <v>2474</v>
      </c>
      <c r="E95" s="27">
        <v>414361</v>
      </c>
      <c r="F95" s="27">
        <v>231526</v>
      </c>
      <c r="G95" s="27">
        <v>1048891</v>
      </c>
      <c r="H95" s="27">
        <v>586073</v>
      </c>
      <c r="I95" s="27">
        <v>742140</v>
      </c>
      <c r="J95" s="27">
        <v>240323</v>
      </c>
    </row>
    <row r="96" spans="1:10" x14ac:dyDescent="0.25">
      <c r="A96" s="26">
        <v>294</v>
      </c>
      <c r="B96" s="26">
        <v>1</v>
      </c>
      <c r="C96" s="25" t="s">
        <v>231</v>
      </c>
      <c r="D96" s="27">
        <v>2846</v>
      </c>
      <c r="E96" s="27">
        <v>409824</v>
      </c>
      <c r="F96" s="27">
        <v>269668</v>
      </c>
      <c r="G96" s="27">
        <v>1206704</v>
      </c>
      <c r="H96" s="27">
        <v>794021</v>
      </c>
      <c r="I96" s="27">
        <v>853800</v>
      </c>
      <c r="J96" s="27">
        <v>325593</v>
      </c>
    </row>
    <row r="97" spans="1:10" x14ac:dyDescent="0.25">
      <c r="A97" s="26">
        <v>297</v>
      </c>
      <c r="B97" s="26">
        <v>1</v>
      </c>
      <c r="C97" s="25" t="s">
        <v>232</v>
      </c>
      <c r="D97" s="27">
        <v>370</v>
      </c>
      <c r="E97" s="27">
        <v>36953</v>
      </c>
      <c r="F97" s="27">
        <v>20400</v>
      </c>
      <c r="G97" s="27">
        <v>156880</v>
      </c>
      <c r="H97" s="27">
        <v>86607</v>
      </c>
      <c r="I97" s="27">
        <v>380597</v>
      </c>
      <c r="J97" s="27">
        <v>225976</v>
      </c>
    </row>
    <row r="98" spans="1:10" x14ac:dyDescent="0.25">
      <c r="A98" s="26">
        <v>299</v>
      </c>
      <c r="B98" s="26">
        <v>1</v>
      </c>
      <c r="C98" s="25" t="s">
        <v>233</v>
      </c>
      <c r="D98" s="27">
        <v>722</v>
      </c>
      <c r="E98" s="27">
        <v>101708</v>
      </c>
      <c r="F98" s="27">
        <v>87675</v>
      </c>
      <c r="G98" s="27">
        <v>306213</v>
      </c>
      <c r="H98" s="27">
        <v>263963</v>
      </c>
      <c r="I98" s="27">
        <v>254446</v>
      </c>
      <c r="J98" s="27">
        <v>140811</v>
      </c>
    </row>
    <row r="99" spans="1:10" x14ac:dyDescent="0.25">
      <c r="A99" s="26">
        <v>300</v>
      </c>
      <c r="B99" s="26">
        <v>1</v>
      </c>
      <c r="C99" s="25" t="s">
        <v>234</v>
      </c>
      <c r="D99" s="27">
        <v>1340</v>
      </c>
      <c r="E99" s="27">
        <v>192040</v>
      </c>
      <c r="F99" s="27">
        <v>189046</v>
      </c>
      <c r="G99" s="27">
        <v>567990</v>
      </c>
      <c r="H99" s="27">
        <v>559134</v>
      </c>
      <c r="I99" s="27">
        <v>416120</v>
      </c>
      <c r="J99" s="27">
        <v>243294</v>
      </c>
    </row>
    <row r="100" spans="1:10" x14ac:dyDescent="0.25">
      <c r="A100" s="26">
        <v>306</v>
      </c>
      <c r="B100" s="26">
        <v>1</v>
      </c>
      <c r="C100" s="25" t="s">
        <v>235</v>
      </c>
      <c r="D100" s="27">
        <v>278</v>
      </c>
      <c r="E100" s="27">
        <v>40032</v>
      </c>
      <c r="F100" s="27">
        <v>40032</v>
      </c>
      <c r="G100" s="27">
        <v>117872</v>
      </c>
      <c r="H100" s="27">
        <v>117872</v>
      </c>
      <c r="I100" s="27">
        <v>83400</v>
      </c>
      <c r="J100" s="27">
        <v>56140</v>
      </c>
    </row>
    <row r="101" spans="1:10" x14ac:dyDescent="0.25">
      <c r="A101" s="26">
        <v>308</v>
      </c>
      <c r="B101" s="26">
        <v>1</v>
      </c>
      <c r="C101" s="25" t="s">
        <v>236</v>
      </c>
      <c r="D101" s="27">
        <v>610</v>
      </c>
      <c r="E101" s="27">
        <v>87782</v>
      </c>
      <c r="F101" s="27">
        <v>87782</v>
      </c>
      <c r="G101" s="27">
        <v>258470</v>
      </c>
      <c r="H101" s="27">
        <v>258470</v>
      </c>
      <c r="I101" s="27">
        <v>182880</v>
      </c>
      <c r="J101" s="27">
        <v>59029</v>
      </c>
    </row>
    <row r="102" spans="1:10" x14ac:dyDescent="0.25">
      <c r="A102" s="26">
        <v>309</v>
      </c>
      <c r="B102" s="26">
        <v>1</v>
      </c>
      <c r="C102" s="25" t="s">
        <v>237</v>
      </c>
      <c r="D102" s="27">
        <v>1635</v>
      </c>
      <c r="E102" s="27">
        <v>235411</v>
      </c>
      <c r="F102" s="27">
        <v>235411</v>
      </c>
      <c r="G102" s="27">
        <v>693155</v>
      </c>
      <c r="H102" s="27">
        <v>693155</v>
      </c>
      <c r="I102" s="27">
        <v>490440</v>
      </c>
      <c r="J102" s="27">
        <v>301181</v>
      </c>
    </row>
    <row r="103" spans="1:10" x14ac:dyDescent="0.25">
      <c r="A103" s="26">
        <v>314</v>
      </c>
      <c r="B103" s="26">
        <v>1</v>
      </c>
      <c r="C103" s="25" t="s">
        <v>238</v>
      </c>
      <c r="D103" s="27">
        <v>930</v>
      </c>
      <c r="E103" s="27">
        <v>133891</v>
      </c>
      <c r="F103" s="27">
        <v>68064</v>
      </c>
      <c r="G103" s="27">
        <v>394235</v>
      </c>
      <c r="H103" s="27">
        <v>200411</v>
      </c>
      <c r="I103" s="27">
        <v>278940</v>
      </c>
      <c r="J103" s="27">
        <v>82180</v>
      </c>
    </row>
    <row r="104" spans="1:10" x14ac:dyDescent="0.25">
      <c r="A104" s="26">
        <v>316</v>
      </c>
      <c r="B104" s="26">
        <v>1</v>
      </c>
      <c r="C104" s="25" t="s">
        <v>239</v>
      </c>
      <c r="D104" s="27">
        <v>1129</v>
      </c>
      <c r="E104" s="27">
        <v>162533</v>
      </c>
      <c r="F104" s="27">
        <v>139911</v>
      </c>
      <c r="G104" s="27">
        <v>478569</v>
      </c>
      <c r="H104" s="27">
        <v>411959</v>
      </c>
      <c r="I104" s="27">
        <v>338610</v>
      </c>
      <c r="J104" s="27">
        <v>168926</v>
      </c>
    </row>
    <row r="105" spans="1:10" x14ac:dyDescent="0.25">
      <c r="A105" s="26">
        <v>317</v>
      </c>
      <c r="B105" s="26">
        <v>1</v>
      </c>
      <c r="C105" s="25" t="s">
        <v>240</v>
      </c>
      <c r="D105" s="27">
        <v>986</v>
      </c>
      <c r="E105" s="27">
        <v>141984</v>
      </c>
      <c r="F105" s="27">
        <v>99095</v>
      </c>
      <c r="G105" s="27">
        <v>418064</v>
      </c>
      <c r="H105" s="27">
        <v>291780</v>
      </c>
      <c r="I105" s="27">
        <v>295800</v>
      </c>
      <c r="J105" s="27">
        <v>119646</v>
      </c>
    </row>
    <row r="106" spans="1:10" x14ac:dyDescent="0.25">
      <c r="A106" s="26">
        <v>318</v>
      </c>
      <c r="B106" s="26">
        <v>1</v>
      </c>
      <c r="C106" s="25" t="s">
        <v>241</v>
      </c>
      <c r="D106" s="27">
        <v>4379</v>
      </c>
      <c r="E106" s="27">
        <v>630504</v>
      </c>
      <c r="F106" s="27">
        <v>630504</v>
      </c>
      <c r="G106" s="27">
        <v>1856484</v>
      </c>
      <c r="H106" s="27">
        <v>1856484</v>
      </c>
      <c r="I106" s="27">
        <v>1313550</v>
      </c>
      <c r="J106" s="27">
        <v>906955</v>
      </c>
    </row>
    <row r="107" spans="1:10" x14ac:dyDescent="0.25">
      <c r="A107" s="26">
        <v>319</v>
      </c>
      <c r="B107" s="26">
        <v>1</v>
      </c>
      <c r="C107" s="25" t="s">
        <v>242</v>
      </c>
      <c r="D107" s="27">
        <v>591</v>
      </c>
      <c r="E107" s="27">
        <v>83900</v>
      </c>
      <c r="F107" s="27">
        <v>53505</v>
      </c>
      <c r="G107" s="27">
        <v>250775</v>
      </c>
      <c r="H107" s="27">
        <v>159924</v>
      </c>
      <c r="I107" s="27">
        <v>198396</v>
      </c>
      <c r="J107" s="27">
        <v>78945</v>
      </c>
    </row>
    <row r="108" spans="1:10" x14ac:dyDescent="0.25">
      <c r="A108" s="26">
        <v>323</v>
      </c>
      <c r="B108" s="26">
        <v>2</v>
      </c>
      <c r="C108" s="25" t="s">
        <v>243</v>
      </c>
      <c r="D108" s="27">
        <v>32</v>
      </c>
      <c r="E108" s="27">
        <v>3425</v>
      </c>
      <c r="F108" s="27">
        <v>3425</v>
      </c>
      <c r="G108" s="27">
        <v>13632</v>
      </c>
      <c r="H108" s="27">
        <v>13632</v>
      </c>
      <c r="I108" s="27">
        <v>29549</v>
      </c>
      <c r="J108" s="27">
        <v>26789</v>
      </c>
    </row>
    <row r="109" spans="1:10" x14ac:dyDescent="0.25">
      <c r="A109" s="26">
        <v>330</v>
      </c>
      <c r="B109" s="26">
        <v>1</v>
      </c>
      <c r="C109" s="25" t="s">
        <v>244</v>
      </c>
      <c r="D109" s="27">
        <v>290</v>
      </c>
      <c r="E109" s="27">
        <v>23291</v>
      </c>
      <c r="F109" s="27">
        <v>14854</v>
      </c>
      <c r="G109" s="27">
        <v>122960</v>
      </c>
      <c r="H109" s="27">
        <v>78417</v>
      </c>
      <c r="I109" s="27">
        <v>391961</v>
      </c>
      <c r="J109" s="27">
        <v>288791</v>
      </c>
    </row>
    <row r="110" spans="1:10" x14ac:dyDescent="0.25">
      <c r="A110" s="26">
        <v>332</v>
      </c>
      <c r="B110" s="26">
        <v>1</v>
      </c>
      <c r="C110" s="25" t="s">
        <v>245</v>
      </c>
      <c r="D110" s="27">
        <v>1878</v>
      </c>
      <c r="E110" s="27">
        <v>270374</v>
      </c>
      <c r="F110" s="27">
        <v>145305</v>
      </c>
      <c r="G110" s="27">
        <v>796102</v>
      </c>
      <c r="H110" s="27">
        <v>427843</v>
      </c>
      <c r="I110" s="27">
        <v>563280</v>
      </c>
      <c r="J110" s="27">
        <v>175439</v>
      </c>
    </row>
    <row r="111" spans="1:10" x14ac:dyDescent="0.25">
      <c r="A111" s="26">
        <v>333</v>
      </c>
      <c r="B111" s="26">
        <v>1</v>
      </c>
      <c r="C111" s="25" t="s">
        <v>246</v>
      </c>
      <c r="D111" s="27">
        <v>583</v>
      </c>
      <c r="E111" s="27">
        <v>83981</v>
      </c>
      <c r="F111" s="27">
        <v>33387</v>
      </c>
      <c r="G111" s="27">
        <v>247277</v>
      </c>
      <c r="H111" s="27">
        <v>98306</v>
      </c>
      <c r="I111" s="27">
        <v>174960</v>
      </c>
      <c r="J111" s="27">
        <v>40311</v>
      </c>
    </row>
    <row r="112" spans="1:10" x14ac:dyDescent="0.25">
      <c r="A112" s="26">
        <v>345</v>
      </c>
      <c r="B112" s="26">
        <v>1</v>
      </c>
      <c r="C112" s="25" t="s">
        <v>247</v>
      </c>
      <c r="D112" s="27">
        <v>1454</v>
      </c>
      <c r="E112" s="27">
        <v>209318</v>
      </c>
      <c r="F112" s="27">
        <v>209318</v>
      </c>
      <c r="G112" s="27">
        <v>616326</v>
      </c>
      <c r="H112" s="27">
        <v>616326</v>
      </c>
      <c r="I112" s="27">
        <v>436080</v>
      </c>
      <c r="J112" s="27">
        <v>312139</v>
      </c>
    </row>
    <row r="113" spans="1:10" x14ac:dyDescent="0.25">
      <c r="A113" s="26">
        <v>347</v>
      </c>
      <c r="B113" s="26">
        <v>1</v>
      </c>
      <c r="C113" s="25" t="s">
        <v>248</v>
      </c>
      <c r="D113" s="27">
        <v>4577</v>
      </c>
      <c r="E113" s="27">
        <v>648291</v>
      </c>
      <c r="F113" s="27">
        <v>392153</v>
      </c>
      <c r="G113" s="27">
        <v>1940648</v>
      </c>
      <c r="H113" s="27">
        <v>1173904</v>
      </c>
      <c r="I113" s="27">
        <v>1551374</v>
      </c>
      <c r="J113" s="27">
        <v>589204</v>
      </c>
    </row>
    <row r="114" spans="1:10" x14ac:dyDescent="0.25">
      <c r="A114" s="26">
        <v>356</v>
      </c>
      <c r="B114" s="26">
        <v>1</v>
      </c>
      <c r="C114" s="25" t="s">
        <v>249</v>
      </c>
      <c r="D114" s="27">
        <v>163</v>
      </c>
      <c r="E114" s="27">
        <v>8128</v>
      </c>
      <c r="F114" s="27">
        <v>3132</v>
      </c>
      <c r="G114" s="27">
        <v>68921</v>
      </c>
      <c r="H114" s="27">
        <v>26556</v>
      </c>
      <c r="I114" s="27">
        <v>331179</v>
      </c>
      <c r="J114" s="27">
        <v>180399</v>
      </c>
    </row>
    <row r="115" spans="1:10" x14ac:dyDescent="0.25">
      <c r="A115" s="26">
        <v>361</v>
      </c>
      <c r="B115" s="26">
        <v>1</v>
      </c>
      <c r="C115" s="25" t="s">
        <v>250</v>
      </c>
      <c r="D115" s="27">
        <v>1169</v>
      </c>
      <c r="E115" s="27">
        <v>165016</v>
      </c>
      <c r="F115" s="27">
        <v>118996</v>
      </c>
      <c r="G115" s="27">
        <v>495656</v>
      </c>
      <c r="H115" s="27">
        <v>357427</v>
      </c>
      <c r="I115" s="27">
        <v>405526</v>
      </c>
      <c r="J115" s="27">
        <v>186101</v>
      </c>
    </row>
    <row r="116" spans="1:10" x14ac:dyDescent="0.25">
      <c r="A116" s="26">
        <v>362</v>
      </c>
      <c r="B116" s="26">
        <v>1</v>
      </c>
      <c r="C116" s="25" t="s">
        <v>251</v>
      </c>
      <c r="D116" s="27">
        <v>365</v>
      </c>
      <c r="E116" s="27">
        <v>52546</v>
      </c>
      <c r="F116" s="27">
        <v>26173</v>
      </c>
      <c r="G116" s="27">
        <v>154718</v>
      </c>
      <c r="H116" s="27">
        <v>77063</v>
      </c>
      <c r="I116" s="27">
        <v>109470</v>
      </c>
      <c r="J116" s="27">
        <v>31600</v>
      </c>
    </row>
    <row r="117" spans="1:10" x14ac:dyDescent="0.25">
      <c r="A117" s="26">
        <v>363</v>
      </c>
      <c r="B117" s="26">
        <v>1</v>
      </c>
      <c r="C117" s="25" t="s">
        <v>252</v>
      </c>
      <c r="D117" s="27">
        <v>351</v>
      </c>
      <c r="E117" s="27">
        <v>50494</v>
      </c>
      <c r="F117" s="27">
        <v>24487</v>
      </c>
      <c r="G117" s="27">
        <v>148676</v>
      </c>
      <c r="H117" s="27">
        <v>72101</v>
      </c>
      <c r="I117" s="27">
        <v>105195</v>
      </c>
      <c r="J117" s="27">
        <v>29565</v>
      </c>
    </row>
    <row r="118" spans="1:10" x14ac:dyDescent="0.25">
      <c r="A118" s="26">
        <v>378</v>
      </c>
      <c r="B118" s="26">
        <v>1</v>
      </c>
      <c r="C118" s="25" t="s">
        <v>253</v>
      </c>
      <c r="D118" s="27">
        <v>515</v>
      </c>
      <c r="E118" s="27">
        <v>64240</v>
      </c>
      <c r="F118" s="27">
        <v>29429</v>
      </c>
      <c r="G118" s="27">
        <v>218212</v>
      </c>
      <c r="H118" s="27">
        <v>99966</v>
      </c>
      <c r="I118" s="27">
        <v>317374</v>
      </c>
      <c r="J118" s="27">
        <v>115654</v>
      </c>
    </row>
    <row r="119" spans="1:10" x14ac:dyDescent="0.25">
      <c r="A119" s="26">
        <v>381</v>
      </c>
      <c r="B119" s="26">
        <v>1</v>
      </c>
      <c r="C119" s="25" t="s">
        <v>254</v>
      </c>
      <c r="D119" s="27">
        <v>1515</v>
      </c>
      <c r="E119" s="27">
        <v>218160</v>
      </c>
      <c r="F119" s="27">
        <v>218160</v>
      </c>
      <c r="G119" s="27">
        <v>642360</v>
      </c>
      <c r="H119" s="27">
        <v>642360</v>
      </c>
      <c r="I119" s="27">
        <v>454500</v>
      </c>
      <c r="J119" s="27">
        <v>317185</v>
      </c>
    </row>
    <row r="120" spans="1:10" x14ac:dyDescent="0.25">
      <c r="A120" s="26">
        <v>390</v>
      </c>
      <c r="B120" s="26">
        <v>1</v>
      </c>
      <c r="C120" s="25" t="s">
        <v>255</v>
      </c>
      <c r="D120" s="27">
        <v>513</v>
      </c>
      <c r="E120" s="27">
        <v>72661</v>
      </c>
      <c r="F120" s="27">
        <v>58699</v>
      </c>
      <c r="G120" s="27">
        <v>217448</v>
      </c>
      <c r="H120" s="27">
        <v>175665</v>
      </c>
      <c r="I120" s="27">
        <v>173497</v>
      </c>
      <c r="J120" s="27">
        <v>87900</v>
      </c>
    </row>
    <row r="121" spans="1:10" x14ac:dyDescent="0.25">
      <c r="A121" s="26">
        <v>391</v>
      </c>
      <c r="B121" s="26">
        <v>1</v>
      </c>
      <c r="C121" s="25" t="s">
        <v>256</v>
      </c>
      <c r="D121" s="27">
        <v>496</v>
      </c>
      <c r="E121" s="27">
        <v>69571</v>
      </c>
      <c r="F121" s="27">
        <v>69571</v>
      </c>
      <c r="G121" s="27">
        <v>210474</v>
      </c>
      <c r="H121" s="27">
        <v>210474</v>
      </c>
      <c r="I121" s="27">
        <v>180476</v>
      </c>
      <c r="J121" s="27">
        <v>134428</v>
      </c>
    </row>
    <row r="122" spans="1:10" x14ac:dyDescent="0.25">
      <c r="A122" s="26">
        <v>402</v>
      </c>
      <c r="B122" s="26">
        <v>1</v>
      </c>
      <c r="C122" s="25" t="s">
        <v>257</v>
      </c>
      <c r="D122" s="27">
        <v>113</v>
      </c>
      <c r="E122" s="27">
        <v>5633</v>
      </c>
      <c r="F122" s="27">
        <v>3437</v>
      </c>
      <c r="G122" s="27">
        <v>47764</v>
      </c>
      <c r="H122" s="27">
        <v>29140</v>
      </c>
      <c r="I122" s="27">
        <v>278609</v>
      </c>
      <c r="J122" s="27">
        <v>236558</v>
      </c>
    </row>
    <row r="123" spans="1:10" x14ac:dyDescent="0.25">
      <c r="A123" s="26">
        <v>403</v>
      </c>
      <c r="B123" s="26">
        <v>1</v>
      </c>
      <c r="C123" s="25" t="s">
        <v>258</v>
      </c>
      <c r="D123" s="27">
        <v>176</v>
      </c>
      <c r="E123" s="27">
        <v>13364</v>
      </c>
      <c r="F123" s="27">
        <v>7021</v>
      </c>
      <c r="G123" s="27">
        <v>74454</v>
      </c>
      <c r="H123" s="27">
        <v>39114</v>
      </c>
      <c r="I123" s="27">
        <v>249543</v>
      </c>
      <c r="J123" s="27">
        <v>165727</v>
      </c>
    </row>
    <row r="124" spans="1:10" x14ac:dyDescent="0.25">
      <c r="A124" s="26">
        <v>404</v>
      </c>
      <c r="B124" s="26">
        <v>1</v>
      </c>
      <c r="C124" s="25" t="s">
        <v>259</v>
      </c>
      <c r="D124" s="27">
        <v>165</v>
      </c>
      <c r="E124" s="27">
        <v>8230</v>
      </c>
      <c r="F124" s="27">
        <v>5842</v>
      </c>
      <c r="G124" s="27">
        <v>69790</v>
      </c>
      <c r="H124" s="27">
        <v>49536</v>
      </c>
      <c r="I124" s="27">
        <v>315935</v>
      </c>
      <c r="J124" s="27">
        <v>244127</v>
      </c>
    </row>
    <row r="125" spans="1:10" x14ac:dyDescent="0.25">
      <c r="A125" s="26">
        <v>413</v>
      </c>
      <c r="B125" s="26">
        <v>1</v>
      </c>
      <c r="C125" s="25" t="s">
        <v>260</v>
      </c>
      <c r="D125" s="27">
        <v>2533</v>
      </c>
      <c r="E125" s="27">
        <v>364781</v>
      </c>
      <c r="F125" s="27">
        <v>289962</v>
      </c>
      <c r="G125" s="27">
        <v>1074077</v>
      </c>
      <c r="H125" s="27">
        <v>853778</v>
      </c>
      <c r="I125" s="27">
        <v>759960</v>
      </c>
      <c r="J125" s="27">
        <v>350096</v>
      </c>
    </row>
    <row r="126" spans="1:10" x14ac:dyDescent="0.25">
      <c r="A126" s="26">
        <v>414</v>
      </c>
      <c r="B126" s="26">
        <v>1</v>
      </c>
      <c r="C126" s="25" t="s">
        <v>261</v>
      </c>
      <c r="D126" s="27">
        <v>496</v>
      </c>
      <c r="E126" s="27">
        <v>71475</v>
      </c>
      <c r="F126" s="27">
        <v>35424</v>
      </c>
      <c r="G126" s="27">
        <v>210452</v>
      </c>
      <c r="H126" s="27">
        <v>104304</v>
      </c>
      <c r="I126" s="27">
        <v>148905</v>
      </c>
      <c r="J126" s="27">
        <v>42770</v>
      </c>
    </row>
    <row r="127" spans="1:10" x14ac:dyDescent="0.25">
      <c r="A127" s="26">
        <v>415</v>
      </c>
      <c r="B127" s="26">
        <v>1</v>
      </c>
      <c r="C127" s="25" t="s">
        <v>262</v>
      </c>
      <c r="D127" s="27">
        <v>165</v>
      </c>
      <c r="E127" s="27">
        <v>13603</v>
      </c>
      <c r="F127" s="27">
        <v>10107</v>
      </c>
      <c r="G127" s="27">
        <v>69790</v>
      </c>
      <c r="H127" s="27">
        <v>51854</v>
      </c>
      <c r="I127" s="27">
        <v>216136</v>
      </c>
      <c r="J127" s="27">
        <v>168561</v>
      </c>
    </row>
    <row r="128" spans="1:10" x14ac:dyDescent="0.25">
      <c r="A128" s="26">
        <v>423</v>
      </c>
      <c r="B128" s="26">
        <v>1</v>
      </c>
      <c r="C128" s="25" t="s">
        <v>263</v>
      </c>
      <c r="D128" s="27">
        <v>3139</v>
      </c>
      <c r="E128" s="27">
        <v>393045</v>
      </c>
      <c r="F128" s="27">
        <v>277603</v>
      </c>
      <c r="G128" s="27">
        <v>1331106</v>
      </c>
      <c r="H128" s="27">
        <v>940145</v>
      </c>
      <c r="I128" s="27">
        <v>1916510</v>
      </c>
      <c r="J128" s="27">
        <v>1073925</v>
      </c>
    </row>
    <row r="129" spans="1:10" x14ac:dyDescent="0.25">
      <c r="A129" s="26">
        <v>424</v>
      </c>
      <c r="B129" s="26">
        <v>1</v>
      </c>
      <c r="C129" s="25" t="s">
        <v>264</v>
      </c>
      <c r="D129" s="27">
        <v>419</v>
      </c>
      <c r="E129" s="27">
        <v>51349</v>
      </c>
      <c r="F129" s="27">
        <v>39495</v>
      </c>
      <c r="G129" s="27">
        <v>177444</v>
      </c>
      <c r="H129" s="27">
        <v>136479</v>
      </c>
      <c r="I129" s="27">
        <v>272762</v>
      </c>
      <c r="J129" s="27">
        <v>169191</v>
      </c>
    </row>
    <row r="130" spans="1:10" x14ac:dyDescent="0.25">
      <c r="A130" s="26">
        <v>432</v>
      </c>
      <c r="B130" s="26">
        <v>1</v>
      </c>
      <c r="C130" s="25" t="s">
        <v>265</v>
      </c>
      <c r="D130" s="27">
        <v>656</v>
      </c>
      <c r="E130" s="27">
        <v>94493</v>
      </c>
      <c r="F130" s="27">
        <v>27352</v>
      </c>
      <c r="G130" s="27">
        <v>278229</v>
      </c>
      <c r="H130" s="27">
        <v>80536</v>
      </c>
      <c r="I130" s="27">
        <v>196860</v>
      </c>
      <c r="J130" s="27">
        <v>33024</v>
      </c>
    </row>
    <row r="131" spans="1:10" x14ac:dyDescent="0.25">
      <c r="A131" s="26">
        <v>435</v>
      </c>
      <c r="B131" s="26">
        <v>1</v>
      </c>
      <c r="C131" s="25" t="s">
        <v>266</v>
      </c>
      <c r="D131" s="27">
        <v>634</v>
      </c>
      <c r="E131" s="27">
        <v>91325</v>
      </c>
      <c r="F131" s="27">
        <v>40226</v>
      </c>
      <c r="G131" s="27">
        <v>268901</v>
      </c>
      <c r="H131" s="27">
        <v>118442</v>
      </c>
      <c r="I131" s="27">
        <v>190260</v>
      </c>
      <c r="J131" s="27">
        <v>48568</v>
      </c>
    </row>
    <row r="132" spans="1:10" x14ac:dyDescent="0.25">
      <c r="A132" s="26">
        <v>441</v>
      </c>
      <c r="B132" s="26">
        <v>1</v>
      </c>
      <c r="C132" s="25" t="s">
        <v>267</v>
      </c>
      <c r="D132" s="27">
        <v>432</v>
      </c>
      <c r="E132" s="27">
        <v>44212</v>
      </c>
      <c r="F132" s="27">
        <v>35220</v>
      </c>
      <c r="G132" s="27">
        <v>183274</v>
      </c>
      <c r="H132" s="27">
        <v>146000</v>
      </c>
      <c r="I132" s="27">
        <v>427435</v>
      </c>
      <c r="J132" s="27">
        <v>317189</v>
      </c>
    </row>
    <row r="133" spans="1:10" x14ac:dyDescent="0.25">
      <c r="A133" s="26">
        <v>447</v>
      </c>
      <c r="B133" s="26">
        <v>1</v>
      </c>
      <c r="C133" s="25" t="s">
        <v>268</v>
      </c>
      <c r="D133" s="27">
        <v>154</v>
      </c>
      <c r="E133" s="27">
        <v>20326</v>
      </c>
      <c r="F133" s="27">
        <v>9247</v>
      </c>
      <c r="G133" s="27">
        <v>65296</v>
      </c>
      <c r="H133" s="27">
        <v>29706</v>
      </c>
      <c r="I133" s="27">
        <v>76752</v>
      </c>
      <c r="J133" s="27">
        <v>26080</v>
      </c>
    </row>
    <row r="134" spans="1:10" x14ac:dyDescent="0.25">
      <c r="A134" s="26">
        <v>458</v>
      </c>
      <c r="B134" s="26">
        <v>1</v>
      </c>
      <c r="C134" s="25" t="s">
        <v>269</v>
      </c>
      <c r="D134" s="27">
        <v>215</v>
      </c>
      <c r="E134" s="27">
        <v>10740</v>
      </c>
      <c r="F134" s="27">
        <v>6162</v>
      </c>
      <c r="G134" s="27">
        <v>91075</v>
      </c>
      <c r="H134" s="27">
        <v>52254</v>
      </c>
      <c r="I134" s="27">
        <v>414029</v>
      </c>
      <c r="J134" s="27">
        <v>209378</v>
      </c>
    </row>
    <row r="135" spans="1:10" x14ac:dyDescent="0.25">
      <c r="A135" s="26">
        <v>463</v>
      </c>
      <c r="B135" s="26">
        <v>1</v>
      </c>
      <c r="C135" s="25" t="s">
        <v>270</v>
      </c>
      <c r="D135" s="27">
        <v>1016</v>
      </c>
      <c r="E135" s="27">
        <v>139412</v>
      </c>
      <c r="F135" s="27">
        <v>75425</v>
      </c>
      <c r="G135" s="27">
        <v>430890</v>
      </c>
      <c r="H135" s="27">
        <v>233121</v>
      </c>
      <c r="I135" s="27">
        <v>419284</v>
      </c>
      <c r="J135" s="27">
        <v>157491</v>
      </c>
    </row>
    <row r="136" spans="1:10" x14ac:dyDescent="0.25">
      <c r="A136" s="26">
        <v>465</v>
      </c>
      <c r="B136" s="26">
        <v>1</v>
      </c>
      <c r="C136" s="25" t="s">
        <v>271</v>
      </c>
      <c r="D136" s="27">
        <v>1825</v>
      </c>
      <c r="E136" s="27">
        <v>262865</v>
      </c>
      <c r="F136" s="27">
        <v>177288</v>
      </c>
      <c r="G136" s="27">
        <v>773991</v>
      </c>
      <c r="H136" s="27">
        <v>522014</v>
      </c>
      <c r="I136" s="27">
        <v>547635</v>
      </c>
      <c r="J136" s="27">
        <v>214055</v>
      </c>
    </row>
    <row r="137" spans="1:10" x14ac:dyDescent="0.25">
      <c r="A137" s="26">
        <v>466</v>
      </c>
      <c r="B137" s="26">
        <v>1</v>
      </c>
      <c r="C137" s="25" t="s">
        <v>272</v>
      </c>
      <c r="D137" s="27">
        <v>2387</v>
      </c>
      <c r="E137" s="27">
        <v>342438</v>
      </c>
      <c r="F137" s="27">
        <v>186514</v>
      </c>
      <c r="G137" s="27">
        <v>1011918</v>
      </c>
      <c r="H137" s="27">
        <v>551157</v>
      </c>
      <c r="I137" s="27">
        <v>736338</v>
      </c>
      <c r="J137" s="27">
        <v>237093</v>
      </c>
    </row>
    <row r="138" spans="1:10" x14ac:dyDescent="0.25">
      <c r="A138" s="26">
        <v>473</v>
      </c>
      <c r="B138" s="26">
        <v>1</v>
      </c>
      <c r="C138" s="25" t="s">
        <v>273</v>
      </c>
      <c r="D138" s="27">
        <v>514</v>
      </c>
      <c r="E138" s="27">
        <v>73958</v>
      </c>
      <c r="F138" s="27">
        <v>73958</v>
      </c>
      <c r="G138" s="27">
        <v>217766</v>
      </c>
      <c r="H138" s="27">
        <v>217766</v>
      </c>
      <c r="I138" s="27">
        <v>154080</v>
      </c>
      <c r="J138" s="27">
        <v>103232</v>
      </c>
    </row>
    <row r="139" spans="1:10" x14ac:dyDescent="0.25">
      <c r="A139" s="26">
        <v>477</v>
      </c>
      <c r="B139" s="26">
        <v>1</v>
      </c>
      <c r="C139" s="25" t="s">
        <v>274</v>
      </c>
      <c r="D139" s="27">
        <v>3467</v>
      </c>
      <c r="E139" s="27">
        <v>499190</v>
      </c>
      <c r="F139" s="27">
        <v>291435</v>
      </c>
      <c r="G139" s="27">
        <v>1469838</v>
      </c>
      <c r="H139" s="27">
        <v>858113</v>
      </c>
      <c r="I139" s="27">
        <v>1039980</v>
      </c>
      <c r="J139" s="27">
        <v>351874</v>
      </c>
    </row>
    <row r="140" spans="1:10" x14ac:dyDescent="0.25">
      <c r="A140" s="26">
        <v>480</v>
      </c>
      <c r="B140" s="26">
        <v>1</v>
      </c>
      <c r="C140" s="25" t="s">
        <v>275</v>
      </c>
      <c r="D140" s="27">
        <v>651</v>
      </c>
      <c r="E140" s="27">
        <v>91819</v>
      </c>
      <c r="F140" s="27">
        <v>71010</v>
      </c>
      <c r="G140" s="27">
        <v>275918</v>
      </c>
      <c r="H140" s="27">
        <v>213388</v>
      </c>
      <c r="I140" s="27">
        <v>226422</v>
      </c>
      <c r="J140" s="27">
        <v>111628</v>
      </c>
    </row>
    <row r="141" spans="1:10" x14ac:dyDescent="0.25">
      <c r="A141" s="26">
        <v>482</v>
      </c>
      <c r="B141" s="26">
        <v>1</v>
      </c>
      <c r="C141" s="25" t="s">
        <v>276</v>
      </c>
      <c r="D141" s="27">
        <v>2615</v>
      </c>
      <c r="E141" s="27">
        <v>341611</v>
      </c>
      <c r="F141" s="27">
        <v>213164</v>
      </c>
      <c r="G141" s="27">
        <v>1108760</v>
      </c>
      <c r="H141" s="27">
        <v>691862</v>
      </c>
      <c r="I141" s="27">
        <v>1361578</v>
      </c>
      <c r="J141" s="27">
        <v>643796</v>
      </c>
    </row>
    <row r="142" spans="1:10" x14ac:dyDescent="0.25">
      <c r="A142" s="26">
        <v>484</v>
      </c>
      <c r="B142" s="26">
        <v>1</v>
      </c>
      <c r="C142" s="25" t="s">
        <v>277</v>
      </c>
      <c r="D142" s="27">
        <v>1234</v>
      </c>
      <c r="E142" s="27">
        <v>177638</v>
      </c>
      <c r="F142" s="27">
        <v>93708</v>
      </c>
      <c r="G142" s="27">
        <v>523046</v>
      </c>
      <c r="H142" s="27">
        <v>275920</v>
      </c>
      <c r="I142" s="27">
        <v>370080</v>
      </c>
      <c r="J142" s="27">
        <v>113143</v>
      </c>
    </row>
    <row r="143" spans="1:10" x14ac:dyDescent="0.25">
      <c r="A143" s="26">
        <v>485</v>
      </c>
      <c r="B143" s="26">
        <v>1</v>
      </c>
      <c r="C143" s="25" t="s">
        <v>278</v>
      </c>
      <c r="D143" s="27">
        <v>941</v>
      </c>
      <c r="E143" s="27">
        <v>135569</v>
      </c>
      <c r="F143" s="27">
        <v>77083</v>
      </c>
      <c r="G143" s="27">
        <v>399175</v>
      </c>
      <c r="H143" s="27">
        <v>226967</v>
      </c>
      <c r="I143" s="27">
        <v>282435</v>
      </c>
      <c r="J143" s="27">
        <v>93069</v>
      </c>
    </row>
    <row r="144" spans="1:10" x14ac:dyDescent="0.25">
      <c r="A144" s="26">
        <v>486</v>
      </c>
      <c r="B144" s="26">
        <v>1</v>
      </c>
      <c r="C144" s="25" t="s">
        <v>279</v>
      </c>
      <c r="D144" s="27">
        <v>358</v>
      </c>
      <c r="E144" s="27">
        <v>49371</v>
      </c>
      <c r="F144" s="27">
        <v>29948</v>
      </c>
      <c r="G144" s="27">
        <v>151622</v>
      </c>
      <c r="H144" s="27">
        <v>91973</v>
      </c>
      <c r="I144" s="27">
        <v>142336</v>
      </c>
      <c r="J144" s="27">
        <v>58979</v>
      </c>
    </row>
    <row r="145" spans="1:10" x14ac:dyDescent="0.25">
      <c r="A145" s="26">
        <v>487</v>
      </c>
      <c r="B145" s="26">
        <v>1</v>
      </c>
      <c r="C145" s="25" t="s">
        <v>280</v>
      </c>
      <c r="D145" s="27">
        <v>364</v>
      </c>
      <c r="E145" s="27">
        <v>49661</v>
      </c>
      <c r="F145" s="27">
        <v>34187</v>
      </c>
      <c r="G145" s="27">
        <v>154463</v>
      </c>
      <c r="H145" s="27">
        <v>106332</v>
      </c>
      <c r="I145" s="27">
        <v>155501</v>
      </c>
      <c r="J145" s="27">
        <v>75414</v>
      </c>
    </row>
    <row r="146" spans="1:10" x14ac:dyDescent="0.25">
      <c r="A146" s="26">
        <v>492</v>
      </c>
      <c r="B146" s="26">
        <v>1</v>
      </c>
      <c r="C146" s="25" t="s">
        <v>281</v>
      </c>
      <c r="D146" s="27">
        <v>5139</v>
      </c>
      <c r="E146" s="27">
        <v>726670</v>
      </c>
      <c r="F146" s="27">
        <v>347480</v>
      </c>
      <c r="G146" s="27">
        <v>2178766</v>
      </c>
      <c r="H146" s="27">
        <v>1041845</v>
      </c>
      <c r="I146" s="27">
        <v>1760998</v>
      </c>
      <c r="J146" s="27">
        <v>532137</v>
      </c>
    </row>
    <row r="147" spans="1:10" x14ac:dyDescent="0.25">
      <c r="A147" s="26">
        <v>495</v>
      </c>
      <c r="B147" s="26">
        <v>1</v>
      </c>
      <c r="C147" s="25" t="s">
        <v>282</v>
      </c>
      <c r="D147" s="27">
        <v>435</v>
      </c>
      <c r="E147" s="27">
        <v>43858</v>
      </c>
      <c r="F147" s="27">
        <v>19645</v>
      </c>
      <c r="G147" s="27">
        <v>184398</v>
      </c>
      <c r="H147" s="27">
        <v>82595</v>
      </c>
      <c r="I147" s="27">
        <v>440362</v>
      </c>
      <c r="J147" s="27">
        <v>209996</v>
      </c>
    </row>
    <row r="148" spans="1:10" x14ac:dyDescent="0.25">
      <c r="A148" s="26">
        <v>497</v>
      </c>
      <c r="B148" s="26">
        <v>1</v>
      </c>
      <c r="C148" s="25" t="s">
        <v>283</v>
      </c>
      <c r="D148" s="27">
        <v>255</v>
      </c>
      <c r="E148" s="27">
        <v>36508</v>
      </c>
      <c r="F148" s="27">
        <v>17888</v>
      </c>
      <c r="G148" s="27">
        <v>108162</v>
      </c>
      <c r="H148" s="27">
        <v>52997</v>
      </c>
      <c r="I148" s="27">
        <v>80267</v>
      </c>
      <c r="J148" s="27">
        <v>23563</v>
      </c>
    </row>
    <row r="149" spans="1:10" x14ac:dyDescent="0.25">
      <c r="A149" s="26">
        <v>499</v>
      </c>
      <c r="B149" s="26">
        <v>1</v>
      </c>
      <c r="C149" s="25" t="s">
        <v>284</v>
      </c>
      <c r="D149" s="27">
        <v>305</v>
      </c>
      <c r="E149" s="27">
        <v>23627</v>
      </c>
      <c r="F149" s="27">
        <v>13353</v>
      </c>
      <c r="G149" s="27">
        <v>129150</v>
      </c>
      <c r="H149" s="27">
        <v>72992</v>
      </c>
      <c r="I149" s="27">
        <v>425511</v>
      </c>
      <c r="J149" s="27">
        <v>265695</v>
      </c>
    </row>
    <row r="150" spans="1:10" x14ac:dyDescent="0.25">
      <c r="A150" s="26">
        <v>500</v>
      </c>
      <c r="B150" s="26">
        <v>1</v>
      </c>
      <c r="C150" s="25" t="s">
        <v>285</v>
      </c>
      <c r="D150" s="27">
        <v>450</v>
      </c>
      <c r="E150" s="27">
        <v>64338</v>
      </c>
      <c r="F150" s="27">
        <v>50551</v>
      </c>
      <c r="G150" s="27">
        <v>190588</v>
      </c>
      <c r="H150" s="27">
        <v>149746</v>
      </c>
      <c r="I150" s="27">
        <v>141287</v>
      </c>
      <c r="J150" s="27">
        <v>63245</v>
      </c>
    </row>
    <row r="151" spans="1:10" x14ac:dyDescent="0.25">
      <c r="A151" s="26">
        <v>505</v>
      </c>
      <c r="B151" s="26">
        <v>1</v>
      </c>
      <c r="C151" s="25" t="s">
        <v>286</v>
      </c>
      <c r="D151" s="27">
        <v>322</v>
      </c>
      <c r="E151" s="27">
        <v>39028</v>
      </c>
      <c r="F151" s="27">
        <v>22248</v>
      </c>
      <c r="G151" s="27">
        <v>136401</v>
      </c>
      <c r="H151" s="27">
        <v>77755</v>
      </c>
      <c r="I151" s="27">
        <v>216990</v>
      </c>
      <c r="J151" s="27">
        <v>100564</v>
      </c>
    </row>
    <row r="152" spans="1:10" x14ac:dyDescent="0.25">
      <c r="A152" s="26">
        <v>507</v>
      </c>
      <c r="B152" s="26">
        <v>1</v>
      </c>
      <c r="C152" s="25" t="s">
        <v>287</v>
      </c>
      <c r="D152" s="27">
        <v>387</v>
      </c>
      <c r="E152" s="27">
        <v>36478</v>
      </c>
      <c r="F152" s="27">
        <v>30416</v>
      </c>
      <c r="G152" s="27">
        <v>163918</v>
      </c>
      <c r="H152" s="27">
        <v>136676</v>
      </c>
      <c r="I152" s="27">
        <v>432895</v>
      </c>
      <c r="J152" s="27">
        <v>301403</v>
      </c>
    </row>
    <row r="153" spans="1:10" x14ac:dyDescent="0.25">
      <c r="A153" s="26">
        <v>508</v>
      </c>
      <c r="B153" s="26">
        <v>1</v>
      </c>
      <c r="C153" s="25" t="s">
        <v>288</v>
      </c>
      <c r="D153" s="27">
        <v>2102</v>
      </c>
      <c r="E153" s="27">
        <v>277916</v>
      </c>
      <c r="F153" s="27">
        <v>196816</v>
      </c>
      <c r="G153" s="27">
        <v>891333</v>
      </c>
      <c r="H153" s="27">
        <v>631229</v>
      </c>
      <c r="I153" s="27">
        <v>1040169</v>
      </c>
      <c r="J153" s="27">
        <v>548847</v>
      </c>
    </row>
    <row r="154" spans="1:10" x14ac:dyDescent="0.25">
      <c r="A154" s="26">
        <v>511</v>
      </c>
      <c r="B154" s="26">
        <v>1</v>
      </c>
      <c r="C154" s="25" t="s">
        <v>289</v>
      </c>
      <c r="D154" s="27">
        <v>592</v>
      </c>
      <c r="E154" s="27">
        <v>70376</v>
      </c>
      <c r="F154" s="27">
        <v>30868</v>
      </c>
      <c r="G154" s="27">
        <v>251029</v>
      </c>
      <c r="H154" s="27">
        <v>110105</v>
      </c>
      <c r="I154" s="27">
        <v>423310</v>
      </c>
      <c r="J154" s="27">
        <v>152915</v>
      </c>
    </row>
    <row r="155" spans="1:10" x14ac:dyDescent="0.25">
      <c r="A155" s="26">
        <v>514</v>
      </c>
      <c r="B155" s="26">
        <v>1</v>
      </c>
      <c r="C155" s="25" t="s">
        <v>290</v>
      </c>
      <c r="D155" s="27">
        <v>153</v>
      </c>
      <c r="E155" s="27">
        <v>11622</v>
      </c>
      <c r="F155" s="27">
        <v>5824</v>
      </c>
      <c r="G155" s="27">
        <v>64745</v>
      </c>
      <c r="H155" s="27">
        <v>32443</v>
      </c>
      <c r="I155" s="27">
        <v>216987</v>
      </c>
      <c r="J155" s="27">
        <v>125042</v>
      </c>
    </row>
    <row r="156" spans="1:10" x14ac:dyDescent="0.25">
      <c r="A156" s="26">
        <v>518</v>
      </c>
      <c r="B156" s="26">
        <v>1</v>
      </c>
      <c r="C156" s="25" t="s">
        <v>291</v>
      </c>
      <c r="D156" s="27">
        <v>3153</v>
      </c>
      <c r="E156" s="27">
        <v>384284</v>
      </c>
      <c r="F156" s="27">
        <v>159410</v>
      </c>
      <c r="G156" s="27">
        <v>1336702</v>
      </c>
      <c r="H156" s="27">
        <v>554496</v>
      </c>
      <c r="I156" s="27">
        <v>2096511</v>
      </c>
      <c r="J156" s="27">
        <v>704726</v>
      </c>
    </row>
    <row r="157" spans="1:10" x14ac:dyDescent="0.25">
      <c r="A157" s="26">
        <v>531</v>
      </c>
      <c r="B157" s="26">
        <v>1</v>
      </c>
      <c r="C157" s="25" t="s">
        <v>292</v>
      </c>
      <c r="D157" s="27">
        <v>2106</v>
      </c>
      <c r="E157" s="27">
        <v>303250</v>
      </c>
      <c r="F157" s="27">
        <v>209517</v>
      </c>
      <c r="G157" s="27">
        <v>892902</v>
      </c>
      <c r="H157" s="27">
        <v>616912</v>
      </c>
      <c r="I157" s="27">
        <v>631770</v>
      </c>
      <c r="J157" s="27">
        <v>252968</v>
      </c>
    </row>
    <row r="158" spans="1:10" x14ac:dyDescent="0.25">
      <c r="A158" s="26">
        <v>533</v>
      </c>
      <c r="B158" s="26">
        <v>1</v>
      </c>
      <c r="C158" s="25" t="s">
        <v>293</v>
      </c>
      <c r="D158" s="27">
        <v>1287</v>
      </c>
      <c r="E158" s="27">
        <v>185328</v>
      </c>
      <c r="F158" s="27">
        <v>102521</v>
      </c>
      <c r="G158" s="27">
        <v>545688</v>
      </c>
      <c r="H158" s="27">
        <v>301867</v>
      </c>
      <c r="I158" s="27">
        <v>386100</v>
      </c>
      <c r="J158" s="27">
        <v>123782</v>
      </c>
    </row>
    <row r="159" spans="1:10" x14ac:dyDescent="0.25">
      <c r="A159" s="26">
        <v>534</v>
      </c>
      <c r="B159" s="26">
        <v>1</v>
      </c>
      <c r="C159" s="25" t="s">
        <v>294</v>
      </c>
      <c r="D159" s="27">
        <v>2071</v>
      </c>
      <c r="E159" s="27">
        <v>293900</v>
      </c>
      <c r="F159" s="27">
        <v>209444</v>
      </c>
      <c r="G159" s="27">
        <v>878295</v>
      </c>
      <c r="H159" s="27">
        <v>625905</v>
      </c>
      <c r="I159" s="27">
        <v>693915</v>
      </c>
      <c r="J159" s="27">
        <v>308308</v>
      </c>
    </row>
    <row r="160" spans="1:10" x14ac:dyDescent="0.25">
      <c r="A160" s="26">
        <v>535</v>
      </c>
      <c r="B160" s="26">
        <v>1</v>
      </c>
      <c r="C160" s="25" t="s">
        <v>295</v>
      </c>
      <c r="D160" s="27">
        <v>17934</v>
      </c>
      <c r="E160" s="27">
        <v>2571823</v>
      </c>
      <c r="F160" s="27">
        <v>2571823</v>
      </c>
      <c r="G160" s="27">
        <v>7604186</v>
      </c>
      <c r="H160" s="27">
        <v>7604186</v>
      </c>
      <c r="I160" s="27">
        <v>5557512</v>
      </c>
      <c r="J160" s="27">
        <v>3393288</v>
      </c>
    </row>
    <row r="161" spans="1:10" x14ac:dyDescent="0.25">
      <c r="A161" s="26">
        <v>542</v>
      </c>
      <c r="B161" s="26">
        <v>1</v>
      </c>
      <c r="C161" s="25" t="s">
        <v>296</v>
      </c>
      <c r="D161" s="27">
        <v>455</v>
      </c>
      <c r="E161" s="27">
        <v>65470</v>
      </c>
      <c r="F161" s="27">
        <v>65470</v>
      </c>
      <c r="G161" s="27">
        <v>192772</v>
      </c>
      <c r="H161" s="27">
        <v>192772</v>
      </c>
      <c r="I161" s="27">
        <v>136395</v>
      </c>
      <c r="J161" s="27">
        <v>136376</v>
      </c>
    </row>
    <row r="162" spans="1:10" x14ac:dyDescent="0.25">
      <c r="A162" s="26">
        <v>544</v>
      </c>
      <c r="B162" s="26">
        <v>1</v>
      </c>
      <c r="C162" s="25" t="s">
        <v>297</v>
      </c>
      <c r="D162" s="27">
        <v>2423</v>
      </c>
      <c r="E162" s="27">
        <v>348941</v>
      </c>
      <c r="F162" s="27">
        <v>348941</v>
      </c>
      <c r="G162" s="27">
        <v>1027437</v>
      </c>
      <c r="H162" s="27">
        <v>1027437</v>
      </c>
      <c r="I162" s="27">
        <v>726960</v>
      </c>
      <c r="J162" s="27">
        <v>493137</v>
      </c>
    </row>
    <row r="163" spans="1:10" x14ac:dyDescent="0.25">
      <c r="A163" s="26">
        <v>545</v>
      </c>
      <c r="B163" s="26">
        <v>1</v>
      </c>
      <c r="C163" s="25" t="s">
        <v>298</v>
      </c>
      <c r="D163" s="27">
        <v>420</v>
      </c>
      <c r="E163" s="27">
        <v>47213</v>
      </c>
      <c r="F163" s="27">
        <v>35881</v>
      </c>
      <c r="G163" s="27">
        <v>178165</v>
      </c>
      <c r="H163" s="27">
        <v>135403</v>
      </c>
      <c r="I163" s="27">
        <v>345598</v>
      </c>
      <c r="J163" s="27">
        <v>228668</v>
      </c>
    </row>
    <row r="164" spans="1:10" x14ac:dyDescent="0.25">
      <c r="A164" s="26">
        <v>547</v>
      </c>
      <c r="B164" s="26">
        <v>1</v>
      </c>
      <c r="C164" s="25" t="s">
        <v>299</v>
      </c>
      <c r="D164" s="27">
        <v>531</v>
      </c>
      <c r="E164" s="27">
        <v>61332</v>
      </c>
      <c r="F164" s="27">
        <v>43264</v>
      </c>
      <c r="G164" s="27">
        <v>225229</v>
      </c>
      <c r="H164" s="27">
        <v>158878</v>
      </c>
      <c r="I164" s="27">
        <v>409704</v>
      </c>
      <c r="J164" s="27">
        <v>243509</v>
      </c>
    </row>
    <row r="165" spans="1:10" x14ac:dyDescent="0.25">
      <c r="A165" s="26">
        <v>548</v>
      </c>
      <c r="B165" s="26">
        <v>1</v>
      </c>
      <c r="C165" s="25" t="s">
        <v>300</v>
      </c>
      <c r="D165" s="27">
        <v>976</v>
      </c>
      <c r="E165" s="27">
        <v>140267</v>
      </c>
      <c r="F165" s="27">
        <v>137586</v>
      </c>
      <c r="G165" s="27">
        <v>413739</v>
      </c>
      <c r="H165" s="27">
        <v>405831</v>
      </c>
      <c r="I165" s="27">
        <v>296838</v>
      </c>
      <c r="J165" s="27">
        <v>170433</v>
      </c>
    </row>
    <row r="166" spans="1:10" x14ac:dyDescent="0.25">
      <c r="A166" s="26">
        <v>549</v>
      </c>
      <c r="B166" s="26">
        <v>1</v>
      </c>
      <c r="C166" s="25" t="s">
        <v>301</v>
      </c>
      <c r="D166" s="27">
        <v>1369</v>
      </c>
      <c r="E166" s="27">
        <v>197115</v>
      </c>
      <c r="F166" s="27">
        <v>197115</v>
      </c>
      <c r="G166" s="27">
        <v>580392</v>
      </c>
      <c r="H166" s="27">
        <v>580392</v>
      </c>
      <c r="I166" s="27">
        <v>410655</v>
      </c>
      <c r="J166" s="27">
        <v>374178</v>
      </c>
    </row>
    <row r="167" spans="1:10" x14ac:dyDescent="0.25">
      <c r="A167" s="26">
        <v>550</v>
      </c>
      <c r="B167" s="26">
        <v>1</v>
      </c>
      <c r="C167" s="25" t="s">
        <v>302</v>
      </c>
      <c r="D167" s="27">
        <v>600</v>
      </c>
      <c r="E167" s="27">
        <v>86458</v>
      </c>
      <c r="F167" s="27">
        <v>86458</v>
      </c>
      <c r="G167" s="27">
        <v>254570</v>
      </c>
      <c r="H167" s="27">
        <v>254570</v>
      </c>
      <c r="I167" s="27">
        <v>180120</v>
      </c>
      <c r="J167" s="27">
        <v>246</v>
      </c>
    </row>
    <row r="168" spans="1:10" x14ac:dyDescent="0.25">
      <c r="A168" s="26">
        <v>553</v>
      </c>
      <c r="B168" s="26">
        <v>1</v>
      </c>
      <c r="C168" s="25" t="s">
        <v>303</v>
      </c>
      <c r="D168" s="27">
        <v>791</v>
      </c>
      <c r="E168" s="27">
        <v>113875</v>
      </c>
      <c r="F168" s="27">
        <v>65500</v>
      </c>
      <c r="G168" s="27">
        <v>335299</v>
      </c>
      <c r="H168" s="27">
        <v>192863</v>
      </c>
      <c r="I168" s="27">
        <v>237240</v>
      </c>
      <c r="J168" s="27">
        <v>79084</v>
      </c>
    </row>
    <row r="169" spans="1:10" x14ac:dyDescent="0.25">
      <c r="A169" s="26">
        <v>561</v>
      </c>
      <c r="B169" s="26">
        <v>1</v>
      </c>
      <c r="C169" s="25" t="s">
        <v>304</v>
      </c>
      <c r="D169" s="27">
        <v>224</v>
      </c>
      <c r="E169" s="27">
        <v>11180</v>
      </c>
      <c r="F169" s="27">
        <v>3113</v>
      </c>
      <c r="G169" s="27">
        <v>94806</v>
      </c>
      <c r="H169" s="27">
        <v>26402</v>
      </c>
      <c r="I169" s="27">
        <v>544457</v>
      </c>
      <c r="J169" s="27">
        <v>222890</v>
      </c>
    </row>
    <row r="170" spans="1:10" x14ac:dyDescent="0.25">
      <c r="A170" s="26">
        <v>564</v>
      </c>
      <c r="B170" s="26">
        <v>1</v>
      </c>
      <c r="C170" s="25" t="s">
        <v>305</v>
      </c>
      <c r="D170" s="27">
        <v>2178</v>
      </c>
      <c r="E170" s="27">
        <v>302907</v>
      </c>
      <c r="F170" s="27">
        <v>184323</v>
      </c>
      <c r="G170" s="27">
        <v>923387</v>
      </c>
      <c r="H170" s="27">
        <v>561894</v>
      </c>
      <c r="I170" s="27">
        <v>829960</v>
      </c>
      <c r="J170" s="27">
        <v>337884</v>
      </c>
    </row>
    <row r="171" spans="1:10" x14ac:dyDescent="0.25">
      <c r="A171" s="26">
        <v>577</v>
      </c>
      <c r="B171" s="26">
        <v>1</v>
      </c>
      <c r="C171" s="25" t="s">
        <v>306</v>
      </c>
      <c r="D171" s="27">
        <v>457</v>
      </c>
      <c r="E171" s="27">
        <v>65808</v>
      </c>
      <c r="F171" s="27">
        <v>40161</v>
      </c>
      <c r="G171" s="27">
        <v>193768</v>
      </c>
      <c r="H171" s="27">
        <v>118251</v>
      </c>
      <c r="I171" s="27">
        <v>137100</v>
      </c>
      <c r="J171" s="27">
        <v>48490</v>
      </c>
    </row>
    <row r="172" spans="1:10" x14ac:dyDescent="0.25">
      <c r="A172" s="26">
        <v>578</v>
      </c>
      <c r="B172" s="26">
        <v>1</v>
      </c>
      <c r="C172" s="25" t="s">
        <v>307</v>
      </c>
      <c r="D172" s="27">
        <v>1855</v>
      </c>
      <c r="E172" s="27">
        <v>249840</v>
      </c>
      <c r="F172" s="27">
        <v>150959</v>
      </c>
      <c r="G172" s="27">
        <v>786605</v>
      </c>
      <c r="H172" s="27">
        <v>475283</v>
      </c>
      <c r="I172" s="27">
        <v>842372</v>
      </c>
      <c r="J172" s="27">
        <v>367587</v>
      </c>
    </row>
    <row r="173" spans="1:10" x14ac:dyDescent="0.25">
      <c r="A173" s="26">
        <v>581</v>
      </c>
      <c r="B173" s="26">
        <v>1</v>
      </c>
      <c r="C173" s="25" t="s">
        <v>308</v>
      </c>
      <c r="D173" s="27">
        <v>395</v>
      </c>
      <c r="E173" s="27">
        <v>49760</v>
      </c>
      <c r="F173" s="27">
        <v>38272</v>
      </c>
      <c r="G173" s="27">
        <v>167289</v>
      </c>
      <c r="H173" s="27">
        <v>128668</v>
      </c>
      <c r="I173" s="27">
        <v>234872</v>
      </c>
      <c r="J173" s="27">
        <v>142371</v>
      </c>
    </row>
    <row r="174" spans="1:10" x14ac:dyDescent="0.25">
      <c r="A174" s="26">
        <v>592</v>
      </c>
      <c r="B174" s="26">
        <v>1</v>
      </c>
      <c r="C174" s="25" t="s">
        <v>309</v>
      </c>
      <c r="D174" s="27">
        <v>129</v>
      </c>
      <c r="E174" s="27">
        <v>6425</v>
      </c>
      <c r="F174" s="27">
        <v>2244</v>
      </c>
      <c r="G174" s="27">
        <v>54484</v>
      </c>
      <c r="H174" s="27">
        <v>19031</v>
      </c>
      <c r="I174" s="27">
        <v>234482</v>
      </c>
      <c r="J174" s="27">
        <v>112500</v>
      </c>
    </row>
    <row r="175" spans="1:10" x14ac:dyDescent="0.25">
      <c r="A175" s="26">
        <v>593</v>
      </c>
      <c r="B175" s="26">
        <v>1</v>
      </c>
      <c r="C175" s="25" t="s">
        <v>310</v>
      </c>
      <c r="D175" s="27">
        <v>1399</v>
      </c>
      <c r="E175" s="27">
        <v>132986</v>
      </c>
      <c r="F175" s="27">
        <v>65384</v>
      </c>
      <c r="G175" s="27">
        <v>593346</v>
      </c>
      <c r="H175" s="27">
        <v>291726</v>
      </c>
      <c r="I175" s="27">
        <v>1551361</v>
      </c>
      <c r="J175" s="27">
        <v>857908</v>
      </c>
    </row>
    <row r="176" spans="1:10" x14ac:dyDescent="0.25">
      <c r="A176" s="26">
        <v>595</v>
      </c>
      <c r="B176" s="26">
        <v>1</v>
      </c>
      <c r="C176" s="25" t="s">
        <v>311</v>
      </c>
      <c r="D176" s="27">
        <v>1820</v>
      </c>
      <c r="E176" s="27">
        <v>262080</v>
      </c>
      <c r="F176" s="27">
        <v>164604</v>
      </c>
      <c r="G176" s="27">
        <v>771680</v>
      </c>
      <c r="H176" s="27">
        <v>484668</v>
      </c>
      <c r="I176" s="27">
        <v>546000</v>
      </c>
      <c r="J176" s="27">
        <v>198741</v>
      </c>
    </row>
    <row r="177" spans="1:10" x14ac:dyDescent="0.25">
      <c r="A177" s="26">
        <v>599</v>
      </c>
      <c r="B177" s="26">
        <v>1</v>
      </c>
      <c r="C177" s="25" t="s">
        <v>312</v>
      </c>
      <c r="D177" s="27">
        <v>476</v>
      </c>
      <c r="E177" s="27">
        <v>55096</v>
      </c>
      <c r="F177" s="27">
        <v>36910</v>
      </c>
      <c r="G177" s="27">
        <v>201654</v>
      </c>
      <c r="H177" s="27">
        <v>135093</v>
      </c>
      <c r="I177" s="27">
        <v>363786</v>
      </c>
      <c r="J177" s="27">
        <v>204290</v>
      </c>
    </row>
    <row r="178" spans="1:10" x14ac:dyDescent="0.25">
      <c r="A178" s="26">
        <v>600</v>
      </c>
      <c r="B178" s="26">
        <v>1</v>
      </c>
      <c r="C178" s="25" t="s">
        <v>313</v>
      </c>
      <c r="D178" s="27">
        <v>270</v>
      </c>
      <c r="E178" s="27">
        <v>36180</v>
      </c>
      <c r="F178" s="27">
        <v>22629</v>
      </c>
      <c r="G178" s="27">
        <v>114268</v>
      </c>
      <c r="H178" s="27">
        <v>71469</v>
      </c>
      <c r="I178" s="27">
        <v>124240</v>
      </c>
      <c r="J178" s="27">
        <v>42302</v>
      </c>
    </row>
    <row r="179" spans="1:10" x14ac:dyDescent="0.25">
      <c r="A179" s="26">
        <v>601</v>
      </c>
      <c r="B179" s="26">
        <v>1</v>
      </c>
      <c r="C179" s="25" t="s">
        <v>314</v>
      </c>
      <c r="D179" s="27">
        <v>682</v>
      </c>
      <c r="E179" s="27">
        <v>80312</v>
      </c>
      <c r="F179" s="27">
        <v>42197</v>
      </c>
      <c r="G179" s="27">
        <v>289338</v>
      </c>
      <c r="H179" s="27">
        <v>152023</v>
      </c>
      <c r="I179" s="27">
        <v>501168</v>
      </c>
      <c r="J179" s="27">
        <v>218096</v>
      </c>
    </row>
    <row r="180" spans="1:10" x14ac:dyDescent="0.25">
      <c r="A180" s="26">
        <v>621</v>
      </c>
      <c r="B180" s="26">
        <v>1</v>
      </c>
      <c r="C180" s="25" t="s">
        <v>315</v>
      </c>
      <c r="D180" s="27">
        <v>11360</v>
      </c>
      <c r="E180" s="27">
        <v>1160431</v>
      </c>
      <c r="F180" s="27">
        <v>1160431</v>
      </c>
      <c r="G180" s="27">
        <v>4816810</v>
      </c>
      <c r="H180" s="27">
        <v>4816810</v>
      </c>
      <c r="I180" s="27">
        <v>13079910</v>
      </c>
      <c r="J180" s="27">
        <v>12302644</v>
      </c>
    </row>
    <row r="181" spans="1:10" x14ac:dyDescent="0.25">
      <c r="A181" s="26">
        <v>622</v>
      </c>
      <c r="B181" s="26">
        <v>1</v>
      </c>
      <c r="C181" s="25" t="s">
        <v>316</v>
      </c>
      <c r="D181" s="27">
        <v>11790</v>
      </c>
      <c r="E181" s="27">
        <v>1803953</v>
      </c>
      <c r="F181" s="27">
        <v>1803953</v>
      </c>
      <c r="G181" s="27">
        <v>4999130</v>
      </c>
      <c r="H181" s="27">
        <v>4999130</v>
      </c>
      <c r="I181" s="27">
        <v>5763973</v>
      </c>
      <c r="J181" s="27">
        <v>4337292</v>
      </c>
    </row>
    <row r="182" spans="1:10" x14ac:dyDescent="0.25">
      <c r="A182" s="26">
        <v>623</v>
      </c>
      <c r="B182" s="26">
        <v>1</v>
      </c>
      <c r="C182" s="25" t="s">
        <v>317</v>
      </c>
      <c r="D182" s="27">
        <v>7887</v>
      </c>
      <c r="E182" s="27">
        <v>831991</v>
      </c>
      <c r="F182" s="27">
        <v>831991</v>
      </c>
      <c r="G182" s="27">
        <v>3344003</v>
      </c>
      <c r="H182" s="27">
        <v>3344003</v>
      </c>
      <c r="I182" s="27">
        <v>8736918</v>
      </c>
      <c r="J182" s="27">
        <v>8256778</v>
      </c>
    </row>
    <row r="183" spans="1:10" x14ac:dyDescent="0.25">
      <c r="A183" s="26">
        <v>624</v>
      </c>
      <c r="B183" s="26">
        <v>1</v>
      </c>
      <c r="C183" s="25" t="s">
        <v>318</v>
      </c>
      <c r="D183" s="27">
        <v>8949</v>
      </c>
      <c r="E183" s="27">
        <v>723638</v>
      </c>
      <c r="F183" s="27">
        <v>723638</v>
      </c>
      <c r="G183" s="27">
        <v>3794567</v>
      </c>
      <c r="H183" s="27">
        <v>3794567</v>
      </c>
      <c r="I183" s="27">
        <v>12785990</v>
      </c>
      <c r="J183" s="27">
        <v>11985679</v>
      </c>
    </row>
    <row r="184" spans="1:10" x14ac:dyDescent="0.25">
      <c r="A184" s="26">
        <v>625</v>
      </c>
      <c r="B184" s="26">
        <v>1</v>
      </c>
      <c r="C184" s="25" t="s">
        <v>319</v>
      </c>
      <c r="D184" s="27">
        <v>40728</v>
      </c>
      <c r="E184" s="27">
        <v>2036400</v>
      </c>
      <c r="F184" s="27">
        <v>1429379</v>
      </c>
      <c r="G184" s="27">
        <v>17268672</v>
      </c>
      <c r="H184" s="27">
        <v>12121134</v>
      </c>
      <c r="I184" s="27">
        <v>26043112</v>
      </c>
      <c r="J184" s="27">
        <v>14674108</v>
      </c>
    </row>
    <row r="185" spans="1:10" x14ac:dyDescent="0.25">
      <c r="A185" s="26">
        <v>630</v>
      </c>
      <c r="B185" s="26">
        <v>1</v>
      </c>
      <c r="C185" s="25" t="s">
        <v>320</v>
      </c>
      <c r="D185" s="27">
        <v>401</v>
      </c>
      <c r="E185" s="27">
        <v>34647</v>
      </c>
      <c r="F185" s="27">
        <v>12906</v>
      </c>
      <c r="G185" s="27">
        <v>169854</v>
      </c>
      <c r="H185" s="27">
        <v>63271</v>
      </c>
      <c r="I185" s="27">
        <v>500602</v>
      </c>
      <c r="J185" s="27">
        <v>223083</v>
      </c>
    </row>
    <row r="186" spans="1:10" x14ac:dyDescent="0.25">
      <c r="A186" s="26">
        <v>635</v>
      </c>
      <c r="B186" s="26">
        <v>1</v>
      </c>
      <c r="C186" s="25" t="s">
        <v>321</v>
      </c>
      <c r="D186" s="27">
        <v>56</v>
      </c>
      <c r="E186" s="27">
        <v>2820</v>
      </c>
      <c r="F186" s="27">
        <v>1687</v>
      </c>
      <c r="G186" s="27">
        <v>23914</v>
      </c>
      <c r="H186" s="27">
        <v>14304</v>
      </c>
      <c r="I186" s="27">
        <v>171112</v>
      </c>
      <c r="J186" s="27">
        <v>135309</v>
      </c>
    </row>
    <row r="187" spans="1:10" x14ac:dyDescent="0.25">
      <c r="A187" s="26">
        <v>640</v>
      </c>
      <c r="B187" s="26">
        <v>1</v>
      </c>
      <c r="C187" s="25" t="s">
        <v>322</v>
      </c>
      <c r="D187" s="27">
        <v>372</v>
      </c>
      <c r="E187" s="27">
        <v>45878</v>
      </c>
      <c r="F187" s="27">
        <v>26744</v>
      </c>
      <c r="G187" s="27">
        <v>157813</v>
      </c>
      <c r="H187" s="27">
        <v>91996</v>
      </c>
      <c r="I187" s="27">
        <v>239120</v>
      </c>
      <c r="J187" s="27">
        <v>112026</v>
      </c>
    </row>
    <row r="188" spans="1:10" x14ac:dyDescent="0.25">
      <c r="A188" s="26">
        <v>656</v>
      </c>
      <c r="B188" s="26">
        <v>1</v>
      </c>
      <c r="C188" s="25" t="s">
        <v>126</v>
      </c>
      <c r="D188" s="27">
        <v>4097</v>
      </c>
      <c r="E188" s="27">
        <v>483275</v>
      </c>
      <c r="F188" s="27">
        <v>347387</v>
      </c>
      <c r="G188" s="27">
        <v>1737213</v>
      </c>
      <c r="H188" s="27">
        <v>1248739</v>
      </c>
      <c r="I188" s="27">
        <v>2991366</v>
      </c>
      <c r="J188" s="27">
        <v>1778758</v>
      </c>
    </row>
    <row r="189" spans="1:10" x14ac:dyDescent="0.25">
      <c r="A189" s="26">
        <v>659</v>
      </c>
      <c r="B189" s="26">
        <v>1</v>
      </c>
      <c r="C189" s="25" t="s">
        <v>323</v>
      </c>
      <c r="D189" s="27">
        <v>4029</v>
      </c>
      <c r="E189" s="27">
        <v>311406</v>
      </c>
      <c r="F189" s="27">
        <v>273126</v>
      </c>
      <c r="G189" s="27">
        <v>1708211</v>
      </c>
      <c r="H189" s="27">
        <v>1498224</v>
      </c>
      <c r="I189" s="27">
        <v>5646121</v>
      </c>
      <c r="J189" s="27">
        <v>4824021</v>
      </c>
    </row>
    <row r="190" spans="1:10" x14ac:dyDescent="0.25">
      <c r="A190" s="26">
        <v>671</v>
      </c>
      <c r="B190" s="26">
        <v>1</v>
      </c>
      <c r="C190" s="25" t="s">
        <v>324</v>
      </c>
      <c r="D190" s="27">
        <v>369</v>
      </c>
      <c r="E190" s="27">
        <v>33109</v>
      </c>
      <c r="F190" s="27">
        <v>15472</v>
      </c>
      <c r="G190" s="27">
        <v>156286</v>
      </c>
      <c r="H190" s="27">
        <v>73033</v>
      </c>
      <c r="I190" s="27">
        <v>440315</v>
      </c>
      <c r="J190" s="27">
        <v>240818</v>
      </c>
    </row>
    <row r="191" spans="1:10" x14ac:dyDescent="0.25">
      <c r="A191" s="26">
        <v>676</v>
      </c>
      <c r="B191" s="26">
        <v>1</v>
      </c>
      <c r="C191" s="25" t="s">
        <v>325</v>
      </c>
      <c r="D191" s="27">
        <v>218</v>
      </c>
      <c r="E191" s="27">
        <v>10878</v>
      </c>
      <c r="F191" s="27">
        <v>3449</v>
      </c>
      <c r="G191" s="27">
        <v>92241</v>
      </c>
      <c r="H191" s="27">
        <v>29247</v>
      </c>
      <c r="I191" s="27">
        <v>352642</v>
      </c>
      <c r="J191" s="27">
        <v>148167</v>
      </c>
    </row>
    <row r="192" spans="1:10" x14ac:dyDescent="0.25">
      <c r="A192" s="26">
        <v>682</v>
      </c>
      <c r="B192" s="26">
        <v>1</v>
      </c>
      <c r="C192" s="25" t="s">
        <v>326</v>
      </c>
      <c r="D192" s="27">
        <v>1324</v>
      </c>
      <c r="E192" s="27">
        <v>189657</v>
      </c>
      <c r="F192" s="27">
        <v>82392</v>
      </c>
      <c r="G192" s="27">
        <v>561461</v>
      </c>
      <c r="H192" s="27">
        <v>243915</v>
      </c>
      <c r="I192" s="27">
        <v>414223</v>
      </c>
      <c r="J192" s="27">
        <v>107388</v>
      </c>
    </row>
    <row r="193" spans="1:10" x14ac:dyDescent="0.25">
      <c r="A193" s="26">
        <v>690</v>
      </c>
      <c r="B193" s="26">
        <v>1</v>
      </c>
      <c r="C193" s="25" t="s">
        <v>327</v>
      </c>
      <c r="D193" s="27">
        <v>1134</v>
      </c>
      <c r="E193" s="27">
        <v>163325</v>
      </c>
      <c r="F193" s="27">
        <v>77147</v>
      </c>
      <c r="G193" s="27">
        <v>480901</v>
      </c>
      <c r="H193" s="27">
        <v>227156</v>
      </c>
      <c r="I193" s="27">
        <v>340260</v>
      </c>
      <c r="J193" s="27">
        <v>93146</v>
      </c>
    </row>
    <row r="194" spans="1:10" x14ac:dyDescent="0.25">
      <c r="A194" s="26">
        <v>695</v>
      </c>
      <c r="B194" s="26">
        <v>1</v>
      </c>
      <c r="C194" s="25" t="s">
        <v>328</v>
      </c>
      <c r="D194" s="27">
        <v>809</v>
      </c>
      <c r="E194" s="27">
        <v>104036</v>
      </c>
      <c r="F194" s="27">
        <v>41565</v>
      </c>
      <c r="G194" s="27">
        <v>342846</v>
      </c>
      <c r="H194" s="27">
        <v>136975</v>
      </c>
      <c r="I194" s="27">
        <v>447366</v>
      </c>
      <c r="J194" s="27">
        <v>137984</v>
      </c>
    </row>
    <row r="195" spans="1:10" x14ac:dyDescent="0.25">
      <c r="A195" s="26">
        <v>696</v>
      </c>
      <c r="B195" s="26">
        <v>1</v>
      </c>
      <c r="C195" s="25" t="s">
        <v>329</v>
      </c>
      <c r="D195" s="27">
        <v>572</v>
      </c>
      <c r="E195" s="27">
        <v>73213</v>
      </c>
      <c r="F195" s="27">
        <v>73213</v>
      </c>
      <c r="G195" s="27">
        <v>242316</v>
      </c>
      <c r="H195" s="27">
        <v>242316</v>
      </c>
      <c r="I195" s="27">
        <v>321423</v>
      </c>
      <c r="J195" s="27">
        <v>299288</v>
      </c>
    </row>
    <row r="196" spans="1:10" x14ac:dyDescent="0.25">
      <c r="A196" s="26">
        <v>698</v>
      </c>
      <c r="B196" s="26">
        <v>1</v>
      </c>
      <c r="C196" s="25" t="s">
        <v>330</v>
      </c>
      <c r="D196" s="27">
        <v>267</v>
      </c>
      <c r="E196" s="27">
        <v>38506</v>
      </c>
      <c r="F196" s="27">
        <v>38506</v>
      </c>
      <c r="G196" s="27">
        <v>113378</v>
      </c>
      <c r="H196" s="27">
        <v>113378</v>
      </c>
      <c r="I196" s="27">
        <v>80220</v>
      </c>
      <c r="J196" s="27">
        <v>71119</v>
      </c>
    </row>
    <row r="197" spans="1:10" x14ac:dyDescent="0.25">
      <c r="A197" s="26">
        <v>700</v>
      </c>
      <c r="B197" s="26">
        <v>1</v>
      </c>
      <c r="C197" s="25" t="s">
        <v>331</v>
      </c>
      <c r="D197" s="27">
        <v>2155</v>
      </c>
      <c r="E197" s="27">
        <v>310277</v>
      </c>
      <c r="F197" s="27">
        <v>310277</v>
      </c>
      <c r="G197" s="27">
        <v>913593</v>
      </c>
      <c r="H197" s="27">
        <v>913593</v>
      </c>
      <c r="I197" s="27">
        <v>646410</v>
      </c>
      <c r="J197" s="27">
        <v>388040</v>
      </c>
    </row>
    <row r="198" spans="1:10" x14ac:dyDescent="0.25">
      <c r="A198" s="26">
        <v>701</v>
      </c>
      <c r="B198" s="26">
        <v>1</v>
      </c>
      <c r="C198" s="25" t="s">
        <v>332</v>
      </c>
      <c r="D198" s="27">
        <v>2514</v>
      </c>
      <c r="E198" s="27">
        <v>362074</v>
      </c>
      <c r="F198" s="27">
        <v>243503</v>
      </c>
      <c r="G198" s="27">
        <v>1066106</v>
      </c>
      <c r="H198" s="27">
        <v>716980</v>
      </c>
      <c r="I198" s="27">
        <v>754320</v>
      </c>
      <c r="J198" s="27">
        <v>294002</v>
      </c>
    </row>
    <row r="199" spans="1:10" x14ac:dyDescent="0.25">
      <c r="A199" s="26">
        <v>704</v>
      </c>
      <c r="B199" s="26">
        <v>1</v>
      </c>
      <c r="C199" s="25" t="s">
        <v>333</v>
      </c>
      <c r="D199" s="27">
        <v>1956</v>
      </c>
      <c r="E199" s="27">
        <v>281664</v>
      </c>
      <c r="F199" s="27">
        <v>263567</v>
      </c>
      <c r="G199" s="27">
        <v>829344</v>
      </c>
      <c r="H199" s="27">
        <v>776059</v>
      </c>
      <c r="I199" s="27">
        <v>586800</v>
      </c>
      <c r="J199" s="27">
        <v>318228</v>
      </c>
    </row>
    <row r="200" spans="1:10" x14ac:dyDescent="0.25">
      <c r="A200" s="26">
        <v>706</v>
      </c>
      <c r="B200" s="26">
        <v>1</v>
      </c>
      <c r="C200" s="25" t="s">
        <v>334</v>
      </c>
      <c r="D200" s="27">
        <v>1932</v>
      </c>
      <c r="E200" s="27">
        <v>278179</v>
      </c>
      <c r="F200" s="27">
        <v>187832</v>
      </c>
      <c r="G200" s="27">
        <v>819083</v>
      </c>
      <c r="H200" s="27">
        <v>553060</v>
      </c>
      <c r="I200" s="27">
        <v>579540</v>
      </c>
      <c r="J200" s="27">
        <v>226786</v>
      </c>
    </row>
    <row r="201" spans="1:10" x14ac:dyDescent="0.25">
      <c r="A201" s="26">
        <v>707</v>
      </c>
      <c r="B201" s="26">
        <v>1</v>
      </c>
      <c r="C201" s="25" t="s">
        <v>335</v>
      </c>
      <c r="D201" s="27">
        <v>135</v>
      </c>
      <c r="E201" s="27">
        <v>19454</v>
      </c>
      <c r="F201" s="27">
        <v>40</v>
      </c>
      <c r="G201" s="27">
        <v>57282</v>
      </c>
      <c r="H201" s="27">
        <v>117</v>
      </c>
      <c r="I201" s="27">
        <v>40530</v>
      </c>
      <c r="J201" s="27">
        <v>48</v>
      </c>
    </row>
    <row r="202" spans="1:10" x14ac:dyDescent="0.25">
      <c r="A202" s="26">
        <v>709</v>
      </c>
      <c r="B202" s="26">
        <v>1</v>
      </c>
      <c r="C202" s="25" t="s">
        <v>336</v>
      </c>
      <c r="D202" s="27">
        <v>9023</v>
      </c>
      <c r="E202" s="27">
        <v>451130</v>
      </c>
      <c r="F202" s="27">
        <v>451130</v>
      </c>
      <c r="G202" s="27">
        <v>3825582</v>
      </c>
      <c r="H202" s="27">
        <v>3825582</v>
      </c>
      <c r="I202" s="27">
        <v>3354422</v>
      </c>
      <c r="J202" s="27">
        <v>2321191</v>
      </c>
    </row>
    <row r="203" spans="1:10" x14ac:dyDescent="0.25">
      <c r="A203" s="26">
        <v>712</v>
      </c>
      <c r="B203" s="26">
        <v>1</v>
      </c>
      <c r="C203" s="25" t="s">
        <v>337</v>
      </c>
      <c r="D203" s="27">
        <v>533</v>
      </c>
      <c r="E203" s="27">
        <v>76810</v>
      </c>
      <c r="F203" s="27">
        <v>58011</v>
      </c>
      <c r="G203" s="27">
        <v>226162</v>
      </c>
      <c r="H203" s="27">
        <v>170810</v>
      </c>
      <c r="I203" s="27">
        <v>160020</v>
      </c>
      <c r="J203" s="27">
        <v>70042</v>
      </c>
    </row>
    <row r="204" spans="1:10" x14ac:dyDescent="0.25">
      <c r="A204" s="26">
        <v>716</v>
      </c>
      <c r="B204" s="26">
        <v>1</v>
      </c>
      <c r="C204" s="25" t="s">
        <v>338</v>
      </c>
      <c r="D204" s="27">
        <v>1741</v>
      </c>
      <c r="E204" s="27">
        <v>291627</v>
      </c>
      <c r="F204" s="27">
        <v>200967</v>
      </c>
      <c r="G204" s="27">
        <v>738205</v>
      </c>
      <c r="H204" s="27">
        <v>508716</v>
      </c>
      <c r="I204" s="27">
        <v>522315</v>
      </c>
      <c r="J204" s="27">
        <v>208602</v>
      </c>
    </row>
    <row r="205" spans="1:10" x14ac:dyDescent="0.25">
      <c r="A205" s="26">
        <v>717</v>
      </c>
      <c r="B205" s="26">
        <v>1</v>
      </c>
      <c r="C205" s="25" t="s">
        <v>339</v>
      </c>
      <c r="D205" s="27">
        <v>1955</v>
      </c>
      <c r="E205" s="27">
        <v>327530</v>
      </c>
      <c r="F205" s="27">
        <v>191491</v>
      </c>
      <c r="G205" s="27">
        <v>829090</v>
      </c>
      <c r="H205" s="27">
        <v>484728</v>
      </c>
      <c r="I205" s="27">
        <v>586620</v>
      </c>
      <c r="J205" s="27">
        <v>198765</v>
      </c>
    </row>
    <row r="206" spans="1:10" x14ac:dyDescent="0.25">
      <c r="A206" s="26">
        <v>719</v>
      </c>
      <c r="B206" s="26">
        <v>1</v>
      </c>
      <c r="C206" s="25" t="s">
        <v>340</v>
      </c>
      <c r="D206" s="27">
        <v>8089</v>
      </c>
      <c r="E206" s="27">
        <v>1101736</v>
      </c>
      <c r="F206" s="27">
        <v>1094681</v>
      </c>
      <c r="G206" s="27">
        <v>3429609</v>
      </c>
      <c r="H206" s="27">
        <v>3407646</v>
      </c>
      <c r="I206" s="27">
        <v>5724049</v>
      </c>
      <c r="J206" s="27">
        <v>4673647</v>
      </c>
    </row>
    <row r="207" spans="1:10" x14ac:dyDescent="0.25">
      <c r="A207" s="26">
        <v>720</v>
      </c>
      <c r="B207" s="26">
        <v>1</v>
      </c>
      <c r="C207" s="25" t="s">
        <v>341</v>
      </c>
      <c r="D207" s="27">
        <v>8915</v>
      </c>
      <c r="E207" s="27">
        <v>1493263</v>
      </c>
      <c r="F207" s="27">
        <v>1206087</v>
      </c>
      <c r="G207" s="27">
        <v>3779960</v>
      </c>
      <c r="H207" s="27">
        <v>3053021</v>
      </c>
      <c r="I207" s="27">
        <v>2674500</v>
      </c>
      <c r="J207" s="27">
        <v>1251909</v>
      </c>
    </row>
    <row r="208" spans="1:10" x14ac:dyDescent="0.25">
      <c r="A208" s="26">
        <v>721</v>
      </c>
      <c r="B208" s="26">
        <v>1</v>
      </c>
      <c r="C208" s="25" t="s">
        <v>342</v>
      </c>
      <c r="D208" s="27">
        <v>4328</v>
      </c>
      <c r="E208" s="27">
        <v>683461</v>
      </c>
      <c r="F208" s="27">
        <v>523399</v>
      </c>
      <c r="G208" s="27">
        <v>1835242</v>
      </c>
      <c r="H208" s="27">
        <v>1405440</v>
      </c>
      <c r="I208" s="27">
        <v>1839743</v>
      </c>
      <c r="J208" s="27">
        <v>990781</v>
      </c>
    </row>
    <row r="209" spans="1:10" x14ac:dyDescent="0.25">
      <c r="A209" s="26">
        <v>726</v>
      </c>
      <c r="B209" s="26">
        <v>1</v>
      </c>
      <c r="C209" s="25" t="s">
        <v>343</v>
      </c>
      <c r="D209" s="27">
        <v>2981</v>
      </c>
      <c r="E209" s="27">
        <v>417740</v>
      </c>
      <c r="F209" s="27">
        <v>392296</v>
      </c>
      <c r="G209" s="27">
        <v>1264029</v>
      </c>
      <c r="H209" s="27">
        <v>1187039</v>
      </c>
      <c r="I209" s="27">
        <v>1085127</v>
      </c>
      <c r="J209" s="27">
        <v>665900</v>
      </c>
    </row>
    <row r="210" spans="1:10" x14ac:dyDescent="0.25">
      <c r="A210" s="26">
        <v>727</v>
      </c>
      <c r="B210" s="26">
        <v>1</v>
      </c>
      <c r="C210" s="25" t="s">
        <v>344</v>
      </c>
      <c r="D210" s="27">
        <v>3507</v>
      </c>
      <c r="E210" s="27">
        <v>502774</v>
      </c>
      <c r="F210" s="27">
        <v>279331</v>
      </c>
      <c r="G210" s="27">
        <v>1486798</v>
      </c>
      <c r="H210" s="27">
        <v>826035</v>
      </c>
      <c r="I210" s="27">
        <v>1087923</v>
      </c>
      <c r="J210" s="27">
        <v>358689</v>
      </c>
    </row>
    <row r="211" spans="1:10" x14ac:dyDescent="0.25">
      <c r="A211" s="26">
        <v>728</v>
      </c>
      <c r="B211" s="26">
        <v>1</v>
      </c>
      <c r="C211" s="25" t="s">
        <v>345</v>
      </c>
      <c r="D211" s="27">
        <v>14021</v>
      </c>
      <c r="E211" s="27">
        <v>1978005</v>
      </c>
      <c r="F211" s="27">
        <v>1370308</v>
      </c>
      <c r="G211" s="27">
        <v>5944734</v>
      </c>
      <c r="H211" s="27">
        <v>4118350</v>
      </c>
      <c r="I211" s="27">
        <v>4882534</v>
      </c>
      <c r="J211" s="27">
        <v>2157313</v>
      </c>
    </row>
    <row r="212" spans="1:10" x14ac:dyDescent="0.25">
      <c r="A212" s="26">
        <v>738</v>
      </c>
      <c r="B212" s="26">
        <v>1</v>
      </c>
      <c r="C212" s="25" t="s">
        <v>346</v>
      </c>
      <c r="D212" s="27">
        <v>1118</v>
      </c>
      <c r="E212" s="27">
        <v>160963</v>
      </c>
      <c r="F212" s="27">
        <v>96433</v>
      </c>
      <c r="G212" s="27">
        <v>473947</v>
      </c>
      <c r="H212" s="27">
        <v>283942</v>
      </c>
      <c r="I212" s="27">
        <v>335340</v>
      </c>
      <c r="J212" s="27">
        <v>116432</v>
      </c>
    </row>
    <row r="213" spans="1:10" x14ac:dyDescent="0.25">
      <c r="A213" s="26">
        <v>739</v>
      </c>
      <c r="B213" s="26">
        <v>1</v>
      </c>
      <c r="C213" s="25" t="s">
        <v>347</v>
      </c>
      <c r="D213" s="27">
        <v>706</v>
      </c>
      <c r="E213" s="27">
        <v>86436</v>
      </c>
      <c r="F213" s="27">
        <v>65699</v>
      </c>
      <c r="G213" s="27">
        <v>299259</v>
      </c>
      <c r="H213" s="27">
        <v>227464</v>
      </c>
      <c r="I213" s="27">
        <v>462708</v>
      </c>
      <c r="J213" s="27">
        <v>284032</v>
      </c>
    </row>
    <row r="214" spans="1:10" x14ac:dyDescent="0.25">
      <c r="A214" s="26">
        <v>740</v>
      </c>
      <c r="B214" s="26">
        <v>1</v>
      </c>
      <c r="C214" s="25" t="s">
        <v>348</v>
      </c>
      <c r="D214" s="27">
        <v>1502</v>
      </c>
      <c r="E214" s="27">
        <v>214367</v>
      </c>
      <c r="F214" s="27">
        <v>135624</v>
      </c>
      <c r="G214" s="27">
        <v>637018</v>
      </c>
      <c r="H214" s="27">
        <v>403025</v>
      </c>
      <c r="I214" s="27">
        <v>483397</v>
      </c>
      <c r="J214" s="27">
        <v>185937</v>
      </c>
    </row>
    <row r="215" spans="1:10" x14ac:dyDescent="0.25">
      <c r="A215" s="26">
        <v>741</v>
      </c>
      <c r="B215" s="26">
        <v>1</v>
      </c>
      <c r="C215" s="25" t="s">
        <v>349</v>
      </c>
      <c r="D215" s="27">
        <v>1034</v>
      </c>
      <c r="E215" s="27">
        <v>146473</v>
      </c>
      <c r="F215" s="27">
        <v>114273</v>
      </c>
      <c r="G215" s="27">
        <v>438331</v>
      </c>
      <c r="H215" s="27">
        <v>341969</v>
      </c>
      <c r="I215" s="27">
        <v>349673</v>
      </c>
      <c r="J215" s="27">
        <v>171068</v>
      </c>
    </row>
    <row r="216" spans="1:10" x14ac:dyDescent="0.25">
      <c r="A216" s="26">
        <v>742</v>
      </c>
      <c r="B216" s="26">
        <v>1</v>
      </c>
      <c r="C216" s="25" t="s">
        <v>350</v>
      </c>
      <c r="D216" s="27">
        <v>10451</v>
      </c>
      <c r="E216" s="27">
        <v>1504915</v>
      </c>
      <c r="F216" s="27">
        <v>1459992</v>
      </c>
      <c r="G216" s="27">
        <v>4431139</v>
      </c>
      <c r="H216" s="27">
        <v>4298866</v>
      </c>
      <c r="I216" s="27">
        <v>3135240</v>
      </c>
      <c r="J216" s="27">
        <v>1762775</v>
      </c>
    </row>
    <row r="217" spans="1:10" x14ac:dyDescent="0.25">
      <c r="A217" s="26">
        <v>743</v>
      </c>
      <c r="B217" s="26">
        <v>1</v>
      </c>
      <c r="C217" s="25" t="s">
        <v>351</v>
      </c>
      <c r="D217" s="27">
        <v>886</v>
      </c>
      <c r="E217" s="27">
        <v>93134</v>
      </c>
      <c r="F217" s="27">
        <v>83629</v>
      </c>
      <c r="G217" s="27">
        <v>375834</v>
      </c>
      <c r="H217" s="27">
        <v>337476</v>
      </c>
      <c r="I217" s="27">
        <v>835707</v>
      </c>
      <c r="J217" s="27">
        <v>666556</v>
      </c>
    </row>
    <row r="218" spans="1:10" x14ac:dyDescent="0.25">
      <c r="A218" s="26">
        <v>745</v>
      </c>
      <c r="B218" s="26">
        <v>1</v>
      </c>
      <c r="C218" s="25" t="s">
        <v>352</v>
      </c>
      <c r="D218" s="27">
        <v>1883</v>
      </c>
      <c r="E218" s="27">
        <v>271152</v>
      </c>
      <c r="F218" s="27">
        <v>173564</v>
      </c>
      <c r="G218" s="27">
        <v>798392</v>
      </c>
      <c r="H218" s="27">
        <v>511050</v>
      </c>
      <c r="I218" s="27">
        <v>564900</v>
      </c>
      <c r="J218" s="27">
        <v>209559</v>
      </c>
    </row>
    <row r="219" spans="1:10" x14ac:dyDescent="0.25">
      <c r="A219" s="26">
        <v>748</v>
      </c>
      <c r="B219" s="26">
        <v>1</v>
      </c>
      <c r="C219" s="25" t="s">
        <v>353</v>
      </c>
      <c r="D219" s="27">
        <v>4095</v>
      </c>
      <c r="E219" s="27">
        <v>589651</v>
      </c>
      <c r="F219" s="27">
        <v>361703</v>
      </c>
      <c r="G219" s="27">
        <v>1736195</v>
      </c>
      <c r="H219" s="27">
        <v>1065014</v>
      </c>
      <c r="I219" s="27">
        <v>1228440</v>
      </c>
      <c r="J219" s="27">
        <v>436715</v>
      </c>
    </row>
    <row r="220" spans="1:10" x14ac:dyDescent="0.25">
      <c r="A220" s="26">
        <v>750</v>
      </c>
      <c r="B220" s="26">
        <v>1</v>
      </c>
      <c r="C220" s="25" t="s">
        <v>354</v>
      </c>
      <c r="D220" s="27">
        <v>2214</v>
      </c>
      <c r="E220" s="27">
        <v>318874</v>
      </c>
      <c r="F220" s="27">
        <v>272386</v>
      </c>
      <c r="G220" s="27">
        <v>938906</v>
      </c>
      <c r="H220" s="27">
        <v>802026</v>
      </c>
      <c r="I220" s="27">
        <v>664320</v>
      </c>
      <c r="J220" s="27">
        <v>328875</v>
      </c>
    </row>
    <row r="221" spans="1:10" x14ac:dyDescent="0.25">
      <c r="A221" s="26">
        <v>756</v>
      </c>
      <c r="B221" s="26">
        <v>1</v>
      </c>
      <c r="C221" s="25" t="s">
        <v>355</v>
      </c>
      <c r="D221" s="27">
        <v>746</v>
      </c>
      <c r="E221" s="27">
        <v>101917</v>
      </c>
      <c r="F221" s="27">
        <v>51755</v>
      </c>
      <c r="G221" s="27">
        <v>316240</v>
      </c>
      <c r="H221" s="27">
        <v>160593</v>
      </c>
      <c r="I221" s="27">
        <v>314338</v>
      </c>
      <c r="J221" s="27">
        <v>111852</v>
      </c>
    </row>
    <row r="222" spans="1:10" x14ac:dyDescent="0.25">
      <c r="A222" s="26">
        <v>761</v>
      </c>
      <c r="B222" s="26">
        <v>1</v>
      </c>
      <c r="C222" s="25" t="s">
        <v>356</v>
      </c>
      <c r="D222" s="27">
        <v>5134</v>
      </c>
      <c r="E222" s="27">
        <v>625397</v>
      </c>
      <c r="F222" s="27">
        <v>429403</v>
      </c>
      <c r="G222" s="27">
        <v>2176646</v>
      </c>
      <c r="H222" s="27">
        <v>1494504</v>
      </c>
      <c r="I222" s="27">
        <v>3419850</v>
      </c>
      <c r="J222" s="27">
        <v>1903496</v>
      </c>
    </row>
    <row r="223" spans="1:10" x14ac:dyDescent="0.25">
      <c r="A223" s="26">
        <v>763</v>
      </c>
      <c r="B223" s="26">
        <v>1</v>
      </c>
      <c r="C223" s="25" t="s">
        <v>357</v>
      </c>
      <c r="D223" s="27">
        <v>928</v>
      </c>
      <c r="E223" s="27">
        <v>133574</v>
      </c>
      <c r="F223" s="27">
        <v>79629</v>
      </c>
      <c r="G223" s="27">
        <v>393302</v>
      </c>
      <c r="H223" s="27">
        <v>234465</v>
      </c>
      <c r="I223" s="27">
        <v>278280</v>
      </c>
      <c r="J223" s="27">
        <v>96144</v>
      </c>
    </row>
    <row r="224" spans="1:10" x14ac:dyDescent="0.25">
      <c r="A224" s="26">
        <v>768</v>
      </c>
      <c r="B224" s="26">
        <v>1</v>
      </c>
      <c r="C224" s="25" t="s">
        <v>358</v>
      </c>
      <c r="D224" s="27">
        <v>356</v>
      </c>
      <c r="E224" s="27">
        <v>44258</v>
      </c>
      <c r="F224" s="27">
        <v>16293</v>
      </c>
      <c r="G224" s="27">
        <v>151114</v>
      </c>
      <c r="H224" s="27">
        <v>55631</v>
      </c>
      <c r="I224" s="27">
        <v>223563</v>
      </c>
      <c r="J224" s="27">
        <v>65753</v>
      </c>
    </row>
    <row r="225" spans="1:10" x14ac:dyDescent="0.25">
      <c r="A225" s="26">
        <v>771</v>
      </c>
      <c r="B225" s="26">
        <v>1</v>
      </c>
      <c r="C225" s="25" t="s">
        <v>359</v>
      </c>
      <c r="D225" s="27">
        <v>172</v>
      </c>
      <c r="E225" s="27">
        <v>8580</v>
      </c>
      <c r="F225" s="27">
        <v>4156</v>
      </c>
      <c r="G225" s="27">
        <v>72758</v>
      </c>
      <c r="H225" s="27">
        <v>35245</v>
      </c>
      <c r="I225" s="27">
        <v>528243</v>
      </c>
      <c r="J225" s="27">
        <v>388412</v>
      </c>
    </row>
    <row r="226" spans="1:10" x14ac:dyDescent="0.25">
      <c r="A226" s="26">
        <v>775</v>
      </c>
      <c r="B226" s="26">
        <v>1</v>
      </c>
      <c r="C226" s="25" t="s">
        <v>360</v>
      </c>
      <c r="D226" s="27">
        <v>633</v>
      </c>
      <c r="E226" s="27">
        <v>91166</v>
      </c>
      <c r="F226" s="27">
        <v>50745</v>
      </c>
      <c r="G226" s="27">
        <v>268434</v>
      </c>
      <c r="H226" s="27">
        <v>149417</v>
      </c>
      <c r="I226" s="27">
        <v>189930</v>
      </c>
      <c r="J226" s="27">
        <v>61269</v>
      </c>
    </row>
    <row r="227" spans="1:10" x14ac:dyDescent="0.25">
      <c r="A227" s="26">
        <v>777</v>
      </c>
      <c r="B227" s="26">
        <v>1</v>
      </c>
      <c r="C227" s="25" t="s">
        <v>361</v>
      </c>
      <c r="D227" s="27">
        <v>922</v>
      </c>
      <c r="E227" s="27">
        <v>105419</v>
      </c>
      <c r="F227" s="27">
        <v>67986</v>
      </c>
      <c r="G227" s="27">
        <v>391013</v>
      </c>
      <c r="H227" s="27">
        <v>252170</v>
      </c>
      <c r="I227" s="27">
        <v>728722</v>
      </c>
      <c r="J227" s="27">
        <v>404835</v>
      </c>
    </row>
    <row r="228" spans="1:10" x14ac:dyDescent="0.25">
      <c r="A228" s="26">
        <v>786</v>
      </c>
      <c r="B228" s="26">
        <v>1</v>
      </c>
      <c r="C228" s="25" t="s">
        <v>362</v>
      </c>
      <c r="D228" s="27">
        <v>399</v>
      </c>
      <c r="E228" s="27">
        <v>57091</v>
      </c>
      <c r="F228" s="27">
        <v>26228</v>
      </c>
      <c r="G228" s="27">
        <v>168964</v>
      </c>
      <c r="H228" s="27">
        <v>77623</v>
      </c>
      <c r="I228" s="27">
        <v>124396</v>
      </c>
      <c r="J228" s="27">
        <v>34056</v>
      </c>
    </row>
    <row r="229" spans="1:10" x14ac:dyDescent="0.25">
      <c r="A229" s="26">
        <v>787</v>
      </c>
      <c r="B229" s="26">
        <v>1</v>
      </c>
      <c r="C229" s="25" t="s">
        <v>363</v>
      </c>
      <c r="D229" s="27">
        <v>396</v>
      </c>
      <c r="E229" s="27">
        <v>57053</v>
      </c>
      <c r="F229" s="27">
        <v>46004</v>
      </c>
      <c r="G229" s="27">
        <v>167989</v>
      </c>
      <c r="H229" s="27">
        <v>135457</v>
      </c>
      <c r="I229" s="27">
        <v>118860</v>
      </c>
      <c r="J229" s="27">
        <v>55545</v>
      </c>
    </row>
    <row r="230" spans="1:10" x14ac:dyDescent="0.25">
      <c r="A230" s="26">
        <v>801</v>
      </c>
      <c r="B230" s="26">
        <v>1</v>
      </c>
      <c r="C230" s="25" t="s">
        <v>364</v>
      </c>
      <c r="D230" s="27">
        <v>104</v>
      </c>
      <c r="E230" s="27">
        <v>10056</v>
      </c>
      <c r="F230" s="27">
        <v>3981</v>
      </c>
      <c r="G230" s="27">
        <v>44096</v>
      </c>
      <c r="H230" s="27">
        <v>17455</v>
      </c>
      <c r="I230" s="27">
        <v>112447</v>
      </c>
      <c r="J230" s="27">
        <v>49351</v>
      </c>
    </row>
    <row r="231" spans="1:10" x14ac:dyDescent="0.25">
      <c r="A231" s="26">
        <v>803</v>
      </c>
      <c r="B231" s="26">
        <v>1</v>
      </c>
      <c r="C231" s="25" t="s">
        <v>365</v>
      </c>
      <c r="D231" s="27">
        <v>366</v>
      </c>
      <c r="E231" s="27">
        <v>33402</v>
      </c>
      <c r="F231" s="27">
        <v>16693</v>
      </c>
      <c r="G231" s="27">
        <v>155057</v>
      </c>
      <c r="H231" s="27">
        <v>77493</v>
      </c>
      <c r="I231" s="27">
        <v>427719</v>
      </c>
      <c r="J231" s="27">
        <v>247496</v>
      </c>
    </row>
    <row r="232" spans="1:10" x14ac:dyDescent="0.25">
      <c r="A232" s="26">
        <v>811</v>
      </c>
      <c r="B232" s="26">
        <v>1</v>
      </c>
      <c r="C232" s="25" t="s">
        <v>366</v>
      </c>
      <c r="D232" s="27">
        <v>629</v>
      </c>
      <c r="E232" s="27">
        <v>74853</v>
      </c>
      <c r="F232" s="27">
        <v>74853</v>
      </c>
      <c r="G232" s="27">
        <v>266781</v>
      </c>
      <c r="H232" s="27">
        <v>266781</v>
      </c>
      <c r="I232" s="27">
        <v>448852</v>
      </c>
      <c r="J232" s="27">
        <v>396454</v>
      </c>
    </row>
    <row r="233" spans="1:10" x14ac:dyDescent="0.25">
      <c r="A233" s="26">
        <v>813</v>
      </c>
      <c r="B233" s="26">
        <v>1</v>
      </c>
      <c r="C233" s="25" t="s">
        <v>367</v>
      </c>
      <c r="D233" s="27">
        <v>1314</v>
      </c>
      <c r="E233" s="27">
        <v>168325</v>
      </c>
      <c r="F233" s="27">
        <v>168325</v>
      </c>
      <c r="G233" s="27">
        <v>557263</v>
      </c>
      <c r="H233" s="27">
        <v>557263</v>
      </c>
      <c r="I233" s="27">
        <v>739964</v>
      </c>
      <c r="J233" s="27">
        <v>584571</v>
      </c>
    </row>
    <row r="234" spans="1:10" x14ac:dyDescent="0.25">
      <c r="A234" s="26">
        <v>815</v>
      </c>
      <c r="B234" s="26">
        <v>2</v>
      </c>
      <c r="C234" s="25" t="s">
        <v>368</v>
      </c>
      <c r="D234" s="27">
        <v>0</v>
      </c>
      <c r="E234" s="27">
        <v>2195</v>
      </c>
      <c r="F234" s="27">
        <v>2195</v>
      </c>
      <c r="G234" s="27">
        <v>0</v>
      </c>
      <c r="H234" s="27">
        <v>0</v>
      </c>
      <c r="I234" s="27">
        <v>0</v>
      </c>
      <c r="J234" s="27">
        <v>0</v>
      </c>
    </row>
    <row r="235" spans="1:10" x14ac:dyDescent="0.25">
      <c r="A235" s="26">
        <v>818</v>
      </c>
      <c r="B235" s="26">
        <v>1</v>
      </c>
      <c r="C235" s="25" t="s">
        <v>369</v>
      </c>
      <c r="D235" s="27">
        <v>526</v>
      </c>
      <c r="E235" s="27">
        <v>75773</v>
      </c>
      <c r="F235" s="27">
        <v>37784</v>
      </c>
      <c r="G235" s="27">
        <v>223109</v>
      </c>
      <c r="H235" s="27">
        <v>111253</v>
      </c>
      <c r="I235" s="27">
        <v>157860</v>
      </c>
      <c r="J235" s="27">
        <v>45620</v>
      </c>
    </row>
    <row r="236" spans="1:10" x14ac:dyDescent="0.25">
      <c r="A236" s="26">
        <v>820</v>
      </c>
      <c r="B236" s="26">
        <v>1</v>
      </c>
      <c r="C236" s="25" t="s">
        <v>370</v>
      </c>
      <c r="D236" s="27">
        <v>501</v>
      </c>
      <c r="E236" s="27">
        <v>67260</v>
      </c>
      <c r="F236" s="27">
        <v>29650</v>
      </c>
      <c r="G236" s="27">
        <v>212339</v>
      </c>
      <c r="H236" s="27">
        <v>93605</v>
      </c>
      <c r="I236" s="27">
        <v>230403</v>
      </c>
      <c r="J236" s="27">
        <v>73721</v>
      </c>
    </row>
    <row r="237" spans="1:10" x14ac:dyDescent="0.25">
      <c r="A237" s="26">
        <v>821</v>
      </c>
      <c r="B237" s="26">
        <v>1</v>
      </c>
      <c r="C237" s="25" t="s">
        <v>371</v>
      </c>
      <c r="D237" s="27">
        <v>1075</v>
      </c>
      <c r="E237" s="27">
        <v>154736</v>
      </c>
      <c r="F237" s="27">
        <v>53141</v>
      </c>
      <c r="G237" s="27">
        <v>455609</v>
      </c>
      <c r="H237" s="27">
        <v>156469</v>
      </c>
      <c r="I237" s="27">
        <v>322365</v>
      </c>
      <c r="J237" s="27">
        <v>64161</v>
      </c>
    </row>
    <row r="238" spans="1:10" x14ac:dyDescent="0.25">
      <c r="A238" s="26">
        <v>829</v>
      </c>
      <c r="B238" s="26">
        <v>1</v>
      </c>
      <c r="C238" s="25" t="s">
        <v>372</v>
      </c>
      <c r="D238" s="27">
        <v>2007</v>
      </c>
      <c r="E238" s="27">
        <v>286023</v>
      </c>
      <c r="F238" s="27">
        <v>187978</v>
      </c>
      <c r="G238" s="27">
        <v>850798</v>
      </c>
      <c r="H238" s="27">
        <v>559154</v>
      </c>
      <c r="I238" s="27">
        <v>650319</v>
      </c>
      <c r="J238" s="27">
        <v>261054</v>
      </c>
    </row>
    <row r="239" spans="1:10" x14ac:dyDescent="0.25">
      <c r="A239" s="26">
        <v>831</v>
      </c>
      <c r="B239" s="26">
        <v>1</v>
      </c>
      <c r="C239" s="25" t="s">
        <v>373</v>
      </c>
      <c r="D239" s="27">
        <v>7091</v>
      </c>
      <c r="E239" s="27">
        <v>1117174</v>
      </c>
      <c r="F239" s="27">
        <v>1117174</v>
      </c>
      <c r="G239" s="27">
        <v>3006372</v>
      </c>
      <c r="H239" s="27">
        <v>3006372</v>
      </c>
      <c r="I239" s="27">
        <v>3045370</v>
      </c>
      <c r="J239" s="27">
        <v>2166247</v>
      </c>
    </row>
    <row r="240" spans="1:10" x14ac:dyDescent="0.25">
      <c r="A240" s="26">
        <v>832</v>
      </c>
      <c r="B240" s="26">
        <v>1</v>
      </c>
      <c r="C240" s="25" t="s">
        <v>374</v>
      </c>
      <c r="D240" s="27">
        <v>3616</v>
      </c>
      <c r="E240" s="27">
        <v>563776</v>
      </c>
      <c r="F240" s="27">
        <v>563776</v>
      </c>
      <c r="G240" s="27">
        <v>1533014</v>
      </c>
      <c r="H240" s="27">
        <v>1533014</v>
      </c>
      <c r="I240" s="27">
        <v>1629696</v>
      </c>
      <c r="J240" s="27">
        <v>1450102</v>
      </c>
    </row>
    <row r="241" spans="1:10" x14ac:dyDescent="0.25">
      <c r="A241" s="26">
        <v>833</v>
      </c>
      <c r="B241" s="26">
        <v>1</v>
      </c>
      <c r="C241" s="25" t="s">
        <v>375</v>
      </c>
      <c r="D241" s="27">
        <v>19571</v>
      </c>
      <c r="E241" s="27">
        <v>2335980</v>
      </c>
      <c r="F241" s="27">
        <v>1813945</v>
      </c>
      <c r="G241" s="27">
        <v>8298189</v>
      </c>
      <c r="H241" s="27">
        <v>6443744</v>
      </c>
      <c r="I241" s="27">
        <v>18145438</v>
      </c>
      <c r="J241" s="27">
        <v>12904474</v>
      </c>
    </row>
    <row r="242" spans="1:10" x14ac:dyDescent="0.25">
      <c r="A242" s="26">
        <v>834</v>
      </c>
      <c r="B242" s="26">
        <v>1</v>
      </c>
      <c r="C242" s="25" t="s">
        <v>376</v>
      </c>
      <c r="D242" s="27">
        <v>8927</v>
      </c>
      <c r="E242" s="27">
        <v>714175</v>
      </c>
      <c r="F242" s="27">
        <v>714175</v>
      </c>
      <c r="G242" s="27">
        <v>3785048</v>
      </c>
      <c r="H242" s="27">
        <v>3785048</v>
      </c>
      <c r="I242" s="27">
        <v>12853541</v>
      </c>
      <c r="J242" s="27">
        <v>12282465</v>
      </c>
    </row>
    <row r="243" spans="1:10" x14ac:dyDescent="0.25">
      <c r="A243" s="26">
        <v>836</v>
      </c>
      <c r="B243" s="26">
        <v>1</v>
      </c>
      <c r="C243" s="25" t="s">
        <v>377</v>
      </c>
      <c r="D243" s="27">
        <v>207</v>
      </c>
      <c r="E243" s="27">
        <v>14772</v>
      </c>
      <c r="F243" s="27">
        <v>5489</v>
      </c>
      <c r="G243" s="27">
        <v>87726</v>
      </c>
      <c r="H243" s="27">
        <v>32598</v>
      </c>
      <c r="I243" s="27">
        <v>310110</v>
      </c>
      <c r="J243" s="27">
        <v>152020</v>
      </c>
    </row>
    <row r="244" spans="1:10" x14ac:dyDescent="0.25">
      <c r="A244" s="26">
        <v>837</v>
      </c>
      <c r="B244" s="26">
        <v>1</v>
      </c>
      <c r="C244" s="25" t="s">
        <v>378</v>
      </c>
      <c r="D244" s="27">
        <v>510</v>
      </c>
      <c r="E244" s="27">
        <v>54478</v>
      </c>
      <c r="F244" s="27">
        <v>30106</v>
      </c>
      <c r="G244" s="27">
        <v>216282</v>
      </c>
      <c r="H244" s="27">
        <v>119525</v>
      </c>
      <c r="I244" s="27">
        <v>466364</v>
      </c>
      <c r="J244" s="27">
        <v>255160</v>
      </c>
    </row>
    <row r="245" spans="1:10" x14ac:dyDescent="0.25">
      <c r="A245" s="26">
        <v>840</v>
      </c>
      <c r="B245" s="26">
        <v>1</v>
      </c>
      <c r="C245" s="25" t="s">
        <v>379</v>
      </c>
      <c r="D245" s="27">
        <v>1043</v>
      </c>
      <c r="E245" s="27">
        <v>136242</v>
      </c>
      <c r="F245" s="27">
        <v>62284</v>
      </c>
      <c r="G245" s="27">
        <v>442232</v>
      </c>
      <c r="H245" s="27">
        <v>202170</v>
      </c>
      <c r="I245" s="27">
        <v>543236</v>
      </c>
      <c r="J245" s="27">
        <v>188201</v>
      </c>
    </row>
    <row r="246" spans="1:10" x14ac:dyDescent="0.25">
      <c r="A246" s="26">
        <v>846</v>
      </c>
      <c r="B246" s="26">
        <v>1</v>
      </c>
      <c r="C246" s="25" t="s">
        <v>380</v>
      </c>
      <c r="D246" s="27">
        <v>748</v>
      </c>
      <c r="E246" s="27">
        <v>84199</v>
      </c>
      <c r="F246" s="27">
        <v>46674</v>
      </c>
      <c r="G246" s="27">
        <v>317152</v>
      </c>
      <c r="H246" s="27">
        <v>175808</v>
      </c>
      <c r="I246" s="27">
        <v>612649</v>
      </c>
      <c r="J246" s="27">
        <v>305885</v>
      </c>
    </row>
    <row r="247" spans="1:10" x14ac:dyDescent="0.25">
      <c r="A247" s="26">
        <v>850</v>
      </c>
      <c r="B247" s="26">
        <v>1</v>
      </c>
      <c r="C247" s="25" t="s">
        <v>381</v>
      </c>
      <c r="D247" s="27">
        <v>291</v>
      </c>
      <c r="E247" s="27">
        <v>22899</v>
      </c>
      <c r="F247" s="27">
        <v>10006</v>
      </c>
      <c r="G247" s="27">
        <v>123384</v>
      </c>
      <c r="H247" s="27">
        <v>53914</v>
      </c>
      <c r="I247" s="27">
        <v>401120</v>
      </c>
      <c r="J247" s="27">
        <v>218888</v>
      </c>
    </row>
    <row r="248" spans="1:10" x14ac:dyDescent="0.25">
      <c r="A248" s="26">
        <v>852</v>
      </c>
      <c r="B248" s="26">
        <v>1</v>
      </c>
      <c r="C248" s="25" t="s">
        <v>382</v>
      </c>
      <c r="D248" s="27">
        <v>125</v>
      </c>
      <c r="E248" s="27">
        <v>6250</v>
      </c>
      <c r="F248" s="27">
        <v>4039</v>
      </c>
      <c r="G248" s="27">
        <v>53000</v>
      </c>
      <c r="H248" s="27">
        <v>34248</v>
      </c>
      <c r="I248" s="27">
        <v>383151</v>
      </c>
      <c r="J248" s="27">
        <v>185468</v>
      </c>
    </row>
    <row r="249" spans="1:10" x14ac:dyDescent="0.25">
      <c r="A249" s="26">
        <v>857</v>
      </c>
      <c r="B249" s="26">
        <v>1</v>
      </c>
      <c r="C249" s="25" t="s">
        <v>383</v>
      </c>
      <c r="D249" s="27">
        <v>833</v>
      </c>
      <c r="E249" s="27">
        <v>116567</v>
      </c>
      <c r="F249" s="27">
        <v>72869</v>
      </c>
      <c r="G249" s="27">
        <v>353022</v>
      </c>
      <c r="H249" s="27">
        <v>220682</v>
      </c>
      <c r="I249" s="27">
        <v>304715</v>
      </c>
      <c r="J249" s="27">
        <v>124833</v>
      </c>
    </row>
    <row r="250" spans="1:10" x14ac:dyDescent="0.25">
      <c r="A250" s="26">
        <v>858</v>
      </c>
      <c r="B250" s="26">
        <v>1</v>
      </c>
      <c r="C250" s="25" t="s">
        <v>384</v>
      </c>
      <c r="D250" s="27">
        <v>1073</v>
      </c>
      <c r="E250" s="27">
        <v>154541</v>
      </c>
      <c r="F250" s="27">
        <v>87980</v>
      </c>
      <c r="G250" s="27">
        <v>455037</v>
      </c>
      <c r="H250" s="27">
        <v>259052</v>
      </c>
      <c r="I250" s="27">
        <v>321960</v>
      </c>
      <c r="J250" s="27">
        <v>106226</v>
      </c>
    </row>
    <row r="251" spans="1:10" x14ac:dyDescent="0.25">
      <c r="A251" s="26">
        <v>861</v>
      </c>
      <c r="B251" s="26">
        <v>1</v>
      </c>
      <c r="C251" s="25" t="s">
        <v>385</v>
      </c>
      <c r="D251" s="27">
        <v>3203</v>
      </c>
      <c r="E251" s="27">
        <v>206580</v>
      </c>
      <c r="F251" s="27">
        <v>206580</v>
      </c>
      <c r="G251" s="27">
        <v>1358030</v>
      </c>
      <c r="H251" s="27">
        <v>1358030</v>
      </c>
      <c r="I251" s="27">
        <v>5165477</v>
      </c>
      <c r="J251" s="27">
        <v>4856160</v>
      </c>
    </row>
    <row r="252" spans="1:10" x14ac:dyDescent="0.25">
      <c r="A252" s="26">
        <v>876</v>
      </c>
      <c r="B252" s="26">
        <v>1</v>
      </c>
      <c r="C252" s="25" t="s">
        <v>386</v>
      </c>
      <c r="D252" s="27">
        <v>1760</v>
      </c>
      <c r="E252" s="27">
        <v>252138</v>
      </c>
      <c r="F252" s="27">
        <v>252138</v>
      </c>
      <c r="G252" s="27">
        <v>746325</v>
      </c>
      <c r="H252" s="27">
        <v>746325</v>
      </c>
      <c r="I252" s="27">
        <v>550027</v>
      </c>
      <c r="J252" s="27">
        <v>344361</v>
      </c>
    </row>
    <row r="253" spans="1:10" x14ac:dyDescent="0.25">
      <c r="A253" s="26">
        <v>877</v>
      </c>
      <c r="B253" s="26">
        <v>1</v>
      </c>
      <c r="C253" s="25" t="s">
        <v>387</v>
      </c>
      <c r="D253" s="27">
        <v>6265</v>
      </c>
      <c r="E253" s="27">
        <v>902131</v>
      </c>
      <c r="F253" s="27">
        <v>607778</v>
      </c>
      <c r="G253" s="27">
        <v>2656275</v>
      </c>
      <c r="H253" s="27">
        <v>1789570</v>
      </c>
      <c r="I253" s="27">
        <v>1879440</v>
      </c>
      <c r="J253" s="27">
        <v>733824</v>
      </c>
    </row>
    <row r="254" spans="1:10" x14ac:dyDescent="0.25">
      <c r="A254" s="26">
        <v>879</v>
      </c>
      <c r="B254" s="26">
        <v>1</v>
      </c>
      <c r="C254" s="25" t="s">
        <v>388</v>
      </c>
      <c r="D254" s="27">
        <v>2551</v>
      </c>
      <c r="E254" s="27">
        <v>313007</v>
      </c>
      <c r="F254" s="27">
        <v>275940</v>
      </c>
      <c r="G254" s="27">
        <v>1081794</v>
      </c>
      <c r="H254" s="27">
        <v>953686</v>
      </c>
      <c r="I254" s="27">
        <v>1663589</v>
      </c>
      <c r="J254" s="27">
        <v>1182871</v>
      </c>
    </row>
    <row r="255" spans="1:10" x14ac:dyDescent="0.25">
      <c r="A255" s="26">
        <v>881</v>
      </c>
      <c r="B255" s="26">
        <v>1</v>
      </c>
      <c r="C255" s="25" t="s">
        <v>389</v>
      </c>
      <c r="D255" s="27">
        <v>958</v>
      </c>
      <c r="E255" s="27">
        <v>137894</v>
      </c>
      <c r="F255" s="27">
        <v>110462</v>
      </c>
      <c r="G255" s="27">
        <v>406022</v>
      </c>
      <c r="H255" s="27">
        <v>325249</v>
      </c>
      <c r="I255" s="27">
        <v>287280</v>
      </c>
      <c r="J255" s="27">
        <v>133371</v>
      </c>
    </row>
    <row r="256" spans="1:10" x14ac:dyDescent="0.25">
      <c r="A256" s="26">
        <v>882</v>
      </c>
      <c r="B256" s="26">
        <v>1</v>
      </c>
      <c r="C256" s="25" t="s">
        <v>390</v>
      </c>
      <c r="D256" s="27">
        <v>4422</v>
      </c>
      <c r="E256" s="27">
        <v>564215</v>
      </c>
      <c r="F256" s="27">
        <v>476891</v>
      </c>
      <c r="G256" s="27">
        <v>1874758</v>
      </c>
      <c r="H256" s="27">
        <v>1584601</v>
      </c>
      <c r="I256" s="27">
        <v>2523540</v>
      </c>
      <c r="J256" s="27">
        <v>1661565</v>
      </c>
    </row>
    <row r="257" spans="1:10" x14ac:dyDescent="0.25">
      <c r="A257" s="26">
        <v>883</v>
      </c>
      <c r="B257" s="26">
        <v>1</v>
      </c>
      <c r="C257" s="25" t="s">
        <v>391</v>
      </c>
      <c r="D257" s="27">
        <v>1793</v>
      </c>
      <c r="E257" s="27">
        <v>258134</v>
      </c>
      <c r="F257" s="27">
        <v>221889</v>
      </c>
      <c r="G257" s="27">
        <v>760062</v>
      </c>
      <c r="H257" s="27">
        <v>653341</v>
      </c>
      <c r="I257" s="27">
        <v>537780</v>
      </c>
      <c r="J257" s="27">
        <v>267906</v>
      </c>
    </row>
    <row r="258" spans="1:10" x14ac:dyDescent="0.25">
      <c r="A258" s="26">
        <v>885</v>
      </c>
      <c r="B258" s="26">
        <v>1</v>
      </c>
      <c r="C258" s="25" t="s">
        <v>392</v>
      </c>
      <c r="D258" s="27">
        <v>6299</v>
      </c>
      <c r="E258" s="27">
        <v>907085</v>
      </c>
      <c r="F258" s="27">
        <v>479653</v>
      </c>
      <c r="G258" s="27">
        <v>2670861</v>
      </c>
      <c r="H258" s="27">
        <v>1412311</v>
      </c>
      <c r="I258" s="27">
        <v>1889760</v>
      </c>
      <c r="J258" s="27">
        <v>579126</v>
      </c>
    </row>
    <row r="259" spans="1:10" x14ac:dyDescent="0.25">
      <c r="A259" s="26">
        <v>891</v>
      </c>
      <c r="B259" s="26">
        <v>1</v>
      </c>
      <c r="C259" s="25" t="s">
        <v>393</v>
      </c>
      <c r="D259" s="27">
        <v>536</v>
      </c>
      <c r="E259" s="27">
        <v>76447</v>
      </c>
      <c r="F259" s="27">
        <v>41456</v>
      </c>
      <c r="G259" s="27">
        <v>227434</v>
      </c>
      <c r="H259" s="27">
        <v>123335</v>
      </c>
      <c r="I259" s="27">
        <v>174040</v>
      </c>
      <c r="J259" s="27">
        <v>57689</v>
      </c>
    </row>
    <row r="260" spans="1:10" x14ac:dyDescent="0.25">
      <c r="A260" s="26">
        <v>911</v>
      </c>
      <c r="B260" s="26">
        <v>1</v>
      </c>
      <c r="C260" s="25" t="s">
        <v>394</v>
      </c>
      <c r="D260" s="27">
        <v>5663</v>
      </c>
      <c r="E260" s="27">
        <v>815480</v>
      </c>
      <c r="F260" s="27">
        <v>471033</v>
      </c>
      <c r="G260" s="27">
        <v>2401133</v>
      </c>
      <c r="H260" s="27">
        <v>1386928</v>
      </c>
      <c r="I260" s="27">
        <v>1698915</v>
      </c>
      <c r="J260" s="27">
        <v>568718</v>
      </c>
    </row>
    <row r="261" spans="1:10" x14ac:dyDescent="0.25">
      <c r="A261" s="26">
        <v>912</v>
      </c>
      <c r="B261" s="26">
        <v>1</v>
      </c>
      <c r="C261" s="25" t="s">
        <v>395</v>
      </c>
      <c r="D261" s="27">
        <v>1935</v>
      </c>
      <c r="E261" s="27">
        <v>278597</v>
      </c>
      <c r="F261" s="27">
        <v>129996</v>
      </c>
      <c r="G261" s="27">
        <v>820313</v>
      </c>
      <c r="H261" s="27">
        <v>382767</v>
      </c>
      <c r="I261" s="27">
        <v>580410</v>
      </c>
      <c r="J261" s="27">
        <v>156956</v>
      </c>
    </row>
    <row r="262" spans="1:10" x14ac:dyDescent="0.25">
      <c r="A262" s="26">
        <v>914</v>
      </c>
      <c r="B262" s="26">
        <v>1</v>
      </c>
      <c r="C262" s="25" t="s">
        <v>396</v>
      </c>
      <c r="D262" s="27">
        <v>341</v>
      </c>
      <c r="E262" s="27">
        <v>17070</v>
      </c>
      <c r="F262" s="27">
        <v>7889</v>
      </c>
      <c r="G262" s="27">
        <v>144754</v>
      </c>
      <c r="H262" s="27">
        <v>66903</v>
      </c>
      <c r="I262" s="27">
        <v>606391</v>
      </c>
      <c r="J262" s="27">
        <v>382000</v>
      </c>
    </row>
    <row r="263" spans="1:10" x14ac:dyDescent="0.25">
      <c r="A263" s="26">
        <v>2071</v>
      </c>
      <c r="B263" s="26">
        <v>1</v>
      </c>
      <c r="C263" s="25" t="s">
        <v>397</v>
      </c>
      <c r="D263" s="27">
        <v>962</v>
      </c>
      <c r="E263" s="27">
        <v>135745</v>
      </c>
      <c r="F263" s="27">
        <v>95741</v>
      </c>
      <c r="G263" s="27">
        <v>407803</v>
      </c>
      <c r="H263" s="27">
        <v>287624</v>
      </c>
      <c r="I263" s="27">
        <v>334024</v>
      </c>
      <c r="J263" s="27">
        <v>150022</v>
      </c>
    </row>
    <row r="264" spans="1:10" x14ac:dyDescent="0.25">
      <c r="A264" s="26">
        <v>2125</v>
      </c>
      <c r="B264" s="26">
        <v>1</v>
      </c>
      <c r="C264" s="25" t="s">
        <v>398</v>
      </c>
      <c r="D264" s="27">
        <v>1330</v>
      </c>
      <c r="E264" s="27">
        <v>191578</v>
      </c>
      <c r="F264" s="27">
        <v>99589</v>
      </c>
      <c r="G264" s="27">
        <v>564090</v>
      </c>
      <c r="H264" s="27">
        <v>293234</v>
      </c>
      <c r="I264" s="27">
        <v>399120</v>
      </c>
      <c r="J264" s="27">
        <v>120242</v>
      </c>
    </row>
    <row r="265" spans="1:10" x14ac:dyDescent="0.25">
      <c r="A265" s="26">
        <v>2134</v>
      </c>
      <c r="B265" s="26">
        <v>1</v>
      </c>
      <c r="C265" s="25" t="s">
        <v>399</v>
      </c>
      <c r="D265" s="27">
        <v>691</v>
      </c>
      <c r="E265" s="27">
        <v>54623</v>
      </c>
      <c r="F265" s="27">
        <v>26857</v>
      </c>
      <c r="G265" s="27">
        <v>292814</v>
      </c>
      <c r="H265" s="27">
        <v>143972</v>
      </c>
      <c r="I265" s="27">
        <v>947310</v>
      </c>
      <c r="J265" s="27">
        <v>580521</v>
      </c>
    </row>
    <row r="266" spans="1:10" x14ac:dyDescent="0.25">
      <c r="A266" s="26">
        <v>2135</v>
      </c>
      <c r="B266" s="26">
        <v>1</v>
      </c>
      <c r="C266" s="25" t="s">
        <v>400</v>
      </c>
      <c r="D266" s="27">
        <v>1117</v>
      </c>
      <c r="E266" s="27">
        <v>142756</v>
      </c>
      <c r="F266" s="27">
        <v>79021</v>
      </c>
      <c r="G266" s="27">
        <v>473693</v>
      </c>
      <c r="H266" s="27">
        <v>262207</v>
      </c>
      <c r="I266" s="27">
        <v>634369</v>
      </c>
      <c r="J266" s="27">
        <v>273142</v>
      </c>
    </row>
    <row r="267" spans="1:10" x14ac:dyDescent="0.25">
      <c r="A267" s="26">
        <v>2137</v>
      </c>
      <c r="B267" s="26">
        <v>1</v>
      </c>
      <c r="C267" s="25" t="s">
        <v>401</v>
      </c>
      <c r="D267" s="27">
        <v>646</v>
      </c>
      <c r="E267" s="27">
        <v>87043</v>
      </c>
      <c r="F267" s="27">
        <v>60017</v>
      </c>
      <c r="G267" s="27">
        <v>274031</v>
      </c>
      <c r="H267" s="27">
        <v>188948</v>
      </c>
      <c r="I267" s="27">
        <v>293368</v>
      </c>
      <c r="J267" s="27">
        <v>146071</v>
      </c>
    </row>
    <row r="268" spans="1:10" x14ac:dyDescent="0.25">
      <c r="A268" s="26">
        <v>2142</v>
      </c>
      <c r="B268" s="26">
        <v>1</v>
      </c>
      <c r="C268" s="25" t="s">
        <v>402</v>
      </c>
      <c r="D268" s="27">
        <v>1940</v>
      </c>
      <c r="E268" s="27">
        <v>279302</v>
      </c>
      <c r="F268" s="27">
        <v>279302</v>
      </c>
      <c r="G268" s="27">
        <v>822390</v>
      </c>
      <c r="H268" s="27">
        <v>822390</v>
      </c>
      <c r="I268" s="27">
        <v>581880</v>
      </c>
      <c r="J268" s="27">
        <v>383195</v>
      </c>
    </row>
    <row r="269" spans="1:10" x14ac:dyDescent="0.25">
      <c r="A269" s="26">
        <v>2143</v>
      </c>
      <c r="B269" s="26">
        <v>1</v>
      </c>
      <c r="C269" s="25" t="s">
        <v>5</v>
      </c>
      <c r="D269" s="27">
        <v>910</v>
      </c>
      <c r="E269" s="27">
        <v>89814</v>
      </c>
      <c r="F269" s="27">
        <v>78660</v>
      </c>
      <c r="G269" s="27">
        <v>385755</v>
      </c>
      <c r="H269" s="27">
        <v>337847</v>
      </c>
      <c r="I269" s="27">
        <v>953197</v>
      </c>
      <c r="J269" s="27">
        <v>766817</v>
      </c>
    </row>
    <row r="270" spans="1:10" x14ac:dyDescent="0.25">
      <c r="A270" s="26">
        <v>2144</v>
      </c>
      <c r="B270" s="26">
        <v>1</v>
      </c>
      <c r="C270" s="25" t="s">
        <v>403</v>
      </c>
      <c r="D270" s="27">
        <v>3596</v>
      </c>
      <c r="E270" s="27">
        <v>468850</v>
      </c>
      <c r="F270" s="27">
        <v>385198</v>
      </c>
      <c r="G270" s="27">
        <v>1524789</v>
      </c>
      <c r="H270" s="27">
        <v>1252735</v>
      </c>
      <c r="I270" s="27">
        <v>1888005</v>
      </c>
      <c r="J270" s="27">
        <v>1178468</v>
      </c>
    </row>
    <row r="271" spans="1:10" x14ac:dyDescent="0.25">
      <c r="A271" s="26">
        <v>2149</v>
      </c>
      <c r="B271" s="26">
        <v>1</v>
      </c>
      <c r="C271" s="25" t="s">
        <v>404</v>
      </c>
      <c r="D271" s="27">
        <v>1123</v>
      </c>
      <c r="E271" s="27">
        <v>158381</v>
      </c>
      <c r="F271" s="27">
        <v>158381</v>
      </c>
      <c r="G271" s="27">
        <v>476131</v>
      </c>
      <c r="H271" s="27">
        <v>476131</v>
      </c>
      <c r="I271" s="27">
        <v>391775</v>
      </c>
      <c r="J271" s="27">
        <v>286973</v>
      </c>
    </row>
    <row r="272" spans="1:10" x14ac:dyDescent="0.25">
      <c r="A272" s="26">
        <v>2154</v>
      </c>
      <c r="B272" s="26">
        <v>1</v>
      </c>
      <c r="C272" s="25" t="s">
        <v>405</v>
      </c>
      <c r="D272" s="27">
        <v>1167</v>
      </c>
      <c r="E272" s="27">
        <v>164073</v>
      </c>
      <c r="F272" s="27">
        <v>97905</v>
      </c>
      <c r="G272" s="27">
        <v>494638</v>
      </c>
      <c r="H272" s="27">
        <v>295159</v>
      </c>
      <c r="I272" s="27">
        <v>414668</v>
      </c>
      <c r="J272" s="27">
        <v>159632</v>
      </c>
    </row>
    <row r="273" spans="1:10" x14ac:dyDescent="0.25">
      <c r="A273" s="26">
        <v>2155</v>
      </c>
      <c r="B273" s="26">
        <v>1</v>
      </c>
      <c r="C273" s="25" t="s">
        <v>406</v>
      </c>
      <c r="D273" s="27">
        <v>1050</v>
      </c>
      <c r="E273" s="27">
        <v>141325</v>
      </c>
      <c r="F273" s="27">
        <v>72653</v>
      </c>
      <c r="G273" s="27">
        <v>445094</v>
      </c>
      <c r="H273" s="27">
        <v>228817</v>
      </c>
      <c r="I273" s="27">
        <v>477395</v>
      </c>
      <c r="J273" s="27">
        <v>177352</v>
      </c>
    </row>
    <row r="274" spans="1:10" x14ac:dyDescent="0.25">
      <c r="A274" s="26">
        <v>2159</v>
      </c>
      <c r="B274" s="26">
        <v>1</v>
      </c>
      <c r="C274" s="25" t="s">
        <v>407</v>
      </c>
      <c r="D274" s="27">
        <v>597</v>
      </c>
      <c r="E274" s="27">
        <v>67655</v>
      </c>
      <c r="F274" s="27">
        <v>40642</v>
      </c>
      <c r="G274" s="27">
        <v>253213</v>
      </c>
      <c r="H274" s="27">
        <v>152112</v>
      </c>
      <c r="I274" s="27">
        <v>482018</v>
      </c>
      <c r="J274" s="27">
        <v>255547</v>
      </c>
    </row>
    <row r="275" spans="1:10" x14ac:dyDescent="0.25">
      <c r="A275" s="26">
        <v>2164</v>
      </c>
      <c r="B275" s="26">
        <v>1</v>
      </c>
      <c r="C275" s="25" t="s">
        <v>408</v>
      </c>
      <c r="D275" s="27">
        <v>1786</v>
      </c>
      <c r="E275" s="27">
        <v>257126</v>
      </c>
      <c r="F275" s="27">
        <v>124847</v>
      </c>
      <c r="G275" s="27">
        <v>757094</v>
      </c>
      <c r="H275" s="27">
        <v>367606</v>
      </c>
      <c r="I275" s="27">
        <v>535680</v>
      </c>
      <c r="J275" s="27">
        <v>150739</v>
      </c>
    </row>
    <row r="276" spans="1:10" x14ac:dyDescent="0.25">
      <c r="A276" s="26">
        <v>2165</v>
      </c>
      <c r="B276" s="26">
        <v>1</v>
      </c>
      <c r="C276" s="25" t="s">
        <v>409</v>
      </c>
      <c r="D276" s="27">
        <v>1056</v>
      </c>
      <c r="E276" s="27">
        <v>152035</v>
      </c>
      <c r="F276" s="27">
        <v>102058</v>
      </c>
      <c r="G276" s="27">
        <v>447659</v>
      </c>
      <c r="H276" s="27">
        <v>300504</v>
      </c>
      <c r="I276" s="27">
        <v>316740</v>
      </c>
      <c r="J276" s="27">
        <v>123223</v>
      </c>
    </row>
    <row r="277" spans="1:10" x14ac:dyDescent="0.25">
      <c r="A277" s="26">
        <v>2167</v>
      </c>
      <c r="B277" s="26">
        <v>1</v>
      </c>
      <c r="C277" s="25" t="s">
        <v>410</v>
      </c>
      <c r="D277" s="27">
        <v>700</v>
      </c>
      <c r="E277" s="27">
        <v>98328</v>
      </c>
      <c r="F277" s="27">
        <v>46619</v>
      </c>
      <c r="G277" s="27">
        <v>296970</v>
      </c>
      <c r="H277" s="27">
        <v>140798</v>
      </c>
      <c r="I277" s="27">
        <v>251892</v>
      </c>
      <c r="J277" s="27">
        <v>77540</v>
      </c>
    </row>
    <row r="278" spans="1:10" x14ac:dyDescent="0.25">
      <c r="A278" s="26">
        <v>2168</v>
      </c>
      <c r="B278" s="26">
        <v>1</v>
      </c>
      <c r="C278" s="25" t="s">
        <v>411</v>
      </c>
      <c r="D278" s="27">
        <v>1016</v>
      </c>
      <c r="E278" s="27">
        <v>146275</v>
      </c>
      <c r="F278" s="27">
        <v>89851</v>
      </c>
      <c r="G278" s="27">
        <v>430699</v>
      </c>
      <c r="H278" s="27">
        <v>264561</v>
      </c>
      <c r="I278" s="27">
        <v>304740</v>
      </c>
      <c r="J278" s="27">
        <v>108485</v>
      </c>
    </row>
    <row r="279" spans="1:10" x14ac:dyDescent="0.25">
      <c r="A279" s="26">
        <v>2169</v>
      </c>
      <c r="B279" s="26">
        <v>1</v>
      </c>
      <c r="C279" s="25" t="s">
        <v>412</v>
      </c>
      <c r="D279" s="27">
        <v>804</v>
      </c>
      <c r="E279" s="27">
        <v>86677</v>
      </c>
      <c r="F279" s="27">
        <v>50525</v>
      </c>
      <c r="G279" s="27">
        <v>340896</v>
      </c>
      <c r="H279" s="27">
        <v>198713</v>
      </c>
      <c r="I279" s="27">
        <v>721678</v>
      </c>
      <c r="J279" s="27">
        <v>407707</v>
      </c>
    </row>
    <row r="280" spans="1:10" x14ac:dyDescent="0.25">
      <c r="A280" s="26">
        <v>2170</v>
      </c>
      <c r="B280" s="26">
        <v>1</v>
      </c>
      <c r="C280" s="25" t="s">
        <v>413</v>
      </c>
      <c r="D280" s="27">
        <v>1336</v>
      </c>
      <c r="E280" s="27">
        <v>187935</v>
      </c>
      <c r="F280" s="27">
        <v>109771</v>
      </c>
      <c r="G280" s="27">
        <v>566379</v>
      </c>
      <c r="H280" s="27">
        <v>330816</v>
      </c>
      <c r="I280" s="27">
        <v>473728</v>
      </c>
      <c r="J280" s="27">
        <v>178284</v>
      </c>
    </row>
    <row r="281" spans="1:10" x14ac:dyDescent="0.25">
      <c r="A281" s="26">
        <v>2171</v>
      </c>
      <c r="B281" s="26">
        <v>1</v>
      </c>
      <c r="C281" s="25" t="s">
        <v>414</v>
      </c>
      <c r="D281" s="27">
        <v>261</v>
      </c>
      <c r="E281" s="27">
        <v>13030</v>
      </c>
      <c r="F281" s="27">
        <v>13030</v>
      </c>
      <c r="G281" s="27">
        <v>110494</v>
      </c>
      <c r="H281" s="27">
        <v>110494</v>
      </c>
      <c r="I281" s="27">
        <v>601123</v>
      </c>
      <c r="J281" s="27">
        <v>169248</v>
      </c>
    </row>
    <row r="282" spans="1:10" x14ac:dyDescent="0.25">
      <c r="A282" s="26">
        <v>2172</v>
      </c>
      <c r="B282" s="26">
        <v>1</v>
      </c>
      <c r="C282" s="25" t="s">
        <v>415</v>
      </c>
      <c r="D282" s="27">
        <v>844</v>
      </c>
      <c r="E282" s="27">
        <v>105073</v>
      </c>
      <c r="F282" s="27">
        <v>72802</v>
      </c>
      <c r="G282" s="27">
        <v>357686</v>
      </c>
      <c r="H282" s="27">
        <v>247832</v>
      </c>
      <c r="I282" s="27">
        <v>523968</v>
      </c>
      <c r="J282" s="27">
        <v>289317</v>
      </c>
    </row>
    <row r="283" spans="1:10" x14ac:dyDescent="0.25">
      <c r="A283" s="26">
        <v>2174</v>
      </c>
      <c r="B283" s="26">
        <v>1</v>
      </c>
      <c r="C283" s="25" t="s">
        <v>416</v>
      </c>
      <c r="D283" s="27">
        <v>965</v>
      </c>
      <c r="E283" s="27">
        <v>138902</v>
      </c>
      <c r="F283" s="27">
        <v>138902</v>
      </c>
      <c r="G283" s="27">
        <v>408990</v>
      </c>
      <c r="H283" s="27">
        <v>408990</v>
      </c>
      <c r="I283" s="27">
        <v>289380</v>
      </c>
      <c r="J283" s="27">
        <v>175366</v>
      </c>
    </row>
    <row r="284" spans="1:10" x14ac:dyDescent="0.25">
      <c r="A284" s="26">
        <v>2176</v>
      </c>
      <c r="B284" s="26">
        <v>1</v>
      </c>
      <c r="C284" s="25" t="s">
        <v>417</v>
      </c>
      <c r="D284" s="27">
        <v>457</v>
      </c>
      <c r="E284" s="27">
        <v>34752</v>
      </c>
      <c r="F284" s="27">
        <v>19747</v>
      </c>
      <c r="G284" s="27">
        <v>193853</v>
      </c>
      <c r="H284" s="27">
        <v>110152</v>
      </c>
      <c r="I284" s="27">
        <v>650440</v>
      </c>
      <c r="J284" s="27">
        <v>285336</v>
      </c>
    </row>
    <row r="285" spans="1:10" x14ac:dyDescent="0.25">
      <c r="A285" s="26">
        <v>2180</v>
      </c>
      <c r="B285" s="26">
        <v>1</v>
      </c>
      <c r="C285" s="25" t="s">
        <v>418</v>
      </c>
      <c r="D285" s="27">
        <v>688</v>
      </c>
      <c r="E285" s="27">
        <v>49143</v>
      </c>
      <c r="F285" s="27">
        <v>29450</v>
      </c>
      <c r="G285" s="27">
        <v>291839</v>
      </c>
      <c r="H285" s="27">
        <v>174894</v>
      </c>
      <c r="I285" s="27">
        <v>1031638</v>
      </c>
      <c r="J285" s="27">
        <v>769989</v>
      </c>
    </row>
    <row r="286" spans="1:10" x14ac:dyDescent="0.25">
      <c r="A286" s="26">
        <v>2184</v>
      </c>
      <c r="B286" s="26">
        <v>1</v>
      </c>
      <c r="C286" s="25" t="s">
        <v>419</v>
      </c>
      <c r="D286" s="27">
        <v>1271</v>
      </c>
      <c r="E286" s="27">
        <v>144777</v>
      </c>
      <c r="F286" s="27">
        <v>74589</v>
      </c>
      <c r="G286" s="27">
        <v>538883</v>
      </c>
      <c r="H286" s="27">
        <v>277631</v>
      </c>
      <c r="I286" s="27">
        <v>1012718</v>
      </c>
      <c r="J286" s="27">
        <v>457446</v>
      </c>
    </row>
    <row r="287" spans="1:10" x14ac:dyDescent="0.25">
      <c r="A287" s="26">
        <v>2190</v>
      </c>
      <c r="B287" s="26">
        <v>1</v>
      </c>
      <c r="C287" s="25" t="s">
        <v>6</v>
      </c>
      <c r="D287" s="27">
        <v>817</v>
      </c>
      <c r="E287" s="27">
        <v>85682</v>
      </c>
      <c r="F287" s="27">
        <v>52113</v>
      </c>
      <c r="G287" s="27">
        <v>346408</v>
      </c>
      <c r="H287" s="27">
        <v>210691</v>
      </c>
      <c r="I287" s="27">
        <v>772923</v>
      </c>
      <c r="J287" s="27">
        <v>466978</v>
      </c>
    </row>
    <row r="288" spans="1:10" x14ac:dyDescent="0.25">
      <c r="A288" s="26">
        <v>2198</v>
      </c>
      <c r="B288" s="26">
        <v>1</v>
      </c>
      <c r="C288" s="25" t="s">
        <v>7</v>
      </c>
      <c r="D288" s="27">
        <v>580</v>
      </c>
      <c r="E288" s="27">
        <v>66302</v>
      </c>
      <c r="F288" s="27">
        <v>48492</v>
      </c>
      <c r="G288" s="27">
        <v>246090</v>
      </c>
      <c r="H288" s="27">
        <v>179985</v>
      </c>
      <c r="I288" s="27">
        <v>459375</v>
      </c>
      <c r="J288" s="27">
        <v>287341</v>
      </c>
    </row>
    <row r="289" spans="1:10" x14ac:dyDescent="0.25">
      <c r="A289" s="26">
        <v>2215</v>
      </c>
      <c r="B289" s="26">
        <v>1</v>
      </c>
      <c r="C289" s="25" t="s">
        <v>420</v>
      </c>
      <c r="D289" s="27">
        <v>327</v>
      </c>
      <c r="E289" s="27">
        <v>24588</v>
      </c>
      <c r="F289" s="27">
        <v>8016</v>
      </c>
      <c r="G289" s="27">
        <v>138818</v>
      </c>
      <c r="H289" s="27">
        <v>45259</v>
      </c>
      <c r="I289" s="27">
        <v>470690</v>
      </c>
      <c r="J289" s="27">
        <v>194870</v>
      </c>
    </row>
    <row r="290" spans="1:10" x14ac:dyDescent="0.25">
      <c r="A290" s="26">
        <v>2310</v>
      </c>
      <c r="B290" s="26">
        <v>1</v>
      </c>
      <c r="C290" s="25" t="s">
        <v>421</v>
      </c>
      <c r="D290" s="27">
        <v>1346</v>
      </c>
      <c r="E290" s="27">
        <v>193766</v>
      </c>
      <c r="F290" s="27">
        <v>89715</v>
      </c>
      <c r="G290" s="27">
        <v>570534</v>
      </c>
      <c r="H290" s="27">
        <v>264160</v>
      </c>
      <c r="I290" s="27">
        <v>403680</v>
      </c>
      <c r="J290" s="27">
        <v>108321</v>
      </c>
    </row>
    <row r="291" spans="1:10" x14ac:dyDescent="0.25">
      <c r="A291" s="26">
        <v>2311</v>
      </c>
      <c r="B291" s="26">
        <v>1</v>
      </c>
      <c r="C291" s="25" t="s">
        <v>422</v>
      </c>
      <c r="D291" s="27">
        <v>462</v>
      </c>
      <c r="E291" s="27">
        <v>66493</v>
      </c>
      <c r="F291" s="27">
        <v>66493</v>
      </c>
      <c r="G291" s="27">
        <v>195782</v>
      </c>
      <c r="H291" s="27">
        <v>195782</v>
      </c>
      <c r="I291" s="27">
        <v>138525</v>
      </c>
      <c r="J291" s="27">
        <v>116664</v>
      </c>
    </row>
    <row r="292" spans="1:10" x14ac:dyDescent="0.25">
      <c r="A292" s="26">
        <v>2342</v>
      </c>
      <c r="B292" s="26">
        <v>1</v>
      </c>
      <c r="C292" s="25" t="s">
        <v>8</v>
      </c>
      <c r="D292" s="27">
        <v>784</v>
      </c>
      <c r="E292" s="27">
        <v>76452</v>
      </c>
      <c r="F292" s="27">
        <v>46211</v>
      </c>
      <c r="G292" s="27">
        <v>332416</v>
      </c>
      <c r="H292" s="27">
        <v>200927</v>
      </c>
      <c r="I292" s="27">
        <v>836975</v>
      </c>
      <c r="J292" s="27">
        <v>541512</v>
      </c>
    </row>
    <row r="293" spans="1:10" x14ac:dyDescent="0.25">
      <c r="A293" s="26">
        <v>2358</v>
      </c>
      <c r="B293" s="26">
        <v>1</v>
      </c>
      <c r="C293" s="25" t="s">
        <v>423</v>
      </c>
      <c r="D293" s="27">
        <v>220</v>
      </c>
      <c r="E293" s="27">
        <v>19102</v>
      </c>
      <c r="F293" s="27">
        <v>8147</v>
      </c>
      <c r="G293" s="27">
        <v>93428</v>
      </c>
      <c r="H293" s="27">
        <v>39846</v>
      </c>
      <c r="I293" s="27">
        <v>274640</v>
      </c>
      <c r="J293" s="27">
        <v>139952</v>
      </c>
    </row>
    <row r="294" spans="1:10" x14ac:dyDescent="0.25">
      <c r="A294" s="26">
        <v>2364</v>
      </c>
      <c r="B294" s="26">
        <v>1</v>
      </c>
      <c r="C294" s="25" t="s">
        <v>424</v>
      </c>
      <c r="D294" s="27">
        <v>679</v>
      </c>
      <c r="E294" s="27">
        <v>88937</v>
      </c>
      <c r="F294" s="27">
        <v>51283</v>
      </c>
      <c r="G294" s="27">
        <v>287938</v>
      </c>
      <c r="H294" s="27">
        <v>166031</v>
      </c>
      <c r="I294" s="27">
        <v>349920</v>
      </c>
      <c r="J294" s="27">
        <v>152378</v>
      </c>
    </row>
    <row r="295" spans="1:10" x14ac:dyDescent="0.25">
      <c r="A295" s="26">
        <v>2365</v>
      </c>
      <c r="B295" s="26">
        <v>1</v>
      </c>
      <c r="C295" s="25" t="s">
        <v>9</v>
      </c>
      <c r="D295" s="27">
        <v>893</v>
      </c>
      <c r="E295" s="27">
        <v>117261</v>
      </c>
      <c r="F295" s="27">
        <v>71743</v>
      </c>
      <c r="G295" s="27">
        <v>378802</v>
      </c>
      <c r="H295" s="27">
        <v>231761</v>
      </c>
      <c r="I295" s="27">
        <v>456063</v>
      </c>
      <c r="J295" s="27">
        <v>210085</v>
      </c>
    </row>
    <row r="296" spans="1:10" x14ac:dyDescent="0.25">
      <c r="A296" s="26">
        <v>2396</v>
      </c>
      <c r="B296" s="26">
        <v>1</v>
      </c>
      <c r="C296" s="25" t="s">
        <v>10</v>
      </c>
      <c r="D296" s="27">
        <v>841</v>
      </c>
      <c r="E296" s="27">
        <v>95446</v>
      </c>
      <c r="F296" s="27">
        <v>67770</v>
      </c>
      <c r="G296" s="27">
        <v>356754</v>
      </c>
      <c r="H296" s="27">
        <v>253307</v>
      </c>
      <c r="I296" s="27">
        <v>677033</v>
      </c>
      <c r="J296" s="27">
        <v>416253</v>
      </c>
    </row>
    <row r="297" spans="1:10" x14ac:dyDescent="0.25">
      <c r="A297" s="26">
        <v>2397</v>
      </c>
      <c r="B297" s="26">
        <v>1</v>
      </c>
      <c r="C297" s="25" t="s">
        <v>425</v>
      </c>
      <c r="D297" s="27">
        <v>1084</v>
      </c>
      <c r="E297" s="27">
        <v>142522</v>
      </c>
      <c r="F297" s="27">
        <v>104204</v>
      </c>
      <c r="G297" s="27">
        <v>459701</v>
      </c>
      <c r="H297" s="27">
        <v>336108</v>
      </c>
      <c r="I297" s="27">
        <v>549874</v>
      </c>
      <c r="J297" s="27">
        <v>302048</v>
      </c>
    </row>
    <row r="298" spans="1:10" x14ac:dyDescent="0.25">
      <c r="A298" s="26">
        <v>2448</v>
      </c>
      <c r="B298" s="26">
        <v>1</v>
      </c>
      <c r="C298" s="25" t="s">
        <v>426</v>
      </c>
      <c r="D298" s="27">
        <v>812</v>
      </c>
      <c r="E298" s="27">
        <v>81132</v>
      </c>
      <c r="F298" s="27">
        <v>62240</v>
      </c>
      <c r="G298" s="27">
        <v>344288</v>
      </c>
      <c r="H298" s="27">
        <v>264118</v>
      </c>
      <c r="I298" s="27">
        <v>834663</v>
      </c>
      <c r="J298" s="27">
        <v>608671</v>
      </c>
    </row>
    <row r="299" spans="1:10" x14ac:dyDescent="0.25">
      <c r="A299" s="26">
        <v>2527</v>
      </c>
      <c r="B299" s="26">
        <v>1</v>
      </c>
      <c r="C299" s="25" t="s">
        <v>427</v>
      </c>
      <c r="D299" s="27">
        <v>300</v>
      </c>
      <c r="E299" s="27">
        <v>26676</v>
      </c>
      <c r="F299" s="27">
        <v>9802</v>
      </c>
      <c r="G299" s="27">
        <v>127030</v>
      </c>
      <c r="H299" s="27">
        <v>46678</v>
      </c>
      <c r="I299" s="27">
        <v>361770</v>
      </c>
      <c r="J299" s="27">
        <v>156424</v>
      </c>
    </row>
    <row r="300" spans="1:10" x14ac:dyDescent="0.25">
      <c r="A300" s="26">
        <v>2534</v>
      </c>
      <c r="B300" s="26">
        <v>1</v>
      </c>
      <c r="C300" s="25" t="s">
        <v>11</v>
      </c>
      <c r="D300" s="27">
        <v>722</v>
      </c>
      <c r="E300" s="27">
        <v>102947</v>
      </c>
      <c r="F300" s="27">
        <v>74404</v>
      </c>
      <c r="G300" s="27">
        <v>306170</v>
      </c>
      <c r="H300" s="27">
        <v>221281</v>
      </c>
      <c r="I300" s="27">
        <v>233729</v>
      </c>
      <c r="J300" s="27">
        <v>103095</v>
      </c>
    </row>
    <row r="301" spans="1:10" x14ac:dyDescent="0.25">
      <c r="A301" s="26">
        <v>2536</v>
      </c>
      <c r="B301" s="26">
        <v>1</v>
      </c>
      <c r="C301" s="25" t="s">
        <v>428</v>
      </c>
      <c r="D301" s="27">
        <v>218</v>
      </c>
      <c r="E301" s="27">
        <v>10905</v>
      </c>
      <c r="F301" s="27">
        <v>6356</v>
      </c>
      <c r="G301" s="27">
        <v>92474</v>
      </c>
      <c r="H301" s="27">
        <v>53899</v>
      </c>
      <c r="I301" s="27">
        <v>659903</v>
      </c>
      <c r="J301" s="27">
        <v>483469</v>
      </c>
    </row>
    <row r="302" spans="1:10" x14ac:dyDescent="0.25">
      <c r="A302" s="26">
        <v>2580</v>
      </c>
      <c r="B302" s="26">
        <v>1</v>
      </c>
      <c r="C302" s="25" t="s">
        <v>429</v>
      </c>
      <c r="D302" s="27">
        <v>828</v>
      </c>
      <c r="E302" s="27">
        <v>119290</v>
      </c>
      <c r="F302" s="27">
        <v>58041</v>
      </c>
      <c r="G302" s="27">
        <v>351242</v>
      </c>
      <c r="H302" s="27">
        <v>170897</v>
      </c>
      <c r="I302" s="27">
        <v>248520</v>
      </c>
      <c r="J302" s="27">
        <v>70077</v>
      </c>
    </row>
    <row r="303" spans="1:10" x14ac:dyDescent="0.25">
      <c r="A303" s="26">
        <v>2609</v>
      </c>
      <c r="B303" s="26">
        <v>1</v>
      </c>
      <c r="C303" s="25" t="s">
        <v>430</v>
      </c>
      <c r="D303" s="27">
        <v>420</v>
      </c>
      <c r="E303" s="27">
        <v>50349</v>
      </c>
      <c r="F303" s="27">
        <v>33978</v>
      </c>
      <c r="G303" s="27">
        <v>178059</v>
      </c>
      <c r="H303" s="27">
        <v>120162</v>
      </c>
      <c r="I303" s="27">
        <v>293163</v>
      </c>
      <c r="J303" s="27">
        <v>162092</v>
      </c>
    </row>
    <row r="304" spans="1:10" x14ac:dyDescent="0.25">
      <c r="A304" s="26">
        <v>2683</v>
      </c>
      <c r="B304" s="26">
        <v>1</v>
      </c>
      <c r="C304" s="25" t="s">
        <v>431</v>
      </c>
      <c r="D304" s="27">
        <v>417</v>
      </c>
      <c r="E304" s="27">
        <v>47116</v>
      </c>
      <c r="F304" s="27">
        <v>17282</v>
      </c>
      <c r="G304" s="27">
        <v>176638</v>
      </c>
      <c r="H304" s="27">
        <v>64790</v>
      </c>
      <c r="I304" s="27">
        <v>337558</v>
      </c>
      <c r="J304" s="27">
        <v>110368</v>
      </c>
    </row>
    <row r="305" spans="1:10" x14ac:dyDescent="0.25">
      <c r="A305" s="26">
        <v>2687</v>
      </c>
      <c r="B305" s="26">
        <v>1</v>
      </c>
      <c r="C305" s="25" t="s">
        <v>12</v>
      </c>
      <c r="D305" s="27">
        <v>1228</v>
      </c>
      <c r="E305" s="27">
        <v>173118</v>
      </c>
      <c r="F305" s="27">
        <v>126956</v>
      </c>
      <c r="G305" s="27">
        <v>520587</v>
      </c>
      <c r="H305" s="27">
        <v>381772</v>
      </c>
      <c r="I305" s="27">
        <v>429190</v>
      </c>
      <c r="J305" s="27">
        <v>201172</v>
      </c>
    </row>
    <row r="306" spans="1:10" x14ac:dyDescent="0.25">
      <c r="A306" s="26">
        <v>2689</v>
      </c>
      <c r="B306" s="26">
        <v>1</v>
      </c>
      <c r="C306" s="25" t="s">
        <v>432</v>
      </c>
      <c r="D306" s="27">
        <v>1178</v>
      </c>
      <c r="E306" s="27">
        <v>135852</v>
      </c>
      <c r="F306" s="27">
        <v>67069</v>
      </c>
      <c r="G306" s="27">
        <v>499472</v>
      </c>
      <c r="H306" s="27">
        <v>246587</v>
      </c>
      <c r="I306" s="27">
        <v>911183</v>
      </c>
      <c r="J306" s="27">
        <v>382444</v>
      </c>
    </row>
    <row r="307" spans="1:10" x14ac:dyDescent="0.25">
      <c r="A307" s="26">
        <v>2711</v>
      </c>
      <c r="B307" s="26">
        <v>1</v>
      </c>
      <c r="C307" s="25" t="s">
        <v>433</v>
      </c>
      <c r="D307" s="27">
        <v>1034</v>
      </c>
      <c r="E307" s="27">
        <v>148896</v>
      </c>
      <c r="F307" s="27">
        <v>102371</v>
      </c>
      <c r="G307" s="27">
        <v>438416</v>
      </c>
      <c r="H307" s="27">
        <v>301426</v>
      </c>
      <c r="I307" s="27">
        <v>310200</v>
      </c>
      <c r="J307" s="27">
        <v>123601</v>
      </c>
    </row>
    <row r="308" spans="1:10" x14ac:dyDescent="0.25">
      <c r="A308" s="26">
        <v>2752</v>
      </c>
      <c r="B308" s="26">
        <v>1</v>
      </c>
      <c r="C308" s="25" t="s">
        <v>434</v>
      </c>
      <c r="D308" s="27">
        <v>1964</v>
      </c>
      <c r="E308" s="27">
        <v>254140</v>
      </c>
      <c r="F308" s="27">
        <v>191798</v>
      </c>
      <c r="G308" s="27">
        <v>832672</v>
      </c>
      <c r="H308" s="27">
        <v>628413</v>
      </c>
      <c r="I308" s="27">
        <v>1062305</v>
      </c>
      <c r="J308" s="27">
        <v>614769</v>
      </c>
    </row>
    <row r="309" spans="1:10" x14ac:dyDescent="0.25">
      <c r="A309" s="26">
        <v>2753</v>
      </c>
      <c r="B309" s="26">
        <v>1</v>
      </c>
      <c r="C309" s="25" t="s">
        <v>435</v>
      </c>
      <c r="D309" s="27">
        <v>960</v>
      </c>
      <c r="E309" s="27">
        <v>124473</v>
      </c>
      <c r="F309" s="27">
        <v>77772</v>
      </c>
      <c r="G309" s="27">
        <v>407040</v>
      </c>
      <c r="H309" s="27">
        <v>254324</v>
      </c>
      <c r="I309" s="27">
        <v>515328</v>
      </c>
      <c r="J309" s="27">
        <v>246325</v>
      </c>
    </row>
    <row r="310" spans="1:10" x14ac:dyDescent="0.25">
      <c r="A310" s="26">
        <v>2754</v>
      </c>
      <c r="B310" s="26">
        <v>1</v>
      </c>
      <c r="C310" s="25" t="s">
        <v>436</v>
      </c>
      <c r="D310" s="27">
        <v>562</v>
      </c>
      <c r="E310" s="27">
        <v>80899</v>
      </c>
      <c r="F310" s="27">
        <v>36145</v>
      </c>
      <c r="G310" s="27">
        <v>238203</v>
      </c>
      <c r="H310" s="27">
        <v>106426</v>
      </c>
      <c r="I310" s="27">
        <v>168540</v>
      </c>
      <c r="J310" s="27">
        <v>43641</v>
      </c>
    </row>
    <row r="311" spans="1:10" x14ac:dyDescent="0.25">
      <c r="A311" s="26">
        <v>2759</v>
      </c>
      <c r="B311" s="26">
        <v>1</v>
      </c>
      <c r="C311" s="25" t="s">
        <v>437</v>
      </c>
      <c r="D311" s="27">
        <v>315</v>
      </c>
      <c r="E311" s="27">
        <v>39321</v>
      </c>
      <c r="F311" s="27">
        <v>18127</v>
      </c>
      <c r="G311" s="27">
        <v>133454</v>
      </c>
      <c r="H311" s="27">
        <v>61522</v>
      </c>
      <c r="I311" s="27">
        <v>193559</v>
      </c>
      <c r="J311" s="27">
        <v>70929</v>
      </c>
    </row>
    <row r="312" spans="1:10" x14ac:dyDescent="0.25">
      <c r="A312" s="26">
        <v>2769</v>
      </c>
      <c r="B312" s="26">
        <v>1</v>
      </c>
      <c r="C312" s="25" t="s">
        <v>467</v>
      </c>
      <c r="D312" s="27">
        <v>1074</v>
      </c>
      <c r="E312" s="27">
        <v>143632</v>
      </c>
      <c r="F312" s="27">
        <v>104108</v>
      </c>
      <c r="G312" s="27">
        <v>455206</v>
      </c>
      <c r="H312" s="27">
        <v>329944</v>
      </c>
      <c r="I312" s="27">
        <v>503153</v>
      </c>
      <c r="J312" s="27">
        <v>266542</v>
      </c>
    </row>
    <row r="313" spans="1:10" x14ac:dyDescent="0.25">
      <c r="A313" s="26">
        <v>2805</v>
      </c>
      <c r="B313" s="26">
        <v>1</v>
      </c>
      <c r="C313" s="25" t="s">
        <v>438</v>
      </c>
      <c r="D313" s="27">
        <v>1230</v>
      </c>
      <c r="E313" s="27">
        <v>129020</v>
      </c>
      <c r="F313" s="27">
        <v>103641</v>
      </c>
      <c r="G313" s="27">
        <v>521520</v>
      </c>
      <c r="H313" s="27">
        <v>418935</v>
      </c>
      <c r="I313" s="27">
        <v>1163236</v>
      </c>
      <c r="J313" s="27">
        <v>854728</v>
      </c>
    </row>
    <row r="314" spans="1:10" x14ac:dyDescent="0.25">
      <c r="A314" s="26">
        <v>2835</v>
      </c>
      <c r="B314" s="26">
        <v>1</v>
      </c>
      <c r="C314" s="25" t="s">
        <v>439</v>
      </c>
      <c r="D314" s="27">
        <v>639</v>
      </c>
      <c r="E314" s="27">
        <v>41377</v>
      </c>
      <c r="F314" s="27">
        <v>31063</v>
      </c>
      <c r="G314" s="27">
        <v>271042</v>
      </c>
      <c r="H314" s="27">
        <v>203481</v>
      </c>
      <c r="I314" s="27">
        <v>1028534</v>
      </c>
      <c r="J314" s="27">
        <v>846901</v>
      </c>
    </row>
    <row r="315" spans="1:10" x14ac:dyDescent="0.25">
      <c r="A315" s="26">
        <v>2853</v>
      </c>
      <c r="B315" s="26">
        <v>1</v>
      </c>
      <c r="C315" s="25" t="s">
        <v>440</v>
      </c>
      <c r="D315" s="27">
        <v>880</v>
      </c>
      <c r="E315" s="27">
        <v>98779</v>
      </c>
      <c r="F315" s="27">
        <v>49556</v>
      </c>
      <c r="G315" s="27">
        <v>372950</v>
      </c>
      <c r="H315" s="27">
        <v>187103</v>
      </c>
      <c r="I315" s="27">
        <v>724289</v>
      </c>
      <c r="J315" s="27">
        <v>328937</v>
      </c>
    </row>
    <row r="316" spans="1:10" x14ac:dyDescent="0.25">
      <c r="A316" s="26">
        <v>2854</v>
      </c>
      <c r="B316" s="26">
        <v>1</v>
      </c>
      <c r="C316" s="25" t="s">
        <v>441</v>
      </c>
      <c r="D316" s="27">
        <v>521</v>
      </c>
      <c r="E316" s="27">
        <v>72131</v>
      </c>
      <c r="F316" s="27">
        <v>29106</v>
      </c>
      <c r="G316" s="27">
        <v>221074</v>
      </c>
      <c r="H316" s="27">
        <v>89208</v>
      </c>
      <c r="I316" s="27">
        <v>205134</v>
      </c>
      <c r="J316" s="27">
        <v>56237</v>
      </c>
    </row>
    <row r="317" spans="1:10" x14ac:dyDescent="0.25">
      <c r="A317" s="26">
        <v>2856</v>
      </c>
      <c r="B317" s="26">
        <v>1</v>
      </c>
      <c r="C317" s="25" t="s">
        <v>442</v>
      </c>
      <c r="D317" s="27">
        <v>313</v>
      </c>
      <c r="E317" s="27">
        <v>24974</v>
      </c>
      <c r="F317" s="27">
        <v>22917</v>
      </c>
      <c r="G317" s="27">
        <v>132903</v>
      </c>
      <c r="H317" s="27">
        <v>121958</v>
      </c>
      <c r="I317" s="27">
        <v>426978</v>
      </c>
      <c r="J317" s="27">
        <v>278848</v>
      </c>
    </row>
    <row r="318" spans="1:10" x14ac:dyDescent="0.25">
      <c r="A318" s="26">
        <v>2859</v>
      </c>
      <c r="B318" s="26">
        <v>1</v>
      </c>
      <c r="C318" s="25" t="s">
        <v>443</v>
      </c>
      <c r="D318" s="27">
        <v>1759</v>
      </c>
      <c r="E318" s="27">
        <v>238898</v>
      </c>
      <c r="F318" s="27">
        <v>163420</v>
      </c>
      <c r="G318" s="27">
        <v>745731</v>
      </c>
      <c r="H318" s="27">
        <v>510122</v>
      </c>
      <c r="I318" s="27">
        <v>764902</v>
      </c>
      <c r="J318" s="27">
        <v>371480</v>
      </c>
    </row>
    <row r="319" spans="1:10" x14ac:dyDescent="0.25">
      <c r="A319" s="26">
        <v>2860</v>
      </c>
      <c r="B319" s="26">
        <v>1</v>
      </c>
      <c r="C319" s="25" t="s">
        <v>444</v>
      </c>
      <c r="D319" s="27">
        <v>1326</v>
      </c>
      <c r="E319" s="27">
        <v>190995</v>
      </c>
      <c r="F319" s="27">
        <v>101906</v>
      </c>
      <c r="G319" s="27">
        <v>562372</v>
      </c>
      <c r="H319" s="27">
        <v>300054</v>
      </c>
      <c r="I319" s="27">
        <v>397905</v>
      </c>
      <c r="J319" s="27">
        <v>123039</v>
      </c>
    </row>
    <row r="320" spans="1:10" x14ac:dyDescent="0.25">
      <c r="A320" s="26">
        <v>2884</v>
      </c>
      <c r="B320" s="26">
        <v>1</v>
      </c>
      <c r="C320" s="25" t="s">
        <v>445</v>
      </c>
      <c r="D320" s="27">
        <v>390</v>
      </c>
      <c r="E320" s="27">
        <v>27864</v>
      </c>
      <c r="F320" s="27">
        <v>16207</v>
      </c>
      <c r="G320" s="27">
        <v>165360</v>
      </c>
      <c r="H320" s="27">
        <v>96181</v>
      </c>
      <c r="I320" s="27">
        <v>584220</v>
      </c>
      <c r="J320" s="27">
        <v>431606</v>
      </c>
    </row>
    <row r="321" spans="1:10" x14ac:dyDescent="0.25">
      <c r="A321" s="26">
        <v>2886</v>
      </c>
      <c r="B321" s="26">
        <v>1</v>
      </c>
      <c r="C321" s="25" t="s">
        <v>446</v>
      </c>
      <c r="D321" s="27">
        <v>385</v>
      </c>
      <c r="E321" s="27">
        <v>49306</v>
      </c>
      <c r="F321" s="27">
        <v>35339</v>
      </c>
      <c r="G321" s="27">
        <v>163049</v>
      </c>
      <c r="H321" s="27">
        <v>116863</v>
      </c>
      <c r="I321" s="27">
        <v>215590</v>
      </c>
      <c r="J321" s="27">
        <v>58429</v>
      </c>
    </row>
    <row r="322" spans="1:10" x14ac:dyDescent="0.25">
      <c r="A322" s="26">
        <v>2888</v>
      </c>
      <c r="B322" s="26">
        <v>1</v>
      </c>
      <c r="C322" s="25" t="s">
        <v>13</v>
      </c>
      <c r="D322" s="27">
        <v>331</v>
      </c>
      <c r="E322" s="27">
        <v>40137</v>
      </c>
      <c r="F322" s="27">
        <v>20505</v>
      </c>
      <c r="G322" s="27">
        <v>140174</v>
      </c>
      <c r="H322" s="27">
        <v>71610</v>
      </c>
      <c r="I322" s="27">
        <v>222524</v>
      </c>
      <c r="J322" s="27">
        <v>92376</v>
      </c>
    </row>
    <row r="323" spans="1:10" x14ac:dyDescent="0.25">
      <c r="A323" s="26">
        <v>2889</v>
      </c>
      <c r="B323" s="26">
        <v>1</v>
      </c>
      <c r="C323" s="25" t="s">
        <v>447</v>
      </c>
      <c r="D323" s="27">
        <v>657</v>
      </c>
      <c r="E323" s="27">
        <v>91012</v>
      </c>
      <c r="F323" s="27">
        <v>91012</v>
      </c>
      <c r="G323" s="27">
        <v>278674</v>
      </c>
      <c r="H323" s="27">
        <v>278674</v>
      </c>
      <c r="I323" s="27">
        <v>257156</v>
      </c>
      <c r="J323" s="27">
        <v>204215</v>
      </c>
    </row>
    <row r="324" spans="1:10" x14ac:dyDescent="0.25">
      <c r="A324" s="26">
        <v>2890</v>
      </c>
      <c r="B324" s="26">
        <v>1</v>
      </c>
      <c r="C324" s="25" t="s">
        <v>448</v>
      </c>
      <c r="D324" s="27">
        <v>559</v>
      </c>
      <c r="E324" s="27">
        <v>27930</v>
      </c>
      <c r="F324" s="27">
        <v>15991</v>
      </c>
      <c r="G324" s="27">
        <v>236846</v>
      </c>
      <c r="H324" s="27">
        <v>135605</v>
      </c>
      <c r="I324" s="27">
        <v>1063787</v>
      </c>
      <c r="J324" s="27">
        <v>817631</v>
      </c>
    </row>
    <row r="325" spans="1:10" x14ac:dyDescent="0.25">
      <c r="A325" s="26">
        <v>2895</v>
      </c>
      <c r="B325" s="26">
        <v>1</v>
      </c>
      <c r="C325" s="25" t="s">
        <v>449</v>
      </c>
      <c r="D325" s="27">
        <v>1340</v>
      </c>
      <c r="E325" s="27">
        <v>168571</v>
      </c>
      <c r="F325" s="27">
        <v>104745</v>
      </c>
      <c r="G325" s="27">
        <v>567990</v>
      </c>
      <c r="H325" s="27">
        <v>352931</v>
      </c>
      <c r="I325" s="27">
        <v>803639</v>
      </c>
      <c r="J325" s="27">
        <v>394361</v>
      </c>
    </row>
    <row r="326" spans="1:10" x14ac:dyDescent="0.25">
      <c r="A326" s="26">
        <v>2897</v>
      </c>
      <c r="B326" s="26">
        <v>1</v>
      </c>
      <c r="C326" s="25" t="s">
        <v>450</v>
      </c>
      <c r="D326" s="27">
        <v>1210</v>
      </c>
      <c r="E326" s="27">
        <v>150047</v>
      </c>
      <c r="F326" s="27">
        <v>74653</v>
      </c>
      <c r="G326" s="27">
        <v>513210</v>
      </c>
      <c r="H326" s="27">
        <v>255337</v>
      </c>
      <c r="I326" s="27">
        <v>763545</v>
      </c>
      <c r="J326" s="27">
        <v>303925</v>
      </c>
    </row>
    <row r="327" spans="1:10" x14ac:dyDescent="0.25">
      <c r="A327" s="26">
        <v>2898</v>
      </c>
      <c r="B327" s="26">
        <v>1</v>
      </c>
      <c r="C327" s="25" t="s">
        <v>451</v>
      </c>
      <c r="D327" s="27">
        <v>425</v>
      </c>
      <c r="E327" s="27">
        <v>60591</v>
      </c>
      <c r="F327" s="27">
        <v>27790</v>
      </c>
      <c r="G327" s="27">
        <v>180370</v>
      </c>
      <c r="H327" s="27">
        <v>82727</v>
      </c>
      <c r="I327" s="27">
        <v>138629</v>
      </c>
      <c r="J327" s="27">
        <v>7733</v>
      </c>
    </row>
    <row r="328" spans="1:10" x14ac:dyDescent="0.25">
      <c r="A328" s="26">
        <v>2899</v>
      </c>
      <c r="B328" s="26">
        <v>1</v>
      </c>
      <c r="C328" s="25" t="s">
        <v>14</v>
      </c>
      <c r="D328" s="27">
        <v>1550</v>
      </c>
      <c r="E328" s="27">
        <v>223142</v>
      </c>
      <c r="F328" s="27">
        <v>143801</v>
      </c>
      <c r="G328" s="27">
        <v>657030</v>
      </c>
      <c r="H328" s="27">
        <v>423413</v>
      </c>
      <c r="I328" s="27">
        <v>464880</v>
      </c>
      <c r="J328" s="27">
        <v>173623</v>
      </c>
    </row>
    <row r="329" spans="1:10" x14ac:dyDescent="0.25">
      <c r="A329" s="26">
        <v>2902</v>
      </c>
      <c r="B329" s="26">
        <v>1</v>
      </c>
      <c r="C329" s="25" t="s">
        <v>452</v>
      </c>
      <c r="D329" s="27">
        <v>574</v>
      </c>
      <c r="E329" s="27">
        <v>81262</v>
      </c>
      <c r="F329" s="27">
        <v>46516</v>
      </c>
      <c r="G329" s="27">
        <v>243164</v>
      </c>
      <c r="H329" s="27">
        <v>139192</v>
      </c>
      <c r="I329" s="27">
        <v>193877</v>
      </c>
      <c r="J329" s="27">
        <v>69571</v>
      </c>
    </row>
    <row r="330" spans="1:10" x14ac:dyDescent="0.25">
      <c r="A330" s="26">
        <v>2903</v>
      </c>
      <c r="B330" s="26">
        <v>1</v>
      </c>
      <c r="C330" s="25" t="s">
        <v>453</v>
      </c>
      <c r="D330" s="27">
        <v>517</v>
      </c>
      <c r="E330" s="27">
        <v>61338</v>
      </c>
      <c r="F330" s="27">
        <v>32509</v>
      </c>
      <c r="G330" s="27">
        <v>219293</v>
      </c>
      <c r="H330" s="27">
        <v>116225</v>
      </c>
      <c r="I330" s="27">
        <v>372115</v>
      </c>
      <c r="J330" s="27">
        <v>162645</v>
      </c>
    </row>
    <row r="331" spans="1:10" x14ac:dyDescent="0.25">
      <c r="A331" s="26">
        <v>2904</v>
      </c>
      <c r="B331" s="26">
        <v>1</v>
      </c>
      <c r="C331" s="25" t="s">
        <v>454</v>
      </c>
      <c r="D331" s="27">
        <v>794</v>
      </c>
      <c r="E331" s="27">
        <v>102399</v>
      </c>
      <c r="F331" s="27">
        <v>65548</v>
      </c>
      <c r="G331" s="27">
        <v>336741</v>
      </c>
      <c r="H331" s="27">
        <v>215557</v>
      </c>
      <c r="I331" s="27">
        <v>435841</v>
      </c>
      <c r="J331" s="27">
        <v>214867</v>
      </c>
    </row>
    <row r="332" spans="1:10" x14ac:dyDescent="0.25">
      <c r="A332" s="26">
        <v>2905</v>
      </c>
      <c r="B332" s="26">
        <v>1</v>
      </c>
      <c r="C332" s="25" t="s">
        <v>15</v>
      </c>
      <c r="D332" s="27">
        <v>2098</v>
      </c>
      <c r="E332" s="27">
        <v>301964</v>
      </c>
      <c r="F332" s="27">
        <v>183808</v>
      </c>
      <c r="G332" s="27">
        <v>889722</v>
      </c>
      <c r="H332" s="27">
        <v>541581</v>
      </c>
      <c r="I332" s="27">
        <v>632919</v>
      </c>
      <c r="J332" s="27">
        <v>224147</v>
      </c>
    </row>
    <row r="333" spans="1:10" x14ac:dyDescent="0.25">
      <c r="A333" s="26">
        <v>2906</v>
      </c>
      <c r="B333" s="26">
        <v>1</v>
      </c>
      <c r="C333" s="25" t="s">
        <v>468</v>
      </c>
      <c r="D333" s="27">
        <v>412</v>
      </c>
      <c r="E333" s="27">
        <v>50283</v>
      </c>
      <c r="F333" s="27">
        <v>39972</v>
      </c>
      <c r="G333" s="27">
        <v>174518</v>
      </c>
      <c r="H333" s="27">
        <v>138730</v>
      </c>
      <c r="I333" s="27">
        <v>271882</v>
      </c>
      <c r="J333" s="27">
        <v>174857</v>
      </c>
    </row>
    <row r="334" spans="1:10" x14ac:dyDescent="0.25">
      <c r="A334" s="26">
        <v>2907</v>
      </c>
      <c r="B334" s="26">
        <v>1</v>
      </c>
      <c r="C334" s="25" t="s">
        <v>469</v>
      </c>
      <c r="D334" s="27">
        <v>314</v>
      </c>
      <c r="E334" s="27">
        <v>29028</v>
      </c>
      <c r="F334" s="27">
        <v>16484</v>
      </c>
      <c r="G334" s="27">
        <v>133051</v>
      </c>
      <c r="H334" s="27">
        <v>75555</v>
      </c>
      <c r="I334" s="27">
        <v>360964</v>
      </c>
      <c r="J334" s="27">
        <v>235264</v>
      </c>
    </row>
    <row r="335" spans="1:10" x14ac:dyDescent="0.25">
      <c r="A335" s="26">
        <v>2908</v>
      </c>
      <c r="B335" s="26">
        <v>1</v>
      </c>
      <c r="C335" s="25" t="s">
        <v>470</v>
      </c>
      <c r="D335" s="27">
        <v>503</v>
      </c>
      <c r="E335" s="27">
        <v>60223</v>
      </c>
      <c r="F335" s="27">
        <v>45580</v>
      </c>
      <c r="G335" s="27">
        <v>213357</v>
      </c>
      <c r="H335" s="27">
        <v>161479</v>
      </c>
      <c r="I335" s="27">
        <v>353030</v>
      </c>
      <c r="J335" s="27">
        <v>219151</v>
      </c>
    </row>
    <row r="336" spans="1:10" x14ac:dyDescent="0.25">
      <c r="A336" s="26">
        <v>3000</v>
      </c>
      <c r="B336" s="26">
        <v>1</v>
      </c>
      <c r="C336" s="25" t="s">
        <v>16</v>
      </c>
      <c r="D336" s="27">
        <v>0</v>
      </c>
      <c r="E336" s="27">
        <v>2633763</v>
      </c>
      <c r="F336" s="27">
        <v>2308489</v>
      </c>
      <c r="G336" s="27">
        <v>-8003800</v>
      </c>
      <c r="H336" s="27">
        <v>-7585510</v>
      </c>
      <c r="I336" s="27">
        <v>50652472</v>
      </c>
      <c r="J336" s="27">
        <v>46893197</v>
      </c>
    </row>
    <row r="337" spans="1:10" x14ac:dyDescent="0.25">
      <c r="A337" s="26">
        <v>3999</v>
      </c>
      <c r="B337" s="26">
        <v>1</v>
      </c>
      <c r="C337" s="25" t="s">
        <v>17</v>
      </c>
      <c r="D337" s="27">
        <v>8458</v>
      </c>
      <c r="E337" s="27">
        <v>975465</v>
      </c>
      <c r="F337" s="27">
        <v>-1202389</v>
      </c>
      <c r="G337" s="27">
        <v>3586268</v>
      </c>
      <c r="H337" s="27">
        <v>-4015279</v>
      </c>
      <c r="I337" s="27">
        <v>6444404</v>
      </c>
      <c r="J337" s="27">
        <v>-3959670</v>
      </c>
    </row>
    <row r="338" spans="1:10" x14ac:dyDescent="0.25">
      <c r="A338" s="26">
        <v>4000</v>
      </c>
      <c r="B338" s="26">
        <v>7</v>
      </c>
      <c r="C338" s="25" t="s">
        <v>18</v>
      </c>
      <c r="D338" s="27">
        <v>132</v>
      </c>
      <c r="E338" s="27">
        <v>15223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</row>
    <row r="339" spans="1:10" x14ac:dyDescent="0.25">
      <c r="A339" s="26">
        <v>4001</v>
      </c>
      <c r="B339" s="26">
        <v>7</v>
      </c>
      <c r="C339" s="25" t="s">
        <v>19</v>
      </c>
      <c r="D339" s="27">
        <v>228</v>
      </c>
      <c r="E339" s="27">
        <v>26341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</row>
    <row r="340" spans="1:10" x14ac:dyDescent="0.25">
      <c r="A340" s="26">
        <v>4003</v>
      </c>
      <c r="B340" s="26">
        <v>7</v>
      </c>
      <c r="C340" s="25" t="s">
        <v>20</v>
      </c>
      <c r="D340" s="27">
        <v>156</v>
      </c>
      <c r="E340" s="27">
        <v>17991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</row>
    <row r="341" spans="1:10" x14ac:dyDescent="0.25">
      <c r="A341" s="26">
        <v>4004</v>
      </c>
      <c r="B341" s="26">
        <v>7</v>
      </c>
      <c r="C341" s="25" t="s">
        <v>471</v>
      </c>
      <c r="D341" s="27">
        <v>161</v>
      </c>
      <c r="E341" s="27">
        <v>18614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</row>
    <row r="342" spans="1:10" x14ac:dyDescent="0.25">
      <c r="A342" s="26">
        <v>4005</v>
      </c>
      <c r="B342" s="26">
        <v>7</v>
      </c>
      <c r="C342" s="25" t="s">
        <v>472</v>
      </c>
      <c r="D342" s="27">
        <v>26</v>
      </c>
      <c r="E342" s="27">
        <v>3022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</row>
    <row r="343" spans="1:10" x14ac:dyDescent="0.25">
      <c r="A343" s="26">
        <v>4007</v>
      </c>
      <c r="B343" s="26">
        <v>7</v>
      </c>
      <c r="C343" s="25" t="s">
        <v>21</v>
      </c>
      <c r="D343" s="27">
        <v>190</v>
      </c>
      <c r="E343" s="27">
        <v>21918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</row>
    <row r="344" spans="1:10" x14ac:dyDescent="0.25">
      <c r="A344" s="26">
        <v>4008</v>
      </c>
      <c r="B344" s="26">
        <v>7</v>
      </c>
      <c r="C344" s="25" t="s">
        <v>22</v>
      </c>
      <c r="D344" s="27">
        <v>670</v>
      </c>
      <c r="E344" s="27">
        <v>77270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</row>
    <row r="345" spans="1:10" x14ac:dyDescent="0.25">
      <c r="A345" s="26">
        <v>4011</v>
      </c>
      <c r="B345" s="26">
        <v>7</v>
      </c>
      <c r="C345" s="25" t="s">
        <v>23</v>
      </c>
      <c r="D345" s="27">
        <v>213</v>
      </c>
      <c r="E345" s="27">
        <v>24536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</row>
    <row r="346" spans="1:10" x14ac:dyDescent="0.25">
      <c r="A346" s="26">
        <v>4015</v>
      </c>
      <c r="B346" s="26">
        <v>7</v>
      </c>
      <c r="C346" s="25" t="s">
        <v>24</v>
      </c>
      <c r="D346" s="27">
        <v>840</v>
      </c>
      <c r="E346" s="27">
        <v>96829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</row>
    <row r="347" spans="1:10" x14ac:dyDescent="0.25">
      <c r="A347" s="26">
        <v>4016</v>
      </c>
      <c r="B347" s="26">
        <v>7</v>
      </c>
      <c r="C347" s="25" t="s">
        <v>25</v>
      </c>
      <c r="D347" s="27">
        <v>229</v>
      </c>
      <c r="E347" s="27">
        <v>26387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</row>
    <row r="348" spans="1:10" x14ac:dyDescent="0.25">
      <c r="A348" s="26">
        <v>4017</v>
      </c>
      <c r="B348" s="26">
        <v>7</v>
      </c>
      <c r="C348" s="25" t="s">
        <v>473</v>
      </c>
      <c r="D348" s="27">
        <v>3422</v>
      </c>
      <c r="E348" s="27">
        <v>394652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</row>
    <row r="349" spans="1:10" x14ac:dyDescent="0.25">
      <c r="A349" s="26">
        <v>4018</v>
      </c>
      <c r="B349" s="26">
        <v>7</v>
      </c>
      <c r="C349" s="25" t="s">
        <v>26</v>
      </c>
      <c r="D349" s="27">
        <v>437</v>
      </c>
      <c r="E349" s="27">
        <v>50375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</row>
    <row r="350" spans="1:10" x14ac:dyDescent="0.25">
      <c r="A350" s="26">
        <v>4020</v>
      </c>
      <c r="B350" s="26">
        <v>7</v>
      </c>
      <c r="C350" s="25" t="s">
        <v>27</v>
      </c>
      <c r="D350" s="27">
        <v>1292</v>
      </c>
      <c r="E350" s="27">
        <v>148946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</row>
    <row r="351" spans="1:10" x14ac:dyDescent="0.25">
      <c r="A351" s="26">
        <v>4025</v>
      </c>
      <c r="B351" s="26">
        <v>7</v>
      </c>
      <c r="C351" s="25" t="s">
        <v>28</v>
      </c>
      <c r="D351" s="27">
        <v>171</v>
      </c>
      <c r="E351" s="27">
        <v>19721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</row>
    <row r="352" spans="1:10" x14ac:dyDescent="0.25">
      <c r="A352" s="26">
        <v>4026</v>
      </c>
      <c r="B352" s="26">
        <v>7</v>
      </c>
      <c r="C352" s="25" t="s">
        <v>29</v>
      </c>
      <c r="D352" s="27">
        <v>119</v>
      </c>
      <c r="E352" s="27">
        <v>13701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</row>
    <row r="353" spans="1:10" x14ac:dyDescent="0.25">
      <c r="A353" s="26">
        <v>4027</v>
      </c>
      <c r="B353" s="26">
        <v>7</v>
      </c>
      <c r="C353" s="25" t="s">
        <v>30</v>
      </c>
      <c r="D353" s="27">
        <v>1118</v>
      </c>
      <c r="E353" s="27">
        <v>128937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</row>
    <row r="354" spans="1:10" x14ac:dyDescent="0.25">
      <c r="A354" s="26">
        <v>4029</v>
      </c>
      <c r="B354" s="26">
        <v>7</v>
      </c>
      <c r="C354" s="25" t="s">
        <v>460</v>
      </c>
      <c r="D354" s="27">
        <v>377</v>
      </c>
      <c r="E354" s="27">
        <v>43444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</row>
    <row r="355" spans="1:10" x14ac:dyDescent="0.25">
      <c r="A355" s="26">
        <v>4030</v>
      </c>
      <c r="B355" s="26">
        <v>7</v>
      </c>
      <c r="C355" s="25" t="s">
        <v>461</v>
      </c>
      <c r="D355" s="27">
        <v>355</v>
      </c>
      <c r="E355" s="27">
        <v>40930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</row>
    <row r="356" spans="1:10" x14ac:dyDescent="0.25">
      <c r="A356" s="26">
        <v>4031</v>
      </c>
      <c r="B356" s="26">
        <v>7</v>
      </c>
      <c r="C356" s="25" t="s">
        <v>474</v>
      </c>
      <c r="D356" s="27">
        <v>84</v>
      </c>
      <c r="E356" s="27">
        <v>9688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</row>
    <row r="357" spans="1:10" x14ac:dyDescent="0.25">
      <c r="A357" s="26">
        <v>4032</v>
      </c>
      <c r="B357" s="26">
        <v>7</v>
      </c>
      <c r="C357" s="25" t="s">
        <v>475</v>
      </c>
      <c r="D357" s="27">
        <v>364</v>
      </c>
      <c r="E357" s="27">
        <v>41922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</row>
    <row r="358" spans="1:10" x14ac:dyDescent="0.25">
      <c r="A358" s="26">
        <v>4035</v>
      </c>
      <c r="B358" s="26">
        <v>7</v>
      </c>
      <c r="C358" s="25" t="s">
        <v>476</v>
      </c>
      <c r="D358" s="27">
        <v>404</v>
      </c>
      <c r="E358" s="27">
        <v>46535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</row>
    <row r="359" spans="1:10" x14ac:dyDescent="0.25">
      <c r="A359" s="26">
        <v>4036</v>
      </c>
      <c r="B359" s="26">
        <v>7</v>
      </c>
      <c r="C359" s="25" t="s">
        <v>31</v>
      </c>
      <c r="D359" s="27">
        <v>83</v>
      </c>
      <c r="E359" s="27">
        <v>9549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</row>
    <row r="360" spans="1:10" x14ac:dyDescent="0.25">
      <c r="A360" s="26">
        <v>4038</v>
      </c>
      <c r="B360" s="26">
        <v>7</v>
      </c>
      <c r="C360" s="25" t="s">
        <v>32</v>
      </c>
      <c r="D360" s="27">
        <v>403</v>
      </c>
      <c r="E360" s="27">
        <v>46466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</row>
    <row r="361" spans="1:10" x14ac:dyDescent="0.25">
      <c r="A361" s="26">
        <v>4039</v>
      </c>
      <c r="B361" s="26">
        <v>7</v>
      </c>
      <c r="C361" s="25" t="s">
        <v>33</v>
      </c>
      <c r="D361" s="27">
        <v>300</v>
      </c>
      <c r="E361" s="27">
        <v>34598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</row>
    <row r="362" spans="1:10" x14ac:dyDescent="0.25">
      <c r="A362" s="26">
        <v>4042</v>
      </c>
      <c r="B362" s="26">
        <v>7</v>
      </c>
      <c r="C362" s="25" t="s">
        <v>34</v>
      </c>
      <c r="D362" s="27">
        <v>243</v>
      </c>
      <c r="E362" s="27">
        <v>28025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</row>
    <row r="363" spans="1:10" x14ac:dyDescent="0.25">
      <c r="A363" s="26">
        <v>4043</v>
      </c>
      <c r="B363" s="26">
        <v>7</v>
      </c>
      <c r="C363" s="25" t="s">
        <v>35</v>
      </c>
      <c r="D363" s="27">
        <v>528</v>
      </c>
      <c r="E363" s="27">
        <v>60939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</row>
    <row r="364" spans="1:10" x14ac:dyDescent="0.25">
      <c r="A364" s="26">
        <v>4045</v>
      </c>
      <c r="B364" s="26">
        <v>7</v>
      </c>
      <c r="C364" s="25" t="s">
        <v>36</v>
      </c>
      <c r="D364" s="27">
        <v>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</row>
    <row r="365" spans="1:10" x14ac:dyDescent="0.25">
      <c r="A365" s="26">
        <v>4049</v>
      </c>
      <c r="B365" s="26">
        <v>7</v>
      </c>
      <c r="C365" s="25" t="s">
        <v>462</v>
      </c>
      <c r="D365" s="27">
        <v>150</v>
      </c>
      <c r="E365" s="27">
        <v>17299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</row>
    <row r="366" spans="1:10" x14ac:dyDescent="0.25">
      <c r="A366" s="26">
        <v>4050</v>
      </c>
      <c r="B366" s="26">
        <v>7</v>
      </c>
      <c r="C366" s="25" t="s">
        <v>477</v>
      </c>
      <c r="D366" s="27">
        <v>119</v>
      </c>
      <c r="E366" s="27">
        <v>13678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</row>
    <row r="367" spans="1:10" x14ac:dyDescent="0.25">
      <c r="A367" s="26">
        <v>4052</v>
      </c>
      <c r="B367" s="26">
        <v>7</v>
      </c>
      <c r="C367" s="25" t="s">
        <v>478</v>
      </c>
      <c r="D367" s="27">
        <v>0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</row>
    <row r="368" spans="1:10" x14ac:dyDescent="0.25">
      <c r="A368" s="26">
        <v>4053</v>
      </c>
      <c r="B368" s="26">
        <v>7</v>
      </c>
      <c r="C368" s="25" t="s">
        <v>37</v>
      </c>
      <c r="D368" s="27">
        <v>478</v>
      </c>
      <c r="E368" s="27">
        <v>55127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</row>
    <row r="369" spans="1:10" x14ac:dyDescent="0.25">
      <c r="A369" s="26">
        <v>4054</v>
      </c>
      <c r="B369" s="26">
        <v>7</v>
      </c>
      <c r="C369" s="25" t="s">
        <v>38</v>
      </c>
      <c r="D369" s="27">
        <v>69</v>
      </c>
      <c r="E369" s="27">
        <v>7935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</row>
    <row r="370" spans="1:10" x14ac:dyDescent="0.25">
      <c r="A370" s="26">
        <v>4055</v>
      </c>
      <c r="B370" s="26">
        <v>7</v>
      </c>
      <c r="C370" s="25" t="s">
        <v>39</v>
      </c>
      <c r="D370" s="27">
        <v>155</v>
      </c>
      <c r="E370" s="27">
        <v>17876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</row>
    <row r="371" spans="1:10" x14ac:dyDescent="0.25">
      <c r="A371" s="26">
        <v>4056</v>
      </c>
      <c r="B371" s="26">
        <v>7</v>
      </c>
      <c r="C371" s="25" t="s">
        <v>479</v>
      </c>
      <c r="D371" s="27">
        <v>120</v>
      </c>
      <c r="E371" s="27">
        <v>13839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</row>
    <row r="372" spans="1:10" x14ac:dyDescent="0.25">
      <c r="A372" s="26">
        <v>4057</v>
      </c>
      <c r="B372" s="26">
        <v>7</v>
      </c>
      <c r="C372" s="25" t="s">
        <v>40</v>
      </c>
      <c r="D372" s="27">
        <v>96</v>
      </c>
      <c r="E372" s="27">
        <v>11071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</row>
    <row r="373" spans="1:10" x14ac:dyDescent="0.25">
      <c r="A373" s="26">
        <v>4058</v>
      </c>
      <c r="B373" s="26">
        <v>7</v>
      </c>
      <c r="C373" s="25" t="s">
        <v>480</v>
      </c>
      <c r="D373" s="27">
        <v>197</v>
      </c>
      <c r="E373" s="27">
        <v>22673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</row>
    <row r="374" spans="1:10" x14ac:dyDescent="0.25">
      <c r="A374" s="26">
        <v>4059</v>
      </c>
      <c r="B374" s="26">
        <v>7</v>
      </c>
      <c r="C374" s="25" t="s">
        <v>481</v>
      </c>
      <c r="D374" s="27">
        <v>168</v>
      </c>
      <c r="E374" s="27">
        <v>19381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</row>
    <row r="375" spans="1:10" x14ac:dyDescent="0.25">
      <c r="A375" s="26">
        <v>4064</v>
      </c>
      <c r="B375" s="26">
        <v>7</v>
      </c>
      <c r="C375" s="25" t="s">
        <v>482</v>
      </c>
      <c r="D375" s="27">
        <v>108</v>
      </c>
      <c r="E375" s="27">
        <v>12502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</row>
    <row r="376" spans="1:10" x14ac:dyDescent="0.25">
      <c r="A376" s="26">
        <v>4066</v>
      </c>
      <c r="B376" s="26">
        <v>7</v>
      </c>
      <c r="C376" s="25" t="s">
        <v>41</v>
      </c>
      <c r="D376" s="27">
        <v>81</v>
      </c>
      <c r="E376" s="27">
        <v>9388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</row>
    <row r="377" spans="1:10" x14ac:dyDescent="0.25">
      <c r="A377" s="26">
        <v>4067</v>
      </c>
      <c r="B377" s="26">
        <v>7</v>
      </c>
      <c r="C377" s="25" t="s">
        <v>42</v>
      </c>
      <c r="D377" s="27">
        <v>305</v>
      </c>
      <c r="E377" s="27">
        <v>35152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</row>
    <row r="378" spans="1:10" x14ac:dyDescent="0.25">
      <c r="A378" s="26">
        <v>4068</v>
      </c>
      <c r="B378" s="26">
        <v>7</v>
      </c>
      <c r="C378" s="25" t="s">
        <v>43</v>
      </c>
      <c r="D378" s="27">
        <v>388</v>
      </c>
      <c r="E378" s="27">
        <v>44747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</row>
    <row r="379" spans="1:10" x14ac:dyDescent="0.25">
      <c r="A379" s="26">
        <v>4070</v>
      </c>
      <c r="B379" s="26">
        <v>7</v>
      </c>
      <c r="C379" s="25" t="s">
        <v>44</v>
      </c>
      <c r="D379" s="27">
        <v>496</v>
      </c>
      <c r="E379" s="27">
        <v>57180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</row>
    <row r="380" spans="1:10" x14ac:dyDescent="0.25">
      <c r="A380" s="26">
        <v>4073</v>
      </c>
      <c r="B380" s="26">
        <v>7</v>
      </c>
      <c r="C380" s="25" t="s">
        <v>483</v>
      </c>
      <c r="D380" s="27">
        <v>410</v>
      </c>
      <c r="E380" s="27">
        <v>47284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</row>
    <row r="381" spans="1:10" x14ac:dyDescent="0.25">
      <c r="A381" s="26">
        <v>4074</v>
      </c>
      <c r="B381" s="26">
        <v>7</v>
      </c>
      <c r="C381" s="25" t="s">
        <v>484</v>
      </c>
      <c r="D381" s="27">
        <v>360</v>
      </c>
      <c r="E381" s="27">
        <v>41518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</row>
    <row r="382" spans="1:10" x14ac:dyDescent="0.25">
      <c r="A382" s="26">
        <v>4075</v>
      </c>
      <c r="B382" s="26">
        <v>7</v>
      </c>
      <c r="C382" s="25" t="s">
        <v>45</v>
      </c>
      <c r="D382" s="27">
        <v>225</v>
      </c>
      <c r="E382" s="27">
        <v>25949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</row>
    <row r="383" spans="1:10" x14ac:dyDescent="0.25">
      <c r="A383" s="26">
        <v>4077</v>
      </c>
      <c r="B383" s="26">
        <v>7</v>
      </c>
      <c r="C383" s="25" t="s">
        <v>485</v>
      </c>
      <c r="D383" s="27">
        <v>524</v>
      </c>
      <c r="E383" s="27">
        <v>60461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</row>
    <row r="384" spans="1:10" x14ac:dyDescent="0.25">
      <c r="A384" s="26">
        <v>4078</v>
      </c>
      <c r="B384" s="26">
        <v>7</v>
      </c>
      <c r="C384" s="25" t="s">
        <v>486</v>
      </c>
      <c r="D384" s="27">
        <v>501</v>
      </c>
      <c r="E384" s="27">
        <v>57779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</row>
    <row r="385" spans="1:10" x14ac:dyDescent="0.25">
      <c r="A385" s="26">
        <v>4079</v>
      </c>
      <c r="B385" s="26">
        <v>7</v>
      </c>
      <c r="C385" s="25" t="s">
        <v>487</v>
      </c>
      <c r="D385" s="27">
        <v>124</v>
      </c>
      <c r="E385" s="27">
        <v>14272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</row>
    <row r="386" spans="1:10" x14ac:dyDescent="0.25">
      <c r="A386" s="26">
        <v>4080</v>
      </c>
      <c r="B386" s="26">
        <v>7</v>
      </c>
      <c r="C386" s="25" t="s">
        <v>46</v>
      </c>
      <c r="D386" s="27">
        <v>54</v>
      </c>
      <c r="E386" s="27">
        <v>6228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</row>
    <row r="387" spans="1:10" x14ac:dyDescent="0.25">
      <c r="A387" s="26">
        <v>4081</v>
      </c>
      <c r="B387" s="26">
        <v>7</v>
      </c>
      <c r="C387" s="25" t="s">
        <v>488</v>
      </c>
      <c r="D387" s="27">
        <v>67</v>
      </c>
      <c r="E387" s="27">
        <v>7681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</row>
    <row r="388" spans="1:10" x14ac:dyDescent="0.25">
      <c r="A388" s="26">
        <v>4082</v>
      </c>
      <c r="B388" s="26">
        <v>7</v>
      </c>
      <c r="C388" s="25" t="s">
        <v>47</v>
      </c>
      <c r="D388" s="27">
        <v>600</v>
      </c>
      <c r="E388" s="27">
        <v>69197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</row>
    <row r="389" spans="1:10" x14ac:dyDescent="0.25">
      <c r="A389" s="26">
        <v>4083</v>
      </c>
      <c r="B389" s="26">
        <v>7</v>
      </c>
      <c r="C389" s="25" t="s">
        <v>48</v>
      </c>
      <c r="D389" s="27">
        <v>102</v>
      </c>
      <c r="E389" s="27">
        <v>11763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</row>
    <row r="390" spans="1:10" x14ac:dyDescent="0.25">
      <c r="A390" s="26">
        <v>4084</v>
      </c>
      <c r="B390" s="26">
        <v>7</v>
      </c>
      <c r="C390" s="25" t="s">
        <v>49</v>
      </c>
      <c r="D390" s="27">
        <v>338</v>
      </c>
      <c r="E390" s="27">
        <v>38935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</row>
    <row r="391" spans="1:10" x14ac:dyDescent="0.25">
      <c r="A391" s="26">
        <v>4085</v>
      </c>
      <c r="B391" s="26">
        <v>7</v>
      </c>
      <c r="C391" s="25" t="s">
        <v>489</v>
      </c>
      <c r="D391" s="27">
        <v>216</v>
      </c>
      <c r="E391" s="27">
        <v>24911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</row>
    <row r="392" spans="1:10" x14ac:dyDescent="0.25">
      <c r="A392" s="26">
        <v>4086</v>
      </c>
      <c r="B392" s="26">
        <v>7</v>
      </c>
      <c r="C392" s="25" t="s">
        <v>490</v>
      </c>
      <c r="D392" s="27">
        <v>365</v>
      </c>
      <c r="E392" s="27">
        <v>42072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</row>
    <row r="393" spans="1:10" x14ac:dyDescent="0.25">
      <c r="A393" s="26">
        <v>4087</v>
      </c>
      <c r="B393" s="26">
        <v>7</v>
      </c>
      <c r="C393" s="25" t="s">
        <v>50</v>
      </c>
      <c r="D393" s="27">
        <v>98</v>
      </c>
      <c r="E393" s="27">
        <v>11348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</row>
    <row r="394" spans="1:10" x14ac:dyDescent="0.25">
      <c r="A394" s="26">
        <v>4088</v>
      </c>
      <c r="B394" s="26">
        <v>7</v>
      </c>
      <c r="C394" s="25" t="s">
        <v>51</v>
      </c>
      <c r="D394" s="27">
        <v>311</v>
      </c>
      <c r="E394" s="27">
        <v>35867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</row>
    <row r="395" spans="1:10" x14ac:dyDescent="0.25">
      <c r="A395" s="26">
        <v>4089</v>
      </c>
      <c r="B395" s="26">
        <v>7</v>
      </c>
      <c r="C395" s="25" t="s">
        <v>52</v>
      </c>
      <c r="D395" s="27">
        <v>225</v>
      </c>
      <c r="E395" s="27">
        <v>25949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</row>
    <row r="396" spans="1:10" x14ac:dyDescent="0.25">
      <c r="A396" s="26">
        <v>4090</v>
      </c>
      <c r="B396" s="26">
        <v>7</v>
      </c>
      <c r="C396" s="25" t="s">
        <v>53</v>
      </c>
      <c r="D396" s="27">
        <v>180</v>
      </c>
      <c r="E396" s="27">
        <v>20759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</row>
    <row r="397" spans="1:10" x14ac:dyDescent="0.25">
      <c r="A397" s="26">
        <v>4091</v>
      </c>
      <c r="B397" s="26">
        <v>7</v>
      </c>
      <c r="C397" s="25" t="s">
        <v>54</v>
      </c>
      <c r="D397" s="27">
        <v>140</v>
      </c>
      <c r="E397" s="27">
        <v>16192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</row>
    <row r="398" spans="1:10" x14ac:dyDescent="0.25">
      <c r="A398" s="26">
        <v>4092</v>
      </c>
      <c r="B398" s="26">
        <v>7</v>
      </c>
      <c r="C398" s="25" t="s">
        <v>55</v>
      </c>
      <c r="D398" s="27">
        <v>79</v>
      </c>
      <c r="E398" s="27">
        <v>9134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</row>
    <row r="399" spans="1:10" x14ac:dyDescent="0.25">
      <c r="A399" s="26">
        <v>4093</v>
      </c>
      <c r="B399" s="26">
        <v>7</v>
      </c>
      <c r="C399" s="25" t="s">
        <v>56</v>
      </c>
      <c r="D399" s="27">
        <v>180</v>
      </c>
      <c r="E399" s="27">
        <v>20759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</row>
    <row r="400" spans="1:10" x14ac:dyDescent="0.25">
      <c r="A400" s="26">
        <v>4095</v>
      </c>
      <c r="B400" s="26">
        <v>7</v>
      </c>
      <c r="C400" s="25" t="s">
        <v>491</v>
      </c>
      <c r="D400" s="27">
        <v>168</v>
      </c>
      <c r="E400" s="27">
        <v>19375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</row>
    <row r="401" spans="1:10" x14ac:dyDescent="0.25">
      <c r="A401" s="26">
        <v>4097</v>
      </c>
      <c r="B401" s="26">
        <v>7</v>
      </c>
      <c r="C401" s="25" t="s">
        <v>57</v>
      </c>
      <c r="D401" s="27">
        <v>270</v>
      </c>
      <c r="E401" s="27">
        <v>31139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</row>
    <row r="402" spans="1:10" x14ac:dyDescent="0.25">
      <c r="A402" s="26">
        <v>4098</v>
      </c>
      <c r="B402" s="26">
        <v>7</v>
      </c>
      <c r="C402" s="25" t="s">
        <v>58</v>
      </c>
      <c r="D402" s="27">
        <v>975</v>
      </c>
      <c r="E402" s="27">
        <v>112468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</row>
    <row r="403" spans="1:10" x14ac:dyDescent="0.25">
      <c r="A403" s="26">
        <v>4100</v>
      </c>
      <c r="B403" s="26">
        <v>7</v>
      </c>
      <c r="C403" s="25" t="s">
        <v>59</v>
      </c>
      <c r="D403" s="27">
        <v>91</v>
      </c>
      <c r="E403" s="27">
        <v>10460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</row>
    <row r="404" spans="1:10" x14ac:dyDescent="0.25">
      <c r="A404" s="26">
        <v>4102</v>
      </c>
      <c r="B404" s="26">
        <v>7</v>
      </c>
      <c r="C404" s="25" t="s">
        <v>60</v>
      </c>
      <c r="D404" s="27">
        <v>288</v>
      </c>
      <c r="E404" s="27">
        <v>33214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</row>
    <row r="405" spans="1:10" x14ac:dyDescent="0.25">
      <c r="A405" s="26">
        <v>4103</v>
      </c>
      <c r="B405" s="26">
        <v>7</v>
      </c>
      <c r="C405" s="25" t="s">
        <v>463</v>
      </c>
      <c r="D405" s="27">
        <v>1236</v>
      </c>
      <c r="E405" s="27">
        <v>142545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</row>
    <row r="406" spans="1:10" x14ac:dyDescent="0.25">
      <c r="A406" s="26">
        <v>4104</v>
      </c>
      <c r="B406" s="26">
        <v>7</v>
      </c>
      <c r="C406" s="25" t="s">
        <v>464</v>
      </c>
      <c r="D406" s="27">
        <v>336</v>
      </c>
      <c r="E406" s="27">
        <v>38750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</row>
    <row r="407" spans="1:10" x14ac:dyDescent="0.25">
      <c r="A407" s="26">
        <v>4105</v>
      </c>
      <c r="B407" s="26">
        <v>7</v>
      </c>
      <c r="C407" s="25" t="s">
        <v>61</v>
      </c>
      <c r="D407" s="27">
        <v>417</v>
      </c>
      <c r="E407" s="27">
        <v>48121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</row>
    <row r="408" spans="1:10" x14ac:dyDescent="0.25">
      <c r="A408" s="26">
        <v>4106</v>
      </c>
      <c r="B408" s="26">
        <v>7</v>
      </c>
      <c r="C408" s="25" t="s">
        <v>62</v>
      </c>
      <c r="D408" s="27">
        <v>265</v>
      </c>
      <c r="E408" s="27">
        <v>30516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</row>
    <row r="409" spans="1:10" x14ac:dyDescent="0.25">
      <c r="A409" s="26">
        <v>4107</v>
      </c>
      <c r="B409" s="26">
        <v>7</v>
      </c>
      <c r="C409" s="25" t="s">
        <v>63</v>
      </c>
      <c r="D409" s="27">
        <v>120</v>
      </c>
      <c r="E409" s="27">
        <v>13839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</row>
    <row r="410" spans="1:10" x14ac:dyDescent="0.25">
      <c r="A410" s="26">
        <v>4108</v>
      </c>
      <c r="B410" s="26">
        <v>7</v>
      </c>
      <c r="C410" s="25" t="s">
        <v>492</v>
      </c>
      <c r="D410" s="27">
        <v>0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</row>
    <row r="411" spans="1:10" x14ac:dyDescent="0.25">
      <c r="A411" s="26">
        <v>4109</v>
      </c>
      <c r="B411" s="26">
        <v>7</v>
      </c>
      <c r="C411" s="25" t="s">
        <v>64</v>
      </c>
      <c r="D411" s="27">
        <v>0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</row>
    <row r="412" spans="1:10" x14ac:dyDescent="0.25">
      <c r="A412" s="26">
        <v>4110</v>
      </c>
      <c r="B412" s="26">
        <v>7</v>
      </c>
      <c r="C412" s="25" t="s">
        <v>493</v>
      </c>
      <c r="D412" s="27">
        <v>336</v>
      </c>
      <c r="E412" s="27">
        <v>38750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</row>
    <row r="413" spans="1:10" x14ac:dyDescent="0.25">
      <c r="A413" s="26">
        <v>4111</v>
      </c>
      <c r="B413" s="26">
        <v>7</v>
      </c>
      <c r="C413" s="25" t="s">
        <v>494</v>
      </c>
      <c r="D413" s="27">
        <v>168</v>
      </c>
      <c r="E413" s="27">
        <v>19375</v>
      </c>
      <c r="F413" s="27">
        <v>0</v>
      </c>
      <c r="G413" s="27">
        <v>0</v>
      </c>
      <c r="H413" s="27">
        <v>0</v>
      </c>
      <c r="I413" s="27">
        <v>0</v>
      </c>
      <c r="J413" s="27">
        <v>0</v>
      </c>
    </row>
    <row r="414" spans="1:10" x14ac:dyDescent="0.25">
      <c r="A414" s="26">
        <v>4112</v>
      </c>
      <c r="B414" s="26">
        <v>7</v>
      </c>
      <c r="C414" s="25" t="s">
        <v>495</v>
      </c>
      <c r="D414" s="27">
        <v>768</v>
      </c>
      <c r="E414" s="27">
        <v>88572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</row>
    <row r="415" spans="1:10" x14ac:dyDescent="0.25">
      <c r="A415" s="26">
        <v>4113</v>
      </c>
      <c r="B415" s="26">
        <v>7</v>
      </c>
      <c r="C415" s="25" t="s">
        <v>65</v>
      </c>
      <c r="D415" s="27">
        <v>80</v>
      </c>
      <c r="E415" s="27">
        <v>9226</v>
      </c>
      <c r="F415" s="27">
        <v>0</v>
      </c>
      <c r="G415" s="27">
        <v>0</v>
      </c>
      <c r="H415" s="27">
        <v>0</v>
      </c>
      <c r="I415" s="27">
        <v>0</v>
      </c>
      <c r="J415" s="27">
        <v>0</v>
      </c>
    </row>
    <row r="416" spans="1:10" x14ac:dyDescent="0.25">
      <c r="A416" s="26">
        <v>4115</v>
      </c>
      <c r="B416" s="26">
        <v>7</v>
      </c>
      <c r="C416" s="25" t="s">
        <v>496</v>
      </c>
      <c r="D416" s="27">
        <v>110</v>
      </c>
      <c r="E416" s="27">
        <v>12686</v>
      </c>
      <c r="F416" s="27">
        <v>0</v>
      </c>
      <c r="G416" s="27">
        <v>0</v>
      </c>
      <c r="H416" s="27">
        <v>0</v>
      </c>
      <c r="I416" s="27">
        <v>0</v>
      </c>
      <c r="J416" s="27">
        <v>0</v>
      </c>
    </row>
    <row r="417" spans="1:10" x14ac:dyDescent="0.25">
      <c r="A417" s="26">
        <v>4116</v>
      </c>
      <c r="B417" s="26">
        <v>7</v>
      </c>
      <c r="C417" s="25" t="s">
        <v>497</v>
      </c>
      <c r="D417" s="27">
        <v>786</v>
      </c>
      <c r="E417" s="27">
        <v>90648</v>
      </c>
      <c r="F417" s="27">
        <v>0</v>
      </c>
      <c r="G417" s="27">
        <v>0</v>
      </c>
      <c r="H417" s="27">
        <v>0</v>
      </c>
      <c r="I417" s="27">
        <v>0</v>
      </c>
      <c r="J417" s="27">
        <v>0</v>
      </c>
    </row>
    <row r="418" spans="1:10" x14ac:dyDescent="0.25">
      <c r="A418" s="26">
        <v>4118</v>
      </c>
      <c r="B418" s="26">
        <v>7</v>
      </c>
      <c r="C418" s="25" t="s">
        <v>66</v>
      </c>
      <c r="D418" s="27">
        <v>585</v>
      </c>
      <c r="E418" s="27">
        <v>67467</v>
      </c>
      <c r="F418" s="27">
        <v>0</v>
      </c>
      <c r="G418" s="27">
        <v>0</v>
      </c>
      <c r="H418" s="27">
        <v>0</v>
      </c>
      <c r="I418" s="27">
        <v>0</v>
      </c>
      <c r="J418" s="27">
        <v>0</v>
      </c>
    </row>
    <row r="419" spans="1:10" x14ac:dyDescent="0.25">
      <c r="A419" s="26">
        <v>4119</v>
      </c>
      <c r="B419" s="26">
        <v>7</v>
      </c>
      <c r="C419" s="25" t="s">
        <v>67</v>
      </c>
      <c r="D419" s="27">
        <v>112</v>
      </c>
      <c r="E419" s="27">
        <v>12871</v>
      </c>
      <c r="F419" s="27">
        <v>0</v>
      </c>
      <c r="G419" s="27">
        <v>0</v>
      </c>
      <c r="H419" s="27">
        <v>0</v>
      </c>
      <c r="I419" s="27">
        <v>0</v>
      </c>
      <c r="J419" s="27">
        <v>0</v>
      </c>
    </row>
    <row r="420" spans="1:10" x14ac:dyDescent="0.25">
      <c r="A420" s="26">
        <v>4120</v>
      </c>
      <c r="B420" s="26">
        <v>7</v>
      </c>
      <c r="C420" s="25" t="s">
        <v>68</v>
      </c>
      <c r="D420" s="27">
        <v>1247</v>
      </c>
      <c r="E420" s="27">
        <v>143791</v>
      </c>
      <c r="F420" s="27">
        <v>0</v>
      </c>
      <c r="G420" s="27">
        <v>0</v>
      </c>
      <c r="H420" s="27">
        <v>0</v>
      </c>
      <c r="I420" s="27">
        <v>0</v>
      </c>
      <c r="J420" s="27">
        <v>0</v>
      </c>
    </row>
    <row r="421" spans="1:10" x14ac:dyDescent="0.25">
      <c r="A421" s="26">
        <v>4121</v>
      </c>
      <c r="B421" s="26">
        <v>7</v>
      </c>
      <c r="C421" s="25" t="s">
        <v>498</v>
      </c>
      <c r="D421" s="27">
        <v>456</v>
      </c>
      <c r="E421" s="27">
        <v>52590</v>
      </c>
      <c r="F421" s="27">
        <v>0</v>
      </c>
      <c r="G421" s="27">
        <v>0</v>
      </c>
      <c r="H421" s="27">
        <v>0</v>
      </c>
      <c r="I421" s="27">
        <v>0</v>
      </c>
      <c r="J421" s="27">
        <v>0</v>
      </c>
    </row>
    <row r="422" spans="1:10" x14ac:dyDescent="0.25">
      <c r="A422" s="26">
        <v>4122</v>
      </c>
      <c r="B422" s="26">
        <v>7</v>
      </c>
      <c r="C422" s="25" t="s">
        <v>499</v>
      </c>
      <c r="D422" s="27">
        <v>943</v>
      </c>
      <c r="E422" s="27">
        <v>108725</v>
      </c>
      <c r="F422" s="27">
        <v>0</v>
      </c>
      <c r="G422" s="27">
        <v>0</v>
      </c>
      <c r="H422" s="27">
        <v>0</v>
      </c>
      <c r="I422" s="27">
        <v>0</v>
      </c>
      <c r="J422" s="27">
        <v>0</v>
      </c>
    </row>
    <row r="423" spans="1:10" x14ac:dyDescent="0.25">
      <c r="A423" s="26">
        <v>4123</v>
      </c>
      <c r="B423" s="26">
        <v>7</v>
      </c>
      <c r="C423" s="25" t="s">
        <v>500</v>
      </c>
      <c r="D423" s="27">
        <v>46</v>
      </c>
      <c r="E423" s="27">
        <v>5299</v>
      </c>
      <c r="F423" s="27">
        <v>0</v>
      </c>
      <c r="G423" s="27">
        <v>0</v>
      </c>
      <c r="H423" s="27">
        <v>0</v>
      </c>
      <c r="I423" s="27">
        <v>0</v>
      </c>
      <c r="J423" s="27">
        <v>0</v>
      </c>
    </row>
    <row r="424" spans="1:10" x14ac:dyDescent="0.25">
      <c r="A424" s="26">
        <v>4124</v>
      </c>
      <c r="B424" s="26">
        <v>7</v>
      </c>
      <c r="C424" s="25" t="s">
        <v>69</v>
      </c>
      <c r="D424" s="27">
        <v>434</v>
      </c>
      <c r="E424" s="27">
        <v>50006</v>
      </c>
      <c r="F424" s="27">
        <v>0</v>
      </c>
      <c r="G424" s="27">
        <v>0</v>
      </c>
      <c r="H424" s="27">
        <v>0</v>
      </c>
      <c r="I424" s="27">
        <v>0</v>
      </c>
      <c r="J424" s="27">
        <v>0</v>
      </c>
    </row>
    <row r="425" spans="1:10" x14ac:dyDescent="0.25">
      <c r="A425" s="26">
        <v>4126</v>
      </c>
      <c r="B425" s="26">
        <v>7</v>
      </c>
      <c r="C425" s="25" t="s">
        <v>70</v>
      </c>
      <c r="D425" s="27">
        <v>849</v>
      </c>
      <c r="E425" s="27">
        <v>97913</v>
      </c>
      <c r="F425" s="27">
        <v>0</v>
      </c>
      <c r="G425" s="27">
        <v>0</v>
      </c>
      <c r="H425" s="27">
        <v>0</v>
      </c>
      <c r="I425" s="27">
        <v>0</v>
      </c>
      <c r="J425" s="27">
        <v>0</v>
      </c>
    </row>
    <row r="426" spans="1:10" x14ac:dyDescent="0.25">
      <c r="A426" s="26">
        <v>4127</v>
      </c>
      <c r="B426" s="26">
        <v>7</v>
      </c>
      <c r="C426" s="25" t="s">
        <v>71</v>
      </c>
      <c r="D426" s="27">
        <v>129</v>
      </c>
      <c r="E426" s="27">
        <v>14877</v>
      </c>
      <c r="F426" s="27">
        <v>0</v>
      </c>
      <c r="G426" s="27">
        <v>0</v>
      </c>
      <c r="H426" s="27">
        <v>0</v>
      </c>
      <c r="I426" s="27">
        <v>0</v>
      </c>
      <c r="J426" s="27">
        <v>0</v>
      </c>
    </row>
    <row r="427" spans="1:10" x14ac:dyDescent="0.25">
      <c r="A427" s="26">
        <v>4131</v>
      </c>
      <c r="B427" s="26">
        <v>7</v>
      </c>
      <c r="C427" s="25" t="s">
        <v>72</v>
      </c>
      <c r="D427" s="27">
        <v>310</v>
      </c>
      <c r="E427" s="27">
        <v>35752</v>
      </c>
      <c r="F427" s="27">
        <v>0</v>
      </c>
      <c r="G427" s="27">
        <v>0</v>
      </c>
      <c r="H427" s="27">
        <v>0</v>
      </c>
      <c r="I427" s="27">
        <v>0</v>
      </c>
      <c r="J427" s="27">
        <v>0</v>
      </c>
    </row>
    <row r="428" spans="1:10" x14ac:dyDescent="0.25">
      <c r="A428" s="26">
        <v>4132</v>
      </c>
      <c r="B428" s="26">
        <v>7</v>
      </c>
      <c r="C428" s="25" t="s">
        <v>73</v>
      </c>
      <c r="D428" s="27">
        <v>246</v>
      </c>
      <c r="E428" s="27">
        <v>28371</v>
      </c>
      <c r="F428" s="27">
        <v>0</v>
      </c>
      <c r="G428" s="27">
        <v>0</v>
      </c>
      <c r="H428" s="27">
        <v>0</v>
      </c>
      <c r="I428" s="27">
        <v>0</v>
      </c>
      <c r="J428" s="27">
        <v>0</v>
      </c>
    </row>
    <row r="429" spans="1:10" x14ac:dyDescent="0.25">
      <c r="A429" s="26">
        <v>4133</v>
      </c>
      <c r="B429" s="26">
        <v>7</v>
      </c>
      <c r="C429" s="25" t="s">
        <v>74</v>
      </c>
      <c r="D429" s="27">
        <v>297</v>
      </c>
      <c r="E429" s="27">
        <v>34252</v>
      </c>
      <c r="F429" s="27">
        <v>0</v>
      </c>
      <c r="G429" s="27">
        <v>0</v>
      </c>
      <c r="H429" s="27">
        <v>0</v>
      </c>
      <c r="I429" s="27">
        <v>0</v>
      </c>
      <c r="J429" s="27">
        <v>0</v>
      </c>
    </row>
    <row r="430" spans="1:10" x14ac:dyDescent="0.25">
      <c r="A430" s="26">
        <v>4135</v>
      </c>
      <c r="B430" s="26">
        <v>7</v>
      </c>
      <c r="C430" s="25" t="s">
        <v>465</v>
      </c>
      <c r="D430" s="27">
        <v>262</v>
      </c>
      <c r="E430" s="27">
        <v>30239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</row>
    <row r="431" spans="1:10" x14ac:dyDescent="0.25">
      <c r="A431" s="26">
        <v>4137</v>
      </c>
      <c r="B431" s="26">
        <v>7</v>
      </c>
      <c r="C431" s="25" t="s">
        <v>501</v>
      </c>
      <c r="D431" s="27">
        <v>133</v>
      </c>
      <c r="E431" s="27">
        <v>15362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</row>
    <row r="432" spans="1:10" x14ac:dyDescent="0.25">
      <c r="A432" s="26">
        <v>4138</v>
      </c>
      <c r="B432" s="26">
        <v>7</v>
      </c>
      <c r="C432" s="25" t="s">
        <v>75</v>
      </c>
      <c r="D432" s="27">
        <v>47</v>
      </c>
      <c r="E432" s="27">
        <v>5420</v>
      </c>
      <c r="F432" s="27">
        <v>0</v>
      </c>
      <c r="G432" s="27">
        <v>0</v>
      </c>
      <c r="H432" s="27">
        <v>0</v>
      </c>
      <c r="I432" s="27">
        <v>0</v>
      </c>
      <c r="J432" s="27">
        <v>0</v>
      </c>
    </row>
    <row r="433" spans="1:10" x14ac:dyDescent="0.25">
      <c r="A433" s="26">
        <v>4139</v>
      </c>
      <c r="B433" s="26">
        <v>7</v>
      </c>
      <c r="C433" s="25" t="s">
        <v>76</v>
      </c>
      <c r="D433" s="27">
        <v>276</v>
      </c>
      <c r="E433" s="27">
        <v>31796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</row>
    <row r="434" spans="1:10" x14ac:dyDescent="0.25">
      <c r="A434" s="26">
        <v>4140</v>
      </c>
      <c r="B434" s="26">
        <v>7</v>
      </c>
      <c r="C434" s="25" t="s">
        <v>77</v>
      </c>
      <c r="D434" s="27">
        <v>610</v>
      </c>
      <c r="E434" s="27">
        <v>70373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</row>
    <row r="435" spans="1:10" x14ac:dyDescent="0.25">
      <c r="A435" s="26">
        <v>4141</v>
      </c>
      <c r="B435" s="26">
        <v>7</v>
      </c>
      <c r="C435" s="25" t="s">
        <v>78</v>
      </c>
      <c r="D435" s="27">
        <v>414</v>
      </c>
      <c r="E435" s="27">
        <v>47700</v>
      </c>
      <c r="F435" s="27">
        <v>0</v>
      </c>
      <c r="G435" s="27">
        <v>0</v>
      </c>
      <c r="H435" s="27">
        <v>0</v>
      </c>
      <c r="I435" s="27">
        <v>0</v>
      </c>
      <c r="J435" s="27">
        <v>0</v>
      </c>
    </row>
    <row r="436" spans="1:10" x14ac:dyDescent="0.25">
      <c r="A436" s="26">
        <v>4142</v>
      </c>
      <c r="B436" s="26">
        <v>7</v>
      </c>
      <c r="C436" s="25" t="s">
        <v>79</v>
      </c>
      <c r="D436" s="27">
        <v>673</v>
      </c>
      <c r="E436" s="27">
        <v>77639</v>
      </c>
      <c r="F436" s="27">
        <v>0</v>
      </c>
      <c r="G436" s="27">
        <v>0</v>
      </c>
      <c r="H436" s="27">
        <v>0</v>
      </c>
      <c r="I436" s="27">
        <v>0</v>
      </c>
      <c r="J436" s="27">
        <v>0</v>
      </c>
    </row>
    <row r="437" spans="1:10" x14ac:dyDescent="0.25">
      <c r="A437" s="26">
        <v>4143</v>
      </c>
      <c r="B437" s="26">
        <v>7</v>
      </c>
      <c r="C437" s="25" t="s">
        <v>502</v>
      </c>
      <c r="D437" s="27">
        <v>442</v>
      </c>
      <c r="E437" s="27">
        <v>50929</v>
      </c>
      <c r="F437" s="27">
        <v>0</v>
      </c>
      <c r="G437" s="27">
        <v>0</v>
      </c>
      <c r="H437" s="27">
        <v>0</v>
      </c>
      <c r="I437" s="27">
        <v>0</v>
      </c>
      <c r="J437" s="27">
        <v>0</v>
      </c>
    </row>
    <row r="438" spans="1:10" x14ac:dyDescent="0.25">
      <c r="A438" s="26">
        <v>4144</v>
      </c>
      <c r="B438" s="26">
        <v>7</v>
      </c>
      <c r="C438" s="25" t="s">
        <v>80</v>
      </c>
      <c r="D438" s="27">
        <v>82</v>
      </c>
      <c r="E438" s="27">
        <v>9411</v>
      </c>
      <c r="F438" s="27">
        <v>0</v>
      </c>
      <c r="G438" s="27">
        <v>0</v>
      </c>
      <c r="H438" s="27">
        <v>0</v>
      </c>
      <c r="I438" s="27">
        <v>0</v>
      </c>
      <c r="J438" s="27">
        <v>0</v>
      </c>
    </row>
    <row r="439" spans="1:10" x14ac:dyDescent="0.25">
      <c r="A439" s="26">
        <v>4145</v>
      </c>
      <c r="B439" s="26">
        <v>7</v>
      </c>
      <c r="C439" s="25" t="s">
        <v>81</v>
      </c>
      <c r="D439" s="27">
        <v>30</v>
      </c>
      <c r="E439" s="27">
        <v>3431</v>
      </c>
      <c r="F439" s="27">
        <v>0</v>
      </c>
      <c r="G439" s="27">
        <v>0</v>
      </c>
      <c r="H439" s="27">
        <v>0</v>
      </c>
      <c r="I439" s="27">
        <v>0</v>
      </c>
      <c r="J439" s="27">
        <v>0</v>
      </c>
    </row>
    <row r="440" spans="1:10" x14ac:dyDescent="0.25">
      <c r="A440" s="26">
        <v>4146</v>
      </c>
      <c r="B440" s="26">
        <v>7</v>
      </c>
      <c r="C440" s="25" t="s">
        <v>503</v>
      </c>
      <c r="D440" s="27">
        <v>60</v>
      </c>
      <c r="E440" s="27">
        <v>6897</v>
      </c>
      <c r="F440" s="27">
        <v>0</v>
      </c>
      <c r="G440" s="27">
        <v>0</v>
      </c>
      <c r="H440" s="27">
        <v>0</v>
      </c>
      <c r="I440" s="27">
        <v>0</v>
      </c>
      <c r="J440" s="27">
        <v>0</v>
      </c>
    </row>
    <row r="441" spans="1:10" x14ac:dyDescent="0.25">
      <c r="A441" s="26">
        <v>4150</v>
      </c>
      <c r="B441" s="26">
        <v>7</v>
      </c>
      <c r="C441" s="25" t="s">
        <v>82</v>
      </c>
      <c r="D441" s="27">
        <v>142</v>
      </c>
      <c r="E441" s="27">
        <v>16330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</row>
    <row r="442" spans="1:10" x14ac:dyDescent="0.25">
      <c r="A442" s="26">
        <v>4151</v>
      </c>
      <c r="B442" s="26">
        <v>7</v>
      </c>
      <c r="C442" s="25" t="s">
        <v>83</v>
      </c>
      <c r="D442" s="27">
        <v>121</v>
      </c>
      <c r="E442" s="27">
        <v>13978</v>
      </c>
      <c r="F442" s="27">
        <v>0</v>
      </c>
      <c r="G442" s="27">
        <v>0</v>
      </c>
      <c r="H442" s="27">
        <v>0</v>
      </c>
      <c r="I442" s="27">
        <v>0</v>
      </c>
      <c r="J442" s="27">
        <v>0</v>
      </c>
    </row>
    <row r="443" spans="1:10" x14ac:dyDescent="0.25">
      <c r="A443" s="26">
        <v>4152</v>
      </c>
      <c r="B443" s="26">
        <v>7</v>
      </c>
      <c r="C443" s="25" t="s">
        <v>504</v>
      </c>
      <c r="D443" s="27">
        <v>420</v>
      </c>
      <c r="E443" s="27">
        <v>48438</v>
      </c>
      <c r="F443" s="27">
        <v>0</v>
      </c>
      <c r="G443" s="27">
        <v>0</v>
      </c>
      <c r="H443" s="27">
        <v>0</v>
      </c>
      <c r="I443" s="27">
        <v>0</v>
      </c>
      <c r="J443" s="27">
        <v>0</v>
      </c>
    </row>
    <row r="444" spans="1:10" x14ac:dyDescent="0.25">
      <c r="A444" s="26">
        <v>4153</v>
      </c>
      <c r="B444" s="26">
        <v>7</v>
      </c>
      <c r="C444" s="25" t="s">
        <v>84</v>
      </c>
      <c r="D444" s="27">
        <v>416</v>
      </c>
      <c r="E444" s="27">
        <v>47953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</row>
    <row r="445" spans="1:10" x14ac:dyDescent="0.25">
      <c r="A445" s="26">
        <v>4155</v>
      </c>
      <c r="B445" s="26">
        <v>7</v>
      </c>
      <c r="C445" s="25" t="s">
        <v>505</v>
      </c>
      <c r="D445" s="27">
        <v>135</v>
      </c>
      <c r="E445" s="27">
        <v>15569</v>
      </c>
      <c r="F445" s="27">
        <v>0</v>
      </c>
      <c r="G445" s="27">
        <v>0</v>
      </c>
      <c r="H445" s="27">
        <v>0</v>
      </c>
      <c r="I445" s="27">
        <v>0</v>
      </c>
      <c r="J445" s="27">
        <v>0</v>
      </c>
    </row>
    <row r="446" spans="1:10" x14ac:dyDescent="0.25">
      <c r="A446" s="26">
        <v>4159</v>
      </c>
      <c r="B446" s="26">
        <v>7</v>
      </c>
      <c r="C446" s="25" t="s">
        <v>85</v>
      </c>
      <c r="D446" s="27">
        <v>465</v>
      </c>
      <c r="E446" s="27">
        <v>53628</v>
      </c>
      <c r="F446" s="27">
        <v>0</v>
      </c>
      <c r="G446" s="27">
        <v>0</v>
      </c>
      <c r="H446" s="27">
        <v>0</v>
      </c>
      <c r="I446" s="27">
        <v>0</v>
      </c>
      <c r="J446" s="27">
        <v>0</v>
      </c>
    </row>
    <row r="447" spans="1:10" x14ac:dyDescent="0.25">
      <c r="A447" s="26">
        <v>4160</v>
      </c>
      <c r="B447" s="26">
        <v>7</v>
      </c>
      <c r="C447" s="25" t="s">
        <v>86</v>
      </c>
      <c r="D447" s="27">
        <v>625</v>
      </c>
      <c r="E447" s="27">
        <v>72034</v>
      </c>
      <c r="F447" s="27">
        <v>0</v>
      </c>
      <c r="G447" s="27">
        <v>0</v>
      </c>
      <c r="H447" s="27">
        <v>0</v>
      </c>
      <c r="I447" s="27">
        <v>0</v>
      </c>
      <c r="J447" s="27">
        <v>0</v>
      </c>
    </row>
    <row r="448" spans="1:10" x14ac:dyDescent="0.25">
      <c r="A448" s="26">
        <v>4161</v>
      </c>
      <c r="B448" s="26">
        <v>7</v>
      </c>
      <c r="C448" s="25" t="s">
        <v>87</v>
      </c>
      <c r="D448" s="27">
        <v>172</v>
      </c>
      <c r="E448" s="27">
        <v>19836</v>
      </c>
      <c r="F448" s="27">
        <v>0</v>
      </c>
      <c r="G448" s="27">
        <v>0</v>
      </c>
      <c r="H448" s="27">
        <v>0</v>
      </c>
      <c r="I448" s="27">
        <v>0</v>
      </c>
      <c r="J448" s="27">
        <v>0</v>
      </c>
    </row>
    <row r="449" spans="1:10" x14ac:dyDescent="0.25">
      <c r="A449" s="26">
        <v>4162</v>
      </c>
      <c r="B449" s="26">
        <v>7</v>
      </c>
      <c r="C449" s="25" t="s">
        <v>88</v>
      </c>
      <c r="D449" s="27">
        <v>114</v>
      </c>
      <c r="E449" s="27">
        <v>13124</v>
      </c>
      <c r="F449" s="27">
        <v>0</v>
      </c>
      <c r="G449" s="27">
        <v>0</v>
      </c>
      <c r="H449" s="27">
        <v>0</v>
      </c>
      <c r="I449" s="27">
        <v>0</v>
      </c>
      <c r="J449" s="27">
        <v>0</v>
      </c>
    </row>
    <row r="450" spans="1:10" x14ac:dyDescent="0.25">
      <c r="A450" s="26">
        <v>4163</v>
      </c>
      <c r="B450" s="26">
        <v>7</v>
      </c>
      <c r="C450" s="25" t="s">
        <v>89</v>
      </c>
      <c r="D450" s="27">
        <v>258</v>
      </c>
      <c r="E450" s="27">
        <v>29760</v>
      </c>
      <c r="F450" s="27">
        <v>0</v>
      </c>
      <c r="G450" s="27">
        <v>0</v>
      </c>
      <c r="H450" s="27">
        <v>0</v>
      </c>
      <c r="I450" s="27">
        <v>0</v>
      </c>
      <c r="J450" s="27">
        <v>0</v>
      </c>
    </row>
    <row r="451" spans="1:10" x14ac:dyDescent="0.25">
      <c r="A451" s="26">
        <v>4164</v>
      </c>
      <c r="B451" s="26">
        <v>7</v>
      </c>
      <c r="C451" s="25" t="s">
        <v>90</v>
      </c>
      <c r="D451" s="27">
        <v>220</v>
      </c>
      <c r="E451" s="27">
        <v>25372</v>
      </c>
      <c r="F451" s="27">
        <v>0</v>
      </c>
      <c r="G451" s="27">
        <v>0</v>
      </c>
      <c r="H451" s="27">
        <v>0</v>
      </c>
      <c r="I451" s="27">
        <v>0</v>
      </c>
      <c r="J451" s="27">
        <v>0</v>
      </c>
    </row>
    <row r="452" spans="1:10" x14ac:dyDescent="0.25">
      <c r="A452" s="26">
        <v>4166</v>
      </c>
      <c r="B452" s="26">
        <v>7</v>
      </c>
      <c r="C452" s="25" t="s">
        <v>91</v>
      </c>
      <c r="D452" s="27">
        <v>120</v>
      </c>
      <c r="E452" s="27">
        <v>13839</v>
      </c>
      <c r="F452" s="27">
        <v>0</v>
      </c>
      <c r="G452" s="27">
        <v>0</v>
      </c>
      <c r="H452" s="27">
        <v>0</v>
      </c>
      <c r="I452" s="27">
        <v>0</v>
      </c>
      <c r="J452" s="27">
        <v>0</v>
      </c>
    </row>
    <row r="453" spans="1:10" x14ac:dyDescent="0.25">
      <c r="A453" s="26">
        <v>4167</v>
      </c>
      <c r="B453" s="26">
        <v>7</v>
      </c>
      <c r="C453" s="25" t="s">
        <v>92</v>
      </c>
      <c r="D453" s="27">
        <v>311</v>
      </c>
      <c r="E453" s="27">
        <v>35809</v>
      </c>
      <c r="F453" s="27">
        <v>0</v>
      </c>
      <c r="G453" s="27">
        <v>0</v>
      </c>
      <c r="H453" s="27">
        <v>0</v>
      </c>
      <c r="I453" s="27">
        <v>0</v>
      </c>
      <c r="J453" s="27">
        <v>0</v>
      </c>
    </row>
    <row r="454" spans="1:10" x14ac:dyDescent="0.25">
      <c r="A454" s="26">
        <v>4168</v>
      </c>
      <c r="B454" s="26">
        <v>7</v>
      </c>
      <c r="C454" s="25" t="s">
        <v>93</v>
      </c>
      <c r="D454" s="27">
        <v>133</v>
      </c>
      <c r="E454" s="27">
        <v>15327</v>
      </c>
      <c r="F454" s="27">
        <v>0</v>
      </c>
      <c r="G454" s="27">
        <v>0</v>
      </c>
      <c r="H454" s="27">
        <v>0</v>
      </c>
      <c r="I454" s="27">
        <v>0</v>
      </c>
      <c r="J454" s="27">
        <v>0</v>
      </c>
    </row>
    <row r="455" spans="1:10" x14ac:dyDescent="0.25">
      <c r="A455" s="26">
        <v>4169</v>
      </c>
      <c r="B455" s="26">
        <v>7</v>
      </c>
      <c r="C455" s="25" t="s">
        <v>506</v>
      </c>
      <c r="D455" s="27">
        <v>291</v>
      </c>
      <c r="E455" s="27">
        <v>33584</v>
      </c>
      <c r="F455" s="27">
        <v>0</v>
      </c>
      <c r="G455" s="27">
        <v>0</v>
      </c>
      <c r="H455" s="27">
        <v>0</v>
      </c>
      <c r="I455" s="27">
        <v>0</v>
      </c>
      <c r="J455" s="27">
        <v>0</v>
      </c>
    </row>
    <row r="456" spans="1:10" x14ac:dyDescent="0.25">
      <c r="A456" s="26">
        <v>4170</v>
      </c>
      <c r="B456" s="26">
        <v>7</v>
      </c>
      <c r="C456" s="25" t="s">
        <v>94</v>
      </c>
      <c r="D456" s="27">
        <v>957</v>
      </c>
      <c r="E456" s="27">
        <v>110369</v>
      </c>
      <c r="F456" s="27">
        <v>0</v>
      </c>
      <c r="G456" s="27">
        <v>0</v>
      </c>
      <c r="H456" s="27">
        <v>0</v>
      </c>
      <c r="I456" s="27">
        <v>0</v>
      </c>
      <c r="J456" s="27">
        <v>0</v>
      </c>
    </row>
    <row r="457" spans="1:10" x14ac:dyDescent="0.25">
      <c r="A457" s="26">
        <v>4171</v>
      </c>
      <c r="B457" s="26">
        <v>7</v>
      </c>
      <c r="C457" s="25" t="s">
        <v>95</v>
      </c>
      <c r="D457" s="27">
        <v>528</v>
      </c>
      <c r="E457" s="27">
        <v>60893</v>
      </c>
      <c r="F457" s="27">
        <v>0</v>
      </c>
      <c r="G457" s="27">
        <v>0</v>
      </c>
      <c r="H457" s="27">
        <v>0</v>
      </c>
      <c r="I457" s="27">
        <v>0</v>
      </c>
      <c r="J457" s="27">
        <v>0</v>
      </c>
    </row>
    <row r="458" spans="1:10" x14ac:dyDescent="0.25">
      <c r="A458" s="26">
        <v>4172</v>
      </c>
      <c r="B458" s="26">
        <v>7</v>
      </c>
      <c r="C458" s="25" t="s">
        <v>96</v>
      </c>
      <c r="D458" s="27">
        <v>68</v>
      </c>
      <c r="E458" s="27">
        <v>7842</v>
      </c>
      <c r="F458" s="27">
        <v>0</v>
      </c>
      <c r="G458" s="27">
        <v>0</v>
      </c>
      <c r="H458" s="27">
        <v>0</v>
      </c>
      <c r="I458" s="27">
        <v>0</v>
      </c>
      <c r="J458" s="27">
        <v>0</v>
      </c>
    </row>
    <row r="459" spans="1:10" x14ac:dyDescent="0.25">
      <c r="A459" s="26">
        <v>4173</v>
      </c>
      <c r="B459" s="26">
        <v>7</v>
      </c>
      <c r="C459" s="25" t="s">
        <v>97</v>
      </c>
      <c r="D459" s="27">
        <v>0</v>
      </c>
      <c r="E459" s="27">
        <v>0</v>
      </c>
      <c r="F459" s="27">
        <v>0</v>
      </c>
      <c r="G459" s="27">
        <v>0</v>
      </c>
      <c r="H459" s="27">
        <v>0</v>
      </c>
      <c r="I459" s="27">
        <v>0</v>
      </c>
      <c r="J459" s="27">
        <v>0</v>
      </c>
    </row>
    <row r="460" spans="1:10" x14ac:dyDescent="0.25">
      <c r="A460" s="26">
        <v>4174</v>
      </c>
      <c r="B460" s="26">
        <v>7</v>
      </c>
      <c r="C460" s="25" t="s">
        <v>98</v>
      </c>
      <c r="D460" s="27">
        <v>0</v>
      </c>
      <c r="E460" s="27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</row>
    <row r="461" spans="1:10" x14ac:dyDescent="0.25">
      <c r="A461" s="26">
        <v>4177</v>
      </c>
      <c r="B461" s="26">
        <v>7</v>
      </c>
      <c r="C461" s="25" t="s">
        <v>99</v>
      </c>
      <c r="D461" s="27">
        <v>55</v>
      </c>
      <c r="E461" s="27">
        <v>6343</v>
      </c>
      <c r="F461" s="27">
        <v>0</v>
      </c>
      <c r="G461" s="27">
        <v>0</v>
      </c>
      <c r="H461" s="27">
        <v>0</v>
      </c>
      <c r="I461" s="27">
        <v>0</v>
      </c>
      <c r="J461" s="27">
        <v>0</v>
      </c>
    </row>
    <row r="462" spans="1:10" x14ac:dyDescent="0.25">
      <c r="A462" s="26">
        <v>4178</v>
      </c>
      <c r="B462" s="26">
        <v>7</v>
      </c>
      <c r="C462" s="25" t="s">
        <v>100</v>
      </c>
      <c r="D462" s="27">
        <v>216</v>
      </c>
      <c r="E462" s="27">
        <v>24911</v>
      </c>
      <c r="F462" s="27">
        <v>0</v>
      </c>
      <c r="G462" s="27">
        <v>0</v>
      </c>
      <c r="H462" s="27">
        <v>0</v>
      </c>
      <c r="I462" s="27">
        <v>0</v>
      </c>
      <c r="J462" s="27">
        <v>0</v>
      </c>
    </row>
    <row r="463" spans="1:10" x14ac:dyDescent="0.25">
      <c r="A463" s="26">
        <v>4180</v>
      </c>
      <c r="B463" s="26">
        <v>7</v>
      </c>
      <c r="C463" s="25" t="s">
        <v>101</v>
      </c>
      <c r="D463" s="27">
        <v>0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</row>
    <row r="464" spans="1:10" x14ac:dyDescent="0.25">
      <c r="A464" s="26">
        <v>4181</v>
      </c>
      <c r="B464" s="26">
        <v>7</v>
      </c>
      <c r="C464" s="25" t="s">
        <v>102</v>
      </c>
      <c r="D464" s="27">
        <v>956</v>
      </c>
      <c r="E464" s="27">
        <v>110196</v>
      </c>
      <c r="F464" s="27">
        <v>0</v>
      </c>
      <c r="G464" s="27">
        <v>0</v>
      </c>
      <c r="H464" s="27">
        <v>0</v>
      </c>
      <c r="I464" s="27">
        <v>0</v>
      </c>
      <c r="J464" s="27">
        <v>0</v>
      </c>
    </row>
    <row r="465" spans="1:10" x14ac:dyDescent="0.25">
      <c r="A465" s="26">
        <v>4182</v>
      </c>
      <c r="B465" s="26">
        <v>7</v>
      </c>
      <c r="C465" s="25" t="s">
        <v>103</v>
      </c>
      <c r="D465" s="27">
        <v>0</v>
      </c>
      <c r="E465" s="27">
        <v>0</v>
      </c>
      <c r="F465" s="27">
        <v>0</v>
      </c>
      <c r="G465" s="27">
        <v>0</v>
      </c>
      <c r="H465" s="27">
        <v>0</v>
      </c>
      <c r="I465" s="27">
        <v>0</v>
      </c>
      <c r="J465" s="27">
        <v>0</v>
      </c>
    </row>
    <row r="466" spans="1:10" x14ac:dyDescent="0.25">
      <c r="A466" s="26">
        <v>4183</v>
      </c>
      <c r="B466" s="26">
        <v>7</v>
      </c>
      <c r="C466" s="25" t="s">
        <v>104</v>
      </c>
      <c r="D466" s="27">
        <v>172</v>
      </c>
      <c r="E466" s="27">
        <v>19790</v>
      </c>
      <c r="F466" s="27">
        <v>0</v>
      </c>
      <c r="G466" s="27">
        <v>0</v>
      </c>
      <c r="H466" s="27">
        <v>0</v>
      </c>
      <c r="I466" s="27">
        <v>0</v>
      </c>
      <c r="J466" s="27">
        <v>0</v>
      </c>
    </row>
    <row r="467" spans="1:10" x14ac:dyDescent="0.25">
      <c r="A467" s="26">
        <v>4184</v>
      </c>
      <c r="B467" s="26">
        <v>7</v>
      </c>
      <c r="C467" s="25" t="s">
        <v>105</v>
      </c>
      <c r="D467" s="27">
        <v>783</v>
      </c>
      <c r="E467" s="27">
        <v>90302</v>
      </c>
      <c r="F467" s="27">
        <v>0</v>
      </c>
      <c r="G467" s="27">
        <v>0</v>
      </c>
      <c r="H467" s="27">
        <v>0</v>
      </c>
      <c r="I467" s="27">
        <v>0</v>
      </c>
      <c r="J467" s="27">
        <v>0</v>
      </c>
    </row>
    <row r="468" spans="1:10" x14ac:dyDescent="0.25">
      <c r="A468" s="26">
        <v>4185</v>
      </c>
      <c r="B468" s="26">
        <v>7</v>
      </c>
      <c r="C468" s="25" t="s">
        <v>106</v>
      </c>
      <c r="D468" s="27">
        <v>545</v>
      </c>
      <c r="E468" s="27">
        <v>62819</v>
      </c>
      <c r="F468" s="27">
        <v>0</v>
      </c>
      <c r="G468" s="27">
        <v>0</v>
      </c>
      <c r="H468" s="27">
        <v>0</v>
      </c>
      <c r="I468" s="27">
        <v>0</v>
      </c>
      <c r="J468" s="27">
        <v>0</v>
      </c>
    </row>
    <row r="469" spans="1:10" x14ac:dyDescent="0.25">
      <c r="A469" s="26">
        <v>4186</v>
      </c>
      <c r="B469" s="26">
        <v>7</v>
      </c>
      <c r="C469" s="25" t="s">
        <v>107</v>
      </c>
      <c r="D469" s="27">
        <v>435</v>
      </c>
      <c r="E469" s="27">
        <v>50133</v>
      </c>
      <c r="F469" s="27">
        <v>0</v>
      </c>
      <c r="G469" s="27">
        <v>0</v>
      </c>
      <c r="H469" s="27">
        <v>0</v>
      </c>
      <c r="I469" s="27">
        <v>0</v>
      </c>
      <c r="J469" s="27">
        <v>0</v>
      </c>
    </row>
    <row r="470" spans="1:10" x14ac:dyDescent="0.25">
      <c r="A470" s="26">
        <v>4187</v>
      </c>
      <c r="B470" s="26">
        <v>7</v>
      </c>
      <c r="C470" s="25" t="s">
        <v>108</v>
      </c>
      <c r="D470" s="27">
        <v>101</v>
      </c>
      <c r="E470" s="27">
        <v>11648</v>
      </c>
      <c r="F470" s="27">
        <v>0</v>
      </c>
      <c r="G470" s="27">
        <v>0</v>
      </c>
      <c r="H470" s="27">
        <v>0</v>
      </c>
      <c r="I470" s="27">
        <v>0</v>
      </c>
      <c r="J470" s="27">
        <v>0</v>
      </c>
    </row>
    <row r="471" spans="1:10" x14ac:dyDescent="0.25">
      <c r="A471" s="26">
        <v>4188</v>
      </c>
      <c r="B471" s="26">
        <v>7</v>
      </c>
      <c r="C471" s="25" t="s">
        <v>109</v>
      </c>
      <c r="D471" s="27">
        <v>621</v>
      </c>
      <c r="E471" s="27">
        <v>71596</v>
      </c>
      <c r="F471" s="27">
        <v>0</v>
      </c>
      <c r="G471" s="27">
        <v>0</v>
      </c>
      <c r="H471" s="27">
        <v>0</v>
      </c>
      <c r="I471" s="27">
        <v>0</v>
      </c>
      <c r="J471" s="27">
        <v>0</v>
      </c>
    </row>
    <row r="472" spans="1:10" x14ac:dyDescent="0.25">
      <c r="A472" s="26">
        <v>4189</v>
      </c>
      <c r="B472" s="26">
        <v>7</v>
      </c>
      <c r="C472" s="25" t="s">
        <v>110</v>
      </c>
      <c r="D472" s="27">
        <v>210</v>
      </c>
      <c r="E472" s="27">
        <v>24259</v>
      </c>
      <c r="F472" s="27">
        <v>0</v>
      </c>
      <c r="G472" s="27">
        <v>0</v>
      </c>
      <c r="H472" s="27">
        <v>0</v>
      </c>
      <c r="I472" s="27">
        <v>0</v>
      </c>
      <c r="J472" s="27">
        <v>0</v>
      </c>
    </row>
    <row r="473" spans="1:10" x14ac:dyDescent="0.25">
      <c r="A473" s="26">
        <v>4190</v>
      </c>
      <c r="B473" s="26">
        <v>7</v>
      </c>
      <c r="C473" s="25" t="s">
        <v>507</v>
      </c>
      <c r="D473" s="27">
        <v>114</v>
      </c>
      <c r="E473" s="27">
        <v>13147</v>
      </c>
      <c r="F473" s="27">
        <v>0</v>
      </c>
      <c r="G473" s="27">
        <v>0</v>
      </c>
      <c r="H473" s="27">
        <v>0</v>
      </c>
      <c r="I473" s="27">
        <v>0</v>
      </c>
      <c r="J473" s="27">
        <v>0</v>
      </c>
    </row>
    <row r="474" spans="1:10" x14ac:dyDescent="0.25">
      <c r="A474" s="26">
        <v>4191</v>
      </c>
      <c r="B474" s="26">
        <v>7</v>
      </c>
      <c r="C474" s="25" t="s">
        <v>111</v>
      </c>
      <c r="D474" s="27">
        <v>268</v>
      </c>
      <c r="E474" s="27">
        <v>30908</v>
      </c>
      <c r="F474" s="27">
        <v>0</v>
      </c>
      <c r="G474" s="27">
        <v>0</v>
      </c>
      <c r="H474" s="27">
        <v>0</v>
      </c>
      <c r="I474" s="27">
        <v>0</v>
      </c>
      <c r="J474" s="27">
        <v>0</v>
      </c>
    </row>
    <row r="475" spans="1:10" x14ac:dyDescent="0.25">
      <c r="A475" s="26">
        <v>4192</v>
      </c>
      <c r="B475" s="26">
        <v>7</v>
      </c>
      <c r="C475" s="25" t="s">
        <v>112</v>
      </c>
      <c r="D475" s="27">
        <v>428</v>
      </c>
      <c r="E475" s="27">
        <v>49303</v>
      </c>
      <c r="F475" s="27">
        <v>0</v>
      </c>
      <c r="G475" s="27">
        <v>0</v>
      </c>
      <c r="H475" s="27">
        <v>0</v>
      </c>
      <c r="I475" s="27">
        <v>0</v>
      </c>
      <c r="J475" s="27">
        <v>0</v>
      </c>
    </row>
    <row r="476" spans="1:10" x14ac:dyDescent="0.25">
      <c r="A476" s="26">
        <v>4193</v>
      </c>
      <c r="B476" s="26">
        <v>7</v>
      </c>
      <c r="C476" s="25" t="s">
        <v>508</v>
      </c>
      <c r="D476" s="27">
        <v>369</v>
      </c>
      <c r="E476" s="27">
        <v>42556</v>
      </c>
      <c r="F476" s="27">
        <v>0</v>
      </c>
      <c r="G476" s="27">
        <v>0</v>
      </c>
      <c r="H476" s="27">
        <v>0</v>
      </c>
      <c r="I476" s="27">
        <v>0</v>
      </c>
      <c r="J476" s="27">
        <v>0</v>
      </c>
    </row>
    <row r="477" spans="1:10" x14ac:dyDescent="0.25">
      <c r="A477" s="26">
        <v>4194</v>
      </c>
      <c r="B477" s="26">
        <v>7</v>
      </c>
      <c r="C477" s="25" t="s">
        <v>113</v>
      </c>
      <c r="D477" s="27">
        <v>345</v>
      </c>
      <c r="E477" s="27">
        <v>39765</v>
      </c>
      <c r="F477" s="27">
        <v>0</v>
      </c>
      <c r="G477" s="27">
        <v>0</v>
      </c>
      <c r="H477" s="27">
        <v>0</v>
      </c>
      <c r="I477" s="27">
        <v>0</v>
      </c>
      <c r="J477" s="27">
        <v>0</v>
      </c>
    </row>
    <row r="478" spans="1:10" x14ac:dyDescent="0.25">
      <c r="A478" s="26">
        <v>4195</v>
      </c>
      <c r="B478" s="26">
        <v>7</v>
      </c>
      <c r="C478" s="25" t="s">
        <v>459</v>
      </c>
      <c r="D478" s="27">
        <v>37</v>
      </c>
      <c r="E478" s="27">
        <v>4290</v>
      </c>
      <c r="F478" s="27">
        <v>0</v>
      </c>
      <c r="G478" s="27">
        <v>0</v>
      </c>
      <c r="H478" s="27">
        <v>0</v>
      </c>
      <c r="I478" s="27">
        <v>0</v>
      </c>
      <c r="J478" s="27">
        <v>0</v>
      </c>
    </row>
    <row r="479" spans="1:10" x14ac:dyDescent="0.25">
      <c r="A479" s="26">
        <v>4197</v>
      </c>
      <c r="B479" s="26">
        <v>7</v>
      </c>
      <c r="C479" s="25" t="s">
        <v>114</v>
      </c>
      <c r="D479" s="27">
        <v>0</v>
      </c>
      <c r="E479" s="27">
        <v>0</v>
      </c>
      <c r="F479" s="27">
        <v>0</v>
      </c>
      <c r="G479" s="27">
        <v>0</v>
      </c>
      <c r="H479" s="27">
        <v>0</v>
      </c>
      <c r="I479" s="27">
        <v>0</v>
      </c>
      <c r="J479" s="27">
        <v>0</v>
      </c>
    </row>
    <row r="480" spans="1:10" x14ac:dyDescent="0.25">
      <c r="A480" s="26">
        <v>4198</v>
      </c>
      <c r="B480" s="26">
        <v>7</v>
      </c>
      <c r="C480" s="25" t="s">
        <v>115</v>
      </c>
      <c r="D480" s="27">
        <v>151</v>
      </c>
      <c r="E480" s="27">
        <v>17438</v>
      </c>
      <c r="F480" s="27">
        <v>0</v>
      </c>
      <c r="G480" s="27">
        <v>0</v>
      </c>
      <c r="H480" s="27">
        <v>0</v>
      </c>
      <c r="I480" s="27">
        <v>0</v>
      </c>
      <c r="J480" s="27">
        <v>0</v>
      </c>
    </row>
    <row r="481" spans="1:10" x14ac:dyDescent="0.25">
      <c r="A481" s="26">
        <v>4199</v>
      </c>
      <c r="B481" s="26">
        <v>7</v>
      </c>
      <c r="C481" s="25" t="s">
        <v>116</v>
      </c>
      <c r="D481" s="27">
        <v>869</v>
      </c>
      <c r="E481" s="27">
        <v>100174</v>
      </c>
      <c r="F481" s="27">
        <v>0</v>
      </c>
      <c r="G481" s="27">
        <v>0</v>
      </c>
      <c r="H481" s="27">
        <v>0</v>
      </c>
      <c r="I481" s="27">
        <v>0</v>
      </c>
      <c r="J481" s="27">
        <v>0</v>
      </c>
    </row>
    <row r="482" spans="1:10" x14ac:dyDescent="0.25">
      <c r="A482" s="26">
        <v>4200</v>
      </c>
      <c r="B482" s="26">
        <v>7</v>
      </c>
      <c r="C482" s="25" t="s">
        <v>117</v>
      </c>
      <c r="D482" s="27">
        <v>206</v>
      </c>
      <c r="E482" s="27">
        <v>23711</v>
      </c>
      <c r="F482" s="27">
        <v>0</v>
      </c>
      <c r="G482" s="27">
        <v>0</v>
      </c>
      <c r="H482" s="27">
        <v>0</v>
      </c>
      <c r="I482" s="27">
        <v>0</v>
      </c>
      <c r="J482" s="27">
        <v>0</v>
      </c>
    </row>
    <row r="483" spans="1:10" x14ac:dyDescent="0.25">
      <c r="A483" s="26">
        <v>4201</v>
      </c>
      <c r="B483" s="26">
        <v>7</v>
      </c>
      <c r="C483" s="25" t="s">
        <v>455</v>
      </c>
      <c r="D483" s="27">
        <v>91</v>
      </c>
      <c r="E483" s="27">
        <v>10495</v>
      </c>
      <c r="F483" s="27">
        <v>0</v>
      </c>
      <c r="G483" s="27">
        <v>0</v>
      </c>
      <c r="H483" s="27">
        <v>0</v>
      </c>
      <c r="I483" s="27">
        <v>0</v>
      </c>
      <c r="J483" s="27">
        <v>0</v>
      </c>
    </row>
    <row r="484" spans="1:10" x14ac:dyDescent="0.25">
      <c r="A484" s="26">
        <v>4202</v>
      </c>
      <c r="B484" s="26">
        <v>7</v>
      </c>
      <c r="C484" s="25" t="s">
        <v>118</v>
      </c>
      <c r="D484" s="27">
        <v>0</v>
      </c>
      <c r="E484" s="27">
        <v>0</v>
      </c>
      <c r="F484" s="27">
        <v>0</v>
      </c>
      <c r="G484" s="27">
        <v>0</v>
      </c>
      <c r="H484" s="27">
        <v>0</v>
      </c>
      <c r="I484" s="27">
        <v>0</v>
      </c>
      <c r="J484" s="27">
        <v>0</v>
      </c>
    </row>
    <row r="485" spans="1:10" x14ac:dyDescent="0.25">
      <c r="A485" s="26">
        <v>4203</v>
      </c>
      <c r="B485" s="26">
        <v>7</v>
      </c>
      <c r="C485" s="25" t="s">
        <v>119</v>
      </c>
      <c r="D485" s="27">
        <v>97</v>
      </c>
      <c r="E485" s="27">
        <v>11210</v>
      </c>
      <c r="F485" s="27">
        <v>0</v>
      </c>
      <c r="G485" s="27">
        <v>0</v>
      </c>
      <c r="H485" s="27">
        <v>0</v>
      </c>
      <c r="I485" s="27">
        <v>0</v>
      </c>
      <c r="J485" s="27">
        <v>0</v>
      </c>
    </row>
    <row r="486" spans="1:10" x14ac:dyDescent="0.25">
      <c r="A486" s="26">
        <v>4204</v>
      </c>
      <c r="B486" s="26">
        <v>7</v>
      </c>
      <c r="C486" s="25" t="s">
        <v>120</v>
      </c>
      <c r="D486" s="27">
        <v>216</v>
      </c>
      <c r="E486" s="27">
        <v>24911</v>
      </c>
      <c r="F486" s="27">
        <v>0</v>
      </c>
      <c r="G486" s="27">
        <v>0</v>
      </c>
      <c r="H486" s="27">
        <v>0</v>
      </c>
      <c r="I486" s="27">
        <v>0</v>
      </c>
      <c r="J486" s="27">
        <v>0</v>
      </c>
    </row>
    <row r="487" spans="1:10" x14ac:dyDescent="0.25">
      <c r="A487" s="26">
        <v>4205</v>
      </c>
      <c r="B487" s="26">
        <v>7</v>
      </c>
      <c r="C487" s="25" t="s">
        <v>121</v>
      </c>
      <c r="D487" s="27">
        <v>189</v>
      </c>
      <c r="E487" s="27">
        <v>21797</v>
      </c>
      <c r="F487" s="27">
        <v>0</v>
      </c>
      <c r="G487" s="27">
        <v>0</v>
      </c>
      <c r="H487" s="27">
        <v>0</v>
      </c>
      <c r="I487" s="27">
        <v>0</v>
      </c>
      <c r="J487" s="27">
        <v>0</v>
      </c>
    </row>
    <row r="488" spans="1:10" x14ac:dyDescent="0.25">
      <c r="A488" s="26">
        <v>4207</v>
      </c>
      <c r="B488" s="26">
        <v>7</v>
      </c>
      <c r="C488" s="25" t="s">
        <v>509</v>
      </c>
      <c r="D488" s="27">
        <v>70</v>
      </c>
      <c r="E488" s="27">
        <v>8027</v>
      </c>
      <c r="F488" s="27">
        <v>0</v>
      </c>
      <c r="G488" s="27">
        <v>0</v>
      </c>
      <c r="H488" s="27">
        <v>0</v>
      </c>
      <c r="I488" s="27">
        <v>0</v>
      </c>
      <c r="J488" s="27">
        <v>0</v>
      </c>
    </row>
    <row r="489" spans="1:10" x14ac:dyDescent="0.25">
      <c r="A489" s="26">
        <v>4208</v>
      </c>
      <c r="B489" s="26">
        <v>7</v>
      </c>
      <c r="C489" s="25" t="s">
        <v>122</v>
      </c>
      <c r="D489" s="27">
        <v>143</v>
      </c>
      <c r="E489" s="27">
        <v>16440</v>
      </c>
      <c r="F489" s="27">
        <v>0</v>
      </c>
      <c r="G489" s="27">
        <v>0</v>
      </c>
      <c r="H489" s="27">
        <v>0</v>
      </c>
      <c r="I489" s="27">
        <v>0</v>
      </c>
      <c r="J489" s="27">
        <v>0</v>
      </c>
    </row>
    <row r="490" spans="1:10" x14ac:dyDescent="0.25">
      <c r="A490" s="26">
        <v>4209</v>
      </c>
      <c r="B490" s="26">
        <v>7</v>
      </c>
      <c r="C490" s="25" t="s">
        <v>123</v>
      </c>
      <c r="D490" s="27">
        <v>273</v>
      </c>
      <c r="E490" s="27">
        <v>31485</v>
      </c>
      <c r="F490" s="27">
        <v>0</v>
      </c>
      <c r="G490" s="27">
        <v>0</v>
      </c>
      <c r="H490" s="27">
        <v>0</v>
      </c>
      <c r="I490" s="27">
        <v>0</v>
      </c>
      <c r="J490" s="27">
        <v>0</v>
      </c>
    </row>
    <row r="491" spans="1:10" x14ac:dyDescent="0.25">
      <c r="A491" s="26">
        <v>4210</v>
      </c>
      <c r="B491" s="26">
        <v>7</v>
      </c>
      <c r="C491" s="25" t="s">
        <v>510</v>
      </c>
      <c r="D491" s="27">
        <v>182</v>
      </c>
      <c r="E491" s="27">
        <v>20990</v>
      </c>
      <c r="F491" s="27">
        <v>0</v>
      </c>
      <c r="G491" s="27">
        <v>0</v>
      </c>
      <c r="H491" s="27">
        <v>0</v>
      </c>
      <c r="I491" s="27">
        <v>0</v>
      </c>
      <c r="J491" s="27">
        <v>0</v>
      </c>
    </row>
    <row r="492" spans="1:10" x14ac:dyDescent="0.25">
      <c r="A492" s="26">
        <v>4211</v>
      </c>
      <c r="B492" s="26">
        <v>7</v>
      </c>
      <c r="C492" s="25" t="s">
        <v>511</v>
      </c>
      <c r="D492" s="27">
        <v>49</v>
      </c>
      <c r="E492" s="27">
        <v>5651</v>
      </c>
      <c r="F492" s="27">
        <v>0</v>
      </c>
      <c r="G492" s="27">
        <v>0</v>
      </c>
      <c r="H492" s="27">
        <v>0</v>
      </c>
      <c r="I492" s="27">
        <v>0</v>
      </c>
      <c r="J492" s="27">
        <v>0</v>
      </c>
    </row>
    <row r="493" spans="1:10" x14ac:dyDescent="0.25">
      <c r="A493" s="26">
        <v>4212</v>
      </c>
      <c r="B493" s="26">
        <v>7</v>
      </c>
      <c r="C493" s="25" t="s">
        <v>512</v>
      </c>
      <c r="D493" s="27">
        <v>96</v>
      </c>
      <c r="E493" s="27">
        <v>11071</v>
      </c>
      <c r="F493" s="27">
        <v>0</v>
      </c>
      <c r="G493" s="27">
        <v>0</v>
      </c>
      <c r="H493" s="27">
        <v>0</v>
      </c>
      <c r="I493" s="27">
        <v>0</v>
      </c>
      <c r="J493" s="27">
        <v>0</v>
      </c>
    </row>
    <row r="494" spans="1:10" x14ac:dyDescent="0.25">
      <c r="A494" s="26">
        <v>4213</v>
      </c>
      <c r="B494" s="26">
        <v>7</v>
      </c>
      <c r="C494" s="25" t="s">
        <v>513</v>
      </c>
      <c r="D494" s="27">
        <v>35</v>
      </c>
      <c r="E494" s="27">
        <v>3996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</row>
    <row r="495" spans="1:10" x14ac:dyDescent="0.25">
      <c r="A495" s="26">
        <v>4214</v>
      </c>
      <c r="B495" s="26">
        <v>7</v>
      </c>
      <c r="C495" s="25" t="s">
        <v>514</v>
      </c>
      <c r="D495" s="27">
        <v>34</v>
      </c>
      <c r="E495" s="27">
        <v>3927</v>
      </c>
      <c r="F495" s="27">
        <v>0</v>
      </c>
      <c r="G495" s="27">
        <v>0</v>
      </c>
      <c r="H495" s="27">
        <v>0</v>
      </c>
      <c r="I495" s="27">
        <v>0</v>
      </c>
      <c r="J495" s="27">
        <v>0</v>
      </c>
    </row>
    <row r="496" spans="1:10" x14ac:dyDescent="0.25">
      <c r="A496" s="26">
        <v>4218</v>
      </c>
      <c r="B496" s="26">
        <v>7</v>
      </c>
      <c r="C496" s="25" t="s">
        <v>515</v>
      </c>
      <c r="D496" s="27">
        <v>121</v>
      </c>
      <c r="E496" s="27">
        <v>14001</v>
      </c>
      <c r="F496" s="27">
        <v>0</v>
      </c>
      <c r="G496" s="27">
        <v>0</v>
      </c>
      <c r="H496" s="27">
        <v>0</v>
      </c>
      <c r="I496" s="27">
        <v>0</v>
      </c>
      <c r="J496" s="27">
        <v>0</v>
      </c>
    </row>
    <row r="497" spans="1:10" x14ac:dyDescent="0.25">
      <c r="A497" s="26">
        <v>4999</v>
      </c>
      <c r="B497" s="26">
        <v>7</v>
      </c>
      <c r="C497" s="25" t="s">
        <v>124</v>
      </c>
      <c r="D497" s="27">
        <v>6328</v>
      </c>
      <c r="E497" s="27">
        <v>900200</v>
      </c>
      <c r="F497" s="27">
        <v>0</v>
      </c>
      <c r="G497" s="27">
        <v>0</v>
      </c>
      <c r="H497" s="27">
        <v>0</v>
      </c>
      <c r="I497" s="27">
        <v>0</v>
      </c>
      <c r="J497" s="27">
        <v>0</v>
      </c>
    </row>
    <row r="498" spans="1:10" x14ac:dyDescent="0.25">
      <c r="A498" s="26">
        <v>6000</v>
      </c>
      <c r="B498" s="26">
        <v>62</v>
      </c>
      <c r="C498" s="25" t="s">
        <v>516</v>
      </c>
      <c r="D498" s="27">
        <v>0</v>
      </c>
      <c r="E498" s="27">
        <v>0</v>
      </c>
      <c r="F498" s="27">
        <v>0</v>
      </c>
      <c r="G498" s="27">
        <v>0</v>
      </c>
      <c r="H498" s="27">
        <v>0</v>
      </c>
      <c r="I498" s="27">
        <v>0</v>
      </c>
      <c r="J498" s="27">
        <v>0</v>
      </c>
    </row>
    <row r="500" spans="1:10" x14ac:dyDescent="0.25">
      <c r="D500" s="17">
        <f>SUM(D2:D499)</f>
        <v>921112</v>
      </c>
      <c r="E500" s="17">
        <f t="shared" ref="E500:J500" si="0">SUM(E2:E499)</f>
        <v>109031619</v>
      </c>
      <c r="F500" s="17">
        <f>SUM(F2:F499)</f>
        <v>80189429</v>
      </c>
      <c r="G500" s="17">
        <f>SUM(G2:G499)</f>
        <v>358810201</v>
      </c>
      <c r="H500" s="17">
        <f>SUM(H2:H499)</f>
        <v>285015473</v>
      </c>
      <c r="I500" s="17">
        <f t="shared" si="0"/>
        <v>709804912</v>
      </c>
      <c r="J500" s="17">
        <f t="shared" si="0"/>
        <v>541519918</v>
      </c>
    </row>
    <row r="501" spans="1:10" x14ac:dyDescent="0.25">
      <c r="D501" s="17">
        <f>+'Tax Bill Summary'!E9</f>
        <v>921112</v>
      </c>
      <c r="E501" s="17">
        <f>+'Tax Bill Summary'!U9</f>
        <v>109031619</v>
      </c>
      <c r="F501" s="17">
        <f>+'Tax Bill Summary'!V9</f>
        <v>80189429</v>
      </c>
      <c r="G501" s="17">
        <f>+'Tax Bill Summary'!X9</f>
        <v>358810201</v>
      </c>
      <c r="H501" s="17">
        <f>+'Tax Bill Summary'!Y9</f>
        <v>285015473</v>
      </c>
      <c r="I501" s="17">
        <f>+'Tax Bill Summary'!AA9</f>
        <v>709804912</v>
      </c>
      <c r="J501" s="17">
        <f>+'Tax Bill Summary'!AB9</f>
        <v>541519918</v>
      </c>
    </row>
    <row r="502" spans="1:10" x14ac:dyDescent="0.25">
      <c r="D502" s="17">
        <f>+D500-D501</f>
        <v>0</v>
      </c>
      <c r="E502" s="17">
        <f t="shared" ref="E502:J502" si="1">+E500-E501</f>
        <v>0</v>
      </c>
      <c r="F502" s="17">
        <f t="shared" si="1"/>
        <v>0</v>
      </c>
      <c r="G502" s="17">
        <f t="shared" si="1"/>
        <v>0</v>
      </c>
      <c r="H502" s="17">
        <f t="shared" si="1"/>
        <v>0</v>
      </c>
      <c r="I502" s="17">
        <f t="shared" si="1"/>
        <v>0</v>
      </c>
      <c r="J502" s="17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Dist Region Table</vt:lpstr>
      <vt:lpstr>FY16 Feb Forecast</vt:lpstr>
      <vt:lpstr>FY16 Tax Bill</vt:lpstr>
      <vt:lpstr>FY16 Change</vt:lpstr>
      <vt:lpstr>Tax Bill Summary</vt:lpstr>
      <vt:lpstr>GE16FEB14 Unfudged</vt:lpstr>
      <vt:lpstr>GE16FEB14 Tax Bill Unfudged</vt:lpstr>
      <vt:lpstr>'Tax Bill Summary'!Print_Area</vt:lpstr>
      <vt:lpstr>'FY16 Change'!Print_Titles</vt:lpstr>
      <vt:lpstr>'FY16 Feb Forecast'!Print_Titles</vt:lpstr>
      <vt:lpstr>'FY16 Tax Bill'!Print_Titles</vt:lpstr>
      <vt:lpstr>'Tax Bill Summary'!Print_Titles</vt:lpstr>
      <vt:lpstr>TitelRegion1.a2.t514.2</vt:lpstr>
      <vt:lpstr>TitleRegion1.a2.t514.1</vt:lpstr>
      <vt:lpstr>TitleRegion1.a2.t514.3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Melcher, Tom</dc:creator>
  <cp:lastModifiedBy>Goebel, Chelsea</cp:lastModifiedBy>
  <cp:lastPrinted>2014-04-03T15:30:21Z</cp:lastPrinted>
  <dcterms:created xsi:type="dcterms:W3CDTF">2013-01-21T20:49:21Z</dcterms:created>
  <dcterms:modified xsi:type="dcterms:W3CDTF">2014-04-07T18:41:25Z</dcterms:modified>
</cp:coreProperties>
</file>