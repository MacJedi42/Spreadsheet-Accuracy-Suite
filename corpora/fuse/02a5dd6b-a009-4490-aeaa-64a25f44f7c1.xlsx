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30" windowWidth="16335" windowHeight="116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21" i="1"/>
  <c r="I30"/>
  <c r="I29"/>
  <c r="I27"/>
  <c r="I22"/>
  <c r="I20"/>
  <c r="I19"/>
  <c r="H33"/>
  <c r="H30"/>
  <c r="G33"/>
  <c r="G30"/>
  <c r="G16"/>
  <c r="G22"/>
  <c r="H16"/>
  <c r="H22"/>
  <c r="C16"/>
  <c r="B16"/>
  <c r="D16" l="1"/>
  <c r="D21"/>
  <c r="D20"/>
  <c r="D19"/>
  <c r="D29"/>
  <c r="D28"/>
  <c r="D26"/>
  <c r="D27"/>
  <c r="D25"/>
  <c r="D30" s="1"/>
  <c r="C30"/>
  <c r="B30"/>
  <c r="C22"/>
  <c r="C33" s="1"/>
  <c r="B22"/>
  <c r="B33" s="1"/>
  <c r="D33" s="1"/>
  <c r="F30"/>
  <c r="E30"/>
  <c r="E16"/>
  <c r="E33" s="1"/>
  <c r="F16"/>
  <c r="F22"/>
  <c r="E22"/>
  <c r="J26"/>
  <c r="L26" s="1"/>
  <c r="J25"/>
  <c r="K30"/>
  <c r="L28"/>
  <c r="L27"/>
  <c r="L25"/>
  <c r="L20"/>
  <c r="L19"/>
  <c r="K22"/>
  <c r="K16"/>
  <c r="J22"/>
  <c r="L22" s="1"/>
  <c r="J16"/>
  <c r="I16"/>
  <c r="I33" s="1"/>
  <c r="K33" l="1"/>
  <c r="D22"/>
  <c r="J30"/>
  <c r="L30" s="1"/>
  <c r="L29"/>
  <c r="L16"/>
  <c r="F33"/>
  <c r="J33" l="1"/>
  <c r="L33" s="1"/>
</calcChain>
</file>

<file path=xl/sharedStrings.xml><?xml version="1.0" encoding="utf-8"?>
<sst xmlns="http://schemas.openxmlformats.org/spreadsheetml/2006/main" count="61" uniqueCount="36">
  <si>
    <t>OPERATING</t>
  </si>
  <si>
    <t>FY2012</t>
  </si>
  <si>
    <t>FY2013</t>
  </si>
  <si>
    <t xml:space="preserve">Actual </t>
  </si>
  <si>
    <t>Net</t>
  </si>
  <si>
    <t xml:space="preserve"> Budget</t>
  </si>
  <si>
    <t xml:space="preserve"> Budget </t>
  </si>
  <si>
    <t>Draft</t>
  </si>
  <si>
    <t>Revenue</t>
  </si>
  <si>
    <t>Expenses</t>
  </si>
  <si>
    <t>to date</t>
  </si>
  <si>
    <t xml:space="preserve">Membership activities </t>
  </si>
  <si>
    <t xml:space="preserve">   Administration</t>
  </si>
  <si>
    <t xml:space="preserve">   Membership Promotion</t>
  </si>
  <si>
    <t xml:space="preserve">   Governance Support</t>
  </si>
  <si>
    <t xml:space="preserve">   Dues</t>
  </si>
  <si>
    <t xml:space="preserve">   MW &amp; Annual Conference</t>
  </si>
  <si>
    <t xml:space="preserve">   External Relations</t>
  </si>
  <si>
    <t xml:space="preserve">   Technology Grants</t>
  </si>
  <si>
    <t xml:space="preserve">   Friends of LITA/LITA Now</t>
  </si>
  <si>
    <t xml:space="preserve">      Subtotal</t>
  </si>
  <si>
    <t>Publications</t>
  </si>
  <si>
    <t xml:space="preserve">   ITAL</t>
  </si>
  <si>
    <t xml:space="preserve">   Classified ads</t>
  </si>
  <si>
    <t xml:space="preserve">   Nonperiodical Pubs.</t>
  </si>
  <si>
    <t xml:space="preserve">     Subtotal</t>
  </si>
  <si>
    <t>Education</t>
  </si>
  <si>
    <t xml:space="preserve">    Forum</t>
  </si>
  <si>
    <t xml:space="preserve">    Institutes</t>
  </si>
  <si>
    <t>TOTAL</t>
  </si>
  <si>
    <t xml:space="preserve">    Web CE</t>
  </si>
  <si>
    <t xml:space="preserve">    Pre-conferences </t>
  </si>
  <si>
    <t xml:space="preserve">    MW Workshop </t>
  </si>
  <si>
    <t>net</t>
  </si>
  <si>
    <t>Budget</t>
  </si>
  <si>
    <t>FY2014</t>
  </si>
</sst>
</file>

<file path=xl/styles.xml><?xml version="1.0" encoding="utf-8"?>
<styleSheet xmlns="http://schemas.openxmlformats.org/spreadsheetml/2006/main">
  <numFmts count="2">
    <numFmt numFmtId="5" formatCode="&quot;$&quot;#,##0_);\(&quot;$&quot;#,##0\)"/>
    <numFmt numFmtId="164" formatCode="&quot;$&quot;#,##0"/>
  </numFmts>
  <fonts count="8">
    <font>
      <sz val="11"/>
      <color theme="1"/>
      <name val="Calibri"/>
      <family val="2"/>
      <scheme val="minor"/>
    </font>
    <font>
      <b/>
      <sz val="8"/>
      <name val="Helv"/>
    </font>
    <font>
      <b/>
      <sz val="9"/>
      <name val="Helv"/>
    </font>
    <font>
      <sz val="9"/>
      <name val="Helv"/>
    </font>
    <font>
      <sz val="9"/>
      <color indexed="10"/>
      <name val="Helv"/>
    </font>
    <font>
      <b/>
      <sz val="9"/>
      <color indexed="10"/>
      <name val="Helv"/>
    </font>
    <font>
      <sz val="8"/>
      <color indexed="10"/>
      <name val="Helv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5" fontId="1" fillId="0" borderId="0"/>
  </cellStyleXfs>
  <cellXfs count="40">
    <xf numFmtId="0" fontId="0" fillId="0" borderId="0" xfId="0"/>
    <xf numFmtId="5" fontId="1" fillId="0" borderId="0" xfId="1"/>
    <xf numFmtId="5" fontId="2" fillId="0" borderId="0" xfId="1" applyNumberFormat="1" applyFont="1"/>
    <xf numFmtId="5" fontId="3" fillId="0" borderId="0" xfId="1" applyNumberFormat="1" applyFont="1"/>
    <xf numFmtId="5" fontId="2" fillId="0" borderId="0" xfId="1" applyFont="1"/>
    <xf numFmtId="5" fontId="3" fillId="0" borderId="0" xfId="1" applyFont="1"/>
    <xf numFmtId="164" fontId="2" fillId="0" borderId="0" xfId="1" applyNumberFormat="1" applyFont="1"/>
    <xf numFmtId="164" fontId="2" fillId="0" borderId="0" xfId="1" applyNumberFormat="1" applyFont="1" applyAlignment="1" applyProtection="1">
      <alignment horizontal="left"/>
      <protection locked="0"/>
    </xf>
    <xf numFmtId="164" fontId="3" fillId="0" borderId="0" xfId="1" applyNumberFormat="1" applyFont="1" applyAlignment="1" applyProtection="1">
      <alignment horizontal="left"/>
      <protection locked="0"/>
    </xf>
    <xf numFmtId="164" fontId="2" fillId="0" borderId="0" xfId="1" applyNumberFormat="1" applyFont="1" applyProtection="1">
      <protection locked="0"/>
    </xf>
    <xf numFmtId="5" fontId="2" fillId="0" borderId="0" xfId="1" applyFont="1" applyAlignment="1">
      <alignment horizontal="right"/>
    </xf>
    <xf numFmtId="5" fontId="4" fillId="0" borderId="0" xfId="1" applyNumberFormat="1" applyFont="1"/>
    <xf numFmtId="5" fontId="4" fillId="0" borderId="0" xfId="1" applyFont="1"/>
    <xf numFmtId="5" fontId="5" fillId="0" borderId="0" xfId="1" applyFont="1" applyAlignment="1">
      <alignment horizontal="right"/>
    </xf>
    <xf numFmtId="5" fontId="5" fillId="0" borderId="0" xfId="1" applyFont="1"/>
    <xf numFmtId="164" fontId="2" fillId="0" borderId="0" xfId="1" applyNumberFormat="1" applyFont="1" applyAlignment="1" applyProtection="1">
      <alignment horizontal="right"/>
      <protection locked="0"/>
    </xf>
    <xf numFmtId="5" fontId="1" fillId="0" borderId="0" xfId="1" applyAlignment="1">
      <alignment horizontal="right"/>
    </xf>
    <xf numFmtId="164" fontId="2" fillId="0" borderId="0" xfId="1" applyNumberFormat="1" applyFont="1" applyAlignment="1">
      <alignment horizontal="right"/>
    </xf>
    <xf numFmtId="164" fontId="2" fillId="0" borderId="0" xfId="1" applyNumberFormat="1" applyFont="1" applyAlignment="1" applyProtection="1">
      <alignment horizontal="right" indent="1"/>
      <protection locked="0"/>
    </xf>
    <xf numFmtId="5" fontId="1" fillId="0" borderId="0" xfId="1" applyAlignment="1">
      <alignment horizontal="right" indent="1"/>
    </xf>
    <xf numFmtId="164" fontId="2" fillId="0" borderId="0" xfId="1" applyNumberFormat="1" applyFont="1" applyAlignment="1">
      <alignment horizontal="right" indent="1"/>
    </xf>
    <xf numFmtId="164" fontId="3" fillId="0" borderId="0" xfId="1" applyNumberFormat="1" applyFont="1"/>
    <xf numFmtId="5" fontId="5" fillId="0" borderId="0" xfId="1" applyNumberFormat="1" applyFont="1" applyAlignment="1">
      <alignment horizontal="right"/>
    </xf>
    <xf numFmtId="5" fontId="2" fillId="0" borderId="0" xfId="1" applyNumberFormat="1" applyFont="1" applyAlignment="1">
      <alignment horizontal="right"/>
    </xf>
    <xf numFmtId="164" fontId="3" fillId="0" borderId="0" xfId="0" applyNumberFormat="1" applyFont="1" applyAlignment="1" applyProtection="1">
      <alignment horizontal="right"/>
      <protection locked="0"/>
    </xf>
    <xf numFmtId="164" fontId="3" fillId="0" borderId="0" xfId="0" applyNumberFormat="1" applyFont="1" applyAlignment="1" applyProtection="1">
      <alignment horizontal="right" indent="1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 indent="1"/>
      <protection locked="0"/>
    </xf>
    <xf numFmtId="5" fontId="3" fillId="0" borderId="0" xfId="0" applyNumberFormat="1" applyFont="1"/>
    <xf numFmtId="5" fontId="2" fillId="0" borderId="0" xfId="0" applyNumberFormat="1" applyFont="1"/>
    <xf numFmtId="5" fontId="4" fillId="0" borderId="0" xfId="0" applyNumberFormat="1" applyFont="1"/>
    <xf numFmtId="5" fontId="6" fillId="0" borderId="0" xfId="0" applyNumberFormat="1" applyFont="1"/>
    <xf numFmtId="5" fontId="5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indent="1"/>
    </xf>
    <xf numFmtId="5" fontId="2" fillId="0" borderId="0" xfId="0" applyNumberFormat="1" applyFont="1" applyAlignment="1">
      <alignment horizontal="right"/>
    </xf>
    <xf numFmtId="5" fontId="5" fillId="0" borderId="0" xfId="0" applyNumberFormat="1" applyFont="1" applyAlignment="1">
      <alignment horizontal="right"/>
    </xf>
    <xf numFmtId="5" fontId="0" fillId="0" borderId="0" xfId="0" applyNumberFormat="1"/>
    <xf numFmtId="5" fontId="7" fillId="0" borderId="0" xfId="0" applyNumberFormat="1" applyFont="1"/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view="pageLayout" topLeftCell="A7" zoomScaleNormal="100" workbookViewId="0">
      <selection activeCell="K30" sqref="K30:K31"/>
    </sheetView>
  </sheetViews>
  <sheetFormatPr defaultRowHeight="15"/>
  <cols>
    <col min="1" max="1" width="22.85546875" bestFit="1" customWidth="1"/>
    <col min="2" max="3" width="9.42578125" bestFit="1" customWidth="1"/>
    <col min="4" max="4" width="9" bestFit="1" customWidth="1"/>
    <col min="5" max="5" width="8.85546875" bestFit="1" customWidth="1"/>
    <col min="6" max="6" width="10.28515625" bestFit="1" customWidth="1"/>
    <col min="7" max="8" width="9.42578125" bestFit="1" customWidth="1"/>
    <col min="9" max="9" width="9" bestFit="1" customWidth="1"/>
    <col min="10" max="10" width="9.42578125" bestFit="1" customWidth="1"/>
    <col min="11" max="11" width="10.140625" bestFit="1" customWidth="1"/>
    <col min="12" max="12" width="9" bestFit="1" customWidth="1"/>
  </cols>
  <sheetData>
    <row r="1" spans="1:12">
      <c r="A1" s="1" t="s">
        <v>0</v>
      </c>
      <c r="B1" s="1"/>
      <c r="C1" s="1"/>
      <c r="D1" s="1"/>
      <c r="E1" s="15"/>
      <c r="F1" s="16"/>
      <c r="G1" s="1"/>
      <c r="H1" s="1"/>
      <c r="I1" s="1"/>
      <c r="J1" s="15"/>
      <c r="K1" s="16"/>
      <c r="L1" s="1"/>
    </row>
    <row r="2" spans="1:12">
      <c r="A2" s="1"/>
      <c r="B2" s="1"/>
      <c r="C2" s="1"/>
      <c r="D2" s="1"/>
      <c r="E2" s="16"/>
      <c r="F2" s="19"/>
      <c r="G2" s="1"/>
      <c r="H2" s="1"/>
      <c r="I2" s="1"/>
      <c r="J2" s="16"/>
      <c r="K2" s="19"/>
      <c r="L2" s="1"/>
    </row>
    <row r="3" spans="1:12">
      <c r="A3" s="6"/>
      <c r="B3" s="35" t="s">
        <v>1</v>
      </c>
      <c r="C3" s="36" t="s">
        <v>1</v>
      </c>
      <c r="D3" s="1" t="s">
        <v>1</v>
      </c>
      <c r="E3" s="33" t="s">
        <v>2</v>
      </c>
      <c r="F3" s="34" t="s">
        <v>2</v>
      </c>
      <c r="G3" s="10" t="s">
        <v>2</v>
      </c>
      <c r="H3" s="13" t="s">
        <v>2</v>
      </c>
      <c r="I3" s="16" t="s">
        <v>2</v>
      </c>
      <c r="J3" s="17" t="s">
        <v>35</v>
      </c>
      <c r="K3" s="20" t="s">
        <v>35</v>
      </c>
      <c r="L3" s="16" t="s">
        <v>35</v>
      </c>
    </row>
    <row r="4" spans="1:12">
      <c r="A4" s="6"/>
      <c r="B4" s="35" t="s">
        <v>3</v>
      </c>
      <c r="C4" s="36" t="s">
        <v>3</v>
      </c>
      <c r="D4" s="4" t="s">
        <v>3</v>
      </c>
      <c r="E4" s="33" t="s">
        <v>34</v>
      </c>
      <c r="F4" s="34" t="s">
        <v>6</v>
      </c>
      <c r="G4" s="10" t="s">
        <v>3</v>
      </c>
      <c r="H4" s="13" t="s">
        <v>3</v>
      </c>
      <c r="I4" s="10" t="s">
        <v>4</v>
      </c>
      <c r="J4" s="16" t="s">
        <v>7</v>
      </c>
      <c r="K4" s="16" t="s">
        <v>7</v>
      </c>
      <c r="L4" s="4"/>
    </row>
    <row r="5" spans="1:12">
      <c r="A5" s="6"/>
      <c r="B5" s="35" t="s">
        <v>8</v>
      </c>
      <c r="C5" s="36" t="s">
        <v>9</v>
      </c>
      <c r="D5" s="4" t="s">
        <v>33</v>
      </c>
      <c r="E5" s="33" t="s">
        <v>8</v>
      </c>
      <c r="F5" s="34" t="s">
        <v>9</v>
      </c>
      <c r="G5" s="10" t="s">
        <v>8</v>
      </c>
      <c r="H5" s="13" t="s">
        <v>9</v>
      </c>
      <c r="I5" s="10" t="s">
        <v>10</v>
      </c>
      <c r="J5" s="17" t="s">
        <v>5</v>
      </c>
      <c r="K5" s="17" t="s">
        <v>6</v>
      </c>
      <c r="L5" s="10" t="s">
        <v>7</v>
      </c>
    </row>
    <row r="6" spans="1:12">
      <c r="A6" s="21"/>
      <c r="B6" s="28"/>
      <c r="C6" s="30"/>
      <c r="D6" s="5"/>
      <c r="E6" s="33"/>
      <c r="F6" s="34"/>
      <c r="G6" s="23" t="s">
        <v>10</v>
      </c>
      <c r="H6" s="22" t="s">
        <v>10</v>
      </c>
      <c r="I6" s="10"/>
      <c r="J6" s="17" t="s">
        <v>8</v>
      </c>
      <c r="K6" s="17" t="s">
        <v>9</v>
      </c>
      <c r="L6" s="10" t="s">
        <v>4</v>
      </c>
    </row>
    <row r="7" spans="1:12">
      <c r="A7" s="7" t="s">
        <v>11</v>
      </c>
      <c r="B7" s="28"/>
      <c r="C7" s="30"/>
      <c r="D7" s="4"/>
      <c r="E7" s="26"/>
      <c r="F7" s="27"/>
      <c r="G7" s="3"/>
      <c r="H7" s="11"/>
      <c r="I7" s="4"/>
      <c r="J7" s="15"/>
      <c r="K7" s="18"/>
      <c r="L7" s="4"/>
    </row>
    <row r="8" spans="1:12">
      <c r="A8" s="8" t="s">
        <v>12</v>
      </c>
      <c r="B8" s="28"/>
      <c r="C8" s="30">
        <v>228017</v>
      </c>
      <c r="D8" s="29"/>
      <c r="E8" s="24">
        <v>0</v>
      </c>
      <c r="F8" s="25">
        <v>235020</v>
      </c>
      <c r="G8" s="28">
        <v>1747</v>
      </c>
      <c r="H8" s="30">
        <v>56396</v>
      </c>
      <c r="I8" s="4"/>
      <c r="J8" s="3"/>
      <c r="K8" s="11">
        <v>239819</v>
      </c>
      <c r="L8" s="4"/>
    </row>
    <row r="9" spans="1:12">
      <c r="A9" s="8" t="s">
        <v>13</v>
      </c>
      <c r="B9" s="28"/>
      <c r="C9" s="30">
        <v>2457</v>
      </c>
      <c r="D9" s="29"/>
      <c r="E9" s="24">
        <v>0</v>
      </c>
      <c r="F9" s="25">
        <v>2000</v>
      </c>
      <c r="G9" s="28"/>
      <c r="H9" s="30">
        <v>0</v>
      </c>
      <c r="I9" s="4"/>
      <c r="J9" s="3"/>
      <c r="K9" s="11">
        <v>2000</v>
      </c>
      <c r="L9" s="4"/>
    </row>
    <row r="10" spans="1:12">
      <c r="A10" s="8" t="s">
        <v>14</v>
      </c>
      <c r="B10" s="28"/>
      <c r="C10" s="30">
        <v>9655</v>
      </c>
      <c r="D10" s="29"/>
      <c r="E10" s="24">
        <v>0</v>
      </c>
      <c r="F10" s="25">
        <v>8850</v>
      </c>
      <c r="G10" s="28"/>
      <c r="H10" s="30">
        <v>2317</v>
      </c>
      <c r="I10" s="4"/>
      <c r="J10" s="3"/>
      <c r="K10" s="11">
        <v>8850</v>
      </c>
      <c r="L10" s="4"/>
    </row>
    <row r="11" spans="1:12">
      <c r="A11" s="8" t="s">
        <v>15</v>
      </c>
      <c r="B11" s="28">
        <v>179766</v>
      </c>
      <c r="C11" s="31">
        <v>3321</v>
      </c>
      <c r="D11" s="29"/>
      <c r="E11" s="24">
        <v>187898</v>
      </c>
      <c r="F11" s="25">
        <v>3905</v>
      </c>
      <c r="G11" s="28">
        <v>44174</v>
      </c>
      <c r="H11" s="31">
        <v>779</v>
      </c>
      <c r="I11" s="4"/>
      <c r="J11" s="3">
        <v>187898</v>
      </c>
      <c r="K11" s="12">
        <v>3416</v>
      </c>
      <c r="L11" s="4"/>
    </row>
    <row r="12" spans="1:12">
      <c r="A12" s="8" t="s">
        <v>16</v>
      </c>
      <c r="B12" s="28">
        <v>0</v>
      </c>
      <c r="C12" s="30">
        <v>3694</v>
      </c>
      <c r="D12" s="29"/>
      <c r="E12" s="24">
        <v>0</v>
      </c>
      <c r="F12" s="25">
        <v>6300</v>
      </c>
      <c r="G12" s="28">
        <v>0</v>
      </c>
      <c r="H12" s="30">
        <v>205</v>
      </c>
      <c r="I12" s="4"/>
      <c r="J12" s="5">
        <v>0</v>
      </c>
      <c r="K12" s="11">
        <v>6300</v>
      </c>
      <c r="L12" s="4"/>
    </row>
    <row r="13" spans="1:12">
      <c r="A13" s="8" t="s">
        <v>17</v>
      </c>
      <c r="B13" s="28">
        <v>13500</v>
      </c>
      <c r="C13" s="30">
        <v>19843</v>
      </c>
      <c r="D13" s="29"/>
      <c r="E13" s="24">
        <v>13500</v>
      </c>
      <c r="F13" s="25">
        <v>21205</v>
      </c>
      <c r="G13" s="28">
        <v>0</v>
      </c>
      <c r="H13" s="30">
        <v>0</v>
      </c>
      <c r="I13" s="4"/>
      <c r="J13" s="3">
        <v>13500</v>
      </c>
      <c r="K13" s="11">
        <v>21205</v>
      </c>
      <c r="L13" s="4"/>
    </row>
    <row r="14" spans="1:12">
      <c r="A14" s="8" t="s">
        <v>18</v>
      </c>
      <c r="B14" s="28">
        <v>0</v>
      </c>
      <c r="C14" s="30">
        <v>0</v>
      </c>
      <c r="D14" s="29"/>
      <c r="E14" s="24">
        <v>0</v>
      </c>
      <c r="F14" s="25">
        <v>500</v>
      </c>
      <c r="G14" s="28">
        <v>0</v>
      </c>
      <c r="H14" s="30">
        <v>0</v>
      </c>
      <c r="I14" s="4"/>
      <c r="J14" s="3">
        <v>0</v>
      </c>
      <c r="K14" s="11">
        <v>500</v>
      </c>
      <c r="L14" s="4"/>
    </row>
    <row r="15" spans="1:12">
      <c r="A15" s="8" t="s">
        <v>19</v>
      </c>
      <c r="B15" s="28">
        <v>575</v>
      </c>
      <c r="C15" s="30">
        <v>16</v>
      </c>
      <c r="D15" s="29"/>
      <c r="E15" s="24">
        <v>300</v>
      </c>
      <c r="F15" s="25">
        <v>0</v>
      </c>
      <c r="G15" s="28">
        <v>0</v>
      </c>
      <c r="H15" s="30">
        <v>0</v>
      </c>
      <c r="I15" s="4"/>
      <c r="J15" s="3">
        <v>300</v>
      </c>
      <c r="K15" s="11">
        <v>0</v>
      </c>
      <c r="L15" s="4"/>
    </row>
    <row r="16" spans="1:12">
      <c r="A16" s="7" t="s">
        <v>20</v>
      </c>
      <c r="B16" s="29">
        <f>SUM(B8:B15)</f>
        <v>193841</v>
      </c>
      <c r="C16" s="32">
        <f>SUM(C8:C15)</f>
        <v>267003</v>
      </c>
      <c r="D16" s="29">
        <f>B16-C16</f>
        <v>-73162</v>
      </c>
      <c r="E16" s="26">
        <f>SUM(E8:E15)</f>
        <v>201698</v>
      </c>
      <c r="F16" s="27">
        <f>SUM(F8:F15)</f>
        <v>277780</v>
      </c>
      <c r="G16" s="29">
        <f>SUM(G8:G15)</f>
        <v>45921</v>
      </c>
      <c r="H16" s="32">
        <f>SUM(H8:H15)</f>
        <v>59697</v>
      </c>
      <c r="I16" s="29">
        <f>G16-H16</f>
        <v>-13776</v>
      </c>
      <c r="J16" s="4">
        <f>SUM(J8:J15)</f>
        <v>201698</v>
      </c>
      <c r="K16" s="14">
        <f>SUM(K8:K15)</f>
        <v>282090</v>
      </c>
      <c r="L16" s="4">
        <f>J16-K16</f>
        <v>-80392</v>
      </c>
    </row>
    <row r="17" spans="1:12">
      <c r="A17" s="9"/>
      <c r="B17" s="29"/>
      <c r="C17" s="32"/>
      <c r="D17" s="29"/>
      <c r="E17" s="26"/>
      <c r="G17" s="29"/>
      <c r="H17" s="32"/>
      <c r="I17" s="29"/>
      <c r="J17" s="3"/>
      <c r="K17" s="3"/>
      <c r="L17" s="4"/>
    </row>
    <row r="18" spans="1:12">
      <c r="A18" s="7" t="s">
        <v>21</v>
      </c>
      <c r="B18" s="28"/>
      <c r="C18" s="28"/>
      <c r="D18" s="29"/>
      <c r="E18" s="26"/>
      <c r="F18" s="27"/>
      <c r="G18" s="28"/>
      <c r="H18" s="28"/>
      <c r="I18" s="29"/>
      <c r="J18" s="3"/>
      <c r="K18" s="3"/>
      <c r="L18" s="4"/>
    </row>
    <row r="19" spans="1:12">
      <c r="A19" s="8" t="s">
        <v>22</v>
      </c>
      <c r="B19" s="28">
        <v>23964</v>
      </c>
      <c r="C19" s="30">
        <v>31937</v>
      </c>
      <c r="D19" s="28">
        <f>B19-C19</f>
        <v>-7973</v>
      </c>
      <c r="E19" s="24">
        <v>5500</v>
      </c>
      <c r="F19" s="25">
        <v>8097</v>
      </c>
      <c r="G19" s="28">
        <v>1214</v>
      </c>
      <c r="H19" s="30">
        <v>1299</v>
      </c>
      <c r="I19" s="28">
        <f>G19-H19</f>
        <v>-85</v>
      </c>
      <c r="J19" s="3">
        <v>5500</v>
      </c>
      <c r="K19" s="11">
        <v>8097</v>
      </c>
      <c r="L19" s="5">
        <f>J19-K19</f>
        <v>-2597</v>
      </c>
    </row>
    <row r="20" spans="1:12">
      <c r="A20" s="8" t="s">
        <v>23</v>
      </c>
      <c r="B20" s="28">
        <v>14288</v>
      </c>
      <c r="C20" s="30">
        <v>1783</v>
      </c>
      <c r="D20" s="28">
        <f>B20-C20</f>
        <v>12505</v>
      </c>
      <c r="E20" s="24">
        <v>15000</v>
      </c>
      <c r="F20" s="25">
        <v>1800</v>
      </c>
      <c r="G20" s="28">
        <v>4742</v>
      </c>
      <c r="H20" s="30">
        <v>122</v>
      </c>
      <c r="I20" s="28">
        <f>G20-H20</f>
        <v>4620</v>
      </c>
      <c r="J20" s="3">
        <v>15000</v>
      </c>
      <c r="K20" s="11">
        <v>1800</v>
      </c>
      <c r="L20" s="5">
        <f>J20-K20</f>
        <v>13200</v>
      </c>
    </row>
    <row r="21" spans="1:12">
      <c r="A21" s="8" t="s">
        <v>24</v>
      </c>
      <c r="B21" s="28">
        <v>1741</v>
      </c>
      <c r="C21" s="30">
        <v>1723</v>
      </c>
      <c r="D21" s="28">
        <f>B21-C21</f>
        <v>18</v>
      </c>
      <c r="E21" s="24">
        <v>2800</v>
      </c>
      <c r="F21" s="25">
        <v>1857</v>
      </c>
      <c r="G21" s="28">
        <v>0</v>
      </c>
      <c r="H21" s="30">
        <v>0</v>
      </c>
      <c r="I21" s="28">
        <v>0</v>
      </c>
      <c r="J21" s="5">
        <v>2800</v>
      </c>
      <c r="K21" s="11">
        <v>1839</v>
      </c>
      <c r="L21" s="5">
        <f>J21-K21</f>
        <v>961</v>
      </c>
    </row>
    <row r="22" spans="1:12">
      <c r="A22" s="7" t="s">
        <v>25</v>
      </c>
      <c r="B22" s="29">
        <f t="shared" ref="B22:C22" si="0">SUM(B19:B21)</f>
        <v>39993</v>
      </c>
      <c r="C22" s="32">
        <f t="shared" si="0"/>
        <v>35443</v>
      </c>
      <c r="D22" s="29">
        <f>B22-C22</f>
        <v>4550</v>
      </c>
      <c r="E22" s="26">
        <f t="shared" ref="E22:F22" si="1">SUM(E19:E21)</f>
        <v>23300</v>
      </c>
      <c r="F22" s="27">
        <f t="shared" si="1"/>
        <v>11754</v>
      </c>
      <c r="G22" s="29">
        <f>SUM(G19:G21)</f>
        <v>5956</v>
      </c>
      <c r="H22" s="32">
        <f>SUM(H19:H21)</f>
        <v>1421</v>
      </c>
      <c r="I22" s="29">
        <f>SUM(I19:I21)</f>
        <v>4535</v>
      </c>
      <c r="J22" s="4">
        <f>SUM(J19:J21)</f>
        <v>23300</v>
      </c>
      <c r="K22" s="14">
        <f>SUM(K19:K21)</f>
        <v>11736</v>
      </c>
      <c r="L22" s="4">
        <f>J22-K22</f>
        <v>11564</v>
      </c>
    </row>
    <row r="23" spans="1:12">
      <c r="A23" s="9"/>
      <c r="I23" s="29"/>
      <c r="J23" s="3"/>
      <c r="K23" s="11"/>
      <c r="L23" s="4"/>
    </row>
    <row r="24" spans="1:12">
      <c r="A24" s="7" t="s">
        <v>26</v>
      </c>
      <c r="B24" s="28"/>
      <c r="C24" s="30"/>
      <c r="D24" s="29"/>
      <c r="E24" s="26"/>
      <c r="F24" s="27"/>
      <c r="G24" s="28"/>
      <c r="H24" s="30"/>
      <c r="I24" s="29"/>
      <c r="J24" s="3"/>
      <c r="K24" s="11"/>
      <c r="L24" s="4"/>
    </row>
    <row r="25" spans="1:12">
      <c r="A25" s="8" t="s">
        <v>31</v>
      </c>
      <c r="B25" s="28">
        <v>41923</v>
      </c>
      <c r="C25" s="30">
        <v>21290</v>
      </c>
      <c r="D25" s="28">
        <f>SUM(B25-C25)</f>
        <v>20633</v>
      </c>
      <c r="E25" s="24">
        <v>23850</v>
      </c>
      <c r="F25" s="25">
        <v>14031</v>
      </c>
      <c r="G25" s="28">
        <v>0</v>
      </c>
      <c r="H25" s="30">
        <v>0</v>
      </c>
      <c r="I25" s="28">
        <v>0</v>
      </c>
      <c r="J25" s="3">
        <f>7950*3</f>
        <v>23850</v>
      </c>
      <c r="K25" s="11">
        <v>13722</v>
      </c>
      <c r="L25" s="5">
        <f t="shared" ref="L25:L29" si="2">J25-K25</f>
        <v>10128</v>
      </c>
    </row>
    <row r="26" spans="1:12">
      <c r="A26" s="8" t="s">
        <v>32</v>
      </c>
      <c r="B26" s="28">
        <v>3770</v>
      </c>
      <c r="C26" s="30">
        <v>4011</v>
      </c>
      <c r="D26" s="28">
        <f>B26-C26</f>
        <v>-241</v>
      </c>
      <c r="E26" s="24">
        <v>22305</v>
      </c>
      <c r="F26" s="25">
        <v>13638</v>
      </c>
      <c r="G26" s="28">
        <v>0</v>
      </c>
      <c r="H26" s="30">
        <v>0</v>
      </c>
      <c r="I26" s="28">
        <v>0</v>
      </c>
      <c r="J26" s="3">
        <f>7435*3</f>
        <v>22305</v>
      </c>
      <c r="K26" s="11">
        <v>13347</v>
      </c>
      <c r="L26" s="5">
        <f t="shared" si="2"/>
        <v>8958</v>
      </c>
    </row>
    <row r="27" spans="1:12">
      <c r="A27" s="8" t="s">
        <v>27</v>
      </c>
      <c r="B27" s="28">
        <v>117658</v>
      </c>
      <c r="C27" s="30">
        <v>100707</v>
      </c>
      <c r="D27" s="28">
        <f>SUM(B27-C27)</f>
        <v>16951</v>
      </c>
      <c r="E27" s="24">
        <v>103913</v>
      </c>
      <c r="F27" s="25">
        <v>103893</v>
      </c>
      <c r="G27" s="28">
        <v>110637</v>
      </c>
      <c r="H27" s="30">
        <v>84467</v>
      </c>
      <c r="I27" s="28">
        <f>G27-H27</f>
        <v>26170</v>
      </c>
      <c r="J27" s="3">
        <v>103913</v>
      </c>
      <c r="K27" s="11">
        <v>102542</v>
      </c>
      <c r="L27" s="5">
        <f t="shared" si="2"/>
        <v>1371</v>
      </c>
    </row>
    <row r="28" spans="1:12">
      <c r="A28" s="8" t="s">
        <v>28</v>
      </c>
      <c r="B28" s="28">
        <v>0</v>
      </c>
      <c r="C28" s="30">
        <v>247</v>
      </c>
      <c r="D28" s="28">
        <f>SUM(B28-C28)</f>
        <v>-247</v>
      </c>
      <c r="E28" s="24">
        <v>22800</v>
      </c>
      <c r="F28" s="25">
        <v>14508</v>
      </c>
      <c r="G28" s="28">
        <v>0</v>
      </c>
      <c r="H28" s="30">
        <v>0</v>
      </c>
      <c r="I28" s="28">
        <v>0</v>
      </c>
      <c r="J28" s="5">
        <v>22800</v>
      </c>
      <c r="K28" s="11">
        <v>14360</v>
      </c>
      <c r="L28" s="5">
        <f t="shared" si="2"/>
        <v>8440</v>
      </c>
    </row>
    <row r="29" spans="1:12">
      <c r="A29" s="8" t="s">
        <v>30</v>
      </c>
      <c r="B29" s="28">
        <v>32613</v>
      </c>
      <c r="C29" s="30">
        <v>8995</v>
      </c>
      <c r="D29" s="28">
        <f>SUM(B29-C29)</f>
        <v>23618</v>
      </c>
      <c r="E29" s="24">
        <v>69900</v>
      </c>
      <c r="F29" s="25">
        <v>29074</v>
      </c>
      <c r="G29" s="28">
        <v>9645</v>
      </c>
      <c r="H29" s="30">
        <v>2521</v>
      </c>
      <c r="I29" s="28">
        <f>G29-H29</f>
        <v>7124</v>
      </c>
      <c r="J29" s="5">
        <v>69900</v>
      </c>
      <c r="K29" s="12">
        <v>28620</v>
      </c>
      <c r="L29" s="5">
        <f t="shared" si="2"/>
        <v>41280</v>
      </c>
    </row>
    <row r="30" spans="1:12">
      <c r="A30" s="7" t="s">
        <v>25</v>
      </c>
      <c r="B30" s="38">
        <f t="shared" ref="B30:K30" si="3">SUM(B25:B29)</f>
        <v>195964</v>
      </c>
      <c r="C30" s="32">
        <f t="shared" si="3"/>
        <v>135250</v>
      </c>
      <c r="D30" s="29">
        <f t="shared" si="3"/>
        <v>60714</v>
      </c>
      <c r="E30" s="26">
        <f t="shared" si="3"/>
        <v>242768</v>
      </c>
      <c r="F30" s="27">
        <f t="shared" si="3"/>
        <v>175144</v>
      </c>
      <c r="G30" s="37">
        <f t="shared" si="3"/>
        <v>120282</v>
      </c>
      <c r="H30" s="32">
        <f t="shared" si="3"/>
        <v>86988</v>
      </c>
      <c r="I30" s="29">
        <f t="shared" si="3"/>
        <v>33294</v>
      </c>
      <c r="J30" s="4">
        <f t="shared" si="3"/>
        <v>242768</v>
      </c>
      <c r="K30" s="14">
        <f t="shared" si="3"/>
        <v>172591</v>
      </c>
      <c r="L30" s="4">
        <f>J30-K30</f>
        <v>70177</v>
      </c>
    </row>
    <row r="31" spans="1:12">
      <c r="A31" s="7"/>
      <c r="B31" s="29"/>
      <c r="C31" s="32"/>
      <c r="D31" s="29"/>
      <c r="G31" s="28"/>
      <c r="H31" s="30"/>
      <c r="I31" s="29"/>
      <c r="J31" s="4"/>
      <c r="K31" s="4"/>
      <c r="L31" s="4"/>
    </row>
    <row r="32" spans="1:12">
      <c r="A32" s="7"/>
      <c r="B32" s="29"/>
      <c r="C32" s="39"/>
      <c r="D32" s="29"/>
      <c r="G32" s="29"/>
      <c r="H32" s="32"/>
      <c r="I32" s="29"/>
      <c r="J32" s="4"/>
      <c r="K32" s="4"/>
      <c r="L32" s="4"/>
    </row>
    <row r="33" spans="1:12">
      <c r="A33" s="7" t="s">
        <v>29</v>
      </c>
      <c r="B33" s="29">
        <f>SUM(B16+B22+B30)</f>
        <v>429798</v>
      </c>
      <c r="C33" s="29">
        <f>SUM(C16+C22+C30)</f>
        <v>437696</v>
      </c>
      <c r="D33" s="29">
        <f>B33-C33</f>
        <v>-7898</v>
      </c>
      <c r="E33" s="26">
        <f>E16+E22+E30</f>
        <v>467766</v>
      </c>
      <c r="F33" s="27">
        <f>F16+F22+F30</f>
        <v>464678</v>
      </c>
      <c r="G33" s="29">
        <f>G16+G22+G30</f>
        <v>172159</v>
      </c>
      <c r="H33" s="29">
        <f>H16+H22+H30</f>
        <v>148106</v>
      </c>
      <c r="I33" s="29">
        <f>SUM(I16+I22+I30)</f>
        <v>24053</v>
      </c>
      <c r="J33" s="4">
        <f>(J16+J22+J30)</f>
        <v>467766</v>
      </c>
      <c r="K33" s="14">
        <f>(K16+K22+K30)</f>
        <v>466417</v>
      </c>
      <c r="L33" s="2">
        <f>(J33-K33)</f>
        <v>1349</v>
      </c>
    </row>
    <row r="34" spans="1:12">
      <c r="A34" s="7"/>
      <c r="B34" s="29"/>
      <c r="C34" s="29"/>
      <c r="D34" s="29"/>
      <c r="E34" s="26"/>
      <c r="F34" s="27"/>
      <c r="G34" s="29"/>
      <c r="H34" s="29"/>
      <c r="I34" s="1"/>
      <c r="J34" s="15"/>
      <c r="K34" s="18"/>
      <c r="L34" s="1"/>
    </row>
    <row r="35" spans="1:12">
      <c r="A35" s="1"/>
      <c r="B35" s="29"/>
      <c r="C35" s="32"/>
      <c r="D35" s="29"/>
      <c r="G35" s="29"/>
      <c r="H35" s="32"/>
      <c r="I35" s="1"/>
      <c r="J35" s="16"/>
      <c r="K35" s="19"/>
      <c r="L35" s="1"/>
    </row>
    <row r="36" spans="1:12">
      <c r="A36" s="1"/>
      <c r="B36" s="1"/>
      <c r="C36" s="1"/>
      <c r="D36" s="1"/>
      <c r="E36" s="26"/>
      <c r="F36" s="27"/>
      <c r="G36" s="1"/>
      <c r="H36" s="1"/>
      <c r="I36" s="1"/>
      <c r="J36" s="16"/>
      <c r="K36" s="19"/>
      <c r="L36" s="1"/>
    </row>
    <row r="37" spans="1:12">
      <c r="A37" s="7"/>
      <c r="B37" s="15"/>
      <c r="C37" s="4"/>
      <c r="D37" s="1"/>
      <c r="E37" s="1"/>
      <c r="F37" s="18"/>
      <c r="G37" s="4"/>
      <c r="H37" s="4"/>
      <c r="I37" s="1"/>
      <c r="J37" s="15"/>
      <c r="K37" s="18"/>
      <c r="L37" s="1"/>
    </row>
    <row r="38" spans="1:12">
      <c r="A38" s="7"/>
      <c r="B38" s="15"/>
      <c r="C38" s="4"/>
      <c r="D38" s="1"/>
      <c r="E38" s="1"/>
      <c r="F38" s="18"/>
      <c r="G38" s="4"/>
      <c r="H38" s="4"/>
      <c r="I38" s="1"/>
      <c r="J38" s="15"/>
      <c r="K38" s="18"/>
      <c r="L38" s="1"/>
    </row>
    <row r="39" spans="1:12">
      <c r="A39" s="7"/>
      <c r="B39" s="5"/>
      <c r="C39" s="1"/>
      <c r="D39" s="1"/>
      <c r="E39" s="1"/>
      <c r="F39" s="5"/>
      <c r="G39" s="1"/>
      <c r="H39" s="1"/>
      <c r="I39" s="1"/>
      <c r="J39" s="5"/>
      <c r="K39" s="5"/>
      <c r="L39" s="1"/>
    </row>
    <row r="40" spans="1:12">
      <c r="A40" s="7"/>
      <c r="B40" s="5"/>
      <c r="C40" s="1"/>
      <c r="D40" s="1"/>
      <c r="E40" s="1"/>
      <c r="F40" s="5"/>
      <c r="G40" s="1"/>
      <c r="H40" s="1"/>
      <c r="I40" s="1"/>
      <c r="J40" s="5"/>
      <c r="K40" s="5"/>
      <c r="L40" s="1"/>
    </row>
    <row r="41" spans="1:12">
      <c r="A41" s="7"/>
      <c r="B41" s="5"/>
      <c r="C41" s="1"/>
      <c r="D41" s="1"/>
      <c r="E41" s="1"/>
      <c r="F41" s="5"/>
      <c r="G41" s="1"/>
      <c r="H41" s="1"/>
      <c r="I41" s="1"/>
      <c r="J41" s="5"/>
      <c r="K41" s="5"/>
      <c r="L41" s="1"/>
    </row>
    <row r="42" spans="1:12">
      <c r="A42" s="7"/>
      <c r="B42" s="5"/>
      <c r="C42" s="1"/>
      <c r="D42" s="1"/>
      <c r="E42" s="1"/>
      <c r="F42" s="5"/>
      <c r="G42" s="1"/>
      <c r="H42" s="1"/>
      <c r="I42" s="1"/>
      <c r="J42" s="5"/>
      <c r="K42" s="5"/>
      <c r="L42" s="1"/>
    </row>
    <row r="43" spans="1:12">
      <c r="A43" s="7"/>
      <c r="B43" s="5"/>
      <c r="C43" s="1"/>
      <c r="D43" s="1"/>
      <c r="E43" s="1"/>
      <c r="F43" s="5"/>
      <c r="G43" s="1"/>
      <c r="H43" s="1"/>
      <c r="I43" s="1"/>
      <c r="J43" s="5"/>
      <c r="K43" s="5"/>
      <c r="L43" s="1"/>
    </row>
    <row r="44" spans="1:12">
      <c r="A44" s="6"/>
      <c r="B44" s="5"/>
      <c r="C44" s="1"/>
      <c r="D44" s="1"/>
      <c r="E44" s="1"/>
      <c r="F44" s="5"/>
      <c r="G44" s="1"/>
      <c r="H44" s="1"/>
      <c r="I44" s="1"/>
      <c r="J44" s="5"/>
      <c r="K44" s="5"/>
      <c r="L44" s="1"/>
    </row>
  </sheetData>
  <pageMargins left="0.25" right="0.25" top="0.75" bottom="0.75" header="0.3" footer="0.3"/>
  <pageSetup orientation="landscape" r:id="rId1"/>
  <headerFooter>
    <oddHeader>&amp;L&amp;"-,Bold"B2013-5&amp;C&amp;"-,Bold"2014 Draft Budget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Library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Taylor</dc:creator>
  <cp:lastModifiedBy>Mary Taylor</cp:lastModifiedBy>
  <cp:lastPrinted>2013-01-10T23:18:16Z</cp:lastPrinted>
  <dcterms:created xsi:type="dcterms:W3CDTF">2011-12-29T21:35:44Z</dcterms:created>
  <dcterms:modified xsi:type="dcterms:W3CDTF">2013-01-10T23:18:38Z</dcterms:modified>
</cp:coreProperties>
</file>