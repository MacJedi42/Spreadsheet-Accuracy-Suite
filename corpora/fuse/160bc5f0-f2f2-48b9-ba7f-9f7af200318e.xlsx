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225" windowWidth="19320" windowHeight="13620"/>
  </bookViews>
  <sheets>
    <sheet name="FTE Impacts 5.1.13 " sheetId="1" r:id="rId1"/>
    <sheet name="Formulas" sheetId="3" r:id="rId2"/>
  </sheets>
  <definedNames>
    <definedName name="_xlnm.Print_Area" localSheetId="0">'FTE Impacts 5.1.13 '!$A$1:$AA$20</definedName>
    <definedName name="_xlnm.Print_Titles" localSheetId="0">'FTE Impacts 5.1.13 '!$1:$2</definedName>
  </definedNames>
  <calcPr calcId="145621"/>
</workbook>
</file>

<file path=xl/calcChain.xml><?xml version="1.0" encoding="utf-8"?>
<calcChain xmlns="http://schemas.openxmlformats.org/spreadsheetml/2006/main">
  <c r="L9" i="1" l="1"/>
  <c r="L10" i="1"/>
  <c r="N10" i="1"/>
  <c r="L11" i="1"/>
  <c r="L12" i="1"/>
  <c r="L14" i="1" l="1"/>
  <c r="N6" i="1" l="1"/>
  <c r="N7" i="1" s="1"/>
  <c r="N8" i="1" s="1"/>
  <c r="N3" i="1" s="1"/>
  <c r="N15" i="1" s="1"/>
  <c r="N11" i="1" l="1"/>
  <c r="N5" i="1" s="1"/>
  <c r="N13" i="1" s="1"/>
  <c r="L22" i="1"/>
  <c r="N12" i="1" l="1"/>
  <c r="N4" i="1" s="1"/>
  <c r="N18" i="1" s="1"/>
  <c r="N16" i="1" s="1"/>
  <c r="N14" i="1" s="1"/>
  <c r="N9" i="1" s="1"/>
  <c r="N17" i="1" s="1"/>
  <c r="N19" i="1" s="1"/>
  <c r="N20" i="1" s="1"/>
  <c r="N21" i="1" s="1"/>
  <c r="N22" i="1" s="1"/>
  <c r="L4" i="1"/>
  <c r="L7" i="1"/>
  <c r="L8" i="1"/>
  <c r="L18" i="1"/>
  <c r="L3" i="1"/>
  <c r="L15" i="1"/>
  <c r="L5" i="1"/>
  <c r="L16" i="1"/>
  <c r="L13" i="1"/>
  <c r="L19" i="1"/>
  <c r="L21" i="1"/>
  <c r="L20" i="1"/>
  <c r="L6" i="1"/>
</calcChain>
</file>

<file path=xl/sharedStrings.xml><?xml version="1.0" encoding="utf-8"?>
<sst xmlns="http://schemas.openxmlformats.org/spreadsheetml/2006/main" count="266" uniqueCount="209">
  <si>
    <t>PRIORITY</t>
  </si>
  <si>
    <t>PROJECT</t>
  </si>
  <si>
    <t>NEW GSF</t>
  </si>
  <si>
    <t>REHAB GSF</t>
  </si>
  <si>
    <t>AMOUNT</t>
  </si>
  <si>
    <t>MAJOR AMENITIES</t>
  </si>
  <si>
    <t>Central</t>
  </si>
  <si>
    <t>Cato</t>
  </si>
  <si>
    <t>Levine</t>
  </si>
  <si>
    <t>Merancas</t>
  </si>
  <si>
    <t>Harper</t>
  </si>
  <si>
    <t>Harris</t>
  </si>
  <si>
    <t>Land Acquisition</t>
  </si>
  <si>
    <t>Structured Parking Spaces</t>
  </si>
  <si>
    <t>Student Success Center</t>
  </si>
  <si>
    <t>Campus Expansion</t>
  </si>
  <si>
    <t>800 Student, Visitor, and Handicap Parking Spaces</t>
  </si>
  <si>
    <t>1,000 Student, Visitor, and Handicap Parking Spaces</t>
  </si>
  <si>
    <t>Students and Community</t>
  </si>
  <si>
    <t>Terrell Building Renovation &amp; Expansion</t>
  </si>
  <si>
    <t>Library Services and Collection Expansion</t>
  </si>
  <si>
    <t>Expand Central High Building + Parking Deck</t>
  </si>
  <si>
    <t>Classrooms, Labs, Offices, Storage</t>
  </si>
  <si>
    <t>Land Purchase - Owl Bldg., Education Center Annex Bldg. and perhaps a third property adjacent to the EC Bldg. (Woodies)</t>
  </si>
  <si>
    <t>Land Transfer (from County) and Purchase</t>
  </si>
  <si>
    <t>Land Acquisition (not sure where or what for?)</t>
  </si>
  <si>
    <t>RUNNING TOTAL</t>
  </si>
  <si>
    <t>Add Healthcare/Nursing Programs, Homeland Security Village, Public Safety Middle College, and Driving Pad?</t>
  </si>
  <si>
    <t>Surface Parking in Short-Term (also use as Driving Pad for various types of Training?)</t>
  </si>
  <si>
    <t>Orientation/Intake Area, GED Testing Center, Classrooms, Labs, Offices, Storage</t>
  </si>
  <si>
    <t>Classrooms, Automotive Labs, Offices, Storage Warehouse</t>
  </si>
  <si>
    <t>Classrooms, Customized Labs, Offices, Storage</t>
  </si>
  <si>
    <t xml:space="preserve">Centralized Admin. Services (e-Procurement, etc…) </t>
  </si>
  <si>
    <t>PROGRAMS/ CONSTITUENTS TO BE SERVED</t>
  </si>
  <si>
    <t>N/A</t>
  </si>
  <si>
    <t>Cato Middle College</t>
  </si>
  <si>
    <t>City View – 10,472 sq. ft.</t>
  </si>
  <si>
    <t>Levine Campus – 273,922 sq. ft.</t>
  </si>
  <si>
    <t>Merancas Campus – 155,115 sq. ft.</t>
  </si>
  <si>
    <t>Cato Campus – 102,140 sq. ft.</t>
  </si>
  <si>
    <t>Harper Campus – 136,105 sq. ft.</t>
  </si>
  <si>
    <t>Harris Campus – 116,480 sq. ft.</t>
  </si>
  <si>
    <t>WTVI Sites – 51,842 sq. ft.</t>
  </si>
  <si>
    <t>ADDITIONAL STUDENTS TO BE SERVED BY ADDED CAPACITY</t>
  </si>
  <si>
    <t>Notes on current GSF:</t>
  </si>
  <si>
    <r>
      <t xml:space="preserve">Sciences Program  Expansion and provide labs for new </t>
    </r>
    <r>
      <rPr>
        <b/>
        <sz val="11"/>
        <rFont val="Arial"/>
        <family val="2"/>
      </rPr>
      <t xml:space="preserve">Hawthorne Healthcare Academy  </t>
    </r>
  </si>
  <si>
    <r>
      <t xml:space="preserve">Baking and Pastry Arts, Dental Assisting, and Early Childhood Program Expansion, Re-Careering Center Expansion, </t>
    </r>
    <r>
      <rPr>
        <b/>
        <sz val="11"/>
        <rFont val="Arial"/>
        <family val="2"/>
      </rPr>
      <t>add Intermodal Program?</t>
    </r>
  </si>
  <si>
    <r>
      <t xml:space="preserve">Expand </t>
    </r>
    <r>
      <rPr>
        <b/>
        <sz val="11"/>
        <rFont val="Arial"/>
        <family val="2"/>
      </rPr>
      <t xml:space="preserve">Social Services </t>
    </r>
    <r>
      <rPr>
        <sz val="11"/>
        <rFont val="Arial"/>
        <family val="2"/>
      </rPr>
      <t>(Basic Skills, Adult HS, GED Testing Center)</t>
    </r>
  </si>
  <si>
    <t>TOTAL INCREASE IN GSF</t>
  </si>
  <si>
    <t xml:space="preserve">CAMPUS </t>
  </si>
  <si>
    <t>Giles Science Building Renovation</t>
  </si>
  <si>
    <t>Land Acquisition and Campus        Phase 3 Expansion</t>
  </si>
  <si>
    <t>2 and 8</t>
  </si>
  <si>
    <t>4 and 10</t>
  </si>
  <si>
    <t>5 and 14</t>
  </si>
  <si>
    <t>Campus Phase 4 Expansion</t>
  </si>
  <si>
    <t>Centralized Student Support Services</t>
  </si>
  <si>
    <t>Supports FTE Growth</t>
  </si>
  <si>
    <t>Adv. Tech. Center Building Renovation</t>
  </si>
  <si>
    <t>New Basic Skills Literacy Center</t>
  </si>
  <si>
    <t>Hendrick Automotive Building Expansion</t>
  </si>
  <si>
    <t>Hagemeyer LRC Building Renovation</t>
  </si>
  <si>
    <t>Kratt Building Replacement</t>
  </si>
  <si>
    <t>Expand/Add High Demand Healthcare Programs</t>
  </si>
  <si>
    <t>3 and 7</t>
  </si>
  <si>
    <t xml:space="preserve">Land Acquisition and New Classroom Bldg. </t>
  </si>
  <si>
    <t>Classrooms, 150 Lab Stations (68% increase), Offices, Storage</t>
  </si>
  <si>
    <t>140 FTE CPCC      105 FTE CMS</t>
  </si>
  <si>
    <t>87 FTE CPCC           50 FTE CMS</t>
  </si>
  <si>
    <t>1333 FTE CPCC</t>
  </si>
  <si>
    <t xml:space="preserve">667 FTE CPCC       412 FTE CMS </t>
  </si>
  <si>
    <t>500 FTE CPCC       250 FTE CMS</t>
  </si>
  <si>
    <r>
      <t xml:space="preserve">Re-Purpose Building Space for General Education, </t>
    </r>
    <r>
      <rPr>
        <b/>
        <sz val="11"/>
        <rFont val="Arial"/>
        <family val="2"/>
      </rPr>
      <t xml:space="preserve">C&amp;CP, </t>
    </r>
    <r>
      <rPr>
        <sz val="11"/>
        <rFont val="Arial"/>
        <family val="2"/>
      </rPr>
      <t>and</t>
    </r>
    <r>
      <rPr>
        <b/>
        <sz val="11"/>
        <rFont val="Arial"/>
        <family val="2"/>
      </rPr>
      <t xml:space="preserve">  College Articulation Agreement (CAA) </t>
    </r>
    <r>
      <rPr>
        <sz val="11"/>
        <rFont val="Arial"/>
        <family val="2"/>
      </rPr>
      <t xml:space="preserve">classes </t>
    </r>
  </si>
  <si>
    <t>1000 FTE CPCC</t>
  </si>
  <si>
    <r>
      <t xml:space="preserve">Formulas </t>
    </r>
    <r>
      <rPr>
        <sz val="11"/>
        <color theme="1"/>
        <rFont val="Cambria"/>
        <family val="1"/>
      </rPr>
      <t>(Revised 5-1-13)</t>
    </r>
  </si>
  <si>
    <r>
      <t xml:space="preserve">Giles Science Bldg. Renovation – </t>
    </r>
    <r>
      <rPr>
        <sz val="11"/>
        <color theme="1"/>
        <rFont val="Cambria"/>
        <family val="1"/>
      </rPr>
      <t>Additional 21,000 GSF; 60% = 12,600 ASF</t>
    </r>
  </si>
  <si>
    <t>12,600 divided by 90 Assignable Square Feet (County Goal) = 140 CPCC FTE</t>
  </si>
  <si>
    <t>140 FTEs X 3 = 420 CPCC Students Total</t>
  </si>
  <si>
    <t>50% = 210 PT CMS Students</t>
  </si>
  <si>
    <t>50% = 105 FT CMS Students</t>
  </si>
  <si>
    <r>
      <t>Cato Campus</t>
    </r>
    <r>
      <rPr>
        <sz val="11"/>
        <color theme="1"/>
        <rFont val="Cambria"/>
        <family val="1"/>
      </rPr>
      <t xml:space="preserve"> - Additional 100,000 GSF = 60,000 ASF</t>
    </r>
  </si>
  <si>
    <t xml:space="preserve">60,000 divided by 90 ASF = 667 CPCC FTE </t>
  </si>
  <si>
    <t>667 FTEs X 3 = 2000 CPCC Students Total</t>
  </si>
  <si>
    <t>If we expanded the Middle College, then CMS’ portion would 400 FTE</t>
  </si>
  <si>
    <r>
      <t>New Classroom Bldg. at Charlottetown</t>
    </r>
    <r>
      <rPr>
        <sz val="11"/>
        <color theme="1"/>
        <rFont val="Cambria"/>
        <family val="1"/>
      </rPr>
      <t xml:space="preserve"> </t>
    </r>
    <r>
      <rPr>
        <b/>
        <sz val="11"/>
        <color theme="1"/>
        <rFont val="Cambria"/>
        <family val="1"/>
      </rPr>
      <t>for ATC Center</t>
    </r>
    <r>
      <rPr>
        <sz val="11"/>
        <color theme="1"/>
        <rFont val="Cambria"/>
        <family val="1"/>
      </rPr>
      <t xml:space="preserve"> = Additional 100,000 GSF = 60,000 ASF</t>
    </r>
  </si>
  <si>
    <t>60,000 divided by 90 ASF = 667 CPCC FTE</t>
  </si>
  <si>
    <t>667 FTEs X 3 = 2000 CPCC Students</t>
  </si>
  <si>
    <t>To reach the CMS goal of 1600 CCP students, would need to add 836 PT CMS students</t>
  </si>
  <si>
    <t>50% = 412 FT CMS Students</t>
  </si>
  <si>
    <r>
      <t>Levine Campus</t>
    </r>
    <r>
      <rPr>
        <sz val="11"/>
        <color theme="1"/>
        <rFont val="Cambria"/>
        <family val="1"/>
      </rPr>
      <t xml:space="preserve"> - Additional 120,000 GSF = 72,000 ASF</t>
    </r>
  </si>
  <si>
    <t xml:space="preserve">72,000 divided by 90 ASF = 800 CPCC FTE </t>
  </si>
  <si>
    <t>800 FTEs X 3 = 2400 CPCC Students Total</t>
  </si>
  <si>
    <t xml:space="preserve">If we added a Middle College, then CMS’ portion would be 400 FTE </t>
  </si>
  <si>
    <r>
      <t>Merancas Campus</t>
    </r>
    <r>
      <rPr>
        <sz val="11"/>
        <color theme="1"/>
        <rFont val="Cambria"/>
        <family val="1"/>
      </rPr>
      <t xml:space="preserve"> - Additional 100,000 GSF = 60,000 ASF</t>
    </r>
  </si>
  <si>
    <t>If we added a Middle College or new Academies, then CMS’ portion would be 400 FTE</t>
  </si>
  <si>
    <r>
      <t xml:space="preserve">ATC Building Renovation – </t>
    </r>
    <r>
      <rPr>
        <sz val="11"/>
        <color theme="1"/>
        <rFont val="Cambria"/>
        <family val="1"/>
      </rPr>
      <t>Additional 75,000 GSF = 45,000 ASF</t>
    </r>
  </si>
  <si>
    <t>45,000 divided by 90 ASF = 500 CPCC FTE</t>
  </si>
  <si>
    <t>500 FTEs X 3 = 1500 CPCC Students Total</t>
  </si>
  <si>
    <t>50% = 250 FTEs for CMS</t>
  </si>
  <si>
    <r>
      <t>New Basic Skills Literacy Center</t>
    </r>
    <r>
      <rPr>
        <sz val="11"/>
        <color theme="1"/>
        <rFont val="Cambria"/>
        <family val="1"/>
      </rPr>
      <t xml:space="preserve"> = Additional 200,000 GSF = 120,000 ASF</t>
    </r>
  </si>
  <si>
    <t xml:space="preserve">120,000 divided by 90 ASF = 1333 CPCC FTE </t>
  </si>
  <si>
    <t>1333 FTEs X 3 = 4000 Total CPCC Students</t>
  </si>
  <si>
    <t xml:space="preserve">28,456 divided by 90 ASF = 316 CPCC FTE </t>
  </si>
  <si>
    <t xml:space="preserve">316 FTEs X 3 = 948 CPCC Students Total </t>
  </si>
  <si>
    <r>
      <t>Harper Campus</t>
    </r>
    <r>
      <rPr>
        <sz val="11"/>
        <color theme="1"/>
        <rFont val="Cambria"/>
        <family val="1"/>
      </rPr>
      <t xml:space="preserve"> - Additional 150,000 GSF = 90,000 ASF</t>
    </r>
  </si>
  <si>
    <t xml:space="preserve">90,000 divided by 90 ASF = 1000 CPCC FTE </t>
  </si>
  <si>
    <t>1000 FTEs X 3 = 3000 CPCC Students Total</t>
  </si>
  <si>
    <t>If we added a Middle College, then CMS’ portion would be 400 FTE</t>
  </si>
  <si>
    <r>
      <t>Kratt Building</t>
    </r>
    <r>
      <rPr>
        <sz val="11"/>
        <color theme="1"/>
        <rFont val="Cambria"/>
        <family val="1"/>
      </rPr>
      <t xml:space="preserve"> = Additional 150,000 GSF; 60% = 90,000 ASF</t>
    </r>
  </si>
  <si>
    <t>1000 FTEs X 3 = 3000 Total Students</t>
  </si>
  <si>
    <r>
      <t>Hendrick Automotive Expansion</t>
    </r>
    <r>
      <rPr>
        <sz val="11"/>
        <color theme="1"/>
        <rFont val="Cambria"/>
        <family val="1"/>
      </rPr>
      <t xml:space="preserve"> </t>
    </r>
    <r>
      <rPr>
        <b/>
        <sz val="11"/>
        <color theme="1"/>
        <rFont val="Cambria"/>
        <family val="1"/>
      </rPr>
      <t>at Levine Campus</t>
    </r>
    <r>
      <rPr>
        <sz val="11"/>
        <color theme="1"/>
        <rFont val="Cambria"/>
        <family val="1"/>
      </rPr>
      <t xml:space="preserve"> = 34,426 current GSF + 13,000 additional GSF = 47,426; </t>
    </r>
  </si>
  <si>
    <t>60% = 28,456 ASF</t>
  </si>
  <si>
    <t xml:space="preserve">667 FTE CPCC       500 FTE CMS </t>
  </si>
  <si>
    <t>800 FTE CPCC      500 FTE CMS</t>
  </si>
  <si>
    <t>667 FTE CPCC      500 FTE CMS</t>
  </si>
  <si>
    <t>1000 FTE CPCC     500 FTE CMS</t>
  </si>
  <si>
    <r>
      <t xml:space="preserve">Expand </t>
    </r>
    <r>
      <rPr>
        <b/>
        <sz val="11"/>
        <rFont val="Arial"/>
        <family val="2"/>
      </rPr>
      <t>Middle College and CCP Programs</t>
    </r>
    <r>
      <rPr>
        <sz val="11"/>
        <rFont val="Arial"/>
        <family val="2"/>
      </rPr>
      <t>, Professional Services Programs, and Horticulture/Turfgrass Mtg. Programs</t>
    </r>
  </si>
  <si>
    <r>
      <rPr>
        <b/>
        <sz val="11"/>
        <rFont val="Arial"/>
        <family val="2"/>
      </rPr>
      <t xml:space="preserve">Offer Middle College and expand CCP Programs, </t>
    </r>
    <r>
      <rPr>
        <sz val="11"/>
        <rFont val="Arial"/>
        <family val="2"/>
      </rPr>
      <t>Add Math Emporium and Gen Ed Classes,  Add Science Labs</t>
    </r>
  </si>
  <si>
    <r>
      <t xml:space="preserve">Expand ATC/High Tech Mfg. Related Technologies  Programs and </t>
    </r>
    <r>
      <rPr>
        <b/>
        <sz val="11"/>
        <rFont val="Arial"/>
        <family val="2"/>
      </rPr>
      <t>Career and College Promise (CCP) Programs</t>
    </r>
  </si>
  <si>
    <r>
      <t>Expand Automotive Training Program for BMW/Honda Programs and</t>
    </r>
    <r>
      <rPr>
        <b/>
        <sz val="11"/>
        <rFont val="Arial"/>
        <family val="2"/>
      </rPr>
      <t xml:space="preserve"> </t>
    </r>
    <r>
      <rPr>
        <sz val="11"/>
        <rFont val="Arial"/>
        <family val="2"/>
      </rPr>
      <t xml:space="preserve">offer </t>
    </r>
    <r>
      <rPr>
        <b/>
        <sz val="11"/>
        <rFont val="Arial"/>
        <family val="2"/>
      </rPr>
      <t>Apprenticeship Program</t>
    </r>
  </si>
  <si>
    <r>
      <t xml:space="preserve">Transport Systems Technologies and First Responder Programs Expansion, add a </t>
    </r>
    <r>
      <rPr>
        <b/>
        <sz val="11"/>
        <rFont val="Arial"/>
        <family val="2"/>
      </rPr>
      <t>Middle College and/or new CMS Academies</t>
    </r>
  </si>
  <si>
    <t>If we expanded the Career and College Promise Programs then CMS’ portion would be 100 FTE</t>
  </si>
  <si>
    <t>(50% of 200 PT CMS Students = 100 FT CMS Students)</t>
  </si>
  <si>
    <t>For a total of 500 FT CMS Students</t>
  </si>
  <si>
    <t>If we added an Apprenticeship Program then CMS’ portion would be 50 FTE</t>
  </si>
  <si>
    <r>
      <t xml:space="preserve">Assumption:  </t>
    </r>
    <r>
      <rPr>
        <sz val="11"/>
        <color theme="1"/>
        <rFont val="Cambria"/>
        <family val="1"/>
      </rPr>
      <t>CMS will receive legislative approval to increase cap on Middle Colleges to 400.</t>
    </r>
  </si>
  <si>
    <t>Land Acquisition and Campus Phase 4 Expansion</t>
  </si>
  <si>
    <t>Campus Phase 3 Expansion</t>
  </si>
  <si>
    <t>NEW SQUARE FOOTAGE</t>
  </si>
  <si>
    <t>Classrooms and 150 Lab Stations   (68% increase)</t>
  </si>
  <si>
    <t>Didn't make Bond Package but will leave on list for Central Campus Master Plan</t>
  </si>
  <si>
    <t>FY 2015 - Land FY 2016 - Phase 3 Expansion</t>
  </si>
  <si>
    <t>FY 2015 - Land FY 2017 - New Classroom Bldg.</t>
  </si>
  <si>
    <t>FY 2015 - Land FY 2018 - Phase 4 Expansion</t>
  </si>
  <si>
    <t>FY 2015</t>
  </si>
  <si>
    <t>FY 2016</t>
  </si>
  <si>
    <t>FY 2017</t>
  </si>
  <si>
    <t>FY 2018</t>
  </si>
  <si>
    <t xml:space="preserve">FY 2017 </t>
  </si>
  <si>
    <t>TIMEFRAME</t>
  </si>
  <si>
    <t># Computer Labs</t>
  </si>
  <si>
    <t># Other Labs</t>
  </si>
  <si>
    <t># Offices</t>
  </si>
  <si>
    <t>Storage</t>
  </si>
  <si>
    <t>Approved for Bond Referendum</t>
  </si>
  <si>
    <t>Other Space Needed</t>
  </si>
  <si>
    <t>Comments</t>
  </si>
  <si>
    <t># General Classrooms</t>
  </si>
  <si>
    <t># Smart Classrooms</t>
  </si>
  <si>
    <t>DEAN</t>
  </si>
  <si>
    <t>Edith</t>
  </si>
  <si>
    <t>Chris</t>
  </si>
  <si>
    <t>Tamara</t>
  </si>
  <si>
    <t>Janet</t>
  </si>
  <si>
    <t>Jay</t>
  </si>
  <si>
    <t>Kathi</t>
  </si>
  <si>
    <t>Tamara and Edith</t>
  </si>
  <si>
    <t>Edith and Paul</t>
  </si>
  <si>
    <t>ESS</t>
  </si>
  <si>
    <t>1000 square feet</t>
  </si>
  <si>
    <t>65 for faculty and staff; 4 rooms with cubicles/6 per room; 4 offices for social service partners</t>
  </si>
  <si>
    <t>Large student services area that would include intake center; advising center; space for offices for DHHS, Charlotte Works, and other agency partners; student union and vendeteria or restaurant; 2 large conference rooms; 2 smaller conference rooms; faculty and staff break room; a training/PD room that can accommodate up to 100, a library/study room.</t>
  </si>
  <si>
    <t>DRE Emporium/Labs for taping COM speeches</t>
  </si>
  <si>
    <t>150--perhaps swing space given TE renovation</t>
  </si>
  <si>
    <t>Possible space for Digital Journalism/Multimedia Production and related programs; Business &amp; Accounting and Behavioral &amp; Social Sciences unless they relocate to another campus</t>
  </si>
  <si>
    <t>Relocate Re-Careering Services from Harris to Central</t>
  </si>
  <si>
    <t>4 seminar style classrooms</t>
  </si>
  <si>
    <t>duplicate current computer lab</t>
  </si>
  <si>
    <t>ASL interpreting lab</t>
  </si>
  <si>
    <t>40 more offices plus 12 faculty touchdown areas</t>
  </si>
  <si>
    <t>We will  need to renovate space in Cato I, Cato II and in Horticulture to meet these need and to rationalize existing space to work with Cato III.  For example, Gloria has requested more library space which will require renovation of the Cato library and law library to provide more study space and library instruction classrooms</t>
  </si>
  <si>
    <t>gym/weight room plus large multi-purpose exercise room plus outdoor court, large auditorium, kitchen and storage space for expanded food service options, student food pantry, student orientation lab, advising area, student and community event/conference room, second, larger student lounge/study area, 10 group study areas/student touchdown space, 4 smaller and one larger conference room, First Year Experience Intake area with 2 offices,  Middle College teacher work space, mail room, larger bookstore,  security satellite office in new building           In Hort bldg - head  house for plant prep,</t>
  </si>
  <si>
    <t>6 total conference rooms (2 large; 4 small conference/                                                      student study)                Student Life/Student Activity Center                            Faculty Lounge                                    Fine Arts Flex Space (400) Teaching Kitchen                                      3 total instructor workrooms</t>
  </si>
  <si>
    <t>Middle college - 10</t>
  </si>
  <si>
    <t>5 regular , 1 computer blueprint reading lab</t>
  </si>
  <si>
    <t>3- AHR, 3 ELC, CMT 1, WLD 5, NDE 1, GRD 1, GRA 1 (4000sf), StC (2000 sf), Library (2000sf), GED (2000sf)</t>
  </si>
  <si>
    <t>2000sf</t>
  </si>
  <si>
    <t>major remodeling of existing space required, student spaces are also needed</t>
  </si>
  <si>
    <t>program -15, gen ed - 20, support - 8, PT touch down - 6</t>
  </si>
  <si>
    <t>student life- 1500 sf, food &amp; sitting - 1500 sf, book store- 500 sf, registration/ESS 1000sf, test center- 500sf, plumbing lab</t>
  </si>
  <si>
    <t xml:space="preserve">12 storage areas: horticulture, student life, library, dean, professional careers, ESS, business office, ASL </t>
  </si>
  <si>
    <r>
      <rPr>
        <sz val="11"/>
        <rFont val="Arial"/>
        <family val="2"/>
      </rPr>
      <t xml:space="preserve">10 total:      </t>
    </r>
    <r>
      <rPr>
        <sz val="11"/>
        <color theme="1"/>
        <rFont val="Arial"/>
        <family val="2"/>
      </rPr>
      <t xml:space="preserve">                        4 dedicated                     6 general use</t>
    </r>
  </si>
  <si>
    <r>
      <rPr>
        <sz val="11"/>
        <rFont val="Arial"/>
        <family val="2"/>
      </rPr>
      <t xml:space="preserve">7 total:    </t>
    </r>
    <r>
      <rPr>
        <sz val="11"/>
        <color theme="1"/>
        <rFont val="Arial"/>
        <family val="2"/>
      </rPr>
      <t xml:space="preserve">                           2 art                                                                                                                    5 science</t>
    </r>
  </si>
  <si>
    <r>
      <rPr>
        <sz val="11"/>
        <rFont val="Arial"/>
        <family val="2"/>
      </rPr>
      <t xml:space="preserve">77 total: </t>
    </r>
    <r>
      <rPr>
        <sz val="11"/>
        <color rgb="FFFF0000"/>
        <rFont val="Arial"/>
        <family val="2"/>
      </rPr>
      <t xml:space="preserve">            </t>
    </r>
    <r>
      <rPr>
        <sz val="11"/>
        <rFont val="Arial"/>
        <family val="2"/>
      </rPr>
      <t>Faculty  &amp; CCE</t>
    </r>
    <r>
      <rPr>
        <sz val="11"/>
        <color rgb="FFFF0000"/>
        <rFont val="Arial"/>
        <family val="2"/>
      </rPr>
      <t xml:space="preserve">             </t>
    </r>
    <r>
      <rPr>
        <sz val="11"/>
        <rFont val="Arial"/>
        <family val="2"/>
      </rPr>
      <t>Middle College?</t>
    </r>
    <r>
      <rPr>
        <sz val="11"/>
        <color rgb="FFFF0000"/>
        <rFont val="Arial"/>
        <family val="2"/>
      </rPr>
      <t xml:space="preserve">        </t>
    </r>
    <r>
      <rPr>
        <sz val="11"/>
        <rFont val="Arial"/>
        <family val="2"/>
      </rPr>
      <t>Customer Service Suite CCE</t>
    </r>
    <r>
      <rPr>
        <sz val="11"/>
        <color rgb="FFFF0000"/>
        <rFont val="Arial"/>
        <family val="2"/>
      </rPr>
      <t xml:space="preserve">                          </t>
    </r>
    <r>
      <rPr>
        <sz val="11"/>
        <color theme="1"/>
        <rFont val="Arial"/>
        <family val="2"/>
      </rPr>
      <t xml:space="preserve">            Dean's Office Suite </t>
    </r>
  </si>
  <si>
    <r>
      <rPr>
        <sz val="11"/>
        <rFont val="Arial"/>
        <family val="2"/>
      </rPr>
      <t xml:space="preserve">11 total:  </t>
    </r>
    <r>
      <rPr>
        <sz val="11"/>
        <color rgb="FFFF0000"/>
        <rFont val="Arial"/>
        <family val="2"/>
      </rPr>
      <t xml:space="preserve">                              </t>
    </r>
    <r>
      <rPr>
        <sz val="11"/>
        <rFont val="Arial"/>
        <family val="2"/>
      </rPr>
      <t xml:space="preserve">                                            1 Facilities                                            5 general                                             5 science</t>
    </r>
  </si>
  <si>
    <r>
      <rPr>
        <b/>
        <sz val="11"/>
        <rFont val="Arial"/>
        <family val="2"/>
      </rPr>
      <t>Middle College and CCP Program Expansion</t>
    </r>
    <r>
      <rPr>
        <sz val="11"/>
        <rFont val="Arial"/>
        <family val="2"/>
      </rPr>
      <t>, Construction/Applied Technologies Progam Expansion</t>
    </r>
  </si>
  <si>
    <t>1 large (&gt;50 capacity)</t>
  </si>
  <si>
    <t>Two 17,000 square feet open labs with raised floors.  One 17,000 square feet thick cement slab lab for heavy equipment, high bay portion of this ground floor lab</t>
  </si>
  <si>
    <t>10 Total: 2 Facilities, 8 General</t>
  </si>
  <si>
    <t>2 Conference rooms, 2 Student Lounge Areas,  Freight Elevator, Pull through loading dock, with adjustable height deck, Soils lab on ground floor or basement, 2 staff break rooms</t>
  </si>
  <si>
    <t xml:space="preserve">In Hort Bldg - head  house for plant prep, landscape design studio, and equipment repair shopgym/weight room plus large multi-purpose exercise room plus outdoor court, large auditorium, kitchen and storage space for expanded food service options, student food pantry, student orientation lab, advising area, student and community event/conference room, second, larger student lounge/study area, 10 group study areas/student touchdown space, 4 smaller and one larger conference room, First Year Experience Intake area with 2 offices,  Middle College teacher work space, mail room, larger bookstore,  security satellite office in new building            </t>
  </si>
  <si>
    <t>Library Services</t>
  </si>
  <si>
    <t>Centralized campus location for library services.  Adequate assignable square footage (asf) space to accommodate current and additional FTE: library instruction computer classroom, learning commons (group study area/expanded computer lab), smart collaboration rooms, quiet study rooms, office space &amp; storage</t>
  </si>
  <si>
    <t>Centralized campus location for library services. New, larger assignable square footage (asf) space  to accommodate current FTE: library Instruction computer classroom, learning commons (group study area/expanded computer lab), smart collaboration rooms, quiet study rooms, office space &amp; storage room</t>
  </si>
  <si>
    <t>Centralized campus location for library services. Adjacent campus and law library with expanded assignable square footage (asf) space to  accommodate current and additional FTE: library instruction computer classroom, learning commons (group study area/expanded computer lab), smart collaboration rooms, quiet study rooms, staff office space &amp; storage.</t>
  </si>
  <si>
    <t>Centralized campus location for library services.  New, larger assignable square footage (asf) space to accommodate current and additional FTE: library instruction computer classroom, learning commons (group study area/expanded computer lab), smart collaboration rooms, quiet study rooms, office space &amp; storage</t>
  </si>
  <si>
    <t>Classrooms, Library Services, Computer Labs, Science Labs Offices, Storage</t>
  </si>
  <si>
    <t>Classrooms,  Customized Labs, Learning Commons, Student Union, Book Store, Student Life area, One Stop Shop (Admissions, Financial Aid, Advsing, Career Services, Counseling, Orientation) Library Services, Labs (general and dedicated), Offices, Storage</t>
  </si>
  <si>
    <t>Classrooms, Customized Labs (i.e. Automation), Offices, Storage, Library Services, CCR</t>
  </si>
  <si>
    <t>10 automotive and 4 science</t>
  </si>
  <si>
    <t>20 staff/faculty/administrative</t>
  </si>
  <si>
    <t>Space for Middle College needed in addition to Learning Commons area for students book store and student life. We are also looking to create a One Stop Shop are for ESS</t>
  </si>
  <si>
    <t xml:space="preserve">Space needed for Middle College in additon to 5 Coneference rooms, Student life area, student learning area, faculty lounge, 6 faculty staff touch down areas, book store, firing range and drivingpads </t>
  </si>
  <si>
    <t>50 new classrooms for Gen Ed and Campus-based Programs (Transport Systems and Public Safety)</t>
  </si>
  <si>
    <t>21 Total: 6 dedicated and 15 general</t>
  </si>
  <si>
    <t>expanding Hendericks Center lab space and classrooms needed</t>
  </si>
  <si>
    <t>Classroom/office needs</t>
  </si>
  <si>
    <t xml:space="preserve">Prepared on 5-1-13 to Submit to County for Bond Package </t>
  </si>
  <si>
    <t>Input from the Deans  - October 2013</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</si>
</sst>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6" formatCode="&quot;$&quot;#,##0_);[Red]\(&quot;$&quot;#,##0\)"/>
    <numFmt numFmtId="44" formatCode="_(&quot;$&quot;* #,##0.00_);_(&quot;$&quot;* \(#,##0.00\);_(&quot;$&quot;* &quot;-&quot;??_);_(@_)"/>
  </numFmts>
  <fonts count="8" x14ac:knownFonts="1">
    <font>
      <sz val="11"/>
      <color theme="1"/>
      <name val="Arial"/>
      <family val="2"/>
    </font>
    <font>
      <sz val="11"/>
      <color theme="1"/>
      <name val="Arial"/>
      <family val="2"/>
    </font>
    <font>
      <b/>
      <sz val="11"/>
      <color theme="1"/>
      <name val="Arial"/>
      <family val="2"/>
    </font>
    <font>
      <sz val="11"/>
      <name val="Arial"/>
      <family val="2"/>
    </font>
    <font>
      <b/>
      <sz val="11"/>
      <name val="Arial"/>
      <family val="2"/>
    </font>
    <font>
      <b/>
      <sz val="11"/>
      <color theme="1"/>
      <name val="Cambria"/>
      <family val="1"/>
    </font>
    <font>
      <sz val="11"/>
      <color theme="1"/>
      <name val="Cambria"/>
      <family val="1"/>
    </font>
    <font>
      <sz val="11"/>
      <color rgb="FFFF0000"/>
      <name val="Arial"/>
      <family val="2"/>
    </font>
  </fonts>
  <fills count="5">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8" tint="0.7999816888943144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112">
    <xf numFmtId="0" fontId="0" fillId="0" borderId="0" xfId="0"/>
    <xf numFmtId="0" fontId="3" fillId="0" borderId="0" xfId="0" applyFont="1" applyFill="1"/>
    <xf numFmtId="6" fontId="2" fillId="0" borderId="4" xfId="0" applyNumberFormat="1" applyFont="1" applyFill="1" applyBorder="1"/>
    <xf numFmtId="0" fontId="0" fillId="0" borderId="0" xfId="0" applyFont="1" applyFill="1" applyAlignment="1">
      <alignment horizontal="center"/>
    </xf>
    <xf numFmtId="0" fontId="0" fillId="0" borderId="0" xfId="0" applyFont="1" applyFill="1"/>
    <xf numFmtId="0" fontId="3" fillId="0" borderId="0" xfId="0" applyFont="1" applyAlignment="1">
      <alignment vertical="center"/>
    </xf>
    <xf numFmtId="0" fontId="2" fillId="0" borderId="0" xfId="0" applyFont="1" applyAlignment="1">
      <alignment vertical="center"/>
    </xf>
    <xf numFmtId="0" fontId="0" fillId="0" borderId="0" xfId="0" applyFont="1" applyAlignment="1">
      <alignment vertical="center"/>
    </xf>
    <xf numFmtId="0" fontId="2" fillId="0" borderId="0" xfId="0" applyFont="1" applyFill="1" applyAlignment="1">
      <alignment horizontal="center"/>
    </xf>
    <xf numFmtId="0" fontId="2" fillId="2" borderId="8" xfId="0" applyFont="1" applyFill="1" applyBorder="1" applyAlignment="1">
      <alignment horizontal="center" vertical="center"/>
    </xf>
    <xf numFmtId="0" fontId="3" fillId="0" borderId="8" xfId="0" applyFont="1" applyFill="1" applyBorder="1" applyAlignment="1">
      <alignment horizontal="center"/>
    </xf>
    <xf numFmtId="0" fontId="2" fillId="2" borderId="2" xfId="0" applyFont="1" applyFill="1" applyBorder="1" applyAlignment="1">
      <alignment horizontal="center" vertical="center"/>
    </xf>
    <xf numFmtId="0" fontId="3" fillId="0" borderId="1" xfId="0" applyFont="1" applyFill="1" applyBorder="1" applyAlignment="1">
      <alignment horizontal="center" vertical="center" wrapText="1"/>
    </xf>
    <xf numFmtId="6" fontId="0" fillId="0" borderId="1" xfId="1" applyNumberFormat="1" applyFont="1" applyFill="1" applyBorder="1" applyAlignment="1">
      <alignment vertical="center"/>
    </xf>
    <xf numFmtId="0" fontId="3" fillId="0" borderId="3" xfId="0" applyFont="1" applyFill="1" applyBorder="1" applyAlignment="1">
      <alignment horizontal="center" vertical="center"/>
    </xf>
    <xf numFmtId="38" fontId="3" fillId="0" borderId="1" xfId="0" applyNumberFormat="1" applyFont="1" applyFill="1" applyBorder="1" applyAlignment="1">
      <alignment vertical="center"/>
    </xf>
    <xf numFmtId="6" fontId="3" fillId="0" borderId="1" xfId="1" applyNumberFormat="1" applyFont="1" applyFill="1" applyBorder="1" applyAlignment="1">
      <alignment vertical="center"/>
    </xf>
    <xf numFmtId="0" fontId="3" fillId="0" borderId="11" xfId="0" applyFont="1" applyFill="1" applyBorder="1" applyAlignment="1">
      <alignment horizontal="center" vertical="center" wrapText="1"/>
    </xf>
    <xf numFmtId="6" fontId="0" fillId="0" borderId="11" xfId="1" applyNumberFormat="1" applyFont="1" applyFill="1" applyBorder="1" applyAlignment="1">
      <alignment vertical="center"/>
    </xf>
    <xf numFmtId="0" fontId="3" fillId="2" borderId="6" xfId="0" applyFont="1" applyFill="1" applyBorder="1" applyAlignment="1">
      <alignment horizontal="center" vertical="center" wrapText="1"/>
    </xf>
    <xf numFmtId="6" fontId="2" fillId="2" borderId="6" xfId="1" applyNumberFormat="1" applyFont="1" applyFill="1" applyBorder="1" applyAlignment="1">
      <alignment vertical="center"/>
    </xf>
    <xf numFmtId="0" fontId="3" fillId="0" borderId="0" xfId="0" applyFont="1" applyFill="1" applyBorder="1" applyAlignment="1">
      <alignment horizontal="center" vertical="center" wrapText="1"/>
    </xf>
    <xf numFmtId="6" fontId="2" fillId="0" borderId="0" xfId="1" applyNumberFormat="1" applyFont="1" applyFill="1" applyBorder="1" applyAlignment="1">
      <alignment vertical="center"/>
    </xf>
    <xf numFmtId="0" fontId="3" fillId="0" borderId="0" xfId="0" applyFont="1" applyFill="1" applyAlignment="1">
      <alignment horizontal="center" vertical="center" wrapText="1"/>
    </xf>
    <xf numFmtId="38" fontId="3" fillId="0" borderId="0" xfId="0" applyNumberFormat="1" applyFont="1" applyFill="1" applyAlignment="1">
      <alignment vertical="center"/>
    </xf>
    <xf numFmtId="6" fontId="4" fillId="0" borderId="0" xfId="1" applyNumberFormat="1" applyFont="1" applyFill="1" applyAlignment="1">
      <alignment vertical="center"/>
    </xf>
    <xf numFmtId="0" fontId="3" fillId="0" borderId="0" xfId="0" applyFont="1" applyFill="1" applyAlignment="1">
      <alignment horizontal="center" vertical="center"/>
    </xf>
    <xf numFmtId="6" fontId="3" fillId="0" borderId="0" xfId="1" applyNumberFormat="1" applyFont="1" applyFill="1" applyAlignment="1">
      <alignment vertical="center"/>
    </xf>
    <xf numFmtId="0" fontId="0" fillId="0" borderId="0" xfId="0" applyFont="1" applyFill="1" applyAlignment="1">
      <alignment horizontal="center" vertical="center"/>
    </xf>
    <xf numFmtId="38" fontId="0" fillId="0" borderId="0" xfId="0" applyNumberFormat="1" applyFont="1" applyFill="1" applyAlignment="1">
      <alignment vertical="center"/>
    </xf>
    <xf numFmtId="6" fontId="0" fillId="0" borderId="0" xfId="1" applyNumberFormat="1" applyFont="1" applyFill="1" applyAlignment="1">
      <alignment vertical="center"/>
    </xf>
    <xf numFmtId="0" fontId="0" fillId="0" borderId="0" xfId="0" applyFont="1" applyFill="1" applyAlignment="1">
      <alignment horizontal="center" vertical="center" wrapText="1"/>
    </xf>
    <xf numFmtId="0" fontId="3" fillId="0" borderId="1" xfId="0" applyFont="1" applyFill="1" applyBorder="1" applyAlignment="1">
      <alignment horizontal="center" vertical="center"/>
    </xf>
    <xf numFmtId="0" fontId="6" fillId="0" borderId="0" xfId="0" applyFont="1" applyAlignment="1">
      <alignment horizontal="center" vertical="center"/>
    </xf>
    <xf numFmtId="0" fontId="5" fillId="0" borderId="0" xfId="0" applyFont="1" applyAlignment="1">
      <alignment vertical="center"/>
    </xf>
    <xf numFmtId="0" fontId="6" fillId="0" borderId="0" xfId="0" applyFont="1" applyAlignment="1">
      <alignment vertical="center"/>
    </xf>
    <xf numFmtId="0" fontId="5" fillId="0" borderId="0" xfId="0" applyFont="1" applyAlignment="1">
      <alignment horizontal="center" vertical="center"/>
    </xf>
    <xf numFmtId="0" fontId="0" fillId="0" borderId="0" xfId="0" applyFont="1"/>
    <xf numFmtId="3" fontId="3" fillId="0"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xf>
    <xf numFmtId="6" fontId="2" fillId="0" borderId="0" xfId="0" applyNumberFormat="1" applyFont="1" applyFill="1" applyBorder="1"/>
    <xf numFmtId="0" fontId="2" fillId="3" borderId="0" xfId="0" applyFont="1" applyFill="1" applyBorder="1" applyAlignment="1">
      <alignment horizontal="center" vertical="center"/>
    </xf>
    <xf numFmtId="0" fontId="2"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38" fontId="2" fillId="2" borderId="1" xfId="0" applyNumberFormat="1" applyFont="1" applyFill="1" applyBorder="1" applyAlignment="1">
      <alignment horizontal="center" vertical="center"/>
    </xf>
    <xf numFmtId="38" fontId="2" fillId="2" borderId="1" xfId="0" applyNumberFormat="1" applyFont="1" applyFill="1" applyBorder="1" applyAlignment="1">
      <alignment horizontal="center" vertical="center" wrapText="1"/>
    </xf>
    <xf numFmtId="6" fontId="2" fillId="2" borderId="1" xfId="1" applyNumberFormat="1" applyFont="1" applyFill="1" applyBorder="1" applyAlignment="1">
      <alignment horizontal="center" vertical="center"/>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3" fillId="3" borderId="1" xfId="0" applyFont="1" applyFill="1" applyBorder="1"/>
    <xf numFmtId="0" fontId="7" fillId="0" borderId="1" xfId="0" applyFont="1" applyFill="1" applyBorder="1" applyAlignment="1">
      <alignment horizontal="center" vertical="center" wrapText="1"/>
    </xf>
    <xf numFmtId="0" fontId="0" fillId="3" borderId="0" xfId="0" applyFont="1" applyFill="1" applyAlignment="1">
      <alignment vertical="center"/>
    </xf>
    <xf numFmtId="0" fontId="0" fillId="0" borderId="0" xfId="0" applyFont="1" applyFill="1" applyAlignment="1">
      <alignment vertical="center"/>
    </xf>
    <xf numFmtId="0" fontId="0" fillId="0" borderId="8" xfId="0" applyFont="1" applyFill="1" applyBorder="1" applyAlignment="1">
      <alignment horizontal="center"/>
    </xf>
    <xf numFmtId="0" fontId="0" fillId="0" borderId="3" xfId="0" applyFont="1" applyFill="1" applyBorder="1" applyAlignment="1">
      <alignment horizontal="center" vertical="center"/>
    </xf>
    <xf numFmtId="0" fontId="0" fillId="0" borderId="1" xfId="0" applyFont="1" applyFill="1" applyBorder="1" applyAlignment="1">
      <alignment horizontal="center" vertical="center"/>
    </xf>
    <xf numFmtId="0" fontId="0" fillId="0" borderId="1" xfId="0" applyFont="1" applyFill="1" applyBorder="1" applyAlignment="1">
      <alignment horizontal="center" vertical="center" wrapText="1"/>
    </xf>
    <xf numFmtId="3" fontId="0" fillId="0" borderId="1" xfId="0" applyNumberFormat="1" applyFont="1" applyFill="1" applyBorder="1" applyAlignment="1">
      <alignment horizontal="center" vertical="center" wrapText="1"/>
    </xf>
    <xf numFmtId="38" fontId="0" fillId="0" borderId="1" xfId="0" applyNumberFormat="1" applyFont="1" applyFill="1" applyBorder="1" applyAlignment="1">
      <alignment vertical="center"/>
    </xf>
    <xf numFmtId="6" fontId="0" fillId="0" borderId="1" xfId="0" applyNumberFormat="1" applyFont="1" applyFill="1" applyBorder="1"/>
    <xf numFmtId="6" fontId="0" fillId="3" borderId="1" xfId="0" applyNumberFormat="1" applyFont="1" applyFill="1" applyBorder="1"/>
    <xf numFmtId="0" fontId="0" fillId="3" borderId="1" xfId="0" applyFont="1" applyFill="1" applyBorder="1"/>
    <xf numFmtId="0" fontId="0" fillId="0" borderId="1" xfId="0" applyFont="1" applyBorder="1" applyAlignment="1">
      <alignment horizontal="center" vertical="center" wrapText="1"/>
    </xf>
    <xf numFmtId="0" fontId="0" fillId="0" borderId="3" xfId="0" applyFont="1" applyFill="1" applyBorder="1" applyAlignment="1">
      <alignment horizontal="center"/>
    </xf>
    <xf numFmtId="0" fontId="0" fillId="0" borderId="8" xfId="0" applyFont="1" applyFill="1" applyBorder="1" applyAlignment="1">
      <alignment horizontal="center" vertical="center"/>
    </xf>
    <xf numFmtId="6" fontId="0" fillId="0" borderId="1" xfId="0" applyNumberFormat="1" applyFont="1" applyFill="1" applyBorder="1" applyAlignment="1">
      <alignment vertical="center"/>
    </xf>
    <xf numFmtId="6" fontId="0" fillId="3" borderId="1" xfId="0" applyNumberFormat="1" applyFont="1" applyFill="1" applyBorder="1" applyAlignment="1">
      <alignment vertical="center"/>
    </xf>
    <xf numFmtId="0" fontId="0" fillId="3" borderId="1" xfId="0" applyFont="1" applyFill="1" applyBorder="1" applyAlignment="1">
      <alignment vertical="center"/>
    </xf>
    <xf numFmtId="0" fontId="0" fillId="2" borderId="3" xfId="0" applyFont="1" applyFill="1" applyBorder="1" applyAlignment="1">
      <alignment horizontal="center" vertical="center"/>
    </xf>
    <xf numFmtId="0" fontId="0" fillId="2" borderId="5" xfId="0" applyFont="1" applyFill="1" applyBorder="1" applyAlignment="1">
      <alignment horizontal="center" vertical="center"/>
    </xf>
    <xf numFmtId="0" fontId="0" fillId="0" borderId="14" xfId="0" applyFont="1" applyFill="1" applyBorder="1" applyAlignment="1">
      <alignment horizontal="center"/>
    </xf>
    <xf numFmtId="0" fontId="0" fillId="0" borderId="11" xfId="0" applyFont="1" applyFill="1" applyBorder="1" applyAlignment="1">
      <alignment horizontal="center" vertical="center"/>
    </xf>
    <xf numFmtId="0" fontId="0" fillId="0" borderId="11" xfId="0" applyFont="1" applyFill="1" applyBorder="1" applyAlignment="1">
      <alignment horizontal="center" vertical="center" wrapText="1"/>
    </xf>
    <xf numFmtId="38" fontId="0" fillId="0" borderId="11" xfId="0" applyNumberFormat="1" applyFont="1" applyFill="1" applyBorder="1" applyAlignment="1">
      <alignment vertical="center"/>
    </xf>
    <xf numFmtId="6" fontId="0" fillId="0" borderId="12" xfId="0" applyNumberFormat="1" applyFont="1" applyFill="1" applyBorder="1"/>
    <xf numFmtId="6" fontId="0" fillId="0" borderId="0" xfId="0" applyNumberFormat="1" applyFont="1" applyFill="1" applyBorder="1"/>
    <xf numFmtId="0" fontId="0" fillId="0" borderId="15" xfId="0" applyFont="1" applyFill="1" applyBorder="1" applyAlignment="1">
      <alignment horizontal="center"/>
    </xf>
    <xf numFmtId="0" fontId="0" fillId="2" borderId="5" xfId="0" applyFont="1" applyFill="1" applyBorder="1" applyAlignment="1">
      <alignment horizontal="center"/>
    </xf>
    <xf numFmtId="0" fontId="0" fillId="2" borderId="16" xfId="0" applyFont="1" applyFill="1" applyBorder="1" applyAlignment="1">
      <alignment horizontal="center"/>
    </xf>
    <xf numFmtId="0" fontId="0" fillId="2" borderId="6" xfId="0" applyFont="1" applyFill="1" applyBorder="1" applyAlignment="1">
      <alignment horizontal="center" vertical="center"/>
    </xf>
    <xf numFmtId="0" fontId="0" fillId="2" borderId="6" xfId="0" applyFont="1" applyFill="1" applyBorder="1" applyAlignment="1">
      <alignment horizontal="center" vertical="center" wrapText="1"/>
    </xf>
    <xf numFmtId="38" fontId="0" fillId="2" borderId="6" xfId="0" applyNumberFormat="1" applyFont="1" applyFill="1" applyBorder="1" applyAlignment="1">
      <alignment vertical="center"/>
    </xf>
    <xf numFmtId="6" fontId="0" fillId="2" borderId="7" xfId="0" applyNumberFormat="1" applyFont="1" applyFill="1" applyBorder="1"/>
    <xf numFmtId="6" fontId="0" fillId="2" borderId="0" xfId="0" applyNumberFormat="1" applyFont="1" applyFill="1" applyBorder="1"/>
    <xf numFmtId="0" fontId="0" fillId="0" borderId="0" xfId="0" applyFont="1" applyFill="1" applyBorder="1" applyAlignment="1">
      <alignment horizontal="center"/>
    </xf>
    <xf numFmtId="0" fontId="0" fillId="0" borderId="0" xfId="0" applyFont="1" applyFill="1" applyBorder="1" applyAlignment="1">
      <alignment horizontal="center" vertical="center"/>
    </xf>
    <xf numFmtId="0" fontId="0" fillId="0" borderId="0" xfId="0" applyFont="1" applyFill="1" applyBorder="1" applyAlignment="1">
      <alignment horizontal="center" vertical="center" wrapText="1"/>
    </xf>
    <xf numFmtId="38" fontId="0" fillId="0" borderId="0" xfId="0" applyNumberFormat="1" applyFont="1" applyFill="1" applyBorder="1" applyAlignment="1">
      <alignment vertical="center"/>
    </xf>
    <xf numFmtId="0" fontId="0" fillId="0" borderId="18" xfId="0" applyFont="1" applyFill="1" applyBorder="1" applyAlignment="1">
      <alignment horizontal="center" vertical="center" wrapText="1"/>
    </xf>
    <xf numFmtId="0" fontId="0" fillId="0" borderId="1" xfId="0" applyFill="1" applyBorder="1" applyAlignment="1">
      <alignment horizontal="center" vertical="center" wrapText="1"/>
    </xf>
    <xf numFmtId="0" fontId="0" fillId="0" borderId="0" xfId="0" applyAlignment="1">
      <alignment horizontal="center" vertical="center" wrapText="1"/>
    </xf>
    <xf numFmtId="0" fontId="2" fillId="2" borderId="0" xfId="0" applyFont="1" applyFill="1" applyAlignment="1">
      <alignment horizontal="center" vertical="center"/>
    </xf>
    <xf numFmtId="0" fontId="0" fillId="0" borderId="0" xfId="0" applyFont="1" applyFill="1" applyBorder="1" applyAlignment="1">
      <alignment vertical="center"/>
    </xf>
    <xf numFmtId="0" fontId="0" fillId="0" borderId="0" xfId="0" applyFont="1" applyFill="1" applyBorder="1"/>
    <xf numFmtId="0" fontId="3" fillId="0" borderId="0" xfId="0" applyFont="1" applyFill="1" applyBorder="1"/>
    <xf numFmtId="0" fontId="2" fillId="0" borderId="0" xfId="0" applyFont="1" applyFill="1" applyBorder="1" applyAlignment="1">
      <alignment horizontal="center" vertical="center"/>
    </xf>
    <xf numFmtId="0" fontId="2" fillId="0" borderId="2" xfId="0" applyFont="1" applyFill="1" applyBorder="1" applyAlignment="1">
      <alignment horizontal="center" vertical="center"/>
    </xf>
    <xf numFmtId="0" fontId="2" fillId="0" borderId="13" xfId="0" applyFont="1" applyFill="1" applyBorder="1" applyAlignment="1">
      <alignment horizontal="center" vertical="center"/>
    </xf>
    <xf numFmtId="0" fontId="2" fillId="0" borderId="9" xfId="0" applyFont="1" applyFill="1" applyBorder="1" applyAlignment="1">
      <alignment horizontal="center" vertical="center"/>
    </xf>
    <xf numFmtId="0" fontId="2" fillId="0" borderId="10" xfId="0" applyFont="1" applyFill="1" applyBorder="1" applyAlignment="1">
      <alignment horizontal="center" vertical="center"/>
    </xf>
    <xf numFmtId="0" fontId="4" fillId="0" borderId="0" xfId="0" applyFont="1" applyFill="1" applyAlignment="1">
      <alignment horizontal="left"/>
    </xf>
    <xf numFmtId="0" fontId="2" fillId="0" borderId="0" xfId="0" applyFont="1" applyFill="1" applyAlignment="1">
      <alignment horizontal="center" vertical="center"/>
    </xf>
    <xf numFmtId="0" fontId="2" fillId="0" borderId="17" xfId="0" applyFont="1" applyFill="1" applyBorder="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left" vertical="center"/>
    </xf>
    <xf numFmtId="0" fontId="0" fillId="4" borderId="1" xfId="0" applyFont="1" applyFill="1" applyBorder="1" applyAlignment="1">
      <alignment horizontal="center" vertical="center"/>
    </xf>
    <xf numFmtId="0" fontId="0" fillId="4" borderId="1" xfId="0" applyFont="1" applyFill="1" applyBorder="1" applyAlignment="1">
      <alignment horizontal="center" vertical="center" wrapText="1"/>
    </xf>
    <xf numFmtId="3" fontId="0"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38" fontId="0" fillId="4" borderId="1" xfId="0" applyNumberFormat="1" applyFont="1" applyFill="1" applyBorder="1" applyAlignment="1">
      <alignment vertical="center"/>
    </xf>
    <xf numFmtId="6" fontId="0" fillId="4" borderId="1" xfId="1" applyNumberFormat="1" applyFont="1" applyFill="1" applyBorder="1" applyAlignment="1">
      <alignment vertical="center"/>
    </xf>
    <xf numFmtId="6" fontId="0" fillId="4" borderId="1" xfId="0" applyNumberFormat="1" applyFont="1" applyFill="1" applyBorder="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U78"/>
  <sheetViews>
    <sheetView tabSelected="1" topLeftCell="C16" zoomScale="84" zoomScaleNormal="84" workbookViewId="0">
      <selection activeCell="T33" sqref="T33"/>
    </sheetView>
  </sheetViews>
  <sheetFormatPr defaultRowHeight="14.25" x14ac:dyDescent="0.2"/>
  <cols>
    <col min="1" max="2" width="9.75" style="3" hidden="1" customWidth="1"/>
    <col min="3" max="4" width="11.75" style="28" customWidth="1"/>
    <col min="5" max="5" width="33.25" style="31" customWidth="1"/>
    <col min="6" max="6" width="33.25" style="31" hidden="1" customWidth="1"/>
    <col min="7" max="7" width="19" style="23" customWidth="1"/>
    <col min="8" max="8" width="18" style="23" customWidth="1"/>
    <col min="9" max="9" width="15.75" style="31" customWidth="1"/>
    <col min="10" max="12" width="12.25" style="29" hidden="1" customWidth="1"/>
    <col min="13" max="13" width="13.875" style="30" hidden="1" customWidth="1"/>
    <col min="14" max="14" width="15.25" style="4" hidden="1" customWidth="1"/>
    <col min="15" max="15" width="3" style="4" customWidth="1"/>
    <col min="16" max="16" width="15.125" style="28" customWidth="1"/>
    <col min="17" max="17" width="33.25" style="31" customWidth="1"/>
    <col min="18" max="18" width="3" style="4" customWidth="1"/>
    <col min="19" max="21" width="17.625" style="28" customWidth="1"/>
    <col min="22" max="23" width="18.125" style="28" customWidth="1"/>
    <col min="24" max="24" width="17.75" style="28" customWidth="1"/>
    <col min="25" max="25" width="18.125" style="28" customWidth="1"/>
    <col min="26" max="26" width="19.125" style="28" customWidth="1"/>
    <col min="27" max="27" width="26.875" style="28" customWidth="1"/>
    <col min="28" max="47" width="9" style="93"/>
    <col min="48" max="16384" width="9" style="4"/>
  </cols>
  <sheetData>
    <row r="1" spans="1:47" s="52" customFormat="1" ht="30" customHeight="1" thickBot="1" x14ac:dyDescent="0.25">
      <c r="A1" s="96" t="s">
        <v>207</v>
      </c>
      <c r="B1" s="97"/>
      <c r="C1" s="98"/>
      <c r="D1" s="98"/>
      <c r="E1" s="98"/>
      <c r="F1" s="98"/>
      <c r="G1" s="98"/>
      <c r="H1" s="98"/>
      <c r="I1" s="98"/>
      <c r="J1" s="98"/>
      <c r="K1" s="98"/>
      <c r="L1" s="98"/>
      <c r="M1" s="98"/>
      <c r="N1" s="99"/>
      <c r="O1" s="41"/>
      <c r="P1" s="101" t="s">
        <v>144</v>
      </c>
      <c r="Q1" s="101"/>
      <c r="R1" s="51"/>
      <c r="S1" s="102" t="s">
        <v>208</v>
      </c>
      <c r="T1" s="102"/>
      <c r="U1" s="102"/>
      <c r="V1" s="102"/>
      <c r="W1" s="102"/>
      <c r="X1" s="102"/>
      <c r="Y1" s="102"/>
      <c r="Z1" s="102"/>
      <c r="AA1" s="102"/>
      <c r="AB1" s="92"/>
      <c r="AC1" s="92"/>
      <c r="AD1" s="92"/>
      <c r="AE1" s="92"/>
      <c r="AF1" s="92"/>
      <c r="AG1" s="92"/>
      <c r="AH1" s="92"/>
      <c r="AI1" s="92"/>
      <c r="AJ1" s="92"/>
      <c r="AK1" s="92"/>
      <c r="AL1" s="92"/>
      <c r="AM1" s="92"/>
      <c r="AN1" s="92"/>
      <c r="AO1" s="92"/>
      <c r="AP1" s="92"/>
      <c r="AQ1" s="92"/>
      <c r="AR1" s="92"/>
      <c r="AS1" s="92"/>
      <c r="AT1" s="92"/>
      <c r="AU1" s="92"/>
    </row>
    <row r="2" spans="1:47" s="91" customFormat="1" ht="62.25" customHeight="1" x14ac:dyDescent="0.2">
      <c r="A2" s="9" t="s">
        <v>0</v>
      </c>
      <c r="B2" s="11" t="s">
        <v>0</v>
      </c>
      <c r="C2" s="42" t="s">
        <v>49</v>
      </c>
      <c r="D2" s="42" t="s">
        <v>149</v>
      </c>
      <c r="E2" s="42" t="s">
        <v>1</v>
      </c>
      <c r="F2" s="42" t="s">
        <v>128</v>
      </c>
      <c r="G2" s="43" t="s">
        <v>33</v>
      </c>
      <c r="H2" s="43" t="s">
        <v>43</v>
      </c>
      <c r="I2" s="42" t="s">
        <v>5</v>
      </c>
      <c r="J2" s="44" t="s">
        <v>2</v>
      </c>
      <c r="K2" s="44" t="s">
        <v>3</v>
      </c>
      <c r="L2" s="45" t="s">
        <v>48</v>
      </c>
      <c r="M2" s="46" t="s">
        <v>4</v>
      </c>
      <c r="N2" s="42" t="s">
        <v>26</v>
      </c>
      <c r="O2" s="47"/>
      <c r="P2" s="39" t="s">
        <v>139</v>
      </c>
      <c r="Q2" s="42" t="s">
        <v>128</v>
      </c>
      <c r="R2" s="48"/>
      <c r="S2" s="42" t="s">
        <v>147</v>
      </c>
      <c r="T2" s="42" t="s">
        <v>148</v>
      </c>
      <c r="U2" s="42" t="s">
        <v>191</v>
      </c>
      <c r="V2" s="39" t="s">
        <v>140</v>
      </c>
      <c r="W2" s="39" t="s">
        <v>141</v>
      </c>
      <c r="X2" s="39" t="s">
        <v>142</v>
      </c>
      <c r="Y2" s="39" t="s">
        <v>143</v>
      </c>
      <c r="Z2" s="39" t="s">
        <v>145</v>
      </c>
      <c r="AA2" s="39" t="s">
        <v>146</v>
      </c>
      <c r="AB2" s="95"/>
      <c r="AC2" s="95"/>
      <c r="AD2" s="95"/>
      <c r="AE2" s="95"/>
      <c r="AF2" s="95"/>
      <c r="AG2" s="95"/>
      <c r="AH2" s="95"/>
      <c r="AI2" s="95"/>
      <c r="AJ2" s="95"/>
      <c r="AK2" s="95"/>
      <c r="AL2" s="95"/>
      <c r="AM2" s="95"/>
      <c r="AN2" s="95"/>
      <c r="AO2" s="95"/>
      <c r="AP2" s="95"/>
      <c r="AQ2" s="95"/>
      <c r="AR2" s="95"/>
      <c r="AS2" s="95"/>
      <c r="AT2" s="95"/>
      <c r="AU2" s="95"/>
    </row>
    <row r="3" spans="1:47" ht="273" customHeight="1" x14ac:dyDescent="0.2">
      <c r="A3" s="53">
        <v>10</v>
      </c>
      <c r="B3" s="54" t="s">
        <v>53</v>
      </c>
      <c r="C3" s="55" t="s">
        <v>8</v>
      </c>
      <c r="D3" s="55" t="s">
        <v>150</v>
      </c>
      <c r="E3" s="56" t="s">
        <v>51</v>
      </c>
      <c r="F3" s="57">
        <v>120000</v>
      </c>
      <c r="G3" s="12" t="s">
        <v>117</v>
      </c>
      <c r="H3" s="12" t="s">
        <v>113</v>
      </c>
      <c r="I3" s="12" t="s">
        <v>196</v>
      </c>
      <c r="J3" s="58">
        <v>120000</v>
      </c>
      <c r="K3" s="58"/>
      <c r="L3" s="58">
        <f>SUM(J3:K3)</f>
        <v>120000</v>
      </c>
      <c r="M3" s="13">
        <v>31100000</v>
      </c>
      <c r="N3" s="59">
        <f>SUM(N10,M3)</f>
        <v>63450000</v>
      </c>
      <c r="O3" s="60"/>
      <c r="P3" s="56" t="s">
        <v>131</v>
      </c>
      <c r="Q3" s="57">
        <v>120000</v>
      </c>
      <c r="R3" s="61"/>
      <c r="S3" s="55">
        <v>0</v>
      </c>
      <c r="T3" s="55">
        <v>23</v>
      </c>
      <c r="U3" s="12" t="s">
        <v>192</v>
      </c>
      <c r="V3" s="56" t="s">
        <v>181</v>
      </c>
      <c r="W3" s="56" t="s">
        <v>182</v>
      </c>
      <c r="X3" s="56" t="s">
        <v>183</v>
      </c>
      <c r="Y3" s="50" t="s">
        <v>184</v>
      </c>
      <c r="Z3" s="12" t="s">
        <v>172</v>
      </c>
      <c r="AA3" s="55"/>
    </row>
    <row r="4" spans="1:47" ht="155.25" customHeight="1" x14ac:dyDescent="0.2">
      <c r="A4" s="53">
        <v>7</v>
      </c>
      <c r="B4" s="54" t="s">
        <v>64</v>
      </c>
      <c r="C4" s="55" t="s">
        <v>6</v>
      </c>
      <c r="D4" s="55" t="s">
        <v>151</v>
      </c>
      <c r="E4" s="12" t="s">
        <v>65</v>
      </c>
      <c r="F4" s="38">
        <v>100000</v>
      </c>
      <c r="G4" s="12" t="s">
        <v>118</v>
      </c>
      <c r="H4" s="12" t="s">
        <v>70</v>
      </c>
      <c r="I4" s="56" t="s">
        <v>31</v>
      </c>
      <c r="J4" s="58">
        <v>100000</v>
      </c>
      <c r="K4" s="58"/>
      <c r="L4" s="58">
        <f>SUM(J4:K4)</f>
        <v>100000</v>
      </c>
      <c r="M4" s="13">
        <v>25500000</v>
      </c>
      <c r="N4" s="59">
        <f>SUM(N12,M4)</f>
        <v>162215000</v>
      </c>
      <c r="O4" s="60"/>
      <c r="P4" s="56" t="s">
        <v>132</v>
      </c>
      <c r="Q4" s="38">
        <v>100000</v>
      </c>
      <c r="R4" s="61"/>
      <c r="S4" s="89" t="s">
        <v>186</v>
      </c>
      <c r="T4" s="89">
        <v>38</v>
      </c>
      <c r="U4" s="12">
        <v>0</v>
      </c>
      <c r="V4" s="89">
        <v>2</v>
      </c>
      <c r="W4" s="89" t="s">
        <v>187</v>
      </c>
      <c r="X4" s="89">
        <v>37</v>
      </c>
      <c r="Y4" s="89" t="s">
        <v>188</v>
      </c>
      <c r="Z4" s="89" t="s">
        <v>189</v>
      </c>
      <c r="AA4" s="89"/>
    </row>
    <row r="5" spans="1:47" ht="287.25" customHeight="1" x14ac:dyDescent="0.2">
      <c r="A5" s="53">
        <v>14</v>
      </c>
      <c r="B5" s="54" t="s">
        <v>54</v>
      </c>
      <c r="C5" s="55" t="s">
        <v>9</v>
      </c>
      <c r="D5" s="55" t="s">
        <v>152</v>
      </c>
      <c r="E5" s="56" t="s">
        <v>126</v>
      </c>
      <c r="F5" s="57">
        <v>100000</v>
      </c>
      <c r="G5" s="12" t="s">
        <v>120</v>
      </c>
      <c r="H5" s="12" t="s">
        <v>114</v>
      </c>
      <c r="I5" s="12" t="s">
        <v>197</v>
      </c>
      <c r="J5" s="58">
        <v>100000</v>
      </c>
      <c r="K5" s="58"/>
      <c r="L5" s="58">
        <f>SUM(J5:K5)</f>
        <v>100000</v>
      </c>
      <c r="M5" s="13">
        <v>26500000</v>
      </c>
      <c r="N5" s="59">
        <f>SUM(N11,M5)</f>
        <v>94265000</v>
      </c>
      <c r="O5" s="60"/>
      <c r="P5" s="56" t="s">
        <v>133</v>
      </c>
      <c r="Q5" s="57">
        <v>100000</v>
      </c>
      <c r="R5" s="61"/>
      <c r="S5" s="12">
        <v>0</v>
      </c>
      <c r="T5" s="12" t="s">
        <v>203</v>
      </c>
      <c r="U5" s="12" t="s">
        <v>193</v>
      </c>
      <c r="V5" s="12" t="s">
        <v>204</v>
      </c>
      <c r="W5" s="12" t="s">
        <v>199</v>
      </c>
      <c r="X5" s="12" t="s">
        <v>200</v>
      </c>
      <c r="Y5" s="32">
        <v>10</v>
      </c>
      <c r="Z5" s="12" t="s">
        <v>202</v>
      </c>
      <c r="AA5" s="12" t="s">
        <v>201</v>
      </c>
    </row>
    <row r="6" spans="1:47" ht="78.75" customHeight="1" x14ac:dyDescent="0.2">
      <c r="A6" s="53">
        <v>1</v>
      </c>
      <c r="B6" s="54">
        <v>1</v>
      </c>
      <c r="C6" s="55" t="s">
        <v>6</v>
      </c>
      <c r="D6" s="55" t="s">
        <v>151</v>
      </c>
      <c r="E6" s="56" t="s">
        <v>50</v>
      </c>
      <c r="F6" s="56" t="s">
        <v>129</v>
      </c>
      <c r="G6" s="12" t="s">
        <v>45</v>
      </c>
      <c r="H6" s="12" t="s">
        <v>67</v>
      </c>
      <c r="I6" s="56" t="s">
        <v>66</v>
      </c>
      <c r="J6" s="58"/>
      <c r="K6" s="58">
        <v>21000</v>
      </c>
      <c r="L6" s="58">
        <f t="shared" ref="L6:L12" si="0">SUM(J6:K6)</f>
        <v>21000</v>
      </c>
      <c r="M6" s="13">
        <v>5250000</v>
      </c>
      <c r="N6" s="59">
        <f>SUM(M6)</f>
        <v>5250000</v>
      </c>
      <c r="O6" s="60"/>
      <c r="P6" s="56" t="s">
        <v>134</v>
      </c>
      <c r="Q6" s="56" t="s">
        <v>129</v>
      </c>
      <c r="R6" s="61"/>
      <c r="S6" s="55"/>
      <c r="T6" s="55"/>
      <c r="U6" s="12"/>
      <c r="V6" s="55"/>
      <c r="W6" s="55"/>
      <c r="X6" s="55"/>
      <c r="Y6" s="55"/>
      <c r="Z6" s="55"/>
      <c r="AA6" s="55"/>
    </row>
    <row r="7" spans="1:47" ht="40.5" hidden="1" customHeight="1" x14ac:dyDescent="0.2">
      <c r="A7" s="53">
        <v>2</v>
      </c>
      <c r="B7" s="54"/>
      <c r="C7" s="55" t="s">
        <v>7</v>
      </c>
      <c r="D7" s="55"/>
      <c r="E7" s="56" t="s">
        <v>12</v>
      </c>
      <c r="F7" s="56"/>
      <c r="G7" s="12" t="s">
        <v>35</v>
      </c>
      <c r="H7" s="12" t="s">
        <v>34</v>
      </c>
      <c r="I7" s="56" t="s">
        <v>15</v>
      </c>
      <c r="J7" s="58"/>
      <c r="K7" s="58"/>
      <c r="L7" s="58">
        <f t="shared" si="0"/>
        <v>0</v>
      </c>
      <c r="M7" s="13">
        <v>3000000</v>
      </c>
      <c r="N7" s="59">
        <f>SUM(N6,M7)</f>
        <v>8250000</v>
      </c>
      <c r="O7" s="60"/>
      <c r="P7" s="56"/>
      <c r="Q7" s="56"/>
      <c r="R7" s="61"/>
      <c r="S7" s="55"/>
      <c r="T7" s="55"/>
      <c r="U7" s="12"/>
      <c r="V7" s="55"/>
      <c r="W7" s="55"/>
      <c r="X7" s="55"/>
      <c r="Y7" s="55"/>
      <c r="Z7" s="55"/>
      <c r="AA7" s="55"/>
    </row>
    <row r="8" spans="1:47" ht="409.6" customHeight="1" x14ac:dyDescent="0.2">
      <c r="A8" s="53">
        <v>8</v>
      </c>
      <c r="B8" s="54" t="s">
        <v>52</v>
      </c>
      <c r="C8" s="55" t="s">
        <v>7</v>
      </c>
      <c r="D8" s="55" t="s">
        <v>153</v>
      </c>
      <c r="E8" s="56" t="s">
        <v>127</v>
      </c>
      <c r="F8" s="57">
        <v>100000</v>
      </c>
      <c r="G8" s="12" t="s">
        <v>116</v>
      </c>
      <c r="H8" s="12" t="s">
        <v>112</v>
      </c>
      <c r="I8" s="56" t="s">
        <v>22</v>
      </c>
      <c r="J8" s="58">
        <v>100000</v>
      </c>
      <c r="K8" s="58"/>
      <c r="L8" s="58">
        <f>SUM(J8:K8)</f>
        <v>100000</v>
      </c>
      <c r="M8" s="13">
        <v>23000000</v>
      </c>
      <c r="N8" s="59">
        <f t="shared" ref="N8:N22" si="1">SUM(N7,M8)</f>
        <v>31250000</v>
      </c>
      <c r="O8" s="60"/>
      <c r="P8" s="56" t="s">
        <v>134</v>
      </c>
      <c r="Q8" s="57">
        <v>100000</v>
      </c>
      <c r="R8" s="61"/>
      <c r="S8" s="62" t="s">
        <v>166</v>
      </c>
      <c r="T8" s="62">
        <v>40</v>
      </c>
      <c r="U8" s="12" t="s">
        <v>194</v>
      </c>
      <c r="V8" s="62" t="s">
        <v>167</v>
      </c>
      <c r="W8" s="62" t="s">
        <v>168</v>
      </c>
      <c r="X8" s="62" t="s">
        <v>169</v>
      </c>
      <c r="Y8" s="62" t="s">
        <v>180</v>
      </c>
      <c r="Z8" s="90" t="s">
        <v>190</v>
      </c>
      <c r="AA8" s="62" t="s">
        <v>170</v>
      </c>
    </row>
    <row r="9" spans="1:47" s="1" customFormat="1" ht="60" hidden="1" customHeight="1" x14ac:dyDescent="0.2">
      <c r="A9" s="10">
        <v>3</v>
      </c>
      <c r="B9" s="14">
        <v>3</v>
      </c>
      <c r="C9" s="32" t="s">
        <v>6</v>
      </c>
      <c r="D9" s="32"/>
      <c r="E9" s="12" t="s">
        <v>23</v>
      </c>
      <c r="F9" s="12"/>
      <c r="G9" s="12" t="s">
        <v>32</v>
      </c>
      <c r="H9" s="12" t="s">
        <v>34</v>
      </c>
      <c r="I9" s="12" t="s">
        <v>15</v>
      </c>
      <c r="J9" s="15"/>
      <c r="K9" s="15"/>
      <c r="L9" s="15">
        <f>SUM(J9:K9)</f>
        <v>0</v>
      </c>
      <c r="M9" s="16">
        <v>2300000</v>
      </c>
      <c r="N9" s="59">
        <f>SUM(N14,M9)</f>
        <v>284454500</v>
      </c>
      <c r="O9" s="60"/>
      <c r="P9" s="12"/>
      <c r="Q9" s="12"/>
      <c r="R9" s="49"/>
      <c r="S9" s="32"/>
      <c r="T9" s="32"/>
      <c r="U9" s="12"/>
      <c r="V9" s="32"/>
      <c r="W9" s="32"/>
      <c r="X9" s="32"/>
      <c r="Y9" s="32"/>
      <c r="Z9" s="62" t="s">
        <v>171</v>
      </c>
      <c r="AA9" s="32"/>
      <c r="AB9" s="94"/>
      <c r="AC9" s="94"/>
      <c r="AD9" s="94"/>
      <c r="AE9" s="94"/>
      <c r="AF9" s="94"/>
      <c r="AG9" s="94"/>
      <c r="AH9" s="94"/>
      <c r="AI9" s="94"/>
      <c r="AJ9" s="94"/>
      <c r="AK9" s="94"/>
      <c r="AL9" s="94"/>
      <c r="AM9" s="94"/>
      <c r="AN9" s="94"/>
      <c r="AO9" s="94"/>
      <c r="AP9" s="94"/>
      <c r="AQ9" s="94"/>
      <c r="AR9" s="94"/>
      <c r="AS9" s="94"/>
      <c r="AT9" s="94"/>
      <c r="AU9" s="94"/>
    </row>
    <row r="10" spans="1:47" ht="78" hidden="1" customHeight="1" x14ac:dyDescent="0.2">
      <c r="A10" s="53">
        <v>4</v>
      </c>
      <c r="B10" s="63"/>
      <c r="C10" s="55" t="s">
        <v>8</v>
      </c>
      <c r="D10" s="55"/>
      <c r="E10" s="12" t="s">
        <v>24</v>
      </c>
      <c r="F10" s="12"/>
      <c r="G10" s="12" t="s">
        <v>28</v>
      </c>
      <c r="H10" s="12" t="s">
        <v>34</v>
      </c>
      <c r="I10" s="56" t="s">
        <v>15</v>
      </c>
      <c r="J10" s="58"/>
      <c r="K10" s="58"/>
      <c r="L10" s="58">
        <f t="shared" si="0"/>
        <v>0</v>
      </c>
      <c r="M10" s="13">
        <v>1100000</v>
      </c>
      <c r="N10" s="59">
        <f>SUM(N8,M10)</f>
        <v>32350000</v>
      </c>
      <c r="O10" s="60"/>
      <c r="P10" s="56"/>
      <c r="Q10" s="12"/>
      <c r="R10" s="61"/>
      <c r="S10" s="55"/>
      <c r="T10" s="55"/>
      <c r="U10" s="12"/>
      <c r="V10" s="55"/>
      <c r="W10" s="55"/>
      <c r="X10" s="55"/>
      <c r="Y10" s="55"/>
      <c r="Z10" s="62" t="s">
        <v>171</v>
      </c>
      <c r="AA10" s="55"/>
    </row>
    <row r="11" spans="1:47" ht="105.75" hidden="1" customHeight="1" x14ac:dyDescent="0.2">
      <c r="A11" s="53">
        <v>5</v>
      </c>
      <c r="B11" s="63"/>
      <c r="C11" s="55" t="s">
        <v>9</v>
      </c>
      <c r="D11" s="55"/>
      <c r="E11" s="56" t="s">
        <v>12</v>
      </c>
      <c r="F11" s="56"/>
      <c r="G11" s="12" t="s">
        <v>27</v>
      </c>
      <c r="H11" s="12" t="s">
        <v>34</v>
      </c>
      <c r="I11" s="56" t="s">
        <v>15</v>
      </c>
      <c r="J11" s="58"/>
      <c r="K11" s="58"/>
      <c r="L11" s="58">
        <f t="shared" si="0"/>
        <v>0</v>
      </c>
      <c r="M11" s="13">
        <v>1000000</v>
      </c>
      <c r="N11" s="59">
        <f>SUM(N15,M11)</f>
        <v>67765000</v>
      </c>
      <c r="O11" s="60"/>
      <c r="P11" s="56"/>
      <c r="Q11" s="56"/>
      <c r="R11" s="61"/>
      <c r="S11" s="55"/>
      <c r="T11" s="55"/>
      <c r="U11" s="12"/>
      <c r="V11" s="55"/>
      <c r="W11" s="55"/>
      <c r="X11" s="55"/>
      <c r="Y11" s="55"/>
      <c r="Z11" s="62" t="s">
        <v>171</v>
      </c>
      <c r="AA11" s="55"/>
    </row>
    <row r="12" spans="1:47" ht="7.5" hidden="1" customHeight="1" x14ac:dyDescent="0.2">
      <c r="A12" s="53">
        <v>6</v>
      </c>
      <c r="B12" s="54">
        <v>6</v>
      </c>
      <c r="C12" s="55" t="s">
        <v>11</v>
      </c>
      <c r="D12" s="55"/>
      <c r="E12" s="56" t="s">
        <v>12</v>
      </c>
      <c r="F12" s="56"/>
      <c r="G12" s="12" t="s">
        <v>46</v>
      </c>
      <c r="H12" s="12" t="s">
        <v>34</v>
      </c>
      <c r="I12" s="56" t="s">
        <v>15</v>
      </c>
      <c r="J12" s="58"/>
      <c r="K12" s="58"/>
      <c r="L12" s="58">
        <f t="shared" si="0"/>
        <v>0</v>
      </c>
      <c r="M12" s="13">
        <v>1200000</v>
      </c>
      <c r="N12" s="59">
        <f>SUM(N13,M12)</f>
        <v>136715000</v>
      </c>
      <c r="O12" s="60"/>
      <c r="P12" s="56"/>
      <c r="Q12" s="56"/>
      <c r="R12" s="61"/>
      <c r="S12" s="55"/>
      <c r="T12" s="55"/>
      <c r="U12" s="12"/>
      <c r="V12" s="55"/>
      <c r="W12" s="55"/>
      <c r="X12" s="55"/>
      <c r="Y12" s="55"/>
      <c r="Z12" s="62" t="s">
        <v>171</v>
      </c>
      <c r="AA12" s="55"/>
    </row>
    <row r="13" spans="1:47" ht="200.25" customHeight="1" x14ac:dyDescent="0.2">
      <c r="A13" s="53">
        <v>16</v>
      </c>
      <c r="B13" s="54">
        <v>16</v>
      </c>
      <c r="C13" s="55" t="s">
        <v>10</v>
      </c>
      <c r="D13" s="55" t="s">
        <v>154</v>
      </c>
      <c r="E13" s="56" t="s">
        <v>55</v>
      </c>
      <c r="F13" s="57">
        <v>150000</v>
      </c>
      <c r="G13" s="12" t="s">
        <v>185</v>
      </c>
      <c r="H13" s="12" t="s">
        <v>115</v>
      </c>
      <c r="I13" s="89" t="s">
        <v>198</v>
      </c>
      <c r="J13" s="58">
        <v>150000</v>
      </c>
      <c r="K13" s="58"/>
      <c r="L13" s="58">
        <f>SUM(J13:K13)</f>
        <v>150000</v>
      </c>
      <c r="M13" s="13">
        <v>41250000</v>
      </c>
      <c r="N13" s="59">
        <f>SUM(N5,M13)</f>
        <v>135515000</v>
      </c>
      <c r="O13" s="60"/>
      <c r="P13" s="56" t="s">
        <v>135</v>
      </c>
      <c r="Q13" s="57">
        <v>150000</v>
      </c>
      <c r="R13" s="61"/>
      <c r="S13" s="55" t="s">
        <v>173</v>
      </c>
      <c r="T13" s="55">
        <v>35</v>
      </c>
      <c r="U13" s="12" t="s">
        <v>195</v>
      </c>
      <c r="V13" s="56" t="s">
        <v>174</v>
      </c>
      <c r="W13" s="56" t="s">
        <v>175</v>
      </c>
      <c r="X13" s="56" t="s">
        <v>178</v>
      </c>
      <c r="Y13" s="55" t="s">
        <v>176</v>
      </c>
      <c r="Z13" s="56" t="s">
        <v>179</v>
      </c>
      <c r="AA13" s="56" t="s">
        <v>177</v>
      </c>
    </row>
    <row r="14" spans="1:47" s="52" customFormat="1" ht="282.75" customHeight="1" x14ac:dyDescent="0.2">
      <c r="A14" s="64">
        <v>12</v>
      </c>
      <c r="B14" s="54">
        <v>12</v>
      </c>
      <c r="C14" s="55" t="s">
        <v>6</v>
      </c>
      <c r="D14" s="55" t="s">
        <v>155</v>
      </c>
      <c r="E14" s="56" t="s">
        <v>59</v>
      </c>
      <c r="F14" s="57">
        <v>200000</v>
      </c>
      <c r="G14" s="12" t="s">
        <v>47</v>
      </c>
      <c r="H14" s="12" t="s">
        <v>69</v>
      </c>
      <c r="I14" s="56" t="s">
        <v>29</v>
      </c>
      <c r="J14" s="58">
        <v>200000</v>
      </c>
      <c r="K14" s="58"/>
      <c r="L14" s="58">
        <f>SUM(J14:K14)</f>
        <v>200000</v>
      </c>
      <c r="M14" s="13">
        <v>56100000</v>
      </c>
      <c r="N14" s="65">
        <f>SUM(N16,M14)</f>
        <v>282154500</v>
      </c>
      <c r="O14" s="66"/>
      <c r="P14" s="56" t="s">
        <v>136</v>
      </c>
      <c r="Q14" s="57">
        <v>200000</v>
      </c>
      <c r="R14" s="67"/>
      <c r="S14" s="55">
        <v>0</v>
      </c>
      <c r="T14" s="55">
        <v>60</v>
      </c>
      <c r="U14" s="12">
        <v>0</v>
      </c>
      <c r="V14" s="55">
        <v>10</v>
      </c>
      <c r="W14" s="55">
        <v>0</v>
      </c>
      <c r="X14" s="56" t="s">
        <v>160</v>
      </c>
      <c r="Y14" s="55" t="s">
        <v>159</v>
      </c>
      <c r="Z14" s="88" t="s">
        <v>161</v>
      </c>
      <c r="AA14" s="56"/>
      <c r="AB14" s="92"/>
      <c r="AC14" s="92"/>
      <c r="AD14" s="92"/>
      <c r="AE14" s="92"/>
      <c r="AF14" s="92"/>
      <c r="AG14" s="92"/>
      <c r="AH14" s="92"/>
      <c r="AI14" s="92"/>
      <c r="AJ14" s="92"/>
      <c r="AK14" s="92"/>
      <c r="AL14" s="92"/>
      <c r="AM14" s="92"/>
      <c r="AN14" s="92"/>
      <c r="AO14" s="92"/>
      <c r="AP14" s="92"/>
      <c r="AQ14" s="92"/>
      <c r="AR14" s="92"/>
      <c r="AS14" s="92"/>
      <c r="AT14" s="92"/>
      <c r="AU14" s="92"/>
    </row>
    <row r="15" spans="1:47" ht="96.75" customHeight="1" x14ac:dyDescent="0.2">
      <c r="A15" s="53">
        <v>13</v>
      </c>
      <c r="B15" s="54">
        <v>13</v>
      </c>
      <c r="C15" s="55" t="s">
        <v>8</v>
      </c>
      <c r="D15" s="56" t="s">
        <v>156</v>
      </c>
      <c r="E15" s="56" t="s">
        <v>60</v>
      </c>
      <c r="F15" s="57">
        <v>13000</v>
      </c>
      <c r="G15" s="12" t="s">
        <v>119</v>
      </c>
      <c r="H15" s="12" t="s">
        <v>68</v>
      </c>
      <c r="I15" s="56" t="s">
        <v>30</v>
      </c>
      <c r="J15" s="58">
        <v>13000</v>
      </c>
      <c r="K15" s="58"/>
      <c r="L15" s="58">
        <f>SUM(J15:K15)</f>
        <v>13000</v>
      </c>
      <c r="M15" s="13">
        <v>3315000</v>
      </c>
      <c r="N15" s="59">
        <f>SUM(N3,M15)</f>
        <v>66765000</v>
      </c>
      <c r="O15" s="60"/>
      <c r="P15" s="56" t="s">
        <v>137</v>
      </c>
      <c r="Q15" s="57">
        <v>13000</v>
      </c>
      <c r="R15" s="61"/>
      <c r="S15" s="32">
        <v>0</v>
      </c>
      <c r="T15" s="32">
        <v>2</v>
      </c>
      <c r="U15" s="12">
        <v>0</v>
      </c>
      <c r="V15" s="32">
        <v>2</v>
      </c>
      <c r="W15" s="32">
        <v>0</v>
      </c>
      <c r="X15" s="32">
        <v>0</v>
      </c>
      <c r="Y15" s="32">
        <v>0</v>
      </c>
      <c r="Z15" s="32">
        <v>0</v>
      </c>
      <c r="AA15" s="12" t="s">
        <v>205</v>
      </c>
    </row>
    <row r="16" spans="1:47" ht="111" customHeight="1" x14ac:dyDescent="0.2">
      <c r="A16" s="53">
        <v>11</v>
      </c>
      <c r="B16" s="54">
        <v>11</v>
      </c>
      <c r="C16" s="55" t="s">
        <v>6</v>
      </c>
      <c r="D16" s="56" t="s">
        <v>157</v>
      </c>
      <c r="E16" s="56" t="s">
        <v>58</v>
      </c>
      <c r="F16" s="57">
        <v>75000</v>
      </c>
      <c r="G16" s="12" t="s">
        <v>72</v>
      </c>
      <c r="H16" s="12" t="s">
        <v>71</v>
      </c>
      <c r="I16" s="56" t="s">
        <v>22</v>
      </c>
      <c r="J16" s="58">
        <v>75000</v>
      </c>
      <c r="K16" s="58">
        <v>63690</v>
      </c>
      <c r="L16" s="58">
        <f>SUM(J16:K16)</f>
        <v>138690</v>
      </c>
      <c r="M16" s="13">
        <v>33363000</v>
      </c>
      <c r="N16" s="59">
        <f>SUM(N18,M16)</f>
        <v>226054500</v>
      </c>
      <c r="O16" s="60"/>
      <c r="P16" s="56" t="s">
        <v>137</v>
      </c>
      <c r="Q16" s="57">
        <v>75000</v>
      </c>
      <c r="R16" s="61"/>
      <c r="S16" s="55">
        <v>0</v>
      </c>
      <c r="T16" s="55">
        <v>30</v>
      </c>
      <c r="U16" s="12">
        <v>0</v>
      </c>
      <c r="V16" s="56">
        <v>10</v>
      </c>
      <c r="W16" s="56" t="s">
        <v>162</v>
      </c>
      <c r="X16" s="56" t="s">
        <v>163</v>
      </c>
      <c r="Y16" s="56" t="s">
        <v>206</v>
      </c>
      <c r="Z16" s="55">
        <v>0</v>
      </c>
      <c r="AA16" s="56" t="s">
        <v>164</v>
      </c>
    </row>
    <row r="17" spans="1:47" s="1" customFormat="1" ht="63.75" hidden="1" customHeight="1" x14ac:dyDescent="0.2">
      <c r="A17" s="10">
        <v>15</v>
      </c>
      <c r="B17" s="14">
        <v>15</v>
      </c>
      <c r="C17" s="32" t="s">
        <v>6</v>
      </c>
      <c r="D17" s="32"/>
      <c r="E17" s="12" t="s">
        <v>25</v>
      </c>
      <c r="F17" s="12"/>
      <c r="G17" s="12"/>
      <c r="H17" s="12" t="s">
        <v>34</v>
      </c>
      <c r="I17" s="12"/>
      <c r="J17" s="15"/>
      <c r="K17" s="15"/>
      <c r="L17" s="15"/>
      <c r="M17" s="16">
        <v>7400000</v>
      </c>
      <c r="N17" s="59">
        <f>SUM(N9,M17)</f>
        <v>291854500</v>
      </c>
      <c r="O17" s="60"/>
      <c r="P17" s="12"/>
      <c r="Q17" s="12"/>
      <c r="R17" s="49"/>
      <c r="S17" s="32"/>
      <c r="T17" s="32"/>
      <c r="U17" s="12"/>
      <c r="V17" s="32"/>
      <c r="W17" s="32"/>
      <c r="X17" s="32"/>
      <c r="Y17" s="32"/>
      <c r="Z17" s="32"/>
      <c r="AA17" s="32"/>
      <c r="AB17" s="94"/>
      <c r="AC17" s="94"/>
      <c r="AD17" s="94"/>
      <c r="AE17" s="94"/>
      <c r="AF17" s="94"/>
      <c r="AG17" s="94"/>
      <c r="AH17" s="94"/>
      <c r="AI17" s="94"/>
      <c r="AJ17" s="94"/>
      <c r="AK17" s="94"/>
      <c r="AL17" s="94"/>
      <c r="AM17" s="94"/>
      <c r="AN17" s="94"/>
      <c r="AO17" s="94"/>
      <c r="AP17" s="94"/>
      <c r="AQ17" s="94"/>
      <c r="AR17" s="94"/>
      <c r="AS17" s="94"/>
      <c r="AT17" s="94"/>
      <c r="AU17" s="94"/>
    </row>
    <row r="18" spans="1:47" ht="44.25" customHeight="1" x14ac:dyDescent="0.2">
      <c r="A18" s="53">
        <v>9</v>
      </c>
      <c r="B18" s="54">
        <v>9</v>
      </c>
      <c r="C18" s="105" t="s">
        <v>6</v>
      </c>
      <c r="D18" s="105" t="s">
        <v>158</v>
      </c>
      <c r="E18" s="106" t="s">
        <v>19</v>
      </c>
      <c r="F18" s="107">
        <v>81500</v>
      </c>
      <c r="G18" s="108" t="s">
        <v>56</v>
      </c>
      <c r="H18" s="108" t="s">
        <v>57</v>
      </c>
      <c r="I18" s="106" t="s">
        <v>14</v>
      </c>
      <c r="J18" s="109">
        <v>81500</v>
      </c>
      <c r="K18" s="109">
        <v>40320</v>
      </c>
      <c r="L18" s="109">
        <f>SUM(J18:K18)</f>
        <v>121820</v>
      </c>
      <c r="M18" s="110">
        <v>30476500</v>
      </c>
      <c r="N18" s="111">
        <f>SUM(N4,M18)</f>
        <v>192691500</v>
      </c>
      <c r="O18" s="60"/>
      <c r="P18" s="106" t="s">
        <v>138</v>
      </c>
      <c r="Q18" s="107">
        <v>81500</v>
      </c>
      <c r="R18" s="61"/>
      <c r="S18" s="105"/>
      <c r="T18" s="105"/>
      <c r="U18" s="108"/>
      <c r="V18" s="105"/>
      <c r="W18" s="105"/>
      <c r="X18" s="105"/>
      <c r="Y18" s="105"/>
      <c r="Z18" s="105"/>
      <c r="AA18" s="106" t="s">
        <v>165</v>
      </c>
    </row>
    <row r="19" spans="1:47" ht="297.75" customHeight="1" x14ac:dyDescent="0.2">
      <c r="A19" s="53">
        <v>17</v>
      </c>
      <c r="B19" s="68">
        <v>17</v>
      </c>
      <c r="C19" s="105" t="s">
        <v>6</v>
      </c>
      <c r="D19" s="105"/>
      <c r="E19" s="106" t="s">
        <v>61</v>
      </c>
      <c r="F19" s="106" t="s">
        <v>130</v>
      </c>
      <c r="G19" s="108" t="s">
        <v>18</v>
      </c>
      <c r="H19" s="108" t="s">
        <v>57</v>
      </c>
      <c r="I19" s="106" t="s">
        <v>20</v>
      </c>
      <c r="J19" s="109"/>
      <c r="K19" s="109">
        <v>110493</v>
      </c>
      <c r="L19" s="109">
        <f t="shared" ref="L19:L21" si="2">SUM(J19:K19)</f>
        <v>110493</v>
      </c>
      <c r="M19" s="110">
        <v>24308460</v>
      </c>
      <c r="N19" s="111">
        <f>SUM(N17,M19)</f>
        <v>316162960</v>
      </c>
      <c r="O19" s="60"/>
      <c r="P19" s="106"/>
      <c r="Q19" s="106" t="s">
        <v>130</v>
      </c>
      <c r="R19" s="61"/>
      <c r="S19" s="105"/>
      <c r="T19" s="105"/>
      <c r="U19" s="108" t="s">
        <v>195</v>
      </c>
      <c r="V19" s="105"/>
      <c r="W19" s="105"/>
      <c r="X19" s="105"/>
      <c r="Y19" s="105"/>
      <c r="Z19" s="105"/>
      <c r="AA19" s="105"/>
    </row>
    <row r="20" spans="1:47" ht="48.75" customHeight="1" thickBot="1" x14ac:dyDescent="0.25">
      <c r="A20" s="53">
        <v>18</v>
      </c>
      <c r="B20" s="69">
        <v>18</v>
      </c>
      <c r="C20" s="105" t="s">
        <v>6</v>
      </c>
      <c r="D20" s="105"/>
      <c r="E20" s="106" t="s">
        <v>62</v>
      </c>
      <c r="F20" s="106" t="s">
        <v>130</v>
      </c>
      <c r="G20" s="108" t="s">
        <v>63</v>
      </c>
      <c r="H20" s="108" t="s">
        <v>73</v>
      </c>
      <c r="I20" s="106" t="s">
        <v>22</v>
      </c>
      <c r="J20" s="109">
        <v>150000</v>
      </c>
      <c r="K20" s="109"/>
      <c r="L20" s="109">
        <f>SUM(J20:K20)</f>
        <v>150000</v>
      </c>
      <c r="M20" s="110">
        <v>38250000</v>
      </c>
      <c r="N20" s="111">
        <f t="shared" si="1"/>
        <v>354412960</v>
      </c>
      <c r="O20" s="60"/>
      <c r="P20" s="106"/>
      <c r="Q20" s="106" t="s">
        <v>130</v>
      </c>
      <c r="R20" s="61"/>
      <c r="S20" s="105"/>
      <c r="T20" s="105"/>
      <c r="U20" s="108"/>
      <c r="V20" s="105"/>
      <c r="W20" s="105"/>
      <c r="X20" s="105"/>
      <c r="Y20" s="105"/>
      <c r="Z20" s="105"/>
      <c r="AA20" s="105"/>
    </row>
    <row r="21" spans="1:47" ht="60.75" hidden="1" customHeight="1" x14ac:dyDescent="0.2">
      <c r="A21" s="63">
        <v>19</v>
      </c>
      <c r="B21" s="70"/>
      <c r="C21" s="71" t="s">
        <v>6</v>
      </c>
      <c r="D21" s="71"/>
      <c r="E21" s="72" t="s">
        <v>21</v>
      </c>
      <c r="F21" s="72"/>
      <c r="G21" s="17" t="s">
        <v>18</v>
      </c>
      <c r="H21" s="17" t="s">
        <v>34</v>
      </c>
      <c r="I21" s="72" t="s">
        <v>17</v>
      </c>
      <c r="J21" s="73">
        <v>150000</v>
      </c>
      <c r="K21" s="73"/>
      <c r="L21" s="73">
        <f t="shared" si="2"/>
        <v>150000</v>
      </c>
      <c r="M21" s="18">
        <v>59250000</v>
      </c>
      <c r="N21" s="74">
        <f t="shared" si="1"/>
        <v>413662960</v>
      </c>
      <c r="O21" s="75"/>
      <c r="Q21" s="72"/>
    </row>
    <row r="22" spans="1:47" ht="62.25" hidden="1" customHeight="1" x14ac:dyDescent="0.25">
      <c r="A22" s="63">
        <v>20</v>
      </c>
      <c r="B22" s="76"/>
      <c r="C22" s="55" t="s">
        <v>8</v>
      </c>
      <c r="D22" s="55"/>
      <c r="E22" s="12" t="s">
        <v>13</v>
      </c>
      <c r="F22" s="12"/>
      <c r="G22" s="12" t="s">
        <v>18</v>
      </c>
      <c r="H22" s="12" t="s">
        <v>34</v>
      </c>
      <c r="I22" s="56" t="s">
        <v>16</v>
      </c>
      <c r="J22" s="58"/>
      <c r="K22" s="58"/>
      <c r="L22" s="58">
        <f>SUM(J22:K22)</f>
        <v>0</v>
      </c>
      <c r="M22" s="13">
        <v>16750000</v>
      </c>
      <c r="N22" s="2">
        <f t="shared" si="1"/>
        <v>430412960</v>
      </c>
      <c r="O22" s="40"/>
      <c r="Q22" s="12"/>
    </row>
    <row r="23" spans="1:47" ht="15.75" hidden="1" thickBot="1" x14ac:dyDescent="0.25">
      <c r="A23" s="77"/>
      <c r="B23" s="78"/>
      <c r="C23" s="79"/>
      <c r="D23" s="79"/>
      <c r="E23" s="80"/>
      <c r="F23" s="80"/>
      <c r="G23" s="19"/>
      <c r="H23" s="19"/>
      <c r="I23" s="80"/>
      <c r="J23" s="81"/>
      <c r="K23" s="81"/>
      <c r="L23" s="81"/>
      <c r="M23" s="20"/>
      <c r="N23" s="82"/>
      <c r="O23" s="83"/>
      <c r="Q23" s="80"/>
    </row>
    <row r="24" spans="1:47" ht="15" x14ac:dyDescent="0.2">
      <c r="A24" s="84"/>
      <c r="B24" s="84"/>
      <c r="C24" s="85"/>
      <c r="D24" s="85"/>
      <c r="E24" s="86"/>
      <c r="F24" s="86"/>
      <c r="G24" s="21"/>
      <c r="H24" s="21"/>
      <c r="I24" s="86"/>
      <c r="J24" s="87"/>
      <c r="K24" s="87"/>
      <c r="L24" s="87"/>
      <c r="M24" s="22"/>
      <c r="N24" s="75"/>
      <c r="O24" s="75"/>
      <c r="Q24" s="86"/>
    </row>
    <row r="25" spans="1:47" s="1" customFormat="1" ht="15" hidden="1" x14ac:dyDescent="0.25">
      <c r="A25" s="100" t="s">
        <v>44</v>
      </c>
      <c r="B25" s="100"/>
      <c r="C25" s="100"/>
      <c r="D25" s="100"/>
      <c r="E25" s="100"/>
      <c r="F25" s="100"/>
      <c r="G25" s="100"/>
      <c r="H25" s="23"/>
      <c r="I25" s="23"/>
      <c r="J25" s="24"/>
      <c r="K25" s="24"/>
      <c r="L25" s="24"/>
      <c r="M25" s="25"/>
      <c r="P25" s="26"/>
      <c r="S25" s="26"/>
      <c r="T25" s="26"/>
      <c r="U25" s="26"/>
      <c r="V25" s="26"/>
      <c r="W25" s="26"/>
      <c r="X25" s="26"/>
      <c r="Y25" s="26"/>
      <c r="Z25" s="26"/>
      <c r="AA25" s="26"/>
      <c r="AB25" s="94"/>
      <c r="AC25" s="94"/>
      <c r="AD25" s="94"/>
      <c r="AE25" s="94"/>
      <c r="AF25" s="94"/>
      <c r="AG25" s="94"/>
      <c r="AH25" s="94"/>
      <c r="AI25" s="94"/>
      <c r="AJ25" s="94"/>
      <c r="AK25" s="94"/>
      <c r="AL25" s="94"/>
      <c r="AM25" s="94"/>
      <c r="AN25" s="94"/>
      <c r="AO25" s="94"/>
      <c r="AP25" s="94"/>
      <c r="AQ25" s="94"/>
      <c r="AR25" s="94"/>
      <c r="AS25" s="94"/>
      <c r="AT25" s="94"/>
      <c r="AU25" s="94"/>
    </row>
    <row r="26" spans="1:47" s="1" customFormat="1" x14ac:dyDescent="0.2">
      <c r="A26" s="5"/>
      <c r="B26" s="5"/>
      <c r="C26" s="26"/>
      <c r="D26" s="26"/>
      <c r="E26" s="23"/>
      <c r="F26" s="23"/>
      <c r="G26" s="23"/>
      <c r="H26" s="23"/>
      <c r="I26" s="23"/>
      <c r="J26" s="24"/>
      <c r="K26" s="24"/>
      <c r="L26" s="24"/>
      <c r="M26" s="27"/>
      <c r="P26" s="26"/>
      <c r="Q26" s="23"/>
      <c r="S26" s="26"/>
      <c r="T26" s="26"/>
      <c r="U26" s="26"/>
      <c r="V26" s="26"/>
      <c r="W26" s="26"/>
      <c r="X26" s="26"/>
      <c r="Y26" s="26"/>
      <c r="Z26" s="26"/>
      <c r="AA26" s="26"/>
      <c r="AB26" s="94"/>
      <c r="AC26" s="94"/>
      <c r="AD26" s="94"/>
      <c r="AE26" s="94"/>
      <c r="AF26" s="94"/>
      <c r="AG26" s="94"/>
      <c r="AH26" s="94"/>
      <c r="AI26" s="94"/>
      <c r="AJ26" s="94"/>
      <c r="AK26" s="94"/>
      <c r="AL26" s="94"/>
      <c r="AM26" s="94"/>
      <c r="AN26" s="94"/>
      <c r="AO26" s="94"/>
      <c r="AP26" s="94"/>
      <c r="AQ26" s="94"/>
      <c r="AR26" s="94"/>
      <c r="AS26" s="94"/>
      <c r="AT26" s="94"/>
      <c r="AU26" s="94"/>
    </row>
    <row r="27" spans="1:47" s="1" customFormat="1" x14ac:dyDescent="0.2">
      <c r="A27" s="5" t="s">
        <v>36</v>
      </c>
      <c r="B27" s="5"/>
      <c r="C27" s="26"/>
      <c r="D27" s="26"/>
      <c r="E27" s="23"/>
      <c r="F27" s="23"/>
      <c r="G27" s="23"/>
      <c r="H27" s="23"/>
      <c r="I27" s="23"/>
      <c r="J27" s="24"/>
      <c r="K27" s="24"/>
      <c r="L27" s="24"/>
      <c r="M27" s="27"/>
      <c r="P27" s="26"/>
      <c r="Q27" s="23"/>
      <c r="S27" s="26"/>
      <c r="T27" s="26"/>
      <c r="U27" s="26"/>
      <c r="V27" s="26"/>
      <c r="W27" s="26"/>
      <c r="X27" s="26"/>
      <c r="Y27" s="26"/>
      <c r="Z27" s="26"/>
      <c r="AA27" s="26"/>
      <c r="AB27" s="94"/>
      <c r="AC27" s="94"/>
      <c r="AD27" s="94"/>
      <c r="AE27" s="94"/>
      <c r="AF27" s="94"/>
      <c r="AG27" s="94"/>
      <c r="AH27" s="94"/>
      <c r="AI27" s="94"/>
      <c r="AJ27" s="94"/>
      <c r="AK27" s="94"/>
      <c r="AL27" s="94"/>
      <c r="AM27" s="94"/>
      <c r="AN27" s="94"/>
      <c r="AO27" s="94"/>
      <c r="AP27" s="94"/>
      <c r="AQ27" s="94"/>
      <c r="AR27" s="94"/>
      <c r="AS27" s="94"/>
      <c r="AT27" s="94"/>
      <c r="AU27" s="94"/>
    </row>
    <row r="28" spans="1:47" s="1" customFormat="1" x14ac:dyDescent="0.2">
      <c r="A28" s="5" t="s">
        <v>37</v>
      </c>
      <c r="B28" s="5"/>
      <c r="C28" s="26"/>
      <c r="D28" s="26"/>
      <c r="E28" s="23"/>
      <c r="F28" s="23"/>
      <c r="G28" s="23"/>
      <c r="H28" s="23"/>
      <c r="I28" s="23"/>
      <c r="J28" s="24"/>
      <c r="K28" s="24"/>
      <c r="L28" s="24"/>
      <c r="M28" s="27"/>
      <c r="P28" s="26"/>
      <c r="Q28" s="23"/>
      <c r="S28" s="26"/>
      <c r="T28" s="26"/>
      <c r="U28" s="26"/>
      <c r="V28" s="26"/>
      <c r="W28" s="26"/>
      <c r="X28" s="26"/>
      <c r="Y28" s="26"/>
      <c r="Z28" s="26"/>
      <c r="AA28" s="26"/>
      <c r="AB28" s="94"/>
      <c r="AC28" s="94"/>
      <c r="AD28" s="94"/>
      <c r="AE28" s="94"/>
      <c r="AF28" s="94"/>
      <c r="AG28" s="94"/>
      <c r="AH28" s="94"/>
      <c r="AI28" s="94"/>
      <c r="AJ28" s="94"/>
      <c r="AK28" s="94"/>
      <c r="AL28" s="94"/>
      <c r="AM28" s="94"/>
      <c r="AN28" s="94"/>
      <c r="AO28" s="94"/>
      <c r="AP28" s="94"/>
      <c r="AQ28" s="94"/>
      <c r="AR28" s="94"/>
      <c r="AS28" s="94"/>
      <c r="AT28" s="94"/>
      <c r="AU28" s="94"/>
    </row>
    <row r="29" spans="1:47" s="1" customFormat="1" x14ac:dyDescent="0.2">
      <c r="A29" s="5" t="s">
        <v>38</v>
      </c>
      <c r="B29" s="5"/>
      <c r="C29" s="26"/>
      <c r="D29" s="26"/>
      <c r="E29" s="23"/>
      <c r="F29" s="23"/>
      <c r="G29" s="23"/>
      <c r="H29" s="23"/>
      <c r="I29" s="23"/>
      <c r="J29" s="24"/>
      <c r="K29" s="24"/>
      <c r="L29" s="24"/>
      <c r="M29" s="27"/>
      <c r="P29" s="26"/>
      <c r="Q29" s="23"/>
      <c r="S29" s="26"/>
      <c r="T29" s="26"/>
      <c r="U29" s="26"/>
      <c r="V29" s="26"/>
      <c r="W29" s="26"/>
      <c r="X29" s="26"/>
      <c r="Y29" s="26"/>
      <c r="Z29" s="26"/>
      <c r="AA29" s="26"/>
      <c r="AB29" s="94"/>
      <c r="AC29" s="94"/>
      <c r="AD29" s="94"/>
      <c r="AE29" s="94"/>
      <c r="AF29" s="94"/>
      <c r="AG29" s="94"/>
      <c r="AH29" s="94"/>
      <c r="AI29" s="94"/>
      <c r="AJ29" s="94"/>
      <c r="AK29" s="94"/>
      <c r="AL29" s="94"/>
      <c r="AM29" s="94"/>
      <c r="AN29" s="94"/>
      <c r="AO29" s="94"/>
      <c r="AP29" s="94"/>
      <c r="AQ29" s="94"/>
      <c r="AR29" s="94"/>
      <c r="AS29" s="94"/>
      <c r="AT29" s="94"/>
      <c r="AU29" s="94"/>
    </row>
    <row r="30" spans="1:47" s="1" customFormat="1" x14ac:dyDescent="0.2">
      <c r="A30" s="5" t="s">
        <v>39</v>
      </c>
      <c r="B30" s="5"/>
      <c r="C30" s="26"/>
      <c r="D30" s="26"/>
      <c r="E30" s="23"/>
      <c r="F30" s="23"/>
      <c r="G30" s="23"/>
      <c r="H30" s="23"/>
      <c r="I30" s="23"/>
      <c r="J30" s="24"/>
      <c r="K30" s="24"/>
      <c r="L30" s="24"/>
      <c r="M30" s="27"/>
      <c r="P30" s="26"/>
      <c r="Q30" s="23"/>
      <c r="S30" s="26"/>
      <c r="T30" s="26"/>
      <c r="U30" s="26"/>
      <c r="V30" s="26"/>
      <c r="W30" s="26"/>
      <c r="X30" s="26"/>
      <c r="Y30" s="26"/>
      <c r="Z30" s="26"/>
      <c r="AA30" s="26"/>
      <c r="AB30" s="94"/>
      <c r="AC30" s="94"/>
      <c r="AD30" s="94"/>
      <c r="AE30" s="94"/>
      <c r="AF30" s="94"/>
      <c r="AG30" s="94"/>
      <c r="AH30" s="94"/>
      <c r="AI30" s="94"/>
      <c r="AJ30" s="94"/>
      <c r="AK30" s="94"/>
      <c r="AL30" s="94"/>
      <c r="AM30" s="94"/>
      <c r="AN30" s="94"/>
      <c r="AO30" s="94"/>
      <c r="AP30" s="94"/>
      <c r="AQ30" s="94"/>
      <c r="AR30" s="94"/>
      <c r="AS30" s="94"/>
      <c r="AT30" s="94"/>
      <c r="AU30" s="94"/>
    </row>
    <row r="31" spans="1:47" s="1" customFormat="1" x14ac:dyDescent="0.2">
      <c r="A31" s="5" t="s">
        <v>40</v>
      </c>
      <c r="B31" s="5"/>
      <c r="C31" s="26"/>
      <c r="D31" s="26"/>
      <c r="E31" s="23"/>
      <c r="F31" s="23"/>
      <c r="G31" s="23"/>
      <c r="H31" s="23"/>
      <c r="I31" s="23"/>
      <c r="J31" s="24"/>
      <c r="K31" s="24"/>
      <c r="L31" s="24"/>
      <c r="M31" s="27"/>
      <c r="P31" s="26"/>
      <c r="Q31" s="23"/>
      <c r="S31" s="26"/>
      <c r="T31" s="26"/>
      <c r="U31" s="26"/>
      <c r="V31" s="26"/>
      <c r="W31" s="26"/>
      <c r="X31" s="26"/>
      <c r="Y31" s="26"/>
      <c r="Z31" s="26"/>
      <c r="AA31" s="26"/>
      <c r="AB31" s="94"/>
      <c r="AC31" s="94"/>
      <c r="AD31" s="94"/>
      <c r="AE31" s="94"/>
      <c r="AF31" s="94"/>
      <c r="AG31" s="94"/>
      <c r="AH31" s="94"/>
      <c r="AI31" s="94"/>
      <c r="AJ31" s="94"/>
      <c r="AK31" s="94"/>
      <c r="AL31" s="94"/>
      <c r="AM31" s="94"/>
      <c r="AN31" s="94"/>
      <c r="AO31" s="94"/>
      <c r="AP31" s="94"/>
      <c r="AQ31" s="94"/>
      <c r="AR31" s="94"/>
      <c r="AS31" s="94"/>
      <c r="AT31" s="94"/>
      <c r="AU31" s="94"/>
    </row>
    <row r="32" spans="1:47" s="1" customFormat="1" x14ac:dyDescent="0.2">
      <c r="A32" s="5" t="s">
        <v>41</v>
      </c>
      <c r="B32" s="5"/>
      <c r="C32" s="26"/>
      <c r="D32" s="26"/>
      <c r="E32" s="23"/>
      <c r="F32" s="23"/>
      <c r="G32" s="23"/>
      <c r="H32" s="23"/>
      <c r="I32" s="23"/>
      <c r="J32" s="24"/>
      <c r="K32" s="24"/>
      <c r="L32" s="24"/>
      <c r="M32" s="27"/>
      <c r="P32" s="26"/>
      <c r="Q32" s="23"/>
      <c r="S32" s="26"/>
      <c r="T32" s="26"/>
      <c r="U32" s="26"/>
      <c r="V32" s="26"/>
      <c r="W32" s="26"/>
      <c r="X32" s="26"/>
      <c r="Y32" s="26"/>
      <c r="Z32" s="26"/>
      <c r="AA32" s="26"/>
      <c r="AB32" s="94"/>
      <c r="AC32" s="94"/>
      <c r="AD32" s="94"/>
      <c r="AE32" s="94"/>
      <c r="AF32" s="94"/>
      <c r="AG32" s="94"/>
      <c r="AH32" s="94"/>
      <c r="AI32" s="94"/>
      <c r="AJ32" s="94"/>
      <c r="AK32" s="94"/>
      <c r="AL32" s="94"/>
      <c r="AM32" s="94"/>
      <c r="AN32" s="94"/>
      <c r="AO32" s="94"/>
      <c r="AP32" s="94"/>
      <c r="AQ32" s="94"/>
      <c r="AR32" s="94"/>
      <c r="AS32" s="94"/>
      <c r="AT32" s="94"/>
      <c r="AU32" s="94"/>
    </row>
    <row r="33" spans="1:47" s="1" customFormat="1" x14ac:dyDescent="0.2">
      <c r="A33" s="5" t="s">
        <v>42</v>
      </c>
      <c r="B33" s="5"/>
      <c r="C33" s="26"/>
      <c r="D33" s="26"/>
      <c r="E33" s="23"/>
      <c r="F33" s="23"/>
      <c r="G33" s="23"/>
      <c r="H33" s="23"/>
      <c r="I33" s="23"/>
      <c r="J33" s="24"/>
      <c r="K33" s="24"/>
      <c r="L33" s="24"/>
      <c r="M33" s="27"/>
      <c r="P33" s="26"/>
      <c r="Q33" s="23"/>
      <c r="S33" s="26"/>
      <c r="T33" s="26"/>
      <c r="U33" s="26"/>
      <c r="V33" s="26"/>
      <c r="W33" s="26"/>
      <c r="X33" s="26"/>
      <c r="Y33" s="26"/>
      <c r="Z33" s="26"/>
      <c r="AA33" s="26"/>
      <c r="AB33" s="94"/>
      <c r="AC33" s="94"/>
      <c r="AD33" s="94"/>
      <c r="AE33" s="94"/>
      <c r="AF33" s="94"/>
      <c r="AG33" s="94"/>
      <c r="AH33" s="94"/>
      <c r="AI33" s="94"/>
      <c r="AJ33" s="94"/>
      <c r="AK33" s="94"/>
      <c r="AL33" s="94"/>
      <c r="AM33" s="94"/>
      <c r="AN33" s="94"/>
      <c r="AO33" s="94"/>
      <c r="AP33" s="94"/>
      <c r="AQ33" s="94"/>
      <c r="AR33" s="94"/>
      <c r="AS33" s="94"/>
      <c r="AT33" s="94"/>
      <c r="AU33" s="94"/>
    </row>
    <row r="35" spans="1:47" ht="15" x14ac:dyDescent="0.25">
      <c r="A35" s="8"/>
      <c r="B35" s="8"/>
    </row>
    <row r="36" spans="1:47" x14ac:dyDescent="0.2">
      <c r="A36" s="5"/>
      <c r="B36" s="5"/>
      <c r="C36" s="26"/>
      <c r="D36" s="26"/>
      <c r="E36" s="23"/>
      <c r="F36" s="23"/>
      <c r="Q36" s="23"/>
    </row>
    <row r="37" spans="1:47" x14ac:dyDescent="0.2">
      <c r="A37" s="5"/>
      <c r="B37" s="5"/>
      <c r="C37" s="26"/>
      <c r="D37" s="26"/>
      <c r="E37" s="23"/>
      <c r="F37" s="23"/>
      <c r="Q37" s="23"/>
    </row>
    <row r="38" spans="1:47" x14ac:dyDescent="0.2">
      <c r="A38" s="5"/>
      <c r="B38" s="5"/>
      <c r="C38" s="26"/>
      <c r="D38" s="26"/>
      <c r="E38" s="23"/>
      <c r="F38" s="23"/>
      <c r="Q38" s="23"/>
    </row>
    <row r="39" spans="1:47" x14ac:dyDescent="0.2">
      <c r="A39" s="5"/>
      <c r="B39" s="5"/>
      <c r="C39" s="26"/>
      <c r="D39" s="26"/>
      <c r="E39" s="23"/>
      <c r="F39" s="23"/>
      <c r="Q39" s="23"/>
    </row>
    <row r="40" spans="1:47" x14ac:dyDescent="0.2">
      <c r="A40" s="5"/>
      <c r="B40" s="5"/>
      <c r="C40" s="26"/>
      <c r="D40" s="26"/>
      <c r="E40" s="23"/>
      <c r="F40" s="23"/>
      <c r="Q40" s="23"/>
    </row>
    <row r="41" spans="1:47" x14ac:dyDescent="0.2">
      <c r="A41" s="5"/>
      <c r="B41" s="5"/>
      <c r="C41" s="26"/>
      <c r="D41" s="26"/>
      <c r="E41" s="23"/>
      <c r="F41" s="23"/>
      <c r="Q41" s="23"/>
    </row>
    <row r="42" spans="1:47" x14ac:dyDescent="0.2">
      <c r="A42" s="5"/>
      <c r="B42" s="5"/>
      <c r="C42" s="26"/>
      <c r="D42" s="26"/>
      <c r="E42" s="23"/>
      <c r="F42" s="23"/>
      <c r="Q42" s="23"/>
    </row>
    <row r="43" spans="1:47" x14ac:dyDescent="0.2">
      <c r="A43" s="5"/>
      <c r="B43" s="5"/>
      <c r="C43" s="26"/>
      <c r="D43" s="26"/>
      <c r="E43" s="23"/>
      <c r="F43" s="23"/>
      <c r="Q43" s="23"/>
    </row>
    <row r="44" spans="1:47" x14ac:dyDescent="0.2">
      <c r="A44" s="5"/>
      <c r="B44" s="5"/>
      <c r="C44" s="26"/>
      <c r="D44" s="26"/>
      <c r="E44" s="23"/>
      <c r="F44" s="23"/>
      <c r="Q44" s="23"/>
    </row>
    <row r="45" spans="1:47" x14ac:dyDescent="0.2">
      <c r="A45" s="5"/>
      <c r="B45" s="5"/>
      <c r="C45" s="26"/>
      <c r="D45" s="26"/>
      <c r="E45" s="23"/>
      <c r="F45" s="23"/>
      <c r="Q45" s="23"/>
    </row>
    <row r="46" spans="1:47" x14ac:dyDescent="0.2">
      <c r="A46" s="5"/>
      <c r="B46" s="5"/>
      <c r="C46" s="26"/>
      <c r="D46" s="26"/>
      <c r="E46" s="23"/>
      <c r="F46" s="23"/>
      <c r="Q46" s="23"/>
    </row>
    <row r="47" spans="1:47" x14ac:dyDescent="0.2">
      <c r="A47" s="5"/>
      <c r="B47" s="5"/>
      <c r="C47" s="26"/>
      <c r="D47" s="26"/>
      <c r="E47" s="23"/>
      <c r="F47" s="23"/>
      <c r="Q47" s="23"/>
    </row>
    <row r="48" spans="1:47" x14ac:dyDescent="0.2">
      <c r="A48" s="5"/>
      <c r="B48" s="5"/>
      <c r="C48" s="26"/>
      <c r="D48" s="26"/>
      <c r="E48" s="23"/>
      <c r="F48" s="23"/>
      <c r="Q48" s="23"/>
    </row>
    <row r="49" spans="1:17" x14ac:dyDescent="0.2">
      <c r="A49" s="5"/>
      <c r="B49" s="5"/>
      <c r="C49" s="26"/>
      <c r="D49" s="26"/>
      <c r="E49" s="23"/>
      <c r="F49" s="23"/>
      <c r="Q49" s="23"/>
    </row>
    <row r="50" spans="1:17" x14ac:dyDescent="0.2">
      <c r="A50" s="5"/>
      <c r="B50" s="5"/>
      <c r="C50" s="26"/>
      <c r="D50" s="26"/>
      <c r="E50" s="23"/>
      <c r="F50" s="23"/>
      <c r="Q50" s="23"/>
    </row>
    <row r="51" spans="1:17" x14ac:dyDescent="0.2">
      <c r="A51" s="5"/>
      <c r="B51" s="5"/>
      <c r="C51" s="26"/>
      <c r="D51" s="26"/>
      <c r="E51" s="23"/>
      <c r="F51" s="23"/>
      <c r="Q51" s="23"/>
    </row>
    <row r="52" spans="1:17" x14ac:dyDescent="0.2">
      <c r="A52" s="5"/>
      <c r="B52" s="5"/>
      <c r="C52" s="26"/>
      <c r="D52" s="26"/>
      <c r="E52" s="23"/>
      <c r="F52" s="23"/>
      <c r="Q52" s="23"/>
    </row>
    <row r="53" spans="1:17" x14ac:dyDescent="0.2">
      <c r="A53" s="5"/>
      <c r="B53" s="5"/>
      <c r="C53" s="26"/>
      <c r="D53" s="26"/>
      <c r="E53" s="23"/>
      <c r="F53" s="23"/>
      <c r="Q53" s="23"/>
    </row>
    <row r="54" spans="1:17" x14ac:dyDescent="0.2">
      <c r="A54" s="5"/>
      <c r="B54" s="5"/>
      <c r="C54" s="26"/>
      <c r="D54" s="26"/>
      <c r="E54" s="23"/>
      <c r="F54" s="23"/>
      <c r="Q54" s="23"/>
    </row>
    <row r="55" spans="1:17" x14ac:dyDescent="0.2">
      <c r="A55" s="5"/>
      <c r="B55" s="5"/>
      <c r="C55" s="26"/>
      <c r="D55" s="26"/>
      <c r="E55" s="23"/>
      <c r="F55" s="23"/>
      <c r="Q55" s="23"/>
    </row>
    <row r="56" spans="1:17" x14ac:dyDescent="0.2">
      <c r="A56" s="5"/>
      <c r="B56" s="5"/>
      <c r="C56" s="26"/>
      <c r="D56" s="26"/>
      <c r="E56" s="23"/>
      <c r="F56" s="23"/>
      <c r="Q56" s="23"/>
    </row>
    <row r="57" spans="1:17" x14ac:dyDescent="0.2">
      <c r="A57" s="5"/>
      <c r="B57" s="5"/>
      <c r="C57" s="26"/>
      <c r="D57" s="26"/>
      <c r="E57" s="23"/>
      <c r="F57" s="23"/>
      <c r="Q57" s="23"/>
    </row>
    <row r="58" spans="1:17" x14ac:dyDescent="0.2">
      <c r="A58" s="5"/>
      <c r="B58" s="5"/>
      <c r="C58" s="26"/>
      <c r="D58" s="26"/>
      <c r="E58" s="23"/>
      <c r="F58" s="23"/>
      <c r="Q58" s="23"/>
    </row>
    <row r="59" spans="1:17" x14ac:dyDescent="0.2">
      <c r="A59" s="5"/>
      <c r="B59" s="5"/>
      <c r="C59" s="26"/>
      <c r="D59" s="26"/>
      <c r="E59" s="23"/>
      <c r="F59" s="23"/>
      <c r="Q59" s="23"/>
    </row>
    <row r="60" spans="1:17" x14ac:dyDescent="0.2">
      <c r="A60" s="5"/>
      <c r="B60" s="5"/>
      <c r="C60" s="26"/>
      <c r="D60" s="26"/>
      <c r="E60" s="23"/>
      <c r="F60" s="23"/>
      <c r="Q60" s="23"/>
    </row>
    <row r="61" spans="1:17" x14ac:dyDescent="0.2">
      <c r="A61" s="5"/>
      <c r="B61" s="5"/>
      <c r="C61" s="26"/>
      <c r="D61" s="26"/>
      <c r="E61" s="23"/>
      <c r="F61" s="23"/>
      <c r="Q61" s="23"/>
    </row>
    <row r="62" spans="1:17" x14ac:dyDescent="0.2">
      <c r="A62" s="5"/>
      <c r="B62" s="5"/>
      <c r="C62" s="26"/>
      <c r="D62" s="26"/>
      <c r="E62" s="23"/>
      <c r="F62" s="23"/>
      <c r="Q62" s="23"/>
    </row>
    <row r="63" spans="1:17" x14ac:dyDescent="0.2">
      <c r="A63" s="5"/>
      <c r="B63" s="5"/>
      <c r="C63" s="26"/>
      <c r="D63" s="26"/>
      <c r="E63" s="23"/>
      <c r="F63" s="23"/>
      <c r="Q63" s="23"/>
    </row>
    <row r="64" spans="1:17" x14ac:dyDescent="0.2">
      <c r="A64" s="5"/>
      <c r="B64" s="5"/>
      <c r="C64" s="26"/>
      <c r="D64" s="26"/>
      <c r="E64" s="23"/>
      <c r="F64" s="23"/>
      <c r="Q64" s="23"/>
    </row>
    <row r="65" spans="1:17" x14ac:dyDescent="0.2">
      <c r="A65" s="5"/>
      <c r="B65" s="5"/>
      <c r="C65" s="26"/>
      <c r="D65" s="26"/>
      <c r="E65" s="23"/>
      <c r="F65" s="23"/>
      <c r="Q65" s="23"/>
    </row>
    <row r="66" spans="1:17" x14ac:dyDescent="0.2">
      <c r="A66" s="5"/>
      <c r="B66" s="5"/>
      <c r="C66" s="26"/>
      <c r="D66" s="26"/>
      <c r="E66" s="23"/>
      <c r="F66" s="23"/>
      <c r="Q66" s="23"/>
    </row>
    <row r="68" spans="1:17" ht="15" x14ac:dyDescent="0.2">
      <c r="A68" s="6"/>
      <c r="B68" s="6"/>
    </row>
    <row r="69" spans="1:17" x14ac:dyDescent="0.2">
      <c r="A69" s="7"/>
      <c r="B69" s="7"/>
    </row>
    <row r="70" spans="1:17" x14ac:dyDescent="0.2">
      <c r="A70" s="7"/>
      <c r="B70" s="7"/>
    </row>
    <row r="71" spans="1:17" ht="15" x14ac:dyDescent="0.2">
      <c r="A71" s="6"/>
      <c r="B71" s="6"/>
    </row>
    <row r="72" spans="1:17" ht="15" x14ac:dyDescent="0.2">
      <c r="A72" s="6"/>
      <c r="B72" s="6"/>
    </row>
    <row r="73" spans="1:17" x14ac:dyDescent="0.2">
      <c r="A73" s="7"/>
      <c r="B73" s="7"/>
    </row>
    <row r="74" spans="1:17" x14ac:dyDescent="0.2">
      <c r="A74" s="7"/>
      <c r="B74" s="7"/>
    </row>
    <row r="75" spans="1:17" x14ac:dyDescent="0.2">
      <c r="A75" s="7"/>
      <c r="B75" s="7"/>
    </row>
    <row r="76" spans="1:17" ht="15" x14ac:dyDescent="0.2">
      <c r="A76" s="6"/>
      <c r="B76" s="6"/>
    </row>
    <row r="77" spans="1:17" x14ac:dyDescent="0.2">
      <c r="A77" s="7"/>
      <c r="B77" s="7"/>
    </row>
    <row r="78" spans="1:17" x14ac:dyDescent="0.2">
      <c r="A78" s="7"/>
      <c r="B78" s="7"/>
    </row>
  </sheetData>
  <mergeCells count="4">
    <mergeCell ref="A1:N1"/>
    <mergeCell ref="A25:G25"/>
    <mergeCell ref="P1:Q1"/>
    <mergeCell ref="S1:AA1"/>
  </mergeCells>
  <printOptions horizontalCentered="1" gridLines="1"/>
  <pageMargins left="0.25" right="0.25" top="0.75" bottom="0.75" header="0.3" footer="0.3"/>
  <pageSetup paperSize="5" scale="47"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66"/>
  <sheetViews>
    <sheetView workbookViewId="0">
      <selection activeCell="D8" sqref="D8"/>
    </sheetView>
  </sheetViews>
  <sheetFormatPr defaultRowHeight="14.25" x14ac:dyDescent="0.2"/>
  <sheetData>
    <row r="1" spans="1:9" x14ac:dyDescent="0.2">
      <c r="A1" s="103" t="s">
        <v>74</v>
      </c>
      <c r="B1" s="103"/>
      <c r="C1" s="103"/>
      <c r="D1" s="103"/>
    </row>
    <row r="2" spans="1:9" x14ac:dyDescent="0.2">
      <c r="A2" s="36"/>
      <c r="B2" s="36"/>
      <c r="C2" s="36"/>
      <c r="D2" s="36"/>
    </row>
    <row r="3" spans="1:9" x14ac:dyDescent="0.2">
      <c r="A3" s="104" t="s">
        <v>125</v>
      </c>
      <c r="B3" s="104"/>
      <c r="C3" s="104"/>
      <c r="D3" s="104"/>
      <c r="E3" s="104"/>
      <c r="F3" s="104"/>
      <c r="G3" s="104"/>
      <c r="H3" s="104"/>
      <c r="I3" s="104"/>
    </row>
    <row r="4" spans="1:9" x14ac:dyDescent="0.2">
      <c r="A4" s="33"/>
    </row>
    <row r="5" spans="1:9" x14ac:dyDescent="0.2">
      <c r="A5" s="34" t="s">
        <v>75</v>
      </c>
    </row>
    <row r="6" spans="1:9" x14ac:dyDescent="0.2">
      <c r="A6" s="35" t="s">
        <v>76</v>
      </c>
    </row>
    <row r="7" spans="1:9" x14ac:dyDescent="0.2">
      <c r="A7" s="35" t="s">
        <v>77</v>
      </c>
    </row>
    <row r="8" spans="1:9" x14ac:dyDescent="0.2">
      <c r="A8" s="35" t="s">
        <v>78</v>
      </c>
    </row>
    <row r="9" spans="1:9" x14ac:dyDescent="0.2">
      <c r="A9" s="35" t="s">
        <v>79</v>
      </c>
    </row>
    <row r="10" spans="1:9" x14ac:dyDescent="0.2">
      <c r="A10" s="34"/>
    </row>
    <row r="11" spans="1:9" x14ac:dyDescent="0.2">
      <c r="A11" s="34" t="s">
        <v>80</v>
      </c>
    </row>
    <row r="12" spans="1:9" x14ac:dyDescent="0.2">
      <c r="A12" s="35" t="s">
        <v>81</v>
      </c>
    </row>
    <row r="13" spans="1:9" x14ac:dyDescent="0.2">
      <c r="A13" s="35" t="s">
        <v>82</v>
      </c>
    </row>
    <row r="14" spans="1:9" x14ac:dyDescent="0.2">
      <c r="A14" s="35" t="s">
        <v>83</v>
      </c>
    </row>
    <row r="15" spans="1:9" x14ac:dyDescent="0.2">
      <c r="A15" s="35" t="s">
        <v>121</v>
      </c>
    </row>
    <row r="16" spans="1:9" x14ac:dyDescent="0.2">
      <c r="A16" s="35" t="s">
        <v>122</v>
      </c>
    </row>
    <row r="17" spans="1:1" x14ac:dyDescent="0.2">
      <c r="A17" s="35" t="s">
        <v>123</v>
      </c>
    </row>
    <row r="18" spans="1:1" x14ac:dyDescent="0.2">
      <c r="A18" s="34"/>
    </row>
    <row r="19" spans="1:1" x14ac:dyDescent="0.2">
      <c r="A19" s="34" t="s">
        <v>84</v>
      </c>
    </row>
    <row r="20" spans="1:1" x14ac:dyDescent="0.2">
      <c r="A20" s="35" t="s">
        <v>85</v>
      </c>
    </row>
    <row r="21" spans="1:1" x14ac:dyDescent="0.2">
      <c r="A21" s="35" t="s">
        <v>86</v>
      </c>
    </row>
    <row r="22" spans="1:1" x14ac:dyDescent="0.2">
      <c r="A22" s="35" t="s">
        <v>87</v>
      </c>
    </row>
    <row r="23" spans="1:1" x14ac:dyDescent="0.2">
      <c r="A23" s="35" t="s">
        <v>88</v>
      </c>
    </row>
    <row r="24" spans="1:1" x14ac:dyDescent="0.2">
      <c r="A24" s="34"/>
    </row>
    <row r="25" spans="1:1" x14ac:dyDescent="0.2">
      <c r="A25" s="34" t="s">
        <v>89</v>
      </c>
    </row>
    <row r="26" spans="1:1" x14ac:dyDescent="0.2">
      <c r="A26" s="35" t="s">
        <v>90</v>
      </c>
    </row>
    <row r="27" spans="1:1" x14ac:dyDescent="0.2">
      <c r="A27" s="35" t="s">
        <v>91</v>
      </c>
    </row>
    <row r="28" spans="1:1" x14ac:dyDescent="0.2">
      <c r="A28" s="35" t="s">
        <v>92</v>
      </c>
    </row>
    <row r="29" spans="1:1" x14ac:dyDescent="0.2">
      <c r="A29" s="35" t="s">
        <v>121</v>
      </c>
    </row>
    <row r="30" spans="1:1" x14ac:dyDescent="0.2">
      <c r="A30" s="35" t="s">
        <v>122</v>
      </c>
    </row>
    <row r="31" spans="1:1" x14ac:dyDescent="0.2">
      <c r="A31" s="35" t="s">
        <v>123</v>
      </c>
    </row>
    <row r="32" spans="1:1" x14ac:dyDescent="0.2">
      <c r="A32" s="35"/>
    </row>
    <row r="33" spans="1:1" x14ac:dyDescent="0.2">
      <c r="A33" s="34" t="s">
        <v>93</v>
      </c>
    </row>
    <row r="34" spans="1:1" x14ac:dyDescent="0.2">
      <c r="A34" s="35" t="s">
        <v>81</v>
      </c>
    </row>
    <row r="35" spans="1:1" x14ac:dyDescent="0.2">
      <c r="A35" s="35" t="s">
        <v>82</v>
      </c>
    </row>
    <row r="36" spans="1:1" x14ac:dyDescent="0.2">
      <c r="A36" s="35" t="s">
        <v>94</v>
      </c>
    </row>
    <row r="37" spans="1:1" x14ac:dyDescent="0.2">
      <c r="A37" s="35" t="s">
        <v>121</v>
      </c>
    </row>
    <row r="38" spans="1:1" x14ac:dyDescent="0.2">
      <c r="A38" s="35" t="s">
        <v>122</v>
      </c>
    </row>
    <row r="39" spans="1:1" x14ac:dyDescent="0.2">
      <c r="A39" s="35" t="s">
        <v>123</v>
      </c>
    </row>
    <row r="40" spans="1:1" x14ac:dyDescent="0.2">
      <c r="A40" s="35"/>
    </row>
    <row r="41" spans="1:1" x14ac:dyDescent="0.2">
      <c r="A41" s="34" t="s">
        <v>95</v>
      </c>
    </row>
    <row r="42" spans="1:1" x14ac:dyDescent="0.2">
      <c r="A42" s="35" t="s">
        <v>96</v>
      </c>
    </row>
    <row r="43" spans="1:1" x14ac:dyDescent="0.2">
      <c r="A43" s="35" t="s">
        <v>97</v>
      </c>
    </row>
    <row r="44" spans="1:1" x14ac:dyDescent="0.2">
      <c r="A44" s="35" t="s">
        <v>98</v>
      </c>
    </row>
    <row r="45" spans="1:1" x14ac:dyDescent="0.2">
      <c r="A45" s="34"/>
    </row>
    <row r="46" spans="1:1" x14ac:dyDescent="0.2">
      <c r="A46" s="34" t="s">
        <v>99</v>
      </c>
    </row>
    <row r="47" spans="1:1" x14ac:dyDescent="0.2">
      <c r="A47" s="35" t="s">
        <v>100</v>
      </c>
    </row>
    <row r="48" spans="1:1" x14ac:dyDescent="0.2">
      <c r="A48" s="35" t="s">
        <v>101</v>
      </c>
    </row>
    <row r="49" spans="1:1" x14ac:dyDescent="0.2">
      <c r="A49" s="34"/>
    </row>
    <row r="50" spans="1:1" x14ac:dyDescent="0.2">
      <c r="A50" s="34" t="s">
        <v>110</v>
      </c>
    </row>
    <row r="51" spans="1:1" s="37" customFormat="1" x14ac:dyDescent="0.2">
      <c r="A51" s="35" t="s">
        <v>111</v>
      </c>
    </row>
    <row r="52" spans="1:1" x14ac:dyDescent="0.2">
      <c r="A52" s="35" t="s">
        <v>102</v>
      </c>
    </row>
    <row r="53" spans="1:1" x14ac:dyDescent="0.2">
      <c r="A53" s="35" t="s">
        <v>103</v>
      </c>
    </row>
    <row r="54" spans="1:1" x14ac:dyDescent="0.2">
      <c r="A54" s="35" t="s">
        <v>124</v>
      </c>
    </row>
    <row r="55" spans="1:1" x14ac:dyDescent="0.2">
      <c r="A55" s="34"/>
    </row>
    <row r="56" spans="1:1" x14ac:dyDescent="0.2">
      <c r="A56" s="34" t="s">
        <v>104</v>
      </c>
    </row>
    <row r="57" spans="1:1" x14ac:dyDescent="0.2">
      <c r="A57" s="35" t="s">
        <v>105</v>
      </c>
    </row>
    <row r="58" spans="1:1" x14ac:dyDescent="0.2">
      <c r="A58" s="35" t="s">
        <v>106</v>
      </c>
    </row>
    <row r="59" spans="1:1" x14ac:dyDescent="0.2">
      <c r="A59" s="35" t="s">
        <v>107</v>
      </c>
    </row>
    <row r="60" spans="1:1" x14ac:dyDescent="0.2">
      <c r="A60" s="35" t="s">
        <v>121</v>
      </c>
    </row>
    <row r="61" spans="1:1" x14ac:dyDescent="0.2">
      <c r="A61" s="35" t="s">
        <v>122</v>
      </c>
    </row>
    <row r="62" spans="1:1" x14ac:dyDescent="0.2">
      <c r="A62" s="35" t="s">
        <v>123</v>
      </c>
    </row>
    <row r="63" spans="1:1" x14ac:dyDescent="0.2">
      <c r="A63" s="35"/>
    </row>
    <row r="64" spans="1:1" x14ac:dyDescent="0.2">
      <c r="A64" s="34" t="s">
        <v>108</v>
      </c>
    </row>
    <row r="65" spans="1:1" x14ac:dyDescent="0.2">
      <c r="A65" s="35" t="s">
        <v>105</v>
      </c>
    </row>
    <row r="66" spans="1:1" x14ac:dyDescent="0.2">
      <c r="A66" s="35" t="s">
        <v>109</v>
      </c>
    </row>
  </sheetData>
  <mergeCells count="2">
    <mergeCell ref="A1:D1"/>
    <mergeCell ref="A3:I3"/>
  </mergeCells>
  <pageMargins left="0.7" right="0.7" top="0.75" bottom="0.75" header="0.3" footer="0.3"/>
  <pageSetup scale="7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FTE Impacts 5.1.13 </vt:lpstr>
      <vt:lpstr>Formulas</vt:lpstr>
      <vt:lpstr>'FTE Impacts 5.1.13 '!Print_Area</vt:lpstr>
      <vt:lpstr>'FTE Impacts 5.1.13 '!Print_Titles</vt:lpstr>
    </vt:vector>
  </TitlesOfParts>
  <Company>CPCC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Geraldine Johnson</dc:creator>
  <cp:lastModifiedBy>Lori Alexander</cp:lastModifiedBy>
  <cp:lastPrinted>2013-10-09T17:23:28Z</cp:lastPrinted>
  <dcterms:created xsi:type="dcterms:W3CDTF">2013-02-04T16:44:03Z</dcterms:created>
  <dcterms:modified xsi:type="dcterms:W3CDTF">2013-10-09T17:26:58Z</dcterms:modified>
</cp:coreProperties>
</file>