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0" yWindow="0" windowWidth="25600" windowHeight="18380" tabRatio="500"/>
  </bookViews>
  <sheets>
    <sheet name="S3" sheetId="1" r:id="rId1"/>
  </sheets>
  <externalReferences>
    <externalReference r:id="rId2"/>
  </externalReferences>
  <definedNames>
    <definedName name="trxx">[1]S2!#REF!</definedName>
  </definedNames>
  <calcPr calcId="140000" calcMode="manual" calcCompleted="0" calcOnSave="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5" i="1" l="1"/>
  <c r="E55" i="1"/>
  <c r="D55" i="1"/>
  <c r="C55" i="1"/>
  <c r="B55" i="1"/>
  <c r="F54" i="1"/>
  <c r="E54" i="1"/>
  <c r="D54" i="1"/>
  <c r="C54" i="1"/>
  <c r="F53" i="1"/>
  <c r="E53" i="1"/>
  <c r="D53" i="1"/>
  <c r="C53" i="1"/>
  <c r="F52" i="1"/>
  <c r="E52" i="1"/>
  <c r="D52" i="1"/>
  <c r="C52" i="1"/>
  <c r="F49" i="1"/>
  <c r="E49" i="1"/>
  <c r="D49" i="1"/>
  <c r="C49" i="1"/>
  <c r="B49" i="1"/>
  <c r="F48" i="1"/>
  <c r="E48" i="1"/>
  <c r="D48" i="1"/>
  <c r="C48" i="1"/>
  <c r="F47" i="1"/>
  <c r="E47" i="1"/>
  <c r="D47" i="1"/>
  <c r="C47" i="1"/>
  <c r="F46" i="1"/>
  <c r="E46" i="1"/>
  <c r="D46" i="1"/>
  <c r="C46" i="1"/>
  <c r="F43" i="1"/>
  <c r="E43" i="1"/>
  <c r="D43" i="1"/>
  <c r="C43" i="1"/>
  <c r="B43" i="1"/>
  <c r="F42" i="1"/>
  <c r="E42" i="1"/>
  <c r="D42" i="1"/>
  <c r="C42" i="1"/>
  <c r="F41" i="1"/>
  <c r="E41" i="1"/>
  <c r="D41" i="1"/>
  <c r="C41" i="1"/>
  <c r="F40" i="1"/>
  <c r="E40" i="1"/>
  <c r="D40" i="1"/>
  <c r="C40" i="1"/>
  <c r="F37" i="1"/>
  <c r="E37" i="1"/>
  <c r="D37" i="1"/>
  <c r="C37" i="1"/>
  <c r="B37" i="1"/>
  <c r="F36" i="1"/>
  <c r="E36" i="1"/>
  <c r="D36" i="1"/>
  <c r="C36" i="1"/>
  <c r="F35" i="1"/>
  <c r="E35" i="1"/>
  <c r="D35" i="1"/>
  <c r="C35" i="1"/>
  <c r="F34" i="1"/>
  <c r="E34" i="1"/>
  <c r="D34" i="1"/>
  <c r="C34" i="1"/>
  <c r="F31" i="1"/>
  <c r="E31" i="1"/>
  <c r="D31" i="1"/>
  <c r="C31" i="1"/>
  <c r="B31" i="1"/>
  <c r="F30" i="1"/>
  <c r="E30" i="1"/>
  <c r="D30" i="1"/>
  <c r="C30" i="1"/>
  <c r="F29" i="1"/>
  <c r="E29" i="1"/>
  <c r="D29" i="1"/>
  <c r="C29" i="1"/>
  <c r="F28" i="1"/>
  <c r="E28" i="1"/>
  <c r="D28" i="1"/>
  <c r="C28" i="1"/>
  <c r="G22" i="1"/>
  <c r="F22" i="1"/>
  <c r="E22" i="1"/>
  <c r="D22" i="1"/>
  <c r="C22" i="1"/>
  <c r="B22" i="1"/>
  <c r="G21" i="1"/>
  <c r="F21" i="1"/>
  <c r="E21" i="1"/>
  <c r="D21" i="1"/>
  <c r="C21" i="1"/>
  <c r="B21" i="1"/>
  <c r="G20" i="1"/>
  <c r="F20" i="1"/>
  <c r="E20" i="1"/>
  <c r="D20" i="1"/>
  <c r="C20" i="1"/>
  <c r="B20" i="1"/>
  <c r="G19" i="1"/>
  <c r="F19" i="1"/>
  <c r="E19" i="1"/>
  <c r="D19" i="1"/>
  <c r="C19" i="1"/>
  <c r="B19" i="1"/>
  <c r="G16" i="1"/>
  <c r="F16" i="1"/>
  <c r="E16" i="1"/>
  <c r="D16" i="1"/>
  <c r="C16" i="1"/>
  <c r="B16" i="1"/>
  <c r="G15" i="1"/>
  <c r="F15" i="1"/>
  <c r="E15" i="1"/>
  <c r="D15" i="1"/>
  <c r="C15" i="1"/>
  <c r="B15" i="1"/>
  <c r="G14" i="1"/>
  <c r="F14" i="1"/>
  <c r="E14" i="1"/>
  <c r="D14" i="1"/>
  <c r="C14" i="1"/>
  <c r="B14" i="1"/>
  <c r="G13" i="1"/>
  <c r="F13" i="1"/>
  <c r="E13" i="1"/>
  <c r="D13" i="1"/>
  <c r="C13" i="1"/>
  <c r="B13" i="1"/>
  <c r="G10" i="1"/>
  <c r="F10" i="1"/>
  <c r="E10" i="1"/>
  <c r="D10" i="1"/>
  <c r="C10" i="1"/>
  <c r="B10" i="1"/>
  <c r="G9" i="1"/>
  <c r="E9" i="1"/>
  <c r="D9" i="1"/>
  <c r="G8" i="1"/>
  <c r="E8" i="1"/>
  <c r="D8" i="1"/>
  <c r="G7" i="1"/>
  <c r="E7" i="1"/>
  <c r="D7" i="1"/>
</calcChain>
</file>

<file path=xl/sharedStrings.xml><?xml version="1.0" encoding="utf-8"?>
<sst xmlns="http://schemas.openxmlformats.org/spreadsheetml/2006/main" count="87" uniqueCount="32">
  <si>
    <t>Table S3. Validation of variants in exons by RNA-Seq</t>
  </si>
  <si>
    <t>TP = True Positives</t>
  </si>
  <si>
    <t>FP = False Positives</t>
  </si>
  <si>
    <t>Line</t>
  </si>
  <si>
    <t>Number of variants in 
exons</t>
  </si>
  <si>
    <t>Number of SNPs in exons</t>
  </si>
  <si>
    <t>Number of indels + complex variants in exons</t>
  </si>
  <si>
    <t>Number of
variants with allele-specific alignments</t>
  </si>
  <si>
    <t>Number of
SNPs with allele-specific alignments</t>
  </si>
  <si>
    <t>Number of
indels + complex variants with allele-specific alignments</t>
  </si>
  <si>
    <t>DGRP-362</t>
  </si>
  <si>
    <t>DGRP-517</t>
  </si>
  <si>
    <t>DGRP-765</t>
  </si>
  <si>
    <t>Mean</t>
  </si>
  <si>
    <t>TP all variants</t>
  </si>
  <si>
    <t>% all variants</t>
  </si>
  <si>
    <t>TP SNPs</t>
  </si>
  <si>
    <t>% SNPs</t>
  </si>
  <si>
    <t>TP 
indels + complex variants</t>
  </si>
  <si>
    <t>% indels + complex variants</t>
  </si>
  <si>
    <t>FP all variants</t>
  </si>
  <si>
    <t>FP SNPs</t>
  </si>
  <si>
    <t>FP 
indels + complex variants</t>
  </si>
  <si>
    <t>Validation of indels and complex variants by size</t>
  </si>
  <si>
    <t>1-2 bp</t>
  </si>
  <si>
    <t>TP</t>
  </si>
  <si>
    <t>%</t>
  </si>
  <si>
    <t>FP</t>
  </si>
  <si>
    <t>3-5 bp</t>
  </si>
  <si>
    <t>6-10 bp</t>
  </si>
  <si>
    <t>11-30 bp</t>
  </si>
  <si>
    <t>&gt;30 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</si>
</sst>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Arial"/>
    </font>
    <font>
      <b/>
      <sz val="10"/>
      <name val="Arial"/>
    </font>
    <font>
      <sz val="10"/>
      <name val="Arial"/>
    </font>
    <font>
      <b/>
      <sz val="11"/>
      <color theme="1"/>
      <name val="Arial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9" fillId="2" borderId="0" applyNumberFormat="0" applyBorder="0" applyAlignment="0" applyProtection="0"/>
    <xf numFmtId="0" fontId="1" fillId="0" borderId="0"/>
  </cellStyleXfs>
  <cellXfs count="35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3" fontId="4" fillId="0" borderId="0" xfId="0" applyNumberFormat="1" applyFont="1"/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/>
    </xf>
    <xf numFmtId="3" fontId="7" fillId="0" borderId="0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3" fontId="7" fillId="0" borderId="2" xfId="0" applyNumberFormat="1" applyFont="1" applyFill="1" applyBorder="1" applyAlignment="1">
      <alignment horizontal="center"/>
    </xf>
    <xf numFmtId="0" fontId="7" fillId="0" borderId="0" xfId="0" applyFont="1" applyFill="1"/>
    <xf numFmtId="3" fontId="7" fillId="0" borderId="0" xfId="0" applyNumberFormat="1" applyFont="1" applyFill="1"/>
    <xf numFmtId="164" fontId="7" fillId="0" borderId="0" xfId="1" applyNumberFormat="1" applyFont="1" applyFill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7" fillId="0" borderId="2" xfId="1" applyNumberFormat="1" applyFont="1" applyFill="1" applyBorder="1" applyAlignment="1">
      <alignment horizontal="center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4" fillId="0" borderId="0" xfId="0" applyNumberFormat="1" applyFont="1" applyFill="1" applyBorder="1" applyAlignment="1">
      <alignment horizontal="center"/>
    </xf>
    <xf numFmtId="164" fontId="4" fillId="0" borderId="0" xfId="1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3" fontId="4" fillId="0" borderId="2" xfId="0" applyNumberFormat="1" applyFont="1" applyFill="1" applyBorder="1" applyAlignment="1">
      <alignment horizontal="center"/>
    </xf>
    <xf numFmtId="164" fontId="4" fillId="0" borderId="2" xfId="1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1" fontId="4" fillId="0" borderId="0" xfId="0" applyNumberFormat="1" applyFont="1" applyFill="1" applyBorder="1" applyAlignment="1">
      <alignment horizontal="center"/>
    </xf>
    <xf numFmtId="3" fontId="4" fillId="0" borderId="0" xfId="0" applyNumberFormat="1" applyFont="1" applyFill="1"/>
    <xf numFmtId="0" fontId="4" fillId="0" borderId="0" xfId="0" applyFont="1" applyFill="1"/>
    <xf numFmtId="0" fontId="4" fillId="0" borderId="0" xfId="0" applyFont="1" applyFill="1" applyBorder="1" applyAlignment="1">
      <alignment horizontal="left"/>
    </xf>
  </cellXfs>
  <cellStyles count="4">
    <cellStyle name="Neutral 2" xfId="2"/>
    <cellStyle name="Normal" xfId="0" builtinId="0"/>
    <cellStyle name="Normal 2" xfId="3"/>
    <cellStyle name="Percent" xfId="1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ssouras%20et%20al_Supplementary%20Tables_PGENETICS-D-12-01327_revise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Z57"/>
  <sheetViews>
    <sheetView tabSelected="1" workbookViewId="0">
      <selection sqref="A1:G1"/>
    </sheetView>
  </sheetViews>
  <sheetFormatPr baseColWidth="10" defaultColWidth="8.83203125" defaultRowHeight="12" x14ac:dyDescent="0"/>
  <cols>
    <col min="1" max="1" width="14.5" style="2" customWidth="1"/>
    <col min="2" max="2" width="10.5" style="2" bestFit="1" customWidth="1"/>
    <col min="3" max="3" width="8.83203125" style="2"/>
    <col min="4" max="4" width="15.1640625" style="2" customWidth="1"/>
    <col min="5" max="5" width="14.5" style="2" customWidth="1"/>
    <col min="6" max="6" width="16.6640625" style="2" customWidth="1"/>
    <col min="7" max="7" width="18.83203125" style="2" customWidth="1"/>
    <col min="8" max="11" width="8.83203125" style="2"/>
    <col min="12" max="12" width="9.6640625" style="2" customWidth="1"/>
    <col min="13" max="16" width="8.83203125" style="2"/>
    <col min="17" max="17" width="10.5" style="2" customWidth="1"/>
    <col min="18" max="16384" width="8.83203125" style="2"/>
  </cols>
  <sheetData>
    <row r="1" spans="1:26">
      <c r="A1" s="1" t="s">
        <v>0</v>
      </c>
      <c r="B1" s="1"/>
      <c r="C1" s="1"/>
      <c r="D1" s="1"/>
      <c r="E1" s="1"/>
      <c r="F1" s="1"/>
      <c r="G1" s="1"/>
    </row>
    <row r="2" spans="1:26" ht="15">
      <c r="A2" s="3"/>
      <c r="B2" s="3"/>
      <c r="C2" s="3"/>
      <c r="D2" s="3"/>
      <c r="E2" s="3"/>
      <c r="F2" s="3"/>
      <c r="G2" s="3"/>
    </row>
    <row r="3" spans="1:26">
      <c r="A3" s="2" t="s">
        <v>1</v>
      </c>
      <c r="B3" s="4"/>
      <c r="G3" s="4"/>
    </row>
    <row r="4" spans="1:26">
      <c r="A4" s="2" t="s">
        <v>2</v>
      </c>
      <c r="B4" s="4"/>
      <c r="G4" s="4"/>
    </row>
    <row r="5" spans="1:26">
      <c r="B5" s="4"/>
      <c r="G5" s="4"/>
    </row>
    <row r="6" spans="1:26" ht="49" thickBot="1">
      <c r="A6" s="5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</row>
    <row r="7" spans="1:26">
      <c r="A7" s="7" t="s">
        <v>10</v>
      </c>
      <c r="B7" s="8">
        <v>205120</v>
      </c>
      <c r="C7" s="8">
        <v>189154</v>
      </c>
      <c r="D7" s="8">
        <f ca="1">9297+2876+2153+1396+244</f>
        <v>15966</v>
      </c>
      <c r="E7" s="8">
        <f ca="1">F7+G7</f>
        <v>161566</v>
      </c>
      <c r="F7" s="8">
        <v>149748</v>
      </c>
      <c r="G7" s="8">
        <f ca="1">B28+B34+B40+B46+B52</f>
        <v>11818</v>
      </c>
    </row>
    <row r="8" spans="1:26">
      <c r="A8" s="7" t="s">
        <v>11</v>
      </c>
      <c r="B8" s="8">
        <v>207532</v>
      </c>
      <c r="C8" s="8">
        <v>190145</v>
      </c>
      <c r="D8" s="8">
        <f ca="1">9823+3379+2387+1512+286</f>
        <v>17387</v>
      </c>
      <c r="E8" s="8">
        <f ca="1">F8+G8</f>
        <v>153150</v>
      </c>
      <c r="F8" s="8">
        <v>141062</v>
      </c>
      <c r="G8" s="8">
        <f ca="1">B29+B35+B41+B47+B53</f>
        <v>12088</v>
      </c>
    </row>
    <row r="9" spans="1:26">
      <c r="A9" s="9" t="s">
        <v>12</v>
      </c>
      <c r="B9" s="10">
        <v>206938</v>
      </c>
      <c r="C9" s="10">
        <v>190620</v>
      </c>
      <c r="D9" s="10">
        <f ca="1">9026+3094+2434+1453+311</f>
        <v>16318</v>
      </c>
      <c r="E9" s="10">
        <f ca="1">F9+G9</f>
        <v>163894</v>
      </c>
      <c r="F9" s="10">
        <v>151548</v>
      </c>
      <c r="G9" s="10">
        <f ca="1">B30+B36+B42+B48+B54</f>
        <v>12346</v>
      </c>
    </row>
    <row r="10" spans="1:26">
      <c r="A10" s="7" t="s">
        <v>13</v>
      </c>
      <c r="B10" s="8">
        <f t="shared" ref="B10:G10" ca="1" si="0">AVERAGE(B7:B9)</f>
        <v>206530</v>
      </c>
      <c r="C10" s="8">
        <f t="shared" ca="1" si="0"/>
        <v>189973</v>
      </c>
      <c r="D10" s="8">
        <f t="shared" ca="1" si="0"/>
        <v>16557</v>
      </c>
      <c r="E10" s="8">
        <f t="shared" ca="1" si="0"/>
        <v>159536.66666666666</v>
      </c>
      <c r="F10" s="8">
        <f t="shared" ca="1" si="0"/>
        <v>147452.66666666666</v>
      </c>
      <c r="G10" s="8">
        <f t="shared" ca="1" si="0"/>
        <v>12084</v>
      </c>
    </row>
    <row r="11" spans="1:26">
      <c r="A11" s="11"/>
      <c r="B11" s="12"/>
      <c r="C11" s="12"/>
      <c r="D11" s="12"/>
      <c r="E11" s="12"/>
      <c r="F11" s="12"/>
      <c r="G11" s="12"/>
      <c r="H11" s="4"/>
      <c r="I11" s="4"/>
      <c r="J11" s="4"/>
      <c r="K11" s="4"/>
      <c r="L11" s="4"/>
      <c r="M11" s="4"/>
      <c r="N11" s="4"/>
    </row>
    <row r="12" spans="1:26" ht="37" thickBot="1">
      <c r="A12" s="5" t="s">
        <v>3</v>
      </c>
      <c r="B12" s="6" t="s">
        <v>14</v>
      </c>
      <c r="C12" s="6" t="s">
        <v>15</v>
      </c>
      <c r="D12" s="5" t="s">
        <v>16</v>
      </c>
      <c r="E12" s="5" t="s">
        <v>17</v>
      </c>
      <c r="F12" s="6" t="s">
        <v>18</v>
      </c>
      <c r="G12" s="6" t="s">
        <v>19</v>
      </c>
      <c r="I12" s="4"/>
      <c r="J12" s="4"/>
      <c r="K12" s="4"/>
      <c r="L12" s="4"/>
      <c r="M12" s="4"/>
      <c r="N12" s="4"/>
    </row>
    <row r="13" spans="1:26" ht="15" customHeight="1">
      <c r="A13" s="7" t="s">
        <v>10</v>
      </c>
      <c r="B13" s="8">
        <f ca="1">D13+F13</f>
        <v>159801</v>
      </c>
      <c r="C13" s="13">
        <f ca="1">B13/E7</f>
        <v>0.98907567186165402</v>
      </c>
      <c r="D13" s="8">
        <f ca="1">139735+8759</f>
        <v>148494</v>
      </c>
      <c r="E13" s="13">
        <f ca="1">D13/F7</f>
        <v>0.99162593156502921</v>
      </c>
      <c r="F13" s="8">
        <f ca="1">C52+C46+C40+C34+C28</f>
        <v>11307</v>
      </c>
      <c r="G13" s="13">
        <f ca="1">F13/G7</f>
        <v>0.95676087324420378</v>
      </c>
      <c r="I13" s="14"/>
      <c r="J13" s="14"/>
      <c r="K13" s="14"/>
      <c r="L13" s="14"/>
      <c r="M13" s="14"/>
      <c r="N13" s="14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>
      <c r="A14" s="7" t="s">
        <v>11</v>
      </c>
      <c r="B14" s="8">
        <f ca="1">D14+F14</f>
        <v>150937</v>
      </c>
      <c r="C14" s="13">
        <f ca="1">B14/E8</f>
        <v>0.98555011426705841</v>
      </c>
      <c r="D14" s="8">
        <f ca="1">133022+6340</f>
        <v>139362</v>
      </c>
      <c r="E14" s="13">
        <f ca="1">D14/F8</f>
        <v>0.98794856162538458</v>
      </c>
      <c r="F14" s="8">
        <f ca="1">C53+C47+C41+C35+C29</f>
        <v>11575</v>
      </c>
      <c r="G14" s="13">
        <f ca="1">F14/G8</f>
        <v>0.9575612177365983</v>
      </c>
      <c r="I14" s="14"/>
      <c r="J14" s="14"/>
      <c r="K14" s="14"/>
      <c r="L14" s="14"/>
      <c r="M14" s="14"/>
      <c r="N14" s="14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>
      <c r="A15" s="9" t="s">
        <v>12</v>
      </c>
      <c r="B15" s="10">
        <f ca="1">D15+F15</f>
        <v>162574</v>
      </c>
      <c r="C15" s="16">
        <f ca="1">B15/E9</f>
        <v>0.99194601388702452</v>
      </c>
      <c r="D15" s="10">
        <f ca="1">142614+7986</f>
        <v>150600</v>
      </c>
      <c r="E15" s="16">
        <f ca="1">D15/F9</f>
        <v>0.99374455618022017</v>
      </c>
      <c r="F15" s="10">
        <f ca="1">C54+C48+C42+C36+C30</f>
        <v>11974</v>
      </c>
      <c r="G15" s="16">
        <f ca="1">F15/G9</f>
        <v>0.9698687834116313</v>
      </c>
    </row>
    <row r="16" spans="1:26">
      <c r="A16" s="7" t="s">
        <v>13</v>
      </c>
      <c r="B16" s="8">
        <f t="shared" ref="B16:G16" ca="1" si="1">AVERAGE(B13:B15)</f>
        <v>157770.66666666666</v>
      </c>
      <c r="C16" s="13">
        <f t="shared" ca="1" si="1"/>
        <v>0.98885726667191232</v>
      </c>
      <c r="D16" s="8">
        <f t="shared" ca="1" si="1"/>
        <v>146152</v>
      </c>
      <c r="E16" s="13">
        <f t="shared" ca="1" si="1"/>
        <v>0.99110634979021128</v>
      </c>
      <c r="F16" s="8">
        <f t="shared" ca="1" si="1"/>
        <v>11618.666666666666</v>
      </c>
      <c r="G16" s="13">
        <f t="shared" ca="1" si="1"/>
        <v>0.96139695813081116</v>
      </c>
    </row>
    <row r="17" spans="1:21">
      <c r="A17" s="11"/>
      <c r="B17" s="11"/>
      <c r="C17" s="11"/>
      <c r="D17" s="11"/>
      <c r="E17" s="11"/>
      <c r="F17" s="11"/>
      <c r="G17" s="11"/>
    </row>
    <row r="18" spans="1:21" ht="37" thickBot="1">
      <c r="A18" s="5" t="s">
        <v>3</v>
      </c>
      <c r="B18" s="6" t="s">
        <v>20</v>
      </c>
      <c r="C18" s="6" t="s">
        <v>15</v>
      </c>
      <c r="D18" s="5" t="s">
        <v>21</v>
      </c>
      <c r="E18" s="5" t="s">
        <v>17</v>
      </c>
      <c r="F18" s="6" t="s">
        <v>22</v>
      </c>
      <c r="G18" s="6" t="s">
        <v>19</v>
      </c>
    </row>
    <row r="19" spans="1:21">
      <c r="A19" s="7" t="s">
        <v>10</v>
      </c>
      <c r="B19" s="8">
        <f ca="1">758+124</f>
        <v>882</v>
      </c>
      <c r="C19" s="13">
        <f ca="1">B19/E7</f>
        <v>5.4590693586521917E-3</v>
      </c>
      <c r="D19" s="8">
        <f ca="1">569+106</f>
        <v>675</v>
      </c>
      <c r="E19" s="13">
        <f ca="1">D19/F7</f>
        <v>4.5075727221732514E-3</v>
      </c>
      <c r="F19" s="8">
        <f ca="1">E28+E34+E40+AB16+E46+E52</f>
        <v>207</v>
      </c>
      <c r="G19" s="13">
        <f ca="1">F19/G7</f>
        <v>1.7515654086985955E-2</v>
      </c>
    </row>
    <row r="20" spans="1:21">
      <c r="A20" s="7" t="s">
        <v>11</v>
      </c>
      <c r="B20" s="8">
        <f ca="1">948+104</f>
        <v>1052</v>
      </c>
      <c r="C20" s="13">
        <f ca="1">B20/E8</f>
        <v>6.8690825987593861E-3</v>
      </c>
      <c r="D20" s="7">
        <f ca="1">745+90</f>
        <v>835</v>
      </c>
      <c r="E20" s="13">
        <f ca="1">D20/F8</f>
        <v>5.9193829663552197E-3</v>
      </c>
      <c r="F20" s="8">
        <f ca="1">E29+E35+E41+AB17+E47+E53</f>
        <v>217</v>
      </c>
      <c r="G20" s="13">
        <f ca="1">F20/G8</f>
        <v>1.7951687624090006E-2</v>
      </c>
      <c r="M20" s="4"/>
    </row>
    <row r="21" spans="1:21">
      <c r="A21" s="9" t="s">
        <v>12</v>
      </c>
      <c r="B21" s="10">
        <f ca="1">568+59</f>
        <v>627</v>
      </c>
      <c r="C21" s="16">
        <f ca="1">B21/E9</f>
        <v>3.8256434036633433E-3</v>
      </c>
      <c r="D21" s="9">
        <f ca="1">441+50</f>
        <v>491</v>
      </c>
      <c r="E21" s="16">
        <f ca="1">D21/F9</f>
        <v>3.239897590202444E-3</v>
      </c>
      <c r="F21" s="10">
        <f ca="1">E30+E36+E42+AB18+E48+E54</f>
        <v>136</v>
      </c>
      <c r="G21" s="16">
        <f ca="1">F21/G9</f>
        <v>1.1015713591446622E-2</v>
      </c>
    </row>
    <row r="22" spans="1:21">
      <c r="A22" s="7" t="s">
        <v>13</v>
      </c>
      <c r="B22" s="8">
        <f t="shared" ref="B22:G22" ca="1" si="2">AVERAGE(B19:B21)</f>
        <v>853.66666666666663</v>
      </c>
      <c r="C22" s="13">
        <f t="shared" ca="1" si="2"/>
        <v>5.3845984536916407E-3</v>
      </c>
      <c r="D22" s="8">
        <f t="shared" ca="1" si="2"/>
        <v>667</v>
      </c>
      <c r="E22" s="13">
        <f t="shared" ca="1" si="2"/>
        <v>4.5556177595769722E-3</v>
      </c>
      <c r="F22" s="8">
        <f t="shared" ca="1" si="2"/>
        <v>186.66666666666666</v>
      </c>
      <c r="G22" s="13">
        <f t="shared" ca="1" si="2"/>
        <v>1.5494351767507528E-2</v>
      </c>
      <c r="U22" s="4"/>
    </row>
    <row r="25" spans="1:21" ht="15">
      <c r="A25" s="17" t="s">
        <v>23</v>
      </c>
      <c r="B25" s="17"/>
      <c r="C25" s="17"/>
      <c r="D25" s="17"/>
      <c r="E25" s="17"/>
      <c r="F25" s="17"/>
      <c r="G25" s="17"/>
      <c r="H25" s="18"/>
    </row>
    <row r="26" spans="1:21">
      <c r="A26" s="19"/>
      <c r="B26" s="19"/>
      <c r="C26" s="19"/>
      <c r="D26" s="19"/>
      <c r="E26" s="15"/>
      <c r="F26" s="15"/>
      <c r="G26" s="15"/>
      <c r="H26" s="15"/>
    </row>
    <row r="27" spans="1:21" ht="14" thickBot="1">
      <c r="A27" s="20" t="s">
        <v>3</v>
      </c>
      <c r="B27" s="21" t="s">
        <v>24</v>
      </c>
      <c r="C27" s="22" t="s">
        <v>25</v>
      </c>
      <c r="D27" s="22" t="s">
        <v>26</v>
      </c>
      <c r="E27" s="22" t="s">
        <v>27</v>
      </c>
      <c r="F27" s="22" t="s">
        <v>26</v>
      </c>
    </row>
    <row r="28" spans="1:21">
      <c r="A28" s="23" t="s">
        <v>10</v>
      </c>
      <c r="B28" s="24">
        <v>6844</v>
      </c>
      <c r="C28" s="24">
        <f ca="1">5563+938</f>
        <v>6501</v>
      </c>
      <c r="D28" s="25">
        <f ca="1">C28/B28</f>
        <v>0.94988310929281117</v>
      </c>
      <c r="E28" s="26">
        <f ca="1">101+7</f>
        <v>108</v>
      </c>
      <c r="F28" s="25">
        <f ca="1">E28/$B28</f>
        <v>1.5780245470485097E-2</v>
      </c>
    </row>
    <row r="29" spans="1:21">
      <c r="A29" s="23" t="s">
        <v>11</v>
      </c>
      <c r="B29" s="24">
        <v>6758</v>
      </c>
      <c r="C29" s="24">
        <f ca="1">5660+728</f>
        <v>6388</v>
      </c>
      <c r="D29" s="25">
        <f ca="1">C29/B29</f>
        <v>0.9452500739863865</v>
      </c>
      <c r="E29" s="26">
        <f ca="1">119+6</f>
        <v>125</v>
      </c>
      <c r="F29" s="25">
        <f ca="1">E29/$B29</f>
        <v>1.8496596626220774E-2</v>
      </c>
    </row>
    <row r="30" spans="1:21">
      <c r="A30" s="27" t="s">
        <v>12</v>
      </c>
      <c r="B30" s="28">
        <v>6769</v>
      </c>
      <c r="C30" s="28">
        <f ca="1">5313+1230</f>
        <v>6543</v>
      </c>
      <c r="D30" s="29">
        <f ca="1">C30/B30</f>
        <v>0.96661249815334616</v>
      </c>
      <c r="E30" s="30">
        <f ca="1">58</f>
        <v>58</v>
      </c>
      <c r="F30" s="29">
        <f ca="1">E30/$B30</f>
        <v>8.5684739252474516E-3</v>
      </c>
    </row>
    <row r="31" spans="1:21">
      <c r="A31" s="23" t="s">
        <v>13</v>
      </c>
      <c r="B31" s="24">
        <f ca="1">AVERAGE(B28:B30)</f>
        <v>6790.333333333333</v>
      </c>
      <c r="C31" s="24">
        <f ca="1">AVERAGE(C28:C30)</f>
        <v>6477.333333333333</v>
      </c>
      <c r="D31" s="25">
        <f ca="1">AVERAGE(D28:D30)</f>
        <v>0.9539152271441812</v>
      </c>
      <c r="E31" s="31">
        <f ca="1">AVERAGE(E28:E30)</f>
        <v>97</v>
      </c>
      <c r="F31" s="25">
        <f ca="1">AVERAGE(F28:F30)</f>
        <v>1.4281772007317775E-2</v>
      </c>
    </row>
    <row r="32" spans="1:21">
      <c r="B32" s="32"/>
      <c r="C32" s="33"/>
      <c r="D32" s="33"/>
      <c r="E32" s="33"/>
      <c r="F32" s="33"/>
    </row>
    <row r="33" spans="1:6" ht="14" thickBot="1">
      <c r="A33" s="20" t="s">
        <v>3</v>
      </c>
      <c r="B33" s="21" t="s">
        <v>28</v>
      </c>
      <c r="C33" s="22" t="s">
        <v>25</v>
      </c>
      <c r="D33" s="22" t="s">
        <v>26</v>
      </c>
      <c r="E33" s="22" t="s">
        <v>27</v>
      </c>
      <c r="F33" s="22" t="s">
        <v>26</v>
      </c>
    </row>
    <row r="34" spans="1:6" ht="15" customHeight="1">
      <c r="A34" s="23" t="s">
        <v>10</v>
      </c>
      <c r="B34" s="24">
        <v>2143</v>
      </c>
      <c r="C34" s="24">
        <f ca="1">1915+165</f>
        <v>2080</v>
      </c>
      <c r="D34" s="25">
        <f ca="1">C34/B34</f>
        <v>0.97060195986934206</v>
      </c>
      <c r="E34" s="26">
        <f ca="1">30+10</f>
        <v>40</v>
      </c>
      <c r="F34" s="25">
        <f ca="1">E34/B34</f>
        <v>1.8665422305179653E-2</v>
      </c>
    </row>
    <row r="35" spans="1:6">
      <c r="A35" s="23" t="s">
        <v>11</v>
      </c>
      <c r="B35" s="24">
        <v>2384</v>
      </c>
      <c r="C35" s="24">
        <f ca="1">2172+147</f>
        <v>2319</v>
      </c>
      <c r="D35" s="25">
        <f ca="1">C35/B35</f>
        <v>0.97273489932885904</v>
      </c>
      <c r="E35" s="26">
        <f ca="1">35+7</f>
        <v>42</v>
      </c>
      <c r="F35" s="25">
        <f ca="1">E35/B35</f>
        <v>1.7617449664429529E-2</v>
      </c>
    </row>
    <row r="36" spans="1:6">
      <c r="A36" s="27" t="s">
        <v>12</v>
      </c>
      <c r="B36" s="28">
        <v>2378</v>
      </c>
      <c r="C36" s="28">
        <f ca="1">2111+202</f>
        <v>2313</v>
      </c>
      <c r="D36" s="29">
        <f ca="1">C36/B36</f>
        <v>0.97266610597140457</v>
      </c>
      <c r="E36" s="30">
        <f ca="1">20+7</f>
        <v>27</v>
      </c>
      <c r="F36" s="29">
        <f ca="1">E36/B36</f>
        <v>1.1354079058031959E-2</v>
      </c>
    </row>
    <row r="37" spans="1:6">
      <c r="A37" s="23" t="s">
        <v>13</v>
      </c>
      <c r="B37" s="24">
        <f ca="1">AVERAGE(B34:B36)</f>
        <v>2301.6666666666665</v>
      </c>
      <c r="C37" s="24">
        <f ca="1">AVERAGE(C34:C36)</f>
        <v>2237.3333333333335</v>
      </c>
      <c r="D37" s="25">
        <f ca="1">AVERAGE(D34:D36)</f>
        <v>0.97200098838986848</v>
      </c>
      <c r="E37" s="31">
        <f ca="1">AVERAGE(E34:E36)</f>
        <v>36.333333333333336</v>
      </c>
      <c r="F37" s="25">
        <f ca="1">AVERAGE(F34:F36)</f>
        <v>1.5878983675880379E-2</v>
      </c>
    </row>
    <row r="38" spans="1:6">
      <c r="B38" s="33"/>
      <c r="C38" s="33"/>
      <c r="D38" s="33"/>
      <c r="E38" s="33"/>
      <c r="F38" s="33"/>
    </row>
    <row r="39" spans="1:6" ht="14" thickBot="1">
      <c r="A39" s="20" t="s">
        <v>3</v>
      </c>
      <c r="B39" s="21" t="s">
        <v>29</v>
      </c>
      <c r="C39" s="22" t="s">
        <v>25</v>
      </c>
      <c r="D39" s="22" t="s">
        <v>26</v>
      </c>
      <c r="E39" s="22" t="s">
        <v>27</v>
      </c>
      <c r="F39" s="22" t="s">
        <v>26</v>
      </c>
    </row>
    <row r="40" spans="1:6">
      <c r="A40" s="23" t="s">
        <v>10</v>
      </c>
      <c r="B40" s="24">
        <v>1648</v>
      </c>
      <c r="C40" s="24">
        <f ca="1">1514+97</f>
        <v>1611</v>
      </c>
      <c r="D40" s="25">
        <f ca="1">C40/B40</f>
        <v>0.97754854368932043</v>
      </c>
      <c r="E40" s="26">
        <f ca="1">10</f>
        <v>10</v>
      </c>
      <c r="F40" s="25">
        <f ca="1">E40/B40</f>
        <v>6.0679611650485436E-3</v>
      </c>
    </row>
    <row r="41" spans="1:6">
      <c r="A41" s="23" t="s">
        <v>11</v>
      </c>
      <c r="B41" s="24">
        <v>1727</v>
      </c>
      <c r="C41" s="24">
        <f ca="1">1622+73</f>
        <v>1695</v>
      </c>
      <c r="D41" s="25">
        <f ca="1">C41/B41</f>
        <v>0.98147075854082222</v>
      </c>
      <c r="E41" s="26">
        <f ca="1">17</f>
        <v>17</v>
      </c>
      <c r="F41" s="25">
        <f ca="1">E41/B41</f>
        <v>9.8436595251881875E-3</v>
      </c>
    </row>
    <row r="42" spans="1:6">
      <c r="A42" s="27" t="s">
        <v>12</v>
      </c>
      <c r="B42" s="28">
        <v>1944</v>
      </c>
      <c r="C42" s="28">
        <f ca="1">1780+136</f>
        <v>1916</v>
      </c>
      <c r="D42" s="29">
        <f ca="1">C42/B42</f>
        <v>0.98559670781893005</v>
      </c>
      <c r="E42" s="30">
        <f ca="1">13</f>
        <v>13</v>
      </c>
      <c r="F42" s="29">
        <f ca="1">E42/B42</f>
        <v>6.6872427983539094E-3</v>
      </c>
    </row>
    <row r="43" spans="1:6">
      <c r="A43" s="23" t="s">
        <v>13</v>
      </c>
      <c r="B43" s="24">
        <f ca="1">AVERAGE(B40:B42)</f>
        <v>1773</v>
      </c>
      <c r="C43" s="24">
        <f ca="1">AVERAGE(C40:C42)</f>
        <v>1740.6666666666667</v>
      </c>
      <c r="D43" s="25">
        <f ca="1">AVERAGE(D40:D42)</f>
        <v>0.98153867001635753</v>
      </c>
      <c r="E43" s="31">
        <f ca="1">AVERAGE(E40:E42)</f>
        <v>13.333333333333334</v>
      </c>
      <c r="F43" s="25">
        <f ca="1">AVERAGE(F40:F42)</f>
        <v>7.5329544961968802E-3</v>
      </c>
    </row>
    <row r="44" spans="1:6">
      <c r="B44" s="33"/>
      <c r="C44" s="33"/>
      <c r="D44" s="33"/>
      <c r="E44" s="33"/>
      <c r="F44" s="33"/>
    </row>
    <row r="45" spans="1:6" ht="14" thickBot="1">
      <c r="A45" s="20" t="s">
        <v>3</v>
      </c>
      <c r="B45" s="21" t="s">
        <v>30</v>
      </c>
      <c r="C45" s="22" t="s">
        <v>25</v>
      </c>
      <c r="D45" s="22" t="s">
        <v>26</v>
      </c>
      <c r="E45" s="22" t="s">
        <v>27</v>
      </c>
      <c r="F45" s="22" t="s">
        <v>26</v>
      </c>
    </row>
    <row r="46" spans="1:6">
      <c r="A46" s="23" t="s">
        <v>10</v>
      </c>
      <c r="B46" s="24">
        <v>1023</v>
      </c>
      <c r="C46" s="24">
        <f ca="1">957+28</f>
        <v>985</v>
      </c>
      <c r="D46" s="25">
        <f ca="1">C46/B46</f>
        <v>0.96285434995112418</v>
      </c>
      <c r="E46" s="26">
        <f ca="1">27+1</f>
        <v>28</v>
      </c>
      <c r="F46" s="25">
        <f ca="1">E46/B46</f>
        <v>2.7370478983382209E-2</v>
      </c>
    </row>
    <row r="47" spans="1:6">
      <c r="A47" s="23" t="s">
        <v>11</v>
      </c>
      <c r="B47" s="24">
        <v>1035</v>
      </c>
      <c r="C47" s="24">
        <f ca="1">954+53</f>
        <v>1007</v>
      </c>
      <c r="D47" s="25">
        <f ca="1">C47/B47</f>
        <v>0.97294685990338159</v>
      </c>
      <c r="E47" s="26">
        <f ca="1">20</f>
        <v>20</v>
      </c>
      <c r="F47" s="25">
        <f ca="1">E47/B47</f>
        <v>1.932367149758454E-2</v>
      </c>
    </row>
    <row r="48" spans="1:6">
      <c r="A48" s="27" t="s">
        <v>12</v>
      </c>
      <c r="B48" s="28">
        <v>1043</v>
      </c>
      <c r="C48" s="28">
        <f ca="1">922+87</f>
        <v>1009</v>
      </c>
      <c r="D48" s="29">
        <f ca="1">C48/B48</f>
        <v>0.96740172579098749</v>
      </c>
      <c r="E48" s="30">
        <f ca="1">24</f>
        <v>24</v>
      </c>
      <c r="F48" s="29">
        <f ca="1">E48/B48</f>
        <v>2.3010546500479387E-2</v>
      </c>
    </row>
    <row r="49" spans="1:6">
      <c r="A49" s="23" t="s">
        <v>13</v>
      </c>
      <c r="B49" s="24">
        <f ca="1">AVERAGE(B46:B48)</f>
        <v>1033.6666666666667</v>
      </c>
      <c r="C49" s="24">
        <f ca="1">AVERAGE(C46:C48)</f>
        <v>1000.3333333333334</v>
      </c>
      <c r="D49" s="25">
        <f ca="1">AVERAGE(D46:D48)</f>
        <v>0.96773431188183112</v>
      </c>
      <c r="E49" s="31">
        <f ca="1">AVERAGE(E46:E48)</f>
        <v>24</v>
      </c>
      <c r="F49" s="25">
        <f ca="1">AVERAGE(F46:F48)</f>
        <v>2.3234898993815378E-2</v>
      </c>
    </row>
    <row r="50" spans="1:6">
      <c r="B50" s="33"/>
      <c r="C50" s="33"/>
      <c r="D50" s="33"/>
      <c r="E50" s="33"/>
      <c r="F50" s="33"/>
    </row>
    <row r="51" spans="1:6" ht="14" thickBot="1">
      <c r="A51" s="20" t="s">
        <v>3</v>
      </c>
      <c r="B51" s="21" t="s">
        <v>31</v>
      </c>
      <c r="C51" s="22" t="s">
        <v>25</v>
      </c>
      <c r="D51" s="22" t="s">
        <v>26</v>
      </c>
      <c r="E51" s="22" t="s">
        <v>27</v>
      </c>
      <c r="F51" s="22" t="s">
        <v>26</v>
      </c>
    </row>
    <row r="52" spans="1:6">
      <c r="A52" s="23" t="s">
        <v>10</v>
      </c>
      <c r="B52" s="24">
        <v>160</v>
      </c>
      <c r="C52" s="24">
        <f ca="1">127+3</f>
        <v>130</v>
      </c>
      <c r="D52" s="25">
        <f ca="1">C52/B52</f>
        <v>0.8125</v>
      </c>
      <c r="E52" s="26">
        <f ca="1">21</f>
        <v>21</v>
      </c>
      <c r="F52" s="25">
        <f ca="1">E52/B52</f>
        <v>0.13125000000000001</v>
      </c>
    </row>
    <row r="53" spans="1:6">
      <c r="A53" s="23" t="s">
        <v>11</v>
      </c>
      <c r="B53" s="24">
        <v>184</v>
      </c>
      <c r="C53" s="24">
        <f ca="1">161+5</f>
        <v>166</v>
      </c>
      <c r="D53" s="25">
        <f ca="1">C53/B53</f>
        <v>0.90217391304347827</v>
      </c>
      <c r="E53" s="26">
        <f ca="1">12+1</f>
        <v>13</v>
      </c>
      <c r="F53" s="25">
        <f ca="1">E53/B53</f>
        <v>7.0652173913043473E-2</v>
      </c>
    </row>
    <row r="54" spans="1:6">
      <c r="A54" s="27" t="s">
        <v>12</v>
      </c>
      <c r="B54" s="28">
        <v>212</v>
      </c>
      <c r="C54" s="28">
        <f ca="1">176+17</f>
        <v>193</v>
      </c>
      <c r="D54" s="29">
        <f ca="1">C54/B54</f>
        <v>0.910377358490566</v>
      </c>
      <c r="E54" s="30">
        <f ca="1">12+2</f>
        <v>14</v>
      </c>
      <c r="F54" s="29">
        <f ca="1">E54/B54</f>
        <v>6.6037735849056603E-2</v>
      </c>
    </row>
    <row r="55" spans="1:6">
      <c r="A55" s="23" t="s">
        <v>13</v>
      </c>
      <c r="B55" s="24">
        <f ca="1">AVERAGE(B52:B54)</f>
        <v>185.33333333333334</v>
      </c>
      <c r="C55" s="24">
        <f ca="1">AVERAGE(C52:C54)</f>
        <v>163</v>
      </c>
      <c r="D55" s="25">
        <f ca="1">AVERAGE(D52:D54)</f>
        <v>0.87501709051134802</v>
      </c>
      <c r="E55" s="31">
        <f ca="1">AVERAGE(E52:E54)</f>
        <v>16</v>
      </c>
      <c r="F55" s="25">
        <f ca="1">AVERAGE(F52:F54)</f>
        <v>8.931330325403336E-2</v>
      </c>
    </row>
    <row r="57" spans="1:6">
      <c r="A57" s="34"/>
    </row>
  </sheetData>
  <mergeCells count="2">
    <mergeCell ref="A1:G1"/>
    <mergeCell ref="A25:G25"/>
  </mergeCells>
  <pageMargins left="0.70000000000000007" right="0.70000000000000007" top="0.75000000000000011" bottom="0.75000000000000011" header="0.30000000000000004" footer="0.30000000000000004"/>
  <pageSetup paperSize="9" scale="64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</vt:lpstr>
    </vt:vector>
  </TitlesOfParts>
  <Company>EPFL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Massouras</dc:creator>
  <cp:lastModifiedBy>Andreas Massouras</cp:lastModifiedBy>
  <dcterms:created xsi:type="dcterms:W3CDTF">2012-09-14T09:06:21Z</dcterms:created>
  <dcterms:modified xsi:type="dcterms:W3CDTF">2012-09-14T09:06:26Z</dcterms:modified>
</cp:coreProperties>
</file>