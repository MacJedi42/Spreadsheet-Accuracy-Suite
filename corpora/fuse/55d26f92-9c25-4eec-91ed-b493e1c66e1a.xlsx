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405"/>
  <workbookPr showInkAnnotation="0" autoCompressPictures="0"/>
  <bookViews>
    <workbookView xWindow="0" yWindow="0" windowWidth="25600" windowHeight="16060" tabRatio="500" activeTab="5"/>
  </bookViews>
  <sheets>
    <sheet name="Initiatives" sheetId="1" r:id="rId1"/>
    <sheet name="Budget" sheetId="2" r:id="rId2"/>
    <sheet name="Milestones" sheetId="3" r:id="rId3"/>
    <sheet name="AIME" sheetId="4" r:id="rId4"/>
    <sheet name="Funding 2012" sheetId="5" r:id="rId5"/>
    <sheet name="ExpandingHEPTech" sheetId="6" r:id="rId6"/>
    <sheet name="Voting participants" sheetId="7" r:id="rId7"/>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<sst xmlns="http://schemas.openxmlformats.org/spreadsheetml/2006/main" count="201" uniqueCount="156">
  <si>
    <t>Members</t>
  </si>
  <si>
    <t>MPGD</t>
  </si>
  <si>
    <t>Si-PM</t>
  </si>
  <si>
    <t>Accelerator Technologies</t>
  </si>
  <si>
    <t>Scintillating Materials</t>
  </si>
  <si>
    <t>ICT</t>
  </si>
  <si>
    <t>Controls</t>
  </si>
  <si>
    <t>M. Caccia</t>
  </si>
  <si>
    <t>J.-M. Le Goff</t>
  </si>
  <si>
    <t>E. Gazis</t>
  </si>
  <si>
    <t>CERN</t>
  </si>
  <si>
    <t>International best TT practices</t>
  </si>
  <si>
    <t>Supporting Tools</t>
  </si>
  <si>
    <t>Impact of PP and HEPTech</t>
  </si>
  <si>
    <t>Supporting the development of early stage TT Offices</t>
  </si>
  <si>
    <t>Tech-based Initiative</t>
  </si>
  <si>
    <t>Support-based Initiative</t>
  </si>
  <si>
    <t>Topic</t>
  </si>
  <si>
    <t>Number</t>
  </si>
  <si>
    <t>Cost per unit</t>
  </si>
  <si>
    <t>Total</t>
  </si>
  <si>
    <t>AIME</t>
  </si>
  <si>
    <t>24 k€</t>
  </si>
  <si>
    <t>Training &amp; best practices</t>
  </si>
  <si>
    <t>1.5k€</t>
  </si>
  <si>
    <t>Steering Committee meetings</t>
  </si>
  <si>
    <t>4*12</t>
  </si>
  <si>
    <t>€750.-</t>
  </si>
  <si>
    <t>Admin support</t>
  </si>
  <si>
    <t>€500.-</t>
  </si>
  <si>
    <r>
      <t>Total</t>
    </r>
    <r>
      <rPr>
        <sz val="14"/>
        <color theme="1"/>
        <rFont val="Cambria"/>
      </rPr>
      <t>:</t>
    </r>
  </si>
  <si>
    <t>2 (in 2012)</t>
  </si>
  <si>
    <t>12months/year</t>
  </si>
  <si>
    <t>Date</t>
  </si>
  <si>
    <t>Milestone</t>
  </si>
  <si>
    <t>Initiative’s conveners are to prepare with Nodes’ members the workplan for the next three years and communicate to the Coordinator the content and needs in terms of resources requested from HEPTech’s funds and support from the Nodes.</t>
  </si>
  <si>
    <r>
      <rPr>
        <u/>
        <sz val="11"/>
        <color theme="1"/>
        <rFont val="Calibri"/>
        <scheme val="minor"/>
      </rPr>
      <t>CERN</t>
    </r>
    <r>
      <rPr>
        <sz val="11"/>
        <color theme="1"/>
        <rFont val="Calibri"/>
        <scheme val="minor"/>
      </rPr>
      <t>, GSI, INFN</t>
    </r>
  </si>
  <si>
    <r>
      <rPr>
        <u/>
        <sz val="11"/>
        <color theme="1"/>
        <rFont val="Calibri"/>
        <scheme val="minor"/>
      </rPr>
      <t>CEA</t>
    </r>
    <r>
      <rPr>
        <sz val="11"/>
        <color theme="1"/>
        <rFont val="Calibri"/>
        <scheme val="minor"/>
      </rPr>
      <t>, IN2P3, NTUA, INFN, CERN</t>
    </r>
  </si>
  <si>
    <r>
      <rPr>
        <u/>
        <sz val="11"/>
        <color theme="1"/>
        <rFont val="Calibri"/>
        <scheme val="minor"/>
      </rPr>
      <t>INFN</t>
    </r>
    <r>
      <rPr>
        <sz val="11"/>
        <color theme="1"/>
        <rFont val="Calibri"/>
        <scheme val="minor"/>
      </rPr>
      <t>, GSI, CERN, IN2P3</t>
    </r>
  </si>
  <si>
    <r>
      <rPr>
        <u/>
        <sz val="11"/>
        <color theme="1"/>
        <rFont val="Calibri"/>
        <scheme val="minor"/>
      </rPr>
      <t>NTUA</t>
    </r>
    <r>
      <rPr>
        <sz val="11"/>
        <color theme="1"/>
        <rFont val="Calibri"/>
        <scheme val="minor"/>
      </rPr>
      <t>, CERN</t>
    </r>
  </si>
  <si>
    <r>
      <rPr>
        <u/>
        <sz val="11"/>
        <color theme="1"/>
        <rFont val="Calibri"/>
        <scheme val="minor"/>
      </rPr>
      <t>CEA</t>
    </r>
    <r>
      <rPr>
        <sz val="11"/>
        <color theme="1"/>
        <rFont val="Calibri"/>
        <scheme val="minor"/>
      </rPr>
      <t xml:space="preserve">, </t>
    </r>
    <r>
      <rPr>
        <u/>
        <sz val="11"/>
        <color theme="1"/>
        <rFont val="Calibri"/>
        <scheme val="minor"/>
      </rPr>
      <t>INFN</t>
    </r>
    <r>
      <rPr>
        <sz val="11"/>
        <color theme="1"/>
        <rFont val="Calibri"/>
        <scheme val="minor"/>
      </rPr>
      <t>, CERN, GSI</t>
    </r>
  </si>
  <si>
    <t>CERN, STFC (tbc)</t>
  </si>
  <si>
    <t>Position Sensitive Solid State Detectors</t>
  </si>
  <si>
    <t>Convener(s)</t>
  </si>
  <si>
    <r>
      <rPr>
        <u/>
        <sz val="11"/>
        <color theme="1"/>
        <rFont val="Calibri"/>
        <scheme val="minor"/>
      </rPr>
      <t>GSI</t>
    </r>
    <r>
      <rPr>
        <sz val="11"/>
        <color theme="1"/>
        <rFont val="Calibri"/>
        <scheme val="minor"/>
      </rPr>
      <t>, CERN, STFC</t>
    </r>
  </si>
  <si>
    <r>
      <t>1)</t>
    </r>
    <r>
      <rPr>
        <sz val="7"/>
        <color theme="1"/>
        <rFont val="Times New Roman"/>
      </rPr>
      <t xml:space="preserve">    </t>
    </r>
    <r>
      <rPr>
        <sz val="11"/>
        <color theme="1"/>
        <rFont val="Cambria"/>
      </rPr>
      <t>Nodes have to confirm in writing their financial participation to the Coordinator; 2)    Candidates for the position of Coordinator have to communicate their intention to HEPTech via the HEPTech e-group mailing list.</t>
    </r>
  </si>
  <si>
    <t>1) Morning: Training workshop on the Easy access model 2) Afternoon: Steering Committee preparatory meeting (All participants invited to take part)</t>
  </si>
  <si>
    <t>Board meeting</t>
  </si>
  <si>
    <t>Academia-Industry matching event</t>
  </si>
  <si>
    <t>Organisers</t>
  </si>
  <si>
    <t>Status</t>
  </si>
  <si>
    <t>Si-PM follow-up event</t>
  </si>
  <si>
    <t>Tech-based Initiatives</t>
  </si>
  <si>
    <t>TBC</t>
  </si>
  <si>
    <t>Vacuum &amp; cryogenics</t>
  </si>
  <si>
    <t>Accelerator technologies</t>
  </si>
  <si>
    <t>GSI</t>
  </si>
  <si>
    <t>HEPTech</t>
  </si>
  <si>
    <t>HEPTech, ASPERA</t>
  </si>
  <si>
    <t>Confirmed</t>
  </si>
  <si>
    <t>Solid-state position sensitive detectors</t>
  </si>
  <si>
    <t>AIDA</t>
  </si>
  <si>
    <t>Confirmed (March 26-27)</t>
  </si>
  <si>
    <t>under discussion</t>
  </si>
  <si>
    <t>Superconductivity</t>
  </si>
  <si>
    <t>Beam monitoring and QA</t>
  </si>
  <si>
    <t>MPGD, Solid state position sensitive detectors, accelerator technologies</t>
  </si>
  <si>
    <t>HEPTech (GSI, INFN, CERN)</t>
  </si>
  <si>
    <t>Took place at GSI on Nov. 10-11</t>
  </si>
  <si>
    <t>HEPTech (IN2P3, )</t>
  </si>
  <si>
    <t>Controls for detectors and the environement</t>
  </si>
  <si>
    <t>HEPTech (NTUA), AIDA</t>
  </si>
  <si>
    <t>Under discussion</t>
  </si>
  <si>
    <t>Confirmed (March 12-13) at Lichtemberg house, Darmstadt</t>
  </si>
  <si>
    <t>Node</t>
  </si>
  <si>
    <t>Amount</t>
  </si>
  <si>
    <t>Comments</t>
  </si>
  <si>
    <t>DESY</t>
  </si>
  <si>
    <t>INFN</t>
  </si>
  <si>
    <t>CEA</t>
  </si>
  <si>
    <t>IN2P3</t>
  </si>
  <si>
    <t>Chalmers</t>
  </si>
  <si>
    <t>STFC</t>
  </si>
  <si>
    <t>EPFL</t>
  </si>
  <si>
    <t>PSI</t>
  </si>
  <si>
    <t>CPAN</t>
  </si>
  <si>
    <t>Copenhagen</t>
  </si>
  <si>
    <t>JSI</t>
  </si>
  <si>
    <t>NTUA</t>
  </si>
  <si>
    <t>Sofia University</t>
  </si>
  <si>
    <t>LIP</t>
  </si>
  <si>
    <t>ILL</t>
  </si>
  <si>
    <t>TBC with programme of work of HEPTech</t>
  </si>
  <si>
    <t>Matching contribution confirmed up to 70kEuro</t>
  </si>
  <si>
    <t xml:space="preserve">Confirmed </t>
  </si>
  <si>
    <t>Confirmed but limited to 500 Euro, discussions with ESRF in progress</t>
  </si>
  <si>
    <r>
      <t>1)</t>
    </r>
    <r>
      <rPr>
        <sz val="7"/>
        <color theme="1"/>
        <rFont val="Times New Roman"/>
      </rPr>
      <t xml:space="preserve">    </t>
    </r>
    <r>
      <rPr>
        <sz val="11"/>
        <color theme="1"/>
        <rFont val="Cambria"/>
      </rPr>
      <t>Nodes to communicate/confirm their participation in technology-based and support-based initiatives;  2)  Updated and complete list of initiatives with corresponding Conveners</t>
    </r>
  </si>
  <si>
    <t>A. Delbart (CEA), M. Talvar (CEA)</t>
  </si>
  <si>
    <t>M. Caccia (INFN)</t>
  </si>
  <si>
    <t xml:space="preserve"> J.-M. Le Goff (CERN), STFC (tbc)</t>
  </si>
  <si>
    <t>D. Rueck (GSI)</t>
  </si>
  <si>
    <t>E. Gazis (NTUA)</t>
  </si>
  <si>
    <t>S. Zaninotti (CEA) , L. Paolucci (INFN)</t>
  </si>
  <si>
    <t>J.-M. Le Goff (CERN) , D. Rueck (GSI)</t>
  </si>
  <si>
    <t>B. Dobrev (Sofia U.) , E. Gazis (NTUA)</t>
  </si>
  <si>
    <t>H. Hillemanns (CERN), STFC (tbc)</t>
  </si>
  <si>
    <t>CERN, CPAN, STFC, NTUA, IN2P3, JSI (tbc)</t>
  </si>
  <si>
    <t>Considering the In-kind contribution 1 FTE through the CERN Portugal programme for young trainees (internship duration 1-2 years maximum). Discussions in progress.</t>
  </si>
  <si>
    <t>Contacted institution</t>
  </si>
  <si>
    <t>Country</t>
  </si>
  <si>
    <t>Status/Comments</t>
  </si>
  <si>
    <t>Contact</t>
  </si>
  <si>
    <t>HEPTech contact</t>
  </si>
  <si>
    <t>NIKHEF</t>
  </si>
  <si>
    <t>F. Linde (DG)</t>
  </si>
  <si>
    <t>NL</t>
  </si>
  <si>
    <t>Invited to attend HEPTech meeting</t>
  </si>
  <si>
    <t>IFIN-HH</t>
  </si>
  <si>
    <t>D. D. Enache; L. Radulescu</t>
  </si>
  <si>
    <t>RO</t>
  </si>
  <si>
    <t>Will attend HEPTech meeting</t>
  </si>
  <si>
    <t>Weismann Inst.</t>
  </si>
  <si>
    <t>FZU-Prague</t>
  </si>
  <si>
    <t>AGH-Krakow</t>
  </si>
  <si>
    <t>INP</t>
  </si>
  <si>
    <t>PL</t>
  </si>
  <si>
    <t>IS</t>
  </si>
  <si>
    <t>CZ</t>
  </si>
  <si>
    <t>D. Lewis / J.M. Le Goff</t>
  </si>
  <si>
    <t>Rhedin</t>
  </si>
  <si>
    <t>Laigaard</t>
  </si>
  <si>
    <t>Tracey</t>
  </si>
  <si>
    <t>Caccia</t>
  </si>
  <si>
    <t>Bordais</t>
  </si>
  <si>
    <t>Zaninotti</t>
  </si>
  <si>
    <t>Rück</t>
  </si>
  <si>
    <t>Rudolph</t>
  </si>
  <si>
    <t>Gazis</t>
  </si>
  <si>
    <t>Replacement Stres</t>
  </si>
  <si>
    <t>Merino Fernandez</t>
  </si>
  <si>
    <t>Litov</t>
  </si>
  <si>
    <t>Clerc</t>
  </si>
  <si>
    <t>Representative</t>
  </si>
  <si>
    <t>Institution</t>
  </si>
  <si>
    <t>Kopenhagen U.</t>
  </si>
  <si>
    <t>Sofia U.</t>
  </si>
  <si>
    <t>Lagrange</t>
  </si>
  <si>
    <t>17 votes</t>
  </si>
  <si>
    <t>De la Taille</t>
  </si>
  <si>
    <r>
      <rPr>
        <u/>
        <sz val="11"/>
        <color theme="1"/>
        <rFont val="Calibri"/>
        <scheme val="minor"/>
      </rPr>
      <t>CERN</t>
    </r>
    <r>
      <rPr>
        <sz val="11"/>
        <color theme="1"/>
        <rFont val="Calibri"/>
        <scheme val="minor"/>
      </rPr>
      <t>, CPAN, GSI, CEA, PSI, STFC, IN2P3, NTUA, Chalmers (tbc), DESY (tbc)</t>
    </r>
  </si>
  <si>
    <t>H. Hillemanns (CERN)</t>
  </si>
  <si>
    <t>CERN, IN2P3</t>
  </si>
  <si>
    <t>K. Laigaard (Copenhagen U.),                     H. Rhedin (Chalmers)</t>
  </si>
  <si>
    <r>
      <rPr>
        <u/>
        <sz val="11"/>
        <color theme="1"/>
        <rFont val="Calibri"/>
        <scheme val="minor"/>
      </rPr>
      <t>NTUA, Sofia Uni</t>
    </r>
    <r>
      <rPr>
        <sz val="11"/>
        <color theme="1"/>
        <rFont val="Calibri"/>
        <scheme val="minor"/>
      </rPr>
      <t>., INFN, ILL, LIP</t>
    </r>
  </si>
  <si>
    <t>Micro Channel Plates</t>
  </si>
  <si>
    <r>
      <rPr>
        <u/>
        <sz val="11"/>
        <color theme="1"/>
        <rFont val="Calibri"/>
        <scheme val="minor"/>
      </rPr>
      <t>Chalmers, Copenhagen Uni.</t>
    </r>
    <r>
      <rPr>
        <sz val="11"/>
        <color theme="1"/>
        <rFont val="Calibri"/>
        <scheme val="minor"/>
      </rPr>
      <t>, CERN, STFC. PSI, LIP, IN2P3</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</si>
</sst>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2]\ #,##0"/>
  </numFmts>
  <fonts count="12" x14ac:knownFonts="1">
    <font>
      <sz val="12"/>
      <color theme="1"/>
      <name val="Calibri"/>
      <family val="2"/>
      <scheme val="minor"/>
    </font>
    <font>
      <b/>
      <sz val="14"/>
      <color theme="1"/>
      <name val="Calibri"/>
      <scheme val="minor"/>
    </font>
    <font>
      <sz val="11"/>
      <color theme="1"/>
      <name val="Cambria"/>
    </font>
    <font>
      <u/>
      <sz val="12"/>
      <color theme="10"/>
      <name val="Calibri"/>
      <family val="2"/>
      <scheme val="minor"/>
    </font>
    <font>
      <u/>
      <sz val="12"/>
      <color theme="11"/>
      <name val="Calibri"/>
      <family val="2"/>
      <scheme val="minor"/>
    </font>
    <font>
      <sz val="11"/>
      <color theme="1"/>
      <name val="Calibri"/>
      <scheme val="minor"/>
    </font>
    <font>
      <b/>
      <sz val="14"/>
      <color theme="1"/>
      <name val="Cambria"/>
    </font>
    <font>
      <sz val="14"/>
      <color theme="1"/>
      <name val="Cambria"/>
    </font>
    <font>
      <sz val="7"/>
      <color theme="1"/>
      <name val="Times New Roman"/>
    </font>
    <font>
      <b/>
      <sz val="12"/>
      <color theme="1"/>
      <name val="Calibri"/>
      <family val="2"/>
      <scheme val="minor"/>
    </font>
    <font>
      <u/>
      <sz val="11"/>
      <color theme="1"/>
      <name val="Calibri"/>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auto="1"/>
      </left>
      <right style="medium">
        <color rgb="FF000000"/>
      </right>
      <top style="medium">
        <color rgb="FF000000"/>
      </top>
      <bottom style="medium">
        <color rgb="FF000000"/>
      </bottom>
      <diagonal/>
    </border>
    <border>
      <left style="medium">
        <color auto="1"/>
      </left>
      <right style="medium">
        <color rgb="FF000000"/>
      </right>
      <top/>
      <bottom style="medium">
        <color rgb="FF000000"/>
      </bottom>
      <diagonal/>
    </border>
    <border>
      <left/>
      <right style="medium">
        <color auto="1"/>
      </right>
      <top/>
      <bottom style="medium">
        <color rgb="FF000000"/>
      </bottom>
      <diagonal/>
    </border>
    <border>
      <left/>
      <right style="medium">
        <color auto="1"/>
      </right>
      <top/>
      <bottom/>
      <diagonal/>
    </border>
    <border>
      <left style="thin">
        <color rgb="FF000000"/>
      </left>
      <right style="medium">
        <color auto="1"/>
      </right>
      <top style="thin">
        <color rgb="FF000000"/>
      </top>
      <bottom style="thin">
        <color auto="1"/>
      </bottom>
      <diagonal/>
    </border>
    <border>
      <left style="thin">
        <color rgb="FF000000"/>
      </left>
      <right style="medium">
        <color auto="1"/>
      </right>
      <top style="thin">
        <color auto="1"/>
      </top>
      <bottom style="thin">
        <color auto="1"/>
      </bottom>
      <diagonal/>
    </border>
    <border>
      <left style="medium">
        <color auto="1"/>
      </left>
      <right style="medium">
        <color rgb="FF000000"/>
      </right>
      <top/>
      <bottom style="medium">
        <color auto="1"/>
      </bottom>
      <diagonal/>
    </border>
    <border>
      <left style="medium">
        <color rgb="FF000000"/>
      </left>
      <right/>
      <top style="medium">
        <color rgb="FF000000"/>
      </top>
      <bottom style="medium">
        <color auto="1"/>
      </bottom>
      <diagonal/>
    </border>
    <border>
      <left style="thin">
        <color rgb="FF000000"/>
      </left>
      <right style="medium">
        <color auto="1"/>
      </right>
      <top style="thin">
        <color auto="1"/>
      </top>
      <bottom style="medium">
        <color auto="1"/>
      </bottom>
      <diagonal/>
    </border>
    <border>
      <left style="thin">
        <color auto="1"/>
      </left>
      <right style="thin">
        <color auto="1"/>
      </right>
      <top style="thin">
        <color auto="1"/>
      </top>
      <bottom style="thin">
        <color rgb="FF000000"/>
      </bottom>
      <diagonal/>
    </border>
  </borders>
  <cellStyleXfs count="13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60">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0" borderId="5" xfId="0" applyFont="1" applyBorder="1" applyAlignment="1">
      <alignment horizontal="justify" vertical="center" wrapText="1"/>
    </xf>
    <xf numFmtId="0" fontId="2" fillId="0" borderId="7" xfId="0" applyFont="1" applyBorder="1" applyAlignment="1">
      <alignment horizontal="justify" vertical="center" wrapText="1"/>
    </xf>
    <xf numFmtId="0" fontId="5" fillId="0" borderId="12" xfId="0" applyFont="1" applyBorder="1" applyAlignment="1">
      <alignment horizontal="justify"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7" fillId="0" borderId="12" xfId="0" applyFont="1" applyBorder="1" applyAlignment="1">
      <alignment horizontal="justify" vertical="center" wrapText="1"/>
    </xf>
    <xf numFmtId="0" fontId="7" fillId="0" borderId="13" xfId="0" applyFont="1" applyBorder="1" applyAlignment="1">
      <alignment horizontal="right" vertical="center" wrapText="1"/>
    </xf>
    <xf numFmtId="0" fontId="6" fillId="0" borderId="12" xfId="0" applyFont="1" applyBorder="1" applyAlignment="1">
      <alignment horizontal="right" vertical="center" wrapText="1"/>
    </xf>
    <xf numFmtId="164" fontId="7" fillId="0" borderId="13" xfId="0" applyNumberFormat="1" applyFont="1" applyBorder="1" applyAlignment="1">
      <alignment horizontal="right" vertical="center" wrapText="1"/>
    </xf>
    <xf numFmtId="164" fontId="6" fillId="0" borderId="13" xfId="0" applyNumberFormat="1" applyFont="1" applyBorder="1" applyAlignment="1">
      <alignment horizontal="right" vertical="center" wrapText="1"/>
    </xf>
    <xf numFmtId="164" fontId="0" fillId="0" borderId="0" xfId="0" applyNumberFormat="1"/>
    <xf numFmtId="0" fontId="1" fillId="0" borderId="0" xfId="0" applyFont="1" applyAlignment="1">
      <alignment horizontal="center"/>
    </xf>
    <xf numFmtId="0" fontId="0" fillId="0" borderId="1" xfId="0" applyBorder="1" applyAlignment="1">
      <alignment vertical="top"/>
    </xf>
    <xf numFmtId="0" fontId="5" fillId="0" borderId="13" xfId="0" applyFont="1" applyBorder="1" applyAlignment="1">
      <alignment horizontal="justify" vertical="top" wrapText="1"/>
    </xf>
    <xf numFmtId="0" fontId="5" fillId="0" borderId="1" xfId="0" applyFont="1" applyBorder="1" applyAlignment="1">
      <alignment vertical="top"/>
    </xf>
    <xf numFmtId="0" fontId="5" fillId="0" borderId="8" xfId="0" applyFont="1" applyBorder="1" applyAlignment="1">
      <alignment vertical="top"/>
    </xf>
    <xf numFmtId="0" fontId="5" fillId="0" borderId="6" xfId="0" applyFont="1" applyBorder="1" applyAlignment="1">
      <alignment vertical="top"/>
    </xf>
    <xf numFmtId="0" fontId="5" fillId="0" borderId="6" xfId="0" applyFont="1" applyBorder="1" applyAlignment="1">
      <alignment vertical="top" wrapText="1"/>
    </xf>
    <xf numFmtId="0" fontId="5" fillId="0" borderId="9" xfId="0" applyFont="1" applyBorder="1" applyAlignment="1">
      <alignment vertical="top"/>
    </xf>
    <xf numFmtId="0" fontId="1" fillId="0" borderId="1" xfId="0" applyFont="1" applyBorder="1" applyAlignment="1">
      <alignment horizontal="center" vertical="top"/>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0" borderId="1" xfId="0" applyBorder="1"/>
    <xf numFmtId="0" fontId="0" fillId="0" borderId="0" xfId="0" applyAlignment="1">
      <alignment wrapText="1"/>
    </xf>
    <xf numFmtId="0" fontId="0" fillId="0" borderId="1" xfId="0" applyFill="1" applyBorder="1" applyAlignment="1">
      <alignment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applyBorder="1" applyAlignment="1">
      <alignment wrapText="1"/>
    </xf>
    <xf numFmtId="0" fontId="2" fillId="0" borderId="15" xfId="0" applyFont="1" applyBorder="1" applyAlignment="1">
      <alignment horizontal="justify" vertical="center" wrapText="1"/>
    </xf>
    <xf numFmtId="0" fontId="2" fillId="0" borderId="16" xfId="0" applyFont="1" applyBorder="1" applyAlignment="1">
      <alignment horizontal="justify" vertical="center" wrapText="1"/>
    </xf>
    <xf numFmtId="0" fontId="2" fillId="0" borderId="17" xfId="0" applyFont="1" applyBorder="1" applyAlignment="1">
      <alignment horizontal="justify" vertical="center" wrapText="1"/>
    </xf>
    <xf numFmtId="0" fontId="2" fillId="0" borderId="18" xfId="0" applyFont="1" applyBorder="1" applyAlignment="1">
      <alignment horizontal="justify" vertical="center" wrapText="1"/>
    </xf>
    <xf numFmtId="0" fontId="0" fillId="0" borderId="19" xfId="0" applyBorder="1" applyAlignment="1">
      <alignment vertical="top"/>
    </xf>
    <xf numFmtId="0" fontId="2" fillId="0" borderId="20" xfId="0" applyFont="1" applyFill="1" applyBorder="1" applyAlignment="1">
      <alignment horizontal="justify" vertical="top" wrapText="1"/>
    </xf>
    <xf numFmtId="0" fontId="2" fillId="0" borderId="23" xfId="0" applyFont="1" applyFill="1" applyBorder="1" applyAlignment="1">
      <alignment horizontal="justify" vertical="top" wrapText="1"/>
    </xf>
    <xf numFmtId="0" fontId="1" fillId="0" borderId="1" xfId="0" applyFont="1" applyBorder="1" applyAlignment="1">
      <alignment horizontal="center"/>
    </xf>
    <xf numFmtId="0" fontId="2" fillId="0" borderId="1" xfId="0" applyFont="1" applyBorder="1" applyAlignment="1">
      <alignment horizontal="justify" vertical="center"/>
    </xf>
    <xf numFmtId="0" fontId="2" fillId="2" borderId="1" xfId="0" applyFont="1" applyFill="1" applyBorder="1" applyAlignment="1">
      <alignment horizontal="justify" vertical="center" wrapText="1"/>
    </xf>
    <xf numFmtId="0" fontId="2" fillId="2" borderId="1" xfId="0" applyFont="1" applyFill="1" applyBorder="1" applyAlignment="1">
      <alignment wrapText="1"/>
    </xf>
    <xf numFmtId="0" fontId="1" fillId="0" borderId="24" xfId="0" applyFont="1" applyBorder="1" applyAlignment="1">
      <alignment horizontal="center"/>
    </xf>
    <xf numFmtId="164" fontId="0" fillId="0" borderId="12" xfId="0" applyNumberFormat="1" applyBorder="1" applyAlignment="1">
      <alignment horizontal="center"/>
    </xf>
    <xf numFmtId="164" fontId="0" fillId="0" borderId="10" xfId="0" applyNumberFormat="1" applyBorder="1" applyAlignment="1">
      <alignment horizontal="center"/>
    </xf>
    <xf numFmtId="164" fontId="0" fillId="0" borderId="10" xfId="0" applyNumberFormat="1" applyBorder="1" applyAlignment="1">
      <alignment horizontal="center" vertical="top"/>
    </xf>
    <xf numFmtId="164" fontId="0" fillId="0" borderId="14" xfId="0" applyNumberFormat="1" applyBorder="1" applyAlignment="1">
      <alignment horizontal="center"/>
    </xf>
    <xf numFmtId="164" fontId="0" fillId="0" borderId="14" xfId="0" applyNumberFormat="1" applyBorder="1" applyAlignment="1">
      <alignment horizontal="center" vertical="top"/>
    </xf>
    <xf numFmtId="164" fontId="0" fillId="0" borderId="22" xfId="0" applyNumberFormat="1" applyBorder="1" applyAlignment="1">
      <alignment horizontal="center" vertical="top"/>
    </xf>
    <xf numFmtId="17" fontId="0" fillId="2" borderId="1" xfId="0" applyNumberFormat="1" applyFill="1" applyBorder="1" applyAlignment="1">
      <alignment horizontal="left" vertical="top"/>
    </xf>
    <xf numFmtId="17" fontId="0" fillId="0" borderId="1" xfId="0" applyNumberFormat="1" applyBorder="1" applyAlignment="1">
      <alignment horizontal="left" vertical="top"/>
    </xf>
    <xf numFmtId="0" fontId="2" fillId="0" borderId="16" xfId="0" applyFont="1" applyBorder="1" applyAlignment="1">
      <alignment horizontal="justify" vertical="top" wrapText="1"/>
    </xf>
    <xf numFmtId="0" fontId="2" fillId="0" borderId="21" xfId="0" applyFont="1" applyBorder="1" applyAlignment="1">
      <alignment horizontal="justify" vertical="top" wrapText="1"/>
    </xf>
    <xf numFmtId="0" fontId="9" fillId="0" borderId="1" xfId="0" applyFont="1" applyBorder="1"/>
    <xf numFmtId="0" fontId="1" fillId="0" borderId="1" xfId="0" applyFont="1" applyBorder="1"/>
    <xf numFmtId="0" fontId="5" fillId="0" borderId="13" xfId="0" applyFont="1" applyBorder="1" applyAlignment="1">
      <alignment horizontal="left" vertical="top" wrapText="1"/>
    </xf>
    <xf numFmtId="0" fontId="2" fillId="2" borderId="1" xfId="0" applyFont="1" applyFill="1" applyBorder="1" applyAlignment="1">
      <alignment horizontal="justify" vertical="top"/>
    </xf>
  </cellXfs>
  <cellStyles count="13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16"/>
  <sheetViews>
    <sheetView zoomScale="150" zoomScaleNormal="150" zoomScalePageLayoutView="150" workbookViewId="0">
      <selection activeCell="B20" sqref="B20"/>
    </sheetView>
  </sheetViews>
  <sheetFormatPr baseColWidth="10" defaultRowHeight="15" x14ac:dyDescent="0"/>
  <cols>
    <col min="1" max="1" width="33.1640625" customWidth="1"/>
    <col min="2" max="2" width="31.33203125" customWidth="1"/>
    <col min="3" max="3" width="42.83203125" customWidth="1"/>
  </cols>
  <sheetData>
    <row r="1" spans="1:3" ht="18">
      <c r="A1" s="1" t="s">
        <v>15</v>
      </c>
      <c r="B1" s="2" t="s">
        <v>43</v>
      </c>
      <c r="C1" s="3" t="s">
        <v>0</v>
      </c>
    </row>
    <row r="2" spans="1:3">
      <c r="A2" s="4" t="s">
        <v>1</v>
      </c>
      <c r="B2" s="20" t="s">
        <v>97</v>
      </c>
      <c r="C2" s="22" t="s">
        <v>37</v>
      </c>
    </row>
    <row r="3" spans="1:3">
      <c r="A3" s="4" t="s">
        <v>2</v>
      </c>
      <c r="B3" s="20" t="s">
        <v>98</v>
      </c>
      <c r="C3" s="22" t="s">
        <v>38</v>
      </c>
    </row>
    <row r="4" spans="1:3">
      <c r="A4" s="4" t="s">
        <v>42</v>
      </c>
      <c r="B4" s="20" t="s">
        <v>80</v>
      </c>
      <c r="C4" s="22" t="s">
        <v>106</v>
      </c>
    </row>
    <row r="5" spans="1:3" ht="28">
      <c r="A5" s="4" t="s">
        <v>3</v>
      </c>
      <c r="B5" s="20" t="s">
        <v>99</v>
      </c>
      <c r="C5" s="23" t="s">
        <v>149</v>
      </c>
    </row>
    <row r="6" spans="1:3">
      <c r="A6" s="4" t="s">
        <v>154</v>
      </c>
      <c r="B6" s="20" t="s">
        <v>105</v>
      </c>
      <c r="C6" s="22" t="s">
        <v>41</v>
      </c>
    </row>
    <row r="7" spans="1:3">
      <c r="A7" s="4" t="s">
        <v>4</v>
      </c>
      <c r="B7" s="20" t="s">
        <v>150</v>
      </c>
      <c r="C7" s="22" t="s">
        <v>151</v>
      </c>
    </row>
    <row r="8" spans="1:3">
      <c r="A8" s="4" t="s">
        <v>5</v>
      </c>
      <c r="B8" s="20" t="s">
        <v>100</v>
      </c>
      <c r="C8" s="22" t="s">
        <v>44</v>
      </c>
    </row>
    <row r="9" spans="1:3" ht="16" thickBot="1">
      <c r="A9" s="5" t="s">
        <v>6</v>
      </c>
      <c r="B9" s="21" t="s">
        <v>101</v>
      </c>
      <c r="C9" s="24" t="s">
        <v>39</v>
      </c>
    </row>
    <row r="11" spans="1:3" ht="16" thickBot="1"/>
    <row r="12" spans="1:3" ht="19" thickBot="1">
      <c r="A12" s="7" t="s">
        <v>16</v>
      </c>
      <c r="B12" s="8" t="s">
        <v>43</v>
      </c>
      <c r="C12" s="8" t="s">
        <v>0</v>
      </c>
    </row>
    <row r="13" spans="1:3" ht="29" thickBot="1">
      <c r="A13" s="6" t="s">
        <v>11</v>
      </c>
      <c r="B13" s="58" t="s">
        <v>152</v>
      </c>
      <c r="C13" s="19" t="s">
        <v>155</v>
      </c>
    </row>
    <row r="14" spans="1:3" ht="16" thickBot="1">
      <c r="A14" s="6" t="s">
        <v>12</v>
      </c>
      <c r="B14" s="19" t="s">
        <v>102</v>
      </c>
      <c r="C14" s="19" t="s">
        <v>40</v>
      </c>
    </row>
    <row r="15" spans="1:3" ht="16" thickBot="1">
      <c r="A15" s="6" t="s">
        <v>13</v>
      </c>
      <c r="B15" s="19" t="s">
        <v>103</v>
      </c>
      <c r="C15" s="19" t="s">
        <v>36</v>
      </c>
    </row>
    <row r="16" spans="1:3" ht="29" thickBot="1">
      <c r="A16" s="6" t="s">
        <v>14</v>
      </c>
      <c r="B16" s="19" t="s">
        <v>104</v>
      </c>
      <c r="C16" s="19" t="s">
        <v>153</v>
      </c>
    </row>
  </sheetData>
  <phoneticPr fontId="11" type="noConversion"/>
  <pageMargins left="0.75" right="0.75" top="1" bottom="1" header="0.5" footer="0.5"/>
  <pageSetup paperSize="9" orientation="landscape"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6" sqref="D6"/>
    </sheetView>
  </sheetViews>
  <sheetFormatPr baseColWidth="10" defaultRowHeight="15" x14ac:dyDescent="0"/>
  <cols>
    <col min="1" max="1" width="31.5" customWidth="1"/>
    <col min="2" max="2" width="16.6640625" customWidth="1"/>
  </cols>
  <sheetData>
    <row r="1" spans="1:4" ht="35" thickBot="1">
      <c r="A1" s="9" t="s">
        <v>17</v>
      </c>
      <c r="B1" s="10" t="s">
        <v>18</v>
      </c>
      <c r="C1" s="10" t="s">
        <v>19</v>
      </c>
      <c r="D1" s="10" t="s">
        <v>20</v>
      </c>
    </row>
    <row r="2" spans="1:4" ht="18" thickBot="1">
      <c r="A2" s="11" t="s">
        <v>21</v>
      </c>
      <c r="B2" s="12" t="s">
        <v>31</v>
      </c>
      <c r="C2" s="12" t="s">
        <v>22</v>
      </c>
      <c r="D2" s="14">
        <v>48000</v>
      </c>
    </row>
    <row r="3" spans="1:4" ht="18" thickBot="1">
      <c r="A3" s="11" t="s">
        <v>23</v>
      </c>
      <c r="B3" s="12" t="s">
        <v>31</v>
      </c>
      <c r="C3" s="12" t="s">
        <v>24</v>
      </c>
      <c r="D3" s="14">
        <v>3000</v>
      </c>
    </row>
    <row r="4" spans="1:4" ht="18" thickBot="1">
      <c r="A4" s="11" t="s">
        <v>25</v>
      </c>
      <c r="B4" s="12" t="s">
        <v>26</v>
      </c>
      <c r="C4" s="12" t="s">
        <v>27</v>
      </c>
      <c r="D4" s="14">
        <v>36000</v>
      </c>
    </row>
    <row r="5" spans="1:4" ht="35" thickBot="1">
      <c r="A5" s="11" t="s">
        <v>28</v>
      </c>
      <c r="B5" s="12" t="s">
        <v>32</v>
      </c>
      <c r="C5" s="12" t="s">
        <v>29</v>
      </c>
      <c r="D5" s="14">
        <v>6000</v>
      </c>
    </row>
    <row r="6" spans="1:4" ht="18" thickBot="1">
      <c r="A6" s="13" t="s">
        <v>30</v>
      </c>
      <c r="B6" s="12"/>
      <c r="C6" s="12"/>
      <c r="D6" s="15">
        <f>SUM(D2:D5)</f>
        <v>93000</v>
      </c>
    </row>
    <row r="7" spans="1:4">
      <c r="D7" s="16"/>
    </row>
  </sheetData>
  <phoneticPr fontId="11"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zoomScale="150" zoomScaleNormal="150" zoomScalePageLayoutView="150" workbookViewId="0">
      <selection activeCell="B12" sqref="B12"/>
    </sheetView>
  </sheetViews>
  <sheetFormatPr baseColWidth="10" defaultRowHeight="15" x14ac:dyDescent="0"/>
  <cols>
    <col min="1" max="1" width="12.5" customWidth="1"/>
    <col min="2" max="2" width="65.5" customWidth="1"/>
  </cols>
  <sheetData>
    <row r="1" spans="1:6" ht="18">
      <c r="A1" s="41" t="s">
        <v>33</v>
      </c>
      <c r="B1" s="41" t="s">
        <v>34</v>
      </c>
      <c r="C1" s="17"/>
      <c r="D1" s="17"/>
      <c r="E1" s="17"/>
      <c r="F1" s="17"/>
    </row>
    <row r="2" spans="1:6" ht="47" customHeight="1">
      <c r="A2" s="52">
        <v>38292</v>
      </c>
      <c r="B2" s="43" t="s">
        <v>96</v>
      </c>
    </row>
    <row r="3" spans="1:6" ht="40">
      <c r="A3" s="52">
        <v>43405</v>
      </c>
      <c r="B3" s="44" t="s">
        <v>35</v>
      </c>
    </row>
    <row r="4" spans="1:6" ht="44" customHeight="1">
      <c r="A4" s="52">
        <v>11263</v>
      </c>
      <c r="B4" s="59" t="s">
        <v>45</v>
      </c>
    </row>
    <row r="5" spans="1:6" ht="26">
      <c r="A5" s="53">
        <v>37226</v>
      </c>
      <c r="B5" s="42" t="s">
        <v>46</v>
      </c>
    </row>
    <row r="6" spans="1:6">
      <c r="A6" s="53">
        <v>37591</v>
      </c>
      <c r="B6" s="28" t="s">
        <v>47</v>
      </c>
    </row>
  </sheetData>
  <phoneticPr fontId="11"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D4" sqref="D4"/>
    </sheetView>
  </sheetViews>
  <sheetFormatPr baseColWidth="10" defaultRowHeight="15" x14ac:dyDescent="0"/>
  <cols>
    <col min="1" max="1" width="36" customWidth="1"/>
    <col min="2" max="2" width="35.83203125" customWidth="1"/>
    <col min="3" max="3" width="22.6640625" customWidth="1"/>
    <col min="4" max="4" width="21.6640625" customWidth="1"/>
  </cols>
  <sheetData>
    <row r="1" spans="1:4" ht="18">
      <c r="A1" s="25" t="s">
        <v>48</v>
      </c>
      <c r="B1" s="25" t="s">
        <v>52</v>
      </c>
      <c r="C1" s="25" t="s">
        <v>49</v>
      </c>
      <c r="D1" s="25" t="s">
        <v>50</v>
      </c>
    </row>
    <row r="2" spans="1:4" ht="30">
      <c r="A2" s="26" t="s">
        <v>65</v>
      </c>
      <c r="B2" s="27" t="s">
        <v>66</v>
      </c>
      <c r="C2" s="26" t="s">
        <v>67</v>
      </c>
      <c r="D2" s="27" t="s">
        <v>68</v>
      </c>
    </row>
    <row r="3" spans="1:4">
      <c r="A3" s="28" t="s">
        <v>51</v>
      </c>
      <c r="B3" s="28" t="s">
        <v>2</v>
      </c>
      <c r="C3" s="28" t="s">
        <v>57</v>
      </c>
      <c r="D3" s="28" t="s">
        <v>53</v>
      </c>
    </row>
    <row r="4" spans="1:4" ht="45">
      <c r="A4" s="18" t="s">
        <v>54</v>
      </c>
      <c r="B4" s="18" t="s">
        <v>55</v>
      </c>
      <c r="C4" s="18" t="s">
        <v>58</v>
      </c>
      <c r="D4" s="33" t="s">
        <v>73</v>
      </c>
    </row>
    <row r="5" spans="1:4">
      <c r="A5" s="28" t="s">
        <v>60</v>
      </c>
      <c r="B5" s="28" t="s">
        <v>60</v>
      </c>
      <c r="C5" s="28" t="s">
        <v>61</v>
      </c>
      <c r="D5" s="28" t="s">
        <v>62</v>
      </c>
    </row>
    <row r="6" spans="1:4">
      <c r="A6" s="28" t="s">
        <v>1</v>
      </c>
      <c r="B6" s="28" t="s">
        <v>1</v>
      </c>
      <c r="C6" s="28" t="s">
        <v>69</v>
      </c>
      <c r="D6" s="28" t="s">
        <v>63</v>
      </c>
    </row>
    <row r="7" spans="1:4">
      <c r="A7" s="28" t="s">
        <v>64</v>
      </c>
      <c r="B7" s="28" t="s">
        <v>55</v>
      </c>
      <c r="C7" s="28" t="s">
        <v>57</v>
      </c>
      <c r="D7" s="28" t="s">
        <v>53</v>
      </c>
    </row>
    <row r="8" spans="1:4" ht="30">
      <c r="A8" s="30" t="s">
        <v>70</v>
      </c>
      <c r="B8" s="31" t="s">
        <v>6</v>
      </c>
      <c r="C8" s="31" t="s">
        <v>71</v>
      </c>
      <c r="D8" s="32" t="s">
        <v>72</v>
      </c>
    </row>
    <row r="9" spans="1:4">
      <c r="A9" s="29"/>
    </row>
  </sheetData>
  <phoneticPr fontId="11" type="noConversion"/>
  <pageMargins left="0.75" right="0.75" top="1" bottom="1" header="0.5" footer="0.5"/>
  <pageSetup paperSize="9" orientation="landscape"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C12" sqref="C12"/>
    </sheetView>
  </sheetViews>
  <sheetFormatPr baseColWidth="10" defaultRowHeight="15" x14ac:dyDescent="0"/>
  <cols>
    <col min="1" max="1" width="22" customWidth="1"/>
    <col min="2" max="2" width="10" customWidth="1"/>
    <col min="3" max="3" width="22.5" customWidth="1"/>
  </cols>
  <sheetData>
    <row r="1" spans="1:3" ht="18">
      <c r="A1" s="45" t="s">
        <v>74</v>
      </c>
      <c r="B1" s="45" t="s">
        <v>75</v>
      </c>
      <c r="C1" s="45" t="s">
        <v>76</v>
      </c>
    </row>
    <row r="2" spans="1:3" ht="16" thickBot="1">
      <c r="A2" s="35" t="s">
        <v>56</v>
      </c>
      <c r="B2" s="46">
        <v>5000</v>
      </c>
      <c r="C2" s="36" t="s">
        <v>59</v>
      </c>
    </row>
    <row r="3" spans="1:3" ht="16" thickBot="1">
      <c r="A3" s="35" t="s">
        <v>77</v>
      </c>
      <c r="B3" s="47">
        <v>5000</v>
      </c>
      <c r="C3" s="36" t="s">
        <v>59</v>
      </c>
    </row>
    <row r="4" spans="1:3" ht="16" thickBot="1">
      <c r="A4" s="35" t="s">
        <v>78</v>
      </c>
      <c r="B4" s="47">
        <v>5000</v>
      </c>
      <c r="C4" s="36" t="s">
        <v>59</v>
      </c>
    </row>
    <row r="5" spans="1:3" ht="16" thickBot="1">
      <c r="A5" s="35" t="s">
        <v>79</v>
      </c>
      <c r="B5" s="47">
        <v>5000</v>
      </c>
      <c r="C5" s="36" t="s">
        <v>59</v>
      </c>
    </row>
    <row r="6" spans="1:3" ht="16" thickBot="1">
      <c r="A6" s="35" t="s">
        <v>80</v>
      </c>
      <c r="B6" s="47">
        <v>5000</v>
      </c>
      <c r="C6" s="36" t="s">
        <v>59</v>
      </c>
    </row>
    <row r="7" spans="1:3" ht="16" thickBot="1">
      <c r="A7" s="35" t="s">
        <v>81</v>
      </c>
      <c r="B7" s="47">
        <v>5000</v>
      </c>
      <c r="C7" s="36" t="s">
        <v>53</v>
      </c>
    </row>
    <row r="8" spans="1:3" ht="27" thickBot="1">
      <c r="A8" s="35" t="s">
        <v>82</v>
      </c>
      <c r="B8" s="48">
        <v>5000</v>
      </c>
      <c r="C8" s="36" t="s">
        <v>92</v>
      </c>
    </row>
    <row r="9" spans="1:3" ht="16" thickBot="1">
      <c r="A9" s="35" t="s">
        <v>83</v>
      </c>
      <c r="B9" s="47">
        <v>5000</v>
      </c>
      <c r="C9" s="36" t="s">
        <v>53</v>
      </c>
    </row>
    <row r="10" spans="1:3" ht="16" thickBot="1">
      <c r="A10" s="35" t="s">
        <v>84</v>
      </c>
      <c r="B10" s="47">
        <v>5000</v>
      </c>
      <c r="C10" s="36" t="s">
        <v>53</v>
      </c>
    </row>
    <row r="11" spans="1:3" ht="16" thickBot="1">
      <c r="A11" s="35" t="s">
        <v>85</v>
      </c>
      <c r="B11" s="47">
        <v>5000</v>
      </c>
      <c r="C11" s="36" t="s">
        <v>59</v>
      </c>
    </row>
    <row r="12" spans="1:3" ht="16" thickBot="1">
      <c r="A12" s="35" t="s">
        <v>86</v>
      </c>
      <c r="B12" s="47">
        <v>5000</v>
      </c>
      <c r="C12" s="36" t="s">
        <v>53</v>
      </c>
    </row>
    <row r="13" spans="1:3" ht="27" thickBot="1">
      <c r="A13" s="35" t="s">
        <v>10</v>
      </c>
      <c r="B13" s="47"/>
      <c r="C13" s="37" t="s">
        <v>93</v>
      </c>
    </row>
    <row r="14" spans="1:3" ht="16" thickBot="1">
      <c r="A14" s="34" t="s">
        <v>87</v>
      </c>
      <c r="B14" s="49">
        <v>0</v>
      </c>
      <c r="C14" s="38"/>
    </row>
    <row r="15" spans="1:3" ht="16" thickBot="1">
      <c r="A15" s="35" t="s">
        <v>88</v>
      </c>
      <c r="B15" s="49">
        <v>2500</v>
      </c>
      <c r="C15" s="39" t="s">
        <v>94</v>
      </c>
    </row>
    <row r="16" spans="1:3" ht="16" thickBot="1">
      <c r="A16" s="35" t="s">
        <v>89</v>
      </c>
      <c r="B16" s="49">
        <v>2500</v>
      </c>
      <c r="C16" s="39" t="s">
        <v>59</v>
      </c>
    </row>
    <row r="17" spans="1:3" ht="105" thickBot="1">
      <c r="A17" s="54" t="s">
        <v>90</v>
      </c>
      <c r="B17" s="50">
        <v>0</v>
      </c>
      <c r="C17" s="39" t="s">
        <v>107</v>
      </c>
    </row>
    <row r="18" spans="1:3" ht="40" thickBot="1">
      <c r="A18" s="55" t="s">
        <v>91</v>
      </c>
      <c r="B18" s="51">
        <v>500</v>
      </c>
      <c r="C18" s="40" t="s">
        <v>95</v>
      </c>
    </row>
  </sheetData>
  <phoneticPr fontId="11"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workbookViewId="0">
      <selection activeCell="B18" sqref="B18"/>
    </sheetView>
  </sheetViews>
  <sheetFormatPr baseColWidth="10" defaultRowHeight="15" x14ac:dyDescent="0"/>
  <cols>
    <col min="1" max="1" width="22.6640625" customWidth="1"/>
    <col min="2" max="2" width="23.83203125" customWidth="1"/>
    <col min="4" max="4" width="32.83203125" customWidth="1"/>
    <col min="5" max="5" width="21.83203125" customWidth="1"/>
  </cols>
  <sheetData>
    <row r="1" spans="1:5" ht="18">
      <c r="A1" s="57" t="s">
        <v>108</v>
      </c>
      <c r="B1" s="57" t="s">
        <v>111</v>
      </c>
      <c r="C1" s="57" t="s">
        <v>109</v>
      </c>
      <c r="D1" s="57" t="s">
        <v>110</v>
      </c>
      <c r="E1" s="57" t="s">
        <v>112</v>
      </c>
    </row>
    <row r="2" spans="1:5">
      <c r="A2" s="28" t="s">
        <v>113</v>
      </c>
      <c r="B2" s="28" t="s">
        <v>114</v>
      </c>
      <c r="C2" s="28" t="s">
        <v>115</v>
      </c>
      <c r="D2" s="28" t="s">
        <v>116</v>
      </c>
      <c r="E2" s="28" t="s">
        <v>8</v>
      </c>
    </row>
    <row r="3" spans="1:5">
      <c r="A3" s="28" t="s">
        <v>117</v>
      </c>
      <c r="B3" s="28" t="s">
        <v>118</v>
      </c>
      <c r="C3" s="28" t="s">
        <v>119</v>
      </c>
      <c r="D3" s="28" t="s">
        <v>120</v>
      </c>
      <c r="E3" s="28" t="s">
        <v>9</v>
      </c>
    </row>
    <row r="4" spans="1:5">
      <c r="A4" s="28" t="s">
        <v>121</v>
      </c>
      <c r="B4" s="28"/>
      <c r="C4" s="28" t="s">
        <v>126</v>
      </c>
      <c r="D4" s="28" t="s">
        <v>116</v>
      </c>
      <c r="E4" s="28" t="s">
        <v>128</v>
      </c>
    </row>
    <row r="5" spans="1:5">
      <c r="A5" s="28" t="s">
        <v>123</v>
      </c>
      <c r="B5" s="28"/>
      <c r="C5" s="28" t="s">
        <v>125</v>
      </c>
      <c r="D5" s="28" t="s">
        <v>116</v>
      </c>
      <c r="E5" s="28" t="s">
        <v>7</v>
      </c>
    </row>
    <row r="6" spans="1:5">
      <c r="A6" s="28" t="s">
        <v>124</v>
      </c>
      <c r="B6" s="28"/>
      <c r="C6" s="28" t="s">
        <v>125</v>
      </c>
      <c r="D6" s="28" t="s">
        <v>116</v>
      </c>
      <c r="E6" s="28" t="s">
        <v>7</v>
      </c>
    </row>
    <row r="7" spans="1:5">
      <c r="A7" s="28" t="s">
        <v>122</v>
      </c>
      <c r="B7" s="28"/>
      <c r="C7" s="28" t="s">
        <v>127</v>
      </c>
      <c r="D7" s="28" t="s">
        <v>116</v>
      </c>
      <c r="E7" s="28" t="s">
        <v>7</v>
      </c>
    </row>
  </sheetData>
  <phoneticPr fontId="11" type="noConversion"/>
  <pageMargins left="0.75" right="0.75" top="1" bottom="1" header="0.5" footer="0.5"/>
  <pageSetup paperSize="9" orientation="landscape"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25" sqref="B25"/>
    </sheetView>
  </sheetViews>
  <sheetFormatPr baseColWidth="10" defaultRowHeight="15" x14ac:dyDescent="0"/>
  <cols>
    <col min="1" max="1" width="32.1640625" customWidth="1"/>
    <col min="2" max="2" width="14.6640625" customWidth="1"/>
  </cols>
  <sheetData>
    <row r="1" spans="1:2">
      <c r="A1" s="56" t="s">
        <v>142</v>
      </c>
      <c r="B1" s="56" t="s">
        <v>143</v>
      </c>
    </row>
    <row r="2" spans="1:2">
      <c r="A2" s="28" t="s">
        <v>129</v>
      </c>
      <c r="B2" s="28" t="s">
        <v>81</v>
      </c>
    </row>
    <row r="3" spans="1:2">
      <c r="A3" s="28" t="s">
        <v>130</v>
      </c>
      <c r="B3" s="28" t="s">
        <v>144</v>
      </c>
    </row>
    <row r="4" spans="1:2">
      <c r="A4" s="28" t="s">
        <v>131</v>
      </c>
      <c r="B4" s="28" t="s">
        <v>82</v>
      </c>
    </row>
    <row r="5" spans="1:2">
      <c r="A5" s="28" t="s">
        <v>132</v>
      </c>
      <c r="B5" s="28" t="s">
        <v>78</v>
      </c>
    </row>
    <row r="6" spans="1:2">
      <c r="A6" s="28" t="s">
        <v>134</v>
      </c>
      <c r="B6" s="28" t="s">
        <v>79</v>
      </c>
    </row>
    <row r="7" spans="1:2">
      <c r="A7" s="28" t="s">
        <v>135</v>
      </c>
      <c r="B7" s="28" t="s">
        <v>56</v>
      </c>
    </row>
    <row r="8" spans="1:2">
      <c r="A8" s="28" t="s">
        <v>135</v>
      </c>
      <c r="B8" s="28" t="s">
        <v>77</v>
      </c>
    </row>
    <row r="9" spans="1:2">
      <c r="A9" s="28" t="s">
        <v>136</v>
      </c>
      <c r="B9" s="28" t="s">
        <v>84</v>
      </c>
    </row>
    <row r="10" spans="1:2">
      <c r="A10" s="28" t="s">
        <v>137</v>
      </c>
      <c r="B10" s="28" t="s">
        <v>88</v>
      </c>
    </row>
    <row r="11" spans="1:2">
      <c r="A11" s="28" t="s">
        <v>138</v>
      </c>
      <c r="B11" s="28" t="s">
        <v>87</v>
      </c>
    </row>
    <row r="12" spans="1:2">
      <c r="A12" s="28" t="s">
        <v>148</v>
      </c>
      <c r="B12" s="28" t="s">
        <v>80</v>
      </c>
    </row>
    <row r="13" spans="1:2">
      <c r="A13" s="28" t="s">
        <v>139</v>
      </c>
      <c r="B13" s="28" t="s">
        <v>85</v>
      </c>
    </row>
    <row r="14" spans="1:2">
      <c r="A14" s="28" t="s">
        <v>140</v>
      </c>
      <c r="B14" s="28" t="s">
        <v>145</v>
      </c>
    </row>
    <row r="15" spans="1:2">
      <c r="A15" s="28" t="s">
        <v>141</v>
      </c>
      <c r="B15" s="28" t="s">
        <v>83</v>
      </c>
    </row>
    <row r="16" spans="1:2">
      <c r="A16" s="28"/>
      <c r="B16" s="28" t="s">
        <v>90</v>
      </c>
    </row>
    <row r="17" spans="1:2">
      <c r="A17" s="28" t="s">
        <v>133</v>
      </c>
      <c r="B17" s="28" t="s">
        <v>91</v>
      </c>
    </row>
    <row r="18" spans="1:2">
      <c r="A18" s="28" t="s">
        <v>146</v>
      </c>
      <c r="B18" s="28" t="s">
        <v>10</v>
      </c>
    </row>
    <row r="19" spans="1:2">
      <c r="B19" t="s">
        <v>147</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Initiatives</vt:lpstr>
      <vt:lpstr>Budget</vt:lpstr>
      <vt:lpstr>Milestones</vt:lpstr>
      <vt:lpstr>AIME</vt:lpstr>
      <vt:lpstr>Funding 2012</vt:lpstr>
      <vt:lpstr>ExpandingHEPTech</vt:lpstr>
      <vt:lpstr>Voting participants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legoffjm</dc:creator>
  <cp:lastModifiedBy>legoffjm</cp:lastModifiedBy>
  <cp:lastPrinted>2011-11-30T15:24:14Z</cp:lastPrinted>
  <dcterms:created xsi:type="dcterms:W3CDTF">2011-10-31T15:10:00Z</dcterms:created>
  <dcterms:modified xsi:type="dcterms:W3CDTF">2011-11-30T15:24:27Z</dcterms:modified>
</cp:coreProperties>
</file>