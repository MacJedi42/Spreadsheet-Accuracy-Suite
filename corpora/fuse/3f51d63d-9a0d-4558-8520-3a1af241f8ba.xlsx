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9350" windowHeight="11670"/>
  </bookViews>
  <sheets>
    <sheet name="Sheet2" sheetId="4" r:id="rId1"/>
  </sheets>
  <calcPr calcId="125725" concurrentManualCount="3"/>
</workbook>
</file>

<file path=xl/calcChain.xml><?xml version="1.0" encoding="utf-8"?>
<calcChain xmlns="http://schemas.openxmlformats.org/spreadsheetml/2006/main">
  <c r="J34" i="4"/>
  <c r="I34"/>
  <c r="H34"/>
  <c r="G34"/>
  <c r="F34"/>
  <c r="E34"/>
  <c r="D34"/>
  <c r="J33"/>
  <c r="I33"/>
  <c r="H33"/>
  <c r="G33"/>
  <c r="F33"/>
  <c r="E33"/>
  <c r="D33"/>
  <c r="J32"/>
  <c r="I32"/>
  <c r="H32"/>
  <c r="G32"/>
  <c r="F32"/>
  <c r="E32"/>
  <c r="D32"/>
  <c r="J31"/>
  <c r="I31"/>
  <c r="H31"/>
  <c r="G31"/>
  <c r="F31"/>
  <c r="E31"/>
  <c r="D31"/>
  <c r="J30"/>
  <c r="I30"/>
  <c r="H30"/>
  <c r="G30"/>
  <c r="F30"/>
  <c r="E30"/>
  <c r="D30"/>
  <c r="J29"/>
  <c r="I29"/>
  <c r="H29"/>
  <c r="G29"/>
  <c r="F29"/>
  <c r="E29"/>
  <c r="D29"/>
  <c r="J28"/>
  <c r="I28"/>
  <c r="H28"/>
  <c r="G28"/>
  <c r="F28"/>
  <c r="E28"/>
  <c r="D28"/>
  <c r="J27"/>
  <c r="I27"/>
  <c r="H27"/>
  <c r="G27"/>
  <c r="F27"/>
  <c r="E27"/>
  <c r="D27"/>
  <c r="J26"/>
  <c r="I26"/>
  <c r="H26"/>
  <c r="G26"/>
  <c r="F26"/>
  <c r="E26"/>
  <c r="D26"/>
  <c r="J25"/>
  <c r="I25"/>
  <c r="H25"/>
  <c r="G25"/>
  <c r="F25"/>
  <c r="E25"/>
  <c r="D25"/>
  <c r="J24"/>
  <c r="I24"/>
  <c r="H24"/>
  <c r="G24"/>
  <c r="F24"/>
  <c r="E24"/>
  <c r="D24"/>
  <c r="J23"/>
  <c r="I23"/>
  <c r="H23"/>
  <c r="G23"/>
  <c r="F23"/>
  <c r="E23"/>
  <c r="D23"/>
  <c r="J22"/>
  <c r="I22"/>
  <c r="H22"/>
  <c r="G22"/>
  <c r="F22"/>
  <c r="E22"/>
  <c r="D22"/>
</calcChain>
</file>

<file path=xl/sharedStrings.xml><?xml version="1.0" encoding="utf-8"?>
<sst xmlns="http://schemas.openxmlformats.org/spreadsheetml/2006/main" count="45" uniqueCount="25">
  <si>
    <t>FEGP</t>
  </si>
  <si>
    <t>Heating</t>
  </si>
  <si>
    <t>Gas</t>
  </si>
  <si>
    <t>PRM</t>
  </si>
  <si>
    <t>Efficiency factor</t>
  </si>
  <si>
    <t>2014/15</t>
  </si>
  <si>
    <t>2015/16</t>
  </si>
  <si>
    <t>2016/17</t>
  </si>
  <si>
    <t>2017/18</t>
  </si>
  <si>
    <t>2018/19</t>
  </si>
  <si>
    <t>2019/20</t>
  </si>
  <si>
    <t>2020/21</t>
  </si>
  <si>
    <t>Electricity</t>
  </si>
  <si>
    <t>Other non-specified revenue</t>
  </si>
  <si>
    <t>Check-In / Baggage</t>
  </si>
  <si>
    <t>Car Park Passes</t>
  </si>
  <si>
    <t>Identity Cards</t>
  </si>
  <si>
    <t>Bus &amp; Coach</t>
  </si>
  <si>
    <t>Airside Licenses</t>
  </si>
  <si>
    <t>Water &amp; Sewerage</t>
  </si>
  <si>
    <t>Vehicle Fuel &amp; Oil</t>
  </si>
  <si>
    <t>CAA final proposal forecasts (2011/12 prices)</t>
  </si>
  <si>
    <t>Inflation factor</t>
  </si>
  <si>
    <t>Opex proportion</t>
  </si>
  <si>
    <t>Gatwick forecasts (2013/14 prices)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</si>
</sst>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6" formatCode="#,##0.0;\(#,##0.0\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horizontal="left" indent="2"/>
    </xf>
    <xf numFmtId="0" fontId="2" fillId="0" borderId="0" xfId="0" applyFont="1" applyFill="1" applyBorder="1" applyAlignment="1">
      <alignment horizontal="left" indent="1"/>
    </xf>
    <xf numFmtId="166" fontId="2" fillId="0" borderId="0" xfId="0" applyNumberFormat="1" applyFont="1" applyFill="1" applyBorder="1" applyAlignment="1">
      <alignment horizontal="left" indent="1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P34"/>
  <sheetViews>
    <sheetView tabSelected="1" workbookViewId="0">
      <selection activeCell="D3" sqref="D3"/>
    </sheetView>
  </sheetViews>
  <sheetFormatPr defaultRowHeight="15"/>
  <cols>
    <col min="3" max="3" width="18" customWidth="1"/>
    <col min="12" max="12" width="15.28515625" bestFit="1" customWidth="1"/>
  </cols>
  <sheetData>
    <row r="2" spans="2:16">
      <c r="D2" s="1" t="s">
        <v>24</v>
      </c>
    </row>
    <row r="4" spans="2:16"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L4" s="1" t="s">
        <v>23</v>
      </c>
    </row>
    <row r="5" spans="2:16">
      <c r="B5" s="4" t="s">
        <v>14</v>
      </c>
      <c r="D5" s="5">
        <v>20.342995341418863</v>
      </c>
      <c r="E5" s="5">
        <v>22.512624561482902</v>
      </c>
      <c r="F5" s="5">
        <v>22.723195744231283</v>
      </c>
      <c r="G5" s="5">
        <v>23.531013896805057</v>
      </c>
      <c r="H5" s="5">
        <v>23.331993712123271</v>
      </c>
      <c r="I5" s="5">
        <v>23.35876396980612</v>
      </c>
      <c r="J5" s="5">
        <v>23.318980142976475</v>
      </c>
      <c r="L5">
        <v>0.83</v>
      </c>
    </row>
    <row r="6" spans="2:16">
      <c r="B6" s="4" t="s">
        <v>15</v>
      </c>
      <c r="D6" s="5">
        <v>7.2032600548540966</v>
      </c>
      <c r="E6" s="5">
        <v>7.2752926554026365</v>
      </c>
      <c r="F6" s="5">
        <v>7.3480455819566641</v>
      </c>
      <c r="G6" s="5">
        <v>7.4215260377762293</v>
      </c>
      <c r="H6" s="5">
        <v>7.4957412981539928</v>
      </c>
      <c r="I6" s="5">
        <v>7.5706987111355311</v>
      </c>
      <c r="J6" s="5">
        <v>7.6464056982468875</v>
      </c>
      <c r="L6">
        <v>0</v>
      </c>
      <c r="N6" t="s">
        <v>22</v>
      </c>
      <c r="P6">
        <v>0.94399999999999995</v>
      </c>
    </row>
    <row r="7" spans="2:16">
      <c r="B7" s="2" t="s">
        <v>0</v>
      </c>
      <c r="D7" s="5">
        <v>2.7075192897973048</v>
      </c>
      <c r="E7" s="6">
        <v>2.7292368559688409</v>
      </c>
      <c r="F7" s="6">
        <v>2.8157885804222982</v>
      </c>
      <c r="G7" s="6">
        <v>2.8015019036628943</v>
      </c>
      <c r="H7" s="6">
        <v>2.8004665065292986</v>
      </c>
      <c r="I7" s="6">
        <v>2.8045663016132267</v>
      </c>
      <c r="J7" s="6">
        <v>2.8142566454236064</v>
      </c>
      <c r="L7">
        <v>0.83</v>
      </c>
    </row>
    <row r="8" spans="2:16">
      <c r="B8" s="2" t="s">
        <v>16</v>
      </c>
      <c r="D8" s="5">
        <v>1.1635563279291439</v>
      </c>
      <c r="E8" s="5">
        <v>1.1687987154867512</v>
      </c>
      <c r="F8" s="5">
        <v>1.1740651749248556</v>
      </c>
      <c r="G8" s="5">
        <v>1.1793674254128421</v>
      </c>
      <c r="H8" s="5">
        <v>1.1847234298613512</v>
      </c>
      <c r="I8" s="5">
        <v>1.1901183210798156</v>
      </c>
      <c r="J8" s="5">
        <v>1.1955523814019955</v>
      </c>
      <c r="L8">
        <v>0.83</v>
      </c>
      <c r="N8" t="s">
        <v>4</v>
      </c>
      <c r="P8">
        <v>0.93</v>
      </c>
    </row>
    <row r="9" spans="2:16">
      <c r="B9" s="2" t="s">
        <v>17</v>
      </c>
      <c r="D9" s="5">
        <v>0.71400278770000014</v>
      </c>
      <c r="E9" s="5">
        <v>0.71400278770000003</v>
      </c>
      <c r="F9" s="5">
        <v>0.71400278770000014</v>
      </c>
      <c r="G9" s="5">
        <v>0.71400278770000003</v>
      </c>
      <c r="H9" s="5">
        <v>0.71400278770000014</v>
      </c>
      <c r="I9" s="5">
        <v>0.71400278770000003</v>
      </c>
      <c r="J9" s="5">
        <v>0.71400278770000014</v>
      </c>
      <c r="L9">
        <v>0.83</v>
      </c>
    </row>
    <row r="10" spans="2:16">
      <c r="B10" s="2" t="s">
        <v>18</v>
      </c>
      <c r="D10" s="5">
        <v>9.0142529999999998E-2</v>
      </c>
      <c r="E10" s="5">
        <v>9.0142529999999998E-2</v>
      </c>
      <c r="F10" s="5">
        <v>9.0142529999999998E-2</v>
      </c>
      <c r="G10" s="5">
        <v>9.0142529999999998E-2</v>
      </c>
      <c r="H10" s="5">
        <v>9.0142529999999998E-2</v>
      </c>
      <c r="I10" s="5">
        <v>9.0142529999999998E-2</v>
      </c>
      <c r="J10" s="5">
        <v>9.0142529999999998E-2</v>
      </c>
      <c r="L10">
        <v>0.83</v>
      </c>
    </row>
    <row r="11" spans="2:16">
      <c r="B11" s="2" t="s">
        <v>12</v>
      </c>
      <c r="D11" s="5">
        <v>7.4989592554944071</v>
      </c>
      <c r="E11" s="5">
        <v>7.7411949313531823</v>
      </c>
      <c r="F11" s="5">
        <v>8.2185672489810564</v>
      </c>
      <c r="G11" s="5">
        <v>8.3094371419075763</v>
      </c>
      <c r="H11" s="5">
        <v>8.435873892023718</v>
      </c>
      <c r="I11" s="5">
        <v>8.5904281256013455</v>
      </c>
      <c r="J11" s="5">
        <v>8.755087459615666</v>
      </c>
      <c r="L11">
        <v>1</v>
      </c>
    </row>
    <row r="12" spans="2:16">
      <c r="B12" s="2" t="s">
        <v>19</v>
      </c>
      <c r="D12" s="5">
        <v>0.88009156316656934</v>
      </c>
      <c r="E12" s="5">
        <v>0.8734312774239904</v>
      </c>
      <c r="F12" s="5">
        <v>0.86705020167491309</v>
      </c>
      <c r="G12" s="5">
        <v>0.86154562329673712</v>
      </c>
      <c r="H12" s="5">
        <v>0.85765136869960967</v>
      </c>
      <c r="I12" s="5">
        <v>0.85445323314369814</v>
      </c>
      <c r="J12" s="5">
        <v>0.85164098069593741</v>
      </c>
      <c r="L12">
        <v>1</v>
      </c>
    </row>
    <row r="13" spans="2:16">
      <c r="B13" s="2" t="s">
        <v>1</v>
      </c>
      <c r="D13" s="5">
        <v>0.24516399408070427</v>
      </c>
      <c r="E13" s="5">
        <v>0.2421229334222581</v>
      </c>
      <c r="F13" s="5">
        <v>0.24367630584031036</v>
      </c>
      <c r="G13" s="5">
        <v>0.26759035245838736</v>
      </c>
      <c r="H13" s="5">
        <v>0.26477572808001326</v>
      </c>
      <c r="I13" s="5">
        <v>0.25930605942154195</v>
      </c>
      <c r="J13" s="5">
        <v>0.25395829586705332</v>
      </c>
      <c r="L13">
        <v>0</v>
      </c>
    </row>
    <row r="14" spans="2:16">
      <c r="B14" s="2" t="s">
        <v>2</v>
      </c>
      <c r="D14" s="5">
        <v>0.18498814873937866</v>
      </c>
      <c r="E14" s="5">
        <v>0.18601888847690271</v>
      </c>
      <c r="F14" s="5">
        <v>0.21882500006470279</v>
      </c>
      <c r="G14" s="5">
        <v>0.22691309638351792</v>
      </c>
      <c r="H14" s="5">
        <v>0.23489162004207559</v>
      </c>
      <c r="I14" s="5">
        <v>0.24642667050658898</v>
      </c>
      <c r="J14" s="5">
        <v>0.25709910442985373</v>
      </c>
      <c r="L14">
        <v>1</v>
      </c>
    </row>
    <row r="15" spans="2:16">
      <c r="B15" s="3" t="s">
        <v>3</v>
      </c>
      <c r="D15" s="5">
        <v>6.9362582547949367</v>
      </c>
      <c r="E15" s="5">
        <v>6.7034308438047292</v>
      </c>
      <c r="F15" s="5">
        <v>7.0629555767032333</v>
      </c>
      <c r="G15" s="5">
        <v>7.4467405832039839</v>
      </c>
      <c r="H15" s="5">
        <v>7.8563402833523668</v>
      </c>
      <c r="I15" s="5">
        <v>8.293597064019643</v>
      </c>
      <c r="J15" s="5">
        <v>8.7603828335904144</v>
      </c>
      <c r="L15">
        <v>1</v>
      </c>
    </row>
    <row r="16" spans="2:16">
      <c r="B16" s="3" t="s">
        <v>20</v>
      </c>
      <c r="D16" s="5">
        <v>2.9855473647048099</v>
      </c>
      <c r="E16" s="5">
        <v>2.9920000909188338</v>
      </c>
      <c r="F16" s="5">
        <v>2.9905178020454546</v>
      </c>
      <c r="G16" s="5">
        <v>2.98771049633616</v>
      </c>
      <c r="H16" s="5">
        <v>2.9934950277908281</v>
      </c>
      <c r="I16" s="5">
        <v>2.9992907587255639</v>
      </c>
      <c r="J16" s="5">
        <v>3.0050977108237737</v>
      </c>
      <c r="L16">
        <v>1</v>
      </c>
    </row>
    <row r="17" spans="2:12">
      <c r="B17" s="3" t="s">
        <v>13</v>
      </c>
      <c r="D17" s="5">
        <v>3.4982221112013216</v>
      </c>
      <c r="E17" s="5">
        <v>3.6921902833252598</v>
      </c>
      <c r="F17" s="5">
        <v>3.8888790521997625</v>
      </c>
      <c r="G17" s="5">
        <v>4.1042019468354747</v>
      </c>
      <c r="H17" s="5">
        <v>4.1034802090989126</v>
      </c>
      <c r="I17" s="5">
        <v>4.100897856926295</v>
      </c>
      <c r="J17" s="5">
        <v>4.0977499880182817</v>
      </c>
      <c r="L17">
        <v>0.83</v>
      </c>
    </row>
    <row r="19" spans="2:12">
      <c r="D19" s="1" t="s">
        <v>21</v>
      </c>
    </row>
    <row r="21" spans="2:12">
      <c r="D21" s="1" t="s">
        <v>5</v>
      </c>
      <c r="E21" s="1" t="s">
        <v>6</v>
      </c>
      <c r="F21" s="1" t="s">
        <v>7</v>
      </c>
      <c r="G21" s="1" t="s">
        <v>8</v>
      </c>
      <c r="H21" s="1" t="s">
        <v>9</v>
      </c>
      <c r="I21" s="1" t="s">
        <v>10</v>
      </c>
      <c r="J21" s="1" t="s">
        <v>11</v>
      </c>
    </row>
    <row r="22" spans="2:12">
      <c r="B22" s="4" t="s">
        <v>14</v>
      </c>
      <c r="D22" s="5">
        <f>D5*((1-L5)+(P8*L5))*P6</f>
        <v>18.088047542605814</v>
      </c>
      <c r="E22" s="5">
        <f>E5*((1-L5)+(P8*L5))*P6</f>
        <v>20.017181174290943</v>
      </c>
      <c r="F22" s="5">
        <f>F5*((1-L5)+(P8*L5))*P6</f>
        <v>20.204411299487923</v>
      </c>
      <c r="G22" s="5">
        <f>G5*((1-L5)+(P8*L5))*P6</f>
        <v>20.922685717994245</v>
      </c>
      <c r="H22" s="5">
        <f>H5*((1-L5)+(P8*L5))*P6</f>
        <v>20.745726204311769</v>
      </c>
      <c r="I22" s="5">
        <f>I5*((1-L5)+(P8*L5))*P6</f>
        <v>20.769529075303403</v>
      </c>
      <c r="J22" s="5">
        <f>J5*((1-L5)+(P8*L5))*P6</f>
        <v>20.734155142456046</v>
      </c>
    </row>
    <row r="23" spans="2:12">
      <c r="B23" s="4" t="s">
        <v>15</v>
      </c>
      <c r="D23" s="5">
        <f>D6*((1-L6)+(P8*L6))*P6</f>
        <v>6.7998774917822669</v>
      </c>
      <c r="E23" s="5">
        <f>E6*((1-L6)+(P8*L6))*P6</f>
        <v>6.8678762667000886</v>
      </c>
      <c r="F23" s="5">
        <f>F6*((1-L6)+(P8*L6))*P6</f>
        <v>6.9365550293670903</v>
      </c>
      <c r="G23" s="5">
        <f>G6*((1-L6)+(P8*L6))*P6</f>
        <v>7.00592057966076</v>
      </c>
      <c r="H23" s="5">
        <f>H6*((1-L6)+(P8*L6))*P6</f>
        <v>7.0759797854573687</v>
      </c>
      <c r="I23" s="5">
        <f>I6*((1-L6)+(P8*L6))*P6</f>
        <v>7.1467395833119411</v>
      </c>
      <c r="J23" s="5">
        <f>J6*((1-L6)+(P8*L6))*P6</f>
        <v>7.2182069791450614</v>
      </c>
    </row>
    <row r="24" spans="2:12">
      <c r="B24" s="2" t="s">
        <v>0</v>
      </c>
      <c r="D24" s="5">
        <f>D7*((1-L7)+(P8*L7))*P6</f>
        <v>2.4074005235927167</v>
      </c>
      <c r="E24" s="5">
        <f>E7*((1-L7)+(P8*L7))*P6</f>
        <v>2.4267107757373765</v>
      </c>
      <c r="F24" s="5">
        <f>F7*((1-L7)+(P8*L7))*P6</f>
        <v>2.503668553121376</v>
      </c>
      <c r="G24" s="5">
        <f>G7*((1-L7)+(P8*L7))*P6</f>
        <v>2.4909655030487157</v>
      </c>
      <c r="H24" s="5">
        <f>H7*((1-L7)+(P8*L7))*P6</f>
        <v>2.4900448759599496</v>
      </c>
      <c r="I24" s="5">
        <f>I7*((1-L7)+(P8*L7))*P6</f>
        <v>2.4936902235180862</v>
      </c>
      <c r="J24" s="5">
        <f>J7*((1-L7)+(P8*L7))*P6</f>
        <v>2.5023064276023232</v>
      </c>
    </row>
    <row r="25" spans="2:12">
      <c r="B25" s="2" t="s">
        <v>16</v>
      </c>
      <c r="D25" s="5">
        <f>D8*((1-L8)+(P8*L8))*P6</f>
        <v>1.0345802977809788</v>
      </c>
      <c r="E25" s="5">
        <f>E8*((1-L8)+(P8*L8))*P6</f>
        <v>1.0392415855504205</v>
      </c>
      <c r="F25" s="5">
        <f>F8*((1-L8)+(P8*L8))*P6</f>
        <v>1.0439242769190651</v>
      </c>
      <c r="G25" s="5">
        <f>G8*((1-L8)+(P8*L8))*P6</f>
        <v>1.04863879202856</v>
      </c>
      <c r="H25" s="5">
        <f>H8*((1-L8)+(P8*L8))*P6</f>
        <v>1.0534011026655679</v>
      </c>
      <c r="I25" s="5">
        <f>I8*((1-L8)+(P8*L8))*P6</f>
        <v>1.0581979896140739</v>
      </c>
      <c r="J25" s="5">
        <f>J8*((1-L8)+(P8*L8))*P6</f>
        <v>1.0630297039121575</v>
      </c>
    </row>
    <row r="26" spans="2:12">
      <c r="B26" s="2" t="s">
        <v>17</v>
      </c>
      <c r="D26" s="5">
        <f>D9*((1-L9)+(P8*L9))*P6</f>
        <v>0.63485814909349081</v>
      </c>
      <c r="E26" s="5">
        <f>E9*((1-L9)+(P8*L9))*P6</f>
        <v>0.63485814909349081</v>
      </c>
      <c r="F26" s="5">
        <f>F9*((1-L9)+(P8*L9))*P6</f>
        <v>0.63485814909349081</v>
      </c>
      <c r="G26" s="5">
        <f>G9*((1-L9)+(P8*L9))*P6</f>
        <v>0.63485814909349081</v>
      </c>
      <c r="H26" s="5">
        <f>H9*((1-L9)+(P8*L9))*P6</f>
        <v>0.63485814909349081</v>
      </c>
      <c r="I26" s="5">
        <f>I9*((1-L9)+(P8*L9))*P6</f>
        <v>0.63485814909349081</v>
      </c>
      <c r="J26" s="5">
        <f>J9*((1-L9)+(P8*L9))*P6</f>
        <v>0.63485814909349081</v>
      </c>
    </row>
    <row r="27" spans="2:12">
      <c r="B27" s="2" t="s">
        <v>18</v>
      </c>
      <c r="D27" s="5">
        <f>D10*((1-L10)+(P8*L10))*P6</f>
        <v>8.0150555062608E-2</v>
      </c>
      <c r="E27" s="5">
        <f>E10*((1-L10)+(P8*L10))*P6</f>
        <v>8.0150555062608E-2</v>
      </c>
      <c r="F27" s="5">
        <f>F10*((1-L10)+(P8*L10))*P6</f>
        <v>8.0150555062608E-2</v>
      </c>
      <c r="G27" s="5">
        <f>G10*((1-L10)+(P8*L10))*P6</f>
        <v>8.0150555062608E-2</v>
      </c>
      <c r="H27" s="5">
        <f>H10*((1-L10)+(P8*L10))*P6</f>
        <v>8.0150555062608E-2</v>
      </c>
      <c r="I27" s="5">
        <f>I10*((1-L10)+(P8*L10))*P6</f>
        <v>8.0150555062608E-2</v>
      </c>
      <c r="J27" s="5">
        <f>J10*((1-L10)+(P8*L10))*P6</f>
        <v>8.0150555062608E-2</v>
      </c>
    </row>
    <row r="28" spans="2:12">
      <c r="B28" s="2" t="s">
        <v>12</v>
      </c>
      <c r="D28" s="5">
        <f>D11*((1-L11)+(P8*L11))*P6</f>
        <v>6.58348630958365</v>
      </c>
      <c r="E28" s="5">
        <f>E11*((1-L11)+(P8*L11))*P6</f>
        <v>6.7961498541335859</v>
      </c>
      <c r="F28" s="5">
        <f>F11*((1-L11)+(P8*L11))*P6</f>
        <v>7.2152445592254493</v>
      </c>
      <c r="G28" s="5">
        <f>G11*((1-L11)+(P8*L11))*P6</f>
        <v>7.2950210556234998</v>
      </c>
      <c r="H28" s="5">
        <f>H11*((1-L11)+(P8*L11))*P6</f>
        <v>7.4060224072854632</v>
      </c>
      <c r="I28" s="5">
        <f>I11*((1-L11)+(P8*L11))*P6</f>
        <v>7.5417086600279335</v>
      </c>
      <c r="J28" s="5">
        <f>J11*((1-L11)+(P8*L11))*P6</f>
        <v>7.686266382545786</v>
      </c>
    </row>
    <row r="29" spans="2:12">
      <c r="B29" s="2" t="s">
        <v>19</v>
      </c>
      <c r="D29" s="5">
        <f>D12*((1-L12)+(P8*L12))*P6</f>
        <v>0.77264998513519456</v>
      </c>
      <c r="E29" s="5">
        <f>E12*((1-L12)+(P8*L12))*P6</f>
        <v>0.76680278707606964</v>
      </c>
      <c r="F29" s="5">
        <f>F12*((1-L12)+(P8*L12))*P6</f>
        <v>0.7612007130544397</v>
      </c>
      <c r="G29" s="5">
        <f>G12*((1-L12)+(P8*L12))*P6</f>
        <v>0.75636813360467148</v>
      </c>
      <c r="H29" s="5">
        <f>H12*((1-L12)+(P8*L12))*P6</f>
        <v>0.75294928960876129</v>
      </c>
      <c r="I29" s="5">
        <f>I12*((1-L12)+(P8*L12))*P6</f>
        <v>0.75014158244151552</v>
      </c>
      <c r="J29" s="5">
        <f>J12*((1-L12)+(P8*L12))*P6</f>
        <v>0.74767264977257741</v>
      </c>
    </row>
    <row r="30" spans="2:12">
      <c r="B30" s="2" t="s">
        <v>1</v>
      </c>
      <c r="D30" s="5">
        <f>D13*((1-L13)+(P8*L13))*P6</f>
        <v>0.23143481041218483</v>
      </c>
      <c r="E30" s="5">
        <f>E13*((1-L13)+(P8*L13))*P6</f>
        <v>0.22856404915061163</v>
      </c>
      <c r="F30" s="5">
        <f>F13*((1-L13)+(P8*L13))*P6</f>
        <v>0.23003043271325296</v>
      </c>
      <c r="G30" s="5">
        <f>G13*((1-L13)+(P8*L13))*P6</f>
        <v>0.25260529272071763</v>
      </c>
      <c r="H30" s="5">
        <f>H13*((1-L13)+(P8*L13))*P6</f>
        <v>0.24994828730753252</v>
      </c>
      <c r="I30" s="5">
        <f>I13*((1-L13)+(P8*L13))*P6</f>
        <v>0.24478492009393557</v>
      </c>
      <c r="J30" s="5">
        <f>J13*((1-L13)+(P8*L13))*P6</f>
        <v>0.23973663129849831</v>
      </c>
    </row>
    <row r="31" spans="2:12">
      <c r="B31" s="2" t="s">
        <v>2</v>
      </c>
      <c r="D31" s="5">
        <f>D14*((1-L14)+(P8*L14))*P6</f>
        <v>0.16240479554127532</v>
      </c>
      <c r="E31" s="5">
        <f>E14*((1-L14)+(P8*L14))*P6</f>
        <v>0.16330970257164243</v>
      </c>
      <c r="F31" s="5">
        <f>F14*((1-L14)+(P8*L14))*P6</f>
        <v>0.1921108440568039</v>
      </c>
      <c r="G31" s="5">
        <f>G14*((1-L14)+(P8*L14))*P6</f>
        <v>0.19921154557701803</v>
      </c>
      <c r="H31" s="5">
        <f>H14*((1-L14)+(P8*L14))*P6</f>
        <v>0.20621605106733901</v>
      </c>
      <c r="I31" s="5">
        <f>I14*((1-L14)+(P8*L14))*P6</f>
        <v>0.21634290257114461</v>
      </c>
      <c r="J31" s="5">
        <f>J14*((1-L14)+(P8*L14))*P6</f>
        <v>0.22571244576105717</v>
      </c>
    </row>
    <row r="32" spans="2:12">
      <c r="B32" s="3" t="s">
        <v>3</v>
      </c>
      <c r="D32" s="5">
        <f>D15*((1-L15)+(P8*L15))*P6</f>
        <v>6.0894798470495708</v>
      </c>
      <c r="E32" s="5">
        <f>E15*((1-L15)+(P8*L15))*P6</f>
        <v>5.8850760063930476</v>
      </c>
      <c r="F32" s="5">
        <f>F15*((1-L15)+(P8*L15))*P6</f>
        <v>6.2007099598993021</v>
      </c>
      <c r="G32" s="5">
        <f>G15*((1-L15)+(P8*L15))*P6</f>
        <v>6.5376424928064418</v>
      </c>
      <c r="H32" s="5">
        <f>H15*((1-L15)+(P8*L15))*P6</f>
        <v>6.8972382615607106</v>
      </c>
      <c r="I32" s="5">
        <f>I15*((1-L15)+(P8*L15))*P6</f>
        <v>7.2811147344441247</v>
      </c>
      <c r="J32" s="5">
        <f>J15*((1-L15)+(P8*L15))*P6</f>
        <v>7.690915297265696</v>
      </c>
    </row>
    <row r="33" spans="2:10">
      <c r="B33" s="3" t="s">
        <v>20</v>
      </c>
      <c r="D33" s="5">
        <f>D16*((1-L16)+(P8*L16))*P6</f>
        <v>2.6210717424216465</v>
      </c>
      <c r="E33" s="5">
        <f>E16*((1-L16)+(P8*L16))*P6</f>
        <v>2.6267367198194624</v>
      </c>
      <c r="F33" s="5">
        <f>F16*((1-L16)+(P8*L16))*P6</f>
        <v>2.6254353887717454</v>
      </c>
      <c r="G33" s="5">
        <f>G16*((1-L16)+(P8*L16))*P6</f>
        <v>2.6229707989434417</v>
      </c>
      <c r="H33" s="5">
        <f>H16*((1-L16)+(P8*L16))*P6</f>
        <v>2.628049154798124</v>
      </c>
      <c r="I33" s="5">
        <f>I16*((1-L16)+(P8*L16))*P6</f>
        <v>2.6331373429003473</v>
      </c>
      <c r="J33" s="5">
        <f>J16*((1-L16)+(P8*L16))*P6</f>
        <v>2.6382353822864077</v>
      </c>
    </row>
    <row r="34" spans="2:10">
      <c r="B34" s="3" t="s">
        <v>13</v>
      </c>
      <c r="D34" s="5">
        <f>D17*((1-L17)+(P8*L17))*P6</f>
        <v>3.1104567837742558</v>
      </c>
      <c r="E34" s="5">
        <f>E17*((1-L17)+(P8*L17))*P6</f>
        <v>3.2829242823036751</v>
      </c>
      <c r="F34" s="5">
        <f>F17*((1-L17)+(P8*L17))*P6</f>
        <v>3.4578108092280067</v>
      </c>
      <c r="G34" s="5">
        <f>G17*((1-L17)+(P8*L17))*P6</f>
        <v>3.6492659361557709</v>
      </c>
      <c r="H34" s="5">
        <f>H17*((1-L17)+(P8*L17))*P6</f>
        <v>3.648624200449051</v>
      </c>
      <c r="I34" s="5">
        <f>I17*((1-L17)+(P8*L17))*P6</f>
        <v>3.6463280927183006</v>
      </c>
      <c r="J34" s="5">
        <f>J17*((1-L17)+(P8*L17))*P6</f>
        <v>3.6435291537464121</v>
      </c>
    </row>
  </sheetData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Civil Aviation Authority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rod.gander</dc:creator>
  <cp:lastModifiedBy>rod.gander</cp:lastModifiedBy>
  <cp:lastPrinted>2013-11-29T17:18:50Z</cp:lastPrinted>
  <dcterms:created xsi:type="dcterms:W3CDTF">2013-08-14T14:50:22Z</dcterms:created>
  <dcterms:modified xsi:type="dcterms:W3CDTF">2013-11-29T17:26:38Z</dcterms:modified>
</cp:coreProperties>
</file>