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0" windowWidth="12120" windowHeight="6525"/>
  </bookViews>
  <sheets>
    <sheet name="RATES" sheetId="1" r:id="rId1"/>
    <sheet name="Sheet3" sheetId="3" r:id="rId2"/>
    <sheet name="Sheet1" sheetId="4" r:id="rId3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0">RATES!$A$1:$L$36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25725"/>
</workbook>
</file>

<file path=xl/calcChain.xml><?xml version="1.0" encoding="utf-8"?>
<calcChain xmlns="http://schemas.openxmlformats.org/spreadsheetml/2006/main">
  <c r="C29" i="1"/>
  <c r="C11" s="1"/>
  <c r="B29"/>
  <c r="B11" s="1"/>
  <c r="C28"/>
  <c r="C10" s="1"/>
  <c r="B28"/>
  <c r="B10" s="1"/>
  <c r="C27"/>
  <c r="B27"/>
  <c r="C9" l="1"/>
  <c r="B9"/>
  <c r="E14" l="1"/>
  <c r="D12"/>
  <c r="E12"/>
  <c r="F12"/>
  <c r="G12"/>
  <c r="H12"/>
  <c r="D13"/>
  <c r="E13"/>
  <c r="F13"/>
  <c r="G13"/>
  <c r="H13"/>
  <c r="D14"/>
  <c r="F14"/>
  <c r="G14"/>
  <c r="H14"/>
  <c r="D15"/>
  <c r="E15"/>
  <c r="F15"/>
  <c r="G15"/>
  <c r="H15"/>
  <c r="D16"/>
  <c r="E16"/>
  <c r="F16"/>
  <c r="G16"/>
  <c r="H16"/>
  <c r="D17"/>
  <c r="E17"/>
  <c r="F17"/>
  <c r="G17"/>
  <c r="H17"/>
  <c r="D18"/>
  <c r="E18"/>
  <c r="F18"/>
  <c r="G18"/>
  <c r="H18"/>
  <c r="D19"/>
  <c r="E19"/>
  <c r="F19"/>
  <c r="G19"/>
  <c r="H19"/>
  <c r="D20"/>
  <c r="E20"/>
  <c r="F20"/>
  <c r="G20"/>
  <c r="H20"/>
  <c r="E83"/>
  <c r="F11" l="1"/>
  <c r="H11"/>
  <c r="F9"/>
  <c r="H9"/>
  <c r="H10"/>
  <c r="F10"/>
  <c r="D11"/>
  <c r="G11"/>
  <c r="E11"/>
  <c r="G9"/>
  <c r="D9"/>
  <c r="E9"/>
  <c r="G10"/>
  <c r="D10"/>
  <c r="E10"/>
</calcChain>
</file>

<file path=xl/sharedStrings.xml><?xml version="1.0" encoding="utf-8"?>
<sst xmlns="http://schemas.openxmlformats.org/spreadsheetml/2006/main" count="89" uniqueCount="70">
  <si>
    <t xml:space="preserve"> </t>
  </si>
  <si>
    <t>K-REP BANK LTD</t>
  </si>
  <si>
    <t>FOREIGN EXCHANGE RATES</t>
  </si>
  <si>
    <t>Date</t>
  </si>
  <si>
    <t>Spot Value</t>
  </si>
  <si>
    <t>CURRENCY</t>
  </si>
  <si>
    <t>TT</t>
  </si>
  <si>
    <t>BUYING</t>
  </si>
  <si>
    <t>SELLING</t>
  </si>
  <si>
    <t>USD</t>
  </si>
  <si>
    <t>GBP</t>
  </si>
  <si>
    <t>EURO</t>
  </si>
  <si>
    <t>SA RAND</t>
  </si>
  <si>
    <t>KES/USHS</t>
  </si>
  <si>
    <t>KES/TSHS</t>
  </si>
  <si>
    <t>CAN $</t>
  </si>
  <si>
    <t>S FRANC</t>
  </si>
  <si>
    <t>JPY(100)</t>
  </si>
  <si>
    <t>IND RUPEE</t>
  </si>
  <si>
    <t>MEAN</t>
  </si>
  <si>
    <t>SELL</t>
  </si>
  <si>
    <t>Buying</t>
  </si>
  <si>
    <t>Bank A/c No.</t>
  </si>
  <si>
    <t>Name of Bank</t>
  </si>
  <si>
    <t>Amount</t>
  </si>
  <si>
    <t>Rate</t>
  </si>
  <si>
    <t>Purpose</t>
  </si>
  <si>
    <t>M Date</t>
  </si>
  <si>
    <t>CBK use only</t>
  </si>
  <si>
    <t>020 010 9700</t>
  </si>
  <si>
    <t>Charter House</t>
  </si>
  <si>
    <t>Repayment</t>
  </si>
  <si>
    <t>020 010 7900</t>
  </si>
  <si>
    <t>Paramount</t>
  </si>
  <si>
    <t>020 010 6900</t>
  </si>
  <si>
    <t>Credit Bank</t>
  </si>
  <si>
    <t>020 010 9000</t>
  </si>
  <si>
    <t>I &amp; M Bank</t>
  </si>
  <si>
    <t>020 010 8500</t>
  </si>
  <si>
    <t>Fina Bank</t>
  </si>
  <si>
    <t>020 010 4800</t>
  </si>
  <si>
    <t>Consolidated Bank</t>
  </si>
  <si>
    <t>020 010 0900</t>
  </si>
  <si>
    <t>Kcb ltd</t>
  </si>
  <si>
    <t>020 010 9800</t>
  </si>
  <si>
    <t>K-RepBank-Cbk Mombasa</t>
  </si>
  <si>
    <t>Transfer</t>
  </si>
  <si>
    <t>Total</t>
  </si>
  <si>
    <t>Selling</t>
  </si>
  <si>
    <t>AUD</t>
  </si>
  <si>
    <t>AE DHIRAM</t>
  </si>
  <si>
    <t>PREPARED BY: Eliud Oware</t>
  </si>
  <si>
    <t>VERIFIED BY: Philemon Wachara</t>
  </si>
  <si>
    <t>Time&amp;Date ----------------------------------------------</t>
  </si>
  <si>
    <t>For amounts in excess of USD 5,000.00 or its equivalent, please contact TREASURY  for firm quotations</t>
  </si>
  <si>
    <t xml:space="preserve">RATES ARE INDICATIVE </t>
  </si>
  <si>
    <t>CASH</t>
  </si>
  <si>
    <t xml:space="preserve">    CHEQUE</t>
  </si>
  <si>
    <t>INTERBANK RATES FROM CBK</t>
  </si>
  <si>
    <t>INTERBANK RATES</t>
  </si>
  <si>
    <t>Rates against shillings are good for amounts above USD 5,000.00 or equivalent.</t>
  </si>
  <si>
    <t>Year</t>
  </si>
  <si>
    <t>Year-to-date</t>
  </si>
  <si>
    <t>MONETARY CONTEXT</t>
  </si>
  <si>
    <t>Exchange rate local currency / EUR (at period end)</t>
  </si>
  <si>
    <t>Annual Inflation Rate (%)</t>
  </si>
  <si>
    <t xml:space="preserve">   </t>
  </si>
  <si>
    <t>BUY</t>
  </si>
  <si>
    <t>selling</t>
  </si>
  <si>
    <t>bv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</si>
</sst>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 &quot;#,##0.00"/>
    <numFmt numFmtId="165" formatCode="&quot; &quot;#,##0.0000"/>
  </numFmts>
  <fonts count="27">
    <font>
      <sz val="10"/>
      <name val="Arial"/>
    </font>
    <font>
      <sz val="10"/>
      <name val="Arial"/>
      <family val="2"/>
    </font>
    <font>
      <sz val="10"/>
      <name val="Tw Cen MT"/>
      <family val="2"/>
    </font>
    <font>
      <sz val="12"/>
      <name val="Times New Roman"/>
      <family val="1"/>
    </font>
    <font>
      <sz val="10"/>
      <name val="Trebuchet MS"/>
      <family val="2"/>
    </font>
    <font>
      <b/>
      <sz val="10"/>
      <name val="Trebuchet MS"/>
      <family val="2"/>
    </font>
    <font>
      <b/>
      <sz val="11"/>
      <name val="Tw Cen MT"/>
      <family val="2"/>
    </font>
    <font>
      <i/>
      <sz val="11"/>
      <name val="Tw Cen MT"/>
      <family val="2"/>
    </font>
    <font>
      <b/>
      <i/>
      <sz val="11"/>
      <name val="Tw Cen MT"/>
      <family val="2"/>
    </font>
    <font>
      <b/>
      <sz val="10"/>
      <name val="Tw Cen MT"/>
      <family val="2"/>
    </font>
    <font>
      <b/>
      <sz val="9"/>
      <name val="Tw Cen MT"/>
      <family val="2"/>
    </font>
    <font>
      <b/>
      <sz val="12"/>
      <name val="Tw Cen MT"/>
      <family val="2"/>
    </font>
    <font>
      <b/>
      <sz val="16"/>
      <name val="Tw Cen MT"/>
      <family val="2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0"/>
      <name val="Verdana"/>
      <family val="2"/>
    </font>
    <font>
      <i/>
      <sz val="10"/>
      <color rgb="FF800000"/>
      <name val="Verdana"/>
      <family val="2"/>
    </font>
    <font>
      <b/>
      <sz val="10"/>
      <name val="Verdana"/>
      <family val="2"/>
    </font>
    <font>
      <b/>
      <sz val="10"/>
      <color rgb="FFFFFFFF"/>
      <name val="Verdana"/>
      <family val="2"/>
    </font>
    <font>
      <sz val="10"/>
      <color theme="0"/>
      <name val="Tw Cen MT"/>
      <family val="2"/>
    </font>
    <font>
      <b/>
      <sz val="11"/>
      <color theme="0"/>
      <name val="Tw Cen MT"/>
      <family val="2"/>
    </font>
    <font>
      <b/>
      <sz val="10"/>
      <color theme="0"/>
      <name val="Tw Cen MT"/>
      <family val="2"/>
    </font>
    <font>
      <sz val="10"/>
      <color theme="0"/>
      <name val="Arial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4" fillId="5" borderId="0" applyNumberFormat="0" applyBorder="0" applyAlignment="0" applyProtection="0"/>
    <xf numFmtId="0" fontId="15" fillId="3" borderId="22" applyNumberFormat="0" applyAlignment="0" applyProtection="0"/>
    <xf numFmtId="0" fontId="16" fillId="4" borderId="22" applyNumberFormat="0" applyAlignment="0" applyProtection="0"/>
  </cellStyleXfs>
  <cellXfs count="129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vertical="top" wrapText="1"/>
    </xf>
    <xf numFmtId="4" fontId="4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4" fontId="5" fillId="0" borderId="2" xfId="0" applyNumberFormat="1" applyFont="1" applyBorder="1" applyAlignment="1">
      <alignment vertical="top" wrapText="1"/>
    </xf>
    <xf numFmtId="4" fontId="5" fillId="0" borderId="2" xfId="0" applyNumberFormat="1" applyFont="1" applyBorder="1" applyAlignment="1">
      <alignment vertical="top" wrapText="1"/>
    </xf>
    <xf numFmtId="14" fontId="4" fillId="0" borderId="2" xfId="0" applyNumberFormat="1" applyFont="1" applyBorder="1" applyAlignment="1">
      <alignment vertical="top" wrapText="1"/>
    </xf>
    <xf numFmtId="0" fontId="2" fillId="2" borderId="0" xfId="0" applyFont="1" applyFill="1" applyBorder="1"/>
    <xf numFmtId="0" fontId="2" fillId="2" borderId="6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right" vertical="top" wrapText="1"/>
    </xf>
    <xf numFmtId="0" fontId="2" fillId="2" borderId="8" xfId="0" applyFont="1" applyFill="1" applyBorder="1"/>
    <xf numFmtId="43" fontId="2" fillId="2" borderId="8" xfId="1" applyFont="1" applyFill="1" applyBorder="1"/>
    <xf numFmtId="0" fontId="2" fillId="2" borderId="9" xfId="0" applyFont="1" applyFill="1" applyBorder="1"/>
    <xf numFmtId="0" fontId="2" fillId="2" borderId="5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43" fontId="2" fillId="2" borderId="0" xfId="1" applyFont="1" applyFill="1" applyBorder="1"/>
    <xf numFmtId="0" fontId="2" fillId="2" borderId="10" xfId="0" applyFont="1" applyFill="1" applyBorder="1"/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vertical="top" wrapText="1"/>
    </xf>
    <xf numFmtId="2" fontId="6" fillId="2" borderId="2" xfId="0" applyNumberFormat="1" applyFont="1" applyFill="1" applyBorder="1" applyAlignment="1">
      <alignment vertical="top" wrapText="1"/>
    </xf>
    <xf numFmtId="2" fontId="6" fillId="2" borderId="13" xfId="1" applyNumberFormat="1" applyFont="1" applyFill="1" applyBorder="1" applyAlignment="1"/>
    <xf numFmtId="2" fontId="6" fillId="2" borderId="2" xfId="1" applyNumberFormat="1" applyFont="1" applyFill="1" applyBorder="1" applyAlignment="1">
      <alignment vertical="top" wrapText="1"/>
    </xf>
    <xf numFmtId="43" fontId="2" fillId="2" borderId="0" xfId="0" applyNumberFormat="1" applyFont="1" applyFill="1" applyBorder="1"/>
    <xf numFmtId="0" fontId="6" fillId="2" borderId="17" xfId="0" applyFont="1" applyFill="1" applyBorder="1" applyAlignment="1">
      <alignment horizontal="center" vertical="top" wrapText="1"/>
    </xf>
    <xf numFmtId="2" fontId="6" fillId="2" borderId="4" xfId="0" applyNumberFormat="1" applyFont="1" applyFill="1" applyBorder="1" applyAlignment="1">
      <alignment vertical="top" wrapText="1"/>
    </xf>
    <xf numFmtId="0" fontId="6" fillId="2" borderId="18" xfId="0" applyFont="1" applyFill="1" applyBorder="1" applyAlignment="1">
      <alignment horizontal="right" vertical="top" wrapText="1"/>
    </xf>
    <xf numFmtId="0" fontId="6" fillId="2" borderId="19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14" fontId="9" fillId="2" borderId="0" xfId="0" applyNumberFormat="1" applyFont="1" applyFill="1" applyBorder="1" applyAlignment="1">
      <alignment horizontal="center" vertical="top" wrapText="1"/>
    </xf>
    <xf numFmtId="0" fontId="6" fillId="2" borderId="21" xfId="0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4" fillId="0" borderId="0" xfId="0" applyFont="1"/>
    <xf numFmtId="0" fontId="1" fillId="0" borderId="0" xfId="0" applyFont="1"/>
    <xf numFmtId="0" fontId="5" fillId="0" borderId="13" xfId="0" applyFont="1" applyBorder="1" applyAlignment="1">
      <alignment vertical="top" wrapText="1"/>
    </xf>
    <xf numFmtId="0" fontId="9" fillId="2" borderId="0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7" fillId="0" borderId="23" xfId="0" applyFont="1" applyBorder="1"/>
    <xf numFmtId="0" fontId="17" fillId="0" borderId="8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4" xfId="0" applyFont="1" applyBorder="1" applyAlignment="1">
      <alignment horizontal="center" wrapText="1"/>
    </xf>
    <xf numFmtId="0" fontId="18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6" borderId="25" xfId="0" applyFont="1" applyFill="1" applyBorder="1"/>
    <xf numFmtId="0" fontId="17" fillId="7" borderId="16" xfId="0" applyFont="1" applyFill="1" applyBorder="1"/>
    <xf numFmtId="0" fontId="17" fillId="0" borderId="25" xfId="0" applyFont="1" applyBorder="1"/>
    <xf numFmtId="10" fontId="17" fillId="8" borderId="16" xfId="0" applyNumberFormat="1" applyFont="1" applyFill="1" applyBorder="1"/>
    <xf numFmtId="43" fontId="17" fillId="8" borderId="16" xfId="1" applyFont="1" applyFill="1" applyBorder="1"/>
    <xf numFmtId="43" fontId="17" fillId="0" borderId="16" xfId="1" applyFont="1" applyBorder="1"/>
    <xf numFmtId="43" fontId="0" fillId="0" borderId="0" xfId="1" applyFont="1"/>
    <xf numFmtId="0" fontId="2" fillId="0" borderId="0" xfId="0" applyFont="1" applyFill="1"/>
    <xf numFmtId="43" fontId="2" fillId="0" borderId="0" xfId="1" applyFont="1" applyFill="1"/>
    <xf numFmtId="0" fontId="2" fillId="0" borderId="6" xfId="0" applyFont="1" applyBorder="1"/>
    <xf numFmtId="0" fontId="2" fillId="0" borderId="5" xfId="0" applyFont="1" applyBorder="1"/>
    <xf numFmtId="43" fontId="2" fillId="2" borderId="10" xfId="1" applyFont="1" applyFill="1" applyBorder="1"/>
    <xf numFmtId="43" fontId="2" fillId="2" borderId="10" xfId="0" applyNumberFormat="1" applyFont="1" applyFill="1" applyBorder="1"/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/>
    <xf numFmtId="0" fontId="9" fillId="2" borderId="10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0" xfId="0" applyFont="1" applyFill="1"/>
    <xf numFmtId="0" fontId="9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9" fillId="2" borderId="0" xfId="0" applyFont="1" applyFill="1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4" fontId="5" fillId="0" borderId="3" xfId="0" applyNumberFormat="1" applyFont="1" applyBorder="1" applyAlignment="1">
      <alignment vertical="top" wrapText="1"/>
    </xf>
    <xf numFmtId="14" fontId="5" fillId="0" borderId="4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9" fillId="2" borderId="0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center" vertical="top" wrapText="1"/>
    </xf>
    <xf numFmtId="0" fontId="21" fillId="2" borderId="0" xfId="0" applyFont="1" applyFill="1" applyBorder="1" applyAlignment="1">
      <alignment horizontal="center" vertical="top" wrapText="1"/>
    </xf>
    <xf numFmtId="0" fontId="22" fillId="2" borderId="3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top" wrapText="1"/>
    </xf>
    <xf numFmtId="2" fontId="23" fillId="2" borderId="1" xfId="0" applyNumberFormat="1" applyFont="1" applyFill="1" applyBorder="1" applyAlignment="1">
      <alignment vertical="top" wrapText="1"/>
    </xf>
    <xf numFmtId="2" fontId="23" fillId="2" borderId="13" xfId="0" applyNumberFormat="1" applyFont="1" applyFill="1" applyBorder="1" applyAlignment="1">
      <alignment vertical="top" wrapText="1"/>
    </xf>
    <xf numFmtId="2" fontId="22" fillId="2" borderId="13" xfId="0" applyNumberFormat="1" applyFont="1" applyFill="1" applyBorder="1" applyAlignment="1">
      <alignment vertical="top" wrapText="1"/>
    </xf>
    <xf numFmtId="0" fontId="23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/>
    <xf numFmtId="0" fontId="21" fillId="2" borderId="15" xfId="0" applyFont="1" applyFill="1" applyBorder="1"/>
    <xf numFmtId="0" fontId="21" fillId="2" borderId="0" xfId="0" applyFont="1" applyFill="1"/>
    <xf numFmtId="0" fontId="24" fillId="2" borderId="0" xfId="0" applyFont="1" applyFill="1"/>
    <xf numFmtId="0" fontId="25" fillId="2" borderId="1" xfId="0" applyFont="1" applyFill="1" applyBorder="1" applyAlignment="1">
      <alignment vertical="top" wrapText="1"/>
    </xf>
    <xf numFmtId="0" fontId="26" fillId="2" borderId="2" xfId="0" applyFont="1" applyFill="1" applyBorder="1" applyAlignment="1">
      <alignment vertical="top" wrapText="1"/>
    </xf>
    <xf numFmtId="0" fontId="25" fillId="2" borderId="3" xfId="0" applyFont="1" applyFill="1" applyBorder="1" applyAlignment="1">
      <alignment vertical="top" wrapText="1"/>
    </xf>
    <xf numFmtId="0" fontId="25" fillId="2" borderId="4" xfId="0" applyFont="1" applyFill="1" applyBorder="1" applyAlignment="1">
      <alignment vertical="top" wrapText="1"/>
    </xf>
    <xf numFmtId="0" fontId="25" fillId="2" borderId="2" xfId="0" applyFont="1" applyFill="1" applyBorder="1" applyAlignment="1">
      <alignment vertical="top" wrapText="1"/>
    </xf>
    <xf numFmtId="0" fontId="23" fillId="2" borderId="17" xfId="0" applyFont="1" applyFill="1" applyBorder="1"/>
    <xf numFmtId="0" fontId="21" fillId="2" borderId="13" xfId="0" applyFont="1" applyFill="1" applyBorder="1"/>
    <xf numFmtId="43" fontId="21" fillId="2" borderId="13" xfId="1" applyFont="1" applyFill="1" applyBorder="1"/>
    <xf numFmtId="0" fontId="23" fillId="2" borderId="13" xfId="0" applyFont="1" applyFill="1" applyBorder="1"/>
    <xf numFmtId="0" fontId="21" fillId="2" borderId="10" xfId="0" applyFont="1" applyFill="1" applyBorder="1"/>
    <xf numFmtId="0" fontId="21" fillId="2" borderId="17" xfId="0" applyFont="1" applyFill="1" applyBorder="1"/>
    <xf numFmtId="43" fontId="23" fillId="2" borderId="13" xfId="1" applyFont="1" applyFill="1" applyBorder="1"/>
    <xf numFmtId="0" fontId="22" fillId="2" borderId="17" xfId="0" applyFont="1" applyFill="1" applyBorder="1" applyAlignment="1">
      <alignment horizontal="center" vertical="top" wrapText="1"/>
    </xf>
    <xf numFmtId="4" fontId="21" fillId="2" borderId="13" xfId="2" applyNumberFormat="1" applyFont="1" applyFill="1" applyBorder="1"/>
    <xf numFmtId="0" fontId="22" fillId="2" borderId="13" xfId="0" applyFont="1" applyFill="1" applyBorder="1" applyAlignment="1">
      <alignment horizontal="center" vertical="top" wrapText="1"/>
    </xf>
    <xf numFmtId="164" fontId="21" fillId="2" borderId="13" xfId="0" applyNumberFormat="1" applyFont="1" applyFill="1" applyBorder="1"/>
    <xf numFmtId="165" fontId="21" fillId="2" borderId="13" xfId="0" applyNumberFormat="1" applyFont="1" applyFill="1" applyBorder="1"/>
    <xf numFmtId="165" fontId="21" fillId="2" borderId="13" xfId="1" applyNumberFormat="1" applyFont="1" applyFill="1" applyBorder="1"/>
    <xf numFmtId="165" fontId="21" fillId="2" borderId="13" xfId="2" applyNumberFormat="1" applyFont="1" applyFill="1" applyBorder="1"/>
    <xf numFmtId="2" fontId="21" fillId="2" borderId="13" xfId="2" applyNumberFormat="1" applyFont="1" applyFill="1" applyBorder="1"/>
    <xf numFmtId="0" fontId="21" fillId="2" borderId="5" xfId="0" applyFont="1" applyFill="1" applyBorder="1"/>
    <xf numFmtId="43" fontId="21" fillId="2" borderId="5" xfId="1" applyFont="1" applyFill="1" applyBorder="1"/>
    <xf numFmtId="43" fontId="21" fillId="2" borderId="0" xfId="1" applyFont="1" applyFill="1" applyBorder="1"/>
  </cellXfs>
  <cellStyles count="7">
    <cellStyle name="20% - Accent3 2" xfId="4"/>
    <cellStyle name="Calculation 2" xfId="6"/>
    <cellStyle name="Comma" xfId="1" builtinId="3"/>
    <cellStyle name="Currency" xfId="2" builtinId="4"/>
    <cellStyle name="Input 2" xfId="5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83"/>
  <sheetViews>
    <sheetView tabSelected="1" topLeftCell="A4" zoomScaleNormal="100" zoomScaleSheetLayoutView="100" workbookViewId="0">
      <selection activeCell="H40" sqref="H40"/>
    </sheetView>
  </sheetViews>
  <sheetFormatPr defaultRowHeight="12.75"/>
  <cols>
    <col min="1" max="1" width="14.42578125" style="1" customWidth="1"/>
    <col min="2" max="2" width="10.42578125" style="1" customWidth="1"/>
    <col min="3" max="3" width="12.140625" style="1" bestFit="1" customWidth="1"/>
    <col min="4" max="4" width="10.42578125" style="104" hidden="1" customWidth="1"/>
    <col min="5" max="5" width="11.28515625" style="1" customWidth="1"/>
    <col min="6" max="6" width="11.85546875" style="1" customWidth="1"/>
    <col min="7" max="7" width="10" style="1" customWidth="1"/>
    <col min="8" max="8" width="10.7109375" style="1" bestFit="1" customWidth="1"/>
    <col min="9" max="9" width="9.7109375" style="1" customWidth="1"/>
    <col min="10" max="10" width="9" style="1" customWidth="1"/>
    <col min="11" max="11" width="12.85546875" style="1" customWidth="1"/>
    <col min="12" max="12" width="13.85546875" style="1" customWidth="1"/>
    <col min="13" max="16384" width="9.140625" style="1"/>
  </cols>
  <sheetData>
    <row r="1" spans="1:12" ht="21" thickBot="1">
      <c r="A1" s="57"/>
      <c r="B1" s="9"/>
      <c r="C1" s="10"/>
      <c r="D1" s="86" t="s">
        <v>1</v>
      </c>
      <c r="E1" s="86"/>
      <c r="F1" s="86"/>
      <c r="G1" s="86"/>
      <c r="H1" s="86"/>
      <c r="I1" s="11"/>
      <c r="J1" s="12"/>
      <c r="K1" s="13"/>
      <c r="L1" s="14"/>
    </row>
    <row r="2" spans="1:12" ht="13.5" thickTop="1">
      <c r="A2" s="58"/>
      <c r="B2" s="15"/>
      <c r="C2" s="16"/>
      <c r="D2" s="94"/>
      <c r="E2" s="16"/>
      <c r="F2" s="16"/>
      <c r="G2" s="16"/>
      <c r="H2" s="16"/>
      <c r="I2" s="16"/>
      <c r="J2" s="17"/>
      <c r="K2" s="17"/>
      <c r="L2" s="18"/>
    </row>
    <row r="3" spans="1:12" ht="15.75" customHeight="1">
      <c r="A3" s="15"/>
      <c r="B3" s="19"/>
      <c r="C3" s="32"/>
      <c r="D3" s="93" t="s">
        <v>2</v>
      </c>
      <c r="E3" s="93"/>
      <c r="F3" s="93"/>
      <c r="G3" s="93"/>
      <c r="H3" s="93"/>
      <c r="I3" s="16"/>
      <c r="J3" s="17"/>
      <c r="K3" s="17"/>
      <c r="L3" s="18"/>
    </row>
    <row r="4" spans="1:12">
      <c r="A4" s="15" t="s">
        <v>0</v>
      </c>
      <c r="B4" s="16"/>
      <c r="C4" s="16"/>
      <c r="D4" s="94"/>
      <c r="E4" s="16"/>
      <c r="F4" s="16"/>
      <c r="G4" s="16"/>
      <c r="H4" s="16"/>
      <c r="I4" s="16"/>
      <c r="J4" s="17"/>
      <c r="K4" s="17"/>
      <c r="L4" s="18"/>
    </row>
    <row r="5" spans="1:12">
      <c r="A5" s="15"/>
      <c r="B5" s="39" t="s">
        <v>3</v>
      </c>
      <c r="C5" s="33">
        <v>41126</v>
      </c>
      <c r="D5" s="94"/>
      <c r="E5" s="16"/>
      <c r="F5" s="16"/>
      <c r="G5" s="40" t="s">
        <v>4</v>
      </c>
      <c r="H5" s="33">
        <v>41157</v>
      </c>
      <c r="I5" s="16"/>
      <c r="J5" s="17"/>
      <c r="K5" s="17"/>
      <c r="L5" s="18"/>
    </row>
    <row r="6" spans="1:12">
      <c r="A6" s="15"/>
      <c r="B6" s="16"/>
      <c r="C6" s="16"/>
      <c r="D6" s="94"/>
      <c r="E6" s="16" t="s">
        <v>0</v>
      </c>
      <c r="F6" s="16"/>
      <c r="G6" s="16"/>
      <c r="H6" s="16" t="s">
        <v>66</v>
      </c>
      <c r="I6" s="16"/>
      <c r="J6" s="17"/>
      <c r="K6" s="17"/>
      <c r="L6" s="18"/>
    </row>
    <row r="7" spans="1:12" ht="14.25">
      <c r="A7" s="26" t="s">
        <v>5</v>
      </c>
      <c r="B7" s="87" t="s">
        <v>56</v>
      </c>
      <c r="C7" s="88"/>
      <c r="D7" s="95" t="s">
        <v>19</v>
      </c>
      <c r="E7" s="28" t="s">
        <v>57</v>
      </c>
      <c r="F7" s="71"/>
      <c r="G7" s="28" t="s">
        <v>6</v>
      </c>
      <c r="H7" s="29"/>
      <c r="I7" s="16"/>
      <c r="J7" s="17"/>
      <c r="K7" s="17"/>
      <c r="L7" s="18"/>
    </row>
    <row r="8" spans="1:12" ht="14.25">
      <c r="A8" s="20"/>
      <c r="B8" s="30" t="s">
        <v>67</v>
      </c>
      <c r="C8" s="34" t="s">
        <v>20</v>
      </c>
      <c r="D8" s="96"/>
      <c r="E8" s="35" t="s">
        <v>7</v>
      </c>
      <c r="F8" s="71" t="s">
        <v>8</v>
      </c>
      <c r="G8" s="71" t="s">
        <v>7</v>
      </c>
      <c r="H8" s="71" t="s">
        <v>8</v>
      </c>
      <c r="I8" s="16"/>
      <c r="J8" s="17"/>
      <c r="K8" s="17"/>
      <c r="L8" s="18"/>
    </row>
    <row r="9" spans="1:12" ht="14.25" customHeight="1">
      <c r="A9" s="31" t="s">
        <v>9</v>
      </c>
      <c r="B9" s="27">
        <f>F27-2</f>
        <v>81.150000000000006</v>
      </c>
      <c r="C9" s="21">
        <f>G27+2</f>
        <v>85.35</v>
      </c>
      <c r="D9" s="97">
        <f t="shared" ref="D9:D20" si="0">+(B9+C9)/2</f>
        <v>83.25</v>
      </c>
      <c r="E9" s="27">
        <f>+B9-1</f>
        <v>80.150000000000006</v>
      </c>
      <c r="F9" s="22">
        <f>C9+0.5</f>
        <v>85.85</v>
      </c>
      <c r="G9" s="22">
        <f>B9-0.5</f>
        <v>80.650000000000006</v>
      </c>
      <c r="H9" s="22">
        <f>+C9+0.5</f>
        <v>85.85</v>
      </c>
      <c r="I9" s="16"/>
      <c r="J9" s="17"/>
      <c r="K9" s="17"/>
      <c r="L9" s="18"/>
    </row>
    <row r="10" spans="1:12" ht="14.25" customHeight="1">
      <c r="A10" s="31" t="s">
        <v>10</v>
      </c>
      <c r="B10" s="27">
        <f>B28-2</f>
        <v>132.55333000000002</v>
      </c>
      <c r="C10" s="21">
        <f>C28+2</f>
        <v>136.91030999999998</v>
      </c>
      <c r="D10" s="98">
        <f t="shared" si="0"/>
        <v>134.73182</v>
      </c>
      <c r="E10" s="27">
        <f t="shared" ref="E10:E20" si="1">+B10-1</f>
        <v>131.55333000000002</v>
      </c>
      <c r="F10" s="22">
        <f t="shared" ref="F10:F20" si="2">C10+0.5</f>
        <v>137.41030999999998</v>
      </c>
      <c r="G10" s="22">
        <f t="shared" ref="G10:G20" si="3">B10-0.5</f>
        <v>132.05333000000002</v>
      </c>
      <c r="H10" s="22">
        <f t="shared" ref="H10:H20" si="4">+C10+0.5</f>
        <v>137.41030999999998</v>
      </c>
      <c r="I10" s="16"/>
      <c r="J10" s="17"/>
      <c r="K10" s="17"/>
      <c r="L10" s="18"/>
    </row>
    <row r="11" spans="1:12" ht="14.25" customHeight="1">
      <c r="A11" s="31" t="s">
        <v>11</v>
      </c>
      <c r="B11" s="27">
        <f>B29-2</f>
        <v>106.37770999999999</v>
      </c>
      <c r="C11" s="21">
        <f>C29+2</f>
        <v>110.66339499999999</v>
      </c>
      <c r="D11" s="98">
        <f t="shared" si="0"/>
        <v>108.52055249999999</v>
      </c>
      <c r="E11" s="27">
        <f t="shared" si="1"/>
        <v>105.37770999999999</v>
      </c>
      <c r="F11" s="22">
        <f t="shared" si="2"/>
        <v>111.16339499999999</v>
      </c>
      <c r="G11" s="22">
        <f t="shared" si="3"/>
        <v>105.87770999999999</v>
      </c>
      <c r="H11" s="22">
        <f t="shared" si="4"/>
        <v>111.16339499999999</v>
      </c>
      <c r="I11" s="16"/>
      <c r="J11" s="17"/>
      <c r="K11" s="17"/>
      <c r="L11" s="59"/>
    </row>
    <row r="12" spans="1:12" ht="14.25" customHeight="1">
      <c r="A12" s="31" t="s">
        <v>12</v>
      </c>
      <c r="B12" s="22">
        <v>9.5399999999999991</v>
      </c>
      <c r="C12" s="22">
        <v>11.59</v>
      </c>
      <c r="D12" s="99">
        <f t="shared" si="0"/>
        <v>10.565</v>
      </c>
      <c r="E12" s="27">
        <f t="shared" si="1"/>
        <v>8.5399999999999991</v>
      </c>
      <c r="F12" s="22">
        <f t="shared" si="2"/>
        <v>12.09</v>
      </c>
      <c r="G12" s="22">
        <f t="shared" si="3"/>
        <v>9.0399999999999991</v>
      </c>
      <c r="H12" s="22">
        <f t="shared" si="4"/>
        <v>12.09</v>
      </c>
      <c r="I12" s="16"/>
      <c r="J12" s="17"/>
      <c r="K12" s="17"/>
      <c r="L12" s="59"/>
    </row>
    <row r="13" spans="1:12" ht="14.25" customHeight="1">
      <c r="A13" s="31" t="s">
        <v>13</v>
      </c>
      <c r="B13" s="22">
        <v>28.39</v>
      </c>
      <c r="C13" s="22">
        <v>30.69</v>
      </c>
      <c r="D13" s="99">
        <f t="shared" si="0"/>
        <v>29.54</v>
      </c>
      <c r="E13" s="27">
        <f t="shared" si="1"/>
        <v>27.39</v>
      </c>
      <c r="F13" s="22">
        <f t="shared" si="2"/>
        <v>31.19</v>
      </c>
      <c r="G13" s="22">
        <f t="shared" si="3"/>
        <v>27.89</v>
      </c>
      <c r="H13" s="22">
        <f t="shared" si="4"/>
        <v>31.19</v>
      </c>
      <c r="I13" s="16"/>
      <c r="J13" s="17"/>
      <c r="K13" s="17"/>
      <c r="L13" s="59"/>
    </row>
    <row r="14" spans="1:12" ht="14.25" customHeight="1">
      <c r="A14" s="31" t="s">
        <v>14</v>
      </c>
      <c r="B14" s="23">
        <v>17.940000000000001</v>
      </c>
      <c r="C14" s="22">
        <v>20.100000000000001</v>
      </c>
      <c r="D14" s="99">
        <f t="shared" si="0"/>
        <v>19.020000000000003</v>
      </c>
      <c r="E14" s="27">
        <f>+B14-1</f>
        <v>16.940000000000001</v>
      </c>
      <c r="F14" s="22">
        <f t="shared" si="2"/>
        <v>20.6</v>
      </c>
      <c r="G14" s="22">
        <f t="shared" si="3"/>
        <v>17.440000000000001</v>
      </c>
      <c r="H14" s="22">
        <f t="shared" si="4"/>
        <v>20.6</v>
      </c>
      <c r="I14" s="16"/>
      <c r="J14" s="17"/>
      <c r="K14" s="17"/>
      <c r="L14" s="59"/>
    </row>
    <row r="15" spans="1:12" ht="14.25" customHeight="1">
      <c r="A15" s="31" t="s">
        <v>15</v>
      </c>
      <c r="B15" s="21">
        <v>82.4</v>
      </c>
      <c r="C15" s="22">
        <v>84.59</v>
      </c>
      <c r="D15" s="99">
        <f t="shared" si="0"/>
        <v>83.495000000000005</v>
      </c>
      <c r="E15" s="27">
        <f t="shared" si="1"/>
        <v>81.400000000000006</v>
      </c>
      <c r="F15" s="22">
        <f t="shared" si="2"/>
        <v>85.09</v>
      </c>
      <c r="G15" s="22">
        <f t="shared" si="3"/>
        <v>81.900000000000006</v>
      </c>
      <c r="H15" s="22">
        <f t="shared" si="4"/>
        <v>85.09</v>
      </c>
      <c r="I15" s="16"/>
      <c r="J15" s="8"/>
      <c r="K15" s="17"/>
      <c r="L15" s="18"/>
    </row>
    <row r="16" spans="1:12" ht="14.25" customHeight="1">
      <c r="A16" s="31" t="s">
        <v>16</v>
      </c>
      <c r="B16" s="22">
        <v>89</v>
      </c>
      <c r="C16" s="22">
        <v>91.21</v>
      </c>
      <c r="D16" s="99">
        <f t="shared" si="0"/>
        <v>90.10499999999999</v>
      </c>
      <c r="E16" s="27">
        <f t="shared" si="1"/>
        <v>88</v>
      </c>
      <c r="F16" s="22">
        <f t="shared" si="2"/>
        <v>91.71</v>
      </c>
      <c r="G16" s="22">
        <f t="shared" si="3"/>
        <v>88.5</v>
      </c>
      <c r="H16" s="22">
        <f t="shared" si="4"/>
        <v>91.71</v>
      </c>
      <c r="I16" s="16"/>
      <c r="J16" s="8"/>
      <c r="K16" s="17"/>
      <c r="L16" s="18"/>
    </row>
    <row r="17" spans="1:13" ht="14.25">
      <c r="A17" s="31" t="s">
        <v>17</v>
      </c>
      <c r="B17" s="24">
        <v>103.16</v>
      </c>
      <c r="C17" s="22">
        <v>105.46</v>
      </c>
      <c r="D17" s="99">
        <f t="shared" si="0"/>
        <v>104.31</v>
      </c>
      <c r="E17" s="27">
        <f t="shared" si="1"/>
        <v>102.16</v>
      </c>
      <c r="F17" s="22">
        <f t="shared" si="2"/>
        <v>105.96</v>
      </c>
      <c r="G17" s="22">
        <f t="shared" si="3"/>
        <v>102.66</v>
      </c>
      <c r="H17" s="22">
        <f t="shared" si="4"/>
        <v>105.96</v>
      </c>
      <c r="I17" s="16"/>
      <c r="J17" s="17"/>
      <c r="K17" s="17"/>
      <c r="L17" s="59"/>
    </row>
    <row r="18" spans="1:13" ht="14.25" customHeight="1">
      <c r="A18" s="31" t="s">
        <v>18</v>
      </c>
      <c r="B18" s="22">
        <v>1.55</v>
      </c>
      <c r="C18" s="22">
        <v>1.57</v>
      </c>
      <c r="D18" s="99">
        <f t="shared" si="0"/>
        <v>1.56</v>
      </c>
      <c r="E18" s="27">
        <f t="shared" si="1"/>
        <v>0.55000000000000004</v>
      </c>
      <c r="F18" s="22">
        <f>C18+0.5</f>
        <v>2.0700000000000003</v>
      </c>
      <c r="G18" s="22">
        <f t="shared" si="3"/>
        <v>1.05</v>
      </c>
      <c r="H18" s="22">
        <f t="shared" si="4"/>
        <v>2.0700000000000003</v>
      </c>
      <c r="I18" s="16"/>
      <c r="J18" s="8"/>
      <c r="K18" s="25"/>
      <c r="L18" s="18"/>
    </row>
    <row r="19" spans="1:13" ht="14.25" customHeight="1">
      <c r="A19" s="31" t="s">
        <v>49</v>
      </c>
      <c r="B19" s="24">
        <v>83.36</v>
      </c>
      <c r="C19" s="24">
        <v>85.57</v>
      </c>
      <c r="D19" s="99">
        <f t="shared" si="0"/>
        <v>84.465000000000003</v>
      </c>
      <c r="E19" s="27">
        <f t="shared" si="1"/>
        <v>82.36</v>
      </c>
      <c r="F19" s="22">
        <f t="shared" si="2"/>
        <v>86.07</v>
      </c>
      <c r="G19" s="22">
        <f t="shared" si="3"/>
        <v>82.86</v>
      </c>
      <c r="H19" s="22">
        <f t="shared" si="4"/>
        <v>86.07</v>
      </c>
      <c r="I19" s="16"/>
      <c r="J19" s="17"/>
      <c r="K19" s="8"/>
      <c r="L19" s="59"/>
    </row>
    <row r="20" spans="1:13" ht="14.25" customHeight="1">
      <c r="A20" s="31" t="s">
        <v>50</v>
      </c>
      <c r="B20" s="24">
        <v>21.65</v>
      </c>
      <c r="C20" s="24">
        <v>23.69</v>
      </c>
      <c r="D20" s="99">
        <f t="shared" si="0"/>
        <v>22.67</v>
      </c>
      <c r="E20" s="27">
        <f t="shared" si="1"/>
        <v>20.65</v>
      </c>
      <c r="F20" s="22">
        <f t="shared" si="2"/>
        <v>24.19</v>
      </c>
      <c r="G20" s="22">
        <f t="shared" si="3"/>
        <v>21.15</v>
      </c>
      <c r="H20" s="22">
        <f t="shared" si="4"/>
        <v>24.19</v>
      </c>
      <c r="I20" s="8"/>
      <c r="J20" s="8"/>
      <c r="K20" s="25"/>
      <c r="L20" s="18"/>
    </row>
    <row r="21" spans="1:13" s="55" customFormat="1" ht="15" customHeight="1">
      <c r="A21" s="89" t="s">
        <v>60</v>
      </c>
      <c r="B21" s="90"/>
      <c r="C21" s="90"/>
      <c r="D21" s="90"/>
      <c r="E21" s="90"/>
      <c r="F21" s="90"/>
      <c r="G21" s="90"/>
      <c r="H21" s="16"/>
      <c r="I21" s="8"/>
      <c r="J21" s="8"/>
      <c r="K21" s="25"/>
      <c r="L21" s="60"/>
    </row>
    <row r="22" spans="1:13" s="55" customFormat="1" ht="30.75" customHeight="1">
      <c r="A22" s="91" t="s">
        <v>54</v>
      </c>
      <c r="B22" s="92"/>
      <c r="C22" s="92"/>
      <c r="D22" s="92"/>
      <c r="E22" s="92"/>
      <c r="F22" s="92"/>
      <c r="G22" s="92"/>
      <c r="H22" s="92"/>
      <c r="I22" s="16"/>
      <c r="J22" s="8"/>
      <c r="K22" s="25"/>
      <c r="L22" s="60"/>
      <c r="M22" s="69"/>
    </row>
    <row r="23" spans="1:13" s="69" customFormat="1" ht="10.5" customHeight="1">
      <c r="A23" s="61"/>
      <c r="B23" s="85" t="s">
        <v>55</v>
      </c>
      <c r="C23" s="85"/>
      <c r="D23" s="100"/>
      <c r="E23" s="74"/>
      <c r="F23" s="70"/>
      <c r="G23" s="70"/>
      <c r="H23" s="70"/>
      <c r="I23" s="70"/>
      <c r="J23" s="62"/>
      <c r="K23" s="62"/>
      <c r="L23" s="63"/>
    </row>
    <row r="24" spans="1:13" s="69" customFormat="1" ht="14.25" customHeight="1">
      <c r="A24" s="64"/>
      <c r="B24" s="65"/>
      <c r="C24" s="65"/>
      <c r="D24" s="101"/>
      <c r="E24" s="65"/>
      <c r="F24" s="65"/>
      <c r="G24" s="65"/>
      <c r="H24" s="65"/>
      <c r="I24" s="65"/>
      <c r="J24" s="8"/>
      <c r="K24" s="8"/>
      <c r="L24" s="18"/>
    </row>
    <row r="25" spans="1:13" s="104" customFormat="1" hidden="1">
      <c r="A25" s="111" t="s">
        <v>58</v>
      </c>
      <c r="B25" s="112"/>
      <c r="C25" s="113"/>
      <c r="D25" s="102"/>
      <c r="E25" s="114" t="s">
        <v>59</v>
      </c>
      <c r="F25" s="112"/>
      <c r="G25" s="113"/>
      <c r="H25" s="102"/>
      <c r="I25" s="114"/>
      <c r="J25" s="112"/>
      <c r="K25" s="113"/>
      <c r="L25" s="115"/>
    </row>
    <row r="26" spans="1:13" s="104" customFormat="1" hidden="1">
      <c r="A26" s="116"/>
      <c r="B26" s="114" t="s">
        <v>21</v>
      </c>
      <c r="C26" s="117" t="s">
        <v>48</v>
      </c>
      <c r="D26" s="102"/>
      <c r="E26" s="112"/>
      <c r="F26" s="114" t="s">
        <v>21</v>
      </c>
      <c r="G26" s="117" t="s">
        <v>68</v>
      </c>
      <c r="H26" s="102"/>
      <c r="I26" s="112"/>
      <c r="J26" s="114"/>
      <c r="K26" s="117"/>
      <c r="L26" s="115"/>
    </row>
    <row r="27" spans="1:13" s="104" customFormat="1" ht="14.25" hidden="1">
      <c r="A27" s="118" t="s">
        <v>9</v>
      </c>
      <c r="B27" s="119">
        <f>F27</f>
        <v>83.15</v>
      </c>
      <c r="C27" s="113">
        <f>G27</f>
        <v>83.35</v>
      </c>
      <c r="D27" s="102"/>
      <c r="E27" s="118" t="s">
        <v>9</v>
      </c>
      <c r="F27" s="119">
        <v>83.15</v>
      </c>
      <c r="G27" s="113">
        <v>83.35</v>
      </c>
      <c r="H27" s="102"/>
      <c r="I27" s="120"/>
      <c r="J27" s="119"/>
      <c r="K27" s="113"/>
      <c r="L27" s="115"/>
    </row>
    <row r="28" spans="1:13" s="104" customFormat="1" ht="14.25" hidden="1">
      <c r="A28" s="118" t="s">
        <v>10</v>
      </c>
      <c r="B28" s="121">
        <f>F27*F28</f>
        <v>134.55333000000002</v>
      </c>
      <c r="C28" s="113">
        <f>G27*G28</f>
        <v>134.91030999999998</v>
      </c>
      <c r="D28" s="102"/>
      <c r="E28" s="118" t="s">
        <v>10</v>
      </c>
      <c r="F28" s="122">
        <v>1.6182000000000001</v>
      </c>
      <c r="G28" s="123">
        <v>1.6186</v>
      </c>
      <c r="H28" s="102"/>
      <c r="I28" s="120"/>
      <c r="J28" s="121"/>
      <c r="K28" s="113"/>
      <c r="L28" s="115"/>
    </row>
    <row r="29" spans="1:13" s="104" customFormat="1" ht="14.25" hidden="1">
      <c r="A29" s="118" t="s">
        <v>11</v>
      </c>
      <c r="B29" s="121">
        <f>F27*F29</f>
        <v>108.37770999999999</v>
      </c>
      <c r="C29" s="113">
        <f>G27*G29</f>
        <v>108.66339499999999</v>
      </c>
      <c r="D29" s="102"/>
      <c r="E29" s="118" t="s">
        <v>11</v>
      </c>
      <c r="F29" s="124">
        <v>1.3033999999999999</v>
      </c>
      <c r="G29" s="123">
        <v>1.3037000000000001</v>
      </c>
      <c r="H29" s="102"/>
      <c r="I29" s="120"/>
      <c r="J29" s="125"/>
      <c r="K29" s="113"/>
      <c r="L29" s="115"/>
    </row>
    <row r="30" spans="1:13" s="104" customFormat="1" hidden="1">
      <c r="A30" s="126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15"/>
    </row>
    <row r="31" spans="1:13" s="104" customFormat="1" hidden="1">
      <c r="A31" s="126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15"/>
    </row>
    <row r="32" spans="1:13" s="104" customFormat="1" hidden="1">
      <c r="A32" s="126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15"/>
    </row>
    <row r="33" spans="1:12" s="104" customFormat="1" hidden="1">
      <c r="A33" s="126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15"/>
    </row>
    <row r="34" spans="1:12" s="104" customFormat="1" hidden="1">
      <c r="A34" s="127"/>
      <c r="B34" s="102"/>
      <c r="C34" s="128"/>
      <c r="D34" s="102"/>
      <c r="E34" s="128"/>
      <c r="F34" s="128"/>
      <c r="G34" s="128"/>
      <c r="H34" s="102"/>
      <c r="I34" s="102"/>
      <c r="J34" s="102"/>
      <c r="K34" s="102"/>
      <c r="L34" s="115"/>
    </row>
    <row r="35" spans="1:12" s="104" customFormat="1" hidden="1">
      <c r="A35" s="126" t="s">
        <v>51</v>
      </c>
      <c r="B35" s="102"/>
      <c r="C35" s="102"/>
      <c r="D35" s="102"/>
      <c r="E35" s="102" t="s">
        <v>52</v>
      </c>
      <c r="F35" s="102"/>
      <c r="G35" s="102"/>
      <c r="H35" s="102"/>
      <c r="I35" s="102" t="s">
        <v>53</v>
      </c>
      <c r="J35" s="102"/>
      <c r="K35" s="102"/>
      <c r="L35" s="115"/>
    </row>
    <row r="36" spans="1:12" s="55" customFormat="1" ht="13.5" thickBot="1">
      <c r="A36" s="66"/>
      <c r="B36" s="67"/>
      <c r="C36" s="67"/>
      <c r="D36" s="103"/>
      <c r="E36" s="67"/>
      <c r="F36" s="67"/>
      <c r="G36" s="67"/>
      <c r="H36" s="67"/>
      <c r="I36" s="67"/>
      <c r="J36" s="67"/>
      <c r="K36" s="67"/>
      <c r="L36" s="68"/>
    </row>
    <row r="37" spans="1:12" s="55" customFormat="1">
      <c r="A37" s="56"/>
      <c r="C37" s="56"/>
      <c r="D37" s="104"/>
      <c r="E37" s="56"/>
      <c r="F37" s="56"/>
      <c r="G37" s="56"/>
    </row>
    <row r="38" spans="1:12" s="55" customFormat="1">
      <c r="A38" s="56"/>
      <c r="C38" s="56"/>
      <c r="D38" s="104" t="s">
        <v>69</v>
      </c>
      <c r="E38" s="56"/>
      <c r="F38" s="56"/>
      <c r="G38" s="56"/>
    </row>
    <row r="39" spans="1:12" s="55" customFormat="1">
      <c r="C39" s="56"/>
      <c r="D39" s="104"/>
      <c r="E39" s="56"/>
      <c r="F39" s="56"/>
      <c r="G39" s="56"/>
    </row>
    <row r="40" spans="1:12" s="55" customFormat="1">
      <c r="C40" s="56"/>
      <c r="D40" s="104"/>
      <c r="E40" s="56"/>
      <c r="F40" s="56"/>
      <c r="G40" s="56"/>
    </row>
    <row r="41" spans="1:12" s="55" customFormat="1">
      <c r="C41" s="56"/>
      <c r="D41" s="104"/>
      <c r="E41" s="56"/>
      <c r="F41" s="56"/>
      <c r="G41" s="56"/>
    </row>
    <row r="42" spans="1:12" s="55" customFormat="1">
      <c r="C42" s="56"/>
      <c r="D42" s="104"/>
      <c r="E42" s="56"/>
      <c r="F42" s="56"/>
      <c r="G42" s="56"/>
    </row>
    <row r="43" spans="1:12" s="55" customFormat="1">
      <c r="C43" s="56"/>
      <c r="D43" s="104"/>
      <c r="E43" s="56"/>
      <c r="F43" s="56"/>
      <c r="G43" s="56"/>
    </row>
    <row r="44" spans="1:12" s="55" customFormat="1">
      <c r="D44" s="104"/>
      <c r="E44" s="56"/>
      <c r="F44" s="56"/>
      <c r="G44" s="56"/>
    </row>
    <row r="45" spans="1:12" s="55" customFormat="1">
      <c r="D45" s="104"/>
      <c r="E45" s="56"/>
      <c r="F45" s="56"/>
      <c r="G45" s="56"/>
    </row>
    <row r="46" spans="1:12" s="55" customFormat="1">
      <c r="D46" s="104"/>
      <c r="E46" s="56"/>
      <c r="F46" s="56"/>
      <c r="G46" s="56"/>
    </row>
    <row r="47" spans="1:12" s="55" customFormat="1">
      <c r="D47" s="104"/>
    </row>
    <row r="72" spans="3:10" ht="15">
      <c r="C72" s="36"/>
      <c r="D72" s="105"/>
      <c r="E72" s="37"/>
      <c r="F72" s="37"/>
      <c r="G72" s="37"/>
      <c r="H72" s="37"/>
      <c r="I72" s="37"/>
      <c r="J72" s="37"/>
    </row>
    <row r="73" spans="3:10" ht="30">
      <c r="C73" s="38" t="s">
        <v>22</v>
      </c>
      <c r="D73" s="106" t="s">
        <v>23</v>
      </c>
      <c r="E73" s="2" t="s">
        <v>24</v>
      </c>
      <c r="F73" s="2"/>
      <c r="G73" s="2" t="s">
        <v>25</v>
      </c>
      <c r="H73" s="2" t="s">
        <v>26</v>
      </c>
      <c r="I73" s="2" t="s">
        <v>27</v>
      </c>
      <c r="J73" s="2" t="s">
        <v>28</v>
      </c>
    </row>
    <row r="74" spans="3:10" ht="30">
      <c r="C74" s="76" t="s">
        <v>29</v>
      </c>
      <c r="D74" s="107" t="s">
        <v>30</v>
      </c>
      <c r="E74" s="3">
        <v>50012328.75</v>
      </c>
      <c r="F74" s="3"/>
      <c r="G74" s="4"/>
      <c r="H74" s="4" t="s">
        <v>31</v>
      </c>
      <c r="I74" s="5">
        <v>38471</v>
      </c>
      <c r="J74" s="4"/>
    </row>
    <row r="75" spans="3:10" ht="15.75">
      <c r="C75" s="76" t="s">
        <v>32</v>
      </c>
      <c r="D75" s="107" t="s">
        <v>33</v>
      </c>
      <c r="E75" s="3">
        <v>10002356.15</v>
      </c>
      <c r="F75" s="3"/>
      <c r="G75" s="4"/>
      <c r="H75" s="4" t="s">
        <v>31</v>
      </c>
      <c r="I75" s="5">
        <v>38471</v>
      </c>
      <c r="J75" s="4"/>
    </row>
    <row r="76" spans="3:10" ht="30">
      <c r="C76" s="76" t="s">
        <v>34</v>
      </c>
      <c r="D76" s="107" t="s">
        <v>35</v>
      </c>
      <c r="E76" s="3">
        <v>12002465.75</v>
      </c>
      <c r="F76" s="3"/>
      <c r="G76" s="4"/>
      <c r="H76" s="4" t="s">
        <v>31</v>
      </c>
      <c r="I76" s="5">
        <v>38471</v>
      </c>
      <c r="J76" s="4"/>
    </row>
    <row r="77" spans="3:10" ht="15.75">
      <c r="C77" s="76" t="s">
        <v>36</v>
      </c>
      <c r="D77" s="107" t="s">
        <v>37</v>
      </c>
      <c r="E77" s="3">
        <v>20004931.5</v>
      </c>
      <c r="F77" s="3"/>
      <c r="G77" s="4"/>
      <c r="H77" s="4" t="s">
        <v>31</v>
      </c>
      <c r="I77" s="5">
        <v>38471</v>
      </c>
      <c r="J77" s="4"/>
    </row>
    <row r="78" spans="3:10" ht="15.75">
      <c r="C78" s="76" t="s">
        <v>38</v>
      </c>
      <c r="D78" s="107" t="s">
        <v>39</v>
      </c>
      <c r="E78" s="3">
        <v>20004767.100000001</v>
      </c>
      <c r="F78" s="3"/>
      <c r="G78" s="4"/>
      <c r="H78" s="4" t="s">
        <v>31</v>
      </c>
      <c r="I78" s="5">
        <v>38471</v>
      </c>
      <c r="J78" s="4"/>
    </row>
    <row r="79" spans="3:10" ht="30">
      <c r="C79" s="76" t="s">
        <v>40</v>
      </c>
      <c r="D79" s="107" t="s">
        <v>41</v>
      </c>
      <c r="E79" s="3">
        <v>30006904.100000001</v>
      </c>
      <c r="F79" s="3"/>
      <c r="G79" s="4"/>
      <c r="H79" s="4" t="s">
        <v>31</v>
      </c>
      <c r="I79" s="5">
        <v>38471</v>
      </c>
      <c r="J79" s="4"/>
    </row>
    <row r="80" spans="3:10" ht="17.25" customHeight="1">
      <c r="C80" s="81" t="s">
        <v>42</v>
      </c>
      <c r="D80" s="108" t="s">
        <v>43</v>
      </c>
      <c r="E80" s="83">
        <v>25005821.899999999</v>
      </c>
      <c r="F80" s="72"/>
      <c r="G80" s="77"/>
      <c r="H80" s="77" t="s">
        <v>31</v>
      </c>
      <c r="I80" s="79">
        <v>38471</v>
      </c>
      <c r="J80" s="77"/>
    </row>
    <row r="81" spans="3:10" ht="15">
      <c r="C81" s="82"/>
      <c r="D81" s="109"/>
      <c r="E81" s="84"/>
      <c r="F81" s="73"/>
      <c r="G81" s="78"/>
      <c r="H81" s="78"/>
      <c r="I81" s="80"/>
      <c r="J81" s="78"/>
    </row>
    <row r="82" spans="3:10" ht="45">
      <c r="C82" s="76" t="s">
        <v>44</v>
      </c>
      <c r="D82" s="110" t="s">
        <v>45</v>
      </c>
      <c r="E82" s="6">
        <v>3000000</v>
      </c>
      <c r="F82" s="6"/>
      <c r="G82" s="4"/>
      <c r="H82" s="4" t="s">
        <v>46</v>
      </c>
      <c r="I82" s="7">
        <v>38471</v>
      </c>
      <c r="J82" s="4"/>
    </row>
    <row r="83" spans="3:10" ht="15.75">
      <c r="C83" s="75"/>
      <c r="D83" s="110" t="s">
        <v>47</v>
      </c>
      <c r="E83" s="6">
        <f>SUM(E74:E82)</f>
        <v>170039575.25</v>
      </c>
      <c r="F83" s="6"/>
      <c r="G83" s="4"/>
      <c r="H83" s="4"/>
      <c r="I83" s="4"/>
      <c r="J83" s="4"/>
    </row>
  </sheetData>
  <mergeCells count="13">
    <mergeCell ref="B23:C23"/>
    <mergeCell ref="D1:H1"/>
    <mergeCell ref="B7:C7"/>
    <mergeCell ref="A21:G21"/>
    <mergeCell ref="A22:H22"/>
    <mergeCell ref="D3:H3"/>
    <mergeCell ref="H80:H81"/>
    <mergeCell ref="I80:I81"/>
    <mergeCell ref="J80:J81"/>
    <mergeCell ref="C80:C81"/>
    <mergeCell ref="D80:D81"/>
    <mergeCell ref="E80:E81"/>
    <mergeCell ref="G80:G81"/>
  </mergeCells>
  <phoneticPr fontId="0" type="noConversion"/>
  <pageMargins left="0.75" right="0.75" top="1" bottom="1" header="0.5" footer="0.5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B3:B20"/>
  <sheetViews>
    <sheetView workbookViewId="0">
      <selection activeCell="A3" sqref="A3:B3"/>
    </sheetView>
  </sheetViews>
  <sheetFormatPr defaultRowHeight="12.75"/>
  <cols>
    <col min="2" max="2" width="10.28515625" bestFit="1" customWidth="1"/>
  </cols>
  <sheetData>
    <row r="3" spans="2:2">
      <c r="B3" s="54"/>
    </row>
    <row r="4" spans="2:2">
      <c r="B4" s="54"/>
    </row>
    <row r="5" spans="2:2">
      <c r="B5" s="54"/>
    </row>
    <row r="6" spans="2:2">
      <c r="B6" s="54"/>
    </row>
    <row r="7" spans="2:2">
      <c r="B7" s="54"/>
    </row>
    <row r="8" spans="2:2">
      <c r="B8" s="54"/>
    </row>
    <row r="9" spans="2:2">
      <c r="B9" s="54"/>
    </row>
    <row r="10" spans="2:2">
      <c r="B10" s="54"/>
    </row>
    <row r="11" spans="2:2">
      <c r="B11" s="54"/>
    </row>
    <row r="12" spans="2:2">
      <c r="B12" s="54"/>
    </row>
    <row r="13" spans="2:2">
      <c r="B13" s="54"/>
    </row>
    <row r="14" spans="2:2">
      <c r="B14" s="54"/>
    </row>
    <row r="15" spans="2:2">
      <c r="B15" s="54"/>
    </row>
    <row r="16" spans="2:2">
      <c r="B16" s="54"/>
    </row>
    <row r="17" spans="2:2">
      <c r="B17" s="54"/>
    </row>
    <row r="18" spans="2:2">
      <c r="B18" s="54"/>
    </row>
    <row r="19" spans="2:2">
      <c r="B19" s="54"/>
    </row>
    <row r="20" spans="2:2">
      <c r="B20" s="54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3:G8"/>
  <sheetViews>
    <sheetView workbookViewId="0">
      <selection activeCell="B4" sqref="B4:G8"/>
    </sheetView>
  </sheetViews>
  <sheetFormatPr defaultRowHeight="12.75"/>
  <cols>
    <col min="1" max="1" width="9" customWidth="1"/>
    <col min="2" max="2" width="50.85546875" bestFit="1" customWidth="1"/>
    <col min="3" max="4" width="8.140625" bestFit="1" customWidth="1"/>
    <col min="5" max="7" width="9.140625" bestFit="1" customWidth="1"/>
  </cols>
  <sheetData>
    <row r="3" spans="2:7" ht="13.5" thickBot="1"/>
    <row r="4" spans="2:7" ht="26.25" thickBot="1">
      <c r="B4" s="41"/>
      <c r="C4" s="42" t="s">
        <v>61</v>
      </c>
      <c r="D4" s="43" t="s">
        <v>61</v>
      </c>
      <c r="E4" s="43" t="s">
        <v>61</v>
      </c>
      <c r="F4" s="43" t="s">
        <v>61</v>
      </c>
      <c r="G4" s="44" t="s">
        <v>62</v>
      </c>
    </row>
    <row r="5" spans="2:7" ht="13.5" thickBot="1">
      <c r="B5" s="45"/>
      <c r="C5" s="46">
        <v>2006</v>
      </c>
      <c r="D5" s="46">
        <v>2007</v>
      </c>
      <c r="E5" s="46">
        <v>2008</v>
      </c>
      <c r="F5" s="46">
        <v>2009</v>
      </c>
      <c r="G5" s="47">
        <v>2010</v>
      </c>
    </row>
    <row r="6" spans="2:7" ht="13.5" thickBot="1">
      <c r="B6" s="48" t="s">
        <v>63</v>
      </c>
      <c r="C6" s="49"/>
      <c r="D6" s="49"/>
      <c r="E6" s="49"/>
      <c r="F6" s="49"/>
      <c r="G6" s="49"/>
    </row>
    <row r="7" spans="2:7" ht="13.5" thickBot="1">
      <c r="B7" s="50" t="s">
        <v>64</v>
      </c>
      <c r="C7" s="52">
        <v>92</v>
      </c>
      <c r="D7" s="52">
        <v>92.24</v>
      </c>
      <c r="E7" s="52">
        <v>104.07</v>
      </c>
      <c r="F7" s="52">
        <v>110.3</v>
      </c>
      <c r="G7" s="53">
        <v>106.54</v>
      </c>
    </row>
    <row r="8" spans="2:7" ht="13.5" thickBot="1">
      <c r="B8" s="50" t="s">
        <v>65</v>
      </c>
      <c r="C8" s="51">
        <v>0.156</v>
      </c>
      <c r="D8" s="51">
        <v>0.1203</v>
      </c>
      <c r="E8" s="51">
        <v>0.17799999999999999</v>
      </c>
      <c r="F8" s="51">
        <v>5.3400000000000003E-2</v>
      </c>
      <c r="G8" s="51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RATES</vt:lpstr>
      <vt:lpstr>Sheet3</vt:lpstr>
      <vt:lpstr>Sheet1</vt:lpstr>
      <vt:lpstr>RATES!Print_Area</vt:lpstr>
    </vt:vector>
  </TitlesOfParts>
  <Company>K-REP BANK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JOSPHINE</dc:creator>
  <cp:lastModifiedBy>EOware</cp:lastModifiedBy>
  <cp:lastPrinted>2012-04-30T09:07:17Z</cp:lastPrinted>
  <dcterms:created xsi:type="dcterms:W3CDTF">2002-04-04T05:55:15Z</dcterms:created>
  <dcterms:modified xsi:type="dcterms:W3CDTF">2012-05-08T06:14:26Z</dcterms:modified>
</cp:coreProperties>
</file>