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348" windowWidth="19320" windowHeight="11952" tabRatio="845" firstSheet="7" activeTab="11"/>
  </bookViews>
  <sheets>
    <sheet name="DC Enrollment by District" sheetId="20" r:id="rId1"/>
    <sheet name="DC Enrll by HS 11-12" sheetId="15" r:id="rId2"/>
    <sheet name="DC SCH by District" sheetId="40" r:id="rId3"/>
    <sheet name="DC SCH by HS 11-12" sheetId="24" r:id="rId4"/>
    <sheet name="DC GPA by District" sheetId="46" r:id="rId5"/>
    <sheet name="DC GPA" sheetId="45" r:id="rId6"/>
    <sheet name="DC Demographics 10-11" sheetId="16" r:id="rId7"/>
    <sheet name="DC Enrll by Campus" sheetId="18" r:id="rId8"/>
    <sheet name="DC Enrll Top Ten 10-11" sheetId="36" r:id="rId9"/>
    <sheet name="DC FIN 1010" sheetId="48" r:id="rId10"/>
    <sheet name="DC CSR Work" sheetId="43" r:id="rId11"/>
    <sheet name="DC Enrll &amp; SCH By School 10-11" sheetId="37" r:id="rId12"/>
  </sheets>
  <calcPr calcId="145621"/>
</workbook>
</file>

<file path=xl/calcChain.xml><?xml version="1.0" encoding="utf-8"?>
<calcChain xmlns="http://schemas.openxmlformats.org/spreadsheetml/2006/main">
  <c r="H31" i="43" l="1"/>
  <c r="I31" i="43"/>
  <c r="J31" i="43" s="1"/>
  <c r="H10" i="43"/>
  <c r="I10" i="43"/>
  <c r="J10" i="43" s="1"/>
  <c r="H32" i="43"/>
  <c r="I32" i="43"/>
  <c r="J32" i="43" s="1"/>
  <c r="H34" i="43"/>
  <c r="I34" i="43"/>
  <c r="J34" i="43" s="1"/>
  <c r="H30" i="43"/>
  <c r="I30" i="43"/>
  <c r="J30" i="43" s="1"/>
  <c r="H22" i="43"/>
  <c r="I22" i="43"/>
  <c r="J22" i="43" s="1"/>
  <c r="H41" i="43"/>
  <c r="I41" i="43"/>
  <c r="J41" i="43" s="1"/>
  <c r="H39" i="43"/>
  <c r="I39" i="43"/>
  <c r="J39" i="43" s="1"/>
  <c r="H28" i="43"/>
  <c r="I28" i="43"/>
  <c r="J28" i="43" s="1"/>
  <c r="H23" i="43"/>
  <c r="I23" i="43"/>
  <c r="J23" i="43" s="1"/>
  <c r="H29" i="43"/>
  <c r="I29" i="43"/>
  <c r="J29" i="43" s="1"/>
  <c r="H13" i="43"/>
  <c r="I13" i="43"/>
  <c r="J13" i="43" s="1"/>
  <c r="H35" i="43"/>
  <c r="I35" i="43"/>
  <c r="J35" i="43" s="1"/>
  <c r="H38" i="43"/>
  <c r="I38" i="43"/>
  <c r="J38" i="43" s="1"/>
  <c r="H3" i="43"/>
  <c r="I3" i="43"/>
  <c r="J3" i="43" s="1"/>
  <c r="H12" i="43"/>
  <c r="I12" i="43"/>
  <c r="J12" i="43" s="1"/>
  <c r="H9" i="43"/>
  <c r="I9" i="43"/>
  <c r="J9" i="43" s="1"/>
  <c r="H2" i="43"/>
  <c r="I2" i="43"/>
  <c r="J2" i="43" s="1"/>
  <c r="H40" i="43"/>
  <c r="I40" i="43"/>
  <c r="J40" i="43" s="1"/>
  <c r="H11" i="43"/>
  <c r="I11" i="43"/>
  <c r="J11" i="43" s="1"/>
  <c r="H19" i="43"/>
  <c r="I19" i="43"/>
  <c r="J19" i="43" s="1"/>
  <c r="H17" i="43"/>
  <c r="I17" i="43"/>
  <c r="J17" i="43" s="1"/>
  <c r="H6" i="43"/>
  <c r="I6" i="43"/>
  <c r="J6" i="43" s="1"/>
  <c r="H21" i="43"/>
  <c r="I21" i="43"/>
  <c r="J21" i="43" s="1"/>
  <c r="H18" i="43"/>
  <c r="I18" i="43"/>
  <c r="J18" i="43" s="1"/>
  <c r="H16" i="43"/>
  <c r="I16" i="43"/>
  <c r="J16" i="43" s="1"/>
  <c r="H20" i="43"/>
  <c r="I20" i="43"/>
  <c r="J20" i="43" s="1"/>
  <c r="H7" i="43"/>
  <c r="I7" i="43"/>
  <c r="J7" i="43" s="1"/>
  <c r="H4" i="43"/>
  <c r="I4" i="43"/>
  <c r="J4" i="43" s="1"/>
  <c r="H42" i="43"/>
  <c r="I42" i="43"/>
  <c r="J42" i="43" s="1"/>
  <c r="H8" i="43"/>
  <c r="I8" i="43"/>
  <c r="J8" i="43" s="1"/>
  <c r="H25" i="43"/>
  <c r="I25" i="43"/>
  <c r="J25" i="43" s="1"/>
  <c r="H33" i="43"/>
  <c r="I33" i="43"/>
  <c r="J33" i="43" s="1"/>
  <c r="H37" i="43"/>
  <c r="I37" i="43"/>
  <c r="J37" i="43" s="1"/>
  <c r="H5" i="43"/>
  <c r="I5" i="43"/>
  <c r="J5" i="43" s="1"/>
  <c r="H26" i="43"/>
  <c r="I26" i="43"/>
  <c r="J26" i="43" s="1"/>
  <c r="H27" i="43"/>
  <c r="I27" i="43"/>
  <c r="J27" i="43" s="1"/>
  <c r="H15" i="43"/>
  <c r="I15" i="43"/>
  <c r="J15" i="43" s="1"/>
  <c r="H14" i="43"/>
  <c r="I14" i="43"/>
  <c r="J14" i="43" s="1"/>
  <c r="H36" i="43"/>
  <c r="I36" i="43"/>
  <c r="J36" i="43" s="1"/>
  <c r="H24" i="43"/>
  <c r="I24" i="43"/>
  <c r="J24" i="43" s="1"/>
  <c r="F21" i="16" l="1"/>
  <c r="G14" i="16" l="1"/>
  <c r="G16" i="16"/>
  <c r="G18" i="16"/>
  <c r="G20" i="16"/>
  <c r="D21" i="16"/>
  <c r="E15" i="16" s="1"/>
  <c r="G17" i="16"/>
  <c r="H21" i="16"/>
  <c r="I17" i="16" s="1"/>
  <c r="B21" i="16"/>
  <c r="C14" i="16" s="1"/>
  <c r="D8" i="16"/>
  <c r="E7" i="16" s="1"/>
  <c r="F8" i="16"/>
  <c r="G6" i="16" s="1"/>
  <c r="H8" i="16"/>
  <c r="I7" i="16" s="1"/>
  <c r="B8" i="16"/>
  <c r="C6" i="16" s="1"/>
  <c r="I19" i="16" l="1"/>
  <c r="I15" i="16"/>
  <c r="I14" i="16"/>
  <c r="I6" i="16"/>
  <c r="I8" i="16" s="1"/>
  <c r="I20" i="16"/>
  <c r="I16" i="16"/>
  <c r="I18" i="16"/>
  <c r="I13" i="16"/>
  <c r="G19" i="16"/>
  <c r="G15" i="16"/>
  <c r="G13" i="16"/>
  <c r="E18" i="16"/>
  <c r="E14" i="16"/>
  <c r="E13" i="16"/>
  <c r="E17" i="16"/>
  <c r="E20" i="16"/>
  <c r="E16" i="16"/>
  <c r="E19" i="16"/>
  <c r="C13" i="16"/>
  <c r="C17" i="16"/>
  <c r="C20" i="16"/>
  <c r="C16" i="16"/>
  <c r="C19" i="16"/>
  <c r="C15" i="16"/>
  <c r="C18" i="16"/>
  <c r="G7" i="16"/>
  <c r="G8" i="16" s="1"/>
  <c r="E6" i="16"/>
  <c r="E8" i="16" s="1"/>
  <c r="C7" i="16"/>
  <c r="C8" i="16" s="1"/>
  <c r="G21" i="16" l="1"/>
  <c r="I21" i="16"/>
  <c r="E21" i="16"/>
  <c r="C21" i="16"/>
</calcChain>
</file>

<file path=xl/sharedStrings.xml><?xml version="1.0" encoding="utf-8"?>
<sst xmlns="http://schemas.openxmlformats.org/spreadsheetml/2006/main" count="1243" uniqueCount="302">
  <si>
    <t>District</t>
  </si>
  <si>
    <t>APS</t>
  </si>
  <si>
    <t>Charter</t>
  </si>
  <si>
    <t>AMY BIEHL CHARTER SCHOOL</t>
  </si>
  <si>
    <t>CAREER ENRICHMENT CTR</t>
  </si>
  <si>
    <t>Alternative</t>
  </si>
  <si>
    <t>EARLY COLLEGE ACADEMY</t>
  </si>
  <si>
    <t>EAST MOUNTAIN</t>
  </si>
  <si>
    <t>LA ACADEMIA DE ESPERANZA</t>
  </si>
  <si>
    <t>LEARNING COMM CHARTER SCHL</t>
  </si>
  <si>
    <t>PUBLIC ACADEMY FOR PERFORM ART</t>
  </si>
  <si>
    <t>ROBERT F KENNEDY CHARTER SCHL</t>
  </si>
  <si>
    <t>SOUTH VALLEY ACADEMY</t>
  </si>
  <si>
    <t>SOUTHWEST SEC LEARN CTR</t>
  </si>
  <si>
    <t>SCHOOL ON WHEELS</t>
  </si>
  <si>
    <t>Type of School</t>
  </si>
  <si>
    <t>School</t>
  </si>
  <si>
    <t>Total APS Alternative</t>
  </si>
  <si>
    <t>Total APS Charter</t>
  </si>
  <si>
    <t>Comprehensive</t>
  </si>
  <si>
    <t>Other</t>
  </si>
  <si>
    <t>Asian</t>
  </si>
  <si>
    <t>F</t>
  </si>
  <si>
    <t>Black, non-Hispanic</t>
  </si>
  <si>
    <t>Hispanic</t>
  </si>
  <si>
    <t>Native American</t>
  </si>
  <si>
    <t>White, non-Hispanic</t>
  </si>
  <si>
    <t>Ethnicity</t>
  </si>
  <si>
    <t>Total APS Comprehensive</t>
  </si>
  <si>
    <t>ENG 1101</t>
  </si>
  <si>
    <t>IT 1010</t>
  </si>
  <si>
    <t>PSY 1105</t>
  </si>
  <si>
    <t>SPAN 1101</t>
  </si>
  <si>
    <t>MATH 1310</t>
  </si>
  <si>
    <t>ENG 1102</t>
  </si>
  <si>
    <t>Course</t>
  </si>
  <si>
    <t>Campus</t>
  </si>
  <si>
    <t>Number of Students</t>
  </si>
  <si>
    <t>Rio Rancho</t>
  </si>
  <si>
    <t>AY 2007-08</t>
  </si>
  <si>
    <t>*Students are unduplicated for each campus, but each student is counted at each campus he or she attended during each academic year</t>
  </si>
  <si>
    <t>Dual Credit Enrollment</t>
  </si>
  <si>
    <t>Other*</t>
  </si>
  <si>
    <t/>
  </si>
  <si>
    <t>ESTANCIA</t>
  </si>
  <si>
    <t>MORIARTY</t>
  </si>
  <si>
    <t>SOCORRO</t>
  </si>
  <si>
    <t>APS ACCESS / TRANSITIONS</t>
  </si>
  <si>
    <t>FREEDOM</t>
  </si>
  <si>
    <t>SIERRA ALTERNATIVE</t>
  </si>
  <si>
    <t>ABQ TALENT DEV SEC SCH</t>
  </si>
  <si>
    <t>AIMS AT UNM</t>
  </si>
  <si>
    <t>BATAAN MILITARY ACADEMY</t>
  </si>
  <si>
    <t>DATA (FORM ABQ CHARTER VOC)</t>
  </si>
  <si>
    <t>EL CAMINO REAL CHARTER</t>
  </si>
  <si>
    <t>LOS PUENTES CHARTER</t>
  </si>
  <si>
    <t>NUESTROS VALORES</t>
  </si>
  <si>
    <t>SIATECH CHARTER HIGH SCHOOL</t>
  </si>
  <si>
    <t>ALBUQUERQUE</t>
  </si>
  <si>
    <t>ATRISCO HERITAGE ACADEMY</t>
  </si>
  <si>
    <t>CIBOLA</t>
  </si>
  <si>
    <t>DEL NORTE</t>
  </si>
  <si>
    <t>ELDORADO</t>
  </si>
  <si>
    <t>HIGHLAND</t>
  </si>
  <si>
    <t>LA CUEVA</t>
  </si>
  <si>
    <t>MANZANO</t>
  </si>
  <si>
    <t>RIO GRANDE</t>
  </si>
  <si>
    <t>SANDIA</t>
  </si>
  <si>
    <t>VALLEY</t>
  </si>
  <si>
    <t>VOLCANO VISTA</t>
  </si>
  <si>
    <t>WEST MESA</t>
  </si>
  <si>
    <t>INDEPENDENCE</t>
  </si>
  <si>
    <t>RIO RANCHO CYBER ACADEMY</t>
  </si>
  <si>
    <t>RIO RANCHO</t>
  </si>
  <si>
    <t>State</t>
  </si>
  <si>
    <t>CEPI 1</t>
  </si>
  <si>
    <t>GILBERT SENA CHART (FMR CEPI2)</t>
  </si>
  <si>
    <t>AY 2008-09</t>
  </si>
  <si>
    <t>Grand Total</t>
  </si>
  <si>
    <t>Total RR Comprehensive</t>
  </si>
  <si>
    <t>Total RR Alternative</t>
  </si>
  <si>
    <t>Dual Credit Student Credit Hours (SCH)</t>
  </si>
  <si>
    <t>School District</t>
  </si>
  <si>
    <t>ACADEMIC_YEAR</t>
  </si>
  <si>
    <t>Dual Credit</t>
  </si>
  <si>
    <t>Course Success Rate</t>
  </si>
  <si>
    <t>WALATOWA CHARTER</t>
  </si>
  <si>
    <t>BERNALILLO</t>
  </si>
  <si>
    <t>LOS LUNAS</t>
  </si>
  <si>
    <t>VALENCIA</t>
  </si>
  <si>
    <t>NEW FUTURES</t>
  </si>
  <si>
    <t>GORDON BERNELL CHART SCH</t>
  </si>
  <si>
    <t>V SUE CLEVELAND</t>
  </si>
  <si>
    <t>NATIVE AMERICAN COMM ACAD</t>
  </si>
  <si>
    <t>MEDIA ARTS COLLAB CHARTER SCH</t>
  </si>
  <si>
    <t>COTTONWOOD CLSCL PREP SCH</t>
  </si>
  <si>
    <t>AY 2009-10</t>
  </si>
  <si>
    <t>-</t>
  </si>
  <si>
    <t>NA</t>
  </si>
  <si>
    <t>Enrollment By District</t>
  </si>
  <si>
    <t>Sex</t>
  </si>
  <si>
    <t>E</t>
  </si>
  <si>
    <t>P</t>
  </si>
  <si>
    <t>W</t>
  </si>
  <si>
    <t>DUAL CREDIT</t>
  </si>
  <si>
    <t>Enrollment</t>
  </si>
  <si>
    <t>Denom</t>
  </si>
  <si>
    <t>FIN 1010</t>
  </si>
  <si>
    <t>CSE 1101</t>
  </si>
  <si>
    <t>CRS_PREFIX</t>
  </si>
  <si>
    <t>CRS_NUM</t>
  </si>
  <si>
    <t>1112</t>
  </si>
  <si>
    <t>1105</t>
  </si>
  <si>
    <t>1110</t>
  </si>
  <si>
    <t>1001</t>
  </si>
  <si>
    <t>1003</t>
  </si>
  <si>
    <t>1101</t>
  </si>
  <si>
    <t>1130</t>
  </si>
  <si>
    <t>1150</t>
  </si>
  <si>
    <t>1010</t>
  </si>
  <si>
    <t>ARTH</t>
  </si>
  <si>
    <t>2201</t>
  </si>
  <si>
    <t>ARTS</t>
  </si>
  <si>
    <t>1102</t>
  </si>
  <si>
    <t>1106</t>
  </si>
  <si>
    <t>ASTR</t>
  </si>
  <si>
    <t>1140</t>
  </si>
  <si>
    <t>BA</t>
  </si>
  <si>
    <t>1131</t>
  </si>
  <si>
    <t>2020</t>
  </si>
  <si>
    <t>BIO</t>
  </si>
  <si>
    <t>1310</t>
  </si>
  <si>
    <t>1410</t>
  </si>
  <si>
    <t>1315</t>
  </si>
  <si>
    <t>CDV</t>
  </si>
  <si>
    <t>1020</t>
  </si>
  <si>
    <t>CHEM</t>
  </si>
  <si>
    <t>1330</t>
  </si>
  <si>
    <t>COMM</t>
  </si>
  <si>
    <t>CSE</t>
  </si>
  <si>
    <t>ECON</t>
  </si>
  <si>
    <t>2200</t>
  </si>
  <si>
    <t>ELEC</t>
  </si>
  <si>
    <t>1210</t>
  </si>
  <si>
    <t>EMS</t>
  </si>
  <si>
    <t>ENG</t>
  </si>
  <si>
    <t>FIN</t>
  </si>
  <si>
    <t>FREN</t>
  </si>
  <si>
    <t>HIST</t>
  </si>
  <si>
    <t>1161</t>
  </si>
  <si>
    <t>1162</t>
  </si>
  <si>
    <t>HLTH</t>
  </si>
  <si>
    <t>IT</t>
  </si>
  <si>
    <t>MATH</t>
  </si>
  <si>
    <t>1316</t>
  </si>
  <si>
    <t>MLT</t>
  </si>
  <si>
    <t>MUS</t>
  </si>
  <si>
    <t>1139</t>
  </si>
  <si>
    <t>NUTR</t>
  </si>
  <si>
    <t>PHIL</t>
  </si>
  <si>
    <t>PSCI</t>
  </si>
  <si>
    <t>PSY</t>
  </si>
  <si>
    <t>RLGN</t>
  </si>
  <si>
    <t>1107</t>
  </si>
  <si>
    <t>SOC</t>
  </si>
  <si>
    <t>SPAN</t>
  </si>
  <si>
    <t>VT</t>
  </si>
  <si>
    <t>CSR</t>
  </si>
  <si>
    <t xml:space="preserve"> </t>
  </si>
  <si>
    <t>CHEM 1492</t>
  </si>
  <si>
    <t>Enrollment By Campus</t>
  </si>
  <si>
    <t>GED CNM (FORMERLY ALB TVI)</t>
  </si>
  <si>
    <t>Private</t>
  </si>
  <si>
    <t>APPLIED TECHNOLOGIES</t>
  </si>
  <si>
    <t>BUSINESS &amp; INFO TECHNOLOGY</t>
  </si>
  <si>
    <t>COMM, HUMANITIES, SOC SCIENCES</t>
  </si>
  <si>
    <t>HEALTH, WELLNESS, PUBLC SAFETY</t>
  </si>
  <si>
    <t>MATH, SCIENCE &amp; ENGINEERING</t>
  </si>
  <si>
    <t>Dual Credit Enrollment By School</t>
  </si>
  <si>
    <t>Student Credit Hours</t>
  </si>
  <si>
    <t>SCH By District</t>
  </si>
  <si>
    <t xml:space="preserve">By District, Type of School, and High School </t>
  </si>
  <si>
    <t>Dual Credit GPA</t>
  </si>
  <si>
    <t>By District, Type of School, and High School</t>
  </si>
  <si>
    <t>SCH By District, Type of School, and High School</t>
  </si>
  <si>
    <t>Average GPA</t>
  </si>
  <si>
    <t>Number of Students*</t>
  </si>
  <si>
    <t>AY 2010-11</t>
  </si>
  <si>
    <t>ACAD OF TRADES-TECHNOLOGY</t>
  </si>
  <si>
    <t>CARRIZOZO</t>
  </si>
  <si>
    <t>MORA</t>
  </si>
  <si>
    <t>NEW AMERICA</t>
  </si>
  <si>
    <t>FOOTHILLS</t>
  </si>
  <si>
    <t>TOHAJIILEE COMM SCHOOL</t>
  </si>
  <si>
    <t>EACADEMY (FORMERLY ABQ EVE)</t>
  </si>
  <si>
    <t>CAREER ACAD TECH ACAD (CATA)</t>
  </si>
  <si>
    <t>NEX-GEN ACADEMY</t>
  </si>
  <si>
    <t>AZTEC YOUTH ACADEMY</t>
  </si>
  <si>
    <t>ASK ACADEMY</t>
  </si>
  <si>
    <t>CESAR CHAVEZ COMM</t>
  </si>
  <si>
    <t>Total State Charter</t>
  </si>
  <si>
    <t>Total State Other</t>
  </si>
  <si>
    <t>Fall 2010</t>
  </si>
  <si>
    <t>Spring 2011</t>
  </si>
  <si>
    <t>Native Hawaiian</t>
  </si>
  <si>
    <t>Two or More Races</t>
  </si>
  <si>
    <t>SCHOOL OF ADULT AND GENERAL EDUCATION</t>
  </si>
  <si>
    <t>HLTH 1001</t>
  </si>
  <si>
    <t>ENG 1150</t>
  </si>
  <si>
    <t>MLT 1010</t>
  </si>
  <si>
    <t>ARTS 1106</t>
  </si>
  <si>
    <t>FREN 1101</t>
  </si>
  <si>
    <t>MUS 1139</t>
  </si>
  <si>
    <t>PSCI 1110</t>
  </si>
  <si>
    <t>Total</t>
  </si>
  <si>
    <t>Female</t>
  </si>
  <si>
    <t>Male</t>
  </si>
  <si>
    <t>%</t>
  </si>
  <si>
    <t>Gender</t>
  </si>
  <si>
    <t>By Ethnicity</t>
  </si>
  <si>
    <t>OFF CAMPUS</t>
  </si>
  <si>
    <t>WORKFORCE TRAINING CENTER</t>
  </si>
  <si>
    <t>WESTSIDE</t>
  </si>
  <si>
    <t>AY 2011-12</t>
  </si>
  <si>
    <t>Students 2007-08 through 2011-12</t>
  </si>
  <si>
    <t>ANTHONY CHARTER SCHOOL</t>
  </si>
  <si>
    <t>FARMINGTON</t>
  </si>
  <si>
    <t>GED/IN STATE</t>
  </si>
  <si>
    <t>MOUNTAINAIR</t>
  </si>
  <si>
    <t>PIEDRA VISTA</t>
  </si>
  <si>
    <t>ROCINANTE</t>
  </si>
  <si>
    <t>SILVER</t>
  </si>
  <si>
    <t>TAOS ACADEMY</t>
  </si>
  <si>
    <t>THE GREAT ACADEMY</t>
  </si>
  <si>
    <t>VAUGHN</t>
  </si>
  <si>
    <t>BELEN</t>
  </si>
  <si>
    <t>HOPE CONNECTION SCHOOL</t>
  </si>
  <si>
    <t>ACE LEADERSHIP</t>
  </si>
  <si>
    <t>CEPI CHARTER</t>
  </si>
  <si>
    <t>TIERRA ADENTRO OF NM</t>
  </si>
  <si>
    <t>NOT SPECIFIED</t>
  </si>
  <si>
    <t>Percent Change from 2010-11</t>
  </si>
  <si>
    <t>Fall 2011</t>
  </si>
  <si>
    <t>Spring 2012</t>
  </si>
  <si>
    <t>Summer 2012</t>
  </si>
  <si>
    <t>Unduplicated AY 2011-12 Total</t>
  </si>
  <si>
    <t>Students 2011-12</t>
  </si>
  <si>
    <t xml:space="preserve"> AY 2011-12 Total</t>
  </si>
  <si>
    <t>GPA</t>
  </si>
  <si>
    <t>Unduplicated 2011-12 Total</t>
  </si>
  <si>
    <t>ADVANCED TECHNOLOGY CENTER</t>
  </si>
  <si>
    <t>MAIN CAMPUS</t>
  </si>
  <si>
    <t>MONTOYA CAMPUS</t>
  </si>
  <si>
    <t>RIO RANCHO CAMPUS</t>
  </si>
  <si>
    <t>SOUTH VALLEY CAMPUS</t>
  </si>
  <si>
    <t>DISTANCE LEARNING</t>
  </si>
  <si>
    <t>Top 10 Courses Enrolled In by 2011-12 Academic Year</t>
  </si>
  <si>
    <t>MUS 1103</t>
  </si>
  <si>
    <t>CARP 1030</t>
  </si>
  <si>
    <t>PHYS 1010</t>
  </si>
  <si>
    <t>AUTC 1130</t>
  </si>
  <si>
    <t>CARP 1092</t>
  </si>
  <si>
    <t>WELD 1192</t>
  </si>
  <si>
    <t>EMS 1003</t>
  </si>
  <si>
    <t>MATH 1330</t>
  </si>
  <si>
    <t>MATH 1316</t>
  </si>
  <si>
    <t>Top 10 Course Success Rates by Course - 2011-12 Academic Year (Minimum enrollment of 10 students)</t>
  </si>
  <si>
    <t>Top 10 Course Success Rates by Course - 2011-12 Academic Year (Minimum enrollment of 20 students)</t>
  </si>
  <si>
    <t>Enrollment by CNM School - 2011-12 Academic Year</t>
  </si>
  <si>
    <t>Student Credit Hours by CNM School - 2011-12 Academic Year</t>
  </si>
  <si>
    <t>By District AY 2011-12</t>
  </si>
  <si>
    <t>1 (1)</t>
  </si>
  <si>
    <t>2 (2)</t>
  </si>
  <si>
    <t>3 (4)</t>
  </si>
  <si>
    <t>4 (3)</t>
  </si>
  <si>
    <t>5 (6)</t>
  </si>
  <si>
    <t>6 (5)</t>
  </si>
  <si>
    <t>7 (7)</t>
  </si>
  <si>
    <t>8 (8)</t>
  </si>
  <si>
    <t>9 (-)</t>
  </si>
  <si>
    <t>10 (10)</t>
  </si>
  <si>
    <t>* Number inside parentheses () is last year's ranking</t>
  </si>
  <si>
    <t>Making Money Work: Distance Learning FIN 1010 - Dual Credit Enrollment</t>
  </si>
  <si>
    <t>Spring and Fall Terms Only: Fall 2009 through Fall 2012</t>
  </si>
  <si>
    <t>Student Type</t>
  </si>
  <si>
    <t>Fall 2009</t>
  </si>
  <si>
    <t>Spring 2010</t>
  </si>
  <si>
    <t>Total Number of Students: Fall 2009 through Spring 2012</t>
  </si>
  <si>
    <r>
      <t>Number of Students</t>
    </r>
    <r>
      <rPr>
        <b/>
        <vertAlign val="superscript"/>
        <sz val="11"/>
        <color rgb="FFFFD200"/>
        <rFont val="Calibri"/>
        <family val="2"/>
        <scheme val="minor"/>
      </rPr>
      <t>2</t>
    </r>
  </si>
  <si>
    <t>Fall 2009 through Spring 2012</t>
  </si>
  <si>
    <r>
      <rPr>
        <vertAlign val="superscript"/>
        <sz val="9"/>
        <color theme="1"/>
        <rFont val="Calibri"/>
        <family val="2"/>
        <scheme val="minor"/>
      </rPr>
      <t>1</t>
    </r>
    <r>
      <rPr>
        <sz val="9"/>
        <color theme="1"/>
        <rFont val="Calibri"/>
        <family val="2"/>
        <scheme val="minor"/>
      </rPr>
      <t xml:space="preserve"> Since Fall 2012 is ongoing, all Fall 2012 data are derived from a daily report of Dual Credit enrollment created by ITS and not from Institutional Research.  All Fall 2012 data are unofficial at this time.   </t>
    </r>
  </si>
  <si>
    <r>
      <rPr>
        <vertAlign val="superscript"/>
        <sz val="9"/>
        <color theme="1"/>
        <rFont val="Calibri"/>
        <family val="2"/>
        <scheme val="minor"/>
      </rPr>
      <t>2</t>
    </r>
    <r>
      <rPr>
        <sz val="9"/>
        <color theme="1"/>
        <rFont val="Calibri"/>
        <family val="2"/>
        <scheme val="minor"/>
      </rPr>
      <t xml:space="preserve"> Total unduplicated number of students enrolled in Fin 1010 between Fall 2009 and Spring 2012.</t>
    </r>
  </si>
  <si>
    <r>
      <t>Academic Year</t>
    </r>
    <r>
      <rPr>
        <b/>
        <vertAlign val="superscript"/>
        <sz val="11"/>
        <color theme="1"/>
        <rFont val="Calibri"/>
        <family val="2"/>
        <scheme val="minor"/>
      </rPr>
      <t>1</t>
    </r>
    <r>
      <rPr>
        <b/>
        <sz val="11"/>
        <color theme="1"/>
        <rFont val="Calibri"/>
        <family val="2"/>
        <scheme val="minor"/>
      </rPr>
      <t xml:space="preserve"> (Fall and Spring terms only): AY 2009-2010 through AY 2011-2012</t>
    </r>
  </si>
  <si>
    <t>AY 2009-2010</t>
  </si>
  <si>
    <t>AY 2010-2011</t>
  </si>
  <si>
    <t>AY 2011-2012</t>
  </si>
  <si>
    <r>
      <t>Calendar Year</t>
    </r>
    <r>
      <rPr>
        <b/>
        <vertAlign val="superscript"/>
        <sz val="11"/>
        <color theme="1"/>
        <rFont val="Calibri"/>
        <family val="2"/>
        <scheme val="minor"/>
      </rPr>
      <t>3</t>
    </r>
    <r>
      <rPr>
        <b/>
        <sz val="11"/>
        <color theme="1"/>
        <rFont val="Calibri"/>
        <family val="2"/>
        <scheme val="minor"/>
      </rPr>
      <t xml:space="preserve"> (Spring and Fall terms only): AY 2009-2010 through AY 2011-2012</t>
    </r>
  </si>
  <si>
    <t>CY 2010</t>
  </si>
  <si>
    <t>CY 2011</t>
  </si>
  <si>
    <r>
      <rPr>
        <vertAlign val="superscript"/>
        <sz val="9"/>
        <color indexed="8"/>
        <rFont val="Calibri"/>
        <family val="2"/>
        <scheme val="minor"/>
      </rPr>
      <t>1</t>
    </r>
    <r>
      <rPr>
        <sz val="9"/>
        <color indexed="8"/>
        <rFont val="Calibri"/>
        <family val="2"/>
        <scheme val="minor"/>
      </rPr>
      <t xml:space="preserve"> Academic year is comprised of Fall, Spring, and Summer Terms of the given year.</t>
    </r>
  </si>
  <si>
    <r>
      <rPr>
        <vertAlign val="superscript"/>
        <sz val="9"/>
        <color theme="1"/>
        <rFont val="Calibri"/>
        <family val="2"/>
        <scheme val="minor"/>
      </rPr>
      <t>2</t>
    </r>
    <r>
      <rPr>
        <sz val="9"/>
        <color theme="1"/>
        <rFont val="Calibri"/>
        <family val="2"/>
        <scheme val="minor"/>
      </rPr>
      <t xml:space="preserve"> Number of students is unduplicated, which means each student is counted once for every year he or she was enrolled in FIN 1010 on the census date for the given term. </t>
    </r>
  </si>
  <si>
    <r>
      <rPr>
        <vertAlign val="superscript"/>
        <sz val="9"/>
        <color theme="1"/>
        <rFont val="Calibri"/>
        <family val="2"/>
        <scheme val="minor"/>
      </rPr>
      <t>3</t>
    </r>
    <r>
      <rPr>
        <sz val="9"/>
        <color theme="1"/>
        <rFont val="Calibri"/>
        <family val="2"/>
        <scheme val="minor"/>
      </rPr>
      <t xml:space="preserve"> Calendar year is comprised of Spring, Summer, and Fall terms of the given year.</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</si>
</sst>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43" formatCode="_(* #,##0.00_);_(* \(#,##0.00\);_(* &quot;-&quot;??_);_(@_)"/>
    <numFmt numFmtId="164" formatCode="0.0%"/>
  </numFmts>
  <fonts count="30" x14ac:knownFonts="1">
    <font>
      <sz val="11"/>
      <color theme="1"/>
      <name val="Calibri"/>
      <family val="2"/>
      <scheme val="minor"/>
    </font>
    <font>
      <sz val="11"/>
      <color indexed="8"/>
      <name val="Calibri"/>
      <family val="2"/>
    </font>
    <font>
      <sz val="11"/>
      <color indexed="8"/>
      <name val="Calibri"/>
      <family val="2"/>
    </font>
    <font>
      <sz val="10"/>
      <color indexed="8"/>
      <name val="Arial"/>
      <family val="2"/>
    </font>
    <font>
      <sz val="8"/>
      <color theme="1"/>
      <name val="Calibri"/>
      <family val="2"/>
      <scheme val="minor"/>
    </font>
    <font>
      <sz val="11"/>
      <color indexed="8"/>
      <name val="Calibri"/>
      <family val="2"/>
      <scheme val="minor"/>
    </font>
    <font>
      <sz val="11"/>
      <color indexed="8"/>
      <name val="Calibri"/>
      <family val="2"/>
    </font>
    <font>
      <sz val="10"/>
      <color indexed="8"/>
      <name val="Arial"/>
      <family val="2"/>
    </font>
    <font>
      <b/>
      <sz val="11"/>
      <color theme="1"/>
      <name val="Calibri"/>
      <family val="2"/>
      <scheme val="minor"/>
    </font>
    <font>
      <b/>
      <sz val="11"/>
      <color indexed="8"/>
      <name val="Calibri"/>
      <family val="2"/>
    </font>
    <font>
      <sz val="9"/>
      <color theme="1"/>
      <name val="Calibri"/>
      <family val="2"/>
      <scheme val="minor"/>
    </font>
    <font>
      <sz val="11"/>
      <color indexed="8"/>
      <name val="Calibri"/>
      <charset val="238"/>
    </font>
    <font>
      <sz val="10"/>
      <color indexed="8"/>
      <name val="Arial"/>
    </font>
    <font>
      <b/>
      <sz val="11"/>
      <color rgb="FFFFD200"/>
      <name val="Calibri"/>
      <family val="2"/>
      <scheme val="minor"/>
    </font>
    <font>
      <b/>
      <sz val="11"/>
      <color rgb="FFFFD200"/>
      <name val="Calibri"/>
      <family val="2"/>
    </font>
    <font>
      <b/>
      <sz val="11"/>
      <color indexed="8"/>
      <name val="Calibri"/>
      <family val="2"/>
      <scheme val="minor"/>
    </font>
    <font>
      <sz val="11"/>
      <color indexed="8"/>
      <name val="Calibri"/>
    </font>
    <font>
      <i/>
      <sz val="11"/>
      <color indexed="8"/>
      <name val="Calibri"/>
      <family val="2"/>
    </font>
    <font>
      <b/>
      <i/>
      <sz val="11"/>
      <color indexed="8"/>
      <name val="Calibri"/>
      <family val="2"/>
      <scheme val="minor"/>
    </font>
    <font>
      <i/>
      <sz val="11"/>
      <color theme="1"/>
      <name val="Calibri"/>
      <family val="2"/>
      <scheme val="minor"/>
    </font>
    <font>
      <b/>
      <i/>
      <sz val="11"/>
      <color theme="1"/>
      <name val="Calibri"/>
      <family val="2"/>
      <scheme val="minor"/>
    </font>
    <font>
      <b/>
      <i/>
      <sz val="11"/>
      <color rgb="FFFFD200"/>
      <name val="Calibri"/>
      <family val="2"/>
    </font>
    <font>
      <b/>
      <i/>
      <sz val="11"/>
      <color indexed="8"/>
      <name val="Calibri"/>
      <family val="2"/>
    </font>
    <font>
      <sz val="11"/>
      <color theme="1"/>
      <name val="Calibri"/>
      <family val="2"/>
      <scheme val="minor"/>
    </font>
    <font>
      <sz val="11"/>
      <color rgb="FFFFD200"/>
      <name val="Calibri"/>
      <family val="2"/>
      <scheme val="minor"/>
    </font>
    <font>
      <b/>
      <vertAlign val="superscript"/>
      <sz val="11"/>
      <color rgb="FFFFD200"/>
      <name val="Calibri"/>
      <family val="2"/>
      <scheme val="minor"/>
    </font>
    <font>
      <vertAlign val="superscript"/>
      <sz val="9"/>
      <color theme="1"/>
      <name val="Calibri"/>
      <family val="2"/>
      <scheme val="minor"/>
    </font>
    <font>
      <b/>
      <vertAlign val="superscript"/>
      <sz val="11"/>
      <color theme="1"/>
      <name val="Calibri"/>
      <family val="2"/>
      <scheme val="minor"/>
    </font>
    <font>
      <sz val="9"/>
      <color indexed="8"/>
      <name val="Calibri"/>
      <family val="2"/>
      <scheme val="minor"/>
    </font>
    <font>
      <vertAlign val="superscript"/>
      <sz val="9"/>
      <color indexed="8"/>
      <name val="Calibri"/>
      <family val="2"/>
      <scheme val="minor"/>
    </font>
  </fonts>
  <fills count="5">
    <fill>
      <patternFill patternType="none"/>
    </fill>
    <fill>
      <patternFill patternType="gray125"/>
    </fill>
    <fill>
      <patternFill patternType="solid">
        <fgColor indexed="22"/>
        <bgColor indexed="0"/>
      </patternFill>
    </fill>
    <fill>
      <patternFill patternType="solid">
        <fgColor rgb="FF004990"/>
        <bgColor indexed="64"/>
      </patternFill>
    </fill>
    <fill>
      <patternFill patternType="solid">
        <fgColor rgb="FF004990"/>
        <bgColor indexed="0"/>
      </patternFill>
    </fill>
  </fills>
  <borders count="2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rgb="FFFFD200"/>
      </left>
      <right style="thin">
        <color rgb="FFFFD200"/>
      </right>
      <top style="thin">
        <color indexed="64"/>
      </top>
      <bottom style="thin">
        <color rgb="FFFFD200"/>
      </bottom>
      <diagonal/>
    </border>
    <border>
      <left style="thin">
        <color rgb="FFFFD200"/>
      </left>
      <right style="thin">
        <color indexed="64"/>
      </right>
      <top style="thin">
        <color indexed="64"/>
      </top>
      <bottom style="thin">
        <color rgb="FFFFD200"/>
      </bottom>
      <diagonal/>
    </border>
    <border>
      <left style="thin">
        <color rgb="FFFFD200"/>
      </left>
      <right style="thin">
        <color rgb="FFFFD200"/>
      </right>
      <top style="thin">
        <color rgb="FFFFD200"/>
      </top>
      <bottom style="thin">
        <color indexed="64"/>
      </bottom>
      <diagonal/>
    </border>
    <border>
      <left style="thin">
        <color rgb="FFFFD200"/>
      </left>
      <right style="thin">
        <color indexed="64"/>
      </right>
      <top style="thin">
        <color rgb="FFFFD200"/>
      </top>
      <bottom style="thin">
        <color indexed="64"/>
      </bottom>
      <diagonal/>
    </border>
    <border>
      <left style="thin">
        <color indexed="64"/>
      </left>
      <right style="thin">
        <color rgb="FFFFD200"/>
      </right>
      <top style="thin">
        <color indexed="64"/>
      </top>
      <bottom style="thin">
        <color indexed="64"/>
      </bottom>
      <diagonal/>
    </border>
    <border>
      <left style="thin">
        <color rgb="FFFFD200"/>
      </left>
      <right style="thin">
        <color rgb="FFFFD200"/>
      </right>
      <top style="thin">
        <color indexed="64"/>
      </top>
      <bottom style="thin">
        <color indexed="64"/>
      </bottom>
      <diagonal/>
    </border>
    <border>
      <left style="thin">
        <color rgb="FFFFD200"/>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64"/>
      </left>
      <right style="thin">
        <color rgb="FFFFD200"/>
      </right>
      <top style="thin">
        <color indexed="64"/>
      </top>
      <bottom/>
      <diagonal/>
    </border>
    <border>
      <left style="thin">
        <color rgb="FFFFD200"/>
      </left>
      <right/>
      <top style="thin">
        <color indexed="64"/>
      </top>
      <bottom style="thin">
        <color rgb="FFFFD200"/>
      </bottom>
      <diagonal/>
    </border>
    <border>
      <left/>
      <right/>
      <top style="thin">
        <color indexed="64"/>
      </top>
      <bottom style="thin">
        <color rgb="FFFFD200"/>
      </bottom>
      <diagonal/>
    </border>
    <border>
      <left/>
      <right style="thin">
        <color indexed="64"/>
      </right>
      <top style="thin">
        <color indexed="64"/>
      </top>
      <bottom style="thin">
        <color rgb="FFFFD200"/>
      </bottom>
      <diagonal/>
    </border>
    <border>
      <left style="thin">
        <color indexed="22"/>
      </left>
      <right style="thin">
        <color indexed="22"/>
      </right>
      <top/>
      <bottom style="thin">
        <color indexed="22"/>
      </bottom>
      <diagonal/>
    </border>
    <border>
      <left style="thin">
        <color indexed="64"/>
      </left>
      <right style="thin">
        <color rgb="FFFFD200"/>
      </right>
      <top/>
      <bottom style="thin">
        <color indexed="64"/>
      </bottom>
      <diagonal/>
    </border>
    <border>
      <left style="thin">
        <color rgb="FFFFD200"/>
      </left>
      <right style="thin">
        <color rgb="FFFFD200"/>
      </right>
      <top style="thin">
        <color indexed="64"/>
      </top>
      <bottom/>
      <diagonal/>
    </border>
    <border>
      <left style="thin">
        <color rgb="FFFFD200"/>
      </left>
      <right style="thin">
        <color rgb="FFFFD200"/>
      </right>
      <top/>
      <bottom style="thin">
        <color indexed="64"/>
      </bottom>
      <diagonal/>
    </border>
    <border>
      <left style="thin">
        <color indexed="64"/>
      </left>
      <right style="thin">
        <color rgb="FFFFD200"/>
      </right>
      <top style="thin">
        <color indexed="64"/>
      </top>
      <bottom style="thin">
        <color rgb="FFFFD200"/>
      </bottom>
      <diagonal/>
    </border>
    <border>
      <left style="thin">
        <color indexed="64"/>
      </left>
      <right style="thin">
        <color rgb="FFFFD200"/>
      </right>
      <top style="thin">
        <color rgb="FFFFD20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FFD200"/>
      </right>
      <top style="thin">
        <color rgb="FFFFD200"/>
      </top>
      <bottom style="thin">
        <color rgb="FFFFD200"/>
      </bottom>
      <diagonal/>
    </border>
    <border>
      <left style="thin">
        <color rgb="FFFFD200"/>
      </left>
      <right style="thin">
        <color rgb="FFFFD200"/>
      </right>
      <top style="thin">
        <color rgb="FFFFD200"/>
      </top>
      <bottom style="thin">
        <color rgb="FFFFD200"/>
      </bottom>
      <diagonal/>
    </border>
    <border>
      <left style="thin">
        <color rgb="FFFFD200"/>
      </left>
      <right style="thin">
        <color indexed="64"/>
      </right>
      <top style="thin">
        <color rgb="FFFFD200"/>
      </top>
      <bottom style="thin">
        <color rgb="FFFFD200"/>
      </bottom>
      <diagonal/>
    </border>
  </borders>
  <cellStyleXfs count="21">
    <xf numFmtId="0" fontId="0" fillId="0" borderId="0"/>
    <xf numFmtId="0" fontId="3" fillId="0" borderId="0"/>
    <xf numFmtId="0" fontId="3" fillId="0" borderId="0"/>
    <xf numFmtId="0" fontId="7" fillId="0" borderId="0"/>
    <xf numFmtId="0" fontId="7" fillId="0" borderId="0"/>
    <xf numFmtId="0" fontId="7" fillId="0" borderId="0"/>
    <xf numFmtId="0" fontId="12" fillId="0" borderId="0"/>
    <xf numFmtId="0" fontId="3" fillId="0" borderId="0"/>
    <xf numFmtId="0" fontId="3" fillId="0" borderId="0"/>
    <xf numFmtId="0" fontId="3" fillId="0" borderId="0"/>
    <xf numFmtId="0" fontId="12" fillId="0" borderId="0"/>
    <xf numFmtId="0" fontId="12" fillId="0" borderId="0"/>
    <xf numFmtId="0" fontId="12" fillId="0" borderId="0"/>
    <xf numFmtId="0" fontId="12" fillId="0" borderId="0"/>
    <xf numFmtId="0" fontId="3" fillId="0" borderId="0"/>
    <xf numFmtId="0" fontId="3" fillId="0" borderId="0"/>
    <xf numFmtId="0" fontId="3" fillId="0" borderId="0"/>
    <xf numFmtId="0" fontId="12" fillId="0" borderId="0"/>
    <xf numFmtId="0" fontId="3" fillId="0" borderId="0"/>
    <xf numFmtId="0" fontId="3" fillId="0" borderId="0"/>
    <xf numFmtId="0" fontId="12" fillId="0" borderId="0"/>
  </cellStyleXfs>
  <cellXfs count="181">
    <xf numFmtId="0" fontId="0" fillId="0" borderId="0" xfId="0"/>
    <xf numFmtId="0" fontId="0" fillId="0" borderId="0" xfId="0" applyAlignment="1"/>
    <xf numFmtId="0" fontId="2" fillId="0" borderId="0" xfId="1" applyFont="1" applyFill="1" applyBorder="1" applyAlignment="1">
      <alignment horizontal="right"/>
    </xf>
    <xf numFmtId="0" fontId="0" fillId="0" borderId="0" xfId="0" applyBorder="1"/>
    <xf numFmtId="0" fontId="0" fillId="0" borderId="0" xfId="0" applyBorder="1" applyAlignment="1"/>
    <xf numFmtId="0" fontId="0" fillId="0" borderId="0" xfId="0" applyBorder="1" applyAlignment="1">
      <alignment horizontal="right"/>
    </xf>
    <xf numFmtId="0" fontId="0" fillId="0" borderId="0" xfId="0" applyFont="1" applyBorder="1" applyAlignment="1"/>
    <xf numFmtId="3" fontId="0" fillId="0" borderId="0" xfId="0" applyNumberFormat="1" applyBorder="1" applyAlignment="1"/>
    <xf numFmtId="0" fontId="8" fillId="0" borderId="0" xfId="0" applyFont="1" applyBorder="1"/>
    <xf numFmtId="0" fontId="0" fillId="0" borderId="0" xfId="0" applyBorder="1" applyAlignment="1">
      <alignment horizontal="left"/>
    </xf>
    <xf numFmtId="0" fontId="4" fillId="0" borderId="0" xfId="0" applyFont="1" applyBorder="1" applyAlignment="1"/>
    <xf numFmtId="0" fontId="0" fillId="0" borderId="0" xfId="0" applyAlignment="1">
      <alignment horizontal="right"/>
    </xf>
    <xf numFmtId="0" fontId="0" fillId="0" borderId="2" xfId="0" applyBorder="1" applyAlignment="1"/>
    <xf numFmtId="3" fontId="0" fillId="0" borderId="2" xfId="0" applyNumberFormat="1" applyBorder="1" applyAlignment="1">
      <alignment horizontal="right"/>
    </xf>
    <xf numFmtId="3" fontId="2" fillId="0" borderId="2" xfId="1" applyNumberFormat="1" applyFont="1" applyFill="1" applyBorder="1" applyAlignment="1">
      <alignment horizontal="right"/>
    </xf>
    <xf numFmtId="0" fontId="0" fillId="0" borderId="2" xfId="0" applyBorder="1"/>
    <xf numFmtId="0" fontId="0" fillId="0" borderId="2" xfId="0" applyFill="1" applyBorder="1"/>
    <xf numFmtId="0" fontId="14" fillId="3" borderId="5" xfId="1" applyFont="1" applyFill="1" applyBorder="1" applyAlignment="1">
      <alignment horizontal="right"/>
    </xf>
    <xf numFmtId="0" fontId="13" fillId="3" borderId="5" xfId="0" applyFont="1" applyFill="1" applyBorder="1" applyAlignment="1">
      <alignment horizontal="right"/>
    </xf>
    <xf numFmtId="0" fontId="14" fillId="3" borderId="6" xfId="1" applyFont="1" applyFill="1" applyBorder="1" applyAlignment="1">
      <alignment horizontal="right"/>
    </xf>
    <xf numFmtId="0" fontId="5" fillId="0" borderId="2" xfId="1" applyFont="1" applyFill="1" applyBorder="1" applyAlignment="1"/>
    <xf numFmtId="0" fontId="8" fillId="0" borderId="2" xfId="0" applyFont="1" applyBorder="1" applyAlignment="1"/>
    <xf numFmtId="0" fontId="8" fillId="0" borderId="2" xfId="0" applyFont="1" applyBorder="1"/>
    <xf numFmtId="0" fontId="1" fillId="0" borderId="2" xfId="7" applyFont="1" applyFill="1" applyBorder="1" applyAlignment="1"/>
    <xf numFmtId="0" fontId="6" fillId="0" borderId="2" xfId="5" applyFont="1" applyFill="1" applyBorder="1" applyAlignment="1">
      <alignment horizontal="left"/>
    </xf>
    <xf numFmtId="0" fontId="6" fillId="0" borderId="2" xfId="5" applyFont="1" applyFill="1" applyBorder="1" applyAlignment="1">
      <alignment horizontal="right"/>
    </xf>
    <xf numFmtId="0" fontId="14" fillId="4" borderId="9" xfId="5" applyFont="1" applyFill="1" applyBorder="1" applyAlignment="1">
      <alignment horizontal="right" wrapText="1"/>
    </xf>
    <xf numFmtId="0" fontId="2" fillId="0" borderId="2" xfId="2" applyFont="1" applyFill="1" applyBorder="1" applyAlignment="1"/>
    <xf numFmtId="0" fontId="1" fillId="0" borderId="2" xfId="9" applyFont="1" applyFill="1" applyBorder="1" applyAlignment="1">
      <alignment horizontal="right"/>
    </xf>
    <xf numFmtId="0" fontId="1" fillId="0" borderId="2" xfId="9" applyFont="1" applyFill="1" applyBorder="1" applyAlignment="1"/>
    <xf numFmtId="0" fontId="1" fillId="0" borderId="2" xfId="9" applyFont="1" applyFill="1" applyBorder="1" applyAlignment="1">
      <alignment horizontal="right" wrapText="1"/>
    </xf>
    <xf numFmtId="0" fontId="1" fillId="0" borderId="2" xfId="9" applyFont="1" applyFill="1" applyBorder="1" applyAlignment="1">
      <alignment wrapText="1"/>
    </xf>
    <xf numFmtId="3" fontId="14" fillId="4" borderId="5" xfId="2" applyNumberFormat="1" applyFont="1" applyFill="1" applyBorder="1" applyAlignment="1">
      <alignment horizontal="center" wrapText="1"/>
    </xf>
    <xf numFmtId="3" fontId="14" fillId="4" borderId="6" xfId="2" applyNumberFormat="1" applyFont="1" applyFill="1" applyBorder="1" applyAlignment="1">
      <alignment horizontal="center" wrapText="1"/>
    </xf>
    <xf numFmtId="0" fontId="0" fillId="0" borderId="2" xfId="0" applyBorder="1" applyAlignment="1">
      <alignment horizontal="right"/>
    </xf>
    <xf numFmtId="164" fontId="0" fillId="0" borderId="2" xfId="0" applyNumberFormat="1" applyBorder="1" applyAlignment="1">
      <alignment horizontal="right"/>
    </xf>
    <xf numFmtId="0" fontId="11" fillId="0" borderId="2" xfId="10" applyFont="1" applyFill="1" applyBorder="1" applyAlignment="1">
      <alignment horizontal="left"/>
    </xf>
    <xf numFmtId="0" fontId="11" fillId="0" borderId="16" xfId="10" applyFont="1" applyFill="1" applyBorder="1" applyAlignment="1">
      <alignment horizontal="left"/>
    </xf>
    <xf numFmtId="0" fontId="11" fillId="0" borderId="1" xfId="10" applyFont="1" applyFill="1" applyBorder="1" applyAlignment="1">
      <alignment horizontal="left"/>
    </xf>
    <xf numFmtId="0" fontId="14" fillId="4" borderId="8" xfId="10" applyFont="1" applyFill="1" applyBorder="1" applyAlignment="1">
      <alignment horizontal="right" wrapText="1"/>
    </xf>
    <xf numFmtId="164" fontId="14" fillId="4" borderId="9" xfId="10" applyNumberFormat="1" applyFont="1" applyFill="1" applyBorder="1" applyAlignment="1">
      <alignment horizontal="right"/>
    </xf>
    <xf numFmtId="0" fontId="11" fillId="0" borderId="2" xfId="11" applyFont="1" applyFill="1" applyBorder="1" applyAlignment="1"/>
    <xf numFmtId="0" fontId="14" fillId="4" borderId="7" xfId="11" applyFont="1" applyFill="1" applyBorder="1" applyAlignment="1">
      <alignment horizontal="left"/>
    </xf>
    <xf numFmtId="0" fontId="14" fillId="4" borderId="9" xfId="11" applyFont="1" applyFill="1" applyBorder="1" applyAlignment="1">
      <alignment horizontal="center"/>
    </xf>
    <xf numFmtId="0" fontId="11" fillId="0" borderId="0" xfId="11" applyFont="1" applyFill="1" applyBorder="1" applyAlignment="1"/>
    <xf numFmtId="0" fontId="11" fillId="0" borderId="0" xfId="11" applyFont="1" applyFill="1" applyBorder="1" applyAlignment="1">
      <alignment horizontal="right"/>
    </xf>
    <xf numFmtId="3" fontId="11" fillId="0" borderId="2" xfId="11" applyNumberFormat="1" applyFont="1" applyFill="1" applyBorder="1" applyAlignment="1">
      <alignment horizontal="right"/>
    </xf>
    <xf numFmtId="0" fontId="13" fillId="3" borderId="12" xfId="0" applyFont="1" applyFill="1" applyBorder="1" applyAlignment="1"/>
    <xf numFmtId="0" fontId="11" fillId="0" borderId="2" xfId="12" applyFont="1" applyFill="1" applyBorder="1" applyAlignment="1"/>
    <xf numFmtId="3" fontId="11" fillId="0" borderId="2" xfId="12" applyNumberFormat="1" applyFont="1" applyFill="1" applyBorder="1" applyAlignment="1">
      <alignment horizontal="right"/>
    </xf>
    <xf numFmtId="3" fontId="0" fillId="0" borderId="0" xfId="0" applyNumberFormat="1" applyAlignment="1"/>
    <xf numFmtId="3" fontId="0" fillId="0" borderId="0" xfId="0" applyNumberFormat="1" applyBorder="1" applyAlignment="1">
      <alignment horizontal="right"/>
    </xf>
    <xf numFmtId="3" fontId="0" fillId="0" borderId="0" xfId="0" applyNumberFormat="1"/>
    <xf numFmtId="0" fontId="1" fillId="0" borderId="2" xfId="12" applyFont="1" applyFill="1" applyBorder="1" applyAlignment="1"/>
    <xf numFmtId="0" fontId="13" fillId="4" borderId="5" xfId="1" applyFont="1" applyFill="1" applyBorder="1" applyAlignment="1">
      <alignment horizontal="center"/>
    </xf>
    <xf numFmtId="0" fontId="13" fillId="4" borderId="6" xfId="1" applyFont="1" applyFill="1" applyBorder="1" applyAlignment="1">
      <alignment horizontal="center" wrapText="1"/>
    </xf>
    <xf numFmtId="0" fontId="13" fillId="3" borderId="18" xfId="0" applyFont="1" applyFill="1" applyBorder="1" applyAlignment="1"/>
    <xf numFmtId="0" fontId="13" fillId="4" borderId="17" xfId="1" applyFont="1" applyFill="1" applyBorder="1" applyAlignment="1">
      <alignment horizontal="left"/>
    </xf>
    <xf numFmtId="0" fontId="13" fillId="4" borderId="19" xfId="1" applyFont="1" applyFill="1" applyBorder="1" applyAlignment="1">
      <alignment horizontal="left"/>
    </xf>
    <xf numFmtId="0" fontId="13" fillId="3" borderId="20" xfId="0" applyFont="1" applyFill="1" applyBorder="1" applyAlignment="1"/>
    <xf numFmtId="0" fontId="14" fillId="3" borderId="21" xfId="1" applyFont="1" applyFill="1" applyBorder="1" applyAlignment="1">
      <alignment horizontal="left"/>
    </xf>
    <xf numFmtId="0" fontId="1" fillId="0" borderId="2" xfId="15" applyFont="1" applyFill="1" applyBorder="1" applyAlignment="1"/>
    <xf numFmtId="0" fontId="14" fillId="4" borderId="20" xfId="2" applyFont="1" applyFill="1" applyBorder="1" applyAlignment="1"/>
    <xf numFmtId="0" fontId="14" fillId="4" borderId="21" xfId="2" applyFont="1" applyFill="1" applyBorder="1" applyAlignment="1"/>
    <xf numFmtId="0" fontId="1" fillId="0" borderId="2" xfId="11" applyFont="1" applyFill="1" applyBorder="1" applyAlignment="1"/>
    <xf numFmtId="0" fontId="1" fillId="0" borderId="2" xfId="2" applyFont="1" applyFill="1" applyBorder="1" applyAlignment="1"/>
    <xf numFmtId="2" fontId="1" fillId="0" borderId="2" xfId="7" applyNumberFormat="1" applyFont="1" applyFill="1" applyBorder="1" applyAlignment="1">
      <alignment horizontal="right"/>
    </xf>
    <xf numFmtId="0" fontId="0" fillId="0" borderId="2" xfId="0" applyFont="1" applyBorder="1"/>
    <xf numFmtId="0" fontId="0" fillId="0" borderId="0" xfId="0" applyFont="1" applyBorder="1"/>
    <xf numFmtId="0" fontId="0" fillId="0" borderId="2" xfId="0" applyFont="1" applyBorder="1" applyAlignment="1"/>
    <xf numFmtId="0" fontId="1" fillId="2" borderId="10" xfId="16" applyFont="1" applyFill="1" applyBorder="1" applyAlignment="1">
      <alignment horizontal="center"/>
    </xf>
    <xf numFmtId="0" fontId="1" fillId="2" borderId="11" xfId="16" applyFont="1" applyFill="1" applyBorder="1" applyAlignment="1">
      <alignment horizontal="center"/>
    </xf>
    <xf numFmtId="164" fontId="0" fillId="0" borderId="0" xfId="0" applyNumberFormat="1" applyAlignment="1"/>
    <xf numFmtId="0" fontId="5" fillId="0" borderId="2" xfId="13" applyFont="1" applyFill="1" applyBorder="1" applyAlignment="1"/>
    <xf numFmtId="0" fontId="15" fillId="0" borderId="2" xfId="3" applyFont="1" applyFill="1" applyBorder="1" applyAlignment="1"/>
    <xf numFmtId="0" fontId="0" fillId="0" borderId="2" xfId="0" applyFont="1" applyBorder="1" applyAlignment="1">
      <alignment horizontal="right"/>
    </xf>
    <xf numFmtId="41" fontId="15" fillId="0" borderId="2" xfId="3" applyNumberFormat="1" applyFont="1" applyFill="1" applyBorder="1" applyAlignment="1">
      <alignment horizontal="right" wrapText="1"/>
    </xf>
    <xf numFmtId="41" fontId="15" fillId="0" borderId="2" xfId="6" applyNumberFormat="1" applyFont="1" applyFill="1" applyBorder="1" applyAlignment="1">
      <alignment horizontal="right" wrapText="1"/>
    </xf>
    <xf numFmtId="0" fontId="18" fillId="0" borderId="2" xfId="3" applyFont="1" applyFill="1" applyBorder="1" applyAlignment="1"/>
    <xf numFmtId="0" fontId="20" fillId="0" borderId="0" xfId="0" applyFont="1" applyBorder="1"/>
    <xf numFmtId="0" fontId="5" fillId="0" borderId="2" xfId="14" applyFont="1" applyFill="1" applyBorder="1" applyAlignment="1"/>
    <xf numFmtId="0" fontId="15" fillId="0" borderId="2" xfId="6" applyFont="1" applyFill="1" applyBorder="1" applyAlignment="1"/>
    <xf numFmtId="0" fontId="15" fillId="0" borderId="2" xfId="8" applyFont="1" applyFill="1" applyBorder="1" applyAlignment="1">
      <alignment wrapText="1"/>
    </xf>
    <xf numFmtId="41" fontId="15" fillId="0" borderId="2" xfId="8" applyNumberFormat="1" applyFont="1" applyFill="1" applyBorder="1" applyAlignment="1">
      <alignment horizontal="right" wrapText="1"/>
    </xf>
    <xf numFmtId="41" fontId="8" fillId="0" borderId="2" xfId="0" applyNumberFormat="1" applyFont="1" applyBorder="1" applyAlignment="1">
      <alignment horizontal="right" wrapText="1"/>
    </xf>
    <xf numFmtId="0" fontId="18" fillId="0" borderId="2" xfId="1" applyFont="1" applyFill="1" applyBorder="1" applyAlignment="1"/>
    <xf numFmtId="0" fontId="20" fillId="0" borderId="2" xfId="0" applyFont="1" applyBorder="1" applyAlignment="1"/>
    <xf numFmtId="0" fontId="18" fillId="0" borderId="2" xfId="6" applyFont="1" applyFill="1" applyBorder="1" applyAlignment="1"/>
    <xf numFmtId="164" fontId="18" fillId="0" borderId="2" xfId="6" applyNumberFormat="1" applyFont="1" applyFill="1" applyBorder="1" applyAlignment="1">
      <alignment horizontal="right"/>
    </xf>
    <xf numFmtId="0" fontId="14" fillId="4" borderId="7" xfId="4" applyFont="1" applyFill="1" applyBorder="1" applyAlignment="1">
      <alignment horizontal="left"/>
    </xf>
    <xf numFmtId="0" fontId="14" fillId="4" borderId="8" xfId="3" applyFont="1" applyFill="1" applyBorder="1" applyAlignment="1">
      <alignment horizontal="right"/>
    </xf>
    <xf numFmtId="41" fontId="0" fillId="0" borderId="2" xfId="0" applyNumberFormat="1" applyFont="1" applyBorder="1"/>
    <xf numFmtId="41" fontId="8" fillId="0" borderId="2" xfId="0" applyNumberFormat="1" applyFont="1" applyBorder="1"/>
    <xf numFmtId="0" fontId="19" fillId="0" borderId="0" xfId="0" applyFont="1" applyBorder="1" applyAlignment="1"/>
    <xf numFmtId="0" fontId="21" fillId="4" borderId="8" xfId="3" applyFont="1" applyFill="1" applyBorder="1" applyAlignment="1">
      <alignment horizontal="right"/>
    </xf>
    <xf numFmtId="164" fontId="19" fillId="0" borderId="2" xfId="0" applyNumberFormat="1" applyFont="1" applyBorder="1"/>
    <xf numFmtId="164" fontId="20" fillId="0" borderId="2" xfId="0" applyNumberFormat="1" applyFont="1" applyBorder="1"/>
    <xf numFmtId="0" fontId="13" fillId="4" borderId="8" xfId="1" applyFont="1" applyFill="1" applyBorder="1" applyAlignment="1">
      <alignment horizontal="right" wrapText="1"/>
    </xf>
    <xf numFmtId="0" fontId="21" fillId="4" borderId="9" xfId="3" applyFont="1" applyFill="1" applyBorder="1" applyAlignment="1">
      <alignment horizontal="right"/>
    </xf>
    <xf numFmtId="41" fontId="1" fillId="0" borderId="2" xfId="15" applyNumberFormat="1" applyFont="1" applyFill="1" applyBorder="1" applyAlignment="1">
      <alignment horizontal="right"/>
    </xf>
    <xf numFmtId="164" fontId="17" fillId="0" borderId="2" xfId="15" applyNumberFormat="1" applyFont="1" applyFill="1" applyBorder="1" applyAlignment="1">
      <alignment horizontal="right"/>
    </xf>
    <xf numFmtId="0" fontId="1" fillId="0" borderId="2" xfId="18" applyFont="1" applyFill="1" applyBorder="1" applyAlignment="1">
      <alignment wrapText="1"/>
    </xf>
    <xf numFmtId="0" fontId="1" fillId="0" borderId="2" xfId="18" applyFont="1" applyFill="1" applyBorder="1" applyAlignment="1">
      <alignment horizontal="right" wrapText="1"/>
    </xf>
    <xf numFmtId="0" fontId="3" fillId="0" borderId="2" xfId="18" applyBorder="1"/>
    <xf numFmtId="164" fontId="17" fillId="0" borderId="2" xfId="18" applyNumberFormat="1" applyFont="1" applyFill="1" applyBorder="1" applyAlignment="1">
      <alignment horizontal="right" wrapText="1"/>
    </xf>
    <xf numFmtId="0" fontId="9" fillId="0" borderId="2" xfId="18" applyFont="1" applyFill="1" applyBorder="1" applyAlignment="1">
      <alignment horizontal="right" wrapText="1"/>
    </xf>
    <xf numFmtId="164" fontId="22" fillId="0" borderId="2" xfId="18" applyNumberFormat="1" applyFont="1" applyFill="1" applyBorder="1" applyAlignment="1">
      <alignment horizontal="right" wrapText="1"/>
    </xf>
    <xf numFmtId="0" fontId="1" fillId="0" borderId="2" xfId="19" applyFont="1" applyFill="1" applyBorder="1" applyAlignment="1"/>
    <xf numFmtId="0" fontId="1" fillId="0" borderId="2" xfId="19" applyFont="1" applyFill="1" applyBorder="1" applyAlignment="1">
      <alignment horizontal="right"/>
    </xf>
    <xf numFmtId="0" fontId="3" fillId="0" borderId="2" xfId="19" applyBorder="1" applyAlignment="1"/>
    <xf numFmtId="164" fontId="17" fillId="0" borderId="2" xfId="19" applyNumberFormat="1" applyFont="1" applyFill="1" applyBorder="1" applyAlignment="1">
      <alignment horizontal="right"/>
    </xf>
    <xf numFmtId="0" fontId="13" fillId="4" borderId="6" xfId="1" applyFont="1" applyFill="1" applyBorder="1" applyAlignment="1">
      <alignment horizontal="center"/>
    </xf>
    <xf numFmtId="0" fontId="8" fillId="0" borderId="0" xfId="0" applyFont="1" applyBorder="1" applyAlignment="1"/>
    <xf numFmtId="0" fontId="15" fillId="0" borderId="2" xfId="8" applyFont="1" applyFill="1" applyBorder="1" applyAlignment="1"/>
    <xf numFmtId="2" fontId="0" fillId="0" borderId="0" xfId="0" applyNumberFormat="1" applyBorder="1" applyAlignment="1"/>
    <xf numFmtId="0" fontId="16" fillId="0" borderId="2" xfId="17" applyFont="1" applyFill="1" applyBorder="1" applyAlignment="1"/>
    <xf numFmtId="43" fontId="16" fillId="0" borderId="2" xfId="17" applyNumberFormat="1" applyFont="1" applyFill="1" applyBorder="1" applyAlignment="1">
      <alignment horizontal="right"/>
    </xf>
    <xf numFmtId="43" fontId="8" fillId="0" borderId="2" xfId="0" applyNumberFormat="1" applyFont="1" applyBorder="1" applyAlignment="1"/>
    <xf numFmtId="43" fontId="0" fillId="0" borderId="2" xfId="0" applyNumberFormat="1" applyFont="1" applyBorder="1" applyAlignment="1"/>
    <xf numFmtId="43" fontId="16" fillId="0" borderId="2" xfId="17" quotePrefix="1" applyNumberFormat="1" applyFont="1" applyFill="1" applyBorder="1" applyAlignment="1">
      <alignment horizontal="right"/>
    </xf>
    <xf numFmtId="43" fontId="16" fillId="0" borderId="2" xfId="17" applyNumberFormat="1" applyFont="1" applyFill="1" applyBorder="1" applyAlignment="1">
      <alignment horizontal="center"/>
    </xf>
    <xf numFmtId="43" fontId="0" fillId="0" borderId="2" xfId="0" applyNumberFormat="1" applyBorder="1" applyAlignment="1"/>
    <xf numFmtId="0" fontId="9" fillId="0" borderId="2" xfId="17" applyFont="1" applyFill="1" applyBorder="1" applyAlignment="1"/>
    <xf numFmtId="43" fontId="9" fillId="0" borderId="2" xfId="17" applyNumberFormat="1" applyFont="1" applyFill="1" applyBorder="1" applyAlignment="1">
      <alignment horizontal="right"/>
    </xf>
    <xf numFmtId="43" fontId="9" fillId="0" borderId="2" xfId="17" quotePrefix="1" applyNumberFormat="1" applyFont="1" applyFill="1" applyBorder="1" applyAlignment="1">
      <alignment horizontal="right"/>
    </xf>
    <xf numFmtId="43" fontId="8" fillId="0" borderId="2" xfId="0" applyNumberFormat="1" applyFont="1" applyBorder="1" applyAlignment="1">
      <alignment horizontal="right"/>
    </xf>
    <xf numFmtId="43" fontId="16" fillId="0" borderId="2" xfId="20" applyNumberFormat="1" applyFont="1" applyFill="1" applyBorder="1" applyAlignment="1">
      <alignment horizontal="right"/>
    </xf>
    <xf numFmtId="0" fontId="16" fillId="0" borderId="2" xfId="20" applyFont="1" applyFill="1" applyBorder="1" applyAlignment="1"/>
    <xf numFmtId="0" fontId="1" fillId="0" borderId="2" xfId="18" applyFont="1" applyFill="1" applyBorder="1" applyAlignment="1"/>
    <xf numFmtId="0" fontId="1" fillId="0" borderId="1" xfId="16" applyFont="1" applyFill="1" applyBorder="1" applyAlignment="1">
      <alignment wrapText="1"/>
    </xf>
    <xf numFmtId="0" fontId="3" fillId="0" borderId="0" xfId="16"/>
    <xf numFmtId="0" fontId="1" fillId="0" borderId="1" xfId="16" applyFont="1" applyFill="1" applyBorder="1" applyAlignment="1">
      <alignment horizontal="right" wrapText="1"/>
    </xf>
    <xf numFmtId="0" fontId="1" fillId="0" borderId="0" xfId="16" applyFont="1" applyFill="1" applyBorder="1" applyAlignment="1">
      <alignment horizontal="right" wrapText="1"/>
    </xf>
    <xf numFmtId="0" fontId="3" fillId="0" borderId="1" xfId="16" applyBorder="1"/>
    <xf numFmtId="0" fontId="3" fillId="0" borderId="0" xfId="16" applyBorder="1"/>
    <xf numFmtId="0" fontId="14" fillId="3" borderId="7" xfId="1" applyFont="1" applyFill="1" applyBorder="1" applyAlignment="1">
      <alignment horizontal="left"/>
    </xf>
    <xf numFmtId="0" fontId="13" fillId="3" borderId="9" xfId="0" applyFont="1" applyFill="1" applyBorder="1" applyAlignment="1">
      <alignment horizontal="right"/>
    </xf>
    <xf numFmtId="0" fontId="13" fillId="3" borderId="7" xfId="0" applyFont="1" applyFill="1" applyBorder="1" applyAlignment="1">
      <alignment horizontal="left" wrapText="1"/>
    </xf>
    <xf numFmtId="0" fontId="14" fillId="4" borderId="8" xfId="5" applyFont="1" applyFill="1" applyBorder="1" applyAlignment="1">
      <alignment horizontal="left"/>
    </xf>
    <xf numFmtId="0" fontId="0" fillId="0" borderId="2" xfId="0" quotePrefix="1" applyBorder="1" applyAlignment="1">
      <alignment horizontal="left"/>
    </xf>
    <xf numFmtId="0" fontId="10" fillId="0" borderId="22" xfId="0" applyFont="1" applyFill="1" applyBorder="1"/>
    <xf numFmtId="0" fontId="11" fillId="0" borderId="23" xfId="10" applyFont="1" applyFill="1" applyBorder="1" applyAlignment="1">
      <alignment horizontal="left"/>
    </xf>
    <xf numFmtId="0" fontId="0" fillId="0" borderId="23" xfId="0" applyBorder="1" applyAlignment="1">
      <alignment horizontal="right"/>
    </xf>
    <xf numFmtId="164" fontId="0" fillId="0" borderId="23" xfId="0" applyNumberFormat="1" applyBorder="1" applyAlignment="1">
      <alignment horizontal="right"/>
    </xf>
    <xf numFmtId="0" fontId="14" fillId="4" borderId="8" xfId="10" applyFont="1" applyFill="1" applyBorder="1" applyAlignment="1">
      <alignment horizontal="left"/>
    </xf>
    <xf numFmtId="0" fontId="24" fillId="3" borderId="7" xfId="0" applyFont="1" applyFill="1" applyBorder="1" applyAlignment="1">
      <alignment horizontal="left"/>
    </xf>
    <xf numFmtId="0" fontId="0" fillId="0" borderId="2" xfId="0" applyBorder="1" applyAlignment="1">
      <alignment horizontal="left"/>
    </xf>
    <xf numFmtId="0" fontId="8" fillId="0" borderId="0" xfId="0" applyFont="1" applyAlignment="1">
      <alignment horizontal="center"/>
    </xf>
    <xf numFmtId="0" fontId="23" fillId="0" borderId="0" xfId="0" applyFont="1"/>
    <xf numFmtId="0" fontId="23" fillId="0" borderId="0" xfId="0" applyFont="1" applyAlignment="1"/>
    <xf numFmtId="0" fontId="13" fillId="4" borderId="5" xfId="1" applyFont="1" applyFill="1" applyBorder="1" applyAlignment="1">
      <alignment horizontal="right"/>
    </xf>
    <xf numFmtId="0" fontId="13" fillId="4" borderId="6" xfId="1" applyFont="1" applyFill="1" applyBorder="1" applyAlignment="1">
      <alignment horizontal="right"/>
    </xf>
    <xf numFmtId="41" fontId="5" fillId="0" borderId="2" xfId="1" applyNumberFormat="1" applyFont="1" applyFill="1" applyBorder="1" applyAlignment="1">
      <alignment horizontal="right"/>
    </xf>
    <xf numFmtId="41" fontId="5" fillId="0" borderId="2" xfId="1" applyNumberFormat="1" applyFont="1" applyFill="1" applyBorder="1" applyAlignment="1">
      <alignment horizontal="right" wrapText="1"/>
    </xf>
    <xf numFmtId="0" fontId="10" fillId="0" borderId="0" xfId="0" applyFont="1" applyBorder="1" applyAlignment="1">
      <alignment horizontal="left" wrapText="1"/>
    </xf>
    <xf numFmtId="0" fontId="5" fillId="0" borderId="0" xfId="1" applyFont="1" applyFill="1" applyBorder="1" applyAlignment="1"/>
    <xf numFmtId="41" fontId="5" fillId="0" borderId="0" xfId="1" applyNumberFormat="1" applyFont="1" applyFill="1" applyBorder="1" applyAlignment="1">
      <alignment horizontal="right"/>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13" xfId="0" applyFont="1" applyFill="1" applyBorder="1" applyAlignment="1">
      <alignment horizontal="center"/>
    </xf>
    <xf numFmtId="0" fontId="13" fillId="3" borderId="14" xfId="0" applyFont="1" applyFill="1" applyBorder="1" applyAlignment="1">
      <alignment horizontal="center"/>
    </xf>
    <xf numFmtId="0" fontId="13" fillId="3" borderId="15" xfId="0" applyFont="1" applyFill="1" applyBorder="1" applyAlignment="1">
      <alignment horizontal="center"/>
    </xf>
    <xf numFmtId="3" fontId="14" fillId="4" borderId="3" xfId="2" applyNumberFormat="1" applyFont="1" applyFill="1" applyBorder="1" applyAlignment="1">
      <alignment horizontal="center" wrapText="1"/>
    </xf>
    <xf numFmtId="3" fontId="14" fillId="4" borderId="4" xfId="2" applyNumberFormat="1" applyFont="1" applyFill="1" applyBorder="1" applyAlignment="1">
      <alignment horizontal="center" wrapText="1"/>
    </xf>
    <xf numFmtId="0" fontId="8" fillId="0" borderId="0" xfId="0" applyFont="1" applyAlignment="1">
      <alignment horizontal="center"/>
    </xf>
    <xf numFmtId="0" fontId="13" fillId="3" borderId="20" xfId="0" applyFont="1" applyFill="1" applyBorder="1" applyAlignment="1">
      <alignment horizontal="center"/>
    </xf>
    <xf numFmtId="0" fontId="13" fillId="4" borderId="24" xfId="1" applyFont="1" applyFill="1" applyBorder="1" applyAlignment="1">
      <alignment horizontal="left"/>
    </xf>
    <xf numFmtId="0" fontId="13" fillId="4" borderId="21" xfId="1" applyFont="1" applyFill="1" applyBorder="1" applyAlignment="1">
      <alignment horizontal="left"/>
    </xf>
    <xf numFmtId="0" fontId="13" fillId="4" borderId="25" xfId="1" applyFont="1" applyFill="1" applyBorder="1" applyAlignment="1">
      <alignment horizontal="left"/>
    </xf>
    <xf numFmtId="0" fontId="13" fillId="4" borderId="5" xfId="1" applyFont="1" applyFill="1" applyBorder="1" applyAlignment="1">
      <alignment horizontal="left"/>
    </xf>
    <xf numFmtId="0" fontId="13" fillId="3" borderId="25" xfId="0" applyFont="1" applyFill="1" applyBorder="1" applyAlignment="1">
      <alignment horizontal="center"/>
    </xf>
    <xf numFmtId="0" fontId="13" fillId="3" borderId="26" xfId="0" applyFont="1" applyFill="1" applyBorder="1" applyAlignment="1">
      <alignment horizontal="center"/>
    </xf>
    <xf numFmtId="0" fontId="13" fillId="3" borderId="20" xfId="0" applyFont="1" applyFill="1" applyBorder="1" applyAlignment="1">
      <alignment horizontal="center" wrapText="1"/>
    </xf>
    <xf numFmtId="0" fontId="13" fillId="3" borderId="3" xfId="0" applyFont="1" applyFill="1" applyBorder="1" applyAlignment="1">
      <alignment horizontal="center" wrapText="1"/>
    </xf>
    <xf numFmtId="0" fontId="13" fillId="3" borderId="4" xfId="0" applyFont="1" applyFill="1" applyBorder="1" applyAlignment="1">
      <alignment horizontal="center" wrapText="1"/>
    </xf>
    <xf numFmtId="0" fontId="13" fillId="4" borderId="5" xfId="1" applyFont="1" applyFill="1" applyBorder="1" applyAlignment="1">
      <alignment horizontal="right" wrapText="1"/>
    </xf>
    <xf numFmtId="0" fontId="13" fillId="4" borderId="6" xfId="1" applyFont="1" applyFill="1" applyBorder="1" applyAlignment="1">
      <alignment horizontal="right" wrapText="1"/>
    </xf>
    <xf numFmtId="41" fontId="5" fillId="0" borderId="2" xfId="1" applyNumberFormat="1" applyFont="1" applyFill="1" applyBorder="1" applyAlignment="1">
      <alignment horizontal="center"/>
    </xf>
    <xf numFmtId="0" fontId="10" fillId="0" borderId="0" xfId="0" applyFont="1" applyBorder="1" applyAlignment="1">
      <alignment horizontal="left" wrapText="1"/>
    </xf>
    <xf numFmtId="0" fontId="10" fillId="0" borderId="0" xfId="0" applyFont="1" applyAlignment="1">
      <alignment horizontal="left"/>
    </xf>
    <xf numFmtId="0" fontId="28" fillId="0" borderId="0" xfId="1" applyFont="1" applyFill="1" applyBorder="1" applyAlignment="1">
      <alignment horizontal="left"/>
    </xf>
  </cellXfs>
  <cellStyles count="21">
    <cellStyle name="Normal" xfId="0" builtinId="0"/>
    <cellStyle name="Normal_DC CSR Work" xfId="16"/>
    <cellStyle name="Normal_DC Demographics 09-10" xfId="15"/>
    <cellStyle name="Normal_DC Enrll &amp; SCH By CNM School" xfId="11"/>
    <cellStyle name="Normal_DC Enrll by HS 09-10" xfId="13"/>
    <cellStyle name="Normal_DC Enrll by HS 10-11" xfId="17"/>
    <cellStyle name="Normal_DC Enrll by HS 10-11_1" xfId="18"/>
    <cellStyle name="Normal_DC Enrll-Top10-Campus" xfId="9"/>
    <cellStyle name="Normal_DC Enrollment by School 08-09" xfId="6"/>
    <cellStyle name="Normal_DC GPA" xfId="20"/>
    <cellStyle name="Normal_DC GPA_1" xfId="7"/>
    <cellStyle name="Normal_DC SCH by District" xfId="8"/>
    <cellStyle name="Normal_DC SCH by District_1" xfId="12"/>
    <cellStyle name="Normal_DC SCH by HS 09-10" xfId="14"/>
    <cellStyle name="Normal_DC SCH by HS 10-11" xfId="19"/>
    <cellStyle name="Normal_Dual Credit pg.4 New" xfId="3"/>
    <cellStyle name="Normal_Dual Credit pg.5 New" xfId="4"/>
    <cellStyle name="Normal_Dual Credit pg.7 New" xfId="5"/>
    <cellStyle name="Normal_Sheet1" xfId="1"/>
    <cellStyle name="Normal_Sheet1_1" xfId="10"/>
    <cellStyle name="Normal_Sheet5" xfId="2"/>
  </cellStyles>
  <dxfs count="0"/>
  <tableStyles count="0" defaultTableStyle="TableStyleMedium9" defaultPivotStyle="PivotStyleLight16"/>
  <colors>
    <mruColors>
      <color rgb="FF004990"/>
      <color rgb="FFFFD200"/>
      <color rgb="FFFFFF99"/>
      <color rgb="FF8EB4E3"/>
      <color rgb="FFDCC864"/>
      <color rgb="FFCCFF33"/>
      <color rgb="FFCCFF66"/>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GPA</a:t>
            </a:r>
          </a:p>
        </c:rich>
      </c:tx>
      <c:layout/>
      <c:overlay val="0"/>
    </c:title>
    <c:autoTitleDeleted val="0"/>
    <c:plotArea>
      <c:layout/>
      <c:barChart>
        <c:barDir val="col"/>
        <c:grouping val="clustered"/>
        <c:varyColors val="0"/>
        <c:ser>
          <c:idx val="0"/>
          <c:order val="0"/>
          <c:tx>
            <c:strRef>
              <c:f>'DC GPA by District'!$A$6</c:f>
              <c:strCache>
                <c:ptCount val="1"/>
                <c:pt idx="0">
                  <c:v>APS</c:v>
                </c:pt>
              </c:strCache>
            </c:strRef>
          </c:tx>
          <c:spPr>
            <a:solidFill>
              <a:srgbClr val="004990"/>
            </a:solidFill>
            <a:ln>
              <a:solidFill>
                <a:schemeClr val="tx1"/>
              </a:solidFill>
            </a:ln>
          </c:spPr>
          <c:invertIfNegative val="0"/>
          <c:dLbls>
            <c:showLegendKey val="0"/>
            <c:showVal val="1"/>
            <c:showCatName val="0"/>
            <c:showSerName val="0"/>
            <c:showPercent val="0"/>
            <c:showBubbleSize val="0"/>
            <c:showLeaderLines val="0"/>
          </c:dLbls>
          <c:cat>
            <c:strRef>
              <c:f>'DC GPA by District'!$B$5</c:f>
              <c:strCache>
                <c:ptCount val="1"/>
                <c:pt idx="0">
                  <c:v>GPA</c:v>
                </c:pt>
              </c:strCache>
            </c:strRef>
          </c:cat>
          <c:val>
            <c:numRef>
              <c:f>'DC GPA by District'!$B$6</c:f>
              <c:numCache>
                <c:formatCode>0.00</c:formatCode>
                <c:ptCount val="1"/>
                <c:pt idx="0">
                  <c:v>3.0249759846301632</c:v>
                </c:pt>
              </c:numCache>
            </c:numRef>
          </c:val>
        </c:ser>
        <c:ser>
          <c:idx val="1"/>
          <c:order val="1"/>
          <c:tx>
            <c:strRef>
              <c:f>'DC GPA by District'!$A$7</c:f>
              <c:strCache>
                <c:ptCount val="1"/>
                <c:pt idx="0">
                  <c:v>Rio Rancho</c:v>
                </c:pt>
              </c:strCache>
            </c:strRef>
          </c:tx>
          <c:spPr>
            <a:solidFill>
              <a:srgbClr val="FFD200"/>
            </a:solidFill>
            <a:ln>
              <a:solidFill>
                <a:schemeClr val="tx1"/>
              </a:solidFill>
            </a:ln>
          </c:spPr>
          <c:invertIfNegative val="0"/>
          <c:dLbls>
            <c:showLegendKey val="0"/>
            <c:showVal val="1"/>
            <c:showCatName val="0"/>
            <c:showSerName val="0"/>
            <c:showPercent val="0"/>
            <c:showBubbleSize val="0"/>
            <c:showLeaderLines val="0"/>
          </c:dLbls>
          <c:cat>
            <c:strRef>
              <c:f>'DC GPA by District'!$B$5</c:f>
              <c:strCache>
                <c:ptCount val="1"/>
                <c:pt idx="0">
                  <c:v>GPA</c:v>
                </c:pt>
              </c:strCache>
            </c:strRef>
          </c:cat>
          <c:val>
            <c:numRef>
              <c:f>'DC GPA by District'!$B$7</c:f>
              <c:numCache>
                <c:formatCode>0.00</c:formatCode>
                <c:ptCount val="1"/>
                <c:pt idx="0">
                  <c:v>2.5316368638239339</c:v>
                </c:pt>
              </c:numCache>
            </c:numRef>
          </c:val>
        </c:ser>
        <c:ser>
          <c:idx val="2"/>
          <c:order val="2"/>
          <c:tx>
            <c:strRef>
              <c:f>'DC GPA by District'!$A$8</c:f>
              <c:strCache>
                <c:ptCount val="1"/>
                <c:pt idx="0">
                  <c:v>State</c:v>
                </c:pt>
              </c:strCache>
            </c:strRef>
          </c:tx>
          <c:spPr>
            <a:solidFill>
              <a:srgbClr val="8EB4E3"/>
            </a:solidFill>
            <a:ln>
              <a:solidFill>
                <a:schemeClr val="tx1"/>
              </a:solidFill>
            </a:ln>
          </c:spPr>
          <c:invertIfNegative val="0"/>
          <c:dLbls>
            <c:showLegendKey val="0"/>
            <c:showVal val="1"/>
            <c:showCatName val="0"/>
            <c:showSerName val="0"/>
            <c:showPercent val="0"/>
            <c:showBubbleSize val="0"/>
            <c:showLeaderLines val="0"/>
          </c:dLbls>
          <c:cat>
            <c:strRef>
              <c:f>'DC GPA by District'!$B$5</c:f>
              <c:strCache>
                <c:ptCount val="1"/>
                <c:pt idx="0">
                  <c:v>GPA</c:v>
                </c:pt>
              </c:strCache>
            </c:strRef>
          </c:cat>
          <c:val>
            <c:numRef>
              <c:f>'DC GPA by District'!$B$8</c:f>
              <c:numCache>
                <c:formatCode>0.00</c:formatCode>
                <c:ptCount val="1"/>
                <c:pt idx="0">
                  <c:v>2.5085034013605441</c:v>
                </c:pt>
              </c:numCache>
            </c:numRef>
          </c:val>
        </c:ser>
        <c:ser>
          <c:idx val="3"/>
          <c:order val="3"/>
          <c:tx>
            <c:strRef>
              <c:f>'DC GPA by District'!$A$9</c:f>
              <c:strCache>
                <c:ptCount val="1"/>
                <c:pt idx="0">
                  <c:v>Other</c:v>
                </c:pt>
              </c:strCache>
            </c:strRef>
          </c:tx>
          <c:spPr>
            <a:solidFill>
              <a:srgbClr val="FFFF99"/>
            </a:solidFill>
            <a:ln>
              <a:solidFill>
                <a:schemeClr val="tx1"/>
              </a:solidFill>
            </a:ln>
          </c:spPr>
          <c:invertIfNegative val="0"/>
          <c:dLbls>
            <c:showLegendKey val="0"/>
            <c:showVal val="1"/>
            <c:showCatName val="0"/>
            <c:showSerName val="0"/>
            <c:showPercent val="0"/>
            <c:showBubbleSize val="0"/>
            <c:showLeaderLines val="0"/>
          </c:dLbls>
          <c:cat>
            <c:strRef>
              <c:f>'DC GPA by District'!$B$5</c:f>
              <c:strCache>
                <c:ptCount val="1"/>
                <c:pt idx="0">
                  <c:v>GPA</c:v>
                </c:pt>
              </c:strCache>
            </c:strRef>
          </c:cat>
          <c:val>
            <c:numRef>
              <c:f>'DC GPA by District'!$B$9</c:f>
              <c:numCache>
                <c:formatCode>0.00</c:formatCode>
                <c:ptCount val="1"/>
                <c:pt idx="0">
                  <c:v>2.6803551609322973</c:v>
                </c:pt>
              </c:numCache>
            </c:numRef>
          </c:val>
        </c:ser>
        <c:dLbls>
          <c:showLegendKey val="0"/>
          <c:showVal val="0"/>
          <c:showCatName val="0"/>
          <c:showSerName val="0"/>
          <c:showPercent val="0"/>
          <c:showBubbleSize val="0"/>
        </c:dLbls>
        <c:gapWidth val="150"/>
        <c:axId val="130805760"/>
        <c:axId val="138198336"/>
      </c:barChart>
      <c:catAx>
        <c:axId val="130805760"/>
        <c:scaling>
          <c:orientation val="minMax"/>
        </c:scaling>
        <c:delete val="1"/>
        <c:axPos val="b"/>
        <c:majorTickMark val="none"/>
        <c:minorTickMark val="none"/>
        <c:tickLblPos val="nextTo"/>
        <c:crossAx val="138198336"/>
        <c:crosses val="autoZero"/>
        <c:auto val="1"/>
        <c:lblAlgn val="ctr"/>
        <c:lblOffset val="100"/>
        <c:noMultiLvlLbl val="0"/>
      </c:catAx>
      <c:valAx>
        <c:axId val="138198336"/>
        <c:scaling>
          <c:orientation val="minMax"/>
        </c:scaling>
        <c:delete val="0"/>
        <c:axPos val="l"/>
        <c:majorGridlines/>
        <c:numFmt formatCode="0.00" sourceLinked="1"/>
        <c:majorTickMark val="none"/>
        <c:minorTickMark val="none"/>
        <c:tickLblPos val="nextTo"/>
        <c:crossAx val="130805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Dual Credit Enrollment By Campus</a:t>
            </a:r>
          </a:p>
        </c:rich>
      </c:tx>
      <c:layout/>
      <c:overlay val="0"/>
    </c:title>
    <c:autoTitleDeleted val="0"/>
    <c:plotArea>
      <c:layout/>
      <c:lineChart>
        <c:grouping val="standard"/>
        <c:varyColors val="0"/>
        <c:ser>
          <c:idx val="0"/>
          <c:order val="0"/>
          <c:tx>
            <c:strRef>
              <c:f>'DC Enrll by Campus'!$A$7</c:f>
              <c:strCache>
                <c:ptCount val="1"/>
                <c:pt idx="0">
                  <c:v>ADVANCED TECHNOLOGY CENTER</c:v>
                </c:pt>
              </c:strCache>
            </c:strRef>
          </c:tx>
          <c:spPr>
            <a:ln>
              <a:solidFill>
                <a:srgbClr val="004990"/>
              </a:solidFill>
            </a:ln>
          </c:spPr>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Campus'!$B$7:$F$7</c:f>
              <c:numCache>
                <c:formatCode>General</c:formatCode>
                <c:ptCount val="5"/>
                <c:pt idx="4">
                  <c:v>22</c:v>
                </c:pt>
              </c:numCache>
            </c:numRef>
          </c:val>
          <c:smooth val="0"/>
        </c:ser>
        <c:ser>
          <c:idx val="1"/>
          <c:order val="1"/>
          <c:tx>
            <c:strRef>
              <c:f>'DC Enrll by Campus'!$A$8</c:f>
              <c:strCache>
                <c:ptCount val="1"/>
                <c:pt idx="0">
                  <c:v>MAIN CAMPUS</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Campus'!$B$8:$F$8</c:f>
              <c:numCache>
                <c:formatCode>General</c:formatCode>
                <c:ptCount val="5"/>
                <c:pt idx="0">
                  <c:v>509</c:v>
                </c:pt>
                <c:pt idx="1">
                  <c:v>544</c:v>
                </c:pt>
                <c:pt idx="2">
                  <c:v>539</c:v>
                </c:pt>
                <c:pt idx="3">
                  <c:v>532</c:v>
                </c:pt>
                <c:pt idx="4">
                  <c:v>539</c:v>
                </c:pt>
              </c:numCache>
            </c:numRef>
          </c:val>
          <c:smooth val="0"/>
        </c:ser>
        <c:ser>
          <c:idx val="2"/>
          <c:order val="2"/>
          <c:tx>
            <c:strRef>
              <c:f>'DC Enrll by Campus'!$A$9</c:f>
              <c:strCache>
                <c:ptCount val="1"/>
                <c:pt idx="0">
                  <c:v>MONTOYA CAMPUS</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Campus'!$B$9:$F$9</c:f>
              <c:numCache>
                <c:formatCode>General</c:formatCode>
                <c:ptCount val="5"/>
                <c:pt idx="0">
                  <c:v>343</c:v>
                </c:pt>
                <c:pt idx="1">
                  <c:v>424</c:v>
                </c:pt>
                <c:pt idx="2">
                  <c:v>437</c:v>
                </c:pt>
                <c:pt idx="3">
                  <c:v>473</c:v>
                </c:pt>
                <c:pt idx="4">
                  <c:v>434</c:v>
                </c:pt>
              </c:numCache>
            </c:numRef>
          </c:val>
          <c:smooth val="0"/>
        </c:ser>
        <c:ser>
          <c:idx val="3"/>
          <c:order val="3"/>
          <c:tx>
            <c:strRef>
              <c:f>'DC Enrll by Campus'!$A$10</c:f>
              <c:strCache>
                <c:ptCount val="1"/>
                <c:pt idx="0">
                  <c:v>OFF CAMPUS</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Campus'!$B$10:$F$10</c:f>
              <c:numCache>
                <c:formatCode>General</c:formatCode>
                <c:ptCount val="5"/>
                <c:pt idx="0">
                  <c:v>232</c:v>
                </c:pt>
                <c:pt idx="1">
                  <c:v>358</c:v>
                </c:pt>
                <c:pt idx="2">
                  <c:v>428</c:v>
                </c:pt>
                <c:pt idx="3">
                  <c:v>479</c:v>
                </c:pt>
                <c:pt idx="4">
                  <c:v>679</c:v>
                </c:pt>
              </c:numCache>
            </c:numRef>
          </c:val>
          <c:smooth val="0"/>
        </c:ser>
        <c:ser>
          <c:idx val="4"/>
          <c:order val="4"/>
          <c:tx>
            <c:strRef>
              <c:f>'DC Enrll by Campus'!$A$11</c:f>
              <c:strCache>
                <c:ptCount val="1"/>
                <c:pt idx="0">
                  <c:v>RIO RANCHO CAMPUS</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Campus'!$B$11:$F$11</c:f>
              <c:numCache>
                <c:formatCode>General</c:formatCode>
                <c:ptCount val="5"/>
                <c:pt idx="3">
                  <c:v>79</c:v>
                </c:pt>
                <c:pt idx="4">
                  <c:v>67</c:v>
                </c:pt>
              </c:numCache>
            </c:numRef>
          </c:val>
          <c:smooth val="0"/>
        </c:ser>
        <c:ser>
          <c:idx val="5"/>
          <c:order val="5"/>
          <c:tx>
            <c:strRef>
              <c:f>'DC Enrll by Campus'!$A$12</c:f>
              <c:strCache>
                <c:ptCount val="1"/>
                <c:pt idx="0">
                  <c:v>SOUTH VALLEY CAMPUS</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Campus'!$B$12:$F$12</c:f>
              <c:numCache>
                <c:formatCode>General</c:formatCode>
                <c:ptCount val="5"/>
                <c:pt idx="0">
                  <c:v>26</c:v>
                </c:pt>
                <c:pt idx="1">
                  <c:v>76</c:v>
                </c:pt>
                <c:pt idx="2">
                  <c:v>41</c:v>
                </c:pt>
                <c:pt idx="3">
                  <c:v>47</c:v>
                </c:pt>
                <c:pt idx="4">
                  <c:v>81</c:v>
                </c:pt>
              </c:numCache>
            </c:numRef>
          </c:val>
          <c:smooth val="0"/>
        </c:ser>
        <c:ser>
          <c:idx val="6"/>
          <c:order val="6"/>
          <c:tx>
            <c:strRef>
              <c:f>'DC Enrll by Campus'!$A$13</c:f>
              <c:strCache>
                <c:ptCount val="1"/>
                <c:pt idx="0">
                  <c:v>WESTSIDE</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Campus'!$B$13:$F$13</c:f>
              <c:numCache>
                <c:formatCode>General</c:formatCode>
                <c:ptCount val="5"/>
                <c:pt idx="0">
                  <c:v>354</c:v>
                </c:pt>
                <c:pt idx="1">
                  <c:v>423</c:v>
                </c:pt>
                <c:pt idx="2">
                  <c:v>422</c:v>
                </c:pt>
                <c:pt idx="3">
                  <c:v>253</c:v>
                </c:pt>
                <c:pt idx="4">
                  <c:v>211</c:v>
                </c:pt>
              </c:numCache>
            </c:numRef>
          </c:val>
          <c:smooth val="0"/>
        </c:ser>
        <c:ser>
          <c:idx val="7"/>
          <c:order val="7"/>
          <c:tx>
            <c:strRef>
              <c:f>'DC Enrll by Campus'!$A$14</c:f>
              <c:strCache>
                <c:ptCount val="1"/>
                <c:pt idx="0">
                  <c:v>WORKFORCE TRAINING CENTER</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Campus'!$B$14:$F$14</c:f>
              <c:numCache>
                <c:formatCode>General</c:formatCode>
                <c:ptCount val="5"/>
                <c:pt idx="0">
                  <c:v>32</c:v>
                </c:pt>
                <c:pt idx="1">
                  <c:v>46</c:v>
                </c:pt>
                <c:pt idx="2">
                  <c:v>7</c:v>
                </c:pt>
                <c:pt idx="3">
                  <c:v>6</c:v>
                </c:pt>
                <c:pt idx="4">
                  <c:v>15</c:v>
                </c:pt>
              </c:numCache>
            </c:numRef>
          </c:val>
          <c:smooth val="0"/>
        </c:ser>
        <c:ser>
          <c:idx val="8"/>
          <c:order val="8"/>
          <c:tx>
            <c:strRef>
              <c:f>'DC Enrll by Campus'!$A$15</c:f>
              <c:strCache>
                <c:ptCount val="1"/>
                <c:pt idx="0">
                  <c:v>DISTANCE LEARNING</c:v>
                </c:pt>
              </c:strCache>
            </c:strRef>
          </c:tx>
          <c:marker>
            <c:symbol val="none"/>
          </c:marker>
          <c:cat>
            <c:strRef>
              <c:f>'DC Enrll by Campus'!$B$6:$F$6</c:f>
              <c:strCache>
                <c:ptCount val="5"/>
                <c:pt idx="0">
                  <c:v>AY 2007-08</c:v>
                </c:pt>
                <c:pt idx="1">
                  <c:v>AY 2008-09</c:v>
                </c:pt>
                <c:pt idx="2">
                  <c:v>AY 2009-10</c:v>
                </c:pt>
                <c:pt idx="3">
                  <c:v>AY 2010-11</c:v>
                </c:pt>
                <c:pt idx="4">
                  <c:v>AY 2011-12</c:v>
                </c:pt>
              </c:strCache>
            </c:strRef>
          </c:cat>
          <c:val>
            <c:numRef>
              <c:f>'DC Enrll by Campus'!$B$15:$F$15</c:f>
              <c:numCache>
                <c:formatCode>General</c:formatCode>
                <c:ptCount val="5"/>
                <c:pt idx="0">
                  <c:v>32</c:v>
                </c:pt>
                <c:pt idx="1">
                  <c:v>134</c:v>
                </c:pt>
                <c:pt idx="2">
                  <c:v>360</c:v>
                </c:pt>
                <c:pt idx="3">
                  <c:v>780</c:v>
                </c:pt>
                <c:pt idx="4">
                  <c:v>910</c:v>
                </c:pt>
              </c:numCache>
            </c:numRef>
          </c:val>
          <c:smooth val="0"/>
        </c:ser>
        <c:dLbls>
          <c:showLegendKey val="0"/>
          <c:showVal val="0"/>
          <c:showCatName val="0"/>
          <c:showSerName val="0"/>
          <c:showPercent val="0"/>
          <c:showBubbleSize val="0"/>
        </c:dLbls>
        <c:marker val="1"/>
        <c:smooth val="0"/>
        <c:axId val="141468160"/>
        <c:axId val="141118848"/>
      </c:lineChart>
      <c:catAx>
        <c:axId val="141468160"/>
        <c:scaling>
          <c:orientation val="minMax"/>
        </c:scaling>
        <c:delete val="0"/>
        <c:axPos val="b"/>
        <c:majorTickMark val="none"/>
        <c:minorTickMark val="none"/>
        <c:tickLblPos val="nextTo"/>
        <c:crossAx val="141118848"/>
        <c:crosses val="autoZero"/>
        <c:auto val="1"/>
        <c:lblAlgn val="ctr"/>
        <c:lblOffset val="100"/>
        <c:noMultiLvlLbl val="0"/>
      </c:catAx>
      <c:valAx>
        <c:axId val="141118848"/>
        <c:scaling>
          <c:orientation val="minMax"/>
        </c:scaling>
        <c:delete val="0"/>
        <c:axPos val="l"/>
        <c:majorGridlines/>
        <c:title>
          <c:tx>
            <c:rich>
              <a:bodyPr/>
              <a:lstStyle/>
              <a:p>
                <a:pPr>
                  <a:defRPr/>
                </a:pPr>
                <a:r>
                  <a:rPr lang="en-US"/>
                  <a:t>Number of Students</a:t>
                </a:r>
              </a:p>
            </c:rich>
          </c:tx>
          <c:layout/>
          <c:overlay val="0"/>
        </c:title>
        <c:numFmt formatCode="General" sourceLinked="1"/>
        <c:majorTickMark val="none"/>
        <c:minorTickMark val="none"/>
        <c:tickLblPos val="nextTo"/>
        <c:crossAx val="141468160"/>
        <c:crosses val="autoZero"/>
        <c:crossBetween val="between"/>
      </c:valAx>
    </c:plotArea>
    <c:legend>
      <c:legendPos val="r"/>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45720</xdr:colOff>
      <xdr:row>10</xdr:row>
      <xdr:rowOff>89535</xdr:rowOff>
    </xdr:from>
    <xdr:to>
      <xdr:col>6</xdr:col>
      <xdr:colOff>350520</xdr:colOff>
      <xdr:row>24</xdr:row>
      <xdr:rowOff>158115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17</xdr:row>
      <xdr:rowOff>47625</xdr:rowOff>
    </xdr:from>
    <xdr:to>
      <xdr:col>7</xdr:col>
      <xdr:colOff>447675</xdr:colOff>
      <xdr:row>32</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A29" sqref="A29:XFD29"/>
    </sheetView>
  </sheetViews>
  <sheetFormatPr defaultColWidth="9.109375" defaultRowHeight="14.4" x14ac:dyDescent="0.3"/>
  <cols>
    <col min="1" max="1" width="14" style="3" bestFit="1" customWidth="1"/>
    <col min="2" max="2" width="14" style="5" customWidth="1"/>
    <col min="3" max="6" width="10.5546875" style="5" bestFit="1" customWidth="1"/>
    <col min="7" max="16384" width="9.109375" style="3"/>
  </cols>
  <sheetData>
    <row r="1" spans="1:8" customFormat="1" x14ac:dyDescent="0.25">
      <c r="A1" s="4" t="s">
        <v>41</v>
      </c>
      <c r="B1" s="5"/>
      <c r="C1" s="5"/>
      <c r="D1" s="11"/>
      <c r="E1" s="11"/>
      <c r="F1" s="11"/>
      <c r="G1" s="1"/>
      <c r="H1" s="1"/>
    </row>
    <row r="2" spans="1:8" customFormat="1" x14ac:dyDescent="0.25">
      <c r="A2" s="9" t="s">
        <v>224</v>
      </c>
      <c r="B2" s="5"/>
      <c r="C2" s="5"/>
      <c r="D2" s="11"/>
      <c r="E2" s="11"/>
      <c r="F2" s="11"/>
      <c r="G2" s="1"/>
      <c r="H2" s="1"/>
    </row>
    <row r="3" spans="1:8" customFormat="1" x14ac:dyDescent="0.25">
      <c r="A3" s="4"/>
      <c r="B3" s="5"/>
      <c r="C3" s="5"/>
      <c r="D3" s="11"/>
      <c r="E3" s="11"/>
      <c r="F3" s="11"/>
      <c r="G3" s="1"/>
      <c r="H3" s="1"/>
    </row>
    <row r="4" spans="1:8" customFormat="1" x14ac:dyDescent="0.25">
      <c r="A4" s="4" t="s">
        <v>99</v>
      </c>
      <c r="B4" s="5"/>
      <c r="C4" s="5"/>
      <c r="D4" s="11"/>
      <c r="E4" s="11"/>
      <c r="F4" s="11"/>
      <c r="G4" s="1"/>
      <c r="H4" s="1"/>
    </row>
    <row r="5" spans="1:8" customFormat="1" x14ac:dyDescent="0.25">
      <c r="A5" s="59"/>
      <c r="B5" s="157" t="s">
        <v>37</v>
      </c>
      <c r="C5" s="157"/>
      <c r="D5" s="157"/>
      <c r="E5" s="157"/>
      <c r="F5" s="158"/>
      <c r="G5" s="1"/>
      <c r="H5" s="1"/>
    </row>
    <row r="6" spans="1:8" x14ac:dyDescent="0.25">
      <c r="A6" s="60" t="s">
        <v>82</v>
      </c>
      <c r="B6" s="17" t="s">
        <v>39</v>
      </c>
      <c r="C6" s="18" t="s">
        <v>77</v>
      </c>
      <c r="D6" s="18" t="s">
        <v>96</v>
      </c>
      <c r="E6" s="17" t="s">
        <v>187</v>
      </c>
      <c r="F6" s="19" t="s">
        <v>223</v>
      </c>
    </row>
    <row r="7" spans="1:8" x14ac:dyDescent="0.25">
      <c r="A7" s="12" t="s">
        <v>1</v>
      </c>
      <c r="B7" s="13">
        <v>918</v>
      </c>
      <c r="C7" s="14">
        <v>1244</v>
      </c>
      <c r="D7" s="13">
        <v>1230</v>
      </c>
      <c r="E7" s="13">
        <v>1466</v>
      </c>
      <c r="F7" s="13">
        <v>1553</v>
      </c>
    </row>
    <row r="8" spans="1:8" x14ac:dyDescent="0.25">
      <c r="A8" s="15" t="s">
        <v>38</v>
      </c>
      <c r="B8" s="13">
        <v>318</v>
      </c>
      <c r="C8" s="14">
        <v>328</v>
      </c>
      <c r="D8" s="13">
        <v>445</v>
      </c>
      <c r="E8" s="13">
        <v>534</v>
      </c>
      <c r="F8" s="13">
        <v>488</v>
      </c>
    </row>
    <row r="9" spans="1:8" x14ac:dyDescent="0.25">
      <c r="A9" s="16" t="s">
        <v>74</v>
      </c>
      <c r="B9" s="13">
        <v>47</v>
      </c>
      <c r="C9" s="14">
        <v>52</v>
      </c>
      <c r="D9" s="13">
        <v>82</v>
      </c>
      <c r="E9" s="13">
        <v>129</v>
      </c>
      <c r="F9" s="13">
        <v>167</v>
      </c>
    </row>
    <row r="10" spans="1:8" x14ac:dyDescent="0.25">
      <c r="A10" s="15" t="s">
        <v>42</v>
      </c>
      <c r="B10" s="13">
        <v>46</v>
      </c>
      <c r="C10" s="13">
        <v>77</v>
      </c>
      <c r="D10" s="13">
        <v>125</v>
      </c>
      <c r="E10" s="13">
        <v>140</v>
      </c>
      <c r="F10" s="13">
        <v>324</v>
      </c>
    </row>
    <row r="11" spans="1:8" x14ac:dyDescent="0.25">
      <c r="A11" s="2"/>
      <c r="F11" s="51"/>
    </row>
    <row r="12" spans="1:8" x14ac:dyDescent="0.25">
      <c r="A12" s="2"/>
      <c r="B12" s="2"/>
      <c r="D12" s="51"/>
    </row>
    <row r="13" spans="1:8" x14ac:dyDescent="0.25">
      <c r="A13" s="4"/>
    </row>
    <row r="15" spans="1:8" x14ac:dyDescent="0.25">
      <c r="A15" s="59"/>
      <c r="B15" s="157" t="s">
        <v>37</v>
      </c>
      <c r="C15" s="157"/>
      <c r="D15" s="157"/>
      <c r="E15" s="157"/>
      <c r="F15" s="158"/>
    </row>
    <row r="16" spans="1:8" x14ac:dyDescent="0.25">
      <c r="A16" s="60" t="s">
        <v>82</v>
      </c>
      <c r="B16" s="17" t="s">
        <v>223</v>
      </c>
      <c r="C16" s="17" t="s">
        <v>187</v>
      </c>
      <c r="D16" s="17" t="s">
        <v>96</v>
      </c>
      <c r="E16" s="18" t="s">
        <v>77</v>
      </c>
      <c r="F16" s="19" t="s">
        <v>39</v>
      </c>
    </row>
    <row r="17" spans="1:6" x14ac:dyDescent="0.25">
      <c r="A17" s="12" t="s">
        <v>1</v>
      </c>
      <c r="B17" s="13">
        <v>1553</v>
      </c>
      <c r="C17" s="13">
        <v>1466</v>
      </c>
      <c r="D17" s="13">
        <v>1230</v>
      </c>
      <c r="E17" s="14">
        <v>1244</v>
      </c>
      <c r="F17" s="13">
        <v>918</v>
      </c>
    </row>
    <row r="18" spans="1:6" x14ac:dyDescent="0.25">
      <c r="A18" s="15" t="s">
        <v>38</v>
      </c>
      <c r="B18" s="13">
        <v>488</v>
      </c>
      <c r="C18" s="13">
        <v>534</v>
      </c>
      <c r="D18" s="13">
        <v>445</v>
      </c>
      <c r="E18" s="14">
        <v>328</v>
      </c>
      <c r="F18" s="13">
        <v>318</v>
      </c>
    </row>
    <row r="19" spans="1:6" x14ac:dyDescent="0.25">
      <c r="A19" s="16" t="s">
        <v>74</v>
      </c>
      <c r="B19" s="13">
        <v>167</v>
      </c>
      <c r="C19" s="13">
        <v>129</v>
      </c>
      <c r="D19" s="13">
        <v>82</v>
      </c>
      <c r="E19" s="14">
        <v>52</v>
      </c>
      <c r="F19" s="13">
        <v>47</v>
      </c>
    </row>
    <row r="20" spans="1:6" x14ac:dyDescent="0.25">
      <c r="A20" s="15" t="s">
        <v>42</v>
      </c>
      <c r="B20" s="13">
        <v>324</v>
      </c>
      <c r="C20" s="13">
        <v>140</v>
      </c>
      <c r="D20" s="13">
        <v>125</v>
      </c>
      <c r="E20" s="13">
        <v>77</v>
      </c>
      <c r="F20" s="13">
        <v>46</v>
      </c>
    </row>
  </sheetData>
  <mergeCells count="2">
    <mergeCell ref="B5:F5"/>
    <mergeCell ref="B15:F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9"/>
  <sheetViews>
    <sheetView topLeftCell="B1" zoomScaleNormal="100" workbookViewId="0">
      <selection activeCell="N22" sqref="N22"/>
    </sheetView>
  </sheetViews>
  <sheetFormatPr defaultColWidth="9.109375" defaultRowHeight="14.4" x14ac:dyDescent="0.3"/>
  <cols>
    <col min="1" max="1" width="12.5546875" style="68" bestFit="1" customWidth="1"/>
    <col min="2" max="2" width="15.109375" style="68" bestFit="1" customWidth="1"/>
    <col min="3" max="3" width="34" style="68" bestFit="1" customWidth="1"/>
    <col min="4" max="4" width="8.5546875" style="68" bestFit="1" customWidth="1"/>
    <col min="5" max="5" width="11" style="68" bestFit="1" customWidth="1"/>
    <col min="6" max="6" width="12.88671875" style="68" bestFit="1" customWidth="1"/>
    <col min="7" max="7" width="16.5546875" style="68" customWidth="1"/>
    <col min="8" max="16384" width="9.109375" style="68"/>
  </cols>
  <sheetData>
    <row r="1" spans="1:8" ht="15" x14ac:dyDescent="0.25">
      <c r="A1" s="6" t="s">
        <v>41</v>
      </c>
    </row>
    <row r="2" spans="1:8" ht="15" x14ac:dyDescent="0.25">
      <c r="A2" s="6" t="s">
        <v>246</v>
      </c>
    </row>
    <row r="4" spans="1:8" ht="15" x14ac:dyDescent="0.25">
      <c r="A4" s="6" t="s">
        <v>181</v>
      </c>
      <c r="B4" s="6"/>
      <c r="C4" s="6"/>
      <c r="D4" s="6"/>
      <c r="E4" s="6"/>
      <c r="F4" s="6"/>
      <c r="G4" s="6"/>
    </row>
    <row r="5" spans="1:8" ht="15" x14ac:dyDescent="0.25">
      <c r="A5" s="47"/>
      <c r="B5" s="56"/>
      <c r="C5" s="56"/>
      <c r="D5" s="157" t="s">
        <v>37</v>
      </c>
      <c r="E5" s="157"/>
      <c r="F5" s="157"/>
      <c r="G5" s="158"/>
    </row>
    <row r="6" spans="1:8" ht="30" x14ac:dyDescent="0.25">
      <c r="A6" s="57" t="s">
        <v>0</v>
      </c>
      <c r="B6" s="58" t="s">
        <v>15</v>
      </c>
      <c r="C6" s="58" t="s">
        <v>16</v>
      </c>
      <c r="D6" s="54" t="s">
        <v>242</v>
      </c>
      <c r="E6" s="54" t="s">
        <v>243</v>
      </c>
      <c r="F6" s="54" t="s">
        <v>244</v>
      </c>
      <c r="G6" s="55" t="s">
        <v>245</v>
      </c>
      <c r="H6" s="6"/>
    </row>
    <row r="7" spans="1:8" ht="15" x14ac:dyDescent="0.25">
      <c r="A7" s="101" t="s">
        <v>1</v>
      </c>
      <c r="B7" s="101" t="s">
        <v>5</v>
      </c>
      <c r="C7" s="101" t="s">
        <v>47</v>
      </c>
      <c r="D7" s="102">
        <v>7</v>
      </c>
      <c r="E7" s="102">
        <v>8</v>
      </c>
      <c r="F7" s="102">
        <v>2</v>
      </c>
      <c r="G7" s="102">
        <v>8</v>
      </c>
    </row>
    <row r="8" spans="1:8" ht="15" x14ac:dyDescent="0.25">
      <c r="A8" s="101" t="s">
        <v>1</v>
      </c>
      <c r="B8" s="101" t="s">
        <v>5</v>
      </c>
      <c r="C8" s="101" t="s">
        <v>4</v>
      </c>
      <c r="D8" s="102">
        <v>1</v>
      </c>
      <c r="E8" s="103"/>
      <c r="F8" s="102">
        <v>1</v>
      </c>
      <c r="G8" s="102">
        <v>2</v>
      </c>
    </row>
    <row r="9" spans="1:8" ht="15" x14ac:dyDescent="0.25">
      <c r="A9" s="101" t="s">
        <v>1</v>
      </c>
      <c r="B9" s="101" t="s">
        <v>5</v>
      </c>
      <c r="C9" s="101" t="s">
        <v>194</v>
      </c>
      <c r="D9" s="103"/>
      <c r="E9" s="102">
        <v>1</v>
      </c>
      <c r="F9" s="103"/>
      <c r="G9" s="102">
        <v>1</v>
      </c>
    </row>
    <row r="10" spans="1:8" ht="15" x14ac:dyDescent="0.25">
      <c r="A10" s="101" t="s">
        <v>1</v>
      </c>
      <c r="B10" s="101" t="s">
        <v>5</v>
      </c>
      <c r="C10" s="101" t="s">
        <v>6</v>
      </c>
      <c r="D10" s="102">
        <v>32</v>
      </c>
      <c r="E10" s="102">
        <v>45</v>
      </c>
      <c r="F10" s="102">
        <v>37</v>
      </c>
      <c r="G10" s="102">
        <v>79</v>
      </c>
    </row>
    <row r="11" spans="1:8" ht="15" x14ac:dyDescent="0.25">
      <c r="A11" s="101" t="s">
        <v>1</v>
      </c>
      <c r="B11" s="101" t="s">
        <v>5</v>
      </c>
      <c r="C11" s="101" t="s">
        <v>48</v>
      </c>
      <c r="D11" s="102">
        <v>8</v>
      </c>
      <c r="E11" s="102">
        <v>11</v>
      </c>
      <c r="F11" s="102">
        <v>5</v>
      </c>
      <c r="G11" s="102">
        <v>19</v>
      </c>
    </row>
    <row r="12" spans="1:8" ht="15" x14ac:dyDescent="0.25">
      <c r="A12" s="101" t="s">
        <v>1</v>
      </c>
      <c r="B12" s="101" t="s">
        <v>5</v>
      </c>
      <c r="C12" s="101" t="s">
        <v>90</v>
      </c>
      <c r="D12" s="103"/>
      <c r="E12" s="102">
        <v>21</v>
      </c>
      <c r="F12" s="102">
        <v>1</v>
      </c>
      <c r="G12" s="102">
        <v>21</v>
      </c>
    </row>
    <row r="13" spans="1:8" ht="15" x14ac:dyDescent="0.25">
      <c r="A13" s="101" t="s">
        <v>1</v>
      </c>
      <c r="B13" s="101" t="s">
        <v>5</v>
      </c>
      <c r="C13" s="101" t="s">
        <v>14</v>
      </c>
      <c r="D13" s="102">
        <v>18</v>
      </c>
      <c r="E13" s="102">
        <v>35</v>
      </c>
      <c r="F13" s="103"/>
      <c r="G13" s="102">
        <v>42</v>
      </c>
    </row>
    <row r="14" spans="1:8" s="8" customFormat="1" ht="15" x14ac:dyDescent="0.25">
      <c r="A14" s="101" t="s">
        <v>1</v>
      </c>
      <c r="B14" s="101" t="s">
        <v>5</v>
      </c>
      <c r="C14" s="101" t="s">
        <v>49</v>
      </c>
      <c r="D14" s="102">
        <v>1</v>
      </c>
      <c r="E14" s="102">
        <v>1</v>
      </c>
      <c r="F14" s="103"/>
      <c r="G14" s="102">
        <v>1</v>
      </c>
    </row>
    <row r="15" spans="1:8" ht="15" x14ac:dyDescent="0.25">
      <c r="A15" s="74" t="s">
        <v>1</v>
      </c>
      <c r="B15" s="74" t="s">
        <v>17</v>
      </c>
      <c r="C15" s="81"/>
      <c r="D15" s="105">
        <v>67</v>
      </c>
      <c r="E15" s="105">
        <v>122</v>
      </c>
      <c r="F15" s="105">
        <v>46</v>
      </c>
      <c r="G15" s="105">
        <v>173</v>
      </c>
    </row>
    <row r="16" spans="1:8" s="79" customFormat="1" ht="15" x14ac:dyDescent="0.25">
      <c r="A16" s="78"/>
      <c r="B16" s="85" t="s">
        <v>241</v>
      </c>
      <c r="C16" s="87"/>
      <c r="D16" s="106">
        <v>3.0769230769230771E-2</v>
      </c>
      <c r="E16" s="106">
        <v>-2.4E-2</v>
      </c>
      <c r="F16" s="106">
        <v>-0.08</v>
      </c>
      <c r="G16" s="106">
        <v>-4.9450549450549448E-2</v>
      </c>
    </row>
    <row r="17" spans="1:7" ht="15" x14ac:dyDescent="0.25">
      <c r="A17" s="101"/>
      <c r="B17" s="101"/>
      <c r="C17" s="101"/>
      <c r="D17" s="102"/>
      <c r="E17" s="102"/>
      <c r="F17" s="103"/>
      <c r="G17" s="102"/>
    </row>
    <row r="18" spans="1:7" ht="15" x14ac:dyDescent="0.25">
      <c r="A18" s="101" t="s">
        <v>1</v>
      </c>
      <c r="B18" s="101" t="s">
        <v>2</v>
      </c>
      <c r="C18" s="101" t="s">
        <v>50</v>
      </c>
      <c r="D18" s="102">
        <v>4</v>
      </c>
      <c r="E18" s="102">
        <v>10</v>
      </c>
      <c r="F18" s="102">
        <v>6</v>
      </c>
      <c r="G18" s="102">
        <v>15</v>
      </c>
    </row>
    <row r="19" spans="1:7" ht="15" x14ac:dyDescent="0.25">
      <c r="A19" s="101" t="s">
        <v>1</v>
      </c>
      <c r="B19" s="101" t="s">
        <v>2</v>
      </c>
      <c r="C19" s="101" t="s">
        <v>51</v>
      </c>
      <c r="D19" s="102">
        <v>63</v>
      </c>
      <c r="E19" s="102">
        <v>62</v>
      </c>
      <c r="F19" s="102">
        <v>50</v>
      </c>
      <c r="G19" s="102">
        <v>89</v>
      </c>
    </row>
    <row r="20" spans="1:7" ht="15" x14ac:dyDescent="0.25">
      <c r="A20" s="101" t="s">
        <v>1</v>
      </c>
      <c r="B20" s="101" t="s">
        <v>2</v>
      </c>
      <c r="C20" s="101" t="s">
        <v>3</v>
      </c>
      <c r="D20" s="102">
        <v>36</v>
      </c>
      <c r="E20" s="102">
        <v>30</v>
      </c>
      <c r="F20" s="102">
        <v>8</v>
      </c>
      <c r="G20" s="102">
        <v>51</v>
      </c>
    </row>
    <row r="21" spans="1:7" ht="15" x14ac:dyDescent="0.25">
      <c r="A21" s="101" t="s">
        <v>1</v>
      </c>
      <c r="B21" s="101" t="s">
        <v>2</v>
      </c>
      <c r="C21" s="101" t="s">
        <v>52</v>
      </c>
      <c r="D21" s="102">
        <v>26</v>
      </c>
      <c r="E21" s="102">
        <v>8</v>
      </c>
      <c r="F21" s="102">
        <v>2</v>
      </c>
      <c r="G21" s="102">
        <v>29</v>
      </c>
    </row>
    <row r="22" spans="1:7" ht="15" x14ac:dyDescent="0.25">
      <c r="A22" s="101" t="s">
        <v>1</v>
      </c>
      <c r="B22" s="101" t="s">
        <v>2</v>
      </c>
      <c r="C22" s="101" t="s">
        <v>195</v>
      </c>
      <c r="D22" s="102">
        <v>11</v>
      </c>
      <c r="E22" s="102">
        <v>6</v>
      </c>
      <c r="F22" s="103"/>
      <c r="G22" s="102">
        <v>12</v>
      </c>
    </row>
    <row r="23" spans="1:7" ht="15" x14ac:dyDescent="0.25">
      <c r="A23" s="101" t="s">
        <v>1</v>
      </c>
      <c r="B23" s="101" t="s">
        <v>2</v>
      </c>
      <c r="C23" s="101" t="s">
        <v>53</v>
      </c>
      <c r="D23" s="102">
        <v>57</v>
      </c>
      <c r="E23" s="102">
        <v>36</v>
      </c>
      <c r="F23" s="102">
        <v>4</v>
      </c>
      <c r="G23" s="102">
        <v>70</v>
      </c>
    </row>
    <row r="24" spans="1:7" ht="15" x14ac:dyDescent="0.25">
      <c r="A24" s="101" t="s">
        <v>1</v>
      </c>
      <c r="B24" s="101" t="s">
        <v>2</v>
      </c>
      <c r="C24" s="101" t="s">
        <v>7</v>
      </c>
      <c r="D24" s="102">
        <v>90</v>
      </c>
      <c r="E24" s="102">
        <v>114</v>
      </c>
      <c r="F24" s="102">
        <v>18</v>
      </c>
      <c r="G24" s="102">
        <v>137</v>
      </c>
    </row>
    <row r="25" spans="1:7" ht="15" x14ac:dyDescent="0.25">
      <c r="A25" s="101" t="s">
        <v>1</v>
      </c>
      <c r="B25" s="101" t="s">
        <v>2</v>
      </c>
      <c r="C25" s="101" t="s">
        <v>54</v>
      </c>
      <c r="D25" s="103"/>
      <c r="E25" s="102">
        <v>1</v>
      </c>
      <c r="F25" s="102">
        <v>18</v>
      </c>
      <c r="G25" s="102">
        <v>19</v>
      </c>
    </row>
    <row r="26" spans="1:7" ht="15" x14ac:dyDescent="0.25">
      <c r="A26" s="101" t="s">
        <v>1</v>
      </c>
      <c r="B26" s="101" t="s">
        <v>2</v>
      </c>
      <c r="C26" s="101" t="s">
        <v>91</v>
      </c>
      <c r="D26" s="102">
        <v>2</v>
      </c>
      <c r="E26" s="102">
        <v>4</v>
      </c>
      <c r="F26" s="102">
        <v>1</v>
      </c>
      <c r="G26" s="102">
        <v>5</v>
      </c>
    </row>
    <row r="27" spans="1:7" ht="15" x14ac:dyDescent="0.25">
      <c r="A27" s="101" t="s">
        <v>1</v>
      </c>
      <c r="B27" s="101" t="s">
        <v>2</v>
      </c>
      <c r="C27" s="101" t="s">
        <v>8</v>
      </c>
      <c r="D27" s="102">
        <v>8</v>
      </c>
      <c r="E27" s="102">
        <v>15</v>
      </c>
      <c r="F27" s="102">
        <v>7</v>
      </c>
      <c r="G27" s="102">
        <v>23</v>
      </c>
    </row>
    <row r="28" spans="1:7" ht="15" x14ac:dyDescent="0.25">
      <c r="A28" s="101" t="s">
        <v>1</v>
      </c>
      <c r="B28" s="101" t="s">
        <v>2</v>
      </c>
      <c r="C28" s="101" t="s">
        <v>9</v>
      </c>
      <c r="D28" s="102">
        <v>1</v>
      </c>
      <c r="E28" s="102">
        <v>12</v>
      </c>
      <c r="F28" s="103"/>
      <c r="G28" s="102">
        <v>12</v>
      </c>
    </row>
    <row r="29" spans="1:7" ht="15" x14ac:dyDescent="0.25">
      <c r="A29" s="101" t="s">
        <v>1</v>
      </c>
      <c r="B29" s="101" t="s">
        <v>2</v>
      </c>
      <c r="C29" s="101" t="s">
        <v>55</v>
      </c>
      <c r="D29" s="102">
        <v>1</v>
      </c>
      <c r="E29" s="102">
        <v>3</v>
      </c>
      <c r="F29" s="102">
        <v>1</v>
      </c>
      <c r="G29" s="102">
        <v>3</v>
      </c>
    </row>
    <row r="30" spans="1:7" ht="15" x14ac:dyDescent="0.25">
      <c r="A30" s="101" t="s">
        <v>1</v>
      </c>
      <c r="B30" s="101" t="s">
        <v>2</v>
      </c>
      <c r="C30" s="101" t="s">
        <v>56</v>
      </c>
      <c r="D30" s="102">
        <v>11</v>
      </c>
      <c r="E30" s="102">
        <v>18</v>
      </c>
      <c r="F30" s="103"/>
      <c r="G30" s="102">
        <v>29</v>
      </c>
    </row>
    <row r="31" spans="1:7" ht="15" x14ac:dyDescent="0.25">
      <c r="A31" s="101" t="s">
        <v>1</v>
      </c>
      <c r="B31" s="101" t="s">
        <v>2</v>
      </c>
      <c r="C31" s="101" t="s">
        <v>10</v>
      </c>
      <c r="D31" s="102">
        <v>5</v>
      </c>
      <c r="E31" s="102">
        <v>6</v>
      </c>
      <c r="F31" s="102">
        <v>3</v>
      </c>
      <c r="G31" s="102">
        <v>11</v>
      </c>
    </row>
    <row r="32" spans="1:7" ht="15" x14ac:dyDescent="0.25">
      <c r="A32" s="101" t="s">
        <v>1</v>
      </c>
      <c r="B32" s="101" t="s">
        <v>2</v>
      </c>
      <c r="C32" s="101" t="s">
        <v>11</v>
      </c>
      <c r="D32" s="102">
        <v>4</v>
      </c>
      <c r="E32" s="102">
        <v>11</v>
      </c>
      <c r="F32" s="102">
        <v>5</v>
      </c>
      <c r="G32" s="102">
        <v>14</v>
      </c>
    </row>
    <row r="33" spans="1:7" ht="15" x14ac:dyDescent="0.25">
      <c r="A33" s="101" t="s">
        <v>1</v>
      </c>
      <c r="B33" s="101" t="s">
        <v>2</v>
      </c>
      <c r="C33" s="101" t="s">
        <v>57</v>
      </c>
      <c r="D33" s="102">
        <v>7</v>
      </c>
      <c r="E33" s="102">
        <v>6</v>
      </c>
      <c r="F33" s="102">
        <v>4</v>
      </c>
      <c r="G33" s="102">
        <v>11</v>
      </c>
    </row>
    <row r="34" spans="1:7" ht="15" x14ac:dyDescent="0.25">
      <c r="A34" s="101" t="s">
        <v>1</v>
      </c>
      <c r="B34" s="101" t="s">
        <v>2</v>
      </c>
      <c r="C34" s="101" t="s">
        <v>12</v>
      </c>
      <c r="D34" s="102">
        <v>6</v>
      </c>
      <c r="E34" s="102">
        <v>13</v>
      </c>
      <c r="F34" s="102">
        <v>10</v>
      </c>
      <c r="G34" s="102">
        <v>27</v>
      </c>
    </row>
    <row r="35" spans="1:7" s="8" customFormat="1" ht="15" x14ac:dyDescent="0.25">
      <c r="A35" s="101" t="s">
        <v>1</v>
      </c>
      <c r="B35" s="101" t="s">
        <v>2</v>
      </c>
      <c r="C35" s="101" t="s">
        <v>13</v>
      </c>
      <c r="D35" s="102">
        <v>69</v>
      </c>
      <c r="E35" s="102">
        <v>77</v>
      </c>
      <c r="F35" s="102">
        <v>26</v>
      </c>
      <c r="G35" s="102">
        <v>92</v>
      </c>
    </row>
    <row r="36" spans="1:7" s="8" customFormat="1" ht="15" x14ac:dyDescent="0.25">
      <c r="A36" s="74" t="s">
        <v>1</v>
      </c>
      <c r="B36" s="74" t="s">
        <v>18</v>
      </c>
      <c r="C36" s="81"/>
      <c r="D36" s="105">
        <v>401</v>
      </c>
      <c r="E36" s="105">
        <v>432</v>
      </c>
      <c r="F36" s="105">
        <v>163</v>
      </c>
      <c r="G36" s="105">
        <v>649</v>
      </c>
    </row>
    <row r="37" spans="1:7" s="79" customFormat="1" ht="15" x14ac:dyDescent="0.25">
      <c r="A37" s="78"/>
      <c r="B37" s="85" t="s">
        <v>241</v>
      </c>
      <c r="C37" s="87"/>
      <c r="D37" s="106">
        <v>0.18991097922848665</v>
      </c>
      <c r="E37" s="106">
        <v>-1.1441647597254004E-2</v>
      </c>
      <c r="F37" s="106">
        <v>0.59803921568627449</v>
      </c>
      <c r="G37" s="106">
        <v>0.1113013698630137</v>
      </c>
    </row>
    <row r="38" spans="1:7" ht="15" x14ac:dyDescent="0.25">
      <c r="A38" s="101"/>
      <c r="B38" s="101"/>
      <c r="C38" s="101"/>
      <c r="D38" s="102"/>
      <c r="E38" s="102"/>
      <c r="F38" s="102"/>
      <c r="G38" s="102"/>
    </row>
    <row r="39" spans="1:7" ht="15" x14ac:dyDescent="0.25">
      <c r="A39" s="101" t="s">
        <v>1</v>
      </c>
      <c r="B39" s="101" t="s">
        <v>19</v>
      </c>
      <c r="C39" s="101" t="s">
        <v>58</v>
      </c>
      <c r="D39" s="102">
        <v>67</v>
      </c>
      <c r="E39" s="102">
        <v>26</v>
      </c>
      <c r="F39" s="102">
        <v>7</v>
      </c>
      <c r="G39" s="102">
        <v>93</v>
      </c>
    </row>
    <row r="40" spans="1:7" ht="15" x14ac:dyDescent="0.25">
      <c r="A40" s="101" t="s">
        <v>1</v>
      </c>
      <c r="B40" s="101" t="s">
        <v>19</v>
      </c>
      <c r="C40" s="101" t="s">
        <v>59</v>
      </c>
      <c r="D40" s="102">
        <v>15</v>
      </c>
      <c r="E40" s="102">
        <v>58</v>
      </c>
      <c r="F40" s="102">
        <v>10</v>
      </c>
      <c r="G40" s="102">
        <v>74</v>
      </c>
    </row>
    <row r="41" spans="1:7" ht="15" x14ac:dyDescent="0.25">
      <c r="A41" s="101" t="s">
        <v>1</v>
      </c>
      <c r="B41" s="101" t="s">
        <v>19</v>
      </c>
      <c r="C41" s="101" t="s">
        <v>60</v>
      </c>
      <c r="D41" s="102">
        <v>33</v>
      </c>
      <c r="E41" s="102">
        <v>35</v>
      </c>
      <c r="F41" s="102">
        <v>23</v>
      </c>
      <c r="G41" s="102">
        <v>70</v>
      </c>
    </row>
    <row r="42" spans="1:7" ht="15" x14ac:dyDescent="0.25">
      <c r="A42" s="101" t="s">
        <v>1</v>
      </c>
      <c r="B42" s="101" t="s">
        <v>19</v>
      </c>
      <c r="C42" s="101" t="s">
        <v>61</v>
      </c>
      <c r="D42" s="102">
        <v>16</v>
      </c>
      <c r="E42" s="102">
        <v>26</v>
      </c>
      <c r="F42" s="102">
        <v>9</v>
      </c>
      <c r="G42" s="102">
        <v>44</v>
      </c>
    </row>
    <row r="43" spans="1:7" ht="15" x14ac:dyDescent="0.25">
      <c r="A43" s="101" t="s">
        <v>1</v>
      </c>
      <c r="B43" s="101" t="s">
        <v>19</v>
      </c>
      <c r="C43" s="101" t="s">
        <v>62</v>
      </c>
      <c r="D43" s="102">
        <v>30</v>
      </c>
      <c r="E43" s="102">
        <v>23</v>
      </c>
      <c r="F43" s="102">
        <v>16</v>
      </c>
      <c r="G43" s="102">
        <v>58</v>
      </c>
    </row>
    <row r="44" spans="1:7" ht="15" x14ac:dyDescent="0.25">
      <c r="A44" s="101" t="s">
        <v>1</v>
      </c>
      <c r="B44" s="101" t="s">
        <v>19</v>
      </c>
      <c r="C44" s="101" t="s">
        <v>63</v>
      </c>
      <c r="D44" s="102">
        <v>13</v>
      </c>
      <c r="E44" s="102">
        <v>10</v>
      </c>
      <c r="F44" s="102">
        <v>9</v>
      </c>
      <c r="G44" s="102">
        <v>24</v>
      </c>
    </row>
    <row r="45" spans="1:7" ht="15" x14ac:dyDescent="0.25">
      <c r="A45" s="101" t="s">
        <v>1</v>
      </c>
      <c r="B45" s="101" t="s">
        <v>19</v>
      </c>
      <c r="C45" s="101" t="s">
        <v>64</v>
      </c>
      <c r="D45" s="102">
        <v>33</v>
      </c>
      <c r="E45" s="102">
        <v>33</v>
      </c>
      <c r="F45" s="102">
        <v>20</v>
      </c>
      <c r="G45" s="102">
        <v>62</v>
      </c>
    </row>
    <row r="46" spans="1:7" ht="15" x14ac:dyDescent="0.25">
      <c r="A46" s="101" t="s">
        <v>1</v>
      </c>
      <c r="B46" s="101" t="s">
        <v>19</v>
      </c>
      <c r="C46" s="101" t="s">
        <v>65</v>
      </c>
      <c r="D46" s="102">
        <v>34</v>
      </c>
      <c r="E46" s="102">
        <v>37</v>
      </c>
      <c r="F46" s="102">
        <v>23</v>
      </c>
      <c r="G46" s="102">
        <v>68</v>
      </c>
    </row>
    <row r="47" spans="1:7" ht="15" x14ac:dyDescent="0.25">
      <c r="A47" s="101" t="s">
        <v>1</v>
      </c>
      <c r="B47" s="101" t="s">
        <v>19</v>
      </c>
      <c r="C47" s="101" t="s">
        <v>196</v>
      </c>
      <c r="D47" s="102">
        <v>21</v>
      </c>
      <c r="E47" s="102">
        <v>18</v>
      </c>
      <c r="F47" s="102">
        <v>12</v>
      </c>
      <c r="G47" s="102">
        <v>29</v>
      </c>
    </row>
    <row r="48" spans="1:7" ht="15" x14ac:dyDescent="0.25">
      <c r="A48" s="101" t="s">
        <v>1</v>
      </c>
      <c r="B48" s="101" t="s">
        <v>19</v>
      </c>
      <c r="C48" s="101" t="s">
        <v>66</v>
      </c>
      <c r="D48" s="102">
        <v>6</v>
      </c>
      <c r="E48" s="102">
        <v>8</v>
      </c>
      <c r="F48" s="102">
        <v>3</v>
      </c>
      <c r="G48" s="102">
        <v>15</v>
      </c>
    </row>
    <row r="49" spans="1:7" ht="15" x14ac:dyDescent="0.25">
      <c r="A49" s="101" t="s">
        <v>1</v>
      </c>
      <c r="B49" s="101" t="s">
        <v>19</v>
      </c>
      <c r="C49" s="101" t="s">
        <v>67</v>
      </c>
      <c r="D49" s="102">
        <v>28</v>
      </c>
      <c r="E49" s="102">
        <v>27</v>
      </c>
      <c r="F49" s="102">
        <v>17</v>
      </c>
      <c r="G49" s="102">
        <v>52</v>
      </c>
    </row>
    <row r="50" spans="1:7" ht="15" x14ac:dyDescent="0.25">
      <c r="A50" s="101" t="s">
        <v>1</v>
      </c>
      <c r="B50" s="101" t="s">
        <v>19</v>
      </c>
      <c r="C50" s="101" t="s">
        <v>68</v>
      </c>
      <c r="D50" s="102">
        <v>21</v>
      </c>
      <c r="E50" s="102">
        <v>25</v>
      </c>
      <c r="F50" s="102">
        <v>10</v>
      </c>
      <c r="G50" s="102">
        <v>43</v>
      </c>
    </row>
    <row r="51" spans="1:7" s="8" customFormat="1" ht="15" x14ac:dyDescent="0.25">
      <c r="A51" s="101" t="s">
        <v>1</v>
      </c>
      <c r="B51" s="101" t="s">
        <v>19</v>
      </c>
      <c r="C51" s="101" t="s">
        <v>69</v>
      </c>
      <c r="D51" s="102">
        <v>49</v>
      </c>
      <c r="E51" s="102">
        <v>57</v>
      </c>
      <c r="F51" s="102">
        <v>25</v>
      </c>
      <c r="G51" s="102">
        <v>89</v>
      </c>
    </row>
    <row r="52" spans="1:7" s="8" customFormat="1" ht="15" x14ac:dyDescent="0.25">
      <c r="A52" s="101" t="s">
        <v>1</v>
      </c>
      <c r="B52" s="101" t="s">
        <v>19</v>
      </c>
      <c r="C52" s="101" t="s">
        <v>70</v>
      </c>
      <c r="D52" s="102">
        <v>8</v>
      </c>
      <c r="E52" s="102">
        <v>6</v>
      </c>
      <c r="F52" s="102">
        <v>2</v>
      </c>
      <c r="G52" s="102">
        <v>12</v>
      </c>
    </row>
    <row r="53" spans="1:7" s="8" customFormat="1" ht="15" x14ac:dyDescent="0.25">
      <c r="A53" s="74" t="s">
        <v>1</v>
      </c>
      <c r="B53" s="74" t="s">
        <v>28</v>
      </c>
      <c r="C53" s="81"/>
      <c r="D53" s="105">
        <v>374</v>
      </c>
      <c r="E53" s="105">
        <v>389</v>
      </c>
      <c r="F53" s="105">
        <v>186</v>
      </c>
      <c r="G53" s="105">
        <v>733</v>
      </c>
    </row>
    <row r="54" spans="1:7" s="79" customFormat="1" ht="15" x14ac:dyDescent="0.25">
      <c r="A54" s="78"/>
      <c r="B54" s="85" t="s">
        <v>241</v>
      </c>
      <c r="C54" s="87"/>
      <c r="D54" s="106">
        <v>-1.5789473684210527E-2</v>
      </c>
      <c r="E54" s="106">
        <v>5.1351351351351354E-2</v>
      </c>
      <c r="F54" s="106">
        <v>0.12727272727272726</v>
      </c>
      <c r="G54" s="106">
        <v>3.971631205673759E-2</v>
      </c>
    </row>
    <row r="55" spans="1:7" s="8" customFormat="1" ht="15" x14ac:dyDescent="0.25">
      <c r="A55" s="78"/>
      <c r="B55" s="85"/>
      <c r="C55" s="87"/>
      <c r="D55" s="104"/>
      <c r="E55" s="104"/>
      <c r="F55" s="104"/>
      <c r="G55" s="104"/>
    </row>
    <row r="56" spans="1:7" ht="15" x14ac:dyDescent="0.25">
      <c r="A56" s="74" t="s">
        <v>1</v>
      </c>
      <c r="B56" s="74" t="s">
        <v>78</v>
      </c>
      <c r="C56" s="74"/>
      <c r="D56" s="76">
        <v>842</v>
      </c>
      <c r="E56" s="76">
        <v>943</v>
      </c>
      <c r="F56" s="76">
        <v>395</v>
      </c>
      <c r="G56" s="76">
        <v>1555</v>
      </c>
    </row>
    <row r="57" spans="1:7" s="79" customFormat="1" ht="15" x14ac:dyDescent="0.25">
      <c r="A57" s="78"/>
      <c r="B57" s="85" t="s">
        <v>241</v>
      </c>
      <c r="C57" s="78"/>
      <c r="D57" s="106">
        <v>7.6726342710997444E-2</v>
      </c>
      <c r="E57" s="106">
        <v>1.1802575107296138E-2</v>
      </c>
      <c r="F57" s="106">
        <v>0.24605678233438485</v>
      </c>
      <c r="G57" s="106">
        <v>5.710401087695445E-2</v>
      </c>
    </row>
    <row r="58" spans="1:7" ht="15" x14ac:dyDescent="0.25">
      <c r="A58" s="101"/>
      <c r="B58" s="101"/>
      <c r="C58" s="101"/>
      <c r="D58" s="102"/>
      <c r="E58" s="102"/>
      <c r="F58" s="102"/>
      <c r="G58" s="102"/>
    </row>
    <row r="59" spans="1:7" s="8" customFormat="1" ht="15" x14ac:dyDescent="0.25">
      <c r="A59" s="101" t="s">
        <v>38</v>
      </c>
      <c r="B59" s="101" t="s">
        <v>5</v>
      </c>
      <c r="C59" s="101" t="s">
        <v>71</v>
      </c>
      <c r="D59" s="102">
        <v>21</v>
      </c>
      <c r="E59" s="102">
        <v>44</v>
      </c>
      <c r="F59" s="102">
        <v>1</v>
      </c>
      <c r="G59" s="102">
        <v>58</v>
      </c>
    </row>
    <row r="60" spans="1:7" s="8" customFormat="1" ht="15" x14ac:dyDescent="0.25">
      <c r="A60" s="101" t="s">
        <v>38</v>
      </c>
      <c r="B60" s="101" t="s">
        <v>5</v>
      </c>
      <c r="C60" s="101" t="s">
        <v>72</v>
      </c>
      <c r="D60" s="102">
        <v>1</v>
      </c>
      <c r="E60" s="102">
        <v>2</v>
      </c>
      <c r="F60" s="102">
        <v>2</v>
      </c>
      <c r="G60" s="102">
        <v>5</v>
      </c>
    </row>
    <row r="61" spans="1:7" ht="15" x14ac:dyDescent="0.25">
      <c r="A61" s="74" t="s">
        <v>38</v>
      </c>
      <c r="B61" s="74" t="s">
        <v>80</v>
      </c>
      <c r="C61" s="81"/>
      <c r="D61" s="77">
        <v>22</v>
      </c>
      <c r="E61" s="77">
        <v>46</v>
      </c>
      <c r="F61" s="77">
        <v>3</v>
      </c>
      <c r="G61" s="77">
        <v>63</v>
      </c>
    </row>
    <row r="62" spans="1:7" s="79" customFormat="1" ht="15" x14ac:dyDescent="0.25">
      <c r="A62" s="78"/>
      <c r="B62" s="85" t="s">
        <v>241</v>
      </c>
      <c r="C62" s="87"/>
      <c r="D62" s="106">
        <v>-8.3333333333333329E-2</v>
      </c>
      <c r="E62" s="106">
        <v>-0.11538461538461539</v>
      </c>
      <c r="F62" s="106">
        <v>0.5</v>
      </c>
      <c r="G62" s="106">
        <v>-7.3529411764705885E-2</v>
      </c>
    </row>
    <row r="63" spans="1:7" s="8" customFormat="1" ht="15" x14ac:dyDescent="0.25">
      <c r="A63" s="101"/>
      <c r="B63" s="101"/>
      <c r="C63" s="101"/>
      <c r="D63" s="102"/>
      <c r="E63" s="102"/>
      <c r="F63" s="102"/>
      <c r="G63" s="102"/>
    </row>
    <row r="64" spans="1:7" s="8" customFormat="1" ht="15" x14ac:dyDescent="0.25">
      <c r="A64" s="101" t="s">
        <v>38</v>
      </c>
      <c r="B64" s="101" t="s">
        <v>19</v>
      </c>
      <c r="C64" s="101" t="s">
        <v>73</v>
      </c>
      <c r="D64" s="102">
        <v>161</v>
      </c>
      <c r="E64" s="102">
        <v>90</v>
      </c>
      <c r="F64" s="102">
        <v>28</v>
      </c>
      <c r="G64" s="102">
        <v>259</v>
      </c>
    </row>
    <row r="65" spans="1:7" s="8" customFormat="1" ht="15" x14ac:dyDescent="0.25">
      <c r="A65" s="101" t="s">
        <v>38</v>
      </c>
      <c r="B65" s="101" t="s">
        <v>19</v>
      </c>
      <c r="C65" s="101" t="s">
        <v>92</v>
      </c>
      <c r="D65" s="102">
        <v>123</v>
      </c>
      <c r="E65" s="102">
        <v>29</v>
      </c>
      <c r="F65" s="102">
        <v>25</v>
      </c>
      <c r="G65" s="102">
        <v>167</v>
      </c>
    </row>
    <row r="66" spans="1:7" s="8" customFormat="1" ht="15" x14ac:dyDescent="0.25">
      <c r="A66" s="74" t="s">
        <v>38</v>
      </c>
      <c r="B66" s="74" t="s">
        <v>79</v>
      </c>
      <c r="C66" s="81"/>
      <c r="D66" s="77">
        <v>284</v>
      </c>
      <c r="E66" s="77">
        <v>119</v>
      </c>
      <c r="F66" s="77">
        <v>53</v>
      </c>
      <c r="G66" s="77">
        <v>426</v>
      </c>
    </row>
    <row r="67" spans="1:7" s="8" customFormat="1" ht="15" x14ac:dyDescent="0.25">
      <c r="A67" s="74"/>
      <c r="B67" s="85" t="s">
        <v>241</v>
      </c>
      <c r="C67" s="81"/>
      <c r="D67" s="106">
        <v>-0.15727002967359049</v>
      </c>
      <c r="E67" s="106">
        <v>-4.0322580645161289E-2</v>
      </c>
      <c r="F67" s="106">
        <v>1.9230769230769232E-2</v>
      </c>
      <c r="G67" s="106">
        <v>-8.5836909871244635E-2</v>
      </c>
    </row>
    <row r="68" spans="1:7" ht="15" x14ac:dyDescent="0.25">
      <c r="A68" s="74"/>
      <c r="B68" s="85"/>
      <c r="C68" s="81"/>
      <c r="D68" s="104"/>
      <c r="E68" s="104"/>
      <c r="F68" s="104"/>
      <c r="G68" s="104"/>
    </row>
    <row r="69" spans="1:7" ht="15" x14ac:dyDescent="0.25">
      <c r="A69" s="74" t="s">
        <v>38</v>
      </c>
      <c r="B69" s="74" t="s">
        <v>78</v>
      </c>
      <c r="C69" s="74"/>
      <c r="D69" s="76">
        <v>306</v>
      </c>
      <c r="E69" s="76">
        <v>165</v>
      </c>
      <c r="F69" s="76">
        <v>56</v>
      </c>
      <c r="G69" s="76">
        <v>489</v>
      </c>
    </row>
    <row r="70" spans="1:7" s="79" customFormat="1" ht="15" x14ac:dyDescent="0.25">
      <c r="A70" s="78"/>
      <c r="B70" s="85" t="s">
        <v>241</v>
      </c>
      <c r="C70" s="78"/>
      <c r="D70" s="106">
        <v>-0.1523545706371191</v>
      </c>
      <c r="E70" s="106">
        <v>-6.25E-2</v>
      </c>
      <c r="F70" s="106">
        <v>3.7037037037037035E-2</v>
      </c>
      <c r="G70" s="106">
        <v>-8.4269662921348312E-2</v>
      </c>
    </row>
    <row r="71" spans="1:7" ht="15" x14ac:dyDescent="0.25">
      <c r="A71" s="101"/>
      <c r="B71" s="101"/>
      <c r="C71" s="101"/>
      <c r="D71" s="102"/>
      <c r="E71" s="102"/>
      <c r="F71" s="102"/>
      <c r="G71" s="102"/>
    </row>
    <row r="72" spans="1:7" s="8" customFormat="1" ht="15" x14ac:dyDescent="0.25">
      <c r="A72" s="101" t="s">
        <v>74</v>
      </c>
      <c r="B72" s="101" t="s">
        <v>2</v>
      </c>
      <c r="C72" s="101" t="s">
        <v>237</v>
      </c>
      <c r="D72" s="102">
        <v>9</v>
      </c>
      <c r="E72" s="103"/>
      <c r="F72" s="102">
        <v>3</v>
      </c>
      <c r="G72" s="102">
        <v>12</v>
      </c>
    </row>
    <row r="73" spans="1:7" s="8" customFormat="1" ht="15" x14ac:dyDescent="0.25">
      <c r="A73" s="101" t="s">
        <v>74</v>
      </c>
      <c r="B73" s="101" t="s">
        <v>2</v>
      </c>
      <c r="C73" s="101" t="s">
        <v>198</v>
      </c>
      <c r="D73" s="102">
        <v>4</v>
      </c>
      <c r="E73" s="102">
        <v>6</v>
      </c>
      <c r="F73" s="102">
        <v>2</v>
      </c>
      <c r="G73" s="102">
        <v>8</v>
      </c>
    </row>
    <row r="74" spans="1:7" s="8" customFormat="1" ht="15" x14ac:dyDescent="0.25">
      <c r="A74" s="101" t="s">
        <v>74</v>
      </c>
      <c r="B74" s="101" t="s">
        <v>2</v>
      </c>
      <c r="C74" s="101" t="s">
        <v>75</v>
      </c>
      <c r="D74" s="102">
        <v>12</v>
      </c>
      <c r="E74" s="102">
        <v>21</v>
      </c>
      <c r="F74" s="102">
        <v>7</v>
      </c>
      <c r="G74" s="102">
        <v>32</v>
      </c>
    </row>
    <row r="75" spans="1:7" ht="15" x14ac:dyDescent="0.25">
      <c r="A75" s="101" t="s">
        <v>74</v>
      </c>
      <c r="B75" s="101" t="s">
        <v>2</v>
      </c>
      <c r="C75" s="101" t="s">
        <v>238</v>
      </c>
      <c r="D75" s="102">
        <v>1</v>
      </c>
      <c r="E75" s="102">
        <v>2</v>
      </c>
      <c r="F75" s="103"/>
      <c r="G75" s="102">
        <v>3</v>
      </c>
    </row>
    <row r="76" spans="1:7" ht="15" x14ac:dyDescent="0.25">
      <c r="A76" s="101" t="s">
        <v>74</v>
      </c>
      <c r="B76" s="101" t="s">
        <v>2</v>
      </c>
      <c r="C76" s="101" t="s">
        <v>199</v>
      </c>
      <c r="D76" s="102">
        <v>1</v>
      </c>
      <c r="E76" s="102">
        <v>9</v>
      </c>
      <c r="F76" s="103"/>
      <c r="G76" s="102">
        <v>10</v>
      </c>
    </row>
    <row r="77" spans="1:7" ht="15" x14ac:dyDescent="0.25">
      <c r="A77" s="101" t="s">
        <v>74</v>
      </c>
      <c r="B77" s="101" t="s">
        <v>2</v>
      </c>
      <c r="C77" s="101" t="s">
        <v>95</v>
      </c>
      <c r="D77" s="102">
        <v>8</v>
      </c>
      <c r="E77" s="102">
        <v>7</v>
      </c>
      <c r="F77" s="102">
        <v>2</v>
      </c>
      <c r="G77" s="102">
        <v>10</v>
      </c>
    </row>
    <row r="78" spans="1:7" ht="15" x14ac:dyDescent="0.25">
      <c r="A78" s="101" t="s">
        <v>74</v>
      </c>
      <c r="B78" s="101" t="s">
        <v>2</v>
      </c>
      <c r="C78" s="101" t="s">
        <v>76</v>
      </c>
      <c r="D78" s="102">
        <v>34</v>
      </c>
      <c r="E78" s="102">
        <v>34</v>
      </c>
      <c r="F78" s="102">
        <v>1</v>
      </c>
      <c r="G78" s="102">
        <v>45</v>
      </c>
    </row>
    <row r="79" spans="1:7" s="8" customFormat="1" ht="15" x14ac:dyDescent="0.25">
      <c r="A79" s="101" t="s">
        <v>74</v>
      </c>
      <c r="B79" s="101" t="s">
        <v>2</v>
      </c>
      <c r="C79" s="101" t="s">
        <v>94</v>
      </c>
      <c r="D79" s="102">
        <v>13</v>
      </c>
      <c r="E79" s="102">
        <v>9</v>
      </c>
      <c r="F79" s="102">
        <v>3</v>
      </c>
      <c r="G79" s="102">
        <v>20</v>
      </c>
    </row>
    <row r="80" spans="1:7" s="79" customFormat="1" ht="15" x14ac:dyDescent="0.25">
      <c r="A80" s="101" t="s">
        <v>74</v>
      </c>
      <c r="B80" s="101" t="s">
        <v>2</v>
      </c>
      <c r="C80" s="101" t="s">
        <v>93</v>
      </c>
      <c r="D80" s="102">
        <v>1</v>
      </c>
      <c r="E80" s="102">
        <v>20</v>
      </c>
      <c r="F80" s="102">
        <v>4</v>
      </c>
      <c r="G80" s="102">
        <v>24</v>
      </c>
    </row>
    <row r="81" spans="1:7" ht="15" x14ac:dyDescent="0.25">
      <c r="A81" s="101" t="s">
        <v>74</v>
      </c>
      <c r="B81" s="101" t="s">
        <v>2</v>
      </c>
      <c r="C81" s="101" t="s">
        <v>239</v>
      </c>
      <c r="D81" s="102">
        <v>2</v>
      </c>
      <c r="E81" s="103"/>
      <c r="F81" s="103"/>
      <c r="G81" s="102">
        <v>2</v>
      </c>
    </row>
    <row r="82" spans="1:7" ht="15" x14ac:dyDescent="0.25">
      <c r="A82" s="74" t="s">
        <v>74</v>
      </c>
      <c r="B82" s="74" t="s">
        <v>200</v>
      </c>
      <c r="C82" s="81"/>
      <c r="D82" s="77">
        <v>85</v>
      </c>
      <c r="E82" s="77">
        <v>108</v>
      </c>
      <c r="F82" s="77">
        <v>22</v>
      </c>
      <c r="G82" s="77">
        <v>166</v>
      </c>
    </row>
    <row r="83" spans="1:7" ht="15" x14ac:dyDescent="0.25">
      <c r="A83" s="78"/>
      <c r="B83" s="85" t="s">
        <v>241</v>
      </c>
      <c r="C83" s="87"/>
      <c r="D83" s="106">
        <v>0.46551724137931033</v>
      </c>
      <c r="E83" s="106">
        <v>0.1368421052631579</v>
      </c>
      <c r="F83" s="106">
        <v>1</v>
      </c>
      <c r="G83" s="106">
        <v>0.32800000000000001</v>
      </c>
    </row>
    <row r="84" spans="1:7" s="79" customFormat="1" ht="15" x14ac:dyDescent="0.25">
      <c r="A84" s="101"/>
      <c r="B84" s="101"/>
      <c r="C84" s="101"/>
      <c r="D84" s="102"/>
      <c r="E84" s="103"/>
      <c r="F84" s="103"/>
      <c r="G84" s="102"/>
    </row>
    <row r="85" spans="1:7" ht="15" x14ac:dyDescent="0.25">
      <c r="A85" s="101" t="s">
        <v>74</v>
      </c>
      <c r="B85" s="101" t="s">
        <v>43</v>
      </c>
      <c r="C85" s="101" t="s">
        <v>197</v>
      </c>
      <c r="D85" s="102">
        <v>1</v>
      </c>
      <c r="E85" s="103"/>
      <c r="F85" s="103"/>
      <c r="G85" s="102">
        <v>1</v>
      </c>
    </row>
    <row r="86" spans="1:7" ht="15" x14ac:dyDescent="0.25">
      <c r="A86" s="74" t="s">
        <v>74</v>
      </c>
      <c r="B86" s="74" t="s">
        <v>201</v>
      </c>
      <c r="C86" s="81"/>
      <c r="D86" s="77">
        <v>1</v>
      </c>
      <c r="E86" s="77">
        <v>0</v>
      </c>
      <c r="F86" s="77">
        <v>0</v>
      </c>
      <c r="G86" s="77">
        <v>1</v>
      </c>
    </row>
    <row r="87" spans="1:7" s="79" customFormat="1" ht="15" x14ac:dyDescent="0.25">
      <c r="A87" s="78"/>
      <c r="B87" s="85" t="s">
        <v>241</v>
      </c>
      <c r="C87" s="87"/>
      <c r="D87" s="88" t="s">
        <v>98</v>
      </c>
      <c r="E87" s="88" t="s">
        <v>98</v>
      </c>
      <c r="F87" s="88" t="s">
        <v>98</v>
      </c>
      <c r="G87" s="88">
        <v>-0.75</v>
      </c>
    </row>
    <row r="88" spans="1:7" ht="15" x14ac:dyDescent="0.25">
      <c r="A88" s="78"/>
      <c r="B88" s="85"/>
      <c r="C88" s="87"/>
      <c r="D88" s="88"/>
      <c r="E88" s="88"/>
      <c r="F88" s="88"/>
      <c r="G88" s="88"/>
    </row>
    <row r="89" spans="1:7" ht="15" x14ac:dyDescent="0.25">
      <c r="A89" s="74" t="s">
        <v>74</v>
      </c>
      <c r="B89" s="74" t="s">
        <v>78</v>
      </c>
      <c r="C89" s="81"/>
      <c r="D89" s="77">
        <v>86</v>
      </c>
      <c r="E89" s="77">
        <v>108</v>
      </c>
      <c r="F89" s="77">
        <v>22</v>
      </c>
      <c r="G89" s="77">
        <v>167</v>
      </c>
    </row>
    <row r="90" spans="1:7" ht="15" x14ac:dyDescent="0.25">
      <c r="A90" s="78"/>
      <c r="B90" s="85" t="s">
        <v>241</v>
      </c>
      <c r="C90" s="87"/>
      <c r="D90" s="88">
        <v>0.48275862068965519</v>
      </c>
      <c r="E90" s="88">
        <v>0.1134020618556701</v>
      </c>
      <c r="F90" s="88">
        <v>0.46666666666666667</v>
      </c>
      <c r="G90" s="88">
        <v>0.29457364341085274</v>
      </c>
    </row>
    <row r="91" spans="1:7" ht="15" x14ac:dyDescent="0.25">
      <c r="A91" s="78"/>
      <c r="B91" s="85"/>
      <c r="C91" s="87"/>
      <c r="D91" s="88"/>
      <c r="E91" s="88"/>
      <c r="F91" s="88"/>
      <c r="G91" s="88"/>
    </row>
    <row r="92" spans="1:7" ht="15" x14ac:dyDescent="0.25">
      <c r="A92" s="73" t="s">
        <v>20</v>
      </c>
      <c r="B92" s="73" t="s">
        <v>20</v>
      </c>
      <c r="C92" s="101" t="s">
        <v>188</v>
      </c>
      <c r="D92" s="103"/>
      <c r="E92" s="102">
        <v>1</v>
      </c>
      <c r="F92" s="103"/>
      <c r="G92" s="102">
        <v>1</v>
      </c>
    </row>
    <row r="93" spans="1:7" ht="15" x14ac:dyDescent="0.25">
      <c r="A93" s="73" t="s">
        <v>20</v>
      </c>
      <c r="B93" s="73" t="s">
        <v>20</v>
      </c>
      <c r="C93" s="101" t="s">
        <v>225</v>
      </c>
      <c r="D93" s="103"/>
      <c r="E93" s="102">
        <v>13</v>
      </c>
      <c r="F93" s="103"/>
      <c r="G93" s="102">
        <v>13</v>
      </c>
    </row>
    <row r="94" spans="1:7" ht="15" x14ac:dyDescent="0.25">
      <c r="A94" s="73" t="s">
        <v>20</v>
      </c>
      <c r="B94" s="73" t="s">
        <v>20</v>
      </c>
      <c r="C94" s="101" t="s">
        <v>189</v>
      </c>
      <c r="D94" s="103"/>
      <c r="E94" s="102">
        <v>4</v>
      </c>
      <c r="F94" s="103"/>
      <c r="G94" s="102">
        <v>4</v>
      </c>
    </row>
    <row r="95" spans="1:7" ht="15" x14ac:dyDescent="0.25">
      <c r="A95" s="73" t="s">
        <v>20</v>
      </c>
      <c r="B95" s="73" t="s">
        <v>20</v>
      </c>
      <c r="C95" s="101" t="s">
        <v>226</v>
      </c>
      <c r="D95" s="103"/>
      <c r="E95" s="102">
        <v>10</v>
      </c>
      <c r="F95" s="103"/>
      <c r="G95" s="102">
        <v>10</v>
      </c>
    </row>
    <row r="96" spans="1:7" ht="15" x14ac:dyDescent="0.25">
      <c r="A96" s="73" t="s">
        <v>20</v>
      </c>
      <c r="B96" s="73" t="s">
        <v>20</v>
      </c>
      <c r="C96" s="101" t="s">
        <v>171</v>
      </c>
      <c r="D96" s="102">
        <v>1</v>
      </c>
      <c r="E96" s="102">
        <v>1</v>
      </c>
      <c r="F96" s="102">
        <v>1</v>
      </c>
      <c r="G96" s="102">
        <v>3</v>
      </c>
    </row>
    <row r="97" spans="1:7" ht="15" x14ac:dyDescent="0.25">
      <c r="A97" s="73" t="s">
        <v>20</v>
      </c>
      <c r="B97" s="73" t="s">
        <v>20</v>
      </c>
      <c r="C97" s="101" t="s">
        <v>227</v>
      </c>
      <c r="D97" s="103"/>
      <c r="E97" s="103"/>
      <c r="F97" s="102">
        <v>1</v>
      </c>
      <c r="G97" s="102">
        <v>1</v>
      </c>
    </row>
    <row r="98" spans="1:7" ht="15" x14ac:dyDescent="0.25">
      <c r="A98" s="73" t="s">
        <v>20</v>
      </c>
      <c r="B98" s="73" t="s">
        <v>20</v>
      </c>
      <c r="C98" s="101" t="s">
        <v>190</v>
      </c>
      <c r="D98" s="102">
        <v>9</v>
      </c>
      <c r="E98" s="103"/>
      <c r="F98" s="103"/>
      <c r="G98" s="102">
        <v>9</v>
      </c>
    </row>
    <row r="99" spans="1:7" ht="15" x14ac:dyDescent="0.25">
      <c r="A99" s="73" t="s">
        <v>20</v>
      </c>
      <c r="B99" s="73" t="s">
        <v>20</v>
      </c>
      <c r="C99" s="101" t="s">
        <v>228</v>
      </c>
      <c r="D99" s="102">
        <v>2</v>
      </c>
      <c r="E99" s="102">
        <v>2</v>
      </c>
      <c r="F99" s="103"/>
      <c r="G99" s="102">
        <v>2</v>
      </c>
    </row>
    <row r="100" spans="1:7" ht="15" x14ac:dyDescent="0.25">
      <c r="A100" s="73" t="s">
        <v>20</v>
      </c>
      <c r="B100" s="73" t="s">
        <v>20</v>
      </c>
      <c r="C100" s="101" t="s">
        <v>191</v>
      </c>
      <c r="D100" s="103"/>
      <c r="E100" s="102">
        <v>12</v>
      </c>
      <c r="F100" s="102">
        <v>5</v>
      </c>
      <c r="G100" s="102">
        <v>16</v>
      </c>
    </row>
    <row r="101" spans="1:7" ht="15" x14ac:dyDescent="0.25">
      <c r="A101" s="73" t="s">
        <v>20</v>
      </c>
      <c r="B101" s="73" t="s">
        <v>20</v>
      </c>
      <c r="C101" s="101" t="s">
        <v>240</v>
      </c>
      <c r="D101" s="103"/>
      <c r="E101" s="102">
        <v>1</v>
      </c>
      <c r="F101" s="103"/>
      <c r="G101" s="102">
        <v>1</v>
      </c>
    </row>
    <row r="102" spans="1:7" ht="15" x14ac:dyDescent="0.25">
      <c r="A102" s="73" t="s">
        <v>20</v>
      </c>
      <c r="B102" s="73" t="s">
        <v>20</v>
      </c>
      <c r="C102" s="101" t="s">
        <v>229</v>
      </c>
      <c r="D102" s="103"/>
      <c r="E102" s="102">
        <v>2</v>
      </c>
      <c r="F102" s="103"/>
      <c r="G102" s="102">
        <v>2</v>
      </c>
    </row>
    <row r="103" spans="1:7" ht="15" x14ac:dyDescent="0.25">
      <c r="A103" s="73" t="s">
        <v>20</v>
      </c>
      <c r="B103" s="73" t="s">
        <v>20</v>
      </c>
      <c r="C103" s="101" t="s">
        <v>230</v>
      </c>
      <c r="D103" s="103"/>
      <c r="E103" s="102">
        <v>17</v>
      </c>
      <c r="F103" s="103"/>
      <c r="G103" s="102">
        <v>17</v>
      </c>
    </row>
    <row r="104" spans="1:7" ht="15" x14ac:dyDescent="0.25">
      <c r="A104" s="73" t="s">
        <v>20</v>
      </c>
      <c r="B104" s="73" t="s">
        <v>20</v>
      </c>
      <c r="C104" s="101" t="s">
        <v>231</v>
      </c>
      <c r="D104" s="103"/>
      <c r="E104" s="103"/>
      <c r="F104" s="102">
        <v>1</v>
      </c>
      <c r="G104" s="102">
        <v>1</v>
      </c>
    </row>
    <row r="105" spans="1:7" ht="15" x14ac:dyDescent="0.25">
      <c r="A105" s="73" t="s">
        <v>20</v>
      </c>
      <c r="B105" s="73" t="s">
        <v>20</v>
      </c>
      <c r="C105" s="101" t="s">
        <v>232</v>
      </c>
      <c r="D105" s="103"/>
      <c r="E105" s="102">
        <v>5</v>
      </c>
      <c r="F105" s="102">
        <v>2</v>
      </c>
      <c r="G105" s="102">
        <v>7</v>
      </c>
    </row>
    <row r="106" spans="1:7" s="79" customFormat="1" ht="15" x14ac:dyDescent="0.25">
      <c r="A106" s="73" t="s">
        <v>20</v>
      </c>
      <c r="B106" s="73" t="s">
        <v>20</v>
      </c>
      <c r="C106" s="101" t="s">
        <v>233</v>
      </c>
      <c r="D106" s="103"/>
      <c r="E106" s="102">
        <v>1</v>
      </c>
      <c r="F106" s="102">
        <v>1</v>
      </c>
      <c r="G106" s="102">
        <v>2</v>
      </c>
    </row>
    <row r="107" spans="1:7" ht="15" x14ac:dyDescent="0.25">
      <c r="A107" s="73" t="s">
        <v>20</v>
      </c>
      <c r="B107" s="73" t="s">
        <v>20</v>
      </c>
      <c r="C107" s="101" t="s">
        <v>234</v>
      </c>
      <c r="D107" s="102">
        <v>6</v>
      </c>
      <c r="E107" s="103"/>
      <c r="F107" s="103"/>
      <c r="G107" s="102">
        <v>6</v>
      </c>
    </row>
    <row r="108" spans="1:7" ht="15" x14ac:dyDescent="0.25">
      <c r="A108" s="73" t="s">
        <v>20</v>
      </c>
      <c r="B108" s="101" t="s">
        <v>5</v>
      </c>
      <c r="C108" s="101" t="s">
        <v>192</v>
      </c>
      <c r="D108" s="103"/>
      <c r="E108" s="102">
        <v>1</v>
      </c>
      <c r="F108" s="102">
        <v>1</v>
      </c>
      <c r="G108" s="102">
        <v>2</v>
      </c>
    </row>
    <row r="109" spans="1:7" ht="15" x14ac:dyDescent="0.25">
      <c r="A109" s="73" t="s">
        <v>20</v>
      </c>
      <c r="B109" s="101" t="s">
        <v>2</v>
      </c>
      <c r="C109" s="101" t="s">
        <v>86</v>
      </c>
      <c r="D109" s="103"/>
      <c r="E109" s="103"/>
      <c r="F109" s="102">
        <v>1</v>
      </c>
      <c r="G109" s="102">
        <v>1</v>
      </c>
    </row>
    <row r="110" spans="1:7" s="79" customFormat="1" ht="15" x14ac:dyDescent="0.25">
      <c r="A110" s="73" t="s">
        <v>20</v>
      </c>
      <c r="B110" s="101" t="s">
        <v>19</v>
      </c>
      <c r="C110" s="101" t="s">
        <v>235</v>
      </c>
      <c r="D110" s="102">
        <v>62</v>
      </c>
      <c r="E110" s="102">
        <v>47</v>
      </c>
      <c r="F110" s="103"/>
      <c r="G110" s="102">
        <v>97</v>
      </c>
    </row>
    <row r="111" spans="1:7" ht="15" x14ac:dyDescent="0.25">
      <c r="A111" s="73" t="s">
        <v>20</v>
      </c>
      <c r="B111" s="101" t="s">
        <v>19</v>
      </c>
      <c r="C111" s="101" t="s">
        <v>87</v>
      </c>
      <c r="D111" s="102">
        <v>32</v>
      </c>
      <c r="E111" s="102">
        <v>3</v>
      </c>
      <c r="F111" s="103"/>
      <c r="G111" s="102">
        <v>35</v>
      </c>
    </row>
    <row r="112" spans="1:7" ht="15" x14ac:dyDescent="0.25">
      <c r="A112" s="73" t="s">
        <v>20</v>
      </c>
      <c r="B112" s="101" t="s">
        <v>19</v>
      </c>
      <c r="C112" s="101" t="s">
        <v>44</v>
      </c>
      <c r="D112" s="103"/>
      <c r="E112" s="102">
        <v>23</v>
      </c>
      <c r="F112" s="103"/>
      <c r="G112" s="102">
        <v>23</v>
      </c>
    </row>
    <row r="113" spans="1:7" ht="15" x14ac:dyDescent="0.25">
      <c r="A113" s="73" t="s">
        <v>20</v>
      </c>
      <c r="B113" s="101" t="s">
        <v>19</v>
      </c>
      <c r="C113" s="101" t="s">
        <v>88</v>
      </c>
      <c r="D113" s="102">
        <v>2</v>
      </c>
      <c r="E113" s="103"/>
      <c r="F113" s="102">
        <v>1</v>
      </c>
      <c r="G113" s="102">
        <v>3</v>
      </c>
    </row>
    <row r="114" spans="1:7" ht="15" x14ac:dyDescent="0.25">
      <c r="A114" s="73" t="s">
        <v>20</v>
      </c>
      <c r="B114" s="101" t="s">
        <v>19</v>
      </c>
      <c r="C114" s="101" t="s">
        <v>45</v>
      </c>
      <c r="D114" s="102">
        <v>27</v>
      </c>
      <c r="E114" s="102">
        <v>22</v>
      </c>
      <c r="F114" s="102">
        <v>16</v>
      </c>
      <c r="G114" s="102">
        <v>49</v>
      </c>
    </row>
    <row r="115" spans="1:7" ht="15" x14ac:dyDescent="0.25">
      <c r="A115" s="73" t="s">
        <v>20</v>
      </c>
      <c r="B115" s="101" t="s">
        <v>19</v>
      </c>
      <c r="C115" s="101" t="s">
        <v>46</v>
      </c>
      <c r="D115" s="102">
        <v>16</v>
      </c>
      <c r="E115" s="103"/>
      <c r="F115" s="103"/>
      <c r="G115" s="102">
        <v>16</v>
      </c>
    </row>
    <row r="116" spans="1:7" ht="15" x14ac:dyDescent="0.25">
      <c r="A116" s="73" t="s">
        <v>20</v>
      </c>
      <c r="B116" s="101" t="s">
        <v>19</v>
      </c>
      <c r="C116" s="101" t="s">
        <v>89</v>
      </c>
      <c r="D116" s="103"/>
      <c r="E116" s="102">
        <v>1</v>
      </c>
      <c r="F116" s="103"/>
      <c r="G116" s="102">
        <v>1</v>
      </c>
    </row>
    <row r="117" spans="1:7" ht="15" x14ac:dyDescent="0.25">
      <c r="A117" s="73" t="s">
        <v>20</v>
      </c>
      <c r="B117" s="101" t="s">
        <v>172</v>
      </c>
      <c r="C117" s="101" t="s">
        <v>236</v>
      </c>
      <c r="D117" s="103"/>
      <c r="E117" s="103"/>
      <c r="F117" s="102">
        <v>1</v>
      </c>
      <c r="G117" s="102">
        <v>1</v>
      </c>
    </row>
    <row r="118" spans="1:7" ht="15" x14ac:dyDescent="0.25">
      <c r="A118" s="73" t="s">
        <v>20</v>
      </c>
      <c r="B118" s="101" t="s">
        <v>172</v>
      </c>
      <c r="C118" s="101" t="s">
        <v>193</v>
      </c>
      <c r="D118" s="103"/>
      <c r="E118" s="102">
        <v>1</v>
      </c>
      <c r="F118" s="103"/>
      <c r="G118" s="102">
        <v>1</v>
      </c>
    </row>
    <row r="119" spans="1:7" ht="15" x14ac:dyDescent="0.25">
      <c r="A119" s="74" t="s">
        <v>20</v>
      </c>
      <c r="B119" s="74" t="s">
        <v>78</v>
      </c>
      <c r="C119" s="21"/>
      <c r="D119" s="84">
        <v>157</v>
      </c>
      <c r="E119" s="84">
        <v>167</v>
      </c>
      <c r="F119" s="84">
        <v>31</v>
      </c>
      <c r="G119" s="84">
        <v>324</v>
      </c>
    </row>
    <row r="120" spans="1:7" ht="15" x14ac:dyDescent="0.25">
      <c r="A120" s="78"/>
      <c r="B120" s="85" t="s">
        <v>241</v>
      </c>
      <c r="C120" s="86"/>
      <c r="D120" s="88">
        <v>1.453125</v>
      </c>
      <c r="E120" s="88">
        <v>1.5303030303030303</v>
      </c>
      <c r="F120" s="88">
        <v>0.47619047619047616</v>
      </c>
      <c r="G120" s="88">
        <v>1.3142857142857143</v>
      </c>
    </row>
    <row r="121" spans="1:7" ht="15" x14ac:dyDescent="0.25">
      <c r="A121" s="69"/>
      <c r="B121" s="69"/>
      <c r="C121" s="69"/>
      <c r="D121" s="75"/>
      <c r="E121" s="75"/>
      <c r="F121" s="75"/>
      <c r="G121" s="69"/>
    </row>
    <row r="122" spans="1:7" ht="15" x14ac:dyDescent="0.25">
      <c r="A122" s="69"/>
      <c r="B122" s="69"/>
      <c r="C122" s="69"/>
      <c r="D122" s="75"/>
      <c r="E122" s="75"/>
      <c r="F122" s="75"/>
      <c r="G122" s="69"/>
    </row>
    <row r="123" spans="1:7" ht="15" x14ac:dyDescent="0.25">
      <c r="A123" s="22" t="s">
        <v>84</v>
      </c>
      <c r="B123" s="22" t="s">
        <v>78</v>
      </c>
      <c r="C123" s="21"/>
      <c r="D123" s="84">
        <v>1391</v>
      </c>
      <c r="E123" s="84">
        <v>1383</v>
      </c>
      <c r="F123" s="84">
        <v>504</v>
      </c>
      <c r="G123" s="84">
        <v>2535</v>
      </c>
    </row>
    <row r="124" spans="1:7" ht="15" x14ac:dyDescent="0.25">
      <c r="A124" s="86"/>
      <c r="B124" s="85" t="s">
        <v>241</v>
      </c>
      <c r="C124" s="86"/>
      <c r="D124" s="88">
        <v>0.36609071274298055</v>
      </c>
      <c r="E124" s="88">
        <v>4.2657916324856437E-2</v>
      </c>
      <c r="F124" s="88">
        <v>0.23333333333333334</v>
      </c>
      <c r="G124" s="88">
        <v>0.21150772509323387</v>
      </c>
    </row>
    <row r="125" spans="1:7" ht="15" x14ac:dyDescent="0.25">
      <c r="A125" s="6"/>
      <c r="B125" s="6"/>
      <c r="C125" s="6"/>
      <c r="D125" s="6"/>
      <c r="E125" s="6"/>
      <c r="F125" s="6"/>
    </row>
    <row r="126" spans="1:7" ht="15" x14ac:dyDescent="0.25">
      <c r="A126" s="6"/>
      <c r="B126" s="6"/>
      <c r="C126" s="6"/>
      <c r="D126" s="6"/>
      <c r="E126" s="6"/>
      <c r="F126" s="6"/>
    </row>
    <row r="127" spans="1:7" ht="15" x14ac:dyDescent="0.25">
      <c r="A127" s="6"/>
      <c r="B127" s="6"/>
      <c r="C127" s="6"/>
      <c r="D127" s="6"/>
      <c r="E127" s="6"/>
      <c r="F127" s="6"/>
    </row>
    <row r="128" spans="1:7" ht="15" x14ac:dyDescent="0.25">
      <c r="A128" s="6"/>
      <c r="B128" s="6"/>
      <c r="C128" s="6"/>
      <c r="D128" s="6"/>
      <c r="E128" s="6"/>
      <c r="F128" s="6"/>
    </row>
    <row r="129" spans="1:6" ht="15" x14ac:dyDescent="0.25">
      <c r="A129" s="6"/>
      <c r="B129" s="6"/>
      <c r="C129" s="6"/>
      <c r="D129" s="6"/>
      <c r="E129" s="6"/>
      <c r="F129" s="6"/>
    </row>
  </sheetData>
  <mergeCells count="1">
    <mergeCell ref="D5:G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A13" sqref="A13"/>
    </sheetView>
  </sheetViews>
  <sheetFormatPr defaultRowHeight="14.4" x14ac:dyDescent="0.3"/>
  <cols>
    <col min="1" max="1" width="14" style="1" bestFit="1" customWidth="1"/>
    <col min="2" max="6" width="10.5546875" style="1" bestFit="1" customWidth="1"/>
    <col min="7" max="7" width="5" style="1" bestFit="1" customWidth="1"/>
  </cols>
  <sheetData>
    <row r="1" spans="1:7" x14ac:dyDescent="0.25">
      <c r="A1" s="4" t="s">
        <v>81</v>
      </c>
    </row>
    <row r="2" spans="1:7" x14ac:dyDescent="0.25">
      <c r="A2" s="9" t="s">
        <v>224</v>
      </c>
    </row>
    <row r="4" spans="1:7" x14ac:dyDescent="0.25">
      <c r="A4" s="4" t="s">
        <v>180</v>
      </c>
    </row>
    <row r="5" spans="1:7" x14ac:dyDescent="0.25">
      <c r="A5" s="59"/>
      <c r="B5" s="157" t="s">
        <v>179</v>
      </c>
      <c r="C5" s="157"/>
      <c r="D5" s="157"/>
      <c r="E5" s="157"/>
      <c r="F5" s="158"/>
    </row>
    <row r="6" spans="1:7" x14ac:dyDescent="0.25">
      <c r="A6" s="60" t="s">
        <v>82</v>
      </c>
      <c r="B6" s="17" t="s">
        <v>39</v>
      </c>
      <c r="C6" s="18" t="s">
        <v>77</v>
      </c>
      <c r="D6" s="17" t="s">
        <v>96</v>
      </c>
      <c r="E6" s="17" t="s">
        <v>187</v>
      </c>
      <c r="F6" s="19" t="s">
        <v>223</v>
      </c>
      <c r="G6"/>
    </row>
    <row r="7" spans="1:7" x14ac:dyDescent="0.25">
      <c r="A7" s="48" t="s">
        <v>1</v>
      </c>
      <c r="B7" s="49">
        <v>6610</v>
      </c>
      <c r="C7" s="49">
        <v>8319</v>
      </c>
      <c r="D7" s="49">
        <v>8170</v>
      </c>
      <c r="E7" s="49">
        <v>9131</v>
      </c>
      <c r="F7" s="49">
        <v>9847</v>
      </c>
      <c r="G7"/>
    </row>
    <row r="8" spans="1:7" x14ac:dyDescent="0.25">
      <c r="A8" s="53" t="s">
        <v>38</v>
      </c>
      <c r="B8" s="49">
        <v>1909</v>
      </c>
      <c r="C8" s="49">
        <v>1566</v>
      </c>
      <c r="D8" s="49">
        <v>2119</v>
      </c>
      <c r="E8" s="49">
        <v>1937</v>
      </c>
      <c r="F8" s="49">
        <v>1676</v>
      </c>
      <c r="G8"/>
    </row>
    <row r="9" spans="1:7" x14ac:dyDescent="0.25">
      <c r="A9" s="48" t="s">
        <v>74</v>
      </c>
      <c r="B9" s="49">
        <v>216</v>
      </c>
      <c r="C9" s="49">
        <v>226</v>
      </c>
      <c r="D9" s="49">
        <v>349</v>
      </c>
      <c r="E9" s="49">
        <v>656</v>
      </c>
      <c r="F9" s="49">
        <v>724</v>
      </c>
      <c r="G9"/>
    </row>
    <row r="10" spans="1:7" x14ac:dyDescent="0.25">
      <c r="A10" s="48" t="s">
        <v>20</v>
      </c>
      <c r="B10" s="49">
        <v>253</v>
      </c>
      <c r="C10" s="49">
        <v>355</v>
      </c>
      <c r="D10" s="49">
        <v>618</v>
      </c>
      <c r="E10" s="49">
        <v>582</v>
      </c>
      <c r="F10" s="49">
        <v>1071</v>
      </c>
      <c r="G10"/>
    </row>
    <row r="11" spans="1:7" x14ac:dyDescent="0.25">
      <c r="B11" s="50"/>
      <c r="C11" s="50"/>
      <c r="D11" s="50"/>
      <c r="E11" s="50"/>
      <c r="F11" s="50"/>
    </row>
    <row r="15" spans="1:7" x14ac:dyDescent="0.25">
      <c r="A15" s="59"/>
      <c r="B15" s="157" t="s">
        <v>179</v>
      </c>
      <c r="C15" s="157"/>
      <c r="D15" s="157"/>
      <c r="E15" s="157"/>
      <c r="F15" s="158"/>
    </row>
    <row r="16" spans="1:7" x14ac:dyDescent="0.25">
      <c r="A16" s="60" t="s">
        <v>82</v>
      </c>
      <c r="B16" s="17" t="s">
        <v>187</v>
      </c>
      <c r="C16" s="17" t="s">
        <v>187</v>
      </c>
      <c r="D16" s="17" t="s">
        <v>96</v>
      </c>
      <c r="E16" s="18" t="s">
        <v>77</v>
      </c>
      <c r="F16" s="19" t="s">
        <v>39</v>
      </c>
      <c r="G16"/>
    </row>
    <row r="17" spans="1:7" x14ac:dyDescent="0.25">
      <c r="A17" s="48" t="s">
        <v>1</v>
      </c>
      <c r="B17" s="49">
        <v>9847</v>
      </c>
      <c r="C17" s="49">
        <v>9131</v>
      </c>
      <c r="D17" s="49">
        <v>8170</v>
      </c>
      <c r="E17" s="49">
        <v>8319</v>
      </c>
      <c r="F17" s="49">
        <v>6610</v>
      </c>
      <c r="G17"/>
    </row>
    <row r="18" spans="1:7" x14ac:dyDescent="0.25">
      <c r="A18" s="53" t="s">
        <v>38</v>
      </c>
      <c r="B18" s="49">
        <v>1676</v>
      </c>
      <c r="C18" s="49">
        <v>1937</v>
      </c>
      <c r="D18" s="49">
        <v>2119</v>
      </c>
      <c r="E18" s="49">
        <v>1566</v>
      </c>
      <c r="F18" s="49">
        <v>1909</v>
      </c>
      <c r="G18"/>
    </row>
    <row r="19" spans="1:7" x14ac:dyDescent="0.25">
      <c r="A19" s="48" t="s">
        <v>74</v>
      </c>
      <c r="B19" s="49">
        <v>724</v>
      </c>
      <c r="C19" s="49">
        <v>656</v>
      </c>
      <c r="D19" s="49">
        <v>349</v>
      </c>
      <c r="E19" s="49">
        <v>226</v>
      </c>
      <c r="F19" s="49">
        <v>216</v>
      </c>
      <c r="G19"/>
    </row>
    <row r="20" spans="1:7" x14ac:dyDescent="0.25">
      <c r="A20" s="48" t="s">
        <v>20</v>
      </c>
      <c r="B20" s="49">
        <v>1071</v>
      </c>
      <c r="C20" s="49">
        <v>582</v>
      </c>
      <c r="D20" s="49">
        <v>618</v>
      </c>
      <c r="E20" s="49">
        <v>355</v>
      </c>
      <c r="F20" s="49">
        <v>253</v>
      </c>
      <c r="G20"/>
    </row>
  </sheetData>
  <mergeCells count="2">
    <mergeCell ref="B5:F5"/>
    <mergeCell ref="B15:F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zoomScaleNormal="100" workbookViewId="0">
      <selection activeCell="A101" sqref="A101:C101"/>
    </sheetView>
  </sheetViews>
  <sheetFormatPr defaultColWidth="9.109375" defaultRowHeight="14.4" x14ac:dyDescent="0.3"/>
  <cols>
    <col min="1" max="1" width="12.5546875" style="6" bestFit="1" customWidth="1"/>
    <col min="2" max="2" width="15.109375" style="6" bestFit="1" customWidth="1"/>
    <col min="3" max="3" width="34" style="6" bestFit="1" customWidth="1"/>
    <col min="4" max="4" width="10.109375" style="6" customWidth="1"/>
    <col min="5" max="5" width="11.88671875" style="6" customWidth="1"/>
    <col min="6" max="6" width="13.6640625" style="6" customWidth="1"/>
    <col min="7" max="7" width="16" style="68" bestFit="1" customWidth="1"/>
    <col min="8" max="8" width="9.109375" style="68"/>
    <col min="9" max="9" width="10.88671875" style="68" bestFit="1" customWidth="1"/>
    <col min="10" max="10" width="11.88671875" style="68" customWidth="1"/>
    <col min="11" max="16384" width="9.109375" style="68"/>
  </cols>
  <sheetData>
    <row r="1" spans="1:7" ht="15" x14ac:dyDescent="0.25">
      <c r="A1" s="6" t="s">
        <v>81</v>
      </c>
      <c r="B1" s="68"/>
      <c r="C1" s="68"/>
      <c r="D1" s="68"/>
      <c r="E1" s="68"/>
      <c r="F1" s="68"/>
    </row>
    <row r="2" spans="1:7" ht="15" x14ac:dyDescent="0.25">
      <c r="A2" s="6" t="s">
        <v>246</v>
      </c>
      <c r="B2" s="68"/>
      <c r="C2" s="68"/>
      <c r="D2" s="68"/>
      <c r="E2" s="68"/>
      <c r="F2" s="68"/>
    </row>
    <row r="3" spans="1:7" ht="15" x14ac:dyDescent="0.25">
      <c r="B3" s="68"/>
      <c r="C3" s="68"/>
      <c r="D3" s="68"/>
      <c r="E3" s="68"/>
      <c r="F3" s="68"/>
    </row>
    <row r="4" spans="1:7" ht="15" x14ac:dyDescent="0.25">
      <c r="A4" s="6" t="s">
        <v>184</v>
      </c>
      <c r="B4" s="68"/>
      <c r="C4" s="68"/>
      <c r="D4" s="68"/>
      <c r="E4" s="68"/>
      <c r="F4" s="68"/>
    </row>
    <row r="5" spans="1:7" ht="15" x14ac:dyDescent="0.25">
      <c r="A5" s="47"/>
      <c r="B5" s="56"/>
      <c r="C5" s="56"/>
      <c r="D5" s="159" t="s">
        <v>179</v>
      </c>
      <c r="E5" s="160"/>
      <c r="F5" s="160"/>
      <c r="G5" s="161"/>
    </row>
    <row r="6" spans="1:7" ht="15" x14ac:dyDescent="0.25">
      <c r="A6" s="57" t="s">
        <v>0</v>
      </c>
      <c r="B6" s="58" t="s">
        <v>15</v>
      </c>
      <c r="C6" s="58" t="s">
        <v>16</v>
      </c>
      <c r="D6" s="54" t="s">
        <v>242</v>
      </c>
      <c r="E6" s="54" t="s">
        <v>243</v>
      </c>
      <c r="F6" s="54" t="s">
        <v>244</v>
      </c>
      <c r="G6" s="55" t="s">
        <v>247</v>
      </c>
    </row>
    <row r="7" spans="1:7" ht="15" x14ac:dyDescent="0.25">
      <c r="A7" s="107" t="s">
        <v>1</v>
      </c>
      <c r="B7" s="107" t="s">
        <v>5</v>
      </c>
      <c r="C7" s="107" t="s">
        <v>47</v>
      </c>
      <c r="D7" s="108">
        <v>45</v>
      </c>
      <c r="E7" s="108">
        <v>47</v>
      </c>
      <c r="F7" s="108">
        <v>10</v>
      </c>
      <c r="G7" s="67">
        <v>102</v>
      </c>
    </row>
    <row r="8" spans="1:7" ht="15" x14ac:dyDescent="0.25">
      <c r="A8" s="107" t="s">
        <v>1</v>
      </c>
      <c r="B8" s="107" t="s">
        <v>5</v>
      </c>
      <c r="C8" s="107" t="s">
        <v>4</v>
      </c>
      <c r="D8" s="108">
        <v>1</v>
      </c>
      <c r="E8" s="109"/>
      <c r="F8" s="108">
        <v>3</v>
      </c>
      <c r="G8" s="67">
        <v>4</v>
      </c>
    </row>
    <row r="9" spans="1:7" ht="15" x14ac:dyDescent="0.25">
      <c r="A9" s="107" t="s">
        <v>1</v>
      </c>
      <c r="B9" s="107" t="s">
        <v>5</v>
      </c>
      <c r="C9" s="107" t="s">
        <v>194</v>
      </c>
      <c r="D9" s="109"/>
      <c r="E9" s="108">
        <v>1</v>
      </c>
      <c r="F9" s="109"/>
      <c r="G9" s="67">
        <v>1</v>
      </c>
    </row>
    <row r="10" spans="1:7" ht="15" x14ac:dyDescent="0.25">
      <c r="A10" s="107" t="s">
        <v>1</v>
      </c>
      <c r="B10" s="107" t="s">
        <v>5</v>
      </c>
      <c r="C10" s="107" t="s">
        <v>6</v>
      </c>
      <c r="D10" s="108">
        <v>150</v>
      </c>
      <c r="E10" s="108">
        <v>241</v>
      </c>
      <c r="F10" s="108">
        <v>196</v>
      </c>
      <c r="G10" s="67">
        <v>587</v>
      </c>
    </row>
    <row r="11" spans="1:7" ht="15" x14ac:dyDescent="0.25">
      <c r="A11" s="107" t="s">
        <v>1</v>
      </c>
      <c r="B11" s="107" t="s">
        <v>5</v>
      </c>
      <c r="C11" s="107" t="s">
        <v>48</v>
      </c>
      <c r="D11" s="108">
        <v>45</v>
      </c>
      <c r="E11" s="108">
        <v>49</v>
      </c>
      <c r="F11" s="108">
        <v>16</v>
      </c>
      <c r="G11" s="67">
        <v>110</v>
      </c>
    </row>
    <row r="12" spans="1:7" ht="15" x14ac:dyDescent="0.25">
      <c r="A12" s="107" t="s">
        <v>1</v>
      </c>
      <c r="B12" s="107" t="s">
        <v>5</v>
      </c>
      <c r="C12" s="107" t="s">
        <v>90</v>
      </c>
      <c r="D12" s="109"/>
      <c r="E12" s="108">
        <v>66</v>
      </c>
      <c r="F12" s="108">
        <v>1</v>
      </c>
      <c r="G12" s="67">
        <v>67</v>
      </c>
    </row>
    <row r="13" spans="1:7" ht="15" x14ac:dyDescent="0.25">
      <c r="A13" s="107" t="s">
        <v>1</v>
      </c>
      <c r="B13" s="107" t="s">
        <v>5</v>
      </c>
      <c r="C13" s="107" t="s">
        <v>14</v>
      </c>
      <c r="D13" s="108">
        <v>55</v>
      </c>
      <c r="E13" s="108">
        <v>121</v>
      </c>
      <c r="F13" s="109"/>
      <c r="G13" s="67">
        <v>176</v>
      </c>
    </row>
    <row r="14" spans="1:7" ht="15" x14ac:dyDescent="0.25">
      <c r="A14" s="107" t="s">
        <v>1</v>
      </c>
      <c r="B14" s="107" t="s">
        <v>5</v>
      </c>
      <c r="C14" s="107" t="s">
        <v>49</v>
      </c>
      <c r="D14" s="108">
        <v>9</v>
      </c>
      <c r="E14" s="108">
        <v>15</v>
      </c>
      <c r="F14" s="109"/>
      <c r="G14" s="67">
        <v>24</v>
      </c>
    </row>
    <row r="15" spans="1:7" s="8" customFormat="1" ht="15" x14ac:dyDescent="0.25">
      <c r="A15" s="74" t="s">
        <v>1</v>
      </c>
      <c r="B15" s="74" t="s">
        <v>17</v>
      </c>
      <c r="C15" s="81"/>
      <c r="D15" s="83">
        <v>305</v>
      </c>
      <c r="E15" s="83">
        <v>540</v>
      </c>
      <c r="F15" s="83">
        <v>226</v>
      </c>
      <c r="G15" s="83">
        <v>1071</v>
      </c>
    </row>
    <row r="16" spans="1:7" ht="15" x14ac:dyDescent="0.25">
      <c r="A16" s="107"/>
      <c r="B16" s="85" t="s">
        <v>241</v>
      </c>
      <c r="C16" s="107"/>
      <c r="D16" s="110">
        <v>-0.33695652173913043</v>
      </c>
      <c r="E16" s="110">
        <v>-0.13461538461538461</v>
      </c>
      <c r="F16" s="110">
        <v>-2.5862068965517241E-2</v>
      </c>
      <c r="G16" s="110">
        <v>-0.18617021276595744</v>
      </c>
    </row>
    <row r="17" spans="1:7" ht="15" x14ac:dyDescent="0.25">
      <c r="A17" s="107"/>
      <c r="B17" s="107"/>
      <c r="C17" s="107"/>
      <c r="D17" s="108"/>
      <c r="E17" s="108"/>
      <c r="F17" s="109"/>
      <c r="G17" s="67"/>
    </row>
    <row r="18" spans="1:7" ht="15" x14ac:dyDescent="0.25">
      <c r="A18" s="107" t="s">
        <v>1</v>
      </c>
      <c r="B18" s="107" t="s">
        <v>2</v>
      </c>
      <c r="C18" s="107" t="s">
        <v>50</v>
      </c>
      <c r="D18" s="108">
        <v>19</v>
      </c>
      <c r="E18" s="108">
        <v>50</v>
      </c>
      <c r="F18" s="108">
        <v>27</v>
      </c>
      <c r="G18" s="67">
        <v>96</v>
      </c>
    </row>
    <row r="19" spans="1:7" ht="15" x14ac:dyDescent="0.25">
      <c r="A19" s="107" t="s">
        <v>1</v>
      </c>
      <c r="B19" s="107" t="s">
        <v>2</v>
      </c>
      <c r="C19" s="107" t="s">
        <v>51</v>
      </c>
      <c r="D19" s="108">
        <v>362</v>
      </c>
      <c r="E19" s="108">
        <v>312</v>
      </c>
      <c r="F19" s="108">
        <v>298</v>
      </c>
      <c r="G19" s="67">
        <v>972</v>
      </c>
    </row>
    <row r="20" spans="1:7" ht="15" x14ac:dyDescent="0.25">
      <c r="A20" s="107" t="s">
        <v>1</v>
      </c>
      <c r="B20" s="107" t="s">
        <v>2</v>
      </c>
      <c r="C20" s="107" t="s">
        <v>3</v>
      </c>
      <c r="D20" s="108">
        <v>140</v>
      </c>
      <c r="E20" s="108">
        <v>107</v>
      </c>
      <c r="F20" s="108">
        <v>26</v>
      </c>
      <c r="G20" s="67">
        <v>273</v>
      </c>
    </row>
    <row r="21" spans="1:7" ht="15" x14ac:dyDescent="0.25">
      <c r="A21" s="107" t="s">
        <v>1</v>
      </c>
      <c r="B21" s="107" t="s">
        <v>2</v>
      </c>
      <c r="C21" s="107" t="s">
        <v>52</v>
      </c>
      <c r="D21" s="108">
        <v>85</v>
      </c>
      <c r="E21" s="108">
        <v>29</v>
      </c>
      <c r="F21" s="108">
        <v>12</v>
      </c>
      <c r="G21" s="67">
        <v>126</v>
      </c>
    </row>
    <row r="22" spans="1:7" ht="15" x14ac:dyDescent="0.25">
      <c r="A22" s="107" t="s">
        <v>1</v>
      </c>
      <c r="B22" s="107" t="s">
        <v>2</v>
      </c>
      <c r="C22" s="107" t="s">
        <v>195</v>
      </c>
      <c r="D22" s="108">
        <v>58</v>
      </c>
      <c r="E22" s="108">
        <v>32</v>
      </c>
      <c r="F22" s="109"/>
      <c r="G22" s="67">
        <v>90</v>
      </c>
    </row>
    <row r="23" spans="1:7" ht="15" x14ac:dyDescent="0.25">
      <c r="A23" s="107" t="s">
        <v>1</v>
      </c>
      <c r="B23" s="107" t="s">
        <v>2</v>
      </c>
      <c r="C23" s="107" t="s">
        <v>53</v>
      </c>
      <c r="D23" s="108">
        <v>187</v>
      </c>
      <c r="E23" s="108">
        <v>127</v>
      </c>
      <c r="F23" s="108">
        <v>24</v>
      </c>
      <c r="G23" s="67">
        <v>338</v>
      </c>
    </row>
    <row r="24" spans="1:7" s="8" customFormat="1" ht="15" x14ac:dyDescent="0.25">
      <c r="A24" s="107" t="s">
        <v>1</v>
      </c>
      <c r="B24" s="107" t="s">
        <v>2</v>
      </c>
      <c r="C24" s="107" t="s">
        <v>7</v>
      </c>
      <c r="D24" s="108">
        <v>358</v>
      </c>
      <c r="E24" s="108">
        <v>475</v>
      </c>
      <c r="F24" s="108">
        <v>69</v>
      </c>
      <c r="G24" s="67">
        <v>902</v>
      </c>
    </row>
    <row r="25" spans="1:7" ht="15" x14ac:dyDescent="0.25">
      <c r="A25" s="107" t="s">
        <v>1</v>
      </c>
      <c r="B25" s="107" t="s">
        <v>2</v>
      </c>
      <c r="C25" s="107" t="s">
        <v>54</v>
      </c>
      <c r="D25" s="109"/>
      <c r="E25" s="108">
        <v>3</v>
      </c>
      <c r="F25" s="108">
        <v>32</v>
      </c>
      <c r="G25" s="67">
        <v>35</v>
      </c>
    </row>
    <row r="26" spans="1:7" ht="15" x14ac:dyDescent="0.25">
      <c r="A26" s="107" t="s">
        <v>1</v>
      </c>
      <c r="B26" s="107" t="s">
        <v>2</v>
      </c>
      <c r="C26" s="107" t="s">
        <v>91</v>
      </c>
      <c r="D26" s="108">
        <v>6</v>
      </c>
      <c r="E26" s="108">
        <v>18</v>
      </c>
      <c r="F26" s="108">
        <v>3</v>
      </c>
      <c r="G26" s="67">
        <v>27</v>
      </c>
    </row>
    <row r="27" spans="1:7" ht="15" x14ac:dyDescent="0.25">
      <c r="A27" s="107" t="s">
        <v>1</v>
      </c>
      <c r="B27" s="107" t="s">
        <v>2</v>
      </c>
      <c r="C27" s="107" t="s">
        <v>8</v>
      </c>
      <c r="D27" s="108">
        <v>26</v>
      </c>
      <c r="E27" s="108">
        <v>52</v>
      </c>
      <c r="F27" s="108">
        <v>27</v>
      </c>
      <c r="G27" s="67">
        <v>105</v>
      </c>
    </row>
    <row r="28" spans="1:7" ht="15" x14ac:dyDescent="0.25">
      <c r="A28" s="107" t="s">
        <v>1</v>
      </c>
      <c r="B28" s="107" t="s">
        <v>2</v>
      </c>
      <c r="C28" s="107" t="s">
        <v>9</v>
      </c>
      <c r="D28" s="108">
        <v>4</v>
      </c>
      <c r="E28" s="108">
        <v>39</v>
      </c>
      <c r="F28" s="109"/>
      <c r="G28" s="67">
        <v>43</v>
      </c>
    </row>
    <row r="29" spans="1:7" ht="15" x14ac:dyDescent="0.25">
      <c r="A29" s="107" t="s">
        <v>1</v>
      </c>
      <c r="B29" s="107" t="s">
        <v>2</v>
      </c>
      <c r="C29" s="107" t="s">
        <v>55</v>
      </c>
      <c r="D29" s="108">
        <v>3</v>
      </c>
      <c r="E29" s="108">
        <v>9</v>
      </c>
      <c r="F29" s="108">
        <v>3</v>
      </c>
      <c r="G29" s="67">
        <v>15</v>
      </c>
    </row>
    <row r="30" spans="1:7" ht="15" x14ac:dyDescent="0.25">
      <c r="A30" s="107" t="s">
        <v>1</v>
      </c>
      <c r="B30" s="107" t="s">
        <v>2</v>
      </c>
      <c r="C30" s="107" t="s">
        <v>56</v>
      </c>
      <c r="D30" s="108">
        <v>33</v>
      </c>
      <c r="E30" s="108">
        <v>54</v>
      </c>
      <c r="F30" s="109"/>
      <c r="G30" s="67">
        <v>87</v>
      </c>
    </row>
    <row r="31" spans="1:7" ht="15" x14ac:dyDescent="0.25">
      <c r="A31" s="107" t="s">
        <v>1</v>
      </c>
      <c r="B31" s="107" t="s">
        <v>2</v>
      </c>
      <c r="C31" s="107" t="s">
        <v>10</v>
      </c>
      <c r="D31" s="108">
        <v>30</v>
      </c>
      <c r="E31" s="108">
        <v>32</v>
      </c>
      <c r="F31" s="108">
        <v>10</v>
      </c>
      <c r="G31" s="67">
        <v>72</v>
      </c>
    </row>
    <row r="32" spans="1:7" ht="15" x14ac:dyDescent="0.25">
      <c r="A32" s="107" t="s">
        <v>1</v>
      </c>
      <c r="B32" s="107" t="s">
        <v>2</v>
      </c>
      <c r="C32" s="107" t="s">
        <v>11</v>
      </c>
      <c r="D32" s="108">
        <v>18</v>
      </c>
      <c r="E32" s="108">
        <v>34</v>
      </c>
      <c r="F32" s="108">
        <v>11</v>
      </c>
      <c r="G32" s="67">
        <v>63</v>
      </c>
    </row>
    <row r="33" spans="1:7" ht="15" x14ac:dyDescent="0.25">
      <c r="A33" s="107" t="s">
        <v>1</v>
      </c>
      <c r="B33" s="107" t="s">
        <v>2</v>
      </c>
      <c r="C33" s="107" t="s">
        <v>57</v>
      </c>
      <c r="D33" s="108">
        <v>47</v>
      </c>
      <c r="E33" s="108">
        <v>39</v>
      </c>
      <c r="F33" s="108">
        <v>26</v>
      </c>
      <c r="G33" s="67">
        <v>112</v>
      </c>
    </row>
    <row r="34" spans="1:7" ht="15" x14ac:dyDescent="0.25">
      <c r="A34" s="107" t="s">
        <v>1</v>
      </c>
      <c r="B34" s="107" t="s">
        <v>2</v>
      </c>
      <c r="C34" s="107" t="s">
        <v>12</v>
      </c>
      <c r="D34" s="108">
        <v>23</v>
      </c>
      <c r="E34" s="108">
        <v>47</v>
      </c>
      <c r="F34" s="108">
        <v>23</v>
      </c>
      <c r="G34" s="67">
        <v>93</v>
      </c>
    </row>
    <row r="35" spans="1:7" s="8" customFormat="1" ht="15" x14ac:dyDescent="0.25">
      <c r="A35" s="107" t="s">
        <v>1</v>
      </c>
      <c r="B35" s="107" t="s">
        <v>2</v>
      </c>
      <c r="C35" s="107" t="s">
        <v>13</v>
      </c>
      <c r="D35" s="108">
        <v>531</v>
      </c>
      <c r="E35" s="108">
        <v>552</v>
      </c>
      <c r="F35" s="108">
        <v>155</v>
      </c>
      <c r="G35" s="67">
        <v>1238</v>
      </c>
    </row>
    <row r="36" spans="1:7" ht="15" x14ac:dyDescent="0.25">
      <c r="A36" s="80"/>
      <c r="B36" s="74" t="s">
        <v>18</v>
      </c>
      <c r="C36" s="82"/>
      <c r="D36" s="83">
        <v>1930</v>
      </c>
      <c r="E36" s="83">
        <v>2011</v>
      </c>
      <c r="F36" s="83">
        <v>746</v>
      </c>
      <c r="G36" s="83">
        <v>4687</v>
      </c>
    </row>
    <row r="37" spans="1:7" ht="15" x14ac:dyDescent="0.25">
      <c r="A37" s="107"/>
      <c r="B37" s="85" t="s">
        <v>241</v>
      </c>
      <c r="C37" s="107"/>
      <c r="D37" s="110">
        <v>0.3174061433447099</v>
      </c>
      <c r="E37" s="110">
        <v>0.10010940919037199</v>
      </c>
      <c r="F37" s="110">
        <v>0.44015444015444016</v>
      </c>
      <c r="G37" s="110">
        <v>0.22986092889005511</v>
      </c>
    </row>
    <row r="38" spans="1:7" ht="15" x14ac:dyDescent="0.25">
      <c r="A38" s="107"/>
      <c r="B38" s="107"/>
      <c r="C38" s="107"/>
      <c r="D38" s="108"/>
      <c r="E38" s="108"/>
      <c r="F38" s="108"/>
      <c r="G38" s="67"/>
    </row>
    <row r="39" spans="1:7" ht="15" x14ac:dyDescent="0.25">
      <c r="A39" s="107" t="s">
        <v>1</v>
      </c>
      <c r="B39" s="107" t="s">
        <v>19</v>
      </c>
      <c r="C39" s="107" t="s">
        <v>58</v>
      </c>
      <c r="D39" s="108">
        <v>228</v>
      </c>
      <c r="E39" s="108">
        <v>81</v>
      </c>
      <c r="F39" s="108">
        <v>46</v>
      </c>
      <c r="G39" s="67">
        <v>355</v>
      </c>
    </row>
    <row r="40" spans="1:7" ht="15" x14ac:dyDescent="0.25">
      <c r="A40" s="107" t="s">
        <v>1</v>
      </c>
      <c r="B40" s="107" t="s">
        <v>19</v>
      </c>
      <c r="C40" s="107" t="s">
        <v>59</v>
      </c>
      <c r="D40" s="108">
        <v>71</v>
      </c>
      <c r="E40" s="108">
        <v>197</v>
      </c>
      <c r="F40" s="108">
        <v>41</v>
      </c>
      <c r="G40" s="67">
        <v>309</v>
      </c>
    </row>
    <row r="41" spans="1:7" s="8" customFormat="1" ht="15" x14ac:dyDescent="0.25">
      <c r="A41" s="107" t="s">
        <v>1</v>
      </c>
      <c r="B41" s="107" t="s">
        <v>19</v>
      </c>
      <c r="C41" s="107" t="s">
        <v>60</v>
      </c>
      <c r="D41" s="108">
        <v>155</v>
      </c>
      <c r="E41" s="108">
        <v>182</v>
      </c>
      <c r="F41" s="108">
        <v>124</v>
      </c>
      <c r="G41" s="67">
        <v>461</v>
      </c>
    </row>
    <row r="42" spans="1:7" s="8" customFormat="1" ht="15" x14ac:dyDescent="0.25">
      <c r="A42" s="107" t="s">
        <v>1</v>
      </c>
      <c r="B42" s="107" t="s">
        <v>19</v>
      </c>
      <c r="C42" s="107" t="s">
        <v>61</v>
      </c>
      <c r="D42" s="108">
        <v>49</v>
      </c>
      <c r="E42" s="108">
        <v>85</v>
      </c>
      <c r="F42" s="108">
        <v>42</v>
      </c>
      <c r="G42" s="67">
        <v>176</v>
      </c>
    </row>
    <row r="43" spans="1:7" s="8" customFormat="1" ht="15" x14ac:dyDescent="0.25">
      <c r="A43" s="107" t="s">
        <v>1</v>
      </c>
      <c r="B43" s="107" t="s">
        <v>19</v>
      </c>
      <c r="C43" s="107" t="s">
        <v>62</v>
      </c>
      <c r="D43" s="108">
        <v>116</v>
      </c>
      <c r="E43" s="108">
        <v>101</v>
      </c>
      <c r="F43" s="108">
        <v>71</v>
      </c>
      <c r="G43" s="67">
        <v>288</v>
      </c>
    </row>
    <row r="44" spans="1:7" ht="15" x14ac:dyDescent="0.25">
      <c r="A44" s="107" t="s">
        <v>1</v>
      </c>
      <c r="B44" s="107" t="s">
        <v>19</v>
      </c>
      <c r="C44" s="107" t="s">
        <v>63</v>
      </c>
      <c r="D44" s="108">
        <v>45</v>
      </c>
      <c r="E44" s="108">
        <v>32</v>
      </c>
      <c r="F44" s="108">
        <v>47</v>
      </c>
      <c r="G44" s="67">
        <v>124</v>
      </c>
    </row>
    <row r="45" spans="1:7" ht="15" x14ac:dyDescent="0.25">
      <c r="A45" s="107" t="s">
        <v>1</v>
      </c>
      <c r="B45" s="107" t="s">
        <v>19</v>
      </c>
      <c r="C45" s="107" t="s">
        <v>64</v>
      </c>
      <c r="D45" s="108">
        <v>132</v>
      </c>
      <c r="E45" s="108">
        <v>126</v>
      </c>
      <c r="F45" s="108">
        <v>88</v>
      </c>
      <c r="G45" s="67">
        <v>346</v>
      </c>
    </row>
    <row r="46" spans="1:7" ht="15" x14ac:dyDescent="0.25">
      <c r="A46" s="107" t="s">
        <v>1</v>
      </c>
      <c r="B46" s="107" t="s">
        <v>19</v>
      </c>
      <c r="C46" s="107" t="s">
        <v>65</v>
      </c>
      <c r="D46" s="108">
        <v>133</v>
      </c>
      <c r="E46" s="108">
        <v>178</v>
      </c>
      <c r="F46" s="108">
        <v>119</v>
      </c>
      <c r="G46" s="67">
        <v>430</v>
      </c>
    </row>
    <row r="47" spans="1:7" s="8" customFormat="1" ht="15" x14ac:dyDescent="0.25">
      <c r="A47" s="107" t="s">
        <v>1</v>
      </c>
      <c r="B47" s="107" t="s">
        <v>19</v>
      </c>
      <c r="C47" s="107" t="s">
        <v>196</v>
      </c>
      <c r="D47" s="108">
        <v>66</v>
      </c>
      <c r="E47" s="108">
        <v>63</v>
      </c>
      <c r="F47" s="108">
        <v>65</v>
      </c>
      <c r="G47" s="67">
        <v>194</v>
      </c>
    </row>
    <row r="48" spans="1:7" ht="15" x14ac:dyDescent="0.25">
      <c r="A48" s="107" t="s">
        <v>1</v>
      </c>
      <c r="B48" s="107" t="s">
        <v>19</v>
      </c>
      <c r="C48" s="107" t="s">
        <v>66</v>
      </c>
      <c r="D48" s="108">
        <v>19</v>
      </c>
      <c r="E48" s="108">
        <v>37</v>
      </c>
      <c r="F48" s="108">
        <v>12</v>
      </c>
      <c r="G48" s="67">
        <v>68</v>
      </c>
    </row>
    <row r="49" spans="1:7" ht="15" x14ac:dyDescent="0.25">
      <c r="A49" s="107" t="s">
        <v>1</v>
      </c>
      <c r="B49" s="107" t="s">
        <v>19</v>
      </c>
      <c r="C49" s="107" t="s">
        <v>67</v>
      </c>
      <c r="D49" s="108">
        <v>123</v>
      </c>
      <c r="E49" s="108">
        <v>131</v>
      </c>
      <c r="F49" s="108">
        <v>93</v>
      </c>
      <c r="G49" s="67">
        <v>347</v>
      </c>
    </row>
    <row r="50" spans="1:7" s="8" customFormat="1" ht="15" x14ac:dyDescent="0.25">
      <c r="A50" s="107" t="s">
        <v>1</v>
      </c>
      <c r="B50" s="107" t="s">
        <v>19</v>
      </c>
      <c r="C50" s="107" t="s">
        <v>68</v>
      </c>
      <c r="D50" s="108">
        <v>91</v>
      </c>
      <c r="E50" s="108">
        <v>111</v>
      </c>
      <c r="F50" s="108">
        <v>45</v>
      </c>
      <c r="G50" s="67">
        <v>247</v>
      </c>
    </row>
    <row r="51" spans="1:7" ht="15" x14ac:dyDescent="0.25">
      <c r="A51" s="107" t="s">
        <v>1</v>
      </c>
      <c r="B51" s="107" t="s">
        <v>19</v>
      </c>
      <c r="C51" s="107" t="s">
        <v>69</v>
      </c>
      <c r="D51" s="108">
        <v>294</v>
      </c>
      <c r="E51" s="108">
        <v>280</v>
      </c>
      <c r="F51" s="108">
        <v>116</v>
      </c>
      <c r="G51" s="67">
        <v>690</v>
      </c>
    </row>
    <row r="52" spans="1:7" s="8" customFormat="1" ht="15" x14ac:dyDescent="0.25">
      <c r="A52" s="107" t="s">
        <v>1</v>
      </c>
      <c r="B52" s="107" t="s">
        <v>19</v>
      </c>
      <c r="C52" s="107" t="s">
        <v>70</v>
      </c>
      <c r="D52" s="108">
        <v>21</v>
      </c>
      <c r="E52" s="108">
        <v>23</v>
      </c>
      <c r="F52" s="108">
        <v>10</v>
      </c>
      <c r="G52" s="67">
        <v>54</v>
      </c>
    </row>
    <row r="53" spans="1:7" ht="15" x14ac:dyDescent="0.25">
      <c r="A53" s="74" t="s">
        <v>1</v>
      </c>
      <c r="B53" s="74" t="s">
        <v>28</v>
      </c>
      <c r="C53" s="82"/>
      <c r="D53" s="83">
        <v>1543</v>
      </c>
      <c r="E53" s="83">
        <v>1627</v>
      </c>
      <c r="F53" s="83">
        <v>919</v>
      </c>
      <c r="G53" s="83">
        <v>4089</v>
      </c>
    </row>
    <row r="54" spans="1:7" s="8" customFormat="1" ht="15" x14ac:dyDescent="0.25">
      <c r="A54" s="107"/>
      <c r="B54" s="85" t="s">
        <v>241</v>
      </c>
      <c r="C54" s="107"/>
      <c r="D54" s="110">
        <v>-3.8629283489096576E-2</v>
      </c>
      <c r="E54" s="110">
        <v>-1.3939393939393939E-2</v>
      </c>
      <c r="F54" s="110">
        <v>0.22696929238985314</v>
      </c>
      <c r="G54" s="110">
        <v>2.1228771228771228E-2</v>
      </c>
    </row>
    <row r="55" spans="1:7" s="8" customFormat="1" ht="15" x14ac:dyDescent="0.25">
      <c r="A55" s="107"/>
      <c r="B55" s="85"/>
      <c r="C55" s="107"/>
      <c r="D55" s="110"/>
      <c r="E55" s="110"/>
      <c r="F55" s="110"/>
      <c r="G55" s="110"/>
    </row>
    <row r="56" spans="1:7" s="8" customFormat="1" ht="15" x14ac:dyDescent="0.25">
      <c r="A56" s="74" t="s">
        <v>1</v>
      </c>
      <c r="B56" s="82" t="s">
        <v>78</v>
      </c>
      <c r="C56" s="82"/>
      <c r="D56" s="83">
        <v>3778</v>
      </c>
      <c r="E56" s="83">
        <v>4178</v>
      </c>
      <c r="F56" s="83">
        <v>1891</v>
      </c>
      <c r="G56" s="83">
        <v>9847</v>
      </c>
    </row>
    <row r="57" spans="1:7" s="8" customFormat="1" ht="15" x14ac:dyDescent="0.25">
      <c r="A57" s="107"/>
      <c r="B57" s="85" t="s">
        <v>241</v>
      </c>
      <c r="C57" s="107"/>
      <c r="D57" s="110">
        <v>7.0254957507082147E-2</v>
      </c>
      <c r="E57" s="110">
        <v>1.8527547537786446E-2</v>
      </c>
      <c r="F57" s="110">
        <v>0.26150767178118745</v>
      </c>
      <c r="G57" s="110">
        <v>7.8414193407074798E-2</v>
      </c>
    </row>
    <row r="58" spans="1:7" s="8" customFormat="1" ht="15" x14ac:dyDescent="0.25">
      <c r="A58" s="107"/>
      <c r="B58" s="107"/>
      <c r="C58" s="107"/>
      <c r="D58" s="108"/>
      <c r="E58" s="108"/>
      <c r="F58" s="108"/>
      <c r="G58" s="67"/>
    </row>
    <row r="59" spans="1:7" ht="15" x14ac:dyDescent="0.25">
      <c r="A59" s="107" t="s">
        <v>38</v>
      </c>
      <c r="B59" s="107" t="s">
        <v>5</v>
      </c>
      <c r="C59" s="107" t="s">
        <v>71</v>
      </c>
      <c r="D59" s="108">
        <v>74</v>
      </c>
      <c r="E59" s="108">
        <v>182</v>
      </c>
      <c r="F59" s="108">
        <v>3</v>
      </c>
      <c r="G59" s="67">
        <v>259</v>
      </c>
    </row>
    <row r="60" spans="1:7" s="8" customFormat="1" ht="15" x14ac:dyDescent="0.25">
      <c r="A60" s="107" t="s">
        <v>38</v>
      </c>
      <c r="B60" s="107" t="s">
        <v>5</v>
      </c>
      <c r="C60" s="107" t="s">
        <v>72</v>
      </c>
      <c r="D60" s="108">
        <v>3</v>
      </c>
      <c r="E60" s="108">
        <v>10</v>
      </c>
      <c r="F60" s="108">
        <v>6</v>
      </c>
      <c r="G60" s="67">
        <v>19</v>
      </c>
    </row>
    <row r="61" spans="1:7" ht="15" x14ac:dyDescent="0.25">
      <c r="A61" s="74" t="s">
        <v>38</v>
      </c>
      <c r="B61" s="74" t="s">
        <v>80</v>
      </c>
      <c r="C61" s="82"/>
      <c r="D61" s="83">
        <v>77</v>
      </c>
      <c r="E61" s="83">
        <v>192</v>
      </c>
      <c r="F61" s="83">
        <v>9</v>
      </c>
      <c r="G61" s="83">
        <v>278</v>
      </c>
    </row>
    <row r="62" spans="1:7" s="8" customFormat="1" ht="15" x14ac:dyDescent="0.25">
      <c r="A62" s="107"/>
      <c r="B62" s="85" t="s">
        <v>241</v>
      </c>
      <c r="C62" s="107"/>
      <c r="D62" s="110">
        <v>-0.3984375</v>
      </c>
      <c r="E62" s="110">
        <v>-8.1339712918660281E-2</v>
      </c>
      <c r="F62" s="110">
        <v>-0.25</v>
      </c>
      <c r="G62" s="110">
        <v>-0.20343839541547279</v>
      </c>
    </row>
    <row r="63" spans="1:7" ht="15" x14ac:dyDescent="0.25">
      <c r="A63" s="107"/>
      <c r="B63" s="107"/>
      <c r="C63" s="107"/>
      <c r="D63" s="108"/>
      <c r="E63" s="108"/>
      <c r="F63" s="108"/>
      <c r="G63" s="67"/>
    </row>
    <row r="64" spans="1:7" ht="15" x14ac:dyDescent="0.25">
      <c r="A64" s="107" t="s">
        <v>38</v>
      </c>
      <c r="B64" s="107" t="s">
        <v>19</v>
      </c>
      <c r="C64" s="107" t="s">
        <v>73</v>
      </c>
      <c r="D64" s="108">
        <v>504</v>
      </c>
      <c r="E64" s="108">
        <v>209</v>
      </c>
      <c r="F64" s="108">
        <v>99</v>
      </c>
      <c r="G64" s="67">
        <v>812</v>
      </c>
    </row>
    <row r="65" spans="1:7" ht="15" x14ac:dyDescent="0.25">
      <c r="A65" s="107" t="s">
        <v>38</v>
      </c>
      <c r="B65" s="107" t="s">
        <v>19</v>
      </c>
      <c r="C65" s="107" t="s">
        <v>92</v>
      </c>
      <c r="D65" s="108">
        <v>385</v>
      </c>
      <c r="E65" s="108">
        <v>88</v>
      </c>
      <c r="F65" s="108">
        <v>113</v>
      </c>
      <c r="G65" s="67">
        <v>586</v>
      </c>
    </row>
    <row r="66" spans="1:7" ht="15" x14ac:dyDescent="0.25">
      <c r="A66" s="74" t="s">
        <v>38</v>
      </c>
      <c r="B66" s="74" t="s">
        <v>79</v>
      </c>
      <c r="C66" s="82"/>
      <c r="D66" s="83">
        <v>889</v>
      </c>
      <c r="E66" s="83">
        <v>297</v>
      </c>
      <c r="F66" s="83">
        <v>212</v>
      </c>
      <c r="G66" s="83">
        <v>1398</v>
      </c>
    </row>
    <row r="67" spans="1:7" s="8" customFormat="1" ht="15" x14ac:dyDescent="0.25">
      <c r="A67" s="107"/>
      <c r="B67" s="85" t="s">
        <v>241</v>
      </c>
      <c r="C67" s="107"/>
      <c r="D67" s="110">
        <v>-0.13352826510721247</v>
      </c>
      <c r="E67" s="110">
        <v>-0.18406593406593408</v>
      </c>
      <c r="F67" s="110">
        <v>7.0707070707070704E-2</v>
      </c>
      <c r="G67" s="110">
        <v>-0.11964735516372796</v>
      </c>
    </row>
    <row r="68" spans="1:7" ht="15" x14ac:dyDescent="0.25">
      <c r="A68" s="107"/>
      <c r="B68" s="107"/>
      <c r="C68" s="107"/>
      <c r="D68" s="108"/>
      <c r="E68" s="108"/>
      <c r="F68" s="108"/>
      <c r="G68" s="67"/>
    </row>
    <row r="69" spans="1:7" ht="15" x14ac:dyDescent="0.25">
      <c r="A69" s="74" t="s">
        <v>38</v>
      </c>
      <c r="B69" s="74" t="s">
        <v>78</v>
      </c>
      <c r="C69" s="82"/>
      <c r="D69" s="83">
        <v>966</v>
      </c>
      <c r="E69" s="83">
        <v>489</v>
      </c>
      <c r="F69" s="83">
        <v>221</v>
      </c>
      <c r="G69" s="83">
        <v>1676</v>
      </c>
    </row>
    <row r="70" spans="1:7" s="8" customFormat="1" ht="15" x14ac:dyDescent="0.25">
      <c r="A70" s="107"/>
      <c r="B70" s="85" t="s">
        <v>241</v>
      </c>
      <c r="C70" s="107"/>
      <c r="D70" s="110">
        <v>-0.16291161178509533</v>
      </c>
      <c r="E70" s="110">
        <v>-0.14659685863874344</v>
      </c>
      <c r="F70" s="110">
        <v>5.2380952380952382E-2</v>
      </c>
      <c r="G70" s="110">
        <v>-0.13474445018069178</v>
      </c>
    </row>
    <row r="71" spans="1:7" ht="15" x14ac:dyDescent="0.25">
      <c r="A71" s="107"/>
      <c r="B71" s="107"/>
      <c r="C71" s="107"/>
      <c r="D71" s="108"/>
      <c r="E71" s="108"/>
      <c r="F71" s="108"/>
      <c r="G71" s="67"/>
    </row>
    <row r="72" spans="1:7" ht="15" x14ac:dyDescent="0.25">
      <c r="A72" s="107" t="s">
        <v>74</v>
      </c>
      <c r="B72" s="107" t="s">
        <v>2</v>
      </c>
      <c r="C72" s="107" t="s">
        <v>237</v>
      </c>
      <c r="D72" s="108">
        <v>27</v>
      </c>
      <c r="E72" s="109"/>
      <c r="F72" s="108">
        <v>12</v>
      </c>
      <c r="G72" s="67">
        <v>39</v>
      </c>
    </row>
    <row r="73" spans="1:7" ht="15" x14ac:dyDescent="0.25">
      <c r="A73" s="107" t="s">
        <v>74</v>
      </c>
      <c r="B73" s="107" t="s">
        <v>2</v>
      </c>
      <c r="C73" s="107" t="s">
        <v>198</v>
      </c>
      <c r="D73" s="108">
        <v>18</v>
      </c>
      <c r="E73" s="108">
        <v>27</v>
      </c>
      <c r="F73" s="108">
        <v>11</v>
      </c>
      <c r="G73" s="67">
        <v>56</v>
      </c>
    </row>
    <row r="74" spans="1:7" ht="15" x14ac:dyDescent="0.25">
      <c r="A74" s="107" t="s">
        <v>74</v>
      </c>
      <c r="B74" s="107" t="s">
        <v>2</v>
      </c>
      <c r="C74" s="107" t="s">
        <v>75</v>
      </c>
      <c r="D74" s="108">
        <v>35</v>
      </c>
      <c r="E74" s="108">
        <v>96</v>
      </c>
      <c r="F74" s="108">
        <v>21</v>
      </c>
      <c r="G74" s="67">
        <v>152</v>
      </c>
    </row>
    <row r="75" spans="1:7" ht="15" x14ac:dyDescent="0.25">
      <c r="A75" s="107" t="s">
        <v>74</v>
      </c>
      <c r="B75" s="107" t="s">
        <v>2</v>
      </c>
      <c r="C75" s="107" t="s">
        <v>238</v>
      </c>
      <c r="D75" s="108">
        <v>4</v>
      </c>
      <c r="E75" s="108">
        <v>4</v>
      </c>
      <c r="F75" s="109"/>
      <c r="G75" s="67">
        <v>8</v>
      </c>
    </row>
    <row r="76" spans="1:7" ht="15" x14ac:dyDescent="0.25">
      <c r="A76" s="107" t="s">
        <v>74</v>
      </c>
      <c r="B76" s="107" t="s">
        <v>2</v>
      </c>
      <c r="C76" s="107" t="s">
        <v>199</v>
      </c>
      <c r="D76" s="108">
        <v>13</v>
      </c>
      <c r="E76" s="108">
        <v>36</v>
      </c>
      <c r="F76" s="109"/>
      <c r="G76" s="67">
        <v>49</v>
      </c>
    </row>
    <row r="77" spans="1:7" ht="15" x14ac:dyDescent="0.25">
      <c r="A77" s="107" t="s">
        <v>74</v>
      </c>
      <c r="B77" s="107" t="s">
        <v>2</v>
      </c>
      <c r="C77" s="107" t="s">
        <v>95</v>
      </c>
      <c r="D77" s="108">
        <v>41</v>
      </c>
      <c r="E77" s="108">
        <v>36</v>
      </c>
      <c r="F77" s="108">
        <v>7</v>
      </c>
      <c r="G77" s="67">
        <v>84</v>
      </c>
    </row>
    <row r="78" spans="1:7" ht="15" x14ac:dyDescent="0.25">
      <c r="A78" s="107" t="s">
        <v>74</v>
      </c>
      <c r="B78" s="107" t="s">
        <v>2</v>
      </c>
      <c r="C78" s="107" t="s">
        <v>76</v>
      </c>
      <c r="D78" s="108">
        <v>66</v>
      </c>
      <c r="E78" s="108">
        <v>83</v>
      </c>
      <c r="F78" s="108">
        <v>4</v>
      </c>
      <c r="G78" s="67">
        <v>153</v>
      </c>
    </row>
    <row r="79" spans="1:7" ht="15" x14ac:dyDescent="0.25">
      <c r="A79" s="107" t="s">
        <v>74</v>
      </c>
      <c r="B79" s="107" t="s">
        <v>2</v>
      </c>
      <c r="C79" s="107" t="s">
        <v>94</v>
      </c>
      <c r="D79" s="108">
        <v>43</v>
      </c>
      <c r="E79" s="108">
        <v>28</v>
      </c>
      <c r="F79" s="108">
        <v>16</v>
      </c>
      <c r="G79" s="67">
        <v>87</v>
      </c>
    </row>
    <row r="80" spans="1:7" ht="15" x14ac:dyDescent="0.25">
      <c r="A80" s="107" t="s">
        <v>74</v>
      </c>
      <c r="B80" s="107" t="s">
        <v>2</v>
      </c>
      <c r="C80" s="107" t="s">
        <v>93</v>
      </c>
      <c r="D80" s="108">
        <v>4</v>
      </c>
      <c r="E80" s="108">
        <v>70</v>
      </c>
      <c r="F80" s="108">
        <v>13</v>
      </c>
      <c r="G80" s="67">
        <v>87</v>
      </c>
    </row>
    <row r="81" spans="1:7" ht="15" x14ac:dyDescent="0.25">
      <c r="A81" s="107" t="s">
        <v>74</v>
      </c>
      <c r="B81" s="107" t="s">
        <v>2</v>
      </c>
      <c r="C81" s="107" t="s">
        <v>239</v>
      </c>
      <c r="D81" s="108">
        <v>6</v>
      </c>
      <c r="E81" s="109"/>
      <c r="F81" s="109"/>
      <c r="G81" s="67">
        <v>6</v>
      </c>
    </row>
    <row r="82" spans="1:7" ht="15" x14ac:dyDescent="0.25">
      <c r="A82" s="74" t="s">
        <v>74</v>
      </c>
      <c r="B82" s="74" t="s">
        <v>200</v>
      </c>
      <c r="C82" s="21"/>
      <c r="D82" s="84">
        <v>257</v>
      </c>
      <c r="E82" s="84">
        <v>380</v>
      </c>
      <c r="F82" s="84">
        <v>84</v>
      </c>
      <c r="G82" s="84">
        <v>721</v>
      </c>
    </row>
    <row r="83" spans="1:7" ht="15" x14ac:dyDescent="0.25">
      <c r="A83" s="107"/>
      <c r="B83" s="85" t="s">
        <v>241</v>
      </c>
      <c r="C83" s="107"/>
      <c r="D83" s="110">
        <v>0.13215859030837004</v>
      </c>
      <c r="E83" s="110">
        <v>2.9810298102981029E-2</v>
      </c>
      <c r="F83" s="110">
        <v>0.82608695652173914</v>
      </c>
      <c r="G83" s="110">
        <v>0.12305295950155763</v>
      </c>
    </row>
    <row r="84" spans="1:7" ht="15" x14ac:dyDescent="0.25">
      <c r="A84" s="107"/>
      <c r="B84" s="107"/>
      <c r="C84" s="107"/>
      <c r="D84" s="108"/>
      <c r="E84" s="109"/>
      <c r="F84" s="109"/>
      <c r="G84" s="67"/>
    </row>
    <row r="85" spans="1:7" ht="15" x14ac:dyDescent="0.25">
      <c r="A85" s="107" t="s">
        <v>74</v>
      </c>
      <c r="B85" s="107" t="s">
        <v>43</v>
      </c>
      <c r="C85" s="107" t="s">
        <v>197</v>
      </c>
      <c r="D85" s="108">
        <v>3</v>
      </c>
      <c r="E85" s="109"/>
      <c r="F85" s="109"/>
      <c r="G85" s="67">
        <v>3</v>
      </c>
    </row>
    <row r="86" spans="1:7" ht="15" x14ac:dyDescent="0.25">
      <c r="A86" s="74" t="s">
        <v>74</v>
      </c>
      <c r="B86" s="74" t="s">
        <v>201</v>
      </c>
      <c r="C86" s="21"/>
      <c r="D86" s="84">
        <v>3</v>
      </c>
      <c r="E86" s="84">
        <v>0</v>
      </c>
      <c r="F86" s="84">
        <v>0</v>
      </c>
      <c r="G86" s="84">
        <v>3</v>
      </c>
    </row>
    <row r="87" spans="1:7" ht="15" x14ac:dyDescent="0.25">
      <c r="A87" s="107"/>
      <c r="B87" s="85" t="s">
        <v>241</v>
      </c>
      <c r="C87" s="107"/>
      <c r="D87" s="88" t="s">
        <v>98</v>
      </c>
      <c r="E87" s="88" t="s">
        <v>98</v>
      </c>
      <c r="F87" s="88" t="s">
        <v>98</v>
      </c>
      <c r="G87" s="88">
        <v>-0.7857142857142857</v>
      </c>
    </row>
    <row r="88" spans="1:7" ht="15" x14ac:dyDescent="0.25">
      <c r="A88" s="107"/>
      <c r="B88" s="107"/>
      <c r="C88" s="107"/>
      <c r="D88" s="108"/>
      <c r="E88" s="109"/>
      <c r="F88" s="109"/>
      <c r="G88" s="67"/>
    </row>
    <row r="89" spans="1:7" ht="15" x14ac:dyDescent="0.25">
      <c r="A89" s="74" t="s">
        <v>74</v>
      </c>
      <c r="B89" s="74" t="s">
        <v>78</v>
      </c>
      <c r="C89" s="21"/>
      <c r="D89" s="84">
        <v>260</v>
      </c>
      <c r="E89" s="84">
        <v>380</v>
      </c>
      <c r="F89" s="84">
        <v>84</v>
      </c>
      <c r="G89" s="84">
        <v>724</v>
      </c>
    </row>
    <row r="90" spans="1:7" ht="15" x14ac:dyDescent="0.25">
      <c r="A90" s="107"/>
      <c r="B90" s="85" t="s">
        <v>241</v>
      </c>
      <c r="C90" s="107"/>
      <c r="D90" s="110">
        <v>0.14537444933920704</v>
      </c>
      <c r="E90" s="110">
        <v>1.876675603217158E-2</v>
      </c>
      <c r="F90" s="110">
        <v>0.5</v>
      </c>
      <c r="G90" s="110">
        <v>0.10365853658536585</v>
      </c>
    </row>
    <row r="91" spans="1:7" s="8" customFormat="1" ht="15" x14ac:dyDescent="0.25">
      <c r="A91" s="107"/>
      <c r="B91" s="107"/>
      <c r="C91" s="107"/>
      <c r="D91" s="108"/>
      <c r="E91" s="109"/>
      <c r="F91" s="109"/>
      <c r="G91" s="67"/>
    </row>
    <row r="92" spans="1:7" ht="15" x14ac:dyDescent="0.25">
      <c r="A92" s="73" t="s">
        <v>20</v>
      </c>
      <c r="B92" s="73" t="s">
        <v>20</v>
      </c>
      <c r="C92" s="107" t="s">
        <v>188</v>
      </c>
      <c r="D92" s="109"/>
      <c r="E92" s="108">
        <v>3</v>
      </c>
      <c r="F92" s="109"/>
      <c r="G92" s="67">
        <v>3</v>
      </c>
    </row>
    <row r="93" spans="1:7" s="8" customFormat="1" ht="15" x14ac:dyDescent="0.25">
      <c r="A93" s="73" t="s">
        <v>20</v>
      </c>
      <c r="B93" s="73" t="s">
        <v>20</v>
      </c>
      <c r="C93" s="107" t="s">
        <v>225</v>
      </c>
      <c r="D93" s="109"/>
      <c r="E93" s="108">
        <v>39</v>
      </c>
      <c r="F93" s="109"/>
      <c r="G93" s="67">
        <v>39</v>
      </c>
    </row>
    <row r="94" spans="1:7" ht="15" x14ac:dyDescent="0.25">
      <c r="A94" s="73" t="s">
        <v>20</v>
      </c>
      <c r="B94" s="73" t="s">
        <v>20</v>
      </c>
      <c r="C94" s="107" t="s">
        <v>189</v>
      </c>
      <c r="D94" s="109"/>
      <c r="E94" s="108">
        <v>12</v>
      </c>
      <c r="F94" s="109"/>
      <c r="G94" s="67">
        <v>12</v>
      </c>
    </row>
    <row r="95" spans="1:7" ht="15" x14ac:dyDescent="0.25">
      <c r="A95" s="73" t="s">
        <v>20</v>
      </c>
      <c r="B95" s="73" t="s">
        <v>20</v>
      </c>
      <c r="C95" s="107" t="s">
        <v>226</v>
      </c>
      <c r="D95" s="109"/>
      <c r="E95" s="108">
        <v>30</v>
      </c>
      <c r="F95" s="109"/>
      <c r="G95" s="67">
        <v>30</v>
      </c>
    </row>
    <row r="96" spans="1:7" ht="15" x14ac:dyDescent="0.25">
      <c r="A96" s="73" t="s">
        <v>20</v>
      </c>
      <c r="B96" s="73" t="s">
        <v>20</v>
      </c>
      <c r="C96" s="107" t="s">
        <v>171</v>
      </c>
      <c r="D96" s="108">
        <v>9</v>
      </c>
      <c r="E96" s="108">
        <v>4</v>
      </c>
      <c r="F96" s="108">
        <v>4</v>
      </c>
      <c r="G96" s="67">
        <v>17</v>
      </c>
    </row>
    <row r="97" spans="1:7" ht="15" x14ac:dyDescent="0.25">
      <c r="A97" s="73" t="s">
        <v>20</v>
      </c>
      <c r="B97" s="73" t="s">
        <v>20</v>
      </c>
      <c r="C97" s="107" t="s">
        <v>227</v>
      </c>
      <c r="D97" s="109"/>
      <c r="E97" s="109"/>
      <c r="F97" s="108">
        <v>3</v>
      </c>
      <c r="G97" s="67">
        <v>3</v>
      </c>
    </row>
    <row r="98" spans="1:7" ht="15" x14ac:dyDescent="0.25">
      <c r="A98" s="73" t="s">
        <v>20</v>
      </c>
      <c r="B98" s="73" t="s">
        <v>20</v>
      </c>
      <c r="C98" s="107" t="s">
        <v>190</v>
      </c>
      <c r="D98" s="108">
        <v>27</v>
      </c>
      <c r="E98" s="109"/>
      <c r="F98" s="109"/>
      <c r="G98" s="67">
        <v>27</v>
      </c>
    </row>
    <row r="99" spans="1:7" ht="15" x14ac:dyDescent="0.25">
      <c r="A99" s="73" t="s">
        <v>20</v>
      </c>
      <c r="B99" s="73" t="s">
        <v>20</v>
      </c>
      <c r="C99" s="107" t="s">
        <v>228</v>
      </c>
      <c r="D99" s="108">
        <v>10</v>
      </c>
      <c r="E99" s="108">
        <v>6</v>
      </c>
      <c r="F99" s="109"/>
      <c r="G99" s="67">
        <v>16</v>
      </c>
    </row>
    <row r="100" spans="1:7" ht="15" x14ac:dyDescent="0.25">
      <c r="A100" s="73" t="s">
        <v>20</v>
      </c>
      <c r="B100" s="73" t="s">
        <v>20</v>
      </c>
      <c r="C100" s="107" t="s">
        <v>191</v>
      </c>
      <c r="D100" s="109"/>
      <c r="E100" s="108">
        <v>43</v>
      </c>
      <c r="F100" s="108">
        <v>14</v>
      </c>
      <c r="G100" s="67">
        <v>57</v>
      </c>
    </row>
    <row r="101" spans="1:7" ht="15" x14ac:dyDescent="0.25">
      <c r="A101" s="73" t="s">
        <v>20</v>
      </c>
      <c r="B101" s="73" t="s">
        <v>20</v>
      </c>
      <c r="C101" s="101" t="s">
        <v>240</v>
      </c>
      <c r="D101" s="109"/>
      <c r="E101" s="108">
        <v>3</v>
      </c>
      <c r="F101" s="109"/>
      <c r="G101" s="67">
        <v>3</v>
      </c>
    </row>
    <row r="102" spans="1:7" ht="15" x14ac:dyDescent="0.25">
      <c r="A102" s="73" t="s">
        <v>20</v>
      </c>
      <c r="B102" s="73" t="s">
        <v>20</v>
      </c>
      <c r="C102" s="107" t="s">
        <v>229</v>
      </c>
      <c r="D102" s="109"/>
      <c r="E102" s="108">
        <v>6</v>
      </c>
      <c r="F102" s="109"/>
      <c r="G102" s="67">
        <v>6</v>
      </c>
    </row>
    <row r="103" spans="1:7" ht="15" x14ac:dyDescent="0.25">
      <c r="A103" s="73" t="s">
        <v>20</v>
      </c>
      <c r="B103" s="73" t="s">
        <v>20</v>
      </c>
      <c r="C103" s="107" t="s">
        <v>230</v>
      </c>
      <c r="D103" s="109"/>
      <c r="E103" s="108">
        <v>51</v>
      </c>
      <c r="F103" s="109"/>
      <c r="G103" s="67">
        <v>51</v>
      </c>
    </row>
    <row r="104" spans="1:7" ht="15" x14ac:dyDescent="0.25">
      <c r="A104" s="73" t="s">
        <v>20</v>
      </c>
      <c r="B104" s="73" t="s">
        <v>20</v>
      </c>
      <c r="C104" s="107" t="s">
        <v>231</v>
      </c>
      <c r="D104" s="109"/>
      <c r="E104" s="109"/>
      <c r="F104" s="108">
        <v>3</v>
      </c>
      <c r="G104" s="67">
        <v>3</v>
      </c>
    </row>
    <row r="105" spans="1:7" ht="15" x14ac:dyDescent="0.25">
      <c r="A105" s="73" t="s">
        <v>20</v>
      </c>
      <c r="B105" s="73" t="s">
        <v>20</v>
      </c>
      <c r="C105" s="107" t="s">
        <v>232</v>
      </c>
      <c r="D105" s="109"/>
      <c r="E105" s="108">
        <v>15</v>
      </c>
      <c r="F105" s="108">
        <v>9</v>
      </c>
      <c r="G105" s="67">
        <v>24</v>
      </c>
    </row>
    <row r="106" spans="1:7" ht="15" x14ac:dyDescent="0.25">
      <c r="A106" s="73" t="s">
        <v>20</v>
      </c>
      <c r="B106" s="73" t="s">
        <v>20</v>
      </c>
      <c r="C106" s="107" t="s">
        <v>233</v>
      </c>
      <c r="D106" s="109"/>
      <c r="E106" s="108">
        <v>6</v>
      </c>
      <c r="F106" s="108">
        <v>1</v>
      </c>
      <c r="G106" s="67">
        <v>7</v>
      </c>
    </row>
    <row r="107" spans="1:7" ht="15" x14ac:dyDescent="0.25">
      <c r="A107" s="73" t="s">
        <v>20</v>
      </c>
      <c r="B107" s="73" t="s">
        <v>20</v>
      </c>
      <c r="C107" s="107" t="s">
        <v>234</v>
      </c>
      <c r="D107" s="108">
        <v>18</v>
      </c>
      <c r="E107" s="109"/>
      <c r="F107" s="109"/>
      <c r="G107" s="67">
        <v>18</v>
      </c>
    </row>
    <row r="108" spans="1:7" ht="15" x14ac:dyDescent="0.25">
      <c r="A108" s="73" t="s">
        <v>20</v>
      </c>
      <c r="B108" s="107" t="s">
        <v>5</v>
      </c>
      <c r="C108" s="107" t="s">
        <v>192</v>
      </c>
      <c r="D108" s="109"/>
      <c r="E108" s="108">
        <v>5</v>
      </c>
      <c r="F108" s="108">
        <v>2</v>
      </c>
      <c r="G108" s="67">
        <v>7</v>
      </c>
    </row>
    <row r="109" spans="1:7" ht="15" x14ac:dyDescent="0.25">
      <c r="A109" s="73" t="s">
        <v>20</v>
      </c>
      <c r="B109" s="107" t="s">
        <v>2</v>
      </c>
      <c r="C109" s="107" t="s">
        <v>86</v>
      </c>
      <c r="D109" s="109"/>
      <c r="E109" s="109"/>
      <c r="F109" s="108">
        <v>3</v>
      </c>
      <c r="G109" s="67">
        <v>3</v>
      </c>
    </row>
    <row r="110" spans="1:7" ht="15" x14ac:dyDescent="0.25">
      <c r="A110" s="73" t="s">
        <v>20</v>
      </c>
      <c r="B110" s="107" t="s">
        <v>19</v>
      </c>
      <c r="C110" s="107" t="s">
        <v>235</v>
      </c>
      <c r="D110" s="108">
        <v>78</v>
      </c>
      <c r="E110" s="108">
        <v>58</v>
      </c>
      <c r="F110" s="109"/>
      <c r="G110" s="67">
        <v>136</v>
      </c>
    </row>
    <row r="111" spans="1:7" ht="15" x14ac:dyDescent="0.25">
      <c r="A111" s="73" t="s">
        <v>20</v>
      </c>
      <c r="B111" s="107" t="s">
        <v>19</v>
      </c>
      <c r="C111" s="107" t="s">
        <v>87</v>
      </c>
      <c r="D111" s="108">
        <v>159</v>
      </c>
      <c r="E111" s="108">
        <v>15</v>
      </c>
      <c r="F111" s="109"/>
      <c r="G111" s="67">
        <v>174</v>
      </c>
    </row>
    <row r="112" spans="1:7" ht="15" x14ac:dyDescent="0.25">
      <c r="A112" s="73" t="s">
        <v>20</v>
      </c>
      <c r="B112" s="107" t="s">
        <v>19</v>
      </c>
      <c r="C112" s="107" t="s">
        <v>44</v>
      </c>
      <c r="D112" s="109"/>
      <c r="E112" s="108">
        <v>78</v>
      </c>
      <c r="F112" s="109"/>
      <c r="G112" s="67">
        <v>78</v>
      </c>
    </row>
    <row r="113" spans="1:7" ht="15" x14ac:dyDescent="0.25">
      <c r="A113" s="73" t="s">
        <v>20</v>
      </c>
      <c r="B113" s="107" t="s">
        <v>19</v>
      </c>
      <c r="C113" s="107" t="s">
        <v>88</v>
      </c>
      <c r="D113" s="108">
        <v>19</v>
      </c>
      <c r="E113" s="109"/>
      <c r="F113" s="108">
        <v>4</v>
      </c>
      <c r="G113" s="67">
        <v>23</v>
      </c>
    </row>
    <row r="114" spans="1:7" ht="15" x14ac:dyDescent="0.25">
      <c r="A114" s="73" t="s">
        <v>20</v>
      </c>
      <c r="B114" s="107" t="s">
        <v>19</v>
      </c>
      <c r="C114" s="107" t="s">
        <v>45</v>
      </c>
      <c r="D114" s="108">
        <v>108</v>
      </c>
      <c r="E114" s="108">
        <v>84</v>
      </c>
      <c r="F114" s="108">
        <v>78</v>
      </c>
      <c r="G114" s="67">
        <v>270</v>
      </c>
    </row>
    <row r="115" spans="1:7" ht="15" x14ac:dyDescent="0.25">
      <c r="A115" s="73" t="s">
        <v>20</v>
      </c>
      <c r="B115" s="107" t="s">
        <v>19</v>
      </c>
      <c r="C115" s="107" t="s">
        <v>46</v>
      </c>
      <c r="D115" s="108">
        <v>48</v>
      </c>
      <c r="E115" s="109"/>
      <c r="F115" s="109"/>
      <c r="G115" s="67">
        <v>48</v>
      </c>
    </row>
    <row r="116" spans="1:7" x14ac:dyDescent="0.3">
      <c r="A116" s="73" t="s">
        <v>20</v>
      </c>
      <c r="B116" s="107" t="s">
        <v>19</v>
      </c>
      <c r="C116" s="107" t="s">
        <v>89</v>
      </c>
      <c r="D116" s="109"/>
      <c r="E116" s="108">
        <v>6</v>
      </c>
      <c r="F116" s="109"/>
      <c r="G116" s="67">
        <v>6</v>
      </c>
    </row>
    <row r="117" spans="1:7" x14ac:dyDescent="0.3">
      <c r="A117" s="73" t="s">
        <v>20</v>
      </c>
      <c r="B117" s="107" t="s">
        <v>172</v>
      </c>
      <c r="C117" s="107" t="s">
        <v>236</v>
      </c>
      <c r="D117" s="109"/>
      <c r="E117" s="109"/>
      <c r="F117" s="108">
        <v>6</v>
      </c>
      <c r="G117" s="67">
        <v>6</v>
      </c>
    </row>
    <row r="118" spans="1:7" x14ac:dyDescent="0.3">
      <c r="A118" s="73" t="s">
        <v>20</v>
      </c>
      <c r="B118" s="107" t="s">
        <v>172</v>
      </c>
      <c r="C118" s="107" t="s">
        <v>193</v>
      </c>
      <c r="D118" s="109"/>
      <c r="E118" s="108">
        <v>4</v>
      </c>
      <c r="F118" s="109"/>
      <c r="G118" s="67">
        <v>4</v>
      </c>
    </row>
    <row r="119" spans="1:7" x14ac:dyDescent="0.3">
      <c r="A119" s="74" t="s">
        <v>20</v>
      </c>
      <c r="B119" s="74" t="s">
        <v>78</v>
      </c>
      <c r="C119" s="21"/>
      <c r="D119" s="67">
        <v>476</v>
      </c>
      <c r="E119" s="67">
        <v>468</v>
      </c>
      <c r="F119" s="67">
        <v>127</v>
      </c>
      <c r="G119" s="67">
        <v>1071</v>
      </c>
    </row>
    <row r="120" spans="1:7" x14ac:dyDescent="0.3">
      <c r="A120" s="67"/>
      <c r="B120" s="85" t="s">
        <v>241</v>
      </c>
      <c r="C120" s="67"/>
      <c r="D120" s="95">
        <v>1.0877192982456141</v>
      </c>
      <c r="E120" s="95">
        <v>1</v>
      </c>
      <c r="F120" s="95">
        <v>5.8333333333333334E-2</v>
      </c>
      <c r="G120" s="95">
        <v>0.84020618556701032</v>
      </c>
    </row>
    <row r="121" spans="1:7" x14ac:dyDescent="0.3">
      <c r="A121" s="67"/>
      <c r="B121" s="67"/>
      <c r="C121" s="67"/>
      <c r="D121" s="67"/>
      <c r="E121" s="67"/>
      <c r="F121" s="67"/>
      <c r="G121" s="22"/>
    </row>
    <row r="122" spans="1:7" x14ac:dyDescent="0.3">
      <c r="A122" s="67"/>
      <c r="B122" s="67"/>
      <c r="C122" s="67"/>
      <c r="D122" s="67"/>
      <c r="E122" s="67"/>
      <c r="F122" s="67"/>
      <c r="G122" s="67"/>
    </row>
    <row r="123" spans="1:7" x14ac:dyDescent="0.3">
      <c r="A123" s="22" t="s">
        <v>84</v>
      </c>
      <c r="B123" s="22" t="s">
        <v>78</v>
      </c>
      <c r="C123" s="21"/>
      <c r="D123" s="84">
        <v>5480</v>
      </c>
      <c r="E123" s="84">
        <v>5515</v>
      </c>
      <c r="F123" s="84">
        <v>2323</v>
      </c>
      <c r="G123" s="84">
        <v>13318</v>
      </c>
    </row>
    <row r="124" spans="1:7" x14ac:dyDescent="0.3">
      <c r="A124" s="67"/>
      <c r="B124" s="85" t="s">
        <v>241</v>
      </c>
      <c r="C124" s="67"/>
      <c r="D124" s="95">
        <v>6.6355322047090867E-2</v>
      </c>
      <c r="E124" s="95">
        <v>4.4112078758046194E-2</v>
      </c>
      <c r="F124" s="95">
        <v>0.23236074270557031</v>
      </c>
      <c r="G124" s="95">
        <v>8.2236307492280183E-2</v>
      </c>
    </row>
  </sheetData>
  <mergeCells count="1">
    <mergeCell ref="D5:G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H14" sqref="H14"/>
    </sheetView>
  </sheetViews>
  <sheetFormatPr defaultRowHeight="14.4" x14ac:dyDescent="0.3"/>
  <cols>
    <col min="1" max="1" width="16.109375" bestFit="1" customWidth="1"/>
    <col min="2" max="2" width="10.5546875" bestFit="1" customWidth="1"/>
  </cols>
  <sheetData>
    <row r="1" spans="1:2" x14ac:dyDescent="0.25">
      <c r="A1" s="4" t="s">
        <v>182</v>
      </c>
    </row>
    <row r="2" spans="1:2" x14ac:dyDescent="0.25">
      <c r="A2" s="4" t="s">
        <v>246</v>
      </c>
    </row>
    <row r="3" spans="1:2" x14ac:dyDescent="0.25">
      <c r="A3" s="3"/>
    </row>
    <row r="4" spans="1:2" x14ac:dyDescent="0.25">
      <c r="A4" s="3" t="s">
        <v>270</v>
      </c>
    </row>
    <row r="5" spans="1:2" x14ac:dyDescent="0.25">
      <c r="A5" s="135" t="s">
        <v>82</v>
      </c>
      <c r="B5" s="136" t="s">
        <v>248</v>
      </c>
    </row>
    <row r="6" spans="1:2" x14ac:dyDescent="0.25">
      <c r="A6" s="53" t="s">
        <v>1</v>
      </c>
      <c r="B6" s="66">
        <v>3.0249759846301632</v>
      </c>
    </row>
    <row r="7" spans="1:2" x14ac:dyDescent="0.25">
      <c r="A7" s="53" t="s">
        <v>38</v>
      </c>
      <c r="B7" s="66">
        <v>2.5316368638239339</v>
      </c>
    </row>
    <row r="8" spans="1:2" x14ac:dyDescent="0.25">
      <c r="A8" s="53" t="s">
        <v>74</v>
      </c>
      <c r="B8" s="66">
        <v>2.5085034013605441</v>
      </c>
    </row>
    <row r="9" spans="1:2" x14ac:dyDescent="0.25">
      <c r="A9" s="53" t="s">
        <v>20</v>
      </c>
      <c r="B9" s="66">
        <v>2.6803551609322973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0"/>
  <sheetViews>
    <sheetView topLeftCell="A4" workbookViewId="0">
      <selection activeCell="J56" sqref="J56:J59"/>
    </sheetView>
  </sheetViews>
  <sheetFormatPr defaultColWidth="9.109375" defaultRowHeight="14.4" x14ac:dyDescent="0.3"/>
  <cols>
    <col min="1" max="1" width="12.5546875" style="4" bestFit="1" customWidth="1"/>
    <col min="2" max="2" width="15.109375" style="4" bestFit="1" customWidth="1"/>
    <col min="3" max="3" width="34" style="4" bestFit="1" customWidth="1"/>
    <col min="4" max="5" width="12" style="114" bestFit="1" customWidth="1"/>
    <col min="6" max="6" width="12.88671875" style="114" bestFit="1" customWidth="1"/>
    <col min="7" max="7" width="16" style="4" bestFit="1" customWidth="1"/>
    <col min="8" max="16384" width="9.109375" style="4"/>
  </cols>
  <sheetData>
    <row r="1" spans="1:7" ht="15" x14ac:dyDescent="0.25">
      <c r="A1" s="4" t="s">
        <v>182</v>
      </c>
      <c r="D1" s="4"/>
      <c r="E1" s="4"/>
      <c r="F1" s="4"/>
    </row>
    <row r="2" spans="1:7" ht="15" x14ac:dyDescent="0.25">
      <c r="A2" s="4" t="s">
        <v>246</v>
      </c>
      <c r="D2" s="4"/>
      <c r="E2" s="4"/>
      <c r="F2" s="4"/>
    </row>
    <row r="3" spans="1:7" ht="15" x14ac:dyDescent="0.25">
      <c r="D3" s="4"/>
      <c r="E3" s="4"/>
      <c r="F3" s="4"/>
    </row>
    <row r="4" spans="1:7" ht="15" x14ac:dyDescent="0.25">
      <c r="A4" s="4" t="s">
        <v>183</v>
      </c>
      <c r="D4" s="4"/>
      <c r="E4" s="4"/>
      <c r="F4" s="4"/>
    </row>
    <row r="5" spans="1:7" ht="15" x14ac:dyDescent="0.25">
      <c r="A5" s="47"/>
      <c r="B5" s="56"/>
      <c r="C5" s="56"/>
      <c r="D5" s="159" t="s">
        <v>185</v>
      </c>
      <c r="E5" s="160"/>
      <c r="F5" s="160"/>
      <c r="G5" s="161"/>
    </row>
    <row r="6" spans="1:7" ht="15" x14ac:dyDescent="0.25">
      <c r="A6" s="57" t="s">
        <v>0</v>
      </c>
      <c r="B6" s="58" t="s">
        <v>15</v>
      </c>
      <c r="C6" s="58" t="s">
        <v>16</v>
      </c>
      <c r="D6" s="54" t="s">
        <v>242</v>
      </c>
      <c r="E6" s="54" t="s">
        <v>243</v>
      </c>
      <c r="F6" s="54" t="s">
        <v>244</v>
      </c>
      <c r="G6" s="111" t="s">
        <v>247</v>
      </c>
    </row>
    <row r="7" spans="1:7" ht="15" x14ac:dyDescent="0.25">
      <c r="A7" s="115" t="s">
        <v>1</v>
      </c>
      <c r="B7" s="115" t="s">
        <v>5</v>
      </c>
      <c r="C7" s="115" t="s">
        <v>47</v>
      </c>
      <c r="D7" s="116">
        <v>2.0540540540540539</v>
      </c>
      <c r="E7" s="116">
        <v>2.7948717948717947</v>
      </c>
      <c r="F7" s="116">
        <v>3.5</v>
      </c>
      <c r="G7" s="126">
        <v>2.558139534883721</v>
      </c>
    </row>
    <row r="8" spans="1:7" ht="15" x14ac:dyDescent="0.25">
      <c r="A8" s="115" t="s">
        <v>1</v>
      </c>
      <c r="B8" s="115" t="s">
        <v>5</v>
      </c>
      <c r="C8" s="115" t="s">
        <v>4</v>
      </c>
      <c r="D8" s="116">
        <v>4</v>
      </c>
      <c r="E8" s="116">
        <v>0</v>
      </c>
      <c r="F8" s="116">
        <v>2</v>
      </c>
      <c r="G8" s="126">
        <v>2.5</v>
      </c>
    </row>
    <row r="9" spans="1:7" ht="15" x14ac:dyDescent="0.25">
      <c r="A9" s="115" t="s">
        <v>1</v>
      </c>
      <c r="B9" s="115" t="s">
        <v>5</v>
      </c>
      <c r="C9" s="115" t="s">
        <v>194</v>
      </c>
      <c r="D9" s="116">
        <v>0</v>
      </c>
      <c r="E9" s="116">
        <v>2</v>
      </c>
      <c r="F9" s="116">
        <v>0</v>
      </c>
      <c r="G9" s="126">
        <v>2</v>
      </c>
    </row>
    <row r="10" spans="1:7" ht="15" x14ac:dyDescent="0.25">
      <c r="A10" s="115" t="s">
        <v>1</v>
      </c>
      <c r="B10" s="115" t="s">
        <v>5</v>
      </c>
      <c r="C10" s="115" t="s">
        <v>6</v>
      </c>
      <c r="D10" s="116">
        <v>3.1608391608391608</v>
      </c>
      <c r="E10" s="116">
        <v>2.9889502762430937</v>
      </c>
      <c r="F10" s="116">
        <v>3.1388888888888888</v>
      </c>
      <c r="G10" s="126">
        <v>3.0912698412698414</v>
      </c>
    </row>
    <row r="11" spans="1:7" ht="15" x14ac:dyDescent="0.25">
      <c r="A11" s="115" t="s">
        <v>1</v>
      </c>
      <c r="B11" s="115" t="s">
        <v>5</v>
      </c>
      <c r="C11" s="115" t="s">
        <v>48</v>
      </c>
      <c r="D11" s="116">
        <v>2.7142857142857144</v>
      </c>
      <c r="E11" s="116">
        <v>1.9333333333333333</v>
      </c>
      <c r="F11" s="116">
        <v>2</v>
      </c>
      <c r="G11" s="126">
        <v>2.2465753424657535</v>
      </c>
    </row>
    <row r="12" spans="1:7" ht="15" x14ac:dyDescent="0.25">
      <c r="A12" s="115" t="s">
        <v>1</v>
      </c>
      <c r="B12" s="115" t="s">
        <v>5</v>
      </c>
      <c r="C12" s="115" t="s">
        <v>90</v>
      </c>
      <c r="D12" s="116">
        <v>0</v>
      </c>
      <c r="E12" s="116">
        <v>3</v>
      </c>
      <c r="F12" s="116">
        <v>0</v>
      </c>
      <c r="G12" s="126">
        <v>2.25</v>
      </c>
    </row>
    <row r="13" spans="1:7" ht="15" x14ac:dyDescent="0.25">
      <c r="A13" s="115" t="s">
        <v>1</v>
      </c>
      <c r="B13" s="115" t="s">
        <v>5</v>
      </c>
      <c r="C13" s="115" t="s">
        <v>14</v>
      </c>
      <c r="D13" s="116">
        <v>0.8</v>
      </c>
      <c r="E13" s="116">
        <v>2.9767441860465116</v>
      </c>
      <c r="F13" s="116">
        <v>0</v>
      </c>
      <c r="G13" s="126">
        <v>2.4137931034482758</v>
      </c>
    </row>
    <row r="14" spans="1:7" s="112" customFormat="1" ht="15" x14ac:dyDescent="0.25">
      <c r="A14" s="115" t="s">
        <v>1</v>
      </c>
      <c r="B14" s="115" t="s">
        <v>5</v>
      </c>
      <c r="C14" s="115" t="s">
        <v>49</v>
      </c>
      <c r="D14" s="116">
        <v>3.3333333333333335</v>
      </c>
      <c r="E14" s="116">
        <v>2.6</v>
      </c>
      <c r="F14" s="116">
        <v>0</v>
      </c>
      <c r="G14" s="126">
        <v>2.875</v>
      </c>
    </row>
    <row r="15" spans="1:7" s="112" customFormat="1" ht="15" x14ac:dyDescent="0.25">
      <c r="A15" s="74" t="s">
        <v>1</v>
      </c>
      <c r="B15" s="74" t="s">
        <v>17</v>
      </c>
      <c r="C15" s="122"/>
      <c r="D15" s="123">
        <v>2.7896995708154506</v>
      </c>
      <c r="E15" s="123">
        <v>2.8397435897435899</v>
      </c>
      <c r="F15" s="123">
        <v>3.0430622009569377</v>
      </c>
      <c r="G15" s="123">
        <v>2.8806366047745358</v>
      </c>
    </row>
    <row r="16" spans="1:7" ht="15" x14ac:dyDescent="0.25">
      <c r="A16" s="115"/>
      <c r="B16" s="115"/>
      <c r="C16" s="115"/>
      <c r="D16" s="116"/>
      <c r="E16" s="116"/>
      <c r="F16" s="116"/>
      <c r="G16" s="126"/>
    </row>
    <row r="17" spans="1:7" ht="15" x14ac:dyDescent="0.25">
      <c r="A17" s="115" t="s">
        <v>1</v>
      </c>
      <c r="B17" s="115" t="s">
        <v>2</v>
      </c>
      <c r="C17" s="115" t="s">
        <v>50</v>
      </c>
      <c r="D17" s="116">
        <v>2.2105263157894739</v>
      </c>
      <c r="E17" s="116">
        <v>3.0750000000000002</v>
      </c>
      <c r="F17" s="116">
        <v>2.3333333333333335</v>
      </c>
      <c r="G17" s="126">
        <v>2.6883116883116882</v>
      </c>
    </row>
    <row r="18" spans="1:7" ht="15" x14ac:dyDescent="0.25">
      <c r="A18" s="115" t="s">
        <v>1</v>
      </c>
      <c r="B18" s="115" t="s">
        <v>2</v>
      </c>
      <c r="C18" s="115" t="s">
        <v>51</v>
      </c>
      <c r="D18" s="116">
        <v>3.11660777385159</v>
      </c>
      <c r="E18" s="116">
        <v>3.0620915032679736</v>
      </c>
      <c r="F18" s="116">
        <v>3.2666666666666666</v>
      </c>
      <c r="G18" s="126">
        <v>3.1421800947867302</v>
      </c>
    </row>
    <row r="19" spans="1:7" ht="15" x14ac:dyDescent="0.25">
      <c r="A19" s="115" t="s">
        <v>1</v>
      </c>
      <c r="B19" s="115" t="s">
        <v>2</v>
      </c>
      <c r="C19" s="115" t="s">
        <v>3</v>
      </c>
      <c r="D19" s="116">
        <v>2.734375</v>
      </c>
      <c r="E19" s="116">
        <v>2.3960396039603959</v>
      </c>
      <c r="F19" s="116">
        <v>3.2692307692307692</v>
      </c>
      <c r="G19" s="126">
        <v>2.6549019607843141</v>
      </c>
    </row>
    <row r="20" spans="1:7" ht="15" x14ac:dyDescent="0.25">
      <c r="A20" s="115" t="s">
        <v>1</v>
      </c>
      <c r="B20" s="115" t="s">
        <v>2</v>
      </c>
      <c r="C20" s="115" t="s">
        <v>52</v>
      </c>
      <c r="D20" s="116">
        <v>1.04</v>
      </c>
      <c r="E20" s="116">
        <v>2.1153846153846154</v>
      </c>
      <c r="F20" s="116">
        <v>3.5</v>
      </c>
      <c r="G20" s="126">
        <v>1.5486725663716814</v>
      </c>
    </row>
    <row r="21" spans="1:7" ht="15" x14ac:dyDescent="0.25">
      <c r="A21" s="115" t="s">
        <v>1</v>
      </c>
      <c r="B21" s="115" t="s">
        <v>2</v>
      </c>
      <c r="C21" s="115" t="s">
        <v>195</v>
      </c>
      <c r="D21" s="116">
        <v>2.219512195121951</v>
      </c>
      <c r="E21" s="116">
        <v>2.0454545454545459</v>
      </c>
      <c r="F21" s="116">
        <v>0</v>
      </c>
      <c r="G21" s="126">
        <v>2.1587301587301586</v>
      </c>
    </row>
    <row r="22" spans="1:7" ht="15" x14ac:dyDescent="0.25">
      <c r="A22" s="115" t="s">
        <v>1</v>
      </c>
      <c r="B22" s="115" t="s">
        <v>2</v>
      </c>
      <c r="C22" s="115" t="s">
        <v>53</v>
      </c>
      <c r="D22" s="116">
        <v>2.916666666666667</v>
      </c>
      <c r="E22" s="116">
        <v>3.0714285714285716</v>
      </c>
      <c r="F22" s="116">
        <v>2.9583333333333335</v>
      </c>
      <c r="G22" s="126">
        <v>2.9722222222222223</v>
      </c>
    </row>
    <row r="23" spans="1:7" ht="15" x14ac:dyDescent="0.25">
      <c r="A23" s="115" t="s">
        <v>1</v>
      </c>
      <c r="B23" s="115" t="s">
        <v>2</v>
      </c>
      <c r="C23" s="115" t="s">
        <v>7</v>
      </c>
      <c r="D23" s="116">
        <v>3.3009118541033438</v>
      </c>
      <c r="E23" s="116">
        <v>3.2587719298245612</v>
      </c>
      <c r="F23" s="116">
        <v>3.304347826086957</v>
      </c>
      <c r="G23" s="126">
        <v>3.278688524590164</v>
      </c>
    </row>
    <row r="24" spans="1:7" ht="15" x14ac:dyDescent="0.25">
      <c r="A24" s="115" t="s">
        <v>1</v>
      </c>
      <c r="B24" s="115" t="s">
        <v>2</v>
      </c>
      <c r="C24" s="115" t="s">
        <v>54</v>
      </c>
      <c r="D24" s="116">
        <v>0</v>
      </c>
      <c r="E24" s="116">
        <v>3</v>
      </c>
      <c r="F24" s="116">
        <v>0.79166666666666674</v>
      </c>
      <c r="G24" s="126">
        <v>1.037037037037037</v>
      </c>
    </row>
    <row r="25" spans="1:7" ht="15" x14ac:dyDescent="0.25">
      <c r="A25" s="115" t="s">
        <v>1</v>
      </c>
      <c r="B25" s="115" t="s">
        <v>2</v>
      </c>
      <c r="C25" s="115" t="s">
        <v>91</v>
      </c>
      <c r="D25" s="116">
        <v>2.5</v>
      </c>
      <c r="E25" s="116">
        <v>3</v>
      </c>
      <c r="F25" s="116">
        <v>0</v>
      </c>
      <c r="G25" s="126">
        <v>2.875</v>
      </c>
    </row>
    <row r="26" spans="1:7" ht="15" x14ac:dyDescent="0.25">
      <c r="A26" s="115" t="s">
        <v>1</v>
      </c>
      <c r="B26" s="115" t="s">
        <v>2</v>
      </c>
      <c r="C26" s="115" t="s">
        <v>8</v>
      </c>
      <c r="D26" s="116">
        <v>3.3125</v>
      </c>
      <c r="E26" s="116">
        <v>2.5249999999999999</v>
      </c>
      <c r="F26" s="116">
        <v>2.666666666666667</v>
      </c>
      <c r="G26" s="126">
        <v>2.7352941176470593</v>
      </c>
    </row>
    <row r="27" spans="1:7" ht="15" x14ac:dyDescent="0.25">
      <c r="A27" s="115" t="s">
        <v>1</v>
      </c>
      <c r="B27" s="115" t="s">
        <v>2</v>
      </c>
      <c r="C27" s="115" t="s">
        <v>9</v>
      </c>
      <c r="D27" s="116">
        <v>1</v>
      </c>
      <c r="E27" s="116">
        <v>2.5833333333333335</v>
      </c>
      <c r="F27" s="116">
        <v>0</v>
      </c>
      <c r="G27" s="126">
        <v>2.4249999999999998</v>
      </c>
    </row>
    <row r="28" spans="1:7" ht="15" x14ac:dyDescent="0.25">
      <c r="A28" s="115" t="s">
        <v>1</v>
      </c>
      <c r="B28" s="115" t="s">
        <v>2</v>
      </c>
      <c r="C28" s="115" t="s">
        <v>55</v>
      </c>
      <c r="D28" s="116">
        <v>0</v>
      </c>
      <c r="E28" s="116">
        <v>0.5</v>
      </c>
      <c r="F28" s="116">
        <v>3</v>
      </c>
      <c r="G28" s="126">
        <v>1</v>
      </c>
    </row>
    <row r="29" spans="1:7" ht="15" x14ac:dyDescent="0.25">
      <c r="A29" s="115" t="s">
        <v>1</v>
      </c>
      <c r="B29" s="115" t="s">
        <v>2</v>
      </c>
      <c r="C29" s="115" t="s">
        <v>56</v>
      </c>
      <c r="D29" s="116">
        <v>3.5454545454545459</v>
      </c>
      <c r="E29" s="116">
        <v>3.7647058823529411</v>
      </c>
      <c r="F29" s="116">
        <v>3.5714285714285716</v>
      </c>
      <c r="G29" s="126">
        <v>3.6785714285714288</v>
      </c>
    </row>
    <row r="30" spans="1:7" ht="15" x14ac:dyDescent="0.25">
      <c r="A30" s="115" t="s">
        <v>1</v>
      </c>
      <c r="B30" s="115" t="s">
        <v>2</v>
      </c>
      <c r="C30" s="115" t="s">
        <v>10</v>
      </c>
      <c r="D30" s="116">
        <v>3.8571428571428572</v>
      </c>
      <c r="E30" s="116">
        <v>2.7391304347826089</v>
      </c>
      <c r="F30" s="116">
        <v>0</v>
      </c>
      <c r="G30" s="126">
        <v>3.3137254901960786</v>
      </c>
    </row>
    <row r="31" spans="1:7" ht="15" x14ac:dyDescent="0.25">
      <c r="A31" s="115" t="s">
        <v>1</v>
      </c>
      <c r="B31" s="115" t="s">
        <v>2</v>
      </c>
      <c r="C31" s="115" t="s">
        <v>11</v>
      </c>
      <c r="D31" s="116">
        <v>2.3333333333333335</v>
      </c>
      <c r="E31" s="116">
        <v>3.6666666666666665</v>
      </c>
      <c r="F31" s="116">
        <v>2.7272727272727271</v>
      </c>
      <c r="G31" s="126">
        <v>3.0789473684210531</v>
      </c>
    </row>
    <row r="32" spans="1:7" ht="15" x14ac:dyDescent="0.25">
      <c r="A32" s="115" t="s">
        <v>1</v>
      </c>
      <c r="B32" s="115" t="s">
        <v>2</v>
      </c>
      <c r="C32" s="115" t="s">
        <v>57</v>
      </c>
      <c r="D32" s="116">
        <v>2.4705882352941178</v>
      </c>
      <c r="E32" s="116">
        <v>2.5454545454545454</v>
      </c>
      <c r="F32" s="116">
        <v>3.1818181818181821</v>
      </c>
      <c r="G32" s="126">
        <v>2.6741573033707868</v>
      </c>
    </row>
    <row r="33" spans="1:7" ht="15" x14ac:dyDescent="0.25">
      <c r="A33" s="115" t="s">
        <v>1</v>
      </c>
      <c r="B33" s="115" t="s">
        <v>2</v>
      </c>
      <c r="C33" s="115" t="s">
        <v>12</v>
      </c>
      <c r="D33" s="116">
        <v>2.4285714285714284</v>
      </c>
      <c r="E33" s="116">
        <v>1.5</v>
      </c>
      <c r="F33" s="116">
        <v>1.8</v>
      </c>
      <c r="G33" s="126">
        <v>1.8461538461538463</v>
      </c>
    </row>
    <row r="34" spans="1:7" s="112" customFormat="1" ht="15" x14ac:dyDescent="0.25">
      <c r="A34" s="115" t="s">
        <v>1</v>
      </c>
      <c r="B34" s="115" t="s">
        <v>2</v>
      </c>
      <c r="C34" s="115" t="s">
        <v>13</v>
      </c>
      <c r="D34" s="116">
        <v>3.3903966597077244</v>
      </c>
      <c r="E34" s="116">
        <v>3.1896207584830338</v>
      </c>
      <c r="F34" s="116">
        <v>3.4609375</v>
      </c>
      <c r="G34" s="126">
        <v>3.3077617328519855</v>
      </c>
    </row>
    <row r="35" spans="1:7" s="112" customFormat="1" ht="15" x14ac:dyDescent="0.25">
      <c r="A35" s="74" t="s">
        <v>1</v>
      </c>
      <c r="B35" s="74" t="s">
        <v>18</v>
      </c>
      <c r="C35" s="122"/>
      <c r="D35" s="123">
        <v>3.038905775075988</v>
      </c>
      <c r="E35" s="123">
        <v>3.0367074527252504</v>
      </c>
      <c r="F35" s="123">
        <v>3.1352657004830919</v>
      </c>
      <c r="G35" s="123">
        <v>3.0526574803149606</v>
      </c>
    </row>
    <row r="36" spans="1:7" ht="15" x14ac:dyDescent="0.25">
      <c r="A36" s="115"/>
      <c r="B36" s="115"/>
      <c r="C36" s="115"/>
      <c r="D36" s="116"/>
      <c r="E36" s="116"/>
      <c r="F36" s="116"/>
      <c r="G36" s="126"/>
    </row>
    <row r="37" spans="1:7" ht="15" x14ac:dyDescent="0.25">
      <c r="A37" s="115" t="s">
        <v>1</v>
      </c>
      <c r="B37" s="115" t="s">
        <v>19</v>
      </c>
      <c r="C37" s="115" t="s">
        <v>58</v>
      </c>
      <c r="D37" s="116">
        <v>2.8616071428571428</v>
      </c>
      <c r="E37" s="116">
        <v>3.7792207792207795</v>
      </c>
      <c r="F37" s="116">
        <v>2.5625</v>
      </c>
      <c r="G37" s="126">
        <v>3.045045045045045</v>
      </c>
    </row>
    <row r="38" spans="1:7" ht="15" x14ac:dyDescent="0.25">
      <c r="A38" s="115" t="s">
        <v>1</v>
      </c>
      <c r="B38" s="115" t="s">
        <v>19</v>
      </c>
      <c r="C38" s="115" t="s">
        <v>59</v>
      </c>
      <c r="D38" s="116">
        <v>2.2372881355932202</v>
      </c>
      <c r="E38" s="116">
        <v>1.4406779661016949</v>
      </c>
      <c r="F38" s="116">
        <v>2.2894736842105265</v>
      </c>
      <c r="G38" s="126">
        <v>1.8093023255813954</v>
      </c>
    </row>
    <row r="39" spans="1:7" ht="15" x14ac:dyDescent="0.25">
      <c r="A39" s="115" t="s">
        <v>1</v>
      </c>
      <c r="B39" s="115" t="s">
        <v>19</v>
      </c>
      <c r="C39" s="115" t="s">
        <v>60</v>
      </c>
      <c r="D39" s="116">
        <v>3.1523178807947021</v>
      </c>
      <c r="E39" s="116">
        <v>3.0670731707317076</v>
      </c>
      <c r="F39" s="116">
        <v>3.2452830188679247</v>
      </c>
      <c r="G39" s="126">
        <v>3.1425178147268409</v>
      </c>
    </row>
    <row r="40" spans="1:7" ht="15" x14ac:dyDescent="0.25">
      <c r="A40" s="115" t="s">
        <v>1</v>
      </c>
      <c r="B40" s="115" t="s">
        <v>19</v>
      </c>
      <c r="C40" s="115" t="s">
        <v>61</v>
      </c>
      <c r="D40" s="116">
        <v>2.0833333333333335</v>
      </c>
      <c r="E40" s="116">
        <v>2.4736842105263159</v>
      </c>
      <c r="F40" s="116">
        <v>2.5277777777777777</v>
      </c>
      <c r="G40" s="126">
        <v>2.4191176470588234</v>
      </c>
    </row>
    <row r="41" spans="1:7" ht="15" x14ac:dyDescent="0.25">
      <c r="A41" s="115" t="s">
        <v>1</v>
      </c>
      <c r="B41" s="115" t="s">
        <v>19</v>
      </c>
      <c r="C41" s="115" t="s">
        <v>62</v>
      </c>
      <c r="D41" s="116">
        <v>3.3396226415094343</v>
      </c>
      <c r="E41" s="116">
        <v>3.1052631578947372</v>
      </c>
      <c r="F41" s="116">
        <v>3.2881355932203391</v>
      </c>
      <c r="G41" s="126">
        <v>3.2531120331950207</v>
      </c>
    </row>
    <row r="42" spans="1:7" ht="15" x14ac:dyDescent="0.25">
      <c r="A42" s="115" t="s">
        <v>1</v>
      </c>
      <c r="B42" s="115" t="s">
        <v>19</v>
      </c>
      <c r="C42" s="115" t="s">
        <v>63</v>
      </c>
      <c r="D42" s="116">
        <v>3.4249999999999998</v>
      </c>
      <c r="E42" s="116">
        <v>2.7931034482758625</v>
      </c>
      <c r="F42" s="116">
        <v>3.2222222222222223</v>
      </c>
      <c r="G42" s="126">
        <v>3.1809523809523808</v>
      </c>
    </row>
    <row r="43" spans="1:7" ht="15" x14ac:dyDescent="0.25">
      <c r="A43" s="115" t="s">
        <v>1</v>
      </c>
      <c r="B43" s="115" t="s">
        <v>19</v>
      </c>
      <c r="C43" s="115" t="s">
        <v>64</v>
      </c>
      <c r="D43" s="116">
        <v>3.6206896551724137</v>
      </c>
      <c r="E43" s="116">
        <v>3.1896551724137931</v>
      </c>
      <c r="F43" s="116">
        <v>3.6785714285714288</v>
      </c>
      <c r="G43" s="126">
        <v>3.4778481012658231</v>
      </c>
    </row>
    <row r="44" spans="1:7" ht="15" x14ac:dyDescent="0.25">
      <c r="A44" s="115" t="s">
        <v>1</v>
      </c>
      <c r="B44" s="115" t="s">
        <v>19</v>
      </c>
      <c r="C44" s="115" t="s">
        <v>65</v>
      </c>
      <c r="D44" s="116">
        <v>2.8032786885245904</v>
      </c>
      <c r="E44" s="116">
        <v>3.0209790209790208</v>
      </c>
      <c r="F44" s="116">
        <v>2.8556701030927836</v>
      </c>
      <c r="G44" s="126">
        <v>2.903314917127072</v>
      </c>
    </row>
    <row r="45" spans="1:7" ht="15" x14ac:dyDescent="0.25">
      <c r="A45" s="115" t="s">
        <v>1</v>
      </c>
      <c r="B45" s="115" t="s">
        <v>19</v>
      </c>
      <c r="C45" s="115" t="s">
        <v>196</v>
      </c>
      <c r="D45" s="116">
        <v>2.3571428571428572</v>
      </c>
      <c r="E45" s="116">
        <v>2.9714285714285715</v>
      </c>
      <c r="F45" s="116">
        <v>2.4893617021276597</v>
      </c>
      <c r="G45" s="126">
        <v>2.5579710144927539</v>
      </c>
    </row>
    <row r="46" spans="1:7" ht="15" x14ac:dyDescent="0.25">
      <c r="A46" s="115" t="s">
        <v>1</v>
      </c>
      <c r="B46" s="115" t="s">
        <v>19</v>
      </c>
      <c r="C46" s="115" t="s">
        <v>66</v>
      </c>
      <c r="D46" s="116">
        <v>2.2631578947368425</v>
      </c>
      <c r="E46" s="116">
        <v>3.4285714285714288</v>
      </c>
      <c r="F46" s="116">
        <v>3.5</v>
      </c>
      <c r="G46" s="126">
        <v>3.0677966101694918</v>
      </c>
    </row>
    <row r="47" spans="1:7" ht="15" x14ac:dyDescent="0.25">
      <c r="A47" s="115" t="s">
        <v>1</v>
      </c>
      <c r="B47" s="115" t="s">
        <v>19</v>
      </c>
      <c r="C47" s="115" t="s">
        <v>67</v>
      </c>
      <c r="D47" s="116">
        <v>3.0454545454545454</v>
      </c>
      <c r="E47" s="116">
        <v>3.1754385964912282</v>
      </c>
      <c r="F47" s="116">
        <v>3.3225806451612905</v>
      </c>
      <c r="G47" s="126">
        <v>3.1735015772870665</v>
      </c>
    </row>
    <row r="48" spans="1:7" ht="15" x14ac:dyDescent="0.25">
      <c r="A48" s="115" t="s">
        <v>1</v>
      </c>
      <c r="B48" s="115" t="s">
        <v>19</v>
      </c>
      <c r="C48" s="115" t="s">
        <v>68</v>
      </c>
      <c r="D48" s="116">
        <v>3.1234567901234569</v>
      </c>
      <c r="E48" s="116">
        <v>3.1443298969072169</v>
      </c>
      <c r="F48" s="116">
        <v>2.8</v>
      </c>
      <c r="G48" s="126">
        <v>3.0672645739910314</v>
      </c>
    </row>
    <row r="49" spans="1:10" s="112" customFormat="1" ht="15" x14ac:dyDescent="0.25">
      <c r="A49" s="115" t="s">
        <v>1</v>
      </c>
      <c r="B49" s="115" t="s">
        <v>19</v>
      </c>
      <c r="C49" s="115" t="s">
        <v>69</v>
      </c>
      <c r="D49" s="116">
        <v>3.3846153846153846</v>
      </c>
      <c r="E49" s="116">
        <v>2.942982456140351</v>
      </c>
      <c r="F49" s="116">
        <v>3.1181818181818186</v>
      </c>
      <c r="G49" s="126">
        <v>3.1672240802675584</v>
      </c>
    </row>
    <row r="50" spans="1:10" s="112" customFormat="1" ht="15" x14ac:dyDescent="0.25">
      <c r="A50" s="115" t="s">
        <v>1</v>
      </c>
      <c r="B50" s="115" t="s">
        <v>19</v>
      </c>
      <c r="C50" s="115" t="s">
        <v>70</v>
      </c>
      <c r="D50" s="116">
        <v>4</v>
      </c>
      <c r="E50" s="116">
        <v>3.5217391304347831</v>
      </c>
      <c r="F50" s="116">
        <v>4</v>
      </c>
      <c r="G50" s="126">
        <v>3.7608695652173911</v>
      </c>
    </row>
    <row r="51" spans="1:10" s="112" customFormat="1" ht="15" x14ac:dyDescent="0.25">
      <c r="A51" s="74" t="s">
        <v>1</v>
      </c>
      <c r="B51" s="74" t="s">
        <v>28</v>
      </c>
      <c r="C51" s="122"/>
      <c r="D51" s="123">
        <v>3.0779783393501807</v>
      </c>
      <c r="E51" s="123">
        <v>2.9380664652567976</v>
      </c>
      <c r="F51" s="123">
        <v>3.0724094881398254</v>
      </c>
      <c r="G51" s="123">
        <v>3.0239316239316238</v>
      </c>
    </row>
    <row r="52" spans="1:10" s="112" customFormat="1" ht="15" x14ac:dyDescent="0.25">
      <c r="A52" s="74"/>
      <c r="B52" s="74"/>
      <c r="C52" s="115"/>
      <c r="D52" s="116"/>
      <c r="E52" s="116"/>
      <c r="F52" s="116"/>
      <c r="G52" s="116"/>
    </row>
    <row r="53" spans="1:10" s="112" customFormat="1" ht="15" x14ac:dyDescent="0.25">
      <c r="A53" s="74" t="s">
        <v>1</v>
      </c>
      <c r="B53" s="113" t="s">
        <v>78</v>
      </c>
      <c r="C53" s="122"/>
      <c r="D53" s="123">
        <v>3.037695372356727</v>
      </c>
      <c r="E53" s="123">
        <v>2.9807804309842747</v>
      </c>
      <c r="F53" s="123">
        <v>3.0925812385039855</v>
      </c>
      <c r="G53" s="123">
        <v>3.0249759846301632</v>
      </c>
    </row>
    <row r="54" spans="1:10" ht="15" x14ac:dyDescent="0.25">
      <c r="A54" s="74"/>
      <c r="B54" s="74"/>
      <c r="C54" s="115"/>
      <c r="D54" s="116"/>
      <c r="E54" s="116"/>
      <c r="F54" s="116"/>
      <c r="G54" s="126"/>
    </row>
    <row r="55" spans="1:10" ht="15" x14ac:dyDescent="0.25">
      <c r="A55" s="115" t="s">
        <v>38</v>
      </c>
      <c r="B55" s="115" t="s">
        <v>5</v>
      </c>
      <c r="C55" s="115" t="s">
        <v>71</v>
      </c>
      <c r="D55" s="116">
        <v>1.3846153846153848</v>
      </c>
      <c r="E55" s="116">
        <v>2.752212389380531</v>
      </c>
      <c r="F55" s="116">
        <v>4</v>
      </c>
      <c r="G55" s="126">
        <v>2.528169014084507</v>
      </c>
    </row>
    <row r="56" spans="1:10" s="112" customFormat="1" ht="15" x14ac:dyDescent="0.25">
      <c r="A56" s="115" t="s">
        <v>38</v>
      </c>
      <c r="B56" s="115" t="s">
        <v>5</v>
      </c>
      <c r="C56" s="115" t="s">
        <v>72</v>
      </c>
      <c r="D56" s="116">
        <v>4</v>
      </c>
      <c r="E56" s="116">
        <v>3.8</v>
      </c>
      <c r="F56" s="116">
        <v>3.5</v>
      </c>
      <c r="G56" s="126">
        <v>3.736842105263158</v>
      </c>
      <c r="J56" s="123">
        <v>3.0249759846301632</v>
      </c>
    </row>
    <row r="57" spans="1:10" s="112" customFormat="1" ht="15" x14ac:dyDescent="0.25">
      <c r="A57" s="74" t="s">
        <v>38</v>
      </c>
      <c r="B57" s="74" t="s">
        <v>80</v>
      </c>
      <c r="C57" s="122"/>
      <c r="D57" s="123">
        <v>1.6551724137931034</v>
      </c>
      <c r="E57" s="123">
        <v>2.8373983739837398</v>
      </c>
      <c r="F57" s="123">
        <v>3.6666666666666665</v>
      </c>
      <c r="G57" s="123">
        <v>2.670807453416149</v>
      </c>
      <c r="J57" s="123">
        <v>2.5316368638239339</v>
      </c>
    </row>
    <row r="58" spans="1:10" ht="15" x14ac:dyDescent="0.25">
      <c r="A58" s="115"/>
      <c r="B58" s="115"/>
      <c r="C58" s="115"/>
      <c r="D58" s="116"/>
      <c r="E58" s="116"/>
      <c r="F58" s="116"/>
      <c r="G58" s="126"/>
      <c r="J58" s="123">
        <v>2.5085034013605441</v>
      </c>
    </row>
    <row r="59" spans="1:10" ht="15" x14ac:dyDescent="0.25">
      <c r="A59" s="115" t="s">
        <v>38</v>
      </c>
      <c r="B59" s="115" t="s">
        <v>19</v>
      </c>
      <c r="C59" s="115" t="s">
        <v>73</v>
      </c>
      <c r="D59" s="116">
        <v>2.2802690582959646</v>
      </c>
      <c r="E59" s="116">
        <v>2.4603174603174605</v>
      </c>
      <c r="F59" s="116">
        <v>3.197916666666667</v>
      </c>
      <c r="G59" s="126">
        <v>2.4473324213406293</v>
      </c>
      <c r="J59" s="125">
        <v>2.6803551609322973</v>
      </c>
    </row>
    <row r="60" spans="1:10" ht="15" x14ac:dyDescent="0.25">
      <c r="A60" s="115" t="s">
        <v>38</v>
      </c>
      <c r="B60" s="115" t="s">
        <v>19</v>
      </c>
      <c r="C60" s="115" t="s">
        <v>92</v>
      </c>
      <c r="D60" s="116">
        <v>2.3565683646112601</v>
      </c>
      <c r="E60" s="116">
        <v>2.6842105263157894</v>
      </c>
      <c r="F60" s="116">
        <v>3.3539823008849559</v>
      </c>
      <c r="G60" s="126">
        <v>2.6014234875444839</v>
      </c>
    </row>
    <row r="61" spans="1:10" s="112" customFormat="1" ht="15" x14ac:dyDescent="0.25">
      <c r="A61" s="74" t="s">
        <v>38</v>
      </c>
      <c r="B61" s="74" t="s">
        <v>79</v>
      </c>
      <c r="C61" s="122"/>
      <c r="D61" s="123">
        <v>2.3150183150183152</v>
      </c>
      <c r="E61" s="123">
        <v>2.5245283018867926</v>
      </c>
      <c r="F61" s="123">
        <v>3.2822966507177034</v>
      </c>
      <c r="G61" s="123">
        <v>2.51430781129157</v>
      </c>
    </row>
    <row r="62" spans="1:10" s="112" customFormat="1" ht="15" x14ac:dyDescent="0.25">
      <c r="A62" s="115"/>
      <c r="B62" s="115"/>
      <c r="C62" s="115"/>
      <c r="D62" s="116"/>
      <c r="E62" s="116"/>
      <c r="F62" s="116"/>
      <c r="G62" s="126"/>
    </row>
    <row r="63" spans="1:10" s="112" customFormat="1" ht="15" x14ac:dyDescent="0.25">
      <c r="A63" s="74" t="s">
        <v>38</v>
      </c>
      <c r="B63" s="74" t="s">
        <v>78</v>
      </c>
      <c r="C63" s="122"/>
      <c r="D63" s="123">
        <v>2.2924528301886791</v>
      </c>
      <c r="E63" s="123">
        <v>2.6237113402061856</v>
      </c>
      <c r="F63" s="123">
        <v>3.2981651376146788</v>
      </c>
      <c r="G63" s="123">
        <v>2.5316368638239339</v>
      </c>
    </row>
    <row r="64" spans="1:10" ht="15" x14ac:dyDescent="0.25">
      <c r="A64" s="115"/>
      <c r="B64" s="115"/>
      <c r="C64" s="115"/>
      <c r="D64" s="116"/>
      <c r="E64" s="116"/>
      <c r="F64" s="116"/>
      <c r="G64" s="126"/>
    </row>
    <row r="65" spans="1:7" ht="15" x14ac:dyDescent="0.25">
      <c r="A65" s="115" t="s">
        <v>74</v>
      </c>
      <c r="B65" s="115" t="s">
        <v>2</v>
      </c>
      <c r="C65" s="115" t="s">
        <v>237</v>
      </c>
      <c r="D65" s="116">
        <v>0</v>
      </c>
      <c r="E65" s="116">
        <v>0</v>
      </c>
      <c r="F65" s="116">
        <v>2.4166666666666665</v>
      </c>
      <c r="G65" s="126">
        <v>0.74358974358974361</v>
      </c>
    </row>
    <row r="66" spans="1:7" ht="15" x14ac:dyDescent="0.25">
      <c r="A66" s="115" t="s">
        <v>74</v>
      </c>
      <c r="B66" s="115" t="s">
        <v>2</v>
      </c>
      <c r="C66" s="115" t="s">
        <v>198</v>
      </c>
      <c r="D66" s="116">
        <v>2.5333333333333337</v>
      </c>
      <c r="E66" s="116">
        <v>2.7777777777777777</v>
      </c>
      <c r="F66" s="116">
        <v>3.3636363636363638</v>
      </c>
      <c r="G66" s="126">
        <v>2.8301886792452833</v>
      </c>
    </row>
    <row r="67" spans="1:7" s="112" customFormat="1" ht="15" x14ac:dyDescent="0.25">
      <c r="A67" s="115" t="s">
        <v>74</v>
      </c>
      <c r="B67" s="115" t="s">
        <v>2</v>
      </c>
      <c r="C67" s="115" t="s">
        <v>75</v>
      </c>
      <c r="D67" s="116">
        <v>2.4482758620689653</v>
      </c>
      <c r="E67" s="116">
        <v>2.4675324675324677</v>
      </c>
      <c r="F67" s="116">
        <v>2.7777777777777777</v>
      </c>
      <c r="G67" s="126">
        <v>2.5080645161290325</v>
      </c>
    </row>
    <row r="68" spans="1:7" ht="15" x14ac:dyDescent="0.25">
      <c r="A68" s="115" t="s">
        <v>74</v>
      </c>
      <c r="B68" s="115" t="s">
        <v>2</v>
      </c>
      <c r="C68" s="115" t="s">
        <v>238</v>
      </c>
      <c r="D68" s="116">
        <v>3.25</v>
      </c>
      <c r="E68" s="116">
        <v>1</v>
      </c>
      <c r="F68" s="116">
        <v>0</v>
      </c>
      <c r="G68" s="126">
        <v>2.125</v>
      </c>
    </row>
    <row r="69" spans="1:7" ht="15" x14ac:dyDescent="0.25">
      <c r="A69" s="115" t="s">
        <v>74</v>
      </c>
      <c r="B69" s="115" t="s">
        <v>2</v>
      </c>
      <c r="C69" s="115" t="s">
        <v>199</v>
      </c>
      <c r="D69" s="116">
        <v>0</v>
      </c>
      <c r="E69" s="116">
        <v>3.5588235294117649</v>
      </c>
      <c r="F69" s="116">
        <v>0</v>
      </c>
      <c r="G69" s="126">
        <v>3.5588235294117649</v>
      </c>
    </row>
    <row r="70" spans="1:7" ht="15" x14ac:dyDescent="0.25">
      <c r="A70" s="115" t="s">
        <v>74</v>
      </c>
      <c r="B70" s="115" t="s">
        <v>2</v>
      </c>
      <c r="C70" s="115" t="s">
        <v>95</v>
      </c>
      <c r="D70" s="116">
        <v>3.25</v>
      </c>
      <c r="E70" s="116">
        <v>3.3333333333333335</v>
      </c>
      <c r="F70" s="116">
        <v>2.8571428571428572</v>
      </c>
      <c r="G70" s="126">
        <v>3.2424242424242427</v>
      </c>
    </row>
    <row r="71" spans="1:7" ht="15" x14ac:dyDescent="0.25">
      <c r="A71" s="115" t="s">
        <v>74</v>
      </c>
      <c r="B71" s="115" t="s">
        <v>2</v>
      </c>
      <c r="C71" s="115" t="s">
        <v>76</v>
      </c>
      <c r="D71" s="116">
        <v>2.4464285714285716</v>
      </c>
      <c r="E71" s="116">
        <v>2.7313432835820897</v>
      </c>
      <c r="F71" s="116">
        <v>0</v>
      </c>
      <c r="G71" s="126">
        <v>2.601626016260163</v>
      </c>
    </row>
    <row r="72" spans="1:7" s="112" customFormat="1" ht="15" x14ac:dyDescent="0.25">
      <c r="A72" s="115" t="s">
        <v>74</v>
      </c>
      <c r="B72" s="115" t="s">
        <v>2</v>
      </c>
      <c r="C72" s="115" t="s">
        <v>94</v>
      </c>
      <c r="D72" s="116">
        <v>2.0588235294117645</v>
      </c>
      <c r="E72" s="116">
        <v>2.1818181818181817</v>
      </c>
      <c r="F72" s="116">
        <v>2.25</v>
      </c>
      <c r="G72" s="126">
        <v>2.1388888888888893</v>
      </c>
    </row>
    <row r="73" spans="1:7" ht="15" x14ac:dyDescent="0.25">
      <c r="A73" s="115" t="s">
        <v>74</v>
      </c>
      <c r="B73" s="115" t="s">
        <v>2</v>
      </c>
      <c r="C73" s="115" t="s">
        <v>93</v>
      </c>
      <c r="D73" s="116">
        <v>3</v>
      </c>
      <c r="E73" s="116">
        <v>2.2884615384615388</v>
      </c>
      <c r="F73" s="116">
        <v>3.1428571428571428</v>
      </c>
      <c r="G73" s="126">
        <v>2.4285714285714284</v>
      </c>
    </row>
    <row r="74" spans="1:7" ht="15" x14ac:dyDescent="0.25">
      <c r="A74" s="115" t="s">
        <v>74</v>
      </c>
      <c r="B74" s="115" t="s">
        <v>2</v>
      </c>
      <c r="C74" s="115" t="s">
        <v>239</v>
      </c>
      <c r="D74" s="116">
        <v>1</v>
      </c>
      <c r="E74" s="117">
        <v>0</v>
      </c>
      <c r="F74" s="118">
        <v>0</v>
      </c>
      <c r="G74" s="126">
        <v>1</v>
      </c>
    </row>
    <row r="75" spans="1:7" s="112" customFormat="1" ht="15" x14ac:dyDescent="0.25">
      <c r="A75" s="74" t="s">
        <v>74</v>
      </c>
      <c r="B75" s="74" t="s">
        <v>200</v>
      </c>
      <c r="C75" s="122"/>
      <c r="D75" s="123">
        <v>2.1787439613526569</v>
      </c>
      <c r="E75" s="123">
        <v>2.6774193548387095</v>
      </c>
      <c r="F75" s="123">
        <v>2.732394366197183</v>
      </c>
      <c r="G75" s="123">
        <v>2.5085034013605441</v>
      </c>
    </row>
    <row r="76" spans="1:7" ht="15" x14ac:dyDescent="0.25">
      <c r="A76" s="74"/>
      <c r="B76" s="74"/>
      <c r="C76" s="115"/>
      <c r="D76" s="116"/>
      <c r="E76" s="116"/>
      <c r="F76" s="116"/>
      <c r="G76" s="116"/>
    </row>
    <row r="77" spans="1:7" s="112" customFormat="1" x14ac:dyDescent="0.3">
      <c r="A77" s="23" t="s">
        <v>74</v>
      </c>
      <c r="B77" s="23" t="s">
        <v>20</v>
      </c>
      <c r="C77" s="23" t="s">
        <v>197</v>
      </c>
      <c r="D77" s="116" t="s">
        <v>98</v>
      </c>
      <c r="E77" s="119" t="s">
        <v>97</v>
      </c>
      <c r="F77" s="119" t="s">
        <v>97</v>
      </c>
      <c r="G77" s="116" t="s">
        <v>98</v>
      </c>
    </row>
    <row r="78" spans="1:7" s="112" customFormat="1" x14ac:dyDescent="0.3">
      <c r="A78" s="74" t="s">
        <v>74</v>
      </c>
      <c r="B78" s="74" t="s">
        <v>201</v>
      </c>
      <c r="C78" s="21"/>
      <c r="D78" s="123" t="s">
        <v>98</v>
      </c>
      <c r="E78" s="124" t="s">
        <v>97</v>
      </c>
      <c r="F78" s="124" t="s">
        <v>97</v>
      </c>
      <c r="G78" s="123" t="s">
        <v>98</v>
      </c>
    </row>
    <row r="79" spans="1:7" x14ac:dyDescent="0.3">
      <c r="A79" s="74"/>
      <c r="B79" s="74"/>
      <c r="C79" s="115"/>
      <c r="D79" s="116"/>
      <c r="E79" s="116"/>
      <c r="F79" s="116"/>
      <c r="G79" s="116"/>
    </row>
    <row r="80" spans="1:7" s="112" customFormat="1" x14ac:dyDescent="0.3">
      <c r="A80" s="74" t="s">
        <v>74</v>
      </c>
      <c r="B80" s="74" t="s">
        <v>78</v>
      </c>
      <c r="C80" s="122"/>
      <c r="D80" s="123">
        <v>2.1787439613526569</v>
      </c>
      <c r="E80" s="123">
        <v>2.6774193548387095</v>
      </c>
      <c r="F80" s="123">
        <v>2.732394366197183</v>
      </c>
      <c r="G80" s="123">
        <v>2.5085034013605441</v>
      </c>
    </row>
    <row r="81" spans="1:7" x14ac:dyDescent="0.3">
      <c r="A81" s="115"/>
      <c r="B81" s="115"/>
      <c r="C81" s="115"/>
      <c r="D81" s="116"/>
      <c r="E81" s="117"/>
      <c r="F81" s="118"/>
      <c r="G81" s="126"/>
    </row>
    <row r="82" spans="1:7" x14ac:dyDescent="0.3">
      <c r="A82" s="73" t="s">
        <v>20</v>
      </c>
      <c r="B82" s="73" t="s">
        <v>20</v>
      </c>
      <c r="C82" s="127" t="s">
        <v>225</v>
      </c>
      <c r="D82" s="120">
        <v>0</v>
      </c>
      <c r="E82" s="116">
        <v>3.3333333333333335</v>
      </c>
      <c r="F82" s="120">
        <v>0</v>
      </c>
      <c r="G82" s="126">
        <v>3.3333333333333335</v>
      </c>
    </row>
    <row r="83" spans="1:7" x14ac:dyDescent="0.3">
      <c r="A83" s="73" t="s">
        <v>20</v>
      </c>
      <c r="B83" s="73" t="s">
        <v>20</v>
      </c>
      <c r="C83" s="127" t="s">
        <v>189</v>
      </c>
      <c r="D83" s="120">
        <v>0</v>
      </c>
      <c r="E83" s="116">
        <v>2</v>
      </c>
      <c r="F83" s="120">
        <v>0</v>
      </c>
      <c r="G83" s="126">
        <v>2</v>
      </c>
    </row>
    <row r="84" spans="1:7" x14ac:dyDescent="0.3">
      <c r="A84" s="73" t="s">
        <v>20</v>
      </c>
      <c r="B84" s="73" t="s">
        <v>20</v>
      </c>
      <c r="C84" s="127" t="s">
        <v>226</v>
      </c>
      <c r="D84" s="120">
        <v>0</v>
      </c>
      <c r="E84" s="116">
        <v>1.8888888888888891</v>
      </c>
      <c r="F84" s="120">
        <v>0</v>
      </c>
      <c r="G84" s="126">
        <v>1.8888888888888891</v>
      </c>
    </row>
    <row r="85" spans="1:7" x14ac:dyDescent="0.3">
      <c r="A85" s="73" t="s">
        <v>20</v>
      </c>
      <c r="B85" s="73" t="s">
        <v>20</v>
      </c>
      <c r="C85" s="127" t="s">
        <v>171</v>
      </c>
      <c r="D85" s="120">
        <v>0</v>
      </c>
      <c r="E85" s="116">
        <v>0</v>
      </c>
      <c r="F85" s="116">
        <v>0</v>
      </c>
      <c r="G85" s="126">
        <v>0</v>
      </c>
    </row>
    <row r="86" spans="1:7" x14ac:dyDescent="0.3">
      <c r="A86" s="73" t="s">
        <v>20</v>
      </c>
      <c r="B86" s="73" t="s">
        <v>20</v>
      </c>
      <c r="C86" s="127" t="s">
        <v>227</v>
      </c>
      <c r="D86" s="120">
        <v>0</v>
      </c>
      <c r="E86" s="116">
        <v>0</v>
      </c>
      <c r="F86" s="116">
        <v>4</v>
      </c>
      <c r="G86" s="126">
        <v>4</v>
      </c>
    </row>
    <row r="87" spans="1:7" x14ac:dyDescent="0.3">
      <c r="A87" s="73" t="s">
        <v>20</v>
      </c>
      <c r="B87" s="73" t="s">
        <v>20</v>
      </c>
      <c r="C87" s="127" t="s">
        <v>190</v>
      </c>
      <c r="D87" s="116">
        <v>2.5</v>
      </c>
      <c r="E87" s="116">
        <v>0</v>
      </c>
      <c r="F87" s="116">
        <v>0</v>
      </c>
      <c r="G87" s="126">
        <v>2.5</v>
      </c>
    </row>
    <row r="88" spans="1:7" x14ac:dyDescent="0.3">
      <c r="A88" s="73" t="s">
        <v>20</v>
      </c>
      <c r="B88" s="73" t="s">
        <v>20</v>
      </c>
      <c r="C88" s="127" t="s">
        <v>228</v>
      </c>
      <c r="D88" s="116">
        <v>0.9</v>
      </c>
      <c r="E88" s="116">
        <v>3.5</v>
      </c>
      <c r="F88" s="116">
        <v>0</v>
      </c>
      <c r="G88" s="126">
        <v>1.875</v>
      </c>
    </row>
    <row r="89" spans="1:7" x14ac:dyDescent="0.3">
      <c r="A89" s="73" t="s">
        <v>20</v>
      </c>
      <c r="B89" s="73" t="s">
        <v>20</v>
      </c>
      <c r="C89" s="127" t="s">
        <v>191</v>
      </c>
      <c r="D89" s="116">
        <v>0</v>
      </c>
      <c r="E89" s="116">
        <v>2.1333333333333333</v>
      </c>
      <c r="F89" s="116">
        <v>2.8888888888888888</v>
      </c>
      <c r="G89" s="126">
        <v>2.3076923076923079</v>
      </c>
    </row>
    <row r="90" spans="1:7" x14ac:dyDescent="0.3">
      <c r="A90" s="73" t="s">
        <v>20</v>
      </c>
      <c r="B90" s="73" t="s">
        <v>20</v>
      </c>
      <c r="C90" s="128" t="s">
        <v>240</v>
      </c>
      <c r="D90" s="116">
        <v>0</v>
      </c>
      <c r="E90" s="116">
        <v>0</v>
      </c>
      <c r="F90" s="116">
        <v>4</v>
      </c>
      <c r="G90" s="126">
        <v>4</v>
      </c>
    </row>
    <row r="91" spans="1:7" x14ac:dyDescent="0.3">
      <c r="A91" s="73" t="s">
        <v>20</v>
      </c>
      <c r="B91" s="73" t="s">
        <v>20</v>
      </c>
      <c r="C91" s="127" t="s">
        <v>229</v>
      </c>
      <c r="D91" s="116">
        <v>0</v>
      </c>
      <c r="E91" s="116">
        <v>2</v>
      </c>
      <c r="F91" s="116">
        <v>0</v>
      </c>
      <c r="G91" s="126">
        <v>2</v>
      </c>
    </row>
    <row r="92" spans="1:7" x14ac:dyDescent="0.3">
      <c r="A92" s="73" t="s">
        <v>20</v>
      </c>
      <c r="B92" s="73" t="s">
        <v>20</v>
      </c>
      <c r="C92" s="127" t="s">
        <v>230</v>
      </c>
      <c r="D92" s="116">
        <v>0</v>
      </c>
      <c r="E92" s="116">
        <v>1.8571428571428572</v>
      </c>
      <c r="F92" s="116">
        <v>0</v>
      </c>
      <c r="G92" s="126">
        <v>1.8571428571428572</v>
      </c>
    </row>
    <row r="93" spans="1:7" x14ac:dyDescent="0.3">
      <c r="A93" s="73" t="s">
        <v>20</v>
      </c>
      <c r="B93" s="73" t="s">
        <v>20</v>
      </c>
      <c r="C93" s="127" t="s">
        <v>231</v>
      </c>
      <c r="D93" s="116">
        <v>0</v>
      </c>
      <c r="E93" s="116">
        <v>0</v>
      </c>
      <c r="F93" s="116">
        <v>4</v>
      </c>
      <c r="G93" s="126">
        <v>4</v>
      </c>
    </row>
    <row r="94" spans="1:7" x14ac:dyDescent="0.3">
      <c r="A94" s="73" t="s">
        <v>20</v>
      </c>
      <c r="B94" s="73" t="s">
        <v>20</v>
      </c>
      <c r="C94" s="127" t="s">
        <v>232</v>
      </c>
      <c r="D94" s="116">
        <v>0</v>
      </c>
      <c r="E94" s="116">
        <v>0.66666666666666674</v>
      </c>
      <c r="F94" s="116">
        <v>3.6666666666666665</v>
      </c>
      <c r="G94" s="126">
        <v>2.1666666666666665</v>
      </c>
    </row>
    <row r="95" spans="1:7" x14ac:dyDescent="0.3">
      <c r="A95" s="73" t="s">
        <v>20</v>
      </c>
      <c r="B95" s="73" t="s">
        <v>20</v>
      </c>
      <c r="C95" s="127" t="s">
        <v>233</v>
      </c>
      <c r="D95" s="116">
        <v>0</v>
      </c>
      <c r="E95" s="116">
        <v>4</v>
      </c>
      <c r="F95" s="116">
        <v>4</v>
      </c>
      <c r="G95" s="126">
        <v>4</v>
      </c>
    </row>
    <row r="96" spans="1:7" x14ac:dyDescent="0.3">
      <c r="A96" s="73" t="s">
        <v>20</v>
      </c>
      <c r="B96" s="73" t="s">
        <v>20</v>
      </c>
      <c r="C96" s="127" t="s">
        <v>234</v>
      </c>
      <c r="D96" s="116">
        <v>1.1666666666666667</v>
      </c>
      <c r="E96" s="116">
        <v>0</v>
      </c>
      <c r="F96" s="116">
        <v>0</v>
      </c>
      <c r="G96" s="126">
        <v>1.1666666666666667</v>
      </c>
    </row>
    <row r="97" spans="1:7" s="112" customFormat="1" x14ac:dyDescent="0.3">
      <c r="A97" s="73" t="s">
        <v>20</v>
      </c>
      <c r="B97" s="115" t="s">
        <v>5</v>
      </c>
      <c r="C97" s="115" t="s">
        <v>192</v>
      </c>
      <c r="D97" s="116">
        <v>0</v>
      </c>
      <c r="E97" s="116">
        <v>0</v>
      </c>
      <c r="F97" s="116">
        <v>0</v>
      </c>
      <c r="G97" s="126">
        <v>0</v>
      </c>
    </row>
    <row r="98" spans="1:7" x14ac:dyDescent="0.3">
      <c r="A98" s="73" t="s">
        <v>20</v>
      </c>
      <c r="B98" s="115" t="s">
        <v>19</v>
      </c>
      <c r="C98" s="115" t="s">
        <v>235</v>
      </c>
      <c r="D98" s="116">
        <v>2.6756756756756759</v>
      </c>
      <c r="E98" s="116">
        <v>1.5689655172413794</v>
      </c>
      <c r="F98" s="116">
        <v>0</v>
      </c>
      <c r="G98" s="126">
        <v>2.1893939393939399</v>
      </c>
    </row>
    <row r="99" spans="1:7" x14ac:dyDescent="0.3">
      <c r="A99" s="73" t="s">
        <v>20</v>
      </c>
      <c r="B99" s="115" t="s">
        <v>19</v>
      </c>
      <c r="C99" s="115" t="s">
        <v>87</v>
      </c>
      <c r="D99" s="116">
        <v>3.6733333333333333</v>
      </c>
      <c r="E99" s="116">
        <v>1.5</v>
      </c>
      <c r="F99" s="116">
        <v>0</v>
      </c>
      <c r="G99" s="126">
        <v>3.5123456790123457</v>
      </c>
    </row>
    <row r="100" spans="1:7" x14ac:dyDescent="0.3">
      <c r="A100" s="73" t="s">
        <v>20</v>
      </c>
      <c r="B100" s="115" t="s">
        <v>19</v>
      </c>
      <c r="C100" s="115" t="s">
        <v>44</v>
      </c>
      <c r="D100" s="116">
        <v>0</v>
      </c>
      <c r="E100" s="116">
        <v>3.36</v>
      </c>
      <c r="F100" s="116">
        <v>0</v>
      </c>
      <c r="G100" s="126">
        <v>3.36</v>
      </c>
    </row>
    <row r="101" spans="1:7" x14ac:dyDescent="0.3">
      <c r="A101" s="73" t="s">
        <v>20</v>
      </c>
      <c r="B101" s="115" t="s">
        <v>19</v>
      </c>
      <c r="C101" s="115" t="s">
        <v>88</v>
      </c>
      <c r="D101" s="116">
        <v>3.5</v>
      </c>
      <c r="E101" s="116">
        <v>0</v>
      </c>
      <c r="F101" s="116">
        <v>3</v>
      </c>
      <c r="G101" s="126">
        <v>3.3</v>
      </c>
    </row>
    <row r="102" spans="1:7" x14ac:dyDescent="0.3">
      <c r="A102" s="73" t="s">
        <v>20</v>
      </c>
      <c r="B102" s="115" t="s">
        <v>19</v>
      </c>
      <c r="C102" s="115" t="s">
        <v>45</v>
      </c>
      <c r="D102" s="116">
        <v>2.5</v>
      </c>
      <c r="E102" s="116">
        <v>2.347826086956522</v>
      </c>
      <c r="F102" s="116">
        <v>3.4745762711864407</v>
      </c>
      <c r="G102" s="126">
        <v>2.7196261682242993</v>
      </c>
    </row>
    <row r="103" spans="1:7" x14ac:dyDescent="0.3">
      <c r="A103" s="73" t="s">
        <v>20</v>
      </c>
      <c r="B103" s="115" t="s">
        <v>19</v>
      </c>
      <c r="C103" s="115" t="s">
        <v>46</v>
      </c>
      <c r="D103" s="116">
        <v>2.3333333333333335</v>
      </c>
      <c r="E103" s="116">
        <v>0</v>
      </c>
      <c r="F103" s="116">
        <v>0</v>
      </c>
      <c r="G103" s="126">
        <v>2.3333333333333335</v>
      </c>
    </row>
    <row r="104" spans="1:7" x14ac:dyDescent="0.3">
      <c r="A104" s="73" t="s">
        <v>20</v>
      </c>
      <c r="B104" s="115" t="s">
        <v>19</v>
      </c>
      <c r="C104" s="115" t="s">
        <v>89</v>
      </c>
      <c r="D104" s="116">
        <v>0</v>
      </c>
      <c r="E104" s="116">
        <v>3.5</v>
      </c>
      <c r="F104" s="116">
        <v>0</v>
      </c>
      <c r="G104" s="126">
        <v>3.5</v>
      </c>
    </row>
    <row r="105" spans="1:7" x14ac:dyDescent="0.3">
      <c r="A105" s="73" t="s">
        <v>20</v>
      </c>
      <c r="B105" s="115" t="s">
        <v>172</v>
      </c>
      <c r="C105" s="115" t="s">
        <v>236</v>
      </c>
      <c r="D105" s="116">
        <v>0</v>
      </c>
      <c r="E105" s="116">
        <v>0</v>
      </c>
      <c r="F105" s="116">
        <v>1.5</v>
      </c>
      <c r="G105" s="126">
        <v>1.5</v>
      </c>
    </row>
    <row r="106" spans="1:7" x14ac:dyDescent="0.3">
      <c r="A106" s="73" t="s">
        <v>20</v>
      </c>
      <c r="B106" s="115" t="s">
        <v>172</v>
      </c>
      <c r="C106" s="115" t="s">
        <v>193</v>
      </c>
      <c r="D106" s="116">
        <v>0</v>
      </c>
      <c r="E106" s="116">
        <v>2</v>
      </c>
      <c r="F106" s="116">
        <v>0</v>
      </c>
      <c r="G106" s="126">
        <v>2</v>
      </c>
    </row>
    <row r="107" spans="1:7" s="112" customFormat="1" x14ac:dyDescent="0.3">
      <c r="A107" s="74" t="s">
        <v>20</v>
      </c>
      <c r="B107" s="74" t="s">
        <v>78</v>
      </c>
      <c r="C107" s="21"/>
      <c r="D107" s="117">
        <v>2.8571428571428572</v>
      </c>
      <c r="E107" s="117">
        <v>2.3636363636363638</v>
      </c>
      <c r="F107" s="117">
        <v>3.1553398058252426</v>
      </c>
      <c r="G107" s="125">
        <v>2.6803551609322973</v>
      </c>
    </row>
    <row r="108" spans="1:7" x14ac:dyDescent="0.3">
      <c r="A108" s="12"/>
      <c r="B108" s="12"/>
      <c r="C108" s="69"/>
      <c r="D108" s="118"/>
      <c r="E108" s="118"/>
      <c r="F108" s="118"/>
      <c r="G108" s="121"/>
    </row>
    <row r="109" spans="1:7" s="112" customFormat="1" x14ac:dyDescent="0.3">
      <c r="A109" s="21" t="s">
        <v>84</v>
      </c>
      <c r="B109" s="21" t="s">
        <v>78</v>
      </c>
      <c r="C109" s="21"/>
      <c r="D109" s="117">
        <v>2.8507715070809554</v>
      </c>
      <c r="E109" s="117">
        <v>2.876688067301306</v>
      </c>
      <c r="F109" s="117">
        <v>3.1052891744933269</v>
      </c>
      <c r="G109" s="117">
        <v>2.9068405642800106</v>
      </c>
    </row>
    <row r="110" spans="1:7" x14ac:dyDescent="0.3">
      <c r="A110" s="6"/>
      <c r="B110" s="6"/>
      <c r="C110" s="6"/>
      <c r="D110" s="6"/>
      <c r="E110" s="6"/>
      <c r="F110" s="6"/>
    </row>
  </sheetData>
  <mergeCells count="1">
    <mergeCell ref="D5:G5"/>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heetViews>
  <sheetFormatPr defaultColWidth="9.109375" defaultRowHeight="14.4" x14ac:dyDescent="0.3"/>
  <cols>
    <col min="1" max="1" width="24.33203125" style="4" bestFit="1" customWidth="1"/>
    <col min="2" max="2" width="8.5546875" style="4" bestFit="1" customWidth="1"/>
    <col min="3" max="3" width="7.6640625" style="93" customWidth="1"/>
    <col min="4" max="4" width="11" style="4" bestFit="1" customWidth="1"/>
    <col min="5" max="5" width="7.6640625" style="93" customWidth="1"/>
    <col min="6" max="6" width="12.88671875" style="4" bestFit="1" customWidth="1"/>
    <col min="7" max="7" width="7.6640625" style="93" customWidth="1"/>
    <col min="8" max="8" width="14.109375" style="4" customWidth="1"/>
    <col min="9" max="9" width="7.6640625" style="93" customWidth="1"/>
    <col min="10" max="10" width="13.109375" style="3" bestFit="1" customWidth="1"/>
    <col min="11" max="11" width="11" style="3" bestFit="1" customWidth="1"/>
    <col min="12" max="12" width="12.88671875" style="3" bestFit="1" customWidth="1"/>
    <col min="13" max="13" width="11.88671875" style="5" bestFit="1" customWidth="1"/>
    <col min="14" max="16384" width="9.109375" style="3"/>
  </cols>
  <sheetData>
    <row r="1" spans="1:13" ht="15" x14ac:dyDescent="0.25">
      <c r="A1" s="4" t="s">
        <v>41</v>
      </c>
      <c r="J1" s="4"/>
    </row>
    <row r="2" spans="1:13" ht="15" x14ac:dyDescent="0.25">
      <c r="A2" s="4" t="s">
        <v>246</v>
      </c>
      <c r="J2" s="4"/>
    </row>
    <row r="3" spans="1:13" ht="15" x14ac:dyDescent="0.25">
      <c r="J3" s="4"/>
    </row>
    <row r="4" spans="1:13" ht="15" x14ac:dyDescent="0.25">
      <c r="A4" s="4" t="s">
        <v>218</v>
      </c>
      <c r="J4" s="4"/>
    </row>
    <row r="5" spans="1:13" ht="30" x14ac:dyDescent="0.25">
      <c r="A5" s="89" t="s">
        <v>100</v>
      </c>
      <c r="B5" s="90" t="s">
        <v>242</v>
      </c>
      <c r="C5" s="94" t="s">
        <v>217</v>
      </c>
      <c r="D5" s="90" t="s">
        <v>243</v>
      </c>
      <c r="E5" s="94" t="s">
        <v>217</v>
      </c>
      <c r="F5" s="90" t="s">
        <v>244</v>
      </c>
      <c r="G5" s="94" t="s">
        <v>217</v>
      </c>
      <c r="H5" s="97" t="s">
        <v>249</v>
      </c>
      <c r="I5" s="98" t="s">
        <v>217</v>
      </c>
      <c r="M5" s="3"/>
    </row>
    <row r="6" spans="1:13" ht="15" x14ac:dyDescent="0.25">
      <c r="A6" s="69" t="s">
        <v>215</v>
      </c>
      <c r="B6" s="91">
        <v>732</v>
      </c>
      <c r="C6" s="95">
        <f>B6/B8</f>
        <v>0.52624011502516177</v>
      </c>
      <c r="D6" s="91">
        <v>808</v>
      </c>
      <c r="E6" s="95">
        <f>D6/D8</f>
        <v>0.58423716558206795</v>
      </c>
      <c r="F6" s="91">
        <v>288</v>
      </c>
      <c r="G6" s="95">
        <f>F6/F8</f>
        <v>0.5714285714285714</v>
      </c>
      <c r="H6" s="91">
        <v>1410</v>
      </c>
      <c r="I6" s="95">
        <f>H6/H8</f>
        <v>0.557753164556962</v>
      </c>
      <c r="M6" s="3"/>
    </row>
    <row r="7" spans="1:13" ht="15" x14ac:dyDescent="0.25">
      <c r="A7" s="69" t="s">
        <v>216</v>
      </c>
      <c r="B7" s="91">
        <v>659</v>
      </c>
      <c r="C7" s="95">
        <f>B7/B8</f>
        <v>0.47375988497483823</v>
      </c>
      <c r="D7" s="91">
        <v>575</v>
      </c>
      <c r="E7" s="95">
        <f>D7/D8</f>
        <v>0.41576283441793205</v>
      </c>
      <c r="F7" s="91">
        <v>216</v>
      </c>
      <c r="G7" s="95">
        <f>F7/F8</f>
        <v>0.42857142857142855</v>
      </c>
      <c r="H7" s="91">
        <v>1118</v>
      </c>
      <c r="I7" s="95">
        <f>H7/H8</f>
        <v>0.442246835443038</v>
      </c>
      <c r="M7" s="3"/>
    </row>
    <row r="8" spans="1:13" s="8" customFormat="1" ht="15" x14ac:dyDescent="0.25">
      <c r="A8" s="21" t="s">
        <v>214</v>
      </c>
      <c r="B8" s="92">
        <f>SUM(B6:B7)</f>
        <v>1391</v>
      </c>
      <c r="C8" s="96">
        <f>SUM(C6:C7)</f>
        <v>1</v>
      </c>
      <c r="D8" s="92">
        <f t="shared" ref="D8:H8" si="0">SUM(D6:D7)</f>
        <v>1383</v>
      </c>
      <c r="E8" s="96">
        <f>SUM(E6:E7)</f>
        <v>1</v>
      </c>
      <c r="F8" s="92">
        <f t="shared" si="0"/>
        <v>504</v>
      </c>
      <c r="G8" s="96">
        <f>SUM(G6:G7)</f>
        <v>1</v>
      </c>
      <c r="H8" s="92">
        <f t="shared" si="0"/>
        <v>2528</v>
      </c>
      <c r="I8" s="96">
        <f>SUM(I6:I7)</f>
        <v>1</v>
      </c>
    </row>
    <row r="9" spans="1:13" s="8" customFormat="1" ht="15" x14ac:dyDescent="0.25">
      <c r="A9" s="4"/>
      <c r="B9" s="4"/>
      <c r="C9" s="93"/>
      <c r="D9" s="4"/>
      <c r="E9" s="93"/>
      <c r="F9" s="4"/>
      <c r="G9" s="93"/>
      <c r="H9" s="4"/>
      <c r="I9" s="93"/>
      <c r="J9" s="3"/>
    </row>
    <row r="10" spans="1:13" ht="15" x14ac:dyDescent="0.25">
      <c r="M10" s="3"/>
    </row>
    <row r="11" spans="1:13" ht="15" x14ac:dyDescent="0.25">
      <c r="A11" s="4" t="s">
        <v>219</v>
      </c>
      <c r="J11" s="4"/>
      <c r="M11" s="3"/>
    </row>
    <row r="12" spans="1:13" s="8" customFormat="1" ht="30" x14ac:dyDescent="0.25">
      <c r="A12" s="89" t="s">
        <v>27</v>
      </c>
      <c r="B12" s="90" t="s">
        <v>242</v>
      </c>
      <c r="C12" s="94" t="s">
        <v>217</v>
      </c>
      <c r="D12" s="90" t="s">
        <v>243</v>
      </c>
      <c r="E12" s="94" t="s">
        <v>217</v>
      </c>
      <c r="F12" s="90" t="s">
        <v>244</v>
      </c>
      <c r="G12" s="94" t="s">
        <v>217</v>
      </c>
      <c r="H12" s="97" t="s">
        <v>249</v>
      </c>
      <c r="I12" s="98" t="s">
        <v>217</v>
      </c>
    </row>
    <row r="13" spans="1:13" ht="15" x14ac:dyDescent="0.25">
      <c r="A13" s="61" t="s">
        <v>21</v>
      </c>
      <c r="B13" s="99">
        <v>26</v>
      </c>
      <c r="C13" s="100">
        <f>B13/$B$21</f>
        <v>1.8691588785046728E-2</v>
      </c>
      <c r="D13" s="99">
        <v>30</v>
      </c>
      <c r="E13" s="100">
        <f>D13/$D$21</f>
        <v>2.1691973969631236E-2</v>
      </c>
      <c r="F13" s="99">
        <v>21</v>
      </c>
      <c r="G13" s="100">
        <f>F13/$F$21</f>
        <v>4.1666666666666664E-2</v>
      </c>
      <c r="H13" s="99">
        <v>49</v>
      </c>
      <c r="I13" s="100">
        <f>H13/$H$21</f>
        <v>1.9382911392405063E-2</v>
      </c>
      <c r="M13" s="3"/>
    </row>
    <row r="14" spans="1:13" ht="15" x14ac:dyDescent="0.25">
      <c r="A14" s="61" t="s">
        <v>23</v>
      </c>
      <c r="B14" s="99">
        <v>28</v>
      </c>
      <c r="C14" s="100">
        <f t="shared" ref="C14:C20" si="1">B14/$B$21</f>
        <v>2.0129403306973402E-2</v>
      </c>
      <c r="D14" s="99">
        <v>23</v>
      </c>
      <c r="E14" s="100">
        <f t="shared" ref="E14:E20" si="2">D14/$D$21</f>
        <v>1.6630513376717282E-2</v>
      </c>
      <c r="F14" s="99">
        <v>13</v>
      </c>
      <c r="G14" s="100">
        <f t="shared" ref="G14:G20" si="3">F14/$F$21</f>
        <v>2.5793650793650792E-2</v>
      </c>
      <c r="H14" s="99">
        <v>53</v>
      </c>
      <c r="I14" s="100">
        <f t="shared" ref="I14:I20" si="4">H14/$H$21</f>
        <v>2.0965189873417722E-2</v>
      </c>
      <c r="M14" s="3"/>
    </row>
    <row r="15" spans="1:13" ht="15" x14ac:dyDescent="0.25">
      <c r="A15" s="61" t="s">
        <v>24</v>
      </c>
      <c r="B15" s="99">
        <v>561</v>
      </c>
      <c r="C15" s="100">
        <f t="shared" si="1"/>
        <v>0.40330697340043137</v>
      </c>
      <c r="D15" s="99">
        <v>626</v>
      </c>
      <c r="E15" s="100">
        <f t="shared" si="2"/>
        <v>0.45263919016630516</v>
      </c>
      <c r="F15" s="99">
        <v>227</v>
      </c>
      <c r="G15" s="100">
        <f t="shared" si="3"/>
        <v>0.45039682539682541</v>
      </c>
      <c r="H15" s="99">
        <v>1143</v>
      </c>
      <c r="I15" s="100">
        <f t="shared" si="4"/>
        <v>0.45213607594936711</v>
      </c>
      <c r="M15" s="3"/>
    </row>
    <row r="16" spans="1:13" ht="15" x14ac:dyDescent="0.25">
      <c r="A16" s="61" t="s">
        <v>25</v>
      </c>
      <c r="B16" s="99">
        <v>42</v>
      </c>
      <c r="C16" s="100">
        <f t="shared" si="1"/>
        <v>3.01941049604601E-2</v>
      </c>
      <c r="D16" s="99">
        <v>65</v>
      </c>
      <c r="E16" s="100">
        <f t="shared" si="2"/>
        <v>4.6999276934201015E-2</v>
      </c>
      <c r="F16" s="99">
        <v>14</v>
      </c>
      <c r="G16" s="100">
        <f t="shared" si="3"/>
        <v>2.7777777777777776E-2</v>
      </c>
      <c r="H16" s="99">
        <v>102</v>
      </c>
      <c r="I16" s="100">
        <f t="shared" si="4"/>
        <v>4.0348101265822785E-2</v>
      </c>
      <c r="M16" s="3"/>
    </row>
    <row r="17" spans="1:13" s="8" customFormat="1" ht="15" x14ac:dyDescent="0.25">
      <c r="A17" s="61" t="s">
        <v>204</v>
      </c>
      <c r="B17" s="99">
        <v>4</v>
      </c>
      <c r="C17" s="100">
        <f t="shared" si="1"/>
        <v>2.875629043853343E-3</v>
      </c>
      <c r="D17" s="99">
        <v>4</v>
      </c>
      <c r="E17" s="100">
        <f t="shared" si="2"/>
        <v>2.8922631959508315E-3</v>
      </c>
      <c r="F17" s="99">
        <v>2</v>
      </c>
      <c r="G17" s="100">
        <f t="shared" si="3"/>
        <v>3.968253968253968E-3</v>
      </c>
      <c r="H17" s="99">
        <v>6</v>
      </c>
      <c r="I17" s="100">
        <f t="shared" si="4"/>
        <v>2.3734177215189874E-3</v>
      </c>
    </row>
    <row r="18" spans="1:13" ht="15" x14ac:dyDescent="0.25">
      <c r="A18" s="61" t="s">
        <v>20</v>
      </c>
      <c r="B18" s="99">
        <v>138</v>
      </c>
      <c r="C18" s="100">
        <f t="shared" si="1"/>
        <v>9.9209202012940326E-2</v>
      </c>
      <c r="D18" s="99">
        <v>127</v>
      </c>
      <c r="E18" s="100">
        <f t="shared" si="2"/>
        <v>9.1829356471438903E-2</v>
      </c>
      <c r="F18" s="99">
        <v>44</v>
      </c>
      <c r="G18" s="100">
        <f t="shared" si="3"/>
        <v>8.7301587301587297E-2</v>
      </c>
      <c r="H18" s="99">
        <v>241</v>
      </c>
      <c r="I18" s="100">
        <f t="shared" si="4"/>
        <v>9.5332278481012653E-2</v>
      </c>
      <c r="M18" s="3"/>
    </row>
    <row r="19" spans="1:13" ht="15" x14ac:dyDescent="0.25">
      <c r="A19" s="61" t="s">
        <v>205</v>
      </c>
      <c r="B19" s="99">
        <v>48</v>
      </c>
      <c r="C19" s="100">
        <f t="shared" si="1"/>
        <v>3.4507548526240113E-2</v>
      </c>
      <c r="D19" s="99">
        <v>37</v>
      </c>
      <c r="E19" s="100">
        <f t="shared" si="2"/>
        <v>2.6753434562545191E-2</v>
      </c>
      <c r="F19" s="99">
        <v>13</v>
      </c>
      <c r="G19" s="100">
        <f t="shared" si="3"/>
        <v>2.5793650793650792E-2</v>
      </c>
      <c r="H19" s="99">
        <v>75</v>
      </c>
      <c r="I19" s="100">
        <f t="shared" si="4"/>
        <v>2.966772151898734E-2</v>
      </c>
      <c r="M19" s="3"/>
    </row>
    <row r="20" spans="1:13" ht="15" x14ac:dyDescent="0.25">
      <c r="A20" s="61" t="s">
        <v>26</v>
      </c>
      <c r="B20" s="99">
        <v>544</v>
      </c>
      <c r="C20" s="100">
        <f t="shared" si="1"/>
        <v>0.39108554996405465</v>
      </c>
      <c r="D20" s="99">
        <v>471</v>
      </c>
      <c r="E20" s="100">
        <f t="shared" si="2"/>
        <v>0.34056399132321041</v>
      </c>
      <c r="F20" s="99">
        <v>170</v>
      </c>
      <c r="G20" s="100">
        <f t="shared" si="3"/>
        <v>0.33730158730158732</v>
      </c>
      <c r="H20" s="99">
        <v>859</v>
      </c>
      <c r="I20" s="100">
        <f t="shared" si="4"/>
        <v>0.33979430379746833</v>
      </c>
      <c r="L20" s="5"/>
      <c r="M20" s="3"/>
    </row>
    <row r="21" spans="1:13" ht="15" x14ac:dyDescent="0.25">
      <c r="A21" s="22" t="s">
        <v>214</v>
      </c>
      <c r="B21" s="92">
        <f>SUM(B13:B20)</f>
        <v>1391</v>
      </c>
      <c r="C21" s="96">
        <f>SUM(C13:C20)</f>
        <v>1</v>
      </c>
      <c r="D21" s="92">
        <f t="shared" ref="D21:H21" si="5">SUM(D13:D20)</f>
        <v>1383</v>
      </c>
      <c r="E21" s="96">
        <f>SUM(E13:E20)</f>
        <v>1</v>
      </c>
      <c r="F21" s="92">
        <f>SUM(F13:F20)</f>
        <v>504</v>
      </c>
      <c r="G21" s="96">
        <f>SUM(G13:G20)</f>
        <v>1</v>
      </c>
      <c r="H21" s="92">
        <f t="shared" si="5"/>
        <v>2528</v>
      </c>
      <c r="I21" s="96">
        <f>SUM(I13:I20)</f>
        <v>1</v>
      </c>
      <c r="L21" s="5"/>
      <c r="M21" s="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H13" sqref="H13"/>
    </sheetView>
  </sheetViews>
  <sheetFormatPr defaultColWidth="9.109375" defaultRowHeight="14.4" x14ac:dyDescent="0.3"/>
  <cols>
    <col min="1" max="1" width="32.109375" style="9" customWidth="1"/>
    <col min="2" max="2" width="11.33203125" style="5" customWidth="1"/>
    <col min="3" max="6" width="10.44140625" style="3" bestFit="1" customWidth="1"/>
    <col min="7" max="16384" width="9.109375" style="3"/>
  </cols>
  <sheetData>
    <row r="1" spans="1:6" ht="15" x14ac:dyDescent="0.25">
      <c r="A1" s="4" t="s">
        <v>41</v>
      </c>
    </row>
    <row r="2" spans="1:6" ht="15" x14ac:dyDescent="0.25">
      <c r="A2" s="9" t="s">
        <v>224</v>
      </c>
    </row>
    <row r="3" spans="1:6" ht="15" x14ac:dyDescent="0.25">
      <c r="A3" s="3"/>
    </row>
    <row r="4" spans="1:6" ht="15" x14ac:dyDescent="0.25">
      <c r="A4" s="4" t="s">
        <v>170</v>
      </c>
      <c r="C4" s="7"/>
    </row>
    <row r="5" spans="1:6" ht="15" customHeight="1" x14ac:dyDescent="0.25">
      <c r="A5" s="62"/>
      <c r="B5" s="162" t="s">
        <v>186</v>
      </c>
      <c r="C5" s="162"/>
      <c r="D5" s="162"/>
      <c r="E5" s="162"/>
      <c r="F5" s="163"/>
    </row>
    <row r="6" spans="1:6" ht="15" customHeight="1" x14ac:dyDescent="0.25">
      <c r="A6" s="63" t="s">
        <v>36</v>
      </c>
      <c r="B6" s="32" t="s">
        <v>39</v>
      </c>
      <c r="C6" s="32" t="s">
        <v>77</v>
      </c>
      <c r="D6" s="32" t="s">
        <v>96</v>
      </c>
      <c r="E6" s="32" t="s">
        <v>187</v>
      </c>
      <c r="F6" s="33" t="s">
        <v>223</v>
      </c>
    </row>
    <row r="7" spans="1:6" ht="15" x14ac:dyDescent="0.25">
      <c r="A7" s="27" t="s">
        <v>250</v>
      </c>
      <c r="B7" s="28"/>
      <c r="C7" s="28"/>
      <c r="D7" s="28"/>
      <c r="E7" s="28"/>
      <c r="F7" s="28">
        <v>22</v>
      </c>
    </row>
    <row r="8" spans="1:6" ht="15" x14ac:dyDescent="0.25">
      <c r="A8" s="27" t="s">
        <v>251</v>
      </c>
      <c r="B8" s="28">
        <v>509</v>
      </c>
      <c r="C8" s="28">
        <v>544</v>
      </c>
      <c r="D8" s="28">
        <v>539</v>
      </c>
      <c r="E8" s="28">
        <v>532</v>
      </c>
      <c r="F8" s="28">
        <v>539</v>
      </c>
    </row>
    <row r="9" spans="1:6" ht="15" x14ac:dyDescent="0.25">
      <c r="A9" s="65" t="s">
        <v>252</v>
      </c>
      <c r="B9" s="28">
        <v>343</v>
      </c>
      <c r="C9" s="28">
        <v>424</v>
      </c>
      <c r="D9" s="28">
        <v>437</v>
      </c>
      <c r="E9" s="28">
        <v>473</v>
      </c>
      <c r="F9" s="28">
        <v>434</v>
      </c>
    </row>
    <row r="10" spans="1:6" ht="15" x14ac:dyDescent="0.25">
      <c r="A10" s="27" t="s">
        <v>220</v>
      </c>
      <c r="B10" s="28">
        <v>232</v>
      </c>
      <c r="C10" s="28">
        <v>358</v>
      </c>
      <c r="D10" s="28">
        <v>428</v>
      </c>
      <c r="E10" s="28">
        <v>479</v>
      </c>
      <c r="F10" s="28">
        <v>679</v>
      </c>
    </row>
    <row r="11" spans="1:6" ht="15" x14ac:dyDescent="0.25">
      <c r="A11" s="29" t="s">
        <v>253</v>
      </c>
      <c r="B11" s="28"/>
      <c r="C11" s="28"/>
      <c r="D11" s="28"/>
      <c r="E11" s="28">
        <v>79</v>
      </c>
      <c r="F11" s="28">
        <v>67</v>
      </c>
    </row>
    <row r="12" spans="1:6" ht="15" x14ac:dyDescent="0.25">
      <c r="A12" s="29" t="s">
        <v>254</v>
      </c>
      <c r="B12" s="28">
        <v>26</v>
      </c>
      <c r="C12" s="28">
        <v>76</v>
      </c>
      <c r="D12" s="28">
        <v>41</v>
      </c>
      <c r="E12" s="28">
        <v>47</v>
      </c>
      <c r="F12" s="28">
        <v>81</v>
      </c>
    </row>
    <row r="13" spans="1:6" ht="15" x14ac:dyDescent="0.25">
      <c r="A13" s="27" t="s">
        <v>222</v>
      </c>
      <c r="B13" s="30">
        <v>354</v>
      </c>
      <c r="C13" s="30">
        <v>423</v>
      </c>
      <c r="D13" s="30">
        <v>422</v>
      </c>
      <c r="E13" s="30">
        <v>253</v>
      </c>
      <c r="F13" s="30">
        <v>211</v>
      </c>
    </row>
    <row r="14" spans="1:6" ht="15" x14ac:dyDescent="0.25">
      <c r="A14" s="31" t="s">
        <v>221</v>
      </c>
      <c r="B14" s="30">
        <v>32</v>
      </c>
      <c r="C14" s="30">
        <v>46</v>
      </c>
      <c r="D14" s="30">
        <v>7</v>
      </c>
      <c r="E14" s="30">
        <v>6</v>
      </c>
      <c r="F14" s="30">
        <v>15</v>
      </c>
    </row>
    <row r="15" spans="1:6" ht="15" x14ac:dyDescent="0.25">
      <c r="A15" s="31" t="s">
        <v>255</v>
      </c>
      <c r="B15" s="30">
        <v>32</v>
      </c>
      <c r="C15" s="30">
        <v>134</v>
      </c>
      <c r="D15" s="30">
        <v>360</v>
      </c>
      <c r="E15" s="30">
        <v>780</v>
      </c>
      <c r="F15" s="30">
        <v>910</v>
      </c>
    </row>
    <row r="16" spans="1:6" ht="15" x14ac:dyDescent="0.25">
      <c r="A16" s="10" t="s">
        <v>40</v>
      </c>
    </row>
  </sheetData>
  <mergeCells count="1">
    <mergeCell ref="B5:F5"/>
  </mergeCells>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workbookViewId="0">
      <selection activeCell="D14" sqref="D14"/>
    </sheetView>
  </sheetViews>
  <sheetFormatPr defaultColWidth="9.109375" defaultRowHeight="14.4" x14ac:dyDescent="0.3"/>
  <cols>
    <col min="1" max="1" width="7.109375" style="3" customWidth="1"/>
    <col min="2" max="2" width="18.33203125" style="9" customWidth="1"/>
    <col min="3" max="3" width="11.33203125" style="5" customWidth="1"/>
    <col min="4" max="4" width="19" style="5" bestFit="1" customWidth="1"/>
    <col min="5" max="7" width="10.44140625" style="3" bestFit="1" customWidth="1"/>
    <col min="8" max="16384" width="9.109375" style="3"/>
  </cols>
  <sheetData>
    <row r="1" spans="1:5" ht="15" x14ac:dyDescent="0.25">
      <c r="A1" s="9" t="s">
        <v>41</v>
      </c>
    </row>
    <row r="2" spans="1:5" ht="15" x14ac:dyDescent="0.25">
      <c r="A2" s="9" t="s">
        <v>246</v>
      </c>
    </row>
    <row r="3" spans="1:5" ht="15" x14ac:dyDescent="0.25">
      <c r="A3" s="9"/>
    </row>
    <row r="4" spans="1:5" ht="15" x14ac:dyDescent="0.25">
      <c r="A4" s="9" t="s">
        <v>256</v>
      </c>
    </row>
    <row r="5" spans="1:5" ht="30" x14ac:dyDescent="0.25">
      <c r="A5" s="137"/>
      <c r="B5" s="138" t="s">
        <v>35</v>
      </c>
      <c r="C5" s="26" t="s">
        <v>37</v>
      </c>
      <c r="E5" s="5"/>
    </row>
    <row r="6" spans="1:5" ht="15" x14ac:dyDescent="0.25">
      <c r="A6" s="15" t="s">
        <v>271</v>
      </c>
      <c r="B6" s="24" t="s">
        <v>107</v>
      </c>
      <c r="C6" s="25">
        <v>725</v>
      </c>
      <c r="E6" s="5"/>
    </row>
    <row r="7" spans="1:5" ht="15" x14ac:dyDescent="0.25">
      <c r="A7" s="15" t="s">
        <v>272</v>
      </c>
      <c r="B7" s="24" t="s">
        <v>29</v>
      </c>
      <c r="C7" s="25">
        <v>265</v>
      </c>
      <c r="E7" s="5"/>
    </row>
    <row r="8" spans="1:5" ht="15" x14ac:dyDescent="0.25">
      <c r="A8" s="15" t="s">
        <v>273</v>
      </c>
      <c r="B8" s="24" t="s">
        <v>31</v>
      </c>
      <c r="C8" s="25">
        <v>202</v>
      </c>
      <c r="E8" s="5"/>
    </row>
    <row r="9" spans="1:5" ht="15" x14ac:dyDescent="0.25">
      <c r="A9" s="15" t="s">
        <v>274</v>
      </c>
      <c r="B9" s="24" t="s">
        <v>30</v>
      </c>
      <c r="C9" s="25">
        <v>175</v>
      </c>
      <c r="E9" s="5"/>
    </row>
    <row r="10" spans="1:5" ht="15" x14ac:dyDescent="0.25">
      <c r="A10" s="15" t="s">
        <v>275</v>
      </c>
      <c r="B10" s="24" t="s">
        <v>33</v>
      </c>
      <c r="C10" s="25">
        <v>156</v>
      </c>
      <c r="E10" s="5"/>
    </row>
    <row r="11" spans="1:5" ht="15" x14ac:dyDescent="0.25">
      <c r="A11" s="15" t="s">
        <v>276</v>
      </c>
      <c r="B11" s="24" t="s">
        <v>108</v>
      </c>
      <c r="C11" s="25">
        <v>153</v>
      </c>
      <c r="E11" s="5"/>
    </row>
    <row r="12" spans="1:5" ht="15" x14ac:dyDescent="0.25">
      <c r="A12" s="15" t="s">
        <v>277</v>
      </c>
      <c r="B12" s="24" t="s">
        <v>32</v>
      </c>
      <c r="C12" s="25">
        <v>131</v>
      </c>
      <c r="E12" s="5"/>
    </row>
    <row r="13" spans="1:5" ht="15" x14ac:dyDescent="0.25">
      <c r="A13" s="15" t="s">
        <v>278</v>
      </c>
      <c r="B13" s="24" t="s">
        <v>34</v>
      </c>
      <c r="C13" s="25">
        <v>124</v>
      </c>
      <c r="E13" s="5"/>
    </row>
    <row r="14" spans="1:5" ht="15" x14ac:dyDescent="0.25">
      <c r="A14" s="139" t="s">
        <v>279</v>
      </c>
      <c r="B14" s="24" t="s">
        <v>209</v>
      </c>
      <c r="C14" s="25">
        <v>123</v>
      </c>
      <c r="E14" s="5"/>
    </row>
    <row r="15" spans="1:5" ht="15" x14ac:dyDescent="0.25">
      <c r="A15" s="15" t="s">
        <v>280</v>
      </c>
      <c r="B15" s="24" t="s">
        <v>207</v>
      </c>
      <c r="C15" s="25">
        <v>107</v>
      </c>
      <c r="E15" s="5"/>
    </row>
    <row r="16" spans="1:5" ht="15" x14ac:dyDescent="0.25">
      <c r="A16" s="140" t="s">
        <v>281</v>
      </c>
    </row>
    <row r="18" spans="1:4" ht="15" x14ac:dyDescent="0.25">
      <c r="A18" s="9" t="s">
        <v>266</v>
      </c>
    </row>
    <row r="19" spans="1:4" customFormat="1" ht="30" x14ac:dyDescent="0.25">
      <c r="A19" s="145"/>
      <c r="B19" s="144" t="s">
        <v>35</v>
      </c>
      <c r="C19" s="39" t="s">
        <v>37</v>
      </c>
      <c r="D19" s="40" t="s">
        <v>85</v>
      </c>
    </row>
    <row r="20" spans="1:4" customFormat="1" ht="15" x14ac:dyDescent="0.25">
      <c r="A20" s="146">
        <v>1</v>
      </c>
      <c r="B20" s="141" t="s">
        <v>169</v>
      </c>
      <c r="C20" s="142">
        <v>18</v>
      </c>
      <c r="D20" s="143">
        <v>1</v>
      </c>
    </row>
    <row r="21" spans="1:4" customFormat="1" ht="15" x14ac:dyDescent="0.25">
      <c r="A21" s="146">
        <v>2</v>
      </c>
      <c r="B21" s="36" t="s">
        <v>257</v>
      </c>
      <c r="C21" s="34">
        <v>15</v>
      </c>
      <c r="D21" s="35">
        <v>1</v>
      </c>
    </row>
    <row r="22" spans="1:4" customFormat="1" ht="15" x14ac:dyDescent="0.25">
      <c r="A22" s="146">
        <v>3</v>
      </c>
      <c r="B22" s="36" t="s">
        <v>258</v>
      </c>
      <c r="C22" s="34">
        <v>13</v>
      </c>
      <c r="D22" s="35">
        <v>1</v>
      </c>
    </row>
    <row r="23" spans="1:4" customFormat="1" ht="15" x14ac:dyDescent="0.25">
      <c r="A23" s="146">
        <v>4</v>
      </c>
      <c r="B23" s="36" t="s">
        <v>259</v>
      </c>
      <c r="C23" s="34">
        <v>13</v>
      </c>
      <c r="D23" s="35">
        <v>1</v>
      </c>
    </row>
    <row r="24" spans="1:4" customFormat="1" ht="15" x14ac:dyDescent="0.25">
      <c r="A24" s="146">
        <v>5</v>
      </c>
      <c r="B24" s="36" t="s">
        <v>260</v>
      </c>
      <c r="C24" s="34">
        <v>12</v>
      </c>
      <c r="D24" s="35">
        <v>1</v>
      </c>
    </row>
    <row r="25" spans="1:4" customFormat="1" ht="15" x14ac:dyDescent="0.25">
      <c r="A25" s="146">
        <v>6</v>
      </c>
      <c r="B25" s="36" t="s">
        <v>261</v>
      </c>
      <c r="C25" s="34">
        <v>12</v>
      </c>
      <c r="D25" s="35">
        <v>1</v>
      </c>
    </row>
    <row r="26" spans="1:4" customFormat="1" ht="15" x14ac:dyDescent="0.25">
      <c r="A26" s="146">
        <v>7</v>
      </c>
      <c r="B26" s="36" t="s">
        <v>262</v>
      </c>
      <c r="C26" s="34">
        <v>10</v>
      </c>
      <c r="D26" s="35">
        <v>1</v>
      </c>
    </row>
    <row r="27" spans="1:4" customFormat="1" ht="15" x14ac:dyDescent="0.25">
      <c r="A27" s="146">
        <v>8</v>
      </c>
      <c r="B27" s="36" t="s">
        <v>208</v>
      </c>
      <c r="C27" s="34">
        <v>83</v>
      </c>
      <c r="D27" s="35">
        <v>0.98795180722891562</v>
      </c>
    </row>
    <row r="28" spans="1:4" customFormat="1" ht="15" x14ac:dyDescent="0.25">
      <c r="A28" s="146">
        <v>9</v>
      </c>
      <c r="B28" s="36" t="s">
        <v>263</v>
      </c>
      <c r="C28" s="34">
        <v>26</v>
      </c>
      <c r="D28" s="35">
        <v>0.96153846153846156</v>
      </c>
    </row>
    <row r="29" spans="1:4" customFormat="1" ht="15" x14ac:dyDescent="0.25">
      <c r="A29" s="146">
        <v>10</v>
      </c>
      <c r="B29" s="36" t="s">
        <v>264</v>
      </c>
      <c r="C29" s="34">
        <v>21</v>
      </c>
      <c r="D29" s="35">
        <v>0.95238095238095233</v>
      </c>
    </row>
    <row r="30" spans="1:4" x14ac:dyDescent="0.3">
      <c r="A30" s="9"/>
      <c r="B30" s="37" t="s">
        <v>168</v>
      </c>
    </row>
    <row r="31" spans="1:4" x14ac:dyDescent="0.3">
      <c r="A31" s="9"/>
      <c r="B31" s="38" t="s">
        <v>168</v>
      </c>
    </row>
    <row r="32" spans="1:4" x14ac:dyDescent="0.3">
      <c r="A32" s="9" t="s">
        <v>267</v>
      </c>
    </row>
    <row r="33" spans="1:4" customFormat="1" ht="28.8" x14ac:dyDescent="0.3">
      <c r="A33" s="145"/>
      <c r="B33" s="144" t="s">
        <v>35</v>
      </c>
      <c r="C33" s="39" t="s">
        <v>37</v>
      </c>
      <c r="D33" s="40" t="s">
        <v>85</v>
      </c>
    </row>
    <row r="34" spans="1:4" customFormat="1" x14ac:dyDescent="0.3">
      <c r="A34" s="146">
        <v>1</v>
      </c>
      <c r="B34" s="36" t="s">
        <v>208</v>
      </c>
      <c r="C34" s="34">
        <v>83</v>
      </c>
      <c r="D34" s="35">
        <v>0.98795180722891562</v>
      </c>
    </row>
    <row r="35" spans="1:4" customFormat="1" x14ac:dyDescent="0.3">
      <c r="A35" s="146">
        <v>2</v>
      </c>
      <c r="B35" s="36" t="s">
        <v>263</v>
      </c>
      <c r="C35" s="34">
        <v>26</v>
      </c>
      <c r="D35" s="35">
        <v>0.96153846153846156</v>
      </c>
    </row>
    <row r="36" spans="1:4" customFormat="1" x14ac:dyDescent="0.3">
      <c r="A36" s="146">
        <v>3</v>
      </c>
      <c r="B36" s="36" t="s">
        <v>264</v>
      </c>
      <c r="C36" s="34">
        <v>21</v>
      </c>
      <c r="D36" s="35">
        <v>0.95238095238095233</v>
      </c>
    </row>
    <row r="37" spans="1:4" customFormat="1" x14ac:dyDescent="0.3">
      <c r="A37" s="146">
        <v>4</v>
      </c>
      <c r="B37" s="36" t="s">
        <v>213</v>
      </c>
      <c r="C37" s="34">
        <v>21</v>
      </c>
      <c r="D37" s="35">
        <v>0.95238095238095233</v>
      </c>
    </row>
    <row r="38" spans="1:4" customFormat="1" x14ac:dyDescent="0.3">
      <c r="A38" s="146">
        <v>5</v>
      </c>
      <c r="B38" s="36" t="s">
        <v>207</v>
      </c>
      <c r="C38" s="34">
        <v>107</v>
      </c>
      <c r="D38" s="35">
        <v>0.94392523364485981</v>
      </c>
    </row>
    <row r="39" spans="1:4" customFormat="1" x14ac:dyDescent="0.3">
      <c r="A39" s="146">
        <v>6</v>
      </c>
      <c r="B39" s="36" t="s">
        <v>265</v>
      </c>
      <c r="C39" s="34">
        <v>28</v>
      </c>
      <c r="D39" s="35">
        <v>0.9285714285714286</v>
      </c>
    </row>
    <row r="40" spans="1:4" customFormat="1" x14ac:dyDescent="0.3">
      <c r="A40" s="146">
        <v>7</v>
      </c>
      <c r="B40" s="36" t="s">
        <v>212</v>
      </c>
      <c r="C40" s="34">
        <v>33</v>
      </c>
      <c r="D40" s="35">
        <v>0.90909090909090906</v>
      </c>
    </row>
    <row r="41" spans="1:4" customFormat="1" x14ac:dyDescent="0.3">
      <c r="A41" s="146">
        <v>8</v>
      </c>
      <c r="B41" s="36" t="s">
        <v>34</v>
      </c>
      <c r="C41" s="34">
        <v>124</v>
      </c>
      <c r="D41" s="35">
        <v>0.90322580645161288</v>
      </c>
    </row>
    <row r="42" spans="1:4" customFormat="1" x14ac:dyDescent="0.3">
      <c r="A42" s="146">
        <v>9</v>
      </c>
      <c r="B42" s="36" t="s">
        <v>210</v>
      </c>
      <c r="C42" s="34">
        <v>34</v>
      </c>
      <c r="D42" s="35">
        <v>0.87878787878787878</v>
      </c>
    </row>
    <row r="43" spans="1:4" customFormat="1" x14ac:dyDescent="0.3">
      <c r="A43" s="146">
        <v>10</v>
      </c>
      <c r="B43" s="36" t="s">
        <v>211</v>
      </c>
      <c r="C43" s="34">
        <v>36</v>
      </c>
      <c r="D43" s="35">
        <v>0.86111111111111116</v>
      </c>
    </row>
    <row r="44" spans="1:4" x14ac:dyDescent="0.3">
      <c r="A44" s="9"/>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opLeftCell="A7" workbookViewId="0">
      <selection activeCell="J29" sqref="J29"/>
    </sheetView>
  </sheetViews>
  <sheetFormatPr defaultRowHeight="14.4" x14ac:dyDescent="0.3"/>
  <cols>
    <col min="1" max="1" width="12.6640625" bestFit="1" customWidth="1"/>
    <col min="2" max="2" width="8.44140625" bestFit="1" customWidth="1"/>
    <col min="3" max="5" width="12.5546875" bestFit="1" customWidth="1"/>
    <col min="6" max="6" width="11" bestFit="1" customWidth="1"/>
    <col min="7" max="7" width="8.5546875" bestFit="1" customWidth="1"/>
    <col min="8" max="8" width="11" bestFit="1" customWidth="1"/>
  </cols>
  <sheetData>
    <row r="1" spans="1:10" ht="15" x14ac:dyDescent="0.25">
      <c r="A1" s="164" t="s">
        <v>282</v>
      </c>
      <c r="B1" s="164"/>
      <c r="C1" s="164"/>
      <c r="D1" s="164"/>
      <c r="E1" s="164"/>
      <c r="F1" s="164"/>
      <c r="G1" s="164"/>
      <c r="H1" s="164"/>
      <c r="I1" s="164"/>
      <c r="J1" s="164"/>
    </row>
    <row r="2" spans="1:10" ht="15" x14ac:dyDescent="0.25">
      <c r="A2" s="164" t="s">
        <v>283</v>
      </c>
      <c r="B2" s="164"/>
      <c r="C2" s="164"/>
      <c r="D2" s="164"/>
      <c r="E2" s="164"/>
      <c r="F2" s="164"/>
      <c r="G2" s="164"/>
      <c r="H2" s="164"/>
      <c r="I2" s="164"/>
      <c r="J2" s="164"/>
    </row>
    <row r="3" spans="1:10" ht="15" x14ac:dyDescent="0.25">
      <c r="A3" s="147"/>
      <c r="B3" s="147"/>
      <c r="C3" s="147"/>
      <c r="D3" s="147"/>
      <c r="E3" s="147"/>
      <c r="F3" s="147"/>
      <c r="G3" s="147"/>
      <c r="H3" s="147"/>
      <c r="I3" s="147"/>
      <c r="J3" s="148"/>
    </row>
    <row r="4" spans="1:10" ht="15" x14ac:dyDescent="0.25">
      <c r="A4" s="149"/>
      <c r="B4" s="149"/>
      <c r="C4" s="149"/>
      <c r="D4" s="149"/>
      <c r="E4" s="149"/>
      <c r="F4" s="149"/>
      <c r="G4" s="149"/>
      <c r="H4" s="149"/>
      <c r="I4" s="148"/>
      <c r="J4" s="148"/>
    </row>
    <row r="5" spans="1:10" ht="15" x14ac:dyDescent="0.25">
      <c r="A5" s="165" t="s">
        <v>282</v>
      </c>
      <c r="B5" s="157"/>
      <c r="C5" s="157"/>
      <c r="D5" s="157"/>
      <c r="E5" s="157"/>
      <c r="F5" s="157"/>
      <c r="G5" s="157"/>
      <c r="H5" s="158"/>
      <c r="I5" s="148"/>
      <c r="J5" s="148"/>
    </row>
    <row r="6" spans="1:10" x14ac:dyDescent="0.3">
      <c r="A6" s="166" t="s">
        <v>284</v>
      </c>
      <c r="B6" s="168" t="s">
        <v>35</v>
      </c>
      <c r="C6" s="170" t="s">
        <v>37</v>
      </c>
      <c r="D6" s="170"/>
      <c r="E6" s="170"/>
      <c r="F6" s="170"/>
      <c r="G6" s="170"/>
      <c r="H6" s="171"/>
      <c r="I6" s="148"/>
      <c r="J6" s="148"/>
    </row>
    <row r="7" spans="1:10" x14ac:dyDescent="0.3">
      <c r="A7" s="167"/>
      <c r="B7" s="169"/>
      <c r="C7" s="150" t="s">
        <v>285</v>
      </c>
      <c r="D7" s="150" t="s">
        <v>286</v>
      </c>
      <c r="E7" s="150" t="s">
        <v>202</v>
      </c>
      <c r="F7" s="150" t="s">
        <v>203</v>
      </c>
      <c r="G7" s="150" t="s">
        <v>242</v>
      </c>
      <c r="H7" s="151" t="s">
        <v>243</v>
      </c>
      <c r="I7" s="148"/>
      <c r="J7" s="148"/>
    </row>
    <row r="8" spans="1:10" ht="15" x14ac:dyDescent="0.25">
      <c r="A8" s="20" t="s">
        <v>104</v>
      </c>
      <c r="B8" s="20" t="s">
        <v>107</v>
      </c>
      <c r="C8" s="152">
        <v>39</v>
      </c>
      <c r="D8" s="152">
        <v>125</v>
      </c>
      <c r="E8" s="152">
        <v>363</v>
      </c>
      <c r="F8" s="152">
        <v>221</v>
      </c>
      <c r="G8" s="152">
        <v>405</v>
      </c>
      <c r="H8" s="153">
        <v>296</v>
      </c>
      <c r="I8" s="148"/>
      <c r="J8" s="148"/>
    </row>
    <row r="9" spans="1:10" ht="15" x14ac:dyDescent="0.25">
      <c r="A9" s="154"/>
      <c r="B9" s="154"/>
      <c r="C9" s="154"/>
      <c r="D9" s="154"/>
      <c r="E9" s="154"/>
      <c r="F9" s="154"/>
      <c r="G9" s="154"/>
      <c r="H9" s="154"/>
      <c r="I9" s="148"/>
      <c r="J9" s="148"/>
    </row>
    <row r="10" spans="1:10" ht="15" x14ac:dyDescent="0.25">
      <c r="A10" s="154"/>
      <c r="B10" s="154"/>
      <c r="C10" s="154"/>
      <c r="D10" s="154"/>
      <c r="E10" s="154"/>
      <c r="F10" s="154"/>
      <c r="G10" s="154"/>
      <c r="H10" s="154"/>
      <c r="I10" s="148"/>
      <c r="J10" s="148"/>
    </row>
    <row r="11" spans="1:10" ht="15" x14ac:dyDescent="0.25">
      <c r="A11" s="164" t="s">
        <v>287</v>
      </c>
      <c r="B11" s="164"/>
      <c r="C11" s="164"/>
      <c r="D11" s="164"/>
      <c r="E11" s="164"/>
      <c r="F11" s="164"/>
      <c r="G11" s="164"/>
      <c r="H11" s="164"/>
      <c r="I11" s="164"/>
      <c r="J11" s="164"/>
    </row>
    <row r="12" spans="1:10" ht="15" x14ac:dyDescent="0.25">
      <c r="A12" s="154"/>
      <c r="B12" s="154"/>
      <c r="C12" s="154"/>
      <c r="D12" s="154"/>
      <c r="E12" s="154"/>
      <c r="F12" s="154"/>
      <c r="G12" s="154"/>
      <c r="H12" s="154"/>
      <c r="I12" s="148"/>
      <c r="J12" s="148"/>
    </row>
    <row r="13" spans="1:10" ht="15" x14ac:dyDescent="0.25">
      <c r="A13" s="149"/>
      <c r="B13" s="149"/>
      <c r="C13" s="149"/>
      <c r="D13" s="149"/>
      <c r="E13" s="149"/>
      <c r="F13" s="149"/>
      <c r="G13" s="149"/>
      <c r="H13" s="149"/>
      <c r="I13" s="148"/>
      <c r="J13" s="148"/>
    </row>
    <row r="14" spans="1:10" ht="15" x14ac:dyDescent="0.25">
      <c r="A14" s="172" t="s">
        <v>282</v>
      </c>
      <c r="B14" s="173"/>
      <c r="C14" s="173"/>
      <c r="D14" s="174"/>
      <c r="E14" s="148"/>
      <c r="F14" s="148"/>
      <c r="G14" s="148"/>
      <c r="H14" s="148"/>
      <c r="I14" s="148"/>
      <c r="J14" s="148"/>
    </row>
    <row r="15" spans="1:10" ht="16.2" x14ac:dyDescent="0.3">
      <c r="A15" s="166" t="s">
        <v>284</v>
      </c>
      <c r="B15" s="168" t="s">
        <v>35</v>
      </c>
      <c r="C15" s="170" t="s">
        <v>288</v>
      </c>
      <c r="D15" s="171"/>
      <c r="E15" s="149"/>
      <c r="F15" s="149"/>
      <c r="G15" s="149"/>
      <c r="H15" s="149"/>
      <c r="I15" s="148"/>
      <c r="J15" s="148"/>
    </row>
    <row r="16" spans="1:10" x14ac:dyDescent="0.3">
      <c r="A16" s="167"/>
      <c r="B16" s="169"/>
      <c r="C16" s="175" t="s">
        <v>289</v>
      </c>
      <c r="D16" s="176"/>
      <c r="E16" s="149"/>
      <c r="F16" s="149"/>
      <c r="G16" s="149"/>
      <c r="H16" s="149"/>
      <c r="I16" s="148"/>
      <c r="J16" s="148"/>
    </row>
    <row r="17" spans="1:10" ht="15" x14ac:dyDescent="0.25">
      <c r="A17" s="20" t="s">
        <v>104</v>
      </c>
      <c r="B17" s="20" t="s">
        <v>107</v>
      </c>
      <c r="C17" s="177">
        <v>1400</v>
      </c>
      <c r="D17" s="177"/>
      <c r="E17" s="149"/>
      <c r="F17" s="149"/>
      <c r="G17" s="149"/>
      <c r="H17" s="149"/>
      <c r="I17" s="148"/>
      <c r="J17" s="148"/>
    </row>
    <row r="18" spans="1:10" ht="15" x14ac:dyDescent="0.25">
      <c r="A18" s="149"/>
      <c r="B18" s="149"/>
      <c r="C18" s="149"/>
      <c r="D18" s="149"/>
      <c r="E18" s="149"/>
      <c r="F18" s="149"/>
      <c r="G18" s="149"/>
      <c r="H18" s="149"/>
      <c r="I18" s="148"/>
      <c r="J18" s="148"/>
    </row>
    <row r="19" spans="1:10" ht="15" x14ac:dyDescent="0.25">
      <c r="A19" s="178" t="s">
        <v>290</v>
      </c>
      <c r="B19" s="178"/>
      <c r="C19" s="178"/>
      <c r="D19" s="178"/>
      <c r="E19" s="178"/>
      <c r="F19" s="178"/>
      <c r="G19" s="178"/>
      <c r="H19" s="178"/>
      <c r="I19" s="148"/>
      <c r="J19" s="148"/>
    </row>
    <row r="20" spans="1:10" ht="15" x14ac:dyDescent="0.25">
      <c r="A20" s="179" t="s">
        <v>291</v>
      </c>
      <c r="B20" s="179"/>
      <c r="C20" s="179"/>
      <c r="D20" s="179"/>
      <c r="E20" s="179"/>
      <c r="F20" s="179"/>
      <c r="G20" s="179"/>
      <c r="H20" s="179"/>
      <c r="I20" s="148"/>
      <c r="J20" s="148"/>
    </row>
    <row r="24" spans="1:10" ht="15" x14ac:dyDescent="0.25">
      <c r="A24" s="164" t="s">
        <v>282</v>
      </c>
      <c r="B24" s="164"/>
      <c r="C24" s="164"/>
      <c r="D24" s="164"/>
      <c r="E24" s="164"/>
      <c r="F24" s="164"/>
      <c r="G24" s="164"/>
      <c r="H24" s="164"/>
    </row>
    <row r="25" spans="1:10" ht="17.25" x14ac:dyDescent="0.25">
      <c r="A25" s="164" t="s">
        <v>292</v>
      </c>
      <c r="B25" s="164"/>
      <c r="C25" s="164"/>
      <c r="D25" s="164"/>
      <c r="E25" s="164"/>
      <c r="F25" s="164"/>
      <c r="G25" s="164"/>
      <c r="H25" s="164"/>
    </row>
    <row r="26" spans="1:10" ht="15" x14ac:dyDescent="0.25">
      <c r="A26" s="147"/>
      <c r="B26" s="147"/>
      <c r="C26" s="147"/>
      <c r="D26" s="147"/>
      <c r="E26" s="147"/>
      <c r="F26" s="147"/>
      <c r="G26" s="148"/>
      <c r="H26" s="148"/>
    </row>
    <row r="27" spans="1:10" ht="15" x14ac:dyDescent="0.25">
      <c r="A27" s="149"/>
      <c r="B27" s="149"/>
      <c r="C27" s="149"/>
      <c r="D27" s="149"/>
      <c r="E27" s="149"/>
      <c r="F27" s="148"/>
      <c r="G27" s="148"/>
      <c r="H27" s="148"/>
    </row>
    <row r="28" spans="1:10" ht="15" x14ac:dyDescent="0.25">
      <c r="A28" s="165" t="s">
        <v>282</v>
      </c>
      <c r="B28" s="157"/>
      <c r="C28" s="157"/>
      <c r="D28" s="157"/>
      <c r="E28" s="158"/>
      <c r="F28" s="148"/>
      <c r="G28" s="148"/>
      <c r="H28" s="148"/>
    </row>
    <row r="29" spans="1:10" ht="16.2" x14ac:dyDescent="0.3">
      <c r="A29" s="166" t="s">
        <v>284</v>
      </c>
      <c r="B29" s="168" t="s">
        <v>35</v>
      </c>
      <c r="C29" s="170" t="s">
        <v>288</v>
      </c>
      <c r="D29" s="170"/>
      <c r="E29" s="171"/>
      <c r="F29" s="148"/>
      <c r="G29" s="148"/>
      <c r="H29" s="148"/>
    </row>
    <row r="30" spans="1:10" x14ac:dyDescent="0.3">
      <c r="A30" s="167"/>
      <c r="B30" s="169"/>
      <c r="C30" s="150" t="s">
        <v>293</v>
      </c>
      <c r="D30" s="150" t="s">
        <v>294</v>
      </c>
      <c r="E30" s="151" t="s">
        <v>295</v>
      </c>
      <c r="F30" s="148"/>
      <c r="G30" s="148"/>
      <c r="H30" s="148"/>
    </row>
    <row r="31" spans="1:10" ht="15" x14ac:dyDescent="0.25">
      <c r="A31" s="20" t="s">
        <v>104</v>
      </c>
      <c r="B31" s="20" t="s">
        <v>107</v>
      </c>
      <c r="C31" s="152">
        <v>164</v>
      </c>
      <c r="D31" s="152">
        <v>571</v>
      </c>
      <c r="E31" s="152">
        <v>682</v>
      </c>
      <c r="F31" s="148"/>
      <c r="G31" s="148"/>
      <c r="H31" s="148"/>
    </row>
    <row r="32" spans="1:10" x14ac:dyDescent="0.3">
      <c r="A32" s="149"/>
      <c r="B32" s="149"/>
      <c r="C32" s="149"/>
      <c r="D32" s="149"/>
      <c r="E32" s="149"/>
      <c r="F32" s="148"/>
      <c r="G32" s="148"/>
      <c r="H32" s="148"/>
    </row>
    <row r="33" spans="1:8" x14ac:dyDescent="0.3">
      <c r="A33" s="149"/>
      <c r="B33" s="149"/>
      <c r="C33" s="149"/>
      <c r="D33" s="149"/>
      <c r="E33" s="149"/>
      <c r="F33" s="148"/>
      <c r="G33" s="148"/>
      <c r="H33" s="148"/>
    </row>
    <row r="34" spans="1:8" x14ac:dyDescent="0.3">
      <c r="A34" s="149"/>
      <c r="B34" s="149"/>
      <c r="C34" s="149"/>
      <c r="D34" s="149"/>
      <c r="E34" s="149"/>
      <c r="F34" s="148"/>
      <c r="G34" s="148"/>
      <c r="H34" s="148"/>
    </row>
    <row r="35" spans="1:8" ht="16.2" x14ac:dyDescent="0.3">
      <c r="A35" s="164" t="s">
        <v>296</v>
      </c>
      <c r="B35" s="164"/>
      <c r="C35" s="164"/>
      <c r="D35" s="164"/>
      <c r="E35" s="164"/>
      <c r="F35" s="164"/>
      <c r="G35" s="164"/>
      <c r="H35" s="164"/>
    </row>
    <row r="36" spans="1:8" x14ac:dyDescent="0.3">
      <c r="A36" s="149"/>
      <c r="B36" s="149"/>
      <c r="C36" s="149"/>
      <c r="D36" s="149"/>
      <c r="E36" s="149"/>
      <c r="F36" s="148"/>
      <c r="G36" s="148"/>
      <c r="H36" s="148"/>
    </row>
    <row r="37" spans="1:8" x14ac:dyDescent="0.3">
      <c r="A37" s="149"/>
      <c r="B37" s="149"/>
      <c r="C37" s="149"/>
      <c r="D37" s="149"/>
      <c r="E37" s="149"/>
      <c r="F37" s="148"/>
      <c r="G37" s="148"/>
      <c r="H37" s="148"/>
    </row>
    <row r="38" spans="1:8" x14ac:dyDescent="0.3">
      <c r="A38" s="165" t="s">
        <v>282</v>
      </c>
      <c r="B38" s="157"/>
      <c r="C38" s="157"/>
      <c r="D38" s="158"/>
      <c r="E38" s="148"/>
      <c r="F38" s="148"/>
      <c r="G38" s="148"/>
      <c r="H38" s="148"/>
    </row>
    <row r="39" spans="1:8" ht="16.2" x14ac:dyDescent="0.3">
      <c r="A39" s="166" t="s">
        <v>284</v>
      </c>
      <c r="B39" s="168" t="s">
        <v>35</v>
      </c>
      <c r="C39" s="170" t="s">
        <v>288</v>
      </c>
      <c r="D39" s="171"/>
      <c r="E39" s="148"/>
      <c r="F39" s="148"/>
      <c r="G39" s="148"/>
      <c r="H39" s="148"/>
    </row>
    <row r="40" spans="1:8" x14ac:dyDescent="0.3">
      <c r="A40" s="167"/>
      <c r="B40" s="169"/>
      <c r="C40" s="150" t="s">
        <v>297</v>
      </c>
      <c r="D40" s="151" t="s">
        <v>298</v>
      </c>
      <c r="E40" s="148"/>
      <c r="F40" s="148"/>
      <c r="G40" s="148"/>
      <c r="H40" s="148"/>
    </row>
    <row r="41" spans="1:8" x14ac:dyDescent="0.3">
      <c r="A41" s="20" t="s">
        <v>104</v>
      </c>
      <c r="B41" s="20" t="s">
        <v>107</v>
      </c>
      <c r="C41" s="152">
        <v>483</v>
      </c>
      <c r="D41" s="152">
        <v>622</v>
      </c>
      <c r="E41" s="148"/>
      <c r="F41" s="148"/>
      <c r="G41" s="148"/>
      <c r="H41" s="148"/>
    </row>
    <row r="42" spans="1:8" x14ac:dyDescent="0.3">
      <c r="A42" s="155"/>
      <c r="B42" s="155"/>
      <c r="C42" s="156"/>
      <c r="D42" s="156"/>
      <c r="E42" s="148"/>
      <c r="F42" s="148"/>
      <c r="G42" s="148"/>
      <c r="H42" s="148"/>
    </row>
    <row r="43" spans="1:8" x14ac:dyDescent="0.3">
      <c r="A43" s="180" t="s">
        <v>299</v>
      </c>
      <c r="B43" s="180"/>
      <c r="C43" s="180"/>
      <c r="D43" s="180"/>
      <c r="E43" s="180"/>
      <c r="F43" s="148"/>
      <c r="G43" s="148"/>
      <c r="H43" s="148"/>
    </row>
    <row r="44" spans="1:8" x14ac:dyDescent="0.3">
      <c r="A44" s="178" t="s">
        <v>300</v>
      </c>
      <c r="B44" s="178"/>
      <c r="C44" s="178"/>
      <c r="D44" s="178"/>
      <c r="E44" s="178"/>
      <c r="F44" s="148"/>
      <c r="G44" s="148"/>
      <c r="H44" s="148"/>
    </row>
    <row r="45" spans="1:8" x14ac:dyDescent="0.3">
      <c r="A45" s="179" t="s">
        <v>301</v>
      </c>
      <c r="B45" s="179"/>
      <c r="C45" s="179"/>
      <c r="D45" s="179"/>
      <c r="E45" s="179"/>
      <c r="F45" s="148"/>
      <c r="G45" s="148"/>
      <c r="H45" s="148"/>
    </row>
    <row r="46" spans="1:8" x14ac:dyDescent="0.3">
      <c r="A46" s="149"/>
      <c r="B46" s="149"/>
      <c r="C46" s="149"/>
      <c r="D46" s="149"/>
      <c r="E46" s="149"/>
      <c r="F46" s="148"/>
      <c r="G46" s="148"/>
      <c r="H46" s="148"/>
    </row>
  </sheetData>
  <mergeCells count="29">
    <mergeCell ref="A43:E43"/>
    <mergeCell ref="A44:E44"/>
    <mergeCell ref="A45:E45"/>
    <mergeCell ref="A29:A30"/>
    <mergeCell ref="B29:B30"/>
    <mergeCell ref="C29:E29"/>
    <mergeCell ref="A35:H35"/>
    <mergeCell ref="A38:D38"/>
    <mergeCell ref="A39:A40"/>
    <mergeCell ref="B39:B40"/>
    <mergeCell ref="C39:D39"/>
    <mergeCell ref="A28:E28"/>
    <mergeCell ref="A11:J11"/>
    <mergeCell ref="A14:D14"/>
    <mergeCell ref="A15:A16"/>
    <mergeCell ref="B15:B16"/>
    <mergeCell ref="C15:D15"/>
    <mergeCell ref="C16:D16"/>
    <mergeCell ref="C17:D17"/>
    <mergeCell ref="A19:H19"/>
    <mergeCell ref="A20:H20"/>
    <mergeCell ref="A24:H24"/>
    <mergeCell ref="A25:H25"/>
    <mergeCell ref="A1:J1"/>
    <mergeCell ref="A2:J2"/>
    <mergeCell ref="A5:H5"/>
    <mergeCell ref="A6:A7"/>
    <mergeCell ref="B6:B7"/>
    <mergeCell ref="C6:H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selection activeCell="K27" sqref="K27"/>
    </sheetView>
  </sheetViews>
  <sheetFormatPr defaultColWidth="11.6640625" defaultRowHeight="14.4" x14ac:dyDescent="0.3"/>
  <cols>
    <col min="1" max="9" width="11.6640625" style="1"/>
    <col min="10" max="10" width="11.6640625" style="72"/>
    <col min="11" max="16384" width="11.6640625" style="1"/>
  </cols>
  <sheetData>
    <row r="1" spans="1:10" ht="15" x14ac:dyDescent="0.25">
      <c r="A1" s="70" t="s">
        <v>83</v>
      </c>
      <c r="B1" s="70" t="s">
        <v>109</v>
      </c>
      <c r="C1" s="70" t="s">
        <v>110</v>
      </c>
      <c r="D1" s="70" t="s">
        <v>101</v>
      </c>
      <c r="E1" s="70" t="s">
        <v>22</v>
      </c>
      <c r="F1" s="70" t="s">
        <v>102</v>
      </c>
      <c r="G1" s="70" t="s">
        <v>103</v>
      </c>
      <c r="H1" s="71" t="s">
        <v>105</v>
      </c>
      <c r="I1" s="71" t="s">
        <v>106</v>
      </c>
      <c r="J1" s="72" t="s">
        <v>167</v>
      </c>
    </row>
    <row r="2" spans="1:10" ht="15" x14ac:dyDescent="0.25">
      <c r="A2" s="129" t="s">
        <v>111</v>
      </c>
      <c r="B2" s="129" t="s">
        <v>145</v>
      </c>
      <c r="C2" s="129" t="s">
        <v>118</v>
      </c>
      <c r="D2" s="130"/>
      <c r="E2" s="133"/>
      <c r="F2" s="131">
        <v>82</v>
      </c>
      <c r="G2" s="131">
        <v>1</v>
      </c>
      <c r="H2" s="1">
        <f t="shared" ref="H2:H42" si="0">SUM(D2:G2)</f>
        <v>83</v>
      </c>
      <c r="I2" s="1">
        <f t="shared" ref="I2:I42" si="1">E2+F2+G2</f>
        <v>83</v>
      </c>
      <c r="J2" s="72">
        <f t="shared" ref="J2:J42" si="2">F2/I2</f>
        <v>0.98795180722891562</v>
      </c>
    </row>
    <row r="3" spans="1:10" ht="15" x14ac:dyDescent="0.25">
      <c r="A3" s="129" t="s">
        <v>111</v>
      </c>
      <c r="B3" s="129" t="s">
        <v>144</v>
      </c>
      <c r="C3" s="129" t="s">
        <v>115</v>
      </c>
      <c r="D3" s="130"/>
      <c r="E3" s="133"/>
      <c r="F3" s="131">
        <v>25</v>
      </c>
      <c r="G3" s="131">
        <v>1</v>
      </c>
      <c r="H3" s="1">
        <f t="shared" si="0"/>
        <v>26</v>
      </c>
      <c r="I3" s="1">
        <f t="shared" si="1"/>
        <v>26</v>
      </c>
      <c r="J3" s="72">
        <f t="shared" si="2"/>
        <v>0.96153846153846156</v>
      </c>
    </row>
    <row r="4" spans="1:10" ht="15" x14ac:dyDescent="0.25">
      <c r="A4" s="129" t="s">
        <v>111</v>
      </c>
      <c r="B4" s="129" t="s">
        <v>153</v>
      </c>
      <c r="C4" s="129" t="s">
        <v>137</v>
      </c>
      <c r="D4" s="130"/>
      <c r="E4" s="131">
        <v>1</v>
      </c>
      <c r="F4" s="132">
        <v>20</v>
      </c>
      <c r="G4" s="134"/>
      <c r="H4" s="1">
        <f t="shared" si="0"/>
        <v>21</v>
      </c>
      <c r="I4" s="1">
        <f t="shared" si="1"/>
        <v>21</v>
      </c>
      <c r="J4" s="72">
        <f t="shared" si="2"/>
        <v>0.95238095238095233</v>
      </c>
    </row>
    <row r="5" spans="1:10" ht="15" x14ac:dyDescent="0.25">
      <c r="A5" s="129" t="s">
        <v>111</v>
      </c>
      <c r="B5" s="129" t="s">
        <v>160</v>
      </c>
      <c r="C5" s="129" t="s">
        <v>113</v>
      </c>
      <c r="D5" s="130"/>
      <c r="E5" s="130"/>
      <c r="F5" s="132">
        <v>20</v>
      </c>
      <c r="G5" s="131">
        <v>1</v>
      </c>
      <c r="H5" s="1">
        <f t="shared" si="0"/>
        <v>21</v>
      </c>
      <c r="I5" s="1">
        <f t="shared" si="1"/>
        <v>21</v>
      </c>
      <c r="J5" s="72">
        <f t="shared" si="2"/>
        <v>0.95238095238095233</v>
      </c>
    </row>
    <row r="6" spans="1:10" ht="15" x14ac:dyDescent="0.25">
      <c r="A6" s="129" t="s">
        <v>111</v>
      </c>
      <c r="B6" s="129" t="s">
        <v>151</v>
      </c>
      <c r="C6" s="129" t="s">
        <v>114</v>
      </c>
      <c r="D6" s="130"/>
      <c r="E6" s="131">
        <v>3</v>
      </c>
      <c r="F6" s="132">
        <v>101</v>
      </c>
      <c r="G6" s="132">
        <v>3</v>
      </c>
      <c r="H6" s="1">
        <f t="shared" si="0"/>
        <v>107</v>
      </c>
      <c r="I6" s="1">
        <f t="shared" si="1"/>
        <v>107</v>
      </c>
      <c r="J6" s="72">
        <f t="shared" si="2"/>
        <v>0.94392523364485981</v>
      </c>
    </row>
    <row r="7" spans="1:10" ht="15" x14ac:dyDescent="0.25">
      <c r="A7" s="129" t="s">
        <v>111</v>
      </c>
      <c r="B7" s="129" t="s">
        <v>153</v>
      </c>
      <c r="C7" s="129" t="s">
        <v>154</v>
      </c>
      <c r="D7" s="130"/>
      <c r="E7" s="134"/>
      <c r="F7" s="131">
        <v>26</v>
      </c>
      <c r="G7" s="131">
        <v>2</v>
      </c>
      <c r="H7" s="1">
        <f t="shared" si="0"/>
        <v>28</v>
      </c>
      <c r="I7" s="1">
        <f t="shared" si="1"/>
        <v>28</v>
      </c>
      <c r="J7" s="72">
        <f t="shared" si="2"/>
        <v>0.9285714285714286</v>
      </c>
    </row>
    <row r="8" spans="1:10" ht="15" x14ac:dyDescent="0.25">
      <c r="A8" s="129" t="s">
        <v>111</v>
      </c>
      <c r="B8" s="129" t="s">
        <v>156</v>
      </c>
      <c r="C8" s="129" t="s">
        <v>157</v>
      </c>
      <c r="D8" s="130"/>
      <c r="E8" s="131">
        <v>2</v>
      </c>
      <c r="F8" s="131">
        <v>30</v>
      </c>
      <c r="G8" s="131">
        <v>1</v>
      </c>
      <c r="H8" s="1">
        <f t="shared" si="0"/>
        <v>33</v>
      </c>
      <c r="I8" s="1">
        <f t="shared" si="1"/>
        <v>33</v>
      </c>
      <c r="J8" s="72">
        <f t="shared" si="2"/>
        <v>0.90909090909090906</v>
      </c>
    </row>
    <row r="9" spans="1:10" ht="15" x14ac:dyDescent="0.25">
      <c r="A9" s="129" t="s">
        <v>111</v>
      </c>
      <c r="B9" s="129" t="s">
        <v>145</v>
      </c>
      <c r="C9" s="129" t="s">
        <v>123</v>
      </c>
      <c r="D9" s="130"/>
      <c r="E9" s="132">
        <v>4</v>
      </c>
      <c r="F9" s="131">
        <v>112</v>
      </c>
      <c r="G9" s="132">
        <v>8</v>
      </c>
      <c r="H9" s="1">
        <f t="shared" si="0"/>
        <v>124</v>
      </c>
      <c r="I9" s="1">
        <f t="shared" si="1"/>
        <v>124</v>
      </c>
      <c r="J9" s="72">
        <f t="shared" si="2"/>
        <v>0.90322580645161288</v>
      </c>
    </row>
    <row r="10" spans="1:10" ht="15" x14ac:dyDescent="0.25">
      <c r="A10" s="129" t="s">
        <v>111</v>
      </c>
      <c r="B10" s="129" t="s">
        <v>122</v>
      </c>
      <c r="C10" s="129" t="s">
        <v>124</v>
      </c>
      <c r="D10" s="132">
        <v>1</v>
      </c>
      <c r="E10" s="131">
        <v>3</v>
      </c>
      <c r="F10" s="131">
        <v>29</v>
      </c>
      <c r="G10" s="131">
        <v>1</v>
      </c>
      <c r="H10" s="1">
        <f t="shared" si="0"/>
        <v>34</v>
      </c>
      <c r="I10" s="1">
        <f t="shared" si="1"/>
        <v>33</v>
      </c>
      <c r="J10" s="72">
        <f t="shared" si="2"/>
        <v>0.87878787878787878</v>
      </c>
    </row>
    <row r="11" spans="1:10" ht="15" x14ac:dyDescent="0.25">
      <c r="A11" s="129" t="s">
        <v>111</v>
      </c>
      <c r="B11" s="129" t="s">
        <v>147</v>
      </c>
      <c r="C11" s="129" t="s">
        <v>116</v>
      </c>
      <c r="D11" s="130"/>
      <c r="E11" s="132">
        <v>1</v>
      </c>
      <c r="F11" s="131">
        <v>31</v>
      </c>
      <c r="G11" s="131">
        <v>4</v>
      </c>
      <c r="H11" s="1">
        <f t="shared" si="0"/>
        <v>36</v>
      </c>
      <c r="I11" s="1">
        <f t="shared" si="1"/>
        <v>36</v>
      </c>
      <c r="J11" s="72">
        <f t="shared" si="2"/>
        <v>0.86111111111111116</v>
      </c>
    </row>
    <row r="12" spans="1:10" ht="15" x14ac:dyDescent="0.25">
      <c r="A12" s="129" t="s">
        <v>111</v>
      </c>
      <c r="B12" s="129" t="s">
        <v>145</v>
      </c>
      <c r="C12" s="129" t="s">
        <v>116</v>
      </c>
      <c r="D12" s="130"/>
      <c r="E12" s="132">
        <v>12</v>
      </c>
      <c r="F12" s="131">
        <v>228</v>
      </c>
      <c r="G12" s="132">
        <v>25</v>
      </c>
      <c r="H12" s="1">
        <f t="shared" si="0"/>
        <v>265</v>
      </c>
      <c r="I12" s="1">
        <f t="shared" si="1"/>
        <v>265</v>
      </c>
      <c r="J12" s="72">
        <f t="shared" si="2"/>
        <v>0.86037735849056607</v>
      </c>
    </row>
    <row r="13" spans="1:10" ht="15" x14ac:dyDescent="0.25">
      <c r="A13" s="129" t="s">
        <v>111</v>
      </c>
      <c r="B13" s="129" t="s">
        <v>140</v>
      </c>
      <c r="C13" s="129" t="s">
        <v>141</v>
      </c>
      <c r="D13" s="130"/>
      <c r="E13" s="132">
        <v>3</v>
      </c>
      <c r="F13" s="131">
        <v>30</v>
      </c>
      <c r="G13" s="132">
        <v>2</v>
      </c>
      <c r="H13" s="1">
        <f t="shared" si="0"/>
        <v>35</v>
      </c>
      <c r="I13" s="1">
        <f t="shared" si="1"/>
        <v>35</v>
      </c>
      <c r="J13" s="72">
        <f t="shared" si="2"/>
        <v>0.8571428571428571</v>
      </c>
    </row>
    <row r="14" spans="1:10" ht="15" x14ac:dyDescent="0.25">
      <c r="A14" s="129" t="s">
        <v>111</v>
      </c>
      <c r="B14" s="129" t="s">
        <v>165</v>
      </c>
      <c r="C14" s="129" t="s">
        <v>116</v>
      </c>
      <c r="D14" s="130"/>
      <c r="E14" s="132">
        <v>9</v>
      </c>
      <c r="F14" s="131">
        <v>112</v>
      </c>
      <c r="G14" s="131">
        <v>10</v>
      </c>
      <c r="H14" s="1">
        <f t="shared" si="0"/>
        <v>131</v>
      </c>
      <c r="I14" s="1">
        <f t="shared" si="1"/>
        <v>131</v>
      </c>
      <c r="J14" s="72">
        <f t="shared" si="2"/>
        <v>0.85496183206106868</v>
      </c>
    </row>
    <row r="15" spans="1:10" ht="15" x14ac:dyDescent="0.25">
      <c r="A15" s="129" t="s">
        <v>111</v>
      </c>
      <c r="B15" s="129" t="s">
        <v>164</v>
      </c>
      <c r="C15" s="129" t="s">
        <v>116</v>
      </c>
      <c r="D15" s="130"/>
      <c r="E15" s="132">
        <v>10</v>
      </c>
      <c r="F15" s="131">
        <v>73</v>
      </c>
      <c r="G15" s="131">
        <v>3</v>
      </c>
      <c r="H15" s="1">
        <f t="shared" si="0"/>
        <v>86</v>
      </c>
      <c r="I15" s="1">
        <f t="shared" si="1"/>
        <v>86</v>
      </c>
      <c r="J15" s="72">
        <f t="shared" si="2"/>
        <v>0.84883720930232553</v>
      </c>
    </row>
    <row r="16" spans="1:10" ht="15" x14ac:dyDescent="0.25">
      <c r="A16" s="129" t="s">
        <v>111</v>
      </c>
      <c r="B16" s="129" t="s">
        <v>153</v>
      </c>
      <c r="C16" s="129" t="s">
        <v>131</v>
      </c>
      <c r="D16" s="132">
        <v>1</v>
      </c>
      <c r="E16" s="132">
        <v>12</v>
      </c>
      <c r="F16" s="131">
        <v>131</v>
      </c>
      <c r="G16" s="132">
        <v>12</v>
      </c>
      <c r="H16" s="1">
        <f t="shared" si="0"/>
        <v>156</v>
      </c>
      <c r="I16" s="1">
        <f t="shared" si="1"/>
        <v>155</v>
      </c>
      <c r="J16" s="72">
        <f t="shared" si="2"/>
        <v>0.84516129032258069</v>
      </c>
    </row>
    <row r="17" spans="1:10" ht="15" x14ac:dyDescent="0.25">
      <c r="A17" s="129" t="s">
        <v>111</v>
      </c>
      <c r="B17" s="129" t="s">
        <v>148</v>
      </c>
      <c r="C17" s="129" t="s">
        <v>150</v>
      </c>
      <c r="D17" s="130"/>
      <c r="E17" s="131">
        <v>2</v>
      </c>
      <c r="F17" s="131">
        <v>19</v>
      </c>
      <c r="G17" s="131">
        <v>2</v>
      </c>
      <c r="H17" s="1">
        <f t="shared" si="0"/>
        <v>23</v>
      </c>
      <c r="I17" s="1">
        <f t="shared" si="1"/>
        <v>23</v>
      </c>
      <c r="J17" s="72">
        <f t="shared" si="2"/>
        <v>0.82608695652173914</v>
      </c>
    </row>
    <row r="18" spans="1:10" ht="15" x14ac:dyDescent="0.25">
      <c r="A18" s="129" t="s">
        <v>111</v>
      </c>
      <c r="B18" s="129" t="s">
        <v>153</v>
      </c>
      <c r="C18" s="129" t="s">
        <v>143</v>
      </c>
      <c r="D18" s="130"/>
      <c r="E18" s="131">
        <v>3</v>
      </c>
      <c r="F18" s="132">
        <v>19</v>
      </c>
      <c r="G18" s="132">
        <v>1</v>
      </c>
      <c r="H18" s="1">
        <f t="shared" si="0"/>
        <v>23</v>
      </c>
      <c r="I18" s="1">
        <f t="shared" si="1"/>
        <v>23</v>
      </c>
      <c r="J18" s="72">
        <f t="shared" si="2"/>
        <v>0.82608695652173914</v>
      </c>
    </row>
    <row r="19" spans="1:10" ht="15" x14ac:dyDescent="0.25">
      <c r="A19" s="129" t="s">
        <v>111</v>
      </c>
      <c r="B19" s="129" t="s">
        <v>148</v>
      </c>
      <c r="C19" s="129" t="s">
        <v>149</v>
      </c>
      <c r="D19" s="134"/>
      <c r="E19" s="131">
        <v>2</v>
      </c>
      <c r="F19" s="131">
        <v>28</v>
      </c>
      <c r="G19" s="132">
        <v>4</v>
      </c>
      <c r="H19" s="1">
        <f t="shared" si="0"/>
        <v>34</v>
      </c>
      <c r="I19" s="1">
        <f t="shared" si="1"/>
        <v>34</v>
      </c>
      <c r="J19" s="72">
        <f t="shared" si="2"/>
        <v>0.82352941176470584</v>
      </c>
    </row>
    <row r="20" spans="1:10" ht="15" x14ac:dyDescent="0.25">
      <c r="A20" s="129" t="s">
        <v>111</v>
      </c>
      <c r="B20" s="129" t="s">
        <v>153</v>
      </c>
      <c r="C20" s="129" t="s">
        <v>133</v>
      </c>
      <c r="D20" s="130"/>
      <c r="E20" s="132">
        <v>8</v>
      </c>
      <c r="F20" s="131">
        <v>63</v>
      </c>
      <c r="G20" s="132">
        <v>6</v>
      </c>
      <c r="H20" s="1">
        <f t="shared" si="0"/>
        <v>77</v>
      </c>
      <c r="I20" s="1">
        <f t="shared" si="1"/>
        <v>77</v>
      </c>
      <c r="J20" s="72">
        <f t="shared" si="2"/>
        <v>0.81818181818181823</v>
      </c>
    </row>
    <row r="21" spans="1:10" ht="15" x14ac:dyDescent="0.25">
      <c r="A21" s="129" t="s">
        <v>111</v>
      </c>
      <c r="B21" s="129" t="s">
        <v>152</v>
      </c>
      <c r="C21" s="129" t="s">
        <v>119</v>
      </c>
      <c r="D21" s="130"/>
      <c r="E21" s="132">
        <v>13</v>
      </c>
      <c r="F21" s="131">
        <v>143</v>
      </c>
      <c r="G21" s="132">
        <v>19</v>
      </c>
      <c r="H21" s="1">
        <f t="shared" si="0"/>
        <v>175</v>
      </c>
      <c r="I21" s="1">
        <f t="shared" si="1"/>
        <v>175</v>
      </c>
      <c r="J21" s="72">
        <f t="shared" si="2"/>
        <v>0.81714285714285717</v>
      </c>
    </row>
    <row r="22" spans="1:10" ht="15" x14ac:dyDescent="0.25">
      <c r="A22" s="129" t="s">
        <v>111</v>
      </c>
      <c r="B22" s="129" t="s">
        <v>130</v>
      </c>
      <c r="C22" s="129" t="s">
        <v>119</v>
      </c>
      <c r="D22" s="130"/>
      <c r="E22" s="132">
        <v>2</v>
      </c>
      <c r="F22" s="131">
        <v>22</v>
      </c>
      <c r="G22" s="131">
        <v>3</v>
      </c>
      <c r="H22" s="1">
        <f t="shared" si="0"/>
        <v>27</v>
      </c>
      <c r="I22" s="1">
        <f t="shared" si="1"/>
        <v>27</v>
      </c>
      <c r="J22" s="72">
        <f t="shared" si="2"/>
        <v>0.81481481481481477</v>
      </c>
    </row>
    <row r="23" spans="1:10" ht="15" x14ac:dyDescent="0.25">
      <c r="A23" s="129" t="s">
        <v>111</v>
      </c>
      <c r="B23" s="129" t="s">
        <v>138</v>
      </c>
      <c r="C23" s="129" t="s">
        <v>117</v>
      </c>
      <c r="D23" s="133"/>
      <c r="E23" s="131">
        <v>5</v>
      </c>
      <c r="F23" s="131">
        <v>30</v>
      </c>
      <c r="G23" s="131">
        <v>2</v>
      </c>
      <c r="H23" s="1">
        <f t="shared" si="0"/>
        <v>37</v>
      </c>
      <c r="I23" s="1">
        <f t="shared" si="1"/>
        <v>37</v>
      </c>
      <c r="J23" s="72">
        <f t="shared" si="2"/>
        <v>0.81081081081081086</v>
      </c>
    </row>
    <row r="24" spans="1:10" ht="15" x14ac:dyDescent="0.25">
      <c r="A24" s="129" t="s">
        <v>111</v>
      </c>
      <c r="B24" s="129" t="s">
        <v>166</v>
      </c>
      <c r="C24" s="129" t="s">
        <v>114</v>
      </c>
      <c r="D24" s="132">
        <v>3</v>
      </c>
      <c r="E24" s="132">
        <v>8</v>
      </c>
      <c r="F24" s="131">
        <v>40</v>
      </c>
      <c r="G24" s="131">
        <v>2</v>
      </c>
      <c r="H24" s="1">
        <f t="shared" si="0"/>
        <v>53</v>
      </c>
      <c r="I24" s="1">
        <f t="shared" si="1"/>
        <v>50</v>
      </c>
      <c r="J24" s="72">
        <f t="shared" si="2"/>
        <v>0.8</v>
      </c>
    </row>
    <row r="25" spans="1:10" ht="15" x14ac:dyDescent="0.25">
      <c r="A25" s="129" t="s">
        <v>111</v>
      </c>
      <c r="B25" s="129" t="s">
        <v>156</v>
      </c>
      <c r="C25" s="129" t="s">
        <v>126</v>
      </c>
      <c r="D25" s="130"/>
      <c r="E25" s="132">
        <v>1</v>
      </c>
      <c r="F25" s="132">
        <v>16</v>
      </c>
      <c r="G25" s="131">
        <v>3</v>
      </c>
      <c r="H25" s="1">
        <f t="shared" si="0"/>
        <v>20</v>
      </c>
      <c r="I25" s="1">
        <f t="shared" si="1"/>
        <v>20</v>
      </c>
      <c r="J25" s="72">
        <f t="shared" si="2"/>
        <v>0.8</v>
      </c>
    </row>
    <row r="26" spans="1:10" ht="15" x14ac:dyDescent="0.25">
      <c r="A26" s="129" t="s">
        <v>111</v>
      </c>
      <c r="B26" s="129" t="s">
        <v>161</v>
      </c>
      <c r="C26" s="129" t="s">
        <v>112</v>
      </c>
      <c r="D26" s="132">
        <v>2</v>
      </c>
      <c r="E26" s="132">
        <v>21</v>
      </c>
      <c r="F26" s="132">
        <v>157</v>
      </c>
      <c r="G26" s="131">
        <v>22</v>
      </c>
      <c r="H26" s="1">
        <f t="shared" si="0"/>
        <v>202</v>
      </c>
      <c r="I26" s="1">
        <f t="shared" si="1"/>
        <v>200</v>
      </c>
      <c r="J26" s="72">
        <f t="shared" si="2"/>
        <v>0.78500000000000003</v>
      </c>
    </row>
    <row r="27" spans="1:10" ht="15" x14ac:dyDescent="0.25">
      <c r="A27" s="129" t="s">
        <v>111</v>
      </c>
      <c r="B27" s="129" t="s">
        <v>162</v>
      </c>
      <c r="C27" s="129" t="s">
        <v>163</v>
      </c>
      <c r="D27" s="130"/>
      <c r="E27" s="131">
        <v>3</v>
      </c>
      <c r="F27" s="131">
        <v>21</v>
      </c>
      <c r="G27" s="131">
        <v>3</v>
      </c>
      <c r="H27" s="1">
        <f t="shared" si="0"/>
        <v>27</v>
      </c>
      <c r="I27" s="1">
        <f t="shared" si="1"/>
        <v>27</v>
      </c>
      <c r="J27" s="72">
        <f t="shared" si="2"/>
        <v>0.77777777777777779</v>
      </c>
    </row>
    <row r="28" spans="1:10" ht="15" x14ac:dyDescent="0.25">
      <c r="A28" s="129" t="s">
        <v>111</v>
      </c>
      <c r="B28" s="129" t="s">
        <v>136</v>
      </c>
      <c r="C28" s="129" t="s">
        <v>132</v>
      </c>
      <c r="D28" s="130"/>
      <c r="E28" s="132">
        <v>4</v>
      </c>
      <c r="F28" s="131">
        <v>23</v>
      </c>
      <c r="G28" s="132">
        <v>3</v>
      </c>
      <c r="H28" s="1">
        <f t="shared" si="0"/>
        <v>30</v>
      </c>
      <c r="I28" s="1">
        <f t="shared" si="1"/>
        <v>30</v>
      </c>
      <c r="J28" s="72">
        <f t="shared" si="2"/>
        <v>0.76666666666666672</v>
      </c>
    </row>
    <row r="29" spans="1:10" ht="15" x14ac:dyDescent="0.25">
      <c r="A29" s="129" t="s">
        <v>111</v>
      </c>
      <c r="B29" s="129" t="s">
        <v>139</v>
      </c>
      <c r="C29" s="129" t="s">
        <v>116</v>
      </c>
      <c r="D29" s="130"/>
      <c r="E29" s="132">
        <v>17</v>
      </c>
      <c r="F29" s="131">
        <v>116</v>
      </c>
      <c r="G29" s="132">
        <v>20</v>
      </c>
      <c r="H29" s="1">
        <f t="shared" si="0"/>
        <v>153</v>
      </c>
      <c r="I29" s="1">
        <f t="shared" si="1"/>
        <v>153</v>
      </c>
      <c r="J29" s="72">
        <f t="shared" si="2"/>
        <v>0.75816993464052285</v>
      </c>
    </row>
    <row r="30" spans="1:10" ht="15" x14ac:dyDescent="0.25">
      <c r="A30" s="129" t="s">
        <v>111</v>
      </c>
      <c r="B30" s="129" t="s">
        <v>127</v>
      </c>
      <c r="C30" s="129" t="s">
        <v>128</v>
      </c>
      <c r="D30" s="134"/>
      <c r="E30" s="131">
        <v>3</v>
      </c>
      <c r="F30" s="131">
        <v>21</v>
      </c>
      <c r="G30" s="131">
        <v>5</v>
      </c>
      <c r="H30" s="1">
        <f t="shared" si="0"/>
        <v>29</v>
      </c>
      <c r="I30" s="1">
        <f t="shared" si="1"/>
        <v>29</v>
      </c>
      <c r="J30" s="72">
        <f t="shared" si="2"/>
        <v>0.72413793103448276</v>
      </c>
    </row>
    <row r="31" spans="1:10" ht="15" x14ac:dyDescent="0.25">
      <c r="A31" s="129" t="s">
        <v>111</v>
      </c>
      <c r="B31" s="129" t="s">
        <v>120</v>
      </c>
      <c r="C31" s="129" t="s">
        <v>116</v>
      </c>
      <c r="D31" s="130"/>
      <c r="E31" s="132">
        <v>3</v>
      </c>
      <c r="F31" s="131">
        <v>18</v>
      </c>
      <c r="G31" s="132">
        <v>4</v>
      </c>
      <c r="H31" s="1">
        <f t="shared" si="0"/>
        <v>25</v>
      </c>
      <c r="I31" s="1">
        <f t="shared" si="1"/>
        <v>25</v>
      </c>
      <c r="J31" s="72">
        <f t="shared" si="2"/>
        <v>0.72</v>
      </c>
    </row>
    <row r="32" spans="1:10" x14ac:dyDescent="0.3">
      <c r="A32" s="129" t="s">
        <v>111</v>
      </c>
      <c r="B32" s="129" t="s">
        <v>125</v>
      </c>
      <c r="C32" s="129" t="s">
        <v>119</v>
      </c>
      <c r="D32" s="130"/>
      <c r="E32" s="132">
        <v>1</v>
      </c>
      <c r="F32" s="131">
        <v>18</v>
      </c>
      <c r="G32" s="132">
        <v>6</v>
      </c>
      <c r="H32" s="1">
        <f t="shared" si="0"/>
        <v>25</v>
      </c>
      <c r="I32" s="1">
        <f t="shared" si="1"/>
        <v>25</v>
      </c>
      <c r="J32" s="72">
        <f t="shared" si="2"/>
        <v>0.72</v>
      </c>
    </row>
    <row r="33" spans="1:10" x14ac:dyDescent="0.3">
      <c r="A33" s="129" t="s">
        <v>111</v>
      </c>
      <c r="B33" s="129" t="s">
        <v>158</v>
      </c>
      <c r="C33" s="129" t="s">
        <v>119</v>
      </c>
      <c r="D33" s="130"/>
      <c r="E33" s="132">
        <v>4</v>
      </c>
      <c r="F33" s="131">
        <v>35</v>
      </c>
      <c r="G33" s="131">
        <v>10</v>
      </c>
      <c r="H33" s="1">
        <f t="shared" si="0"/>
        <v>49</v>
      </c>
      <c r="I33" s="1">
        <f t="shared" si="1"/>
        <v>49</v>
      </c>
      <c r="J33" s="72">
        <f t="shared" si="2"/>
        <v>0.7142857142857143</v>
      </c>
    </row>
    <row r="34" spans="1:10" x14ac:dyDescent="0.3">
      <c r="A34" s="129" t="s">
        <v>111</v>
      </c>
      <c r="B34" s="129" t="s">
        <v>127</v>
      </c>
      <c r="C34" s="129" t="s">
        <v>116</v>
      </c>
      <c r="D34" s="130"/>
      <c r="E34" s="131">
        <v>17</v>
      </c>
      <c r="F34" s="131">
        <v>58</v>
      </c>
      <c r="G34" s="132">
        <v>7</v>
      </c>
      <c r="H34" s="1">
        <f t="shared" si="0"/>
        <v>82</v>
      </c>
      <c r="I34" s="1">
        <f t="shared" si="1"/>
        <v>82</v>
      </c>
      <c r="J34" s="72">
        <f t="shared" si="2"/>
        <v>0.70731707317073167</v>
      </c>
    </row>
    <row r="35" spans="1:10" x14ac:dyDescent="0.3">
      <c r="A35" s="129" t="s">
        <v>111</v>
      </c>
      <c r="B35" s="129" t="s">
        <v>140</v>
      </c>
      <c r="C35" s="129" t="s">
        <v>121</v>
      </c>
      <c r="D35" s="130"/>
      <c r="E35" s="131">
        <v>3</v>
      </c>
      <c r="F35" s="132">
        <v>14</v>
      </c>
      <c r="G35" s="131">
        <v>3</v>
      </c>
      <c r="H35" s="1">
        <f t="shared" si="0"/>
        <v>20</v>
      </c>
      <c r="I35" s="1">
        <f t="shared" si="1"/>
        <v>20</v>
      </c>
      <c r="J35" s="72">
        <f t="shared" si="2"/>
        <v>0.7</v>
      </c>
    </row>
    <row r="36" spans="1:10" x14ac:dyDescent="0.3">
      <c r="A36" s="129" t="s">
        <v>111</v>
      </c>
      <c r="B36" s="129" t="s">
        <v>165</v>
      </c>
      <c r="C36" s="129" t="s">
        <v>123</v>
      </c>
      <c r="D36" s="130"/>
      <c r="E36" s="132">
        <v>5</v>
      </c>
      <c r="F36" s="131">
        <v>24</v>
      </c>
      <c r="G36" s="132">
        <v>6</v>
      </c>
      <c r="H36" s="1">
        <f t="shared" si="0"/>
        <v>35</v>
      </c>
      <c r="I36" s="1">
        <f t="shared" si="1"/>
        <v>35</v>
      </c>
      <c r="J36" s="72">
        <f t="shared" si="2"/>
        <v>0.68571428571428572</v>
      </c>
    </row>
    <row r="37" spans="1:10" x14ac:dyDescent="0.3">
      <c r="A37" s="129" t="s">
        <v>111</v>
      </c>
      <c r="B37" s="129" t="s">
        <v>159</v>
      </c>
      <c r="C37" s="129" t="s">
        <v>113</v>
      </c>
      <c r="D37" s="134"/>
      <c r="E37" s="132">
        <v>5</v>
      </c>
      <c r="F37" s="131">
        <v>18</v>
      </c>
      <c r="G37" s="132">
        <v>5</v>
      </c>
      <c r="H37" s="1">
        <f t="shared" si="0"/>
        <v>28</v>
      </c>
      <c r="I37" s="1">
        <f t="shared" si="1"/>
        <v>28</v>
      </c>
      <c r="J37" s="72">
        <f t="shared" si="2"/>
        <v>0.6428571428571429</v>
      </c>
    </row>
    <row r="38" spans="1:10" x14ac:dyDescent="0.3">
      <c r="A38" s="129" t="s">
        <v>111</v>
      </c>
      <c r="B38" s="129" t="s">
        <v>142</v>
      </c>
      <c r="C38" s="129" t="s">
        <v>129</v>
      </c>
      <c r="D38" s="134"/>
      <c r="E38" s="131">
        <v>5</v>
      </c>
      <c r="F38" s="131">
        <v>19</v>
      </c>
      <c r="G38" s="131">
        <v>7</v>
      </c>
      <c r="H38" s="1">
        <f t="shared" si="0"/>
        <v>31</v>
      </c>
      <c r="I38" s="1">
        <f t="shared" si="1"/>
        <v>31</v>
      </c>
      <c r="J38" s="72">
        <f t="shared" si="2"/>
        <v>0.61290322580645162</v>
      </c>
    </row>
    <row r="39" spans="1:10" x14ac:dyDescent="0.3">
      <c r="A39" s="129" t="s">
        <v>111</v>
      </c>
      <c r="B39" s="129" t="s">
        <v>134</v>
      </c>
      <c r="C39" s="129" t="s">
        <v>135</v>
      </c>
      <c r="D39" s="130"/>
      <c r="E39" s="132">
        <v>19</v>
      </c>
      <c r="F39" s="131">
        <v>50</v>
      </c>
      <c r="G39" s="131">
        <v>22</v>
      </c>
      <c r="H39" s="1">
        <f t="shared" si="0"/>
        <v>91</v>
      </c>
      <c r="I39" s="1">
        <f t="shared" si="1"/>
        <v>91</v>
      </c>
      <c r="J39" s="72">
        <f t="shared" si="2"/>
        <v>0.5494505494505495</v>
      </c>
    </row>
    <row r="40" spans="1:10" x14ac:dyDescent="0.3">
      <c r="A40" s="129" t="s">
        <v>111</v>
      </c>
      <c r="B40" s="129" t="s">
        <v>146</v>
      </c>
      <c r="C40" s="129" t="s">
        <v>119</v>
      </c>
      <c r="D40" s="130"/>
      <c r="E40" s="132">
        <v>235</v>
      </c>
      <c r="F40" s="131">
        <v>393</v>
      </c>
      <c r="G40" s="132">
        <v>97</v>
      </c>
      <c r="H40" s="1">
        <f t="shared" si="0"/>
        <v>725</v>
      </c>
      <c r="I40" s="1">
        <f t="shared" si="1"/>
        <v>725</v>
      </c>
      <c r="J40" s="72">
        <f t="shared" si="2"/>
        <v>0.54206896551724137</v>
      </c>
    </row>
    <row r="41" spans="1:10" x14ac:dyDescent="0.3">
      <c r="A41" s="129" t="s">
        <v>111</v>
      </c>
      <c r="B41" s="129" t="s">
        <v>130</v>
      </c>
      <c r="C41" s="129" t="s">
        <v>132</v>
      </c>
      <c r="D41" s="132">
        <v>1</v>
      </c>
      <c r="E41" s="131">
        <v>8</v>
      </c>
      <c r="F41" s="131">
        <v>16</v>
      </c>
      <c r="G41" s="131">
        <v>6</v>
      </c>
      <c r="H41" s="1">
        <f t="shared" si="0"/>
        <v>31</v>
      </c>
      <c r="I41" s="1">
        <f t="shared" si="1"/>
        <v>30</v>
      </c>
      <c r="J41" s="72">
        <f t="shared" si="2"/>
        <v>0.53333333333333333</v>
      </c>
    </row>
    <row r="42" spans="1:10" x14ac:dyDescent="0.3">
      <c r="A42" s="129" t="s">
        <v>111</v>
      </c>
      <c r="B42" s="129" t="s">
        <v>155</v>
      </c>
      <c r="C42" s="129" t="s">
        <v>119</v>
      </c>
      <c r="D42" s="134"/>
      <c r="E42" s="131">
        <v>66</v>
      </c>
      <c r="F42" s="131">
        <v>50</v>
      </c>
      <c r="G42" s="131">
        <v>7</v>
      </c>
      <c r="H42" s="1">
        <f t="shared" si="0"/>
        <v>123</v>
      </c>
      <c r="I42" s="1">
        <f t="shared" si="1"/>
        <v>123</v>
      </c>
      <c r="J42" s="72">
        <f t="shared" si="2"/>
        <v>0.4065040650406504</v>
      </c>
    </row>
  </sheetData>
  <sortState ref="A2:J290">
    <sortCondition descending="1" ref="J2:J290"/>
    <sortCondition descending="1" ref="H2:H290"/>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workbookViewId="0">
      <selection activeCell="B27" sqref="B27"/>
    </sheetView>
  </sheetViews>
  <sheetFormatPr defaultRowHeight="14.4" x14ac:dyDescent="0.3"/>
  <cols>
    <col min="1" max="1" width="43.6640625" customWidth="1"/>
    <col min="2" max="2" width="19.6640625" bestFit="1" customWidth="1"/>
    <col min="3" max="3" width="19.109375" bestFit="1" customWidth="1"/>
  </cols>
  <sheetData>
    <row r="1" spans="1:2" x14ac:dyDescent="0.25">
      <c r="A1" s="9" t="s">
        <v>178</v>
      </c>
    </row>
    <row r="2" spans="1:2" x14ac:dyDescent="0.25">
      <c r="A2" s="9" t="s">
        <v>246</v>
      </c>
    </row>
    <row r="3" spans="1:2" x14ac:dyDescent="0.25">
      <c r="A3" s="9"/>
    </row>
    <row r="4" spans="1:2" x14ac:dyDescent="0.25">
      <c r="A4" s="9" t="s">
        <v>268</v>
      </c>
    </row>
    <row r="5" spans="1:2" x14ac:dyDescent="0.25">
      <c r="A5" s="42" t="s">
        <v>16</v>
      </c>
      <c r="B5" s="43" t="s">
        <v>37</v>
      </c>
    </row>
    <row r="6" spans="1:2" x14ac:dyDescent="0.25">
      <c r="A6" s="41" t="s">
        <v>173</v>
      </c>
      <c r="B6" s="46">
        <v>153</v>
      </c>
    </row>
    <row r="7" spans="1:2" x14ac:dyDescent="0.25">
      <c r="A7" s="41" t="s">
        <v>174</v>
      </c>
      <c r="B7" s="46">
        <v>1060</v>
      </c>
    </row>
    <row r="8" spans="1:2" x14ac:dyDescent="0.25">
      <c r="A8" s="41" t="s">
        <v>175</v>
      </c>
      <c r="B8" s="46">
        <v>968</v>
      </c>
    </row>
    <row r="9" spans="1:2" x14ac:dyDescent="0.25">
      <c r="A9" s="41" t="s">
        <v>176</v>
      </c>
      <c r="B9" s="46">
        <v>329</v>
      </c>
    </row>
    <row r="10" spans="1:2" x14ac:dyDescent="0.25">
      <c r="A10" s="41" t="s">
        <v>177</v>
      </c>
      <c r="B10" s="46">
        <v>424</v>
      </c>
    </row>
    <row r="11" spans="1:2" x14ac:dyDescent="0.25">
      <c r="A11" s="64" t="s">
        <v>206</v>
      </c>
      <c r="B11" s="46">
        <v>177</v>
      </c>
    </row>
    <row r="12" spans="1:2" x14ac:dyDescent="0.25">
      <c r="A12" s="44"/>
      <c r="B12" s="45"/>
    </row>
    <row r="14" spans="1:2" x14ac:dyDescent="0.25">
      <c r="A14" s="9" t="s">
        <v>269</v>
      </c>
    </row>
    <row r="15" spans="1:2" x14ac:dyDescent="0.25">
      <c r="A15" s="42" t="s">
        <v>16</v>
      </c>
      <c r="B15" s="43" t="s">
        <v>179</v>
      </c>
    </row>
    <row r="16" spans="1:2" x14ac:dyDescent="0.25">
      <c r="A16" s="41" t="s">
        <v>173</v>
      </c>
      <c r="B16" s="46">
        <v>678</v>
      </c>
    </row>
    <row r="17" spans="1:2" x14ac:dyDescent="0.25">
      <c r="A17" s="41" t="s">
        <v>174</v>
      </c>
      <c r="B17" s="46">
        <v>3488</v>
      </c>
    </row>
    <row r="18" spans="1:2" x14ac:dyDescent="0.25">
      <c r="A18" s="41" t="s">
        <v>175</v>
      </c>
      <c r="B18" s="46">
        <v>5723</v>
      </c>
    </row>
    <row r="19" spans="1:2" x14ac:dyDescent="0.25">
      <c r="A19" s="41" t="s">
        <v>176</v>
      </c>
      <c r="B19" s="46">
        <v>697</v>
      </c>
    </row>
    <row r="20" spans="1:2" x14ac:dyDescent="0.25">
      <c r="A20" s="41" t="s">
        <v>177</v>
      </c>
      <c r="B20" s="46">
        <v>2152</v>
      </c>
    </row>
    <row r="21" spans="1:2" x14ac:dyDescent="0.25">
      <c r="A21" s="64" t="s">
        <v>206</v>
      </c>
      <c r="B21" s="46">
        <v>491</v>
      </c>
    </row>
    <row r="22" spans="1:2" x14ac:dyDescent="0.25">
      <c r="B22" s="52"/>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DC Enrollment by District</vt:lpstr>
      <vt:lpstr>DC Enrll by HS 11-12</vt:lpstr>
      <vt:lpstr>DC SCH by District</vt:lpstr>
      <vt:lpstr>DC SCH by HS 11-12</vt:lpstr>
      <vt:lpstr>DC GPA by District</vt:lpstr>
      <vt:lpstr>DC GPA</vt:lpstr>
      <vt:lpstr>DC Demographics 10-11</vt:lpstr>
      <vt:lpstr>DC Enrll by Campus</vt:lpstr>
      <vt:lpstr>DC Enrll Top Ten 10-11</vt:lpstr>
      <vt:lpstr>DC FIN 1010</vt:lpstr>
      <vt:lpstr>DC CSR Work</vt:lpstr>
      <vt:lpstr>DC Enrll &amp; SCH By School 10-11</vt:lpstr>
    </vt:vector>
  </TitlesOfParts>
  <Company>CNM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gescarcida1</dc:creator>
  <cp:lastModifiedBy>Windows User</cp:lastModifiedBy>
  <dcterms:created xsi:type="dcterms:W3CDTF">2008-09-09T21:19:21Z</dcterms:created>
  <dcterms:modified xsi:type="dcterms:W3CDTF">2012-12-13T21:04:14Z</dcterms:modified>
</cp:coreProperties>
</file>