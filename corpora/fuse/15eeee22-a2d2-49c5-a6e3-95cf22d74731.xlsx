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2"/>
  <workbookPr defaultThemeVersion="124226"/>
  <bookViews>
    <workbookView xWindow="120" yWindow="75" windowWidth="21510" windowHeight="9495" tabRatio="867"/>
  </bookViews>
  <sheets>
    <sheet name="Instructivo" sheetId="3" r:id="rId1"/>
    <sheet name="Summary Ant-Choco" sheetId="4" r:id="rId2"/>
    <sheet name="Fase I Antio-Choco" sheetId="5" r:id="rId3"/>
    <sheet name="Summary Bog" sheetId="6" r:id="rId4"/>
    <sheet name="Fase I Bog" sheetId="7" r:id="rId5"/>
    <sheet name="Summary Valle del Cauca" sheetId="8" r:id="rId6"/>
    <sheet name="Fase I Valle del Cauca" sheetId="9" r:id="rId7"/>
    <sheet name="Summary Atlantico" sheetId="11" r:id="rId8"/>
    <sheet name="Fase I Atlantico" sheetId="12" r:id="rId9"/>
    <sheet name="Summary Eje Cafetero" sheetId="13" r:id="rId10"/>
    <sheet name="Fase I Eje Cafetero" sheetId="14" r:id="rId11"/>
    <sheet name="Summary MAG-Guajira" sheetId="15" r:id="rId12"/>
    <sheet name="Fase I MAG-Guajira" sheetId="16" r:id="rId13"/>
    <sheet name="Summary Sucre" sheetId="17" r:id="rId14"/>
    <sheet name="Fase I Sucre" sheetId="18" r:id="rId15"/>
    <sheet name="Summary Bolivar" sheetId="19" r:id="rId16"/>
    <sheet name="Fase I Bolivar" sheetId="20" r:id="rId17"/>
    <sheet name="Summary Santander" sheetId="21" r:id="rId18"/>
    <sheet name="Fase I Santander" sheetId="22" r:id="rId19"/>
    <sheet name="Summary Meta" sheetId="23" r:id="rId20"/>
    <sheet name="Fase I Meta" sheetId="24" r:id="rId21"/>
    <sheet name="Summary Nte Stder" sheetId="25" r:id="rId22"/>
    <sheet name="Fase I Nte Santander" sheetId="26" r:id="rId23"/>
    <sheet name="Summary Nariño" sheetId="27" r:id="rId24"/>
    <sheet name="Fase I Nariño" sheetId="28" r:id="rId25"/>
    <sheet name="Summary Cesar" sheetId="29" r:id="rId26"/>
    <sheet name="Fase I Cesar" sheetId="30" r:id="rId27"/>
    <sheet name="Summary Huila" sheetId="31" r:id="rId28"/>
    <sheet name="Fase I Huila" sheetId="32" r:id="rId29"/>
    <sheet name="Summary Cordoba" sheetId="33" r:id="rId30"/>
    <sheet name="Fase I Cordoba" sheetId="34" r:id="rId31"/>
    <sheet name="Summary Cauca" sheetId="35" r:id="rId32"/>
    <sheet name="Fase I Cauca" sheetId="36" r:id="rId33"/>
  </sheets>
  <externalReferences>
    <externalReference r:id="rId34"/>
  </externalReferences>
  <calcPr calcId="145621"/>
</workbook>
</file>

<file path=xl/calcChain.xml><?xml version="1.0" encoding="utf-8"?>
<calcChain xmlns="http://schemas.openxmlformats.org/spreadsheetml/2006/main">
  <c r="AE5" i="36" l="1"/>
  <c r="AF23" i="28"/>
  <c r="AC5" i="14"/>
  <c r="AF19" i="36"/>
  <c r="AF18" i="36"/>
  <c r="AF17" i="36"/>
  <c r="AF15" i="36"/>
  <c r="AF14" i="36"/>
  <c r="AF13" i="36"/>
  <c r="AD16" i="36"/>
  <c r="AB16" i="36"/>
  <c r="Z16" i="36"/>
  <c r="AD12" i="36"/>
  <c r="AB12" i="36"/>
  <c r="Z12" i="36"/>
  <c r="AE19" i="36"/>
  <c r="AE18" i="36"/>
  <c r="AE17" i="36"/>
  <c r="AE15" i="36"/>
  <c r="AE14" i="36"/>
  <c r="AE13" i="36"/>
  <c r="AC19" i="36"/>
  <c r="AC18" i="36"/>
  <c r="AC17" i="36"/>
  <c r="AC15" i="36"/>
  <c r="AC14" i="36"/>
  <c r="AC13" i="36"/>
  <c r="AA19" i="36"/>
  <c r="AA18" i="36"/>
  <c r="AA17" i="36"/>
  <c r="AA15" i="36"/>
  <c r="AA14" i="36"/>
  <c r="AA13" i="36"/>
  <c r="Y19" i="36"/>
  <c r="Y18" i="36"/>
  <c r="Y17" i="36"/>
  <c r="Y15" i="36"/>
  <c r="Y14" i="36"/>
  <c r="Y13" i="36"/>
  <c r="X16" i="36"/>
  <c r="X12" i="36"/>
  <c r="R16" i="36"/>
  <c r="R12" i="36"/>
  <c r="T19" i="36"/>
  <c r="S19" i="36"/>
  <c r="U19" i="36" s="1"/>
  <c r="T18" i="36"/>
  <c r="S18" i="36"/>
  <c r="U18" i="36" s="1"/>
  <c r="T17" i="36"/>
  <c r="S17" i="36"/>
  <c r="U17" i="36" s="1"/>
  <c r="T15" i="36"/>
  <c r="S15" i="36"/>
  <c r="U15" i="36" s="1"/>
  <c r="T14" i="36"/>
  <c r="S14" i="36"/>
  <c r="U14" i="36" s="1"/>
  <c r="T13" i="36"/>
  <c r="S13" i="36"/>
  <c r="U13" i="36" s="1"/>
  <c r="AF21" i="34"/>
  <c r="AF20" i="34"/>
  <c r="AF19" i="34"/>
  <c r="AF18" i="34"/>
  <c r="AF16" i="34"/>
  <c r="AF15" i="34"/>
  <c r="AF14" i="34"/>
  <c r="AF13" i="34"/>
  <c r="X17" i="34"/>
  <c r="AD17" i="34"/>
  <c r="AB17" i="34"/>
  <c r="Z17" i="34"/>
  <c r="AD12" i="34"/>
  <c r="AB12" i="34"/>
  <c r="Z12" i="34"/>
  <c r="AE21" i="34"/>
  <c r="AE20" i="34"/>
  <c r="AE19" i="34"/>
  <c r="AE18" i="34"/>
  <c r="AE16" i="34"/>
  <c r="AE15" i="34"/>
  <c r="AE14" i="34"/>
  <c r="AE13" i="34"/>
  <c r="AC21" i="34"/>
  <c r="AC20" i="34"/>
  <c r="AC19" i="34"/>
  <c r="AC18" i="34"/>
  <c r="AC16" i="34"/>
  <c r="AC15" i="34"/>
  <c r="AC14" i="34"/>
  <c r="AC13" i="34"/>
  <c r="AA21" i="34"/>
  <c r="AA20" i="34"/>
  <c r="AA19" i="34"/>
  <c r="AA18" i="34"/>
  <c r="AA16" i="34"/>
  <c r="AA15" i="34"/>
  <c r="AA14" i="34"/>
  <c r="AA13" i="34"/>
  <c r="Y21" i="34"/>
  <c r="AG21" i="34" s="1"/>
  <c r="Y20" i="34"/>
  <c r="AG20" i="34" s="1"/>
  <c r="Y19" i="34"/>
  <c r="AG19" i="34" s="1"/>
  <c r="Y18" i="34"/>
  <c r="AG18" i="34" s="1"/>
  <c r="Y16" i="34"/>
  <c r="AG16" i="34" s="1"/>
  <c r="Y15" i="34"/>
  <c r="AG15" i="34" s="1"/>
  <c r="Y14" i="34"/>
  <c r="AG14" i="34" s="1"/>
  <c r="Y13" i="34"/>
  <c r="AG13" i="34" s="1"/>
  <c r="X12" i="34"/>
  <c r="T21" i="34"/>
  <c r="T20" i="34"/>
  <c r="T19" i="34"/>
  <c r="T18" i="34"/>
  <c r="T16" i="34"/>
  <c r="T15" i="34"/>
  <c r="T14" i="34"/>
  <c r="T13" i="34"/>
  <c r="S21" i="34"/>
  <c r="U21" i="34" s="1"/>
  <c r="S20" i="34"/>
  <c r="U20" i="34" s="1"/>
  <c r="S19" i="34"/>
  <c r="U19" i="34" s="1"/>
  <c r="S18" i="34"/>
  <c r="S16" i="34"/>
  <c r="U16" i="34" s="1"/>
  <c r="S15" i="34"/>
  <c r="U15" i="34" s="1"/>
  <c r="S14" i="34"/>
  <c r="U14" i="34" s="1"/>
  <c r="S13" i="34"/>
  <c r="U13" i="34" s="1"/>
  <c r="R17" i="34"/>
  <c r="R12" i="34"/>
  <c r="AF19" i="32"/>
  <c r="AF18" i="32"/>
  <c r="AF17" i="32"/>
  <c r="AF15" i="32"/>
  <c r="AF14" i="32"/>
  <c r="AF13" i="32"/>
  <c r="AD16" i="32"/>
  <c r="AB16" i="32"/>
  <c r="Z16" i="32"/>
  <c r="X16" i="32"/>
  <c r="AD12" i="32"/>
  <c r="AB12" i="32"/>
  <c r="Z12" i="32"/>
  <c r="X12" i="32"/>
  <c r="AE19" i="32"/>
  <c r="AE18" i="32"/>
  <c r="AE17" i="32"/>
  <c r="AE15" i="32"/>
  <c r="AE14" i="32"/>
  <c r="AE13" i="32"/>
  <c r="AC19" i="32"/>
  <c r="AC18" i="32"/>
  <c r="AC17" i="32"/>
  <c r="AC15" i="32"/>
  <c r="AC14" i="32"/>
  <c r="AC13" i="32"/>
  <c r="AA19" i="32"/>
  <c r="AA18" i="32"/>
  <c r="AA17" i="32"/>
  <c r="AA15" i="32"/>
  <c r="AA14" i="32"/>
  <c r="AA13" i="32"/>
  <c r="Y19" i="32"/>
  <c r="Y18" i="32"/>
  <c r="Y17" i="32"/>
  <c r="Y15" i="32"/>
  <c r="Y14" i="32"/>
  <c r="Y13" i="32"/>
  <c r="R12" i="32"/>
  <c r="T19" i="32"/>
  <c r="T18" i="32"/>
  <c r="T17" i="32"/>
  <c r="S19" i="32"/>
  <c r="U19" i="32" s="1"/>
  <c r="S18" i="32"/>
  <c r="U18" i="32" s="1"/>
  <c r="S17" i="32"/>
  <c r="S16" i="32" s="1"/>
  <c r="T15" i="32"/>
  <c r="T14" i="32"/>
  <c r="T13" i="32"/>
  <c r="S15" i="32"/>
  <c r="U15" i="32" s="1"/>
  <c r="S14" i="32"/>
  <c r="U14" i="32" s="1"/>
  <c r="S13" i="32"/>
  <c r="AE16" i="36" l="1"/>
  <c r="T12" i="36"/>
  <c r="AA12" i="36"/>
  <c r="AE12" i="36"/>
  <c r="U16" i="36"/>
  <c r="S16" i="36"/>
  <c r="AG17" i="36"/>
  <c r="AG18" i="36"/>
  <c r="AG19" i="36"/>
  <c r="AF16" i="36"/>
  <c r="Y12" i="36"/>
  <c r="AG15" i="36"/>
  <c r="Y16" i="36"/>
  <c r="AC16" i="36"/>
  <c r="AG14" i="36"/>
  <c r="AG13" i="36"/>
  <c r="AC12" i="36"/>
  <c r="AF12" i="36"/>
  <c r="AA16" i="36"/>
  <c r="T16" i="36"/>
  <c r="U12" i="36"/>
  <c r="S12" i="36"/>
  <c r="AF12" i="34"/>
  <c r="AF17" i="34"/>
  <c r="AA17" i="34"/>
  <c r="AC17" i="34"/>
  <c r="AA12" i="34"/>
  <c r="AE12" i="34"/>
  <c r="AE17" i="34"/>
  <c r="AG17" i="34"/>
  <c r="Y17" i="34"/>
  <c r="AG12" i="34"/>
  <c r="AC12" i="34"/>
  <c r="Y12" i="34"/>
  <c r="S17" i="34"/>
  <c r="T17" i="34"/>
  <c r="U12" i="34"/>
  <c r="U18" i="34"/>
  <c r="U17" i="34" s="1"/>
  <c r="T12" i="34"/>
  <c r="S12" i="34"/>
  <c r="T16" i="32"/>
  <c r="AC16" i="32"/>
  <c r="Y16" i="32"/>
  <c r="AE16" i="32"/>
  <c r="AG15" i="32"/>
  <c r="AG19" i="32"/>
  <c r="AE12" i="32"/>
  <c r="AG18" i="32"/>
  <c r="AG17" i="32"/>
  <c r="AC12" i="32"/>
  <c r="AG14" i="32"/>
  <c r="AA16" i="32"/>
  <c r="AF16" i="32"/>
  <c r="AF12" i="32"/>
  <c r="AA12" i="32"/>
  <c r="AG13" i="32"/>
  <c r="Y12" i="32"/>
  <c r="U17" i="32"/>
  <c r="U16" i="32" s="1"/>
  <c r="S12" i="32"/>
  <c r="T12" i="32"/>
  <c r="U13" i="32"/>
  <c r="U12" i="32" s="1"/>
  <c r="AG16" i="36" l="1"/>
  <c r="AG12" i="36"/>
  <c r="AG16" i="32"/>
  <c r="AG12" i="32"/>
  <c r="AC6" i="30"/>
  <c r="AF16" i="30"/>
  <c r="Z12" i="30"/>
  <c r="AF21" i="30"/>
  <c r="AF20" i="30"/>
  <c r="AF19" i="30"/>
  <c r="AF18" i="30"/>
  <c r="AF14" i="30"/>
  <c r="AF13" i="30"/>
  <c r="AD17" i="30"/>
  <c r="AB17" i="30"/>
  <c r="Z17" i="30"/>
  <c r="X17" i="30"/>
  <c r="AD12" i="30"/>
  <c r="AB12" i="30"/>
  <c r="X12" i="30"/>
  <c r="AE21" i="30"/>
  <c r="AE20" i="30"/>
  <c r="AE19" i="30"/>
  <c r="AE18" i="30"/>
  <c r="AE16" i="30"/>
  <c r="AE15" i="30"/>
  <c r="AE14" i="30"/>
  <c r="AE13" i="30"/>
  <c r="AC21" i="30"/>
  <c r="AC20" i="30"/>
  <c r="AC19" i="30"/>
  <c r="AC18" i="30"/>
  <c r="AC16" i="30"/>
  <c r="AC15" i="30"/>
  <c r="AC14" i="30"/>
  <c r="AC13" i="30"/>
  <c r="AA21" i="30"/>
  <c r="AG21" i="30" s="1"/>
  <c r="AA20" i="30"/>
  <c r="AA19" i="30"/>
  <c r="AA18" i="30"/>
  <c r="AA14" i="30"/>
  <c r="AA13" i="30"/>
  <c r="Y21" i="30"/>
  <c r="Y20" i="30"/>
  <c r="Y19" i="30"/>
  <c r="Y18" i="30"/>
  <c r="Y16" i="30"/>
  <c r="Y15" i="30"/>
  <c r="Y14" i="30"/>
  <c r="Y13" i="30"/>
  <c r="R17" i="30"/>
  <c r="R12" i="30"/>
  <c r="T21" i="30"/>
  <c r="T20" i="30"/>
  <c r="T19" i="30"/>
  <c r="T18" i="30"/>
  <c r="T16" i="30"/>
  <c r="T15" i="30"/>
  <c r="T14" i="30"/>
  <c r="T13" i="30"/>
  <c r="S21" i="30"/>
  <c r="U21" i="30" s="1"/>
  <c r="S20" i="30"/>
  <c r="U20" i="30" s="1"/>
  <c r="S19" i="30"/>
  <c r="U19" i="30" s="1"/>
  <c r="S18" i="30"/>
  <c r="U18" i="30" s="1"/>
  <c r="S16" i="30"/>
  <c r="U16" i="30" s="1"/>
  <c r="S15" i="30"/>
  <c r="U15" i="30" s="1"/>
  <c r="S14" i="30"/>
  <c r="U14" i="30" s="1"/>
  <c r="S13" i="30"/>
  <c r="U13" i="30" s="1"/>
  <c r="AC23" i="28"/>
  <c r="AD16" i="28"/>
  <c r="AB16" i="28"/>
  <c r="Z16" i="28"/>
  <c r="X16" i="28"/>
  <c r="AF19" i="28"/>
  <c r="AF18" i="28"/>
  <c r="AF17" i="28"/>
  <c r="AF15" i="28"/>
  <c r="AF14" i="28"/>
  <c r="AF13" i="28"/>
  <c r="AD12" i="28"/>
  <c r="AB12" i="28"/>
  <c r="Z12" i="28"/>
  <c r="X12" i="28"/>
  <c r="AE19" i="28"/>
  <c r="AE18" i="28"/>
  <c r="AE17" i="28"/>
  <c r="AE15" i="28"/>
  <c r="AE14" i="28"/>
  <c r="AE13" i="28"/>
  <c r="AC19" i="28"/>
  <c r="AC18" i="28"/>
  <c r="AC17" i="28"/>
  <c r="AC15" i="28"/>
  <c r="AC14" i="28"/>
  <c r="AC12" i="28" s="1"/>
  <c r="AC13" i="28"/>
  <c r="AA19" i="28"/>
  <c r="AA18" i="28"/>
  <c r="AA17" i="28"/>
  <c r="AA15" i="28"/>
  <c r="AA14" i="28"/>
  <c r="AA13" i="28"/>
  <c r="Y19" i="28"/>
  <c r="Y18" i="28"/>
  <c r="Y17" i="28"/>
  <c r="Y15" i="28"/>
  <c r="Y14" i="28"/>
  <c r="AG14" i="28" s="1"/>
  <c r="Y13" i="28"/>
  <c r="R12" i="28"/>
  <c r="T15" i="28"/>
  <c r="T14" i="28"/>
  <c r="T13" i="28"/>
  <c r="T19" i="28"/>
  <c r="T18" i="28"/>
  <c r="T17" i="28"/>
  <c r="S19" i="28"/>
  <c r="U19" i="28" s="1"/>
  <c r="S18" i="28"/>
  <c r="U18" i="28" s="1"/>
  <c r="S17" i="28"/>
  <c r="U17" i="28" s="1"/>
  <c r="S15" i="28"/>
  <c r="U15" i="28" s="1"/>
  <c r="S14" i="28"/>
  <c r="U14" i="28" s="1"/>
  <c r="S13" i="28"/>
  <c r="U13" i="28" s="1"/>
  <c r="AG15" i="28" l="1"/>
  <c r="AA12" i="28"/>
  <c r="AE12" i="28"/>
  <c r="AG18" i="30"/>
  <c r="AG13" i="28"/>
  <c r="AG19" i="28"/>
  <c r="AE16" i="28"/>
  <c r="AG18" i="28"/>
  <c r="T17" i="30"/>
  <c r="AG14" i="30"/>
  <c r="AG20" i="30"/>
  <c r="AG19" i="30"/>
  <c r="AA16" i="30"/>
  <c r="AG16" i="30" s="1"/>
  <c r="AA15" i="30"/>
  <c r="AG15" i="30" s="1"/>
  <c r="AF15" i="30"/>
  <c r="AF12" i="30" s="1"/>
  <c r="AE17" i="30"/>
  <c r="AE12" i="30"/>
  <c r="AC17" i="30"/>
  <c r="AA17" i="30"/>
  <c r="AF17" i="30"/>
  <c r="Y12" i="30"/>
  <c r="AC12" i="30"/>
  <c r="Y17" i="30"/>
  <c r="AG13" i="30"/>
  <c r="S17" i="30"/>
  <c r="U17" i="30"/>
  <c r="T12" i="30"/>
  <c r="U12" i="30"/>
  <c r="S12" i="30"/>
  <c r="T16" i="28"/>
  <c r="AC16" i="28"/>
  <c r="Y16" i="28"/>
  <c r="AF16" i="28"/>
  <c r="AG17" i="28"/>
  <c r="AG16" i="28" s="1"/>
  <c r="AF12" i="28"/>
  <c r="Y12" i="28"/>
  <c r="AA16" i="28"/>
  <c r="AG12" i="28"/>
  <c r="U16" i="28"/>
  <c r="S16" i="28"/>
  <c r="S12" i="28"/>
  <c r="U12" i="28"/>
  <c r="T12" i="28"/>
  <c r="AG18" i="26"/>
  <c r="AG14" i="26"/>
  <c r="AF16" i="26"/>
  <c r="AF15" i="26"/>
  <c r="AF12" i="26" s="1"/>
  <c r="AF14" i="26"/>
  <c r="AF13" i="26"/>
  <c r="AF21" i="26"/>
  <c r="AF20" i="26"/>
  <c r="AF19" i="26"/>
  <c r="AF18" i="26"/>
  <c r="AD17" i="26"/>
  <c r="AB17" i="26"/>
  <c r="Z17" i="26"/>
  <c r="X17" i="26"/>
  <c r="AD12" i="26"/>
  <c r="AB12" i="26"/>
  <c r="Z12" i="26"/>
  <c r="X12" i="26"/>
  <c r="AE21" i="26"/>
  <c r="AE20" i="26"/>
  <c r="AE19" i="26"/>
  <c r="AE18" i="26"/>
  <c r="AE16" i="26"/>
  <c r="AE15" i="26"/>
  <c r="AE14" i="26"/>
  <c r="AE13" i="26"/>
  <c r="AC21" i="26"/>
  <c r="AC20" i="26"/>
  <c r="AC19" i="26"/>
  <c r="AC18" i="26"/>
  <c r="AC16" i="26"/>
  <c r="AC15" i="26"/>
  <c r="AC14" i="26"/>
  <c r="AC13" i="26"/>
  <c r="AA21" i="26"/>
  <c r="AA20" i="26"/>
  <c r="AA19" i="26"/>
  <c r="AA18" i="26"/>
  <c r="AA16" i="26"/>
  <c r="AA15" i="26"/>
  <c r="AA14" i="26"/>
  <c r="AA13" i="26"/>
  <c r="Y21" i="26"/>
  <c r="Y20" i="26"/>
  <c r="AG20" i="26" s="1"/>
  <c r="Y19" i="26"/>
  <c r="AG19" i="26" s="1"/>
  <c r="Y18" i="26"/>
  <c r="Y16" i="26"/>
  <c r="AG16" i="26" s="1"/>
  <c r="Y15" i="26"/>
  <c r="AG15" i="26" s="1"/>
  <c r="Y14" i="26"/>
  <c r="Y13" i="26"/>
  <c r="T21" i="26"/>
  <c r="T20" i="26"/>
  <c r="T19" i="26"/>
  <c r="T18" i="26"/>
  <c r="T16" i="26"/>
  <c r="T15" i="26"/>
  <c r="T14" i="26"/>
  <c r="T13" i="26"/>
  <c r="R17" i="26"/>
  <c r="R12" i="26"/>
  <c r="S21" i="26"/>
  <c r="U21" i="26" s="1"/>
  <c r="S20" i="26"/>
  <c r="U20" i="26" s="1"/>
  <c r="S19" i="26"/>
  <c r="U19" i="26" s="1"/>
  <c r="S18" i="26"/>
  <c r="S17" i="26" s="1"/>
  <c r="S16" i="26"/>
  <c r="U16" i="26" s="1"/>
  <c r="S15" i="26"/>
  <c r="U15" i="26" s="1"/>
  <c r="S14" i="26"/>
  <c r="U14" i="26" s="1"/>
  <c r="S13" i="26"/>
  <c r="S12" i="26" s="1"/>
  <c r="AD17" i="24"/>
  <c r="AB17" i="24"/>
  <c r="Z17" i="24"/>
  <c r="X17" i="24"/>
  <c r="AF21" i="24"/>
  <c r="AF20" i="24"/>
  <c r="AF19" i="24"/>
  <c r="AF18" i="24"/>
  <c r="AF16" i="24"/>
  <c r="AF15" i="24"/>
  <c r="AF14" i="24"/>
  <c r="AF13" i="24"/>
  <c r="AD12" i="24"/>
  <c r="AB12" i="24"/>
  <c r="Z12" i="24"/>
  <c r="X12" i="24"/>
  <c r="AE21" i="24"/>
  <c r="AE20" i="24"/>
  <c r="AE19" i="24"/>
  <c r="AE18" i="24"/>
  <c r="AE16" i="24"/>
  <c r="AE15" i="24"/>
  <c r="AE14" i="24"/>
  <c r="AE13" i="24"/>
  <c r="AC21" i="24"/>
  <c r="AC20" i="24"/>
  <c r="AC19" i="24"/>
  <c r="AC18" i="24"/>
  <c r="AC16" i="24"/>
  <c r="AC15" i="24"/>
  <c r="AC14" i="24"/>
  <c r="AC13" i="24"/>
  <c r="AA21" i="24"/>
  <c r="AA20" i="24"/>
  <c r="AA19" i="24"/>
  <c r="AA18" i="24"/>
  <c r="AA16" i="24"/>
  <c r="AA15" i="24"/>
  <c r="AA14" i="24"/>
  <c r="AA13" i="24"/>
  <c r="Y21" i="24"/>
  <c r="AG21" i="24" s="1"/>
  <c r="Y20" i="24"/>
  <c r="AG20" i="24" s="1"/>
  <c r="Y19" i="24"/>
  <c r="Y18" i="24"/>
  <c r="Y16" i="24"/>
  <c r="AG16" i="24" s="1"/>
  <c r="Y15" i="24"/>
  <c r="AG15" i="24" s="1"/>
  <c r="Y14" i="24"/>
  <c r="Y13" i="24"/>
  <c r="S21" i="24"/>
  <c r="U21" i="24" s="1"/>
  <c r="S20" i="24"/>
  <c r="U20" i="24" s="1"/>
  <c r="S19" i="24"/>
  <c r="U19" i="24" s="1"/>
  <c r="S18" i="24"/>
  <c r="U18" i="24" s="1"/>
  <c r="S16" i="24"/>
  <c r="U16" i="24" s="1"/>
  <c r="S15" i="24"/>
  <c r="U15" i="24" s="1"/>
  <c r="S14" i="24"/>
  <c r="U14" i="24" s="1"/>
  <c r="S13" i="24"/>
  <c r="T21" i="24"/>
  <c r="T20" i="24"/>
  <c r="T19" i="24"/>
  <c r="T18" i="24"/>
  <c r="T16" i="24"/>
  <c r="T15" i="24"/>
  <c r="T14" i="24"/>
  <c r="T13" i="24"/>
  <c r="AG21" i="26" l="1"/>
  <c r="AE12" i="26"/>
  <c r="T12" i="26"/>
  <c r="T17" i="26"/>
  <c r="U13" i="26"/>
  <c r="Y12" i="26"/>
  <c r="Y17" i="26"/>
  <c r="AC12" i="26"/>
  <c r="AC17" i="26"/>
  <c r="AF17" i="26"/>
  <c r="AA12" i="26"/>
  <c r="AE17" i="26"/>
  <c r="AG13" i="26"/>
  <c r="U18" i="26"/>
  <c r="U17" i="26" s="1"/>
  <c r="AA17" i="26"/>
  <c r="AG17" i="30"/>
  <c r="AG12" i="30"/>
  <c r="AA12" i="30"/>
  <c r="U12" i="26"/>
  <c r="AG17" i="26"/>
  <c r="AG12" i="26"/>
  <c r="T17" i="24"/>
  <c r="Y12" i="24"/>
  <c r="Y17" i="24"/>
  <c r="AC17" i="24"/>
  <c r="AE17" i="24"/>
  <c r="AE12" i="24"/>
  <c r="AC12" i="24"/>
  <c r="AG18" i="24"/>
  <c r="AG19" i="24"/>
  <c r="AG13" i="24"/>
  <c r="AG14" i="24"/>
  <c r="AA12" i="24"/>
  <c r="AA17" i="24"/>
  <c r="AF12" i="24"/>
  <c r="AF17" i="24"/>
  <c r="U17" i="24"/>
  <c r="T12" i="24"/>
  <c r="S12" i="24"/>
  <c r="S17" i="24"/>
  <c r="U13" i="24"/>
  <c r="U12" i="24" s="1"/>
  <c r="AF23" i="7"/>
  <c r="AF22" i="7"/>
  <c r="AF21" i="7"/>
  <c r="AF20" i="7"/>
  <c r="AF19" i="7"/>
  <c r="AF16" i="7"/>
  <c r="AF15" i="7"/>
  <c r="AF14" i="7"/>
  <c r="AF13" i="7"/>
  <c r="AD18" i="7"/>
  <c r="AB18" i="7"/>
  <c r="Z18" i="7"/>
  <c r="X18" i="7"/>
  <c r="AD12" i="7"/>
  <c r="AB12" i="7"/>
  <c r="Z12" i="7"/>
  <c r="X12" i="7"/>
  <c r="AE23" i="7"/>
  <c r="AE22" i="7"/>
  <c r="AE21" i="7"/>
  <c r="AE20" i="7"/>
  <c r="AE19" i="7"/>
  <c r="AE16" i="7"/>
  <c r="AE15" i="7"/>
  <c r="AE14" i="7"/>
  <c r="AE13" i="7"/>
  <c r="AC23" i="7"/>
  <c r="AC22" i="7"/>
  <c r="AC21" i="7"/>
  <c r="AC20" i="7"/>
  <c r="AC19" i="7"/>
  <c r="AC16" i="7"/>
  <c r="AC15" i="7"/>
  <c r="AC14" i="7"/>
  <c r="AC13" i="7"/>
  <c r="AA23" i="7"/>
  <c r="AA22" i="7"/>
  <c r="AA21" i="7"/>
  <c r="AA20" i="7"/>
  <c r="AA19" i="7"/>
  <c r="AA16" i="7"/>
  <c r="AA15" i="7"/>
  <c r="AA14" i="7"/>
  <c r="AA13" i="7"/>
  <c r="Y23" i="7"/>
  <c r="Y22" i="7"/>
  <c r="Y21" i="7"/>
  <c r="Y20" i="7"/>
  <c r="Y19" i="7"/>
  <c r="Y16" i="7"/>
  <c r="Y15" i="7"/>
  <c r="Y14" i="7"/>
  <c r="Y13" i="7"/>
  <c r="T23" i="7"/>
  <c r="T22" i="7"/>
  <c r="T21" i="7"/>
  <c r="T20" i="7"/>
  <c r="T19" i="7"/>
  <c r="T16" i="7"/>
  <c r="T15" i="7"/>
  <c r="T14" i="7"/>
  <c r="T13" i="7"/>
  <c r="R18" i="7"/>
  <c r="R12" i="7"/>
  <c r="S23" i="7"/>
  <c r="U23" i="7" s="1"/>
  <c r="S22" i="7"/>
  <c r="U22" i="7" s="1"/>
  <c r="S21" i="7"/>
  <c r="U21" i="7" s="1"/>
  <c r="S20" i="7"/>
  <c r="U20" i="7" s="1"/>
  <c r="S19" i="7"/>
  <c r="U19" i="7" s="1"/>
  <c r="S16" i="7"/>
  <c r="U16" i="7" s="1"/>
  <c r="S15" i="7"/>
  <c r="U15" i="7" s="1"/>
  <c r="S14" i="7"/>
  <c r="S13" i="7"/>
  <c r="U13" i="7" s="1"/>
  <c r="AB17" i="22"/>
  <c r="AF21" i="22"/>
  <c r="AF20" i="22"/>
  <c r="AF19" i="22"/>
  <c r="AF18" i="22"/>
  <c r="AF16" i="22"/>
  <c r="AF15" i="22"/>
  <c r="AF14" i="22"/>
  <c r="AF13" i="22"/>
  <c r="AE21" i="22"/>
  <c r="AE20" i="22"/>
  <c r="AE19" i="22"/>
  <c r="AE18" i="22"/>
  <c r="AE16" i="22"/>
  <c r="AE15" i="22"/>
  <c r="AE14" i="22"/>
  <c r="AE13" i="22"/>
  <c r="AC21" i="22"/>
  <c r="AC20" i="22"/>
  <c r="AC19" i="22"/>
  <c r="AC18" i="22"/>
  <c r="AC16" i="22"/>
  <c r="AC15" i="22"/>
  <c r="AC14" i="22"/>
  <c r="AC13" i="22"/>
  <c r="AA21" i="22"/>
  <c r="AA20" i="22"/>
  <c r="AA19" i="22"/>
  <c r="AA18" i="22"/>
  <c r="AA16" i="22"/>
  <c r="AA15" i="22"/>
  <c r="AA14" i="22"/>
  <c r="AA13" i="22"/>
  <c r="AD17" i="22"/>
  <c r="Z17" i="22"/>
  <c r="AD12" i="22"/>
  <c r="AB12" i="22"/>
  <c r="Z12" i="22"/>
  <c r="X17" i="22"/>
  <c r="X12" i="22"/>
  <c r="Y21" i="22"/>
  <c r="AG21" i="22" s="1"/>
  <c r="Y20" i="22"/>
  <c r="Y19" i="22"/>
  <c r="Y18" i="22"/>
  <c r="Y16" i="22"/>
  <c r="Y15" i="22"/>
  <c r="Y14" i="22"/>
  <c r="Y13" i="22"/>
  <c r="T21" i="22"/>
  <c r="T20" i="22"/>
  <c r="T19" i="22"/>
  <c r="T18" i="22"/>
  <c r="T16" i="22"/>
  <c r="T15" i="22"/>
  <c r="T14" i="22"/>
  <c r="T13" i="22"/>
  <c r="S21" i="22"/>
  <c r="U21" i="22" s="1"/>
  <c r="S20" i="22"/>
  <c r="U20" i="22" s="1"/>
  <c r="S19" i="22"/>
  <c r="U19" i="22" s="1"/>
  <c r="S18" i="22"/>
  <c r="U18" i="22" s="1"/>
  <c r="S16" i="22"/>
  <c r="U16" i="22" s="1"/>
  <c r="S15" i="22"/>
  <c r="U15" i="22" s="1"/>
  <c r="S14" i="22"/>
  <c r="U14" i="22" s="1"/>
  <c r="S13" i="22"/>
  <c r="U13" i="22" s="1"/>
  <c r="R17" i="22"/>
  <c r="R12" i="22"/>
  <c r="Z17" i="20"/>
  <c r="AB17" i="20"/>
  <c r="AF21" i="20"/>
  <c r="AF20" i="20"/>
  <c r="AF19" i="20"/>
  <c r="AF18" i="20"/>
  <c r="AF16" i="20"/>
  <c r="AF15" i="20"/>
  <c r="AF14" i="20"/>
  <c r="AF13" i="20"/>
  <c r="AE21" i="20"/>
  <c r="AE20" i="20"/>
  <c r="AE19" i="20"/>
  <c r="AE18" i="20"/>
  <c r="AE16" i="20"/>
  <c r="AE15" i="20"/>
  <c r="AE14" i="20"/>
  <c r="AE13" i="20"/>
  <c r="AC21" i="20"/>
  <c r="AC20" i="20"/>
  <c r="AC19" i="20"/>
  <c r="AC18" i="20"/>
  <c r="AC16" i="20"/>
  <c r="AC15" i="20"/>
  <c r="AC14" i="20"/>
  <c r="AC13" i="20"/>
  <c r="AA21" i="20"/>
  <c r="AA20" i="20"/>
  <c r="AA19" i="20"/>
  <c r="AA18" i="20"/>
  <c r="AA16" i="20"/>
  <c r="AA15" i="20"/>
  <c r="AA14" i="20"/>
  <c r="AA13" i="20"/>
  <c r="Y21" i="20"/>
  <c r="AG21" i="20" s="1"/>
  <c r="Y20" i="20"/>
  <c r="AG20" i="20" s="1"/>
  <c r="Y19" i="20"/>
  <c r="AG19" i="20" s="1"/>
  <c r="Y18" i="20"/>
  <c r="Y16" i="20"/>
  <c r="AG16" i="20" s="1"/>
  <c r="Y15" i="20"/>
  <c r="AG15" i="20" s="1"/>
  <c r="Y14" i="20"/>
  <c r="AG14" i="20" s="1"/>
  <c r="Y13" i="20"/>
  <c r="AD17" i="20"/>
  <c r="X17" i="20"/>
  <c r="AD12" i="20"/>
  <c r="AB12" i="20"/>
  <c r="X12" i="20"/>
  <c r="Z12" i="20"/>
  <c r="S21" i="20"/>
  <c r="U21" i="20" s="1"/>
  <c r="S20" i="20"/>
  <c r="U20" i="20" s="1"/>
  <c r="S19" i="20"/>
  <c r="U19" i="20" s="1"/>
  <c r="S18" i="20"/>
  <c r="U18" i="20" s="1"/>
  <c r="S16" i="20"/>
  <c r="U16" i="20" s="1"/>
  <c r="S15" i="20"/>
  <c r="U15" i="20" s="1"/>
  <c r="S14" i="20"/>
  <c r="U14" i="20" s="1"/>
  <c r="S13" i="20"/>
  <c r="U13" i="20" s="1"/>
  <c r="T21" i="20"/>
  <c r="T20" i="20"/>
  <c r="T19" i="20"/>
  <c r="T18" i="20"/>
  <c r="T16" i="20"/>
  <c r="T15" i="20"/>
  <c r="T14" i="20"/>
  <c r="T13" i="20"/>
  <c r="R17" i="20"/>
  <c r="R12" i="20"/>
  <c r="AF25" i="16"/>
  <c r="AF24" i="16"/>
  <c r="AF23" i="16"/>
  <c r="AE25" i="16"/>
  <c r="AE24" i="16"/>
  <c r="AE23" i="16"/>
  <c r="AC25" i="16"/>
  <c r="AC24" i="16"/>
  <c r="AC23" i="16"/>
  <c r="AA25" i="16"/>
  <c r="AA24" i="16"/>
  <c r="AA23" i="16"/>
  <c r="Y25" i="16"/>
  <c r="Y24" i="16"/>
  <c r="Y23" i="16"/>
  <c r="AD19" i="16"/>
  <c r="AB19" i="16"/>
  <c r="Z19" i="16"/>
  <c r="X19" i="16"/>
  <c r="AG23" i="16"/>
  <c r="AF18" i="16"/>
  <c r="AF17" i="16"/>
  <c r="AF16" i="16"/>
  <c r="AE18" i="16"/>
  <c r="AE17" i="16"/>
  <c r="AE16" i="16"/>
  <c r="AC18" i="16"/>
  <c r="AC17" i="16"/>
  <c r="AC16" i="16"/>
  <c r="AA18" i="16"/>
  <c r="AA17" i="16"/>
  <c r="AA16" i="16"/>
  <c r="Y18" i="16"/>
  <c r="AG18" i="16" s="1"/>
  <c r="Y17" i="16"/>
  <c r="AG17" i="16" s="1"/>
  <c r="Y16" i="16"/>
  <c r="AG16" i="16" s="1"/>
  <c r="AD12" i="16"/>
  <c r="AB12" i="16"/>
  <c r="Z12" i="16"/>
  <c r="X12" i="16"/>
  <c r="U25" i="16"/>
  <c r="T25" i="16"/>
  <c r="T24" i="16"/>
  <c r="T23" i="16"/>
  <c r="S25" i="16"/>
  <c r="S24" i="16"/>
  <c r="U24" i="16" s="1"/>
  <c r="S23" i="16"/>
  <c r="U23" i="16" s="1"/>
  <c r="T18" i="16"/>
  <c r="T17" i="16"/>
  <c r="T16" i="16"/>
  <c r="S18" i="16"/>
  <c r="U18" i="16" s="1"/>
  <c r="S17" i="16"/>
  <c r="U17" i="16" s="1"/>
  <c r="S16" i="16"/>
  <c r="U16" i="16" s="1"/>
  <c r="Y9" i="18"/>
  <c r="AF16" i="18"/>
  <c r="AF15" i="18"/>
  <c r="AF14" i="18"/>
  <c r="AF13" i="18"/>
  <c r="AF20" i="18"/>
  <c r="AF19" i="18"/>
  <c r="AF18" i="18"/>
  <c r="AD17" i="18"/>
  <c r="AB17" i="18"/>
  <c r="Z17" i="18"/>
  <c r="AD12" i="18"/>
  <c r="AB12" i="18"/>
  <c r="Z12" i="18"/>
  <c r="AE21" i="18"/>
  <c r="AE20" i="18"/>
  <c r="AE19" i="18"/>
  <c r="AE18" i="18"/>
  <c r="AE16" i="18"/>
  <c r="AE15" i="18"/>
  <c r="AE14" i="18"/>
  <c r="AE13" i="18"/>
  <c r="AC21" i="18"/>
  <c r="AC20" i="18"/>
  <c r="AC19" i="18"/>
  <c r="AC18" i="18"/>
  <c r="AC16" i="18"/>
  <c r="AC15" i="18"/>
  <c r="AC14" i="18"/>
  <c r="AC13" i="18"/>
  <c r="AA21" i="18"/>
  <c r="AA20" i="18"/>
  <c r="AA19" i="18"/>
  <c r="AA18" i="18"/>
  <c r="AA16" i="18"/>
  <c r="AA15" i="18"/>
  <c r="AA14" i="18"/>
  <c r="AA13" i="18"/>
  <c r="X17" i="18"/>
  <c r="X12" i="18"/>
  <c r="Y21" i="18"/>
  <c r="Y20" i="18"/>
  <c r="Y19" i="18"/>
  <c r="Y18" i="18"/>
  <c r="Y16" i="18"/>
  <c r="Y15" i="18"/>
  <c r="Y14" i="18"/>
  <c r="Y13" i="18"/>
  <c r="T21" i="18"/>
  <c r="T20" i="18"/>
  <c r="T19" i="18"/>
  <c r="T18" i="18"/>
  <c r="T16" i="18"/>
  <c r="T15" i="18"/>
  <c r="T14" i="18"/>
  <c r="T13" i="18"/>
  <c r="R17" i="18"/>
  <c r="R12" i="18"/>
  <c r="S21" i="18"/>
  <c r="U21" i="18" s="1"/>
  <c r="S20" i="18"/>
  <c r="U20" i="18" s="1"/>
  <c r="S19" i="18"/>
  <c r="U19" i="18" s="1"/>
  <c r="S18" i="18"/>
  <c r="S16" i="18"/>
  <c r="U16" i="18" s="1"/>
  <c r="S15" i="18"/>
  <c r="U15" i="18" s="1"/>
  <c r="S14" i="18"/>
  <c r="U14" i="18" s="1"/>
  <c r="S13" i="18"/>
  <c r="AG12" i="24" l="1"/>
  <c r="AG20" i="7"/>
  <c r="AG15" i="7"/>
  <c r="AG21" i="7"/>
  <c r="AG14" i="7"/>
  <c r="U18" i="7"/>
  <c r="AG13" i="7"/>
  <c r="AG19" i="7"/>
  <c r="AG23" i="7"/>
  <c r="AG16" i="7"/>
  <c r="AG22" i="7"/>
  <c r="AE12" i="7"/>
  <c r="AF12" i="7"/>
  <c r="AF18" i="7"/>
  <c r="AE18" i="7"/>
  <c r="AA12" i="7"/>
  <c r="AC18" i="7"/>
  <c r="S12" i="7"/>
  <c r="AA18" i="7"/>
  <c r="AG17" i="24"/>
  <c r="AC12" i="7"/>
  <c r="Y18" i="7"/>
  <c r="Y12" i="7"/>
  <c r="T18" i="7"/>
  <c r="T12" i="7"/>
  <c r="S18" i="7"/>
  <c r="U14" i="7"/>
  <c r="U12" i="7" s="1"/>
  <c r="AE17" i="22"/>
  <c r="AG15" i="22"/>
  <c r="AG14" i="22"/>
  <c r="AG19" i="22"/>
  <c r="AG16" i="22"/>
  <c r="AC17" i="22"/>
  <c r="Y17" i="22"/>
  <c r="AG18" i="22"/>
  <c r="AF12" i="22"/>
  <c r="AF17" i="22"/>
  <c r="AC12" i="22"/>
  <c r="AE12" i="22"/>
  <c r="AG20" i="22"/>
  <c r="Y12" i="22"/>
  <c r="AA12" i="22"/>
  <c r="AA17" i="22"/>
  <c r="AG13" i="22"/>
  <c r="T17" i="22"/>
  <c r="U17" i="22"/>
  <c r="T12" i="22"/>
  <c r="U12" i="22"/>
  <c r="S17" i="22"/>
  <c r="S12" i="22"/>
  <c r="AE17" i="20"/>
  <c r="AA17" i="20"/>
  <c r="AG13" i="20"/>
  <c r="AG12" i="20" s="1"/>
  <c r="AC17" i="20"/>
  <c r="Y17" i="20"/>
  <c r="AF12" i="20"/>
  <c r="AG18" i="20"/>
  <c r="AG17" i="20" s="1"/>
  <c r="AF17" i="20"/>
  <c r="AA12" i="20"/>
  <c r="AC12" i="20"/>
  <c r="T17" i="20"/>
  <c r="U17" i="20"/>
  <c r="U12" i="20"/>
  <c r="S17" i="20"/>
  <c r="T12" i="20"/>
  <c r="S12" i="20"/>
  <c r="AE12" i="20"/>
  <c r="Y12" i="20"/>
  <c r="AG25" i="16"/>
  <c r="AG24" i="16"/>
  <c r="AG13" i="18"/>
  <c r="AG16" i="18"/>
  <c r="AG21" i="18"/>
  <c r="AG15" i="18"/>
  <c r="AG20" i="18"/>
  <c r="AG14" i="18"/>
  <c r="AG19" i="18"/>
  <c r="Y17" i="18"/>
  <c r="AG18" i="18"/>
  <c r="AA12" i="18"/>
  <c r="AA17" i="18"/>
  <c r="AE17" i="18"/>
  <c r="AC17" i="18"/>
  <c r="AE12" i="18"/>
  <c r="AF17" i="18"/>
  <c r="AF12" i="18"/>
  <c r="AC12" i="18"/>
  <c r="Y12" i="18"/>
  <c r="S17" i="18"/>
  <c r="U18" i="18"/>
  <c r="U17" i="18" s="1"/>
  <c r="T12" i="18"/>
  <c r="T17" i="18"/>
  <c r="S12" i="18"/>
  <c r="U13" i="18"/>
  <c r="U12" i="18" s="1"/>
  <c r="Y7" i="16"/>
  <c r="AE22" i="16"/>
  <c r="AE21" i="16"/>
  <c r="AE20" i="16"/>
  <c r="AE19" i="16" s="1"/>
  <c r="AC22" i="16"/>
  <c r="AC21" i="16"/>
  <c r="AC20" i="16"/>
  <c r="AC19" i="16" s="1"/>
  <c r="AC15" i="16"/>
  <c r="AC14" i="16"/>
  <c r="AC13" i="16"/>
  <c r="AA22" i="16"/>
  <c r="AA21" i="16"/>
  <c r="AA20" i="16"/>
  <c r="AA19" i="16" s="1"/>
  <c r="AE15" i="16"/>
  <c r="AE14" i="16"/>
  <c r="AE13" i="16"/>
  <c r="AE12" i="16" s="1"/>
  <c r="AA15" i="16"/>
  <c r="AA14" i="16"/>
  <c r="AA13" i="16"/>
  <c r="AA12" i="16" s="1"/>
  <c r="Y22" i="16"/>
  <c r="Y21" i="16"/>
  <c r="Y20" i="16"/>
  <c r="Y19" i="16" s="1"/>
  <c r="Y15" i="16"/>
  <c r="Y14" i="16"/>
  <c r="Y12" i="16" s="1"/>
  <c r="Y13" i="16"/>
  <c r="AF22" i="16"/>
  <c r="AF21" i="16"/>
  <c r="AF20" i="16"/>
  <c r="AF19" i="16" s="1"/>
  <c r="AF15" i="16"/>
  <c r="AF14" i="16"/>
  <c r="AF13" i="16"/>
  <c r="AF12" i="16" s="1"/>
  <c r="S22" i="16"/>
  <c r="U22" i="16" s="1"/>
  <c r="S21" i="16"/>
  <c r="U21" i="16" s="1"/>
  <c r="S20" i="16"/>
  <c r="S15" i="16"/>
  <c r="U15" i="16" s="1"/>
  <c r="S14" i="16"/>
  <c r="U14" i="16" s="1"/>
  <c r="S13" i="16"/>
  <c r="T22" i="16"/>
  <c r="T21" i="16"/>
  <c r="T20" i="16"/>
  <c r="T19" i="16" s="1"/>
  <c r="T15" i="16"/>
  <c r="T14" i="16"/>
  <c r="T13" i="16"/>
  <c r="T12" i="16" s="1"/>
  <c r="U37" i="14"/>
  <c r="S37" i="14"/>
  <c r="S36" i="14"/>
  <c r="U36" i="14" s="1"/>
  <c r="S35" i="14"/>
  <c r="U35" i="14" s="1"/>
  <c r="S34" i="14"/>
  <c r="S33" i="14"/>
  <c r="U33" i="14" s="1"/>
  <c r="S32" i="14"/>
  <c r="U32" i="14" s="1"/>
  <c r="S31" i="14"/>
  <c r="U31" i="14" s="1"/>
  <c r="S30" i="14"/>
  <c r="U30" i="14" s="1"/>
  <c r="S29" i="14"/>
  <c r="U29" i="14" s="1"/>
  <c r="S28" i="14"/>
  <c r="U28" i="14" s="1"/>
  <c r="S27" i="14"/>
  <c r="S26" i="14"/>
  <c r="S24" i="14"/>
  <c r="U24" i="14" s="1"/>
  <c r="S23" i="14"/>
  <c r="U23" i="14" s="1"/>
  <c r="S22" i="14"/>
  <c r="U22" i="14" s="1"/>
  <c r="S21" i="14"/>
  <c r="U21" i="14" s="1"/>
  <c r="S20" i="14"/>
  <c r="U20" i="14" s="1"/>
  <c r="S19" i="14"/>
  <c r="U19" i="14" s="1"/>
  <c r="S18" i="14"/>
  <c r="U18" i="14" s="1"/>
  <c r="S17" i="14"/>
  <c r="U17" i="14" s="1"/>
  <c r="S16" i="14"/>
  <c r="U16" i="14" s="1"/>
  <c r="S15" i="14"/>
  <c r="U15" i="14" s="1"/>
  <c r="S14" i="14"/>
  <c r="S13" i="14"/>
  <c r="AF37" i="14"/>
  <c r="AF36" i="14"/>
  <c r="AF35" i="14"/>
  <c r="AF34" i="14"/>
  <c r="AF33" i="14"/>
  <c r="AF32" i="14"/>
  <c r="AF31" i="14"/>
  <c r="AF30" i="14"/>
  <c r="AF29" i="14"/>
  <c r="AF28" i="14"/>
  <c r="AF27" i="14"/>
  <c r="AF26" i="14"/>
  <c r="AF24" i="14"/>
  <c r="AF23" i="14"/>
  <c r="AF22" i="14"/>
  <c r="AF21" i="14"/>
  <c r="AF20" i="14"/>
  <c r="AF19" i="14"/>
  <c r="AF18" i="14"/>
  <c r="AF17" i="14"/>
  <c r="AF16" i="14"/>
  <c r="AF15" i="14"/>
  <c r="AF14" i="14"/>
  <c r="AF13" i="14"/>
  <c r="Y7" i="12"/>
  <c r="AE37" i="14"/>
  <c r="AE36" i="14"/>
  <c r="AE35" i="14"/>
  <c r="AE34" i="14"/>
  <c r="AE33" i="14"/>
  <c r="AE32" i="14"/>
  <c r="AE31" i="14"/>
  <c r="AE30" i="14"/>
  <c r="AE29" i="14"/>
  <c r="AE28" i="14"/>
  <c r="AE27" i="14"/>
  <c r="AE26" i="14"/>
  <c r="AC37" i="14"/>
  <c r="AC36" i="14"/>
  <c r="AC35" i="14"/>
  <c r="AC34" i="14"/>
  <c r="AC33" i="14"/>
  <c r="AC32" i="14"/>
  <c r="AC31" i="14"/>
  <c r="AC30" i="14"/>
  <c r="AC29" i="14"/>
  <c r="AC28" i="14"/>
  <c r="AC27" i="14"/>
  <c r="AC26" i="14"/>
  <c r="AA37" i="14"/>
  <c r="AA36" i="14"/>
  <c r="AA35" i="14"/>
  <c r="AA34" i="14"/>
  <c r="AA33" i="14"/>
  <c r="AA32" i="14"/>
  <c r="AA31" i="14"/>
  <c r="AA30" i="14"/>
  <c r="AA29" i="14"/>
  <c r="AA28" i="14"/>
  <c r="AA27" i="14"/>
  <c r="AA26" i="14"/>
  <c r="Y37" i="14"/>
  <c r="AG37" i="14" s="1"/>
  <c r="Y36" i="14"/>
  <c r="Y35" i="14"/>
  <c r="AG35" i="14" s="1"/>
  <c r="Y34" i="14"/>
  <c r="AG34" i="14" s="1"/>
  <c r="Y33" i="14"/>
  <c r="AG33" i="14" s="1"/>
  <c r="Y32" i="14"/>
  <c r="Y31" i="14"/>
  <c r="AG31" i="14" s="1"/>
  <c r="Y30" i="14"/>
  <c r="AG30" i="14" s="1"/>
  <c r="Y29" i="14"/>
  <c r="Y28" i="14"/>
  <c r="Y27" i="14"/>
  <c r="AG27" i="14" s="1"/>
  <c r="Y26" i="14"/>
  <c r="AG26" i="14" s="1"/>
  <c r="AE24" i="14"/>
  <c r="AE23" i="14"/>
  <c r="AE22" i="14"/>
  <c r="AE21" i="14"/>
  <c r="AE20" i="14"/>
  <c r="AE19" i="14"/>
  <c r="AE18" i="14"/>
  <c r="AE17" i="14"/>
  <c r="AE16" i="14"/>
  <c r="AE15" i="14"/>
  <c r="AE14" i="14"/>
  <c r="AE13" i="14"/>
  <c r="AC24" i="14"/>
  <c r="AC23" i="14"/>
  <c r="AC22" i="14"/>
  <c r="AC21" i="14"/>
  <c r="AC20" i="14"/>
  <c r="AC19" i="14"/>
  <c r="AC18" i="14"/>
  <c r="AC17" i="14"/>
  <c r="AC16" i="14"/>
  <c r="AC15" i="14"/>
  <c r="AC14" i="14"/>
  <c r="AC13" i="14"/>
  <c r="AA24" i="14"/>
  <c r="AA23" i="14"/>
  <c r="AA22" i="14"/>
  <c r="AA21" i="14"/>
  <c r="AA20" i="14"/>
  <c r="AA19" i="14"/>
  <c r="AA18" i="14"/>
  <c r="AA17" i="14"/>
  <c r="AA16" i="14"/>
  <c r="AA15" i="14"/>
  <c r="AA14" i="14"/>
  <c r="AA13" i="14"/>
  <c r="Y24" i="14"/>
  <c r="Y23" i="14"/>
  <c r="AG23" i="14" s="1"/>
  <c r="Y22" i="14"/>
  <c r="AG22" i="14" s="1"/>
  <c r="Y21" i="14"/>
  <c r="AG21" i="14" s="1"/>
  <c r="Y20" i="14"/>
  <c r="AG20" i="14" s="1"/>
  <c r="Y19" i="14"/>
  <c r="AG19" i="14" s="1"/>
  <c r="Y18" i="14"/>
  <c r="AG18" i="14" s="1"/>
  <c r="Y17" i="14"/>
  <c r="AG17" i="14" s="1"/>
  <c r="Y16" i="14"/>
  <c r="Y15" i="14"/>
  <c r="AG15" i="14" s="1"/>
  <c r="Y14" i="14"/>
  <c r="AG14" i="14" s="1"/>
  <c r="Y13" i="14"/>
  <c r="AG13" i="14" s="1"/>
  <c r="AD25" i="14"/>
  <c r="AB25" i="14"/>
  <c r="Z25" i="14"/>
  <c r="X25" i="14"/>
  <c r="AD12" i="14"/>
  <c r="AB12" i="14"/>
  <c r="Z12" i="14"/>
  <c r="X12" i="14"/>
  <c r="U27" i="14"/>
  <c r="T37" i="14"/>
  <c r="T36" i="14"/>
  <c r="T35" i="14"/>
  <c r="T34" i="14"/>
  <c r="U34" i="14"/>
  <c r="T33" i="14"/>
  <c r="T32" i="14"/>
  <c r="T31" i="14"/>
  <c r="T30" i="14"/>
  <c r="T29" i="14"/>
  <c r="T28" i="14"/>
  <c r="T27" i="14"/>
  <c r="T26" i="14"/>
  <c r="U14" i="14"/>
  <c r="T24" i="14"/>
  <c r="T23" i="14"/>
  <c r="T22" i="14"/>
  <c r="T21" i="14"/>
  <c r="T20" i="14"/>
  <c r="T19" i="14"/>
  <c r="T18" i="14"/>
  <c r="T17" i="14"/>
  <c r="T16" i="14"/>
  <c r="T15" i="14"/>
  <c r="T14" i="14"/>
  <c r="T13" i="14"/>
  <c r="U20" i="16" l="1"/>
  <c r="U19" i="16" s="1"/>
  <c r="S19" i="16"/>
  <c r="AC12" i="16"/>
  <c r="U13" i="16"/>
  <c r="U12" i="16" s="1"/>
  <c r="S12" i="16"/>
  <c r="AG13" i="16"/>
  <c r="AG12" i="7"/>
  <c r="AG18" i="7"/>
  <c r="AG17" i="22"/>
  <c r="AG12" i="22"/>
  <c r="AG12" i="18"/>
  <c r="AG17" i="18"/>
  <c r="AG20" i="16"/>
  <c r="AG19" i="16" s="1"/>
  <c r="AG21" i="16"/>
  <c r="AG22" i="16"/>
  <c r="AG15" i="16"/>
  <c r="AG14" i="16"/>
  <c r="AG24" i="14"/>
  <c r="AG28" i="14"/>
  <c r="AG32" i="14"/>
  <c r="AG36" i="14"/>
  <c r="AG16" i="14"/>
  <c r="T25" i="14"/>
  <c r="AA12" i="14"/>
  <c r="AC12" i="14"/>
  <c r="AE12" i="14"/>
  <c r="AF25" i="14"/>
  <c r="Y25" i="14"/>
  <c r="AA25" i="14"/>
  <c r="AE25" i="14"/>
  <c r="AC25" i="14"/>
  <c r="AG29" i="14"/>
  <c r="S25" i="14"/>
  <c r="U26" i="14"/>
  <c r="S12" i="14"/>
  <c r="T12" i="14"/>
  <c r="U13" i="14"/>
  <c r="AF12" i="14"/>
  <c r="Y12" i="14"/>
  <c r="AH12" i="16" l="1"/>
  <c r="AG12" i="14"/>
  <c r="AG12" i="16"/>
  <c r="AH19" i="16"/>
  <c r="U25" i="14"/>
  <c r="U12" i="14"/>
  <c r="AH12" i="14" s="1"/>
  <c r="AF17" i="12"/>
  <c r="AF12" i="12"/>
  <c r="AE21" i="12"/>
  <c r="AE20" i="12"/>
  <c r="AE19" i="12"/>
  <c r="AE18" i="12"/>
  <c r="AE16" i="12"/>
  <c r="AE15" i="12"/>
  <c r="AE14" i="12"/>
  <c r="AE13" i="12"/>
  <c r="AC21" i="12"/>
  <c r="AC20" i="12"/>
  <c r="AC19" i="12"/>
  <c r="AC18" i="12"/>
  <c r="AC16" i="12"/>
  <c r="AC15" i="12"/>
  <c r="AC14" i="12"/>
  <c r="AC13" i="12"/>
  <c r="AA21" i="12"/>
  <c r="AA20" i="12"/>
  <c r="AA19" i="12"/>
  <c r="AA18" i="12"/>
  <c r="AA16" i="12"/>
  <c r="AA15" i="12"/>
  <c r="AA14" i="12"/>
  <c r="AA13" i="12"/>
  <c r="Y21" i="12"/>
  <c r="AG21" i="12" s="1"/>
  <c r="Y20" i="12"/>
  <c r="AG20" i="12" s="1"/>
  <c r="Y19" i="12"/>
  <c r="AG19" i="12" s="1"/>
  <c r="Y18" i="12"/>
  <c r="AG18" i="12" s="1"/>
  <c r="Y16" i="12"/>
  <c r="AG16" i="12" s="1"/>
  <c r="Y15" i="12"/>
  <c r="AG15" i="12" s="1"/>
  <c r="Y14" i="12"/>
  <c r="AG14" i="12" s="1"/>
  <c r="Y13" i="12"/>
  <c r="AD17" i="12"/>
  <c r="AB17" i="12"/>
  <c r="Z17" i="12"/>
  <c r="AD12" i="12"/>
  <c r="AB12" i="12"/>
  <c r="Z12" i="12"/>
  <c r="X12" i="12"/>
  <c r="T21" i="12"/>
  <c r="T20" i="12"/>
  <c r="T19" i="12"/>
  <c r="T18" i="12"/>
  <c r="T16" i="12"/>
  <c r="T15" i="12"/>
  <c r="T14" i="12"/>
  <c r="T13" i="12"/>
  <c r="S21" i="12"/>
  <c r="U21" i="12" s="1"/>
  <c r="S20" i="12"/>
  <c r="U20" i="12" s="1"/>
  <c r="S19" i="12"/>
  <c r="U19" i="12" s="1"/>
  <c r="S18" i="12"/>
  <c r="U18" i="12" s="1"/>
  <c r="S16" i="12"/>
  <c r="U16" i="12" s="1"/>
  <c r="S15" i="12"/>
  <c r="U15" i="12" s="1"/>
  <c r="S14" i="12"/>
  <c r="U14" i="12" s="1"/>
  <c r="S13" i="12"/>
  <c r="U13" i="12" s="1"/>
  <c r="AE23" i="9"/>
  <c r="AE22" i="9"/>
  <c r="AE21" i="9"/>
  <c r="AE20" i="9"/>
  <c r="AE19" i="9"/>
  <c r="AE17" i="9"/>
  <c r="AE16" i="9"/>
  <c r="AE15" i="9"/>
  <c r="AE13" i="9"/>
  <c r="AE14" i="9"/>
  <c r="AC23" i="9"/>
  <c r="AC22" i="9"/>
  <c r="AC21" i="9"/>
  <c r="AC20" i="9"/>
  <c r="AC19" i="9"/>
  <c r="AC17" i="9"/>
  <c r="AC16" i="9"/>
  <c r="AC15" i="9"/>
  <c r="AC14" i="9"/>
  <c r="AC13" i="9"/>
  <c r="AA17" i="9"/>
  <c r="AA16" i="9"/>
  <c r="AA15" i="9"/>
  <c r="AA14" i="9"/>
  <c r="AA13" i="9"/>
  <c r="AA23" i="9"/>
  <c r="AA22" i="9"/>
  <c r="AA21" i="9"/>
  <c r="AA20" i="9"/>
  <c r="AA19" i="9"/>
  <c r="AD18" i="9"/>
  <c r="AB18" i="9"/>
  <c r="AD12" i="9"/>
  <c r="AB12" i="9"/>
  <c r="Z18" i="9"/>
  <c r="Z12" i="9"/>
  <c r="X18" i="9"/>
  <c r="X12" i="9"/>
  <c r="Y23" i="9"/>
  <c r="Y22" i="9"/>
  <c r="Y21" i="9"/>
  <c r="Y20" i="9"/>
  <c r="Y19" i="9"/>
  <c r="Y17" i="9"/>
  <c r="Y16" i="9"/>
  <c r="Y15" i="9"/>
  <c r="Y14" i="9"/>
  <c r="Y13" i="9"/>
  <c r="S23" i="9"/>
  <c r="U23" i="9" s="1"/>
  <c r="S22" i="9"/>
  <c r="U22" i="9" s="1"/>
  <c r="S21" i="9"/>
  <c r="S20" i="9"/>
  <c r="S19" i="9"/>
  <c r="T23" i="9"/>
  <c r="T22" i="9"/>
  <c r="T21" i="9"/>
  <c r="T20" i="9"/>
  <c r="T19" i="9"/>
  <c r="U21" i="9"/>
  <c r="U20" i="9"/>
  <c r="T17" i="9"/>
  <c r="T16" i="9"/>
  <c r="T15" i="9"/>
  <c r="T14" i="9"/>
  <c r="T13" i="9"/>
  <c r="S17" i="9"/>
  <c r="U17" i="9" s="1"/>
  <c r="S16" i="9"/>
  <c r="U16" i="9" s="1"/>
  <c r="S15" i="9"/>
  <c r="U15" i="9" s="1"/>
  <c r="S14" i="9"/>
  <c r="U14" i="9" s="1"/>
  <c r="S13" i="9"/>
  <c r="U13" i="9" s="1"/>
  <c r="AF25" i="5"/>
  <c r="AF24" i="5"/>
  <c r="AF23" i="5"/>
  <c r="AF22" i="5"/>
  <c r="AF21" i="5"/>
  <c r="AF20" i="5"/>
  <c r="AF13" i="5"/>
  <c r="AB19" i="5"/>
  <c r="AD19" i="5"/>
  <c r="AE25" i="5"/>
  <c r="AE24" i="5"/>
  <c r="AE23" i="5"/>
  <c r="AE22" i="5"/>
  <c r="AE21" i="5"/>
  <c r="AE20" i="5"/>
  <c r="AC25" i="5"/>
  <c r="AC24" i="5"/>
  <c r="AC23" i="5"/>
  <c r="AC22" i="5"/>
  <c r="AC21" i="5"/>
  <c r="AC20" i="5"/>
  <c r="AA25" i="5"/>
  <c r="AA24" i="5"/>
  <c r="AA23" i="5"/>
  <c r="AA22" i="5"/>
  <c r="AA19" i="5" s="1"/>
  <c r="AA21" i="5"/>
  <c r="AA20" i="5"/>
  <c r="Z19" i="5"/>
  <c r="Y25" i="5"/>
  <c r="Y24" i="5"/>
  <c r="Y23" i="5"/>
  <c r="Y22" i="5"/>
  <c r="Y21" i="5"/>
  <c r="Y20" i="5"/>
  <c r="X19" i="5"/>
  <c r="T25" i="5"/>
  <c r="T24" i="5"/>
  <c r="T23" i="5"/>
  <c r="T22" i="5"/>
  <c r="T21" i="5"/>
  <c r="T20" i="5"/>
  <c r="S25" i="5"/>
  <c r="U25" i="5" s="1"/>
  <c r="S24" i="5"/>
  <c r="U24" i="5" s="1"/>
  <c r="S23" i="5"/>
  <c r="U23" i="5" s="1"/>
  <c r="S22" i="5"/>
  <c r="U22" i="5" s="1"/>
  <c r="S21" i="5"/>
  <c r="U21" i="5" s="1"/>
  <c r="S20" i="5"/>
  <c r="U20" i="5" s="1"/>
  <c r="R19" i="5"/>
  <c r="AF18" i="5"/>
  <c r="AF17" i="5"/>
  <c r="AF16" i="5"/>
  <c r="AF15" i="5"/>
  <c r="AF14" i="5"/>
  <c r="AE18" i="5"/>
  <c r="AE15" i="5"/>
  <c r="AE14" i="5"/>
  <c r="AE17" i="5"/>
  <c r="AE16" i="5"/>
  <c r="AE13" i="5"/>
  <c r="AC18" i="5"/>
  <c r="AC17" i="5"/>
  <c r="AC16" i="5"/>
  <c r="AC15" i="5"/>
  <c r="AC14" i="5"/>
  <c r="AC13" i="5"/>
  <c r="AC12" i="5" s="1"/>
  <c r="AA18" i="5"/>
  <c r="AA17" i="5"/>
  <c r="AA16" i="5"/>
  <c r="AA15" i="5"/>
  <c r="AA14" i="5"/>
  <c r="AA13" i="5"/>
  <c r="AB12" i="5"/>
  <c r="Z12" i="5"/>
  <c r="Y18" i="5"/>
  <c r="Y17" i="5"/>
  <c r="Y16" i="5"/>
  <c r="Y15" i="5"/>
  <c r="Y14" i="5"/>
  <c r="Y13" i="5"/>
  <c r="X12" i="5"/>
  <c r="T18" i="5"/>
  <c r="T17" i="5"/>
  <c r="T16" i="5"/>
  <c r="T15" i="5"/>
  <c r="T14" i="5"/>
  <c r="T13" i="5"/>
  <c r="S18" i="5"/>
  <c r="U18" i="5" s="1"/>
  <c r="S17" i="5"/>
  <c r="U17" i="5" s="1"/>
  <c r="S16" i="5"/>
  <c r="U16" i="5" s="1"/>
  <c r="S15" i="5"/>
  <c r="U15" i="5" s="1"/>
  <c r="S14" i="5"/>
  <c r="U14" i="5" s="1"/>
  <c r="S13" i="5"/>
  <c r="U13" i="5" s="1"/>
  <c r="R12" i="5"/>
  <c r="U12" i="12" l="1"/>
  <c r="T17" i="12"/>
  <c r="S12" i="5"/>
  <c r="U17" i="12"/>
  <c r="AA12" i="12"/>
  <c r="AC17" i="12"/>
  <c r="AG17" i="12"/>
  <c r="Y17" i="12"/>
  <c r="AA17" i="12"/>
  <c r="AE17" i="12"/>
  <c r="Y12" i="12"/>
  <c r="AG13" i="12"/>
  <c r="AG12" i="12" s="1"/>
  <c r="AE12" i="12"/>
  <c r="AC12" i="12"/>
  <c r="T12" i="12"/>
  <c r="S17" i="12"/>
  <c r="S12" i="12"/>
  <c r="Y18" i="9"/>
  <c r="AA18" i="9"/>
  <c r="AG13" i="9"/>
  <c r="AG23" i="9"/>
  <c r="AG15" i="9"/>
  <c r="AG22" i="9"/>
  <c r="AG21" i="9"/>
  <c r="AG14" i="9"/>
  <c r="AG17" i="9"/>
  <c r="AG16" i="9"/>
  <c r="AG20" i="9"/>
  <c r="AF12" i="9"/>
  <c r="AF18" i="9"/>
  <c r="AC18" i="9"/>
  <c r="AG19" i="9"/>
  <c r="AC12" i="9"/>
  <c r="Y12" i="9"/>
  <c r="AA12" i="9"/>
  <c r="AE18" i="9"/>
  <c r="S18" i="9"/>
  <c r="AE12" i="9"/>
  <c r="T12" i="9"/>
  <c r="T18" i="9"/>
  <c r="U12" i="9"/>
  <c r="U19" i="9"/>
  <c r="U18" i="9" s="1"/>
  <c r="S12" i="9"/>
  <c r="Y19" i="5"/>
  <c r="AG22" i="5"/>
  <c r="Y12" i="5"/>
  <c r="AG17" i="5"/>
  <c r="AG16" i="5"/>
  <c r="AE19" i="5"/>
  <c r="AG20" i="5"/>
  <c r="AG24" i="5"/>
  <c r="AG21" i="5"/>
  <c r="AG25" i="5"/>
  <c r="AG23" i="5"/>
  <c r="AA12" i="5"/>
  <c r="AF19" i="5"/>
  <c r="AF12" i="5"/>
  <c r="S19" i="5"/>
  <c r="AE12" i="5"/>
  <c r="AG15" i="5"/>
  <c r="AG14" i="5"/>
  <c r="AG18" i="5"/>
  <c r="AG13" i="5"/>
  <c r="AD12" i="5"/>
  <c r="T12" i="5"/>
  <c r="Y21" i="36"/>
  <c r="Y21" i="32"/>
  <c r="AA8" i="12"/>
  <c r="C7" i="35"/>
  <c r="AD27" i="36"/>
  <c r="C9" i="35"/>
  <c r="AM27" i="32"/>
  <c r="AB33" i="5"/>
  <c r="AG12" i="9" l="1"/>
  <c r="AG18" i="9"/>
  <c r="AG19" i="5"/>
  <c r="AG12" i="5"/>
  <c r="AI24" i="36"/>
  <c r="AI26" i="34"/>
  <c r="AI24" i="32"/>
  <c r="AI26" i="30"/>
  <c r="AI24" i="28"/>
  <c r="AI26" i="26"/>
  <c r="AI26" i="24"/>
  <c r="AI26" i="22"/>
  <c r="AI26" i="20"/>
  <c r="AI26" i="18"/>
  <c r="AI30" i="16"/>
  <c r="AI42" i="14"/>
  <c r="AI26" i="12"/>
  <c r="AI28" i="9"/>
  <c r="AI28" i="7"/>
  <c r="T9" i="5"/>
  <c r="Z38" i="5" l="1"/>
  <c r="AB32" i="36" l="1"/>
  <c r="AD32" i="36" s="1"/>
  <c r="AE32" i="36" s="1"/>
  <c r="W32" i="36"/>
  <c r="AA32" i="36" s="1"/>
  <c r="V32" i="36"/>
  <c r="T32" i="36"/>
  <c r="Q32" i="36"/>
  <c r="S32" i="36" s="1"/>
  <c r="U32" i="36" s="1"/>
  <c r="AF31" i="36"/>
  <c r="AE31" i="36"/>
  <c r="AC31" i="36"/>
  <c r="AA31" i="36"/>
  <c r="Y31" i="36"/>
  <c r="T31" i="36"/>
  <c r="S31" i="36"/>
  <c r="U31" i="36" s="1"/>
  <c r="AE30" i="36"/>
  <c r="AC30" i="36"/>
  <c r="AA30" i="36"/>
  <c r="X30" i="36"/>
  <c r="AF30" i="36" s="1"/>
  <c r="T30" i="36"/>
  <c r="S30" i="36"/>
  <c r="U30" i="36" s="1"/>
  <c r="AD29" i="36"/>
  <c r="AE29" i="36" s="1"/>
  <c r="Z29" i="36"/>
  <c r="W29" i="36"/>
  <c r="AC29" i="36" s="1"/>
  <c r="T29" i="36"/>
  <c r="S29" i="36"/>
  <c r="U29" i="36" s="1"/>
  <c r="AD28" i="36"/>
  <c r="Z28" i="36"/>
  <c r="W28" i="36"/>
  <c r="AC28" i="36" s="1"/>
  <c r="T28" i="36"/>
  <c r="S28" i="36"/>
  <c r="U28" i="36" s="1"/>
  <c r="T27" i="36"/>
  <c r="Q27" i="36"/>
  <c r="W27" i="36" s="1"/>
  <c r="AF23" i="36"/>
  <c r="AE23" i="36"/>
  <c r="AC23" i="36"/>
  <c r="AA23" i="36"/>
  <c r="Y23" i="36"/>
  <c r="T23" i="36"/>
  <c r="S23" i="36"/>
  <c r="U23" i="36" s="1"/>
  <c r="AF21" i="36"/>
  <c r="AE21" i="36"/>
  <c r="AC21" i="36"/>
  <c r="AA21" i="36"/>
  <c r="T21" i="36"/>
  <c r="S21" i="36"/>
  <c r="U21" i="36" s="1"/>
  <c r="AF20" i="36"/>
  <c r="AE20" i="36"/>
  <c r="AC20" i="36"/>
  <c r="AA20" i="36"/>
  <c r="Y20" i="36"/>
  <c r="T20" i="36"/>
  <c r="S20" i="36"/>
  <c r="U20" i="36" s="1"/>
  <c r="AF10" i="36"/>
  <c r="AE10" i="36"/>
  <c r="AC10" i="36"/>
  <c r="AA10" i="36"/>
  <c r="Y10" i="36"/>
  <c r="T10" i="36"/>
  <c r="S10" i="36"/>
  <c r="U10" i="36" s="1"/>
  <c r="AF9" i="36"/>
  <c r="AE9" i="36"/>
  <c r="AC9" i="36"/>
  <c r="AA9" i="36"/>
  <c r="Y9" i="36"/>
  <c r="T9" i="36"/>
  <c r="S9" i="36"/>
  <c r="U9" i="36" s="1"/>
  <c r="AF8" i="36"/>
  <c r="AE8" i="36"/>
  <c r="AC8" i="36"/>
  <c r="AA8" i="36"/>
  <c r="Y8" i="36"/>
  <c r="T8" i="36"/>
  <c r="S8" i="36"/>
  <c r="U8" i="36" s="1"/>
  <c r="AF7" i="36"/>
  <c r="AE7" i="36"/>
  <c r="AC7" i="36"/>
  <c r="AA7" i="36"/>
  <c r="Y7" i="36"/>
  <c r="T7" i="36"/>
  <c r="S7" i="36"/>
  <c r="U7" i="36" s="1"/>
  <c r="AF6" i="36"/>
  <c r="AE6" i="36"/>
  <c r="AC6" i="36"/>
  <c r="AA6" i="36"/>
  <c r="Y6" i="36"/>
  <c r="T6" i="36"/>
  <c r="S6" i="36"/>
  <c r="U6" i="36" s="1"/>
  <c r="AF5" i="36"/>
  <c r="AC5" i="36"/>
  <c r="AA5" i="36"/>
  <c r="Y5" i="36"/>
  <c r="T5" i="36"/>
  <c r="S5" i="36"/>
  <c r="U5" i="36" s="1"/>
  <c r="B9" i="35"/>
  <c r="C8" i="35"/>
  <c r="C10" i="35" s="1"/>
  <c r="B8" i="35"/>
  <c r="B7" i="35"/>
  <c r="B10" i="35" s="1"/>
  <c r="AB34" i="34"/>
  <c r="W34" i="34"/>
  <c r="Y34" i="34" s="1"/>
  <c r="V34" i="34"/>
  <c r="T34" i="34"/>
  <c r="Q34" i="34"/>
  <c r="S34" i="34" s="1"/>
  <c r="U34" i="34" s="1"/>
  <c r="AF33" i="34"/>
  <c r="AE33" i="34"/>
  <c r="AC33" i="34"/>
  <c r="AA33" i="34"/>
  <c r="Y33" i="34"/>
  <c r="T33" i="34"/>
  <c r="S33" i="34"/>
  <c r="U33" i="34" s="1"/>
  <c r="AE32" i="34"/>
  <c r="AC32" i="34"/>
  <c r="AA32" i="34"/>
  <c r="X32" i="34"/>
  <c r="AF32" i="34" s="1"/>
  <c r="T32" i="34"/>
  <c r="S32" i="34"/>
  <c r="U32" i="34" s="1"/>
  <c r="AD31" i="34"/>
  <c r="Z31" i="34"/>
  <c r="W31" i="34"/>
  <c r="AC31" i="34" s="1"/>
  <c r="T31" i="34"/>
  <c r="S31" i="34"/>
  <c r="U31" i="34" s="1"/>
  <c r="AD30" i="34"/>
  <c r="Z30" i="34"/>
  <c r="W30" i="34"/>
  <c r="Y30" i="34" s="1"/>
  <c r="T30" i="34"/>
  <c r="S30" i="34"/>
  <c r="U30" i="34" s="1"/>
  <c r="T29" i="34"/>
  <c r="Q29" i="34"/>
  <c r="W29" i="34" s="1"/>
  <c r="AF25" i="34"/>
  <c r="AE25" i="34"/>
  <c r="AC25" i="34"/>
  <c r="AA25" i="34"/>
  <c r="Y25" i="34"/>
  <c r="T25" i="34"/>
  <c r="S25" i="34"/>
  <c r="U25" i="34" s="1"/>
  <c r="AF23" i="34"/>
  <c r="AE23" i="34"/>
  <c r="AC23" i="34"/>
  <c r="AA23" i="34"/>
  <c r="Y23" i="34"/>
  <c r="T23" i="34"/>
  <c r="S23" i="34"/>
  <c r="U23" i="34" s="1"/>
  <c r="AF22" i="34"/>
  <c r="AE22" i="34"/>
  <c r="AC22" i="34"/>
  <c r="AA22" i="34"/>
  <c r="Y22" i="34"/>
  <c r="T22" i="34"/>
  <c r="S22" i="34"/>
  <c r="U22" i="34" s="1"/>
  <c r="AF10" i="34"/>
  <c r="AE10" i="34"/>
  <c r="AC10" i="34"/>
  <c r="AA10" i="34"/>
  <c r="Y10" i="34"/>
  <c r="T10" i="34"/>
  <c r="S10" i="34"/>
  <c r="U10" i="34" s="1"/>
  <c r="AF9" i="34"/>
  <c r="AE9" i="34"/>
  <c r="AC9" i="34"/>
  <c r="AA9" i="34"/>
  <c r="Y9" i="34"/>
  <c r="T9" i="34"/>
  <c r="S9" i="34"/>
  <c r="U9" i="34" s="1"/>
  <c r="AF8" i="34"/>
  <c r="AE8" i="34"/>
  <c r="AC8" i="34"/>
  <c r="AA8" i="34"/>
  <c r="Y8" i="34"/>
  <c r="T8" i="34"/>
  <c r="S8" i="34"/>
  <c r="U8" i="34" s="1"/>
  <c r="AF7" i="34"/>
  <c r="AE7" i="34"/>
  <c r="AC7" i="34"/>
  <c r="AA7" i="34"/>
  <c r="Y7" i="34"/>
  <c r="T7" i="34"/>
  <c r="S7" i="34"/>
  <c r="U7" i="34" s="1"/>
  <c r="AF6" i="34"/>
  <c r="AE6" i="34"/>
  <c r="AC6" i="34"/>
  <c r="AA6" i="34"/>
  <c r="Y6" i="34"/>
  <c r="T6" i="34"/>
  <c r="S6" i="34"/>
  <c r="U6" i="34" s="1"/>
  <c r="AF5" i="34"/>
  <c r="AE5" i="34"/>
  <c r="AC5" i="34"/>
  <c r="AA5" i="34"/>
  <c r="Y5" i="34"/>
  <c r="T5" i="34"/>
  <c r="S5" i="34"/>
  <c r="U5" i="34" s="1"/>
  <c r="C9" i="33"/>
  <c r="B9" i="33"/>
  <c r="C8" i="33"/>
  <c r="B8" i="33"/>
  <c r="C7" i="33"/>
  <c r="B7" i="33"/>
  <c r="B10" i="33" s="1"/>
  <c r="AB32" i="32"/>
  <c r="AD32" i="32" s="1"/>
  <c r="AE32" i="32" s="1"/>
  <c r="W32" i="32"/>
  <c r="Y32" i="32" s="1"/>
  <c r="V32" i="32"/>
  <c r="T32" i="32"/>
  <c r="Q32" i="32"/>
  <c r="S32" i="32" s="1"/>
  <c r="U32" i="32" s="1"/>
  <c r="AF31" i="32"/>
  <c r="AE31" i="32"/>
  <c r="AC31" i="32"/>
  <c r="AA31" i="32"/>
  <c r="Y31" i="32"/>
  <c r="T31" i="32"/>
  <c r="S31" i="32"/>
  <c r="U31" i="32" s="1"/>
  <c r="AE30" i="32"/>
  <c r="AC30" i="32"/>
  <c r="AA30" i="32"/>
  <c r="X30" i="32"/>
  <c r="AF30" i="32" s="1"/>
  <c r="T30" i="32"/>
  <c r="S30" i="32"/>
  <c r="U30" i="32" s="1"/>
  <c r="AD29" i="32"/>
  <c r="Z29" i="32"/>
  <c r="W29" i="32"/>
  <c r="Y29" i="32" s="1"/>
  <c r="T29" i="32"/>
  <c r="S29" i="32"/>
  <c r="U29" i="32" s="1"/>
  <c r="AD28" i="32"/>
  <c r="Z28" i="32"/>
  <c r="W28" i="32"/>
  <c r="AC28" i="32" s="1"/>
  <c r="T28" i="32"/>
  <c r="S28" i="32"/>
  <c r="U28" i="32" s="1"/>
  <c r="T27" i="32"/>
  <c r="Q27" i="32"/>
  <c r="W27" i="32" s="1"/>
  <c r="AF23" i="32"/>
  <c r="AE23" i="32"/>
  <c r="AC23" i="32"/>
  <c r="AA23" i="32"/>
  <c r="Y23" i="32"/>
  <c r="T23" i="32"/>
  <c r="S23" i="32"/>
  <c r="U23" i="32" s="1"/>
  <c r="AF21" i="32"/>
  <c r="AE21" i="32"/>
  <c r="AC21" i="32"/>
  <c r="AA21" i="32"/>
  <c r="T21" i="32"/>
  <c r="S21" i="32"/>
  <c r="U21" i="32" s="1"/>
  <c r="AF20" i="32"/>
  <c r="AE20" i="32"/>
  <c r="AC20" i="32"/>
  <c r="AA20" i="32"/>
  <c r="Y20" i="32"/>
  <c r="T20" i="32"/>
  <c r="S20" i="32"/>
  <c r="U20" i="32" s="1"/>
  <c r="AF10" i="32"/>
  <c r="AE10" i="32"/>
  <c r="AC10" i="32"/>
  <c r="AA10" i="32"/>
  <c r="Y10" i="32"/>
  <c r="T10" i="32"/>
  <c r="S10" i="32"/>
  <c r="U10" i="32" s="1"/>
  <c r="AF9" i="32"/>
  <c r="AE9" i="32"/>
  <c r="AC9" i="32"/>
  <c r="AA9" i="32"/>
  <c r="Y9" i="32"/>
  <c r="T9" i="32"/>
  <c r="S9" i="32"/>
  <c r="U9" i="32" s="1"/>
  <c r="AF8" i="32"/>
  <c r="AE8" i="32"/>
  <c r="AC8" i="32"/>
  <c r="AA8" i="32"/>
  <c r="Y8" i="32"/>
  <c r="T8" i="32"/>
  <c r="S8" i="32"/>
  <c r="U8" i="32" s="1"/>
  <c r="AF7" i="32"/>
  <c r="AE7" i="32"/>
  <c r="AC7" i="32"/>
  <c r="AA7" i="32"/>
  <c r="Y7" i="32"/>
  <c r="T7" i="32"/>
  <c r="S7" i="32"/>
  <c r="U7" i="32" s="1"/>
  <c r="AF6" i="32"/>
  <c r="AE6" i="32"/>
  <c r="AC6" i="32"/>
  <c r="AA6" i="32"/>
  <c r="Y6" i="32"/>
  <c r="T6" i="32"/>
  <c r="S6" i="32"/>
  <c r="U6" i="32" s="1"/>
  <c r="AF5" i="32"/>
  <c r="AE5" i="32"/>
  <c r="AC5" i="32"/>
  <c r="AA5" i="32"/>
  <c r="Y5" i="32"/>
  <c r="T5" i="32"/>
  <c r="S5" i="32"/>
  <c r="U5" i="32" s="1"/>
  <c r="C9" i="31"/>
  <c r="B9" i="31"/>
  <c r="C8" i="31"/>
  <c r="B8" i="31"/>
  <c r="C7" i="31"/>
  <c r="B7" i="31"/>
  <c r="AB34" i="30"/>
  <c r="AD34" i="30" s="1"/>
  <c r="W34" i="30"/>
  <c r="AA34" i="30" s="1"/>
  <c r="V34" i="30"/>
  <c r="T34" i="30"/>
  <c r="Q34" i="30"/>
  <c r="S34" i="30" s="1"/>
  <c r="U34" i="30" s="1"/>
  <c r="AF33" i="30"/>
  <c r="AE33" i="30"/>
  <c r="AC33" i="30"/>
  <c r="AA33" i="30"/>
  <c r="Y33" i="30"/>
  <c r="T33" i="30"/>
  <c r="S33" i="30"/>
  <c r="U33" i="30" s="1"/>
  <c r="AE32" i="30"/>
  <c r="AC32" i="30"/>
  <c r="AA32" i="30"/>
  <c r="X32" i="30"/>
  <c r="AF32" i="30" s="1"/>
  <c r="T32" i="30"/>
  <c r="S32" i="30"/>
  <c r="U32" i="30" s="1"/>
  <c r="AD31" i="30"/>
  <c r="Z31" i="30"/>
  <c r="W31" i="30"/>
  <c r="AC31" i="30" s="1"/>
  <c r="T31" i="30"/>
  <c r="S31" i="30"/>
  <c r="U31" i="30" s="1"/>
  <c r="AD30" i="30"/>
  <c r="Z30" i="30"/>
  <c r="W30" i="30"/>
  <c r="AC30" i="30" s="1"/>
  <c r="T30" i="30"/>
  <c r="S30" i="30"/>
  <c r="U30" i="30" s="1"/>
  <c r="AB29" i="30"/>
  <c r="T29" i="30"/>
  <c r="Q29" i="30"/>
  <c r="S29" i="30" s="1"/>
  <c r="U29" i="30" s="1"/>
  <c r="AF25" i="30"/>
  <c r="AE25" i="30"/>
  <c r="AC25" i="30"/>
  <c r="AA25" i="30"/>
  <c r="Y25" i="30"/>
  <c r="T25" i="30"/>
  <c r="S25" i="30"/>
  <c r="U25" i="30" s="1"/>
  <c r="AF23" i="30"/>
  <c r="AE23" i="30"/>
  <c r="AC23" i="30"/>
  <c r="AA23" i="30"/>
  <c r="Y23" i="30"/>
  <c r="T23" i="30"/>
  <c r="S23" i="30"/>
  <c r="U23" i="30" s="1"/>
  <c r="AF22" i="30"/>
  <c r="AE22" i="30"/>
  <c r="AC22" i="30"/>
  <c r="AA22" i="30"/>
  <c r="Y22" i="30"/>
  <c r="T22" i="30"/>
  <c r="S22" i="30"/>
  <c r="U22" i="30" s="1"/>
  <c r="AF10" i="30"/>
  <c r="AE10" i="30"/>
  <c r="AC10" i="30"/>
  <c r="AA10" i="30"/>
  <c r="Y10" i="30"/>
  <c r="T10" i="30"/>
  <c r="S10" i="30"/>
  <c r="U10" i="30" s="1"/>
  <c r="AF9" i="30"/>
  <c r="AE9" i="30"/>
  <c r="AC9" i="30"/>
  <c r="AA9" i="30"/>
  <c r="Y9" i="30"/>
  <c r="T9" i="30"/>
  <c r="S9" i="30"/>
  <c r="U9" i="30" s="1"/>
  <c r="AF8" i="30"/>
  <c r="AE8" i="30"/>
  <c r="AC8" i="30"/>
  <c r="AA8" i="30"/>
  <c r="Y8" i="30"/>
  <c r="T8" i="30"/>
  <c r="S8" i="30"/>
  <c r="U8" i="30" s="1"/>
  <c r="AF7" i="30"/>
  <c r="AE7" i="30"/>
  <c r="AC7" i="30"/>
  <c r="AA7" i="30"/>
  <c r="Y7" i="30"/>
  <c r="T7" i="30"/>
  <c r="S7" i="30"/>
  <c r="U7" i="30" s="1"/>
  <c r="AF6" i="30"/>
  <c r="AE6" i="30"/>
  <c r="AA6" i="30"/>
  <c r="Y6" i="30"/>
  <c r="T6" i="30"/>
  <c r="S6" i="30"/>
  <c r="U6" i="30" s="1"/>
  <c r="AF5" i="30"/>
  <c r="AE5" i="30"/>
  <c r="AC5" i="30"/>
  <c r="AA5" i="30"/>
  <c r="Y5" i="30"/>
  <c r="T5" i="30"/>
  <c r="S5" i="30"/>
  <c r="U5" i="30" s="1"/>
  <c r="C9" i="29"/>
  <c r="B9" i="29"/>
  <c r="C8" i="29"/>
  <c r="B8" i="29"/>
  <c r="C7" i="29"/>
  <c r="B7" i="29"/>
  <c r="B10" i="29" s="1"/>
  <c r="AB32" i="28"/>
  <c r="AD32" i="28" s="1"/>
  <c r="W32" i="28"/>
  <c r="Y32" i="28" s="1"/>
  <c r="V32" i="28"/>
  <c r="T32" i="28"/>
  <c r="Q32" i="28"/>
  <c r="S32" i="28" s="1"/>
  <c r="U32" i="28" s="1"/>
  <c r="AE31" i="28"/>
  <c r="Z31" i="28"/>
  <c r="AB31" i="28" s="1"/>
  <c r="AC31" i="28" s="1"/>
  <c r="Y31" i="28"/>
  <c r="T31" i="28"/>
  <c r="S31" i="28"/>
  <c r="U31" i="28" s="1"/>
  <c r="AE30" i="28"/>
  <c r="AC30" i="28"/>
  <c r="AA30" i="28"/>
  <c r="X30" i="28"/>
  <c r="AF30" i="28" s="1"/>
  <c r="T30" i="28"/>
  <c r="S30" i="28"/>
  <c r="U30" i="28" s="1"/>
  <c r="AD29" i="28"/>
  <c r="Z29" i="28"/>
  <c r="W29" i="28"/>
  <c r="Y29" i="28" s="1"/>
  <c r="T29" i="28"/>
  <c r="S29" i="28"/>
  <c r="U29" i="28" s="1"/>
  <c r="AD28" i="28"/>
  <c r="Z28" i="28"/>
  <c r="W28" i="28"/>
  <c r="AC28" i="28" s="1"/>
  <c r="T28" i="28"/>
  <c r="S28" i="28"/>
  <c r="U28" i="28" s="1"/>
  <c r="AB27" i="28"/>
  <c r="T27" i="28"/>
  <c r="Q27" i="28"/>
  <c r="W27" i="28" s="1"/>
  <c r="AE23" i="28"/>
  <c r="AA23" i="28"/>
  <c r="Y23" i="28"/>
  <c r="T23" i="28"/>
  <c r="S23" i="28"/>
  <c r="U23" i="28" s="1"/>
  <c r="AF21" i="28"/>
  <c r="AE21" i="28"/>
  <c r="AC21" i="28"/>
  <c r="AA21" i="28"/>
  <c r="Y21" i="28"/>
  <c r="T21" i="28"/>
  <c r="S21" i="28"/>
  <c r="U21" i="28" s="1"/>
  <c r="AF20" i="28"/>
  <c r="AE20" i="28"/>
  <c r="AC20" i="28"/>
  <c r="AA20" i="28"/>
  <c r="Y20" i="28"/>
  <c r="T20" i="28"/>
  <c r="S20" i="28"/>
  <c r="U20" i="28" s="1"/>
  <c r="AF10" i="28"/>
  <c r="AE10" i="28"/>
  <c r="AC10" i="28"/>
  <c r="AA10" i="28"/>
  <c r="Y10" i="28"/>
  <c r="T10" i="28"/>
  <c r="S10" i="28"/>
  <c r="U10" i="28" s="1"/>
  <c r="AF9" i="28"/>
  <c r="AE9" i="28"/>
  <c r="AC9" i="28"/>
  <c r="AA9" i="28"/>
  <c r="Y9" i="28"/>
  <c r="T9" i="28"/>
  <c r="S9" i="28"/>
  <c r="U9" i="28" s="1"/>
  <c r="AF8" i="28"/>
  <c r="AE8" i="28"/>
  <c r="AC8" i="28"/>
  <c r="AA8" i="28"/>
  <c r="Y8" i="28"/>
  <c r="T8" i="28"/>
  <c r="S8" i="28"/>
  <c r="U8" i="28" s="1"/>
  <c r="AF7" i="28"/>
  <c r="AE7" i="28"/>
  <c r="AC7" i="28"/>
  <c r="AA7" i="28"/>
  <c r="Y7" i="28"/>
  <c r="T7" i="28"/>
  <c r="S7" i="28"/>
  <c r="U7" i="28" s="1"/>
  <c r="AF6" i="28"/>
  <c r="AE6" i="28"/>
  <c r="AC6" i="28"/>
  <c r="AA6" i="28"/>
  <c r="Y6" i="28"/>
  <c r="T6" i="28"/>
  <c r="S6" i="28"/>
  <c r="U6" i="28" s="1"/>
  <c r="AF5" i="28"/>
  <c r="AE5" i="28"/>
  <c r="AC5" i="28"/>
  <c r="AA5" i="28"/>
  <c r="Y5" i="28"/>
  <c r="T5" i="28"/>
  <c r="S5" i="28"/>
  <c r="U5" i="28" s="1"/>
  <c r="C9" i="27"/>
  <c r="B9" i="27"/>
  <c r="C8" i="27"/>
  <c r="B8" i="27"/>
  <c r="C7" i="27"/>
  <c r="B7" i="27"/>
  <c r="AB34" i="26"/>
  <c r="AD34" i="26" s="1"/>
  <c r="AE34" i="26" s="1"/>
  <c r="Y34" i="26"/>
  <c r="W34" i="26"/>
  <c r="AA34" i="26" s="1"/>
  <c r="V34" i="26"/>
  <c r="T34" i="26"/>
  <c r="S34" i="26"/>
  <c r="U34" i="26" s="1"/>
  <c r="Q34" i="26"/>
  <c r="Z33" i="26"/>
  <c r="AA33" i="26" s="1"/>
  <c r="Y33" i="26"/>
  <c r="T33" i="26"/>
  <c r="S33" i="26"/>
  <c r="U33" i="26" s="1"/>
  <c r="AE32" i="26"/>
  <c r="AC32" i="26"/>
  <c r="AA32" i="26"/>
  <c r="X32" i="26"/>
  <c r="AF32" i="26" s="1"/>
  <c r="T32" i="26"/>
  <c r="S32" i="26"/>
  <c r="U32" i="26" s="1"/>
  <c r="AD31" i="26"/>
  <c r="Z31" i="26"/>
  <c r="W31" i="26"/>
  <c r="Y31" i="26" s="1"/>
  <c r="T31" i="26"/>
  <c r="S31" i="26"/>
  <c r="U31" i="26" s="1"/>
  <c r="AD30" i="26"/>
  <c r="AE30" i="26" s="1"/>
  <c r="Z30" i="26"/>
  <c r="W30" i="26"/>
  <c r="AC30" i="26" s="1"/>
  <c r="T30" i="26"/>
  <c r="S30" i="26"/>
  <c r="U30" i="26" s="1"/>
  <c r="AB29" i="26"/>
  <c r="T29" i="26"/>
  <c r="Q29" i="26"/>
  <c r="W29" i="26" s="1"/>
  <c r="AF25" i="26"/>
  <c r="AE25" i="26"/>
  <c r="AC25" i="26"/>
  <c r="AA25" i="26"/>
  <c r="Y25" i="26"/>
  <c r="T25" i="26"/>
  <c r="S25" i="26"/>
  <c r="U25" i="26" s="1"/>
  <c r="AF23" i="26"/>
  <c r="AE23" i="26"/>
  <c r="AC23" i="26"/>
  <c r="AA23" i="26"/>
  <c r="Y23" i="26"/>
  <c r="T23" i="26"/>
  <c r="S23" i="26"/>
  <c r="U23" i="26" s="1"/>
  <c r="AF22" i="26"/>
  <c r="AE22" i="26"/>
  <c r="AC22" i="26"/>
  <c r="AA22" i="26"/>
  <c r="Y22" i="26"/>
  <c r="T22" i="26"/>
  <c r="S22" i="26"/>
  <c r="U22" i="26" s="1"/>
  <c r="AF10" i="26"/>
  <c r="AE10" i="26"/>
  <c r="AC10" i="26"/>
  <c r="AA10" i="26"/>
  <c r="Y10" i="26"/>
  <c r="T10" i="26"/>
  <c r="S10" i="26"/>
  <c r="U10" i="26" s="1"/>
  <c r="AF9" i="26"/>
  <c r="AE9" i="26"/>
  <c r="AC9" i="26"/>
  <c r="AA9" i="26"/>
  <c r="Y9" i="26"/>
  <c r="T9" i="26"/>
  <c r="S9" i="26"/>
  <c r="U9" i="26" s="1"/>
  <c r="AF8" i="26"/>
  <c r="AE8" i="26"/>
  <c r="AC8" i="26"/>
  <c r="AA8" i="26"/>
  <c r="Y8" i="26"/>
  <c r="T8" i="26"/>
  <c r="S8" i="26"/>
  <c r="U8" i="26" s="1"/>
  <c r="AF7" i="26"/>
  <c r="AE7" i="26"/>
  <c r="AC7" i="26"/>
  <c r="AA7" i="26"/>
  <c r="Y7" i="26"/>
  <c r="T7" i="26"/>
  <c r="S7" i="26"/>
  <c r="U7" i="26" s="1"/>
  <c r="AF6" i="26"/>
  <c r="AE6" i="26"/>
  <c r="AC6" i="26"/>
  <c r="AA6" i="26"/>
  <c r="Y6" i="26"/>
  <c r="T6" i="26"/>
  <c r="S6" i="26"/>
  <c r="U6" i="26" s="1"/>
  <c r="AF5" i="26"/>
  <c r="AE5" i="26"/>
  <c r="AC5" i="26"/>
  <c r="AA5" i="26"/>
  <c r="Y5" i="26"/>
  <c r="T5" i="26"/>
  <c r="S5" i="26"/>
  <c r="U5" i="26" s="1"/>
  <c r="C9" i="25"/>
  <c r="B9" i="25"/>
  <c r="C8" i="25"/>
  <c r="B8" i="25"/>
  <c r="C7" i="25"/>
  <c r="B7" i="25"/>
  <c r="B10" i="25" s="1"/>
  <c r="B10" i="31" l="1"/>
  <c r="AC34" i="34"/>
  <c r="C10" i="31"/>
  <c r="AG21" i="36"/>
  <c r="AH21" i="36" s="1"/>
  <c r="AG7" i="34"/>
  <c r="AH7" i="34" s="1"/>
  <c r="AG8" i="34"/>
  <c r="AF31" i="34"/>
  <c r="AF30" i="34"/>
  <c r="C10" i="33"/>
  <c r="AG9" i="32"/>
  <c r="AH9" i="32" s="1"/>
  <c r="AG10" i="32"/>
  <c r="AH10" i="32" s="1"/>
  <c r="AF29" i="32"/>
  <c r="AE29" i="32"/>
  <c r="C10" i="29"/>
  <c r="AF28" i="28"/>
  <c r="AH12" i="28"/>
  <c r="AE29" i="28"/>
  <c r="AF29" i="28"/>
  <c r="AG20" i="28"/>
  <c r="AH20" i="28" s="1"/>
  <c r="AE32" i="28"/>
  <c r="C10" i="27"/>
  <c r="AF30" i="26"/>
  <c r="AF31" i="26"/>
  <c r="AG22" i="26"/>
  <c r="AH22" i="26" s="1"/>
  <c r="C10" i="25"/>
  <c r="AG9" i="26"/>
  <c r="AH9" i="26" s="1"/>
  <c r="AG10" i="26"/>
  <c r="AG5" i="26"/>
  <c r="AH5" i="26" s="1"/>
  <c r="AG7" i="28"/>
  <c r="AH7" i="28" s="1"/>
  <c r="AG8" i="28"/>
  <c r="AH8" i="28" s="1"/>
  <c r="Y28" i="28"/>
  <c r="AE34" i="30"/>
  <c r="AF28" i="32"/>
  <c r="AA34" i="34"/>
  <c r="AG23" i="34"/>
  <c r="AH23" i="34" s="1"/>
  <c r="AG25" i="34"/>
  <c r="AG5" i="28"/>
  <c r="AH5" i="28" s="1"/>
  <c r="AA32" i="28"/>
  <c r="AE30" i="34"/>
  <c r="AH12" i="26"/>
  <c r="Y30" i="26"/>
  <c r="AG21" i="28"/>
  <c r="AH21" i="28" s="1"/>
  <c r="Y34" i="30"/>
  <c r="AH12" i="32"/>
  <c r="AH16" i="32"/>
  <c r="AF27" i="32"/>
  <c r="AE28" i="32"/>
  <c r="AG9" i="34"/>
  <c r="AG10" i="34"/>
  <c r="AH10" i="34" s="1"/>
  <c r="AF29" i="34"/>
  <c r="AG6" i="36"/>
  <c r="AH6" i="36" s="1"/>
  <c r="AG10" i="36"/>
  <c r="AH10" i="36" s="1"/>
  <c r="AH12" i="36"/>
  <c r="AG6" i="26"/>
  <c r="AH6" i="26" s="1"/>
  <c r="AG23" i="26"/>
  <c r="S29" i="26"/>
  <c r="U29" i="26" s="1"/>
  <c r="AG23" i="28"/>
  <c r="AH23" i="28" s="1"/>
  <c r="AH22" i="28" s="1"/>
  <c r="AF32" i="28"/>
  <c r="AG5" i="32"/>
  <c r="AH5" i="32" s="1"/>
  <c r="AG6" i="32"/>
  <c r="AH6" i="32" s="1"/>
  <c r="AG20" i="32"/>
  <c r="AH20" i="32" s="1"/>
  <c r="AG21" i="32"/>
  <c r="AH21" i="32" s="1"/>
  <c r="AH12" i="34"/>
  <c r="AA31" i="34"/>
  <c r="AG23" i="36"/>
  <c r="AH23" i="36" s="1"/>
  <c r="AH22" i="36" s="1"/>
  <c r="AF28" i="36"/>
  <c r="AG7" i="26"/>
  <c r="AH7" i="26" s="1"/>
  <c r="AG8" i="26"/>
  <c r="AH8" i="26" s="1"/>
  <c r="AG25" i="26"/>
  <c r="AH25" i="26" s="1"/>
  <c r="AH24" i="26" s="1"/>
  <c r="AF29" i="26"/>
  <c r="AB33" i="26"/>
  <c r="AF34" i="26"/>
  <c r="AG9" i="28"/>
  <c r="AH9" i="28" s="1"/>
  <c r="AG10" i="28"/>
  <c r="AH10" i="28" s="1"/>
  <c r="AC27" i="28"/>
  <c r="AE28" i="28"/>
  <c r="AG7" i="32"/>
  <c r="AH7" i="32" s="1"/>
  <c r="AG8" i="32"/>
  <c r="AH8" i="32" s="1"/>
  <c r="AG23" i="32"/>
  <c r="AH23" i="32" s="1"/>
  <c r="AH22" i="32" s="1"/>
  <c r="Y28" i="32"/>
  <c r="AG31" i="32"/>
  <c r="AH31" i="32" s="1"/>
  <c r="AG5" i="34"/>
  <c r="AH5" i="34" s="1"/>
  <c r="AG6" i="34"/>
  <c r="AH6" i="34" s="1"/>
  <c r="AH8" i="34"/>
  <c r="AG22" i="34"/>
  <c r="AH25" i="34"/>
  <c r="AH24" i="34" s="1"/>
  <c r="S29" i="34"/>
  <c r="U29" i="34" s="1"/>
  <c r="Y32" i="34"/>
  <c r="AG32" i="34" s="1"/>
  <c r="AH32" i="34" s="1"/>
  <c r="AG33" i="34"/>
  <c r="AH33" i="34" s="1"/>
  <c r="AH17" i="26"/>
  <c r="AG6" i="28"/>
  <c r="AH6" i="28" s="1"/>
  <c r="AH16" i="28"/>
  <c r="AF27" i="28"/>
  <c r="AF31" i="28"/>
  <c r="AE31" i="34"/>
  <c r="B10" i="27"/>
  <c r="AA28" i="36"/>
  <c r="AE28" i="36"/>
  <c r="AF29" i="36"/>
  <c r="Y30" i="36"/>
  <c r="AG30" i="36" s="1"/>
  <c r="AH30" i="36" s="1"/>
  <c r="AG31" i="36"/>
  <c r="AH31" i="36" s="1"/>
  <c r="Y32" i="36"/>
  <c r="AF32" i="36"/>
  <c r="AG5" i="36"/>
  <c r="AH5" i="36" s="1"/>
  <c r="AG7" i="36"/>
  <c r="AH7" i="36" s="1"/>
  <c r="AG8" i="36"/>
  <c r="AH8" i="36" s="1"/>
  <c r="AG9" i="36"/>
  <c r="AH9" i="36" s="1"/>
  <c r="AH16" i="36"/>
  <c r="AG20" i="36"/>
  <c r="AH20" i="36" s="1"/>
  <c r="S27" i="36"/>
  <c r="U27" i="36" s="1"/>
  <c r="Y29" i="36"/>
  <c r="AF30" i="30"/>
  <c r="AG5" i="30"/>
  <c r="AH5" i="30" s="1"/>
  <c r="AG8" i="30"/>
  <c r="AH8" i="30" s="1"/>
  <c r="AG9" i="30"/>
  <c r="AH9" i="30" s="1"/>
  <c r="AG25" i="30"/>
  <c r="AH25" i="30" s="1"/>
  <c r="AH24" i="30" s="1"/>
  <c r="Y31" i="30"/>
  <c r="AE31" i="30"/>
  <c r="AG6" i="30"/>
  <c r="AH6" i="30" s="1"/>
  <c r="AG7" i="30"/>
  <c r="AH7" i="30" s="1"/>
  <c r="AG10" i="30"/>
  <c r="AH10" i="30" s="1"/>
  <c r="AH12" i="30"/>
  <c r="AG22" i="30"/>
  <c r="AH22" i="30" s="1"/>
  <c r="AG23" i="30"/>
  <c r="AH23" i="30" s="1"/>
  <c r="Y30" i="30"/>
  <c r="AG33" i="30"/>
  <c r="AH33" i="30" s="1"/>
  <c r="AF34" i="30"/>
  <c r="AE30" i="30"/>
  <c r="Y27" i="36"/>
  <c r="AC27" i="36"/>
  <c r="AA27" i="36"/>
  <c r="AE27" i="36"/>
  <c r="AH23" i="26"/>
  <c r="AC29" i="26"/>
  <c r="AH17" i="30"/>
  <c r="AH9" i="34"/>
  <c r="AH22" i="34"/>
  <c r="AE29" i="34"/>
  <c r="AF27" i="36"/>
  <c r="Y29" i="26"/>
  <c r="AE29" i="26"/>
  <c r="AA29" i="26"/>
  <c r="Y27" i="32"/>
  <c r="AE27" i="32"/>
  <c r="AA27" i="32"/>
  <c r="AA29" i="34"/>
  <c r="AC29" i="34"/>
  <c r="Y29" i="34"/>
  <c r="Y27" i="28"/>
  <c r="AE27" i="28"/>
  <c r="AA27" i="28"/>
  <c r="AH10" i="26"/>
  <c r="AC27" i="32"/>
  <c r="AH17" i="34"/>
  <c r="AC29" i="28"/>
  <c r="AC29" i="32"/>
  <c r="AC32" i="32"/>
  <c r="AC30" i="34"/>
  <c r="AA29" i="28"/>
  <c r="AC34" i="30"/>
  <c r="AG34" i="30" s="1"/>
  <c r="AH34" i="30" s="1"/>
  <c r="AA30" i="26"/>
  <c r="AG30" i="26" s="1"/>
  <c r="AH30" i="26" s="1"/>
  <c r="AE31" i="26"/>
  <c r="Y32" i="26"/>
  <c r="AG32" i="26" s="1"/>
  <c r="AH32" i="26" s="1"/>
  <c r="S27" i="28"/>
  <c r="U27" i="28" s="1"/>
  <c r="AA28" i="28"/>
  <c r="Y30" i="28"/>
  <c r="AG30" i="28" s="1"/>
  <c r="AH30" i="28" s="1"/>
  <c r="AA31" i="28"/>
  <c r="AG31" i="28" s="1"/>
  <c r="AH31" i="28" s="1"/>
  <c r="AC32" i="28"/>
  <c r="AA31" i="30"/>
  <c r="AF31" i="30"/>
  <c r="S27" i="32"/>
  <c r="U27" i="32" s="1"/>
  <c r="AA28" i="32"/>
  <c r="Y30" i="32"/>
  <c r="AG30" i="32" s="1"/>
  <c r="AH30" i="32" s="1"/>
  <c r="AA32" i="32"/>
  <c r="Y31" i="34"/>
  <c r="AD34" i="34"/>
  <c r="Y28" i="36"/>
  <c r="AC32" i="36"/>
  <c r="AC31" i="26"/>
  <c r="W29" i="30"/>
  <c r="AA31" i="26"/>
  <c r="AC34" i="26"/>
  <c r="AG34" i="26" s="1"/>
  <c r="AH34" i="26" s="1"/>
  <c r="AA29" i="32"/>
  <c r="AF32" i="32"/>
  <c r="AA30" i="34"/>
  <c r="AA30" i="30"/>
  <c r="AG30" i="30" s="1"/>
  <c r="AH30" i="30" s="1"/>
  <c r="Y32" i="30"/>
  <c r="AG32" i="30" s="1"/>
  <c r="AH32" i="30" s="1"/>
  <c r="AA29" i="36"/>
  <c r="AG31" i="30" l="1"/>
  <c r="AH31" i="30" s="1"/>
  <c r="AG28" i="36"/>
  <c r="AH28" i="36" s="1"/>
  <c r="AG32" i="36"/>
  <c r="AH32" i="36" s="1"/>
  <c r="AG29" i="36"/>
  <c r="AH29" i="36" s="1"/>
  <c r="AG31" i="34"/>
  <c r="AH31" i="34" s="1"/>
  <c r="AG28" i="32"/>
  <c r="AH28" i="32" s="1"/>
  <c r="AG32" i="28"/>
  <c r="AH32" i="28" s="1"/>
  <c r="AG28" i="28"/>
  <c r="AH28" i="28" s="1"/>
  <c r="AG31" i="26"/>
  <c r="AH31" i="26" s="1"/>
  <c r="AG32" i="32"/>
  <c r="AH32" i="32" s="1"/>
  <c r="AG29" i="32"/>
  <c r="AH29" i="32" s="1"/>
  <c r="AH4" i="28"/>
  <c r="AH11" i="32"/>
  <c r="AH25" i="32" s="1"/>
  <c r="AG29" i="28"/>
  <c r="AH29" i="28" s="1"/>
  <c r="AH4" i="26"/>
  <c r="AH4" i="34"/>
  <c r="AD33" i="26"/>
  <c r="AC33" i="26"/>
  <c r="AG30" i="34"/>
  <c r="AH30" i="34" s="1"/>
  <c r="AH11" i="26"/>
  <c r="AH27" i="26" s="1"/>
  <c r="AH11" i="34"/>
  <c r="AH27" i="34" s="1"/>
  <c r="AH11" i="36"/>
  <c r="AH25" i="36" s="1"/>
  <c r="AH4" i="30"/>
  <c r="AH11" i="30"/>
  <c r="AH27" i="30" s="1"/>
  <c r="AA29" i="30"/>
  <c r="Y29" i="30"/>
  <c r="AE34" i="34"/>
  <c r="AG34" i="34" s="1"/>
  <c r="AH34" i="34" s="1"/>
  <c r="AF34" i="34"/>
  <c r="AE29" i="30"/>
  <c r="AF29" i="30"/>
  <c r="AC29" i="30"/>
  <c r="AG29" i="34"/>
  <c r="AH29" i="34" s="1"/>
  <c r="AG29" i="26"/>
  <c r="AH29" i="26" s="1"/>
  <c r="AH4" i="36"/>
  <c r="AG27" i="36"/>
  <c r="AH27" i="36" s="1"/>
  <c r="AH4" i="32"/>
  <c r="AH11" i="28"/>
  <c r="AG27" i="28"/>
  <c r="AH27" i="28" s="1"/>
  <c r="AG27" i="32"/>
  <c r="AH27" i="32" s="1"/>
  <c r="AH33" i="36" l="1"/>
  <c r="AI33" i="36" s="1"/>
  <c r="AH33" i="32"/>
  <c r="B12" i="31" s="1"/>
  <c r="B13" i="31" s="1"/>
  <c r="B14" i="31" s="1"/>
  <c r="AH33" i="28"/>
  <c r="AI33" i="28" s="1"/>
  <c r="AH24" i="28"/>
  <c r="AH24" i="36"/>
  <c r="AH26" i="34"/>
  <c r="AH24" i="32"/>
  <c r="AH26" i="26"/>
  <c r="AH25" i="28"/>
  <c r="AH35" i="34"/>
  <c r="AE33" i="26"/>
  <c r="AG33" i="26" s="1"/>
  <c r="AH33" i="26" s="1"/>
  <c r="AH35" i="26" s="1"/>
  <c r="AF33" i="26"/>
  <c r="AH26" i="30"/>
  <c r="AG29" i="30"/>
  <c r="AH29" i="30" s="1"/>
  <c r="AH35" i="30" s="1"/>
  <c r="B12" i="35" l="1"/>
  <c r="B13" i="35" s="1"/>
  <c r="B14" i="35" s="1"/>
  <c r="AI33" i="32"/>
  <c r="AI34" i="32" s="1"/>
  <c r="B12" i="27"/>
  <c r="B13" i="27" s="1"/>
  <c r="B14" i="27" s="1"/>
  <c r="B12" i="25"/>
  <c r="B13" i="25" s="1"/>
  <c r="B14" i="25" s="1"/>
  <c r="AI35" i="26"/>
  <c r="B12" i="29"/>
  <c r="B13" i="29" s="1"/>
  <c r="B14" i="29" s="1"/>
  <c r="AI35" i="30"/>
  <c r="C12" i="35"/>
  <c r="C13" i="35" s="1"/>
  <c r="C14" i="35" s="1"/>
  <c r="AI34" i="36"/>
  <c r="C12" i="31"/>
  <c r="C13" i="31" s="1"/>
  <c r="C14" i="31" s="1"/>
  <c r="C12" i="27"/>
  <c r="C13" i="27" s="1"/>
  <c r="C14" i="27" s="1"/>
  <c r="AI34" i="28"/>
  <c r="B12" i="33"/>
  <c r="B13" i="33" s="1"/>
  <c r="B14" i="33" s="1"/>
  <c r="AI35" i="34"/>
  <c r="C12" i="25" l="1"/>
  <c r="C13" i="25" s="1"/>
  <c r="C14" i="25" s="1"/>
  <c r="AI36" i="26"/>
  <c r="C12" i="33"/>
  <c r="C13" i="33" s="1"/>
  <c r="C14" i="33" s="1"/>
  <c r="AI36" i="34"/>
  <c r="C12" i="29"/>
  <c r="C13" i="29" s="1"/>
  <c r="C14" i="29" s="1"/>
  <c r="AI36" i="30"/>
  <c r="Z34" i="24"/>
  <c r="AB34" i="24" s="1"/>
  <c r="X34" i="24"/>
  <c r="W34" i="24"/>
  <c r="V34" i="24"/>
  <c r="T34" i="24"/>
  <c r="Q34" i="24"/>
  <c r="S34" i="24" s="1"/>
  <c r="U34" i="24" s="1"/>
  <c r="Z33" i="24"/>
  <c r="AB33" i="24" s="1"/>
  <c r="AD33" i="24" s="1"/>
  <c r="AE33" i="24" s="1"/>
  <c r="Y33" i="24"/>
  <c r="T33" i="24"/>
  <c r="S33" i="24"/>
  <c r="U33" i="24" s="1"/>
  <c r="AE32" i="24"/>
  <c r="AC32" i="24"/>
  <c r="AA32" i="24"/>
  <c r="X32" i="24"/>
  <c r="AF32" i="24" s="1"/>
  <c r="T32" i="24"/>
  <c r="S32" i="24"/>
  <c r="U32" i="24" s="1"/>
  <c r="AD31" i="24"/>
  <c r="Z31" i="24"/>
  <c r="W31" i="24"/>
  <c r="AC31" i="24" s="1"/>
  <c r="T31" i="24"/>
  <c r="S31" i="24"/>
  <c r="U31" i="24" s="1"/>
  <c r="AD30" i="24"/>
  <c r="AF30" i="24" s="1"/>
  <c r="W30" i="24"/>
  <c r="AC30" i="24" s="1"/>
  <c r="T30" i="24"/>
  <c r="S30" i="24"/>
  <c r="U30" i="24" s="1"/>
  <c r="W29" i="24"/>
  <c r="AA29" i="24" s="1"/>
  <c r="Q29" i="24"/>
  <c r="AF25" i="24"/>
  <c r="AE25" i="24"/>
  <c r="AC25" i="24"/>
  <c r="AA25" i="24"/>
  <c r="Y25" i="24"/>
  <c r="U25" i="24"/>
  <c r="T25" i="24"/>
  <c r="S25" i="24"/>
  <c r="AF23" i="24"/>
  <c r="AE23" i="24"/>
  <c r="AC23" i="24"/>
  <c r="AA23" i="24"/>
  <c r="Y23" i="24"/>
  <c r="T23" i="24"/>
  <c r="S23" i="24"/>
  <c r="U23" i="24" s="1"/>
  <c r="AF22" i="24"/>
  <c r="AE22" i="24"/>
  <c r="AC22" i="24"/>
  <c r="AA22" i="24"/>
  <c r="Y22" i="24"/>
  <c r="T22" i="24"/>
  <c r="S22" i="24"/>
  <c r="U22" i="24" s="1"/>
  <c r="AF10" i="24"/>
  <c r="AE10" i="24"/>
  <c r="AC10" i="24"/>
  <c r="AA10" i="24"/>
  <c r="Y10" i="24"/>
  <c r="T10" i="24"/>
  <c r="S10" i="24"/>
  <c r="U10" i="24" s="1"/>
  <c r="AF9" i="24"/>
  <c r="AE9" i="24"/>
  <c r="AC9" i="24"/>
  <c r="AA9" i="24"/>
  <c r="Y9" i="24"/>
  <c r="T9" i="24"/>
  <c r="S9" i="24"/>
  <c r="U9" i="24" s="1"/>
  <c r="AF8" i="24"/>
  <c r="AE8" i="24"/>
  <c r="AC8" i="24"/>
  <c r="AA8" i="24"/>
  <c r="Y8" i="24"/>
  <c r="T8" i="24"/>
  <c r="S8" i="24"/>
  <c r="U8" i="24" s="1"/>
  <c r="AF7" i="24"/>
  <c r="AE7" i="24"/>
  <c r="AC7" i="24"/>
  <c r="AA7" i="24"/>
  <c r="Y7" i="24"/>
  <c r="T7" i="24"/>
  <c r="S7" i="24"/>
  <c r="U7" i="24" s="1"/>
  <c r="AF6" i="24"/>
  <c r="AE6" i="24"/>
  <c r="AC6" i="24"/>
  <c r="AA6" i="24"/>
  <c r="Y6" i="24"/>
  <c r="T6" i="24"/>
  <c r="S6" i="24"/>
  <c r="U6" i="24" s="1"/>
  <c r="AF5" i="24"/>
  <c r="AE5" i="24"/>
  <c r="AC5" i="24"/>
  <c r="AA5" i="24"/>
  <c r="Y5" i="24"/>
  <c r="T5" i="24"/>
  <c r="S5" i="24"/>
  <c r="U5" i="24" s="1"/>
  <c r="C9" i="23"/>
  <c r="B9" i="23"/>
  <c r="C8" i="23"/>
  <c r="B8" i="23"/>
  <c r="C7" i="23"/>
  <c r="B7" i="23"/>
  <c r="B10" i="23" s="1"/>
  <c r="Z34" i="22"/>
  <c r="AB34" i="22" s="1"/>
  <c r="AD34" i="22" s="1"/>
  <c r="X34" i="22"/>
  <c r="W34" i="22"/>
  <c r="V34" i="22"/>
  <c r="T34" i="22"/>
  <c r="Q34" i="22"/>
  <c r="S34" i="22" s="1"/>
  <c r="U34" i="22" s="1"/>
  <c r="Z33" i="22"/>
  <c r="AA33" i="22" s="1"/>
  <c r="Y33" i="22"/>
  <c r="T33" i="22"/>
  <c r="S33" i="22"/>
  <c r="U33" i="22" s="1"/>
  <c r="AE32" i="22"/>
  <c r="AC32" i="22"/>
  <c r="AA32" i="22"/>
  <c r="X32" i="22"/>
  <c r="AF32" i="22" s="1"/>
  <c r="T32" i="22"/>
  <c r="S32" i="22"/>
  <c r="U32" i="22" s="1"/>
  <c r="AD31" i="22"/>
  <c r="Z31" i="22"/>
  <c r="W31" i="22"/>
  <c r="AC31" i="22" s="1"/>
  <c r="T31" i="22"/>
  <c r="S31" i="22"/>
  <c r="U31" i="22" s="1"/>
  <c r="AD30" i="22"/>
  <c r="AF30" i="22" s="1"/>
  <c r="W30" i="22"/>
  <c r="AA30" i="22" s="1"/>
  <c r="T30" i="22"/>
  <c r="S30" i="22"/>
  <c r="U30" i="22" s="1"/>
  <c r="AB29" i="22"/>
  <c r="T29" i="22"/>
  <c r="Q29" i="22"/>
  <c r="W29" i="22" s="1"/>
  <c r="AF25" i="22"/>
  <c r="AE25" i="22"/>
  <c r="AC25" i="22"/>
  <c r="AA25" i="22"/>
  <c r="Y25" i="22"/>
  <c r="T25" i="22"/>
  <c r="S25" i="22"/>
  <c r="U25" i="22" s="1"/>
  <c r="AF23" i="22"/>
  <c r="AE23" i="22"/>
  <c r="AC23" i="22"/>
  <c r="AA23" i="22"/>
  <c r="Y23" i="22"/>
  <c r="T23" i="22"/>
  <c r="S23" i="22"/>
  <c r="U23" i="22" s="1"/>
  <c r="AF22" i="22"/>
  <c r="AE22" i="22"/>
  <c r="AC22" i="22"/>
  <c r="AA22" i="22"/>
  <c r="Y22" i="22"/>
  <c r="T22" i="22"/>
  <c r="S22" i="22"/>
  <c r="U22" i="22" s="1"/>
  <c r="AF10" i="22"/>
  <c r="AE10" i="22"/>
  <c r="AC10" i="22"/>
  <c r="AA10" i="22"/>
  <c r="Y10" i="22"/>
  <c r="T10" i="22"/>
  <c r="S10" i="22"/>
  <c r="U10" i="22" s="1"/>
  <c r="AF9" i="22"/>
  <c r="AE9" i="22"/>
  <c r="AC9" i="22"/>
  <c r="AA9" i="22"/>
  <c r="Y9" i="22"/>
  <c r="T9" i="22"/>
  <c r="S9" i="22"/>
  <c r="U9" i="22" s="1"/>
  <c r="AF8" i="22"/>
  <c r="AE8" i="22"/>
  <c r="AC8" i="22"/>
  <c r="AA8" i="22"/>
  <c r="Y8" i="22"/>
  <c r="T8" i="22"/>
  <c r="S8" i="22"/>
  <c r="U8" i="22" s="1"/>
  <c r="AF7" i="22"/>
  <c r="AE7" i="22"/>
  <c r="AC7" i="22"/>
  <c r="AA7" i="22"/>
  <c r="Y7" i="22"/>
  <c r="T7" i="22"/>
  <c r="S7" i="22"/>
  <c r="U7" i="22" s="1"/>
  <c r="AF6" i="22"/>
  <c r="AE6" i="22"/>
  <c r="AC6" i="22"/>
  <c r="AA6" i="22"/>
  <c r="Y6" i="22"/>
  <c r="T6" i="22"/>
  <c r="S6" i="22"/>
  <c r="U6" i="22" s="1"/>
  <c r="AF5" i="22"/>
  <c r="AE5" i="22"/>
  <c r="AC5" i="22"/>
  <c r="AA5" i="22"/>
  <c r="Y5" i="22"/>
  <c r="T5" i="22"/>
  <c r="S5" i="22"/>
  <c r="U5" i="22" s="1"/>
  <c r="C9" i="21"/>
  <c r="B9" i="21"/>
  <c r="C8" i="21"/>
  <c r="B8" i="21"/>
  <c r="C7" i="21"/>
  <c r="B7" i="21"/>
  <c r="Z34" i="20"/>
  <c r="X34" i="20"/>
  <c r="W34" i="20"/>
  <c r="V34" i="20"/>
  <c r="T34" i="20"/>
  <c r="Q34" i="20"/>
  <c r="S34" i="20" s="1"/>
  <c r="U34" i="20" s="1"/>
  <c r="Z33" i="20"/>
  <c r="Y33" i="20"/>
  <c r="T33" i="20"/>
  <c r="S33" i="20"/>
  <c r="U33" i="20" s="1"/>
  <c r="AE32" i="20"/>
  <c r="AC32" i="20"/>
  <c r="AA32" i="20"/>
  <c r="X32" i="20"/>
  <c r="AF32" i="20" s="1"/>
  <c r="T32" i="20"/>
  <c r="S32" i="20"/>
  <c r="U32" i="20" s="1"/>
  <c r="AD31" i="20"/>
  <c r="Z31" i="20"/>
  <c r="W31" i="20"/>
  <c r="AC31" i="20" s="1"/>
  <c r="T31" i="20"/>
  <c r="S31" i="20"/>
  <c r="U31" i="20" s="1"/>
  <c r="AD30" i="20"/>
  <c r="AF30" i="20" s="1"/>
  <c r="W30" i="20"/>
  <c r="AA30" i="20" s="1"/>
  <c r="T30" i="20"/>
  <c r="S30" i="20"/>
  <c r="U30" i="20" s="1"/>
  <c r="AB29" i="20"/>
  <c r="Q29" i="20"/>
  <c r="W29" i="20" s="1"/>
  <c r="AF25" i="20"/>
  <c r="AE25" i="20"/>
  <c r="AC25" i="20"/>
  <c r="AA25" i="20"/>
  <c r="Y25" i="20"/>
  <c r="T25" i="20"/>
  <c r="S25" i="20"/>
  <c r="U25" i="20" s="1"/>
  <c r="AF23" i="20"/>
  <c r="AE23" i="20"/>
  <c r="AC23" i="20"/>
  <c r="AA23" i="20"/>
  <c r="Y23" i="20"/>
  <c r="AG23" i="20" s="1"/>
  <c r="T23" i="20"/>
  <c r="S23" i="20"/>
  <c r="U23" i="20" s="1"/>
  <c r="AF22" i="20"/>
  <c r="AE22" i="20"/>
  <c r="AC22" i="20"/>
  <c r="AA22" i="20"/>
  <c r="Y22" i="20"/>
  <c r="T22" i="20"/>
  <c r="S22" i="20"/>
  <c r="U22" i="20" s="1"/>
  <c r="AF10" i="20"/>
  <c r="AE10" i="20"/>
  <c r="AC10" i="20"/>
  <c r="AA10" i="20"/>
  <c r="Y10" i="20"/>
  <c r="T10" i="20"/>
  <c r="S10" i="20"/>
  <c r="U10" i="20" s="1"/>
  <c r="AF9" i="20"/>
  <c r="AE9" i="20"/>
  <c r="AC9" i="20"/>
  <c r="AA9" i="20"/>
  <c r="Y9" i="20"/>
  <c r="T9" i="20"/>
  <c r="S9" i="20"/>
  <c r="U9" i="20" s="1"/>
  <c r="AF8" i="20"/>
  <c r="AE8" i="20"/>
  <c r="AC8" i="20"/>
  <c r="AA8" i="20"/>
  <c r="Y8" i="20"/>
  <c r="T8" i="20"/>
  <c r="S8" i="20"/>
  <c r="U8" i="20" s="1"/>
  <c r="AF7" i="20"/>
  <c r="AE7" i="20"/>
  <c r="AC7" i="20"/>
  <c r="AA7" i="20"/>
  <c r="Y7" i="20"/>
  <c r="T7" i="20"/>
  <c r="S7" i="20"/>
  <c r="U7" i="20" s="1"/>
  <c r="AF6" i="20"/>
  <c r="AE6" i="20"/>
  <c r="AC6" i="20"/>
  <c r="AA6" i="20"/>
  <c r="Y6" i="20"/>
  <c r="T6" i="20"/>
  <c r="S6" i="20"/>
  <c r="U6" i="20" s="1"/>
  <c r="AF5" i="20"/>
  <c r="AE5" i="20"/>
  <c r="AC5" i="20"/>
  <c r="AA5" i="20"/>
  <c r="Y5" i="20"/>
  <c r="T5" i="20"/>
  <c r="S5" i="20"/>
  <c r="U5" i="20" s="1"/>
  <c r="C9" i="19"/>
  <c r="B9" i="19"/>
  <c r="C8" i="19"/>
  <c r="B8" i="19"/>
  <c r="C7" i="19"/>
  <c r="B7" i="19"/>
  <c r="AB34" i="18"/>
  <c r="X34" i="18"/>
  <c r="W34" i="18"/>
  <c r="V34" i="18"/>
  <c r="T34" i="18"/>
  <c r="Q34" i="18"/>
  <c r="S34" i="18" s="1"/>
  <c r="U34" i="18" s="1"/>
  <c r="AE33" i="18"/>
  <c r="Z33" i="18"/>
  <c r="AB33" i="18" s="1"/>
  <c r="AC33" i="18" s="1"/>
  <c r="Y33" i="18"/>
  <c r="T33" i="18"/>
  <c r="S33" i="18"/>
  <c r="U33" i="18" s="1"/>
  <c r="AE32" i="18"/>
  <c r="AC32" i="18"/>
  <c r="AA32" i="18"/>
  <c r="X32" i="18"/>
  <c r="AF32" i="18" s="1"/>
  <c r="T32" i="18"/>
  <c r="S32" i="18"/>
  <c r="U32" i="18" s="1"/>
  <c r="AD31" i="18"/>
  <c r="Z31" i="18"/>
  <c r="AA31" i="18" s="1"/>
  <c r="W31" i="18"/>
  <c r="AC31" i="18" s="1"/>
  <c r="T31" i="18"/>
  <c r="S31" i="18"/>
  <c r="U31" i="18" s="1"/>
  <c r="AD30" i="18"/>
  <c r="AF30" i="18" s="1"/>
  <c r="W30" i="18"/>
  <c r="AA30" i="18" s="1"/>
  <c r="T30" i="18"/>
  <c r="S30" i="18"/>
  <c r="U30" i="18" s="1"/>
  <c r="AB29" i="18"/>
  <c r="Q29" i="18"/>
  <c r="W29" i="18" s="1"/>
  <c r="AF25" i="18"/>
  <c r="AE25" i="18"/>
  <c r="AC25" i="18"/>
  <c r="AA25" i="18"/>
  <c r="Y25" i="18"/>
  <c r="AG25" i="18" s="1"/>
  <c r="T25" i="18"/>
  <c r="S25" i="18"/>
  <c r="U25" i="18" s="1"/>
  <c r="AF23" i="18"/>
  <c r="AE23" i="18"/>
  <c r="AC23" i="18"/>
  <c r="AA23" i="18"/>
  <c r="Y23" i="18"/>
  <c r="T23" i="18"/>
  <c r="S23" i="18"/>
  <c r="U23" i="18" s="1"/>
  <c r="AF22" i="18"/>
  <c r="AE22" i="18"/>
  <c r="AC22" i="18"/>
  <c r="AA22" i="18"/>
  <c r="Y22" i="18"/>
  <c r="T22" i="18"/>
  <c r="S22" i="18"/>
  <c r="U22" i="18" s="1"/>
  <c r="AF10" i="18"/>
  <c r="AE10" i="18"/>
  <c r="AC10" i="18"/>
  <c r="AA10" i="18"/>
  <c r="Y10" i="18"/>
  <c r="T10" i="18"/>
  <c r="S10" i="18"/>
  <c r="U10" i="18" s="1"/>
  <c r="AF9" i="18"/>
  <c r="AE9" i="18"/>
  <c r="AC9" i="18"/>
  <c r="AA9" i="18"/>
  <c r="T9" i="18"/>
  <c r="S9" i="18"/>
  <c r="U9" i="18" s="1"/>
  <c r="AF8" i="18"/>
  <c r="AE8" i="18"/>
  <c r="AC8" i="18"/>
  <c r="AA8" i="18"/>
  <c r="Y8" i="18"/>
  <c r="T8" i="18"/>
  <c r="S8" i="18"/>
  <c r="U8" i="18" s="1"/>
  <c r="AF7" i="18"/>
  <c r="AE7" i="18"/>
  <c r="AC7" i="18"/>
  <c r="AA7" i="18"/>
  <c r="Y7" i="18"/>
  <c r="T7" i="18"/>
  <c r="S7" i="18"/>
  <c r="U7" i="18" s="1"/>
  <c r="AF6" i="18"/>
  <c r="AE6" i="18"/>
  <c r="AC6" i="18"/>
  <c r="AA6" i="18"/>
  <c r="Y6" i="18"/>
  <c r="T6" i="18"/>
  <c r="S6" i="18"/>
  <c r="U6" i="18" s="1"/>
  <c r="AF5" i="18"/>
  <c r="AE5" i="18"/>
  <c r="AC5" i="18"/>
  <c r="AA5" i="18"/>
  <c r="Y5" i="18"/>
  <c r="T5" i="18"/>
  <c r="S5" i="18"/>
  <c r="U5" i="18" s="1"/>
  <c r="C9" i="17"/>
  <c r="B9" i="17"/>
  <c r="C8" i="17"/>
  <c r="B8" i="17"/>
  <c r="C7" i="17"/>
  <c r="B7" i="17"/>
  <c r="Z38" i="16"/>
  <c r="AB38" i="16" s="1"/>
  <c r="R33" i="16"/>
  <c r="X38" i="16"/>
  <c r="W38" i="16"/>
  <c r="V38" i="16"/>
  <c r="T38" i="16"/>
  <c r="Q38" i="16"/>
  <c r="S38" i="16" s="1"/>
  <c r="U38" i="16" s="1"/>
  <c r="AE37" i="16"/>
  <c r="Z37" i="16"/>
  <c r="AB37" i="16" s="1"/>
  <c r="Y37" i="16"/>
  <c r="T37" i="16"/>
  <c r="S37" i="16"/>
  <c r="U37" i="16" s="1"/>
  <c r="AE36" i="16"/>
  <c r="AC36" i="16"/>
  <c r="AA36" i="16"/>
  <c r="X36" i="16"/>
  <c r="AF36" i="16" s="1"/>
  <c r="T36" i="16"/>
  <c r="S36" i="16"/>
  <c r="U36" i="16" s="1"/>
  <c r="AD35" i="16"/>
  <c r="Z35" i="16"/>
  <c r="W35" i="16"/>
  <c r="AC35" i="16" s="1"/>
  <c r="T35" i="16"/>
  <c r="S35" i="16"/>
  <c r="U35" i="16" s="1"/>
  <c r="AD34" i="16"/>
  <c r="AF34" i="16" s="1"/>
  <c r="W34" i="16"/>
  <c r="AC34" i="16" s="1"/>
  <c r="T34" i="16"/>
  <c r="S34" i="16"/>
  <c r="U34" i="16" s="1"/>
  <c r="AB33" i="16"/>
  <c r="Q33" i="16"/>
  <c r="W33" i="16" s="1"/>
  <c r="AF29" i="16"/>
  <c r="AE29" i="16"/>
  <c r="AC29" i="16"/>
  <c r="AA29" i="16"/>
  <c r="Y29" i="16"/>
  <c r="T29" i="16"/>
  <c r="S29" i="16"/>
  <c r="U29" i="16" s="1"/>
  <c r="AF27" i="16"/>
  <c r="AE27" i="16"/>
  <c r="AC27" i="16"/>
  <c r="AA27" i="16"/>
  <c r="Y27" i="16"/>
  <c r="T27" i="16"/>
  <c r="S27" i="16"/>
  <c r="U27" i="16" s="1"/>
  <c r="AF26" i="16"/>
  <c r="AE26" i="16"/>
  <c r="AC26" i="16"/>
  <c r="AA26" i="16"/>
  <c r="Y26" i="16"/>
  <c r="T26" i="16"/>
  <c r="S26" i="16"/>
  <c r="U26" i="16" s="1"/>
  <c r="AF10" i="16"/>
  <c r="AE10" i="16"/>
  <c r="AC10" i="16"/>
  <c r="AA10" i="16"/>
  <c r="Y10" i="16"/>
  <c r="T10" i="16"/>
  <c r="S10" i="16"/>
  <c r="U10" i="16" s="1"/>
  <c r="AF9" i="16"/>
  <c r="AE9" i="16"/>
  <c r="AC9" i="16"/>
  <c r="AA9" i="16"/>
  <c r="Y9" i="16"/>
  <c r="T9" i="16"/>
  <c r="S9" i="16"/>
  <c r="U9" i="16" s="1"/>
  <c r="AF8" i="16"/>
  <c r="AE8" i="16"/>
  <c r="AC8" i="16"/>
  <c r="AA8" i="16"/>
  <c r="Y8" i="16"/>
  <c r="T8" i="16"/>
  <c r="S8" i="16"/>
  <c r="U8" i="16" s="1"/>
  <c r="AF7" i="16"/>
  <c r="AE7" i="16"/>
  <c r="AC7" i="16"/>
  <c r="AA7" i="16"/>
  <c r="T7" i="16"/>
  <c r="S7" i="16"/>
  <c r="U7" i="16" s="1"/>
  <c r="AF6" i="16"/>
  <c r="AE6" i="16"/>
  <c r="AC6" i="16"/>
  <c r="AA6" i="16"/>
  <c r="Y6" i="16"/>
  <c r="T6" i="16"/>
  <c r="S6" i="16"/>
  <c r="U6" i="16" s="1"/>
  <c r="AF5" i="16"/>
  <c r="AE5" i="16"/>
  <c r="AC5" i="16"/>
  <c r="AA5" i="16"/>
  <c r="Y5" i="16"/>
  <c r="T5" i="16"/>
  <c r="S5" i="16"/>
  <c r="U5" i="16" s="1"/>
  <c r="C9" i="15"/>
  <c r="B9" i="15"/>
  <c r="C8" i="15"/>
  <c r="B8" i="15"/>
  <c r="C7" i="15"/>
  <c r="B7" i="15"/>
  <c r="B10" i="15" s="1"/>
  <c r="Z50" i="14"/>
  <c r="AB50" i="14" s="1"/>
  <c r="R45" i="14"/>
  <c r="X50" i="14"/>
  <c r="W50" i="14"/>
  <c r="V50" i="14"/>
  <c r="T50" i="14"/>
  <c r="Q50" i="14"/>
  <c r="S50" i="14" s="1"/>
  <c r="U50" i="14" s="1"/>
  <c r="AE49" i="14"/>
  <c r="Z49" i="14"/>
  <c r="AB49" i="14" s="1"/>
  <c r="Y49" i="14"/>
  <c r="T49" i="14"/>
  <c r="S49" i="14"/>
  <c r="U49" i="14" s="1"/>
  <c r="AE48" i="14"/>
  <c r="AC48" i="14"/>
  <c r="AA48" i="14"/>
  <c r="X48" i="14"/>
  <c r="AF48" i="14" s="1"/>
  <c r="T48" i="14"/>
  <c r="S48" i="14"/>
  <c r="U48" i="14" s="1"/>
  <c r="AD47" i="14"/>
  <c r="Z47" i="14"/>
  <c r="W47" i="14"/>
  <c r="AC47" i="14" s="1"/>
  <c r="T47" i="14"/>
  <c r="S47" i="14"/>
  <c r="U47" i="14" s="1"/>
  <c r="AF46" i="14"/>
  <c r="AD46" i="14"/>
  <c r="W46" i="14"/>
  <c r="AC46" i="14" s="1"/>
  <c r="T46" i="14"/>
  <c r="S46" i="14"/>
  <c r="U46" i="14" s="1"/>
  <c r="AB45" i="14"/>
  <c r="W45" i="14"/>
  <c r="Q45" i="14"/>
  <c r="AF41" i="14"/>
  <c r="AE41" i="14"/>
  <c r="AC41" i="14"/>
  <c r="AA41" i="14"/>
  <c r="Y41" i="14"/>
  <c r="T41" i="14"/>
  <c r="S41" i="14"/>
  <c r="U41" i="14" s="1"/>
  <c r="AF39" i="14"/>
  <c r="AE39" i="14"/>
  <c r="AC39" i="14"/>
  <c r="AA39" i="14"/>
  <c r="Y39" i="14"/>
  <c r="T39" i="14"/>
  <c r="S39" i="14"/>
  <c r="U39" i="14" s="1"/>
  <c r="AF38" i="14"/>
  <c r="AE38" i="14"/>
  <c r="AC38" i="14"/>
  <c r="AA38" i="14"/>
  <c r="Y38" i="14"/>
  <c r="T38" i="14"/>
  <c r="S38" i="14"/>
  <c r="U38" i="14" s="1"/>
  <c r="AG25" i="14"/>
  <c r="AH25" i="14" s="1"/>
  <c r="AF10" i="14"/>
  <c r="AE10" i="14"/>
  <c r="AC10" i="14"/>
  <c r="AA10" i="14"/>
  <c r="Y10" i="14"/>
  <c r="T10" i="14"/>
  <c r="S10" i="14"/>
  <c r="U10" i="14" s="1"/>
  <c r="AF9" i="14"/>
  <c r="AE9" i="14"/>
  <c r="AC9" i="14"/>
  <c r="AA9" i="14"/>
  <c r="Y9" i="14"/>
  <c r="T9" i="14"/>
  <c r="S9" i="14"/>
  <c r="U9" i="14" s="1"/>
  <c r="AF8" i="14"/>
  <c r="AE8" i="14"/>
  <c r="AC8" i="14"/>
  <c r="AA8" i="14"/>
  <c r="Y8" i="14"/>
  <c r="T8" i="14"/>
  <c r="S8" i="14"/>
  <c r="U8" i="14" s="1"/>
  <c r="AF7" i="14"/>
  <c r="AE7" i="14"/>
  <c r="AC7" i="14"/>
  <c r="AA7" i="14"/>
  <c r="Y7" i="14"/>
  <c r="T7" i="14"/>
  <c r="S7" i="14"/>
  <c r="U7" i="14" s="1"/>
  <c r="AF6" i="14"/>
  <c r="AE6" i="14"/>
  <c r="AC6" i="14"/>
  <c r="AA6" i="14"/>
  <c r="Y6" i="14"/>
  <c r="T6" i="14"/>
  <c r="S6" i="14"/>
  <c r="U6" i="14" s="1"/>
  <c r="AF5" i="14"/>
  <c r="AE5" i="14"/>
  <c r="AA5" i="14"/>
  <c r="Y5" i="14"/>
  <c r="T5" i="14"/>
  <c r="S5" i="14"/>
  <c r="U5" i="14" s="1"/>
  <c r="C9" i="13"/>
  <c r="B9" i="13"/>
  <c r="C8" i="13"/>
  <c r="B8" i="13"/>
  <c r="C7" i="13"/>
  <c r="B7" i="13"/>
  <c r="B10" i="13" s="1"/>
  <c r="C9" i="11"/>
  <c r="C8" i="11"/>
  <c r="C7" i="11"/>
  <c r="C9" i="8"/>
  <c r="C8" i="8"/>
  <c r="C7" i="8"/>
  <c r="C9" i="6"/>
  <c r="C8" i="6"/>
  <c r="C7" i="6"/>
  <c r="C8" i="4"/>
  <c r="C7" i="4"/>
  <c r="Z34" i="12"/>
  <c r="AB34" i="12" s="1"/>
  <c r="AD31" i="12"/>
  <c r="R29" i="12"/>
  <c r="X34" i="12"/>
  <c r="Y34" i="12" s="1"/>
  <c r="W34" i="12"/>
  <c r="AA34" i="12" s="1"/>
  <c r="V34" i="12"/>
  <c r="T34" i="12"/>
  <c r="Q34" i="12"/>
  <c r="S34" i="12" s="1"/>
  <c r="U34" i="12" s="1"/>
  <c r="AE33" i="12"/>
  <c r="Z33" i="12"/>
  <c r="Y33" i="12"/>
  <c r="T33" i="12"/>
  <c r="S33" i="12"/>
  <c r="U33" i="12" s="1"/>
  <c r="AE32" i="12"/>
  <c r="AC32" i="12"/>
  <c r="AA32" i="12"/>
  <c r="X32" i="12"/>
  <c r="AF32" i="12" s="1"/>
  <c r="T32" i="12"/>
  <c r="S32" i="12"/>
  <c r="U32" i="12" s="1"/>
  <c r="Z31" i="12"/>
  <c r="Y31" i="12"/>
  <c r="W31" i="12"/>
  <c r="AC31" i="12" s="1"/>
  <c r="T31" i="12"/>
  <c r="S31" i="12"/>
  <c r="U31" i="12" s="1"/>
  <c r="AD30" i="12"/>
  <c r="AF30" i="12" s="1"/>
  <c r="W30" i="12"/>
  <c r="AA30" i="12" s="1"/>
  <c r="T30" i="12"/>
  <c r="S30" i="12"/>
  <c r="U30" i="12" s="1"/>
  <c r="AB29" i="12"/>
  <c r="AD29" i="12" s="1"/>
  <c r="Q29" i="12"/>
  <c r="W29" i="12" s="1"/>
  <c r="AF25" i="12"/>
  <c r="AE25" i="12"/>
  <c r="AC25" i="12"/>
  <c r="AA25" i="12"/>
  <c r="Y25" i="12"/>
  <c r="T25" i="12"/>
  <c r="S25" i="12"/>
  <c r="U25" i="12" s="1"/>
  <c r="AF23" i="12"/>
  <c r="AE23" i="12"/>
  <c r="AC23" i="12"/>
  <c r="AA23" i="12"/>
  <c r="Y23" i="12"/>
  <c r="T23" i="12"/>
  <c r="S23" i="12"/>
  <c r="U23" i="12" s="1"/>
  <c r="AF22" i="12"/>
  <c r="AE22" i="12"/>
  <c r="AC22" i="12"/>
  <c r="AA22" i="12"/>
  <c r="Y22" i="12"/>
  <c r="AG22" i="12" s="1"/>
  <c r="T22" i="12"/>
  <c r="S22" i="12"/>
  <c r="U22" i="12" s="1"/>
  <c r="AF10" i="12"/>
  <c r="AE10" i="12"/>
  <c r="AC10" i="12"/>
  <c r="AA10" i="12"/>
  <c r="Y10" i="12"/>
  <c r="T10" i="12"/>
  <c r="S10" i="12"/>
  <c r="U10" i="12" s="1"/>
  <c r="AF9" i="12"/>
  <c r="AE9" i="12"/>
  <c r="AC9" i="12"/>
  <c r="AA9" i="12"/>
  <c r="Y9" i="12"/>
  <c r="T9" i="12"/>
  <c r="S9" i="12"/>
  <c r="U9" i="12" s="1"/>
  <c r="AF8" i="12"/>
  <c r="AE8" i="12"/>
  <c r="AC8" i="12"/>
  <c r="Y8" i="12"/>
  <c r="T8" i="12"/>
  <c r="S8" i="12"/>
  <c r="U8" i="12" s="1"/>
  <c r="AF7" i="12"/>
  <c r="AE7" i="12"/>
  <c r="AC7" i="12"/>
  <c r="AA7" i="12"/>
  <c r="T7" i="12"/>
  <c r="S7" i="12"/>
  <c r="U7" i="12" s="1"/>
  <c r="AF6" i="12"/>
  <c r="AE6" i="12"/>
  <c r="AC6" i="12"/>
  <c r="AA6" i="12"/>
  <c r="Y6" i="12"/>
  <c r="T6" i="12"/>
  <c r="S6" i="12"/>
  <c r="U6" i="12" s="1"/>
  <c r="AF5" i="12"/>
  <c r="AE5" i="12"/>
  <c r="AC5" i="12"/>
  <c r="AA5" i="12"/>
  <c r="Y5" i="12"/>
  <c r="T5" i="12"/>
  <c r="S5" i="12"/>
  <c r="U5" i="12" s="1"/>
  <c r="B9" i="11"/>
  <c r="B8" i="11"/>
  <c r="B7" i="11"/>
  <c r="AB36" i="9"/>
  <c r="AD36" i="9" s="1"/>
  <c r="X36" i="9"/>
  <c r="W36" i="9"/>
  <c r="Y36" i="9" s="1"/>
  <c r="V36" i="9"/>
  <c r="T36" i="9"/>
  <c r="Q36" i="9"/>
  <c r="S36" i="9" s="1"/>
  <c r="U36" i="9" s="1"/>
  <c r="AE35" i="9"/>
  <c r="Z35" i="9"/>
  <c r="Y35" i="9"/>
  <c r="T35" i="9"/>
  <c r="S35" i="9"/>
  <c r="U35" i="9" s="1"/>
  <c r="AE34" i="9"/>
  <c r="AC34" i="9"/>
  <c r="AA34" i="9"/>
  <c r="X34" i="9"/>
  <c r="AF34" i="9" s="1"/>
  <c r="T34" i="9"/>
  <c r="S34" i="9"/>
  <c r="U34" i="9" s="1"/>
  <c r="AD33" i="9"/>
  <c r="Z33" i="9"/>
  <c r="AF33" i="9" s="1"/>
  <c r="W33" i="9"/>
  <c r="AC33" i="9" s="1"/>
  <c r="T33" i="9"/>
  <c r="S33" i="9"/>
  <c r="U33" i="9" s="1"/>
  <c r="AD32" i="9"/>
  <c r="AF32" i="9" s="1"/>
  <c r="W32" i="9"/>
  <c r="AA32" i="9" s="1"/>
  <c r="T32" i="9"/>
  <c r="S32" i="9"/>
  <c r="U32" i="9" s="1"/>
  <c r="AB31" i="9"/>
  <c r="Q31" i="9"/>
  <c r="W31" i="9" s="1"/>
  <c r="AF27" i="9"/>
  <c r="AE27" i="9"/>
  <c r="AC27" i="9"/>
  <c r="AA27" i="9"/>
  <c r="Y27" i="9"/>
  <c r="T27" i="9"/>
  <c r="S27" i="9"/>
  <c r="U27" i="9" s="1"/>
  <c r="AF25" i="9"/>
  <c r="AE25" i="9"/>
  <c r="AC25" i="9"/>
  <c r="AA25" i="9"/>
  <c r="Y25" i="9"/>
  <c r="T25" i="9"/>
  <c r="S25" i="9"/>
  <c r="U25" i="9" s="1"/>
  <c r="AF24" i="9"/>
  <c r="AE24" i="9"/>
  <c r="AC24" i="9"/>
  <c r="AA24" i="9"/>
  <c r="Y24" i="9"/>
  <c r="T24" i="9"/>
  <c r="S24" i="9"/>
  <c r="U24" i="9" s="1"/>
  <c r="AF10" i="9"/>
  <c r="AE10" i="9"/>
  <c r="AC10" i="9"/>
  <c r="AA10" i="9"/>
  <c r="Y10" i="9"/>
  <c r="T10" i="9"/>
  <c r="S10" i="9"/>
  <c r="U10" i="9" s="1"/>
  <c r="AF9" i="9"/>
  <c r="AE9" i="9"/>
  <c r="AC9" i="9"/>
  <c r="AA9" i="9"/>
  <c r="Y9" i="9"/>
  <c r="T9" i="9"/>
  <c r="S9" i="9"/>
  <c r="U9" i="9" s="1"/>
  <c r="AF8" i="9"/>
  <c r="AE8" i="9"/>
  <c r="AC8" i="9"/>
  <c r="AA8" i="9"/>
  <c r="Y8" i="9"/>
  <c r="T8" i="9"/>
  <c r="S8" i="9"/>
  <c r="U8" i="9" s="1"/>
  <c r="AF7" i="9"/>
  <c r="AE7" i="9"/>
  <c r="AC7" i="9"/>
  <c r="AA7" i="9"/>
  <c r="Y7" i="9"/>
  <c r="T7" i="9"/>
  <c r="S7" i="9"/>
  <c r="U7" i="9" s="1"/>
  <c r="AF6" i="9"/>
  <c r="AE6" i="9"/>
  <c r="AC6" i="9"/>
  <c r="AA6" i="9"/>
  <c r="Y6" i="9"/>
  <c r="AG6" i="9" s="1"/>
  <c r="T6" i="9"/>
  <c r="S6" i="9"/>
  <c r="U6" i="9" s="1"/>
  <c r="AF5" i="9"/>
  <c r="AE5" i="9"/>
  <c r="AC5" i="9"/>
  <c r="AA5" i="9"/>
  <c r="Y5" i="9"/>
  <c r="T5" i="9"/>
  <c r="S5" i="9"/>
  <c r="U5" i="9" s="1"/>
  <c r="AB36" i="7"/>
  <c r="W36" i="7"/>
  <c r="AA36" i="7" s="1"/>
  <c r="V36" i="7"/>
  <c r="T36" i="7"/>
  <c r="Q36" i="7"/>
  <c r="S36" i="7" s="1"/>
  <c r="U36" i="7" s="1"/>
  <c r="Z35" i="7"/>
  <c r="AB35" i="7" s="1"/>
  <c r="Y35" i="7"/>
  <c r="T35" i="7"/>
  <c r="S35" i="7"/>
  <c r="U35" i="7" s="1"/>
  <c r="AE34" i="7"/>
  <c r="AC34" i="7"/>
  <c r="AA34" i="7"/>
  <c r="X34" i="7"/>
  <c r="AF34" i="7" s="1"/>
  <c r="T34" i="7"/>
  <c r="S34" i="7"/>
  <c r="U34" i="7" s="1"/>
  <c r="AD33" i="7"/>
  <c r="Z33" i="7"/>
  <c r="W33" i="7"/>
  <c r="Y33" i="7" s="1"/>
  <c r="T33" i="7"/>
  <c r="S33" i="7"/>
  <c r="U33" i="7" s="1"/>
  <c r="AD32" i="7"/>
  <c r="Z32" i="7"/>
  <c r="W32" i="7"/>
  <c r="Y32" i="7" s="1"/>
  <c r="T32" i="7"/>
  <c r="S32" i="7"/>
  <c r="U32" i="7" s="1"/>
  <c r="AB31" i="7"/>
  <c r="AD31" i="7" s="1"/>
  <c r="AF31" i="7" s="1"/>
  <c r="T31" i="7"/>
  <c r="Q31" i="7"/>
  <c r="W31" i="7" s="1"/>
  <c r="AF27" i="7"/>
  <c r="AE27" i="7"/>
  <c r="AC27" i="7"/>
  <c r="AA27" i="7"/>
  <c r="Y27" i="7"/>
  <c r="T27" i="7"/>
  <c r="S27" i="7"/>
  <c r="U27" i="7" s="1"/>
  <c r="AF25" i="7"/>
  <c r="AE25" i="7"/>
  <c r="AC25" i="7"/>
  <c r="AA25" i="7"/>
  <c r="Y25" i="7"/>
  <c r="T25" i="7"/>
  <c r="S25" i="7"/>
  <c r="U25" i="7" s="1"/>
  <c r="AF24" i="7"/>
  <c r="AE24" i="7"/>
  <c r="AC24" i="7"/>
  <c r="AA24" i="7"/>
  <c r="Y24" i="7"/>
  <c r="T24" i="7"/>
  <c r="S24" i="7"/>
  <c r="U24" i="7" s="1"/>
  <c r="AF10" i="7"/>
  <c r="AE10" i="7"/>
  <c r="AC10" i="7"/>
  <c r="AA10" i="7"/>
  <c r="Y10" i="7"/>
  <c r="T10" i="7"/>
  <c r="S10" i="7"/>
  <c r="U10" i="7" s="1"/>
  <c r="AF9" i="7"/>
  <c r="AE9" i="7"/>
  <c r="AC9" i="7"/>
  <c r="AA9" i="7"/>
  <c r="Y9" i="7"/>
  <c r="T9" i="7"/>
  <c r="S9" i="7"/>
  <c r="U9" i="7" s="1"/>
  <c r="AF8" i="7"/>
  <c r="AE8" i="7"/>
  <c r="AC8" i="7"/>
  <c r="AA8" i="7"/>
  <c r="Y8" i="7"/>
  <c r="T8" i="7"/>
  <c r="S8" i="7"/>
  <c r="U8" i="7" s="1"/>
  <c r="AF7" i="7"/>
  <c r="AE7" i="7"/>
  <c r="AC7" i="7"/>
  <c r="AA7" i="7"/>
  <c r="Y7" i="7"/>
  <c r="T7" i="7"/>
  <c r="S7" i="7"/>
  <c r="U7" i="7" s="1"/>
  <c r="AF6" i="7"/>
  <c r="AE6" i="7"/>
  <c r="AC6" i="7"/>
  <c r="AA6" i="7"/>
  <c r="Y6" i="7"/>
  <c r="T6" i="7"/>
  <c r="S6" i="7"/>
  <c r="U6" i="7" s="1"/>
  <c r="AF5" i="7"/>
  <c r="AE5" i="7"/>
  <c r="AC5" i="7"/>
  <c r="AA5" i="7"/>
  <c r="Y5" i="7"/>
  <c r="T5" i="7"/>
  <c r="S5" i="7"/>
  <c r="U5" i="7" s="1"/>
  <c r="AB38" i="5"/>
  <c r="W38" i="5"/>
  <c r="AA38" i="5" s="1"/>
  <c r="V38" i="5"/>
  <c r="T38" i="5"/>
  <c r="Q38" i="5"/>
  <c r="S38" i="5" s="1"/>
  <c r="U38" i="5" s="1"/>
  <c r="AE37" i="5"/>
  <c r="AB37" i="5"/>
  <c r="AC37" i="5" s="1"/>
  <c r="AA37" i="5"/>
  <c r="Y37" i="5"/>
  <c r="T37" i="5"/>
  <c r="S37" i="5"/>
  <c r="U37" i="5" s="1"/>
  <c r="AE36" i="5"/>
  <c r="AC36" i="5"/>
  <c r="AA36" i="5"/>
  <c r="X36" i="5"/>
  <c r="AF36" i="5" s="1"/>
  <c r="T36" i="5"/>
  <c r="S36" i="5"/>
  <c r="U36" i="5" s="1"/>
  <c r="AD35" i="5"/>
  <c r="Z35" i="5"/>
  <c r="AF35" i="5" s="1"/>
  <c r="W35" i="5"/>
  <c r="AC35" i="5" s="1"/>
  <c r="T35" i="5"/>
  <c r="S35" i="5"/>
  <c r="U35" i="5" s="1"/>
  <c r="AD34" i="5"/>
  <c r="AF34" i="5" s="1"/>
  <c r="W34" i="5"/>
  <c r="AA34" i="5" s="1"/>
  <c r="T34" i="5"/>
  <c r="S34" i="5"/>
  <c r="U34" i="5" s="1"/>
  <c r="T33" i="5"/>
  <c r="Q33" i="5"/>
  <c r="S33" i="5" s="1"/>
  <c r="U33" i="5" s="1"/>
  <c r="AF29" i="5"/>
  <c r="AE29" i="5"/>
  <c r="AC29" i="5"/>
  <c r="AA29" i="5"/>
  <c r="Y29" i="5"/>
  <c r="T29" i="5"/>
  <c r="S29" i="5"/>
  <c r="U29" i="5" s="1"/>
  <c r="AI28" i="5"/>
  <c r="AF27" i="5"/>
  <c r="AE27" i="5"/>
  <c r="AC27" i="5"/>
  <c r="AA27" i="5"/>
  <c r="Y27" i="5"/>
  <c r="T27" i="5"/>
  <c r="S27" i="5"/>
  <c r="U27" i="5" s="1"/>
  <c r="AF26" i="5"/>
  <c r="AE26" i="5"/>
  <c r="AC26" i="5"/>
  <c r="AA26" i="5"/>
  <c r="Y26" i="5"/>
  <c r="T26" i="5"/>
  <c r="S26" i="5"/>
  <c r="U26" i="5" s="1"/>
  <c r="AC19" i="5"/>
  <c r="T19" i="5"/>
  <c r="U19" i="5"/>
  <c r="U12" i="5"/>
  <c r="AF10" i="5"/>
  <c r="AE10" i="5"/>
  <c r="AC10" i="5"/>
  <c r="AA10" i="5"/>
  <c r="Y10" i="5"/>
  <c r="T10" i="5"/>
  <c r="S10" i="5"/>
  <c r="U10" i="5" s="1"/>
  <c r="AF9" i="5"/>
  <c r="AE9" i="5"/>
  <c r="AC9" i="5"/>
  <c r="AA9" i="5"/>
  <c r="Y9" i="5"/>
  <c r="S9" i="5"/>
  <c r="U9" i="5" s="1"/>
  <c r="AF8" i="5"/>
  <c r="AE8" i="5"/>
  <c r="AC8" i="5"/>
  <c r="AA8" i="5"/>
  <c r="Y8" i="5"/>
  <c r="T8" i="5"/>
  <c r="S8" i="5"/>
  <c r="U8" i="5" s="1"/>
  <c r="AF7" i="5"/>
  <c r="AE7" i="5"/>
  <c r="AC7" i="5"/>
  <c r="AA7" i="5"/>
  <c r="Y7" i="5"/>
  <c r="T7" i="5"/>
  <c r="S7" i="5"/>
  <c r="U7" i="5" s="1"/>
  <c r="AF6" i="5"/>
  <c r="AE6" i="5"/>
  <c r="AC6" i="5"/>
  <c r="AA6" i="5"/>
  <c r="Y6" i="5"/>
  <c r="T6" i="5"/>
  <c r="S6" i="5"/>
  <c r="U6" i="5" s="1"/>
  <c r="AF5" i="5"/>
  <c r="AE5" i="5"/>
  <c r="AC5" i="5"/>
  <c r="AA5" i="5"/>
  <c r="Y5" i="5"/>
  <c r="T5" i="5"/>
  <c r="S5" i="5"/>
  <c r="U5" i="5" s="1"/>
  <c r="Y31" i="18" l="1"/>
  <c r="AC34" i="18"/>
  <c r="AC30" i="22"/>
  <c r="AG25" i="24"/>
  <c r="AG25" i="20"/>
  <c r="B10" i="21"/>
  <c r="AG6" i="24"/>
  <c r="AG10" i="24"/>
  <c r="AG23" i="24"/>
  <c r="AH23" i="24" s="1"/>
  <c r="AF31" i="24"/>
  <c r="C10" i="23"/>
  <c r="AG23" i="22"/>
  <c r="AH23" i="22" s="1"/>
  <c r="Y34" i="22"/>
  <c r="AH12" i="20"/>
  <c r="AG23" i="18"/>
  <c r="AH23" i="18" s="1"/>
  <c r="C10" i="17"/>
  <c r="AG7" i="18"/>
  <c r="AG27" i="16"/>
  <c r="AH27" i="16" s="1"/>
  <c r="C10" i="15"/>
  <c r="AA34" i="16"/>
  <c r="AG6" i="16"/>
  <c r="AH6" i="16" s="1"/>
  <c r="AG7" i="16"/>
  <c r="AH7" i="16" s="1"/>
  <c r="C10" i="13"/>
  <c r="AG41" i="14"/>
  <c r="AG6" i="14"/>
  <c r="AG10" i="14"/>
  <c r="AH10" i="14" s="1"/>
  <c r="AH22" i="12"/>
  <c r="AG25" i="12"/>
  <c r="AG8" i="12"/>
  <c r="AH8" i="12" s="1"/>
  <c r="AE32" i="7"/>
  <c r="AF33" i="7"/>
  <c r="AA35" i="7"/>
  <c r="AG27" i="7"/>
  <c r="AH27" i="7" s="1"/>
  <c r="AH26" i="7" s="1"/>
  <c r="B9" i="6" s="1"/>
  <c r="AG6" i="5"/>
  <c r="AG7" i="5"/>
  <c r="AA32" i="7"/>
  <c r="Y34" i="7"/>
  <c r="AG34" i="7" s="1"/>
  <c r="AH34" i="7" s="1"/>
  <c r="AG10" i="9"/>
  <c r="AH10" i="9" s="1"/>
  <c r="AG5" i="12"/>
  <c r="AE30" i="12"/>
  <c r="AG29" i="16"/>
  <c r="B10" i="17"/>
  <c r="Y30" i="18"/>
  <c r="AE30" i="18"/>
  <c r="C10" i="19"/>
  <c r="AF31" i="20"/>
  <c r="Y30" i="22"/>
  <c r="AG7" i="7"/>
  <c r="AH7" i="7" s="1"/>
  <c r="AG8" i="7"/>
  <c r="AH8" i="7" s="1"/>
  <c r="Y36" i="7"/>
  <c r="AH12" i="9"/>
  <c r="AH18" i="9"/>
  <c r="AG27" i="9"/>
  <c r="AA36" i="9"/>
  <c r="B10" i="19"/>
  <c r="AG10" i="20"/>
  <c r="AH10" i="20" s="1"/>
  <c r="C10" i="21"/>
  <c r="Y32" i="24"/>
  <c r="AG32" i="24" s="1"/>
  <c r="AG23" i="12"/>
  <c r="AH23" i="12" s="1"/>
  <c r="AH25" i="12"/>
  <c r="AH24" i="12" s="1"/>
  <c r="Y30" i="12"/>
  <c r="Y36" i="16"/>
  <c r="AG8" i="18"/>
  <c r="AH8" i="18" s="1"/>
  <c r="AC30" i="18"/>
  <c r="AA31" i="22"/>
  <c r="AC36" i="7"/>
  <c r="AE36" i="9"/>
  <c r="Y48" i="14"/>
  <c r="AG48" i="14" s="1"/>
  <c r="AH48" i="14" s="1"/>
  <c r="AG9" i="18"/>
  <c r="AH9" i="18" s="1"/>
  <c r="AC29" i="20"/>
  <c r="AC31" i="9"/>
  <c r="AD35" i="7"/>
  <c r="AE35" i="7" s="1"/>
  <c r="AC35" i="7"/>
  <c r="AG9" i="5"/>
  <c r="AH19" i="5"/>
  <c r="AG26" i="5"/>
  <c r="AH26" i="5" s="1"/>
  <c r="AG9" i="7"/>
  <c r="AH9" i="7" s="1"/>
  <c r="AG10" i="7"/>
  <c r="AH10" i="7" s="1"/>
  <c r="AH12" i="7"/>
  <c r="AG8" i="9"/>
  <c r="AH8" i="9" s="1"/>
  <c r="AG9" i="9"/>
  <c r="AH9" i="9" s="1"/>
  <c r="T31" i="9"/>
  <c r="AE32" i="9"/>
  <c r="Y33" i="9"/>
  <c r="AH17" i="12"/>
  <c r="AG5" i="14"/>
  <c r="AH5" i="14" s="1"/>
  <c r="AG38" i="14"/>
  <c r="AH38" i="14" s="1"/>
  <c r="AG39" i="14"/>
  <c r="AH39" i="14" s="1"/>
  <c r="Y50" i="14"/>
  <c r="AG8" i="16"/>
  <c r="AH8" i="16" s="1"/>
  <c r="AG9" i="16"/>
  <c r="AH9" i="16" s="1"/>
  <c r="AC33" i="16"/>
  <c r="Y34" i="16"/>
  <c r="Y35" i="16"/>
  <c r="AA37" i="16"/>
  <c r="AG6" i="18"/>
  <c r="AH6" i="18" s="1"/>
  <c r="AH17" i="18"/>
  <c r="AG22" i="18"/>
  <c r="AH22" i="18" s="1"/>
  <c r="AE31" i="18"/>
  <c r="AG31" i="18" s="1"/>
  <c r="AH31" i="18" s="1"/>
  <c r="Y32" i="18"/>
  <c r="AG8" i="20"/>
  <c r="AH8" i="20" s="1"/>
  <c r="AG9" i="20"/>
  <c r="AH9" i="20" s="1"/>
  <c r="AH17" i="20"/>
  <c r="Y30" i="20"/>
  <c r="AE31" i="20"/>
  <c r="Y34" i="20"/>
  <c r="AA34" i="20"/>
  <c r="AG9" i="22"/>
  <c r="AH9" i="22" s="1"/>
  <c r="AG10" i="22"/>
  <c r="AE30" i="22"/>
  <c r="AG30" i="22" s="1"/>
  <c r="AH30" i="22" s="1"/>
  <c r="Y31" i="22"/>
  <c r="AE34" i="22"/>
  <c r="AG8" i="24"/>
  <c r="AH8" i="24" s="1"/>
  <c r="AG9" i="24"/>
  <c r="AC29" i="24"/>
  <c r="Y30" i="24"/>
  <c r="Y31" i="24"/>
  <c r="AH32" i="24"/>
  <c r="C9" i="4"/>
  <c r="C10" i="4" s="1"/>
  <c r="AI30" i="5"/>
  <c r="AC34" i="5"/>
  <c r="AH18" i="7"/>
  <c r="AG24" i="7"/>
  <c r="AH24" i="7" s="1"/>
  <c r="AG7" i="14"/>
  <c r="AH7" i="14" s="1"/>
  <c r="AA46" i="14"/>
  <c r="AG10" i="16"/>
  <c r="AH10" i="16" s="1"/>
  <c r="AE34" i="16"/>
  <c r="AE35" i="16"/>
  <c r="AH25" i="18"/>
  <c r="AH24" i="18" s="1"/>
  <c r="AH12" i="22"/>
  <c r="AE31" i="22"/>
  <c r="AH12" i="24"/>
  <c r="AE30" i="24"/>
  <c r="AE31" i="24"/>
  <c r="AH9" i="5"/>
  <c r="AG29" i="5"/>
  <c r="Y34" i="5"/>
  <c r="Y36" i="5"/>
  <c r="AG36" i="5" s="1"/>
  <c r="AG5" i="7"/>
  <c r="AH5" i="7" s="1"/>
  <c r="AG6" i="7"/>
  <c r="AH6" i="7" s="1"/>
  <c r="AG25" i="7"/>
  <c r="AH25" i="7" s="1"/>
  <c r="S31" i="7"/>
  <c r="U31" i="7" s="1"/>
  <c r="AD36" i="7"/>
  <c r="AE36" i="7" s="1"/>
  <c r="AG5" i="9"/>
  <c r="AH5" i="9" s="1"/>
  <c r="AG24" i="9"/>
  <c r="AH24" i="9" s="1"/>
  <c r="AG25" i="9"/>
  <c r="AH25" i="9" s="1"/>
  <c r="AF31" i="9"/>
  <c r="Y32" i="9"/>
  <c r="AE33" i="9"/>
  <c r="AF36" i="9"/>
  <c r="AG6" i="12"/>
  <c r="AH6" i="12" s="1"/>
  <c r="AG7" i="12"/>
  <c r="AE31" i="12"/>
  <c r="AG8" i="14"/>
  <c r="AH8" i="14" s="1"/>
  <c r="AG9" i="14"/>
  <c r="AH9" i="14" s="1"/>
  <c r="AC45" i="14"/>
  <c r="Y46" i="14"/>
  <c r="Y47" i="14"/>
  <c r="AA49" i="14"/>
  <c r="AG5" i="16"/>
  <c r="AH5" i="16" s="1"/>
  <c r="AG26" i="16"/>
  <c r="AH26" i="16" s="1"/>
  <c r="Y38" i="16"/>
  <c r="AG10" i="18"/>
  <c r="AH10" i="18" s="1"/>
  <c r="AC29" i="18"/>
  <c r="AA33" i="18"/>
  <c r="AG5" i="20"/>
  <c r="AH5" i="20" s="1"/>
  <c r="AG22" i="20"/>
  <c r="AH22" i="20" s="1"/>
  <c r="AH23" i="20"/>
  <c r="AH25" i="20"/>
  <c r="AH24" i="20" s="1"/>
  <c r="AE30" i="20"/>
  <c r="Y31" i="20"/>
  <c r="AG5" i="22"/>
  <c r="AH5" i="22" s="1"/>
  <c r="AG6" i="22"/>
  <c r="AH6" i="22" s="1"/>
  <c r="AH17" i="22"/>
  <c r="AG22" i="22"/>
  <c r="AH22" i="22" s="1"/>
  <c r="AG25" i="22"/>
  <c r="AH25" i="22" s="1"/>
  <c r="AH24" i="22" s="1"/>
  <c r="AG5" i="24"/>
  <c r="AH5" i="24" s="1"/>
  <c r="AG7" i="24"/>
  <c r="AH7" i="24" s="1"/>
  <c r="AH10" i="24"/>
  <c r="AG22" i="24"/>
  <c r="AH22" i="24" s="1"/>
  <c r="AE34" i="5"/>
  <c r="AG7" i="9"/>
  <c r="AH7" i="9" s="1"/>
  <c r="AG9" i="12"/>
  <c r="AH9" i="12" s="1"/>
  <c r="AG10" i="12"/>
  <c r="AH10" i="12" s="1"/>
  <c r="AE46" i="14"/>
  <c r="AE47" i="14"/>
  <c r="AG5" i="18"/>
  <c r="AH5" i="18" s="1"/>
  <c r="AE29" i="18"/>
  <c r="AG33" i="18"/>
  <c r="AH33" i="18" s="1"/>
  <c r="AG6" i="20"/>
  <c r="AG7" i="20"/>
  <c r="AG7" i="22"/>
  <c r="AH7" i="22" s="1"/>
  <c r="AG8" i="22"/>
  <c r="AH8" i="22" s="1"/>
  <c r="AH9" i="24"/>
  <c r="AA30" i="24"/>
  <c r="B10" i="11"/>
  <c r="C10" i="6"/>
  <c r="C10" i="8"/>
  <c r="C10" i="11"/>
  <c r="AG5" i="5"/>
  <c r="AH5" i="5" s="1"/>
  <c r="AH7" i="5"/>
  <c r="AG8" i="5"/>
  <c r="AH8" i="5" s="1"/>
  <c r="AG10" i="5"/>
  <c r="AH10" i="5" s="1"/>
  <c r="AH12" i="5"/>
  <c r="AG27" i="5"/>
  <c r="Y35" i="5"/>
  <c r="AH36" i="5"/>
  <c r="AG37" i="5"/>
  <c r="AH37" i="5" s="1"/>
  <c r="AC38" i="5"/>
  <c r="AG34" i="5"/>
  <c r="AH34" i="5" s="1"/>
  <c r="AE35" i="5"/>
  <c r="Y38" i="5"/>
  <c r="AE38" i="5"/>
  <c r="AF38" i="5"/>
  <c r="Y34" i="24"/>
  <c r="AA33" i="24"/>
  <c r="AC34" i="24"/>
  <c r="AD34" i="24"/>
  <c r="AE34" i="24" s="1"/>
  <c r="AF33" i="24"/>
  <c r="AC33" i="24"/>
  <c r="AH17" i="24"/>
  <c r="AH6" i="24"/>
  <c r="AH25" i="24"/>
  <c r="AH24" i="24" s="1"/>
  <c r="AA34" i="24"/>
  <c r="T29" i="24"/>
  <c r="Y29" i="24"/>
  <c r="AE29" i="24"/>
  <c r="S29" i="24"/>
  <c r="U29" i="24" s="1"/>
  <c r="AA31" i="24"/>
  <c r="AA34" i="22"/>
  <c r="AF34" i="22"/>
  <c r="AC34" i="22"/>
  <c r="AF29" i="22"/>
  <c r="Y29" i="22"/>
  <c r="AE29" i="22"/>
  <c r="AA29" i="22"/>
  <c r="AC29" i="22"/>
  <c r="AH10" i="22"/>
  <c r="S29" i="22"/>
  <c r="U29" i="22" s="1"/>
  <c r="AF31" i="22"/>
  <c r="AB33" i="22"/>
  <c r="Y32" i="22"/>
  <c r="AG32" i="22" s="1"/>
  <c r="AH32" i="22" s="1"/>
  <c r="AB34" i="20"/>
  <c r="AD34" i="20" s="1"/>
  <c r="AE34" i="20" s="1"/>
  <c r="AF29" i="20"/>
  <c r="T29" i="20"/>
  <c r="Y29" i="20"/>
  <c r="AE29" i="20"/>
  <c r="AA29" i="20"/>
  <c r="AH6" i="20"/>
  <c r="AH7" i="20"/>
  <c r="S29" i="20"/>
  <c r="U29" i="20" s="1"/>
  <c r="AC30" i="20"/>
  <c r="AA31" i="20"/>
  <c r="AB33" i="20"/>
  <c r="Y32" i="20"/>
  <c r="AG32" i="20" s="1"/>
  <c r="AH32" i="20" s="1"/>
  <c r="AA33" i="20"/>
  <c r="Y34" i="18"/>
  <c r="AG32" i="18"/>
  <c r="AH32" i="18" s="1"/>
  <c r="AF31" i="18"/>
  <c r="AG30" i="18"/>
  <c r="AH30" i="18" s="1"/>
  <c r="S29" i="18"/>
  <c r="U29" i="18" s="1"/>
  <c r="T29" i="18"/>
  <c r="Y29" i="18"/>
  <c r="AF29" i="18"/>
  <c r="AH7" i="18"/>
  <c r="AH12" i="18"/>
  <c r="AF33" i="18"/>
  <c r="AA34" i="18"/>
  <c r="AA29" i="18"/>
  <c r="AD34" i="18"/>
  <c r="AE34" i="18" s="1"/>
  <c r="AG36" i="16"/>
  <c r="AH36" i="16" s="1"/>
  <c r="AF35" i="16"/>
  <c r="Y33" i="16"/>
  <c r="AD38" i="16"/>
  <c r="AE38" i="16" s="1"/>
  <c r="AC38" i="16"/>
  <c r="AC37" i="16"/>
  <c r="AF37" i="16"/>
  <c r="AH29" i="16"/>
  <c r="AH28" i="16" s="1"/>
  <c r="AA38" i="16"/>
  <c r="AA33" i="16"/>
  <c r="T33" i="16"/>
  <c r="AD33" i="16"/>
  <c r="AE33" i="16" s="1"/>
  <c r="S33" i="16"/>
  <c r="U33" i="16" s="1"/>
  <c r="AA35" i="16"/>
  <c r="AF47" i="14"/>
  <c r="AG46" i="14"/>
  <c r="AH46" i="14" s="1"/>
  <c r="Y45" i="14"/>
  <c r="AC50" i="14"/>
  <c r="AD50" i="14"/>
  <c r="AE50" i="14" s="1"/>
  <c r="AC49" i="14"/>
  <c r="AG49" i="14" s="1"/>
  <c r="AH49" i="14" s="1"/>
  <c r="AF49" i="14"/>
  <c r="AH6" i="14"/>
  <c r="AH41" i="14"/>
  <c r="AH40" i="14" s="1"/>
  <c r="AA50" i="14"/>
  <c r="AA45" i="14"/>
  <c r="T45" i="14"/>
  <c r="AD45" i="14"/>
  <c r="AE45" i="14" s="1"/>
  <c r="S45" i="14"/>
  <c r="U45" i="14" s="1"/>
  <c r="AA47" i="14"/>
  <c r="AC34" i="12"/>
  <c r="AD34" i="12"/>
  <c r="AE34" i="12" s="1"/>
  <c r="AF31" i="12"/>
  <c r="AF29" i="12"/>
  <c r="T29" i="12"/>
  <c r="AE29" i="12"/>
  <c r="AA29" i="12"/>
  <c r="Y29" i="12"/>
  <c r="AH5" i="12"/>
  <c r="AH7" i="12"/>
  <c r="AH12" i="12"/>
  <c r="AC29" i="12"/>
  <c r="S29" i="12"/>
  <c r="U29" i="12" s="1"/>
  <c r="AC30" i="12"/>
  <c r="AA31" i="12"/>
  <c r="AG31" i="12" s="1"/>
  <c r="AH31" i="12" s="1"/>
  <c r="AB33" i="12"/>
  <c r="AC33" i="12" s="1"/>
  <c r="Y32" i="12"/>
  <c r="AG32" i="12" s="1"/>
  <c r="AH32" i="12" s="1"/>
  <c r="AA33" i="12"/>
  <c r="Y31" i="9"/>
  <c r="AA31" i="9"/>
  <c r="AH6" i="9"/>
  <c r="AH27" i="9"/>
  <c r="AH26" i="9" s="1"/>
  <c r="B9" i="8" s="1"/>
  <c r="S31" i="9"/>
  <c r="U31" i="9" s="1"/>
  <c r="AC32" i="9"/>
  <c r="AG32" i="9" s="1"/>
  <c r="AH32" i="9" s="1"/>
  <c r="AA33" i="9"/>
  <c r="AG33" i="9" s="1"/>
  <c r="AH33" i="9" s="1"/>
  <c r="AB35" i="9"/>
  <c r="AC35" i="9" s="1"/>
  <c r="AC36" i="9"/>
  <c r="AG36" i="9" s="1"/>
  <c r="AH36" i="9" s="1"/>
  <c r="Y34" i="9"/>
  <c r="AG34" i="9" s="1"/>
  <c r="AH34" i="9" s="1"/>
  <c r="AA35" i="9"/>
  <c r="Y31" i="7"/>
  <c r="AA31" i="7"/>
  <c r="AC31" i="7"/>
  <c r="AE31" i="7"/>
  <c r="AC33" i="7"/>
  <c r="AC32" i="7"/>
  <c r="AA33" i="7"/>
  <c r="AF32" i="7"/>
  <c r="AE33" i="7"/>
  <c r="AH29" i="5"/>
  <c r="AH28" i="5" s="1"/>
  <c r="AH6" i="5"/>
  <c r="AH27" i="5"/>
  <c r="AF37" i="5"/>
  <c r="AF33" i="5"/>
  <c r="W33" i="5"/>
  <c r="AA35" i="5"/>
  <c r="AG35" i="5" s="1"/>
  <c r="AH35" i="5" s="1"/>
  <c r="AG38" i="5" l="1"/>
  <c r="AH38" i="5" s="1"/>
  <c r="AG31" i="24"/>
  <c r="AH31" i="24" s="1"/>
  <c r="AG33" i="24"/>
  <c r="AH33" i="24" s="1"/>
  <c r="AG36" i="7"/>
  <c r="AH36" i="7" s="1"/>
  <c r="AF35" i="7"/>
  <c r="AG31" i="22"/>
  <c r="AH31" i="22" s="1"/>
  <c r="AG34" i="22"/>
  <c r="AH34" i="22" s="1"/>
  <c r="AH11" i="22"/>
  <c r="AH27" i="22" s="1"/>
  <c r="AG31" i="20"/>
  <c r="AH31" i="20" s="1"/>
  <c r="AG30" i="20"/>
  <c r="AH30" i="20" s="1"/>
  <c r="AG37" i="16"/>
  <c r="AH37" i="16" s="1"/>
  <c r="AG35" i="16"/>
  <c r="AH35" i="16" s="1"/>
  <c r="AG47" i="14"/>
  <c r="AH47" i="14" s="1"/>
  <c r="AG30" i="12"/>
  <c r="AH30" i="12" s="1"/>
  <c r="AG34" i="12"/>
  <c r="AH34" i="12" s="1"/>
  <c r="AG32" i="7"/>
  <c r="AH32" i="7" s="1"/>
  <c r="AG35" i="7"/>
  <c r="AH35" i="7" s="1"/>
  <c r="AC34" i="20"/>
  <c r="AG34" i="20" s="1"/>
  <c r="AH34" i="20" s="1"/>
  <c r="AF33" i="16"/>
  <c r="AH11" i="20"/>
  <c r="AH27" i="20" s="1"/>
  <c r="AG29" i="20"/>
  <c r="AH29" i="20" s="1"/>
  <c r="AG29" i="18"/>
  <c r="AH29" i="18" s="1"/>
  <c r="AF45" i="14"/>
  <c r="AE31" i="9"/>
  <c r="AH4" i="14"/>
  <c r="AH4" i="24"/>
  <c r="AH11" i="24"/>
  <c r="AH27" i="24" s="1"/>
  <c r="AG33" i="7"/>
  <c r="AH33" i="7" s="1"/>
  <c r="AH11" i="7"/>
  <c r="AH4" i="16"/>
  <c r="AF36" i="7"/>
  <c r="AG35" i="9"/>
  <c r="AH35" i="9" s="1"/>
  <c r="AH4" i="9"/>
  <c r="AH11" i="9"/>
  <c r="AG33" i="12"/>
  <c r="AH33" i="12" s="1"/>
  <c r="AG29" i="24"/>
  <c r="AH29" i="24" s="1"/>
  <c r="AF34" i="24"/>
  <c r="AG30" i="24"/>
  <c r="AH30" i="24" s="1"/>
  <c r="AG34" i="16"/>
  <c r="AH34" i="16" s="1"/>
  <c r="AC33" i="20"/>
  <c r="AD33" i="20"/>
  <c r="AE33" i="20" s="1"/>
  <c r="AH4" i="7"/>
  <c r="AF35" i="9"/>
  <c r="AG50" i="14"/>
  <c r="AH50" i="14" s="1"/>
  <c r="B9" i="4"/>
  <c r="AH11" i="5"/>
  <c r="B8" i="4" s="1"/>
  <c r="AH4" i="5"/>
  <c r="AG34" i="24"/>
  <c r="AH34" i="24" s="1"/>
  <c r="AF29" i="24"/>
  <c r="AC33" i="22"/>
  <c r="AE33" i="22"/>
  <c r="AF33" i="22"/>
  <c r="AG29" i="22"/>
  <c r="AH29" i="22" s="1"/>
  <c r="AH4" i="22"/>
  <c r="AF34" i="20"/>
  <c r="AH4" i="20"/>
  <c r="AG34" i="18"/>
  <c r="AH34" i="18" s="1"/>
  <c r="AF34" i="18"/>
  <c r="AH11" i="18"/>
  <c r="AH27" i="18" s="1"/>
  <c r="AH4" i="18"/>
  <c r="AG38" i="16"/>
  <c r="AH38" i="16" s="1"/>
  <c r="AG33" i="16"/>
  <c r="AH33" i="16" s="1"/>
  <c r="AF38" i="16"/>
  <c r="AG45" i="14"/>
  <c r="AH45" i="14" s="1"/>
  <c r="AH11" i="14"/>
  <c r="AH43" i="14" s="1"/>
  <c r="AF50" i="14"/>
  <c r="AF34" i="12"/>
  <c r="AH4" i="12"/>
  <c r="AG29" i="12"/>
  <c r="AH29" i="12" s="1"/>
  <c r="AH35" i="12" s="1"/>
  <c r="AF33" i="12"/>
  <c r="AH11" i="12"/>
  <c r="AH27" i="12" s="1"/>
  <c r="AG31" i="9"/>
  <c r="AH31" i="9" s="1"/>
  <c r="AH37" i="9" s="1"/>
  <c r="AG31" i="7"/>
  <c r="AH31" i="7" s="1"/>
  <c r="Y33" i="5"/>
  <c r="AA33" i="5"/>
  <c r="AC33" i="5"/>
  <c r="AE33" i="5"/>
  <c r="AH26" i="24" l="1"/>
  <c r="AH37" i="7"/>
  <c r="AI37" i="7" s="1"/>
  <c r="AH26" i="22"/>
  <c r="AH26" i="20"/>
  <c r="AG33" i="20"/>
  <c r="AH33" i="20" s="1"/>
  <c r="AH35" i="20" s="1"/>
  <c r="AH39" i="16"/>
  <c r="AI39" i="16" s="1"/>
  <c r="AH26" i="12"/>
  <c r="AH51" i="14"/>
  <c r="AI51" i="14" s="1"/>
  <c r="AH28" i="9"/>
  <c r="B7" i="8"/>
  <c r="AH29" i="9"/>
  <c r="B8" i="8"/>
  <c r="AH29" i="7"/>
  <c r="B8" i="6"/>
  <c r="AH35" i="18"/>
  <c r="AF33" i="20"/>
  <c r="AG33" i="22"/>
  <c r="AH33" i="22" s="1"/>
  <c r="AH35" i="22" s="1"/>
  <c r="AH42" i="14"/>
  <c r="AI37" i="9"/>
  <c r="B12" i="8"/>
  <c r="B13" i="8" s="1"/>
  <c r="B12" i="13"/>
  <c r="B13" i="13" s="1"/>
  <c r="B14" i="13" s="1"/>
  <c r="B12" i="11"/>
  <c r="B13" i="11" s="1"/>
  <c r="B14" i="11" s="1"/>
  <c r="AI35" i="12"/>
  <c r="AH28" i="7"/>
  <c r="B7" i="6"/>
  <c r="AH35" i="24"/>
  <c r="AH26" i="18"/>
  <c r="AH31" i="5"/>
  <c r="AH30" i="5"/>
  <c r="B7" i="4"/>
  <c r="B10" i="4" s="1"/>
  <c r="AG33" i="5"/>
  <c r="AH33" i="5" s="1"/>
  <c r="AH39" i="5" s="1"/>
  <c r="B12" i="6" l="1"/>
  <c r="B13" i="6" s="1"/>
  <c r="B12" i="15"/>
  <c r="B13" i="15" s="1"/>
  <c r="B14" i="15" s="1"/>
  <c r="B10" i="8"/>
  <c r="B14" i="8" s="1"/>
  <c r="B10" i="6"/>
  <c r="B12" i="21"/>
  <c r="B13" i="21" s="1"/>
  <c r="B14" i="21" s="1"/>
  <c r="AI35" i="22"/>
  <c r="AI35" i="24"/>
  <c r="B12" i="23"/>
  <c r="B13" i="23" s="1"/>
  <c r="B14" i="23" s="1"/>
  <c r="C12" i="6"/>
  <c r="C13" i="6" s="1"/>
  <c r="C14" i="6" s="1"/>
  <c r="AI38" i="7"/>
  <c r="AI35" i="20"/>
  <c r="B12" i="19"/>
  <c r="B13" i="19" s="1"/>
  <c r="B14" i="19" s="1"/>
  <c r="C12" i="15"/>
  <c r="C13" i="15" s="1"/>
  <c r="C14" i="15" s="1"/>
  <c r="AI40" i="16"/>
  <c r="AI39" i="5"/>
  <c r="B12" i="4"/>
  <c r="C12" i="13"/>
  <c r="C13" i="13" s="1"/>
  <c r="C14" i="13" s="1"/>
  <c r="AI52" i="14"/>
  <c r="B12" i="17"/>
  <c r="B13" i="17" s="1"/>
  <c r="B14" i="17" s="1"/>
  <c r="AI35" i="18"/>
  <c r="C12" i="8"/>
  <c r="C13" i="8" s="1"/>
  <c r="C14" i="8" s="1"/>
  <c r="AI38" i="9"/>
  <c r="C12" i="11"/>
  <c r="C13" i="11" s="1"/>
  <c r="C14" i="11" s="1"/>
  <c r="AI36" i="12"/>
  <c r="B14" i="6" l="1"/>
  <c r="AH11" i="16"/>
  <c r="C12" i="21"/>
  <c r="C13" i="21" s="1"/>
  <c r="C14" i="21" s="1"/>
  <c r="AI36" i="22"/>
  <c r="C12" i="4"/>
  <c r="C13" i="4" s="1"/>
  <c r="C14" i="4" s="1"/>
  <c r="AI40" i="5"/>
  <c r="C12" i="19"/>
  <c r="C13" i="19" s="1"/>
  <c r="C14" i="19" s="1"/>
  <c r="AI36" i="20"/>
  <c r="C12" i="23"/>
  <c r="C13" i="23" s="1"/>
  <c r="C14" i="23" s="1"/>
  <c r="AI36" i="24"/>
  <c r="C12" i="17"/>
  <c r="C13" i="17" s="1"/>
  <c r="C14" i="17" s="1"/>
  <c r="AI36" i="18"/>
  <c r="B13" i="4"/>
  <c r="B14" i="4" s="1"/>
  <c r="AH31" i="16" l="1"/>
  <c r="AH30" i="16"/>
</calcChain>
</file>

<file path=xl/sharedStrings.xml><?xml version="1.0" encoding="utf-8"?>
<sst xmlns="http://schemas.openxmlformats.org/spreadsheetml/2006/main" count="3450" uniqueCount="246">
  <si>
    <t xml:space="preserve">No </t>
  </si>
  <si>
    <t>Área de prestación de servicios (APS)</t>
  </si>
  <si>
    <t>Descripción / Hipotesis</t>
  </si>
  <si>
    <t>Año 1</t>
  </si>
  <si>
    <t>Año 2</t>
  </si>
  <si>
    <t>Responsable de la ejecución</t>
  </si>
  <si>
    <t>Tipo de entidad ejecutora</t>
  </si>
  <si>
    <t>Categorías de costos</t>
  </si>
  <si>
    <t>Unidad de medida año 1</t>
  </si>
  <si>
    <t>Cantidad Trimestre 4</t>
  </si>
  <si>
    <t>Importe total Trimestre 4</t>
  </si>
  <si>
    <t>Cantidad total Año 1</t>
  </si>
  <si>
    <t>Total Año 1</t>
  </si>
  <si>
    <t>Unidad de medida año 2</t>
  </si>
  <si>
    <t>Cantidad Trimestre 1 año 2</t>
  </si>
  <si>
    <t>Importe total Trimestre 1 año 2</t>
  </si>
  <si>
    <t>Cantidad Trimestre 2 año 2</t>
  </si>
  <si>
    <t>Importe total Trimestre 2 año 2</t>
  </si>
  <si>
    <t>Cantidad Trimestre 3 año 2</t>
  </si>
  <si>
    <t>Importe total Trimestre 3 año 2</t>
  </si>
  <si>
    <t>Cantidad Trimestre 4 año 2</t>
  </si>
  <si>
    <t>Importe total Trimestre 4 año 2</t>
  </si>
  <si>
    <t>Cantidad total Año 2</t>
  </si>
  <si>
    <t>Total Año 2</t>
  </si>
  <si>
    <t>COSTO TOTAL</t>
  </si>
  <si>
    <t>SDA</t>
  </si>
  <si>
    <t>Activity</t>
  </si>
  <si>
    <t>T1</t>
  </si>
  <si>
    <t>T2</t>
  </si>
  <si>
    <t>T3</t>
  </si>
  <si>
    <t>T4</t>
  </si>
  <si>
    <t>CCC (Comunicación para Cambio de Comportamiento)- Medios de comunicación</t>
  </si>
  <si>
    <t xml:space="preserve">1.1 Implementar estrategias de promoción de la demanda de asesoría y prueba voluntaria (APV) y de comunicación para el cambio de comportamiento (CCC) </t>
  </si>
  <si>
    <t>1.1.4 Implementar acciones de CCC y de promoción de demanda de APV en medios alternativos y cara-a-cara (outreach) para transformar conductas sexuales de riesgo, promover el uso consistente y adecuado del condón y divulgar servicios y rutas de derechos a los grupos clave</t>
  </si>
  <si>
    <t>Entidad Ejecutora</t>
  </si>
  <si>
    <t>ONG/OBC/Sector Académico</t>
  </si>
  <si>
    <t>Capacitación</t>
  </si>
  <si>
    <t>costo por brigada</t>
  </si>
  <si>
    <t>Refuerzo de la sociedad civil</t>
  </si>
  <si>
    <t>Recursos Humanos</t>
  </si>
  <si>
    <t>Planificación y Administración</t>
  </si>
  <si>
    <t>Monitoreo y evaluación</t>
  </si>
  <si>
    <t xml:space="preserve">Refuerzo de las capacidades institucionales </t>
  </si>
  <si>
    <t>1.3 Crear y fortalecer  servicios comunitarios y/o redes comunitarias  tipo A para la prevención del VIH/Sida /ITS, la promoción y referencia a APV,  la educación en derechos y el empoderamiento de los grupos clave</t>
  </si>
  <si>
    <t>1.3.5 Diseñar e implementar un plan de mejoramiento de capacidades locativas, de dotación y del recurso humano en los servicios comunitarios tipo A para la implementación efectiva de estrategias de CCC, promoción de la demanda de APV, educación en derechos, educación de pares</t>
  </si>
  <si>
    <t>Asistencia técnica y gerencial</t>
  </si>
  <si>
    <t>Reducción del estigma en todas las circunstancias</t>
  </si>
  <si>
    <t>1.4 Implementar estrategias de movilización social para la reducción del estigma y la discriminación, la incidencia política y el agenciamiento social</t>
  </si>
  <si>
    <t xml:space="preserve">1.4.3 Implementar estrategias de comunicación y movilización social del nivel nacional y local (radio, medios alternativos y cara- a-cara) para la sensibilización de las comunidades para la reducción de estigma y discriminación </t>
  </si>
  <si>
    <t>Material de comunicación</t>
  </si>
  <si>
    <t>1.4.4 Implementar acciones de fortalecimiento de la capacidad de ciudadana y agenciamiento social de los grupos clave, a través de educación en derechos, empoderamiento y apoyo social</t>
  </si>
  <si>
    <t xml:space="preserve">No de Objetivo: Crear capacidad comunitaria para la adopción de comportamientos seguros,  la reducción de la vulnerabilidad social al VIH y el empoderamiento de los grupos clave priorizados </t>
  </si>
  <si>
    <t>Macro-Categoría</t>
  </si>
  <si>
    <t>Tarea</t>
  </si>
  <si>
    <t>Sub -Tarea</t>
  </si>
  <si>
    <t>RECURSO HUMANO</t>
  </si>
  <si>
    <t>MONITOREO Y EVALUACION</t>
  </si>
  <si>
    <t>PLANIFICACION Y ADMINISTRACION</t>
  </si>
  <si>
    <t>DESTINACION ESPECIFICA</t>
  </si>
  <si>
    <t xml:space="preserve">INSTRUCTIVO ELABORACION PRESUPUESTO </t>
  </si>
  <si>
    <t>Para el diligenciamiento del presupuesto favor tener presente las siguientes instrucciones:</t>
  </si>
  <si>
    <t>Observación General:</t>
  </si>
  <si>
    <t>Por motivos presupuestales y con el fin que tanto el Receptor Principal (CHF) y las EE, manejen los mismos terminos en cuanto a la ejecución presupuestal, se hace la claridad que este presupuesto se debe preparar trimestralmente y teniendo en cuenta la vigencia aprobada por el fondo mundial. Para esto se hace necesario aclarar algunos parametros a tener en cuenta en la elaboracion de este presupuesto:
El año 1 del proyecto VIH abarca el período (Abril1, 2011-Marzo31,2012). Por tanto El trimestre 4 del año 1 para este ejercicio es el período comprendido Enero1-Marzo31,2012
El año 2 del proyecto VIH abarca el período (Abril1, 2012-Marzo31,2013).</t>
  </si>
  <si>
    <t>Esta representado en el recurso humano administrativo y programatico, mediante los siguientes cargos:</t>
  </si>
  <si>
    <t>Coordinador</t>
  </si>
  <si>
    <t xml:space="preserve">Profesionales en Salud Sexual y Reproductiva </t>
  </si>
  <si>
    <t>Técnicos en Salud Sexual y Reproductiva (SSR)</t>
  </si>
  <si>
    <t xml:space="preserve">Contador </t>
  </si>
  <si>
    <t xml:space="preserve">Asistente de Información </t>
  </si>
  <si>
    <t xml:space="preserve">Apoyo a la Direccion o Representación Legal (esta posición corresponde como su nombre lo indica a un apoyo a la representación legal y estará representado por un valor no superior al 2% del total del presupuesto asignado a la entidad ejecutora sin incluir los rubros de destinación especifica y no deberá ser mayor al salario u honorario mensual de esa posición en su organización. Para ello deberán enviar a CHF soporte del pago mensual o contrato para validar el valor cobrado al proyecto. </t>
  </si>
  <si>
    <t>Hipotesis</t>
  </si>
  <si>
    <t>Deberán registrar la manera como se obtiene el costo presupuestado, teniendo en cuenta los rangos mencionados en los términos de referencia</t>
  </si>
  <si>
    <t>Unidad de Medida</t>
  </si>
  <si>
    <t>Deberán registrar la unidad de medida con la que se presupuesto, ej (si es salario, o contrato prestacion servicios, jornal, etc)</t>
  </si>
  <si>
    <t>Costo unitario</t>
  </si>
  <si>
    <t xml:space="preserve">Deberán registrar el valor trimestral del salario u honorario de la posición presupuestada (ej: tomar el salario u honorario mensual de los profesionales en salud y multiplicarlo por 3) </t>
  </si>
  <si>
    <t>Cantidad trimestre xx</t>
  </si>
  <si>
    <t>Se deberar colocar el numero de posiciones que requieren para esa línea que estan presupuestando.</t>
  </si>
  <si>
    <t>Deberán registrar la manera como obtuvieron los costos unitarios presupuestados por las 4 líneas solicitadas  (Viaticos, Desplazamientos, Actividades de Gestión y Actividades Servicios Comunitarios )</t>
  </si>
  <si>
    <t xml:space="preserve">Deberán registrar la unidad medida con la que realizaron el presupuesto, es decir, para viaticos: el valor viatico por municipio, para desplazamientos será el costo del trayecto ida y vuelta, para las actividades de gestión, sera costo reunión, para las actividades de servicios comunitarios , la unidad de medida será fondo actividades y este será determinado una vez identifiquen la actividad a realizar y estará sujeta a aprobación por parte de CHF)   </t>
  </si>
  <si>
    <t>Viaticos y Desplazamientos : estarán sujetos a las políticas y procedimientos de su organización, y deberán detallar en esta línea el costo por viaje. 
Para el caso de las Actividades de Gestión, el costo unitario es $30.000 mensuales
Para las Actividades de Servicios Comunitarios el valor mensual será de $200.000 y deberan multiplicarlo por 3, pues la unidad es trimestral y estará sujeto a las propuestas que envien para aprobación de CHF</t>
  </si>
  <si>
    <t>Para el tema de viajes y desplazamientos, deberán registrar el numero de viajes a realizar .
Para las actividades de gestion y las actividades de servicios comunitarios la cantidad es 1, puesto que el costo unitario es trimestral y se presupuesto una sóla por actividad por mes .</t>
  </si>
  <si>
    <t>Deberán insertar tantas filas como itmes a presupuestar (ej: arriendo, servicios públicos .. Los descritos en el presupuesto)</t>
  </si>
  <si>
    <t>La unidad de medida sera la correspondiente al rubro en mención, (ej: para arriendo, la unidad de medida será apoyo mensual arriendo, etc…)</t>
  </si>
  <si>
    <t>El costo unitario es el  valor trimestral de la línea presupuestada, (ej: arriendo, sera el valor mensual por este concepto por 3 meses)</t>
  </si>
  <si>
    <t>La cantidad será 1 pues el costo unitario esta dado en trimestres.</t>
  </si>
  <si>
    <t xml:space="preserve">DESTINACION ESPECIFICA </t>
  </si>
  <si>
    <t>Estas son partidas que tienen actividades y costos fijos, los cuales son immodificables. Cualquier exceso en el desarrollo de las actividades deberan ser asumidos por la Entidad Ejecutora.</t>
  </si>
  <si>
    <t>BRIGADAS</t>
  </si>
  <si>
    <t>Corresponde al costo entregado al lider comunitario  para realizar brigadas . Este costo es dado por CHF y no podrá ser utilizado en otro concepto.</t>
  </si>
  <si>
    <t>ASISTENCIA TECNICA SERVICIO COMUNITARIO</t>
  </si>
  <si>
    <t>Corresponde a $36.000 por hora para realizar visitas de fortalecimiento y capacitación a los servicios comunitarios en las necesidades identificadas en la evaluación de necesidades. El primera año serán visitas de 24 horas por servicio comunitario pues es el inicio del proceso y el segundo año serán visitas de 12 horas las cuales son de seguimiento y refuerzo.  Este costo es dado por CHF y no podrá ser utilizado en otro concepto.</t>
  </si>
  <si>
    <t>ENCUENTROS PARA CAMPAÑAS ALTERNATIVAS</t>
  </si>
  <si>
    <t>Es un costo para realizar de manera creativa y alternativa campañas para la movilización social en torno a la prevención del VIH y la promoción de la solidaridad frente a los grupos clave.  Este costo es dado por CHF y no podrá ser utilizado en otro concepto.</t>
  </si>
  <si>
    <t xml:space="preserve">ENCUENTROS GRUPOS CLAVE </t>
  </si>
  <si>
    <t>Este costo incluye un apoyo para las reuniones el cual esta dado en agua, café, apoyo alquiler salón.</t>
  </si>
  <si>
    <t xml:space="preserve">INCENTIVOS </t>
  </si>
  <si>
    <t>Este costo corresponde a un apoyo de 3 meses para vincular laboralmente a las mujeres beneficiadas del proyecto. Este costo es dado por CHF y no podrá ser utilizado en otro concepto.</t>
  </si>
  <si>
    <t>Tope Presupuestal</t>
  </si>
  <si>
    <t>Es es el presupuesto asignado por cada rubro del presupuesto aprobado por departamento o unión de departamentos. Como su nombre lo indica es el limite prespuestal hasta el cual debe llegar la entidad ejecutora proponente.</t>
  </si>
  <si>
    <t>PRESUPUESTO ENTIDADES EJECUTORAS</t>
  </si>
  <si>
    <t>ANTIOQUIA y CHOCO</t>
  </si>
  <si>
    <t>Nombre Entidad Ejecutora:</t>
  </si>
  <si>
    <t>Detalle</t>
  </si>
  <si>
    <t>Presupuesto  Total</t>
  </si>
  <si>
    <t>Recurso Humano</t>
  </si>
  <si>
    <t>Monitoreo y Evaluación</t>
  </si>
  <si>
    <t>Planeación y Administración</t>
  </si>
  <si>
    <t>Destinación Específica</t>
  </si>
  <si>
    <t>XXXXXX</t>
  </si>
  <si>
    <t>REPRESENTANTE LEGAL</t>
  </si>
  <si>
    <t>PRESUPUESTO DETALLADO</t>
  </si>
  <si>
    <t>Costo unitario año 1 (valor trimestre)</t>
  </si>
  <si>
    <t>Costo unitario año 2 (valor trimestre)</t>
  </si>
  <si>
    <t>1.1.5 Identificar y formar líderes pares de los grupos clave priorizados para que actúen como formadores e integren los equipos locales de promoción de la salud y prevención del VIH e ITS</t>
  </si>
  <si>
    <t>Costo recurso humano administración  de la entidad ejecutora</t>
  </si>
  <si>
    <t>Contador</t>
  </si>
  <si>
    <t>Salario / Honorario</t>
  </si>
  <si>
    <t xml:space="preserve">Apoyo a la Dirección o Representación Legal </t>
  </si>
  <si>
    <t>Asistente de Información</t>
  </si>
  <si>
    <t>Costo recurso humano programatico de la entidad ejecutora</t>
  </si>
  <si>
    <t>Profesionales en Salud Sexual y Reproductiva (SSR)</t>
  </si>
  <si>
    <t xml:space="preserve">1.1.5 Identificar y formar líderes pares de los grupos clave priorizados para que actúen como formadores e integren los equipos locales de promoción de la salud y prevención del VIH e ITS </t>
  </si>
  <si>
    <t>Este costo incluye:
1. Viaticos y desplazamientos a los municipios de influencia asignados.
2. Actividades de gestion municipal y departamental para la sostenibilidad de las iniciativas.
3. Actividades en los servicios comunitarios para el encuentro con las comunidades, generación de confianza con las poblaciones priorizadas, actividades de escucha, reducción del estigma y la discriminaciòn, entre otras (Ejm: chocolatadas, teatro o cine al parque, actividades de trueque, acciones sanatorias de apoyo en situaciòn de alta vulnerabilidad para estabilizar a las poblaciones, entre otras)</t>
  </si>
  <si>
    <t>Viatico</t>
  </si>
  <si>
    <t xml:space="preserve">Desplazamiento </t>
  </si>
  <si>
    <t xml:space="preserve">Actividades de Gestión </t>
  </si>
  <si>
    <t xml:space="preserve">Costo reunión </t>
  </si>
  <si>
    <t xml:space="preserve">Actividades Servicios Comunitarios </t>
  </si>
  <si>
    <t xml:space="preserve">Actividades </t>
  </si>
  <si>
    <t>Este costo incluye los Costos Administrativos (como, Arriendo, servicios públicos, Comunicaciones, impresiones, fotocopias, papelería, correos, gastos bancarios, seguros, mantenimiento y reparaciones, servicios generales, entre otros).</t>
  </si>
  <si>
    <t>Este costo esta representado por brigadas de acercamiento a los grupos clave en sus entornos naturales</t>
  </si>
  <si>
    <t>Costo por brigada. El costo asignado por brigada es de $15,355. Incluye alimentación y transporte</t>
  </si>
  <si>
    <t xml:space="preserve">Costo por servicio comunitario de 24 horas (valor hora $36.000) </t>
  </si>
  <si>
    <t>Costo por hora asistencia tecnica</t>
  </si>
  <si>
    <t>Costo por servicio comunitario de 12 horas (valor hora $36.000)</t>
  </si>
  <si>
    <t xml:space="preserve">Este costo incluye campañas locales en medios alternativos </t>
  </si>
  <si>
    <t xml:space="preserve">Costo por campaña </t>
  </si>
  <si>
    <t xml:space="preserve">Desarrollo de encuentros quincenales en los servicios comunitarios tipo A para educar en derechos, participación y ciudadanía a los grupos clave. </t>
  </si>
  <si>
    <t>Este costo incluye un apoyo al encuentro para agua, café y apoyo alquiler salón de reunión</t>
  </si>
  <si>
    <t>Costo por encuentro</t>
  </si>
  <si>
    <t xml:space="preserve">Costo Líderes pares de las Entidades Ejecutoras para los temas de prevención, diagnostico y tratamiento </t>
  </si>
  <si>
    <t>Costo Incentivo Lideres Pares</t>
  </si>
  <si>
    <t>BOGOTA</t>
  </si>
  <si>
    <t>VALLE DEL CAUCA</t>
  </si>
  <si>
    <t>ATLANTICO</t>
  </si>
  <si>
    <t>EJE CAFETERO</t>
  </si>
  <si>
    <t>MAGDALENA Y GUAJIRA</t>
  </si>
  <si>
    <t>SUCRE</t>
  </si>
  <si>
    <t>BOLIVAR</t>
  </si>
  <si>
    <t>SANTANDER</t>
  </si>
  <si>
    <t>META</t>
  </si>
  <si>
    <t>NORTE DE SANTANDER</t>
  </si>
  <si>
    <t>NARIÑO</t>
  </si>
  <si>
    <t>CESAR</t>
  </si>
  <si>
    <t>HUILA</t>
  </si>
  <si>
    <t>CORDOBA</t>
  </si>
  <si>
    <t>CAUCA</t>
  </si>
  <si>
    <t>Desarrollo de asistencia técnica a los servicios comunitarios tipo A asignados en temas identificados en la evaluación de necesidades</t>
  </si>
  <si>
    <t>Desarrollo de campañas locales en medios alternativos desarrolladas en eventos comunitarios para la movilización social en torno a la prevención del VIH y la promoción de la solidaridad frente a los grupos clave</t>
  </si>
  <si>
    <t xml:space="preserve">Costos administrativos, de operación y programaticos de la entidade ejecutora para el trabajo con servicios comunitarios para la identificación, selección, capacitación y seguimiento de lideres pares. Costos de prevención y promoción de APV, CCC, Uso de Condón, Reducción de Estigma y discriminación y seguimiento a tratamientos </t>
  </si>
  <si>
    <t>Total Rubros de Funcionamiento</t>
  </si>
  <si>
    <t>Total Destinación Específica</t>
  </si>
  <si>
    <t>PRESUPUESTO TOTAL</t>
  </si>
  <si>
    <t xml:space="preserve">                                TOTAL RUBROS DE FUNCIONAMIENTO</t>
  </si>
  <si>
    <t xml:space="preserve">                                TOTAL DESTINACION ESPECIFICA</t>
  </si>
  <si>
    <t xml:space="preserve">                                             TOTAL PRESUPUESTO</t>
  </si>
  <si>
    <t>Medellin</t>
  </si>
  <si>
    <t>Apartado</t>
  </si>
  <si>
    <t>Carmen de Viboral</t>
  </si>
  <si>
    <t>Quibdo</t>
  </si>
  <si>
    <t>Itsmina</t>
  </si>
  <si>
    <t>Viaticos por municipio</t>
  </si>
  <si>
    <t xml:space="preserve">Desplazamientos por municipio </t>
  </si>
  <si>
    <t>Bahia Solano</t>
  </si>
  <si>
    <t>Cali</t>
  </si>
  <si>
    <t>Palmira</t>
  </si>
  <si>
    <t>Tulua</t>
  </si>
  <si>
    <t>Buga</t>
  </si>
  <si>
    <t>Buenaventura</t>
  </si>
  <si>
    <t>Desplazamientos por municipio</t>
  </si>
  <si>
    <t xml:space="preserve">Viaticos por municipio </t>
  </si>
  <si>
    <t>Barranquilla</t>
  </si>
  <si>
    <t>Soledad</t>
  </si>
  <si>
    <t>Malambo</t>
  </si>
  <si>
    <t>Sabanalarga</t>
  </si>
  <si>
    <t>Manizales</t>
  </si>
  <si>
    <t>Anserma</t>
  </si>
  <si>
    <t>Chinchina</t>
  </si>
  <si>
    <t xml:space="preserve">La Dorada </t>
  </si>
  <si>
    <t>Armenia</t>
  </si>
  <si>
    <t>Calarca</t>
  </si>
  <si>
    <t>Circasia</t>
  </si>
  <si>
    <t>Montenegro</t>
  </si>
  <si>
    <t>La Virginia</t>
  </si>
  <si>
    <t>Pereira</t>
  </si>
  <si>
    <t>Santa Rosa de Cabal</t>
  </si>
  <si>
    <t>Dosquebradas</t>
  </si>
  <si>
    <t>Riohacha</t>
  </si>
  <si>
    <t>Maicao</t>
  </si>
  <si>
    <t>Uribia</t>
  </si>
  <si>
    <t>Sincelejo</t>
  </si>
  <si>
    <t>Corozal</t>
  </si>
  <si>
    <t>San Marcos</t>
  </si>
  <si>
    <t>San Onofre</t>
  </si>
  <si>
    <t>Santa Marta</t>
  </si>
  <si>
    <t>Cienaga</t>
  </si>
  <si>
    <t>Zona Bananera</t>
  </si>
  <si>
    <t>Cartagena</t>
  </si>
  <si>
    <t>Magangue</t>
  </si>
  <si>
    <t>Carmen de Bolivar</t>
  </si>
  <si>
    <t>Arjona</t>
  </si>
  <si>
    <t>Bucaramanga</t>
  </si>
  <si>
    <t>Floridablanca</t>
  </si>
  <si>
    <t>San Gil</t>
  </si>
  <si>
    <t>Barrancabermeja</t>
  </si>
  <si>
    <t>Villavicencio</t>
  </si>
  <si>
    <t>Acacias</t>
  </si>
  <si>
    <t>Granada</t>
  </si>
  <si>
    <t>San Martin</t>
  </si>
  <si>
    <t xml:space="preserve">Cucuta </t>
  </si>
  <si>
    <t>Ocaña</t>
  </si>
  <si>
    <t xml:space="preserve">Los Patios </t>
  </si>
  <si>
    <t>Villa del Rosario</t>
  </si>
  <si>
    <t>Pasto</t>
  </si>
  <si>
    <t>Tumaco</t>
  </si>
  <si>
    <t>Ipiales</t>
  </si>
  <si>
    <t>Valledupar</t>
  </si>
  <si>
    <t>Aguachica</t>
  </si>
  <si>
    <t>Codazzi</t>
  </si>
  <si>
    <t>Curumani</t>
  </si>
  <si>
    <t>Garzon</t>
  </si>
  <si>
    <t>Pitalito</t>
  </si>
  <si>
    <t xml:space="preserve">Neiva </t>
  </si>
  <si>
    <t>Monteria</t>
  </si>
  <si>
    <t>Lorica</t>
  </si>
  <si>
    <t>Montelibano</t>
  </si>
  <si>
    <t>Cerete</t>
  </si>
  <si>
    <t>Popayan</t>
  </si>
  <si>
    <t>Santander de Quilichao</t>
  </si>
  <si>
    <t>Puerto Tejada</t>
  </si>
  <si>
    <t>Bosa</t>
  </si>
  <si>
    <t>Suba</t>
  </si>
  <si>
    <t>Tunjuelito</t>
  </si>
  <si>
    <t>Fontibon</t>
  </si>
  <si>
    <t>Kennedy</t>
  </si>
</sst>
</file>

<file path=xl/styles.xml><?xml version="1.0" encoding="utf-8"?>
<styleSheet xmlns="http://schemas.openxmlformats.org/spreadsheetml/2006/main" xmlns:mc="http://schemas.openxmlformats.org/markup-compatibility/2006" xmlns:x14ac="http://schemas.microsoft.com/office/spreadsheetml/2009/9/ac" mc:Ignorable="x14ac">
  <numFmts count="9">
    <numFmt numFmtId="43" formatCode="_(* #,##0.00_);_(* \(#,##0.00\);_(* &quot;-&quot;??_);_(@_)"/>
    <numFmt numFmtId="164" formatCode="_(&quot;$&quot;* #,##0.00_);_(&quot;$&quot;* \(#,##0.00\);_(&quot;$&quot;* &quot;-&quot;??_);_(@_)"/>
    <numFmt numFmtId="165" formatCode="#,##0.00;[Red]#,##0.00"/>
    <numFmt numFmtId="166" formatCode="#,##0.0;[Red]#,##0.0"/>
    <numFmt numFmtId="167" formatCode="_(* #,##0_);_(* \(#,##0\);_(* &quot;-&quot;??_);_(@_)"/>
    <numFmt numFmtId="168" formatCode="#,##0;[Red]#,##0"/>
    <numFmt numFmtId="169" formatCode="_-* #,##0.00\ _€_-;\-* #,##0.00\ _€_-;_-* &quot;-&quot;??\ _€_-;_-@_-"/>
    <numFmt numFmtId="170" formatCode="_(&quot;$&quot;* #,##0_);_(&quot;$&quot;* \(#,##0\);_(&quot;$&quot;* &quot;-&quot;??_);_(@_)"/>
    <numFmt numFmtId="171" formatCode="0.000"/>
  </numFmts>
  <fonts count="12" x14ac:knownFonts="1">
    <font>
      <sz val="11"/>
      <color theme="1"/>
      <name val="Calibri"/>
      <family val="2"/>
      <scheme val="minor"/>
    </font>
    <font>
      <sz val="11"/>
      <color theme="1"/>
      <name val="Calibri"/>
      <family val="2"/>
      <scheme val="minor"/>
    </font>
    <font>
      <b/>
      <sz val="11"/>
      <color theme="1"/>
      <name val="Calibri"/>
      <family val="2"/>
      <scheme val="minor"/>
    </font>
    <font>
      <sz val="10"/>
      <name val="Arial"/>
      <family val="2"/>
    </font>
    <font>
      <b/>
      <sz val="10"/>
      <name val="Arial"/>
      <family val="2"/>
    </font>
    <font>
      <sz val="10"/>
      <color theme="1"/>
      <name val="Calibri"/>
      <family val="2"/>
      <scheme val="minor"/>
    </font>
    <font>
      <u/>
      <sz val="10"/>
      <color indexed="12"/>
      <name val="Arial"/>
      <family val="2"/>
    </font>
    <font>
      <b/>
      <sz val="10"/>
      <color theme="1"/>
      <name val="Calibri"/>
      <family val="2"/>
      <scheme val="minor"/>
    </font>
    <font>
      <b/>
      <sz val="11"/>
      <color theme="1"/>
      <name val="Century Gothic"/>
      <family val="2"/>
    </font>
    <font>
      <b/>
      <sz val="11"/>
      <name val="Calibri"/>
      <family val="2"/>
      <scheme val="minor"/>
    </font>
    <font>
      <sz val="11"/>
      <name val="Calibri"/>
      <family val="2"/>
      <scheme val="minor"/>
    </font>
    <font>
      <b/>
      <sz val="11"/>
      <color indexed="8"/>
      <name val="Calibri"/>
      <family val="2"/>
      <scheme val="minor"/>
    </font>
  </fonts>
  <fills count="11">
    <fill>
      <patternFill patternType="none"/>
    </fill>
    <fill>
      <patternFill patternType="gray125"/>
    </fill>
    <fill>
      <patternFill patternType="solid">
        <fgColor theme="0"/>
        <bgColor indexed="64"/>
      </patternFill>
    </fill>
    <fill>
      <patternFill patternType="solid">
        <fgColor indexed="9"/>
        <bgColor indexed="64"/>
      </patternFill>
    </fill>
    <fill>
      <patternFill patternType="solid">
        <fgColor theme="6"/>
        <bgColor indexed="64"/>
      </patternFill>
    </fill>
    <fill>
      <patternFill patternType="solid">
        <fgColor theme="6" tint="0.39997558519241921"/>
        <bgColor indexed="64"/>
      </patternFill>
    </fill>
    <fill>
      <patternFill patternType="solid">
        <fgColor theme="6" tint="0.59999389629810485"/>
        <bgColor indexed="64"/>
      </patternFill>
    </fill>
    <fill>
      <patternFill patternType="solid">
        <fgColor theme="0" tint="-0.34998626667073579"/>
        <bgColor indexed="64"/>
      </patternFill>
    </fill>
    <fill>
      <patternFill patternType="solid">
        <fgColor theme="0" tint="-0.249977111117893"/>
        <bgColor indexed="64"/>
      </patternFill>
    </fill>
    <fill>
      <patternFill patternType="solid">
        <fgColor rgb="FFFFFF00"/>
        <bgColor indexed="64"/>
      </patternFill>
    </fill>
    <fill>
      <patternFill patternType="solid">
        <fgColor theme="1" tint="0.499984740745262"/>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s>
  <cellStyleXfs count="7">
    <xf numFmtId="0" fontId="0" fillId="0" borderId="0"/>
    <xf numFmtId="43" fontId="1" fillId="0" borderId="0" applyFont="0" applyFill="0" applyBorder="0" applyAlignment="0" applyProtection="0"/>
    <xf numFmtId="164" fontId="1" fillId="0" borderId="0" applyFont="0" applyFill="0" applyBorder="0" applyAlignment="0" applyProtection="0"/>
    <xf numFmtId="0" fontId="6" fillId="0" borderId="0" applyNumberFormat="0" applyFill="0" applyBorder="0" applyAlignment="0" applyProtection="0">
      <alignment vertical="top"/>
      <protection locked="0"/>
    </xf>
    <xf numFmtId="0" fontId="1" fillId="0" borderId="0"/>
    <xf numFmtId="169" fontId="1" fillId="0" borderId="0" applyFont="0" applyFill="0" applyBorder="0" applyAlignment="0" applyProtection="0"/>
    <xf numFmtId="9" fontId="3" fillId="0" borderId="0" applyFont="0" applyFill="0" applyBorder="0" applyAlignment="0" applyProtection="0"/>
  </cellStyleXfs>
  <cellXfs count="225">
    <xf numFmtId="0" fontId="0" fillId="0" borderId="0" xfId="0"/>
    <xf numFmtId="49" fontId="3" fillId="0" borderId="0" xfId="0" applyNumberFormat="1" applyFont="1" applyBorder="1" applyAlignment="1" applyProtection="1">
      <alignment horizontal="center" vertical="center" wrapText="1"/>
    </xf>
    <xf numFmtId="49" fontId="4" fillId="4" borderId="1" xfId="0" applyNumberFormat="1" applyFont="1" applyFill="1" applyBorder="1" applyAlignment="1" applyProtection="1">
      <alignment horizontal="center" vertical="center" textRotation="90" wrapText="1"/>
    </xf>
    <xf numFmtId="0" fontId="3" fillId="0" borderId="1" xfId="0" applyNumberFormat="1" applyFont="1" applyFill="1" applyBorder="1" applyAlignment="1" applyProtection="1">
      <alignment vertical="center" wrapText="1"/>
      <protection locked="0"/>
    </xf>
    <xf numFmtId="49" fontId="3" fillId="0" borderId="1" xfId="0" applyNumberFormat="1" applyFont="1" applyFill="1" applyBorder="1" applyAlignment="1" applyProtection="1">
      <alignment horizontal="left" vertical="center" wrapText="1"/>
      <protection locked="0"/>
    </xf>
    <xf numFmtId="49" fontId="3" fillId="6" borderId="1" xfId="0" applyNumberFormat="1" applyFont="1" applyFill="1" applyBorder="1" applyAlignment="1" applyProtection="1">
      <alignment horizontal="left" vertical="center" wrapText="1"/>
      <protection locked="0"/>
    </xf>
    <xf numFmtId="49" fontId="3" fillId="0" borderId="1" xfId="1" applyNumberFormat="1" applyFont="1" applyFill="1" applyBorder="1" applyAlignment="1" applyProtection="1">
      <alignment horizontal="left" vertical="center" wrapText="1"/>
      <protection locked="0"/>
    </xf>
    <xf numFmtId="168" fontId="3" fillId="0" borderId="1" xfId="0" applyNumberFormat="1" applyFont="1" applyFill="1" applyBorder="1" applyAlignment="1" applyProtection="1">
      <alignment horizontal="center" vertical="center" wrapText="1"/>
      <protection locked="0"/>
    </xf>
    <xf numFmtId="166" fontId="3" fillId="0" borderId="1" xfId="0" applyNumberFormat="1" applyFont="1" applyFill="1" applyBorder="1" applyAlignment="1" applyProtection="1">
      <alignment horizontal="center" vertical="center" wrapText="1"/>
      <protection locked="0"/>
    </xf>
    <xf numFmtId="165" fontId="3" fillId="0" borderId="1" xfId="0" applyNumberFormat="1" applyFont="1" applyFill="1" applyBorder="1" applyAlignment="1" applyProtection="1">
      <alignment horizontal="center" vertical="center" wrapText="1"/>
      <protection locked="0"/>
    </xf>
    <xf numFmtId="165" fontId="3" fillId="0" borderId="1" xfId="0" applyNumberFormat="1" applyFont="1" applyFill="1" applyBorder="1" applyAlignment="1" applyProtection="1">
      <alignment vertical="center"/>
      <protection locked="0"/>
    </xf>
    <xf numFmtId="49" fontId="3" fillId="0" borderId="0" xfId="0" applyNumberFormat="1" applyFont="1" applyFill="1" applyBorder="1" applyAlignment="1" applyProtection="1">
      <alignment horizontal="center" vertical="center" wrapText="1"/>
    </xf>
    <xf numFmtId="0" fontId="2" fillId="0" borderId="0" xfId="0" applyFont="1"/>
    <xf numFmtId="0" fontId="2" fillId="0" borderId="0" xfId="0" applyFont="1" applyAlignment="1">
      <alignment vertical="top"/>
    </xf>
    <xf numFmtId="0" fontId="0" fillId="0" borderId="0" xfId="0" applyAlignment="1">
      <alignment wrapText="1"/>
    </xf>
    <xf numFmtId="49" fontId="2" fillId="0" borderId="0" xfId="0" applyNumberFormat="1" applyFont="1" applyAlignment="1">
      <alignment vertical="top"/>
    </xf>
    <xf numFmtId="0" fontId="0" fillId="0" borderId="0" xfId="0" applyAlignment="1">
      <alignment vertical="top"/>
    </xf>
    <xf numFmtId="49" fontId="0" fillId="0" borderId="0" xfId="0" applyNumberFormat="1" applyAlignment="1">
      <alignment vertical="top"/>
    </xf>
    <xf numFmtId="0" fontId="2" fillId="0" borderId="0" xfId="0" applyFont="1" applyAlignment="1">
      <alignment wrapText="1"/>
    </xf>
    <xf numFmtId="0" fontId="1" fillId="0" borderId="0" xfId="4" applyFont="1"/>
    <xf numFmtId="0" fontId="1" fillId="0" borderId="0" xfId="4" applyFont="1" applyAlignment="1">
      <alignment horizontal="center" vertical="center"/>
    </xf>
    <xf numFmtId="0" fontId="1" fillId="2" borderId="0" xfId="4" applyFont="1" applyFill="1"/>
    <xf numFmtId="0" fontId="1" fillId="0" borderId="0" xfId="4" applyFont="1" applyFill="1"/>
    <xf numFmtId="3" fontId="1" fillId="0" borderId="0" xfId="4" applyNumberFormat="1" applyFont="1"/>
    <xf numFmtId="9" fontId="1" fillId="0" borderId="0" xfId="6" applyFont="1"/>
    <xf numFmtId="49" fontId="4" fillId="10" borderId="1" xfId="3" applyNumberFormat="1" applyFont="1" applyFill="1" applyBorder="1" applyAlignment="1" applyProtection="1">
      <alignment horizontal="center" vertical="center" textRotation="90" wrapText="1"/>
    </xf>
    <xf numFmtId="49" fontId="4" fillId="10" borderId="1" xfId="3" applyNumberFormat="1" applyFont="1" applyFill="1" applyBorder="1" applyAlignment="1" applyProtection="1">
      <alignment horizontal="center" vertical="center" wrapText="1"/>
    </xf>
    <xf numFmtId="49" fontId="4" fillId="10" borderId="1" xfId="0" applyNumberFormat="1" applyFont="1" applyFill="1" applyBorder="1" applyAlignment="1" applyProtection="1">
      <alignment horizontal="center" vertical="center" textRotation="90" wrapText="1"/>
    </xf>
    <xf numFmtId="165" fontId="4" fillId="10" borderId="1" xfId="3" applyNumberFormat="1" applyFont="1" applyFill="1" applyBorder="1" applyAlignment="1" applyProtection="1">
      <alignment horizontal="center" vertical="center" textRotation="90" wrapText="1"/>
    </xf>
    <xf numFmtId="166" fontId="4" fillId="10" borderId="1" xfId="3" applyNumberFormat="1" applyFont="1" applyFill="1" applyBorder="1" applyAlignment="1" applyProtection="1">
      <alignment horizontal="center" vertical="center" textRotation="90" wrapText="1"/>
    </xf>
    <xf numFmtId="168" fontId="4" fillId="10" borderId="1" xfId="3" applyNumberFormat="1" applyFont="1" applyFill="1" applyBorder="1" applyAlignment="1" applyProtection="1">
      <alignment horizontal="center" vertical="center" textRotation="90" wrapText="1"/>
    </xf>
    <xf numFmtId="167" fontId="4" fillId="10" borderId="1" xfId="0" applyNumberFormat="1" applyFont="1" applyFill="1" applyBorder="1" applyAlignment="1" applyProtection="1">
      <alignment horizontal="center" vertical="center" wrapText="1"/>
    </xf>
    <xf numFmtId="170" fontId="4" fillId="9" borderId="1" xfId="2" applyNumberFormat="1" applyFont="1" applyFill="1" applyBorder="1" applyAlignment="1" applyProtection="1">
      <alignment horizontal="center" vertical="center" wrapText="1"/>
    </xf>
    <xf numFmtId="49" fontId="3" fillId="0" borderId="1" xfId="0" applyNumberFormat="1" applyFont="1" applyFill="1" applyBorder="1" applyAlignment="1" applyProtection="1">
      <alignment horizontal="left" vertical="center" wrapText="1"/>
    </xf>
    <xf numFmtId="49" fontId="3" fillId="10" borderId="1" xfId="1" applyNumberFormat="1" applyFont="1" applyFill="1" applyBorder="1" applyAlignment="1" applyProtection="1">
      <alignment horizontal="left" vertical="center" wrapText="1"/>
      <protection locked="0"/>
    </xf>
    <xf numFmtId="167" fontId="4" fillId="0" borderId="1" xfId="1" applyNumberFormat="1" applyFont="1" applyFill="1" applyBorder="1" applyAlignment="1" applyProtection="1">
      <alignment vertical="center" wrapText="1"/>
    </xf>
    <xf numFmtId="49" fontId="4" fillId="4" borderId="1" xfId="3" applyNumberFormat="1" applyFont="1" applyFill="1" applyBorder="1" applyAlignment="1" applyProtection="1">
      <alignment horizontal="center" vertical="center"/>
    </xf>
    <xf numFmtId="49" fontId="4" fillId="10" borderId="1" xfId="3" applyNumberFormat="1" applyFont="1" applyFill="1" applyBorder="1" applyAlignment="1" applyProtection="1">
      <alignment horizontal="center" vertical="center" textRotation="90" wrapText="1"/>
      <protection locked="0"/>
    </xf>
    <xf numFmtId="49" fontId="4" fillId="10" borderId="1" xfId="3" applyNumberFormat="1" applyFont="1" applyFill="1" applyBorder="1" applyAlignment="1" applyProtection="1">
      <alignment horizontal="center" vertical="center" wrapText="1"/>
      <protection locked="0"/>
    </xf>
    <xf numFmtId="49" fontId="4" fillId="10" borderId="1" xfId="0" applyNumberFormat="1" applyFont="1" applyFill="1" applyBorder="1" applyAlignment="1" applyProtection="1">
      <alignment horizontal="center" vertical="center" textRotation="90" wrapText="1"/>
      <protection locked="0"/>
    </xf>
    <xf numFmtId="165" fontId="4" fillId="10" borderId="1" xfId="3" applyNumberFormat="1" applyFont="1" applyFill="1" applyBorder="1" applyAlignment="1" applyProtection="1">
      <alignment horizontal="center" vertical="center" textRotation="90" wrapText="1"/>
      <protection locked="0"/>
    </xf>
    <xf numFmtId="166" fontId="4" fillId="10" borderId="1" xfId="3" applyNumberFormat="1" applyFont="1" applyFill="1" applyBorder="1" applyAlignment="1" applyProtection="1">
      <alignment horizontal="center" vertical="center" textRotation="90" wrapText="1"/>
      <protection locked="0"/>
    </xf>
    <xf numFmtId="168" fontId="4" fillId="10" borderId="1" xfId="3" applyNumberFormat="1" applyFont="1" applyFill="1" applyBorder="1" applyAlignment="1" applyProtection="1">
      <alignment horizontal="center" vertical="center" textRotation="90" wrapText="1"/>
      <protection locked="0"/>
    </xf>
    <xf numFmtId="49" fontId="3" fillId="0" borderId="1" xfId="3" applyNumberFormat="1" applyFont="1" applyFill="1" applyBorder="1" applyAlignment="1" applyProtection="1">
      <alignment horizontal="left" vertical="center" wrapText="1"/>
      <protection locked="0"/>
    </xf>
    <xf numFmtId="49" fontId="4" fillId="0" borderId="1" xfId="0" applyNumberFormat="1" applyFont="1" applyFill="1" applyBorder="1" applyAlignment="1" applyProtection="1">
      <alignment horizontal="center" vertical="center" textRotation="90" wrapText="1"/>
      <protection locked="0"/>
    </xf>
    <xf numFmtId="0" fontId="7" fillId="0" borderId="0" xfId="0" applyFont="1" applyProtection="1"/>
    <xf numFmtId="0" fontId="5" fillId="0" borderId="0" xfId="0" applyFont="1" applyProtection="1"/>
    <xf numFmtId="170" fontId="5" fillId="0" borderId="0" xfId="2" applyNumberFormat="1" applyFont="1" applyProtection="1"/>
    <xf numFmtId="43" fontId="5" fillId="0" borderId="0" xfId="1" applyNumberFormat="1" applyFont="1" applyProtection="1"/>
    <xf numFmtId="0" fontId="7" fillId="10" borderId="1" xfId="0" applyFont="1" applyFill="1" applyBorder="1" applyProtection="1"/>
    <xf numFmtId="0" fontId="3" fillId="0" borderId="2" xfId="0" applyFont="1" applyFill="1" applyBorder="1" applyAlignment="1" applyProtection="1">
      <alignment vertical="center" wrapText="1"/>
    </xf>
    <xf numFmtId="49" fontId="3" fillId="0" borderId="1" xfId="1" applyNumberFormat="1" applyFont="1" applyFill="1" applyBorder="1" applyAlignment="1" applyProtection="1">
      <alignment horizontal="left" vertical="center" wrapText="1"/>
    </xf>
    <xf numFmtId="166" fontId="3" fillId="0" borderId="1" xfId="0" applyNumberFormat="1" applyFont="1" applyFill="1" applyBorder="1" applyAlignment="1" applyProtection="1">
      <alignment horizontal="center" vertical="center" wrapText="1"/>
    </xf>
    <xf numFmtId="168" fontId="3" fillId="0" borderId="1" xfId="0" applyNumberFormat="1" applyFont="1" applyFill="1" applyBorder="1" applyAlignment="1" applyProtection="1">
      <alignment horizontal="center" vertical="center" wrapText="1"/>
    </xf>
    <xf numFmtId="165" fontId="3" fillId="0" borderId="1" xfId="0" applyNumberFormat="1" applyFont="1" applyFill="1" applyBorder="1" applyAlignment="1" applyProtection="1">
      <alignment horizontal="center" vertical="center" wrapText="1"/>
    </xf>
    <xf numFmtId="165" fontId="3" fillId="0" borderId="1" xfId="0" applyNumberFormat="1" applyFont="1" applyFill="1" applyBorder="1" applyAlignment="1" applyProtection="1">
      <alignment vertical="center"/>
    </xf>
    <xf numFmtId="170" fontId="4" fillId="0" borderId="1" xfId="2" applyNumberFormat="1" applyFont="1" applyFill="1" applyBorder="1" applyAlignment="1" applyProtection="1">
      <alignment vertical="center" wrapText="1"/>
    </xf>
    <xf numFmtId="0" fontId="3" fillId="0" borderId="1" xfId="0" applyNumberFormat="1" applyFont="1" applyFill="1" applyBorder="1" applyAlignment="1" applyProtection="1">
      <alignment vertical="center" wrapText="1"/>
    </xf>
    <xf numFmtId="49" fontId="3" fillId="6" borderId="1" xfId="0" applyNumberFormat="1" applyFont="1" applyFill="1" applyBorder="1" applyAlignment="1" applyProtection="1">
      <alignment horizontal="left" vertical="center" wrapText="1"/>
    </xf>
    <xf numFmtId="0" fontId="3" fillId="0" borderId="0" xfId="0" applyFont="1" applyFill="1" applyAlignment="1" applyProtection="1">
      <alignment vertical="center" wrapText="1"/>
    </xf>
    <xf numFmtId="0" fontId="3" fillId="0" borderId="1" xfId="0" applyFont="1" applyFill="1" applyBorder="1" applyAlignment="1" applyProtection="1">
      <alignment vertical="center" wrapText="1"/>
    </xf>
    <xf numFmtId="49" fontId="3" fillId="0" borderId="2" xfId="0" applyNumberFormat="1" applyFont="1" applyFill="1" applyBorder="1" applyAlignment="1" applyProtection="1">
      <alignment vertical="center" wrapText="1"/>
    </xf>
    <xf numFmtId="0" fontId="7" fillId="7" borderId="1" xfId="0" applyFont="1" applyFill="1" applyBorder="1" applyProtection="1"/>
    <xf numFmtId="49" fontId="3" fillId="0" borderId="1" xfId="0" applyNumberFormat="1" applyFont="1" applyFill="1" applyBorder="1" applyAlignment="1" applyProtection="1">
      <alignment vertical="center" wrapText="1"/>
    </xf>
    <xf numFmtId="49" fontId="3" fillId="10" borderId="1" xfId="1" applyNumberFormat="1" applyFont="1" applyFill="1" applyBorder="1" applyAlignment="1" applyProtection="1">
      <alignment horizontal="left" vertical="center" wrapText="1"/>
    </xf>
    <xf numFmtId="0" fontId="5" fillId="0" borderId="0" xfId="0" applyFont="1" applyFill="1" applyProtection="1"/>
    <xf numFmtId="167" fontId="5" fillId="0" borderId="0" xfId="0" applyNumberFormat="1" applyFont="1" applyProtection="1"/>
    <xf numFmtId="167" fontId="3" fillId="0" borderId="1" xfId="1" applyNumberFormat="1" applyFont="1" applyFill="1" applyBorder="1" applyAlignment="1" applyProtection="1">
      <alignment horizontal="center" vertical="center" wrapText="1"/>
    </xf>
    <xf numFmtId="0" fontId="3" fillId="0" borderId="1" xfId="0" applyFont="1" applyFill="1" applyBorder="1" applyAlignment="1" applyProtection="1">
      <alignment vertical="center"/>
    </xf>
    <xf numFmtId="49" fontId="3" fillId="0" borderId="1" xfId="0" applyNumberFormat="1" applyFont="1" applyFill="1" applyBorder="1" applyAlignment="1" applyProtection="1">
      <alignment horizontal="left" vertical="center"/>
    </xf>
    <xf numFmtId="49" fontId="3" fillId="6" borderId="1" xfId="0" applyNumberFormat="1" applyFont="1" applyFill="1" applyBorder="1" applyAlignment="1" applyProtection="1">
      <alignment horizontal="left" vertical="center"/>
    </xf>
    <xf numFmtId="168" fontId="3" fillId="0" borderId="1" xfId="0" applyNumberFormat="1" applyFont="1" applyFill="1" applyBorder="1" applyAlignment="1" applyProtection="1">
      <alignment vertical="center"/>
    </xf>
    <xf numFmtId="0" fontId="3" fillId="0" borderId="0" xfId="0" applyFont="1" applyFill="1" applyAlignment="1" applyProtection="1">
      <alignment vertical="center"/>
    </xf>
    <xf numFmtId="0" fontId="3" fillId="0" borderId="1" xfId="0" applyFont="1" applyBorder="1" applyAlignment="1" applyProtection="1">
      <alignment horizontal="center" vertical="center" wrapText="1"/>
    </xf>
    <xf numFmtId="0" fontId="3" fillId="0" borderId="1" xfId="0" applyFont="1" applyBorder="1" applyAlignment="1" applyProtection="1">
      <alignment horizontal="left" vertical="center" wrapText="1"/>
    </xf>
    <xf numFmtId="0" fontId="3" fillId="0" borderId="1" xfId="0" applyNumberFormat="1" applyFont="1" applyFill="1" applyBorder="1" applyAlignment="1" applyProtection="1">
      <alignment horizontal="left" vertical="center" wrapText="1"/>
    </xf>
    <xf numFmtId="49" fontId="3" fillId="0" borderId="3" xfId="0" applyNumberFormat="1" applyFont="1" applyFill="1" applyBorder="1" applyAlignment="1" applyProtection="1">
      <alignment horizontal="left" vertical="center" wrapText="1"/>
    </xf>
    <xf numFmtId="0" fontId="3" fillId="0" borderId="0" xfId="0" applyFont="1" applyAlignment="1" applyProtection="1">
      <alignment vertical="center"/>
    </xf>
    <xf numFmtId="165" fontId="4" fillId="0" borderId="1" xfId="3" applyNumberFormat="1" applyFont="1" applyFill="1" applyBorder="1" applyAlignment="1" applyProtection="1">
      <alignment horizontal="center" vertical="center" textRotation="90" wrapText="1"/>
      <protection locked="0"/>
    </xf>
    <xf numFmtId="166" fontId="4" fillId="0" borderId="1" xfId="3" applyNumberFormat="1" applyFont="1" applyFill="1" applyBorder="1" applyAlignment="1" applyProtection="1">
      <alignment horizontal="center" vertical="center" textRotation="90" wrapText="1"/>
      <protection locked="0"/>
    </xf>
    <xf numFmtId="170" fontId="4" fillId="0" borderId="1" xfId="2" applyNumberFormat="1" applyFont="1" applyFill="1" applyBorder="1" applyAlignment="1" applyProtection="1">
      <alignment horizontal="center" vertical="center" wrapText="1"/>
    </xf>
    <xf numFmtId="170" fontId="5" fillId="0" borderId="0" xfId="2" applyNumberFormat="1" applyFont="1" applyFill="1" applyProtection="1"/>
    <xf numFmtId="167" fontId="4" fillId="9" borderId="1" xfId="0" applyNumberFormat="1" applyFont="1" applyFill="1" applyBorder="1" applyAlignment="1" applyProtection="1">
      <alignment horizontal="center" vertical="center" wrapText="1"/>
    </xf>
    <xf numFmtId="0" fontId="7" fillId="9" borderId="1" xfId="0" applyFont="1" applyFill="1" applyBorder="1" applyProtection="1"/>
    <xf numFmtId="49" fontId="4" fillId="9" borderId="1" xfId="3" applyNumberFormat="1" applyFont="1" applyFill="1" applyBorder="1" applyAlignment="1" applyProtection="1">
      <alignment horizontal="center" vertical="center" textRotation="90" wrapText="1"/>
    </xf>
    <xf numFmtId="49" fontId="4" fillId="9" borderId="1" xfId="3" applyNumberFormat="1" applyFont="1" applyFill="1" applyBorder="1" applyAlignment="1" applyProtection="1">
      <alignment horizontal="center" vertical="center" wrapText="1"/>
    </xf>
    <xf numFmtId="49" fontId="4" fillId="9" borderId="1" xfId="0" applyNumberFormat="1" applyFont="1" applyFill="1" applyBorder="1" applyAlignment="1" applyProtection="1">
      <alignment horizontal="center" vertical="center" textRotation="90" wrapText="1"/>
    </xf>
    <xf numFmtId="49" fontId="3" fillId="9" borderId="1" xfId="1" applyNumberFormat="1" applyFont="1" applyFill="1" applyBorder="1" applyAlignment="1" applyProtection="1">
      <alignment horizontal="left" vertical="center" wrapText="1"/>
    </xf>
    <xf numFmtId="165" fontId="4" fillId="9" borderId="1" xfId="3" applyNumberFormat="1" applyFont="1" applyFill="1" applyBorder="1" applyAlignment="1" applyProtection="1">
      <alignment horizontal="center" vertical="center" textRotation="90" wrapText="1"/>
    </xf>
    <xf numFmtId="166" fontId="4" fillId="9" borderId="1" xfId="3" applyNumberFormat="1" applyFont="1" applyFill="1" applyBorder="1" applyAlignment="1" applyProtection="1">
      <alignment horizontal="center" vertical="center" textRotation="90" wrapText="1"/>
    </xf>
    <xf numFmtId="168" fontId="4" fillId="9" borderId="1" xfId="3" applyNumberFormat="1" applyFont="1" applyFill="1" applyBorder="1" applyAlignment="1" applyProtection="1">
      <alignment horizontal="center" vertical="center" textRotation="90" wrapText="1"/>
    </xf>
    <xf numFmtId="0" fontId="9" fillId="8" borderId="1" xfId="4" applyFont="1" applyFill="1" applyBorder="1" applyAlignment="1" applyProtection="1">
      <alignment horizontal="center" vertical="center"/>
    </xf>
    <xf numFmtId="3" fontId="2" fillId="8" borderId="1" xfId="4" applyNumberFormat="1" applyFont="1" applyFill="1" applyBorder="1" applyAlignment="1" applyProtection="1">
      <alignment horizontal="center" vertical="center" wrapText="1"/>
    </xf>
    <xf numFmtId="167" fontId="4" fillId="9" borderId="2" xfId="1" applyNumberFormat="1" applyFont="1" applyFill="1" applyBorder="1" applyAlignment="1" applyProtection="1">
      <alignment horizontal="center" vertical="center" wrapText="1"/>
    </xf>
    <xf numFmtId="0" fontId="9" fillId="2" borderId="1" xfId="4" applyFont="1" applyFill="1" applyBorder="1" applyAlignment="1" applyProtection="1">
      <alignment horizontal="left"/>
    </xf>
    <xf numFmtId="167" fontId="9" fillId="0" borderId="1" xfId="1" applyNumberFormat="1" applyFont="1" applyFill="1" applyBorder="1" applyProtection="1"/>
    <xf numFmtId="167" fontId="1" fillId="9" borderId="1" xfId="1" applyNumberFormat="1" applyFont="1" applyFill="1" applyBorder="1" applyProtection="1"/>
    <xf numFmtId="0" fontId="9" fillId="0" borderId="1" xfId="4" applyFont="1" applyFill="1" applyBorder="1" applyProtection="1"/>
    <xf numFmtId="167" fontId="1" fillId="0" borderId="1" xfId="1" applyNumberFormat="1" applyFont="1" applyFill="1" applyBorder="1" applyProtection="1"/>
    <xf numFmtId="0" fontId="9" fillId="0" borderId="1" xfId="4" applyFont="1" applyFill="1" applyBorder="1" applyAlignment="1" applyProtection="1">
      <alignment horizontal="right"/>
    </xf>
    <xf numFmtId="167" fontId="2" fillId="9" borderId="1" xfId="1" applyNumberFormat="1" applyFont="1" applyFill="1" applyBorder="1" applyProtection="1"/>
    <xf numFmtId="0" fontId="9" fillId="0" borderId="1" xfId="4" applyFont="1" applyBorder="1" applyProtection="1"/>
    <xf numFmtId="0" fontId="9" fillId="0" borderId="1" xfId="4" applyFont="1" applyBorder="1" applyAlignment="1" applyProtection="1">
      <alignment horizontal="right"/>
    </xf>
    <xf numFmtId="167" fontId="2" fillId="0" borderId="1" xfId="1" applyNumberFormat="1" applyFont="1" applyFill="1" applyBorder="1" applyProtection="1"/>
    <xf numFmtId="0" fontId="2" fillId="8" borderId="1" xfId="4" applyFont="1" applyFill="1" applyBorder="1" applyAlignment="1" applyProtection="1">
      <alignment horizontal="center"/>
    </xf>
    <xf numFmtId="167" fontId="2" fillId="8" borderId="1" xfId="1" applyNumberFormat="1" applyFont="1" applyFill="1" applyBorder="1" applyProtection="1"/>
    <xf numFmtId="167" fontId="9" fillId="2" borderId="1" xfId="1" applyNumberFormat="1" applyFont="1" applyFill="1" applyBorder="1" applyProtection="1"/>
    <xf numFmtId="167" fontId="10" fillId="0" borderId="1" xfId="1" applyNumberFormat="1" applyFont="1" applyFill="1" applyBorder="1" applyProtection="1"/>
    <xf numFmtId="167" fontId="11" fillId="9" borderId="1" xfId="1" applyNumberFormat="1" applyFont="1" applyFill="1" applyBorder="1" applyProtection="1"/>
    <xf numFmtId="167" fontId="10" fillId="0" borderId="1" xfId="1" applyNumberFormat="1" applyFont="1" applyBorder="1" applyProtection="1"/>
    <xf numFmtId="167" fontId="9" fillId="0" borderId="1" xfId="1" applyNumberFormat="1" applyFont="1" applyBorder="1" applyProtection="1"/>
    <xf numFmtId="43" fontId="3" fillId="0" borderId="0" xfId="1" applyFont="1" applyFill="1" applyAlignment="1" applyProtection="1">
      <alignment vertical="center" wrapText="1"/>
    </xf>
    <xf numFmtId="167" fontId="3" fillId="0" borderId="0" xfId="1" applyNumberFormat="1" applyFont="1" applyFill="1" applyAlignment="1" applyProtection="1">
      <alignment vertical="center" wrapText="1"/>
    </xf>
    <xf numFmtId="43" fontId="3" fillId="0" borderId="1" xfId="1" applyNumberFormat="1" applyFont="1" applyFill="1" applyBorder="1" applyAlignment="1" applyProtection="1">
      <alignment horizontal="center" vertical="center" wrapText="1"/>
    </xf>
    <xf numFmtId="168" fontId="3" fillId="2" borderId="1" xfId="0" applyNumberFormat="1" applyFont="1" applyFill="1" applyBorder="1" applyAlignment="1" applyProtection="1">
      <alignment horizontal="center" vertical="center" wrapText="1"/>
    </xf>
    <xf numFmtId="171" fontId="3" fillId="0" borderId="0" xfId="0" applyNumberFormat="1" applyFont="1" applyFill="1" applyAlignment="1" applyProtection="1">
      <alignment vertical="center"/>
    </xf>
    <xf numFmtId="1" fontId="3" fillId="0" borderId="0" xfId="0" applyNumberFormat="1" applyFont="1" applyFill="1" applyAlignment="1" applyProtection="1">
      <alignment vertical="center" wrapText="1"/>
    </xf>
    <xf numFmtId="167" fontId="4" fillId="0" borderId="0" xfId="1" applyNumberFormat="1" applyFont="1" applyFill="1" applyBorder="1" applyAlignment="1" applyProtection="1">
      <alignment vertical="center" wrapText="1"/>
    </xf>
    <xf numFmtId="0" fontId="1" fillId="0" borderId="0" xfId="4" applyFont="1" applyProtection="1">
      <protection locked="0"/>
    </xf>
    <xf numFmtId="3" fontId="1" fillId="0" borderId="0" xfId="4" applyNumberFormat="1" applyFont="1" applyProtection="1">
      <protection locked="0"/>
    </xf>
    <xf numFmtId="0" fontId="2" fillId="0" borderId="0" xfId="4" applyFont="1" applyAlignment="1" applyProtection="1">
      <alignment horizontal="left" vertical="center"/>
      <protection locked="0"/>
    </xf>
    <xf numFmtId="3" fontId="1" fillId="0" borderId="0" xfId="4" applyNumberFormat="1" applyFont="1" applyBorder="1" applyProtection="1">
      <protection locked="0"/>
    </xf>
    <xf numFmtId="0" fontId="9" fillId="3" borderId="0" xfId="4" applyFont="1" applyFill="1" applyBorder="1" applyAlignment="1" applyProtection="1">
      <protection locked="0"/>
    </xf>
    <xf numFmtId="9" fontId="1" fillId="0" borderId="0" xfId="6" applyFont="1" applyProtection="1">
      <protection locked="0"/>
    </xf>
    <xf numFmtId="0" fontId="1" fillId="0" borderId="0" xfId="4" applyFont="1" applyProtection="1"/>
    <xf numFmtId="3" fontId="1" fillId="0" borderId="0" xfId="4" applyNumberFormat="1" applyFont="1" applyProtection="1"/>
    <xf numFmtId="0" fontId="1" fillId="0" borderId="0" xfId="4" applyFont="1" applyAlignment="1" applyProtection="1">
      <alignment horizontal="center" vertical="center"/>
    </xf>
    <xf numFmtId="0" fontId="1" fillId="2" borderId="0" xfId="4" applyFont="1" applyFill="1" applyProtection="1"/>
    <xf numFmtId="0" fontId="1" fillId="0" borderId="0" xfId="4" applyFont="1" applyFill="1" applyProtection="1"/>
    <xf numFmtId="9" fontId="1" fillId="0" borderId="0" xfId="6" applyFont="1" applyProtection="1"/>
    <xf numFmtId="49" fontId="4" fillId="4" borderId="1" xfId="3" applyNumberFormat="1" applyFont="1" applyFill="1" applyBorder="1" applyAlignment="1" applyProtection="1">
      <alignment horizontal="center" vertical="center"/>
    </xf>
    <xf numFmtId="49" fontId="3" fillId="0" borderId="1" xfId="3" applyNumberFormat="1" applyFont="1" applyFill="1" applyBorder="1" applyAlignment="1" applyProtection="1">
      <alignment horizontal="left" vertical="center" wrapText="1" indent="2"/>
      <protection locked="0"/>
    </xf>
    <xf numFmtId="165" fontId="4" fillId="0" borderId="1" xfId="3" applyNumberFormat="1" applyFont="1" applyFill="1" applyBorder="1" applyAlignment="1" applyProtection="1">
      <alignment horizontal="center" vertical="center" wrapText="1"/>
      <protection locked="0"/>
    </xf>
    <xf numFmtId="166" fontId="4" fillId="0" borderId="1" xfId="3" applyNumberFormat="1" applyFont="1" applyFill="1" applyBorder="1" applyAlignment="1" applyProtection="1">
      <alignment horizontal="center" vertical="center" wrapText="1"/>
      <protection locked="0"/>
    </xf>
    <xf numFmtId="49" fontId="3" fillId="0" borderId="1" xfId="1" applyNumberFormat="1" applyFont="1" applyFill="1" applyBorder="1" applyAlignment="1" applyProtection="1">
      <alignment horizontal="left" vertical="center" textRotation="1" wrapText="1"/>
      <protection locked="0"/>
    </xf>
    <xf numFmtId="165" fontId="3" fillId="0" borderId="1" xfId="3" applyNumberFormat="1" applyFont="1" applyFill="1" applyBorder="1" applyAlignment="1" applyProtection="1">
      <alignment horizontal="center" vertical="center" wrapText="1"/>
      <protection locked="0"/>
    </xf>
    <xf numFmtId="166" fontId="3" fillId="0" borderId="1" xfId="3" applyNumberFormat="1" applyFont="1" applyFill="1" applyBorder="1" applyAlignment="1" applyProtection="1">
      <alignment horizontal="center" vertical="center" wrapText="1"/>
      <protection locked="0"/>
    </xf>
    <xf numFmtId="43" fontId="3" fillId="0" borderId="1" xfId="0" applyNumberFormat="1" applyFont="1" applyFill="1" applyBorder="1" applyAlignment="1" applyProtection="1">
      <alignment horizontal="center" vertical="center" wrapText="1"/>
      <protection locked="0"/>
    </xf>
    <xf numFmtId="43" fontId="3" fillId="0" borderId="1" xfId="1" applyNumberFormat="1" applyFont="1" applyFill="1" applyBorder="1" applyAlignment="1" applyProtection="1">
      <alignment horizontal="left" vertical="center" wrapText="1"/>
      <protection locked="0"/>
    </xf>
    <xf numFmtId="43" fontId="3" fillId="0" borderId="1" xfId="0" applyNumberFormat="1" applyFont="1" applyFill="1" applyBorder="1" applyAlignment="1" applyProtection="1">
      <alignment vertical="center"/>
      <protection locked="0"/>
    </xf>
    <xf numFmtId="43" fontId="3" fillId="0" borderId="1" xfId="0" applyNumberFormat="1" applyFont="1" applyFill="1" applyBorder="1" applyAlignment="1" applyProtection="1">
      <alignment horizontal="center" vertical="center" wrapText="1"/>
    </xf>
    <xf numFmtId="49" fontId="3" fillId="2" borderId="1" xfId="1" applyNumberFormat="1" applyFont="1" applyFill="1" applyBorder="1" applyAlignment="1" applyProtection="1">
      <alignment horizontal="left" vertical="center" wrapText="1"/>
      <protection locked="0"/>
    </xf>
    <xf numFmtId="165" fontId="3" fillId="2" borderId="1" xfId="3" applyNumberFormat="1" applyFont="1" applyFill="1" applyBorder="1" applyAlignment="1" applyProtection="1">
      <alignment horizontal="center" vertical="center" wrapText="1"/>
      <protection locked="0"/>
    </xf>
    <xf numFmtId="167" fontId="4" fillId="2" borderId="1" xfId="1" applyNumberFormat="1" applyFont="1" applyFill="1" applyBorder="1" applyAlignment="1" applyProtection="1">
      <alignment vertical="center" wrapText="1"/>
    </xf>
    <xf numFmtId="170" fontId="4" fillId="2" borderId="1" xfId="2" applyNumberFormat="1" applyFont="1" applyFill="1" applyBorder="1" applyAlignment="1" applyProtection="1">
      <alignment vertical="center" wrapText="1"/>
    </xf>
    <xf numFmtId="43" fontId="3" fillId="2" borderId="1" xfId="3" applyNumberFormat="1" applyFont="1" applyFill="1" applyBorder="1" applyAlignment="1" applyProtection="1">
      <alignment horizontal="center" vertical="center" wrapText="1"/>
      <protection locked="0"/>
    </xf>
    <xf numFmtId="43" fontId="3" fillId="2" borderId="1" xfId="0" applyNumberFormat="1" applyFont="1" applyFill="1" applyBorder="1" applyAlignment="1" applyProtection="1">
      <alignment horizontal="center" vertical="center" wrapText="1"/>
      <protection locked="0"/>
    </xf>
    <xf numFmtId="43" fontId="3" fillId="2" borderId="1" xfId="1" applyNumberFormat="1" applyFont="1" applyFill="1" applyBorder="1" applyAlignment="1" applyProtection="1">
      <alignment horizontal="left" vertical="center" wrapText="1"/>
      <protection locked="0"/>
    </xf>
    <xf numFmtId="43" fontId="3" fillId="0" borderId="1" xfId="3" applyNumberFormat="1" applyFont="1" applyFill="1" applyBorder="1" applyAlignment="1" applyProtection="1">
      <alignment horizontal="center" vertical="center" wrapText="1"/>
      <protection locked="0"/>
    </xf>
    <xf numFmtId="43" fontId="3" fillId="2" borderId="1" xfId="0" applyNumberFormat="1" applyFont="1" applyFill="1" applyBorder="1" applyAlignment="1" applyProtection="1">
      <alignment horizontal="center" vertical="center" wrapText="1"/>
    </xf>
    <xf numFmtId="43" fontId="3" fillId="0" borderId="1" xfId="1" applyNumberFormat="1" applyFont="1" applyFill="1" applyBorder="1" applyAlignment="1" applyProtection="1">
      <alignment horizontal="left" vertical="center" wrapText="1"/>
    </xf>
    <xf numFmtId="43" fontId="3" fillId="0" borderId="1" xfId="0" applyNumberFormat="1" applyFont="1" applyFill="1" applyBorder="1" applyAlignment="1" applyProtection="1">
      <alignment vertical="center"/>
    </xf>
    <xf numFmtId="43" fontId="4" fillId="0" borderId="1" xfId="3" applyNumberFormat="1" applyFont="1" applyFill="1" applyBorder="1" applyAlignment="1" applyProtection="1">
      <alignment horizontal="center" vertical="center" wrapText="1"/>
      <protection locked="0"/>
    </xf>
    <xf numFmtId="43" fontId="4" fillId="0" borderId="1" xfId="1" applyNumberFormat="1" applyFont="1" applyFill="1" applyBorder="1" applyAlignment="1" applyProtection="1">
      <alignment vertical="center" wrapText="1"/>
    </xf>
    <xf numFmtId="43" fontId="4" fillId="0" borderId="1" xfId="2" applyNumberFormat="1" applyFont="1" applyFill="1" applyBorder="1" applyAlignment="1" applyProtection="1">
      <alignment vertical="center" wrapText="1"/>
    </xf>
    <xf numFmtId="43" fontId="4" fillId="0" borderId="1" xfId="3" applyNumberFormat="1" applyFont="1" applyFill="1" applyBorder="1" applyAlignment="1" applyProtection="1">
      <alignment horizontal="center" vertical="center" textRotation="90" wrapText="1"/>
      <protection locked="0"/>
    </xf>
    <xf numFmtId="43" fontId="4" fillId="0" borderId="1" xfId="0" applyNumberFormat="1" applyFont="1" applyFill="1" applyBorder="1" applyAlignment="1" applyProtection="1">
      <alignment horizontal="center" vertical="center" wrapText="1"/>
      <protection locked="0"/>
    </xf>
    <xf numFmtId="43" fontId="3" fillId="0" borderId="1" xfId="1" applyNumberFormat="1" applyFont="1" applyFill="1" applyBorder="1" applyAlignment="1" applyProtection="1">
      <alignment vertical="center" wrapText="1"/>
    </xf>
    <xf numFmtId="43" fontId="3" fillId="0" borderId="1" xfId="3" applyNumberFormat="1" applyFont="1" applyFill="1" applyBorder="1" applyAlignment="1" applyProtection="1">
      <alignment horizontal="left" vertical="center" wrapText="1"/>
      <protection locked="0"/>
    </xf>
    <xf numFmtId="43" fontId="4" fillId="0" borderId="1" xfId="0" applyNumberFormat="1" applyFont="1" applyFill="1" applyBorder="1" applyAlignment="1" applyProtection="1">
      <alignment horizontal="center" vertical="center" textRotation="90" wrapText="1"/>
      <protection locked="0"/>
    </xf>
    <xf numFmtId="43" fontId="3" fillId="0" borderId="1" xfId="0" applyNumberFormat="1" applyFont="1" applyFill="1" applyBorder="1" applyAlignment="1" applyProtection="1">
      <alignment horizontal="left" vertical="center" wrapText="1"/>
      <protection locked="0"/>
    </xf>
    <xf numFmtId="43" fontId="3" fillId="0" borderId="1" xfId="0" applyNumberFormat="1" applyFont="1" applyFill="1" applyBorder="1" applyAlignment="1" applyProtection="1">
      <alignment vertical="center" wrapText="1"/>
      <protection locked="0"/>
    </xf>
    <xf numFmtId="43" fontId="3" fillId="6" borderId="1" xfId="0" applyNumberFormat="1" applyFont="1" applyFill="1" applyBorder="1" applyAlignment="1" applyProtection="1">
      <alignment horizontal="left" vertical="center" wrapText="1"/>
      <protection locked="0"/>
    </xf>
    <xf numFmtId="43" fontId="3" fillId="0" borderId="1" xfId="0" applyNumberFormat="1" applyFont="1" applyFill="1" applyBorder="1" applyAlignment="1" applyProtection="1">
      <alignment horizontal="right" vertical="center" wrapText="1"/>
      <protection locked="0"/>
    </xf>
    <xf numFmtId="43" fontId="4" fillId="10" borderId="1" xfId="3" applyNumberFormat="1" applyFont="1" applyFill="1" applyBorder="1" applyAlignment="1" applyProtection="1">
      <alignment horizontal="center" vertical="center" textRotation="90" wrapText="1"/>
      <protection locked="0"/>
    </xf>
    <xf numFmtId="43" fontId="5" fillId="0" borderId="0" xfId="0" applyNumberFormat="1" applyFont="1" applyProtection="1"/>
    <xf numFmtId="43" fontId="5" fillId="0" borderId="0" xfId="0" applyNumberFormat="1" applyFont="1" applyFill="1" applyProtection="1"/>
    <xf numFmtId="43" fontId="4" fillId="10" borderId="1" xfId="3" applyNumberFormat="1" applyFont="1" applyFill="1" applyBorder="1" applyAlignment="1" applyProtection="1">
      <alignment horizontal="center" vertical="center" textRotation="90" wrapText="1"/>
    </xf>
    <xf numFmtId="43" fontId="4" fillId="10" borderId="1" xfId="0" applyNumberFormat="1" applyFont="1" applyFill="1" applyBorder="1" applyAlignment="1" applyProtection="1">
      <alignment horizontal="center" vertical="center" wrapText="1"/>
    </xf>
    <xf numFmtId="49" fontId="3" fillId="2" borderId="1" xfId="3" applyNumberFormat="1" applyFont="1" applyFill="1" applyBorder="1" applyAlignment="1" applyProtection="1">
      <alignment horizontal="left" vertical="center" wrapText="1"/>
      <protection locked="0"/>
    </xf>
    <xf numFmtId="43" fontId="4" fillId="9" borderId="1" xfId="2" applyNumberFormat="1" applyFont="1" applyFill="1" applyBorder="1" applyAlignment="1" applyProtection="1">
      <alignment horizontal="center" vertical="center" wrapText="1"/>
    </xf>
    <xf numFmtId="43" fontId="5" fillId="0" borderId="0" xfId="2" applyNumberFormat="1" applyFont="1" applyProtection="1"/>
    <xf numFmtId="43" fontId="4" fillId="10" borderId="1" xfId="3" applyNumberFormat="1" applyFont="1" applyFill="1" applyBorder="1" applyAlignment="1" applyProtection="1">
      <alignment horizontal="center" vertical="center" wrapText="1"/>
      <protection locked="0"/>
    </xf>
    <xf numFmtId="43" fontId="5" fillId="0" borderId="0" xfId="0" applyNumberFormat="1" applyFont="1" applyAlignment="1" applyProtection="1"/>
    <xf numFmtId="43" fontId="5" fillId="0" borderId="0" xfId="0" applyNumberFormat="1" applyFont="1" applyFill="1" applyAlignment="1" applyProtection="1"/>
    <xf numFmtId="43" fontId="4" fillId="10" borderId="1" xfId="3" applyNumberFormat="1" applyFont="1" applyFill="1" applyBorder="1" applyAlignment="1" applyProtection="1">
      <alignment horizontal="center" vertical="center" wrapText="1"/>
    </xf>
    <xf numFmtId="43" fontId="4" fillId="9" borderId="1" xfId="3" applyNumberFormat="1" applyFont="1" applyFill="1" applyBorder="1" applyAlignment="1" applyProtection="1">
      <alignment horizontal="center" vertical="center" wrapText="1"/>
    </xf>
    <xf numFmtId="43" fontId="4" fillId="9" borderId="1" xfId="0" applyNumberFormat="1" applyFont="1" applyFill="1" applyBorder="1" applyAlignment="1" applyProtection="1">
      <alignment horizontal="center" vertical="center" wrapText="1"/>
    </xf>
    <xf numFmtId="43" fontId="5" fillId="0" borderId="0" xfId="2" applyNumberFormat="1" applyFont="1" applyAlignment="1" applyProtection="1"/>
    <xf numFmtId="43" fontId="4" fillId="9" borderId="1" xfId="3" applyNumberFormat="1" applyFont="1" applyFill="1" applyBorder="1" applyAlignment="1" applyProtection="1">
      <alignment horizontal="center" vertical="center" textRotation="90" wrapText="1"/>
    </xf>
    <xf numFmtId="167" fontId="4" fillId="9" borderId="1" xfId="2" applyNumberFormat="1" applyFont="1" applyFill="1" applyBorder="1" applyAlignment="1" applyProtection="1">
      <alignment horizontal="center" vertical="center" wrapText="1"/>
    </xf>
    <xf numFmtId="167" fontId="4" fillId="0" borderId="1" xfId="2" applyNumberFormat="1" applyFont="1" applyFill="1" applyBorder="1" applyAlignment="1" applyProtection="1">
      <alignment vertical="center" wrapText="1"/>
    </xf>
    <xf numFmtId="167" fontId="5" fillId="0" borderId="0" xfId="2" applyNumberFormat="1" applyFont="1" applyAlignment="1" applyProtection="1"/>
    <xf numFmtId="165" fontId="3" fillId="0" borderId="1" xfId="3" applyNumberFormat="1" applyFont="1" applyFill="1" applyBorder="1" applyAlignment="1" applyProtection="1">
      <alignment horizontal="center" vertical="center" textRotation="90" wrapText="1"/>
      <protection locked="0"/>
    </xf>
    <xf numFmtId="166" fontId="3" fillId="0" borderId="1" xfId="3" applyNumberFormat="1" applyFont="1" applyFill="1" applyBorder="1" applyAlignment="1" applyProtection="1">
      <alignment horizontal="center" vertical="center" textRotation="90" wrapText="1"/>
      <protection locked="0"/>
    </xf>
    <xf numFmtId="43" fontId="3" fillId="0" borderId="1" xfId="3" applyNumberFormat="1" applyFont="1" applyFill="1" applyBorder="1" applyAlignment="1" applyProtection="1">
      <alignment horizontal="center" vertical="center" textRotation="90" wrapText="1"/>
      <protection locked="0"/>
    </xf>
    <xf numFmtId="43" fontId="3" fillId="10" borderId="1" xfId="3" applyNumberFormat="1" applyFont="1" applyFill="1" applyBorder="1" applyAlignment="1" applyProtection="1">
      <alignment horizontal="center" vertical="center" textRotation="90" wrapText="1"/>
      <protection locked="0"/>
    </xf>
    <xf numFmtId="43" fontId="3" fillId="10" borderId="1" xfId="3" applyNumberFormat="1" applyFont="1" applyFill="1" applyBorder="1" applyAlignment="1" applyProtection="1">
      <alignment horizontal="center" vertical="center" textRotation="90" wrapText="1"/>
    </xf>
    <xf numFmtId="0" fontId="8" fillId="0" borderId="0" xfId="0" applyFont="1" applyFill="1" applyAlignment="1" applyProtection="1">
      <alignment horizontal="center" wrapText="1"/>
      <protection locked="0"/>
    </xf>
    <xf numFmtId="0" fontId="2" fillId="0" borderId="0" xfId="4" applyFont="1" applyAlignment="1" applyProtection="1">
      <alignment horizontal="center" vertical="center"/>
      <protection locked="0"/>
    </xf>
    <xf numFmtId="0" fontId="3" fillId="0" borderId="2" xfId="0" applyFont="1" applyFill="1" applyBorder="1" applyAlignment="1" applyProtection="1">
      <alignment horizontal="center" vertical="center" wrapText="1"/>
    </xf>
    <xf numFmtId="0" fontId="3" fillId="0" borderId="4" xfId="0" applyFont="1" applyFill="1" applyBorder="1" applyAlignment="1" applyProtection="1">
      <alignment horizontal="center" vertical="center" wrapText="1"/>
    </xf>
    <xf numFmtId="0" fontId="3" fillId="0" borderId="3" xfId="0" applyFont="1" applyFill="1" applyBorder="1" applyAlignment="1" applyProtection="1">
      <alignment horizontal="center" vertical="center" wrapText="1"/>
    </xf>
    <xf numFmtId="49" fontId="3" fillId="0" borderId="2" xfId="0" applyNumberFormat="1" applyFont="1" applyFill="1" applyBorder="1" applyAlignment="1" applyProtection="1">
      <alignment horizontal="center" vertical="center" wrapText="1"/>
    </xf>
    <xf numFmtId="49" fontId="3" fillId="0" borderId="4" xfId="0" applyNumberFormat="1" applyFont="1" applyFill="1" applyBorder="1" applyAlignment="1" applyProtection="1">
      <alignment horizontal="center" vertical="center" wrapText="1"/>
    </xf>
    <xf numFmtId="49" fontId="3" fillId="0" borderId="3" xfId="0" applyNumberFormat="1" applyFont="1" applyFill="1" applyBorder="1" applyAlignment="1" applyProtection="1">
      <alignment horizontal="center" vertical="center" wrapText="1"/>
    </xf>
    <xf numFmtId="49" fontId="4" fillId="4" borderId="1" xfId="3" applyNumberFormat="1" applyFont="1" applyFill="1" applyBorder="1" applyAlignment="1" applyProtection="1">
      <alignment horizontal="center" vertical="center" wrapText="1"/>
    </xf>
    <xf numFmtId="49" fontId="4" fillId="4" borderId="1" xfId="3" applyNumberFormat="1" applyFont="1" applyFill="1" applyBorder="1" applyAlignment="1" applyProtection="1">
      <alignment horizontal="center" vertical="center" textRotation="90" wrapText="1"/>
    </xf>
    <xf numFmtId="49" fontId="4" fillId="6" borderId="1" xfId="3" applyNumberFormat="1" applyFont="1" applyFill="1" applyBorder="1" applyAlignment="1" applyProtection="1">
      <alignment horizontal="center" vertical="center" textRotation="90" wrapText="1"/>
    </xf>
    <xf numFmtId="49" fontId="4" fillId="4" borderId="1" xfId="3" applyNumberFormat="1" applyFont="1" applyFill="1" applyBorder="1" applyAlignment="1" applyProtection="1">
      <alignment horizontal="center" vertical="center"/>
    </xf>
    <xf numFmtId="49" fontId="4" fillId="5" borderId="1" xfId="3" applyNumberFormat="1" applyFont="1" applyFill="1" applyBorder="1" applyAlignment="1" applyProtection="1">
      <alignment horizontal="center" vertical="center" textRotation="90" wrapText="1"/>
    </xf>
    <xf numFmtId="165" fontId="4" fillId="5" borderId="1" xfId="3" applyNumberFormat="1" applyFont="1" applyFill="1" applyBorder="1" applyAlignment="1" applyProtection="1">
      <alignment horizontal="center" vertical="center" textRotation="90" wrapText="1"/>
    </xf>
    <xf numFmtId="166" fontId="4" fillId="5" borderId="1" xfId="3" applyNumberFormat="1" applyFont="1" applyFill="1" applyBorder="1" applyAlignment="1" applyProtection="1">
      <alignment horizontal="center" vertical="center" textRotation="90" wrapText="1"/>
    </xf>
    <xf numFmtId="168" fontId="4" fillId="5" borderId="1" xfId="3" applyNumberFormat="1" applyFont="1" applyFill="1" applyBorder="1" applyAlignment="1" applyProtection="1">
      <alignment horizontal="center" vertical="center" textRotation="90" wrapText="1"/>
    </xf>
    <xf numFmtId="166" fontId="4" fillId="6" borderId="1" xfId="3" applyNumberFormat="1" applyFont="1" applyFill="1" applyBorder="1" applyAlignment="1" applyProtection="1">
      <alignment horizontal="center" vertical="center" textRotation="90" wrapText="1"/>
    </xf>
    <xf numFmtId="0" fontId="3" fillId="0" borderId="2" xfId="0" applyNumberFormat="1" applyFont="1" applyFill="1" applyBorder="1" applyAlignment="1" applyProtection="1">
      <alignment horizontal="center" vertical="center" wrapText="1"/>
    </xf>
    <xf numFmtId="0" fontId="3" fillId="0" borderId="4" xfId="0" applyNumberFormat="1" applyFont="1" applyFill="1" applyBorder="1" applyAlignment="1" applyProtection="1">
      <alignment horizontal="center" vertical="center" wrapText="1"/>
    </xf>
    <xf numFmtId="0" fontId="3" fillId="0" borderId="3" xfId="0" applyNumberFormat="1" applyFont="1" applyFill="1" applyBorder="1" applyAlignment="1" applyProtection="1">
      <alignment horizontal="center" vertical="center" wrapText="1"/>
    </xf>
    <xf numFmtId="0" fontId="3" fillId="0" borderId="2" xfId="0" applyNumberFormat="1" applyFont="1" applyFill="1" applyBorder="1" applyAlignment="1" applyProtection="1">
      <alignment horizontal="left" vertical="center" wrapText="1"/>
    </xf>
    <xf numFmtId="0" fontId="3" fillId="0" borderId="4" xfId="0" applyNumberFormat="1" applyFont="1" applyFill="1" applyBorder="1" applyAlignment="1" applyProtection="1">
      <alignment horizontal="left" vertical="center" wrapText="1"/>
    </xf>
    <xf numFmtId="0" fontId="3" fillId="0" borderId="3" xfId="0" applyNumberFormat="1" applyFont="1" applyFill="1" applyBorder="1" applyAlignment="1" applyProtection="1">
      <alignment horizontal="left" vertical="center" wrapText="1"/>
    </xf>
    <xf numFmtId="170" fontId="4" fillId="9" borderId="2" xfId="2" applyNumberFormat="1" applyFont="1" applyFill="1" applyBorder="1" applyAlignment="1" applyProtection="1">
      <alignment horizontal="center" vertical="center" wrapText="1"/>
    </xf>
    <xf numFmtId="170" fontId="4" fillId="9" borderId="3" xfId="2" applyNumberFormat="1" applyFont="1" applyFill="1" applyBorder="1" applyAlignment="1" applyProtection="1">
      <alignment horizontal="center" vertical="center" wrapText="1"/>
    </xf>
    <xf numFmtId="49" fontId="3" fillId="0" borderId="1" xfId="0" applyNumberFormat="1" applyFont="1" applyFill="1" applyBorder="1" applyAlignment="1" applyProtection="1">
      <alignment horizontal="center" vertical="center" wrapText="1"/>
    </xf>
    <xf numFmtId="168" fontId="4" fillId="6" borderId="1" xfId="3" applyNumberFormat="1" applyFont="1" applyFill="1" applyBorder="1" applyAlignment="1" applyProtection="1">
      <alignment horizontal="center" vertical="center" textRotation="90" wrapText="1"/>
    </xf>
    <xf numFmtId="49" fontId="4" fillId="4" borderId="1" xfId="0" applyNumberFormat="1" applyFont="1" applyFill="1" applyBorder="1" applyAlignment="1" applyProtection="1">
      <alignment horizontal="center" vertical="center" wrapText="1"/>
    </xf>
    <xf numFmtId="165" fontId="4" fillId="6" borderId="1" xfId="3" applyNumberFormat="1" applyFont="1" applyFill="1" applyBorder="1" applyAlignment="1" applyProtection="1">
      <alignment horizontal="center" vertical="center" textRotation="90" wrapText="1"/>
    </xf>
    <xf numFmtId="0" fontId="3" fillId="0" borderId="2" xfId="0" applyFont="1" applyFill="1" applyBorder="1" applyAlignment="1" applyProtection="1">
      <alignment horizontal="right" vertical="center" wrapText="1"/>
    </xf>
    <xf numFmtId="0" fontId="3" fillId="0" borderId="4" xfId="0" applyFont="1" applyFill="1" applyBorder="1" applyAlignment="1" applyProtection="1">
      <alignment horizontal="right" vertical="center" wrapText="1"/>
    </xf>
    <xf numFmtId="0" fontId="0" fillId="0" borderId="4" xfId="0" applyBorder="1"/>
    <xf numFmtId="0" fontId="3" fillId="0" borderId="3" xfId="0" applyFont="1" applyFill="1" applyBorder="1" applyAlignment="1" applyProtection="1">
      <alignment horizontal="right" vertical="center" wrapText="1"/>
    </xf>
    <xf numFmtId="166" fontId="4" fillId="6" borderId="1" xfId="3" applyNumberFormat="1" applyFont="1" applyFill="1" applyBorder="1" applyAlignment="1" applyProtection="1">
      <alignment horizontal="center" vertical="center" textRotation="90" wrapText="1"/>
      <protection locked="0"/>
    </xf>
    <xf numFmtId="49" fontId="3" fillId="0" borderId="2" xfId="0" applyNumberFormat="1" applyFont="1" applyFill="1" applyBorder="1" applyAlignment="1" applyProtection="1">
      <alignment horizontal="left" vertical="center" wrapText="1"/>
    </xf>
    <xf numFmtId="49" fontId="3" fillId="0" borderId="4" xfId="0" applyNumberFormat="1" applyFont="1" applyFill="1" applyBorder="1" applyAlignment="1" applyProtection="1">
      <alignment horizontal="left" vertical="center" wrapText="1"/>
    </xf>
    <xf numFmtId="49" fontId="3" fillId="0" borderId="3" xfId="0" applyNumberFormat="1" applyFont="1" applyFill="1" applyBorder="1" applyAlignment="1" applyProtection="1">
      <alignment horizontal="left" vertical="center" wrapText="1"/>
    </xf>
  </cellXfs>
  <cellStyles count="7">
    <cellStyle name="Hipervínculo" xfId="3" builtinId="8"/>
    <cellStyle name="Millares" xfId="1" builtinId="3"/>
    <cellStyle name="Millares 3" xfId="5"/>
    <cellStyle name="Moneda" xfId="2" builtinId="4"/>
    <cellStyle name="Normal" xfId="0" builtinId="0"/>
    <cellStyle name="Normal 3" xfId="4"/>
    <cellStyle name="Porcentual 2" xfId="6"/>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externalLink" Target="externalLinks/externalLink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Budget%20EE/Presupuestos%20EE%20Dptos%20-%20Lineas%20Fase%20I.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ase I-II"/>
      <sheetName val="Fase I"/>
      <sheetName val="Instructivo"/>
      <sheetName val="Summary Ant-Choco"/>
      <sheetName val="Fase I Antio-Choco"/>
      <sheetName val="Summary Bog"/>
      <sheetName val="Fase I Bog"/>
      <sheetName val="Summary Valle del Cauca"/>
      <sheetName val="Fase I Valle del Cauca"/>
      <sheetName val="Hoja8"/>
      <sheetName val="Hoja8 (2)"/>
    </sheetNames>
    <sheetDataSet>
      <sheetData sheetId="0" refreshError="1"/>
      <sheetData sheetId="1" refreshError="1"/>
      <sheetData sheetId="2" refreshError="1"/>
      <sheetData sheetId="3" refreshError="1"/>
      <sheetData sheetId="4">
        <row r="4">
          <cell r="AH4">
            <v>0</v>
          </cell>
        </row>
      </sheetData>
      <sheetData sheetId="5" refreshError="1"/>
      <sheetData sheetId="6">
        <row r="4">
          <cell r="AH4">
            <v>0</v>
          </cell>
        </row>
      </sheetData>
      <sheetData sheetId="7" refreshError="1"/>
      <sheetData sheetId="8">
        <row r="4">
          <cell r="AH4">
            <v>0</v>
          </cell>
        </row>
        <row r="11">
          <cell r="AH11">
            <v>0</v>
          </cell>
        </row>
        <row r="16">
          <cell r="AH16">
            <v>0</v>
          </cell>
        </row>
      </sheetData>
      <sheetData sheetId="9" refreshError="1"/>
      <sheetData sheetId="10" refreshError="1"/>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54"/>
  <sheetViews>
    <sheetView tabSelected="1" workbookViewId="0">
      <selection sqref="A1:C1"/>
    </sheetView>
  </sheetViews>
  <sheetFormatPr baseColWidth="10" defaultRowHeight="15" x14ac:dyDescent="0.25"/>
  <cols>
    <col min="1" max="1" width="20.140625" bestFit="1" customWidth="1"/>
    <col min="2" max="2" width="108.5703125" customWidth="1"/>
  </cols>
  <sheetData>
    <row r="1" spans="1:2" x14ac:dyDescent="0.25">
      <c r="B1" s="12" t="s">
        <v>59</v>
      </c>
    </row>
    <row r="3" spans="1:2" x14ac:dyDescent="0.25">
      <c r="B3" t="s">
        <v>60</v>
      </c>
    </row>
    <row r="5" spans="1:2" ht="105" x14ac:dyDescent="0.25">
      <c r="A5" s="13" t="s">
        <v>61</v>
      </c>
      <c r="B5" s="14" t="s">
        <v>62</v>
      </c>
    </row>
    <row r="7" spans="1:2" x14ac:dyDescent="0.25">
      <c r="B7" s="12" t="s">
        <v>55</v>
      </c>
    </row>
    <row r="9" spans="1:2" x14ac:dyDescent="0.25">
      <c r="B9" t="s">
        <v>63</v>
      </c>
    </row>
    <row r="10" spans="1:2" x14ac:dyDescent="0.25">
      <c r="B10" t="s">
        <v>64</v>
      </c>
    </row>
    <row r="11" spans="1:2" x14ac:dyDescent="0.25">
      <c r="B11" t="s">
        <v>65</v>
      </c>
    </row>
    <row r="12" spans="1:2" x14ac:dyDescent="0.25">
      <c r="B12" t="s">
        <v>66</v>
      </c>
    </row>
    <row r="13" spans="1:2" x14ac:dyDescent="0.25">
      <c r="B13" t="s">
        <v>67</v>
      </c>
    </row>
    <row r="14" spans="1:2" x14ac:dyDescent="0.25">
      <c r="B14" t="s">
        <v>68</v>
      </c>
    </row>
    <row r="15" spans="1:2" ht="75" customHeight="1" x14ac:dyDescent="0.25">
      <c r="B15" s="14" t="s">
        <v>69</v>
      </c>
    </row>
    <row r="17" spans="1:2" ht="30" x14ac:dyDescent="0.25">
      <c r="A17" s="15" t="s">
        <v>70</v>
      </c>
      <c r="B17" s="14" t="s">
        <v>71</v>
      </c>
    </row>
    <row r="18" spans="1:2" ht="30" x14ac:dyDescent="0.25">
      <c r="A18" s="13" t="s">
        <v>72</v>
      </c>
      <c r="B18" s="14" t="s">
        <v>73</v>
      </c>
    </row>
    <row r="19" spans="1:2" ht="30" x14ac:dyDescent="0.25">
      <c r="A19" s="13" t="s">
        <v>74</v>
      </c>
      <c r="B19" s="14" t="s">
        <v>75</v>
      </c>
    </row>
    <row r="20" spans="1:2" x14ac:dyDescent="0.25">
      <c r="A20" s="13" t="s">
        <v>76</v>
      </c>
      <c r="B20" s="14" t="s">
        <v>77</v>
      </c>
    </row>
    <row r="21" spans="1:2" x14ac:dyDescent="0.25">
      <c r="A21" s="13"/>
    </row>
    <row r="22" spans="1:2" x14ac:dyDescent="0.25">
      <c r="A22" s="13"/>
    </row>
    <row r="23" spans="1:2" x14ac:dyDescent="0.25">
      <c r="A23" s="13"/>
      <c r="B23" s="12" t="s">
        <v>56</v>
      </c>
    </row>
    <row r="24" spans="1:2" ht="30" x14ac:dyDescent="0.25">
      <c r="A24" s="15" t="s">
        <v>70</v>
      </c>
      <c r="B24" s="14" t="s">
        <v>78</v>
      </c>
    </row>
    <row r="25" spans="1:2" ht="60" x14ac:dyDescent="0.25">
      <c r="A25" s="13" t="s">
        <v>72</v>
      </c>
      <c r="B25" s="14" t="s">
        <v>79</v>
      </c>
    </row>
    <row r="26" spans="1:2" ht="75" x14ac:dyDescent="0.25">
      <c r="A26" s="13" t="s">
        <v>74</v>
      </c>
      <c r="B26" s="14" t="s">
        <v>80</v>
      </c>
    </row>
    <row r="27" spans="1:2" ht="45" x14ac:dyDescent="0.25">
      <c r="A27" s="13" t="s">
        <v>76</v>
      </c>
      <c r="B27" s="14" t="s">
        <v>81</v>
      </c>
    </row>
    <row r="28" spans="1:2" x14ac:dyDescent="0.25">
      <c r="A28" s="13"/>
    </row>
    <row r="29" spans="1:2" x14ac:dyDescent="0.25">
      <c r="A29" s="13"/>
    </row>
    <row r="30" spans="1:2" x14ac:dyDescent="0.25">
      <c r="A30" s="13"/>
      <c r="B30" s="12" t="s">
        <v>57</v>
      </c>
    </row>
    <row r="31" spans="1:2" x14ac:dyDescent="0.25">
      <c r="A31" s="15" t="s">
        <v>70</v>
      </c>
      <c r="B31" t="s">
        <v>82</v>
      </c>
    </row>
    <row r="32" spans="1:2" ht="30" x14ac:dyDescent="0.25">
      <c r="A32" s="13" t="s">
        <v>72</v>
      </c>
      <c r="B32" s="14" t="s">
        <v>83</v>
      </c>
    </row>
    <row r="33" spans="1:2" ht="30" x14ac:dyDescent="0.25">
      <c r="A33" s="13" t="s">
        <v>74</v>
      </c>
      <c r="B33" s="14" t="s">
        <v>84</v>
      </c>
    </row>
    <row r="34" spans="1:2" x14ac:dyDescent="0.25">
      <c r="A34" s="13" t="s">
        <v>76</v>
      </c>
      <c r="B34" t="s">
        <v>85</v>
      </c>
    </row>
    <row r="35" spans="1:2" x14ac:dyDescent="0.25">
      <c r="A35" s="13"/>
    </row>
    <row r="36" spans="1:2" x14ac:dyDescent="0.25">
      <c r="A36" s="13"/>
      <c r="B36" s="12" t="s">
        <v>86</v>
      </c>
    </row>
    <row r="37" spans="1:2" ht="30" x14ac:dyDescent="0.25">
      <c r="A37" s="13"/>
      <c r="B37" s="14" t="s">
        <v>87</v>
      </c>
    </row>
    <row r="38" spans="1:2" x14ac:dyDescent="0.25">
      <c r="A38" s="16"/>
    </row>
    <row r="39" spans="1:2" x14ac:dyDescent="0.25">
      <c r="A39" s="16"/>
      <c r="B39" s="12" t="s">
        <v>88</v>
      </c>
    </row>
    <row r="40" spans="1:2" ht="30" x14ac:dyDescent="0.25">
      <c r="A40" s="16"/>
      <c r="B40" s="14" t="s">
        <v>89</v>
      </c>
    </row>
    <row r="41" spans="1:2" x14ac:dyDescent="0.25">
      <c r="A41" s="17"/>
      <c r="B41" s="14"/>
    </row>
    <row r="42" spans="1:2" x14ac:dyDescent="0.25">
      <c r="A42" s="16"/>
      <c r="B42" s="18" t="s">
        <v>90</v>
      </c>
    </row>
    <row r="43" spans="1:2" ht="60" x14ac:dyDescent="0.25">
      <c r="A43" s="16"/>
      <c r="B43" s="14" t="s">
        <v>91</v>
      </c>
    </row>
    <row r="44" spans="1:2" x14ac:dyDescent="0.25">
      <c r="A44" s="16"/>
      <c r="B44" s="14"/>
    </row>
    <row r="45" spans="1:2" x14ac:dyDescent="0.25">
      <c r="A45" s="16"/>
      <c r="B45" s="18" t="s">
        <v>92</v>
      </c>
    </row>
    <row r="46" spans="1:2" ht="45" x14ac:dyDescent="0.25">
      <c r="A46" s="16"/>
      <c r="B46" s="14" t="s">
        <v>93</v>
      </c>
    </row>
    <row r="47" spans="1:2" x14ac:dyDescent="0.25">
      <c r="A47" s="16"/>
    </row>
    <row r="48" spans="1:2" x14ac:dyDescent="0.25">
      <c r="A48" s="16"/>
      <c r="B48" s="18" t="s">
        <v>94</v>
      </c>
    </row>
    <row r="49" spans="1:2" x14ac:dyDescent="0.25">
      <c r="A49" s="16"/>
      <c r="B49" t="s">
        <v>95</v>
      </c>
    </row>
    <row r="50" spans="1:2" x14ac:dyDescent="0.25">
      <c r="A50" s="16"/>
    </row>
    <row r="51" spans="1:2" x14ac:dyDescent="0.25">
      <c r="A51" s="16"/>
      <c r="B51" s="12" t="s">
        <v>96</v>
      </c>
    </row>
    <row r="52" spans="1:2" ht="30" x14ac:dyDescent="0.25">
      <c r="A52" s="16"/>
      <c r="B52" s="14" t="s">
        <v>97</v>
      </c>
    </row>
    <row r="53" spans="1:2" x14ac:dyDescent="0.25">
      <c r="A53" s="16"/>
    </row>
    <row r="54" spans="1:2" ht="30" x14ac:dyDescent="0.25">
      <c r="A54" s="13" t="s">
        <v>98</v>
      </c>
      <c r="B54" s="14" t="s">
        <v>99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20"/>
  <sheetViews>
    <sheetView showGridLines="0" workbookViewId="0">
      <selection activeCell="A18" sqref="A18"/>
    </sheetView>
  </sheetViews>
  <sheetFormatPr baseColWidth="10" defaultRowHeight="15" x14ac:dyDescent="0.25"/>
  <cols>
    <col min="1" max="1" width="53.28515625" style="19" customWidth="1"/>
    <col min="2" max="2" width="17.5703125" style="23" bestFit="1" customWidth="1"/>
    <col min="3" max="3" width="18.5703125" style="19" bestFit="1" customWidth="1"/>
    <col min="4" max="16384" width="11.42578125" style="19"/>
  </cols>
  <sheetData>
    <row r="1" spans="1:3" ht="39.75" customHeight="1" x14ac:dyDescent="0.25">
      <c r="A1" s="188" t="s">
        <v>100</v>
      </c>
      <c r="B1" s="188"/>
      <c r="C1" s="188"/>
    </row>
    <row r="2" spans="1:3" x14ac:dyDescent="0.25">
      <c r="A2" s="189" t="s">
        <v>101</v>
      </c>
      <c r="B2" s="189"/>
      <c r="C2" s="189"/>
    </row>
    <row r="3" spans="1:3" x14ac:dyDescent="0.25">
      <c r="A3" s="118"/>
      <c r="B3" s="119"/>
      <c r="C3" s="118"/>
    </row>
    <row r="4" spans="1:3" x14ac:dyDescent="0.25">
      <c r="A4" s="120" t="s">
        <v>102</v>
      </c>
      <c r="B4" s="121"/>
      <c r="C4" s="118"/>
    </row>
    <row r="6" spans="1:3" s="20" customFormat="1" x14ac:dyDescent="0.25">
      <c r="A6" s="91" t="s">
        <v>103</v>
      </c>
      <c r="B6" s="92" t="s">
        <v>104</v>
      </c>
      <c r="C6" s="93" t="s">
        <v>98</v>
      </c>
    </row>
    <row r="7" spans="1:3" s="21" customFormat="1" x14ac:dyDescent="0.25">
      <c r="A7" s="94" t="s">
        <v>105</v>
      </c>
      <c r="B7" s="95">
        <f>+'Fase I Antio-Choco'!AH4</f>
        <v>0</v>
      </c>
      <c r="C7" s="96">
        <f>+'Fase I Antio-Choco'!AI4</f>
        <v>622607089</v>
      </c>
    </row>
    <row r="8" spans="1:3" s="22" customFormat="1" x14ac:dyDescent="0.25">
      <c r="A8" s="97" t="s">
        <v>106</v>
      </c>
      <c r="B8" s="98">
        <f>+'Fase I Antio-Choco'!AH11</f>
        <v>0</v>
      </c>
      <c r="C8" s="96">
        <f>+'Fase I Antio-Choco'!AI11</f>
        <v>186782123</v>
      </c>
    </row>
    <row r="9" spans="1:3" s="22" customFormat="1" x14ac:dyDescent="0.25">
      <c r="A9" s="97" t="s">
        <v>107</v>
      </c>
      <c r="B9" s="98">
        <f>+'Fase I Antio-Choco'!AH28</f>
        <v>0</v>
      </c>
      <c r="C9" s="96">
        <f>+'Fase I Antio-Choco'!AI28</f>
        <v>80049491</v>
      </c>
    </row>
    <row r="10" spans="1:3" s="22" customFormat="1" x14ac:dyDescent="0.25">
      <c r="A10" s="99" t="s">
        <v>161</v>
      </c>
      <c r="B10" s="98">
        <f>SUM(B7:B9)</f>
        <v>0</v>
      </c>
      <c r="C10" s="100">
        <f>SUM(C7:C9)</f>
        <v>889438703</v>
      </c>
    </row>
    <row r="11" spans="1:3" s="22" customFormat="1" x14ac:dyDescent="0.25">
      <c r="A11" s="97"/>
      <c r="B11" s="98"/>
      <c r="C11" s="96"/>
    </row>
    <row r="12" spans="1:3" x14ac:dyDescent="0.25">
      <c r="A12" s="101" t="s">
        <v>108</v>
      </c>
      <c r="B12" s="98">
        <f>+'Fase I Antio-Choco'!AH39</f>
        <v>279396135</v>
      </c>
      <c r="C12" s="96">
        <f>+'Fase I Antio-Choco'!AI39</f>
        <v>279396135</v>
      </c>
    </row>
    <row r="13" spans="1:3" x14ac:dyDescent="0.25">
      <c r="A13" s="102" t="s">
        <v>162</v>
      </c>
      <c r="B13" s="103">
        <f>+B12</f>
        <v>279396135</v>
      </c>
      <c r="C13" s="100">
        <f>+C12</f>
        <v>279396135</v>
      </c>
    </row>
    <row r="14" spans="1:3" x14ac:dyDescent="0.25">
      <c r="A14" s="104" t="s">
        <v>163</v>
      </c>
      <c r="B14" s="105">
        <f>+B10+B13</f>
        <v>279396135</v>
      </c>
      <c r="C14" s="105">
        <f>+C10+C13</f>
        <v>1168834838</v>
      </c>
    </row>
    <row r="19" spans="1:3" s="24" customFormat="1" x14ac:dyDescent="0.25">
      <c r="A19" s="122" t="s">
        <v>109</v>
      </c>
      <c r="B19" s="119"/>
      <c r="C19" s="123"/>
    </row>
    <row r="20" spans="1:3" s="24" customFormat="1" x14ac:dyDescent="0.25">
      <c r="A20" s="122" t="s">
        <v>110</v>
      </c>
      <c r="B20" s="119"/>
      <c r="C20" s="123"/>
    </row>
  </sheetData>
  <sheetProtection password="CB42" sheet="1" objects="1" scenarios="1"/>
  <mergeCells count="2">
    <mergeCell ref="A1:C1"/>
    <mergeCell ref="A2:C2"/>
  </mergeCells>
  <pageMargins left="0.7" right="0.7" top="0.75" bottom="0.75" header="0.3" footer="0.3"/>
  <pageSetup orientation="portrait" horizontalDpi="3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J41"/>
  <sheetViews>
    <sheetView showGridLines="0" zoomScale="65" zoomScaleNormal="65" workbookViewId="0">
      <pane xSplit="1" ySplit="4" topLeftCell="B5" activePane="bottomRight" state="frozen"/>
      <selection sqref="A1:C1"/>
      <selection pane="topRight" sqref="A1:C1"/>
      <selection pane="bottomLeft" sqref="A1:C1"/>
      <selection pane="bottomRight" activeCell="C19" sqref="C19:C25"/>
    </sheetView>
  </sheetViews>
  <sheetFormatPr baseColWidth="10" defaultRowHeight="12.75" x14ac:dyDescent="0.2"/>
  <cols>
    <col min="1" max="1" width="6.28515625" style="46" bestFit="1" customWidth="1"/>
    <col min="2" max="2" width="15" style="46" customWidth="1"/>
    <col min="3" max="3" width="17.140625" style="46" customWidth="1"/>
    <col min="4" max="4" width="24.42578125" style="46" customWidth="1"/>
    <col min="5" max="5" width="43.28515625" style="46" customWidth="1"/>
    <col min="6" max="6" width="61.140625" style="46" customWidth="1"/>
    <col min="7" max="7" width="29.42578125" style="46" customWidth="1"/>
    <col min="8" max="8" width="7.28515625" style="46" bestFit="1" customWidth="1"/>
    <col min="9" max="9" width="3.85546875" style="46" bestFit="1" customWidth="1"/>
    <col min="10" max="12" width="3.28515625" style="46" bestFit="1" customWidth="1"/>
    <col min="13" max="13" width="18.5703125" style="46" customWidth="1"/>
    <col min="14" max="14" width="11.42578125" style="46"/>
    <col min="15" max="15" width="13.7109375" style="46" customWidth="1"/>
    <col min="16" max="16" width="17.7109375" style="46" customWidth="1"/>
    <col min="17" max="20" width="11.42578125" style="46"/>
    <col min="21" max="21" width="14.28515625" style="46" customWidth="1"/>
    <col min="22" max="22" width="12.140625" style="46" customWidth="1"/>
    <col min="23" max="23" width="11.7109375" style="46" bestFit="1" customWidth="1"/>
    <col min="24" max="32" width="11.42578125" style="46"/>
    <col min="33" max="33" width="11.140625" style="46" customWidth="1"/>
    <col min="34" max="34" width="17.85546875" style="46" bestFit="1" customWidth="1"/>
    <col min="35" max="35" width="18.42578125" style="47" customWidth="1"/>
    <col min="36" max="36" width="14" style="48" bestFit="1" customWidth="1"/>
    <col min="37" max="16384" width="11.42578125" style="46"/>
  </cols>
  <sheetData>
    <row r="1" spans="1:35" x14ac:dyDescent="0.2">
      <c r="A1" s="45" t="s">
        <v>111</v>
      </c>
    </row>
    <row r="2" spans="1:35" s="1" customFormat="1" ht="15" customHeight="1" x14ac:dyDescent="0.25">
      <c r="A2" s="197" t="s">
        <v>0</v>
      </c>
      <c r="B2" s="196" t="s">
        <v>51</v>
      </c>
      <c r="C2" s="196" t="s">
        <v>1</v>
      </c>
      <c r="D2" s="196" t="s">
        <v>52</v>
      </c>
      <c r="E2" s="196" t="s">
        <v>53</v>
      </c>
      <c r="F2" s="196" t="s">
        <v>54</v>
      </c>
      <c r="G2" s="196" t="s">
        <v>2</v>
      </c>
      <c r="H2" s="130" t="s">
        <v>3</v>
      </c>
      <c r="I2" s="196" t="s">
        <v>4</v>
      </c>
      <c r="J2" s="199"/>
      <c r="K2" s="199"/>
      <c r="L2" s="199"/>
      <c r="M2" s="197" t="s">
        <v>5</v>
      </c>
      <c r="N2" s="197" t="s">
        <v>6</v>
      </c>
      <c r="O2" s="197" t="s">
        <v>7</v>
      </c>
      <c r="P2" s="200" t="s">
        <v>8</v>
      </c>
      <c r="Q2" s="201" t="s">
        <v>112</v>
      </c>
      <c r="R2" s="202" t="s">
        <v>9</v>
      </c>
      <c r="S2" s="202" t="s">
        <v>10</v>
      </c>
      <c r="T2" s="202" t="s">
        <v>11</v>
      </c>
      <c r="U2" s="203" t="s">
        <v>12</v>
      </c>
      <c r="V2" s="198" t="s">
        <v>13</v>
      </c>
      <c r="W2" s="216" t="s">
        <v>113</v>
      </c>
      <c r="X2" s="204" t="s">
        <v>14</v>
      </c>
      <c r="Y2" s="204" t="s">
        <v>15</v>
      </c>
      <c r="Z2" s="204" t="s">
        <v>16</v>
      </c>
      <c r="AA2" s="204" t="s">
        <v>17</v>
      </c>
      <c r="AB2" s="204" t="s">
        <v>18</v>
      </c>
      <c r="AC2" s="204" t="s">
        <v>19</v>
      </c>
      <c r="AD2" s="204" t="s">
        <v>20</v>
      </c>
      <c r="AE2" s="204" t="s">
        <v>21</v>
      </c>
      <c r="AF2" s="204" t="s">
        <v>22</v>
      </c>
      <c r="AG2" s="214" t="s">
        <v>23</v>
      </c>
      <c r="AH2" s="215" t="s">
        <v>24</v>
      </c>
      <c r="AI2" s="211" t="s">
        <v>98</v>
      </c>
    </row>
    <row r="3" spans="1:35" s="1" customFormat="1" ht="87.75" customHeight="1" x14ac:dyDescent="0.25">
      <c r="A3" s="197"/>
      <c r="B3" s="196"/>
      <c r="C3" s="196" t="s">
        <v>25</v>
      </c>
      <c r="D3" s="196" t="s">
        <v>26</v>
      </c>
      <c r="E3" s="196"/>
      <c r="F3" s="196"/>
      <c r="G3" s="196"/>
      <c r="H3" s="2" t="s">
        <v>30</v>
      </c>
      <c r="I3" s="2" t="s">
        <v>27</v>
      </c>
      <c r="J3" s="2" t="s">
        <v>28</v>
      </c>
      <c r="K3" s="2" t="s">
        <v>29</v>
      </c>
      <c r="L3" s="2" t="s">
        <v>30</v>
      </c>
      <c r="M3" s="197"/>
      <c r="N3" s="197"/>
      <c r="O3" s="197"/>
      <c r="P3" s="200"/>
      <c r="Q3" s="201"/>
      <c r="R3" s="202"/>
      <c r="S3" s="202"/>
      <c r="T3" s="202"/>
      <c r="U3" s="203"/>
      <c r="V3" s="198"/>
      <c r="W3" s="216"/>
      <c r="X3" s="204"/>
      <c r="Y3" s="204"/>
      <c r="Z3" s="204"/>
      <c r="AA3" s="204"/>
      <c r="AB3" s="204"/>
      <c r="AC3" s="204"/>
      <c r="AD3" s="204"/>
      <c r="AE3" s="204"/>
      <c r="AF3" s="204"/>
      <c r="AG3" s="214"/>
      <c r="AH3" s="215"/>
      <c r="AI3" s="212"/>
    </row>
    <row r="4" spans="1:35" s="11" customFormat="1" x14ac:dyDescent="0.2">
      <c r="A4" s="49" t="s">
        <v>55</v>
      </c>
      <c r="B4" s="25"/>
      <c r="C4" s="26"/>
      <c r="D4" s="26"/>
      <c r="E4" s="26"/>
      <c r="F4" s="26"/>
      <c r="G4" s="26"/>
      <c r="H4" s="27"/>
      <c r="I4" s="27"/>
      <c r="J4" s="27"/>
      <c r="K4" s="27"/>
      <c r="L4" s="27"/>
      <c r="M4" s="25"/>
      <c r="N4" s="25"/>
      <c r="O4" s="25"/>
      <c r="P4" s="25"/>
      <c r="Q4" s="28"/>
      <c r="R4" s="29"/>
      <c r="S4" s="29"/>
      <c r="T4" s="29"/>
      <c r="U4" s="30"/>
      <c r="V4" s="25"/>
      <c r="W4" s="28"/>
      <c r="X4" s="29"/>
      <c r="Y4" s="29"/>
      <c r="Z4" s="29"/>
      <c r="AA4" s="29"/>
      <c r="AB4" s="29"/>
      <c r="AC4" s="29"/>
      <c r="AD4" s="29"/>
      <c r="AE4" s="29"/>
      <c r="AF4" s="29"/>
      <c r="AG4" s="30"/>
      <c r="AH4" s="31">
        <f>SUM(AH5:AH10)</f>
        <v>0</v>
      </c>
      <c r="AI4" s="32">
        <v>622607089</v>
      </c>
    </row>
    <row r="5" spans="1:35" s="11" customFormat="1" ht="15" customHeight="1" x14ac:dyDescent="0.25">
      <c r="A5" s="50">
        <v>7</v>
      </c>
      <c r="B5" s="50">
        <v>1</v>
      </c>
      <c r="C5" s="213" t="s">
        <v>38</v>
      </c>
      <c r="D5" s="193" t="s">
        <v>32</v>
      </c>
      <c r="E5" s="205" t="s">
        <v>114</v>
      </c>
      <c r="F5" s="205" t="s">
        <v>115</v>
      </c>
      <c r="G5" s="43" t="s">
        <v>116</v>
      </c>
      <c r="H5" s="44"/>
      <c r="I5" s="44"/>
      <c r="J5" s="44"/>
      <c r="K5" s="44"/>
      <c r="L5" s="44"/>
      <c r="M5" s="4" t="s">
        <v>34</v>
      </c>
      <c r="N5" s="4" t="s">
        <v>35</v>
      </c>
      <c r="O5" s="4" t="s">
        <v>39</v>
      </c>
      <c r="P5" s="6" t="s">
        <v>117</v>
      </c>
      <c r="Q5" s="78"/>
      <c r="R5" s="79"/>
      <c r="S5" s="8">
        <f>+R5*Q5</f>
        <v>0</v>
      </c>
      <c r="T5" s="7">
        <f>+R5</f>
        <v>0</v>
      </c>
      <c r="U5" s="9">
        <f>S5</f>
        <v>0</v>
      </c>
      <c r="V5" s="6" t="s">
        <v>117</v>
      </c>
      <c r="W5" s="10"/>
      <c r="X5" s="7"/>
      <c r="Y5" s="7">
        <f t="shared" ref="Y5:Y10" si="0">+W5*X5</f>
        <v>0</v>
      </c>
      <c r="Z5" s="7"/>
      <c r="AA5" s="7">
        <f t="shared" ref="AA5:AA10" si="1">+Z5*W5</f>
        <v>0</v>
      </c>
      <c r="AB5" s="7"/>
      <c r="AC5" s="7">
        <f t="shared" ref="AC5:AC10" si="2">+AB5*W5</f>
        <v>0</v>
      </c>
      <c r="AD5" s="7"/>
      <c r="AE5" s="7">
        <f t="shared" ref="AE5:AE10" si="3">+AD5*W5</f>
        <v>0</v>
      </c>
      <c r="AF5" s="7">
        <f t="shared" ref="AF5:AG10" si="4">+X5+Z5+AB5+AD5</f>
        <v>0</v>
      </c>
      <c r="AG5" s="7">
        <f>+Y5+AA5+AC5+AE5</f>
        <v>0</v>
      </c>
      <c r="AH5" s="35">
        <f>+U5+AG5</f>
        <v>0</v>
      </c>
      <c r="AI5" s="56"/>
    </row>
    <row r="6" spans="1:35" s="11" customFormat="1" ht="31.5" customHeight="1" x14ac:dyDescent="0.25">
      <c r="A6" s="50">
        <v>7</v>
      </c>
      <c r="B6" s="50">
        <v>1</v>
      </c>
      <c r="C6" s="213"/>
      <c r="D6" s="194"/>
      <c r="E6" s="206"/>
      <c r="F6" s="206"/>
      <c r="G6" s="43" t="s">
        <v>118</v>
      </c>
      <c r="H6" s="44"/>
      <c r="I6" s="44"/>
      <c r="J6" s="44"/>
      <c r="K6" s="44"/>
      <c r="L6" s="44"/>
      <c r="M6" s="4" t="s">
        <v>34</v>
      </c>
      <c r="N6" s="4" t="s">
        <v>35</v>
      </c>
      <c r="O6" s="4" t="s">
        <v>39</v>
      </c>
      <c r="P6" s="6" t="s">
        <v>117</v>
      </c>
      <c r="Q6" s="78"/>
      <c r="R6" s="79"/>
      <c r="S6" s="8">
        <f>+R6*Q6</f>
        <v>0</v>
      </c>
      <c r="T6" s="7">
        <f>+R6</f>
        <v>0</v>
      </c>
      <c r="U6" s="9">
        <f>S6</f>
        <v>0</v>
      </c>
      <c r="V6" s="6" t="s">
        <v>117</v>
      </c>
      <c r="W6" s="10"/>
      <c r="X6" s="7"/>
      <c r="Y6" s="7">
        <f t="shared" si="0"/>
        <v>0</v>
      </c>
      <c r="Z6" s="7"/>
      <c r="AA6" s="7">
        <f t="shared" si="1"/>
        <v>0</v>
      </c>
      <c r="AB6" s="7"/>
      <c r="AC6" s="7">
        <f t="shared" si="2"/>
        <v>0</v>
      </c>
      <c r="AD6" s="7"/>
      <c r="AE6" s="7">
        <f t="shared" si="3"/>
        <v>0</v>
      </c>
      <c r="AF6" s="7">
        <f t="shared" si="4"/>
        <v>0</v>
      </c>
      <c r="AG6" s="7">
        <f>+Y6+AA6+AC6+AE6</f>
        <v>0</v>
      </c>
      <c r="AH6" s="35">
        <f>+U6+AG6</f>
        <v>0</v>
      </c>
      <c r="AI6" s="56"/>
    </row>
    <row r="7" spans="1:35" s="59" customFormat="1" ht="38.25" x14ac:dyDescent="0.25">
      <c r="A7" s="50">
        <v>7</v>
      </c>
      <c r="B7" s="50">
        <v>1</v>
      </c>
      <c r="C7" s="213"/>
      <c r="D7" s="194"/>
      <c r="E7" s="206"/>
      <c r="F7" s="207"/>
      <c r="G7" s="3" t="s">
        <v>119</v>
      </c>
      <c r="H7" s="5"/>
      <c r="I7" s="5"/>
      <c r="J7" s="5"/>
      <c r="K7" s="5"/>
      <c r="L7" s="5"/>
      <c r="M7" s="4" t="s">
        <v>34</v>
      </c>
      <c r="N7" s="4" t="s">
        <v>35</v>
      </c>
      <c r="O7" s="4" t="s">
        <v>39</v>
      </c>
      <c r="P7" s="6" t="s">
        <v>117</v>
      </c>
      <c r="Q7" s="78"/>
      <c r="R7" s="79"/>
      <c r="S7" s="8">
        <f t="shared" ref="S7:S10" si="5">+R7*Q7</f>
        <v>0</v>
      </c>
      <c r="T7" s="7">
        <f t="shared" ref="T7:T10" si="6">+R7</f>
        <v>0</v>
      </c>
      <c r="U7" s="9">
        <f t="shared" ref="U7:U10" si="7">S7</f>
        <v>0</v>
      </c>
      <c r="V7" s="6" t="s">
        <v>117</v>
      </c>
      <c r="W7" s="10"/>
      <c r="X7" s="7"/>
      <c r="Y7" s="7">
        <f t="shared" si="0"/>
        <v>0</v>
      </c>
      <c r="Z7" s="7"/>
      <c r="AA7" s="7">
        <f t="shared" si="1"/>
        <v>0</v>
      </c>
      <c r="AB7" s="7"/>
      <c r="AC7" s="7">
        <f t="shared" si="2"/>
        <v>0</v>
      </c>
      <c r="AD7" s="7"/>
      <c r="AE7" s="7">
        <f t="shared" si="3"/>
        <v>0</v>
      </c>
      <c r="AF7" s="7">
        <f t="shared" si="4"/>
        <v>0</v>
      </c>
      <c r="AG7" s="7">
        <f t="shared" si="4"/>
        <v>0</v>
      </c>
      <c r="AH7" s="35">
        <f>+U7+AG7</f>
        <v>0</v>
      </c>
      <c r="AI7" s="56"/>
    </row>
    <row r="8" spans="1:35" s="59" customFormat="1" ht="38.25" customHeight="1" x14ac:dyDescent="0.25">
      <c r="A8" s="60">
        <v>11</v>
      </c>
      <c r="B8" s="60">
        <v>1</v>
      </c>
      <c r="C8" s="61" t="s">
        <v>38</v>
      </c>
      <c r="D8" s="194"/>
      <c r="E8" s="206"/>
      <c r="F8" s="205" t="s">
        <v>120</v>
      </c>
      <c r="G8" s="3" t="s">
        <v>64</v>
      </c>
      <c r="H8" s="5"/>
      <c r="I8" s="5"/>
      <c r="J8" s="5"/>
      <c r="K8" s="5"/>
      <c r="L8" s="5"/>
      <c r="M8" s="4" t="s">
        <v>34</v>
      </c>
      <c r="N8" s="4" t="s">
        <v>35</v>
      </c>
      <c r="O8" s="4" t="s">
        <v>39</v>
      </c>
      <c r="P8" s="6" t="s">
        <v>117</v>
      </c>
      <c r="Q8" s="78"/>
      <c r="R8" s="79"/>
      <c r="S8" s="8">
        <f t="shared" si="5"/>
        <v>0</v>
      </c>
      <c r="T8" s="7">
        <f t="shared" si="6"/>
        <v>0</v>
      </c>
      <c r="U8" s="9">
        <f t="shared" si="7"/>
        <v>0</v>
      </c>
      <c r="V8" s="6" t="s">
        <v>117</v>
      </c>
      <c r="W8" s="10"/>
      <c r="X8" s="7"/>
      <c r="Y8" s="7">
        <f t="shared" si="0"/>
        <v>0</v>
      </c>
      <c r="Z8" s="7"/>
      <c r="AA8" s="7">
        <f t="shared" si="1"/>
        <v>0</v>
      </c>
      <c r="AB8" s="7"/>
      <c r="AC8" s="7">
        <f t="shared" si="2"/>
        <v>0</v>
      </c>
      <c r="AD8" s="7"/>
      <c r="AE8" s="7">
        <f t="shared" si="3"/>
        <v>0</v>
      </c>
      <c r="AF8" s="7">
        <f t="shared" si="4"/>
        <v>0</v>
      </c>
      <c r="AG8" s="7">
        <f t="shared" si="4"/>
        <v>0</v>
      </c>
      <c r="AH8" s="35">
        <f>+U8+AG8</f>
        <v>0</v>
      </c>
      <c r="AI8" s="56"/>
    </row>
    <row r="9" spans="1:35" s="59" customFormat="1" ht="38.25" x14ac:dyDescent="0.25">
      <c r="A9" s="60">
        <v>11</v>
      </c>
      <c r="B9" s="60">
        <v>1</v>
      </c>
      <c r="C9" s="61" t="s">
        <v>38</v>
      </c>
      <c r="D9" s="194"/>
      <c r="E9" s="206"/>
      <c r="F9" s="206"/>
      <c r="G9" s="3" t="s">
        <v>121</v>
      </c>
      <c r="H9" s="5"/>
      <c r="I9" s="5"/>
      <c r="J9" s="5"/>
      <c r="K9" s="5"/>
      <c r="L9" s="5"/>
      <c r="M9" s="4" t="s">
        <v>34</v>
      </c>
      <c r="N9" s="4" t="s">
        <v>35</v>
      </c>
      <c r="O9" s="4" t="s">
        <v>39</v>
      </c>
      <c r="P9" s="6" t="s">
        <v>117</v>
      </c>
      <c r="Q9" s="78"/>
      <c r="R9" s="79"/>
      <c r="S9" s="8">
        <f t="shared" si="5"/>
        <v>0</v>
      </c>
      <c r="T9" s="7">
        <f t="shared" si="6"/>
        <v>0</v>
      </c>
      <c r="U9" s="9">
        <f t="shared" si="7"/>
        <v>0</v>
      </c>
      <c r="V9" s="6" t="s">
        <v>117</v>
      </c>
      <c r="W9" s="10"/>
      <c r="X9" s="7"/>
      <c r="Y9" s="7">
        <f t="shared" si="0"/>
        <v>0</v>
      </c>
      <c r="Z9" s="7"/>
      <c r="AA9" s="7">
        <f t="shared" si="1"/>
        <v>0</v>
      </c>
      <c r="AB9" s="7"/>
      <c r="AC9" s="7">
        <f t="shared" si="2"/>
        <v>0</v>
      </c>
      <c r="AD9" s="7"/>
      <c r="AE9" s="7">
        <f t="shared" si="3"/>
        <v>0</v>
      </c>
      <c r="AF9" s="7">
        <f t="shared" si="4"/>
        <v>0</v>
      </c>
      <c r="AG9" s="7">
        <f t="shared" si="4"/>
        <v>0</v>
      </c>
      <c r="AH9" s="35">
        <f t="shared" ref="AH9:AH10" si="8">+U9+AG9</f>
        <v>0</v>
      </c>
      <c r="AI9" s="56"/>
    </row>
    <row r="10" spans="1:35" s="59" customFormat="1" ht="38.25" x14ac:dyDescent="0.25">
      <c r="A10" s="60">
        <v>11</v>
      </c>
      <c r="B10" s="60">
        <v>1</v>
      </c>
      <c r="C10" s="61" t="s">
        <v>38</v>
      </c>
      <c r="D10" s="195"/>
      <c r="E10" s="207"/>
      <c r="F10" s="207"/>
      <c r="G10" s="3" t="s">
        <v>66</v>
      </c>
      <c r="H10" s="5"/>
      <c r="I10" s="5"/>
      <c r="J10" s="5"/>
      <c r="K10" s="5"/>
      <c r="L10" s="5"/>
      <c r="M10" s="4" t="s">
        <v>34</v>
      </c>
      <c r="N10" s="4" t="s">
        <v>35</v>
      </c>
      <c r="O10" s="4" t="s">
        <v>39</v>
      </c>
      <c r="P10" s="6" t="s">
        <v>117</v>
      </c>
      <c r="Q10" s="78"/>
      <c r="R10" s="79"/>
      <c r="S10" s="8">
        <f t="shared" si="5"/>
        <v>0</v>
      </c>
      <c r="T10" s="7">
        <f t="shared" si="6"/>
        <v>0</v>
      </c>
      <c r="U10" s="9">
        <f t="shared" si="7"/>
        <v>0</v>
      </c>
      <c r="V10" s="6" t="s">
        <v>117</v>
      </c>
      <c r="W10" s="10"/>
      <c r="X10" s="7"/>
      <c r="Y10" s="7">
        <f t="shared" si="0"/>
        <v>0</v>
      </c>
      <c r="Z10" s="7"/>
      <c r="AA10" s="7">
        <f t="shared" si="1"/>
        <v>0</v>
      </c>
      <c r="AB10" s="7"/>
      <c r="AC10" s="7">
        <f t="shared" si="2"/>
        <v>0</v>
      </c>
      <c r="AD10" s="7"/>
      <c r="AE10" s="7">
        <f t="shared" si="3"/>
        <v>0</v>
      </c>
      <c r="AF10" s="7">
        <f t="shared" si="4"/>
        <v>0</v>
      </c>
      <c r="AG10" s="7">
        <f t="shared" si="4"/>
        <v>0</v>
      </c>
      <c r="AH10" s="35">
        <f t="shared" si="8"/>
        <v>0</v>
      </c>
      <c r="AI10" s="56"/>
    </row>
    <row r="11" spans="1:35" s="11" customFormat="1" x14ac:dyDescent="0.2">
      <c r="A11" s="62" t="s">
        <v>56</v>
      </c>
      <c r="B11" s="25"/>
      <c r="C11" s="26"/>
      <c r="D11" s="26"/>
      <c r="E11" s="26"/>
      <c r="F11" s="26"/>
      <c r="G11" s="26"/>
      <c r="H11" s="27"/>
      <c r="I11" s="27"/>
      <c r="J11" s="27"/>
      <c r="K11" s="27"/>
      <c r="L11" s="27"/>
      <c r="M11" s="25"/>
      <c r="N11" s="25"/>
      <c r="O11" s="25"/>
      <c r="P11" s="25"/>
      <c r="Q11" s="28"/>
      <c r="R11" s="29"/>
      <c r="S11" s="29"/>
      <c r="T11" s="29"/>
      <c r="U11" s="30"/>
      <c r="V11" s="25"/>
      <c r="W11" s="28"/>
      <c r="X11" s="29"/>
      <c r="Y11" s="29"/>
      <c r="Z11" s="29"/>
      <c r="AA11" s="29"/>
      <c r="AB11" s="29"/>
      <c r="AC11" s="29"/>
      <c r="AD11" s="29"/>
      <c r="AE11" s="29"/>
      <c r="AF11" s="29"/>
      <c r="AG11" s="30"/>
      <c r="AH11" s="31">
        <f>SUM(AH12:AH27)</f>
        <v>0</v>
      </c>
      <c r="AI11" s="32">
        <v>186782123</v>
      </c>
    </row>
    <row r="12" spans="1:35" s="11" customFormat="1" ht="38.25" x14ac:dyDescent="0.25">
      <c r="A12" s="190">
        <v>13</v>
      </c>
      <c r="B12" s="190">
        <v>1</v>
      </c>
      <c r="C12" s="193" t="s">
        <v>38</v>
      </c>
      <c r="D12" s="193" t="s">
        <v>32</v>
      </c>
      <c r="E12" s="205" t="s">
        <v>122</v>
      </c>
      <c r="F12" s="208" t="s">
        <v>123</v>
      </c>
      <c r="G12" s="43" t="s">
        <v>172</v>
      </c>
      <c r="H12" s="5"/>
      <c r="I12" s="5"/>
      <c r="J12" s="5"/>
      <c r="K12" s="5"/>
      <c r="L12" s="5"/>
      <c r="M12" s="4" t="s">
        <v>34</v>
      </c>
      <c r="N12" s="4" t="s">
        <v>35</v>
      </c>
      <c r="O12" s="4" t="s">
        <v>41</v>
      </c>
      <c r="P12" s="141" t="s">
        <v>124</v>
      </c>
      <c r="Q12" s="142"/>
      <c r="R12" s="145">
        <f>+SUM(R13:R18)</f>
        <v>0</v>
      </c>
      <c r="S12" s="146">
        <f>+SUM(S13:S18)</f>
        <v>0</v>
      </c>
      <c r="T12" s="146">
        <f>+SUM(T13:T18)</f>
        <v>0</v>
      </c>
      <c r="U12" s="146">
        <f t="shared" ref="U12:U27" si="9">S12</f>
        <v>0</v>
      </c>
      <c r="V12" s="147" t="s">
        <v>124</v>
      </c>
      <c r="W12" s="145"/>
      <c r="X12" s="145">
        <f t="shared" ref="X12:AG12" si="10">+SUM(X13:X18)</f>
        <v>0</v>
      </c>
      <c r="Y12" s="146">
        <f t="shared" si="10"/>
        <v>0</v>
      </c>
      <c r="Z12" s="146">
        <f t="shared" si="10"/>
        <v>0</v>
      </c>
      <c r="AA12" s="146">
        <f t="shared" si="10"/>
        <v>0</v>
      </c>
      <c r="AB12" s="146">
        <f t="shared" si="10"/>
        <v>0</v>
      </c>
      <c r="AC12" s="146">
        <f t="shared" si="10"/>
        <v>0</v>
      </c>
      <c r="AD12" s="146">
        <f t="shared" si="10"/>
        <v>0</v>
      </c>
      <c r="AE12" s="146">
        <f t="shared" si="10"/>
        <v>0</v>
      </c>
      <c r="AF12" s="146">
        <f t="shared" si="10"/>
        <v>0</v>
      </c>
      <c r="AG12" s="146">
        <f t="shared" si="10"/>
        <v>0</v>
      </c>
      <c r="AH12" s="143">
        <f t="shared" ref="AH12:AH27" si="11">+U12+AG12</f>
        <v>0</v>
      </c>
      <c r="AI12" s="144"/>
    </row>
    <row r="13" spans="1:35" s="11" customFormat="1" x14ac:dyDescent="0.25">
      <c r="A13" s="191"/>
      <c r="B13" s="191"/>
      <c r="C13" s="194"/>
      <c r="D13" s="194"/>
      <c r="E13" s="206"/>
      <c r="F13" s="209"/>
      <c r="G13" s="131" t="s">
        <v>167</v>
      </c>
      <c r="H13" s="5"/>
      <c r="I13" s="5"/>
      <c r="J13" s="5"/>
      <c r="K13" s="5"/>
      <c r="L13" s="5"/>
      <c r="M13" s="4"/>
      <c r="N13" s="4"/>
      <c r="O13" s="4"/>
      <c r="P13" s="6"/>
      <c r="Q13" s="136"/>
      <c r="R13" s="148"/>
      <c r="S13" s="137">
        <f t="shared" ref="S13:S27" si="12">+R13*Q13</f>
        <v>0</v>
      </c>
      <c r="T13" s="137">
        <f>+R13</f>
        <v>0</v>
      </c>
      <c r="U13" s="137">
        <f>+S13</f>
        <v>0</v>
      </c>
      <c r="V13" s="138"/>
      <c r="W13" s="139"/>
      <c r="X13" s="139"/>
      <c r="Y13" s="137">
        <f>+W13*X13</f>
        <v>0</v>
      </c>
      <c r="Z13" s="139"/>
      <c r="AA13" s="137">
        <f>+$W13*Z13</f>
        <v>0</v>
      </c>
      <c r="AB13" s="139"/>
      <c r="AC13" s="137">
        <f>+$W13*AB13</f>
        <v>0</v>
      </c>
      <c r="AD13" s="139"/>
      <c r="AE13" s="137">
        <f>+$W13*AD13</f>
        <v>0</v>
      </c>
      <c r="AF13" s="137">
        <f>+X13+Z13+AB13+AD13</f>
        <v>0</v>
      </c>
      <c r="AG13" s="137">
        <f t="shared" ref="AF13:AG27" si="13">+Y13+AA13+AC13+AE13</f>
        <v>0</v>
      </c>
      <c r="AH13" s="35"/>
      <c r="AI13" s="56"/>
    </row>
    <row r="14" spans="1:35" s="11" customFormat="1" x14ac:dyDescent="0.25">
      <c r="A14" s="191"/>
      <c r="B14" s="191"/>
      <c r="C14" s="194"/>
      <c r="D14" s="194"/>
      <c r="E14" s="206"/>
      <c r="F14" s="209"/>
      <c r="G14" s="131" t="s">
        <v>168</v>
      </c>
      <c r="H14" s="5"/>
      <c r="I14" s="5"/>
      <c r="J14" s="5"/>
      <c r="K14" s="5"/>
      <c r="L14" s="5"/>
      <c r="M14" s="4"/>
      <c r="N14" s="4"/>
      <c r="O14" s="4"/>
      <c r="P14" s="6"/>
      <c r="Q14" s="136"/>
      <c r="R14" s="148"/>
      <c r="S14" s="137">
        <f t="shared" si="12"/>
        <v>0</v>
      </c>
      <c r="T14" s="137">
        <f t="shared" ref="T14:T25" si="14">+R14</f>
        <v>0</v>
      </c>
      <c r="U14" s="137">
        <f t="shared" ref="U14:U25" si="15">+S14</f>
        <v>0</v>
      </c>
      <c r="V14" s="138"/>
      <c r="W14" s="139"/>
      <c r="X14" s="139"/>
      <c r="Y14" s="137">
        <f t="shared" ref="Y14:Y18" si="16">+W14*X14</f>
        <v>0</v>
      </c>
      <c r="Z14" s="139"/>
      <c r="AA14" s="137">
        <f t="shared" ref="AA14:AA18" si="17">+$W14*Z14</f>
        <v>0</v>
      </c>
      <c r="AB14" s="139"/>
      <c r="AC14" s="137">
        <f t="shared" ref="AC14:AC18" si="18">+$W14*AB14</f>
        <v>0</v>
      </c>
      <c r="AD14" s="139"/>
      <c r="AE14" s="137">
        <f t="shared" ref="AE14:AE18" si="19">+$W14*AD14</f>
        <v>0</v>
      </c>
      <c r="AF14" s="137">
        <f t="shared" si="13"/>
        <v>0</v>
      </c>
      <c r="AG14" s="137">
        <f t="shared" si="13"/>
        <v>0</v>
      </c>
      <c r="AH14" s="35"/>
      <c r="AI14" s="56"/>
    </row>
    <row r="15" spans="1:35" s="11" customFormat="1" x14ac:dyDescent="0.25">
      <c r="A15" s="191"/>
      <c r="B15" s="191"/>
      <c r="C15" s="194"/>
      <c r="D15" s="194"/>
      <c r="E15" s="206"/>
      <c r="F15" s="209"/>
      <c r="G15" s="131" t="s">
        <v>169</v>
      </c>
      <c r="H15" s="5"/>
      <c r="I15" s="5"/>
      <c r="J15" s="5"/>
      <c r="K15" s="5"/>
      <c r="L15" s="5"/>
      <c r="M15" s="4"/>
      <c r="N15" s="4"/>
      <c r="O15" s="4"/>
      <c r="P15" s="6"/>
      <c r="Q15" s="136"/>
      <c r="R15" s="148"/>
      <c r="S15" s="137">
        <f t="shared" si="12"/>
        <v>0</v>
      </c>
      <c r="T15" s="137">
        <f t="shared" si="14"/>
        <v>0</v>
      </c>
      <c r="U15" s="137">
        <f t="shared" si="15"/>
        <v>0</v>
      </c>
      <c r="V15" s="138"/>
      <c r="W15" s="139"/>
      <c r="X15" s="139"/>
      <c r="Y15" s="137">
        <f t="shared" si="16"/>
        <v>0</v>
      </c>
      <c r="Z15" s="139"/>
      <c r="AA15" s="137">
        <f t="shared" si="17"/>
        <v>0</v>
      </c>
      <c r="AB15" s="139"/>
      <c r="AC15" s="137">
        <f t="shared" si="18"/>
        <v>0</v>
      </c>
      <c r="AD15" s="139"/>
      <c r="AE15" s="137">
        <f t="shared" si="19"/>
        <v>0</v>
      </c>
      <c r="AF15" s="137">
        <f t="shared" si="13"/>
        <v>0</v>
      </c>
      <c r="AG15" s="137">
        <f t="shared" si="13"/>
        <v>0</v>
      </c>
      <c r="AH15" s="35"/>
      <c r="AI15" s="56"/>
    </row>
    <row r="16" spans="1:35" s="11" customFormat="1" x14ac:dyDescent="0.25">
      <c r="A16" s="191"/>
      <c r="B16" s="191"/>
      <c r="C16" s="194"/>
      <c r="D16" s="194"/>
      <c r="E16" s="206"/>
      <c r="F16" s="209"/>
      <c r="G16" s="131" t="s">
        <v>170</v>
      </c>
      <c r="H16" s="5"/>
      <c r="I16" s="5"/>
      <c r="J16" s="5"/>
      <c r="K16" s="5"/>
      <c r="L16" s="5"/>
      <c r="M16" s="4"/>
      <c r="N16" s="4"/>
      <c r="O16" s="4"/>
      <c r="P16" s="6"/>
      <c r="Q16" s="136"/>
      <c r="R16" s="148"/>
      <c r="S16" s="137">
        <f t="shared" si="12"/>
        <v>0</v>
      </c>
      <c r="T16" s="137">
        <f t="shared" si="14"/>
        <v>0</v>
      </c>
      <c r="U16" s="137">
        <f t="shared" si="15"/>
        <v>0</v>
      </c>
      <c r="V16" s="138"/>
      <c r="W16" s="139"/>
      <c r="X16" s="139"/>
      <c r="Y16" s="137">
        <f t="shared" si="16"/>
        <v>0</v>
      </c>
      <c r="Z16" s="139"/>
      <c r="AA16" s="137">
        <f t="shared" si="17"/>
        <v>0</v>
      </c>
      <c r="AB16" s="139"/>
      <c r="AC16" s="137">
        <f t="shared" si="18"/>
        <v>0</v>
      </c>
      <c r="AD16" s="139"/>
      <c r="AE16" s="137">
        <f t="shared" si="19"/>
        <v>0</v>
      </c>
      <c r="AF16" s="137">
        <f t="shared" si="13"/>
        <v>0</v>
      </c>
      <c r="AG16" s="137">
        <f t="shared" si="13"/>
        <v>0</v>
      </c>
      <c r="AH16" s="35"/>
      <c r="AI16" s="56"/>
    </row>
    <row r="17" spans="1:36" s="11" customFormat="1" x14ac:dyDescent="0.25">
      <c r="A17" s="191"/>
      <c r="B17" s="191"/>
      <c r="C17" s="194"/>
      <c r="D17" s="194"/>
      <c r="E17" s="206"/>
      <c r="F17" s="209"/>
      <c r="G17" s="131" t="s">
        <v>174</v>
      </c>
      <c r="H17" s="5"/>
      <c r="I17" s="5"/>
      <c r="J17" s="5"/>
      <c r="K17" s="5"/>
      <c r="L17" s="5"/>
      <c r="M17" s="4"/>
      <c r="N17" s="4"/>
      <c r="O17" s="4"/>
      <c r="P17" s="6"/>
      <c r="Q17" s="136"/>
      <c r="R17" s="148"/>
      <c r="S17" s="137">
        <f t="shared" si="12"/>
        <v>0</v>
      </c>
      <c r="T17" s="137">
        <f t="shared" si="14"/>
        <v>0</v>
      </c>
      <c r="U17" s="137">
        <f t="shared" si="15"/>
        <v>0</v>
      </c>
      <c r="V17" s="138"/>
      <c r="W17" s="139"/>
      <c r="X17" s="139"/>
      <c r="Y17" s="137">
        <f t="shared" si="16"/>
        <v>0</v>
      </c>
      <c r="Z17" s="139"/>
      <c r="AA17" s="137">
        <f t="shared" si="17"/>
        <v>0</v>
      </c>
      <c r="AB17" s="139"/>
      <c r="AC17" s="137">
        <f t="shared" si="18"/>
        <v>0</v>
      </c>
      <c r="AD17" s="139"/>
      <c r="AE17" s="137">
        <f t="shared" si="19"/>
        <v>0</v>
      </c>
      <c r="AF17" s="137">
        <f t="shared" si="13"/>
        <v>0</v>
      </c>
      <c r="AG17" s="137">
        <f t="shared" si="13"/>
        <v>0</v>
      </c>
      <c r="AH17" s="35"/>
      <c r="AI17" s="56"/>
    </row>
    <row r="18" spans="1:36" s="11" customFormat="1" x14ac:dyDescent="0.25">
      <c r="A18" s="192"/>
      <c r="B18" s="192"/>
      <c r="C18" s="195"/>
      <c r="D18" s="194"/>
      <c r="E18" s="206"/>
      <c r="F18" s="209"/>
      <c r="G18" s="131" t="s">
        <v>171</v>
      </c>
      <c r="H18" s="5"/>
      <c r="I18" s="5"/>
      <c r="J18" s="5"/>
      <c r="K18" s="5"/>
      <c r="L18" s="5"/>
      <c r="M18" s="4"/>
      <c r="N18" s="4"/>
      <c r="O18" s="4"/>
      <c r="P18" s="6"/>
      <c r="Q18" s="136"/>
      <c r="R18" s="148"/>
      <c r="S18" s="137">
        <f t="shared" si="12"/>
        <v>0</v>
      </c>
      <c r="T18" s="137">
        <f t="shared" si="14"/>
        <v>0</v>
      </c>
      <c r="U18" s="137">
        <f t="shared" si="15"/>
        <v>0</v>
      </c>
      <c r="V18" s="138"/>
      <c r="W18" s="139"/>
      <c r="X18" s="139"/>
      <c r="Y18" s="137">
        <f t="shared" si="16"/>
        <v>0</v>
      </c>
      <c r="Z18" s="139"/>
      <c r="AA18" s="137">
        <f t="shared" si="17"/>
        <v>0</v>
      </c>
      <c r="AB18" s="139"/>
      <c r="AC18" s="137">
        <f t="shared" si="18"/>
        <v>0</v>
      </c>
      <c r="AD18" s="139"/>
      <c r="AE18" s="137">
        <f t="shared" si="19"/>
        <v>0</v>
      </c>
      <c r="AF18" s="137">
        <f t="shared" si="13"/>
        <v>0</v>
      </c>
      <c r="AG18" s="137">
        <f t="shared" si="13"/>
        <v>0</v>
      </c>
      <c r="AH18" s="35"/>
      <c r="AI18" s="56"/>
    </row>
    <row r="19" spans="1:36" s="11" customFormat="1" ht="38.25" x14ac:dyDescent="0.25">
      <c r="A19" s="190">
        <v>13</v>
      </c>
      <c r="B19" s="190">
        <v>1</v>
      </c>
      <c r="C19" s="193" t="s">
        <v>38</v>
      </c>
      <c r="D19" s="194"/>
      <c r="E19" s="206"/>
      <c r="F19" s="209"/>
      <c r="G19" s="43" t="s">
        <v>173</v>
      </c>
      <c r="H19" s="5"/>
      <c r="I19" s="5"/>
      <c r="J19" s="5"/>
      <c r="K19" s="5"/>
      <c r="L19" s="5"/>
      <c r="M19" s="4" t="s">
        <v>34</v>
      </c>
      <c r="N19" s="4" t="s">
        <v>35</v>
      </c>
      <c r="O19" s="4" t="s">
        <v>41</v>
      </c>
      <c r="P19" s="141" t="s">
        <v>125</v>
      </c>
      <c r="Q19" s="142"/>
      <c r="R19" s="145">
        <f>+SUM(R20:R25)</f>
        <v>0</v>
      </c>
      <c r="S19" s="146">
        <f>+SUM(S20:S25)</f>
        <v>0</v>
      </c>
      <c r="T19" s="146">
        <f t="shared" ref="T19:T27" si="20">+R19</f>
        <v>0</v>
      </c>
      <c r="U19" s="146">
        <f t="shared" si="9"/>
        <v>0</v>
      </c>
      <c r="V19" s="147" t="s">
        <v>125</v>
      </c>
      <c r="W19" s="145"/>
      <c r="X19" s="145">
        <f>+SUM(X20:X25)</f>
        <v>0</v>
      </c>
      <c r="Y19" s="146">
        <f>+SUM(Y20:Y25)</f>
        <v>0</v>
      </c>
      <c r="Z19" s="146">
        <f>+SUM(Z20:Z25)</f>
        <v>0</v>
      </c>
      <c r="AA19" s="146">
        <f>+SUM(AA20:AA25)</f>
        <v>0</v>
      </c>
      <c r="AB19" s="146">
        <f>+SUM(AB20:AB25)</f>
        <v>0</v>
      </c>
      <c r="AC19" s="146">
        <f t="shared" ref="AC19:AC27" si="21">+AB19*W19</f>
        <v>0</v>
      </c>
      <c r="AD19" s="146">
        <f>+SUM(AD20:AD25)</f>
        <v>0</v>
      </c>
      <c r="AE19" s="146">
        <f>+SUM(AE20:AE25)</f>
        <v>0</v>
      </c>
      <c r="AF19" s="146">
        <f>+SUM(AF20:AF25)</f>
        <v>0</v>
      </c>
      <c r="AG19" s="146">
        <f>+SUM(AG20:AG25)</f>
        <v>0</v>
      </c>
      <c r="AH19" s="143">
        <f t="shared" si="11"/>
        <v>0</v>
      </c>
      <c r="AI19" s="144"/>
    </row>
    <row r="20" spans="1:36" s="11" customFormat="1" x14ac:dyDescent="0.25">
      <c r="A20" s="191"/>
      <c r="B20" s="191"/>
      <c r="C20" s="194"/>
      <c r="D20" s="194"/>
      <c r="E20" s="206"/>
      <c r="F20" s="209"/>
      <c r="G20" s="131" t="s">
        <v>167</v>
      </c>
      <c r="H20" s="5"/>
      <c r="I20" s="5"/>
      <c r="J20" s="5"/>
      <c r="K20" s="5"/>
      <c r="L20" s="5"/>
      <c r="M20" s="4"/>
      <c r="N20" s="4"/>
      <c r="O20" s="4"/>
      <c r="P20" s="134"/>
      <c r="Q20" s="136"/>
      <c r="R20" s="148"/>
      <c r="S20" s="137">
        <f t="shared" si="12"/>
        <v>0</v>
      </c>
      <c r="T20" s="137">
        <f t="shared" si="14"/>
        <v>0</v>
      </c>
      <c r="U20" s="137">
        <f t="shared" si="15"/>
        <v>0</v>
      </c>
      <c r="V20" s="138"/>
      <c r="W20" s="139"/>
      <c r="X20" s="139"/>
      <c r="Y20" s="137">
        <f t="shared" ref="Y20:Y25" si="22">+W20*X20</f>
        <v>0</v>
      </c>
      <c r="Z20" s="139"/>
      <c r="AA20" s="137">
        <f>+$W20*Z20</f>
        <v>0</v>
      </c>
      <c r="AB20" s="139"/>
      <c r="AC20" s="137">
        <f>+$W20*AB20</f>
        <v>0</v>
      </c>
      <c r="AD20" s="139"/>
      <c r="AE20" s="137">
        <f>+$W20*AD20</f>
        <v>0</v>
      </c>
      <c r="AF20" s="137">
        <f t="shared" si="13"/>
        <v>0</v>
      </c>
      <c r="AG20" s="137">
        <f t="shared" si="13"/>
        <v>0</v>
      </c>
      <c r="AH20" s="35"/>
      <c r="AI20" s="56"/>
    </row>
    <row r="21" spans="1:36" s="11" customFormat="1" x14ac:dyDescent="0.25">
      <c r="A21" s="191"/>
      <c r="B21" s="191"/>
      <c r="C21" s="194"/>
      <c r="D21" s="194"/>
      <c r="E21" s="206"/>
      <c r="F21" s="209"/>
      <c r="G21" s="131" t="s">
        <v>168</v>
      </c>
      <c r="H21" s="5"/>
      <c r="I21" s="5"/>
      <c r="J21" s="5"/>
      <c r="K21" s="5"/>
      <c r="L21" s="5"/>
      <c r="M21" s="4"/>
      <c r="N21" s="4"/>
      <c r="O21" s="4"/>
      <c r="P21" s="134"/>
      <c r="Q21" s="136"/>
      <c r="R21" s="148"/>
      <c r="S21" s="137">
        <f t="shared" si="12"/>
        <v>0</v>
      </c>
      <c r="T21" s="137">
        <f t="shared" si="14"/>
        <v>0</v>
      </c>
      <c r="U21" s="137">
        <f t="shared" si="15"/>
        <v>0</v>
      </c>
      <c r="V21" s="138"/>
      <c r="W21" s="139"/>
      <c r="X21" s="139"/>
      <c r="Y21" s="137">
        <f t="shared" si="22"/>
        <v>0</v>
      </c>
      <c r="Z21" s="139"/>
      <c r="AA21" s="137">
        <f t="shared" ref="AA21:AA25" si="23">+$W21*Z21</f>
        <v>0</v>
      </c>
      <c r="AB21" s="139"/>
      <c r="AC21" s="137">
        <f t="shared" ref="AC21" si="24">+$W21*AB21</f>
        <v>0</v>
      </c>
      <c r="AD21" s="139"/>
      <c r="AE21" s="137">
        <f t="shared" ref="AE21:AE25" si="25">+$W21*AD21</f>
        <v>0</v>
      </c>
      <c r="AF21" s="137">
        <f t="shared" si="13"/>
        <v>0</v>
      </c>
      <c r="AG21" s="137">
        <f t="shared" si="13"/>
        <v>0</v>
      </c>
      <c r="AH21" s="35"/>
      <c r="AI21" s="56"/>
    </row>
    <row r="22" spans="1:36" s="11" customFormat="1" x14ac:dyDescent="0.25">
      <c r="A22" s="191"/>
      <c r="B22" s="191"/>
      <c r="C22" s="194"/>
      <c r="D22" s="194"/>
      <c r="E22" s="206"/>
      <c r="F22" s="209"/>
      <c r="G22" s="131" t="s">
        <v>169</v>
      </c>
      <c r="H22" s="5"/>
      <c r="I22" s="5"/>
      <c r="J22" s="5"/>
      <c r="K22" s="5"/>
      <c r="L22" s="5"/>
      <c r="M22" s="4"/>
      <c r="N22" s="4"/>
      <c r="O22" s="4"/>
      <c r="P22" s="134"/>
      <c r="Q22" s="136"/>
      <c r="R22" s="148"/>
      <c r="S22" s="137">
        <f t="shared" si="12"/>
        <v>0</v>
      </c>
      <c r="T22" s="137">
        <f t="shared" si="14"/>
        <v>0</v>
      </c>
      <c r="U22" s="137">
        <f t="shared" si="15"/>
        <v>0</v>
      </c>
      <c r="V22" s="138"/>
      <c r="W22" s="139"/>
      <c r="X22" s="139"/>
      <c r="Y22" s="137">
        <f t="shared" si="22"/>
        <v>0</v>
      </c>
      <c r="Z22" s="139"/>
      <c r="AA22" s="137">
        <f t="shared" si="23"/>
        <v>0</v>
      </c>
      <c r="AB22" s="139"/>
      <c r="AC22" s="137">
        <f t="shared" ref="AC22" si="26">+$W22*AB22</f>
        <v>0</v>
      </c>
      <c r="AD22" s="139"/>
      <c r="AE22" s="137">
        <f t="shared" si="25"/>
        <v>0</v>
      </c>
      <c r="AF22" s="137">
        <f t="shared" si="13"/>
        <v>0</v>
      </c>
      <c r="AG22" s="137">
        <f t="shared" si="13"/>
        <v>0</v>
      </c>
      <c r="AH22" s="35"/>
      <c r="AI22" s="56"/>
    </row>
    <row r="23" spans="1:36" s="11" customFormat="1" x14ac:dyDescent="0.25">
      <c r="A23" s="191"/>
      <c r="B23" s="191"/>
      <c r="C23" s="194"/>
      <c r="D23" s="194"/>
      <c r="E23" s="206"/>
      <c r="F23" s="209"/>
      <c r="G23" s="131" t="s">
        <v>170</v>
      </c>
      <c r="H23" s="5"/>
      <c r="I23" s="5"/>
      <c r="J23" s="5"/>
      <c r="K23" s="5"/>
      <c r="L23" s="5"/>
      <c r="M23" s="4"/>
      <c r="N23" s="4"/>
      <c r="O23" s="4"/>
      <c r="P23" s="134"/>
      <c r="Q23" s="136"/>
      <c r="R23" s="148"/>
      <c r="S23" s="137">
        <f t="shared" si="12"/>
        <v>0</v>
      </c>
      <c r="T23" s="137">
        <f t="shared" si="14"/>
        <v>0</v>
      </c>
      <c r="U23" s="137">
        <f t="shared" si="15"/>
        <v>0</v>
      </c>
      <c r="V23" s="138"/>
      <c r="W23" s="139"/>
      <c r="X23" s="139"/>
      <c r="Y23" s="137">
        <f t="shared" si="22"/>
        <v>0</v>
      </c>
      <c r="Z23" s="139"/>
      <c r="AA23" s="137">
        <f t="shared" si="23"/>
        <v>0</v>
      </c>
      <c r="AB23" s="139"/>
      <c r="AC23" s="137">
        <f t="shared" ref="AC23" si="27">+$W23*AB23</f>
        <v>0</v>
      </c>
      <c r="AD23" s="139"/>
      <c r="AE23" s="137">
        <f t="shared" si="25"/>
        <v>0</v>
      </c>
      <c r="AF23" s="137">
        <f t="shared" si="13"/>
        <v>0</v>
      </c>
      <c r="AG23" s="137">
        <f t="shared" si="13"/>
        <v>0</v>
      </c>
      <c r="AH23" s="35"/>
      <c r="AI23" s="56"/>
    </row>
    <row r="24" spans="1:36" s="11" customFormat="1" x14ac:dyDescent="0.25">
      <c r="A24" s="191"/>
      <c r="B24" s="191"/>
      <c r="C24" s="194"/>
      <c r="D24" s="194"/>
      <c r="E24" s="206"/>
      <c r="F24" s="209"/>
      <c r="G24" s="131" t="s">
        <v>174</v>
      </c>
      <c r="H24" s="5"/>
      <c r="I24" s="5"/>
      <c r="J24" s="5"/>
      <c r="K24" s="5"/>
      <c r="L24" s="5"/>
      <c r="M24" s="4"/>
      <c r="N24" s="4"/>
      <c r="O24" s="4"/>
      <c r="P24" s="134"/>
      <c r="Q24" s="136"/>
      <c r="R24" s="148"/>
      <c r="S24" s="137">
        <f t="shared" si="12"/>
        <v>0</v>
      </c>
      <c r="T24" s="137">
        <f t="shared" si="14"/>
        <v>0</v>
      </c>
      <c r="U24" s="137">
        <f t="shared" si="15"/>
        <v>0</v>
      </c>
      <c r="V24" s="138"/>
      <c r="W24" s="139"/>
      <c r="X24" s="139"/>
      <c r="Y24" s="137">
        <f t="shared" si="22"/>
        <v>0</v>
      </c>
      <c r="Z24" s="139"/>
      <c r="AA24" s="137">
        <f t="shared" si="23"/>
        <v>0</v>
      </c>
      <c r="AB24" s="139"/>
      <c r="AC24" s="137">
        <f t="shared" ref="AC24" si="28">+$W24*AB24</f>
        <v>0</v>
      </c>
      <c r="AD24" s="139"/>
      <c r="AE24" s="137">
        <f t="shared" si="25"/>
        <v>0</v>
      </c>
      <c r="AF24" s="137">
        <f t="shared" si="13"/>
        <v>0</v>
      </c>
      <c r="AG24" s="137">
        <f t="shared" si="13"/>
        <v>0</v>
      </c>
      <c r="AH24" s="35"/>
      <c r="AI24" s="56"/>
    </row>
    <row r="25" spans="1:36" s="11" customFormat="1" x14ac:dyDescent="0.25">
      <c r="A25" s="192"/>
      <c r="B25" s="192"/>
      <c r="C25" s="195"/>
      <c r="D25" s="194"/>
      <c r="E25" s="206"/>
      <c r="F25" s="209"/>
      <c r="G25" s="131" t="s">
        <v>171</v>
      </c>
      <c r="H25" s="5"/>
      <c r="I25" s="5"/>
      <c r="J25" s="5"/>
      <c r="K25" s="5"/>
      <c r="L25" s="5"/>
      <c r="M25" s="4"/>
      <c r="N25" s="4"/>
      <c r="O25" s="4"/>
      <c r="P25" s="134"/>
      <c r="Q25" s="136"/>
      <c r="R25" s="148"/>
      <c r="S25" s="137">
        <f t="shared" si="12"/>
        <v>0</v>
      </c>
      <c r="T25" s="137">
        <f t="shared" si="14"/>
        <v>0</v>
      </c>
      <c r="U25" s="137">
        <f t="shared" si="15"/>
        <v>0</v>
      </c>
      <c r="V25" s="138"/>
      <c r="W25" s="139"/>
      <c r="X25" s="139"/>
      <c r="Y25" s="137">
        <f t="shared" si="22"/>
        <v>0</v>
      </c>
      <c r="Z25" s="139"/>
      <c r="AA25" s="137">
        <f t="shared" si="23"/>
        <v>0</v>
      </c>
      <c r="AB25" s="139"/>
      <c r="AC25" s="137">
        <f t="shared" ref="AC25" si="29">+$W25*AB25</f>
        <v>0</v>
      </c>
      <c r="AD25" s="139"/>
      <c r="AE25" s="137">
        <f t="shared" si="25"/>
        <v>0</v>
      </c>
      <c r="AF25" s="137">
        <f t="shared" si="13"/>
        <v>0</v>
      </c>
      <c r="AG25" s="137">
        <f t="shared" si="13"/>
        <v>0</v>
      </c>
      <c r="AH25" s="35"/>
      <c r="AI25" s="56"/>
    </row>
    <row r="26" spans="1:36" s="11" customFormat="1" ht="38.25" x14ac:dyDescent="0.25">
      <c r="A26" s="60">
        <v>13</v>
      </c>
      <c r="B26" s="60">
        <v>1</v>
      </c>
      <c r="C26" s="63" t="s">
        <v>38</v>
      </c>
      <c r="D26" s="194"/>
      <c r="E26" s="206"/>
      <c r="F26" s="209"/>
      <c r="G26" s="43" t="s">
        <v>126</v>
      </c>
      <c r="H26" s="5"/>
      <c r="I26" s="5"/>
      <c r="J26" s="5"/>
      <c r="K26" s="5"/>
      <c r="L26" s="5"/>
      <c r="M26" s="4" t="s">
        <v>34</v>
      </c>
      <c r="N26" s="4" t="s">
        <v>35</v>
      </c>
      <c r="O26" s="4" t="s">
        <v>41</v>
      </c>
      <c r="P26" s="6" t="s">
        <v>127</v>
      </c>
      <c r="Q26" s="78"/>
      <c r="R26" s="79"/>
      <c r="S26" s="8">
        <f t="shared" si="12"/>
        <v>0</v>
      </c>
      <c r="T26" s="7">
        <f t="shared" si="20"/>
        <v>0</v>
      </c>
      <c r="U26" s="9">
        <f t="shared" si="9"/>
        <v>0</v>
      </c>
      <c r="V26" s="6" t="s">
        <v>127</v>
      </c>
      <c r="W26" s="10"/>
      <c r="X26" s="7"/>
      <c r="Y26" s="7">
        <f t="shared" ref="Y26:Y27" si="30">+W26*X26</f>
        <v>0</v>
      </c>
      <c r="Z26" s="7"/>
      <c r="AA26" s="7">
        <f t="shared" ref="AA26:AA27" si="31">+Z26*W26</f>
        <v>0</v>
      </c>
      <c r="AB26" s="7"/>
      <c r="AC26" s="7">
        <f t="shared" si="21"/>
        <v>0</v>
      </c>
      <c r="AD26" s="7"/>
      <c r="AE26" s="7">
        <f t="shared" ref="AE26:AE27" si="32">+AD26*W26</f>
        <v>0</v>
      </c>
      <c r="AF26" s="7">
        <f t="shared" si="13"/>
        <v>0</v>
      </c>
      <c r="AG26" s="7">
        <f t="shared" si="13"/>
        <v>0</v>
      </c>
      <c r="AH26" s="35">
        <f t="shared" si="11"/>
        <v>0</v>
      </c>
      <c r="AI26" s="56"/>
    </row>
    <row r="27" spans="1:36" s="59" customFormat="1" ht="150.75" customHeight="1" x14ac:dyDescent="0.25">
      <c r="A27" s="60">
        <v>13</v>
      </c>
      <c r="B27" s="60">
        <v>1</v>
      </c>
      <c r="C27" s="63" t="s">
        <v>38</v>
      </c>
      <c r="D27" s="195"/>
      <c r="E27" s="207"/>
      <c r="F27" s="210"/>
      <c r="G27" s="43" t="s">
        <v>128</v>
      </c>
      <c r="H27" s="5"/>
      <c r="I27" s="5"/>
      <c r="J27" s="5"/>
      <c r="K27" s="5"/>
      <c r="L27" s="5"/>
      <c r="M27" s="4" t="s">
        <v>34</v>
      </c>
      <c r="N27" s="4" t="s">
        <v>35</v>
      </c>
      <c r="O27" s="4" t="s">
        <v>41</v>
      </c>
      <c r="P27" s="6" t="s">
        <v>129</v>
      </c>
      <c r="Q27" s="78"/>
      <c r="R27" s="79"/>
      <c r="S27" s="8">
        <f t="shared" si="12"/>
        <v>0</v>
      </c>
      <c r="T27" s="7">
        <f t="shared" si="20"/>
        <v>0</v>
      </c>
      <c r="U27" s="9">
        <f t="shared" si="9"/>
        <v>0</v>
      </c>
      <c r="V27" s="6" t="s">
        <v>129</v>
      </c>
      <c r="W27" s="10"/>
      <c r="X27" s="7"/>
      <c r="Y27" s="7">
        <f t="shared" si="30"/>
        <v>0</v>
      </c>
      <c r="Z27" s="7"/>
      <c r="AA27" s="7">
        <f t="shared" si="31"/>
        <v>0</v>
      </c>
      <c r="AB27" s="7"/>
      <c r="AC27" s="7">
        <f t="shared" si="21"/>
        <v>0</v>
      </c>
      <c r="AD27" s="7"/>
      <c r="AE27" s="7">
        <f t="shared" si="32"/>
        <v>0</v>
      </c>
      <c r="AF27" s="7">
        <f t="shared" si="13"/>
        <v>0</v>
      </c>
      <c r="AG27" s="7">
        <f t="shared" si="13"/>
        <v>0</v>
      </c>
      <c r="AH27" s="35">
        <f t="shared" si="11"/>
        <v>0</v>
      </c>
      <c r="AI27" s="56"/>
    </row>
    <row r="28" spans="1:36" s="11" customFormat="1" x14ac:dyDescent="0.2">
      <c r="A28" s="49" t="s">
        <v>57</v>
      </c>
      <c r="B28" s="25"/>
      <c r="C28" s="26"/>
      <c r="D28" s="26"/>
      <c r="E28" s="26"/>
      <c r="F28" s="26"/>
      <c r="G28" s="26"/>
      <c r="H28" s="27"/>
      <c r="I28" s="27"/>
      <c r="J28" s="27"/>
      <c r="K28" s="27"/>
      <c r="L28" s="27"/>
      <c r="M28" s="25"/>
      <c r="N28" s="25"/>
      <c r="O28" s="25"/>
      <c r="P28" s="64"/>
      <c r="Q28" s="28"/>
      <c r="R28" s="29"/>
      <c r="S28" s="29"/>
      <c r="T28" s="29"/>
      <c r="U28" s="30"/>
      <c r="V28" s="25"/>
      <c r="W28" s="28"/>
      <c r="X28" s="29"/>
      <c r="Y28" s="29"/>
      <c r="Z28" s="29"/>
      <c r="AA28" s="29"/>
      <c r="AB28" s="29"/>
      <c r="AC28" s="29"/>
      <c r="AD28" s="29"/>
      <c r="AE28" s="29"/>
      <c r="AF28" s="29"/>
      <c r="AG28" s="30"/>
      <c r="AH28" s="31">
        <f>SUM(AH29)</f>
        <v>0</v>
      </c>
      <c r="AI28" s="32">
        <f>97838265-17788774</f>
        <v>80049491</v>
      </c>
    </row>
    <row r="29" spans="1:36" s="59" customFormat="1" ht="89.25" x14ac:dyDescent="0.25">
      <c r="A29" s="60">
        <v>8</v>
      </c>
      <c r="B29" s="60">
        <v>1</v>
      </c>
      <c r="C29" s="63" t="s">
        <v>38</v>
      </c>
      <c r="D29" s="63" t="s">
        <v>32</v>
      </c>
      <c r="E29" s="57" t="s">
        <v>122</v>
      </c>
      <c r="F29" s="57" t="s">
        <v>130</v>
      </c>
      <c r="G29" s="3"/>
      <c r="H29" s="5"/>
      <c r="I29" s="5"/>
      <c r="J29" s="5"/>
      <c r="K29" s="5"/>
      <c r="L29" s="5"/>
      <c r="M29" s="4" t="s">
        <v>34</v>
      </c>
      <c r="N29" s="4" t="s">
        <v>35</v>
      </c>
      <c r="O29" s="4" t="s">
        <v>40</v>
      </c>
      <c r="P29" s="6"/>
      <c r="Q29" s="78"/>
      <c r="R29" s="79"/>
      <c r="S29" s="8">
        <f t="shared" ref="S29" si="33">+R29*Q29</f>
        <v>0</v>
      </c>
      <c r="T29" s="7">
        <f t="shared" ref="T29" si="34">+R29</f>
        <v>0</v>
      </c>
      <c r="U29" s="9">
        <f t="shared" ref="U29" si="35">S29</f>
        <v>0</v>
      </c>
      <c r="V29" s="6"/>
      <c r="W29" s="10"/>
      <c r="X29" s="7"/>
      <c r="Y29" s="7">
        <f t="shared" ref="Y29" si="36">+W29*X29</f>
        <v>0</v>
      </c>
      <c r="Z29" s="7"/>
      <c r="AA29" s="7">
        <f t="shared" ref="AA29" si="37">+Z29*W29</f>
        <v>0</v>
      </c>
      <c r="AB29" s="7"/>
      <c r="AC29" s="7">
        <f t="shared" ref="AC29" si="38">+AB29*W29</f>
        <v>0</v>
      </c>
      <c r="AD29" s="7"/>
      <c r="AE29" s="7">
        <f t="shared" ref="AE29" si="39">+AD29*W29</f>
        <v>0</v>
      </c>
      <c r="AF29" s="7">
        <f t="shared" ref="AF29:AG29" si="40">+X29+Z29+AB29+AD29</f>
        <v>0</v>
      </c>
      <c r="AG29" s="7">
        <f t="shared" si="40"/>
        <v>0</v>
      </c>
      <c r="AH29" s="35">
        <f t="shared" ref="AH29" si="41">+U29+AG29</f>
        <v>0</v>
      </c>
      <c r="AI29" s="56"/>
    </row>
    <row r="30" spans="1:36" s="11" customFormat="1" x14ac:dyDescent="0.2">
      <c r="A30" s="49" t="s">
        <v>164</v>
      </c>
      <c r="B30" s="25"/>
      <c r="C30" s="26"/>
      <c r="D30" s="26"/>
      <c r="E30" s="26"/>
      <c r="F30" s="26"/>
      <c r="G30" s="26"/>
      <c r="H30" s="27"/>
      <c r="I30" s="27"/>
      <c r="J30" s="27"/>
      <c r="K30" s="27"/>
      <c r="L30" s="27"/>
      <c r="M30" s="25"/>
      <c r="N30" s="25"/>
      <c r="O30" s="25"/>
      <c r="P30" s="64"/>
      <c r="Q30" s="28"/>
      <c r="R30" s="29"/>
      <c r="S30" s="29"/>
      <c r="T30" s="29"/>
      <c r="U30" s="30"/>
      <c r="V30" s="25"/>
      <c r="W30" s="28"/>
      <c r="X30" s="29"/>
      <c r="Y30" s="29"/>
      <c r="Z30" s="29"/>
      <c r="AA30" s="29"/>
      <c r="AB30" s="29"/>
      <c r="AC30" s="29"/>
      <c r="AD30" s="29"/>
      <c r="AE30" s="29"/>
      <c r="AF30" s="29"/>
      <c r="AG30" s="30"/>
      <c r="AH30" s="31">
        <f>+AH4+AH11+AH28</f>
        <v>0</v>
      </c>
      <c r="AI30" s="32">
        <f>+AI4+AI11+AI28</f>
        <v>889438703</v>
      </c>
    </row>
    <row r="31" spans="1:36" x14ac:dyDescent="0.2">
      <c r="AA31" s="65"/>
      <c r="AH31" s="66">
        <f>SUM(AH7:AH29)</f>
        <v>0</v>
      </c>
      <c r="AJ31" s="46"/>
    </row>
    <row r="32" spans="1:36" s="11" customFormat="1" x14ac:dyDescent="0.2">
      <c r="A32" s="49" t="s">
        <v>58</v>
      </c>
      <c r="B32" s="25"/>
      <c r="C32" s="26"/>
      <c r="D32" s="26"/>
      <c r="E32" s="26"/>
      <c r="F32" s="26"/>
      <c r="G32" s="26"/>
      <c r="H32" s="27"/>
      <c r="I32" s="27"/>
      <c r="J32" s="27"/>
      <c r="K32" s="27"/>
      <c r="L32" s="27"/>
      <c r="M32" s="25"/>
      <c r="N32" s="25"/>
      <c r="O32" s="25"/>
      <c r="P32" s="25"/>
      <c r="Q32" s="28"/>
      <c r="R32" s="29"/>
      <c r="S32" s="29"/>
      <c r="T32" s="29"/>
      <c r="U32" s="30"/>
      <c r="V32" s="25"/>
      <c r="W32" s="28"/>
      <c r="X32" s="29"/>
      <c r="Y32" s="29"/>
      <c r="Z32" s="29"/>
      <c r="AA32" s="29"/>
      <c r="AB32" s="29"/>
      <c r="AC32" s="29"/>
      <c r="AD32" s="29"/>
      <c r="AE32" s="29"/>
      <c r="AF32" s="29"/>
      <c r="AG32" s="30"/>
      <c r="AH32" s="31"/>
      <c r="AI32" s="80"/>
    </row>
    <row r="33" spans="1:36" s="59" customFormat="1" ht="89.25" x14ac:dyDescent="0.25">
      <c r="A33" s="60">
        <v>6</v>
      </c>
      <c r="B33" s="60">
        <v>1</v>
      </c>
      <c r="C33" s="63" t="s">
        <v>31</v>
      </c>
      <c r="D33" s="63" t="s">
        <v>32</v>
      </c>
      <c r="E33" s="57" t="s">
        <v>33</v>
      </c>
      <c r="F33" s="63" t="s">
        <v>131</v>
      </c>
      <c r="G33" s="57" t="s">
        <v>132</v>
      </c>
      <c r="H33" s="58"/>
      <c r="I33" s="58"/>
      <c r="J33" s="58"/>
      <c r="K33" s="58"/>
      <c r="L33" s="58"/>
      <c r="M33" s="33" t="s">
        <v>34</v>
      </c>
      <c r="N33" s="33" t="s">
        <v>35</v>
      </c>
      <c r="O33" s="33" t="s">
        <v>36</v>
      </c>
      <c r="P33" s="51" t="s">
        <v>37</v>
      </c>
      <c r="Q33" s="52">
        <f>15355</f>
        <v>15355</v>
      </c>
      <c r="R33" s="67">
        <v>547</v>
      </c>
      <c r="S33" s="52">
        <f t="shared" ref="S33:S37" si="42">+R33*Q33</f>
        <v>8399185</v>
      </c>
      <c r="T33" s="53">
        <f t="shared" ref="T33:T38" si="43">+R33</f>
        <v>547</v>
      </c>
      <c r="U33" s="54">
        <f>S33</f>
        <v>8399185</v>
      </c>
      <c r="V33" s="51" t="s">
        <v>37</v>
      </c>
      <c r="W33" s="55">
        <f>+Q33</f>
        <v>15355</v>
      </c>
      <c r="X33" s="53">
        <v>547</v>
      </c>
      <c r="Y33" s="53">
        <f t="shared" ref="Y33:Y37" si="44">+W33*X33</f>
        <v>8399185</v>
      </c>
      <c r="Z33" s="53">
        <v>547</v>
      </c>
      <c r="AA33" s="53">
        <f t="shared" ref="AA33:AA37" si="45">+Z33*W33</f>
        <v>8399185</v>
      </c>
      <c r="AB33" s="53">
        <f>+Z33</f>
        <v>547</v>
      </c>
      <c r="AC33" s="53">
        <f t="shared" ref="AC33:AC37" si="46">+AB33*W33</f>
        <v>8399185</v>
      </c>
      <c r="AD33" s="53">
        <v>549</v>
      </c>
      <c r="AE33" s="53">
        <f t="shared" ref="AE33:AE37" si="47">+AD33*W33</f>
        <v>8429895</v>
      </c>
      <c r="AF33" s="53">
        <f t="shared" ref="AF33:AG38" si="48">+X33+Z33+AB33+AD33</f>
        <v>2190</v>
      </c>
      <c r="AG33" s="53">
        <f t="shared" si="48"/>
        <v>33627450</v>
      </c>
      <c r="AH33" s="35">
        <f t="shared" ref="AH33:AH37" si="49">+U33+AG33</f>
        <v>42026635</v>
      </c>
      <c r="AI33" s="56"/>
      <c r="AJ33" s="112"/>
    </row>
    <row r="34" spans="1:36" s="59" customFormat="1" ht="114.75" x14ac:dyDescent="0.25">
      <c r="A34" s="60">
        <v>34</v>
      </c>
      <c r="B34" s="68">
        <v>1</v>
      </c>
      <c r="C34" s="63" t="s">
        <v>42</v>
      </c>
      <c r="D34" s="63" t="s">
        <v>43</v>
      </c>
      <c r="E34" s="57" t="s">
        <v>44</v>
      </c>
      <c r="F34" s="63" t="s">
        <v>158</v>
      </c>
      <c r="G34" s="57" t="s">
        <v>133</v>
      </c>
      <c r="H34" s="33"/>
      <c r="I34" s="58"/>
      <c r="J34" s="58"/>
      <c r="K34" s="58"/>
      <c r="L34" s="58"/>
      <c r="M34" s="33" t="s">
        <v>34</v>
      </c>
      <c r="N34" s="33" t="s">
        <v>35</v>
      </c>
      <c r="O34" s="63" t="s">
        <v>45</v>
      </c>
      <c r="P34" s="51" t="s">
        <v>134</v>
      </c>
      <c r="Q34" s="52"/>
      <c r="R34" s="67"/>
      <c r="S34" s="52">
        <f>+R34*Q34</f>
        <v>0</v>
      </c>
      <c r="T34" s="53">
        <f t="shared" si="43"/>
        <v>0</v>
      </c>
      <c r="U34" s="54">
        <f t="shared" ref="U34:U37" si="50">S34</f>
        <v>0</v>
      </c>
      <c r="V34" s="51" t="s">
        <v>134</v>
      </c>
      <c r="W34" s="52">
        <f>36000*24</f>
        <v>864000</v>
      </c>
      <c r="X34" s="53">
        <v>10</v>
      </c>
      <c r="Y34" s="53">
        <f t="shared" si="44"/>
        <v>8640000</v>
      </c>
      <c r="Z34" s="53">
        <v>11</v>
      </c>
      <c r="AA34" s="53">
        <f t="shared" si="45"/>
        <v>9504000</v>
      </c>
      <c r="AB34" s="53"/>
      <c r="AC34" s="53">
        <f t="shared" si="46"/>
        <v>0</v>
      </c>
      <c r="AD34" s="53">
        <f t="shared" ref="AD34:AD35" si="51">+AB34</f>
        <v>0</v>
      </c>
      <c r="AE34" s="53">
        <f t="shared" si="47"/>
        <v>0</v>
      </c>
      <c r="AF34" s="53">
        <f>+X34+Z34+AB34+AD34</f>
        <v>21</v>
      </c>
      <c r="AG34" s="53">
        <f t="shared" si="48"/>
        <v>18144000</v>
      </c>
      <c r="AH34" s="35">
        <f t="shared" si="49"/>
        <v>18144000</v>
      </c>
      <c r="AI34" s="56"/>
    </row>
    <row r="35" spans="1:36" s="59" customFormat="1" ht="114.75" x14ac:dyDescent="0.25">
      <c r="A35" s="60">
        <v>35</v>
      </c>
      <c r="B35" s="68">
        <v>1</v>
      </c>
      <c r="C35" s="63" t="s">
        <v>42</v>
      </c>
      <c r="D35" s="63" t="s">
        <v>43</v>
      </c>
      <c r="E35" s="57" t="s">
        <v>44</v>
      </c>
      <c r="F35" s="63" t="s">
        <v>158</v>
      </c>
      <c r="G35" s="57" t="s">
        <v>135</v>
      </c>
      <c r="H35" s="33"/>
      <c r="I35" s="58"/>
      <c r="J35" s="58"/>
      <c r="K35" s="58"/>
      <c r="L35" s="58"/>
      <c r="M35" s="33" t="s">
        <v>34</v>
      </c>
      <c r="N35" s="33" t="s">
        <v>35</v>
      </c>
      <c r="O35" s="63" t="s">
        <v>45</v>
      </c>
      <c r="P35" s="51" t="s">
        <v>134</v>
      </c>
      <c r="Q35" s="52"/>
      <c r="R35" s="67"/>
      <c r="S35" s="52">
        <f t="shared" si="42"/>
        <v>0</v>
      </c>
      <c r="T35" s="53">
        <f t="shared" si="43"/>
        <v>0</v>
      </c>
      <c r="U35" s="54">
        <f t="shared" si="50"/>
        <v>0</v>
      </c>
      <c r="V35" s="51" t="s">
        <v>134</v>
      </c>
      <c r="W35" s="52">
        <f>36000*12</f>
        <v>432000</v>
      </c>
      <c r="X35" s="53"/>
      <c r="Y35" s="53">
        <f t="shared" si="44"/>
        <v>0</v>
      </c>
      <c r="Z35" s="53">
        <f t="shared" ref="Z35" si="52">+X35</f>
        <v>0</v>
      </c>
      <c r="AA35" s="53">
        <f t="shared" si="45"/>
        <v>0</v>
      </c>
      <c r="AB35" s="53">
        <v>21</v>
      </c>
      <c r="AC35" s="53">
        <f t="shared" si="46"/>
        <v>9072000</v>
      </c>
      <c r="AD35" s="53">
        <f t="shared" si="51"/>
        <v>21</v>
      </c>
      <c r="AE35" s="53">
        <f t="shared" si="47"/>
        <v>9072000</v>
      </c>
      <c r="AF35" s="53">
        <f t="shared" si="48"/>
        <v>42</v>
      </c>
      <c r="AG35" s="53">
        <f t="shared" si="48"/>
        <v>18144000</v>
      </c>
      <c r="AH35" s="35">
        <f t="shared" si="49"/>
        <v>18144000</v>
      </c>
      <c r="AI35" s="56"/>
    </row>
    <row r="36" spans="1:36" s="72" customFormat="1" ht="76.5" x14ac:dyDescent="0.25">
      <c r="A36" s="60">
        <v>43</v>
      </c>
      <c r="B36" s="68">
        <v>1</v>
      </c>
      <c r="C36" s="63" t="s">
        <v>46</v>
      </c>
      <c r="D36" s="63" t="s">
        <v>47</v>
      </c>
      <c r="E36" s="57" t="s">
        <v>48</v>
      </c>
      <c r="F36" s="63" t="s">
        <v>159</v>
      </c>
      <c r="G36" s="57" t="s">
        <v>136</v>
      </c>
      <c r="H36" s="69"/>
      <c r="I36" s="69"/>
      <c r="J36" s="70"/>
      <c r="K36" s="69"/>
      <c r="L36" s="70"/>
      <c r="M36" s="33" t="s">
        <v>34</v>
      </c>
      <c r="N36" s="33" t="s">
        <v>35</v>
      </c>
      <c r="O36" s="33" t="s">
        <v>49</v>
      </c>
      <c r="P36" s="51" t="s">
        <v>137</v>
      </c>
      <c r="Q36" s="52"/>
      <c r="R36" s="67"/>
      <c r="S36" s="52">
        <f t="shared" si="42"/>
        <v>0</v>
      </c>
      <c r="T36" s="53">
        <f t="shared" si="43"/>
        <v>0</v>
      </c>
      <c r="U36" s="54">
        <f t="shared" si="50"/>
        <v>0</v>
      </c>
      <c r="V36" s="51" t="s">
        <v>137</v>
      </c>
      <c r="W36" s="71">
        <v>5000000</v>
      </c>
      <c r="X36" s="53">
        <f t="shared" ref="X36" si="53">+R36</f>
        <v>0</v>
      </c>
      <c r="Y36" s="53">
        <f t="shared" si="44"/>
        <v>0</v>
      </c>
      <c r="Z36" s="53">
        <v>1</v>
      </c>
      <c r="AA36" s="53">
        <f t="shared" si="45"/>
        <v>5000000</v>
      </c>
      <c r="AB36" s="53"/>
      <c r="AC36" s="53">
        <f t="shared" si="46"/>
        <v>0</v>
      </c>
      <c r="AD36" s="53">
        <v>1</v>
      </c>
      <c r="AE36" s="53">
        <f t="shared" si="47"/>
        <v>5000000</v>
      </c>
      <c r="AF36" s="53">
        <f t="shared" si="48"/>
        <v>2</v>
      </c>
      <c r="AG36" s="53">
        <f t="shared" si="48"/>
        <v>10000000</v>
      </c>
      <c r="AH36" s="35">
        <f t="shared" si="49"/>
        <v>10000000</v>
      </c>
      <c r="AI36" s="56"/>
    </row>
    <row r="37" spans="1:36" s="72" customFormat="1" ht="144" customHeight="1" x14ac:dyDescent="0.25">
      <c r="A37" s="60">
        <v>46</v>
      </c>
      <c r="B37" s="68">
        <v>1</v>
      </c>
      <c r="C37" s="33" t="s">
        <v>38</v>
      </c>
      <c r="D37" s="63" t="s">
        <v>47</v>
      </c>
      <c r="E37" s="57" t="s">
        <v>50</v>
      </c>
      <c r="F37" s="63" t="s">
        <v>138</v>
      </c>
      <c r="G37" s="57" t="s">
        <v>139</v>
      </c>
      <c r="H37" s="69"/>
      <c r="I37" s="70"/>
      <c r="J37" s="70"/>
      <c r="K37" s="70"/>
      <c r="L37" s="70"/>
      <c r="M37" s="33" t="s">
        <v>34</v>
      </c>
      <c r="N37" s="33" t="s">
        <v>35</v>
      </c>
      <c r="O37" s="33" t="s">
        <v>36</v>
      </c>
      <c r="P37" s="51" t="s">
        <v>140</v>
      </c>
      <c r="Q37" s="52"/>
      <c r="R37" s="67"/>
      <c r="S37" s="52">
        <f t="shared" si="42"/>
        <v>0</v>
      </c>
      <c r="T37" s="53">
        <f t="shared" si="43"/>
        <v>0</v>
      </c>
      <c r="U37" s="54">
        <f t="shared" si="50"/>
        <v>0</v>
      </c>
      <c r="V37" s="51" t="s">
        <v>140</v>
      </c>
      <c r="W37" s="52">
        <v>100000</v>
      </c>
      <c r="X37" s="53">
        <v>26</v>
      </c>
      <c r="Y37" s="53">
        <f t="shared" si="44"/>
        <v>2600000</v>
      </c>
      <c r="Z37" s="53">
        <v>26</v>
      </c>
      <c r="AA37" s="53">
        <f t="shared" si="45"/>
        <v>2600000</v>
      </c>
      <c r="AB37" s="53">
        <f t="shared" ref="AB37:AB38" si="54">+Z37</f>
        <v>26</v>
      </c>
      <c r="AC37" s="53">
        <f t="shared" si="46"/>
        <v>2600000</v>
      </c>
      <c r="AD37" s="53">
        <v>28</v>
      </c>
      <c r="AE37" s="53">
        <f t="shared" si="47"/>
        <v>2800000</v>
      </c>
      <c r="AF37" s="53">
        <f t="shared" si="48"/>
        <v>106</v>
      </c>
      <c r="AG37" s="53">
        <f t="shared" si="48"/>
        <v>10600000</v>
      </c>
      <c r="AH37" s="35">
        <f t="shared" si="49"/>
        <v>10600000</v>
      </c>
      <c r="AI37" s="56"/>
    </row>
    <row r="38" spans="1:36" s="77" customFormat="1" ht="89.25" customHeight="1" x14ac:dyDescent="0.25">
      <c r="A38" s="60">
        <v>12</v>
      </c>
      <c r="B38" s="68">
        <v>1</v>
      </c>
      <c r="C38" s="63" t="s">
        <v>38</v>
      </c>
      <c r="D38" s="73" t="s">
        <v>32</v>
      </c>
      <c r="E38" s="74" t="s">
        <v>114</v>
      </c>
      <c r="F38" s="75" t="s">
        <v>160</v>
      </c>
      <c r="G38" s="75" t="s">
        <v>141</v>
      </c>
      <c r="H38" s="33"/>
      <c r="I38" s="70"/>
      <c r="J38" s="70"/>
      <c r="K38" s="70"/>
      <c r="L38" s="70"/>
      <c r="M38" s="76" t="s">
        <v>34</v>
      </c>
      <c r="N38" s="33" t="s">
        <v>35</v>
      </c>
      <c r="O38" s="76" t="s">
        <v>41</v>
      </c>
      <c r="P38" s="51" t="s">
        <v>142</v>
      </c>
      <c r="Q38" s="52">
        <f>150000*3</f>
        <v>450000</v>
      </c>
      <c r="R38" s="67">
        <v>21</v>
      </c>
      <c r="S38" s="52">
        <f>+R38*Q38</f>
        <v>9450000</v>
      </c>
      <c r="T38" s="53">
        <f t="shared" si="43"/>
        <v>21</v>
      </c>
      <c r="U38" s="54">
        <f>S38</f>
        <v>9450000</v>
      </c>
      <c r="V38" s="51" t="str">
        <f>+P38</f>
        <v>Costo Incentivo Lideres Pares</v>
      </c>
      <c r="W38" s="55">
        <f>154500*3</f>
        <v>463500</v>
      </c>
      <c r="X38" s="53">
        <v>21</v>
      </c>
      <c r="Y38" s="53">
        <f>+W38*X38</f>
        <v>9733500</v>
      </c>
      <c r="Z38" s="53">
        <f>21+95</f>
        <v>116</v>
      </c>
      <c r="AA38" s="53">
        <f>+Z38*W38</f>
        <v>53766000</v>
      </c>
      <c r="AB38" s="53">
        <f t="shared" si="54"/>
        <v>116</v>
      </c>
      <c r="AC38" s="53">
        <f>+AB38*W38</f>
        <v>53766000</v>
      </c>
      <c r="AD38" s="53">
        <v>116</v>
      </c>
      <c r="AE38" s="53">
        <f>+AD38*W38</f>
        <v>53766000</v>
      </c>
      <c r="AF38" s="53">
        <f t="shared" si="48"/>
        <v>369</v>
      </c>
      <c r="AG38" s="53">
        <f>+Y38+AA38+AC38+AE38</f>
        <v>171031500</v>
      </c>
      <c r="AH38" s="35">
        <f>+U38+AG38</f>
        <v>180481500</v>
      </c>
      <c r="AI38" s="56"/>
    </row>
    <row r="39" spans="1:36" s="11" customFormat="1" x14ac:dyDescent="0.2">
      <c r="A39" s="49" t="s">
        <v>165</v>
      </c>
      <c r="B39" s="25"/>
      <c r="C39" s="26"/>
      <c r="D39" s="26"/>
      <c r="E39" s="26"/>
      <c r="F39" s="26"/>
      <c r="G39" s="26"/>
      <c r="H39" s="27"/>
      <c r="I39" s="27"/>
      <c r="J39" s="27"/>
      <c r="K39" s="27"/>
      <c r="L39" s="27"/>
      <c r="M39" s="25"/>
      <c r="N39" s="25"/>
      <c r="O39" s="25"/>
      <c r="P39" s="64"/>
      <c r="Q39" s="28"/>
      <c r="R39" s="29"/>
      <c r="S39" s="29"/>
      <c r="T39" s="29"/>
      <c r="U39" s="30"/>
      <c r="V39" s="25"/>
      <c r="W39" s="28"/>
      <c r="X39" s="29"/>
      <c r="Y39" s="29"/>
      <c r="Z39" s="29"/>
      <c r="AA39" s="29"/>
      <c r="AB39" s="29"/>
      <c r="AC39" s="29"/>
      <c r="AD39" s="29"/>
      <c r="AE39" s="29"/>
      <c r="AF39" s="29"/>
      <c r="AG39" s="30"/>
      <c r="AH39" s="31">
        <f>SUM(AH33:AH38)</f>
        <v>279396135</v>
      </c>
      <c r="AI39" s="32">
        <f>+AH39</f>
        <v>279396135</v>
      </c>
    </row>
    <row r="40" spans="1:36" s="11" customFormat="1" x14ac:dyDescent="0.2">
      <c r="A40" s="83" t="s">
        <v>166</v>
      </c>
      <c r="B40" s="84"/>
      <c r="C40" s="85"/>
      <c r="D40" s="85"/>
      <c r="E40" s="85"/>
      <c r="F40" s="85"/>
      <c r="G40" s="85"/>
      <c r="H40" s="86"/>
      <c r="I40" s="86"/>
      <c r="J40" s="86"/>
      <c r="K40" s="86"/>
      <c r="L40" s="86"/>
      <c r="M40" s="84"/>
      <c r="N40" s="84"/>
      <c r="O40" s="84"/>
      <c r="P40" s="87"/>
      <c r="Q40" s="88"/>
      <c r="R40" s="89"/>
      <c r="S40" s="89"/>
      <c r="T40" s="89"/>
      <c r="U40" s="90"/>
      <c r="V40" s="84"/>
      <c r="W40" s="88"/>
      <c r="X40" s="89"/>
      <c r="Y40" s="89"/>
      <c r="Z40" s="89"/>
      <c r="AA40" s="89"/>
      <c r="AB40" s="89"/>
      <c r="AC40" s="89"/>
      <c r="AD40" s="89"/>
      <c r="AE40" s="89"/>
      <c r="AF40" s="89"/>
      <c r="AG40" s="90"/>
      <c r="AH40" s="82"/>
      <c r="AI40" s="82">
        <f>+AI30+AI39</f>
        <v>1168834838</v>
      </c>
    </row>
    <row r="41" spans="1:36" x14ac:dyDescent="0.2">
      <c r="AI41" s="81"/>
    </row>
  </sheetData>
  <sheetProtection password="CB42" sheet="1" objects="1" scenarios="1" formatCells="0" formatColumns="0" formatRows="0" insertRows="0"/>
  <mergeCells count="45">
    <mergeCell ref="D12:D27"/>
    <mergeCell ref="E12:E27"/>
    <mergeCell ref="F12:F27"/>
    <mergeCell ref="AI2:AI3"/>
    <mergeCell ref="C5:C7"/>
    <mergeCell ref="D5:D10"/>
    <mergeCell ref="E5:E10"/>
    <mergeCell ref="F5:F7"/>
    <mergeCell ref="F8:F10"/>
    <mergeCell ref="AC2:AC3"/>
    <mergeCell ref="AD2:AD3"/>
    <mergeCell ref="AE2:AE3"/>
    <mergeCell ref="AF2:AF3"/>
    <mergeCell ref="AG2:AG3"/>
    <mergeCell ref="AH2:AH3"/>
    <mergeCell ref="W2:W3"/>
    <mergeCell ref="X2:X3"/>
    <mergeCell ref="Y2:Y3"/>
    <mergeCell ref="Z2:Z3"/>
    <mergeCell ref="AA2:AA3"/>
    <mergeCell ref="AB2:AB3"/>
    <mergeCell ref="V2:V3"/>
    <mergeCell ref="G2:G3"/>
    <mergeCell ref="I2:L2"/>
    <mergeCell ref="M2:M3"/>
    <mergeCell ref="N2:N3"/>
    <mergeCell ref="O2:O3"/>
    <mergeCell ref="P2:P3"/>
    <mergeCell ref="Q2:Q3"/>
    <mergeCell ref="R2:R3"/>
    <mergeCell ref="S2:S3"/>
    <mergeCell ref="T2:T3"/>
    <mergeCell ref="U2:U3"/>
    <mergeCell ref="F2:F3"/>
    <mergeCell ref="A2:A3"/>
    <mergeCell ref="B2:B3"/>
    <mergeCell ref="C2:C3"/>
    <mergeCell ref="D2:D3"/>
    <mergeCell ref="E2:E3"/>
    <mergeCell ref="A12:A18"/>
    <mergeCell ref="B12:B18"/>
    <mergeCell ref="C12:C18"/>
    <mergeCell ref="A19:A25"/>
    <mergeCell ref="B19:B25"/>
    <mergeCell ref="C19:C25"/>
  </mergeCells>
  <dataValidations count="1">
    <dataValidation type="decimal" operator="greaterThanOrEqual" allowBlank="1" showInputMessage="1" showErrorMessage="1" sqref="W5:W10 W38:W40 W36 W33 W29:W30 AD20:AD25 W20:W27 W13:X18 Z13:Z18 AB13:AB18 AD13:AD18 Z20:Z25 AB20:AB25 X20:X25">
      <formula1>0</formula1>
    </dataValidation>
  </dataValidation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20"/>
  <sheetViews>
    <sheetView showGridLines="0" workbookViewId="0">
      <selection activeCell="G20" sqref="G20"/>
    </sheetView>
  </sheetViews>
  <sheetFormatPr baseColWidth="10" defaultRowHeight="15" x14ac:dyDescent="0.25"/>
  <cols>
    <col min="1" max="1" width="53.28515625" style="19" customWidth="1"/>
    <col min="2" max="2" width="17.5703125" style="23" bestFit="1" customWidth="1"/>
    <col min="3" max="3" width="18.5703125" style="19" bestFit="1" customWidth="1"/>
    <col min="4" max="16384" width="11.42578125" style="19"/>
  </cols>
  <sheetData>
    <row r="1" spans="1:3" ht="39.75" customHeight="1" x14ac:dyDescent="0.25">
      <c r="A1" s="188" t="s">
        <v>100</v>
      </c>
      <c r="B1" s="188"/>
      <c r="C1" s="188"/>
    </row>
    <row r="2" spans="1:3" x14ac:dyDescent="0.25">
      <c r="A2" s="189" t="s">
        <v>143</v>
      </c>
      <c r="B2" s="189"/>
      <c r="C2" s="189"/>
    </row>
    <row r="3" spans="1:3" x14ac:dyDescent="0.25">
      <c r="A3" s="118"/>
      <c r="B3" s="119"/>
      <c r="C3" s="118"/>
    </row>
    <row r="4" spans="1:3" x14ac:dyDescent="0.25">
      <c r="A4" s="120" t="s">
        <v>102</v>
      </c>
      <c r="B4" s="121"/>
      <c r="C4" s="118"/>
    </row>
    <row r="6" spans="1:3" s="20" customFormat="1" x14ac:dyDescent="0.25">
      <c r="A6" s="91" t="s">
        <v>103</v>
      </c>
      <c r="B6" s="92" t="s">
        <v>104</v>
      </c>
      <c r="C6" s="93" t="s">
        <v>98</v>
      </c>
    </row>
    <row r="7" spans="1:3" s="21" customFormat="1" x14ac:dyDescent="0.25">
      <c r="A7" s="94" t="s">
        <v>105</v>
      </c>
      <c r="B7" s="35">
        <f>+'Fase I Bog'!AH4</f>
        <v>0</v>
      </c>
      <c r="C7" s="96">
        <f>+'Fase I Bog'!AI4</f>
        <v>656174819</v>
      </c>
    </row>
    <row r="8" spans="1:3" s="22" customFormat="1" x14ac:dyDescent="0.25">
      <c r="A8" s="97" t="s">
        <v>106</v>
      </c>
      <c r="B8" s="98">
        <f>+'Fase I Bog'!AH11</f>
        <v>0</v>
      </c>
      <c r="C8" s="96">
        <f>+'Fase I Bog'!AI11</f>
        <v>196852446</v>
      </c>
    </row>
    <row r="9" spans="1:3" s="22" customFormat="1" x14ac:dyDescent="0.25">
      <c r="A9" s="97" t="s">
        <v>107</v>
      </c>
      <c r="B9" s="98">
        <f>+'Fase I Bog'!AH26</f>
        <v>0</v>
      </c>
      <c r="C9" s="96">
        <f>+'Fase I Bog'!AI26</f>
        <v>84365328</v>
      </c>
    </row>
    <row r="10" spans="1:3" s="22" customFormat="1" x14ac:dyDescent="0.25">
      <c r="A10" s="99" t="s">
        <v>161</v>
      </c>
      <c r="B10" s="98">
        <f>SUM(B7:B9)</f>
        <v>0</v>
      </c>
      <c r="C10" s="108">
        <f>SUM(C7:C9)</f>
        <v>937392593</v>
      </c>
    </row>
    <row r="11" spans="1:3" s="22" customFormat="1" x14ac:dyDescent="0.25">
      <c r="A11" s="97"/>
      <c r="B11" s="107"/>
      <c r="C11" s="96"/>
    </row>
    <row r="12" spans="1:3" x14ac:dyDescent="0.25">
      <c r="A12" s="101" t="s">
        <v>108</v>
      </c>
      <c r="B12" s="109">
        <f>+'Fase I Bog'!AH37</f>
        <v>257295950</v>
      </c>
      <c r="C12" s="96">
        <f>+'Fase I Bog'!AI37</f>
        <v>257295950</v>
      </c>
    </row>
    <row r="13" spans="1:3" x14ac:dyDescent="0.25">
      <c r="A13" s="102" t="s">
        <v>162</v>
      </c>
      <c r="B13" s="110">
        <f>+B12</f>
        <v>257295950</v>
      </c>
      <c r="C13" s="100">
        <f>+C12</f>
        <v>257295950</v>
      </c>
    </row>
    <row r="14" spans="1:3" x14ac:dyDescent="0.25">
      <c r="A14" s="104" t="s">
        <v>163</v>
      </c>
      <c r="B14" s="105">
        <f>+B10+B13</f>
        <v>257295950</v>
      </c>
      <c r="C14" s="105">
        <f>+C10+C13</f>
        <v>1194688543</v>
      </c>
    </row>
    <row r="19" spans="1:3" s="24" customFormat="1" x14ac:dyDescent="0.25">
      <c r="A19" s="122" t="s">
        <v>109</v>
      </c>
      <c r="B19" s="119"/>
      <c r="C19" s="123"/>
    </row>
    <row r="20" spans="1:3" s="24" customFormat="1" x14ac:dyDescent="0.25">
      <c r="A20" s="122" t="s">
        <v>110</v>
      </c>
      <c r="B20" s="119"/>
      <c r="C20" s="123"/>
    </row>
  </sheetData>
  <sheetProtection password="CB42" sheet="1" objects="1" scenarios="1"/>
  <mergeCells count="2">
    <mergeCell ref="A1:C1"/>
    <mergeCell ref="A2:C2"/>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0"/>
  </sheetPr>
  <dimension ref="A1:AJ38"/>
  <sheetViews>
    <sheetView showGridLines="0" topLeftCell="J1" zoomScale="70" zoomScaleNormal="70" workbookViewId="0">
      <selection activeCell="P33" sqref="P33"/>
    </sheetView>
  </sheetViews>
  <sheetFormatPr baseColWidth="10" defaultRowHeight="12.75" x14ac:dyDescent="0.2"/>
  <cols>
    <col min="1" max="1" width="6.28515625" style="46" bestFit="1" customWidth="1"/>
    <col min="2" max="2" width="15" style="46" customWidth="1"/>
    <col min="3" max="3" width="17.140625" style="46" customWidth="1"/>
    <col min="4" max="4" width="24.42578125" style="46" customWidth="1"/>
    <col min="5" max="5" width="43.28515625" style="46" customWidth="1"/>
    <col min="6" max="6" width="61.140625" style="46" customWidth="1"/>
    <col min="7" max="7" width="29.42578125" style="46" customWidth="1"/>
    <col min="8" max="8" width="7.28515625" style="46" bestFit="1" customWidth="1"/>
    <col min="9" max="9" width="3.85546875" style="46" bestFit="1" customWidth="1"/>
    <col min="10" max="12" width="3.28515625" style="46" bestFit="1" customWidth="1"/>
    <col min="13" max="13" width="21.42578125" style="46" customWidth="1"/>
    <col min="14" max="14" width="11.42578125" style="46"/>
    <col min="15" max="15" width="13.7109375" style="46" customWidth="1"/>
    <col min="16" max="16" width="17.7109375" style="46" customWidth="1"/>
    <col min="17" max="20" width="11.42578125" style="46"/>
    <col min="21" max="21" width="14.28515625" style="46" customWidth="1"/>
    <col min="22" max="22" width="12.140625" style="46" customWidth="1"/>
    <col min="23" max="23" width="11.7109375" style="46" bestFit="1" customWidth="1"/>
    <col min="24" max="24" width="13" style="46" customWidth="1"/>
    <col min="25" max="25" width="13.42578125" style="46" customWidth="1"/>
    <col min="26" max="33" width="11.42578125" style="46"/>
    <col min="34" max="34" width="17.85546875" style="46" bestFit="1" customWidth="1"/>
    <col min="35" max="35" width="16.85546875" style="47" customWidth="1"/>
    <col min="36" max="36" width="15" style="48" bestFit="1" customWidth="1"/>
    <col min="37" max="16384" width="11.42578125" style="46"/>
  </cols>
  <sheetData>
    <row r="1" spans="1:35" x14ac:dyDescent="0.2">
      <c r="A1" s="45" t="s">
        <v>111</v>
      </c>
    </row>
    <row r="2" spans="1:35" s="1" customFormat="1" ht="15" customHeight="1" x14ac:dyDescent="0.25">
      <c r="A2" s="197" t="s">
        <v>0</v>
      </c>
      <c r="B2" s="196" t="s">
        <v>51</v>
      </c>
      <c r="C2" s="196" t="s">
        <v>1</v>
      </c>
      <c r="D2" s="196" t="s">
        <v>52</v>
      </c>
      <c r="E2" s="196" t="s">
        <v>53</v>
      </c>
      <c r="F2" s="196" t="s">
        <v>54</v>
      </c>
      <c r="G2" s="196" t="s">
        <v>2</v>
      </c>
      <c r="H2" s="36" t="s">
        <v>3</v>
      </c>
      <c r="I2" s="196" t="s">
        <v>4</v>
      </c>
      <c r="J2" s="199"/>
      <c r="K2" s="199"/>
      <c r="L2" s="199"/>
      <c r="M2" s="197" t="s">
        <v>5</v>
      </c>
      <c r="N2" s="197" t="s">
        <v>6</v>
      </c>
      <c r="O2" s="197" t="s">
        <v>7</v>
      </c>
      <c r="P2" s="200" t="s">
        <v>8</v>
      </c>
      <c r="Q2" s="201" t="s">
        <v>112</v>
      </c>
      <c r="R2" s="202" t="s">
        <v>9</v>
      </c>
      <c r="S2" s="202" t="s">
        <v>10</v>
      </c>
      <c r="T2" s="202" t="s">
        <v>11</v>
      </c>
      <c r="U2" s="203" t="s">
        <v>12</v>
      </c>
      <c r="V2" s="198" t="s">
        <v>13</v>
      </c>
      <c r="W2" s="216" t="s">
        <v>113</v>
      </c>
      <c r="X2" s="204" t="s">
        <v>14</v>
      </c>
      <c r="Y2" s="204" t="s">
        <v>15</v>
      </c>
      <c r="Z2" s="204" t="s">
        <v>16</v>
      </c>
      <c r="AA2" s="204" t="s">
        <v>17</v>
      </c>
      <c r="AB2" s="204" t="s">
        <v>18</v>
      </c>
      <c r="AC2" s="204" t="s">
        <v>19</v>
      </c>
      <c r="AD2" s="204" t="s">
        <v>20</v>
      </c>
      <c r="AE2" s="204" t="s">
        <v>21</v>
      </c>
      <c r="AF2" s="204" t="s">
        <v>22</v>
      </c>
      <c r="AG2" s="214" t="s">
        <v>23</v>
      </c>
      <c r="AH2" s="215" t="s">
        <v>24</v>
      </c>
      <c r="AI2" s="211" t="s">
        <v>98</v>
      </c>
    </row>
    <row r="3" spans="1:35" s="1" customFormat="1" ht="87.75" customHeight="1" x14ac:dyDescent="0.25">
      <c r="A3" s="197"/>
      <c r="B3" s="196"/>
      <c r="C3" s="196" t="s">
        <v>25</v>
      </c>
      <c r="D3" s="196" t="s">
        <v>26</v>
      </c>
      <c r="E3" s="196"/>
      <c r="F3" s="196"/>
      <c r="G3" s="196"/>
      <c r="H3" s="2" t="s">
        <v>30</v>
      </c>
      <c r="I3" s="2" t="s">
        <v>27</v>
      </c>
      <c r="J3" s="2" t="s">
        <v>28</v>
      </c>
      <c r="K3" s="2" t="s">
        <v>29</v>
      </c>
      <c r="L3" s="2" t="s">
        <v>30</v>
      </c>
      <c r="M3" s="197"/>
      <c r="N3" s="197"/>
      <c r="O3" s="197"/>
      <c r="P3" s="200"/>
      <c r="Q3" s="201"/>
      <c r="R3" s="202"/>
      <c r="S3" s="202"/>
      <c r="T3" s="202"/>
      <c r="U3" s="203"/>
      <c r="V3" s="198"/>
      <c r="W3" s="216"/>
      <c r="X3" s="204"/>
      <c r="Y3" s="204"/>
      <c r="Z3" s="204"/>
      <c r="AA3" s="204"/>
      <c r="AB3" s="204"/>
      <c r="AC3" s="204"/>
      <c r="AD3" s="204"/>
      <c r="AE3" s="204"/>
      <c r="AF3" s="204"/>
      <c r="AG3" s="214"/>
      <c r="AH3" s="215"/>
      <c r="AI3" s="212"/>
    </row>
    <row r="4" spans="1:35" s="11" customFormat="1" x14ac:dyDescent="0.2">
      <c r="A4" s="49" t="s">
        <v>55</v>
      </c>
      <c r="B4" s="25"/>
      <c r="C4" s="26"/>
      <c r="D4" s="26"/>
      <c r="E4" s="26"/>
      <c r="F4" s="26"/>
      <c r="G4" s="26"/>
      <c r="H4" s="27"/>
      <c r="I4" s="27"/>
      <c r="J4" s="27"/>
      <c r="K4" s="27"/>
      <c r="L4" s="27"/>
      <c r="M4" s="25"/>
      <c r="N4" s="25"/>
      <c r="O4" s="25"/>
      <c r="P4" s="25"/>
      <c r="Q4" s="28"/>
      <c r="R4" s="29"/>
      <c r="S4" s="29"/>
      <c r="T4" s="29"/>
      <c r="U4" s="30"/>
      <c r="V4" s="25"/>
      <c r="W4" s="28"/>
      <c r="X4" s="29"/>
      <c r="Y4" s="29"/>
      <c r="Z4" s="29"/>
      <c r="AA4" s="29"/>
      <c r="AB4" s="29"/>
      <c r="AC4" s="29"/>
      <c r="AD4" s="29"/>
      <c r="AE4" s="29"/>
      <c r="AF4" s="29"/>
      <c r="AG4" s="30"/>
      <c r="AH4" s="31">
        <f>SUM(AH5:AH10)</f>
        <v>0</v>
      </c>
      <c r="AI4" s="32">
        <v>656174819</v>
      </c>
    </row>
    <row r="5" spans="1:35" s="11" customFormat="1" ht="15" customHeight="1" x14ac:dyDescent="0.25">
      <c r="A5" s="50">
        <v>7</v>
      </c>
      <c r="B5" s="50">
        <v>1</v>
      </c>
      <c r="C5" s="213" t="s">
        <v>38</v>
      </c>
      <c r="D5" s="193" t="s">
        <v>32</v>
      </c>
      <c r="E5" s="205" t="s">
        <v>114</v>
      </c>
      <c r="F5" s="205" t="s">
        <v>115</v>
      </c>
      <c r="G5" s="43" t="s">
        <v>116</v>
      </c>
      <c r="H5" s="44"/>
      <c r="I5" s="44"/>
      <c r="J5" s="44"/>
      <c r="K5" s="44"/>
      <c r="L5" s="44"/>
      <c r="M5" s="4" t="s">
        <v>34</v>
      </c>
      <c r="N5" s="4" t="s">
        <v>35</v>
      </c>
      <c r="O5" s="4" t="s">
        <v>39</v>
      </c>
      <c r="P5" s="6" t="s">
        <v>117</v>
      </c>
      <c r="Q5" s="78"/>
      <c r="R5" s="79"/>
      <c r="S5" s="8">
        <f>+R5*Q5</f>
        <v>0</v>
      </c>
      <c r="T5" s="7">
        <f>+R5</f>
        <v>0</v>
      </c>
      <c r="U5" s="9">
        <f>S5</f>
        <v>0</v>
      </c>
      <c r="V5" s="6" t="s">
        <v>117</v>
      </c>
      <c r="W5" s="10"/>
      <c r="X5" s="7"/>
      <c r="Y5" s="7">
        <f t="shared" ref="Y5:Y10" si="0">+W5*X5</f>
        <v>0</v>
      </c>
      <c r="Z5" s="7"/>
      <c r="AA5" s="7">
        <f t="shared" ref="AA5:AA10" si="1">+Z5*W5</f>
        <v>0</v>
      </c>
      <c r="AB5" s="7"/>
      <c r="AC5" s="7">
        <f t="shared" ref="AC5:AC10" si="2">+AB5*W5</f>
        <v>0</v>
      </c>
      <c r="AD5" s="7"/>
      <c r="AE5" s="7">
        <f t="shared" ref="AE5:AE10" si="3">+AD5*W5</f>
        <v>0</v>
      </c>
      <c r="AF5" s="7">
        <f t="shared" ref="AF5:AG10" si="4">+X5+Z5+AB5+AD5</f>
        <v>0</v>
      </c>
      <c r="AG5" s="7">
        <f>+Y5+AA5+AC5+AE5</f>
        <v>0</v>
      </c>
      <c r="AH5" s="35">
        <f>+U5+AG5</f>
        <v>0</v>
      </c>
      <c r="AI5" s="56"/>
    </row>
    <row r="6" spans="1:35" s="11" customFormat="1" ht="31.5" customHeight="1" x14ac:dyDescent="0.25">
      <c r="A6" s="50">
        <v>7</v>
      </c>
      <c r="B6" s="50">
        <v>1</v>
      </c>
      <c r="C6" s="213"/>
      <c r="D6" s="194"/>
      <c r="E6" s="206"/>
      <c r="F6" s="206"/>
      <c r="G6" s="43" t="s">
        <v>118</v>
      </c>
      <c r="H6" s="44"/>
      <c r="I6" s="44"/>
      <c r="J6" s="44"/>
      <c r="K6" s="44"/>
      <c r="L6" s="44"/>
      <c r="M6" s="4" t="s">
        <v>34</v>
      </c>
      <c r="N6" s="4" t="s">
        <v>35</v>
      </c>
      <c r="O6" s="4" t="s">
        <v>39</v>
      </c>
      <c r="P6" s="6" t="s">
        <v>117</v>
      </c>
      <c r="Q6" s="78"/>
      <c r="R6" s="79"/>
      <c r="S6" s="8">
        <f>+R6*Q6</f>
        <v>0</v>
      </c>
      <c r="T6" s="7">
        <f>+R6</f>
        <v>0</v>
      </c>
      <c r="U6" s="9">
        <f>S6</f>
        <v>0</v>
      </c>
      <c r="V6" s="6" t="s">
        <v>117</v>
      </c>
      <c r="W6" s="10"/>
      <c r="X6" s="7"/>
      <c r="Y6" s="7">
        <f t="shared" si="0"/>
        <v>0</v>
      </c>
      <c r="Z6" s="7"/>
      <c r="AA6" s="7">
        <f t="shared" si="1"/>
        <v>0</v>
      </c>
      <c r="AB6" s="7"/>
      <c r="AC6" s="7">
        <f t="shared" si="2"/>
        <v>0</v>
      </c>
      <c r="AD6" s="7"/>
      <c r="AE6" s="7">
        <f t="shared" si="3"/>
        <v>0</v>
      </c>
      <c r="AF6" s="7">
        <f t="shared" si="4"/>
        <v>0</v>
      </c>
      <c r="AG6" s="7">
        <f>+Y6+AA6+AC6+AE6</f>
        <v>0</v>
      </c>
      <c r="AH6" s="35">
        <f>+U6+AG6</f>
        <v>0</v>
      </c>
      <c r="AI6" s="56"/>
    </row>
    <row r="7" spans="1:35" s="59" customFormat="1" ht="38.25" x14ac:dyDescent="0.25">
      <c r="A7" s="50">
        <v>7</v>
      </c>
      <c r="B7" s="50">
        <v>1</v>
      </c>
      <c r="C7" s="213"/>
      <c r="D7" s="194"/>
      <c r="E7" s="206"/>
      <c r="F7" s="207"/>
      <c r="G7" s="3" t="s">
        <v>119</v>
      </c>
      <c r="H7" s="5"/>
      <c r="I7" s="5"/>
      <c r="J7" s="5"/>
      <c r="K7" s="5"/>
      <c r="L7" s="5"/>
      <c r="M7" s="4" t="s">
        <v>34</v>
      </c>
      <c r="N7" s="4" t="s">
        <v>35</v>
      </c>
      <c r="O7" s="4" t="s">
        <v>39</v>
      </c>
      <c r="P7" s="6" t="s">
        <v>117</v>
      </c>
      <c r="Q7" s="78"/>
      <c r="R7" s="79"/>
      <c r="S7" s="8">
        <f t="shared" ref="S7:S10" si="5">+R7*Q7</f>
        <v>0</v>
      </c>
      <c r="T7" s="7">
        <f t="shared" ref="T7:T10" si="6">+R7</f>
        <v>0</v>
      </c>
      <c r="U7" s="9">
        <f t="shared" ref="U7:U10" si="7">S7</f>
        <v>0</v>
      </c>
      <c r="V7" s="6" t="s">
        <v>117</v>
      </c>
      <c r="W7" s="10"/>
      <c r="X7" s="7"/>
      <c r="Y7" s="7">
        <f t="shared" si="0"/>
        <v>0</v>
      </c>
      <c r="Z7" s="7"/>
      <c r="AA7" s="7">
        <f t="shared" si="1"/>
        <v>0</v>
      </c>
      <c r="AB7" s="7"/>
      <c r="AC7" s="7">
        <f t="shared" si="2"/>
        <v>0</v>
      </c>
      <c r="AD7" s="7"/>
      <c r="AE7" s="7">
        <f t="shared" si="3"/>
        <v>0</v>
      </c>
      <c r="AF7" s="7">
        <f t="shared" si="4"/>
        <v>0</v>
      </c>
      <c r="AG7" s="7">
        <f t="shared" si="4"/>
        <v>0</v>
      </c>
      <c r="AH7" s="35">
        <f>+U7+AG7</f>
        <v>0</v>
      </c>
      <c r="AI7" s="56"/>
    </row>
    <row r="8" spans="1:35" s="59" customFormat="1" ht="38.25" customHeight="1" x14ac:dyDescent="0.25">
      <c r="A8" s="60">
        <v>11</v>
      </c>
      <c r="B8" s="60">
        <v>1</v>
      </c>
      <c r="C8" s="61" t="s">
        <v>38</v>
      </c>
      <c r="D8" s="194"/>
      <c r="E8" s="206"/>
      <c r="F8" s="205" t="s">
        <v>120</v>
      </c>
      <c r="G8" s="3" t="s">
        <v>64</v>
      </c>
      <c r="H8" s="5"/>
      <c r="I8" s="5"/>
      <c r="J8" s="5"/>
      <c r="K8" s="5"/>
      <c r="L8" s="5"/>
      <c r="M8" s="4" t="s">
        <v>34</v>
      </c>
      <c r="N8" s="4" t="s">
        <v>35</v>
      </c>
      <c r="O8" s="4" t="s">
        <v>39</v>
      </c>
      <c r="P8" s="6" t="s">
        <v>117</v>
      </c>
      <c r="Q8" s="78"/>
      <c r="R8" s="79"/>
      <c r="S8" s="8">
        <f t="shared" si="5"/>
        <v>0</v>
      </c>
      <c r="T8" s="7">
        <f t="shared" si="6"/>
        <v>0</v>
      </c>
      <c r="U8" s="9">
        <f t="shared" si="7"/>
        <v>0</v>
      </c>
      <c r="V8" s="6" t="s">
        <v>117</v>
      </c>
      <c r="W8" s="10"/>
      <c r="X8" s="7"/>
      <c r="Y8" s="7">
        <f t="shared" si="0"/>
        <v>0</v>
      </c>
      <c r="Z8" s="7"/>
      <c r="AA8" s="7">
        <f t="shared" si="1"/>
        <v>0</v>
      </c>
      <c r="AB8" s="7"/>
      <c r="AC8" s="7">
        <f t="shared" si="2"/>
        <v>0</v>
      </c>
      <c r="AD8" s="7"/>
      <c r="AE8" s="7">
        <f t="shared" si="3"/>
        <v>0</v>
      </c>
      <c r="AF8" s="7">
        <f t="shared" si="4"/>
        <v>0</v>
      </c>
      <c r="AG8" s="7">
        <f t="shared" si="4"/>
        <v>0</v>
      </c>
      <c r="AH8" s="35">
        <f>+U8+AG8</f>
        <v>0</v>
      </c>
      <c r="AI8" s="56"/>
    </row>
    <row r="9" spans="1:35" s="59" customFormat="1" ht="38.25" x14ac:dyDescent="0.25">
      <c r="A9" s="60">
        <v>11</v>
      </c>
      <c r="B9" s="60">
        <v>1</v>
      </c>
      <c r="C9" s="61" t="s">
        <v>38</v>
      </c>
      <c r="D9" s="194"/>
      <c r="E9" s="206"/>
      <c r="F9" s="206"/>
      <c r="G9" s="3" t="s">
        <v>121</v>
      </c>
      <c r="H9" s="5"/>
      <c r="I9" s="5"/>
      <c r="J9" s="5"/>
      <c r="K9" s="5"/>
      <c r="L9" s="5"/>
      <c r="M9" s="4" t="s">
        <v>34</v>
      </c>
      <c r="N9" s="4" t="s">
        <v>35</v>
      </c>
      <c r="O9" s="4" t="s">
        <v>39</v>
      </c>
      <c r="P9" s="6" t="s">
        <v>117</v>
      </c>
      <c r="Q9" s="78"/>
      <c r="R9" s="79"/>
      <c r="S9" s="8">
        <f t="shared" si="5"/>
        <v>0</v>
      </c>
      <c r="T9" s="7">
        <f t="shared" si="6"/>
        <v>0</v>
      </c>
      <c r="U9" s="9">
        <f t="shared" si="7"/>
        <v>0</v>
      </c>
      <c r="V9" s="6" t="s">
        <v>117</v>
      </c>
      <c r="W9" s="10"/>
      <c r="X9" s="7"/>
      <c r="Y9" s="7">
        <f t="shared" si="0"/>
        <v>0</v>
      </c>
      <c r="Z9" s="7"/>
      <c r="AA9" s="7">
        <f t="shared" si="1"/>
        <v>0</v>
      </c>
      <c r="AB9" s="7"/>
      <c r="AC9" s="7">
        <f t="shared" si="2"/>
        <v>0</v>
      </c>
      <c r="AD9" s="7"/>
      <c r="AE9" s="7">
        <f t="shared" si="3"/>
        <v>0</v>
      </c>
      <c r="AF9" s="7">
        <f t="shared" si="4"/>
        <v>0</v>
      </c>
      <c r="AG9" s="7">
        <f t="shared" si="4"/>
        <v>0</v>
      </c>
      <c r="AH9" s="35">
        <f t="shared" ref="AH9:AH10" si="8">+U9+AG9</f>
        <v>0</v>
      </c>
      <c r="AI9" s="56"/>
    </row>
    <row r="10" spans="1:35" s="59" customFormat="1" ht="38.25" x14ac:dyDescent="0.25">
      <c r="A10" s="60">
        <v>11</v>
      </c>
      <c r="B10" s="60">
        <v>1</v>
      </c>
      <c r="C10" s="61" t="s">
        <v>38</v>
      </c>
      <c r="D10" s="195"/>
      <c r="E10" s="207"/>
      <c r="F10" s="207"/>
      <c r="G10" s="3" t="s">
        <v>66</v>
      </c>
      <c r="H10" s="5"/>
      <c r="I10" s="5"/>
      <c r="J10" s="5"/>
      <c r="K10" s="5"/>
      <c r="L10" s="5"/>
      <c r="M10" s="4" t="s">
        <v>34</v>
      </c>
      <c r="N10" s="4" t="s">
        <v>35</v>
      </c>
      <c r="O10" s="4" t="s">
        <v>39</v>
      </c>
      <c r="P10" s="6" t="s">
        <v>117</v>
      </c>
      <c r="Q10" s="78"/>
      <c r="R10" s="79"/>
      <c r="S10" s="8">
        <f t="shared" si="5"/>
        <v>0</v>
      </c>
      <c r="T10" s="7">
        <f t="shared" si="6"/>
        <v>0</v>
      </c>
      <c r="U10" s="9">
        <f t="shared" si="7"/>
        <v>0</v>
      </c>
      <c r="V10" s="6" t="s">
        <v>117</v>
      </c>
      <c r="W10" s="10"/>
      <c r="X10" s="7"/>
      <c r="Y10" s="7">
        <f t="shared" si="0"/>
        <v>0</v>
      </c>
      <c r="Z10" s="7"/>
      <c r="AA10" s="7">
        <f t="shared" si="1"/>
        <v>0</v>
      </c>
      <c r="AB10" s="7"/>
      <c r="AC10" s="7">
        <f t="shared" si="2"/>
        <v>0</v>
      </c>
      <c r="AD10" s="7"/>
      <c r="AE10" s="7">
        <f t="shared" si="3"/>
        <v>0</v>
      </c>
      <c r="AF10" s="7">
        <f t="shared" si="4"/>
        <v>0</v>
      </c>
      <c r="AG10" s="7">
        <f t="shared" si="4"/>
        <v>0</v>
      </c>
      <c r="AH10" s="35">
        <f t="shared" si="8"/>
        <v>0</v>
      </c>
      <c r="AI10" s="56"/>
    </row>
    <row r="11" spans="1:35" s="11" customFormat="1" x14ac:dyDescent="0.2">
      <c r="A11" s="62" t="s">
        <v>56</v>
      </c>
      <c r="B11" s="25"/>
      <c r="C11" s="26"/>
      <c r="D11" s="26"/>
      <c r="E11" s="26"/>
      <c r="F11" s="26"/>
      <c r="G11" s="38"/>
      <c r="H11" s="39"/>
      <c r="I11" s="39"/>
      <c r="J11" s="39"/>
      <c r="K11" s="39"/>
      <c r="L11" s="39"/>
      <c r="M11" s="37"/>
      <c r="N11" s="37"/>
      <c r="O11" s="37"/>
      <c r="P11" s="37"/>
      <c r="Q11" s="40"/>
      <c r="R11" s="41"/>
      <c r="S11" s="41"/>
      <c r="T11" s="41"/>
      <c r="U11" s="42"/>
      <c r="V11" s="37"/>
      <c r="W11" s="40"/>
      <c r="X11" s="41"/>
      <c r="Y11" s="41"/>
      <c r="Z11" s="41"/>
      <c r="AA11" s="41"/>
      <c r="AB11" s="41"/>
      <c r="AC11" s="41"/>
      <c r="AD11" s="41"/>
      <c r="AE11" s="41"/>
      <c r="AF11" s="41"/>
      <c r="AG11" s="42"/>
      <c r="AH11" s="31">
        <f>SUM(AH12:AH25)</f>
        <v>0</v>
      </c>
      <c r="AI11" s="32">
        <v>196852446</v>
      </c>
    </row>
    <row r="12" spans="1:35" s="11" customFormat="1" ht="38.25" x14ac:dyDescent="0.25">
      <c r="A12" s="217">
        <v>13</v>
      </c>
      <c r="B12" s="217">
        <v>1</v>
      </c>
      <c r="C12" s="193" t="s">
        <v>38</v>
      </c>
      <c r="D12" s="193" t="s">
        <v>32</v>
      </c>
      <c r="E12" s="205" t="s">
        <v>122</v>
      </c>
      <c r="F12" s="208" t="s">
        <v>123</v>
      </c>
      <c r="G12" s="43" t="s">
        <v>181</v>
      </c>
      <c r="H12" s="5"/>
      <c r="I12" s="5"/>
      <c r="J12" s="5"/>
      <c r="K12" s="5"/>
      <c r="L12" s="5"/>
      <c r="M12" s="4" t="s">
        <v>34</v>
      </c>
      <c r="N12" s="4" t="s">
        <v>35</v>
      </c>
      <c r="O12" s="4" t="s">
        <v>41</v>
      </c>
      <c r="P12" s="6" t="s">
        <v>124</v>
      </c>
      <c r="Q12" s="152"/>
      <c r="R12" s="137">
        <f>+SUM(R13:R17)</f>
        <v>0</v>
      </c>
      <c r="S12" s="137">
        <f>+SUM(S13:S17)</f>
        <v>0</v>
      </c>
      <c r="T12" s="137">
        <f>+SUM(T13:T17)</f>
        <v>0</v>
      </c>
      <c r="U12" s="137">
        <f>+SUM(U13:U17)</f>
        <v>0</v>
      </c>
      <c r="V12" s="138" t="s">
        <v>124</v>
      </c>
      <c r="W12" s="139"/>
      <c r="X12" s="137">
        <f t="shared" ref="X12:AG12" si="9">+SUM(X13:X17)</f>
        <v>0</v>
      </c>
      <c r="Y12" s="137">
        <f t="shared" si="9"/>
        <v>0</v>
      </c>
      <c r="Z12" s="137">
        <f t="shared" si="9"/>
        <v>0</v>
      </c>
      <c r="AA12" s="137">
        <f t="shared" si="9"/>
        <v>0</v>
      </c>
      <c r="AB12" s="137">
        <f t="shared" si="9"/>
        <v>0</v>
      </c>
      <c r="AC12" s="137">
        <f t="shared" si="9"/>
        <v>0</v>
      </c>
      <c r="AD12" s="137">
        <f t="shared" si="9"/>
        <v>0</v>
      </c>
      <c r="AE12" s="137">
        <f t="shared" si="9"/>
        <v>0</v>
      </c>
      <c r="AF12" s="137">
        <f t="shared" si="9"/>
        <v>0</v>
      </c>
      <c r="AG12" s="137">
        <f t="shared" si="9"/>
        <v>0</v>
      </c>
      <c r="AH12" s="153">
        <f t="shared" ref="AH12:AH25" si="10">+U12+AG12</f>
        <v>0</v>
      </c>
      <c r="AI12" s="154"/>
    </row>
    <row r="13" spans="1:35" s="11" customFormat="1" x14ac:dyDescent="0.25">
      <c r="A13" s="218"/>
      <c r="B13" s="218"/>
      <c r="C13" s="219"/>
      <c r="D13" s="194"/>
      <c r="E13" s="206"/>
      <c r="F13" s="209"/>
      <c r="G13" s="131" t="s">
        <v>241</v>
      </c>
      <c r="H13" s="5"/>
      <c r="I13" s="5"/>
      <c r="J13" s="5"/>
      <c r="K13" s="5"/>
      <c r="L13" s="5"/>
      <c r="M13" s="4"/>
      <c r="N13" s="4"/>
      <c r="O13" s="4"/>
      <c r="P13" s="6"/>
      <c r="Q13" s="139"/>
      <c r="R13" s="139"/>
      <c r="S13" s="137">
        <f t="shared" ref="S13:S25" si="11">+R13*Q13</f>
        <v>0</v>
      </c>
      <c r="T13" s="137">
        <f t="shared" ref="T13:T25" si="12">+R13</f>
        <v>0</v>
      </c>
      <c r="U13" s="137">
        <f t="shared" ref="U13:U25" si="13">S13</f>
        <v>0</v>
      </c>
      <c r="V13" s="138"/>
      <c r="W13" s="139">
        <v>1</v>
      </c>
      <c r="X13" s="137"/>
      <c r="Y13" s="137">
        <f t="shared" ref="Y13:Y16" si="14">+$W13*X13</f>
        <v>0</v>
      </c>
      <c r="Z13" s="137"/>
      <c r="AA13" s="137">
        <f t="shared" ref="AA13:AA16" si="15">+$W13*Z13</f>
        <v>0</v>
      </c>
      <c r="AB13" s="137"/>
      <c r="AC13" s="137">
        <f t="shared" ref="AC13:AC16" si="16">+$W13*AB13</f>
        <v>0</v>
      </c>
      <c r="AD13" s="137"/>
      <c r="AE13" s="137">
        <f t="shared" ref="AE13:AE16" si="17">+$W13*AD13</f>
        <v>0</v>
      </c>
      <c r="AF13" s="137">
        <f t="shared" ref="AF13:AG25" si="18">+X13+Z13+AB13+AD13</f>
        <v>0</v>
      </c>
      <c r="AG13" s="137">
        <f t="shared" si="18"/>
        <v>0</v>
      </c>
      <c r="AH13" s="153"/>
      <c r="AI13" s="154"/>
    </row>
    <row r="14" spans="1:35" s="11" customFormat="1" x14ac:dyDescent="0.25">
      <c r="A14" s="218"/>
      <c r="B14" s="218"/>
      <c r="C14" s="219"/>
      <c r="D14" s="194"/>
      <c r="E14" s="206"/>
      <c r="F14" s="209"/>
      <c r="G14" s="131" t="s">
        <v>242</v>
      </c>
      <c r="H14" s="5"/>
      <c r="I14" s="5"/>
      <c r="J14" s="5"/>
      <c r="K14" s="5"/>
      <c r="L14" s="5"/>
      <c r="M14" s="4"/>
      <c r="N14" s="4"/>
      <c r="O14" s="4"/>
      <c r="P14" s="6"/>
      <c r="Q14" s="139"/>
      <c r="R14" s="139"/>
      <c r="S14" s="137">
        <f t="shared" si="11"/>
        <v>0</v>
      </c>
      <c r="T14" s="137">
        <f t="shared" si="12"/>
        <v>0</v>
      </c>
      <c r="U14" s="137">
        <f t="shared" si="13"/>
        <v>0</v>
      </c>
      <c r="V14" s="138"/>
      <c r="W14" s="139">
        <v>1</v>
      </c>
      <c r="X14" s="137"/>
      <c r="Y14" s="137">
        <f t="shared" si="14"/>
        <v>0</v>
      </c>
      <c r="Z14" s="137"/>
      <c r="AA14" s="137">
        <f t="shared" si="15"/>
        <v>0</v>
      </c>
      <c r="AB14" s="137"/>
      <c r="AC14" s="137">
        <f t="shared" si="16"/>
        <v>0</v>
      </c>
      <c r="AD14" s="137"/>
      <c r="AE14" s="137">
        <f t="shared" si="17"/>
        <v>0</v>
      </c>
      <c r="AF14" s="137">
        <f t="shared" si="18"/>
        <v>0</v>
      </c>
      <c r="AG14" s="137">
        <f t="shared" si="18"/>
        <v>0</v>
      </c>
      <c r="AH14" s="153"/>
      <c r="AI14" s="154"/>
    </row>
    <row r="15" spans="1:35" s="11" customFormat="1" x14ac:dyDescent="0.25">
      <c r="A15" s="218"/>
      <c r="B15" s="218"/>
      <c r="C15" s="219"/>
      <c r="D15" s="194"/>
      <c r="E15" s="206"/>
      <c r="F15" s="209"/>
      <c r="G15" s="131" t="s">
        <v>243</v>
      </c>
      <c r="H15" s="5"/>
      <c r="I15" s="5"/>
      <c r="J15" s="5"/>
      <c r="K15" s="5"/>
      <c r="L15" s="5"/>
      <c r="M15" s="4"/>
      <c r="N15" s="4"/>
      <c r="O15" s="4"/>
      <c r="P15" s="6"/>
      <c r="Q15" s="139"/>
      <c r="R15" s="139"/>
      <c r="S15" s="137">
        <f t="shared" si="11"/>
        <v>0</v>
      </c>
      <c r="T15" s="137">
        <f t="shared" si="12"/>
        <v>0</v>
      </c>
      <c r="U15" s="137">
        <f t="shared" si="13"/>
        <v>0</v>
      </c>
      <c r="V15" s="138"/>
      <c r="W15" s="139">
        <v>1</v>
      </c>
      <c r="X15" s="137"/>
      <c r="Y15" s="137">
        <f t="shared" si="14"/>
        <v>0</v>
      </c>
      <c r="Z15" s="137"/>
      <c r="AA15" s="137">
        <f t="shared" si="15"/>
        <v>0</v>
      </c>
      <c r="AB15" s="137"/>
      <c r="AC15" s="137">
        <f t="shared" si="16"/>
        <v>0</v>
      </c>
      <c r="AD15" s="137"/>
      <c r="AE15" s="137">
        <f t="shared" si="17"/>
        <v>0</v>
      </c>
      <c r="AF15" s="137">
        <f t="shared" si="18"/>
        <v>0</v>
      </c>
      <c r="AG15" s="137">
        <f t="shared" si="18"/>
        <v>0</v>
      </c>
      <c r="AH15" s="153"/>
      <c r="AI15" s="154"/>
    </row>
    <row r="16" spans="1:35" s="11" customFormat="1" x14ac:dyDescent="0.25">
      <c r="A16" s="218"/>
      <c r="B16" s="218"/>
      <c r="C16" s="219"/>
      <c r="D16" s="194"/>
      <c r="E16" s="206"/>
      <c r="F16" s="209"/>
      <c r="G16" s="131" t="s">
        <v>244</v>
      </c>
      <c r="H16" s="5"/>
      <c r="I16" s="5"/>
      <c r="J16" s="5"/>
      <c r="K16" s="5"/>
      <c r="L16" s="5"/>
      <c r="M16" s="4"/>
      <c r="N16" s="4"/>
      <c r="O16" s="4"/>
      <c r="P16" s="6"/>
      <c r="Q16" s="139"/>
      <c r="R16" s="139"/>
      <c r="S16" s="137">
        <f t="shared" si="11"/>
        <v>0</v>
      </c>
      <c r="T16" s="137">
        <f t="shared" si="12"/>
        <v>0</v>
      </c>
      <c r="U16" s="137">
        <f t="shared" si="13"/>
        <v>0</v>
      </c>
      <c r="V16" s="138"/>
      <c r="W16" s="139">
        <v>1</v>
      </c>
      <c r="X16" s="137"/>
      <c r="Y16" s="137">
        <f t="shared" si="14"/>
        <v>0</v>
      </c>
      <c r="Z16" s="137"/>
      <c r="AA16" s="137">
        <f t="shared" si="15"/>
        <v>0</v>
      </c>
      <c r="AB16" s="137"/>
      <c r="AC16" s="137">
        <f t="shared" si="16"/>
        <v>0</v>
      </c>
      <c r="AD16" s="137"/>
      <c r="AE16" s="137">
        <f t="shared" si="17"/>
        <v>0</v>
      </c>
      <c r="AF16" s="137">
        <f t="shared" si="18"/>
        <v>0</v>
      </c>
      <c r="AG16" s="137">
        <f t="shared" si="18"/>
        <v>0</v>
      </c>
      <c r="AH16" s="153"/>
      <c r="AI16" s="154"/>
    </row>
    <row r="17" spans="1:36" s="11" customFormat="1" x14ac:dyDescent="0.25">
      <c r="A17" s="218"/>
      <c r="B17" s="218"/>
      <c r="C17" s="219"/>
      <c r="D17" s="194"/>
      <c r="E17" s="206"/>
      <c r="F17" s="209"/>
      <c r="G17" s="131" t="s">
        <v>245</v>
      </c>
      <c r="H17" s="5"/>
      <c r="I17" s="5"/>
      <c r="J17" s="5"/>
      <c r="K17" s="5"/>
      <c r="L17" s="5"/>
      <c r="M17" s="4"/>
      <c r="N17" s="4"/>
      <c r="O17" s="4"/>
      <c r="P17" s="6"/>
      <c r="Q17" s="139"/>
      <c r="R17" s="139"/>
      <c r="S17" s="137"/>
      <c r="T17" s="137"/>
      <c r="U17" s="137"/>
      <c r="V17" s="138"/>
      <c r="W17" s="139"/>
      <c r="X17" s="137"/>
      <c r="Y17" s="137"/>
      <c r="Z17" s="137"/>
      <c r="AA17" s="137"/>
      <c r="AB17" s="137"/>
      <c r="AC17" s="137"/>
      <c r="AD17" s="137"/>
      <c r="AE17" s="137"/>
      <c r="AF17" s="137"/>
      <c r="AG17" s="137"/>
      <c r="AH17" s="153"/>
      <c r="AI17" s="154"/>
    </row>
    <row r="18" spans="1:36" s="11" customFormat="1" ht="38.25" x14ac:dyDescent="0.25">
      <c r="A18" s="217">
        <v>13</v>
      </c>
      <c r="B18" s="217">
        <v>1</v>
      </c>
      <c r="C18" s="193" t="s">
        <v>38</v>
      </c>
      <c r="D18" s="194"/>
      <c r="E18" s="206"/>
      <c r="F18" s="209"/>
      <c r="G18" s="43" t="s">
        <v>173</v>
      </c>
      <c r="H18" s="5"/>
      <c r="I18" s="5"/>
      <c r="J18" s="5"/>
      <c r="K18" s="5"/>
      <c r="L18" s="5"/>
      <c r="M18" s="4" t="s">
        <v>34</v>
      </c>
      <c r="N18" s="4" t="s">
        <v>35</v>
      </c>
      <c r="O18" s="4" t="s">
        <v>41</v>
      </c>
      <c r="P18" s="6" t="s">
        <v>125</v>
      </c>
      <c r="Q18" s="152"/>
      <c r="R18" s="137">
        <f>+SUM(R19:R23)</f>
        <v>0</v>
      </c>
      <c r="S18" s="137">
        <f>+SUM(S19:S23)</f>
        <v>0</v>
      </c>
      <c r="T18" s="137">
        <f>+SUM(T19:T23)</f>
        <v>0</v>
      </c>
      <c r="U18" s="137">
        <f>+SUM(U19:U23)</f>
        <v>0</v>
      </c>
      <c r="V18" s="138" t="s">
        <v>125</v>
      </c>
      <c r="W18" s="139"/>
      <c r="X18" s="137">
        <f t="shared" ref="X18" si="19">+SUM(X19:X23)</f>
        <v>0</v>
      </c>
      <c r="Y18" s="137">
        <f t="shared" ref="Y18" si="20">+SUM(Y19:Y23)</f>
        <v>0</v>
      </c>
      <c r="Z18" s="137">
        <f t="shared" ref="Z18" si="21">+SUM(Z19:Z23)</f>
        <v>0</v>
      </c>
      <c r="AA18" s="137">
        <f t="shared" ref="AA18" si="22">+SUM(AA19:AA23)</f>
        <v>0</v>
      </c>
      <c r="AB18" s="137">
        <f t="shared" ref="AB18" si="23">+SUM(AB19:AB23)</f>
        <v>0</v>
      </c>
      <c r="AC18" s="137">
        <f t="shared" ref="AC18" si="24">+SUM(AC19:AC23)</f>
        <v>0</v>
      </c>
      <c r="AD18" s="137">
        <f t="shared" ref="AD18" si="25">+SUM(AD19:AD23)</f>
        <v>0</v>
      </c>
      <c r="AE18" s="137">
        <f t="shared" ref="AE18:AG18" si="26">+SUM(AE19:AE23)</f>
        <v>0</v>
      </c>
      <c r="AF18" s="137">
        <f t="shared" si="26"/>
        <v>0</v>
      </c>
      <c r="AG18" s="137">
        <f t="shared" si="26"/>
        <v>0</v>
      </c>
      <c r="AH18" s="153">
        <f t="shared" si="10"/>
        <v>0</v>
      </c>
      <c r="AI18" s="154"/>
    </row>
    <row r="19" spans="1:36" s="11" customFormat="1" x14ac:dyDescent="0.25">
      <c r="A19" s="218"/>
      <c r="B19" s="218"/>
      <c r="C19" s="194"/>
      <c r="D19" s="194"/>
      <c r="E19" s="206"/>
      <c r="F19" s="209"/>
      <c r="G19" s="131" t="s">
        <v>241</v>
      </c>
      <c r="H19" s="5"/>
      <c r="I19" s="5"/>
      <c r="J19" s="5"/>
      <c r="K19" s="5"/>
      <c r="L19" s="5"/>
      <c r="M19" s="4"/>
      <c r="N19" s="4"/>
      <c r="O19" s="4"/>
      <c r="P19" s="6"/>
      <c r="Q19" s="139"/>
      <c r="R19" s="139"/>
      <c r="S19" s="137">
        <f t="shared" si="11"/>
        <v>0</v>
      </c>
      <c r="T19" s="137">
        <f t="shared" si="12"/>
        <v>0</v>
      </c>
      <c r="U19" s="137">
        <f t="shared" si="13"/>
        <v>0</v>
      </c>
      <c r="V19" s="138"/>
      <c r="W19" s="139">
        <v>1</v>
      </c>
      <c r="X19" s="137"/>
      <c r="Y19" s="137">
        <f t="shared" ref="Y19:Y23" si="27">+$W19*X19</f>
        <v>0</v>
      </c>
      <c r="Z19" s="137"/>
      <c r="AA19" s="137">
        <f t="shared" ref="AA19:AA23" si="28">+$W19*Z19</f>
        <v>0</v>
      </c>
      <c r="AB19" s="137"/>
      <c r="AC19" s="137">
        <f t="shared" ref="AC19:AC23" si="29">+$W19*AB19</f>
        <v>0</v>
      </c>
      <c r="AD19" s="137"/>
      <c r="AE19" s="137">
        <f t="shared" ref="AE19:AE23" si="30">+$W19*AD19</f>
        <v>0</v>
      </c>
      <c r="AF19" s="137">
        <f t="shared" si="18"/>
        <v>0</v>
      </c>
      <c r="AG19" s="137">
        <f t="shared" si="18"/>
        <v>0</v>
      </c>
      <c r="AH19" s="153"/>
      <c r="AI19" s="154"/>
    </row>
    <row r="20" spans="1:36" s="11" customFormat="1" x14ac:dyDescent="0.25">
      <c r="A20" s="218"/>
      <c r="B20" s="218"/>
      <c r="C20" s="194"/>
      <c r="D20" s="194"/>
      <c r="E20" s="206"/>
      <c r="F20" s="209"/>
      <c r="G20" s="131" t="s">
        <v>242</v>
      </c>
      <c r="H20" s="5"/>
      <c r="I20" s="5"/>
      <c r="J20" s="5"/>
      <c r="K20" s="5"/>
      <c r="L20" s="5"/>
      <c r="M20" s="4"/>
      <c r="N20" s="4"/>
      <c r="O20" s="4"/>
      <c r="P20" s="6"/>
      <c r="Q20" s="139"/>
      <c r="R20" s="139"/>
      <c r="S20" s="137">
        <f t="shared" si="11"/>
        <v>0</v>
      </c>
      <c r="T20" s="137">
        <f t="shared" si="12"/>
        <v>0</v>
      </c>
      <c r="U20" s="137">
        <f t="shared" si="13"/>
        <v>0</v>
      </c>
      <c r="V20" s="138"/>
      <c r="W20" s="139">
        <v>1</v>
      </c>
      <c r="X20" s="137"/>
      <c r="Y20" s="137">
        <f t="shared" si="27"/>
        <v>0</v>
      </c>
      <c r="Z20" s="137"/>
      <c r="AA20" s="137">
        <f t="shared" si="28"/>
        <v>0</v>
      </c>
      <c r="AB20" s="137"/>
      <c r="AC20" s="137">
        <f t="shared" si="29"/>
        <v>0</v>
      </c>
      <c r="AD20" s="137"/>
      <c r="AE20" s="137">
        <f t="shared" si="30"/>
        <v>0</v>
      </c>
      <c r="AF20" s="137">
        <f t="shared" si="18"/>
        <v>0</v>
      </c>
      <c r="AG20" s="137">
        <f t="shared" si="18"/>
        <v>0</v>
      </c>
      <c r="AH20" s="153"/>
      <c r="AI20" s="154"/>
    </row>
    <row r="21" spans="1:36" s="11" customFormat="1" x14ac:dyDescent="0.25">
      <c r="A21" s="218"/>
      <c r="B21" s="218"/>
      <c r="C21" s="194"/>
      <c r="D21" s="194"/>
      <c r="E21" s="206"/>
      <c r="F21" s="209"/>
      <c r="G21" s="131" t="s">
        <v>243</v>
      </c>
      <c r="H21" s="5"/>
      <c r="I21" s="5"/>
      <c r="J21" s="5"/>
      <c r="K21" s="5"/>
      <c r="L21" s="5"/>
      <c r="M21" s="4"/>
      <c r="N21" s="4"/>
      <c r="O21" s="4"/>
      <c r="P21" s="6"/>
      <c r="Q21" s="139"/>
      <c r="R21" s="139"/>
      <c r="S21" s="137">
        <f t="shared" si="11"/>
        <v>0</v>
      </c>
      <c r="T21" s="137">
        <f t="shared" si="12"/>
        <v>0</v>
      </c>
      <c r="U21" s="137">
        <f t="shared" si="13"/>
        <v>0</v>
      </c>
      <c r="V21" s="138"/>
      <c r="W21" s="139">
        <v>1</v>
      </c>
      <c r="X21" s="137"/>
      <c r="Y21" s="137">
        <f t="shared" si="27"/>
        <v>0</v>
      </c>
      <c r="Z21" s="137"/>
      <c r="AA21" s="137">
        <f t="shared" si="28"/>
        <v>0</v>
      </c>
      <c r="AB21" s="137"/>
      <c r="AC21" s="137">
        <f t="shared" si="29"/>
        <v>0</v>
      </c>
      <c r="AD21" s="137"/>
      <c r="AE21" s="137">
        <f t="shared" si="30"/>
        <v>0</v>
      </c>
      <c r="AF21" s="137">
        <f t="shared" si="18"/>
        <v>0</v>
      </c>
      <c r="AG21" s="137">
        <f t="shared" si="18"/>
        <v>0</v>
      </c>
      <c r="AH21" s="153"/>
      <c r="AI21" s="154"/>
    </row>
    <row r="22" spans="1:36" s="11" customFormat="1" x14ac:dyDescent="0.25">
      <c r="A22" s="218"/>
      <c r="B22" s="218"/>
      <c r="C22" s="194"/>
      <c r="D22" s="194"/>
      <c r="E22" s="206"/>
      <c r="F22" s="209"/>
      <c r="G22" s="131" t="s">
        <v>244</v>
      </c>
      <c r="H22" s="5"/>
      <c r="I22" s="5"/>
      <c r="J22" s="5"/>
      <c r="K22" s="5"/>
      <c r="L22" s="5"/>
      <c r="M22" s="4"/>
      <c r="N22" s="4"/>
      <c r="O22" s="4"/>
      <c r="P22" s="6"/>
      <c r="Q22" s="139"/>
      <c r="R22" s="139"/>
      <c r="S22" s="137">
        <f t="shared" si="11"/>
        <v>0</v>
      </c>
      <c r="T22" s="137">
        <f t="shared" si="12"/>
        <v>0</v>
      </c>
      <c r="U22" s="137">
        <f t="shared" si="13"/>
        <v>0</v>
      </c>
      <c r="V22" s="138"/>
      <c r="W22" s="139">
        <v>1</v>
      </c>
      <c r="X22" s="137"/>
      <c r="Y22" s="137">
        <f t="shared" si="27"/>
        <v>0</v>
      </c>
      <c r="Z22" s="137"/>
      <c r="AA22" s="137">
        <f t="shared" si="28"/>
        <v>0</v>
      </c>
      <c r="AB22" s="137"/>
      <c r="AC22" s="137">
        <f t="shared" si="29"/>
        <v>0</v>
      </c>
      <c r="AD22" s="137"/>
      <c r="AE22" s="137">
        <f t="shared" si="30"/>
        <v>0</v>
      </c>
      <c r="AF22" s="137">
        <f t="shared" si="18"/>
        <v>0</v>
      </c>
      <c r="AG22" s="137">
        <f t="shared" si="18"/>
        <v>0</v>
      </c>
      <c r="AH22" s="153"/>
      <c r="AI22" s="154"/>
    </row>
    <row r="23" spans="1:36" s="11" customFormat="1" x14ac:dyDescent="0.25">
      <c r="A23" s="220"/>
      <c r="B23" s="220"/>
      <c r="C23" s="195"/>
      <c r="D23" s="194"/>
      <c r="E23" s="206"/>
      <c r="F23" s="209"/>
      <c r="G23" s="131" t="s">
        <v>245</v>
      </c>
      <c r="H23" s="5"/>
      <c r="I23" s="5"/>
      <c r="J23" s="5"/>
      <c r="K23" s="5"/>
      <c r="L23" s="5"/>
      <c r="M23" s="4"/>
      <c r="N23" s="4"/>
      <c r="O23" s="4"/>
      <c r="P23" s="6"/>
      <c r="Q23" s="139"/>
      <c r="R23" s="139"/>
      <c r="S23" s="137">
        <f t="shared" si="11"/>
        <v>0</v>
      </c>
      <c r="T23" s="137">
        <f t="shared" si="12"/>
        <v>0</v>
      </c>
      <c r="U23" s="137">
        <f t="shared" si="13"/>
        <v>0</v>
      </c>
      <c r="V23" s="138"/>
      <c r="W23" s="139">
        <v>1</v>
      </c>
      <c r="X23" s="137"/>
      <c r="Y23" s="137">
        <f t="shared" si="27"/>
        <v>0</v>
      </c>
      <c r="Z23" s="137"/>
      <c r="AA23" s="137">
        <f t="shared" si="28"/>
        <v>0</v>
      </c>
      <c r="AB23" s="137"/>
      <c r="AC23" s="137">
        <f t="shared" si="29"/>
        <v>0</v>
      </c>
      <c r="AD23" s="137"/>
      <c r="AE23" s="137">
        <f t="shared" si="30"/>
        <v>0</v>
      </c>
      <c r="AF23" s="137">
        <f t="shared" si="18"/>
        <v>0</v>
      </c>
      <c r="AG23" s="137">
        <f t="shared" si="18"/>
        <v>0</v>
      </c>
      <c r="AH23" s="153"/>
      <c r="AI23" s="154"/>
    </row>
    <row r="24" spans="1:36" s="11" customFormat="1" ht="38.25" x14ac:dyDescent="0.25">
      <c r="A24" s="60">
        <v>13</v>
      </c>
      <c r="B24" s="60">
        <v>1</v>
      </c>
      <c r="C24" s="63" t="s">
        <v>38</v>
      </c>
      <c r="D24" s="194"/>
      <c r="E24" s="206"/>
      <c r="F24" s="209"/>
      <c r="G24" s="43" t="s">
        <v>126</v>
      </c>
      <c r="H24" s="5"/>
      <c r="I24" s="5"/>
      <c r="J24" s="5"/>
      <c r="K24" s="5"/>
      <c r="L24" s="5"/>
      <c r="M24" s="4" t="s">
        <v>34</v>
      </c>
      <c r="N24" s="4" t="s">
        <v>35</v>
      </c>
      <c r="O24" s="4" t="s">
        <v>41</v>
      </c>
      <c r="P24" s="6" t="s">
        <v>127</v>
      </c>
      <c r="Q24" s="78"/>
      <c r="R24" s="79"/>
      <c r="S24" s="8">
        <f t="shared" si="11"/>
        <v>0</v>
      </c>
      <c r="T24" s="7">
        <f t="shared" si="12"/>
        <v>0</v>
      </c>
      <c r="U24" s="9">
        <f t="shared" si="13"/>
        <v>0</v>
      </c>
      <c r="V24" s="6" t="s">
        <v>127</v>
      </c>
      <c r="W24" s="10"/>
      <c r="X24" s="7"/>
      <c r="Y24" s="7">
        <f t="shared" ref="Y24:Y25" si="31">+W24*X24</f>
        <v>0</v>
      </c>
      <c r="Z24" s="7"/>
      <c r="AA24" s="7">
        <f t="shared" ref="AA24:AA25" si="32">+Z24*W24</f>
        <v>0</v>
      </c>
      <c r="AB24" s="7"/>
      <c r="AC24" s="7">
        <f t="shared" ref="AC24:AC25" si="33">+AB24*W24</f>
        <v>0</v>
      </c>
      <c r="AD24" s="7"/>
      <c r="AE24" s="7">
        <f t="shared" ref="AE24:AE25" si="34">+AD24*W24</f>
        <v>0</v>
      </c>
      <c r="AF24" s="7">
        <f t="shared" si="18"/>
        <v>0</v>
      </c>
      <c r="AG24" s="7">
        <f t="shared" si="18"/>
        <v>0</v>
      </c>
      <c r="AH24" s="35">
        <f t="shared" si="10"/>
        <v>0</v>
      </c>
      <c r="AI24" s="56"/>
    </row>
    <row r="25" spans="1:36" s="59" customFormat="1" ht="150.75" customHeight="1" x14ac:dyDescent="0.25">
      <c r="A25" s="60">
        <v>13</v>
      </c>
      <c r="B25" s="60">
        <v>1</v>
      </c>
      <c r="C25" s="63" t="s">
        <v>38</v>
      </c>
      <c r="D25" s="195"/>
      <c r="E25" s="207"/>
      <c r="F25" s="210"/>
      <c r="G25" s="43" t="s">
        <v>128</v>
      </c>
      <c r="H25" s="5"/>
      <c r="I25" s="5"/>
      <c r="J25" s="5"/>
      <c r="K25" s="5"/>
      <c r="L25" s="5"/>
      <c r="M25" s="4" t="s">
        <v>34</v>
      </c>
      <c r="N25" s="4" t="s">
        <v>35</v>
      </c>
      <c r="O25" s="4" t="s">
        <v>41</v>
      </c>
      <c r="P25" s="6" t="s">
        <v>129</v>
      </c>
      <c r="Q25" s="78"/>
      <c r="R25" s="79"/>
      <c r="S25" s="8">
        <f t="shared" si="11"/>
        <v>0</v>
      </c>
      <c r="T25" s="7">
        <f t="shared" si="12"/>
        <v>0</v>
      </c>
      <c r="U25" s="9">
        <f t="shared" si="13"/>
        <v>0</v>
      </c>
      <c r="V25" s="6" t="s">
        <v>129</v>
      </c>
      <c r="W25" s="10"/>
      <c r="X25" s="7"/>
      <c r="Y25" s="7">
        <f t="shared" si="31"/>
        <v>0</v>
      </c>
      <c r="Z25" s="7"/>
      <c r="AA25" s="7">
        <f t="shared" si="32"/>
        <v>0</v>
      </c>
      <c r="AB25" s="7"/>
      <c r="AC25" s="7">
        <f t="shared" si="33"/>
        <v>0</v>
      </c>
      <c r="AD25" s="7"/>
      <c r="AE25" s="7">
        <f t="shared" si="34"/>
        <v>0</v>
      </c>
      <c r="AF25" s="7">
        <f t="shared" si="18"/>
        <v>0</v>
      </c>
      <c r="AG25" s="7">
        <f t="shared" si="18"/>
        <v>0</v>
      </c>
      <c r="AH25" s="35">
        <f t="shared" si="10"/>
        <v>0</v>
      </c>
      <c r="AI25" s="56"/>
    </row>
    <row r="26" spans="1:36" s="11" customFormat="1" x14ac:dyDescent="0.2">
      <c r="A26" s="49" t="s">
        <v>57</v>
      </c>
      <c r="B26" s="25"/>
      <c r="C26" s="26"/>
      <c r="D26" s="26"/>
      <c r="E26" s="26"/>
      <c r="F26" s="26"/>
      <c r="G26" s="38"/>
      <c r="H26" s="39"/>
      <c r="I26" s="39"/>
      <c r="J26" s="39"/>
      <c r="K26" s="39"/>
      <c r="L26" s="39"/>
      <c r="M26" s="37"/>
      <c r="N26" s="37"/>
      <c r="O26" s="37"/>
      <c r="P26" s="34"/>
      <c r="Q26" s="40"/>
      <c r="R26" s="41"/>
      <c r="S26" s="41"/>
      <c r="T26" s="41"/>
      <c r="U26" s="42"/>
      <c r="V26" s="37"/>
      <c r="W26" s="40"/>
      <c r="X26" s="41"/>
      <c r="Y26" s="41"/>
      <c r="Z26" s="41"/>
      <c r="AA26" s="41"/>
      <c r="AB26" s="41"/>
      <c r="AC26" s="41"/>
      <c r="AD26" s="41"/>
      <c r="AE26" s="41"/>
      <c r="AF26" s="41"/>
      <c r="AG26" s="42"/>
      <c r="AH26" s="31">
        <f>SUM(AH27)</f>
        <v>0</v>
      </c>
      <c r="AI26" s="32">
        <v>84365328</v>
      </c>
    </row>
    <row r="27" spans="1:36" s="59" customFormat="1" ht="89.25" x14ac:dyDescent="0.25">
      <c r="A27" s="60">
        <v>8</v>
      </c>
      <c r="B27" s="60">
        <v>1</v>
      </c>
      <c r="C27" s="63" t="s">
        <v>38</v>
      </c>
      <c r="D27" s="63" t="s">
        <v>32</v>
      </c>
      <c r="E27" s="57" t="s">
        <v>122</v>
      </c>
      <c r="F27" s="57" t="s">
        <v>130</v>
      </c>
      <c r="G27" s="3"/>
      <c r="H27" s="5"/>
      <c r="I27" s="5"/>
      <c r="J27" s="5"/>
      <c r="K27" s="5"/>
      <c r="L27" s="5"/>
      <c r="M27" s="4" t="s">
        <v>34</v>
      </c>
      <c r="N27" s="4" t="s">
        <v>35</v>
      </c>
      <c r="O27" s="4" t="s">
        <v>40</v>
      </c>
      <c r="P27" s="6"/>
      <c r="Q27" s="78"/>
      <c r="R27" s="79"/>
      <c r="S27" s="8">
        <f t="shared" ref="S27" si="35">+R27*Q27</f>
        <v>0</v>
      </c>
      <c r="T27" s="7">
        <f t="shared" ref="T27" si="36">+R27</f>
        <v>0</v>
      </c>
      <c r="U27" s="9">
        <f t="shared" ref="U27" si="37">S27</f>
        <v>0</v>
      </c>
      <c r="V27" s="6"/>
      <c r="W27" s="10"/>
      <c r="X27" s="7"/>
      <c r="Y27" s="7">
        <f t="shared" ref="Y27" si="38">+W27*X27</f>
        <v>0</v>
      </c>
      <c r="Z27" s="7"/>
      <c r="AA27" s="7">
        <f t="shared" ref="AA27" si="39">+Z27*W27</f>
        <v>0</v>
      </c>
      <c r="AB27" s="7"/>
      <c r="AC27" s="7">
        <f t="shared" ref="AC27" si="40">+AB27*W27</f>
        <v>0</v>
      </c>
      <c r="AD27" s="7"/>
      <c r="AE27" s="7">
        <f t="shared" ref="AE27" si="41">+AD27*W27</f>
        <v>0</v>
      </c>
      <c r="AF27" s="7">
        <f t="shared" ref="AF27:AG27" si="42">+X27+Z27+AB27+AD27</f>
        <v>0</v>
      </c>
      <c r="AG27" s="7">
        <f t="shared" si="42"/>
        <v>0</v>
      </c>
      <c r="AH27" s="35">
        <f t="shared" ref="AH27" si="43">+U27+AG27</f>
        <v>0</v>
      </c>
      <c r="AI27" s="56"/>
    </row>
    <row r="28" spans="1:36" s="11" customFormat="1" x14ac:dyDescent="0.2">
      <c r="A28" s="49" t="s">
        <v>164</v>
      </c>
      <c r="B28" s="25"/>
      <c r="C28" s="26"/>
      <c r="D28" s="26"/>
      <c r="E28" s="26"/>
      <c r="F28" s="26"/>
      <c r="G28" s="38"/>
      <c r="H28" s="39"/>
      <c r="I28" s="39"/>
      <c r="J28" s="39"/>
      <c r="K28" s="39"/>
      <c r="L28" s="39"/>
      <c r="M28" s="37"/>
      <c r="N28" s="37"/>
      <c r="O28" s="37"/>
      <c r="P28" s="34"/>
      <c r="Q28" s="40"/>
      <c r="R28" s="41"/>
      <c r="S28" s="41"/>
      <c r="T28" s="41"/>
      <c r="U28" s="42"/>
      <c r="V28" s="37"/>
      <c r="W28" s="40"/>
      <c r="X28" s="41"/>
      <c r="Y28" s="41"/>
      <c r="Z28" s="41"/>
      <c r="AA28" s="41"/>
      <c r="AB28" s="41"/>
      <c r="AC28" s="41"/>
      <c r="AD28" s="41"/>
      <c r="AE28" s="41"/>
      <c r="AF28" s="41"/>
      <c r="AG28" s="42"/>
      <c r="AH28" s="31">
        <f>+AH4+AH11+AH26</f>
        <v>0</v>
      </c>
      <c r="AI28" s="32">
        <f>+AI4+AI11+AI26</f>
        <v>937392593</v>
      </c>
    </row>
    <row r="29" spans="1:36" x14ac:dyDescent="0.2">
      <c r="AA29" s="65"/>
      <c r="AH29" s="66">
        <f>SUM(AH7:AH27)</f>
        <v>0</v>
      </c>
      <c r="AJ29" s="46"/>
    </row>
    <row r="30" spans="1:36" s="11" customFormat="1" x14ac:dyDescent="0.2">
      <c r="A30" s="49" t="s">
        <v>58</v>
      </c>
      <c r="B30" s="25"/>
      <c r="C30" s="26"/>
      <c r="D30" s="26"/>
      <c r="E30" s="26"/>
      <c r="F30" s="26"/>
      <c r="G30" s="26"/>
      <c r="H30" s="27"/>
      <c r="I30" s="27"/>
      <c r="J30" s="27"/>
      <c r="K30" s="27"/>
      <c r="L30" s="27"/>
      <c r="M30" s="25"/>
      <c r="N30" s="25"/>
      <c r="O30" s="25"/>
      <c r="P30" s="25"/>
      <c r="Q30" s="28"/>
      <c r="R30" s="29"/>
      <c r="S30" s="29"/>
      <c r="T30" s="29"/>
      <c r="U30" s="30"/>
      <c r="V30" s="25"/>
      <c r="W30" s="28"/>
      <c r="X30" s="29"/>
      <c r="Y30" s="29"/>
      <c r="Z30" s="29"/>
      <c r="AA30" s="29"/>
      <c r="AB30" s="29"/>
      <c r="AC30" s="29"/>
      <c r="AD30" s="29"/>
      <c r="AE30" s="29"/>
      <c r="AF30" s="29"/>
      <c r="AG30" s="30"/>
      <c r="AH30" s="31"/>
      <c r="AI30" s="32"/>
    </row>
    <row r="31" spans="1:36" s="59" customFormat="1" ht="89.25" x14ac:dyDescent="0.25">
      <c r="A31" s="60">
        <v>6</v>
      </c>
      <c r="B31" s="60">
        <v>1</v>
      </c>
      <c r="C31" s="63" t="s">
        <v>31</v>
      </c>
      <c r="D31" s="63" t="s">
        <v>32</v>
      </c>
      <c r="E31" s="57" t="s">
        <v>33</v>
      </c>
      <c r="F31" s="63" t="s">
        <v>131</v>
      </c>
      <c r="G31" s="57" t="s">
        <v>132</v>
      </c>
      <c r="H31" s="58"/>
      <c r="I31" s="58"/>
      <c r="J31" s="58"/>
      <c r="K31" s="58"/>
      <c r="L31" s="58"/>
      <c r="M31" s="33" t="s">
        <v>34</v>
      </c>
      <c r="N31" s="33" t="s">
        <v>35</v>
      </c>
      <c r="O31" s="33" t="s">
        <v>36</v>
      </c>
      <c r="P31" s="51" t="s">
        <v>37</v>
      </c>
      <c r="Q31" s="52">
        <f>15355</f>
        <v>15355</v>
      </c>
      <c r="R31" s="67">
        <v>658</v>
      </c>
      <c r="S31" s="52">
        <f>+R31*Q31</f>
        <v>10103590</v>
      </c>
      <c r="T31" s="53">
        <f t="shared" ref="T31:T36" si="44">+R31</f>
        <v>658</v>
      </c>
      <c r="U31" s="54">
        <f>S31</f>
        <v>10103590</v>
      </c>
      <c r="V31" s="51" t="s">
        <v>37</v>
      </c>
      <c r="W31" s="55">
        <f>+Q31</f>
        <v>15355</v>
      </c>
      <c r="X31" s="53">
        <v>658</v>
      </c>
      <c r="Y31" s="53">
        <f t="shared" ref="Y31:Y35" si="45">+W31*X31</f>
        <v>10103590</v>
      </c>
      <c r="Z31" s="53">
        <v>658</v>
      </c>
      <c r="AA31" s="53">
        <f t="shared" ref="AA31:AA35" si="46">+Z31*W31</f>
        <v>10103590</v>
      </c>
      <c r="AB31" s="53">
        <f>+Z31</f>
        <v>658</v>
      </c>
      <c r="AC31" s="53">
        <f t="shared" ref="AC31:AC35" si="47">+AB31*W31</f>
        <v>10103590</v>
      </c>
      <c r="AD31" s="53">
        <f>+AB31</f>
        <v>658</v>
      </c>
      <c r="AE31" s="53">
        <f t="shared" ref="AE31:AE35" si="48">+AD31*W31</f>
        <v>10103590</v>
      </c>
      <c r="AF31" s="53">
        <f t="shared" ref="AF31:AG36" si="49">+X31+Z31+AB31+AD31</f>
        <v>2632</v>
      </c>
      <c r="AG31" s="53">
        <f t="shared" si="49"/>
        <v>40414360</v>
      </c>
      <c r="AH31" s="35">
        <f t="shared" ref="AH31:AH35" si="50">+U31+AG31</f>
        <v>50517950</v>
      </c>
      <c r="AI31" s="56"/>
      <c r="AJ31" s="111"/>
    </row>
    <row r="32" spans="1:36" s="59" customFormat="1" ht="114.75" x14ac:dyDescent="0.25">
      <c r="A32" s="60">
        <v>34</v>
      </c>
      <c r="B32" s="68">
        <v>1</v>
      </c>
      <c r="C32" s="63" t="s">
        <v>42</v>
      </c>
      <c r="D32" s="63" t="s">
        <v>43</v>
      </c>
      <c r="E32" s="57" t="s">
        <v>44</v>
      </c>
      <c r="F32" s="63" t="s">
        <v>158</v>
      </c>
      <c r="G32" s="57" t="s">
        <v>133</v>
      </c>
      <c r="H32" s="33"/>
      <c r="I32" s="58"/>
      <c r="J32" s="58"/>
      <c r="K32" s="58"/>
      <c r="L32" s="58"/>
      <c r="M32" s="33" t="s">
        <v>34</v>
      </c>
      <c r="N32" s="33" t="s">
        <v>35</v>
      </c>
      <c r="O32" s="63" t="s">
        <v>45</v>
      </c>
      <c r="P32" s="51" t="s">
        <v>134</v>
      </c>
      <c r="Q32" s="52"/>
      <c r="R32" s="67"/>
      <c r="S32" s="52">
        <f>+R32*Q32</f>
        <v>0</v>
      </c>
      <c r="T32" s="53">
        <f t="shared" si="44"/>
        <v>0</v>
      </c>
      <c r="U32" s="54">
        <f t="shared" ref="U32:U35" si="51">S32</f>
        <v>0</v>
      </c>
      <c r="V32" s="51" t="s">
        <v>134</v>
      </c>
      <c r="W32" s="52">
        <f>36000*24</f>
        <v>864000</v>
      </c>
      <c r="X32" s="53">
        <v>7</v>
      </c>
      <c r="Y32" s="53">
        <f t="shared" si="45"/>
        <v>6048000</v>
      </c>
      <c r="Z32" s="53">
        <f t="shared" ref="Z32:Z33" si="52">+X32</f>
        <v>7</v>
      </c>
      <c r="AA32" s="53">
        <f t="shared" si="46"/>
        <v>6048000</v>
      </c>
      <c r="AB32" s="53"/>
      <c r="AC32" s="53">
        <f t="shared" si="47"/>
        <v>0</v>
      </c>
      <c r="AD32" s="53">
        <f t="shared" ref="AD32:AD33" si="53">+AB32</f>
        <v>0</v>
      </c>
      <c r="AE32" s="53">
        <f t="shared" si="48"/>
        <v>0</v>
      </c>
      <c r="AF32" s="53">
        <f>+X32+Z32+AB32+AD32</f>
        <v>14</v>
      </c>
      <c r="AG32" s="53">
        <f t="shared" si="49"/>
        <v>12096000</v>
      </c>
      <c r="AH32" s="35">
        <f t="shared" si="50"/>
        <v>12096000</v>
      </c>
      <c r="AI32" s="56"/>
    </row>
    <row r="33" spans="1:35" s="59" customFormat="1" ht="114.75" x14ac:dyDescent="0.25">
      <c r="A33" s="60">
        <v>35</v>
      </c>
      <c r="B33" s="68">
        <v>1</v>
      </c>
      <c r="C33" s="63" t="s">
        <v>42</v>
      </c>
      <c r="D33" s="63" t="s">
        <v>43</v>
      </c>
      <c r="E33" s="57" t="s">
        <v>44</v>
      </c>
      <c r="F33" s="63" t="s">
        <v>158</v>
      </c>
      <c r="G33" s="57" t="s">
        <v>135</v>
      </c>
      <c r="H33" s="33"/>
      <c r="I33" s="58"/>
      <c r="J33" s="58"/>
      <c r="K33" s="58"/>
      <c r="L33" s="58"/>
      <c r="M33" s="33" t="s">
        <v>34</v>
      </c>
      <c r="N33" s="33" t="s">
        <v>35</v>
      </c>
      <c r="O33" s="63" t="s">
        <v>45</v>
      </c>
      <c r="P33" s="51" t="s">
        <v>134</v>
      </c>
      <c r="Q33" s="52"/>
      <c r="R33" s="67"/>
      <c r="S33" s="52">
        <f t="shared" ref="S33:S35" si="54">+R33*Q33</f>
        <v>0</v>
      </c>
      <c r="T33" s="53">
        <f t="shared" si="44"/>
        <v>0</v>
      </c>
      <c r="U33" s="54">
        <f t="shared" si="51"/>
        <v>0</v>
      </c>
      <c r="V33" s="51" t="s">
        <v>134</v>
      </c>
      <c r="W33" s="52">
        <f>36000*12</f>
        <v>432000</v>
      </c>
      <c r="X33" s="53"/>
      <c r="Y33" s="53">
        <f t="shared" si="45"/>
        <v>0</v>
      </c>
      <c r="Z33" s="53">
        <f t="shared" si="52"/>
        <v>0</v>
      </c>
      <c r="AA33" s="53">
        <f t="shared" si="46"/>
        <v>0</v>
      </c>
      <c r="AB33" s="53">
        <v>14</v>
      </c>
      <c r="AC33" s="53">
        <f t="shared" si="47"/>
        <v>6048000</v>
      </c>
      <c r="AD33" s="53">
        <f t="shared" si="53"/>
        <v>14</v>
      </c>
      <c r="AE33" s="53">
        <f t="shared" si="48"/>
        <v>6048000</v>
      </c>
      <c r="AF33" s="53">
        <f t="shared" si="49"/>
        <v>28</v>
      </c>
      <c r="AG33" s="53">
        <f t="shared" si="49"/>
        <v>12096000</v>
      </c>
      <c r="AH33" s="35">
        <f t="shared" si="50"/>
        <v>12096000</v>
      </c>
      <c r="AI33" s="56"/>
    </row>
    <row r="34" spans="1:35" s="72" customFormat="1" ht="76.5" x14ac:dyDescent="0.25">
      <c r="A34" s="60">
        <v>43</v>
      </c>
      <c r="B34" s="68">
        <v>1</v>
      </c>
      <c r="C34" s="63" t="s">
        <v>46</v>
      </c>
      <c r="D34" s="63" t="s">
        <v>47</v>
      </c>
      <c r="E34" s="57" t="s">
        <v>48</v>
      </c>
      <c r="F34" s="63" t="s">
        <v>159</v>
      </c>
      <c r="G34" s="57" t="s">
        <v>136</v>
      </c>
      <c r="H34" s="69"/>
      <c r="I34" s="69"/>
      <c r="J34" s="70"/>
      <c r="K34" s="69"/>
      <c r="L34" s="70"/>
      <c r="M34" s="33" t="s">
        <v>34</v>
      </c>
      <c r="N34" s="33" t="s">
        <v>35</v>
      </c>
      <c r="O34" s="33" t="s">
        <v>49</v>
      </c>
      <c r="P34" s="51" t="s">
        <v>137</v>
      </c>
      <c r="Q34" s="52"/>
      <c r="R34" s="67"/>
      <c r="S34" s="52">
        <f t="shared" si="54"/>
        <v>0</v>
      </c>
      <c r="T34" s="53">
        <f t="shared" si="44"/>
        <v>0</v>
      </c>
      <c r="U34" s="54">
        <f t="shared" si="51"/>
        <v>0</v>
      </c>
      <c r="V34" s="51" t="s">
        <v>137</v>
      </c>
      <c r="W34" s="71">
        <v>5000000</v>
      </c>
      <c r="X34" s="53">
        <f t="shared" ref="X34" si="55">+R34</f>
        <v>0</v>
      </c>
      <c r="Y34" s="53">
        <f t="shared" si="45"/>
        <v>0</v>
      </c>
      <c r="Z34" s="53">
        <v>1</v>
      </c>
      <c r="AA34" s="53">
        <f t="shared" si="46"/>
        <v>5000000</v>
      </c>
      <c r="AB34" s="53"/>
      <c r="AC34" s="53">
        <f t="shared" si="47"/>
        <v>0</v>
      </c>
      <c r="AD34" s="53"/>
      <c r="AE34" s="53">
        <f t="shared" si="48"/>
        <v>0</v>
      </c>
      <c r="AF34" s="53">
        <f t="shared" si="49"/>
        <v>1</v>
      </c>
      <c r="AG34" s="53">
        <f t="shared" si="49"/>
        <v>5000000</v>
      </c>
      <c r="AH34" s="35">
        <f t="shared" si="50"/>
        <v>5000000</v>
      </c>
      <c r="AI34" s="56"/>
    </row>
    <row r="35" spans="1:35" s="72" customFormat="1" ht="144" customHeight="1" x14ac:dyDescent="0.25">
      <c r="A35" s="60">
        <v>46</v>
      </c>
      <c r="B35" s="68">
        <v>1</v>
      </c>
      <c r="C35" s="33" t="s">
        <v>38</v>
      </c>
      <c r="D35" s="63" t="s">
        <v>47</v>
      </c>
      <c r="E35" s="57" t="s">
        <v>50</v>
      </c>
      <c r="F35" s="63" t="s">
        <v>138</v>
      </c>
      <c r="G35" s="57" t="s">
        <v>139</v>
      </c>
      <c r="H35" s="69"/>
      <c r="I35" s="70"/>
      <c r="J35" s="70"/>
      <c r="K35" s="70"/>
      <c r="L35" s="70"/>
      <c r="M35" s="33" t="s">
        <v>34</v>
      </c>
      <c r="N35" s="33" t="s">
        <v>35</v>
      </c>
      <c r="O35" s="33" t="s">
        <v>36</v>
      </c>
      <c r="P35" s="51" t="s">
        <v>140</v>
      </c>
      <c r="Q35" s="52"/>
      <c r="R35" s="67"/>
      <c r="S35" s="52">
        <f t="shared" si="54"/>
        <v>0</v>
      </c>
      <c r="T35" s="53">
        <f t="shared" si="44"/>
        <v>0</v>
      </c>
      <c r="U35" s="54">
        <f t="shared" si="51"/>
        <v>0</v>
      </c>
      <c r="V35" s="51" t="s">
        <v>140</v>
      </c>
      <c r="W35" s="52">
        <v>100000</v>
      </c>
      <c r="X35" s="53">
        <v>31</v>
      </c>
      <c r="Y35" s="53">
        <f t="shared" si="45"/>
        <v>3100000</v>
      </c>
      <c r="Z35" s="53">
        <f>+X35</f>
        <v>31</v>
      </c>
      <c r="AA35" s="53">
        <f t="shared" si="46"/>
        <v>3100000</v>
      </c>
      <c r="AB35" s="53">
        <f t="shared" ref="AB35:AB36" si="56">+Z35</f>
        <v>31</v>
      </c>
      <c r="AC35" s="53">
        <f t="shared" si="47"/>
        <v>3100000</v>
      </c>
      <c r="AD35" s="53">
        <f>+AB35</f>
        <v>31</v>
      </c>
      <c r="AE35" s="53">
        <f t="shared" si="48"/>
        <v>3100000</v>
      </c>
      <c r="AF35" s="53">
        <f t="shared" si="49"/>
        <v>124</v>
      </c>
      <c r="AG35" s="53">
        <f t="shared" si="49"/>
        <v>12400000</v>
      </c>
      <c r="AH35" s="35">
        <f t="shared" si="50"/>
        <v>12400000</v>
      </c>
      <c r="AI35" s="56"/>
    </row>
    <row r="36" spans="1:35" s="77" customFormat="1" ht="89.25" customHeight="1" x14ac:dyDescent="0.25">
      <c r="A36" s="60">
        <v>12</v>
      </c>
      <c r="B36" s="68">
        <v>1</v>
      </c>
      <c r="C36" s="63" t="s">
        <v>38</v>
      </c>
      <c r="D36" s="73" t="s">
        <v>32</v>
      </c>
      <c r="E36" s="74" t="s">
        <v>114</v>
      </c>
      <c r="F36" s="75" t="s">
        <v>160</v>
      </c>
      <c r="G36" s="75" t="s">
        <v>141</v>
      </c>
      <c r="H36" s="33"/>
      <c r="I36" s="70"/>
      <c r="J36" s="70"/>
      <c r="K36" s="70"/>
      <c r="L36" s="70"/>
      <c r="M36" s="76" t="s">
        <v>34</v>
      </c>
      <c r="N36" s="33" t="s">
        <v>35</v>
      </c>
      <c r="O36" s="76" t="s">
        <v>41</v>
      </c>
      <c r="P36" s="51" t="s">
        <v>142</v>
      </c>
      <c r="Q36" s="52">
        <f>150000*3</f>
        <v>450000</v>
      </c>
      <c r="R36" s="67">
        <v>21</v>
      </c>
      <c r="S36" s="52">
        <f>+R36*Q36</f>
        <v>9450000</v>
      </c>
      <c r="T36" s="53">
        <f t="shared" si="44"/>
        <v>21</v>
      </c>
      <c r="U36" s="54">
        <f>S36</f>
        <v>9450000</v>
      </c>
      <c r="V36" s="51" t="str">
        <f>+P36</f>
        <v>Costo Incentivo Lideres Pares</v>
      </c>
      <c r="W36" s="55">
        <f>154500*3</f>
        <v>463500</v>
      </c>
      <c r="X36" s="53">
        <v>21</v>
      </c>
      <c r="Y36" s="53">
        <f>+W36*X36</f>
        <v>9733500</v>
      </c>
      <c r="Z36" s="53">
        <v>105</v>
      </c>
      <c r="AA36" s="53">
        <f>+Z36*W36</f>
        <v>48667500</v>
      </c>
      <c r="AB36" s="53">
        <f t="shared" si="56"/>
        <v>105</v>
      </c>
      <c r="AC36" s="53">
        <f>+AB36*W36</f>
        <v>48667500</v>
      </c>
      <c r="AD36" s="53">
        <f>+AB36</f>
        <v>105</v>
      </c>
      <c r="AE36" s="53">
        <f>+AD36*W36</f>
        <v>48667500</v>
      </c>
      <c r="AF36" s="53">
        <f t="shared" si="49"/>
        <v>336</v>
      </c>
      <c r="AG36" s="53">
        <f>+Y36+AA36+AC36+AE36</f>
        <v>155736000</v>
      </c>
      <c r="AH36" s="35">
        <f>+U36+AG36</f>
        <v>165186000</v>
      </c>
      <c r="AI36" s="56"/>
    </row>
    <row r="37" spans="1:35" s="11" customFormat="1" x14ac:dyDescent="0.2">
      <c r="A37" s="49" t="s">
        <v>165</v>
      </c>
      <c r="B37" s="25"/>
      <c r="C37" s="26"/>
      <c r="D37" s="26"/>
      <c r="E37" s="26"/>
      <c r="F37" s="26"/>
      <c r="G37" s="26"/>
      <c r="H37" s="27"/>
      <c r="I37" s="27"/>
      <c r="J37" s="27"/>
      <c r="K37" s="27"/>
      <c r="L37" s="27"/>
      <c r="M37" s="25"/>
      <c r="N37" s="25"/>
      <c r="O37" s="25"/>
      <c r="P37" s="64"/>
      <c r="Q37" s="28"/>
      <c r="R37" s="29"/>
      <c r="S37" s="29"/>
      <c r="T37" s="29"/>
      <c r="U37" s="30"/>
      <c r="V37" s="25"/>
      <c r="W37" s="28"/>
      <c r="X37" s="29"/>
      <c r="Y37" s="29"/>
      <c r="Z37" s="29"/>
      <c r="AA37" s="29"/>
      <c r="AB37" s="29"/>
      <c r="AC37" s="29"/>
      <c r="AD37" s="29"/>
      <c r="AE37" s="29"/>
      <c r="AF37" s="29"/>
      <c r="AG37" s="30"/>
      <c r="AH37" s="31">
        <f>SUM(AH31:AH36)</f>
        <v>257295950</v>
      </c>
      <c r="AI37" s="32">
        <f>+AH37</f>
        <v>257295950</v>
      </c>
    </row>
    <row r="38" spans="1:35" s="11" customFormat="1" x14ac:dyDescent="0.2">
      <c r="A38" s="83" t="s">
        <v>166</v>
      </c>
      <c r="B38" s="84"/>
      <c r="C38" s="85"/>
      <c r="D38" s="85"/>
      <c r="E38" s="85"/>
      <c r="F38" s="85"/>
      <c r="G38" s="85"/>
      <c r="H38" s="86"/>
      <c r="I38" s="86"/>
      <c r="J38" s="86"/>
      <c r="K38" s="86"/>
      <c r="L38" s="86"/>
      <c r="M38" s="84"/>
      <c r="N38" s="84"/>
      <c r="O38" s="84"/>
      <c r="P38" s="87"/>
      <c r="Q38" s="88"/>
      <c r="R38" s="89"/>
      <c r="S38" s="89"/>
      <c r="T38" s="89"/>
      <c r="U38" s="90"/>
      <c r="V38" s="84"/>
      <c r="W38" s="88"/>
      <c r="X38" s="89"/>
      <c r="Y38" s="89"/>
      <c r="Z38" s="89"/>
      <c r="AA38" s="89"/>
      <c r="AB38" s="89"/>
      <c r="AC38" s="89"/>
      <c r="AD38" s="89"/>
      <c r="AE38" s="89"/>
      <c r="AF38" s="89"/>
      <c r="AG38" s="90"/>
      <c r="AH38" s="82"/>
      <c r="AI38" s="82">
        <f>+AI28+AI37</f>
        <v>1194688543</v>
      </c>
    </row>
  </sheetData>
  <sheetProtection password="CB42" sheet="1" objects="1" scenarios="1" formatCells="0" formatColumns="0" formatRows="0" insertRows="0"/>
  <mergeCells count="45">
    <mergeCell ref="D12:D25"/>
    <mergeCell ref="E12:E25"/>
    <mergeCell ref="F12:F25"/>
    <mergeCell ref="AI2:AI3"/>
    <mergeCell ref="C5:C7"/>
    <mergeCell ref="D5:D10"/>
    <mergeCell ref="E5:E10"/>
    <mergeCell ref="F5:F7"/>
    <mergeCell ref="F8:F10"/>
    <mergeCell ref="AC2:AC3"/>
    <mergeCell ref="AD2:AD3"/>
    <mergeCell ref="AE2:AE3"/>
    <mergeCell ref="AF2:AF3"/>
    <mergeCell ref="AG2:AG3"/>
    <mergeCell ref="AH2:AH3"/>
    <mergeCell ref="W2:W3"/>
    <mergeCell ref="X2:X3"/>
    <mergeCell ref="Y2:Y3"/>
    <mergeCell ref="Z2:Z3"/>
    <mergeCell ref="AA2:AA3"/>
    <mergeCell ref="AB2:AB3"/>
    <mergeCell ref="V2:V3"/>
    <mergeCell ref="G2:G3"/>
    <mergeCell ref="I2:L2"/>
    <mergeCell ref="M2:M3"/>
    <mergeCell ref="N2:N3"/>
    <mergeCell ref="O2:O3"/>
    <mergeCell ref="P2:P3"/>
    <mergeCell ref="Q2:Q3"/>
    <mergeCell ref="R2:R3"/>
    <mergeCell ref="S2:S3"/>
    <mergeCell ref="T2:T3"/>
    <mergeCell ref="U2:U3"/>
    <mergeCell ref="F2:F3"/>
    <mergeCell ref="A2:A3"/>
    <mergeCell ref="B2:B3"/>
    <mergeCell ref="C2:C3"/>
    <mergeCell ref="D2:D3"/>
    <mergeCell ref="E2:E3"/>
    <mergeCell ref="A12:A17"/>
    <mergeCell ref="B12:B17"/>
    <mergeCell ref="C12:C17"/>
    <mergeCell ref="A18:A23"/>
    <mergeCell ref="B18:B23"/>
    <mergeCell ref="C18:C23"/>
  </mergeCells>
  <dataValidations count="1">
    <dataValidation type="decimal" operator="greaterThanOrEqual" allowBlank="1" showInputMessage="1" showErrorMessage="1" sqref="W27:W28 W36:W38 W34 W31 Q19:R23 Q13:R17 W12:W25 W5:W10">
      <formula1>0</formula1>
    </dataValidation>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22"/>
  <sheetViews>
    <sheetView showGridLines="0" workbookViewId="0">
      <selection activeCell="D5" sqref="D5"/>
    </sheetView>
  </sheetViews>
  <sheetFormatPr baseColWidth="10" defaultRowHeight="15" x14ac:dyDescent="0.25"/>
  <cols>
    <col min="1" max="1" width="53.28515625" style="19" customWidth="1"/>
    <col min="2" max="2" width="17.5703125" style="23" bestFit="1" customWidth="1"/>
    <col min="3" max="3" width="18.5703125" style="19" bestFit="1" customWidth="1"/>
    <col min="4" max="16384" width="11.42578125" style="19"/>
  </cols>
  <sheetData>
    <row r="1" spans="1:3" ht="39.75" customHeight="1" x14ac:dyDescent="0.25">
      <c r="A1" s="188" t="s">
        <v>100</v>
      </c>
      <c r="B1" s="188"/>
      <c r="C1" s="188"/>
    </row>
    <row r="2" spans="1:3" x14ac:dyDescent="0.25">
      <c r="A2" s="189" t="s">
        <v>144</v>
      </c>
      <c r="B2" s="189"/>
      <c r="C2" s="189"/>
    </row>
    <row r="3" spans="1:3" x14ac:dyDescent="0.25">
      <c r="A3" s="118"/>
      <c r="B3" s="119"/>
      <c r="C3" s="118"/>
    </row>
    <row r="4" spans="1:3" x14ac:dyDescent="0.25">
      <c r="A4" s="120" t="s">
        <v>102</v>
      </c>
      <c r="B4" s="121"/>
      <c r="C4" s="118"/>
    </row>
    <row r="6" spans="1:3" s="20" customFormat="1" x14ac:dyDescent="0.25">
      <c r="A6" s="91" t="s">
        <v>103</v>
      </c>
      <c r="B6" s="92" t="s">
        <v>104</v>
      </c>
      <c r="C6" s="93" t="s">
        <v>98</v>
      </c>
    </row>
    <row r="7" spans="1:3" s="21" customFormat="1" x14ac:dyDescent="0.25">
      <c r="A7" s="94" t="s">
        <v>105</v>
      </c>
      <c r="B7" s="35">
        <f>+'Fase I Valle del Cauca'!AH4</f>
        <v>0</v>
      </c>
      <c r="C7" s="96">
        <f>+'Fase I Valle del Cauca'!AI4</f>
        <v>475608787</v>
      </c>
    </row>
    <row r="8" spans="1:3" s="22" customFormat="1" x14ac:dyDescent="0.25">
      <c r="A8" s="97" t="s">
        <v>106</v>
      </c>
      <c r="B8" s="98">
        <f>+'Fase I Valle del Cauca'!AH11</f>
        <v>0</v>
      </c>
      <c r="C8" s="96">
        <f>+'Fase I Valle del Cauca'!AI11</f>
        <v>142682633</v>
      </c>
    </row>
    <row r="9" spans="1:3" s="22" customFormat="1" x14ac:dyDescent="0.25">
      <c r="A9" s="97" t="s">
        <v>107</v>
      </c>
      <c r="B9" s="98">
        <f>+'Fase I Valle del Cauca'!AH26</f>
        <v>0</v>
      </c>
      <c r="C9" s="96">
        <f>+'Fase I Valle del Cauca'!AI26</f>
        <v>61149698</v>
      </c>
    </row>
    <row r="10" spans="1:3" s="22" customFormat="1" x14ac:dyDescent="0.25">
      <c r="A10" s="99" t="s">
        <v>161</v>
      </c>
      <c r="B10" s="98">
        <f>SUM(B7:B9)</f>
        <v>0</v>
      </c>
      <c r="C10" s="108">
        <f>SUM(C7:C9)</f>
        <v>679441118</v>
      </c>
    </row>
    <row r="11" spans="1:3" s="22" customFormat="1" x14ac:dyDescent="0.25">
      <c r="A11" s="97"/>
      <c r="B11" s="107"/>
      <c r="C11" s="96"/>
    </row>
    <row r="12" spans="1:3" x14ac:dyDescent="0.25">
      <c r="A12" s="101" t="s">
        <v>108</v>
      </c>
      <c r="B12" s="109">
        <f>+'Fase I Valle del Cauca'!AH37</f>
        <v>198704435</v>
      </c>
      <c r="C12" s="96">
        <f>+'Fase I Valle del Cauca'!AI37</f>
        <v>198704435</v>
      </c>
    </row>
    <row r="13" spans="1:3" x14ac:dyDescent="0.25">
      <c r="A13" s="102" t="s">
        <v>162</v>
      </c>
      <c r="B13" s="110">
        <f>+B12</f>
        <v>198704435</v>
      </c>
      <c r="C13" s="100">
        <f>+C12</f>
        <v>198704435</v>
      </c>
    </row>
    <row r="14" spans="1:3" x14ac:dyDescent="0.25">
      <c r="A14" s="104" t="s">
        <v>163</v>
      </c>
      <c r="B14" s="105">
        <f>+B10+B13</f>
        <v>198704435</v>
      </c>
      <c r="C14" s="105">
        <f>+C10+C13</f>
        <v>878145553</v>
      </c>
    </row>
    <row r="19" spans="1:3" s="24" customFormat="1" x14ac:dyDescent="0.25">
      <c r="A19" s="122" t="s">
        <v>109</v>
      </c>
      <c r="B19" s="119"/>
      <c r="C19" s="123"/>
    </row>
    <row r="20" spans="1:3" s="24" customFormat="1" x14ac:dyDescent="0.25">
      <c r="A20" s="122" t="s">
        <v>110</v>
      </c>
      <c r="B20" s="119"/>
      <c r="C20" s="123"/>
    </row>
    <row r="21" spans="1:3" x14ac:dyDescent="0.25">
      <c r="A21" s="118"/>
      <c r="B21" s="119"/>
      <c r="C21" s="118"/>
    </row>
    <row r="22" spans="1:3" x14ac:dyDescent="0.25">
      <c r="A22" s="118"/>
      <c r="B22" s="119"/>
      <c r="C22" s="118"/>
    </row>
  </sheetData>
  <sheetProtection password="CB42" sheet="1" objects="1" scenarios="1"/>
  <mergeCells count="2">
    <mergeCell ref="A1:C1"/>
    <mergeCell ref="A2:C2"/>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J38"/>
  <sheetViews>
    <sheetView showGridLines="0" topLeftCell="O1" zoomScale="70" zoomScaleNormal="70" workbookViewId="0">
      <selection activeCell="AC7" sqref="AC7"/>
    </sheetView>
  </sheetViews>
  <sheetFormatPr baseColWidth="10" defaultRowHeight="12.75" x14ac:dyDescent="0.2"/>
  <cols>
    <col min="1" max="1" width="6.28515625" style="46" bestFit="1" customWidth="1"/>
    <col min="2" max="2" width="15" style="46" customWidth="1"/>
    <col min="3" max="3" width="17.140625" style="46" customWidth="1"/>
    <col min="4" max="4" width="24.42578125" style="46" customWidth="1"/>
    <col min="5" max="5" width="43.28515625" style="46" customWidth="1"/>
    <col min="6" max="6" width="61.140625" style="46" customWidth="1"/>
    <col min="7" max="7" width="29.42578125" style="46" customWidth="1"/>
    <col min="8" max="8" width="7.28515625" style="46" bestFit="1" customWidth="1"/>
    <col min="9" max="9" width="3.85546875" style="46" bestFit="1" customWidth="1"/>
    <col min="10" max="12" width="3.28515625" style="46" bestFit="1" customWidth="1"/>
    <col min="13" max="13" width="18.5703125" style="46" customWidth="1"/>
    <col min="14" max="14" width="11.42578125" style="46"/>
    <col min="15" max="15" width="13.7109375" style="46" customWidth="1"/>
    <col min="16" max="16" width="17.7109375" style="46" customWidth="1"/>
    <col min="17" max="20" width="11.42578125" style="46"/>
    <col min="21" max="21" width="14.28515625" style="46" customWidth="1"/>
    <col min="22" max="22" width="12.140625" style="46" customWidth="1"/>
    <col min="23" max="23" width="11.7109375" style="46" bestFit="1" customWidth="1"/>
    <col min="24" max="29" width="11.42578125" style="46"/>
    <col min="30" max="30" width="12.28515625" style="46" customWidth="1"/>
    <col min="31" max="33" width="11.42578125" style="46"/>
    <col min="34" max="34" width="17.85546875" style="46" bestFit="1" customWidth="1"/>
    <col min="35" max="35" width="16.85546875" style="47" customWidth="1"/>
    <col min="36" max="36" width="14" style="48" bestFit="1" customWidth="1"/>
    <col min="37" max="16384" width="11.42578125" style="46"/>
  </cols>
  <sheetData>
    <row r="1" spans="1:35" s="48" customFormat="1" x14ac:dyDescent="0.2">
      <c r="A1" s="45" t="s">
        <v>111</v>
      </c>
      <c r="B1" s="46"/>
      <c r="C1" s="46"/>
      <c r="D1" s="46"/>
      <c r="E1" s="46"/>
      <c r="F1" s="46"/>
      <c r="G1" s="46"/>
      <c r="H1" s="46"/>
      <c r="I1" s="46"/>
      <c r="J1" s="46"/>
      <c r="K1" s="46"/>
      <c r="L1" s="46"/>
      <c r="M1" s="46"/>
      <c r="N1" s="46"/>
      <c r="O1" s="46"/>
      <c r="P1" s="46"/>
      <c r="Q1" s="46"/>
      <c r="R1" s="46"/>
      <c r="S1" s="46"/>
      <c r="T1" s="46"/>
      <c r="U1" s="46"/>
      <c r="V1" s="46"/>
      <c r="W1" s="46"/>
      <c r="X1" s="46"/>
      <c r="Y1" s="46"/>
      <c r="Z1" s="46"/>
      <c r="AA1" s="46"/>
      <c r="AB1" s="46"/>
      <c r="AC1" s="46"/>
      <c r="AD1" s="46"/>
      <c r="AE1" s="46"/>
      <c r="AF1" s="46"/>
      <c r="AG1" s="46"/>
      <c r="AH1" s="46"/>
      <c r="AI1" s="47"/>
    </row>
    <row r="2" spans="1:35" s="1" customFormat="1" ht="15" customHeight="1" x14ac:dyDescent="0.25">
      <c r="A2" s="197" t="s">
        <v>0</v>
      </c>
      <c r="B2" s="196" t="s">
        <v>51</v>
      </c>
      <c r="C2" s="196" t="s">
        <v>1</v>
      </c>
      <c r="D2" s="196" t="s">
        <v>52</v>
      </c>
      <c r="E2" s="196" t="s">
        <v>53</v>
      </c>
      <c r="F2" s="196" t="s">
        <v>54</v>
      </c>
      <c r="G2" s="196" t="s">
        <v>2</v>
      </c>
      <c r="H2" s="36" t="s">
        <v>3</v>
      </c>
      <c r="I2" s="196" t="s">
        <v>4</v>
      </c>
      <c r="J2" s="199"/>
      <c r="K2" s="199"/>
      <c r="L2" s="199"/>
      <c r="M2" s="197" t="s">
        <v>5</v>
      </c>
      <c r="N2" s="197" t="s">
        <v>6</v>
      </c>
      <c r="O2" s="197" t="s">
        <v>7</v>
      </c>
      <c r="P2" s="200" t="s">
        <v>8</v>
      </c>
      <c r="Q2" s="201" t="s">
        <v>112</v>
      </c>
      <c r="R2" s="202" t="s">
        <v>9</v>
      </c>
      <c r="S2" s="202" t="s">
        <v>10</v>
      </c>
      <c r="T2" s="202" t="s">
        <v>11</v>
      </c>
      <c r="U2" s="203" t="s">
        <v>12</v>
      </c>
      <c r="V2" s="198" t="s">
        <v>13</v>
      </c>
      <c r="W2" s="216" t="s">
        <v>113</v>
      </c>
      <c r="X2" s="204" t="s">
        <v>14</v>
      </c>
      <c r="Y2" s="204" t="s">
        <v>15</v>
      </c>
      <c r="Z2" s="204" t="s">
        <v>16</v>
      </c>
      <c r="AA2" s="204" t="s">
        <v>17</v>
      </c>
      <c r="AB2" s="204" t="s">
        <v>18</v>
      </c>
      <c r="AC2" s="204" t="s">
        <v>19</v>
      </c>
      <c r="AD2" s="204" t="s">
        <v>20</v>
      </c>
      <c r="AE2" s="204" t="s">
        <v>21</v>
      </c>
      <c r="AF2" s="204" t="s">
        <v>22</v>
      </c>
      <c r="AG2" s="214" t="s">
        <v>23</v>
      </c>
      <c r="AH2" s="215" t="s">
        <v>24</v>
      </c>
      <c r="AI2" s="211" t="s">
        <v>98</v>
      </c>
    </row>
    <row r="3" spans="1:35" s="1" customFormat="1" ht="87.75" customHeight="1" x14ac:dyDescent="0.25">
      <c r="A3" s="197"/>
      <c r="B3" s="196"/>
      <c r="C3" s="196" t="s">
        <v>25</v>
      </c>
      <c r="D3" s="196" t="s">
        <v>26</v>
      </c>
      <c r="E3" s="196"/>
      <c r="F3" s="196"/>
      <c r="G3" s="196"/>
      <c r="H3" s="2" t="s">
        <v>30</v>
      </c>
      <c r="I3" s="2" t="s">
        <v>27</v>
      </c>
      <c r="J3" s="2" t="s">
        <v>28</v>
      </c>
      <c r="K3" s="2" t="s">
        <v>29</v>
      </c>
      <c r="L3" s="2" t="s">
        <v>30</v>
      </c>
      <c r="M3" s="197"/>
      <c r="N3" s="197"/>
      <c r="O3" s="197"/>
      <c r="P3" s="200"/>
      <c r="Q3" s="201"/>
      <c r="R3" s="202"/>
      <c r="S3" s="202"/>
      <c r="T3" s="202"/>
      <c r="U3" s="203"/>
      <c r="V3" s="198"/>
      <c r="W3" s="216"/>
      <c r="X3" s="204"/>
      <c r="Y3" s="204"/>
      <c r="Z3" s="204"/>
      <c r="AA3" s="204"/>
      <c r="AB3" s="204"/>
      <c r="AC3" s="204"/>
      <c r="AD3" s="204"/>
      <c r="AE3" s="204"/>
      <c r="AF3" s="204"/>
      <c r="AG3" s="214"/>
      <c r="AH3" s="215"/>
      <c r="AI3" s="212"/>
    </row>
    <row r="4" spans="1:35" s="11" customFormat="1" x14ac:dyDescent="0.2">
      <c r="A4" s="49" t="s">
        <v>55</v>
      </c>
      <c r="B4" s="25"/>
      <c r="C4" s="26"/>
      <c r="D4" s="26"/>
      <c r="E4" s="26"/>
      <c r="F4" s="26"/>
      <c r="G4" s="26"/>
      <c r="H4" s="27"/>
      <c r="I4" s="27"/>
      <c r="J4" s="27"/>
      <c r="K4" s="27"/>
      <c r="L4" s="27"/>
      <c r="M4" s="25"/>
      <c r="N4" s="25"/>
      <c r="O4" s="25"/>
      <c r="P4" s="25"/>
      <c r="Q4" s="28"/>
      <c r="R4" s="29"/>
      <c r="S4" s="29"/>
      <c r="T4" s="29"/>
      <c r="U4" s="30"/>
      <c r="V4" s="25"/>
      <c r="W4" s="28"/>
      <c r="X4" s="29"/>
      <c r="Y4" s="29"/>
      <c r="Z4" s="29"/>
      <c r="AA4" s="29"/>
      <c r="AB4" s="29"/>
      <c r="AC4" s="29"/>
      <c r="AD4" s="29"/>
      <c r="AE4" s="29"/>
      <c r="AF4" s="29"/>
      <c r="AG4" s="30"/>
      <c r="AH4" s="31">
        <f>SUM(AH5:AH10)</f>
        <v>0</v>
      </c>
      <c r="AI4" s="32">
        <v>475608787</v>
      </c>
    </row>
    <row r="5" spans="1:35" s="11" customFormat="1" ht="15" customHeight="1" x14ac:dyDescent="0.25">
      <c r="A5" s="50">
        <v>7</v>
      </c>
      <c r="B5" s="50">
        <v>1</v>
      </c>
      <c r="C5" s="213" t="s">
        <v>38</v>
      </c>
      <c r="D5" s="193" t="s">
        <v>32</v>
      </c>
      <c r="E5" s="205" t="s">
        <v>114</v>
      </c>
      <c r="F5" s="205" t="s">
        <v>115</v>
      </c>
      <c r="G5" s="43" t="s">
        <v>116</v>
      </c>
      <c r="H5" s="44"/>
      <c r="I5" s="44"/>
      <c r="J5" s="44"/>
      <c r="K5" s="44"/>
      <c r="L5" s="44"/>
      <c r="M5" s="4" t="s">
        <v>34</v>
      </c>
      <c r="N5" s="4" t="s">
        <v>35</v>
      </c>
      <c r="O5" s="4" t="s">
        <v>39</v>
      </c>
      <c r="P5" s="6" t="s">
        <v>117</v>
      </c>
      <c r="Q5" s="78"/>
      <c r="R5" s="79"/>
      <c r="S5" s="8">
        <f>+R5*Q5</f>
        <v>0</v>
      </c>
      <c r="T5" s="7">
        <f>+R5</f>
        <v>0</v>
      </c>
      <c r="U5" s="9">
        <f>S5</f>
        <v>0</v>
      </c>
      <c r="V5" s="6" t="s">
        <v>117</v>
      </c>
      <c r="W5" s="10"/>
      <c r="X5" s="7"/>
      <c r="Y5" s="7">
        <f t="shared" ref="Y5:Y10" si="0">+W5*X5</f>
        <v>0</v>
      </c>
      <c r="Z5" s="7"/>
      <c r="AA5" s="7">
        <f t="shared" ref="AA5:AA10" si="1">+Z5*W5</f>
        <v>0</v>
      </c>
      <c r="AB5" s="7"/>
      <c r="AC5" s="7">
        <f t="shared" ref="AC5:AC10" si="2">+AB5*W5</f>
        <v>0</v>
      </c>
      <c r="AD5" s="7"/>
      <c r="AE5" s="7">
        <f t="shared" ref="AE5:AE10" si="3">+AD5*W5</f>
        <v>0</v>
      </c>
      <c r="AF5" s="7">
        <f t="shared" ref="AF5:AG10" si="4">+X5+Z5+AB5+AD5</f>
        <v>0</v>
      </c>
      <c r="AG5" s="7">
        <f>+Y5+AA5+AC5+AE5</f>
        <v>0</v>
      </c>
      <c r="AH5" s="35">
        <f>+U5+AG5</f>
        <v>0</v>
      </c>
      <c r="AI5" s="56"/>
    </row>
    <row r="6" spans="1:35" s="11" customFormat="1" ht="31.5" customHeight="1" x14ac:dyDescent="0.25">
      <c r="A6" s="50">
        <v>7</v>
      </c>
      <c r="B6" s="50">
        <v>1</v>
      </c>
      <c r="C6" s="213"/>
      <c r="D6" s="194"/>
      <c r="E6" s="206"/>
      <c r="F6" s="206"/>
      <c r="G6" s="43" t="s">
        <v>118</v>
      </c>
      <c r="H6" s="44"/>
      <c r="I6" s="44"/>
      <c r="J6" s="44"/>
      <c r="K6" s="44"/>
      <c r="L6" s="44"/>
      <c r="M6" s="4" t="s">
        <v>34</v>
      </c>
      <c r="N6" s="4" t="s">
        <v>35</v>
      </c>
      <c r="O6" s="4" t="s">
        <v>39</v>
      </c>
      <c r="P6" s="6" t="s">
        <v>117</v>
      </c>
      <c r="Q6" s="78"/>
      <c r="R6" s="79"/>
      <c r="S6" s="8">
        <f>+R6*Q6</f>
        <v>0</v>
      </c>
      <c r="T6" s="7">
        <f>+R6</f>
        <v>0</v>
      </c>
      <c r="U6" s="9">
        <f>S6</f>
        <v>0</v>
      </c>
      <c r="V6" s="6" t="s">
        <v>117</v>
      </c>
      <c r="W6" s="10"/>
      <c r="X6" s="7"/>
      <c r="Y6" s="7">
        <f t="shared" si="0"/>
        <v>0</v>
      </c>
      <c r="Z6" s="7"/>
      <c r="AA6" s="7">
        <f t="shared" si="1"/>
        <v>0</v>
      </c>
      <c r="AB6" s="7"/>
      <c r="AC6" s="7">
        <f t="shared" si="2"/>
        <v>0</v>
      </c>
      <c r="AD6" s="7"/>
      <c r="AE6" s="7">
        <f t="shared" si="3"/>
        <v>0</v>
      </c>
      <c r="AF6" s="7">
        <f t="shared" si="4"/>
        <v>0</v>
      </c>
      <c r="AG6" s="7">
        <f>+Y6+AA6+AC6+AE6</f>
        <v>0</v>
      </c>
      <c r="AH6" s="35">
        <f>+U6+AG6</f>
        <v>0</v>
      </c>
      <c r="AI6" s="56"/>
    </row>
    <row r="7" spans="1:35" s="59" customFormat="1" ht="38.25" x14ac:dyDescent="0.25">
      <c r="A7" s="50">
        <v>7</v>
      </c>
      <c r="B7" s="50">
        <v>1</v>
      </c>
      <c r="C7" s="213"/>
      <c r="D7" s="194"/>
      <c r="E7" s="206"/>
      <c r="F7" s="207"/>
      <c r="G7" s="3" t="s">
        <v>119</v>
      </c>
      <c r="H7" s="5"/>
      <c r="I7" s="5"/>
      <c r="J7" s="5"/>
      <c r="K7" s="5"/>
      <c r="L7" s="5"/>
      <c r="M7" s="4" t="s">
        <v>34</v>
      </c>
      <c r="N7" s="4" t="s">
        <v>35</v>
      </c>
      <c r="O7" s="4" t="s">
        <v>39</v>
      </c>
      <c r="P7" s="6" t="s">
        <v>117</v>
      </c>
      <c r="Q7" s="78"/>
      <c r="R7" s="79"/>
      <c r="S7" s="8">
        <f t="shared" ref="S7:S10" si="5">+R7*Q7</f>
        <v>0</v>
      </c>
      <c r="T7" s="7">
        <f t="shared" ref="T7:T10" si="6">+R7</f>
        <v>0</v>
      </c>
      <c r="U7" s="9">
        <f t="shared" ref="U7:U10" si="7">S7</f>
        <v>0</v>
      </c>
      <c r="V7" s="6" t="s">
        <v>117</v>
      </c>
      <c r="W7" s="10"/>
      <c r="X7" s="7"/>
      <c r="Y7" s="7">
        <f t="shared" si="0"/>
        <v>0</v>
      </c>
      <c r="Z7" s="7"/>
      <c r="AA7" s="7">
        <f t="shared" si="1"/>
        <v>0</v>
      </c>
      <c r="AB7" s="7"/>
      <c r="AC7" s="7">
        <f t="shared" si="2"/>
        <v>0</v>
      </c>
      <c r="AD7" s="7"/>
      <c r="AE7" s="7">
        <f t="shared" si="3"/>
        <v>0</v>
      </c>
      <c r="AF7" s="7">
        <f t="shared" si="4"/>
        <v>0</v>
      </c>
      <c r="AG7" s="7">
        <f t="shared" si="4"/>
        <v>0</v>
      </c>
      <c r="AH7" s="35">
        <f>+U7+AG7</f>
        <v>0</v>
      </c>
      <c r="AI7" s="56"/>
    </row>
    <row r="8" spans="1:35" s="59" customFormat="1" ht="38.25" customHeight="1" x14ac:dyDescent="0.25">
      <c r="A8" s="60">
        <v>11</v>
      </c>
      <c r="B8" s="60">
        <v>1</v>
      </c>
      <c r="C8" s="61" t="s">
        <v>38</v>
      </c>
      <c r="D8" s="194"/>
      <c r="E8" s="206"/>
      <c r="F8" s="205" t="s">
        <v>120</v>
      </c>
      <c r="G8" s="3" t="s">
        <v>64</v>
      </c>
      <c r="H8" s="5"/>
      <c r="I8" s="5"/>
      <c r="J8" s="5"/>
      <c r="K8" s="5"/>
      <c r="L8" s="5"/>
      <c r="M8" s="4" t="s">
        <v>34</v>
      </c>
      <c r="N8" s="4" t="s">
        <v>35</v>
      </c>
      <c r="O8" s="4" t="s">
        <v>39</v>
      </c>
      <c r="P8" s="6" t="s">
        <v>117</v>
      </c>
      <c r="Q8" s="78"/>
      <c r="R8" s="79"/>
      <c r="S8" s="8">
        <f t="shared" si="5"/>
        <v>0</v>
      </c>
      <c r="T8" s="7">
        <f t="shared" si="6"/>
        <v>0</v>
      </c>
      <c r="U8" s="9">
        <f t="shared" si="7"/>
        <v>0</v>
      </c>
      <c r="V8" s="6" t="s">
        <v>117</v>
      </c>
      <c r="W8" s="10"/>
      <c r="X8" s="7"/>
      <c r="Y8" s="7">
        <f t="shared" si="0"/>
        <v>0</v>
      </c>
      <c r="Z8" s="7"/>
      <c r="AA8" s="7">
        <f t="shared" si="1"/>
        <v>0</v>
      </c>
      <c r="AB8" s="7"/>
      <c r="AC8" s="7">
        <f t="shared" si="2"/>
        <v>0</v>
      </c>
      <c r="AD8" s="7"/>
      <c r="AE8" s="7">
        <f t="shared" si="3"/>
        <v>0</v>
      </c>
      <c r="AF8" s="7">
        <f t="shared" si="4"/>
        <v>0</v>
      </c>
      <c r="AG8" s="7">
        <f t="shared" si="4"/>
        <v>0</v>
      </c>
      <c r="AH8" s="35">
        <f>+U8+AG8</f>
        <v>0</v>
      </c>
      <c r="AI8" s="56"/>
    </row>
    <row r="9" spans="1:35" s="59" customFormat="1" ht="38.25" x14ac:dyDescent="0.25">
      <c r="A9" s="60">
        <v>11</v>
      </c>
      <c r="B9" s="60">
        <v>1</v>
      </c>
      <c r="C9" s="61" t="s">
        <v>38</v>
      </c>
      <c r="D9" s="194"/>
      <c r="E9" s="206"/>
      <c r="F9" s="206"/>
      <c r="G9" s="3" t="s">
        <v>121</v>
      </c>
      <c r="H9" s="5"/>
      <c r="I9" s="5"/>
      <c r="J9" s="5"/>
      <c r="K9" s="5"/>
      <c r="L9" s="5"/>
      <c r="M9" s="4" t="s">
        <v>34</v>
      </c>
      <c r="N9" s="4" t="s">
        <v>35</v>
      </c>
      <c r="O9" s="4" t="s">
        <v>39</v>
      </c>
      <c r="P9" s="6" t="s">
        <v>117</v>
      </c>
      <c r="Q9" s="78"/>
      <c r="R9" s="79"/>
      <c r="S9" s="8">
        <f t="shared" si="5"/>
        <v>0</v>
      </c>
      <c r="T9" s="7">
        <f t="shared" si="6"/>
        <v>0</v>
      </c>
      <c r="U9" s="9">
        <f t="shared" si="7"/>
        <v>0</v>
      </c>
      <c r="V9" s="6" t="s">
        <v>117</v>
      </c>
      <c r="W9" s="10"/>
      <c r="X9" s="7"/>
      <c r="Y9" s="7">
        <f t="shared" si="0"/>
        <v>0</v>
      </c>
      <c r="Z9" s="7"/>
      <c r="AA9" s="7">
        <f t="shared" si="1"/>
        <v>0</v>
      </c>
      <c r="AB9" s="7"/>
      <c r="AC9" s="7">
        <f t="shared" si="2"/>
        <v>0</v>
      </c>
      <c r="AD9" s="7"/>
      <c r="AE9" s="7">
        <f t="shared" si="3"/>
        <v>0</v>
      </c>
      <c r="AF9" s="7">
        <f t="shared" si="4"/>
        <v>0</v>
      </c>
      <c r="AG9" s="7">
        <f t="shared" si="4"/>
        <v>0</v>
      </c>
      <c r="AH9" s="35">
        <f t="shared" ref="AH9:AH10" si="8">+U9+AG9</f>
        <v>0</v>
      </c>
      <c r="AI9" s="56"/>
    </row>
    <row r="10" spans="1:35" s="59" customFormat="1" ht="38.25" x14ac:dyDescent="0.25">
      <c r="A10" s="60">
        <v>11</v>
      </c>
      <c r="B10" s="60">
        <v>1</v>
      </c>
      <c r="C10" s="61" t="s">
        <v>38</v>
      </c>
      <c r="D10" s="195"/>
      <c r="E10" s="207"/>
      <c r="F10" s="207"/>
      <c r="G10" s="3" t="s">
        <v>66</v>
      </c>
      <c r="H10" s="5"/>
      <c r="I10" s="5"/>
      <c r="J10" s="5"/>
      <c r="K10" s="5"/>
      <c r="L10" s="5"/>
      <c r="M10" s="4" t="s">
        <v>34</v>
      </c>
      <c r="N10" s="4" t="s">
        <v>35</v>
      </c>
      <c r="O10" s="4" t="s">
        <v>39</v>
      </c>
      <c r="P10" s="6" t="s">
        <v>117</v>
      </c>
      <c r="Q10" s="78"/>
      <c r="R10" s="79"/>
      <c r="S10" s="8">
        <f t="shared" si="5"/>
        <v>0</v>
      </c>
      <c r="T10" s="7">
        <f t="shared" si="6"/>
        <v>0</v>
      </c>
      <c r="U10" s="9">
        <f t="shared" si="7"/>
        <v>0</v>
      </c>
      <c r="V10" s="6" t="s">
        <v>117</v>
      </c>
      <c r="W10" s="10"/>
      <c r="X10" s="7"/>
      <c r="Y10" s="7">
        <f t="shared" si="0"/>
        <v>0</v>
      </c>
      <c r="Z10" s="7"/>
      <c r="AA10" s="7">
        <f t="shared" si="1"/>
        <v>0</v>
      </c>
      <c r="AB10" s="7"/>
      <c r="AC10" s="7">
        <f t="shared" si="2"/>
        <v>0</v>
      </c>
      <c r="AD10" s="7"/>
      <c r="AE10" s="7">
        <f t="shared" si="3"/>
        <v>0</v>
      </c>
      <c r="AF10" s="7">
        <f t="shared" si="4"/>
        <v>0</v>
      </c>
      <c r="AG10" s="7">
        <f t="shared" si="4"/>
        <v>0</v>
      </c>
      <c r="AH10" s="35">
        <f t="shared" si="8"/>
        <v>0</v>
      </c>
      <c r="AI10" s="56"/>
    </row>
    <row r="11" spans="1:35" s="11" customFormat="1" x14ac:dyDescent="0.2">
      <c r="A11" s="62" t="s">
        <v>56</v>
      </c>
      <c r="B11" s="25"/>
      <c r="C11" s="26"/>
      <c r="D11" s="26"/>
      <c r="E11" s="26"/>
      <c r="F11" s="26"/>
      <c r="G11" s="38"/>
      <c r="H11" s="39"/>
      <c r="I11" s="39"/>
      <c r="J11" s="39"/>
      <c r="K11" s="39"/>
      <c r="L11" s="39"/>
      <c r="M11" s="37"/>
      <c r="N11" s="37"/>
      <c r="O11" s="37"/>
      <c r="P11" s="37"/>
      <c r="Q11" s="40"/>
      <c r="R11" s="41"/>
      <c r="S11" s="41"/>
      <c r="T11" s="41"/>
      <c r="U11" s="42"/>
      <c r="V11" s="37"/>
      <c r="W11" s="40"/>
      <c r="X11" s="41"/>
      <c r="Y11" s="41"/>
      <c r="Z11" s="41"/>
      <c r="AA11" s="41"/>
      <c r="AB11" s="41"/>
      <c r="AC11" s="41"/>
      <c r="AD11" s="41"/>
      <c r="AE11" s="41"/>
      <c r="AF11" s="41"/>
      <c r="AG11" s="42"/>
      <c r="AH11" s="31">
        <f>SUM(AH12:AH25)</f>
        <v>0</v>
      </c>
      <c r="AI11" s="32">
        <v>142682633</v>
      </c>
    </row>
    <row r="12" spans="1:35" s="11" customFormat="1" ht="38.25" x14ac:dyDescent="0.25">
      <c r="A12" s="190">
        <v>13</v>
      </c>
      <c r="B12" s="190">
        <v>1</v>
      </c>
      <c r="C12" s="193" t="s">
        <v>38</v>
      </c>
      <c r="D12" s="193" t="s">
        <v>32</v>
      </c>
      <c r="E12" s="205" t="s">
        <v>122</v>
      </c>
      <c r="F12" s="208" t="s">
        <v>123</v>
      </c>
      <c r="G12" s="43" t="s">
        <v>172</v>
      </c>
      <c r="H12" s="5"/>
      <c r="I12" s="5"/>
      <c r="J12" s="5"/>
      <c r="K12" s="5"/>
      <c r="L12" s="5"/>
      <c r="M12" s="4" t="s">
        <v>34</v>
      </c>
      <c r="N12" s="4" t="s">
        <v>35</v>
      </c>
      <c r="O12" s="4" t="s">
        <v>41</v>
      </c>
      <c r="P12" s="6" t="s">
        <v>124</v>
      </c>
      <c r="Q12" s="152"/>
      <c r="R12" s="152"/>
      <c r="S12" s="137">
        <f>+SUM(S13:S17)</f>
        <v>0</v>
      </c>
      <c r="T12" s="137">
        <f>+SUM(T13:T17)</f>
        <v>0</v>
      </c>
      <c r="U12" s="137">
        <f>+SUM(U13:U17)</f>
        <v>0</v>
      </c>
      <c r="V12" s="138" t="s">
        <v>124</v>
      </c>
      <c r="W12" s="139"/>
      <c r="X12" s="137">
        <f>+SUM(X13:X17)</f>
        <v>0</v>
      </c>
      <c r="Y12" s="137">
        <f>+SUM(Y13:Y17)</f>
        <v>0</v>
      </c>
      <c r="Z12" s="137">
        <f>+SUM(Z13:Z17)</f>
        <v>0</v>
      </c>
      <c r="AA12" s="137">
        <f>+SUM(AA13:AA17)</f>
        <v>0</v>
      </c>
      <c r="AB12" s="137">
        <f t="shared" ref="AB12:AG12" si="9">+SUM(AB13:AB17)</f>
        <v>0</v>
      </c>
      <c r="AC12" s="137">
        <f t="shared" si="9"/>
        <v>0</v>
      </c>
      <c r="AD12" s="137">
        <f t="shared" si="9"/>
        <v>0</v>
      </c>
      <c r="AE12" s="137">
        <f t="shared" si="9"/>
        <v>0</v>
      </c>
      <c r="AF12" s="137">
        <f t="shared" si="9"/>
        <v>0</v>
      </c>
      <c r="AG12" s="137">
        <f t="shared" si="9"/>
        <v>0</v>
      </c>
      <c r="AH12" s="153">
        <f t="shared" ref="AH12:AH25" si="10">+U12+AG12</f>
        <v>0</v>
      </c>
      <c r="AI12" s="154"/>
    </row>
    <row r="13" spans="1:35" s="11" customFormat="1" x14ac:dyDescent="0.25">
      <c r="A13" s="191"/>
      <c r="B13" s="191"/>
      <c r="C13" s="194"/>
      <c r="D13" s="194"/>
      <c r="E13" s="206"/>
      <c r="F13" s="209"/>
      <c r="G13" s="131" t="s">
        <v>175</v>
      </c>
      <c r="H13" s="5"/>
      <c r="I13" s="5"/>
      <c r="J13" s="5"/>
      <c r="K13" s="5"/>
      <c r="L13" s="5"/>
      <c r="M13" s="4"/>
      <c r="N13" s="4"/>
      <c r="O13" s="4"/>
      <c r="P13" s="6"/>
      <c r="Q13" s="148"/>
      <c r="R13" s="148"/>
      <c r="S13" s="137">
        <f>+Q13*R13</f>
        <v>0</v>
      </c>
      <c r="T13" s="137">
        <f>+R13</f>
        <v>0</v>
      </c>
      <c r="U13" s="137">
        <f t="shared" ref="U13:U25" si="11">S13</f>
        <v>0</v>
      </c>
      <c r="V13" s="138"/>
      <c r="W13" s="139"/>
      <c r="X13" s="139"/>
      <c r="Y13" s="137">
        <f>+W13*X13</f>
        <v>0</v>
      </c>
      <c r="Z13" s="137"/>
      <c r="AA13" s="137">
        <f t="shared" ref="AA13:AA17" si="12">+$W13*Z13</f>
        <v>0</v>
      </c>
      <c r="AB13" s="137"/>
      <c r="AC13" s="137">
        <f>+$W13*AB13</f>
        <v>0</v>
      </c>
      <c r="AD13" s="137"/>
      <c r="AE13" s="137">
        <f t="shared" ref="AC13:AE23" si="13">+$W13*AD13</f>
        <v>0</v>
      </c>
      <c r="AF13" s="137"/>
      <c r="AG13" s="137">
        <f t="shared" ref="AF13:AG25" si="14">+Y13+AA13+AC13+AE13</f>
        <v>0</v>
      </c>
      <c r="AH13" s="153"/>
      <c r="AI13" s="154"/>
    </row>
    <row r="14" spans="1:35" s="11" customFormat="1" x14ac:dyDescent="0.25">
      <c r="A14" s="191"/>
      <c r="B14" s="191"/>
      <c r="C14" s="194"/>
      <c r="D14" s="194"/>
      <c r="E14" s="206"/>
      <c r="F14" s="209"/>
      <c r="G14" s="131" t="s">
        <v>176</v>
      </c>
      <c r="H14" s="5"/>
      <c r="I14" s="5"/>
      <c r="J14" s="5"/>
      <c r="K14" s="5"/>
      <c r="L14" s="5"/>
      <c r="M14" s="4"/>
      <c r="N14" s="4"/>
      <c r="O14" s="4"/>
      <c r="P14" s="6"/>
      <c r="Q14" s="148"/>
      <c r="R14" s="148"/>
      <c r="S14" s="137">
        <f t="shared" ref="S14:S23" si="15">+Q14*R14</f>
        <v>0</v>
      </c>
      <c r="T14" s="137">
        <f t="shared" ref="T14:T23" si="16">+R14</f>
        <v>0</v>
      </c>
      <c r="U14" s="137">
        <f t="shared" si="11"/>
        <v>0</v>
      </c>
      <c r="V14" s="138"/>
      <c r="W14" s="139"/>
      <c r="X14" s="139"/>
      <c r="Y14" s="137">
        <f t="shared" ref="Y14:Y23" si="17">+W14*X14</f>
        <v>0</v>
      </c>
      <c r="Z14" s="137"/>
      <c r="AA14" s="137">
        <f t="shared" si="12"/>
        <v>0</v>
      </c>
      <c r="AB14" s="137"/>
      <c r="AC14" s="137">
        <f t="shared" si="13"/>
        <v>0</v>
      </c>
      <c r="AD14" s="137"/>
      <c r="AE14" s="137">
        <f t="shared" si="13"/>
        <v>0</v>
      </c>
      <c r="AF14" s="137"/>
      <c r="AG14" s="137">
        <f t="shared" si="14"/>
        <v>0</v>
      </c>
      <c r="AH14" s="153"/>
      <c r="AI14" s="154"/>
    </row>
    <row r="15" spans="1:35" s="11" customFormat="1" x14ac:dyDescent="0.25">
      <c r="A15" s="191"/>
      <c r="B15" s="191"/>
      <c r="C15" s="194"/>
      <c r="D15" s="194"/>
      <c r="E15" s="206"/>
      <c r="F15" s="209"/>
      <c r="G15" s="131" t="s">
        <v>177</v>
      </c>
      <c r="H15" s="5"/>
      <c r="I15" s="5"/>
      <c r="J15" s="5"/>
      <c r="K15" s="5"/>
      <c r="L15" s="5"/>
      <c r="M15" s="4"/>
      <c r="N15" s="4"/>
      <c r="O15" s="4"/>
      <c r="P15" s="6"/>
      <c r="Q15" s="148"/>
      <c r="R15" s="148"/>
      <c r="S15" s="137">
        <f t="shared" si="15"/>
        <v>0</v>
      </c>
      <c r="T15" s="137">
        <f t="shared" si="16"/>
        <v>0</v>
      </c>
      <c r="U15" s="137">
        <f t="shared" si="11"/>
        <v>0</v>
      </c>
      <c r="V15" s="138"/>
      <c r="W15" s="139"/>
      <c r="X15" s="139"/>
      <c r="Y15" s="137">
        <f t="shared" si="17"/>
        <v>0</v>
      </c>
      <c r="Z15" s="137"/>
      <c r="AA15" s="137">
        <f t="shared" si="12"/>
        <v>0</v>
      </c>
      <c r="AB15" s="137"/>
      <c r="AC15" s="137">
        <f t="shared" si="13"/>
        <v>0</v>
      </c>
      <c r="AD15" s="137"/>
      <c r="AE15" s="137">
        <f t="shared" ref="AE15" si="18">+$W15*AD15</f>
        <v>0</v>
      </c>
      <c r="AF15" s="137"/>
      <c r="AG15" s="137">
        <f t="shared" si="14"/>
        <v>0</v>
      </c>
      <c r="AH15" s="153"/>
      <c r="AI15" s="154"/>
    </row>
    <row r="16" spans="1:35" s="11" customFormat="1" x14ac:dyDescent="0.25">
      <c r="A16" s="191"/>
      <c r="B16" s="191"/>
      <c r="C16" s="194"/>
      <c r="D16" s="194"/>
      <c r="E16" s="206"/>
      <c r="F16" s="209"/>
      <c r="G16" s="131" t="s">
        <v>178</v>
      </c>
      <c r="H16" s="5"/>
      <c r="I16" s="5"/>
      <c r="J16" s="5"/>
      <c r="K16" s="5"/>
      <c r="L16" s="5"/>
      <c r="M16" s="4"/>
      <c r="N16" s="4"/>
      <c r="O16" s="4"/>
      <c r="P16" s="6"/>
      <c r="Q16" s="148"/>
      <c r="R16" s="148"/>
      <c r="S16" s="137">
        <f t="shared" si="15"/>
        <v>0</v>
      </c>
      <c r="T16" s="137">
        <f t="shared" si="16"/>
        <v>0</v>
      </c>
      <c r="U16" s="137">
        <f t="shared" si="11"/>
        <v>0</v>
      </c>
      <c r="V16" s="138"/>
      <c r="W16" s="139"/>
      <c r="X16" s="139"/>
      <c r="Y16" s="137">
        <f t="shared" si="17"/>
        <v>0</v>
      </c>
      <c r="Z16" s="137"/>
      <c r="AA16" s="137">
        <f t="shared" si="12"/>
        <v>0</v>
      </c>
      <c r="AB16" s="137"/>
      <c r="AC16" s="137">
        <f t="shared" si="13"/>
        <v>0</v>
      </c>
      <c r="AD16" s="137"/>
      <c r="AE16" s="137">
        <f t="shared" ref="AE16" si="19">+$W16*AD16</f>
        <v>0</v>
      </c>
      <c r="AF16" s="137"/>
      <c r="AG16" s="137">
        <f t="shared" si="14"/>
        <v>0</v>
      </c>
      <c r="AH16" s="153"/>
      <c r="AI16" s="154"/>
    </row>
    <row r="17" spans="1:36" s="11" customFormat="1" x14ac:dyDescent="0.25">
      <c r="A17" s="192"/>
      <c r="B17" s="192"/>
      <c r="C17" s="195"/>
      <c r="D17" s="194"/>
      <c r="E17" s="206"/>
      <c r="F17" s="209"/>
      <c r="G17" s="131" t="s">
        <v>179</v>
      </c>
      <c r="H17" s="5"/>
      <c r="I17" s="5"/>
      <c r="J17" s="5"/>
      <c r="K17" s="5"/>
      <c r="L17" s="5"/>
      <c r="M17" s="4"/>
      <c r="N17" s="4"/>
      <c r="O17" s="4"/>
      <c r="P17" s="6"/>
      <c r="Q17" s="148"/>
      <c r="R17" s="148"/>
      <c r="S17" s="137">
        <f t="shared" si="15"/>
        <v>0</v>
      </c>
      <c r="T17" s="137">
        <f t="shared" si="16"/>
        <v>0</v>
      </c>
      <c r="U17" s="137">
        <f t="shared" si="11"/>
        <v>0</v>
      </c>
      <c r="V17" s="138"/>
      <c r="W17" s="139"/>
      <c r="X17" s="139"/>
      <c r="Y17" s="137">
        <f t="shared" si="17"/>
        <v>0</v>
      </c>
      <c r="Z17" s="137"/>
      <c r="AA17" s="137">
        <f t="shared" si="12"/>
        <v>0</v>
      </c>
      <c r="AB17" s="137"/>
      <c r="AC17" s="137">
        <f t="shared" si="13"/>
        <v>0</v>
      </c>
      <c r="AD17" s="137"/>
      <c r="AE17" s="137">
        <f t="shared" ref="AE17:AE23" si="20">+$W17*AD17</f>
        <v>0</v>
      </c>
      <c r="AF17" s="137"/>
      <c r="AG17" s="137">
        <f t="shared" si="14"/>
        <v>0</v>
      </c>
      <c r="AH17" s="153"/>
      <c r="AI17" s="154"/>
    </row>
    <row r="18" spans="1:36" s="11" customFormat="1" ht="38.25" x14ac:dyDescent="0.25">
      <c r="A18" s="190">
        <v>13</v>
      </c>
      <c r="B18" s="190">
        <v>1</v>
      </c>
      <c r="C18" s="193" t="s">
        <v>38</v>
      </c>
      <c r="D18" s="194"/>
      <c r="E18" s="206"/>
      <c r="F18" s="209"/>
      <c r="G18" s="43" t="s">
        <v>180</v>
      </c>
      <c r="H18" s="5"/>
      <c r="I18" s="5"/>
      <c r="J18" s="5"/>
      <c r="K18" s="5"/>
      <c r="L18" s="5"/>
      <c r="M18" s="4" t="s">
        <v>34</v>
      </c>
      <c r="N18" s="4" t="s">
        <v>35</v>
      </c>
      <c r="O18" s="4" t="s">
        <v>41</v>
      </c>
      <c r="P18" s="6" t="s">
        <v>125</v>
      </c>
      <c r="Q18" s="152"/>
      <c r="R18" s="152"/>
      <c r="S18" s="137">
        <f>+SUM(S19:S23)</f>
        <v>0</v>
      </c>
      <c r="T18" s="137">
        <f>+SUM(T19:T23)</f>
        <v>0</v>
      </c>
      <c r="U18" s="137">
        <f>+SUM(U19:U23)</f>
        <v>0</v>
      </c>
      <c r="V18" s="138" t="s">
        <v>125</v>
      </c>
      <c r="W18" s="139"/>
      <c r="X18" s="137">
        <f>+SUM(X19:X23)</f>
        <v>0</v>
      </c>
      <c r="Y18" s="137">
        <f>+SUM(Y19:Y23)</f>
        <v>0</v>
      </c>
      <c r="Z18" s="137">
        <f>+SUM(Z19:Z23)</f>
        <v>0</v>
      </c>
      <c r="AA18" s="137">
        <f>+SUM(AA19:AA23)</f>
        <v>0</v>
      </c>
      <c r="AB18" s="137">
        <f t="shared" ref="AB18:AG18" si="21">+SUM(AB19:AB23)</f>
        <v>0</v>
      </c>
      <c r="AC18" s="137">
        <f t="shared" si="21"/>
        <v>0</v>
      </c>
      <c r="AD18" s="137">
        <f t="shared" si="21"/>
        <v>0</v>
      </c>
      <c r="AE18" s="137">
        <f t="shared" si="21"/>
        <v>0</v>
      </c>
      <c r="AF18" s="137">
        <f t="shared" si="21"/>
        <v>0</v>
      </c>
      <c r="AG18" s="137">
        <f t="shared" si="21"/>
        <v>0</v>
      </c>
      <c r="AH18" s="153">
        <f t="shared" si="10"/>
        <v>0</v>
      </c>
      <c r="AI18" s="154"/>
    </row>
    <row r="19" spans="1:36" s="11" customFormat="1" x14ac:dyDescent="0.25">
      <c r="A19" s="191"/>
      <c r="B19" s="191"/>
      <c r="C19" s="194"/>
      <c r="D19" s="194"/>
      <c r="E19" s="206"/>
      <c r="F19" s="209"/>
      <c r="G19" s="131" t="s">
        <v>175</v>
      </c>
      <c r="H19" s="5"/>
      <c r="I19" s="5"/>
      <c r="J19" s="5"/>
      <c r="K19" s="5"/>
      <c r="L19" s="5"/>
      <c r="M19" s="4"/>
      <c r="N19" s="4"/>
      <c r="O19" s="4"/>
      <c r="P19" s="6"/>
      <c r="Q19" s="148"/>
      <c r="R19" s="148"/>
      <c r="S19" s="137">
        <f t="shared" si="15"/>
        <v>0</v>
      </c>
      <c r="T19" s="137">
        <f t="shared" si="16"/>
        <v>0</v>
      </c>
      <c r="U19" s="137">
        <f t="shared" si="11"/>
        <v>0</v>
      </c>
      <c r="V19" s="138"/>
      <c r="W19" s="139"/>
      <c r="X19" s="139"/>
      <c r="Y19" s="137">
        <f t="shared" si="17"/>
        <v>0</v>
      </c>
      <c r="Z19" s="137"/>
      <c r="AA19" s="137">
        <f>+$W19*Z19</f>
        <v>0</v>
      </c>
      <c r="AB19" s="137"/>
      <c r="AC19" s="137">
        <f t="shared" si="13"/>
        <v>0</v>
      </c>
      <c r="AD19" s="137"/>
      <c r="AE19" s="137">
        <f t="shared" si="20"/>
        <v>0</v>
      </c>
      <c r="AF19" s="137"/>
      <c r="AG19" s="137">
        <f t="shared" si="14"/>
        <v>0</v>
      </c>
      <c r="AH19" s="153"/>
      <c r="AI19" s="154"/>
    </row>
    <row r="20" spans="1:36" s="11" customFormat="1" x14ac:dyDescent="0.25">
      <c r="A20" s="191"/>
      <c r="B20" s="191"/>
      <c r="C20" s="194"/>
      <c r="D20" s="194"/>
      <c r="E20" s="206"/>
      <c r="F20" s="209"/>
      <c r="G20" s="131" t="s">
        <v>176</v>
      </c>
      <c r="H20" s="5"/>
      <c r="I20" s="5"/>
      <c r="J20" s="5"/>
      <c r="K20" s="5"/>
      <c r="L20" s="5"/>
      <c r="M20" s="4"/>
      <c r="N20" s="4"/>
      <c r="O20" s="4"/>
      <c r="P20" s="6"/>
      <c r="Q20" s="148"/>
      <c r="R20" s="148"/>
      <c r="S20" s="137">
        <f t="shared" si="15"/>
        <v>0</v>
      </c>
      <c r="T20" s="137">
        <f t="shared" si="16"/>
        <v>0</v>
      </c>
      <c r="U20" s="137">
        <f t="shared" si="11"/>
        <v>0</v>
      </c>
      <c r="V20" s="138"/>
      <c r="W20" s="139"/>
      <c r="X20" s="139"/>
      <c r="Y20" s="137">
        <f t="shared" si="17"/>
        <v>0</v>
      </c>
      <c r="Z20" s="137"/>
      <c r="AA20" s="137">
        <f t="shared" ref="AA20:AA23" si="22">+$W20*Z20</f>
        <v>0</v>
      </c>
      <c r="AB20" s="137"/>
      <c r="AC20" s="137">
        <f t="shared" si="13"/>
        <v>0</v>
      </c>
      <c r="AD20" s="137"/>
      <c r="AE20" s="137">
        <f t="shared" si="20"/>
        <v>0</v>
      </c>
      <c r="AF20" s="137"/>
      <c r="AG20" s="137">
        <f t="shared" si="14"/>
        <v>0</v>
      </c>
      <c r="AH20" s="153"/>
      <c r="AI20" s="154"/>
    </row>
    <row r="21" spans="1:36" s="11" customFormat="1" x14ac:dyDescent="0.25">
      <c r="A21" s="191"/>
      <c r="B21" s="191"/>
      <c r="C21" s="194"/>
      <c r="D21" s="194"/>
      <c r="E21" s="206"/>
      <c r="F21" s="209"/>
      <c r="G21" s="131" t="s">
        <v>177</v>
      </c>
      <c r="H21" s="5"/>
      <c r="I21" s="5"/>
      <c r="J21" s="5"/>
      <c r="K21" s="5"/>
      <c r="L21" s="5"/>
      <c r="M21" s="4"/>
      <c r="N21" s="4"/>
      <c r="O21" s="4"/>
      <c r="P21" s="6"/>
      <c r="Q21" s="148"/>
      <c r="R21" s="148"/>
      <c r="S21" s="137">
        <f t="shared" si="15"/>
        <v>0</v>
      </c>
      <c r="T21" s="137">
        <f t="shared" si="16"/>
        <v>0</v>
      </c>
      <c r="U21" s="137">
        <f t="shared" si="11"/>
        <v>0</v>
      </c>
      <c r="V21" s="138"/>
      <c r="W21" s="139"/>
      <c r="X21" s="139"/>
      <c r="Y21" s="137">
        <f t="shared" si="17"/>
        <v>0</v>
      </c>
      <c r="Z21" s="137"/>
      <c r="AA21" s="137">
        <f t="shared" si="22"/>
        <v>0</v>
      </c>
      <c r="AB21" s="137"/>
      <c r="AC21" s="137">
        <f t="shared" si="13"/>
        <v>0</v>
      </c>
      <c r="AD21" s="137"/>
      <c r="AE21" s="137">
        <f t="shared" si="20"/>
        <v>0</v>
      </c>
      <c r="AF21" s="137"/>
      <c r="AG21" s="137">
        <f t="shared" si="14"/>
        <v>0</v>
      </c>
      <c r="AH21" s="153"/>
      <c r="AI21" s="154"/>
    </row>
    <row r="22" spans="1:36" s="11" customFormat="1" x14ac:dyDescent="0.25">
      <c r="A22" s="191"/>
      <c r="B22" s="191"/>
      <c r="C22" s="194"/>
      <c r="D22" s="194"/>
      <c r="E22" s="206"/>
      <c r="F22" s="209"/>
      <c r="G22" s="131" t="s">
        <v>178</v>
      </c>
      <c r="H22" s="5"/>
      <c r="I22" s="5"/>
      <c r="J22" s="5"/>
      <c r="K22" s="5"/>
      <c r="L22" s="5"/>
      <c r="M22" s="4"/>
      <c r="N22" s="4"/>
      <c r="O22" s="4"/>
      <c r="P22" s="6"/>
      <c r="Q22" s="148"/>
      <c r="R22" s="148"/>
      <c r="S22" s="137">
        <f t="shared" si="15"/>
        <v>0</v>
      </c>
      <c r="T22" s="137">
        <f t="shared" si="16"/>
        <v>0</v>
      </c>
      <c r="U22" s="137">
        <f t="shared" si="11"/>
        <v>0</v>
      </c>
      <c r="V22" s="138"/>
      <c r="W22" s="139"/>
      <c r="X22" s="139"/>
      <c r="Y22" s="137">
        <f t="shared" si="17"/>
        <v>0</v>
      </c>
      <c r="Z22" s="137"/>
      <c r="AA22" s="137">
        <f t="shared" si="22"/>
        <v>0</v>
      </c>
      <c r="AB22" s="137"/>
      <c r="AC22" s="137">
        <f t="shared" si="13"/>
        <v>0</v>
      </c>
      <c r="AD22" s="137"/>
      <c r="AE22" s="137">
        <f t="shared" si="20"/>
        <v>0</v>
      </c>
      <c r="AF22" s="137"/>
      <c r="AG22" s="137">
        <f t="shared" si="14"/>
        <v>0</v>
      </c>
      <c r="AH22" s="153"/>
      <c r="AI22" s="154"/>
    </row>
    <row r="23" spans="1:36" s="11" customFormat="1" x14ac:dyDescent="0.25">
      <c r="A23" s="192"/>
      <c r="B23" s="192"/>
      <c r="C23" s="195"/>
      <c r="D23" s="194"/>
      <c r="E23" s="206"/>
      <c r="F23" s="209"/>
      <c r="G23" s="131" t="s">
        <v>179</v>
      </c>
      <c r="H23" s="5"/>
      <c r="I23" s="5"/>
      <c r="J23" s="5"/>
      <c r="K23" s="5"/>
      <c r="L23" s="5"/>
      <c r="M23" s="4"/>
      <c r="N23" s="4"/>
      <c r="O23" s="4"/>
      <c r="P23" s="6"/>
      <c r="Q23" s="148"/>
      <c r="R23" s="148"/>
      <c r="S23" s="137">
        <f t="shared" si="15"/>
        <v>0</v>
      </c>
      <c r="T23" s="137">
        <f t="shared" si="16"/>
        <v>0</v>
      </c>
      <c r="U23" s="137">
        <f t="shared" si="11"/>
        <v>0</v>
      </c>
      <c r="V23" s="138"/>
      <c r="W23" s="139"/>
      <c r="X23" s="139"/>
      <c r="Y23" s="137">
        <f t="shared" si="17"/>
        <v>0</v>
      </c>
      <c r="Z23" s="137"/>
      <c r="AA23" s="137">
        <f t="shared" si="22"/>
        <v>0</v>
      </c>
      <c r="AB23" s="137"/>
      <c r="AC23" s="137">
        <f t="shared" si="13"/>
        <v>0</v>
      </c>
      <c r="AD23" s="137"/>
      <c r="AE23" s="137">
        <f t="shared" si="20"/>
        <v>0</v>
      </c>
      <c r="AF23" s="137"/>
      <c r="AG23" s="137">
        <f t="shared" si="14"/>
        <v>0</v>
      </c>
      <c r="AH23" s="153"/>
      <c r="AI23" s="154"/>
    </row>
    <row r="24" spans="1:36" s="11" customFormat="1" ht="38.25" x14ac:dyDescent="0.25">
      <c r="A24" s="60">
        <v>13</v>
      </c>
      <c r="B24" s="60">
        <v>1</v>
      </c>
      <c r="C24" s="63" t="s">
        <v>38</v>
      </c>
      <c r="D24" s="194"/>
      <c r="E24" s="206"/>
      <c r="F24" s="209"/>
      <c r="G24" s="43" t="s">
        <v>126</v>
      </c>
      <c r="H24" s="5"/>
      <c r="I24" s="5"/>
      <c r="J24" s="5"/>
      <c r="K24" s="5"/>
      <c r="L24" s="5"/>
      <c r="M24" s="4" t="s">
        <v>34</v>
      </c>
      <c r="N24" s="4" t="s">
        <v>35</v>
      </c>
      <c r="O24" s="4" t="s">
        <v>41</v>
      </c>
      <c r="P24" s="6" t="s">
        <v>127</v>
      </c>
      <c r="Q24" s="152"/>
      <c r="R24" s="152"/>
      <c r="S24" s="137">
        <f t="shared" ref="S24:S25" si="23">+R24*Q24</f>
        <v>0</v>
      </c>
      <c r="T24" s="137">
        <f t="shared" ref="T24:T25" si="24">+R24</f>
        <v>0</v>
      </c>
      <c r="U24" s="137">
        <f t="shared" si="11"/>
        <v>0</v>
      </c>
      <c r="V24" s="138" t="s">
        <v>127</v>
      </c>
      <c r="W24" s="139"/>
      <c r="X24" s="137"/>
      <c r="Y24" s="137">
        <f t="shared" ref="Y24:Y25" si="25">+W24*X24</f>
        <v>0</v>
      </c>
      <c r="Z24" s="137"/>
      <c r="AA24" s="137">
        <f t="shared" ref="AA24:AA25" si="26">+Z24*W24</f>
        <v>0</v>
      </c>
      <c r="AB24" s="137"/>
      <c r="AC24" s="137">
        <f t="shared" ref="AC24:AC25" si="27">+AB24*W24</f>
        <v>0</v>
      </c>
      <c r="AD24" s="137"/>
      <c r="AE24" s="137">
        <f t="shared" ref="AE24:AE25" si="28">+AD24*W24</f>
        <v>0</v>
      </c>
      <c r="AF24" s="137">
        <f t="shared" si="14"/>
        <v>0</v>
      </c>
      <c r="AG24" s="137">
        <f t="shared" si="14"/>
        <v>0</v>
      </c>
      <c r="AH24" s="153">
        <f t="shared" si="10"/>
        <v>0</v>
      </c>
      <c r="AI24" s="154"/>
    </row>
    <row r="25" spans="1:36" s="59" customFormat="1" ht="150.75" customHeight="1" x14ac:dyDescent="0.25">
      <c r="A25" s="60">
        <v>13</v>
      </c>
      <c r="B25" s="60">
        <v>1</v>
      </c>
      <c r="C25" s="63" t="s">
        <v>38</v>
      </c>
      <c r="D25" s="195"/>
      <c r="E25" s="207"/>
      <c r="F25" s="210"/>
      <c r="G25" s="43" t="s">
        <v>128</v>
      </c>
      <c r="H25" s="5"/>
      <c r="I25" s="5"/>
      <c r="J25" s="5"/>
      <c r="K25" s="5"/>
      <c r="L25" s="5"/>
      <c r="M25" s="4" t="s">
        <v>34</v>
      </c>
      <c r="N25" s="4" t="s">
        <v>35</v>
      </c>
      <c r="O25" s="4" t="s">
        <v>41</v>
      </c>
      <c r="P25" s="6" t="s">
        <v>129</v>
      </c>
      <c r="Q25" s="152"/>
      <c r="R25" s="152"/>
      <c r="S25" s="137">
        <f t="shared" si="23"/>
        <v>0</v>
      </c>
      <c r="T25" s="137">
        <f t="shared" si="24"/>
        <v>0</v>
      </c>
      <c r="U25" s="137">
        <f t="shared" si="11"/>
        <v>0</v>
      </c>
      <c r="V25" s="138" t="s">
        <v>129</v>
      </c>
      <c r="W25" s="139"/>
      <c r="X25" s="137"/>
      <c r="Y25" s="137">
        <f t="shared" si="25"/>
        <v>0</v>
      </c>
      <c r="Z25" s="137"/>
      <c r="AA25" s="137">
        <f t="shared" si="26"/>
        <v>0</v>
      </c>
      <c r="AB25" s="137"/>
      <c r="AC25" s="137">
        <f t="shared" si="27"/>
        <v>0</v>
      </c>
      <c r="AD25" s="137"/>
      <c r="AE25" s="137">
        <f t="shared" si="28"/>
        <v>0</v>
      </c>
      <c r="AF25" s="137">
        <f t="shared" si="14"/>
        <v>0</v>
      </c>
      <c r="AG25" s="137">
        <f t="shared" si="14"/>
        <v>0</v>
      </c>
      <c r="AH25" s="153">
        <f t="shared" si="10"/>
        <v>0</v>
      </c>
      <c r="AI25" s="154"/>
    </row>
    <row r="26" spans="1:36" s="11" customFormat="1" x14ac:dyDescent="0.2">
      <c r="A26" s="49" t="s">
        <v>57</v>
      </c>
      <c r="B26" s="25"/>
      <c r="C26" s="26"/>
      <c r="D26" s="26"/>
      <c r="E26" s="26"/>
      <c r="F26" s="26"/>
      <c r="G26" s="38"/>
      <c r="H26" s="39"/>
      <c r="I26" s="39"/>
      <c r="J26" s="39"/>
      <c r="K26" s="39"/>
      <c r="L26" s="39"/>
      <c r="M26" s="37"/>
      <c r="N26" s="37"/>
      <c r="O26" s="37"/>
      <c r="P26" s="34"/>
      <c r="Q26" s="40"/>
      <c r="R26" s="41"/>
      <c r="S26" s="41"/>
      <c r="T26" s="41"/>
      <c r="U26" s="42"/>
      <c r="V26" s="37"/>
      <c r="W26" s="40"/>
      <c r="X26" s="41"/>
      <c r="Y26" s="41"/>
      <c r="Z26" s="41"/>
      <c r="AA26" s="41"/>
      <c r="AB26" s="41"/>
      <c r="AC26" s="41"/>
      <c r="AD26" s="41"/>
      <c r="AE26" s="41"/>
      <c r="AF26" s="41"/>
      <c r="AG26" s="42"/>
      <c r="AH26" s="31">
        <f>SUM(AH27)</f>
        <v>0</v>
      </c>
      <c r="AI26" s="32">
        <v>61149698</v>
      </c>
    </row>
    <row r="27" spans="1:36" s="59" customFormat="1" ht="89.25" x14ac:dyDescent="0.25">
      <c r="A27" s="60">
        <v>8</v>
      </c>
      <c r="B27" s="60">
        <v>1</v>
      </c>
      <c r="C27" s="63" t="s">
        <v>38</v>
      </c>
      <c r="D27" s="63" t="s">
        <v>32</v>
      </c>
      <c r="E27" s="57" t="s">
        <v>122</v>
      </c>
      <c r="F27" s="57" t="s">
        <v>130</v>
      </c>
      <c r="G27" s="3"/>
      <c r="H27" s="5"/>
      <c r="I27" s="5"/>
      <c r="J27" s="5"/>
      <c r="K27" s="5"/>
      <c r="L27" s="5"/>
      <c r="M27" s="4" t="s">
        <v>34</v>
      </c>
      <c r="N27" s="4" t="s">
        <v>35</v>
      </c>
      <c r="O27" s="4" t="s">
        <v>40</v>
      </c>
      <c r="P27" s="6"/>
      <c r="Q27" s="78"/>
      <c r="R27" s="79"/>
      <c r="S27" s="8">
        <f t="shared" ref="S27" si="29">+R27*Q27</f>
        <v>0</v>
      </c>
      <c r="T27" s="7">
        <f t="shared" ref="T27" si="30">+R27</f>
        <v>0</v>
      </c>
      <c r="U27" s="9">
        <f t="shared" ref="U27" si="31">S27</f>
        <v>0</v>
      </c>
      <c r="V27" s="6"/>
      <c r="W27" s="10"/>
      <c r="X27" s="7"/>
      <c r="Y27" s="7">
        <f t="shared" ref="Y27" si="32">+W27*X27</f>
        <v>0</v>
      </c>
      <c r="Z27" s="7"/>
      <c r="AA27" s="7">
        <f t="shared" ref="AA27" si="33">+Z27*W27</f>
        <v>0</v>
      </c>
      <c r="AB27" s="7"/>
      <c r="AC27" s="7">
        <f t="shared" ref="AC27" si="34">+AB27*W27</f>
        <v>0</v>
      </c>
      <c r="AD27" s="7"/>
      <c r="AE27" s="7">
        <f t="shared" ref="AE27" si="35">+AD27*W27</f>
        <v>0</v>
      </c>
      <c r="AF27" s="7">
        <f t="shared" ref="AF27:AG27" si="36">+X27+Z27+AB27+AD27</f>
        <v>0</v>
      </c>
      <c r="AG27" s="7">
        <f t="shared" si="36"/>
        <v>0</v>
      </c>
      <c r="AH27" s="35">
        <f t="shared" ref="AH27" si="37">+U27+AG27</f>
        <v>0</v>
      </c>
      <c r="AI27" s="56"/>
    </row>
    <row r="28" spans="1:36" s="11" customFormat="1" x14ac:dyDescent="0.2">
      <c r="A28" s="49" t="s">
        <v>164</v>
      </c>
      <c r="B28" s="25"/>
      <c r="C28" s="26"/>
      <c r="D28" s="26"/>
      <c r="E28" s="26"/>
      <c r="F28" s="26"/>
      <c r="G28" s="38"/>
      <c r="H28" s="39"/>
      <c r="I28" s="39"/>
      <c r="J28" s="39"/>
      <c r="K28" s="39"/>
      <c r="L28" s="39"/>
      <c r="M28" s="37"/>
      <c r="N28" s="37"/>
      <c r="O28" s="37"/>
      <c r="P28" s="34"/>
      <c r="Q28" s="40"/>
      <c r="R28" s="41"/>
      <c r="S28" s="41"/>
      <c r="T28" s="41"/>
      <c r="U28" s="42"/>
      <c r="V28" s="37"/>
      <c r="W28" s="40"/>
      <c r="X28" s="41"/>
      <c r="Y28" s="41"/>
      <c r="Z28" s="41"/>
      <c r="AA28" s="41"/>
      <c r="AB28" s="41"/>
      <c r="AC28" s="41"/>
      <c r="AD28" s="41"/>
      <c r="AE28" s="41"/>
      <c r="AF28" s="41"/>
      <c r="AG28" s="42"/>
      <c r="AH28" s="31">
        <f>+AH4+AH11+AH26</f>
        <v>0</v>
      </c>
      <c r="AI28" s="32">
        <f>+AI4+AI11+AI26</f>
        <v>679441118</v>
      </c>
    </row>
    <row r="29" spans="1:36" x14ac:dyDescent="0.2">
      <c r="AA29" s="65"/>
      <c r="AH29" s="66">
        <f>SUM(AH7:AH27)</f>
        <v>0</v>
      </c>
      <c r="AJ29" s="46"/>
    </row>
    <row r="30" spans="1:36" s="11" customFormat="1" x14ac:dyDescent="0.2">
      <c r="A30" s="49" t="s">
        <v>58</v>
      </c>
      <c r="B30" s="25"/>
      <c r="C30" s="26"/>
      <c r="D30" s="26"/>
      <c r="E30" s="26"/>
      <c r="F30" s="26"/>
      <c r="G30" s="26"/>
      <c r="H30" s="27"/>
      <c r="I30" s="27"/>
      <c r="J30" s="27"/>
      <c r="K30" s="27"/>
      <c r="L30" s="27"/>
      <c r="M30" s="25"/>
      <c r="N30" s="25"/>
      <c r="O30" s="25"/>
      <c r="P30" s="25"/>
      <c r="Q30" s="28"/>
      <c r="R30" s="29"/>
      <c r="S30" s="29"/>
      <c r="T30" s="29"/>
      <c r="U30" s="30"/>
      <c r="V30" s="25"/>
      <c r="W30" s="28"/>
      <c r="X30" s="29"/>
      <c r="Y30" s="29"/>
      <c r="Z30" s="29"/>
      <c r="AA30" s="29"/>
      <c r="AB30" s="29"/>
      <c r="AC30" s="29"/>
      <c r="AD30" s="29"/>
      <c r="AE30" s="29"/>
      <c r="AF30" s="29"/>
      <c r="AG30" s="30"/>
      <c r="AH30" s="31"/>
      <c r="AI30" s="32"/>
    </row>
    <row r="31" spans="1:36" s="59" customFormat="1" ht="89.25" x14ac:dyDescent="0.25">
      <c r="A31" s="60">
        <v>6</v>
      </c>
      <c r="B31" s="60">
        <v>1</v>
      </c>
      <c r="C31" s="63" t="s">
        <v>31</v>
      </c>
      <c r="D31" s="63" t="s">
        <v>32</v>
      </c>
      <c r="E31" s="57" t="s">
        <v>33</v>
      </c>
      <c r="F31" s="63" t="s">
        <v>131</v>
      </c>
      <c r="G31" s="57" t="s">
        <v>132</v>
      </c>
      <c r="H31" s="58"/>
      <c r="I31" s="58"/>
      <c r="J31" s="58"/>
      <c r="K31" s="58"/>
      <c r="L31" s="58"/>
      <c r="M31" s="33" t="s">
        <v>34</v>
      </c>
      <c r="N31" s="33" t="s">
        <v>35</v>
      </c>
      <c r="O31" s="33" t="s">
        <v>36</v>
      </c>
      <c r="P31" s="51" t="s">
        <v>37</v>
      </c>
      <c r="Q31" s="52">
        <f>15355</f>
        <v>15355</v>
      </c>
      <c r="R31" s="113">
        <v>419</v>
      </c>
      <c r="S31" s="52">
        <f>+R31*Q31</f>
        <v>6433745</v>
      </c>
      <c r="T31" s="54">
        <f t="shared" ref="T31:T36" si="38">+R31</f>
        <v>419</v>
      </c>
      <c r="U31" s="54">
        <f>S31</f>
        <v>6433745</v>
      </c>
      <c r="V31" s="51" t="s">
        <v>37</v>
      </c>
      <c r="W31" s="55">
        <f>+Q31</f>
        <v>15355</v>
      </c>
      <c r="X31" s="53">
        <v>419</v>
      </c>
      <c r="Y31" s="53">
        <f t="shared" ref="Y31:Y35" si="39">+W31*X31</f>
        <v>6433745</v>
      </c>
      <c r="Z31" s="53">
        <v>419</v>
      </c>
      <c r="AA31" s="53">
        <f t="shared" ref="AA31:AA35" si="40">+Z31*W31</f>
        <v>6433745</v>
      </c>
      <c r="AB31" s="53">
        <f>+Z31</f>
        <v>419</v>
      </c>
      <c r="AC31" s="53">
        <f t="shared" ref="AC31:AC35" si="41">+AB31*W31</f>
        <v>6433745</v>
      </c>
      <c r="AD31" s="53">
        <v>421</v>
      </c>
      <c r="AE31" s="53">
        <f t="shared" ref="AE31:AE35" si="42">+AD31*W31</f>
        <v>6464455</v>
      </c>
      <c r="AF31" s="53">
        <f t="shared" ref="AF31:AG36" si="43">+X31+Z31+AB31+AD31</f>
        <v>1678</v>
      </c>
      <c r="AG31" s="53">
        <f t="shared" si="43"/>
        <v>25765690</v>
      </c>
      <c r="AH31" s="35">
        <f t="shared" ref="AH31:AH35" si="44">+U31+AG31</f>
        <v>32199435</v>
      </c>
      <c r="AI31" s="56"/>
      <c r="AJ31" s="112"/>
    </row>
    <row r="32" spans="1:36" s="59" customFormat="1" ht="114.75" x14ac:dyDescent="0.25">
      <c r="A32" s="60">
        <v>34</v>
      </c>
      <c r="B32" s="68">
        <v>1</v>
      </c>
      <c r="C32" s="63" t="s">
        <v>42</v>
      </c>
      <c r="D32" s="63" t="s">
        <v>43</v>
      </c>
      <c r="E32" s="57" t="s">
        <v>44</v>
      </c>
      <c r="F32" s="63" t="s">
        <v>158</v>
      </c>
      <c r="G32" s="57" t="s">
        <v>133</v>
      </c>
      <c r="H32" s="33"/>
      <c r="I32" s="58"/>
      <c r="J32" s="58"/>
      <c r="K32" s="58"/>
      <c r="L32" s="58"/>
      <c r="M32" s="33" t="s">
        <v>34</v>
      </c>
      <c r="N32" s="33" t="s">
        <v>35</v>
      </c>
      <c r="O32" s="63" t="s">
        <v>45</v>
      </c>
      <c r="P32" s="51" t="s">
        <v>134</v>
      </c>
      <c r="Q32" s="52"/>
      <c r="R32" s="67"/>
      <c r="S32" s="52">
        <f>+R32*Q32</f>
        <v>0</v>
      </c>
      <c r="T32" s="53">
        <f t="shared" si="38"/>
        <v>0</v>
      </c>
      <c r="U32" s="54">
        <f t="shared" ref="U32:U35" si="45">S32</f>
        <v>0</v>
      </c>
      <c r="V32" s="51" t="s">
        <v>134</v>
      </c>
      <c r="W32" s="52">
        <f>36000*24</f>
        <v>864000</v>
      </c>
      <c r="X32" s="53">
        <v>6</v>
      </c>
      <c r="Y32" s="53">
        <f t="shared" si="39"/>
        <v>5184000</v>
      </c>
      <c r="Z32" s="53">
        <v>7</v>
      </c>
      <c r="AA32" s="53">
        <f t="shared" si="40"/>
        <v>6048000</v>
      </c>
      <c r="AB32" s="53"/>
      <c r="AC32" s="53">
        <f t="shared" si="41"/>
        <v>0</v>
      </c>
      <c r="AD32" s="53">
        <f t="shared" ref="AD32:AD33" si="46">+AB32</f>
        <v>0</v>
      </c>
      <c r="AE32" s="53">
        <f t="shared" si="42"/>
        <v>0</v>
      </c>
      <c r="AF32" s="53">
        <f>+X32+Z32+AB32+AD32</f>
        <v>13</v>
      </c>
      <c r="AG32" s="53">
        <f t="shared" si="43"/>
        <v>11232000</v>
      </c>
      <c r="AH32" s="35">
        <f t="shared" si="44"/>
        <v>11232000</v>
      </c>
      <c r="AI32" s="56"/>
    </row>
    <row r="33" spans="1:35" s="59" customFormat="1" ht="114.75" x14ac:dyDescent="0.25">
      <c r="A33" s="60">
        <v>35</v>
      </c>
      <c r="B33" s="68">
        <v>1</v>
      </c>
      <c r="C33" s="63" t="s">
        <v>42</v>
      </c>
      <c r="D33" s="63" t="s">
        <v>43</v>
      </c>
      <c r="E33" s="57" t="s">
        <v>44</v>
      </c>
      <c r="F33" s="63" t="s">
        <v>158</v>
      </c>
      <c r="G33" s="57" t="s">
        <v>135</v>
      </c>
      <c r="H33" s="33"/>
      <c r="I33" s="58"/>
      <c r="J33" s="58"/>
      <c r="K33" s="58"/>
      <c r="L33" s="58"/>
      <c r="M33" s="33" t="s">
        <v>34</v>
      </c>
      <c r="N33" s="33" t="s">
        <v>35</v>
      </c>
      <c r="O33" s="63" t="s">
        <v>45</v>
      </c>
      <c r="P33" s="51" t="s">
        <v>134</v>
      </c>
      <c r="Q33" s="52"/>
      <c r="R33" s="67"/>
      <c r="S33" s="52">
        <f t="shared" ref="S33:S35" si="47">+R33*Q33</f>
        <v>0</v>
      </c>
      <c r="T33" s="53">
        <f t="shared" si="38"/>
        <v>0</v>
      </c>
      <c r="U33" s="54">
        <f t="shared" si="45"/>
        <v>0</v>
      </c>
      <c r="V33" s="51" t="s">
        <v>134</v>
      </c>
      <c r="W33" s="52">
        <f>36000*12</f>
        <v>432000</v>
      </c>
      <c r="X33" s="53"/>
      <c r="Y33" s="53">
        <f t="shared" si="39"/>
        <v>0</v>
      </c>
      <c r="Z33" s="53">
        <f t="shared" ref="Z33" si="48">+X33</f>
        <v>0</v>
      </c>
      <c r="AA33" s="53">
        <f t="shared" si="40"/>
        <v>0</v>
      </c>
      <c r="AB33" s="53">
        <v>13</v>
      </c>
      <c r="AC33" s="53">
        <f t="shared" si="41"/>
        <v>5616000</v>
      </c>
      <c r="AD33" s="53">
        <f t="shared" si="46"/>
        <v>13</v>
      </c>
      <c r="AE33" s="53">
        <f t="shared" si="42"/>
        <v>5616000</v>
      </c>
      <c r="AF33" s="53">
        <f t="shared" si="43"/>
        <v>26</v>
      </c>
      <c r="AG33" s="53">
        <f t="shared" si="43"/>
        <v>11232000</v>
      </c>
      <c r="AH33" s="35">
        <f t="shared" si="44"/>
        <v>11232000</v>
      </c>
      <c r="AI33" s="56"/>
    </row>
    <row r="34" spans="1:35" s="72" customFormat="1" ht="76.5" x14ac:dyDescent="0.25">
      <c r="A34" s="60">
        <v>43</v>
      </c>
      <c r="B34" s="68">
        <v>1</v>
      </c>
      <c r="C34" s="63" t="s">
        <v>46</v>
      </c>
      <c r="D34" s="63" t="s">
        <v>47</v>
      </c>
      <c r="E34" s="57" t="s">
        <v>48</v>
      </c>
      <c r="F34" s="63" t="s">
        <v>159</v>
      </c>
      <c r="G34" s="57" t="s">
        <v>136</v>
      </c>
      <c r="H34" s="69"/>
      <c r="I34" s="69"/>
      <c r="J34" s="70"/>
      <c r="K34" s="69"/>
      <c r="L34" s="70"/>
      <c r="M34" s="33" t="s">
        <v>34</v>
      </c>
      <c r="N34" s="33" t="s">
        <v>35</v>
      </c>
      <c r="O34" s="33" t="s">
        <v>49</v>
      </c>
      <c r="P34" s="51" t="s">
        <v>137</v>
      </c>
      <c r="Q34" s="52"/>
      <c r="R34" s="67"/>
      <c r="S34" s="52">
        <f t="shared" si="47"/>
        <v>0</v>
      </c>
      <c r="T34" s="53">
        <f t="shared" si="38"/>
        <v>0</v>
      </c>
      <c r="U34" s="54">
        <f t="shared" si="45"/>
        <v>0</v>
      </c>
      <c r="V34" s="51" t="s">
        <v>137</v>
      </c>
      <c r="W34" s="71">
        <v>5000000</v>
      </c>
      <c r="X34" s="53">
        <f t="shared" ref="X34" si="49">+R34</f>
        <v>0</v>
      </c>
      <c r="Y34" s="53">
        <f t="shared" si="39"/>
        <v>0</v>
      </c>
      <c r="Z34" s="53">
        <v>1</v>
      </c>
      <c r="AA34" s="53">
        <f t="shared" si="40"/>
        <v>5000000</v>
      </c>
      <c r="AB34" s="53"/>
      <c r="AC34" s="53">
        <f t="shared" si="41"/>
        <v>0</v>
      </c>
      <c r="AD34" s="53"/>
      <c r="AE34" s="53">
        <f t="shared" si="42"/>
        <v>0</v>
      </c>
      <c r="AF34" s="53">
        <f t="shared" si="43"/>
        <v>1</v>
      </c>
      <c r="AG34" s="53">
        <f t="shared" si="43"/>
        <v>5000000</v>
      </c>
      <c r="AH34" s="35">
        <f t="shared" si="44"/>
        <v>5000000</v>
      </c>
      <c r="AI34" s="56"/>
    </row>
    <row r="35" spans="1:35" s="72" customFormat="1" ht="144" customHeight="1" x14ac:dyDescent="0.25">
      <c r="A35" s="60">
        <v>46</v>
      </c>
      <c r="B35" s="68">
        <v>1</v>
      </c>
      <c r="C35" s="33" t="s">
        <v>38</v>
      </c>
      <c r="D35" s="63" t="s">
        <v>47</v>
      </c>
      <c r="E35" s="57" t="s">
        <v>50</v>
      </c>
      <c r="F35" s="63" t="s">
        <v>138</v>
      </c>
      <c r="G35" s="57" t="s">
        <v>139</v>
      </c>
      <c r="H35" s="69"/>
      <c r="I35" s="70"/>
      <c r="J35" s="70"/>
      <c r="K35" s="70"/>
      <c r="L35" s="70"/>
      <c r="M35" s="33" t="s">
        <v>34</v>
      </c>
      <c r="N35" s="33" t="s">
        <v>35</v>
      </c>
      <c r="O35" s="33" t="s">
        <v>36</v>
      </c>
      <c r="P35" s="51" t="s">
        <v>140</v>
      </c>
      <c r="Q35" s="52"/>
      <c r="R35" s="67"/>
      <c r="S35" s="52">
        <f t="shared" si="47"/>
        <v>0</v>
      </c>
      <c r="T35" s="53">
        <f t="shared" si="38"/>
        <v>0</v>
      </c>
      <c r="U35" s="54">
        <f t="shared" si="45"/>
        <v>0</v>
      </c>
      <c r="V35" s="51" t="s">
        <v>140</v>
      </c>
      <c r="W35" s="52">
        <v>100000</v>
      </c>
      <c r="X35" s="53">
        <v>20</v>
      </c>
      <c r="Y35" s="53">
        <f t="shared" si="39"/>
        <v>2000000</v>
      </c>
      <c r="Z35" s="53">
        <f>+X35</f>
        <v>20</v>
      </c>
      <c r="AA35" s="53">
        <f t="shared" si="40"/>
        <v>2000000</v>
      </c>
      <c r="AB35" s="53">
        <f t="shared" ref="AB35:AB36" si="50">+Z35</f>
        <v>20</v>
      </c>
      <c r="AC35" s="53">
        <f t="shared" si="41"/>
        <v>2000000</v>
      </c>
      <c r="AD35" s="53">
        <v>21</v>
      </c>
      <c r="AE35" s="53">
        <f t="shared" si="42"/>
        <v>2100000</v>
      </c>
      <c r="AF35" s="53">
        <f t="shared" si="43"/>
        <v>81</v>
      </c>
      <c r="AG35" s="53">
        <f t="shared" si="43"/>
        <v>8100000</v>
      </c>
      <c r="AH35" s="35">
        <f t="shared" si="44"/>
        <v>8100000</v>
      </c>
      <c r="AI35" s="56"/>
    </row>
    <row r="36" spans="1:35" s="77" customFormat="1" ht="89.25" customHeight="1" x14ac:dyDescent="0.25">
      <c r="A36" s="60">
        <v>12</v>
      </c>
      <c r="B36" s="68">
        <v>1</v>
      </c>
      <c r="C36" s="63" t="s">
        <v>38</v>
      </c>
      <c r="D36" s="73" t="s">
        <v>32</v>
      </c>
      <c r="E36" s="74" t="s">
        <v>114</v>
      </c>
      <c r="F36" s="75" t="s">
        <v>160</v>
      </c>
      <c r="G36" s="75" t="s">
        <v>141</v>
      </c>
      <c r="H36" s="33"/>
      <c r="I36" s="70"/>
      <c r="J36" s="70"/>
      <c r="K36" s="70"/>
      <c r="L36" s="70"/>
      <c r="M36" s="76" t="s">
        <v>34</v>
      </c>
      <c r="N36" s="33" t="s">
        <v>35</v>
      </c>
      <c r="O36" s="76" t="s">
        <v>41</v>
      </c>
      <c r="P36" s="51" t="s">
        <v>142</v>
      </c>
      <c r="Q36" s="52">
        <f>150000*3</f>
        <v>450000</v>
      </c>
      <c r="R36" s="67">
        <v>17</v>
      </c>
      <c r="S36" s="52">
        <f>+R36*Q36</f>
        <v>7650000</v>
      </c>
      <c r="T36" s="53">
        <f t="shared" si="38"/>
        <v>17</v>
      </c>
      <c r="U36" s="54">
        <f>S36</f>
        <v>7650000</v>
      </c>
      <c r="V36" s="51" t="str">
        <f>+P36</f>
        <v>Costo Incentivo Lideres Pares</v>
      </c>
      <c r="W36" s="55">
        <f>154500*3</f>
        <v>463500</v>
      </c>
      <c r="X36" s="53">
        <f>+R36</f>
        <v>17</v>
      </c>
      <c r="Y36" s="53">
        <f>+W36*X36</f>
        <v>7879500</v>
      </c>
      <c r="Z36" s="53">
        <v>83</v>
      </c>
      <c r="AA36" s="53">
        <f>+Z36*W36</f>
        <v>38470500</v>
      </c>
      <c r="AB36" s="53">
        <f t="shared" si="50"/>
        <v>83</v>
      </c>
      <c r="AC36" s="53">
        <f>+AB36*W36</f>
        <v>38470500</v>
      </c>
      <c r="AD36" s="53">
        <f>+AB36</f>
        <v>83</v>
      </c>
      <c r="AE36" s="53">
        <f>+AD36*W36</f>
        <v>38470500</v>
      </c>
      <c r="AF36" s="53">
        <f t="shared" si="43"/>
        <v>266</v>
      </c>
      <c r="AG36" s="53">
        <f>+Y36+AA36+AC36+AE36</f>
        <v>123291000</v>
      </c>
      <c r="AH36" s="35">
        <f>+U36+AG36</f>
        <v>130941000</v>
      </c>
      <c r="AI36" s="56"/>
    </row>
    <row r="37" spans="1:35" s="11" customFormat="1" x14ac:dyDescent="0.2">
      <c r="A37" s="49" t="s">
        <v>165</v>
      </c>
      <c r="B37" s="25"/>
      <c r="C37" s="26"/>
      <c r="D37" s="26"/>
      <c r="E37" s="26"/>
      <c r="F37" s="26"/>
      <c r="G37" s="26"/>
      <c r="H37" s="27"/>
      <c r="I37" s="27"/>
      <c r="J37" s="27"/>
      <c r="K37" s="27"/>
      <c r="L37" s="27"/>
      <c r="M37" s="25"/>
      <c r="N37" s="25"/>
      <c r="O37" s="25"/>
      <c r="P37" s="64"/>
      <c r="Q37" s="28"/>
      <c r="R37" s="29"/>
      <c r="S37" s="29"/>
      <c r="T37" s="29"/>
      <c r="U37" s="30"/>
      <c r="V37" s="25"/>
      <c r="W37" s="28"/>
      <c r="X37" s="29"/>
      <c r="Y37" s="29"/>
      <c r="Z37" s="29"/>
      <c r="AA37" s="29"/>
      <c r="AB37" s="29"/>
      <c r="AC37" s="29"/>
      <c r="AD37" s="29"/>
      <c r="AE37" s="29"/>
      <c r="AF37" s="29"/>
      <c r="AG37" s="30"/>
      <c r="AH37" s="31">
        <f>SUM(AH31:AH36)</f>
        <v>198704435</v>
      </c>
      <c r="AI37" s="32">
        <f>+AH37</f>
        <v>198704435</v>
      </c>
    </row>
    <row r="38" spans="1:35" s="11" customFormat="1" x14ac:dyDescent="0.2">
      <c r="A38" s="83" t="s">
        <v>166</v>
      </c>
      <c r="B38" s="84"/>
      <c r="C38" s="85"/>
      <c r="D38" s="85"/>
      <c r="E38" s="85"/>
      <c r="F38" s="85"/>
      <c r="G38" s="85"/>
      <c r="H38" s="86"/>
      <c r="I38" s="86"/>
      <c r="J38" s="86"/>
      <c r="K38" s="86"/>
      <c r="L38" s="86"/>
      <c r="M38" s="84"/>
      <c r="N38" s="84"/>
      <c r="O38" s="84"/>
      <c r="P38" s="87"/>
      <c r="Q38" s="88"/>
      <c r="R38" s="89"/>
      <c r="S38" s="89"/>
      <c r="T38" s="89"/>
      <c r="U38" s="90"/>
      <c r="V38" s="84"/>
      <c r="W38" s="88"/>
      <c r="X38" s="89"/>
      <c r="Y38" s="89"/>
      <c r="Z38" s="89"/>
      <c r="AA38" s="89"/>
      <c r="AB38" s="89"/>
      <c r="AC38" s="89"/>
      <c r="AD38" s="89"/>
      <c r="AE38" s="89"/>
      <c r="AF38" s="89"/>
      <c r="AG38" s="90"/>
      <c r="AH38" s="82"/>
      <c r="AI38" s="82">
        <f>+AI28+AI37</f>
        <v>878145553</v>
      </c>
    </row>
  </sheetData>
  <sheetProtection password="CB42" sheet="1" objects="1" scenarios="1" formatCells="0" formatColumns="0" formatRows="0" insertRows="0"/>
  <mergeCells count="45">
    <mergeCell ref="D12:D25"/>
    <mergeCell ref="E12:E25"/>
    <mergeCell ref="F12:F25"/>
    <mergeCell ref="AI2:AI3"/>
    <mergeCell ref="C5:C7"/>
    <mergeCell ref="D5:D10"/>
    <mergeCell ref="E5:E10"/>
    <mergeCell ref="F5:F7"/>
    <mergeCell ref="F8:F10"/>
    <mergeCell ref="AC2:AC3"/>
    <mergeCell ref="AD2:AD3"/>
    <mergeCell ref="AE2:AE3"/>
    <mergeCell ref="AF2:AF3"/>
    <mergeCell ref="AG2:AG3"/>
    <mergeCell ref="AH2:AH3"/>
    <mergeCell ref="W2:W3"/>
    <mergeCell ref="X2:X3"/>
    <mergeCell ref="Y2:Y3"/>
    <mergeCell ref="Z2:Z3"/>
    <mergeCell ref="AA2:AA3"/>
    <mergeCell ref="AB2:AB3"/>
    <mergeCell ref="V2:V3"/>
    <mergeCell ref="G2:G3"/>
    <mergeCell ref="I2:L2"/>
    <mergeCell ref="M2:M3"/>
    <mergeCell ref="N2:N3"/>
    <mergeCell ref="O2:O3"/>
    <mergeCell ref="P2:P3"/>
    <mergeCell ref="Q2:Q3"/>
    <mergeCell ref="R2:R3"/>
    <mergeCell ref="S2:S3"/>
    <mergeCell ref="T2:T3"/>
    <mergeCell ref="U2:U3"/>
    <mergeCell ref="F2:F3"/>
    <mergeCell ref="A2:A3"/>
    <mergeCell ref="B2:B3"/>
    <mergeCell ref="C2:C3"/>
    <mergeCell ref="D2:D3"/>
    <mergeCell ref="E2:E3"/>
    <mergeCell ref="A12:A17"/>
    <mergeCell ref="B12:B17"/>
    <mergeCell ref="C12:C17"/>
    <mergeCell ref="A18:A23"/>
    <mergeCell ref="B18:B23"/>
    <mergeCell ref="C18:C23"/>
  </mergeCells>
  <dataValidations count="1">
    <dataValidation type="decimal" operator="greaterThanOrEqual" allowBlank="1" showInputMessage="1" showErrorMessage="1" sqref="W27:W28 W36:W38 W34 W31 W5:W10 W12:W25 X13:X17 X19:X23">
      <formula1>0</formula1>
    </dataValidation>
  </dataValidation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21"/>
  <sheetViews>
    <sheetView showGridLines="0" workbookViewId="0">
      <selection activeCell="C9" sqref="C9"/>
    </sheetView>
  </sheetViews>
  <sheetFormatPr baseColWidth="10" defaultRowHeight="15" x14ac:dyDescent="0.25"/>
  <cols>
    <col min="1" max="1" width="53.28515625" style="19" customWidth="1"/>
    <col min="2" max="2" width="17.5703125" style="23" bestFit="1" customWidth="1"/>
    <col min="3" max="3" width="18.5703125" style="19" bestFit="1" customWidth="1"/>
    <col min="4" max="16384" width="11.42578125" style="19"/>
  </cols>
  <sheetData>
    <row r="1" spans="1:3" ht="39.75" customHeight="1" x14ac:dyDescent="0.25">
      <c r="A1" s="188" t="s">
        <v>100</v>
      </c>
      <c r="B1" s="188"/>
      <c r="C1" s="188"/>
    </row>
    <row r="2" spans="1:3" x14ac:dyDescent="0.25">
      <c r="A2" s="189" t="s">
        <v>145</v>
      </c>
      <c r="B2" s="189"/>
      <c r="C2" s="189"/>
    </row>
    <row r="3" spans="1:3" x14ac:dyDescent="0.25">
      <c r="A3" s="118"/>
      <c r="B3" s="119"/>
      <c r="C3" s="118"/>
    </row>
    <row r="4" spans="1:3" x14ac:dyDescent="0.25">
      <c r="A4" s="120" t="s">
        <v>102</v>
      </c>
      <c r="B4" s="121"/>
      <c r="C4" s="118"/>
    </row>
    <row r="6" spans="1:3" s="20" customFormat="1" x14ac:dyDescent="0.25">
      <c r="A6" s="91" t="s">
        <v>103</v>
      </c>
      <c r="B6" s="92" t="s">
        <v>104</v>
      </c>
      <c r="C6" s="93" t="s">
        <v>98</v>
      </c>
    </row>
    <row r="7" spans="1:3" s="21" customFormat="1" x14ac:dyDescent="0.25">
      <c r="A7" s="94" t="s">
        <v>105</v>
      </c>
      <c r="B7" s="106">
        <f>+'[1]Fase I Valle del Cauca'!AH4</f>
        <v>0</v>
      </c>
      <c r="C7" s="96">
        <f>+'Fase I Atlantico'!AI4</f>
        <v>292025707</v>
      </c>
    </row>
    <row r="8" spans="1:3" s="22" customFormat="1" x14ac:dyDescent="0.25">
      <c r="A8" s="97" t="s">
        <v>106</v>
      </c>
      <c r="B8" s="95">
        <f>+'[1]Fase I Valle del Cauca'!AH11</f>
        <v>0</v>
      </c>
      <c r="C8" s="96">
        <f>+'Fase I Atlantico'!AI11</f>
        <v>87607708</v>
      </c>
    </row>
    <row r="9" spans="1:3" s="22" customFormat="1" x14ac:dyDescent="0.25">
      <c r="A9" s="97" t="s">
        <v>107</v>
      </c>
      <c r="B9" s="95">
        <f>+'[1]Fase I Valle del Cauca'!AH16</f>
        <v>0</v>
      </c>
      <c r="C9" s="96">
        <f>+'Fase I Atlantico'!AI24</f>
        <v>37546163</v>
      </c>
    </row>
    <row r="10" spans="1:3" s="22" customFormat="1" x14ac:dyDescent="0.25">
      <c r="A10" s="99" t="s">
        <v>161</v>
      </c>
      <c r="B10" s="107">
        <f>SUM(B7:B9)</f>
        <v>0</v>
      </c>
      <c r="C10" s="108">
        <f>SUM(C7:C9)</f>
        <v>417179578</v>
      </c>
    </row>
    <row r="11" spans="1:3" s="22" customFormat="1" x14ac:dyDescent="0.25">
      <c r="A11" s="97"/>
      <c r="B11" s="107"/>
      <c r="C11" s="96"/>
    </row>
    <row r="12" spans="1:3" x14ac:dyDescent="0.25">
      <c r="A12" s="101" t="s">
        <v>108</v>
      </c>
      <c r="B12" s="109">
        <f>+'Fase I Atlantico'!AH35</f>
        <v>129081725</v>
      </c>
      <c r="C12" s="96">
        <f>+'Fase I Atlantico'!AI35</f>
        <v>129081725</v>
      </c>
    </row>
    <row r="13" spans="1:3" x14ac:dyDescent="0.25">
      <c r="A13" s="102" t="s">
        <v>162</v>
      </c>
      <c r="B13" s="110">
        <f>+B12</f>
        <v>129081725</v>
      </c>
      <c r="C13" s="100">
        <f>+C12</f>
        <v>129081725</v>
      </c>
    </row>
    <row r="14" spans="1:3" x14ac:dyDescent="0.25">
      <c r="A14" s="104" t="s">
        <v>163</v>
      </c>
      <c r="B14" s="105">
        <f>+B10+B13</f>
        <v>129081725</v>
      </c>
      <c r="C14" s="105">
        <f>+C10+C13</f>
        <v>546261303</v>
      </c>
    </row>
    <row r="19" spans="1:3" s="24" customFormat="1" x14ac:dyDescent="0.25">
      <c r="A19" s="122" t="s">
        <v>109</v>
      </c>
      <c r="B19" s="119"/>
      <c r="C19" s="123"/>
    </row>
    <row r="20" spans="1:3" s="24" customFormat="1" x14ac:dyDescent="0.25">
      <c r="A20" s="122" t="s">
        <v>110</v>
      </c>
      <c r="B20" s="119"/>
      <c r="C20" s="123"/>
    </row>
    <row r="21" spans="1:3" x14ac:dyDescent="0.25">
      <c r="A21" s="118"/>
      <c r="B21" s="119"/>
      <c r="C21" s="118"/>
    </row>
  </sheetData>
  <sheetProtection password="CB42" sheet="1" objects="1" scenarios="1"/>
  <mergeCells count="2">
    <mergeCell ref="A1:C1"/>
    <mergeCell ref="A2:C2"/>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J36"/>
  <sheetViews>
    <sheetView showGridLines="0" topLeftCell="A16" zoomScale="70" zoomScaleNormal="70" workbookViewId="0">
      <selection activeCell="G25" sqref="G25"/>
    </sheetView>
  </sheetViews>
  <sheetFormatPr baseColWidth="10" defaultRowHeight="12.75" x14ac:dyDescent="0.2"/>
  <cols>
    <col min="1" max="1" width="6.28515625" style="46" bestFit="1" customWidth="1"/>
    <col min="2" max="2" width="15" style="46" customWidth="1"/>
    <col min="3" max="3" width="17.140625" style="46" customWidth="1"/>
    <col min="4" max="4" width="24.42578125" style="46" customWidth="1"/>
    <col min="5" max="5" width="43.28515625" style="46" customWidth="1"/>
    <col min="6" max="6" width="61.140625" style="46" customWidth="1"/>
    <col min="7" max="7" width="29.42578125" style="46" customWidth="1"/>
    <col min="8" max="8" width="7.28515625" style="46" bestFit="1" customWidth="1"/>
    <col min="9" max="9" width="3.85546875" style="46" bestFit="1" customWidth="1"/>
    <col min="10" max="12" width="3.28515625" style="46" bestFit="1" customWidth="1"/>
    <col min="13" max="13" width="18.5703125" style="46" customWidth="1"/>
    <col min="14" max="14" width="11.42578125" style="46"/>
    <col min="15" max="15" width="13.7109375" style="46" customWidth="1"/>
    <col min="16" max="16" width="17.7109375" style="46" customWidth="1"/>
    <col min="17" max="20" width="11.42578125" style="46"/>
    <col min="21" max="21" width="14.28515625" style="46" customWidth="1"/>
    <col min="22" max="22" width="12.140625" style="46" customWidth="1"/>
    <col min="23" max="23" width="11.7109375" style="46" bestFit="1" customWidth="1"/>
    <col min="24" max="28" width="11.42578125" style="46"/>
    <col min="29" max="29" width="14.140625" style="46" customWidth="1"/>
    <col min="30" max="33" width="11.42578125" style="46"/>
    <col min="34" max="34" width="17.85546875" style="46" bestFit="1" customWidth="1"/>
    <col min="35" max="35" width="16.85546875" style="47" customWidth="1"/>
    <col min="36" max="36" width="14" style="48" bestFit="1" customWidth="1"/>
    <col min="37" max="16384" width="11.42578125" style="46"/>
  </cols>
  <sheetData>
    <row r="1" spans="1:35" s="48" customFormat="1" x14ac:dyDescent="0.2">
      <c r="A1" s="45" t="s">
        <v>111</v>
      </c>
      <c r="B1" s="46"/>
      <c r="C1" s="46"/>
      <c r="D1" s="46"/>
      <c r="E1" s="46"/>
      <c r="F1" s="46"/>
      <c r="G1" s="46"/>
      <c r="H1" s="46"/>
      <c r="I1" s="46"/>
      <c r="J1" s="46"/>
      <c r="K1" s="46"/>
      <c r="L1" s="46"/>
      <c r="M1" s="46"/>
      <c r="N1" s="46"/>
      <c r="O1" s="46"/>
      <c r="P1" s="46"/>
      <c r="Q1" s="46"/>
      <c r="R1" s="46"/>
      <c r="S1" s="46"/>
      <c r="T1" s="46"/>
      <c r="U1" s="46"/>
      <c r="V1" s="46"/>
      <c r="W1" s="46"/>
      <c r="X1" s="46"/>
      <c r="Y1" s="46"/>
      <c r="Z1" s="46"/>
      <c r="AA1" s="46"/>
      <c r="AB1" s="46"/>
      <c r="AC1" s="46"/>
      <c r="AD1" s="46"/>
      <c r="AE1" s="46"/>
      <c r="AF1" s="46"/>
      <c r="AG1" s="46"/>
      <c r="AH1" s="46"/>
      <c r="AI1" s="47"/>
    </row>
    <row r="2" spans="1:35" s="1" customFormat="1" ht="15" customHeight="1" x14ac:dyDescent="0.25">
      <c r="A2" s="197" t="s">
        <v>0</v>
      </c>
      <c r="B2" s="196" t="s">
        <v>51</v>
      </c>
      <c r="C2" s="196" t="s">
        <v>1</v>
      </c>
      <c r="D2" s="196" t="s">
        <v>52</v>
      </c>
      <c r="E2" s="196" t="s">
        <v>53</v>
      </c>
      <c r="F2" s="196" t="s">
        <v>54</v>
      </c>
      <c r="G2" s="196" t="s">
        <v>2</v>
      </c>
      <c r="H2" s="36" t="s">
        <v>3</v>
      </c>
      <c r="I2" s="196" t="s">
        <v>4</v>
      </c>
      <c r="J2" s="199"/>
      <c r="K2" s="199"/>
      <c r="L2" s="199"/>
      <c r="M2" s="197" t="s">
        <v>5</v>
      </c>
      <c r="N2" s="197" t="s">
        <v>6</v>
      </c>
      <c r="O2" s="197" t="s">
        <v>7</v>
      </c>
      <c r="P2" s="200" t="s">
        <v>8</v>
      </c>
      <c r="Q2" s="201" t="s">
        <v>112</v>
      </c>
      <c r="R2" s="202" t="s">
        <v>9</v>
      </c>
      <c r="S2" s="202" t="s">
        <v>10</v>
      </c>
      <c r="T2" s="202" t="s">
        <v>11</v>
      </c>
      <c r="U2" s="203" t="s">
        <v>12</v>
      </c>
      <c r="V2" s="198" t="s">
        <v>13</v>
      </c>
      <c r="W2" s="216" t="s">
        <v>113</v>
      </c>
      <c r="X2" s="204" t="s">
        <v>14</v>
      </c>
      <c r="Y2" s="221" t="s">
        <v>15</v>
      </c>
      <c r="Z2" s="204" t="s">
        <v>16</v>
      </c>
      <c r="AA2" s="204" t="s">
        <v>17</v>
      </c>
      <c r="AB2" s="204" t="s">
        <v>18</v>
      </c>
      <c r="AC2" s="204" t="s">
        <v>19</v>
      </c>
      <c r="AD2" s="204" t="s">
        <v>20</v>
      </c>
      <c r="AE2" s="204" t="s">
        <v>21</v>
      </c>
      <c r="AF2" s="204" t="s">
        <v>22</v>
      </c>
      <c r="AG2" s="214" t="s">
        <v>23</v>
      </c>
      <c r="AH2" s="215" t="s">
        <v>24</v>
      </c>
      <c r="AI2" s="211" t="s">
        <v>98</v>
      </c>
    </row>
    <row r="3" spans="1:35" s="1" customFormat="1" ht="87.75" customHeight="1" x14ac:dyDescent="0.25">
      <c r="A3" s="197"/>
      <c r="B3" s="196"/>
      <c r="C3" s="196" t="s">
        <v>25</v>
      </c>
      <c r="D3" s="196" t="s">
        <v>26</v>
      </c>
      <c r="E3" s="196"/>
      <c r="F3" s="196"/>
      <c r="G3" s="196"/>
      <c r="H3" s="2" t="s">
        <v>30</v>
      </c>
      <c r="I3" s="2" t="s">
        <v>27</v>
      </c>
      <c r="J3" s="2" t="s">
        <v>28</v>
      </c>
      <c r="K3" s="2" t="s">
        <v>29</v>
      </c>
      <c r="L3" s="2" t="s">
        <v>30</v>
      </c>
      <c r="M3" s="197"/>
      <c r="N3" s="197"/>
      <c r="O3" s="197"/>
      <c r="P3" s="200"/>
      <c r="Q3" s="201"/>
      <c r="R3" s="202"/>
      <c r="S3" s="202"/>
      <c r="T3" s="202"/>
      <c r="U3" s="203"/>
      <c r="V3" s="198"/>
      <c r="W3" s="216"/>
      <c r="X3" s="204"/>
      <c r="Y3" s="221"/>
      <c r="Z3" s="204"/>
      <c r="AA3" s="204"/>
      <c r="AB3" s="204"/>
      <c r="AC3" s="204"/>
      <c r="AD3" s="204"/>
      <c r="AE3" s="204"/>
      <c r="AF3" s="204"/>
      <c r="AG3" s="214"/>
      <c r="AH3" s="215"/>
      <c r="AI3" s="212"/>
    </row>
    <row r="4" spans="1:35" s="11" customFormat="1" x14ac:dyDescent="0.2">
      <c r="A4" s="49" t="s">
        <v>55</v>
      </c>
      <c r="B4" s="25"/>
      <c r="C4" s="26"/>
      <c r="D4" s="26"/>
      <c r="E4" s="26"/>
      <c r="F4" s="26"/>
      <c r="G4" s="26"/>
      <c r="H4" s="27"/>
      <c r="I4" s="27"/>
      <c r="J4" s="27"/>
      <c r="K4" s="27"/>
      <c r="L4" s="27"/>
      <c r="M4" s="25"/>
      <c r="N4" s="25"/>
      <c r="O4" s="25"/>
      <c r="P4" s="25"/>
      <c r="Q4" s="28"/>
      <c r="R4" s="29"/>
      <c r="S4" s="29"/>
      <c r="T4" s="29"/>
      <c r="U4" s="30"/>
      <c r="V4" s="25"/>
      <c r="W4" s="28"/>
      <c r="X4" s="29"/>
      <c r="Y4" s="29"/>
      <c r="Z4" s="29"/>
      <c r="AA4" s="29"/>
      <c r="AB4" s="29"/>
      <c r="AC4" s="29"/>
      <c r="AD4" s="29"/>
      <c r="AE4" s="29"/>
      <c r="AF4" s="29"/>
      <c r="AG4" s="30"/>
      <c r="AH4" s="31">
        <f>SUM(AH5:AH10)</f>
        <v>0</v>
      </c>
      <c r="AI4" s="32">
        <v>292025707</v>
      </c>
    </row>
    <row r="5" spans="1:35" s="11" customFormat="1" ht="15" customHeight="1" x14ac:dyDescent="0.25">
      <c r="A5" s="50">
        <v>7</v>
      </c>
      <c r="B5" s="50">
        <v>1</v>
      </c>
      <c r="C5" s="213" t="s">
        <v>38</v>
      </c>
      <c r="D5" s="193" t="s">
        <v>32</v>
      </c>
      <c r="E5" s="205" t="s">
        <v>114</v>
      </c>
      <c r="F5" s="205" t="s">
        <v>115</v>
      </c>
      <c r="G5" s="43" t="s">
        <v>116</v>
      </c>
      <c r="H5" s="44"/>
      <c r="I5" s="44"/>
      <c r="J5" s="44"/>
      <c r="K5" s="44"/>
      <c r="L5" s="44"/>
      <c r="M5" s="4" t="s">
        <v>34</v>
      </c>
      <c r="N5" s="4" t="s">
        <v>35</v>
      </c>
      <c r="O5" s="4" t="s">
        <v>39</v>
      </c>
      <c r="P5" s="6" t="s">
        <v>117</v>
      </c>
      <c r="Q5" s="78"/>
      <c r="R5" s="79"/>
      <c r="S5" s="8">
        <f>+R5*Q5</f>
        <v>0</v>
      </c>
      <c r="T5" s="7">
        <f>+R5</f>
        <v>0</v>
      </c>
      <c r="U5" s="9">
        <f>S5</f>
        <v>0</v>
      </c>
      <c r="V5" s="6" t="s">
        <v>117</v>
      </c>
      <c r="W5" s="10"/>
      <c r="X5" s="7"/>
      <c r="Y5" s="7">
        <f t="shared" ref="Y5:Y10" si="0">+W5*X5</f>
        <v>0</v>
      </c>
      <c r="Z5" s="7"/>
      <c r="AA5" s="7">
        <f t="shared" ref="AA5:AA10" si="1">+Z5*W5</f>
        <v>0</v>
      </c>
      <c r="AB5" s="7"/>
      <c r="AC5" s="7">
        <f t="shared" ref="AC5:AC10" si="2">+AB5*W5</f>
        <v>0</v>
      </c>
      <c r="AD5" s="7"/>
      <c r="AE5" s="7">
        <f t="shared" ref="AE5:AE10" si="3">+AD5*W5</f>
        <v>0</v>
      </c>
      <c r="AF5" s="7">
        <f t="shared" ref="AF5:AG10" si="4">+X5+Z5+AB5+AD5</f>
        <v>0</v>
      </c>
      <c r="AG5" s="7">
        <f>+Y5+AA5+AC5+AE5</f>
        <v>0</v>
      </c>
      <c r="AH5" s="35">
        <f>+U5+AG5</f>
        <v>0</v>
      </c>
      <c r="AI5" s="56"/>
    </row>
    <row r="6" spans="1:35" s="11" customFormat="1" ht="31.5" customHeight="1" x14ac:dyDescent="0.25">
      <c r="A6" s="50">
        <v>7</v>
      </c>
      <c r="B6" s="50">
        <v>1</v>
      </c>
      <c r="C6" s="213"/>
      <c r="D6" s="194"/>
      <c r="E6" s="206"/>
      <c r="F6" s="206"/>
      <c r="G6" s="43" t="s">
        <v>118</v>
      </c>
      <c r="H6" s="44"/>
      <c r="I6" s="44"/>
      <c r="J6" s="44"/>
      <c r="K6" s="44"/>
      <c r="L6" s="44"/>
      <c r="M6" s="4" t="s">
        <v>34</v>
      </c>
      <c r="N6" s="4" t="s">
        <v>35</v>
      </c>
      <c r="O6" s="4" t="s">
        <v>39</v>
      </c>
      <c r="P6" s="6" t="s">
        <v>117</v>
      </c>
      <c r="Q6" s="78"/>
      <c r="R6" s="79"/>
      <c r="S6" s="8">
        <f>+R6*Q6</f>
        <v>0</v>
      </c>
      <c r="T6" s="7">
        <f>+R6</f>
        <v>0</v>
      </c>
      <c r="U6" s="9">
        <f>S6</f>
        <v>0</v>
      </c>
      <c r="V6" s="6" t="s">
        <v>117</v>
      </c>
      <c r="W6" s="10"/>
      <c r="X6" s="7"/>
      <c r="Y6" s="7">
        <f t="shared" si="0"/>
        <v>0</v>
      </c>
      <c r="Z6" s="7"/>
      <c r="AA6" s="7">
        <f t="shared" si="1"/>
        <v>0</v>
      </c>
      <c r="AB6" s="7"/>
      <c r="AC6" s="7">
        <f t="shared" si="2"/>
        <v>0</v>
      </c>
      <c r="AD6" s="7"/>
      <c r="AE6" s="7">
        <f t="shared" si="3"/>
        <v>0</v>
      </c>
      <c r="AF6" s="7">
        <f t="shared" si="4"/>
        <v>0</v>
      </c>
      <c r="AG6" s="7">
        <f>+Y6+AA6+AC6+AE6</f>
        <v>0</v>
      </c>
      <c r="AH6" s="35">
        <f>+U6+AG6</f>
        <v>0</v>
      </c>
      <c r="AI6" s="56"/>
    </row>
    <row r="7" spans="1:35" s="59" customFormat="1" ht="38.25" x14ac:dyDescent="0.25">
      <c r="A7" s="50">
        <v>7</v>
      </c>
      <c r="B7" s="50">
        <v>1</v>
      </c>
      <c r="C7" s="213"/>
      <c r="D7" s="194"/>
      <c r="E7" s="206"/>
      <c r="F7" s="207"/>
      <c r="G7" s="3" t="s">
        <v>119</v>
      </c>
      <c r="H7" s="5"/>
      <c r="I7" s="5"/>
      <c r="J7" s="5"/>
      <c r="K7" s="5"/>
      <c r="L7" s="5"/>
      <c r="M7" s="4" t="s">
        <v>34</v>
      </c>
      <c r="N7" s="4" t="s">
        <v>35</v>
      </c>
      <c r="O7" s="4" t="s">
        <v>39</v>
      </c>
      <c r="P7" s="6" t="s">
        <v>117</v>
      </c>
      <c r="Q7" s="78"/>
      <c r="R7" s="79"/>
      <c r="S7" s="8">
        <f t="shared" ref="S7:S10" si="5">+R7*Q7</f>
        <v>0</v>
      </c>
      <c r="T7" s="7">
        <f t="shared" ref="T7:T10" si="6">+R7</f>
        <v>0</v>
      </c>
      <c r="U7" s="9">
        <f t="shared" ref="U7:U10" si="7">S7</f>
        <v>0</v>
      </c>
      <c r="V7" s="6" t="s">
        <v>117</v>
      </c>
      <c r="W7" s="10"/>
      <c r="X7" s="7"/>
      <c r="Y7" s="7">
        <f t="shared" si="0"/>
        <v>0</v>
      </c>
      <c r="Z7" s="7"/>
      <c r="AA7" s="7">
        <f t="shared" si="1"/>
        <v>0</v>
      </c>
      <c r="AB7" s="7"/>
      <c r="AC7" s="7">
        <f t="shared" si="2"/>
        <v>0</v>
      </c>
      <c r="AD7" s="7"/>
      <c r="AE7" s="7">
        <f t="shared" si="3"/>
        <v>0</v>
      </c>
      <c r="AF7" s="7">
        <f t="shared" si="4"/>
        <v>0</v>
      </c>
      <c r="AG7" s="7">
        <f t="shared" si="4"/>
        <v>0</v>
      </c>
      <c r="AH7" s="35">
        <f>+U7+AG7</f>
        <v>0</v>
      </c>
      <c r="AI7" s="56"/>
    </row>
    <row r="8" spans="1:35" s="59" customFormat="1" ht="38.25" customHeight="1" x14ac:dyDescent="0.25">
      <c r="A8" s="60">
        <v>11</v>
      </c>
      <c r="B8" s="60">
        <v>1</v>
      </c>
      <c r="C8" s="61" t="s">
        <v>38</v>
      </c>
      <c r="D8" s="194"/>
      <c r="E8" s="206"/>
      <c r="F8" s="205" t="s">
        <v>120</v>
      </c>
      <c r="G8" s="3" t="s">
        <v>64</v>
      </c>
      <c r="H8" s="5"/>
      <c r="I8" s="5"/>
      <c r="J8" s="5"/>
      <c r="K8" s="5"/>
      <c r="L8" s="5"/>
      <c r="M8" s="4" t="s">
        <v>34</v>
      </c>
      <c r="N8" s="4" t="s">
        <v>35</v>
      </c>
      <c r="O8" s="4" t="s">
        <v>39</v>
      </c>
      <c r="P8" s="6" t="s">
        <v>117</v>
      </c>
      <c r="Q8" s="78"/>
      <c r="R8" s="79"/>
      <c r="S8" s="8">
        <f t="shared" si="5"/>
        <v>0</v>
      </c>
      <c r="T8" s="7">
        <f t="shared" si="6"/>
        <v>0</v>
      </c>
      <c r="U8" s="9">
        <f t="shared" si="7"/>
        <v>0</v>
      </c>
      <c r="V8" s="6" t="s">
        <v>117</v>
      </c>
      <c r="W8" s="10"/>
      <c r="X8" s="7"/>
      <c r="Y8" s="7">
        <f t="shared" si="0"/>
        <v>0</v>
      </c>
      <c r="Z8" s="7"/>
      <c r="AA8" s="7">
        <f t="shared" si="1"/>
        <v>0</v>
      </c>
      <c r="AB8" s="7"/>
      <c r="AC8" s="7">
        <f t="shared" si="2"/>
        <v>0</v>
      </c>
      <c r="AD8" s="7"/>
      <c r="AE8" s="7">
        <f t="shared" si="3"/>
        <v>0</v>
      </c>
      <c r="AF8" s="7">
        <f t="shared" si="4"/>
        <v>0</v>
      </c>
      <c r="AG8" s="7">
        <f t="shared" si="4"/>
        <v>0</v>
      </c>
      <c r="AH8" s="35">
        <f>+U8+AG8</f>
        <v>0</v>
      </c>
      <c r="AI8" s="56"/>
    </row>
    <row r="9" spans="1:35" s="59" customFormat="1" ht="38.25" x14ac:dyDescent="0.25">
      <c r="A9" s="60">
        <v>11</v>
      </c>
      <c r="B9" s="60">
        <v>1</v>
      </c>
      <c r="C9" s="61" t="s">
        <v>38</v>
      </c>
      <c r="D9" s="194"/>
      <c r="E9" s="206"/>
      <c r="F9" s="206"/>
      <c r="G9" s="3" t="s">
        <v>121</v>
      </c>
      <c r="H9" s="5"/>
      <c r="I9" s="5"/>
      <c r="J9" s="5"/>
      <c r="K9" s="5"/>
      <c r="L9" s="5"/>
      <c r="M9" s="4" t="s">
        <v>34</v>
      </c>
      <c r="N9" s="4" t="s">
        <v>35</v>
      </c>
      <c r="O9" s="4" t="s">
        <v>39</v>
      </c>
      <c r="P9" s="6" t="s">
        <v>117</v>
      </c>
      <c r="Q9" s="78"/>
      <c r="R9" s="79"/>
      <c r="S9" s="8">
        <f t="shared" si="5"/>
        <v>0</v>
      </c>
      <c r="T9" s="7">
        <f t="shared" si="6"/>
        <v>0</v>
      </c>
      <c r="U9" s="9">
        <f t="shared" si="7"/>
        <v>0</v>
      </c>
      <c r="V9" s="6" t="s">
        <v>117</v>
      </c>
      <c r="W9" s="10"/>
      <c r="X9" s="7"/>
      <c r="Y9" s="7">
        <f t="shared" si="0"/>
        <v>0</v>
      </c>
      <c r="Z9" s="7"/>
      <c r="AA9" s="7">
        <f t="shared" si="1"/>
        <v>0</v>
      </c>
      <c r="AB9" s="7"/>
      <c r="AC9" s="7">
        <f t="shared" si="2"/>
        <v>0</v>
      </c>
      <c r="AD9" s="7"/>
      <c r="AE9" s="7">
        <f t="shared" si="3"/>
        <v>0</v>
      </c>
      <c r="AF9" s="7">
        <f t="shared" si="4"/>
        <v>0</v>
      </c>
      <c r="AG9" s="7">
        <f t="shared" si="4"/>
        <v>0</v>
      </c>
      <c r="AH9" s="35">
        <f t="shared" ref="AH9:AH10" si="8">+U9+AG9</f>
        <v>0</v>
      </c>
      <c r="AI9" s="56"/>
    </row>
    <row r="10" spans="1:35" s="59" customFormat="1" ht="38.25" x14ac:dyDescent="0.25">
      <c r="A10" s="60">
        <v>11</v>
      </c>
      <c r="B10" s="60">
        <v>1</v>
      </c>
      <c r="C10" s="61" t="s">
        <v>38</v>
      </c>
      <c r="D10" s="195"/>
      <c r="E10" s="207"/>
      <c r="F10" s="207"/>
      <c r="G10" s="3" t="s">
        <v>66</v>
      </c>
      <c r="H10" s="5"/>
      <c r="I10" s="5"/>
      <c r="J10" s="5"/>
      <c r="K10" s="5"/>
      <c r="L10" s="5"/>
      <c r="M10" s="4" t="s">
        <v>34</v>
      </c>
      <c r="N10" s="4" t="s">
        <v>35</v>
      </c>
      <c r="O10" s="4" t="s">
        <v>39</v>
      </c>
      <c r="P10" s="6" t="s">
        <v>117</v>
      </c>
      <c r="Q10" s="78"/>
      <c r="R10" s="79"/>
      <c r="S10" s="8">
        <f t="shared" si="5"/>
        <v>0</v>
      </c>
      <c r="T10" s="7">
        <f t="shared" si="6"/>
        <v>0</v>
      </c>
      <c r="U10" s="9">
        <f t="shared" si="7"/>
        <v>0</v>
      </c>
      <c r="V10" s="6" t="s">
        <v>117</v>
      </c>
      <c r="W10" s="10"/>
      <c r="X10" s="7"/>
      <c r="Y10" s="7">
        <f t="shared" si="0"/>
        <v>0</v>
      </c>
      <c r="Z10" s="7"/>
      <c r="AA10" s="7">
        <f t="shared" si="1"/>
        <v>0</v>
      </c>
      <c r="AB10" s="7"/>
      <c r="AC10" s="7">
        <f t="shared" si="2"/>
        <v>0</v>
      </c>
      <c r="AD10" s="7"/>
      <c r="AE10" s="7">
        <f t="shared" si="3"/>
        <v>0</v>
      </c>
      <c r="AF10" s="7">
        <f t="shared" si="4"/>
        <v>0</v>
      </c>
      <c r="AG10" s="7">
        <f t="shared" si="4"/>
        <v>0</v>
      </c>
      <c r="AH10" s="35">
        <f t="shared" si="8"/>
        <v>0</v>
      </c>
      <c r="AI10" s="56"/>
    </row>
    <row r="11" spans="1:35" s="11" customFormat="1" x14ac:dyDescent="0.2">
      <c r="A11" s="62" t="s">
        <v>56</v>
      </c>
      <c r="B11" s="25"/>
      <c r="C11" s="26"/>
      <c r="D11" s="26"/>
      <c r="E11" s="26"/>
      <c r="F11" s="26"/>
      <c r="G11" s="38"/>
      <c r="H11" s="39"/>
      <c r="I11" s="39"/>
      <c r="J11" s="39"/>
      <c r="K11" s="39"/>
      <c r="L11" s="39"/>
      <c r="M11" s="37"/>
      <c r="N11" s="37"/>
      <c r="O11" s="37"/>
      <c r="P11" s="37"/>
      <c r="Q11" s="40"/>
      <c r="R11" s="41"/>
      <c r="S11" s="41"/>
      <c r="T11" s="41"/>
      <c r="U11" s="42"/>
      <c r="V11" s="37"/>
      <c r="W11" s="40"/>
      <c r="X11" s="41"/>
      <c r="Y11" s="41"/>
      <c r="Z11" s="41"/>
      <c r="AA11" s="41"/>
      <c r="AB11" s="41"/>
      <c r="AC11" s="41"/>
      <c r="AD11" s="41"/>
      <c r="AE11" s="41"/>
      <c r="AF11" s="41"/>
      <c r="AG11" s="30"/>
      <c r="AH11" s="31">
        <f>SUM(AH12:AH23)</f>
        <v>0</v>
      </c>
      <c r="AI11" s="32">
        <v>87607708</v>
      </c>
    </row>
    <row r="12" spans="1:35" s="11" customFormat="1" ht="38.25" x14ac:dyDescent="0.25">
      <c r="A12" s="190">
        <v>13</v>
      </c>
      <c r="B12" s="190">
        <v>1</v>
      </c>
      <c r="C12" s="193" t="s">
        <v>38</v>
      </c>
      <c r="D12" s="193" t="s">
        <v>32</v>
      </c>
      <c r="E12" s="205" t="s">
        <v>122</v>
      </c>
      <c r="F12" s="208" t="s">
        <v>123</v>
      </c>
      <c r="G12" s="43" t="s">
        <v>181</v>
      </c>
      <c r="H12" s="5"/>
      <c r="I12" s="5"/>
      <c r="J12" s="5"/>
      <c r="K12" s="5"/>
      <c r="L12" s="5"/>
      <c r="M12" s="4" t="s">
        <v>34</v>
      </c>
      <c r="N12" s="4" t="s">
        <v>35</v>
      </c>
      <c r="O12" s="4" t="s">
        <v>41</v>
      </c>
      <c r="P12" s="6" t="s">
        <v>124</v>
      </c>
      <c r="Q12" s="155"/>
      <c r="R12" s="155"/>
      <c r="S12" s="137">
        <f>+SUM(S13:S16)</f>
        <v>0</v>
      </c>
      <c r="T12" s="137">
        <f>+SUM(T13:T16)</f>
        <v>0</v>
      </c>
      <c r="U12" s="137">
        <f>+SUM(U13:U16)</f>
        <v>0</v>
      </c>
      <c r="V12" s="138" t="s">
        <v>124</v>
      </c>
      <c r="W12" s="139"/>
      <c r="X12" s="137">
        <f>+SUM(X13:X16)</f>
        <v>0</v>
      </c>
      <c r="Y12" s="137">
        <f t="shared" ref="Y12:AG12" si="9">+SUM(Y13:Y16)</f>
        <v>0</v>
      </c>
      <c r="Z12" s="137">
        <f t="shared" si="9"/>
        <v>0</v>
      </c>
      <c r="AA12" s="137">
        <f t="shared" si="9"/>
        <v>0</v>
      </c>
      <c r="AB12" s="137">
        <f t="shared" si="9"/>
        <v>0</v>
      </c>
      <c r="AC12" s="137">
        <f t="shared" si="9"/>
        <v>0</v>
      </c>
      <c r="AD12" s="137">
        <f t="shared" si="9"/>
        <v>0</v>
      </c>
      <c r="AE12" s="137">
        <f t="shared" si="9"/>
        <v>0</v>
      </c>
      <c r="AF12" s="137">
        <f t="shared" si="9"/>
        <v>0</v>
      </c>
      <c r="AG12" s="137">
        <f t="shared" si="9"/>
        <v>0</v>
      </c>
      <c r="AH12" s="35">
        <f t="shared" ref="AH12:AH23" si="10">+U12+AG12</f>
        <v>0</v>
      </c>
      <c r="AI12" s="56"/>
    </row>
    <row r="13" spans="1:35" s="11" customFormat="1" x14ac:dyDescent="0.25">
      <c r="A13" s="191"/>
      <c r="B13" s="191"/>
      <c r="C13" s="194"/>
      <c r="D13" s="194"/>
      <c r="E13" s="206"/>
      <c r="F13" s="209"/>
      <c r="G13" s="43" t="s">
        <v>182</v>
      </c>
      <c r="H13" s="5"/>
      <c r="I13" s="5"/>
      <c r="J13" s="5"/>
      <c r="K13" s="5"/>
      <c r="L13" s="5"/>
      <c r="M13" s="4"/>
      <c r="N13" s="4"/>
      <c r="O13" s="4"/>
      <c r="P13" s="6"/>
      <c r="Q13" s="148"/>
      <c r="R13" s="148"/>
      <c r="S13" s="137">
        <f>+Q13*R13</f>
        <v>0</v>
      </c>
      <c r="T13" s="137">
        <f>+R13</f>
        <v>0</v>
      </c>
      <c r="U13" s="137">
        <f t="shared" ref="U13:U23" si="11">S13</f>
        <v>0</v>
      </c>
      <c r="V13" s="138"/>
      <c r="W13" s="139"/>
      <c r="X13" s="139"/>
      <c r="Y13" s="137">
        <f>+$W13*X13</f>
        <v>0</v>
      </c>
      <c r="Z13" s="139"/>
      <c r="AA13" s="137">
        <f>+$W13*Z13</f>
        <v>0</v>
      </c>
      <c r="AB13" s="139"/>
      <c r="AC13" s="137">
        <f>+$W13*AB13</f>
        <v>0</v>
      </c>
      <c r="AD13" s="139"/>
      <c r="AE13" s="137">
        <f>+$W13*AD13</f>
        <v>0</v>
      </c>
      <c r="AF13" s="137"/>
      <c r="AG13" s="137">
        <f t="shared" ref="AF13:AG23" si="12">+Y13+AA13+AC13+AE13</f>
        <v>0</v>
      </c>
      <c r="AH13" s="35"/>
      <c r="AI13" s="56"/>
    </row>
    <row r="14" spans="1:35" s="11" customFormat="1" x14ac:dyDescent="0.25">
      <c r="A14" s="191"/>
      <c r="B14" s="191"/>
      <c r="C14" s="194"/>
      <c r="D14" s="194"/>
      <c r="E14" s="206"/>
      <c r="F14" s="209"/>
      <c r="G14" s="43" t="s">
        <v>183</v>
      </c>
      <c r="H14" s="5"/>
      <c r="I14" s="5"/>
      <c r="J14" s="5"/>
      <c r="K14" s="5"/>
      <c r="L14" s="5"/>
      <c r="M14" s="4"/>
      <c r="N14" s="4"/>
      <c r="O14" s="4"/>
      <c r="P14" s="6"/>
      <c r="Q14" s="148"/>
      <c r="R14" s="148"/>
      <c r="S14" s="137">
        <f t="shared" ref="S14:S21" si="13">+Q14*R14</f>
        <v>0</v>
      </c>
      <c r="T14" s="137">
        <f t="shared" ref="T14:T21" si="14">+R14</f>
        <v>0</v>
      </c>
      <c r="U14" s="137">
        <f t="shared" si="11"/>
        <v>0</v>
      </c>
      <c r="V14" s="138"/>
      <c r="W14" s="139"/>
      <c r="X14" s="139"/>
      <c r="Y14" s="137">
        <f t="shared" ref="Y14:Y21" si="15">+$W14*X14</f>
        <v>0</v>
      </c>
      <c r="Z14" s="139"/>
      <c r="AA14" s="137">
        <f t="shared" ref="AA14:AA21" si="16">+$W14*Z14</f>
        <v>0</v>
      </c>
      <c r="AB14" s="139"/>
      <c r="AC14" s="137">
        <f t="shared" ref="AC14:AC21" si="17">+$W14*AB14</f>
        <v>0</v>
      </c>
      <c r="AD14" s="139"/>
      <c r="AE14" s="137">
        <f t="shared" ref="AE14:AE21" si="18">+$W14*AD14</f>
        <v>0</v>
      </c>
      <c r="AF14" s="137"/>
      <c r="AG14" s="137">
        <f t="shared" si="12"/>
        <v>0</v>
      </c>
      <c r="AH14" s="35"/>
      <c r="AI14" s="56"/>
    </row>
    <row r="15" spans="1:35" s="11" customFormat="1" x14ac:dyDescent="0.25">
      <c r="A15" s="191"/>
      <c r="B15" s="191"/>
      <c r="C15" s="194"/>
      <c r="D15" s="194"/>
      <c r="E15" s="206"/>
      <c r="F15" s="209"/>
      <c r="G15" s="43" t="s">
        <v>184</v>
      </c>
      <c r="H15" s="5"/>
      <c r="I15" s="5"/>
      <c r="J15" s="5"/>
      <c r="K15" s="5"/>
      <c r="L15" s="5"/>
      <c r="M15" s="4"/>
      <c r="N15" s="4"/>
      <c r="O15" s="4"/>
      <c r="P15" s="6"/>
      <c r="Q15" s="148"/>
      <c r="R15" s="148"/>
      <c r="S15" s="137">
        <f t="shared" si="13"/>
        <v>0</v>
      </c>
      <c r="T15" s="137">
        <f t="shared" si="14"/>
        <v>0</v>
      </c>
      <c r="U15" s="137">
        <f t="shared" si="11"/>
        <v>0</v>
      </c>
      <c r="V15" s="138"/>
      <c r="W15" s="139"/>
      <c r="X15" s="139"/>
      <c r="Y15" s="137">
        <f t="shared" si="15"/>
        <v>0</v>
      </c>
      <c r="Z15" s="139"/>
      <c r="AA15" s="137">
        <f t="shared" si="16"/>
        <v>0</v>
      </c>
      <c r="AB15" s="139"/>
      <c r="AC15" s="137">
        <f t="shared" si="17"/>
        <v>0</v>
      </c>
      <c r="AD15" s="139"/>
      <c r="AE15" s="137">
        <f t="shared" si="18"/>
        <v>0</v>
      </c>
      <c r="AF15" s="137"/>
      <c r="AG15" s="137">
        <f t="shared" si="12"/>
        <v>0</v>
      </c>
      <c r="AH15" s="35"/>
      <c r="AI15" s="56"/>
    </row>
    <row r="16" spans="1:35" s="11" customFormat="1" x14ac:dyDescent="0.25">
      <c r="A16" s="192"/>
      <c r="B16" s="192"/>
      <c r="C16" s="195"/>
      <c r="D16" s="194"/>
      <c r="E16" s="206"/>
      <c r="F16" s="209"/>
      <c r="G16" s="43" t="s">
        <v>185</v>
      </c>
      <c r="H16" s="5"/>
      <c r="I16" s="5"/>
      <c r="J16" s="5"/>
      <c r="K16" s="5"/>
      <c r="L16" s="5"/>
      <c r="M16" s="4"/>
      <c r="N16" s="4"/>
      <c r="O16" s="4"/>
      <c r="P16" s="6"/>
      <c r="Q16" s="148"/>
      <c r="R16" s="148"/>
      <c r="S16" s="137">
        <f t="shared" si="13"/>
        <v>0</v>
      </c>
      <c r="T16" s="137">
        <f t="shared" si="14"/>
        <v>0</v>
      </c>
      <c r="U16" s="137">
        <f t="shared" si="11"/>
        <v>0</v>
      </c>
      <c r="V16" s="138"/>
      <c r="W16" s="139"/>
      <c r="X16" s="139"/>
      <c r="Y16" s="137">
        <f t="shared" si="15"/>
        <v>0</v>
      </c>
      <c r="Z16" s="139"/>
      <c r="AA16" s="137">
        <f t="shared" si="16"/>
        <v>0</v>
      </c>
      <c r="AB16" s="139"/>
      <c r="AC16" s="137">
        <f t="shared" si="17"/>
        <v>0</v>
      </c>
      <c r="AD16" s="139"/>
      <c r="AE16" s="137">
        <f t="shared" si="18"/>
        <v>0</v>
      </c>
      <c r="AF16" s="137"/>
      <c r="AG16" s="137">
        <f t="shared" si="12"/>
        <v>0</v>
      </c>
      <c r="AH16" s="35"/>
      <c r="AI16" s="56"/>
    </row>
    <row r="17" spans="1:36" s="11" customFormat="1" ht="38.25" x14ac:dyDescent="0.25">
      <c r="A17" s="190">
        <v>13</v>
      </c>
      <c r="B17" s="190">
        <v>1</v>
      </c>
      <c r="C17" s="193" t="s">
        <v>38</v>
      </c>
      <c r="D17" s="194"/>
      <c r="E17" s="206"/>
      <c r="F17" s="209"/>
      <c r="G17" s="43" t="s">
        <v>173</v>
      </c>
      <c r="H17" s="5"/>
      <c r="I17" s="5"/>
      <c r="J17" s="5"/>
      <c r="K17" s="5"/>
      <c r="L17" s="5"/>
      <c r="M17" s="4" t="s">
        <v>34</v>
      </c>
      <c r="N17" s="4" t="s">
        <v>35</v>
      </c>
      <c r="O17" s="4" t="s">
        <v>41</v>
      </c>
      <c r="P17" s="6" t="s">
        <v>125</v>
      </c>
      <c r="Q17" s="152"/>
      <c r="R17" s="152"/>
      <c r="S17" s="137">
        <f>+SUM(S18:S21)</f>
        <v>0</v>
      </c>
      <c r="T17" s="137">
        <f>+SUM(T18:T21)</f>
        <v>0</v>
      </c>
      <c r="U17" s="137">
        <f>+SUM(U18:U21)</f>
        <v>0</v>
      </c>
      <c r="V17" s="138" t="s">
        <v>125</v>
      </c>
      <c r="W17" s="139"/>
      <c r="X17" s="137"/>
      <c r="Y17" s="137">
        <f t="shared" ref="Y17" si="19">+SUM(Y18:Y21)</f>
        <v>0</v>
      </c>
      <c r="Z17" s="137">
        <f t="shared" ref="Z17" si="20">+SUM(Z18:Z21)</f>
        <v>0</v>
      </c>
      <c r="AA17" s="137">
        <f t="shared" ref="AA17" si="21">+SUM(AA18:AA21)</f>
        <v>0</v>
      </c>
      <c r="AB17" s="137">
        <f t="shared" ref="AB17" si="22">+SUM(AB18:AB21)</f>
        <v>0</v>
      </c>
      <c r="AC17" s="137">
        <f t="shared" ref="AC17" si="23">+SUM(AC18:AC21)</f>
        <v>0</v>
      </c>
      <c r="AD17" s="137">
        <f t="shared" ref="AD17" si="24">+SUM(AD18:AD21)</f>
        <v>0</v>
      </c>
      <c r="AE17" s="137">
        <f t="shared" ref="AE17:AG17" si="25">+SUM(AE18:AE21)</f>
        <v>0</v>
      </c>
      <c r="AF17" s="137">
        <f t="shared" si="25"/>
        <v>0</v>
      </c>
      <c r="AG17" s="137">
        <f t="shared" si="25"/>
        <v>0</v>
      </c>
      <c r="AH17" s="35">
        <f t="shared" si="10"/>
        <v>0</v>
      </c>
      <c r="AI17" s="56"/>
    </row>
    <row r="18" spans="1:36" s="11" customFormat="1" x14ac:dyDescent="0.25">
      <c r="A18" s="191"/>
      <c r="B18" s="191"/>
      <c r="C18" s="194"/>
      <c r="D18" s="194"/>
      <c r="E18" s="206"/>
      <c r="F18" s="209"/>
      <c r="G18" s="43" t="s">
        <v>182</v>
      </c>
      <c r="H18" s="5"/>
      <c r="I18" s="5"/>
      <c r="J18" s="5"/>
      <c r="K18" s="5"/>
      <c r="L18" s="5"/>
      <c r="M18" s="4"/>
      <c r="N18" s="4"/>
      <c r="O18" s="4"/>
      <c r="P18" s="6"/>
      <c r="Q18" s="148"/>
      <c r="R18" s="148"/>
      <c r="S18" s="137">
        <f t="shared" si="13"/>
        <v>0</v>
      </c>
      <c r="T18" s="137">
        <f t="shared" si="14"/>
        <v>0</v>
      </c>
      <c r="U18" s="137">
        <f t="shared" si="11"/>
        <v>0</v>
      </c>
      <c r="V18" s="138"/>
      <c r="W18" s="139"/>
      <c r="X18" s="139"/>
      <c r="Y18" s="137">
        <f t="shared" si="15"/>
        <v>0</v>
      </c>
      <c r="Z18" s="139"/>
      <c r="AA18" s="137">
        <f t="shared" si="16"/>
        <v>0</v>
      </c>
      <c r="AB18" s="139"/>
      <c r="AC18" s="137">
        <f t="shared" si="17"/>
        <v>0</v>
      </c>
      <c r="AD18" s="139"/>
      <c r="AE18" s="137">
        <f t="shared" si="18"/>
        <v>0</v>
      </c>
      <c r="AF18" s="137"/>
      <c r="AG18" s="137">
        <f t="shared" si="12"/>
        <v>0</v>
      </c>
      <c r="AH18" s="35"/>
      <c r="AI18" s="56"/>
    </row>
    <row r="19" spans="1:36" s="11" customFormat="1" x14ac:dyDescent="0.25">
      <c r="A19" s="191"/>
      <c r="B19" s="191"/>
      <c r="C19" s="194"/>
      <c r="D19" s="194"/>
      <c r="E19" s="206"/>
      <c r="F19" s="209"/>
      <c r="G19" s="43" t="s">
        <v>183</v>
      </c>
      <c r="H19" s="5"/>
      <c r="I19" s="5"/>
      <c r="J19" s="5"/>
      <c r="K19" s="5"/>
      <c r="L19" s="5"/>
      <c r="M19" s="4"/>
      <c r="N19" s="4"/>
      <c r="O19" s="4"/>
      <c r="P19" s="6"/>
      <c r="Q19" s="148"/>
      <c r="R19" s="148"/>
      <c r="S19" s="137">
        <f t="shared" si="13"/>
        <v>0</v>
      </c>
      <c r="T19" s="137">
        <f t="shared" si="14"/>
        <v>0</v>
      </c>
      <c r="U19" s="137">
        <f t="shared" si="11"/>
        <v>0</v>
      </c>
      <c r="V19" s="138"/>
      <c r="W19" s="139"/>
      <c r="X19" s="139"/>
      <c r="Y19" s="137">
        <f t="shared" si="15"/>
        <v>0</v>
      </c>
      <c r="Z19" s="139"/>
      <c r="AA19" s="137">
        <f t="shared" si="16"/>
        <v>0</v>
      </c>
      <c r="AB19" s="139"/>
      <c r="AC19" s="137">
        <f t="shared" si="17"/>
        <v>0</v>
      </c>
      <c r="AD19" s="139"/>
      <c r="AE19" s="137">
        <f t="shared" si="18"/>
        <v>0</v>
      </c>
      <c r="AF19" s="137"/>
      <c r="AG19" s="137">
        <f t="shared" si="12"/>
        <v>0</v>
      </c>
      <c r="AH19" s="35"/>
      <c r="AI19" s="56"/>
    </row>
    <row r="20" spans="1:36" s="11" customFormat="1" x14ac:dyDescent="0.25">
      <c r="A20" s="191"/>
      <c r="B20" s="191"/>
      <c r="C20" s="194"/>
      <c r="D20" s="194"/>
      <c r="E20" s="206"/>
      <c r="F20" s="209"/>
      <c r="G20" s="43" t="s">
        <v>184</v>
      </c>
      <c r="H20" s="5"/>
      <c r="I20" s="5"/>
      <c r="J20" s="5"/>
      <c r="K20" s="5"/>
      <c r="L20" s="5"/>
      <c r="M20" s="4"/>
      <c r="N20" s="4"/>
      <c r="O20" s="4"/>
      <c r="P20" s="6"/>
      <c r="Q20" s="148"/>
      <c r="R20" s="148"/>
      <c r="S20" s="137">
        <f t="shared" si="13"/>
        <v>0</v>
      </c>
      <c r="T20" s="137">
        <f t="shared" si="14"/>
        <v>0</v>
      </c>
      <c r="U20" s="137">
        <f t="shared" si="11"/>
        <v>0</v>
      </c>
      <c r="V20" s="138"/>
      <c r="W20" s="139"/>
      <c r="X20" s="139"/>
      <c r="Y20" s="137">
        <f t="shared" si="15"/>
        <v>0</v>
      </c>
      <c r="Z20" s="139"/>
      <c r="AA20" s="137">
        <f t="shared" si="16"/>
        <v>0</v>
      </c>
      <c r="AB20" s="139"/>
      <c r="AC20" s="137">
        <f t="shared" si="17"/>
        <v>0</v>
      </c>
      <c r="AD20" s="139"/>
      <c r="AE20" s="137">
        <f t="shared" si="18"/>
        <v>0</v>
      </c>
      <c r="AF20" s="137"/>
      <c r="AG20" s="137">
        <f t="shared" si="12"/>
        <v>0</v>
      </c>
      <c r="AH20" s="35"/>
      <c r="AI20" s="56"/>
    </row>
    <row r="21" spans="1:36" s="11" customFormat="1" x14ac:dyDescent="0.25">
      <c r="A21" s="192"/>
      <c r="B21" s="192"/>
      <c r="C21" s="195"/>
      <c r="D21" s="194"/>
      <c r="E21" s="206"/>
      <c r="F21" s="209"/>
      <c r="G21" s="43" t="s">
        <v>185</v>
      </c>
      <c r="H21" s="5"/>
      <c r="I21" s="5"/>
      <c r="J21" s="5"/>
      <c r="K21" s="5"/>
      <c r="L21" s="5"/>
      <c r="M21" s="4"/>
      <c r="N21" s="4"/>
      <c r="O21" s="4"/>
      <c r="P21" s="6"/>
      <c r="Q21" s="148"/>
      <c r="R21" s="148"/>
      <c r="S21" s="137">
        <f t="shared" si="13"/>
        <v>0</v>
      </c>
      <c r="T21" s="137">
        <f t="shared" si="14"/>
        <v>0</v>
      </c>
      <c r="U21" s="137">
        <f t="shared" si="11"/>
        <v>0</v>
      </c>
      <c r="V21" s="138"/>
      <c r="W21" s="139"/>
      <c r="X21" s="139"/>
      <c r="Y21" s="137">
        <f t="shared" si="15"/>
        <v>0</v>
      </c>
      <c r="Z21" s="139"/>
      <c r="AA21" s="137">
        <f t="shared" si="16"/>
        <v>0</v>
      </c>
      <c r="AB21" s="139"/>
      <c r="AC21" s="137">
        <f t="shared" si="17"/>
        <v>0</v>
      </c>
      <c r="AD21" s="139"/>
      <c r="AE21" s="137">
        <f t="shared" si="18"/>
        <v>0</v>
      </c>
      <c r="AF21" s="137"/>
      <c r="AG21" s="137">
        <f t="shared" si="12"/>
        <v>0</v>
      </c>
      <c r="AH21" s="35"/>
      <c r="AI21" s="56"/>
    </row>
    <row r="22" spans="1:36" s="11" customFormat="1" ht="38.25" x14ac:dyDescent="0.25">
      <c r="A22" s="60">
        <v>13</v>
      </c>
      <c r="B22" s="60">
        <v>1</v>
      </c>
      <c r="C22" s="63" t="s">
        <v>38</v>
      </c>
      <c r="D22" s="194"/>
      <c r="E22" s="206"/>
      <c r="F22" s="209"/>
      <c r="G22" s="43" t="s">
        <v>126</v>
      </c>
      <c r="H22" s="5"/>
      <c r="I22" s="5"/>
      <c r="J22" s="5"/>
      <c r="K22" s="5"/>
      <c r="L22" s="5"/>
      <c r="M22" s="4" t="s">
        <v>34</v>
      </c>
      <c r="N22" s="4" t="s">
        <v>35</v>
      </c>
      <c r="O22" s="4" t="s">
        <v>41</v>
      </c>
      <c r="P22" s="6" t="s">
        <v>127</v>
      </c>
      <c r="Q22" s="132"/>
      <c r="R22" s="133"/>
      <c r="S22" s="8">
        <f t="shared" ref="S22:S23" si="26">+R22*Q22</f>
        <v>0</v>
      </c>
      <c r="T22" s="7">
        <f t="shared" ref="T22:T23" si="27">+R22</f>
        <v>0</v>
      </c>
      <c r="U22" s="9">
        <f t="shared" si="11"/>
        <v>0</v>
      </c>
      <c r="V22" s="6" t="s">
        <v>127</v>
      </c>
      <c r="W22" s="10"/>
      <c r="X22" s="7"/>
      <c r="Y22" s="7">
        <f t="shared" ref="Y22:Y23" si="28">+W22*X22</f>
        <v>0</v>
      </c>
      <c r="Z22" s="7"/>
      <c r="AA22" s="7">
        <f t="shared" ref="AA22:AA23" si="29">+Z22*W22</f>
        <v>0</v>
      </c>
      <c r="AB22" s="7"/>
      <c r="AC22" s="7">
        <f t="shared" ref="AC22:AC23" si="30">+AB22*W22</f>
        <v>0</v>
      </c>
      <c r="AD22" s="7"/>
      <c r="AE22" s="7">
        <f t="shared" ref="AE22:AE23" si="31">+AD22*W22</f>
        <v>0</v>
      </c>
      <c r="AF22" s="7">
        <f t="shared" si="12"/>
        <v>0</v>
      </c>
      <c r="AG22" s="7">
        <f t="shared" si="12"/>
        <v>0</v>
      </c>
      <c r="AH22" s="35">
        <f t="shared" si="10"/>
        <v>0</v>
      </c>
      <c r="AI22" s="56"/>
    </row>
    <row r="23" spans="1:36" s="59" customFormat="1" ht="150.75" customHeight="1" x14ac:dyDescent="0.25">
      <c r="A23" s="60">
        <v>13</v>
      </c>
      <c r="B23" s="60">
        <v>1</v>
      </c>
      <c r="C23" s="63" t="s">
        <v>38</v>
      </c>
      <c r="D23" s="195"/>
      <c r="E23" s="207"/>
      <c r="F23" s="210"/>
      <c r="G23" s="43" t="s">
        <v>128</v>
      </c>
      <c r="H23" s="5"/>
      <c r="I23" s="5"/>
      <c r="J23" s="5"/>
      <c r="K23" s="5"/>
      <c r="L23" s="5"/>
      <c r="M23" s="4" t="s">
        <v>34</v>
      </c>
      <c r="N23" s="4" t="s">
        <v>35</v>
      </c>
      <c r="O23" s="4" t="s">
        <v>41</v>
      </c>
      <c r="P23" s="6" t="s">
        <v>129</v>
      </c>
      <c r="Q23" s="132"/>
      <c r="R23" s="133"/>
      <c r="S23" s="8">
        <f t="shared" si="26"/>
        <v>0</v>
      </c>
      <c r="T23" s="7">
        <f t="shared" si="27"/>
        <v>0</v>
      </c>
      <c r="U23" s="9">
        <f t="shared" si="11"/>
        <v>0</v>
      </c>
      <c r="V23" s="6" t="s">
        <v>129</v>
      </c>
      <c r="W23" s="10"/>
      <c r="X23" s="7"/>
      <c r="Y23" s="7">
        <f t="shared" si="28"/>
        <v>0</v>
      </c>
      <c r="Z23" s="7"/>
      <c r="AA23" s="7">
        <f t="shared" si="29"/>
        <v>0</v>
      </c>
      <c r="AB23" s="7"/>
      <c r="AC23" s="7">
        <f t="shared" si="30"/>
        <v>0</v>
      </c>
      <c r="AD23" s="7"/>
      <c r="AE23" s="7">
        <f t="shared" si="31"/>
        <v>0</v>
      </c>
      <c r="AF23" s="7">
        <f t="shared" si="12"/>
        <v>0</v>
      </c>
      <c r="AG23" s="7">
        <f t="shared" si="12"/>
        <v>0</v>
      </c>
      <c r="AH23" s="35">
        <f t="shared" si="10"/>
        <v>0</v>
      </c>
      <c r="AI23" s="56"/>
    </row>
    <row r="24" spans="1:36" s="11" customFormat="1" x14ac:dyDescent="0.2">
      <c r="A24" s="49" t="s">
        <v>57</v>
      </c>
      <c r="B24" s="25"/>
      <c r="C24" s="26"/>
      <c r="D24" s="26"/>
      <c r="E24" s="26"/>
      <c r="F24" s="26"/>
      <c r="G24" s="38"/>
      <c r="H24" s="39"/>
      <c r="I24" s="39"/>
      <c r="J24" s="39"/>
      <c r="K24" s="39"/>
      <c r="L24" s="39"/>
      <c r="M24" s="37"/>
      <c r="N24" s="37"/>
      <c r="O24" s="37"/>
      <c r="P24" s="34"/>
      <c r="Q24" s="40"/>
      <c r="R24" s="41"/>
      <c r="S24" s="41"/>
      <c r="T24" s="41"/>
      <c r="U24" s="42"/>
      <c r="V24" s="37"/>
      <c r="W24" s="40"/>
      <c r="X24" s="41"/>
      <c r="Y24" s="41"/>
      <c r="Z24" s="41"/>
      <c r="AA24" s="41"/>
      <c r="AB24" s="41"/>
      <c r="AC24" s="41"/>
      <c r="AD24" s="41"/>
      <c r="AE24" s="41"/>
      <c r="AF24" s="41"/>
      <c r="AG24" s="30"/>
      <c r="AH24" s="31">
        <f>SUM(AH25)</f>
        <v>0</v>
      </c>
      <c r="AI24" s="32">
        <v>37546163</v>
      </c>
    </row>
    <row r="25" spans="1:36" s="59" customFormat="1" ht="89.25" x14ac:dyDescent="0.25">
      <c r="A25" s="60">
        <v>8</v>
      </c>
      <c r="B25" s="60">
        <v>1</v>
      </c>
      <c r="C25" s="63" t="s">
        <v>38</v>
      </c>
      <c r="D25" s="63" t="s">
        <v>32</v>
      </c>
      <c r="E25" s="57" t="s">
        <v>122</v>
      </c>
      <c r="F25" s="57" t="s">
        <v>130</v>
      </c>
      <c r="G25" s="3"/>
      <c r="H25" s="5"/>
      <c r="I25" s="5"/>
      <c r="J25" s="5"/>
      <c r="K25" s="5"/>
      <c r="L25" s="5"/>
      <c r="M25" s="4" t="s">
        <v>34</v>
      </c>
      <c r="N25" s="4" t="s">
        <v>35</v>
      </c>
      <c r="O25" s="4" t="s">
        <v>40</v>
      </c>
      <c r="P25" s="6"/>
      <c r="Q25" s="78"/>
      <c r="R25" s="79"/>
      <c r="S25" s="8">
        <f t="shared" ref="S25" si="32">+R25*Q25</f>
        <v>0</v>
      </c>
      <c r="T25" s="7">
        <f t="shared" ref="T25" si="33">+R25</f>
        <v>0</v>
      </c>
      <c r="U25" s="9">
        <f t="shared" ref="U25" si="34">S25</f>
        <v>0</v>
      </c>
      <c r="V25" s="6"/>
      <c r="W25" s="10"/>
      <c r="X25" s="7"/>
      <c r="Y25" s="7">
        <f t="shared" ref="Y25" si="35">+W25*X25</f>
        <v>0</v>
      </c>
      <c r="Z25" s="7"/>
      <c r="AA25" s="7">
        <f t="shared" ref="AA25" si="36">+Z25*W25</f>
        <v>0</v>
      </c>
      <c r="AB25" s="7"/>
      <c r="AC25" s="7">
        <f t="shared" ref="AC25" si="37">+AB25*W25</f>
        <v>0</v>
      </c>
      <c r="AD25" s="7"/>
      <c r="AE25" s="7">
        <f t="shared" ref="AE25" si="38">+AD25*W25</f>
        <v>0</v>
      </c>
      <c r="AF25" s="7">
        <f t="shared" ref="AF25:AG25" si="39">+X25+Z25+AB25+AD25</f>
        <v>0</v>
      </c>
      <c r="AG25" s="7">
        <f t="shared" si="39"/>
        <v>0</v>
      </c>
      <c r="AH25" s="35">
        <f t="shared" ref="AH25" si="40">+U25+AG25</f>
        <v>0</v>
      </c>
      <c r="AI25" s="56"/>
    </row>
    <row r="26" spans="1:36" s="11" customFormat="1" x14ac:dyDescent="0.2">
      <c r="A26" s="49" t="s">
        <v>164</v>
      </c>
      <c r="B26" s="25"/>
      <c r="C26" s="26"/>
      <c r="D26" s="26"/>
      <c r="E26" s="26"/>
      <c r="F26" s="26"/>
      <c r="G26" s="26"/>
      <c r="H26" s="27"/>
      <c r="I26" s="27"/>
      <c r="J26" s="27"/>
      <c r="K26" s="27"/>
      <c r="L26" s="27"/>
      <c r="M26" s="25"/>
      <c r="N26" s="25"/>
      <c r="O26" s="25"/>
      <c r="P26" s="64"/>
      <c r="Q26" s="28"/>
      <c r="R26" s="29"/>
      <c r="S26" s="29"/>
      <c r="T26" s="29"/>
      <c r="U26" s="30"/>
      <c r="V26" s="25"/>
      <c r="W26" s="28"/>
      <c r="X26" s="29"/>
      <c r="Y26" s="29"/>
      <c r="Z26" s="29"/>
      <c r="AA26" s="29"/>
      <c r="AB26" s="29"/>
      <c r="AC26" s="29"/>
      <c r="AD26" s="29"/>
      <c r="AE26" s="29"/>
      <c r="AF26" s="29"/>
      <c r="AG26" s="30"/>
      <c r="AH26" s="31">
        <f>+AH4+AH11+AH24</f>
        <v>0</v>
      </c>
      <c r="AI26" s="32">
        <f>+AI4+AI11+AI24</f>
        <v>417179578</v>
      </c>
    </row>
    <row r="27" spans="1:36" x14ac:dyDescent="0.2">
      <c r="AA27" s="65"/>
      <c r="AH27" s="66">
        <f>SUM(AH7:AH25)</f>
        <v>0</v>
      </c>
      <c r="AJ27" s="46"/>
    </row>
    <row r="28" spans="1:36" s="11" customFormat="1" x14ac:dyDescent="0.2">
      <c r="A28" s="49" t="s">
        <v>58</v>
      </c>
      <c r="B28" s="25"/>
      <c r="C28" s="26"/>
      <c r="D28" s="26"/>
      <c r="E28" s="26"/>
      <c r="F28" s="26"/>
      <c r="G28" s="26"/>
      <c r="H28" s="27"/>
      <c r="I28" s="27"/>
      <c r="J28" s="27"/>
      <c r="K28" s="27"/>
      <c r="L28" s="27"/>
      <c r="M28" s="25"/>
      <c r="N28" s="25"/>
      <c r="O28" s="25"/>
      <c r="P28" s="25"/>
      <c r="Q28" s="28"/>
      <c r="R28" s="29"/>
      <c r="S28" s="29"/>
      <c r="T28" s="29"/>
      <c r="U28" s="30"/>
      <c r="V28" s="25"/>
      <c r="W28" s="28"/>
      <c r="X28" s="29"/>
      <c r="Y28" s="29"/>
      <c r="Z28" s="29"/>
      <c r="AA28" s="29"/>
      <c r="AB28" s="29"/>
      <c r="AC28" s="29"/>
      <c r="AD28" s="29"/>
      <c r="AE28" s="29"/>
      <c r="AF28" s="29"/>
      <c r="AG28" s="30"/>
      <c r="AH28" s="31"/>
      <c r="AI28" s="32"/>
    </row>
    <row r="29" spans="1:36" s="59" customFormat="1" ht="89.25" x14ac:dyDescent="0.25">
      <c r="A29" s="60">
        <v>6</v>
      </c>
      <c r="B29" s="60">
        <v>1</v>
      </c>
      <c r="C29" s="63" t="s">
        <v>31</v>
      </c>
      <c r="D29" s="63" t="s">
        <v>32</v>
      </c>
      <c r="E29" s="57" t="s">
        <v>33</v>
      </c>
      <c r="F29" s="63" t="s">
        <v>131</v>
      </c>
      <c r="G29" s="57" t="s">
        <v>132</v>
      </c>
      <c r="H29" s="58"/>
      <c r="I29" s="58"/>
      <c r="J29" s="58"/>
      <c r="K29" s="58"/>
      <c r="L29" s="58"/>
      <c r="M29" s="33" t="s">
        <v>34</v>
      </c>
      <c r="N29" s="33" t="s">
        <v>35</v>
      </c>
      <c r="O29" s="33" t="s">
        <v>36</v>
      </c>
      <c r="P29" s="51" t="s">
        <v>37</v>
      </c>
      <c r="Q29" s="52">
        <f>15355</f>
        <v>15355</v>
      </c>
      <c r="R29" s="67">
        <f>1295*0.2</f>
        <v>259</v>
      </c>
      <c r="S29" s="52">
        <f>+R29*Q29</f>
        <v>3976945</v>
      </c>
      <c r="T29" s="53">
        <f t="shared" ref="T29:T34" si="41">+R29</f>
        <v>259</v>
      </c>
      <c r="U29" s="54">
        <f>S29</f>
        <v>3976945</v>
      </c>
      <c r="V29" s="51" t="s">
        <v>37</v>
      </c>
      <c r="W29" s="55">
        <f>+Q29</f>
        <v>15355</v>
      </c>
      <c r="X29" s="114">
        <v>259</v>
      </c>
      <c r="Y29" s="114">
        <f t="shared" ref="Y29:Y33" si="42">+W29*X29</f>
        <v>3976945</v>
      </c>
      <c r="Z29" s="114">
        <v>259</v>
      </c>
      <c r="AA29" s="114">
        <f t="shared" ref="AA29:AA33" si="43">+Z29*W29</f>
        <v>3976945</v>
      </c>
      <c r="AB29" s="114">
        <f>+Z29</f>
        <v>259</v>
      </c>
      <c r="AC29" s="114">
        <f t="shared" ref="AC29:AC33" si="44">+AB29*W29</f>
        <v>3976945</v>
      </c>
      <c r="AD29" s="114">
        <f>+AB29</f>
        <v>259</v>
      </c>
      <c r="AE29" s="53">
        <f t="shared" ref="AE29:AE33" si="45">+AD29*W29</f>
        <v>3976945</v>
      </c>
      <c r="AF29" s="53">
        <f t="shared" ref="AF29:AG34" si="46">+X29+Z29+AB29+AD29</f>
        <v>1036</v>
      </c>
      <c r="AG29" s="53">
        <f t="shared" si="46"/>
        <v>15907780</v>
      </c>
      <c r="AH29" s="35">
        <f t="shared" ref="AH29:AH33" si="47">+U29+AG29</f>
        <v>19884725</v>
      </c>
      <c r="AI29" s="56"/>
      <c r="AJ29" s="111"/>
    </row>
    <row r="30" spans="1:36" s="59" customFormat="1" ht="114.75" x14ac:dyDescent="0.25">
      <c r="A30" s="60">
        <v>34</v>
      </c>
      <c r="B30" s="68">
        <v>1</v>
      </c>
      <c r="C30" s="63" t="s">
        <v>42</v>
      </c>
      <c r="D30" s="63" t="s">
        <v>43</v>
      </c>
      <c r="E30" s="57" t="s">
        <v>44</v>
      </c>
      <c r="F30" s="63" t="s">
        <v>158</v>
      </c>
      <c r="G30" s="57" t="s">
        <v>133</v>
      </c>
      <c r="H30" s="33"/>
      <c r="I30" s="58"/>
      <c r="J30" s="58"/>
      <c r="K30" s="58"/>
      <c r="L30" s="58"/>
      <c r="M30" s="33" t="s">
        <v>34</v>
      </c>
      <c r="N30" s="33" t="s">
        <v>35</v>
      </c>
      <c r="O30" s="63" t="s">
        <v>45</v>
      </c>
      <c r="P30" s="51" t="s">
        <v>134</v>
      </c>
      <c r="Q30" s="52"/>
      <c r="R30" s="67"/>
      <c r="S30" s="52">
        <f>+R30*Q30</f>
        <v>0</v>
      </c>
      <c r="T30" s="53">
        <f t="shared" si="41"/>
        <v>0</v>
      </c>
      <c r="U30" s="54">
        <f t="shared" ref="U30:U33" si="48">S30</f>
        <v>0</v>
      </c>
      <c r="V30" s="51" t="s">
        <v>134</v>
      </c>
      <c r="W30" s="52">
        <f>36000*24</f>
        <v>864000</v>
      </c>
      <c r="X30" s="53">
        <v>4</v>
      </c>
      <c r="Y30" s="53">
        <f t="shared" si="42"/>
        <v>3456000</v>
      </c>
      <c r="Z30" s="53">
        <v>5</v>
      </c>
      <c r="AA30" s="53">
        <f t="shared" si="43"/>
        <v>4320000</v>
      </c>
      <c r="AB30" s="53"/>
      <c r="AC30" s="53">
        <f t="shared" si="44"/>
        <v>0</v>
      </c>
      <c r="AD30" s="53">
        <f t="shared" ref="AD30:AD31" si="49">+AB30</f>
        <v>0</v>
      </c>
      <c r="AE30" s="53">
        <f t="shared" si="45"/>
        <v>0</v>
      </c>
      <c r="AF30" s="53">
        <f>+X30+Z30+AB30+AD30</f>
        <v>9</v>
      </c>
      <c r="AG30" s="53">
        <f t="shared" si="46"/>
        <v>7776000</v>
      </c>
      <c r="AH30" s="35">
        <f t="shared" si="47"/>
        <v>7776000</v>
      </c>
      <c r="AI30" s="56"/>
    </row>
    <row r="31" spans="1:36" s="59" customFormat="1" ht="114.75" x14ac:dyDescent="0.25">
      <c r="A31" s="60">
        <v>35</v>
      </c>
      <c r="B31" s="68">
        <v>1</v>
      </c>
      <c r="C31" s="63" t="s">
        <v>42</v>
      </c>
      <c r="D31" s="63" t="s">
        <v>43</v>
      </c>
      <c r="E31" s="57" t="s">
        <v>44</v>
      </c>
      <c r="F31" s="63" t="s">
        <v>158</v>
      </c>
      <c r="G31" s="57" t="s">
        <v>135</v>
      </c>
      <c r="H31" s="33"/>
      <c r="I31" s="58"/>
      <c r="J31" s="58"/>
      <c r="K31" s="58"/>
      <c r="L31" s="58"/>
      <c r="M31" s="33" t="s">
        <v>34</v>
      </c>
      <c r="N31" s="33" t="s">
        <v>35</v>
      </c>
      <c r="O31" s="63" t="s">
        <v>45</v>
      </c>
      <c r="P31" s="51" t="s">
        <v>134</v>
      </c>
      <c r="Q31" s="52"/>
      <c r="R31" s="67"/>
      <c r="S31" s="52">
        <f t="shared" ref="S31:S33" si="50">+R31*Q31</f>
        <v>0</v>
      </c>
      <c r="T31" s="53">
        <f t="shared" si="41"/>
        <v>0</v>
      </c>
      <c r="U31" s="54">
        <f t="shared" si="48"/>
        <v>0</v>
      </c>
      <c r="V31" s="51" t="s">
        <v>134</v>
      </c>
      <c r="W31" s="52">
        <f>36000*12</f>
        <v>432000</v>
      </c>
      <c r="X31" s="53"/>
      <c r="Y31" s="53">
        <f t="shared" si="42"/>
        <v>0</v>
      </c>
      <c r="Z31" s="53">
        <f t="shared" ref="Z31" si="51">+X31</f>
        <v>0</v>
      </c>
      <c r="AA31" s="53">
        <f t="shared" si="43"/>
        <v>0</v>
      </c>
      <c r="AB31" s="53">
        <v>9</v>
      </c>
      <c r="AC31" s="53">
        <f t="shared" si="44"/>
        <v>3888000</v>
      </c>
      <c r="AD31" s="53">
        <f t="shared" si="49"/>
        <v>9</v>
      </c>
      <c r="AE31" s="53">
        <f t="shared" si="45"/>
        <v>3888000</v>
      </c>
      <c r="AF31" s="53">
        <f t="shared" si="46"/>
        <v>18</v>
      </c>
      <c r="AG31" s="53">
        <f t="shared" si="46"/>
        <v>7776000</v>
      </c>
      <c r="AH31" s="35">
        <f t="shared" si="47"/>
        <v>7776000</v>
      </c>
      <c r="AI31" s="56"/>
    </row>
    <row r="32" spans="1:36" s="72" customFormat="1" ht="76.5" x14ac:dyDescent="0.25">
      <c r="A32" s="60">
        <v>43</v>
      </c>
      <c r="B32" s="68">
        <v>1</v>
      </c>
      <c r="C32" s="63" t="s">
        <v>46</v>
      </c>
      <c r="D32" s="63" t="s">
        <v>47</v>
      </c>
      <c r="E32" s="57" t="s">
        <v>48</v>
      </c>
      <c r="F32" s="63" t="s">
        <v>159</v>
      </c>
      <c r="G32" s="57" t="s">
        <v>136</v>
      </c>
      <c r="H32" s="69"/>
      <c r="I32" s="69"/>
      <c r="J32" s="70"/>
      <c r="K32" s="69"/>
      <c r="L32" s="70"/>
      <c r="M32" s="33" t="s">
        <v>34</v>
      </c>
      <c r="N32" s="33" t="s">
        <v>35</v>
      </c>
      <c r="O32" s="33" t="s">
        <v>49</v>
      </c>
      <c r="P32" s="51" t="s">
        <v>137</v>
      </c>
      <c r="Q32" s="52"/>
      <c r="R32" s="67"/>
      <c r="S32" s="52">
        <f t="shared" si="50"/>
        <v>0</v>
      </c>
      <c r="T32" s="53">
        <f t="shared" si="41"/>
        <v>0</v>
      </c>
      <c r="U32" s="54">
        <f t="shared" si="48"/>
        <v>0</v>
      </c>
      <c r="V32" s="51" t="s">
        <v>137</v>
      </c>
      <c r="W32" s="71">
        <v>5000000</v>
      </c>
      <c r="X32" s="53">
        <f t="shared" ref="X32" si="52">+R32</f>
        <v>0</v>
      </c>
      <c r="Y32" s="53">
        <f t="shared" si="42"/>
        <v>0</v>
      </c>
      <c r="Z32" s="53">
        <v>1</v>
      </c>
      <c r="AA32" s="53">
        <f t="shared" si="43"/>
        <v>5000000</v>
      </c>
      <c r="AB32" s="53"/>
      <c r="AC32" s="53">
        <f t="shared" si="44"/>
        <v>0</v>
      </c>
      <c r="AD32" s="53"/>
      <c r="AE32" s="53">
        <f t="shared" si="45"/>
        <v>0</v>
      </c>
      <c r="AF32" s="53">
        <f t="shared" si="46"/>
        <v>1</v>
      </c>
      <c r="AG32" s="53">
        <f t="shared" si="46"/>
        <v>5000000</v>
      </c>
      <c r="AH32" s="35">
        <f t="shared" si="47"/>
        <v>5000000</v>
      </c>
      <c r="AI32" s="56"/>
    </row>
    <row r="33" spans="1:35" s="72" customFormat="1" ht="144" customHeight="1" x14ac:dyDescent="0.25">
      <c r="A33" s="60">
        <v>46</v>
      </c>
      <c r="B33" s="68">
        <v>1</v>
      </c>
      <c r="C33" s="33" t="s">
        <v>38</v>
      </c>
      <c r="D33" s="63" t="s">
        <v>47</v>
      </c>
      <c r="E33" s="57" t="s">
        <v>50</v>
      </c>
      <c r="F33" s="63" t="s">
        <v>138</v>
      </c>
      <c r="G33" s="57" t="s">
        <v>139</v>
      </c>
      <c r="H33" s="69"/>
      <c r="I33" s="70"/>
      <c r="J33" s="70"/>
      <c r="K33" s="70"/>
      <c r="L33" s="70"/>
      <c r="M33" s="33" t="s">
        <v>34</v>
      </c>
      <c r="N33" s="33" t="s">
        <v>35</v>
      </c>
      <c r="O33" s="33" t="s">
        <v>36</v>
      </c>
      <c r="P33" s="51" t="s">
        <v>140</v>
      </c>
      <c r="Q33" s="52"/>
      <c r="R33" s="67"/>
      <c r="S33" s="52">
        <f t="shared" si="50"/>
        <v>0</v>
      </c>
      <c r="T33" s="53">
        <f t="shared" si="41"/>
        <v>0</v>
      </c>
      <c r="U33" s="54">
        <f t="shared" si="48"/>
        <v>0</v>
      </c>
      <c r="V33" s="51" t="s">
        <v>140</v>
      </c>
      <c r="W33" s="52">
        <v>100000</v>
      </c>
      <c r="X33" s="53">
        <v>12</v>
      </c>
      <c r="Y33" s="53">
        <f t="shared" si="42"/>
        <v>1200000</v>
      </c>
      <c r="Z33" s="53">
        <f>+X33</f>
        <v>12</v>
      </c>
      <c r="AA33" s="53">
        <f t="shared" si="43"/>
        <v>1200000</v>
      </c>
      <c r="AB33" s="53">
        <f t="shared" ref="AB33:AB34" si="53">+Z33</f>
        <v>12</v>
      </c>
      <c r="AC33" s="53">
        <f t="shared" si="44"/>
        <v>1200000</v>
      </c>
      <c r="AD33" s="53">
        <v>13</v>
      </c>
      <c r="AE33" s="53">
        <f t="shared" si="45"/>
        <v>1300000</v>
      </c>
      <c r="AF33" s="53">
        <f t="shared" si="46"/>
        <v>49</v>
      </c>
      <c r="AG33" s="53">
        <f t="shared" si="46"/>
        <v>4900000</v>
      </c>
      <c r="AH33" s="35">
        <f t="shared" si="47"/>
        <v>4900000</v>
      </c>
      <c r="AI33" s="56"/>
    </row>
    <row r="34" spans="1:35" s="77" customFormat="1" ht="89.25" customHeight="1" x14ac:dyDescent="0.25">
      <c r="A34" s="60">
        <v>12</v>
      </c>
      <c r="B34" s="68">
        <v>1</v>
      </c>
      <c r="C34" s="63" t="s">
        <v>38</v>
      </c>
      <c r="D34" s="73" t="s">
        <v>32</v>
      </c>
      <c r="E34" s="74" t="s">
        <v>114</v>
      </c>
      <c r="F34" s="75" t="s">
        <v>160</v>
      </c>
      <c r="G34" s="75" t="s">
        <v>141</v>
      </c>
      <c r="H34" s="33"/>
      <c r="I34" s="70"/>
      <c r="J34" s="70"/>
      <c r="K34" s="70"/>
      <c r="L34" s="70"/>
      <c r="M34" s="76" t="s">
        <v>34</v>
      </c>
      <c r="N34" s="33" t="s">
        <v>35</v>
      </c>
      <c r="O34" s="76" t="s">
        <v>41</v>
      </c>
      <c r="P34" s="51" t="s">
        <v>142</v>
      </c>
      <c r="Q34" s="52">
        <f>150000*3</f>
        <v>450000</v>
      </c>
      <c r="R34" s="67">
        <v>11</v>
      </c>
      <c r="S34" s="52">
        <f>+R34*Q34</f>
        <v>4950000</v>
      </c>
      <c r="T34" s="53">
        <f t="shared" si="41"/>
        <v>11</v>
      </c>
      <c r="U34" s="54">
        <f>S34</f>
        <v>4950000</v>
      </c>
      <c r="V34" s="51" t="str">
        <f>+P34</f>
        <v>Costo Incentivo Lideres Pares</v>
      </c>
      <c r="W34" s="55">
        <f>154500*3</f>
        <v>463500</v>
      </c>
      <c r="X34" s="53">
        <f>+R34</f>
        <v>11</v>
      </c>
      <c r="Y34" s="53">
        <f>+W34*X34</f>
        <v>5098500</v>
      </c>
      <c r="Z34" s="53">
        <f>42+11</f>
        <v>53</v>
      </c>
      <c r="AA34" s="53">
        <f>+Z34*W34</f>
        <v>24565500</v>
      </c>
      <c r="AB34" s="53">
        <f t="shared" si="53"/>
        <v>53</v>
      </c>
      <c r="AC34" s="53">
        <f>+AB34*W34</f>
        <v>24565500</v>
      </c>
      <c r="AD34" s="53">
        <f>+AB34</f>
        <v>53</v>
      </c>
      <c r="AE34" s="53">
        <f>+AD34*W34</f>
        <v>24565500</v>
      </c>
      <c r="AF34" s="53">
        <f t="shared" si="46"/>
        <v>170</v>
      </c>
      <c r="AG34" s="53">
        <f>+Y34+AA34+AC34+AE34</f>
        <v>78795000</v>
      </c>
      <c r="AH34" s="35">
        <f>+U34+AG34</f>
        <v>83745000</v>
      </c>
      <c r="AI34" s="56"/>
    </row>
    <row r="35" spans="1:35" s="11" customFormat="1" x14ac:dyDescent="0.2">
      <c r="A35" s="49" t="s">
        <v>165</v>
      </c>
      <c r="B35" s="25"/>
      <c r="C35" s="26"/>
      <c r="D35" s="26"/>
      <c r="E35" s="26"/>
      <c r="F35" s="26"/>
      <c r="G35" s="26"/>
      <c r="H35" s="27"/>
      <c r="I35" s="27"/>
      <c r="J35" s="27"/>
      <c r="K35" s="27"/>
      <c r="L35" s="27"/>
      <c r="M35" s="25"/>
      <c r="N35" s="25"/>
      <c r="O35" s="25"/>
      <c r="P35" s="64"/>
      <c r="Q35" s="28"/>
      <c r="R35" s="29"/>
      <c r="S35" s="29"/>
      <c r="T35" s="29"/>
      <c r="U35" s="30"/>
      <c r="V35" s="25"/>
      <c r="W35" s="28"/>
      <c r="X35" s="29"/>
      <c r="Y35" s="29"/>
      <c r="Z35" s="29"/>
      <c r="AA35" s="29"/>
      <c r="AB35" s="29"/>
      <c r="AC35" s="29"/>
      <c r="AD35" s="29"/>
      <c r="AE35" s="29"/>
      <c r="AF35" s="29"/>
      <c r="AG35" s="30"/>
      <c r="AH35" s="31">
        <f>SUM(AH29:AH34)</f>
        <v>129081725</v>
      </c>
      <c r="AI35" s="32">
        <f>+AH35</f>
        <v>129081725</v>
      </c>
    </row>
    <row r="36" spans="1:35" s="11" customFormat="1" x14ac:dyDescent="0.2">
      <c r="A36" s="83" t="s">
        <v>166</v>
      </c>
      <c r="B36" s="84"/>
      <c r="C36" s="85"/>
      <c r="D36" s="85"/>
      <c r="E36" s="85"/>
      <c r="F36" s="85"/>
      <c r="G36" s="85"/>
      <c r="H36" s="86"/>
      <c r="I36" s="86"/>
      <c r="J36" s="86"/>
      <c r="K36" s="86"/>
      <c r="L36" s="86"/>
      <c r="M36" s="84"/>
      <c r="N36" s="84"/>
      <c r="O36" s="84"/>
      <c r="P36" s="87"/>
      <c r="Q36" s="88"/>
      <c r="R36" s="89"/>
      <c r="S36" s="89"/>
      <c r="T36" s="89"/>
      <c r="U36" s="90"/>
      <c r="V36" s="84"/>
      <c r="W36" s="88"/>
      <c r="X36" s="89"/>
      <c r="Y36" s="89"/>
      <c r="Z36" s="89"/>
      <c r="AA36" s="89"/>
      <c r="AB36" s="89"/>
      <c r="AC36" s="89"/>
      <c r="AD36" s="89"/>
      <c r="AE36" s="89"/>
      <c r="AF36" s="89"/>
      <c r="AG36" s="90"/>
      <c r="AH36" s="82"/>
      <c r="AI36" s="82">
        <f>+AI26+AI35</f>
        <v>546261303</v>
      </c>
    </row>
  </sheetData>
  <sheetProtection password="CB42" sheet="1" objects="1" scenarios="1" formatCells="0" formatColumns="0" formatRows="0" insertRows="0"/>
  <mergeCells count="45">
    <mergeCell ref="D12:D23"/>
    <mergeCell ref="E12:E23"/>
    <mergeCell ref="F12:F23"/>
    <mergeCell ref="AI2:AI3"/>
    <mergeCell ref="C5:C7"/>
    <mergeCell ref="D5:D10"/>
    <mergeCell ref="E5:E10"/>
    <mergeCell ref="F5:F7"/>
    <mergeCell ref="F8:F10"/>
    <mergeCell ref="AC2:AC3"/>
    <mergeCell ref="AD2:AD3"/>
    <mergeCell ref="AE2:AE3"/>
    <mergeCell ref="AF2:AF3"/>
    <mergeCell ref="AG2:AG3"/>
    <mergeCell ref="AH2:AH3"/>
    <mergeCell ref="W2:W3"/>
    <mergeCell ref="X2:X3"/>
    <mergeCell ref="Y2:Y3"/>
    <mergeCell ref="Z2:Z3"/>
    <mergeCell ref="AA2:AA3"/>
    <mergeCell ref="AB2:AB3"/>
    <mergeCell ref="V2:V3"/>
    <mergeCell ref="G2:G3"/>
    <mergeCell ref="I2:L2"/>
    <mergeCell ref="M2:M3"/>
    <mergeCell ref="N2:N3"/>
    <mergeCell ref="O2:O3"/>
    <mergeCell ref="P2:P3"/>
    <mergeCell ref="Q2:Q3"/>
    <mergeCell ref="R2:R3"/>
    <mergeCell ref="S2:S3"/>
    <mergeCell ref="T2:T3"/>
    <mergeCell ref="U2:U3"/>
    <mergeCell ref="F2:F3"/>
    <mergeCell ref="A2:A3"/>
    <mergeCell ref="B2:B3"/>
    <mergeCell ref="C2:C3"/>
    <mergeCell ref="D2:D3"/>
    <mergeCell ref="E2:E3"/>
    <mergeCell ref="A17:A21"/>
    <mergeCell ref="B17:B21"/>
    <mergeCell ref="C17:C21"/>
    <mergeCell ref="A12:A16"/>
    <mergeCell ref="B12:B16"/>
    <mergeCell ref="C12:C16"/>
  </mergeCells>
  <dataValidations count="1">
    <dataValidation type="decimal" operator="greaterThanOrEqual" allowBlank="1" showInputMessage="1" showErrorMessage="1" sqref="W25:W26 W34:W36 W32 W29 W5:W10 AD18:AD21 X13:X16 X18:X21 Z13:Z16 Z18:Z21 AB13:AB16 AB18:AB21 AD13:AD16 W12:W23">
      <formula1>0</formula1>
    </dataValidation>
  </dataValidation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22"/>
  <sheetViews>
    <sheetView showGridLines="0" workbookViewId="0">
      <selection activeCell="C10" sqref="C10"/>
    </sheetView>
  </sheetViews>
  <sheetFormatPr baseColWidth="10" defaultRowHeight="15" x14ac:dyDescent="0.25"/>
  <cols>
    <col min="1" max="1" width="53.28515625" style="19" customWidth="1"/>
    <col min="2" max="2" width="17.5703125" style="23" bestFit="1" customWidth="1"/>
    <col min="3" max="3" width="18.5703125" style="19" bestFit="1" customWidth="1"/>
    <col min="4" max="16384" width="11.42578125" style="19"/>
  </cols>
  <sheetData>
    <row r="1" spans="1:3" ht="39.75" customHeight="1" x14ac:dyDescent="0.25">
      <c r="A1" s="188" t="s">
        <v>100</v>
      </c>
      <c r="B1" s="188"/>
      <c r="C1" s="188"/>
    </row>
    <row r="2" spans="1:3" x14ac:dyDescent="0.25">
      <c r="A2" s="189" t="s">
        <v>146</v>
      </c>
      <c r="B2" s="189"/>
      <c r="C2" s="189"/>
    </row>
    <row r="3" spans="1:3" x14ac:dyDescent="0.25">
      <c r="A3" s="118"/>
      <c r="B3" s="119"/>
      <c r="C3" s="118"/>
    </row>
    <row r="4" spans="1:3" x14ac:dyDescent="0.25">
      <c r="A4" s="120" t="s">
        <v>102</v>
      </c>
      <c r="B4" s="121"/>
      <c r="C4" s="118"/>
    </row>
    <row r="6" spans="1:3" s="20" customFormat="1" x14ac:dyDescent="0.25">
      <c r="A6" s="91" t="s">
        <v>103</v>
      </c>
      <c r="B6" s="92" t="s">
        <v>104</v>
      </c>
      <c r="C6" s="93" t="s">
        <v>98</v>
      </c>
    </row>
    <row r="7" spans="1:3" s="21" customFormat="1" x14ac:dyDescent="0.25">
      <c r="A7" s="94" t="s">
        <v>105</v>
      </c>
      <c r="B7" s="106">
        <f>+'[1]Fase I Valle del Cauca'!AH4</f>
        <v>0</v>
      </c>
      <c r="C7" s="96">
        <f>+'Fase I Eje Cafetero'!AI4</f>
        <v>241622788</v>
      </c>
    </row>
    <row r="8" spans="1:3" s="22" customFormat="1" x14ac:dyDescent="0.25">
      <c r="A8" s="97" t="s">
        <v>106</v>
      </c>
      <c r="B8" s="95">
        <f>+'[1]Fase I Valle del Cauca'!AH11</f>
        <v>0</v>
      </c>
      <c r="C8" s="96">
        <f>+'Fase I Eje Cafetero'!AI11</f>
        <v>72486830</v>
      </c>
    </row>
    <row r="9" spans="1:3" s="22" customFormat="1" x14ac:dyDescent="0.25">
      <c r="A9" s="97" t="s">
        <v>107</v>
      </c>
      <c r="B9" s="95">
        <f>+'[1]Fase I Valle del Cauca'!AH16</f>
        <v>0</v>
      </c>
      <c r="C9" s="96">
        <f>+'Fase I Eje Cafetero'!AI40</f>
        <v>31065782</v>
      </c>
    </row>
    <row r="10" spans="1:3" s="22" customFormat="1" x14ac:dyDescent="0.25">
      <c r="A10" s="99" t="s">
        <v>161</v>
      </c>
      <c r="B10" s="107">
        <f>SUM(B7:B9)</f>
        <v>0</v>
      </c>
      <c r="C10" s="108">
        <f>SUM(C7:C9)</f>
        <v>345175400</v>
      </c>
    </row>
    <row r="11" spans="1:3" s="22" customFormat="1" x14ac:dyDescent="0.25">
      <c r="A11" s="97"/>
      <c r="B11" s="107"/>
      <c r="C11" s="96"/>
    </row>
    <row r="12" spans="1:3" x14ac:dyDescent="0.25">
      <c r="A12" s="101" t="s">
        <v>108</v>
      </c>
      <c r="B12" s="109">
        <f>+'Fase I Eje Cafetero'!AH51</f>
        <v>134111025</v>
      </c>
      <c r="C12" s="96">
        <f>+'Fase I Eje Cafetero'!AI51</f>
        <v>134111025</v>
      </c>
    </row>
    <row r="13" spans="1:3" x14ac:dyDescent="0.25">
      <c r="A13" s="102" t="s">
        <v>162</v>
      </c>
      <c r="B13" s="110">
        <f>+B12</f>
        <v>134111025</v>
      </c>
      <c r="C13" s="100">
        <f>+C12</f>
        <v>134111025</v>
      </c>
    </row>
    <row r="14" spans="1:3" x14ac:dyDescent="0.25">
      <c r="A14" s="104" t="s">
        <v>163</v>
      </c>
      <c r="B14" s="105">
        <f>+B10+B13</f>
        <v>134111025</v>
      </c>
      <c r="C14" s="105">
        <f>+C10+C13</f>
        <v>479286425</v>
      </c>
    </row>
    <row r="19" spans="1:3" s="24" customFormat="1" x14ac:dyDescent="0.25">
      <c r="A19" s="122" t="s">
        <v>109</v>
      </c>
      <c r="B19" s="119"/>
      <c r="C19" s="123"/>
    </row>
    <row r="20" spans="1:3" s="24" customFormat="1" x14ac:dyDescent="0.25">
      <c r="A20" s="122" t="s">
        <v>110</v>
      </c>
      <c r="B20" s="119"/>
      <c r="C20" s="123"/>
    </row>
    <row r="21" spans="1:3" x14ac:dyDescent="0.25">
      <c r="A21" s="118"/>
      <c r="B21" s="119"/>
      <c r="C21" s="118"/>
    </row>
    <row r="22" spans="1:3" x14ac:dyDescent="0.25">
      <c r="A22" s="118"/>
      <c r="B22" s="119"/>
      <c r="C22" s="118"/>
    </row>
  </sheetData>
  <sheetProtection password="CB42" sheet="1" objects="1" scenarios="1"/>
  <mergeCells count="2">
    <mergeCell ref="A1:C1"/>
    <mergeCell ref="A2:C2"/>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J52"/>
  <sheetViews>
    <sheetView showGridLines="0" topLeftCell="A28" zoomScale="70" zoomScaleNormal="70" workbookViewId="0">
      <selection activeCell="D49" sqref="D49"/>
    </sheetView>
  </sheetViews>
  <sheetFormatPr baseColWidth="10" defaultRowHeight="12.75" x14ac:dyDescent="0.2"/>
  <cols>
    <col min="1" max="1" width="6.28515625" style="46" bestFit="1" customWidth="1"/>
    <col min="2" max="2" width="15" style="46" customWidth="1"/>
    <col min="3" max="3" width="17.140625" style="46" customWidth="1"/>
    <col min="4" max="4" width="24.42578125" style="46" customWidth="1"/>
    <col min="5" max="5" width="43.28515625" style="46" customWidth="1"/>
    <col min="6" max="6" width="61.140625" style="46" customWidth="1"/>
    <col min="7" max="7" width="29.42578125" style="46" customWidth="1"/>
    <col min="8" max="8" width="7.28515625" style="46" bestFit="1" customWidth="1"/>
    <col min="9" max="9" width="3.85546875" style="46" bestFit="1" customWidth="1"/>
    <col min="10" max="12" width="3.28515625" style="46" bestFit="1" customWidth="1"/>
    <col min="13" max="13" width="18.5703125" style="46" customWidth="1"/>
    <col min="14" max="14" width="11.42578125" style="46"/>
    <col min="15" max="15" width="13.7109375" style="46" customWidth="1"/>
    <col min="16" max="16" width="17.7109375" style="46" customWidth="1"/>
    <col min="17" max="20" width="11.42578125" style="46"/>
    <col min="21" max="21" width="15.140625" style="46" customWidth="1"/>
    <col min="22" max="22" width="12.140625" style="46" customWidth="1"/>
    <col min="23" max="23" width="11.7109375" style="46" bestFit="1" customWidth="1"/>
    <col min="24" max="33" width="11.42578125" style="46"/>
    <col min="34" max="34" width="17.85546875" style="46" bestFit="1" customWidth="1"/>
    <col min="35" max="35" width="19.42578125" style="47" customWidth="1"/>
    <col min="36" max="36" width="14" style="48" bestFit="1" customWidth="1"/>
    <col min="37" max="16384" width="11.42578125" style="46"/>
  </cols>
  <sheetData>
    <row r="1" spans="1:35" s="48" customFormat="1" x14ac:dyDescent="0.2">
      <c r="A1" s="45" t="s">
        <v>111</v>
      </c>
      <c r="B1" s="46"/>
      <c r="C1" s="46"/>
      <c r="D1" s="46"/>
      <c r="E1" s="46"/>
      <c r="F1" s="46"/>
      <c r="G1" s="46"/>
      <c r="H1" s="46"/>
      <c r="I1" s="46"/>
      <c r="J1" s="46"/>
      <c r="K1" s="46"/>
      <c r="L1" s="46"/>
      <c r="M1" s="46"/>
      <c r="N1" s="46"/>
      <c r="O1" s="46"/>
      <c r="P1" s="46"/>
      <c r="Q1" s="46"/>
      <c r="R1" s="46"/>
      <c r="S1" s="46"/>
      <c r="T1" s="46"/>
      <c r="U1" s="46"/>
      <c r="V1" s="46"/>
      <c r="W1" s="46"/>
      <c r="X1" s="46"/>
      <c r="Y1" s="46"/>
      <c r="Z1" s="46"/>
      <c r="AA1" s="46"/>
      <c r="AB1" s="46"/>
      <c r="AC1" s="46"/>
      <c r="AD1" s="46"/>
      <c r="AE1" s="46"/>
      <c r="AF1" s="46"/>
      <c r="AG1" s="46"/>
      <c r="AH1" s="46"/>
      <c r="AI1" s="47"/>
    </row>
    <row r="2" spans="1:35" s="1" customFormat="1" ht="15" customHeight="1" x14ac:dyDescent="0.25">
      <c r="A2" s="197" t="s">
        <v>0</v>
      </c>
      <c r="B2" s="196" t="s">
        <v>51</v>
      </c>
      <c r="C2" s="196" t="s">
        <v>1</v>
      </c>
      <c r="D2" s="196" t="s">
        <v>52</v>
      </c>
      <c r="E2" s="196" t="s">
        <v>53</v>
      </c>
      <c r="F2" s="196" t="s">
        <v>54</v>
      </c>
      <c r="G2" s="196" t="s">
        <v>2</v>
      </c>
      <c r="H2" s="36" t="s">
        <v>3</v>
      </c>
      <c r="I2" s="196" t="s">
        <v>4</v>
      </c>
      <c r="J2" s="199"/>
      <c r="K2" s="199"/>
      <c r="L2" s="199"/>
      <c r="M2" s="197" t="s">
        <v>5</v>
      </c>
      <c r="N2" s="197" t="s">
        <v>6</v>
      </c>
      <c r="O2" s="197" t="s">
        <v>7</v>
      </c>
      <c r="P2" s="200" t="s">
        <v>8</v>
      </c>
      <c r="Q2" s="201" t="s">
        <v>112</v>
      </c>
      <c r="R2" s="202" t="s">
        <v>9</v>
      </c>
      <c r="S2" s="202" t="s">
        <v>10</v>
      </c>
      <c r="T2" s="202" t="s">
        <v>11</v>
      </c>
      <c r="U2" s="203" t="s">
        <v>12</v>
      </c>
      <c r="V2" s="198" t="s">
        <v>13</v>
      </c>
      <c r="W2" s="216" t="s">
        <v>113</v>
      </c>
      <c r="X2" s="204" t="s">
        <v>14</v>
      </c>
      <c r="Y2" s="204" t="s">
        <v>15</v>
      </c>
      <c r="Z2" s="204" t="s">
        <v>16</v>
      </c>
      <c r="AA2" s="204" t="s">
        <v>17</v>
      </c>
      <c r="AB2" s="204" t="s">
        <v>18</v>
      </c>
      <c r="AC2" s="204" t="s">
        <v>19</v>
      </c>
      <c r="AD2" s="204" t="s">
        <v>20</v>
      </c>
      <c r="AE2" s="204" t="s">
        <v>21</v>
      </c>
      <c r="AF2" s="204" t="s">
        <v>22</v>
      </c>
      <c r="AG2" s="214" t="s">
        <v>23</v>
      </c>
      <c r="AH2" s="215" t="s">
        <v>24</v>
      </c>
      <c r="AI2" s="211" t="s">
        <v>98</v>
      </c>
    </row>
    <row r="3" spans="1:35" s="1" customFormat="1" ht="87.75" customHeight="1" x14ac:dyDescent="0.25">
      <c r="A3" s="197"/>
      <c r="B3" s="196"/>
      <c r="C3" s="196" t="s">
        <v>25</v>
      </c>
      <c r="D3" s="196" t="s">
        <v>26</v>
      </c>
      <c r="E3" s="196"/>
      <c r="F3" s="196"/>
      <c r="G3" s="196"/>
      <c r="H3" s="2" t="s">
        <v>30</v>
      </c>
      <c r="I3" s="2" t="s">
        <v>27</v>
      </c>
      <c r="J3" s="2" t="s">
        <v>28</v>
      </c>
      <c r="K3" s="2" t="s">
        <v>29</v>
      </c>
      <c r="L3" s="2" t="s">
        <v>30</v>
      </c>
      <c r="M3" s="197"/>
      <c r="N3" s="197"/>
      <c r="O3" s="197"/>
      <c r="P3" s="200"/>
      <c r="Q3" s="201"/>
      <c r="R3" s="202"/>
      <c r="S3" s="202"/>
      <c r="T3" s="202"/>
      <c r="U3" s="203"/>
      <c r="V3" s="198"/>
      <c r="W3" s="216"/>
      <c r="X3" s="204"/>
      <c r="Y3" s="204"/>
      <c r="Z3" s="204"/>
      <c r="AA3" s="204"/>
      <c r="AB3" s="204"/>
      <c r="AC3" s="204"/>
      <c r="AD3" s="204"/>
      <c r="AE3" s="204"/>
      <c r="AF3" s="204"/>
      <c r="AG3" s="214"/>
      <c r="AH3" s="215"/>
      <c r="AI3" s="212"/>
    </row>
    <row r="4" spans="1:35" s="11" customFormat="1" x14ac:dyDescent="0.2">
      <c r="A4" s="49" t="s">
        <v>55</v>
      </c>
      <c r="B4" s="25"/>
      <c r="C4" s="26"/>
      <c r="D4" s="26"/>
      <c r="E4" s="26"/>
      <c r="F4" s="26"/>
      <c r="G4" s="26"/>
      <c r="H4" s="27"/>
      <c r="I4" s="27"/>
      <c r="J4" s="27"/>
      <c r="K4" s="27"/>
      <c r="L4" s="27"/>
      <c r="M4" s="25"/>
      <c r="N4" s="25"/>
      <c r="O4" s="25"/>
      <c r="P4" s="25"/>
      <c r="Q4" s="28"/>
      <c r="R4" s="29"/>
      <c r="S4" s="29"/>
      <c r="T4" s="29"/>
      <c r="U4" s="30"/>
      <c r="V4" s="25"/>
      <c r="W4" s="28"/>
      <c r="X4" s="29"/>
      <c r="Y4" s="29"/>
      <c r="Z4" s="29"/>
      <c r="AA4" s="29"/>
      <c r="AB4" s="29"/>
      <c r="AC4" s="29"/>
      <c r="AD4" s="29"/>
      <c r="AE4" s="29"/>
      <c r="AF4" s="29"/>
      <c r="AG4" s="30"/>
      <c r="AH4" s="31">
        <f>SUM(AH5:AH10)</f>
        <v>0</v>
      </c>
      <c r="AI4" s="32">
        <v>241622788</v>
      </c>
    </row>
    <row r="5" spans="1:35" s="11" customFormat="1" ht="15" customHeight="1" x14ac:dyDescent="0.25">
      <c r="A5" s="50">
        <v>7</v>
      </c>
      <c r="B5" s="50">
        <v>1</v>
      </c>
      <c r="C5" s="213" t="s">
        <v>38</v>
      </c>
      <c r="D5" s="193" t="s">
        <v>32</v>
      </c>
      <c r="E5" s="205" t="s">
        <v>114</v>
      </c>
      <c r="F5" s="205" t="s">
        <v>115</v>
      </c>
      <c r="G5" s="158" t="s">
        <v>116</v>
      </c>
      <c r="H5" s="159"/>
      <c r="I5" s="159"/>
      <c r="J5" s="159"/>
      <c r="K5" s="159"/>
      <c r="L5" s="159"/>
      <c r="M5" s="160" t="s">
        <v>34</v>
      </c>
      <c r="N5" s="160" t="s">
        <v>35</v>
      </c>
      <c r="O5" s="160" t="s">
        <v>39</v>
      </c>
      <c r="P5" s="138" t="s">
        <v>117</v>
      </c>
      <c r="Q5" s="155"/>
      <c r="R5" s="155"/>
      <c r="S5" s="137">
        <f>+R5*Q5</f>
        <v>0</v>
      </c>
      <c r="T5" s="137">
        <f>+R5</f>
        <v>0</v>
      </c>
      <c r="U5" s="137">
        <f>S5</f>
        <v>0</v>
      </c>
      <c r="V5" s="138" t="s">
        <v>117</v>
      </c>
      <c r="W5" s="139"/>
      <c r="X5" s="137"/>
      <c r="Y5" s="137">
        <f t="shared" ref="Y5:Y10" si="0">+W5*X5</f>
        <v>0</v>
      </c>
      <c r="Z5" s="137"/>
      <c r="AA5" s="137">
        <f t="shared" ref="AA5:AA10" si="1">+Z5*W5</f>
        <v>0</v>
      </c>
      <c r="AB5" s="137"/>
      <c r="AC5" s="137">
        <f t="shared" ref="AC5:AC10" si="2">+AB5*W5</f>
        <v>0</v>
      </c>
      <c r="AD5" s="137"/>
      <c r="AE5" s="137">
        <f t="shared" ref="AE5:AE10" si="3">+AD5*W5</f>
        <v>0</v>
      </c>
      <c r="AF5" s="137">
        <f t="shared" ref="AF5:AG10" si="4">+X5+Z5+AB5+AD5</f>
        <v>0</v>
      </c>
      <c r="AG5" s="137">
        <f>+Y5+AA5+AC5+AE5</f>
        <v>0</v>
      </c>
      <c r="AH5" s="35">
        <f>+U5+AG5</f>
        <v>0</v>
      </c>
      <c r="AI5" s="56"/>
    </row>
    <row r="6" spans="1:35" s="11" customFormat="1" ht="31.5" customHeight="1" x14ac:dyDescent="0.25">
      <c r="A6" s="50">
        <v>7</v>
      </c>
      <c r="B6" s="50">
        <v>1</v>
      </c>
      <c r="C6" s="213"/>
      <c r="D6" s="194"/>
      <c r="E6" s="206"/>
      <c r="F6" s="206"/>
      <c r="G6" s="158" t="s">
        <v>118</v>
      </c>
      <c r="H6" s="159"/>
      <c r="I6" s="159"/>
      <c r="J6" s="159"/>
      <c r="K6" s="159"/>
      <c r="L6" s="159"/>
      <c r="M6" s="160" t="s">
        <v>34</v>
      </c>
      <c r="N6" s="160" t="s">
        <v>35</v>
      </c>
      <c r="O6" s="160" t="s">
        <v>39</v>
      </c>
      <c r="P6" s="138" t="s">
        <v>117</v>
      </c>
      <c r="Q6" s="155"/>
      <c r="R6" s="155"/>
      <c r="S6" s="137">
        <f>+R6*Q6</f>
        <v>0</v>
      </c>
      <c r="T6" s="137">
        <f>+R6</f>
        <v>0</v>
      </c>
      <c r="U6" s="137">
        <f>S6</f>
        <v>0</v>
      </c>
      <c r="V6" s="138" t="s">
        <v>117</v>
      </c>
      <c r="W6" s="139"/>
      <c r="X6" s="137"/>
      <c r="Y6" s="137">
        <f t="shared" si="0"/>
        <v>0</v>
      </c>
      <c r="Z6" s="137"/>
      <c r="AA6" s="137">
        <f t="shared" si="1"/>
        <v>0</v>
      </c>
      <c r="AB6" s="137"/>
      <c r="AC6" s="137">
        <f t="shared" si="2"/>
        <v>0</v>
      </c>
      <c r="AD6" s="137"/>
      <c r="AE6" s="137">
        <f t="shared" si="3"/>
        <v>0</v>
      </c>
      <c r="AF6" s="137">
        <f t="shared" si="4"/>
        <v>0</v>
      </c>
      <c r="AG6" s="137">
        <f>+Y6+AA6+AC6+AE6</f>
        <v>0</v>
      </c>
      <c r="AH6" s="35">
        <f>+U6+AG6</f>
        <v>0</v>
      </c>
      <c r="AI6" s="56"/>
    </row>
    <row r="7" spans="1:35" s="59" customFormat="1" ht="51" x14ac:dyDescent="0.25">
      <c r="A7" s="50">
        <v>7</v>
      </c>
      <c r="B7" s="50">
        <v>1</v>
      </c>
      <c r="C7" s="213"/>
      <c r="D7" s="194"/>
      <c r="E7" s="206"/>
      <c r="F7" s="207"/>
      <c r="G7" s="161" t="s">
        <v>119</v>
      </c>
      <c r="H7" s="162"/>
      <c r="I7" s="162"/>
      <c r="J7" s="162"/>
      <c r="K7" s="162"/>
      <c r="L7" s="162"/>
      <c r="M7" s="160" t="s">
        <v>34</v>
      </c>
      <c r="N7" s="160" t="s">
        <v>35</v>
      </c>
      <c r="O7" s="160" t="s">
        <v>39</v>
      </c>
      <c r="P7" s="138" t="s">
        <v>117</v>
      </c>
      <c r="Q7" s="155"/>
      <c r="R7" s="155"/>
      <c r="S7" s="137">
        <f t="shared" ref="S7:S10" si="5">+R7*Q7</f>
        <v>0</v>
      </c>
      <c r="T7" s="137">
        <f t="shared" ref="T7:T10" si="6">+R7</f>
        <v>0</v>
      </c>
      <c r="U7" s="137">
        <f t="shared" ref="U7:U10" si="7">S7</f>
        <v>0</v>
      </c>
      <c r="V7" s="138" t="s">
        <v>117</v>
      </c>
      <c r="W7" s="139"/>
      <c r="X7" s="137"/>
      <c r="Y7" s="137">
        <f t="shared" si="0"/>
        <v>0</v>
      </c>
      <c r="Z7" s="137"/>
      <c r="AA7" s="137">
        <f t="shared" si="1"/>
        <v>0</v>
      </c>
      <c r="AB7" s="137"/>
      <c r="AC7" s="137">
        <f t="shared" si="2"/>
        <v>0</v>
      </c>
      <c r="AD7" s="137"/>
      <c r="AE7" s="137">
        <f t="shared" si="3"/>
        <v>0</v>
      </c>
      <c r="AF7" s="137">
        <f t="shared" si="4"/>
        <v>0</v>
      </c>
      <c r="AG7" s="137">
        <f t="shared" si="4"/>
        <v>0</v>
      </c>
      <c r="AH7" s="35">
        <f>+U7+AG7</f>
        <v>0</v>
      </c>
      <c r="AI7" s="56"/>
    </row>
    <row r="8" spans="1:35" s="59" customFormat="1" ht="38.25" customHeight="1" x14ac:dyDescent="0.25">
      <c r="A8" s="60">
        <v>11</v>
      </c>
      <c r="B8" s="60">
        <v>1</v>
      </c>
      <c r="C8" s="61" t="s">
        <v>38</v>
      </c>
      <c r="D8" s="194"/>
      <c r="E8" s="206"/>
      <c r="F8" s="205" t="s">
        <v>120</v>
      </c>
      <c r="G8" s="161" t="s">
        <v>64</v>
      </c>
      <c r="H8" s="162"/>
      <c r="I8" s="162"/>
      <c r="J8" s="162"/>
      <c r="K8" s="162"/>
      <c r="L8" s="162"/>
      <c r="M8" s="160" t="s">
        <v>34</v>
      </c>
      <c r="N8" s="160" t="s">
        <v>35</v>
      </c>
      <c r="O8" s="160" t="s">
        <v>39</v>
      </c>
      <c r="P8" s="138" t="s">
        <v>117</v>
      </c>
      <c r="Q8" s="155"/>
      <c r="R8" s="155"/>
      <c r="S8" s="137">
        <f t="shared" si="5"/>
        <v>0</v>
      </c>
      <c r="T8" s="137">
        <f t="shared" si="6"/>
        <v>0</v>
      </c>
      <c r="U8" s="137">
        <f t="shared" si="7"/>
        <v>0</v>
      </c>
      <c r="V8" s="138" t="s">
        <v>117</v>
      </c>
      <c r="W8" s="139"/>
      <c r="X8" s="137"/>
      <c r="Y8" s="137">
        <f t="shared" si="0"/>
        <v>0</v>
      </c>
      <c r="Z8" s="137"/>
      <c r="AA8" s="137">
        <f t="shared" si="1"/>
        <v>0</v>
      </c>
      <c r="AB8" s="137"/>
      <c r="AC8" s="137">
        <f t="shared" si="2"/>
        <v>0</v>
      </c>
      <c r="AD8" s="137"/>
      <c r="AE8" s="137">
        <f t="shared" si="3"/>
        <v>0</v>
      </c>
      <c r="AF8" s="137">
        <f t="shared" si="4"/>
        <v>0</v>
      </c>
      <c r="AG8" s="137">
        <f t="shared" si="4"/>
        <v>0</v>
      </c>
      <c r="AH8" s="35">
        <f>+U8+AG8</f>
        <v>0</v>
      </c>
      <c r="AI8" s="56"/>
    </row>
    <row r="9" spans="1:35" s="59" customFormat="1" ht="51" x14ac:dyDescent="0.25">
      <c r="A9" s="60">
        <v>11</v>
      </c>
      <c r="B9" s="60">
        <v>1</v>
      </c>
      <c r="C9" s="61" t="s">
        <v>38</v>
      </c>
      <c r="D9" s="194"/>
      <c r="E9" s="206"/>
      <c r="F9" s="206"/>
      <c r="G9" s="161" t="s">
        <v>121</v>
      </c>
      <c r="H9" s="162"/>
      <c r="I9" s="162"/>
      <c r="J9" s="162"/>
      <c r="K9" s="162"/>
      <c r="L9" s="162"/>
      <c r="M9" s="160" t="s">
        <v>34</v>
      </c>
      <c r="N9" s="160" t="s">
        <v>35</v>
      </c>
      <c r="O9" s="160" t="s">
        <v>39</v>
      </c>
      <c r="P9" s="138" t="s">
        <v>117</v>
      </c>
      <c r="Q9" s="155"/>
      <c r="R9" s="155"/>
      <c r="S9" s="137">
        <f t="shared" si="5"/>
        <v>0</v>
      </c>
      <c r="T9" s="137">
        <f t="shared" si="6"/>
        <v>0</v>
      </c>
      <c r="U9" s="137">
        <f t="shared" si="7"/>
        <v>0</v>
      </c>
      <c r="V9" s="138" t="s">
        <v>117</v>
      </c>
      <c r="W9" s="139"/>
      <c r="X9" s="137"/>
      <c r="Y9" s="137">
        <f t="shared" si="0"/>
        <v>0</v>
      </c>
      <c r="Z9" s="137"/>
      <c r="AA9" s="137">
        <f t="shared" si="1"/>
        <v>0</v>
      </c>
      <c r="AB9" s="137"/>
      <c r="AC9" s="137">
        <f t="shared" si="2"/>
        <v>0</v>
      </c>
      <c r="AD9" s="137"/>
      <c r="AE9" s="137">
        <f t="shared" si="3"/>
        <v>0</v>
      </c>
      <c r="AF9" s="137">
        <f t="shared" si="4"/>
        <v>0</v>
      </c>
      <c r="AG9" s="137">
        <f t="shared" si="4"/>
        <v>0</v>
      </c>
      <c r="AH9" s="35">
        <f t="shared" ref="AH9:AH10" si="8">+U9+AG9</f>
        <v>0</v>
      </c>
      <c r="AI9" s="56"/>
    </row>
    <row r="10" spans="1:35" s="59" customFormat="1" ht="51" x14ac:dyDescent="0.25">
      <c r="A10" s="60">
        <v>11</v>
      </c>
      <c r="B10" s="60">
        <v>1</v>
      </c>
      <c r="C10" s="61" t="s">
        <v>38</v>
      </c>
      <c r="D10" s="195"/>
      <c r="E10" s="207"/>
      <c r="F10" s="207"/>
      <c r="G10" s="161" t="s">
        <v>66</v>
      </c>
      <c r="H10" s="162"/>
      <c r="I10" s="162"/>
      <c r="J10" s="162"/>
      <c r="K10" s="162"/>
      <c r="L10" s="162"/>
      <c r="M10" s="160" t="s">
        <v>34</v>
      </c>
      <c r="N10" s="160" t="s">
        <v>35</v>
      </c>
      <c r="O10" s="160" t="s">
        <v>39</v>
      </c>
      <c r="P10" s="138" t="s">
        <v>117</v>
      </c>
      <c r="Q10" s="155"/>
      <c r="R10" s="155"/>
      <c r="S10" s="137">
        <f t="shared" si="5"/>
        <v>0</v>
      </c>
      <c r="T10" s="137">
        <f t="shared" si="6"/>
        <v>0</v>
      </c>
      <c r="U10" s="137">
        <f t="shared" si="7"/>
        <v>0</v>
      </c>
      <c r="V10" s="138" t="s">
        <v>117</v>
      </c>
      <c r="W10" s="139"/>
      <c r="X10" s="137"/>
      <c r="Y10" s="137">
        <f t="shared" si="0"/>
        <v>0</v>
      </c>
      <c r="Z10" s="137"/>
      <c r="AA10" s="137">
        <f t="shared" si="1"/>
        <v>0</v>
      </c>
      <c r="AB10" s="137"/>
      <c r="AC10" s="137">
        <f t="shared" si="2"/>
        <v>0</v>
      </c>
      <c r="AD10" s="137"/>
      <c r="AE10" s="137">
        <f t="shared" si="3"/>
        <v>0</v>
      </c>
      <c r="AF10" s="137">
        <f t="shared" si="4"/>
        <v>0</v>
      </c>
      <c r="AG10" s="137">
        <f t="shared" si="4"/>
        <v>0</v>
      </c>
      <c r="AH10" s="35">
        <f t="shared" si="8"/>
        <v>0</v>
      </c>
      <c r="AI10" s="56"/>
    </row>
    <row r="11" spans="1:35" s="11" customFormat="1" x14ac:dyDescent="0.2">
      <c r="A11" s="62" t="s">
        <v>56</v>
      </c>
      <c r="B11" s="25"/>
      <c r="C11" s="26"/>
      <c r="D11" s="26"/>
      <c r="E11" s="26"/>
      <c r="F11" s="26"/>
      <c r="G11" s="38"/>
      <c r="H11" s="39"/>
      <c r="I11" s="39"/>
      <c r="J11" s="39"/>
      <c r="K11" s="39"/>
      <c r="L11" s="39"/>
      <c r="M11" s="37"/>
      <c r="N11" s="37"/>
      <c r="O11" s="37"/>
      <c r="P11" s="37"/>
      <c r="Q11" s="40"/>
      <c r="R11" s="41"/>
      <c r="S11" s="41"/>
      <c r="T11" s="41"/>
      <c r="U11" s="42"/>
      <c r="V11" s="37"/>
      <c r="W11" s="40"/>
      <c r="X11" s="41"/>
      <c r="Y11" s="41"/>
      <c r="Z11" s="41"/>
      <c r="AA11" s="41"/>
      <c r="AB11" s="41"/>
      <c r="AC11" s="41"/>
      <c r="AD11" s="41"/>
      <c r="AE11" s="41"/>
      <c r="AF11" s="41"/>
      <c r="AG11" s="42"/>
      <c r="AH11" s="31">
        <f>SUM(AH12:AH39)</f>
        <v>0</v>
      </c>
      <c r="AI11" s="32">
        <v>72486830</v>
      </c>
    </row>
    <row r="12" spans="1:35" s="11" customFormat="1" ht="38.25" x14ac:dyDescent="0.25">
      <c r="A12" s="190">
        <v>13</v>
      </c>
      <c r="B12" s="190">
        <v>1</v>
      </c>
      <c r="C12" s="193" t="s">
        <v>38</v>
      </c>
      <c r="D12" s="193" t="s">
        <v>32</v>
      </c>
      <c r="E12" s="205" t="s">
        <v>122</v>
      </c>
      <c r="F12" s="208" t="s">
        <v>123</v>
      </c>
      <c r="G12" s="43" t="s">
        <v>172</v>
      </c>
      <c r="H12" s="5"/>
      <c r="I12" s="5"/>
      <c r="J12" s="5"/>
      <c r="K12" s="5"/>
      <c r="L12" s="5"/>
      <c r="M12" s="4" t="s">
        <v>34</v>
      </c>
      <c r="N12" s="4" t="s">
        <v>35</v>
      </c>
      <c r="O12" s="4" t="s">
        <v>41</v>
      </c>
      <c r="P12" s="6" t="s">
        <v>124</v>
      </c>
      <c r="Q12" s="155"/>
      <c r="R12" s="155"/>
      <c r="S12" s="137">
        <f>+SUM(S13:S24)</f>
        <v>0</v>
      </c>
      <c r="T12" s="137">
        <f>+SUM(T13:T24)</f>
        <v>0</v>
      </c>
      <c r="U12" s="137">
        <f>+SUM(U13:U24)</f>
        <v>0</v>
      </c>
      <c r="V12" s="138" t="s">
        <v>124</v>
      </c>
      <c r="W12" s="139"/>
      <c r="X12" s="137">
        <f t="shared" ref="X12:AG12" si="9">+SUM(X13:X24)</f>
        <v>0</v>
      </c>
      <c r="Y12" s="137">
        <f t="shared" si="9"/>
        <v>0</v>
      </c>
      <c r="Z12" s="137">
        <f t="shared" si="9"/>
        <v>0</v>
      </c>
      <c r="AA12" s="137">
        <f t="shared" si="9"/>
        <v>0</v>
      </c>
      <c r="AB12" s="137">
        <f t="shared" si="9"/>
        <v>0</v>
      </c>
      <c r="AC12" s="137">
        <f t="shared" si="9"/>
        <v>0</v>
      </c>
      <c r="AD12" s="137">
        <f t="shared" si="9"/>
        <v>0</v>
      </c>
      <c r="AE12" s="137">
        <f t="shared" si="9"/>
        <v>0</v>
      </c>
      <c r="AF12" s="137">
        <f t="shared" si="9"/>
        <v>0</v>
      </c>
      <c r="AG12" s="137">
        <f t="shared" si="9"/>
        <v>0</v>
      </c>
      <c r="AH12" s="156">
        <f>+U12+AG12</f>
        <v>0</v>
      </c>
      <c r="AI12" s="56"/>
    </row>
    <row r="13" spans="1:35" s="11" customFormat="1" x14ac:dyDescent="0.25">
      <c r="A13" s="191"/>
      <c r="B13" s="191"/>
      <c r="C13" s="194"/>
      <c r="D13" s="194"/>
      <c r="E13" s="206"/>
      <c r="F13" s="209"/>
      <c r="G13" s="131" t="s">
        <v>187</v>
      </c>
      <c r="H13" s="5"/>
      <c r="I13" s="5"/>
      <c r="J13" s="5"/>
      <c r="K13" s="5"/>
      <c r="L13" s="5"/>
      <c r="M13" s="4"/>
      <c r="N13" s="4"/>
      <c r="O13" s="4"/>
      <c r="P13" s="6"/>
      <c r="Q13" s="148"/>
      <c r="R13" s="148"/>
      <c r="S13" s="137">
        <f>+Q13*R13</f>
        <v>0</v>
      </c>
      <c r="T13" s="137">
        <f>+R13</f>
        <v>0</v>
      </c>
      <c r="U13" s="137">
        <f>+S13</f>
        <v>0</v>
      </c>
      <c r="V13" s="138"/>
      <c r="W13" s="148"/>
      <c r="X13" s="148"/>
      <c r="Y13" s="137">
        <f>+$W13*X13</f>
        <v>0</v>
      </c>
      <c r="Z13" s="148"/>
      <c r="AA13" s="137">
        <f>+$W13*Z13</f>
        <v>0</v>
      </c>
      <c r="AB13" s="148"/>
      <c r="AC13" s="137">
        <f>+$W13*AB13</f>
        <v>0</v>
      </c>
      <c r="AD13" s="148"/>
      <c r="AE13" s="137">
        <f>+$W13*AD13</f>
        <v>0</v>
      </c>
      <c r="AF13" s="137">
        <f>+X13+Z13+AB13+AD13</f>
        <v>0</v>
      </c>
      <c r="AG13" s="137">
        <f t="shared" ref="AF13:AG39" si="10">+Y13+AA13+AC13+AE13</f>
        <v>0</v>
      </c>
      <c r="AH13" s="157"/>
      <c r="AI13" s="56"/>
    </row>
    <row r="14" spans="1:35" s="11" customFormat="1" x14ac:dyDescent="0.25">
      <c r="A14" s="191"/>
      <c r="B14" s="191"/>
      <c r="C14" s="194"/>
      <c r="D14" s="194"/>
      <c r="E14" s="206"/>
      <c r="F14" s="209"/>
      <c r="G14" s="131" t="s">
        <v>188</v>
      </c>
      <c r="H14" s="5"/>
      <c r="I14" s="5"/>
      <c r="J14" s="5"/>
      <c r="K14" s="5"/>
      <c r="L14" s="5"/>
      <c r="M14" s="4"/>
      <c r="N14" s="4"/>
      <c r="O14" s="4"/>
      <c r="P14" s="6"/>
      <c r="Q14" s="148"/>
      <c r="R14" s="148"/>
      <c r="S14" s="137">
        <f t="shared" ref="S14:S37" si="11">+Q14*R14</f>
        <v>0</v>
      </c>
      <c r="T14" s="137">
        <f t="shared" ref="T14:T24" si="12">+R14</f>
        <v>0</v>
      </c>
      <c r="U14" s="137">
        <f t="shared" ref="U14:U37" si="13">+S14</f>
        <v>0</v>
      </c>
      <c r="V14" s="138"/>
      <c r="W14" s="148"/>
      <c r="X14" s="148"/>
      <c r="Y14" s="137">
        <f t="shared" ref="Y14:AA24" si="14">+$W14*X14</f>
        <v>0</v>
      </c>
      <c r="Z14" s="148"/>
      <c r="AA14" s="137">
        <f t="shared" si="14"/>
        <v>0</v>
      </c>
      <c r="AB14" s="148"/>
      <c r="AC14" s="137">
        <f t="shared" ref="AC14" si="15">+$W14*AB14</f>
        <v>0</v>
      </c>
      <c r="AD14" s="148"/>
      <c r="AE14" s="137">
        <f t="shared" ref="AE14" si="16">+$W14*AD14</f>
        <v>0</v>
      </c>
      <c r="AF14" s="137">
        <f t="shared" ref="AF14:AF37" si="17">+X14+Z14+AB14+AD14</f>
        <v>0</v>
      </c>
      <c r="AG14" s="137">
        <f t="shared" si="10"/>
        <v>0</v>
      </c>
      <c r="AH14" s="157"/>
      <c r="AI14" s="56"/>
    </row>
    <row r="15" spans="1:35" s="11" customFormat="1" x14ac:dyDescent="0.25">
      <c r="A15" s="191"/>
      <c r="B15" s="191"/>
      <c r="C15" s="194"/>
      <c r="D15" s="194"/>
      <c r="E15" s="206"/>
      <c r="F15" s="209"/>
      <c r="G15" s="131" t="s">
        <v>189</v>
      </c>
      <c r="H15" s="5"/>
      <c r="I15" s="5"/>
      <c r="J15" s="5"/>
      <c r="K15" s="5"/>
      <c r="L15" s="5"/>
      <c r="M15" s="4"/>
      <c r="N15" s="4"/>
      <c r="O15" s="4"/>
      <c r="P15" s="6"/>
      <c r="Q15" s="148"/>
      <c r="R15" s="148"/>
      <c r="S15" s="137">
        <f t="shared" si="11"/>
        <v>0</v>
      </c>
      <c r="T15" s="137">
        <f t="shared" si="12"/>
        <v>0</v>
      </c>
      <c r="U15" s="137">
        <f t="shared" si="13"/>
        <v>0</v>
      </c>
      <c r="V15" s="138"/>
      <c r="W15" s="148"/>
      <c r="X15" s="148"/>
      <c r="Y15" s="137">
        <f t="shared" si="14"/>
        <v>0</v>
      </c>
      <c r="Z15" s="148"/>
      <c r="AA15" s="137">
        <f t="shared" si="14"/>
        <v>0</v>
      </c>
      <c r="AB15" s="148"/>
      <c r="AC15" s="137">
        <f t="shared" ref="AC15" si="18">+$W15*AB15</f>
        <v>0</v>
      </c>
      <c r="AD15" s="148"/>
      <c r="AE15" s="137">
        <f t="shared" ref="AE15" si="19">+$W15*AD15</f>
        <v>0</v>
      </c>
      <c r="AF15" s="137">
        <f t="shared" si="17"/>
        <v>0</v>
      </c>
      <c r="AG15" s="137">
        <f t="shared" si="10"/>
        <v>0</v>
      </c>
      <c r="AH15" s="157"/>
      <c r="AI15" s="56"/>
    </row>
    <row r="16" spans="1:35" s="11" customFormat="1" x14ac:dyDescent="0.25">
      <c r="A16" s="191"/>
      <c r="B16" s="191"/>
      <c r="C16" s="194"/>
      <c r="D16" s="194"/>
      <c r="E16" s="206"/>
      <c r="F16" s="209"/>
      <c r="G16" s="131" t="s">
        <v>186</v>
      </c>
      <c r="H16" s="5"/>
      <c r="I16" s="5"/>
      <c r="J16" s="5"/>
      <c r="K16" s="5"/>
      <c r="L16" s="5"/>
      <c r="M16" s="4"/>
      <c r="N16" s="4"/>
      <c r="O16" s="4"/>
      <c r="P16" s="6"/>
      <c r="Q16" s="148"/>
      <c r="R16" s="148"/>
      <c r="S16" s="137">
        <f t="shared" si="11"/>
        <v>0</v>
      </c>
      <c r="T16" s="137">
        <f t="shared" si="12"/>
        <v>0</v>
      </c>
      <c r="U16" s="137">
        <f t="shared" si="13"/>
        <v>0</v>
      </c>
      <c r="V16" s="138"/>
      <c r="W16" s="148"/>
      <c r="X16" s="148"/>
      <c r="Y16" s="137">
        <f t="shared" si="14"/>
        <v>0</v>
      </c>
      <c r="Z16" s="148"/>
      <c r="AA16" s="137">
        <f t="shared" si="14"/>
        <v>0</v>
      </c>
      <c r="AB16" s="148"/>
      <c r="AC16" s="137">
        <f t="shared" ref="AC16" si="20">+$W16*AB16</f>
        <v>0</v>
      </c>
      <c r="AD16" s="148"/>
      <c r="AE16" s="137">
        <f t="shared" ref="AE16" si="21">+$W16*AD16</f>
        <v>0</v>
      </c>
      <c r="AF16" s="137">
        <f t="shared" si="17"/>
        <v>0</v>
      </c>
      <c r="AG16" s="137">
        <f t="shared" si="10"/>
        <v>0</v>
      </c>
      <c r="AH16" s="157"/>
      <c r="AI16" s="56"/>
    </row>
    <row r="17" spans="1:35" s="11" customFormat="1" x14ac:dyDescent="0.25">
      <c r="A17" s="191"/>
      <c r="B17" s="191"/>
      <c r="C17" s="194"/>
      <c r="D17" s="194"/>
      <c r="E17" s="206"/>
      <c r="F17" s="209"/>
      <c r="G17" s="131" t="s">
        <v>190</v>
      </c>
      <c r="H17" s="5"/>
      <c r="I17" s="5"/>
      <c r="J17" s="5"/>
      <c r="K17" s="5"/>
      <c r="L17" s="5"/>
      <c r="M17" s="4"/>
      <c r="N17" s="4"/>
      <c r="O17" s="4"/>
      <c r="P17" s="6"/>
      <c r="Q17" s="148"/>
      <c r="R17" s="148"/>
      <c r="S17" s="137">
        <f t="shared" si="11"/>
        <v>0</v>
      </c>
      <c r="T17" s="137">
        <f t="shared" si="12"/>
        <v>0</v>
      </c>
      <c r="U17" s="137">
        <f t="shared" si="13"/>
        <v>0</v>
      </c>
      <c r="V17" s="138"/>
      <c r="W17" s="148"/>
      <c r="X17" s="148"/>
      <c r="Y17" s="137">
        <f t="shared" si="14"/>
        <v>0</v>
      </c>
      <c r="Z17" s="148"/>
      <c r="AA17" s="137">
        <f t="shared" si="14"/>
        <v>0</v>
      </c>
      <c r="AB17" s="148"/>
      <c r="AC17" s="137">
        <f t="shared" ref="AC17" si="22">+$W17*AB17</f>
        <v>0</v>
      </c>
      <c r="AD17" s="148"/>
      <c r="AE17" s="137">
        <f t="shared" ref="AE17" si="23">+$W17*AD17</f>
        <v>0</v>
      </c>
      <c r="AF17" s="137">
        <f t="shared" si="17"/>
        <v>0</v>
      </c>
      <c r="AG17" s="137">
        <f t="shared" si="10"/>
        <v>0</v>
      </c>
      <c r="AH17" s="157"/>
      <c r="AI17" s="56"/>
    </row>
    <row r="18" spans="1:35" s="11" customFormat="1" x14ac:dyDescent="0.25">
      <c r="A18" s="191"/>
      <c r="B18" s="191"/>
      <c r="C18" s="194"/>
      <c r="D18" s="194"/>
      <c r="E18" s="206"/>
      <c r="F18" s="209"/>
      <c r="G18" s="131" t="s">
        <v>191</v>
      </c>
      <c r="H18" s="5"/>
      <c r="I18" s="5"/>
      <c r="J18" s="5"/>
      <c r="K18" s="5"/>
      <c r="L18" s="5"/>
      <c r="M18" s="4"/>
      <c r="N18" s="4"/>
      <c r="O18" s="4"/>
      <c r="P18" s="6"/>
      <c r="Q18" s="148"/>
      <c r="R18" s="148"/>
      <c r="S18" s="137">
        <f t="shared" si="11"/>
        <v>0</v>
      </c>
      <c r="T18" s="137">
        <f t="shared" si="12"/>
        <v>0</v>
      </c>
      <c r="U18" s="137">
        <f t="shared" si="13"/>
        <v>0</v>
      </c>
      <c r="V18" s="138"/>
      <c r="W18" s="148"/>
      <c r="X18" s="148"/>
      <c r="Y18" s="137">
        <f t="shared" si="14"/>
        <v>0</v>
      </c>
      <c r="Z18" s="148"/>
      <c r="AA18" s="137">
        <f t="shared" si="14"/>
        <v>0</v>
      </c>
      <c r="AB18" s="148"/>
      <c r="AC18" s="137">
        <f t="shared" ref="AC18" si="24">+$W18*AB18</f>
        <v>0</v>
      </c>
      <c r="AD18" s="148"/>
      <c r="AE18" s="137">
        <f t="shared" ref="AE18" si="25">+$W18*AD18</f>
        <v>0</v>
      </c>
      <c r="AF18" s="137">
        <f t="shared" si="17"/>
        <v>0</v>
      </c>
      <c r="AG18" s="137">
        <f t="shared" si="10"/>
        <v>0</v>
      </c>
      <c r="AH18" s="157"/>
      <c r="AI18" s="56"/>
    </row>
    <row r="19" spans="1:35" s="11" customFormat="1" x14ac:dyDescent="0.25">
      <c r="A19" s="191"/>
      <c r="B19" s="191"/>
      <c r="C19" s="194"/>
      <c r="D19" s="194"/>
      <c r="E19" s="206"/>
      <c r="F19" s="209"/>
      <c r="G19" s="131" t="s">
        <v>192</v>
      </c>
      <c r="H19" s="5"/>
      <c r="I19" s="5"/>
      <c r="J19" s="5"/>
      <c r="K19" s="5"/>
      <c r="L19" s="5"/>
      <c r="M19" s="4"/>
      <c r="N19" s="4"/>
      <c r="O19" s="4"/>
      <c r="P19" s="6"/>
      <c r="Q19" s="148"/>
      <c r="R19" s="148"/>
      <c r="S19" s="137">
        <f t="shared" si="11"/>
        <v>0</v>
      </c>
      <c r="T19" s="137">
        <f t="shared" si="12"/>
        <v>0</v>
      </c>
      <c r="U19" s="137">
        <f t="shared" si="13"/>
        <v>0</v>
      </c>
      <c r="V19" s="138"/>
      <c r="W19" s="148"/>
      <c r="X19" s="148"/>
      <c r="Y19" s="137">
        <f t="shared" si="14"/>
        <v>0</v>
      </c>
      <c r="Z19" s="148"/>
      <c r="AA19" s="137">
        <f t="shared" si="14"/>
        <v>0</v>
      </c>
      <c r="AB19" s="148"/>
      <c r="AC19" s="137">
        <f t="shared" ref="AC19" si="26">+$W19*AB19</f>
        <v>0</v>
      </c>
      <c r="AD19" s="148"/>
      <c r="AE19" s="137">
        <f t="shared" ref="AE19" si="27">+$W19*AD19</f>
        <v>0</v>
      </c>
      <c r="AF19" s="137">
        <f t="shared" si="17"/>
        <v>0</v>
      </c>
      <c r="AG19" s="137">
        <f t="shared" si="10"/>
        <v>0</v>
      </c>
      <c r="AH19" s="157"/>
      <c r="AI19" s="56"/>
    </row>
    <row r="20" spans="1:35" s="11" customFormat="1" x14ac:dyDescent="0.25">
      <c r="A20" s="191"/>
      <c r="B20" s="191"/>
      <c r="C20" s="194"/>
      <c r="D20" s="194"/>
      <c r="E20" s="206"/>
      <c r="F20" s="209"/>
      <c r="G20" s="131" t="s">
        <v>193</v>
      </c>
      <c r="H20" s="5"/>
      <c r="I20" s="5"/>
      <c r="J20" s="5"/>
      <c r="K20" s="5"/>
      <c r="L20" s="5"/>
      <c r="M20" s="4"/>
      <c r="N20" s="4"/>
      <c r="O20" s="4"/>
      <c r="P20" s="6"/>
      <c r="Q20" s="148"/>
      <c r="R20" s="148"/>
      <c r="S20" s="137">
        <f t="shared" si="11"/>
        <v>0</v>
      </c>
      <c r="T20" s="137">
        <f t="shared" si="12"/>
        <v>0</v>
      </c>
      <c r="U20" s="137">
        <f t="shared" si="13"/>
        <v>0</v>
      </c>
      <c r="V20" s="138"/>
      <c r="W20" s="148"/>
      <c r="X20" s="148"/>
      <c r="Y20" s="137">
        <f t="shared" si="14"/>
        <v>0</v>
      </c>
      <c r="Z20" s="148"/>
      <c r="AA20" s="137">
        <f t="shared" si="14"/>
        <v>0</v>
      </c>
      <c r="AB20" s="148"/>
      <c r="AC20" s="137">
        <f t="shared" ref="AC20" si="28">+$W20*AB20</f>
        <v>0</v>
      </c>
      <c r="AD20" s="148"/>
      <c r="AE20" s="137">
        <f t="shared" ref="AE20" si="29">+$W20*AD20</f>
        <v>0</v>
      </c>
      <c r="AF20" s="137">
        <f t="shared" si="17"/>
        <v>0</v>
      </c>
      <c r="AG20" s="137">
        <f t="shared" si="10"/>
        <v>0</v>
      </c>
      <c r="AH20" s="157"/>
      <c r="AI20" s="56"/>
    </row>
    <row r="21" spans="1:35" s="11" customFormat="1" x14ac:dyDescent="0.25">
      <c r="A21" s="191"/>
      <c r="B21" s="191"/>
      <c r="C21" s="194"/>
      <c r="D21" s="194"/>
      <c r="E21" s="206"/>
      <c r="F21" s="209"/>
      <c r="G21" s="131" t="s">
        <v>197</v>
      </c>
      <c r="H21" s="5"/>
      <c r="I21" s="5"/>
      <c r="J21" s="5"/>
      <c r="K21" s="5"/>
      <c r="L21" s="5"/>
      <c r="M21" s="4"/>
      <c r="N21" s="4"/>
      <c r="O21" s="4"/>
      <c r="P21" s="6"/>
      <c r="Q21" s="148"/>
      <c r="R21" s="148"/>
      <c r="S21" s="137">
        <f t="shared" si="11"/>
        <v>0</v>
      </c>
      <c r="T21" s="137">
        <f t="shared" si="12"/>
        <v>0</v>
      </c>
      <c r="U21" s="137">
        <f t="shared" si="13"/>
        <v>0</v>
      </c>
      <c r="V21" s="138"/>
      <c r="W21" s="148"/>
      <c r="X21" s="148"/>
      <c r="Y21" s="137">
        <f t="shared" si="14"/>
        <v>0</v>
      </c>
      <c r="Z21" s="148"/>
      <c r="AA21" s="137">
        <f t="shared" si="14"/>
        <v>0</v>
      </c>
      <c r="AB21" s="148"/>
      <c r="AC21" s="137">
        <f t="shared" ref="AC21" si="30">+$W21*AB21</f>
        <v>0</v>
      </c>
      <c r="AD21" s="148"/>
      <c r="AE21" s="137">
        <f t="shared" ref="AE21" si="31">+$W21*AD21</f>
        <v>0</v>
      </c>
      <c r="AF21" s="137">
        <f t="shared" si="17"/>
        <v>0</v>
      </c>
      <c r="AG21" s="137">
        <f t="shared" si="10"/>
        <v>0</v>
      </c>
      <c r="AH21" s="157"/>
      <c r="AI21" s="56"/>
    </row>
    <row r="22" spans="1:35" s="11" customFormat="1" x14ac:dyDescent="0.25">
      <c r="A22" s="191"/>
      <c r="B22" s="191"/>
      <c r="C22" s="194"/>
      <c r="D22" s="194"/>
      <c r="E22" s="206"/>
      <c r="F22" s="209"/>
      <c r="G22" s="131" t="s">
        <v>194</v>
      </c>
      <c r="H22" s="5"/>
      <c r="I22" s="5"/>
      <c r="J22" s="5"/>
      <c r="K22" s="5"/>
      <c r="L22" s="5"/>
      <c r="M22" s="4"/>
      <c r="N22" s="4"/>
      <c r="O22" s="4"/>
      <c r="P22" s="6"/>
      <c r="Q22" s="148"/>
      <c r="R22" s="148"/>
      <c r="S22" s="137">
        <f t="shared" si="11"/>
        <v>0</v>
      </c>
      <c r="T22" s="137">
        <f t="shared" si="12"/>
        <v>0</v>
      </c>
      <c r="U22" s="137">
        <f t="shared" si="13"/>
        <v>0</v>
      </c>
      <c r="V22" s="138"/>
      <c r="W22" s="148"/>
      <c r="X22" s="148"/>
      <c r="Y22" s="137">
        <f t="shared" si="14"/>
        <v>0</v>
      </c>
      <c r="Z22" s="148"/>
      <c r="AA22" s="137">
        <f t="shared" si="14"/>
        <v>0</v>
      </c>
      <c r="AB22" s="148"/>
      <c r="AC22" s="137">
        <f t="shared" ref="AC22" si="32">+$W22*AB22</f>
        <v>0</v>
      </c>
      <c r="AD22" s="148"/>
      <c r="AE22" s="137">
        <f t="shared" ref="AE22" si="33">+$W22*AD22</f>
        <v>0</v>
      </c>
      <c r="AF22" s="137">
        <f t="shared" si="17"/>
        <v>0</v>
      </c>
      <c r="AG22" s="137">
        <f t="shared" si="10"/>
        <v>0</v>
      </c>
      <c r="AH22" s="157"/>
      <c r="AI22" s="56"/>
    </row>
    <row r="23" spans="1:35" s="11" customFormat="1" x14ac:dyDescent="0.25">
      <c r="A23" s="191"/>
      <c r="B23" s="191"/>
      <c r="C23" s="194"/>
      <c r="D23" s="194"/>
      <c r="E23" s="206"/>
      <c r="F23" s="209"/>
      <c r="G23" s="131" t="s">
        <v>195</v>
      </c>
      <c r="H23" s="5"/>
      <c r="I23" s="5"/>
      <c r="J23" s="5"/>
      <c r="K23" s="5"/>
      <c r="L23" s="5"/>
      <c r="M23" s="4"/>
      <c r="N23" s="4"/>
      <c r="O23" s="4"/>
      <c r="P23" s="6"/>
      <c r="Q23" s="148"/>
      <c r="R23" s="148"/>
      <c r="S23" s="137">
        <f t="shared" si="11"/>
        <v>0</v>
      </c>
      <c r="T23" s="137">
        <f t="shared" si="12"/>
        <v>0</v>
      </c>
      <c r="U23" s="137">
        <f t="shared" si="13"/>
        <v>0</v>
      </c>
      <c r="V23" s="138"/>
      <c r="W23" s="148"/>
      <c r="X23" s="148"/>
      <c r="Y23" s="137">
        <f t="shared" si="14"/>
        <v>0</v>
      </c>
      <c r="Z23" s="148"/>
      <c r="AA23" s="137">
        <f t="shared" si="14"/>
        <v>0</v>
      </c>
      <c r="AB23" s="148"/>
      <c r="AC23" s="137">
        <f t="shared" ref="AC23" si="34">+$W23*AB23</f>
        <v>0</v>
      </c>
      <c r="AD23" s="148"/>
      <c r="AE23" s="137">
        <f t="shared" ref="AE23" si="35">+$W23*AD23</f>
        <v>0</v>
      </c>
      <c r="AF23" s="137">
        <f t="shared" si="17"/>
        <v>0</v>
      </c>
      <c r="AG23" s="137">
        <f t="shared" si="10"/>
        <v>0</v>
      </c>
      <c r="AH23" s="157"/>
      <c r="AI23" s="56"/>
    </row>
    <row r="24" spans="1:35" s="11" customFormat="1" x14ac:dyDescent="0.25">
      <c r="A24" s="192"/>
      <c r="B24" s="192"/>
      <c r="C24" s="195"/>
      <c r="D24" s="194"/>
      <c r="E24" s="206"/>
      <c r="F24" s="209"/>
      <c r="G24" s="131" t="s">
        <v>196</v>
      </c>
      <c r="H24" s="5"/>
      <c r="I24" s="5"/>
      <c r="J24" s="5"/>
      <c r="K24" s="5"/>
      <c r="L24" s="5"/>
      <c r="M24" s="4"/>
      <c r="N24" s="4"/>
      <c r="O24" s="4"/>
      <c r="P24" s="6"/>
      <c r="Q24" s="148"/>
      <c r="R24" s="148"/>
      <c r="S24" s="137">
        <f t="shared" si="11"/>
        <v>0</v>
      </c>
      <c r="T24" s="137">
        <f t="shared" si="12"/>
        <v>0</v>
      </c>
      <c r="U24" s="137">
        <f t="shared" si="13"/>
        <v>0</v>
      </c>
      <c r="V24" s="138"/>
      <c r="W24" s="148"/>
      <c r="X24" s="148"/>
      <c r="Y24" s="137">
        <f t="shared" si="14"/>
        <v>0</v>
      </c>
      <c r="Z24" s="148"/>
      <c r="AA24" s="137">
        <f t="shared" si="14"/>
        <v>0</v>
      </c>
      <c r="AB24" s="148"/>
      <c r="AC24" s="137">
        <f t="shared" ref="AC24" si="36">+$W24*AB24</f>
        <v>0</v>
      </c>
      <c r="AD24" s="148"/>
      <c r="AE24" s="137">
        <f t="shared" ref="AE24" si="37">+$W24*AD24</f>
        <v>0</v>
      </c>
      <c r="AF24" s="137">
        <f t="shared" si="17"/>
        <v>0</v>
      </c>
      <c r="AG24" s="137">
        <f t="shared" si="10"/>
        <v>0</v>
      </c>
      <c r="AH24" s="157"/>
      <c r="AI24" s="56"/>
    </row>
    <row r="25" spans="1:35" s="11" customFormat="1" ht="38.25" x14ac:dyDescent="0.25">
      <c r="A25" s="190">
        <v>13</v>
      </c>
      <c r="B25" s="190">
        <v>1</v>
      </c>
      <c r="C25" s="193" t="s">
        <v>38</v>
      </c>
      <c r="D25" s="194"/>
      <c r="E25" s="206"/>
      <c r="F25" s="209"/>
      <c r="G25" s="43" t="s">
        <v>173</v>
      </c>
      <c r="H25" s="5"/>
      <c r="I25" s="5"/>
      <c r="J25" s="5"/>
      <c r="K25" s="5"/>
      <c r="L25" s="5"/>
      <c r="M25" s="4" t="s">
        <v>34</v>
      </c>
      <c r="N25" s="4" t="s">
        <v>35</v>
      </c>
      <c r="O25" s="4" t="s">
        <v>41</v>
      </c>
      <c r="P25" s="6" t="s">
        <v>125</v>
      </c>
      <c r="Q25" s="152"/>
      <c r="R25" s="152"/>
      <c r="S25" s="137">
        <f>+SUM(S26:S37)</f>
        <v>0</v>
      </c>
      <c r="T25" s="137">
        <f>+SUM(T26:T37)</f>
        <v>0</v>
      </c>
      <c r="U25" s="137">
        <f>+SUM(U26:U37)</f>
        <v>0</v>
      </c>
      <c r="V25" s="138" t="s">
        <v>125</v>
      </c>
      <c r="W25" s="139"/>
      <c r="X25" s="137">
        <f t="shared" ref="X25" si="38">+SUM(X26:X37)</f>
        <v>0</v>
      </c>
      <c r="Y25" s="137">
        <f t="shared" ref="Y25" si="39">+SUM(Y26:Y37)</f>
        <v>0</v>
      </c>
      <c r="Z25" s="137">
        <f t="shared" ref="Z25" si="40">+SUM(Z26:Z37)</f>
        <v>0</v>
      </c>
      <c r="AA25" s="137">
        <f t="shared" ref="AA25" si="41">+SUM(AA26:AA37)</f>
        <v>0</v>
      </c>
      <c r="AB25" s="137">
        <f t="shared" ref="AB25" si="42">+SUM(AB26:AB37)</f>
        <v>0</v>
      </c>
      <c r="AC25" s="137">
        <f t="shared" ref="AC25" si="43">+SUM(AC26:AC37)</f>
        <v>0</v>
      </c>
      <c r="AD25" s="137">
        <f t="shared" ref="AD25" si="44">+SUM(AD26:AD37)</f>
        <v>0</v>
      </c>
      <c r="AE25" s="137">
        <f t="shared" ref="AE25" si="45">+SUM(AE26:AE37)</f>
        <v>0</v>
      </c>
      <c r="AF25" s="137">
        <f t="shared" ref="AF25" si="46">+SUM(AF26:AF37)</f>
        <v>0</v>
      </c>
      <c r="AG25" s="137">
        <f t="shared" si="10"/>
        <v>0</v>
      </c>
      <c r="AH25" s="156">
        <f>+U25+AG25</f>
        <v>0</v>
      </c>
      <c r="AI25" s="56"/>
    </row>
    <row r="26" spans="1:35" s="11" customFormat="1" x14ac:dyDescent="0.25">
      <c r="A26" s="191"/>
      <c r="B26" s="191"/>
      <c r="C26" s="194"/>
      <c r="D26" s="194"/>
      <c r="E26" s="206"/>
      <c r="F26" s="209"/>
      <c r="G26" s="131" t="s">
        <v>187</v>
      </c>
      <c r="H26" s="5"/>
      <c r="I26" s="5"/>
      <c r="J26" s="5"/>
      <c r="K26" s="5"/>
      <c r="L26" s="5"/>
      <c r="M26" s="4"/>
      <c r="N26" s="4"/>
      <c r="O26" s="4"/>
      <c r="P26" s="6"/>
      <c r="Q26" s="148"/>
      <c r="R26" s="148"/>
      <c r="S26" s="137">
        <f t="shared" si="11"/>
        <v>0</v>
      </c>
      <c r="T26" s="137">
        <f t="shared" ref="T26:T37" si="47">+R26</f>
        <v>0</v>
      </c>
      <c r="U26" s="137">
        <f t="shared" si="13"/>
        <v>0</v>
      </c>
      <c r="V26" s="138"/>
      <c r="W26" s="148"/>
      <c r="X26" s="148"/>
      <c r="Y26" s="137">
        <f>+$W26*X26</f>
        <v>0</v>
      </c>
      <c r="Z26" s="148"/>
      <c r="AA26" s="137">
        <f>+$W26*Z26</f>
        <v>0</v>
      </c>
      <c r="AB26" s="148"/>
      <c r="AC26" s="137">
        <f>+$W26*AB26</f>
        <v>0</v>
      </c>
      <c r="AD26" s="148"/>
      <c r="AE26" s="137">
        <f>+$W26*AD26</f>
        <v>0</v>
      </c>
      <c r="AF26" s="137">
        <f t="shared" si="17"/>
        <v>0</v>
      </c>
      <c r="AG26" s="137">
        <f t="shared" si="10"/>
        <v>0</v>
      </c>
      <c r="AH26" s="157"/>
      <c r="AI26" s="56"/>
    </row>
    <row r="27" spans="1:35" s="11" customFormat="1" x14ac:dyDescent="0.25">
      <c r="A27" s="191"/>
      <c r="B27" s="191"/>
      <c r="C27" s="194"/>
      <c r="D27" s="194"/>
      <c r="E27" s="206"/>
      <c r="F27" s="209"/>
      <c r="G27" s="131" t="s">
        <v>188</v>
      </c>
      <c r="H27" s="5"/>
      <c r="I27" s="5"/>
      <c r="J27" s="5"/>
      <c r="K27" s="5"/>
      <c r="L27" s="5"/>
      <c r="M27" s="4"/>
      <c r="N27" s="4"/>
      <c r="O27" s="4"/>
      <c r="P27" s="6"/>
      <c r="Q27" s="148"/>
      <c r="R27" s="148"/>
      <c r="S27" s="137">
        <f t="shared" si="11"/>
        <v>0</v>
      </c>
      <c r="T27" s="137">
        <f t="shared" si="47"/>
        <v>0</v>
      </c>
      <c r="U27" s="137">
        <f t="shared" si="13"/>
        <v>0</v>
      </c>
      <c r="V27" s="138"/>
      <c r="W27" s="148"/>
      <c r="X27" s="148"/>
      <c r="Y27" s="137">
        <f t="shared" ref="Y27:AA27" si="48">+$W27*X27</f>
        <v>0</v>
      </c>
      <c r="Z27" s="148"/>
      <c r="AA27" s="137">
        <f t="shared" si="48"/>
        <v>0</v>
      </c>
      <c r="AB27" s="148"/>
      <c r="AC27" s="137">
        <f t="shared" ref="AC27" si="49">+$W27*AB27</f>
        <v>0</v>
      </c>
      <c r="AD27" s="148"/>
      <c r="AE27" s="137">
        <f t="shared" ref="AE27" si="50">+$W27*AD27</f>
        <v>0</v>
      </c>
      <c r="AF27" s="137">
        <f t="shared" si="17"/>
        <v>0</v>
      </c>
      <c r="AG27" s="137">
        <f t="shared" si="10"/>
        <v>0</v>
      </c>
      <c r="AH27" s="157"/>
      <c r="AI27" s="56"/>
    </row>
    <row r="28" spans="1:35" s="11" customFormat="1" x14ac:dyDescent="0.25">
      <c r="A28" s="191"/>
      <c r="B28" s="191"/>
      <c r="C28" s="194"/>
      <c r="D28" s="194"/>
      <c r="E28" s="206"/>
      <c r="F28" s="209"/>
      <c r="G28" s="131" t="s">
        <v>189</v>
      </c>
      <c r="H28" s="5"/>
      <c r="I28" s="5"/>
      <c r="J28" s="5"/>
      <c r="K28" s="5"/>
      <c r="L28" s="5"/>
      <c r="M28" s="4"/>
      <c r="N28" s="4"/>
      <c r="O28" s="4"/>
      <c r="P28" s="6"/>
      <c r="Q28" s="148"/>
      <c r="R28" s="148"/>
      <c r="S28" s="137">
        <f t="shared" si="11"/>
        <v>0</v>
      </c>
      <c r="T28" s="137">
        <f t="shared" si="47"/>
        <v>0</v>
      </c>
      <c r="U28" s="137">
        <f t="shared" si="13"/>
        <v>0</v>
      </c>
      <c r="V28" s="138"/>
      <c r="W28" s="148"/>
      <c r="X28" s="148"/>
      <c r="Y28" s="137">
        <f t="shared" ref="Y28:AA28" si="51">+$W28*X28</f>
        <v>0</v>
      </c>
      <c r="Z28" s="148"/>
      <c r="AA28" s="137">
        <f t="shared" si="51"/>
        <v>0</v>
      </c>
      <c r="AB28" s="148"/>
      <c r="AC28" s="137">
        <f t="shared" ref="AC28" si="52">+$W28*AB28</f>
        <v>0</v>
      </c>
      <c r="AD28" s="148"/>
      <c r="AE28" s="137">
        <f t="shared" ref="AE28" si="53">+$W28*AD28</f>
        <v>0</v>
      </c>
      <c r="AF28" s="137">
        <f t="shared" si="17"/>
        <v>0</v>
      </c>
      <c r="AG28" s="137">
        <f t="shared" si="10"/>
        <v>0</v>
      </c>
      <c r="AH28" s="157"/>
      <c r="AI28" s="56"/>
    </row>
    <row r="29" spans="1:35" s="11" customFormat="1" x14ac:dyDescent="0.25">
      <c r="A29" s="191"/>
      <c r="B29" s="191"/>
      <c r="C29" s="194"/>
      <c r="D29" s="194"/>
      <c r="E29" s="206"/>
      <c r="F29" s="209"/>
      <c r="G29" s="131" t="s">
        <v>186</v>
      </c>
      <c r="H29" s="5"/>
      <c r="I29" s="5"/>
      <c r="J29" s="5"/>
      <c r="K29" s="5"/>
      <c r="L29" s="5"/>
      <c r="M29" s="4"/>
      <c r="N29" s="4"/>
      <c r="O29" s="4"/>
      <c r="P29" s="6"/>
      <c r="Q29" s="148"/>
      <c r="R29" s="148"/>
      <c r="S29" s="137">
        <f t="shared" si="11"/>
        <v>0</v>
      </c>
      <c r="T29" s="137">
        <f t="shared" si="47"/>
        <v>0</v>
      </c>
      <c r="U29" s="137">
        <f t="shared" si="13"/>
        <v>0</v>
      </c>
      <c r="V29" s="138"/>
      <c r="W29" s="148"/>
      <c r="X29" s="148"/>
      <c r="Y29" s="137">
        <f t="shared" ref="Y29:AA29" si="54">+$W29*X29</f>
        <v>0</v>
      </c>
      <c r="Z29" s="148"/>
      <c r="AA29" s="137">
        <f t="shared" si="54"/>
        <v>0</v>
      </c>
      <c r="AB29" s="148"/>
      <c r="AC29" s="137">
        <f t="shared" ref="AC29" si="55">+$W29*AB29</f>
        <v>0</v>
      </c>
      <c r="AD29" s="148"/>
      <c r="AE29" s="137">
        <f t="shared" ref="AE29" si="56">+$W29*AD29</f>
        <v>0</v>
      </c>
      <c r="AF29" s="137">
        <f t="shared" si="17"/>
        <v>0</v>
      </c>
      <c r="AG29" s="137">
        <f t="shared" si="10"/>
        <v>0</v>
      </c>
      <c r="AH29" s="157"/>
      <c r="AI29" s="56"/>
    </row>
    <row r="30" spans="1:35" s="11" customFormat="1" x14ac:dyDescent="0.25">
      <c r="A30" s="191"/>
      <c r="B30" s="191"/>
      <c r="C30" s="194"/>
      <c r="D30" s="194"/>
      <c r="E30" s="206"/>
      <c r="F30" s="209"/>
      <c r="G30" s="131" t="s">
        <v>190</v>
      </c>
      <c r="H30" s="5"/>
      <c r="I30" s="5"/>
      <c r="J30" s="5"/>
      <c r="K30" s="5"/>
      <c r="L30" s="5"/>
      <c r="M30" s="4"/>
      <c r="N30" s="4"/>
      <c r="O30" s="4"/>
      <c r="P30" s="6"/>
      <c r="Q30" s="148"/>
      <c r="R30" s="148"/>
      <c r="S30" s="137">
        <f t="shared" si="11"/>
        <v>0</v>
      </c>
      <c r="T30" s="137">
        <f t="shared" si="47"/>
        <v>0</v>
      </c>
      <c r="U30" s="137">
        <f t="shared" si="13"/>
        <v>0</v>
      </c>
      <c r="V30" s="138"/>
      <c r="W30" s="148"/>
      <c r="X30" s="148"/>
      <c r="Y30" s="137">
        <f t="shared" ref="Y30:AA30" si="57">+$W30*X30</f>
        <v>0</v>
      </c>
      <c r="Z30" s="148"/>
      <c r="AA30" s="137">
        <f t="shared" si="57"/>
        <v>0</v>
      </c>
      <c r="AB30" s="148"/>
      <c r="AC30" s="137">
        <f t="shared" ref="AC30" si="58">+$W30*AB30</f>
        <v>0</v>
      </c>
      <c r="AD30" s="148"/>
      <c r="AE30" s="137">
        <f t="shared" ref="AE30" si="59">+$W30*AD30</f>
        <v>0</v>
      </c>
      <c r="AF30" s="137">
        <f t="shared" si="17"/>
        <v>0</v>
      </c>
      <c r="AG30" s="137">
        <f t="shared" si="10"/>
        <v>0</v>
      </c>
      <c r="AH30" s="157"/>
      <c r="AI30" s="56"/>
    </row>
    <row r="31" spans="1:35" s="11" customFormat="1" x14ac:dyDescent="0.25">
      <c r="A31" s="191"/>
      <c r="B31" s="191"/>
      <c r="C31" s="194"/>
      <c r="D31" s="194"/>
      <c r="E31" s="206"/>
      <c r="F31" s="209"/>
      <c r="G31" s="131" t="s">
        <v>191</v>
      </c>
      <c r="H31" s="5"/>
      <c r="I31" s="5"/>
      <c r="J31" s="5"/>
      <c r="K31" s="5"/>
      <c r="L31" s="5"/>
      <c r="M31" s="4"/>
      <c r="N31" s="4"/>
      <c r="O31" s="4"/>
      <c r="P31" s="6"/>
      <c r="Q31" s="148"/>
      <c r="R31" s="148"/>
      <c r="S31" s="137">
        <f t="shared" si="11"/>
        <v>0</v>
      </c>
      <c r="T31" s="137">
        <f t="shared" si="47"/>
        <v>0</v>
      </c>
      <c r="U31" s="137">
        <f t="shared" si="13"/>
        <v>0</v>
      </c>
      <c r="V31" s="138"/>
      <c r="W31" s="148"/>
      <c r="X31" s="148"/>
      <c r="Y31" s="137">
        <f t="shared" ref="Y31:AA31" si="60">+$W31*X31</f>
        <v>0</v>
      </c>
      <c r="Z31" s="148"/>
      <c r="AA31" s="137">
        <f t="shared" si="60"/>
        <v>0</v>
      </c>
      <c r="AB31" s="148"/>
      <c r="AC31" s="137">
        <f t="shared" ref="AC31" si="61">+$W31*AB31</f>
        <v>0</v>
      </c>
      <c r="AD31" s="148"/>
      <c r="AE31" s="137">
        <f t="shared" ref="AE31" si="62">+$W31*AD31</f>
        <v>0</v>
      </c>
      <c r="AF31" s="137">
        <f t="shared" si="17"/>
        <v>0</v>
      </c>
      <c r="AG31" s="137">
        <f t="shared" si="10"/>
        <v>0</v>
      </c>
      <c r="AH31" s="157"/>
      <c r="AI31" s="56"/>
    </row>
    <row r="32" spans="1:35" s="11" customFormat="1" x14ac:dyDescent="0.25">
      <c r="A32" s="191"/>
      <c r="B32" s="191"/>
      <c r="C32" s="194"/>
      <c r="D32" s="194"/>
      <c r="E32" s="206"/>
      <c r="F32" s="209"/>
      <c r="G32" s="131" t="s">
        <v>192</v>
      </c>
      <c r="H32" s="5"/>
      <c r="I32" s="5"/>
      <c r="J32" s="5"/>
      <c r="K32" s="5"/>
      <c r="L32" s="5"/>
      <c r="M32" s="4"/>
      <c r="N32" s="4"/>
      <c r="O32" s="4"/>
      <c r="P32" s="6"/>
      <c r="Q32" s="148"/>
      <c r="R32" s="148"/>
      <c r="S32" s="137">
        <f t="shared" si="11"/>
        <v>0</v>
      </c>
      <c r="T32" s="137">
        <f t="shared" si="47"/>
        <v>0</v>
      </c>
      <c r="U32" s="137">
        <f t="shared" si="13"/>
        <v>0</v>
      </c>
      <c r="V32" s="138"/>
      <c r="W32" s="148"/>
      <c r="X32" s="148"/>
      <c r="Y32" s="137">
        <f t="shared" ref="Y32:AA32" si="63">+$W32*X32</f>
        <v>0</v>
      </c>
      <c r="Z32" s="148"/>
      <c r="AA32" s="137">
        <f t="shared" si="63"/>
        <v>0</v>
      </c>
      <c r="AB32" s="148"/>
      <c r="AC32" s="137">
        <f t="shared" ref="AC32" si="64">+$W32*AB32</f>
        <v>0</v>
      </c>
      <c r="AD32" s="148"/>
      <c r="AE32" s="137">
        <f t="shared" ref="AE32" si="65">+$W32*AD32</f>
        <v>0</v>
      </c>
      <c r="AF32" s="137">
        <f t="shared" si="17"/>
        <v>0</v>
      </c>
      <c r="AG32" s="137">
        <f t="shared" si="10"/>
        <v>0</v>
      </c>
      <c r="AH32" s="157"/>
      <c r="AI32" s="56"/>
    </row>
    <row r="33" spans="1:36" s="11" customFormat="1" x14ac:dyDescent="0.25">
      <c r="A33" s="191"/>
      <c r="B33" s="191"/>
      <c r="C33" s="194"/>
      <c r="D33" s="194"/>
      <c r="E33" s="206"/>
      <c r="F33" s="209"/>
      <c r="G33" s="131" t="s">
        <v>193</v>
      </c>
      <c r="H33" s="5"/>
      <c r="I33" s="5"/>
      <c r="J33" s="5"/>
      <c r="K33" s="5"/>
      <c r="L33" s="5"/>
      <c r="M33" s="4"/>
      <c r="N33" s="4"/>
      <c r="O33" s="4"/>
      <c r="P33" s="6"/>
      <c r="Q33" s="148"/>
      <c r="R33" s="148"/>
      <c r="S33" s="137">
        <f t="shared" si="11"/>
        <v>0</v>
      </c>
      <c r="T33" s="137">
        <f t="shared" si="47"/>
        <v>0</v>
      </c>
      <c r="U33" s="137">
        <f t="shared" si="13"/>
        <v>0</v>
      </c>
      <c r="V33" s="138"/>
      <c r="W33" s="148"/>
      <c r="X33" s="148"/>
      <c r="Y33" s="137">
        <f t="shared" ref="Y33:AA33" si="66">+$W33*X33</f>
        <v>0</v>
      </c>
      <c r="Z33" s="148"/>
      <c r="AA33" s="137">
        <f t="shared" si="66"/>
        <v>0</v>
      </c>
      <c r="AB33" s="148"/>
      <c r="AC33" s="137">
        <f t="shared" ref="AC33" si="67">+$W33*AB33</f>
        <v>0</v>
      </c>
      <c r="AD33" s="148"/>
      <c r="AE33" s="137">
        <f t="shared" ref="AE33" si="68">+$W33*AD33</f>
        <v>0</v>
      </c>
      <c r="AF33" s="137">
        <f t="shared" si="17"/>
        <v>0</v>
      </c>
      <c r="AG33" s="137">
        <f t="shared" si="10"/>
        <v>0</v>
      </c>
      <c r="AH33" s="157"/>
      <c r="AI33" s="56"/>
    </row>
    <row r="34" spans="1:36" s="11" customFormat="1" x14ac:dyDescent="0.25">
      <c r="A34" s="191"/>
      <c r="B34" s="191"/>
      <c r="C34" s="194"/>
      <c r="D34" s="194"/>
      <c r="E34" s="206"/>
      <c r="F34" s="209"/>
      <c r="G34" s="131" t="s">
        <v>197</v>
      </c>
      <c r="H34" s="5"/>
      <c r="I34" s="5"/>
      <c r="J34" s="5"/>
      <c r="K34" s="5"/>
      <c r="L34" s="5"/>
      <c r="M34" s="4"/>
      <c r="N34" s="4"/>
      <c r="O34" s="4"/>
      <c r="P34" s="6"/>
      <c r="Q34" s="148"/>
      <c r="R34" s="148"/>
      <c r="S34" s="137">
        <f t="shared" si="11"/>
        <v>0</v>
      </c>
      <c r="T34" s="137">
        <f t="shared" si="47"/>
        <v>0</v>
      </c>
      <c r="U34" s="137">
        <f t="shared" si="13"/>
        <v>0</v>
      </c>
      <c r="V34" s="138"/>
      <c r="W34" s="148"/>
      <c r="X34" s="148"/>
      <c r="Y34" s="137">
        <f t="shared" ref="Y34:AA34" si="69">+$W34*X34</f>
        <v>0</v>
      </c>
      <c r="Z34" s="148"/>
      <c r="AA34" s="137">
        <f t="shared" si="69"/>
        <v>0</v>
      </c>
      <c r="AB34" s="148"/>
      <c r="AC34" s="137">
        <f t="shared" ref="AC34" si="70">+$W34*AB34</f>
        <v>0</v>
      </c>
      <c r="AD34" s="148"/>
      <c r="AE34" s="137">
        <f t="shared" ref="AE34" si="71">+$W34*AD34</f>
        <v>0</v>
      </c>
      <c r="AF34" s="137">
        <f t="shared" si="17"/>
        <v>0</v>
      </c>
      <c r="AG34" s="137">
        <f t="shared" si="10"/>
        <v>0</v>
      </c>
      <c r="AH34" s="157"/>
      <c r="AI34" s="56"/>
    </row>
    <row r="35" spans="1:36" s="11" customFormat="1" x14ac:dyDescent="0.25">
      <c r="A35" s="191"/>
      <c r="B35" s="191"/>
      <c r="C35" s="194"/>
      <c r="D35" s="194"/>
      <c r="E35" s="206"/>
      <c r="F35" s="209"/>
      <c r="G35" s="131" t="s">
        <v>194</v>
      </c>
      <c r="H35" s="5"/>
      <c r="I35" s="5"/>
      <c r="J35" s="5"/>
      <c r="K35" s="5"/>
      <c r="L35" s="5"/>
      <c r="M35" s="4"/>
      <c r="N35" s="4"/>
      <c r="O35" s="4"/>
      <c r="P35" s="6"/>
      <c r="Q35" s="148"/>
      <c r="R35" s="148"/>
      <c r="S35" s="137">
        <f t="shared" si="11"/>
        <v>0</v>
      </c>
      <c r="T35" s="7">
        <f t="shared" si="47"/>
        <v>0</v>
      </c>
      <c r="U35" s="137">
        <f t="shared" si="13"/>
        <v>0</v>
      </c>
      <c r="V35" s="6"/>
      <c r="W35" s="148"/>
      <c r="X35" s="148"/>
      <c r="Y35" s="137">
        <f t="shared" ref="Y35:AA35" si="72">+$W35*X35</f>
        <v>0</v>
      </c>
      <c r="Z35" s="148"/>
      <c r="AA35" s="137">
        <f t="shared" si="72"/>
        <v>0</v>
      </c>
      <c r="AB35" s="148"/>
      <c r="AC35" s="137">
        <f t="shared" ref="AC35" si="73">+$W35*AB35</f>
        <v>0</v>
      </c>
      <c r="AD35" s="148"/>
      <c r="AE35" s="137">
        <f t="shared" ref="AE35" si="74">+$W35*AD35</f>
        <v>0</v>
      </c>
      <c r="AF35" s="137">
        <f t="shared" si="17"/>
        <v>0</v>
      </c>
      <c r="AG35" s="137">
        <f t="shared" si="10"/>
        <v>0</v>
      </c>
      <c r="AH35" s="157"/>
      <c r="AI35" s="56"/>
    </row>
    <row r="36" spans="1:36" s="11" customFormat="1" x14ac:dyDescent="0.25">
      <c r="A36" s="191"/>
      <c r="B36" s="191"/>
      <c r="C36" s="194"/>
      <c r="D36" s="194"/>
      <c r="E36" s="206"/>
      <c r="F36" s="209"/>
      <c r="G36" s="131" t="s">
        <v>195</v>
      </c>
      <c r="H36" s="5"/>
      <c r="I36" s="5"/>
      <c r="J36" s="5"/>
      <c r="K36" s="5"/>
      <c r="L36" s="5"/>
      <c r="M36" s="4"/>
      <c r="N36" s="4"/>
      <c r="O36" s="4"/>
      <c r="P36" s="6"/>
      <c r="Q36" s="148"/>
      <c r="R36" s="148"/>
      <c r="S36" s="137">
        <f t="shared" si="11"/>
        <v>0</v>
      </c>
      <c r="T36" s="7">
        <f t="shared" si="47"/>
        <v>0</v>
      </c>
      <c r="U36" s="137">
        <f t="shared" si="13"/>
        <v>0</v>
      </c>
      <c r="V36" s="6"/>
      <c r="W36" s="148"/>
      <c r="X36" s="148"/>
      <c r="Y36" s="137">
        <f t="shared" ref="Y36:AA36" si="75">+$W36*X36</f>
        <v>0</v>
      </c>
      <c r="Z36" s="148"/>
      <c r="AA36" s="137">
        <f t="shared" si="75"/>
        <v>0</v>
      </c>
      <c r="AB36" s="148"/>
      <c r="AC36" s="137">
        <f t="shared" ref="AC36" si="76">+$W36*AB36</f>
        <v>0</v>
      </c>
      <c r="AD36" s="148"/>
      <c r="AE36" s="137">
        <f t="shared" ref="AE36" si="77">+$W36*AD36</f>
        <v>0</v>
      </c>
      <c r="AF36" s="137">
        <f t="shared" si="17"/>
        <v>0</v>
      </c>
      <c r="AG36" s="137">
        <f t="shared" si="10"/>
        <v>0</v>
      </c>
      <c r="AH36" s="157"/>
      <c r="AI36" s="56"/>
    </row>
    <row r="37" spans="1:36" s="11" customFormat="1" x14ac:dyDescent="0.25">
      <c r="A37" s="192"/>
      <c r="B37" s="192"/>
      <c r="C37" s="195"/>
      <c r="D37" s="194"/>
      <c r="E37" s="206"/>
      <c r="F37" s="209"/>
      <c r="G37" s="131" t="s">
        <v>196</v>
      </c>
      <c r="H37" s="5"/>
      <c r="I37" s="5"/>
      <c r="J37" s="5"/>
      <c r="K37" s="5"/>
      <c r="L37" s="5"/>
      <c r="M37" s="4"/>
      <c r="N37" s="4"/>
      <c r="O37" s="4"/>
      <c r="P37" s="6"/>
      <c r="Q37" s="148"/>
      <c r="R37" s="148"/>
      <c r="S37" s="137">
        <f t="shared" si="11"/>
        <v>0</v>
      </c>
      <c r="T37" s="7">
        <f t="shared" si="47"/>
        <v>0</v>
      </c>
      <c r="U37" s="137">
        <f t="shared" si="13"/>
        <v>0</v>
      </c>
      <c r="V37" s="6"/>
      <c r="W37" s="148"/>
      <c r="X37" s="148"/>
      <c r="Y37" s="137">
        <f t="shared" ref="Y37:AA37" si="78">+$W37*X37</f>
        <v>0</v>
      </c>
      <c r="Z37" s="148"/>
      <c r="AA37" s="137">
        <f t="shared" si="78"/>
        <v>0</v>
      </c>
      <c r="AB37" s="148"/>
      <c r="AC37" s="137">
        <f t="shared" ref="AC37" si="79">+$W37*AB37</f>
        <v>0</v>
      </c>
      <c r="AD37" s="148"/>
      <c r="AE37" s="137">
        <f t="shared" ref="AE37" si="80">+$W37*AD37</f>
        <v>0</v>
      </c>
      <c r="AF37" s="137">
        <f t="shared" si="17"/>
        <v>0</v>
      </c>
      <c r="AG37" s="137">
        <f t="shared" si="10"/>
        <v>0</v>
      </c>
      <c r="AH37" s="157"/>
      <c r="AI37" s="56"/>
    </row>
    <row r="38" spans="1:36" s="11" customFormat="1" ht="38.25" x14ac:dyDescent="0.25">
      <c r="A38" s="60">
        <v>13</v>
      </c>
      <c r="B38" s="60">
        <v>1</v>
      </c>
      <c r="C38" s="63" t="s">
        <v>38</v>
      </c>
      <c r="D38" s="194"/>
      <c r="E38" s="206"/>
      <c r="F38" s="209"/>
      <c r="G38" s="43" t="s">
        <v>126</v>
      </c>
      <c r="H38" s="5"/>
      <c r="I38" s="5"/>
      <c r="J38" s="5"/>
      <c r="K38" s="5"/>
      <c r="L38" s="5"/>
      <c r="M38" s="4" t="s">
        <v>34</v>
      </c>
      <c r="N38" s="4" t="s">
        <v>35</v>
      </c>
      <c r="O38" s="4" t="s">
        <v>41</v>
      </c>
      <c r="P38" s="6" t="s">
        <v>127</v>
      </c>
      <c r="Q38" s="78"/>
      <c r="R38" s="79"/>
      <c r="S38" s="8">
        <f t="shared" ref="S38:S39" si="81">+R38*Q38</f>
        <v>0</v>
      </c>
      <c r="T38" s="7">
        <f t="shared" ref="T38:T39" si="82">+R38</f>
        <v>0</v>
      </c>
      <c r="U38" s="9">
        <f t="shared" ref="U38:U39" si="83">S38</f>
        <v>0</v>
      </c>
      <c r="V38" s="6" t="s">
        <v>127</v>
      </c>
      <c r="W38" s="10"/>
      <c r="X38" s="7"/>
      <c r="Y38" s="7">
        <f t="shared" ref="Y38:Y39" si="84">+W38*X38</f>
        <v>0</v>
      </c>
      <c r="Z38" s="7"/>
      <c r="AA38" s="7">
        <f t="shared" ref="AA38:AA39" si="85">+Z38*W38</f>
        <v>0</v>
      </c>
      <c r="AB38" s="7"/>
      <c r="AC38" s="7">
        <f t="shared" ref="AC38:AC39" si="86">+AB38*W38</f>
        <v>0</v>
      </c>
      <c r="AD38" s="7"/>
      <c r="AE38" s="7">
        <f t="shared" ref="AE38:AE39" si="87">+AD38*W38</f>
        <v>0</v>
      </c>
      <c r="AF38" s="7">
        <f t="shared" si="10"/>
        <v>0</v>
      </c>
      <c r="AG38" s="7">
        <f t="shared" si="10"/>
        <v>0</v>
      </c>
      <c r="AH38" s="35">
        <f t="shared" ref="AH38:AH39" si="88">+U38+AG38</f>
        <v>0</v>
      </c>
      <c r="AI38" s="56"/>
    </row>
    <row r="39" spans="1:36" s="59" customFormat="1" ht="150.75" customHeight="1" x14ac:dyDescent="0.25">
      <c r="A39" s="60">
        <v>13</v>
      </c>
      <c r="B39" s="60">
        <v>1</v>
      </c>
      <c r="C39" s="63" t="s">
        <v>38</v>
      </c>
      <c r="D39" s="195"/>
      <c r="E39" s="207"/>
      <c r="F39" s="210"/>
      <c r="G39" s="43" t="s">
        <v>128</v>
      </c>
      <c r="H39" s="5"/>
      <c r="I39" s="5"/>
      <c r="J39" s="5"/>
      <c r="K39" s="5"/>
      <c r="L39" s="5"/>
      <c r="M39" s="4" t="s">
        <v>34</v>
      </c>
      <c r="N39" s="4" t="s">
        <v>35</v>
      </c>
      <c r="O39" s="4" t="s">
        <v>41</v>
      </c>
      <c r="P39" s="6" t="s">
        <v>129</v>
      </c>
      <c r="Q39" s="78"/>
      <c r="R39" s="79"/>
      <c r="S39" s="8">
        <f t="shared" si="81"/>
        <v>0</v>
      </c>
      <c r="T39" s="7">
        <f t="shared" si="82"/>
        <v>0</v>
      </c>
      <c r="U39" s="9">
        <f t="shared" si="83"/>
        <v>0</v>
      </c>
      <c r="V39" s="6" t="s">
        <v>129</v>
      </c>
      <c r="W39" s="10"/>
      <c r="X39" s="7"/>
      <c r="Y39" s="7">
        <f t="shared" si="84"/>
        <v>0</v>
      </c>
      <c r="Z39" s="7"/>
      <c r="AA39" s="7">
        <f t="shared" si="85"/>
        <v>0</v>
      </c>
      <c r="AB39" s="7"/>
      <c r="AC39" s="7">
        <f t="shared" si="86"/>
        <v>0</v>
      </c>
      <c r="AD39" s="7"/>
      <c r="AE39" s="7">
        <f t="shared" si="87"/>
        <v>0</v>
      </c>
      <c r="AF39" s="7">
        <f t="shared" si="10"/>
        <v>0</v>
      </c>
      <c r="AG39" s="7">
        <f t="shared" si="10"/>
        <v>0</v>
      </c>
      <c r="AH39" s="35">
        <f t="shared" si="88"/>
        <v>0</v>
      </c>
      <c r="AI39" s="56"/>
    </row>
    <row r="40" spans="1:36" s="11" customFormat="1" x14ac:dyDescent="0.2">
      <c r="A40" s="49" t="s">
        <v>57</v>
      </c>
      <c r="B40" s="25"/>
      <c r="C40" s="26"/>
      <c r="D40" s="26"/>
      <c r="E40" s="26"/>
      <c r="F40" s="26"/>
      <c r="G40" s="38"/>
      <c r="H40" s="39"/>
      <c r="I40" s="39"/>
      <c r="J40" s="39"/>
      <c r="K40" s="39"/>
      <c r="L40" s="39"/>
      <c r="M40" s="37"/>
      <c r="N40" s="37"/>
      <c r="O40" s="37"/>
      <c r="P40" s="34"/>
      <c r="Q40" s="40"/>
      <c r="R40" s="41"/>
      <c r="S40" s="41"/>
      <c r="T40" s="41"/>
      <c r="U40" s="42"/>
      <c r="V40" s="37"/>
      <c r="W40" s="40"/>
      <c r="X40" s="41"/>
      <c r="Y40" s="41"/>
      <c r="Z40" s="41"/>
      <c r="AA40" s="41"/>
      <c r="AB40" s="41"/>
      <c r="AC40" s="41"/>
      <c r="AD40" s="41"/>
      <c r="AE40" s="41"/>
      <c r="AF40" s="41"/>
      <c r="AG40" s="42"/>
      <c r="AH40" s="31">
        <f>SUM(AH41)</f>
        <v>0</v>
      </c>
      <c r="AI40" s="32">
        <v>31065782</v>
      </c>
    </row>
    <row r="41" spans="1:36" s="59" customFormat="1" ht="89.25" x14ac:dyDescent="0.25">
      <c r="A41" s="60">
        <v>8</v>
      </c>
      <c r="B41" s="60">
        <v>1</v>
      </c>
      <c r="C41" s="63" t="s">
        <v>38</v>
      </c>
      <c r="D41" s="63" t="s">
        <v>32</v>
      </c>
      <c r="E41" s="57" t="s">
        <v>122</v>
      </c>
      <c r="F41" s="57" t="s">
        <v>130</v>
      </c>
      <c r="G41" s="3"/>
      <c r="H41" s="5"/>
      <c r="I41" s="5"/>
      <c r="J41" s="5"/>
      <c r="K41" s="5"/>
      <c r="L41" s="5"/>
      <c r="M41" s="4" t="s">
        <v>34</v>
      </c>
      <c r="N41" s="4" t="s">
        <v>35</v>
      </c>
      <c r="O41" s="4" t="s">
        <v>40</v>
      </c>
      <c r="P41" s="6"/>
      <c r="Q41" s="78"/>
      <c r="R41" s="79"/>
      <c r="S41" s="8">
        <f t="shared" ref="S41" si="89">+R41*Q41</f>
        <v>0</v>
      </c>
      <c r="T41" s="7">
        <f t="shared" ref="T41" si="90">+R41</f>
        <v>0</v>
      </c>
      <c r="U41" s="9">
        <f t="shared" ref="U41" si="91">S41</f>
        <v>0</v>
      </c>
      <c r="V41" s="6"/>
      <c r="W41" s="10"/>
      <c r="X41" s="7"/>
      <c r="Y41" s="7">
        <f t="shared" ref="Y41" si="92">+W41*X41</f>
        <v>0</v>
      </c>
      <c r="Z41" s="7"/>
      <c r="AA41" s="7">
        <f t="shared" ref="AA41" si="93">+Z41*W41</f>
        <v>0</v>
      </c>
      <c r="AB41" s="7"/>
      <c r="AC41" s="7">
        <f t="shared" ref="AC41" si="94">+AB41*W41</f>
        <v>0</v>
      </c>
      <c r="AD41" s="7"/>
      <c r="AE41" s="7">
        <f t="shared" ref="AE41" si="95">+AD41*W41</f>
        <v>0</v>
      </c>
      <c r="AF41" s="7">
        <f t="shared" ref="AF41:AG41" si="96">+X41+Z41+AB41+AD41</f>
        <v>0</v>
      </c>
      <c r="AG41" s="7">
        <f t="shared" si="96"/>
        <v>0</v>
      </c>
      <c r="AH41" s="35">
        <f t="shared" ref="AH41" si="97">+U41+AG41</f>
        <v>0</v>
      </c>
      <c r="AI41" s="56"/>
    </row>
    <row r="42" spans="1:36" s="11" customFormat="1" x14ac:dyDescent="0.2">
      <c r="A42" s="49" t="s">
        <v>164</v>
      </c>
      <c r="B42" s="25"/>
      <c r="C42" s="26"/>
      <c r="D42" s="26"/>
      <c r="E42" s="26"/>
      <c r="F42" s="26"/>
      <c r="G42" s="38"/>
      <c r="H42" s="39"/>
      <c r="I42" s="39"/>
      <c r="J42" s="39"/>
      <c r="K42" s="39"/>
      <c r="L42" s="39"/>
      <c r="M42" s="37"/>
      <c r="N42" s="37"/>
      <c r="O42" s="37"/>
      <c r="P42" s="34"/>
      <c r="Q42" s="40"/>
      <c r="R42" s="41"/>
      <c r="S42" s="41"/>
      <c r="T42" s="41"/>
      <c r="U42" s="42"/>
      <c r="V42" s="37"/>
      <c r="W42" s="40"/>
      <c r="X42" s="41"/>
      <c r="Y42" s="41"/>
      <c r="Z42" s="41"/>
      <c r="AA42" s="41"/>
      <c r="AB42" s="41"/>
      <c r="AC42" s="41"/>
      <c r="AD42" s="41"/>
      <c r="AE42" s="41"/>
      <c r="AF42" s="41"/>
      <c r="AG42" s="42"/>
      <c r="AH42" s="31">
        <f>+AH4+AH11+AH40</f>
        <v>0</v>
      </c>
      <c r="AI42" s="32">
        <f>+AI4+AI11+AI40</f>
        <v>345175400</v>
      </c>
    </row>
    <row r="43" spans="1:36" x14ac:dyDescent="0.2">
      <c r="AA43" s="65"/>
      <c r="AH43" s="66">
        <f>SUM(AH7:AH41)</f>
        <v>0</v>
      </c>
      <c r="AJ43" s="46"/>
    </row>
    <row r="44" spans="1:36" s="11" customFormat="1" x14ac:dyDescent="0.2">
      <c r="A44" s="49" t="s">
        <v>58</v>
      </c>
      <c r="B44" s="25"/>
      <c r="C44" s="26"/>
      <c r="D44" s="26"/>
      <c r="E44" s="26"/>
      <c r="F44" s="26"/>
      <c r="G44" s="26"/>
      <c r="H44" s="27"/>
      <c r="I44" s="27"/>
      <c r="J44" s="27"/>
      <c r="K44" s="27"/>
      <c r="L44" s="27"/>
      <c r="M44" s="25"/>
      <c r="N44" s="25"/>
      <c r="O44" s="25"/>
      <c r="P44" s="25"/>
      <c r="Q44" s="28"/>
      <c r="R44" s="29"/>
      <c r="S44" s="29"/>
      <c r="T44" s="29"/>
      <c r="U44" s="30"/>
      <c r="V44" s="25"/>
      <c r="W44" s="28"/>
      <c r="X44" s="29"/>
      <c r="Y44" s="29"/>
      <c r="Z44" s="29"/>
      <c r="AA44" s="29"/>
      <c r="AB44" s="29"/>
      <c r="AC44" s="29"/>
      <c r="AD44" s="29"/>
      <c r="AE44" s="29"/>
      <c r="AF44" s="29"/>
      <c r="AG44" s="30"/>
      <c r="AH44" s="31"/>
      <c r="AI44" s="32"/>
    </row>
    <row r="45" spans="1:36" s="59" customFormat="1" ht="89.25" x14ac:dyDescent="0.25">
      <c r="A45" s="60">
        <v>6</v>
      </c>
      <c r="B45" s="60">
        <v>1</v>
      </c>
      <c r="C45" s="63" t="s">
        <v>31</v>
      </c>
      <c r="D45" s="63" t="s">
        <v>32</v>
      </c>
      <c r="E45" s="57" t="s">
        <v>33</v>
      </c>
      <c r="F45" s="63" t="s">
        <v>131</v>
      </c>
      <c r="G45" s="57" t="s">
        <v>132</v>
      </c>
      <c r="H45" s="58"/>
      <c r="I45" s="58"/>
      <c r="J45" s="58"/>
      <c r="K45" s="58"/>
      <c r="L45" s="58"/>
      <c r="M45" s="33" t="s">
        <v>34</v>
      </c>
      <c r="N45" s="33" t="s">
        <v>35</v>
      </c>
      <c r="O45" s="33" t="s">
        <v>36</v>
      </c>
      <c r="P45" s="51" t="s">
        <v>37</v>
      </c>
      <c r="Q45" s="52">
        <f>15355</f>
        <v>15355</v>
      </c>
      <c r="R45" s="67">
        <f>955*0.2</f>
        <v>191</v>
      </c>
      <c r="S45" s="52">
        <f>+R45*Q45</f>
        <v>2932805</v>
      </c>
      <c r="T45" s="53">
        <f t="shared" ref="T45:T50" si="98">+R45</f>
        <v>191</v>
      </c>
      <c r="U45" s="54">
        <f>S45</f>
        <v>2932805</v>
      </c>
      <c r="V45" s="51" t="s">
        <v>37</v>
      </c>
      <c r="W45" s="55">
        <f>+Q45</f>
        <v>15355</v>
      </c>
      <c r="X45" s="53">
        <v>191</v>
      </c>
      <c r="Y45" s="53">
        <f t="shared" ref="Y45:Y49" si="99">+W45*X45</f>
        <v>2932805</v>
      </c>
      <c r="Z45" s="53">
        <v>191</v>
      </c>
      <c r="AA45" s="53">
        <f t="shared" ref="AA45:AA49" si="100">+Z45*W45</f>
        <v>2932805</v>
      </c>
      <c r="AB45" s="53">
        <f>+Z45</f>
        <v>191</v>
      </c>
      <c r="AC45" s="53">
        <f t="shared" ref="AC45:AC49" si="101">+AB45*W45</f>
        <v>2932805</v>
      </c>
      <c r="AD45" s="53">
        <f>+AB45</f>
        <v>191</v>
      </c>
      <c r="AE45" s="53">
        <f t="shared" ref="AE45:AE49" si="102">+AD45*W45</f>
        <v>2932805</v>
      </c>
      <c r="AF45" s="53">
        <f t="shared" ref="AF45:AG50" si="103">+X45+Z45+AB45+AD45</f>
        <v>764</v>
      </c>
      <c r="AG45" s="53">
        <f t="shared" si="103"/>
        <v>11731220</v>
      </c>
      <c r="AH45" s="35">
        <f t="shared" ref="AH45:AH49" si="104">+U45+AG45</f>
        <v>14664025</v>
      </c>
      <c r="AI45" s="56"/>
      <c r="AJ45" s="112"/>
    </row>
    <row r="46" spans="1:36" s="59" customFormat="1" ht="114.75" x14ac:dyDescent="0.25">
      <c r="A46" s="60">
        <v>34</v>
      </c>
      <c r="B46" s="68">
        <v>1</v>
      </c>
      <c r="C46" s="63" t="s">
        <v>42</v>
      </c>
      <c r="D46" s="63" t="s">
        <v>43</v>
      </c>
      <c r="E46" s="57" t="s">
        <v>44</v>
      </c>
      <c r="F46" s="63" t="s">
        <v>158</v>
      </c>
      <c r="G46" s="57" t="s">
        <v>133</v>
      </c>
      <c r="H46" s="33"/>
      <c r="I46" s="58"/>
      <c r="J46" s="58"/>
      <c r="K46" s="58"/>
      <c r="L46" s="58"/>
      <c r="M46" s="33" t="s">
        <v>34</v>
      </c>
      <c r="N46" s="33" t="s">
        <v>35</v>
      </c>
      <c r="O46" s="63" t="s">
        <v>45</v>
      </c>
      <c r="P46" s="51" t="s">
        <v>134</v>
      </c>
      <c r="Q46" s="52"/>
      <c r="R46" s="67"/>
      <c r="S46" s="52">
        <f>+R46*Q46</f>
        <v>0</v>
      </c>
      <c r="T46" s="53">
        <f t="shared" si="98"/>
        <v>0</v>
      </c>
      <c r="U46" s="54">
        <f t="shared" ref="U46:U49" si="105">S46</f>
        <v>0</v>
      </c>
      <c r="V46" s="51" t="s">
        <v>134</v>
      </c>
      <c r="W46" s="52">
        <f>36000*24</f>
        <v>864000</v>
      </c>
      <c r="X46" s="53">
        <v>7</v>
      </c>
      <c r="Y46" s="53">
        <f t="shared" si="99"/>
        <v>6048000</v>
      </c>
      <c r="Z46" s="53">
        <v>6</v>
      </c>
      <c r="AA46" s="53">
        <f t="shared" si="100"/>
        <v>5184000</v>
      </c>
      <c r="AB46" s="53"/>
      <c r="AC46" s="53">
        <f t="shared" si="101"/>
        <v>0</v>
      </c>
      <c r="AD46" s="53">
        <f t="shared" ref="AD46:AD47" si="106">+AB46</f>
        <v>0</v>
      </c>
      <c r="AE46" s="53">
        <f t="shared" si="102"/>
        <v>0</v>
      </c>
      <c r="AF46" s="53">
        <f>+X46+Z46+AB46+AD46</f>
        <v>13</v>
      </c>
      <c r="AG46" s="53">
        <f t="shared" si="103"/>
        <v>11232000</v>
      </c>
      <c r="AH46" s="35">
        <f t="shared" si="104"/>
        <v>11232000</v>
      </c>
      <c r="AI46" s="56"/>
    </row>
    <row r="47" spans="1:36" s="59" customFormat="1" ht="114.75" x14ac:dyDescent="0.25">
      <c r="A47" s="60">
        <v>35</v>
      </c>
      <c r="B47" s="68">
        <v>1</v>
      </c>
      <c r="C47" s="63" t="s">
        <v>42</v>
      </c>
      <c r="D47" s="63" t="s">
        <v>43</v>
      </c>
      <c r="E47" s="57" t="s">
        <v>44</v>
      </c>
      <c r="F47" s="63" t="s">
        <v>158</v>
      </c>
      <c r="G47" s="57" t="s">
        <v>135</v>
      </c>
      <c r="H47" s="33"/>
      <c r="I47" s="58"/>
      <c r="J47" s="58"/>
      <c r="K47" s="58"/>
      <c r="L47" s="58"/>
      <c r="M47" s="33" t="s">
        <v>34</v>
      </c>
      <c r="N47" s="33" t="s">
        <v>35</v>
      </c>
      <c r="O47" s="63" t="s">
        <v>45</v>
      </c>
      <c r="P47" s="51" t="s">
        <v>134</v>
      </c>
      <c r="Q47" s="52"/>
      <c r="R47" s="67"/>
      <c r="S47" s="52">
        <f t="shared" ref="S47:S49" si="107">+R47*Q47</f>
        <v>0</v>
      </c>
      <c r="T47" s="53">
        <f t="shared" si="98"/>
        <v>0</v>
      </c>
      <c r="U47" s="54">
        <f t="shared" si="105"/>
        <v>0</v>
      </c>
      <c r="V47" s="51" t="s">
        <v>134</v>
      </c>
      <c r="W47" s="52">
        <f>36000*12</f>
        <v>432000</v>
      </c>
      <c r="X47" s="53"/>
      <c r="Y47" s="53">
        <f t="shared" si="99"/>
        <v>0</v>
      </c>
      <c r="Z47" s="53">
        <f t="shared" ref="Z47" si="108">+X47</f>
        <v>0</v>
      </c>
      <c r="AA47" s="53">
        <f t="shared" si="100"/>
        <v>0</v>
      </c>
      <c r="AB47" s="53">
        <v>13</v>
      </c>
      <c r="AC47" s="53">
        <f t="shared" si="101"/>
        <v>5616000</v>
      </c>
      <c r="AD47" s="53">
        <f t="shared" si="106"/>
        <v>13</v>
      </c>
      <c r="AE47" s="53">
        <f t="shared" si="102"/>
        <v>5616000</v>
      </c>
      <c r="AF47" s="53">
        <f t="shared" si="103"/>
        <v>26</v>
      </c>
      <c r="AG47" s="53">
        <f t="shared" si="103"/>
        <v>11232000</v>
      </c>
      <c r="AH47" s="35">
        <f t="shared" si="104"/>
        <v>11232000</v>
      </c>
      <c r="AI47" s="56"/>
    </row>
    <row r="48" spans="1:36" s="72" customFormat="1" ht="76.5" x14ac:dyDescent="0.25">
      <c r="A48" s="60">
        <v>43</v>
      </c>
      <c r="B48" s="68">
        <v>1</v>
      </c>
      <c r="C48" s="63" t="s">
        <v>46</v>
      </c>
      <c r="D48" s="63" t="s">
        <v>47</v>
      </c>
      <c r="E48" s="57" t="s">
        <v>48</v>
      </c>
      <c r="F48" s="63" t="s">
        <v>159</v>
      </c>
      <c r="G48" s="57" t="s">
        <v>136</v>
      </c>
      <c r="H48" s="69"/>
      <c r="I48" s="69"/>
      <c r="J48" s="70"/>
      <c r="K48" s="69"/>
      <c r="L48" s="70"/>
      <c r="M48" s="33" t="s">
        <v>34</v>
      </c>
      <c r="N48" s="33" t="s">
        <v>35</v>
      </c>
      <c r="O48" s="33" t="s">
        <v>49</v>
      </c>
      <c r="P48" s="51" t="s">
        <v>137</v>
      </c>
      <c r="Q48" s="52"/>
      <c r="R48" s="67"/>
      <c r="S48" s="52">
        <f t="shared" si="107"/>
        <v>0</v>
      </c>
      <c r="T48" s="53">
        <f t="shared" si="98"/>
        <v>0</v>
      </c>
      <c r="U48" s="54">
        <f t="shared" si="105"/>
        <v>0</v>
      </c>
      <c r="V48" s="51" t="s">
        <v>137</v>
      </c>
      <c r="W48" s="71">
        <v>5000000</v>
      </c>
      <c r="X48" s="53">
        <f t="shared" ref="X48" si="109">+R48</f>
        <v>0</v>
      </c>
      <c r="Y48" s="53">
        <f t="shared" si="99"/>
        <v>0</v>
      </c>
      <c r="Z48" s="53">
        <v>1</v>
      </c>
      <c r="AA48" s="53">
        <f t="shared" si="100"/>
        <v>5000000</v>
      </c>
      <c r="AB48" s="53"/>
      <c r="AC48" s="53">
        <f t="shared" si="101"/>
        <v>0</v>
      </c>
      <c r="AD48" s="53">
        <v>2</v>
      </c>
      <c r="AE48" s="53">
        <f t="shared" si="102"/>
        <v>10000000</v>
      </c>
      <c r="AF48" s="53">
        <f t="shared" si="103"/>
        <v>3</v>
      </c>
      <c r="AG48" s="53">
        <f t="shared" si="103"/>
        <v>15000000</v>
      </c>
      <c r="AH48" s="35">
        <f t="shared" si="104"/>
        <v>15000000</v>
      </c>
      <c r="AI48" s="56"/>
    </row>
    <row r="49" spans="1:35" s="72" customFormat="1" ht="144" customHeight="1" x14ac:dyDescent="0.25">
      <c r="A49" s="60">
        <v>46</v>
      </c>
      <c r="B49" s="68">
        <v>1</v>
      </c>
      <c r="C49" s="33" t="s">
        <v>38</v>
      </c>
      <c r="D49" s="63" t="s">
        <v>47</v>
      </c>
      <c r="E49" s="57" t="s">
        <v>50</v>
      </c>
      <c r="F49" s="63" t="s">
        <v>138</v>
      </c>
      <c r="G49" s="57" t="s">
        <v>139</v>
      </c>
      <c r="H49" s="69"/>
      <c r="I49" s="70"/>
      <c r="J49" s="70"/>
      <c r="K49" s="70"/>
      <c r="L49" s="70"/>
      <c r="M49" s="33" t="s">
        <v>34</v>
      </c>
      <c r="N49" s="33" t="s">
        <v>35</v>
      </c>
      <c r="O49" s="33" t="s">
        <v>36</v>
      </c>
      <c r="P49" s="51" t="s">
        <v>140</v>
      </c>
      <c r="Q49" s="52"/>
      <c r="R49" s="67"/>
      <c r="S49" s="52">
        <f t="shared" si="107"/>
        <v>0</v>
      </c>
      <c r="T49" s="53">
        <f t="shared" si="98"/>
        <v>0</v>
      </c>
      <c r="U49" s="54">
        <f t="shared" si="105"/>
        <v>0</v>
      </c>
      <c r="V49" s="51" t="s">
        <v>140</v>
      </c>
      <c r="W49" s="52">
        <v>100000</v>
      </c>
      <c r="X49" s="53">
        <v>9</v>
      </c>
      <c r="Y49" s="53">
        <f t="shared" si="99"/>
        <v>900000</v>
      </c>
      <c r="Z49" s="53">
        <f>+X49</f>
        <v>9</v>
      </c>
      <c r="AA49" s="53">
        <f t="shared" si="100"/>
        <v>900000</v>
      </c>
      <c r="AB49" s="53">
        <f t="shared" ref="AB49:AB50" si="110">+Z49</f>
        <v>9</v>
      </c>
      <c r="AC49" s="53">
        <f t="shared" si="101"/>
        <v>900000</v>
      </c>
      <c r="AD49" s="53">
        <v>11</v>
      </c>
      <c r="AE49" s="53">
        <f t="shared" si="102"/>
        <v>1100000</v>
      </c>
      <c r="AF49" s="53">
        <f t="shared" si="103"/>
        <v>38</v>
      </c>
      <c r="AG49" s="53">
        <f t="shared" si="103"/>
        <v>3800000</v>
      </c>
      <c r="AH49" s="35">
        <f t="shared" si="104"/>
        <v>3800000</v>
      </c>
      <c r="AI49" s="56"/>
    </row>
    <row r="50" spans="1:35" s="77" customFormat="1" ht="89.25" customHeight="1" x14ac:dyDescent="0.25">
      <c r="A50" s="60">
        <v>12</v>
      </c>
      <c r="B50" s="68">
        <v>1</v>
      </c>
      <c r="C50" s="63" t="s">
        <v>38</v>
      </c>
      <c r="D50" s="73" t="s">
        <v>32</v>
      </c>
      <c r="E50" s="74" t="s">
        <v>114</v>
      </c>
      <c r="F50" s="75" t="s">
        <v>160</v>
      </c>
      <c r="G50" s="75" t="s">
        <v>141</v>
      </c>
      <c r="H50" s="33"/>
      <c r="I50" s="70"/>
      <c r="J50" s="70"/>
      <c r="K50" s="70"/>
      <c r="L50" s="70"/>
      <c r="M50" s="76" t="s">
        <v>34</v>
      </c>
      <c r="N50" s="33" t="s">
        <v>35</v>
      </c>
      <c r="O50" s="76" t="s">
        <v>41</v>
      </c>
      <c r="P50" s="51" t="s">
        <v>142</v>
      </c>
      <c r="Q50" s="52">
        <f>150000*3</f>
        <v>450000</v>
      </c>
      <c r="R50" s="67">
        <v>11</v>
      </c>
      <c r="S50" s="52">
        <f>+R50*Q50</f>
        <v>4950000</v>
      </c>
      <c r="T50" s="53">
        <f t="shared" si="98"/>
        <v>11</v>
      </c>
      <c r="U50" s="54">
        <f>S50</f>
        <v>4950000</v>
      </c>
      <c r="V50" s="51" t="str">
        <f>+P50</f>
        <v>Costo Incentivo Lideres Pares</v>
      </c>
      <c r="W50" s="55">
        <f>154500*3</f>
        <v>463500</v>
      </c>
      <c r="X50" s="53">
        <f>+R50</f>
        <v>11</v>
      </c>
      <c r="Y50" s="53">
        <f>+W50*X50</f>
        <v>5098500</v>
      </c>
      <c r="Z50" s="53">
        <f>38+11</f>
        <v>49</v>
      </c>
      <c r="AA50" s="53">
        <f>+Z50*W50</f>
        <v>22711500</v>
      </c>
      <c r="AB50" s="53">
        <f t="shared" si="110"/>
        <v>49</v>
      </c>
      <c r="AC50" s="53">
        <f>+AB50*W50</f>
        <v>22711500</v>
      </c>
      <c r="AD50" s="53">
        <f>+AB50</f>
        <v>49</v>
      </c>
      <c r="AE50" s="53">
        <f>+AD50*W50</f>
        <v>22711500</v>
      </c>
      <c r="AF50" s="53">
        <f t="shared" si="103"/>
        <v>158</v>
      </c>
      <c r="AG50" s="53">
        <f>+Y50+AA50+AC50+AE50</f>
        <v>73233000</v>
      </c>
      <c r="AH50" s="35">
        <f>+U50+AG50</f>
        <v>78183000</v>
      </c>
      <c r="AI50" s="56"/>
    </row>
    <row r="51" spans="1:35" s="11" customFormat="1" x14ac:dyDescent="0.2">
      <c r="A51" s="49" t="s">
        <v>165</v>
      </c>
      <c r="B51" s="25"/>
      <c r="C51" s="26"/>
      <c r="D51" s="26"/>
      <c r="E51" s="26"/>
      <c r="F51" s="26"/>
      <c r="G51" s="26"/>
      <c r="H51" s="27"/>
      <c r="I51" s="27"/>
      <c r="J51" s="27"/>
      <c r="K51" s="27"/>
      <c r="L51" s="27"/>
      <c r="M51" s="25"/>
      <c r="N51" s="25"/>
      <c r="O51" s="25"/>
      <c r="P51" s="64"/>
      <c r="Q51" s="28"/>
      <c r="R51" s="29"/>
      <c r="S51" s="29"/>
      <c r="T51" s="29"/>
      <c r="U51" s="30"/>
      <c r="V51" s="25"/>
      <c r="W51" s="28"/>
      <c r="X51" s="29"/>
      <c r="Y51" s="29"/>
      <c r="Z51" s="29"/>
      <c r="AA51" s="29"/>
      <c r="AB51" s="29"/>
      <c r="AC51" s="29"/>
      <c r="AD51" s="29"/>
      <c r="AE51" s="29"/>
      <c r="AF51" s="29"/>
      <c r="AG51" s="30"/>
      <c r="AH51" s="31">
        <f>SUM(AH45:AH50)</f>
        <v>134111025</v>
      </c>
      <c r="AI51" s="32">
        <f>+AH51</f>
        <v>134111025</v>
      </c>
    </row>
    <row r="52" spans="1:35" s="11" customFormat="1" x14ac:dyDescent="0.2">
      <c r="A52" s="83" t="s">
        <v>166</v>
      </c>
      <c r="B52" s="84"/>
      <c r="C52" s="85"/>
      <c r="D52" s="85"/>
      <c r="E52" s="85"/>
      <c r="F52" s="85"/>
      <c r="G52" s="85"/>
      <c r="H52" s="86"/>
      <c r="I52" s="86"/>
      <c r="J52" s="86"/>
      <c r="K52" s="86"/>
      <c r="L52" s="86"/>
      <c r="M52" s="84"/>
      <c r="N52" s="84"/>
      <c r="O52" s="84"/>
      <c r="P52" s="87"/>
      <c r="Q52" s="88"/>
      <c r="R52" s="89"/>
      <c r="S52" s="89"/>
      <c r="T52" s="89"/>
      <c r="U52" s="90"/>
      <c r="V52" s="84"/>
      <c r="W52" s="88"/>
      <c r="X52" s="89"/>
      <c r="Y52" s="89"/>
      <c r="Z52" s="89"/>
      <c r="AA52" s="89"/>
      <c r="AB52" s="89"/>
      <c r="AC52" s="89"/>
      <c r="AD52" s="89"/>
      <c r="AE52" s="89"/>
      <c r="AF52" s="89"/>
      <c r="AG52" s="90"/>
      <c r="AH52" s="82"/>
      <c r="AI52" s="82">
        <f>+AI42+AI51</f>
        <v>479286425</v>
      </c>
    </row>
  </sheetData>
  <sheetProtection password="CB42" sheet="1" objects="1" scenarios="1" formatCells="0" formatColumns="0" formatRows="0" insertRows="0"/>
  <mergeCells count="45">
    <mergeCell ref="D12:D39"/>
    <mergeCell ref="E12:E39"/>
    <mergeCell ref="F12:F39"/>
    <mergeCell ref="AI2:AI3"/>
    <mergeCell ref="C5:C7"/>
    <mergeCell ref="D5:D10"/>
    <mergeCell ref="E5:E10"/>
    <mergeCell ref="F5:F7"/>
    <mergeCell ref="F8:F10"/>
    <mergeCell ref="AC2:AC3"/>
    <mergeCell ref="AD2:AD3"/>
    <mergeCell ref="AE2:AE3"/>
    <mergeCell ref="AF2:AF3"/>
    <mergeCell ref="AG2:AG3"/>
    <mergeCell ref="AH2:AH3"/>
    <mergeCell ref="W2:W3"/>
    <mergeCell ref="X2:X3"/>
    <mergeCell ref="Y2:Y3"/>
    <mergeCell ref="Z2:Z3"/>
    <mergeCell ref="AA2:AA3"/>
    <mergeCell ref="AB2:AB3"/>
    <mergeCell ref="V2:V3"/>
    <mergeCell ref="G2:G3"/>
    <mergeCell ref="I2:L2"/>
    <mergeCell ref="M2:M3"/>
    <mergeCell ref="N2:N3"/>
    <mergeCell ref="O2:O3"/>
    <mergeCell ref="P2:P3"/>
    <mergeCell ref="Q2:Q3"/>
    <mergeCell ref="R2:R3"/>
    <mergeCell ref="S2:S3"/>
    <mergeCell ref="T2:T3"/>
    <mergeCell ref="U2:U3"/>
    <mergeCell ref="F2:F3"/>
    <mergeCell ref="A2:A3"/>
    <mergeCell ref="B2:B3"/>
    <mergeCell ref="C2:C3"/>
    <mergeCell ref="D2:D3"/>
    <mergeCell ref="E2:E3"/>
    <mergeCell ref="A12:A24"/>
    <mergeCell ref="B12:B24"/>
    <mergeCell ref="C12:C24"/>
    <mergeCell ref="C25:C37"/>
    <mergeCell ref="B25:B37"/>
    <mergeCell ref="A25:A37"/>
  </mergeCells>
  <dataValidations count="1">
    <dataValidation type="decimal" operator="greaterThanOrEqual" allowBlank="1" showInputMessage="1" showErrorMessage="1" sqref="W41:W42 W50:W52 W48 W45 W5:W10 W12 W25 W38:W39">
      <formula1>0</formula1>
    </dataValidation>
  </dataValidation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22"/>
  <sheetViews>
    <sheetView showGridLines="0" workbookViewId="0">
      <selection activeCell="C12" sqref="C12"/>
    </sheetView>
  </sheetViews>
  <sheetFormatPr baseColWidth="10" defaultRowHeight="15" x14ac:dyDescent="0.25"/>
  <cols>
    <col min="1" max="1" width="53.28515625" style="19" customWidth="1"/>
    <col min="2" max="2" width="17.5703125" style="23" bestFit="1" customWidth="1"/>
    <col min="3" max="3" width="18.5703125" style="19" bestFit="1" customWidth="1"/>
    <col min="4" max="16384" width="11.42578125" style="19"/>
  </cols>
  <sheetData>
    <row r="1" spans="1:3" ht="39.75" customHeight="1" x14ac:dyDescent="0.25">
      <c r="A1" s="188" t="s">
        <v>100</v>
      </c>
      <c r="B1" s="188"/>
      <c r="C1" s="188"/>
    </row>
    <row r="2" spans="1:3" x14ac:dyDescent="0.25">
      <c r="A2" s="189" t="s">
        <v>147</v>
      </c>
      <c r="B2" s="189"/>
      <c r="C2" s="189"/>
    </row>
    <row r="3" spans="1:3" x14ac:dyDescent="0.25">
      <c r="A3" s="118"/>
      <c r="B3" s="119"/>
      <c r="C3" s="118"/>
    </row>
    <row r="4" spans="1:3" x14ac:dyDescent="0.25">
      <c r="A4" s="120" t="s">
        <v>102</v>
      </c>
      <c r="B4" s="121"/>
      <c r="C4" s="118"/>
    </row>
    <row r="6" spans="1:3" s="20" customFormat="1" x14ac:dyDescent="0.25">
      <c r="A6" s="91" t="s">
        <v>103</v>
      </c>
      <c r="B6" s="92" t="s">
        <v>104</v>
      </c>
      <c r="C6" s="93" t="s">
        <v>98</v>
      </c>
    </row>
    <row r="7" spans="1:3" s="21" customFormat="1" x14ac:dyDescent="0.25">
      <c r="A7" s="94" t="s">
        <v>105</v>
      </c>
      <c r="B7" s="106">
        <f>+'[1]Fase I Valle del Cauca'!AH4</f>
        <v>0</v>
      </c>
      <c r="C7" s="96">
        <f>+'Fase I MAG-Guajira'!AI4</f>
        <v>234559238</v>
      </c>
    </row>
    <row r="8" spans="1:3" s="22" customFormat="1" x14ac:dyDescent="0.25">
      <c r="A8" s="97" t="s">
        <v>106</v>
      </c>
      <c r="B8" s="95">
        <f>+'[1]Fase I Valle del Cauca'!AH11</f>
        <v>0</v>
      </c>
      <c r="C8" s="96">
        <f>+'Fase I MAG-Guajira'!AI11</f>
        <v>70367776</v>
      </c>
    </row>
    <row r="9" spans="1:3" s="22" customFormat="1" x14ac:dyDescent="0.25">
      <c r="A9" s="97" t="s">
        <v>107</v>
      </c>
      <c r="B9" s="95">
        <f>+'[1]Fase I Valle del Cauca'!AH16</f>
        <v>0</v>
      </c>
      <c r="C9" s="96">
        <f>+'Fase I MAG-Guajira'!AI28</f>
        <v>30157612</v>
      </c>
    </row>
    <row r="10" spans="1:3" s="22" customFormat="1" x14ac:dyDescent="0.25">
      <c r="A10" s="99" t="s">
        <v>161</v>
      </c>
      <c r="B10" s="107">
        <f>SUM(B7:B9)</f>
        <v>0</v>
      </c>
      <c r="C10" s="108">
        <f>SUM(C7:C9)</f>
        <v>335084626</v>
      </c>
    </row>
    <row r="11" spans="1:3" s="22" customFormat="1" x14ac:dyDescent="0.25">
      <c r="A11" s="97"/>
      <c r="B11" s="107"/>
      <c r="C11" s="96"/>
    </row>
    <row r="12" spans="1:3" x14ac:dyDescent="0.25">
      <c r="A12" s="101" t="s">
        <v>108</v>
      </c>
      <c r="B12" s="109">
        <f>+'Fase I MAG-Guajira'!AH39</f>
        <v>109441075</v>
      </c>
      <c r="C12" s="96">
        <f>+'Fase I MAG-Guajira'!AI39</f>
        <v>109441075</v>
      </c>
    </row>
    <row r="13" spans="1:3" x14ac:dyDescent="0.25">
      <c r="A13" s="102" t="s">
        <v>162</v>
      </c>
      <c r="B13" s="110">
        <f>+B12</f>
        <v>109441075</v>
      </c>
      <c r="C13" s="100">
        <f>+C12</f>
        <v>109441075</v>
      </c>
    </row>
    <row r="14" spans="1:3" x14ac:dyDescent="0.25">
      <c r="A14" s="104" t="s">
        <v>163</v>
      </c>
      <c r="B14" s="105">
        <f>+B10+B13</f>
        <v>109441075</v>
      </c>
      <c r="C14" s="105">
        <f>+C10+C13</f>
        <v>444525701</v>
      </c>
    </row>
    <row r="19" spans="1:3" s="24" customFormat="1" x14ac:dyDescent="0.25">
      <c r="A19" s="122" t="s">
        <v>109</v>
      </c>
      <c r="B19" s="119"/>
      <c r="C19" s="123"/>
    </row>
    <row r="20" spans="1:3" s="24" customFormat="1" x14ac:dyDescent="0.25">
      <c r="A20" s="122" t="s">
        <v>110</v>
      </c>
      <c r="B20" s="119"/>
      <c r="C20" s="123"/>
    </row>
    <row r="21" spans="1:3" x14ac:dyDescent="0.25">
      <c r="A21" s="118"/>
      <c r="B21" s="119"/>
      <c r="C21" s="118"/>
    </row>
    <row r="22" spans="1:3" x14ac:dyDescent="0.25">
      <c r="A22" s="118"/>
      <c r="B22" s="119"/>
      <c r="C22" s="118"/>
    </row>
  </sheetData>
  <sheetProtection password="CB42" sheet="1" objects="1" scenarios="1"/>
  <mergeCells count="2">
    <mergeCell ref="A1:C1"/>
    <mergeCell ref="A2:C2"/>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K40"/>
  <sheetViews>
    <sheetView showGridLines="0" topLeftCell="F1" zoomScale="70" zoomScaleNormal="70" workbookViewId="0">
      <selection activeCell="V37" sqref="V37"/>
    </sheetView>
  </sheetViews>
  <sheetFormatPr baseColWidth="10" defaultRowHeight="12.75" x14ac:dyDescent="0.2"/>
  <cols>
    <col min="1" max="1" width="6.28515625" style="46" bestFit="1" customWidth="1"/>
    <col min="2" max="2" width="15" style="46" customWidth="1"/>
    <col min="3" max="3" width="17.140625" style="46" customWidth="1"/>
    <col min="4" max="4" width="24.42578125" style="46" customWidth="1"/>
    <col min="5" max="5" width="43.28515625" style="46" customWidth="1"/>
    <col min="6" max="6" width="61.140625" style="46" customWidth="1"/>
    <col min="7" max="7" width="29.42578125" style="46" customWidth="1"/>
    <col min="8" max="8" width="8.140625" style="46" customWidth="1"/>
    <col min="9" max="9" width="3.85546875" style="46" bestFit="1" customWidth="1"/>
    <col min="10" max="12" width="3.28515625" style="46" bestFit="1" customWidth="1"/>
    <col min="13" max="13" width="19.42578125" style="46" customWidth="1"/>
    <col min="14" max="14" width="11.42578125" style="46"/>
    <col min="15" max="15" width="13.7109375" style="46" customWidth="1"/>
    <col min="16" max="16" width="17.7109375" style="46" customWidth="1"/>
    <col min="17" max="18" width="11.42578125" style="46"/>
    <col min="19" max="19" width="12.85546875" style="46" bestFit="1" customWidth="1"/>
    <col min="20" max="20" width="11.5703125" style="46" bestFit="1" customWidth="1"/>
    <col min="21" max="21" width="14.28515625" style="46" customWidth="1"/>
    <col min="22" max="22" width="12.140625" style="46" customWidth="1"/>
    <col min="23" max="23" width="13" style="46" bestFit="1" customWidth="1"/>
    <col min="24" max="24" width="11.5703125" style="46" bestFit="1" customWidth="1"/>
    <col min="25" max="25" width="12.85546875" style="46" bestFit="1" customWidth="1"/>
    <col min="26" max="26" width="11.5703125" style="46" bestFit="1" customWidth="1"/>
    <col min="27" max="27" width="14" style="46" bestFit="1" customWidth="1"/>
    <col min="28" max="28" width="11.5703125" style="46" bestFit="1" customWidth="1"/>
    <col min="29" max="29" width="14" style="46" bestFit="1" customWidth="1"/>
    <col min="30" max="30" width="11.5703125" style="46" bestFit="1" customWidth="1"/>
    <col min="31" max="31" width="15.28515625" style="46" customWidth="1"/>
    <col min="32" max="32" width="11.5703125" style="46" bestFit="1" customWidth="1"/>
    <col min="33" max="33" width="14" style="46" bestFit="1" customWidth="1"/>
    <col min="34" max="34" width="17.85546875" style="46" bestFit="1" customWidth="1"/>
    <col min="35" max="35" width="19.42578125" style="47" customWidth="1"/>
    <col min="36" max="36" width="13" style="48" bestFit="1" customWidth="1"/>
    <col min="37" max="37" width="14" style="46" bestFit="1" customWidth="1"/>
    <col min="38" max="16384" width="11.42578125" style="46"/>
  </cols>
  <sheetData>
    <row r="1" spans="1:35" s="48" customFormat="1" x14ac:dyDescent="0.2">
      <c r="A1" s="45" t="s">
        <v>111</v>
      </c>
      <c r="B1" s="46"/>
      <c r="C1" s="46"/>
      <c r="D1" s="46"/>
      <c r="E1" s="46"/>
      <c r="F1" s="46"/>
      <c r="G1" s="46"/>
      <c r="H1" s="46"/>
      <c r="I1" s="46"/>
      <c r="J1" s="46"/>
      <c r="K1" s="46"/>
      <c r="L1" s="46"/>
      <c r="M1" s="46"/>
      <c r="N1" s="46"/>
      <c r="O1" s="46"/>
      <c r="P1" s="46"/>
      <c r="Q1" s="46"/>
      <c r="R1" s="46"/>
      <c r="S1" s="46"/>
      <c r="T1" s="46"/>
      <c r="U1" s="46"/>
      <c r="V1" s="46"/>
      <c r="W1" s="46"/>
      <c r="X1" s="46"/>
      <c r="Y1" s="46"/>
      <c r="Z1" s="46"/>
      <c r="AA1" s="46"/>
      <c r="AB1" s="46"/>
      <c r="AC1" s="46"/>
      <c r="AD1" s="46"/>
      <c r="AE1" s="46"/>
      <c r="AF1" s="46"/>
      <c r="AG1" s="46"/>
      <c r="AH1" s="46"/>
      <c r="AI1" s="47"/>
    </row>
    <row r="2" spans="1:35" s="1" customFormat="1" ht="15" customHeight="1" x14ac:dyDescent="0.25">
      <c r="A2" s="197" t="s">
        <v>0</v>
      </c>
      <c r="B2" s="196" t="s">
        <v>51</v>
      </c>
      <c r="C2" s="196" t="s">
        <v>1</v>
      </c>
      <c r="D2" s="196" t="s">
        <v>52</v>
      </c>
      <c r="E2" s="196" t="s">
        <v>53</v>
      </c>
      <c r="F2" s="196" t="s">
        <v>54</v>
      </c>
      <c r="G2" s="196" t="s">
        <v>2</v>
      </c>
      <c r="H2" s="36" t="s">
        <v>3</v>
      </c>
      <c r="I2" s="196" t="s">
        <v>4</v>
      </c>
      <c r="J2" s="199"/>
      <c r="K2" s="199"/>
      <c r="L2" s="199"/>
      <c r="M2" s="197" t="s">
        <v>5</v>
      </c>
      <c r="N2" s="197" t="s">
        <v>6</v>
      </c>
      <c r="O2" s="197" t="s">
        <v>7</v>
      </c>
      <c r="P2" s="200" t="s">
        <v>8</v>
      </c>
      <c r="Q2" s="201" t="s">
        <v>112</v>
      </c>
      <c r="R2" s="202" t="s">
        <v>9</v>
      </c>
      <c r="S2" s="202" t="s">
        <v>10</v>
      </c>
      <c r="T2" s="202" t="s">
        <v>11</v>
      </c>
      <c r="U2" s="203" t="s">
        <v>12</v>
      </c>
      <c r="V2" s="198" t="s">
        <v>13</v>
      </c>
      <c r="W2" s="216" t="s">
        <v>113</v>
      </c>
      <c r="X2" s="204" t="s">
        <v>14</v>
      </c>
      <c r="Y2" s="204" t="s">
        <v>15</v>
      </c>
      <c r="Z2" s="204" t="s">
        <v>16</v>
      </c>
      <c r="AA2" s="204" t="s">
        <v>17</v>
      </c>
      <c r="AB2" s="204" t="s">
        <v>18</v>
      </c>
      <c r="AC2" s="204" t="s">
        <v>19</v>
      </c>
      <c r="AD2" s="204" t="s">
        <v>20</v>
      </c>
      <c r="AE2" s="204" t="s">
        <v>21</v>
      </c>
      <c r="AF2" s="204" t="s">
        <v>22</v>
      </c>
      <c r="AG2" s="214" t="s">
        <v>23</v>
      </c>
      <c r="AH2" s="215" t="s">
        <v>24</v>
      </c>
      <c r="AI2" s="211" t="s">
        <v>98</v>
      </c>
    </row>
    <row r="3" spans="1:35" s="1" customFormat="1" ht="87.75" customHeight="1" x14ac:dyDescent="0.25">
      <c r="A3" s="197"/>
      <c r="B3" s="196"/>
      <c r="C3" s="196" t="s">
        <v>25</v>
      </c>
      <c r="D3" s="196" t="s">
        <v>26</v>
      </c>
      <c r="E3" s="196"/>
      <c r="F3" s="196"/>
      <c r="G3" s="196"/>
      <c r="H3" s="2" t="s">
        <v>30</v>
      </c>
      <c r="I3" s="2" t="s">
        <v>27</v>
      </c>
      <c r="J3" s="2" t="s">
        <v>28</v>
      </c>
      <c r="K3" s="2" t="s">
        <v>29</v>
      </c>
      <c r="L3" s="2" t="s">
        <v>30</v>
      </c>
      <c r="M3" s="197"/>
      <c r="N3" s="197"/>
      <c r="O3" s="197"/>
      <c r="P3" s="200"/>
      <c r="Q3" s="201"/>
      <c r="R3" s="202"/>
      <c r="S3" s="202"/>
      <c r="T3" s="202"/>
      <c r="U3" s="203"/>
      <c r="V3" s="198"/>
      <c r="W3" s="216"/>
      <c r="X3" s="204"/>
      <c r="Y3" s="204"/>
      <c r="Z3" s="204"/>
      <c r="AA3" s="204"/>
      <c r="AB3" s="204"/>
      <c r="AC3" s="204"/>
      <c r="AD3" s="204"/>
      <c r="AE3" s="204"/>
      <c r="AF3" s="204"/>
      <c r="AG3" s="214"/>
      <c r="AH3" s="215"/>
      <c r="AI3" s="212"/>
    </row>
    <row r="4" spans="1:35" s="11" customFormat="1" x14ac:dyDescent="0.2">
      <c r="A4" s="49" t="s">
        <v>55</v>
      </c>
      <c r="B4" s="25"/>
      <c r="C4" s="26"/>
      <c r="D4" s="26"/>
      <c r="E4" s="26"/>
      <c r="F4" s="26"/>
      <c r="G4" s="26"/>
      <c r="H4" s="27"/>
      <c r="I4" s="27"/>
      <c r="J4" s="27"/>
      <c r="K4" s="27"/>
      <c r="L4" s="27"/>
      <c r="M4" s="25"/>
      <c r="N4" s="25"/>
      <c r="O4" s="25"/>
      <c r="P4" s="25"/>
      <c r="Q4" s="28"/>
      <c r="R4" s="29"/>
      <c r="S4" s="29"/>
      <c r="T4" s="29"/>
      <c r="U4" s="30"/>
      <c r="V4" s="25"/>
      <c r="W4" s="28"/>
      <c r="X4" s="29"/>
      <c r="Y4" s="29"/>
      <c r="Z4" s="29"/>
      <c r="AA4" s="29"/>
      <c r="AB4" s="29"/>
      <c r="AC4" s="29"/>
      <c r="AD4" s="29"/>
      <c r="AE4" s="29"/>
      <c r="AF4" s="29"/>
      <c r="AG4" s="30"/>
      <c r="AH4" s="31">
        <f>SUM(AH5:AH10)</f>
        <v>0</v>
      </c>
      <c r="AI4" s="32">
        <v>234559238</v>
      </c>
    </row>
    <row r="5" spans="1:35" s="11" customFormat="1" ht="15" customHeight="1" x14ac:dyDescent="0.25">
      <c r="A5" s="50">
        <v>7</v>
      </c>
      <c r="B5" s="50">
        <v>1</v>
      </c>
      <c r="C5" s="213" t="s">
        <v>38</v>
      </c>
      <c r="D5" s="193" t="s">
        <v>32</v>
      </c>
      <c r="E5" s="205" t="s">
        <v>114</v>
      </c>
      <c r="F5" s="205" t="s">
        <v>115</v>
      </c>
      <c r="G5" s="43" t="s">
        <v>116</v>
      </c>
      <c r="H5" s="44"/>
      <c r="I5" s="44"/>
      <c r="J5" s="44"/>
      <c r="K5" s="44"/>
      <c r="L5" s="44"/>
      <c r="M5" s="4" t="s">
        <v>34</v>
      </c>
      <c r="N5" s="4" t="s">
        <v>35</v>
      </c>
      <c r="O5" s="4" t="s">
        <v>39</v>
      </c>
      <c r="P5" s="6" t="s">
        <v>117</v>
      </c>
      <c r="Q5" s="78"/>
      <c r="R5" s="79"/>
      <c r="S5" s="137">
        <f>+R5*Q5</f>
        <v>0</v>
      </c>
      <c r="T5" s="137">
        <f>+R5</f>
        <v>0</v>
      </c>
      <c r="U5" s="137">
        <f>S5</f>
        <v>0</v>
      </c>
      <c r="V5" s="138" t="s">
        <v>117</v>
      </c>
      <c r="W5" s="139"/>
      <c r="X5" s="137"/>
      <c r="Y5" s="137">
        <f t="shared" ref="Y5:Y10" si="0">+W5*X5</f>
        <v>0</v>
      </c>
      <c r="Z5" s="137"/>
      <c r="AA5" s="137">
        <f t="shared" ref="AA5:AA10" si="1">+Z5*W5</f>
        <v>0</v>
      </c>
      <c r="AB5" s="137"/>
      <c r="AC5" s="137">
        <f t="shared" ref="AC5:AC10" si="2">+AB5*W5</f>
        <v>0</v>
      </c>
      <c r="AD5" s="137"/>
      <c r="AE5" s="137">
        <f t="shared" ref="AE5:AE10" si="3">+AD5*W5</f>
        <v>0</v>
      </c>
      <c r="AF5" s="137">
        <f t="shared" ref="AF5:AG10" si="4">+X5+Z5+AB5+AD5</f>
        <v>0</v>
      </c>
      <c r="AG5" s="137">
        <f>+Y5+AA5+AC5+AE5</f>
        <v>0</v>
      </c>
      <c r="AH5" s="35">
        <f>+U5+AG5</f>
        <v>0</v>
      </c>
      <c r="AI5" s="56"/>
    </row>
    <row r="6" spans="1:35" s="11" customFormat="1" ht="31.5" customHeight="1" x14ac:dyDescent="0.25">
      <c r="A6" s="50">
        <v>7</v>
      </c>
      <c r="B6" s="50">
        <v>1</v>
      </c>
      <c r="C6" s="213"/>
      <c r="D6" s="194"/>
      <c r="E6" s="206"/>
      <c r="F6" s="206"/>
      <c r="G6" s="43" t="s">
        <v>118</v>
      </c>
      <c r="H6" s="44"/>
      <c r="I6" s="44"/>
      <c r="J6" s="44"/>
      <c r="K6" s="44"/>
      <c r="L6" s="44"/>
      <c r="M6" s="4" t="s">
        <v>34</v>
      </c>
      <c r="N6" s="4" t="s">
        <v>35</v>
      </c>
      <c r="O6" s="4" t="s">
        <v>39</v>
      </c>
      <c r="P6" s="6" t="s">
        <v>117</v>
      </c>
      <c r="Q6" s="78"/>
      <c r="R6" s="79"/>
      <c r="S6" s="137">
        <f>+R6*Q6</f>
        <v>0</v>
      </c>
      <c r="T6" s="137">
        <f>+R6</f>
        <v>0</v>
      </c>
      <c r="U6" s="137">
        <f>S6</f>
        <v>0</v>
      </c>
      <c r="V6" s="138" t="s">
        <v>117</v>
      </c>
      <c r="W6" s="139"/>
      <c r="X6" s="137"/>
      <c r="Y6" s="137">
        <f t="shared" si="0"/>
        <v>0</v>
      </c>
      <c r="Z6" s="137"/>
      <c r="AA6" s="137">
        <f t="shared" si="1"/>
        <v>0</v>
      </c>
      <c r="AB6" s="137"/>
      <c r="AC6" s="137">
        <f t="shared" si="2"/>
        <v>0</v>
      </c>
      <c r="AD6" s="137"/>
      <c r="AE6" s="137">
        <f t="shared" si="3"/>
        <v>0</v>
      </c>
      <c r="AF6" s="137">
        <f t="shared" si="4"/>
        <v>0</v>
      </c>
      <c r="AG6" s="137">
        <f>+Y6+AA6+AC6+AE6</f>
        <v>0</v>
      </c>
      <c r="AH6" s="35">
        <f>+U6+AG6</f>
        <v>0</v>
      </c>
      <c r="AI6" s="56"/>
    </row>
    <row r="7" spans="1:35" s="59" customFormat="1" ht="38.25" x14ac:dyDescent="0.25">
      <c r="A7" s="50">
        <v>7</v>
      </c>
      <c r="B7" s="50">
        <v>1</v>
      </c>
      <c r="C7" s="213"/>
      <c r="D7" s="194"/>
      <c r="E7" s="206"/>
      <c r="F7" s="207"/>
      <c r="G7" s="3" t="s">
        <v>119</v>
      </c>
      <c r="H7" s="5"/>
      <c r="I7" s="5"/>
      <c r="J7" s="5"/>
      <c r="K7" s="5"/>
      <c r="L7" s="5"/>
      <c r="M7" s="4" t="s">
        <v>34</v>
      </c>
      <c r="N7" s="4" t="s">
        <v>35</v>
      </c>
      <c r="O7" s="4" t="s">
        <v>39</v>
      </c>
      <c r="P7" s="6" t="s">
        <v>117</v>
      </c>
      <c r="Q7" s="78"/>
      <c r="R7" s="79"/>
      <c r="S7" s="137">
        <f t="shared" ref="S7:S10" si="5">+R7*Q7</f>
        <v>0</v>
      </c>
      <c r="T7" s="137">
        <f t="shared" ref="T7:T10" si="6">+R7</f>
        <v>0</v>
      </c>
      <c r="U7" s="137">
        <f t="shared" ref="U7:U10" si="7">S7</f>
        <v>0</v>
      </c>
      <c r="V7" s="138" t="s">
        <v>117</v>
      </c>
      <c r="W7" s="139"/>
      <c r="X7" s="137"/>
      <c r="Y7" s="137">
        <f t="shared" si="0"/>
        <v>0</v>
      </c>
      <c r="Z7" s="137"/>
      <c r="AA7" s="137">
        <f t="shared" si="1"/>
        <v>0</v>
      </c>
      <c r="AB7" s="137"/>
      <c r="AC7" s="137">
        <f t="shared" si="2"/>
        <v>0</v>
      </c>
      <c r="AD7" s="137"/>
      <c r="AE7" s="137">
        <f t="shared" si="3"/>
        <v>0</v>
      </c>
      <c r="AF7" s="137">
        <f t="shared" si="4"/>
        <v>0</v>
      </c>
      <c r="AG7" s="137">
        <f t="shared" si="4"/>
        <v>0</v>
      </c>
      <c r="AH7" s="35">
        <f>+U7+AG7</f>
        <v>0</v>
      </c>
      <c r="AI7" s="56"/>
    </row>
    <row r="8" spans="1:35" s="59" customFormat="1" ht="38.25" customHeight="1" x14ac:dyDescent="0.25">
      <c r="A8" s="60">
        <v>11</v>
      </c>
      <c r="B8" s="60">
        <v>1</v>
      </c>
      <c r="C8" s="61" t="s">
        <v>38</v>
      </c>
      <c r="D8" s="194"/>
      <c r="E8" s="206"/>
      <c r="F8" s="205" t="s">
        <v>120</v>
      </c>
      <c r="G8" s="3" t="s">
        <v>64</v>
      </c>
      <c r="H8" s="5"/>
      <c r="I8" s="5"/>
      <c r="J8" s="5"/>
      <c r="K8" s="5"/>
      <c r="L8" s="5"/>
      <c r="M8" s="4" t="s">
        <v>34</v>
      </c>
      <c r="N8" s="4" t="s">
        <v>35</v>
      </c>
      <c r="O8" s="4" t="s">
        <v>39</v>
      </c>
      <c r="P8" s="6" t="s">
        <v>117</v>
      </c>
      <c r="Q8" s="78"/>
      <c r="R8" s="79"/>
      <c r="S8" s="137">
        <f t="shared" si="5"/>
        <v>0</v>
      </c>
      <c r="T8" s="137">
        <f t="shared" si="6"/>
        <v>0</v>
      </c>
      <c r="U8" s="137">
        <f t="shared" si="7"/>
        <v>0</v>
      </c>
      <c r="V8" s="138" t="s">
        <v>117</v>
      </c>
      <c r="W8" s="139"/>
      <c r="X8" s="137"/>
      <c r="Y8" s="137">
        <f t="shared" si="0"/>
        <v>0</v>
      </c>
      <c r="Z8" s="137"/>
      <c r="AA8" s="137">
        <f t="shared" si="1"/>
        <v>0</v>
      </c>
      <c r="AB8" s="137"/>
      <c r="AC8" s="137">
        <f t="shared" si="2"/>
        <v>0</v>
      </c>
      <c r="AD8" s="137"/>
      <c r="AE8" s="137">
        <f t="shared" si="3"/>
        <v>0</v>
      </c>
      <c r="AF8" s="137">
        <f t="shared" si="4"/>
        <v>0</v>
      </c>
      <c r="AG8" s="137">
        <f t="shared" si="4"/>
        <v>0</v>
      </c>
      <c r="AH8" s="35">
        <f>+U8+AG8</f>
        <v>0</v>
      </c>
      <c r="AI8" s="56"/>
    </row>
    <row r="9" spans="1:35" s="59" customFormat="1" ht="38.25" x14ac:dyDescent="0.25">
      <c r="A9" s="60">
        <v>11</v>
      </c>
      <c r="B9" s="60">
        <v>1</v>
      </c>
      <c r="C9" s="61" t="s">
        <v>38</v>
      </c>
      <c r="D9" s="194"/>
      <c r="E9" s="206"/>
      <c r="F9" s="206"/>
      <c r="G9" s="3" t="s">
        <v>121</v>
      </c>
      <c r="H9" s="5"/>
      <c r="I9" s="5"/>
      <c r="J9" s="5"/>
      <c r="K9" s="5"/>
      <c r="L9" s="5"/>
      <c r="M9" s="4" t="s">
        <v>34</v>
      </c>
      <c r="N9" s="4" t="s">
        <v>35</v>
      </c>
      <c r="O9" s="4" t="s">
        <v>39</v>
      </c>
      <c r="P9" s="6" t="s">
        <v>117</v>
      </c>
      <c r="Q9" s="78"/>
      <c r="R9" s="79"/>
      <c r="S9" s="137">
        <f t="shared" si="5"/>
        <v>0</v>
      </c>
      <c r="T9" s="137">
        <f t="shared" si="6"/>
        <v>0</v>
      </c>
      <c r="U9" s="137">
        <f t="shared" si="7"/>
        <v>0</v>
      </c>
      <c r="V9" s="138" t="s">
        <v>117</v>
      </c>
      <c r="W9" s="139"/>
      <c r="X9" s="137"/>
      <c r="Y9" s="137">
        <f t="shared" si="0"/>
        <v>0</v>
      </c>
      <c r="Z9" s="137"/>
      <c r="AA9" s="137">
        <f t="shared" si="1"/>
        <v>0</v>
      </c>
      <c r="AB9" s="137"/>
      <c r="AC9" s="137">
        <f t="shared" si="2"/>
        <v>0</v>
      </c>
      <c r="AD9" s="137"/>
      <c r="AE9" s="137">
        <f t="shared" si="3"/>
        <v>0</v>
      </c>
      <c r="AF9" s="137">
        <f t="shared" si="4"/>
        <v>0</v>
      </c>
      <c r="AG9" s="137">
        <f t="shared" si="4"/>
        <v>0</v>
      </c>
      <c r="AH9" s="35">
        <f t="shared" ref="AH9:AH10" si="8">+U9+AG9</f>
        <v>0</v>
      </c>
      <c r="AI9" s="56"/>
    </row>
    <row r="10" spans="1:35" s="59" customFormat="1" ht="38.25" x14ac:dyDescent="0.25">
      <c r="A10" s="60">
        <v>11</v>
      </c>
      <c r="B10" s="60">
        <v>1</v>
      </c>
      <c r="C10" s="61" t="s">
        <v>38</v>
      </c>
      <c r="D10" s="195"/>
      <c r="E10" s="207"/>
      <c r="F10" s="207"/>
      <c r="G10" s="3" t="s">
        <v>66</v>
      </c>
      <c r="H10" s="5"/>
      <c r="I10" s="5"/>
      <c r="J10" s="5"/>
      <c r="K10" s="5"/>
      <c r="L10" s="5"/>
      <c r="M10" s="4" t="s">
        <v>34</v>
      </c>
      <c r="N10" s="4" t="s">
        <v>35</v>
      </c>
      <c r="O10" s="4" t="s">
        <v>39</v>
      </c>
      <c r="P10" s="6" t="s">
        <v>117</v>
      </c>
      <c r="Q10" s="78"/>
      <c r="R10" s="79"/>
      <c r="S10" s="137">
        <f t="shared" si="5"/>
        <v>0</v>
      </c>
      <c r="T10" s="137">
        <f t="shared" si="6"/>
        <v>0</v>
      </c>
      <c r="U10" s="137">
        <f t="shared" si="7"/>
        <v>0</v>
      </c>
      <c r="V10" s="138" t="s">
        <v>117</v>
      </c>
      <c r="W10" s="139"/>
      <c r="X10" s="137"/>
      <c r="Y10" s="137">
        <f t="shared" si="0"/>
        <v>0</v>
      </c>
      <c r="Z10" s="137"/>
      <c r="AA10" s="137">
        <f t="shared" si="1"/>
        <v>0</v>
      </c>
      <c r="AB10" s="137"/>
      <c r="AC10" s="137">
        <f t="shared" si="2"/>
        <v>0</v>
      </c>
      <c r="AD10" s="137"/>
      <c r="AE10" s="137">
        <f t="shared" si="3"/>
        <v>0</v>
      </c>
      <c r="AF10" s="137">
        <f t="shared" si="4"/>
        <v>0</v>
      </c>
      <c r="AG10" s="137">
        <f t="shared" si="4"/>
        <v>0</v>
      </c>
      <c r="AH10" s="35">
        <f t="shared" si="8"/>
        <v>0</v>
      </c>
      <c r="AI10" s="56"/>
    </row>
    <row r="11" spans="1:35" s="11" customFormat="1" x14ac:dyDescent="0.2">
      <c r="A11" s="62" t="s">
        <v>56</v>
      </c>
      <c r="B11" s="25"/>
      <c r="C11" s="26"/>
      <c r="D11" s="26"/>
      <c r="E11" s="26"/>
      <c r="F11" s="26"/>
      <c r="G11" s="38"/>
      <c r="H11" s="39"/>
      <c r="I11" s="39"/>
      <c r="J11" s="39"/>
      <c r="K11" s="39"/>
      <c r="L11" s="39"/>
      <c r="M11" s="37"/>
      <c r="N11" s="37"/>
      <c r="O11" s="37"/>
      <c r="P11" s="37"/>
      <c r="Q11" s="40"/>
      <c r="R11" s="41"/>
      <c r="S11" s="41"/>
      <c r="T11" s="41"/>
      <c r="U11" s="42"/>
      <c r="V11" s="37"/>
      <c r="W11" s="40"/>
      <c r="X11" s="41"/>
      <c r="Y11" s="41"/>
      <c r="Z11" s="41"/>
      <c r="AA11" s="41"/>
      <c r="AB11" s="41"/>
      <c r="AC11" s="41"/>
      <c r="AD11" s="41"/>
      <c r="AE11" s="41"/>
      <c r="AF11" s="41"/>
      <c r="AG11" s="42"/>
      <c r="AH11" s="31">
        <f>SUM(AH12:AH27)</f>
        <v>0</v>
      </c>
      <c r="AI11" s="32">
        <v>70367776</v>
      </c>
    </row>
    <row r="12" spans="1:35" s="11" customFormat="1" ht="38.25" x14ac:dyDescent="0.25">
      <c r="A12" s="190">
        <v>13</v>
      </c>
      <c r="B12" s="217">
        <v>1</v>
      </c>
      <c r="C12" s="193" t="s">
        <v>38</v>
      </c>
      <c r="D12" s="193" t="s">
        <v>32</v>
      </c>
      <c r="E12" s="205" t="s">
        <v>122</v>
      </c>
      <c r="F12" s="208" t="s">
        <v>123</v>
      </c>
      <c r="G12" s="43" t="s">
        <v>181</v>
      </c>
      <c r="H12" s="5"/>
      <c r="I12" s="5"/>
      <c r="J12" s="5"/>
      <c r="K12" s="5"/>
      <c r="L12" s="5"/>
      <c r="M12" s="4" t="s">
        <v>34</v>
      </c>
      <c r="N12" s="4" t="s">
        <v>35</v>
      </c>
      <c r="O12" s="4" t="s">
        <v>41</v>
      </c>
      <c r="P12" s="6" t="s">
        <v>124</v>
      </c>
      <c r="Q12" s="78"/>
      <c r="R12" s="79"/>
      <c r="S12" s="137">
        <f>+SUM(S13:S18)</f>
        <v>0</v>
      </c>
      <c r="T12" s="137">
        <f>+SUM(T13:T18)</f>
        <v>0</v>
      </c>
      <c r="U12" s="137">
        <f>+SUM(U13:U18)</f>
        <v>0</v>
      </c>
      <c r="V12" s="138" t="s">
        <v>124</v>
      </c>
      <c r="W12" s="137"/>
      <c r="X12" s="163">
        <f t="shared" ref="X12:AG12" si="9">+SUM(X13:X18)</f>
        <v>0</v>
      </c>
      <c r="Y12" s="163">
        <f t="shared" si="9"/>
        <v>0</v>
      </c>
      <c r="Z12" s="163">
        <f t="shared" si="9"/>
        <v>0</v>
      </c>
      <c r="AA12" s="163">
        <f t="shared" si="9"/>
        <v>0</v>
      </c>
      <c r="AB12" s="163">
        <f t="shared" si="9"/>
        <v>0</v>
      </c>
      <c r="AC12" s="163">
        <f t="shared" si="9"/>
        <v>0</v>
      </c>
      <c r="AD12" s="163">
        <f t="shared" si="9"/>
        <v>0</v>
      </c>
      <c r="AE12" s="163">
        <f t="shared" si="9"/>
        <v>0</v>
      </c>
      <c r="AF12" s="163">
        <f t="shared" si="9"/>
        <v>0</v>
      </c>
      <c r="AG12" s="163">
        <f t="shared" si="9"/>
        <v>0</v>
      </c>
      <c r="AH12" s="163">
        <f>+U12+AG12</f>
        <v>0</v>
      </c>
      <c r="AI12" s="56"/>
    </row>
    <row r="13" spans="1:35" s="11" customFormat="1" x14ac:dyDescent="0.25">
      <c r="A13" s="191"/>
      <c r="B13" s="218"/>
      <c r="C13" s="194"/>
      <c r="D13" s="194"/>
      <c r="E13" s="206"/>
      <c r="F13" s="209"/>
      <c r="G13" s="169" t="s">
        <v>198</v>
      </c>
      <c r="H13" s="5"/>
      <c r="I13" s="5"/>
      <c r="J13" s="5"/>
      <c r="K13" s="5"/>
      <c r="L13" s="5"/>
      <c r="M13" s="4"/>
      <c r="N13" s="4"/>
      <c r="O13" s="4"/>
      <c r="P13" s="6"/>
      <c r="Q13" s="135"/>
      <c r="R13" s="136"/>
      <c r="S13" s="137">
        <f>+Q13*R13</f>
        <v>0</v>
      </c>
      <c r="T13" s="137">
        <f>+R13</f>
        <v>0</v>
      </c>
      <c r="U13" s="137">
        <f>+S13</f>
        <v>0</v>
      </c>
      <c r="V13" s="138"/>
      <c r="W13" s="148"/>
      <c r="X13" s="148"/>
      <c r="Y13" s="137">
        <f>+$W13*X13</f>
        <v>0</v>
      </c>
      <c r="Z13" s="137"/>
      <c r="AA13" s="137">
        <f t="shared" ref="AA13:AC18" si="10">+$W13*Z13</f>
        <v>0</v>
      </c>
      <c r="AB13" s="137"/>
      <c r="AC13" s="137">
        <f t="shared" si="10"/>
        <v>0</v>
      </c>
      <c r="AD13" s="137"/>
      <c r="AE13" s="137">
        <f t="shared" ref="AE13" si="11">+$W13*AD13</f>
        <v>0</v>
      </c>
      <c r="AF13" s="137">
        <f t="shared" ref="AF13:AG27" si="12">+X13+Z13+AB13+AD13</f>
        <v>0</v>
      </c>
      <c r="AG13" s="137">
        <f t="shared" si="12"/>
        <v>0</v>
      </c>
      <c r="AH13" s="153"/>
      <c r="AI13" s="56"/>
    </row>
    <row r="14" spans="1:35" s="11" customFormat="1" x14ac:dyDescent="0.25">
      <c r="A14" s="191"/>
      <c r="B14" s="218"/>
      <c r="C14" s="194"/>
      <c r="D14" s="194"/>
      <c r="E14" s="206"/>
      <c r="F14" s="209"/>
      <c r="G14" s="169" t="s">
        <v>199</v>
      </c>
      <c r="H14" s="5"/>
      <c r="I14" s="5"/>
      <c r="J14" s="5"/>
      <c r="K14" s="5"/>
      <c r="L14" s="5"/>
      <c r="M14" s="4"/>
      <c r="N14" s="4"/>
      <c r="O14" s="4"/>
      <c r="P14" s="6"/>
      <c r="Q14" s="135"/>
      <c r="R14" s="136"/>
      <c r="S14" s="137">
        <f t="shared" ref="S14:S25" si="13">+Q14*R14</f>
        <v>0</v>
      </c>
      <c r="T14" s="137">
        <f t="shared" ref="T14:T25" si="14">+R14</f>
        <v>0</v>
      </c>
      <c r="U14" s="137">
        <f t="shared" ref="U14:U25" si="15">+S14</f>
        <v>0</v>
      </c>
      <c r="V14" s="138"/>
      <c r="W14" s="148"/>
      <c r="X14" s="148"/>
      <c r="Y14" s="137">
        <f t="shared" ref="Y14:Y25" si="16">+$W14*X14</f>
        <v>0</v>
      </c>
      <c r="Z14" s="137"/>
      <c r="AA14" s="137">
        <f t="shared" si="10"/>
        <v>0</v>
      </c>
      <c r="AB14" s="137"/>
      <c r="AC14" s="137">
        <f t="shared" ref="AC14" si="17">+$W14*AB14</f>
        <v>0</v>
      </c>
      <c r="AD14" s="137"/>
      <c r="AE14" s="137">
        <f t="shared" ref="AE14" si="18">+$W14*AD14</f>
        <v>0</v>
      </c>
      <c r="AF14" s="137">
        <f t="shared" si="12"/>
        <v>0</v>
      </c>
      <c r="AG14" s="137">
        <f t="shared" si="12"/>
        <v>0</v>
      </c>
      <c r="AH14" s="153"/>
      <c r="AI14" s="56"/>
    </row>
    <row r="15" spans="1:35" s="11" customFormat="1" x14ac:dyDescent="0.25">
      <c r="A15" s="191"/>
      <c r="B15" s="218"/>
      <c r="C15" s="194"/>
      <c r="D15" s="194"/>
      <c r="E15" s="206"/>
      <c r="F15" s="209"/>
      <c r="G15" s="169" t="s">
        <v>200</v>
      </c>
      <c r="H15" s="5"/>
      <c r="I15" s="5"/>
      <c r="J15" s="5"/>
      <c r="K15" s="5"/>
      <c r="L15" s="5"/>
      <c r="M15" s="4"/>
      <c r="N15" s="4"/>
      <c r="O15" s="4"/>
      <c r="P15" s="6"/>
      <c r="Q15" s="135"/>
      <c r="R15" s="136"/>
      <c r="S15" s="137">
        <f t="shared" si="13"/>
        <v>0</v>
      </c>
      <c r="T15" s="137">
        <f t="shared" si="14"/>
        <v>0</v>
      </c>
      <c r="U15" s="137">
        <f t="shared" si="15"/>
        <v>0</v>
      </c>
      <c r="V15" s="138"/>
      <c r="W15" s="148"/>
      <c r="X15" s="148"/>
      <c r="Y15" s="137">
        <f t="shared" si="16"/>
        <v>0</v>
      </c>
      <c r="Z15" s="137"/>
      <c r="AA15" s="137">
        <f t="shared" si="10"/>
        <v>0</v>
      </c>
      <c r="AB15" s="137"/>
      <c r="AC15" s="137">
        <f t="shared" ref="AC15:AC18" si="19">+$W15*AB15</f>
        <v>0</v>
      </c>
      <c r="AD15" s="137"/>
      <c r="AE15" s="137">
        <f t="shared" ref="AE15:AE25" si="20">+$W15*AD15</f>
        <v>0</v>
      </c>
      <c r="AF15" s="137">
        <f t="shared" si="12"/>
        <v>0</v>
      </c>
      <c r="AG15" s="137">
        <f t="shared" si="12"/>
        <v>0</v>
      </c>
      <c r="AH15" s="153"/>
      <c r="AI15" s="56"/>
    </row>
    <row r="16" spans="1:35" s="11" customFormat="1" x14ac:dyDescent="0.25">
      <c r="A16" s="191"/>
      <c r="B16" s="218"/>
      <c r="C16" s="194"/>
      <c r="D16" s="194"/>
      <c r="E16" s="206"/>
      <c r="F16" s="209"/>
      <c r="G16" s="169" t="s">
        <v>205</v>
      </c>
      <c r="H16" s="5"/>
      <c r="I16" s="5"/>
      <c r="J16" s="5"/>
      <c r="K16" s="5"/>
      <c r="L16" s="5"/>
      <c r="M16" s="4"/>
      <c r="N16" s="4"/>
      <c r="O16" s="4"/>
      <c r="P16" s="6"/>
      <c r="Q16" s="135"/>
      <c r="R16" s="136"/>
      <c r="S16" s="137">
        <f t="shared" si="13"/>
        <v>0</v>
      </c>
      <c r="T16" s="137">
        <f t="shared" si="14"/>
        <v>0</v>
      </c>
      <c r="U16" s="137">
        <f t="shared" si="15"/>
        <v>0</v>
      </c>
      <c r="V16" s="138"/>
      <c r="W16" s="148"/>
      <c r="X16" s="148"/>
      <c r="Y16" s="137">
        <f t="shared" si="16"/>
        <v>0</v>
      </c>
      <c r="Z16" s="137"/>
      <c r="AA16" s="137">
        <f t="shared" si="10"/>
        <v>0</v>
      </c>
      <c r="AB16" s="137"/>
      <c r="AC16" s="137">
        <f t="shared" si="19"/>
        <v>0</v>
      </c>
      <c r="AD16" s="137"/>
      <c r="AE16" s="137">
        <f t="shared" si="20"/>
        <v>0</v>
      </c>
      <c r="AF16" s="137">
        <f t="shared" si="12"/>
        <v>0</v>
      </c>
      <c r="AG16" s="137">
        <f t="shared" si="12"/>
        <v>0</v>
      </c>
      <c r="AH16" s="153"/>
      <c r="AI16" s="56"/>
    </row>
    <row r="17" spans="1:36" s="11" customFormat="1" x14ac:dyDescent="0.25">
      <c r="A17" s="191"/>
      <c r="B17" s="218"/>
      <c r="C17" s="194"/>
      <c r="D17" s="194"/>
      <c r="E17" s="206"/>
      <c r="F17" s="209"/>
      <c r="G17" s="169" t="s">
        <v>206</v>
      </c>
      <c r="H17" s="5"/>
      <c r="I17" s="5"/>
      <c r="J17" s="5"/>
      <c r="K17" s="5"/>
      <c r="L17" s="5"/>
      <c r="M17" s="4"/>
      <c r="N17" s="4"/>
      <c r="O17" s="4"/>
      <c r="P17" s="6"/>
      <c r="Q17" s="135"/>
      <c r="R17" s="136"/>
      <c r="S17" s="137">
        <f t="shared" si="13"/>
        <v>0</v>
      </c>
      <c r="T17" s="137">
        <f t="shared" si="14"/>
        <v>0</v>
      </c>
      <c r="U17" s="137">
        <f t="shared" si="15"/>
        <v>0</v>
      </c>
      <c r="V17" s="138"/>
      <c r="W17" s="148"/>
      <c r="X17" s="148"/>
      <c r="Y17" s="137">
        <f t="shared" si="16"/>
        <v>0</v>
      </c>
      <c r="Z17" s="137"/>
      <c r="AA17" s="137">
        <f t="shared" si="10"/>
        <v>0</v>
      </c>
      <c r="AB17" s="137"/>
      <c r="AC17" s="137">
        <f t="shared" si="19"/>
        <v>0</v>
      </c>
      <c r="AD17" s="137"/>
      <c r="AE17" s="137">
        <f t="shared" si="20"/>
        <v>0</v>
      </c>
      <c r="AF17" s="137">
        <f t="shared" si="12"/>
        <v>0</v>
      </c>
      <c r="AG17" s="137">
        <f t="shared" si="12"/>
        <v>0</v>
      </c>
      <c r="AH17" s="153"/>
      <c r="AI17" s="56"/>
    </row>
    <row r="18" spans="1:36" s="11" customFormat="1" x14ac:dyDescent="0.25">
      <c r="A18" s="192"/>
      <c r="B18" s="220"/>
      <c r="C18" s="195"/>
      <c r="D18" s="194"/>
      <c r="E18" s="206"/>
      <c r="F18" s="209"/>
      <c r="G18" s="169" t="s">
        <v>207</v>
      </c>
      <c r="H18" s="5"/>
      <c r="I18" s="5"/>
      <c r="J18" s="5"/>
      <c r="K18" s="5"/>
      <c r="L18" s="5"/>
      <c r="M18" s="4"/>
      <c r="N18" s="4"/>
      <c r="O18" s="4"/>
      <c r="P18" s="6"/>
      <c r="Q18" s="135"/>
      <c r="R18" s="136"/>
      <c r="S18" s="137">
        <f t="shared" si="13"/>
        <v>0</v>
      </c>
      <c r="T18" s="137">
        <f t="shared" si="14"/>
        <v>0</v>
      </c>
      <c r="U18" s="137">
        <f t="shared" si="15"/>
        <v>0</v>
      </c>
      <c r="V18" s="138"/>
      <c r="W18" s="148"/>
      <c r="X18" s="148"/>
      <c r="Y18" s="137">
        <f t="shared" si="16"/>
        <v>0</v>
      </c>
      <c r="Z18" s="137"/>
      <c r="AA18" s="137">
        <f t="shared" si="10"/>
        <v>0</v>
      </c>
      <c r="AB18" s="137"/>
      <c r="AC18" s="137">
        <f t="shared" si="19"/>
        <v>0</v>
      </c>
      <c r="AD18" s="137"/>
      <c r="AE18" s="137">
        <f t="shared" si="20"/>
        <v>0</v>
      </c>
      <c r="AF18" s="137">
        <f t="shared" si="12"/>
        <v>0</v>
      </c>
      <c r="AG18" s="137">
        <f t="shared" si="12"/>
        <v>0</v>
      </c>
      <c r="AH18" s="153"/>
      <c r="AI18" s="56"/>
    </row>
    <row r="19" spans="1:36" s="11" customFormat="1" ht="38.25" x14ac:dyDescent="0.25">
      <c r="A19" s="190">
        <v>13</v>
      </c>
      <c r="B19" s="217">
        <v>1</v>
      </c>
      <c r="C19" s="193" t="s">
        <v>38</v>
      </c>
      <c r="D19" s="194"/>
      <c r="E19" s="206"/>
      <c r="F19" s="209"/>
      <c r="G19" s="169" t="s">
        <v>180</v>
      </c>
      <c r="H19" s="5"/>
      <c r="I19" s="5"/>
      <c r="J19" s="5"/>
      <c r="K19" s="5"/>
      <c r="L19" s="5"/>
      <c r="M19" s="4" t="s">
        <v>34</v>
      </c>
      <c r="N19" s="4" t="s">
        <v>35</v>
      </c>
      <c r="O19" s="4" t="s">
        <v>41</v>
      </c>
      <c r="P19" s="6" t="s">
        <v>125</v>
      </c>
      <c r="Q19" s="135"/>
      <c r="R19" s="136"/>
      <c r="S19" s="137">
        <f>+SUM(S20:S25)</f>
        <v>0</v>
      </c>
      <c r="T19" s="137">
        <f t="shared" ref="T19:U19" si="21">+SUM(T20:T25)</f>
        <v>0</v>
      </c>
      <c r="U19" s="137">
        <f t="shared" si="21"/>
        <v>0</v>
      </c>
      <c r="V19" s="138" t="s">
        <v>125</v>
      </c>
      <c r="W19" s="139"/>
      <c r="X19" s="163">
        <f t="shared" ref="X19:AG19" si="22">+SUM(X20:X25)</f>
        <v>0</v>
      </c>
      <c r="Y19" s="163">
        <f t="shared" si="22"/>
        <v>0</v>
      </c>
      <c r="Z19" s="163">
        <f t="shared" si="22"/>
        <v>0</v>
      </c>
      <c r="AA19" s="163">
        <f t="shared" si="22"/>
        <v>0</v>
      </c>
      <c r="AB19" s="163">
        <f t="shared" si="22"/>
        <v>0</v>
      </c>
      <c r="AC19" s="163">
        <f t="shared" si="22"/>
        <v>0</v>
      </c>
      <c r="AD19" s="163">
        <f t="shared" si="22"/>
        <v>0</v>
      </c>
      <c r="AE19" s="163">
        <f t="shared" si="22"/>
        <v>0</v>
      </c>
      <c r="AF19" s="163">
        <f t="shared" si="22"/>
        <v>0</v>
      </c>
      <c r="AG19" s="163">
        <f t="shared" si="22"/>
        <v>0</v>
      </c>
      <c r="AH19" s="163">
        <f>+U19+AG19</f>
        <v>0</v>
      </c>
      <c r="AI19" s="56"/>
    </row>
    <row r="20" spans="1:36" s="11" customFormat="1" x14ac:dyDescent="0.25">
      <c r="A20" s="191"/>
      <c r="B20" s="218"/>
      <c r="C20" s="194"/>
      <c r="D20" s="194"/>
      <c r="E20" s="206"/>
      <c r="F20" s="209"/>
      <c r="G20" s="169" t="s">
        <v>198</v>
      </c>
      <c r="H20" s="5"/>
      <c r="I20" s="5"/>
      <c r="J20" s="5"/>
      <c r="K20" s="5"/>
      <c r="L20" s="5"/>
      <c r="M20" s="4"/>
      <c r="N20" s="4"/>
      <c r="O20" s="4"/>
      <c r="P20" s="6"/>
      <c r="Q20" s="135"/>
      <c r="R20" s="135"/>
      <c r="S20" s="137">
        <f t="shared" si="13"/>
        <v>0</v>
      </c>
      <c r="T20" s="137">
        <f t="shared" si="14"/>
        <v>0</v>
      </c>
      <c r="U20" s="137">
        <f t="shared" si="15"/>
        <v>0</v>
      </c>
      <c r="V20" s="138"/>
      <c r="W20" s="148"/>
      <c r="X20" s="148"/>
      <c r="Y20" s="137">
        <f t="shared" si="16"/>
        <v>0</v>
      </c>
      <c r="Z20" s="148"/>
      <c r="AA20" s="137">
        <f t="shared" ref="AA20" si="23">+$W20*Z20</f>
        <v>0</v>
      </c>
      <c r="AB20" s="148"/>
      <c r="AC20" s="137">
        <f t="shared" ref="AC20:AC25" si="24">+$W20*AB20</f>
        <v>0</v>
      </c>
      <c r="AD20" s="148"/>
      <c r="AE20" s="137">
        <f t="shared" si="20"/>
        <v>0</v>
      </c>
      <c r="AF20" s="137">
        <f t="shared" si="12"/>
        <v>0</v>
      </c>
      <c r="AG20" s="137">
        <f t="shared" si="12"/>
        <v>0</v>
      </c>
      <c r="AH20" s="153"/>
      <c r="AI20" s="56"/>
    </row>
    <row r="21" spans="1:36" s="11" customFormat="1" x14ac:dyDescent="0.25">
      <c r="A21" s="191"/>
      <c r="B21" s="218"/>
      <c r="C21" s="194"/>
      <c r="D21" s="194"/>
      <c r="E21" s="206"/>
      <c r="F21" s="209"/>
      <c r="G21" s="169" t="s">
        <v>199</v>
      </c>
      <c r="H21" s="5"/>
      <c r="I21" s="5"/>
      <c r="J21" s="5"/>
      <c r="K21" s="5"/>
      <c r="L21" s="5"/>
      <c r="M21" s="4"/>
      <c r="N21" s="4"/>
      <c r="O21" s="4"/>
      <c r="P21" s="6"/>
      <c r="Q21" s="135"/>
      <c r="R21" s="135"/>
      <c r="S21" s="137">
        <f t="shared" si="13"/>
        <v>0</v>
      </c>
      <c r="T21" s="137">
        <f t="shared" si="14"/>
        <v>0</v>
      </c>
      <c r="U21" s="137">
        <f t="shared" si="15"/>
        <v>0</v>
      </c>
      <c r="V21" s="138"/>
      <c r="W21" s="148"/>
      <c r="X21" s="148"/>
      <c r="Y21" s="137">
        <f t="shared" si="16"/>
        <v>0</v>
      </c>
      <c r="Z21" s="148"/>
      <c r="AA21" s="137">
        <f t="shared" ref="AA21" si="25">+$W21*Z21</f>
        <v>0</v>
      </c>
      <c r="AB21" s="148"/>
      <c r="AC21" s="137">
        <f t="shared" si="24"/>
        <v>0</v>
      </c>
      <c r="AD21" s="148"/>
      <c r="AE21" s="137">
        <f t="shared" si="20"/>
        <v>0</v>
      </c>
      <c r="AF21" s="137">
        <f t="shared" si="12"/>
        <v>0</v>
      </c>
      <c r="AG21" s="137">
        <f t="shared" si="12"/>
        <v>0</v>
      </c>
      <c r="AH21" s="153"/>
      <c r="AI21" s="56"/>
    </row>
    <row r="22" spans="1:36" s="11" customFormat="1" x14ac:dyDescent="0.25">
      <c r="A22" s="191"/>
      <c r="B22" s="218"/>
      <c r="C22" s="194"/>
      <c r="D22" s="194"/>
      <c r="E22" s="206"/>
      <c r="F22" s="209"/>
      <c r="G22" s="169" t="s">
        <v>200</v>
      </c>
      <c r="H22" s="5"/>
      <c r="I22" s="5"/>
      <c r="J22" s="5"/>
      <c r="K22" s="5"/>
      <c r="L22" s="5"/>
      <c r="M22" s="4"/>
      <c r="N22" s="4"/>
      <c r="O22" s="4"/>
      <c r="P22" s="6"/>
      <c r="Q22" s="135"/>
      <c r="R22" s="135"/>
      <c r="S22" s="137">
        <f t="shared" si="13"/>
        <v>0</v>
      </c>
      <c r="T22" s="137">
        <f t="shared" si="14"/>
        <v>0</v>
      </c>
      <c r="U22" s="137">
        <f t="shared" si="15"/>
        <v>0</v>
      </c>
      <c r="V22" s="138"/>
      <c r="W22" s="148"/>
      <c r="X22" s="148"/>
      <c r="Y22" s="137">
        <f t="shared" si="16"/>
        <v>0</v>
      </c>
      <c r="Z22" s="148"/>
      <c r="AA22" s="137">
        <f t="shared" ref="AA22:AA25" si="26">+$W22*Z22</f>
        <v>0</v>
      </c>
      <c r="AB22" s="148"/>
      <c r="AC22" s="137">
        <f t="shared" si="24"/>
        <v>0</v>
      </c>
      <c r="AD22" s="148"/>
      <c r="AE22" s="137">
        <f t="shared" si="20"/>
        <v>0</v>
      </c>
      <c r="AF22" s="137">
        <f t="shared" si="12"/>
        <v>0</v>
      </c>
      <c r="AG22" s="137">
        <f t="shared" si="12"/>
        <v>0</v>
      </c>
      <c r="AH22" s="153"/>
      <c r="AI22" s="56"/>
    </row>
    <row r="23" spans="1:36" s="11" customFormat="1" x14ac:dyDescent="0.25">
      <c r="A23" s="191"/>
      <c r="B23" s="218"/>
      <c r="C23" s="194"/>
      <c r="D23" s="194"/>
      <c r="E23" s="206"/>
      <c r="F23" s="209"/>
      <c r="G23" s="169" t="s">
        <v>205</v>
      </c>
      <c r="H23" s="5"/>
      <c r="I23" s="5"/>
      <c r="J23" s="5"/>
      <c r="K23" s="5"/>
      <c r="L23" s="5"/>
      <c r="M23" s="4"/>
      <c r="N23" s="4"/>
      <c r="O23" s="4"/>
      <c r="P23" s="6"/>
      <c r="Q23" s="135"/>
      <c r="R23" s="135"/>
      <c r="S23" s="137">
        <f t="shared" si="13"/>
        <v>0</v>
      </c>
      <c r="T23" s="137">
        <f t="shared" si="14"/>
        <v>0</v>
      </c>
      <c r="U23" s="137">
        <f t="shared" si="15"/>
        <v>0</v>
      </c>
      <c r="V23" s="138"/>
      <c r="W23" s="148"/>
      <c r="X23" s="148"/>
      <c r="Y23" s="137">
        <f t="shared" si="16"/>
        <v>0</v>
      </c>
      <c r="Z23" s="148"/>
      <c r="AA23" s="137">
        <f t="shared" si="26"/>
        <v>0</v>
      </c>
      <c r="AB23" s="148"/>
      <c r="AC23" s="137">
        <f t="shared" si="24"/>
        <v>0</v>
      </c>
      <c r="AD23" s="148"/>
      <c r="AE23" s="137">
        <f t="shared" si="20"/>
        <v>0</v>
      </c>
      <c r="AF23" s="137">
        <f t="shared" si="12"/>
        <v>0</v>
      </c>
      <c r="AG23" s="137">
        <f t="shared" si="12"/>
        <v>0</v>
      </c>
      <c r="AH23" s="153"/>
      <c r="AI23" s="56"/>
    </row>
    <row r="24" spans="1:36" s="11" customFormat="1" x14ac:dyDescent="0.25">
      <c r="A24" s="191"/>
      <c r="B24" s="218"/>
      <c r="C24" s="194"/>
      <c r="D24" s="194"/>
      <c r="E24" s="206"/>
      <c r="F24" s="209"/>
      <c r="G24" s="169" t="s">
        <v>206</v>
      </c>
      <c r="H24" s="5"/>
      <c r="I24" s="5"/>
      <c r="J24" s="5"/>
      <c r="K24" s="5"/>
      <c r="L24" s="5"/>
      <c r="M24" s="4"/>
      <c r="N24" s="4"/>
      <c r="O24" s="4"/>
      <c r="P24" s="6"/>
      <c r="Q24" s="135"/>
      <c r="R24" s="135"/>
      <c r="S24" s="137">
        <f t="shared" si="13"/>
        <v>0</v>
      </c>
      <c r="T24" s="137">
        <f t="shared" si="14"/>
        <v>0</v>
      </c>
      <c r="U24" s="137">
        <f t="shared" si="15"/>
        <v>0</v>
      </c>
      <c r="V24" s="138"/>
      <c r="W24" s="148"/>
      <c r="X24" s="148"/>
      <c r="Y24" s="137">
        <f t="shared" si="16"/>
        <v>0</v>
      </c>
      <c r="Z24" s="148"/>
      <c r="AA24" s="137">
        <f t="shared" si="26"/>
        <v>0</v>
      </c>
      <c r="AB24" s="148"/>
      <c r="AC24" s="137">
        <f t="shared" si="24"/>
        <v>0</v>
      </c>
      <c r="AD24" s="148"/>
      <c r="AE24" s="137">
        <f t="shared" si="20"/>
        <v>0</v>
      </c>
      <c r="AF24" s="137">
        <f t="shared" si="12"/>
        <v>0</v>
      </c>
      <c r="AG24" s="137">
        <f t="shared" si="12"/>
        <v>0</v>
      </c>
      <c r="AH24" s="153"/>
      <c r="AI24" s="56"/>
    </row>
    <row r="25" spans="1:36" s="11" customFormat="1" x14ac:dyDescent="0.25">
      <c r="A25" s="192"/>
      <c r="B25" s="220"/>
      <c r="C25" s="195"/>
      <c r="D25" s="194"/>
      <c r="E25" s="206"/>
      <c r="F25" s="209"/>
      <c r="G25" s="169" t="s">
        <v>207</v>
      </c>
      <c r="H25" s="5"/>
      <c r="I25" s="5"/>
      <c r="J25" s="5"/>
      <c r="K25" s="5"/>
      <c r="L25" s="5"/>
      <c r="M25" s="4"/>
      <c r="N25" s="4"/>
      <c r="O25" s="4"/>
      <c r="P25" s="6"/>
      <c r="Q25" s="135"/>
      <c r="R25" s="135"/>
      <c r="S25" s="137">
        <f t="shared" si="13"/>
        <v>0</v>
      </c>
      <c r="T25" s="137">
        <f t="shared" si="14"/>
        <v>0</v>
      </c>
      <c r="U25" s="137">
        <f t="shared" si="15"/>
        <v>0</v>
      </c>
      <c r="V25" s="138"/>
      <c r="W25" s="148"/>
      <c r="X25" s="148"/>
      <c r="Y25" s="137">
        <f t="shared" si="16"/>
        <v>0</v>
      </c>
      <c r="Z25" s="148"/>
      <c r="AA25" s="137">
        <f t="shared" si="26"/>
        <v>0</v>
      </c>
      <c r="AB25" s="148"/>
      <c r="AC25" s="137">
        <f t="shared" si="24"/>
        <v>0</v>
      </c>
      <c r="AD25" s="148"/>
      <c r="AE25" s="137">
        <f t="shared" si="20"/>
        <v>0</v>
      </c>
      <c r="AF25" s="137">
        <f t="shared" si="12"/>
        <v>0</v>
      </c>
      <c r="AG25" s="137">
        <f t="shared" si="12"/>
        <v>0</v>
      </c>
      <c r="AH25" s="153"/>
      <c r="AI25" s="56"/>
    </row>
    <row r="26" spans="1:36" s="11" customFormat="1" ht="38.25" x14ac:dyDescent="0.25">
      <c r="A26" s="60">
        <v>13</v>
      </c>
      <c r="B26" s="60">
        <v>1</v>
      </c>
      <c r="C26" s="63" t="s">
        <v>38</v>
      </c>
      <c r="D26" s="194"/>
      <c r="E26" s="206"/>
      <c r="F26" s="209"/>
      <c r="G26" s="43" t="s">
        <v>126</v>
      </c>
      <c r="H26" s="5"/>
      <c r="I26" s="5"/>
      <c r="J26" s="5"/>
      <c r="K26" s="5"/>
      <c r="L26" s="5"/>
      <c r="M26" s="4" t="s">
        <v>34</v>
      </c>
      <c r="N26" s="4" t="s">
        <v>35</v>
      </c>
      <c r="O26" s="4" t="s">
        <v>41</v>
      </c>
      <c r="P26" s="6" t="s">
        <v>127</v>
      </c>
      <c r="Q26" s="78"/>
      <c r="R26" s="79"/>
      <c r="S26" s="137">
        <f t="shared" ref="S26:S27" si="27">+R26*Q26</f>
        <v>0</v>
      </c>
      <c r="T26" s="137">
        <f t="shared" ref="T26:T27" si="28">+R26</f>
        <v>0</v>
      </c>
      <c r="U26" s="137">
        <f t="shared" ref="U26:U27" si="29">S26</f>
        <v>0</v>
      </c>
      <c r="V26" s="138" t="s">
        <v>127</v>
      </c>
      <c r="W26" s="139"/>
      <c r="X26" s="137"/>
      <c r="Y26" s="137">
        <f t="shared" ref="Y26:Y27" si="30">+W26*X26</f>
        <v>0</v>
      </c>
      <c r="Z26" s="137"/>
      <c r="AA26" s="137">
        <f t="shared" ref="AA26:AA27" si="31">+Z26*W26</f>
        <v>0</v>
      </c>
      <c r="AB26" s="137"/>
      <c r="AC26" s="137">
        <f t="shared" ref="AC26:AC27" si="32">+AB26*W26</f>
        <v>0</v>
      </c>
      <c r="AD26" s="137"/>
      <c r="AE26" s="137">
        <f t="shared" ref="AE26:AE27" si="33">+AD26*W26</f>
        <v>0</v>
      </c>
      <c r="AF26" s="137">
        <f t="shared" si="12"/>
        <v>0</v>
      </c>
      <c r="AG26" s="137">
        <f t="shared" si="12"/>
        <v>0</v>
      </c>
      <c r="AH26" s="35">
        <f t="shared" ref="AH26:AH27" si="34">+U26+AG26</f>
        <v>0</v>
      </c>
      <c r="AI26" s="56"/>
    </row>
    <row r="27" spans="1:36" s="59" customFormat="1" ht="150.75" customHeight="1" x14ac:dyDescent="0.25">
      <c r="A27" s="60">
        <v>13</v>
      </c>
      <c r="B27" s="60">
        <v>1</v>
      </c>
      <c r="C27" s="63" t="s">
        <v>38</v>
      </c>
      <c r="D27" s="195"/>
      <c r="E27" s="207"/>
      <c r="F27" s="210"/>
      <c r="G27" s="43" t="s">
        <v>128</v>
      </c>
      <c r="H27" s="5"/>
      <c r="I27" s="5"/>
      <c r="J27" s="5"/>
      <c r="K27" s="5"/>
      <c r="L27" s="5"/>
      <c r="M27" s="4" t="s">
        <v>34</v>
      </c>
      <c r="N27" s="4" t="s">
        <v>35</v>
      </c>
      <c r="O27" s="4" t="s">
        <v>41</v>
      </c>
      <c r="P27" s="6" t="s">
        <v>129</v>
      </c>
      <c r="Q27" s="78"/>
      <c r="R27" s="79"/>
      <c r="S27" s="137">
        <f t="shared" si="27"/>
        <v>0</v>
      </c>
      <c r="T27" s="137">
        <f t="shared" si="28"/>
        <v>0</v>
      </c>
      <c r="U27" s="137">
        <f t="shared" si="29"/>
        <v>0</v>
      </c>
      <c r="V27" s="138" t="s">
        <v>129</v>
      </c>
      <c r="W27" s="139"/>
      <c r="X27" s="137"/>
      <c r="Y27" s="137">
        <f t="shared" si="30"/>
        <v>0</v>
      </c>
      <c r="Z27" s="137"/>
      <c r="AA27" s="137">
        <f t="shared" si="31"/>
        <v>0</v>
      </c>
      <c r="AB27" s="137"/>
      <c r="AC27" s="137">
        <f t="shared" si="32"/>
        <v>0</v>
      </c>
      <c r="AD27" s="137"/>
      <c r="AE27" s="137">
        <f t="shared" si="33"/>
        <v>0</v>
      </c>
      <c r="AF27" s="137">
        <f t="shared" si="12"/>
        <v>0</v>
      </c>
      <c r="AG27" s="137">
        <f t="shared" si="12"/>
        <v>0</v>
      </c>
      <c r="AH27" s="35">
        <f t="shared" si="34"/>
        <v>0</v>
      </c>
      <c r="AI27" s="56"/>
    </row>
    <row r="28" spans="1:36" s="11" customFormat="1" x14ac:dyDescent="0.2">
      <c r="A28" s="49" t="s">
        <v>57</v>
      </c>
      <c r="B28" s="25"/>
      <c r="C28" s="26"/>
      <c r="D28" s="26"/>
      <c r="E28" s="26"/>
      <c r="F28" s="26"/>
      <c r="G28" s="38"/>
      <c r="H28" s="39"/>
      <c r="I28" s="39"/>
      <c r="J28" s="39"/>
      <c r="K28" s="39"/>
      <c r="L28" s="39"/>
      <c r="M28" s="37"/>
      <c r="N28" s="37"/>
      <c r="O28" s="37"/>
      <c r="P28" s="34"/>
      <c r="Q28" s="40"/>
      <c r="R28" s="41"/>
      <c r="S28" s="164"/>
      <c r="T28" s="164"/>
      <c r="U28" s="164"/>
      <c r="V28" s="164"/>
      <c r="W28" s="164"/>
      <c r="X28" s="164"/>
      <c r="Y28" s="164"/>
      <c r="Z28" s="164"/>
      <c r="AA28" s="164"/>
      <c r="AB28" s="164"/>
      <c r="AC28" s="164"/>
      <c r="AD28" s="164"/>
      <c r="AE28" s="164"/>
      <c r="AF28" s="164"/>
      <c r="AG28" s="164"/>
      <c r="AH28" s="31">
        <f>SUM(AH29)</f>
        <v>0</v>
      </c>
      <c r="AI28" s="32">
        <v>30157612</v>
      </c>
    </row>
    <row r="29" spans="1:36" s="59" customFormat="1" ht="89.25" x14ac:dyDescent="0.25">
      <c r="A29" s="60">
        <v>8</v>
      </c>
      <c r="B29" s="60">
        <v>1</v>
      </c>
      <c r="C29" s="63" t="s">
        <v>38</v>
      </c>
      <c r="D29" s="63" t="s">
        <v>32</v>
      </c>
      <c r="E29" s="57" t="s">
        <v>122</v>
      </c>
      <c r="F29" s="57" t="s">
        <v>130</v>
      </c>
      <c r="G29" s="3"/>
      <c r="H29" s="5"/>
      <c r="I29" s="5"/>
      <c r="J29" s="5"/>
      <c r="K29" s="5"/>
      <c r="L29" s="5"/>
      <c r="M29" s="4" t="s">
        <v>34</v>
      </c>
      <c r="N29" s="4" t="s">
        <v>35</v>
      </c>
      <c r="O29" s="4" t="s">
        <v>40</v>
      </c>
      <c r="P29" s="6"/>
      <c r="Q29" s="78"/>
      <c r="R29" s="79"/>
      <c r="S29" s="137">
        <f t="shared" ref="S29" si="35">+R29*Q29</f>
        <v>0</v>
      </c>
      <c r="T29" s="137">
        <f t="shared" ref="T29" si="36">+R29</f>
        <v>0</v>
      </c>
      <c r="U29" s="137">
        <f t="shared" ref="U29" si="37">S29</f>
        <v>0</v>
      </c>
      <c r="V29" s="138"/>
      <c r="W29" s="139"/>
      <c r="X29" s="137"/>
      <c r="Y29" s="137">
        <f t="shared" ref="Y29" si="38">+W29*X29</f>
        <v>0</v>
      </c>
      <c r="Z29" s="137"/>
      <c r="AA29" s="137">
        <f t="shared" ref="AA29" si="39">+Z29*W29</f>
        <v>0</v>
      </c>
      <c r="AB29" s="137"/>
      <c r="AC29" s="137">
        <f t="shared" ref="AC29" si="40">+AB29*W29</f>
        <v>0</v>
      </c>
      <c r="AD29" s="137"/>
      <c r="AE29" s="137">
        <f t="shared" ref="AE29" si="41">+AD29*W29</f>
        <v>0</v>
      </c>
      <c r="AF29" s="137">
        <f t="shared" ref="AF29:AG29" si="42">+X29+Z29+AB29+AD29</f>
        <v>0</v>
      </c>
      <c r="AG29" s="137">
        <f t="shared" si="42"/>
        <v>0</v>
      </c>
      <c r="AH29" s="35">
        <f t="shared" ref="AH29" si="43">+U29+AG29</f>
        <v>0</v>
      </c>
      <c r="AI29" s="56"/>
    </row>
    <row r="30" spans="1:36" s="11" customFormat="1" x14ac:dyDescent="0.2">
      <c r="A30" s="49" t="s">
        <v>164</v>
      </c>
      <c r="B30" s="25"/>
      <c r="C30" s="26"/>
      <c r="D30" s="26"/>
      <c r="E30" s="26"/>
      <c r="F30" s="26"/>
      <c r="G30" s="38"/>
      <c r="H30" s="39"/>
      <c r="I30" s="39"/>
      <c r="J30" s="39"/>
      <c r="K30" s="39"/>
      <c r="L30" s="39"/>
      <c r="M30" s="37"/>
      <c r="N30" s="37"/>
      <c r="O30" s="37"/>
      <c r="P30" s="34"/>
      <c r="Q30" s="40"/>
      <c r="R30" s="41"/>
      <c r="S30" s="164"/>
      <c r="T30" s="164"/>
      <c r="U30" s="164"/>
      <c r="V30" s="164"/>
      <c r="W30" s="164"/>
      <c r="X30" s="164"/>
      <c r="Y30" s="164"/>
      <c r="Z30" s="164"/>
      <c r="AA30" s="164"/>
      <c r="AB30" s="164"/>
      <c r="AC30" s="164"/>
      <c r="AD30" s="164"/>
      <c r="AE30" s="164"/>
      <c r="AF30" s="164"/>
      <c r="AG30" s="164"/>
      <c r="AH30" s="31">
        <f>+AH4+AH11+AH28</f>
        <v>0</v>
      </c>
      <c r="AI30" s="32">
        <f>+AI4+AI11+AI28</f>
        <v>335084626</v>
      </c>
    </row>
    <row r="31" spans="1:36" x14ac:dyDescent="0.2">
      <c r="S31" s="165"/>
      <c r="T31" s="165"/>
      <c r="U31" s="165"/>
      <c r="V31" s="165"/>
      <c r="W31" s="165"/>
      <c r="X31" s="165"/>
      <c r="Y31" s="165"/>
      <c r="Z31" s="165"/>
      <c r="AA31" s="166"/>
      <c r="AB31" s="165"/>
      <c r="AC31" s="165"/>
      <c r="AD31" s="165"/>
      <c r="AE31" s="165"/>
      <c r="AF31" s="165"/>
      <c r="AG31" s="165"/>
      <c r="AH31" s="66">
        <f>SUM(AH7:AH29)</f>
        <v>0</v>
      </c>
      <c r="AJ31" s="46"/>
    </row>
    <row r="32" spans="1:36" s="11" customFormat="1" x14ac:dyDescent="0.2">
      <c r="A32" s="49" t="s">
        <v>58</v>
      </c>
      <c r="B32" s="25"/>
      <c r="C32" s="26"/>
      <c r="D32" s="26"/>
      <c r="E32" s="26"/>
      <c r="F32" s="26"/>
      <c r="G32" s="26"/>
      <c r="H32" s="27"/>
      <c r="I32" s="27"/>
      <c r="J32" s="27"/>
      <c r="K32" s="27"/>
      <c r="L32" s="27"/>
      <c r="M32" s="25"/>
      <c r="N32" s="25"/>
      <c r="O32" s="25"/>
      <c r="P32" s="25"/>
      <c r="Q32" s="28"/>
      <c r="R32" s="29"/>
      <c r="S32" s="167"/>
      <c r="T32" s="167"/>
      <c r="U32" s="167"/>
      <c r="V32" s="167"/>
      <c r="W32" s="167"/>
      <c r="X32" s="167"/>
      <c r="Y32" s="167"/>
      <c r="Z32" s="167"/>
      <c r="AA32" s="167"/>
      <c r="AB32" s="167"/>
      <c r="AC32" s="167"/>
      <c r="AD32" s="167"/>
      <c r="AE32" s="167"/>
      <c r="AF32" s="167"/>
      <c r="AG32" s="167"/>
      <c r="AH32" s="31"/>
      <c r="AI32" s="32"/>
    </row>
    <row r="33" spans="1:37" s="59" customFormat="1" ht="89.25" x14ac:dyDescent="0.25">
      <c r="A33" s="60">
        <v>6</v>
      </c>
      <c r="B33" s="60">
        <v>1</v>
      </c>
      <c r="C33" s="63" t="s">
        <v>31</v>
      </c>
      <c r="D33" s="63" t="s">
        <v>32</v>
      </c>
      <c r="E33" s="57" t="s">
        <v>33</v>
      </c>
      <c r="F33" s="63" t="s">
        <v>131</v>
      </c>
      <c r="G33" s="57" t="s">
        <v>132</v>
      </c>
      <c r="H33" s="58"/>
      <c r="I33" s="58"/>
      <c r="J33" s="58"/>
      <c r="K33" s="58"/>
      <c r="L33" s="58"/>
      <c r="M33" s="33" t="s">
        <v>34</v>
      </c>
      <c r="N33" s="33" t="s">
        <v>35</v>
      </c>
      <c r="O33" s="33" t="s">
        <v>36</v>
      </c>
      <c r="P33" s="51" t="s">
        <v>37</v>
      </c>
      <c r="Q33" s="52">
        <f>15355</f>
        <v>15355</v>
      </c>
      <c r="R33" s="67">
        <f>965*0.2</f>
        <v>193</v>
      </c>
      <c r="S33" s="140">
        <f>+R33*Q33</f>
        <v>2963515</v>
      </c>
      <c r="T33" s="140">
        <f t="shared" ref="T33:T38" si="44">+R33</f>
        <v>193</v>
      </c>
      <c r="U33" s="140">
        <f>S33</f>
        <v>2963515</v>
      </c>
      <c r="V33" s="150" t="s">
        <v>37</v>
      </c>
      <c r="W33" s="151">
        <f>+Q33</f>
        <v>15355</v>
      </c>
      <c r="X33" s="149">
        <v>193</v>
      </c>
      <c r="Y33" s="149">
        <f t="shared" ref="Y33:Y37" si="45">+W33*X33</f>
        <v>2963515</v>
      </c>
      <c r="Z33" s="149">
        <v>193</v>
      </c>
      <c r="AA33" s="149">
        <f t="shared" ref="AA33:AA37" si="46">+Z33*W33</f>
        <v>2963515</v>
      </c>
      <c r="AB33" s="149">
        <f>+Z33</f>
        <v>193</v>
      </c>
      <c r="AC33" s="149">
        <f t="shared" ref="AC33:AC37" si="47">+AB33*W33</f>
        <v>2963515</v>
      </c>
      <c r="AD33" s="149">
        <f>+AB33</f>
        <v>193</v>
      </c>
      <c r="AE33" s="140">
        <f t="shared" ref="AE33:AE37" si="48">+AD33*W33</f>
        <v>2963515</v>
      </c>
      <c r="AF33" s="140">
        <f t="shared" ref="AF33:AG38" si="49">+X33+Z33+AB33+AD33</f>
        <v>772</v>
      </c>
      <c r="AG33" s="140">
        <f t="shared" si="49"/>
        <v>11854060</v>
      </c>
      <c r="AH33" s="35">
        <f t="shared" ref="AH33:AH37" si="50">+U33+AG33</f>
        <v>14817575</v>
      </c>
      <c r="AI33" s="56"/>
      <c r="AK33" s="112"/>
    </row>
    <row r="34" spans="1:37" s="59" customFormat="1" ht="114.75" x14ac:dyDescent="0.25">
      <c r="A34" s="60">
        <v>34</v>
      </c>
      <c r="B34" s="68">
        <v>1</v>
      </c>
      <c r="C34" s="63" t="s">
        <v>42</v>
      </c>
      <c r="D34" s="63" t="s">
        <v>43</v>
      </c>
      <c r="E34" s="57" t="s">
        <v>44</v>
      </c>
      <c r="F34" s="63" t="s">
        <v>158</v>
      </c>
      <c r="G34" s="57" t="s">
        <v>133</v>
      </c>
      <c r="H34" s="33"/>
      <c r="I34" s="58"/>
      <c r="J34" s="58"/>
      <c r="K34" s="58"/>
      <c r="L34" s="58"/>
      <c r="M34" s="33" t="s">
        <v>34</v>
      </c>
      <c r="N34" s="33" t="s">
        <v>35</v>
      </c>
      <c r="O34" s="63" t="s">
        <v>45</v>
      </c>
      <c r="P34" s="51" t="s">
        <v>134</v>
      </c>
      <c r="Q34" s="52"/>
      <c r="R34" s="67"/>
      <c r="S34" s="140">
        <f>+R34*Q34</f>
        <v>0</v>
      </c>
      <c r="T34" s="140">
        <f t="shared" si="44"/>
        <v>0</v>
      </c>
      <c r="U34" s="140">
        <f t="shared" ref="U34:U37" si="51">S34</f>
        <v>0</v>
      </c>
      <c r="V34" s="150" t="s">
        <v>134</v>
      </c>
      <c r="W34" s="140">
        <f>36000*24</f>
        <v>864000</v>
      </c>
      <c r="X34" s="140">
        <v>4</v>
      </c>
      <c r="Y34" s="140">
        <f t="shared" si="45"/>
        <v>3456000</v>
      </c>
      <c r="Z34" s="140">
        <v>4</v>
      </c>
      <c r="AA34" s="140">
        <f t="shared" si="46"/>
        <v>3456000</v>
      </c>
      <c r="AB34" s="140"/>
      <c r="AC34" s="140">
        <f t="shared" si="47"/>
        <v>0</v>
      </c>
      <c r="AD34" s="140">
        <f t="shared" ref="AD34:AD35" si="52">+AB34</f>
        <v>0</v>
      </c>
      <c r="AE34" s="140">
        <f t="shared" si="48"/>
        <v>0</v>
      </c>
      <c r="AF34" s="140">
        <f>+X34+Z34+AB34+AD34</f>
        <v>8</v>
      </c>
      <c r="AG34" s="140">
        <f t="shared" si="49"/>
        <v>6912000</v>
      </c>
      <c r="AH34" s="35">
        <f t="shared" si="50"/>
        <v>6912000</v>
      </c>
      <c r="AI34" s="56"/>
    </row>
    <row r="35" spans="1:37" s="59" customFormat="1" ht="114.75" x14ac:dyDescent="0.25">
      <c r="A35" s="60">
        <v>35</v>
      </c>
      <c r="B35" s="68">
        <v>1</v>
      </c>
      <c r="C35" s="63" t="s">
        <v>42</v>
      </c>
      <c r="D35" s="63" t="s">
        <v>43</v>
      </c>
      <c r="E35" s="57" t="s">
        <v>44</v>
      </c>
      <c r="F35" s="63" t="s">
        <v>158</v>
      </c>
      <c r="G35" s="57" t="s">
        <v>135</v>
      </c>
      <c r="H35" s="33"/>
      <c r="I35" s="58"/>
      <c r="J35" s="58"/>
      <c r="K35" s="58"/>
      <c r="L35" s="58"/>
      <c r="M35" s="33" t="s">
        <v>34</v>
      </c>
      <c r="N35" s="33" t="s">
        <v>35</v>
      </c>
      <c r="O35" s="63" t="s">
        <v>45</v>
      </c>
      <c r="P35" s="51" t="s">
        <v>134</v>
      </c>
      <c r="Q35" s="52"/>
      <c r="R35" s="67"/>
      <c r="S35" s="140">
        <f t="shared" ref="S35:S37" si="53">+R35*Q35</f>
        <v>0</v>
      </c>
      <c r="T35" s="140">
        <f t="shared" si="44"/>
        <v>0</v>
      </c>
      <c r="U35" s="140">
        <f t="shared" si="51"/>
        <v>0</v>
      </c>
      <c r="V35" s="150" t="s">
        <v>134</v>
      </c>
      <c r="W35" s="140">
        <f>36000*12</f>
        <v>432000</v>
      </c>
      <c r="X35" s="140"/>
      <c r="Y35" s="140">
        <f t="shared" si="45"/>
        <v>0</v>
      </c>
      <c r="Z35" s="140">
        <f t="shared" ref="Z35" si="54">+X35</f>
        <v>0</v>
      </c>
      <c r="AA35" s="140">
        <f t="shared" si="46"/>
        <v>0</v>
      </c>
      <c r="AB35" s="140">
        <v>8</v>
      </c>
      <c r="AC35" s="140">
        <f t="shared" si="47"/>
        <v>3456000</v>
      </c>
      <c r="AD35" s="140">
        <f t="shared" si="52"/>
        <v>8</v>
      </c>
      <c r="AE35" s="140">
        <f t="shared" si="48"/>
        <v>3456000</v>
      </c>
      <c r="AF35" s="140">
        <f t="shared" si="49"/>
        <v>16</v>
      </c>
      <c r="AG35" s="140">
        <f t="shared" si="49"/>
        <v>6912000</v>
      </c>
      <c r="AH35" s="35">
        <f t="shared" si="50"/>
        <v>6912000</v>
      </c>
      <c r="AI35" s="56"/>
    </row>
    <row r="36" spans="1:37" s="72" customFormat="1" ht="76.5" x14ac:dyDescent="0.25">
      <c r="A36" s="60">
        <v>43</v>
      </c>
      <c r="B36" s="68">
        <v>1</v>
      </c>
      <c r="C36" s="63" t="s">
        <v>46</v>
      </c>
      <c r="D36" s="63" t="s">
        <v>47</v>
      </c>
      <c r="E36" s="57" t="s">
        <v>48</v>
      </c>
      <c r="F36" s="63" t="s">
        <v>159</v>
      </c>
      <c r="G36" s="57" t="s">
        <v>136</v>
      </c>
      <c r="H36" s="69"/>
      <c r="I36" s="69"/>
      <c r="J36" s="70"/>
      <c r="K36" s="69"/>
      <c r="L36" s="70"/>
      <c r="M36" s="33" t="s">
        <v>34</v>
      </c>
      <c r="N36" s="33" t="s">
        <v>35</v>
      </c>
      <c r="O36" s="33" t="s">
        <v>49</v>
      </c>
      <c r="P36" s="51" t="s">
        <v>137</v>
      </c>
      <c r="Q36" s="52"/>
      <c r="R36" s="67"/>
      <c r="S36" s="140">
        <f t="shared" si="53"/>
        <v>0</v>
      </c>
      <c r="T36" s="140">
        <f t="shared" si="44"/>
        <v>0</v>
      </c>
      <c r="U36" s="140">
        <f t="shared" si="51"/>
        <v>0</v>
      </c>
      <c r="V36" s="150" t="s">
        <v>137</v>
      </c>
      <c r="W36" s="151">
        <v>5000000</v>
      </c>
      <c r="X36" s="140">
        <f t="shared" ref="X36" si="55">+R36</f>
        <v>0</v>
      </c>
      <c r="Y36" s="140">
        <f t="shared" si="45"/>
        <v>0</v>
      </c>
      <c r="Z36" s="140">
        <v>1</v>
      </c>
      <c r="AA36" s="140">
        <f t="shared" si="46"/>
        <v>5000000</v>
      </c>
      <c r="AB36" s="140"/>
      <c r="AC36" s="140">
        <f t="shared" si="47"/>
        <v>0</v>
      </c>
      <c r="AD36" s="140">
        <v>1</v>
      </c>
      <c r="AE36" s="140">
        <f t="shared" si="48"/>
        <v>5000000</v>
      </c>
      <c r="AF36" s="140">
        <f t="shared" si="49"/>
        <v>2</v>
      </c>
      <c r="AG36" s="140">
        <f t="shared" si="49"/>
        <v>10000000</v>
      </c>
      <c r="AH36" s="35">
        <f t="shared" si="50"/>
        <v>10000000</v>
      </c>
      <c r="AI36" s="56"/>
    </row>
    <row r="37" spans="1:37" s="72" customFormat="1" ht="144" customHeight="1" x14ac:dyDescent="0.25">
      <c r="A37" s="60">
        <v>46</v>
      </c>
      <c r="B37" s="68">
        <v>1</v>
      </c>
      <c r="C37" s="33" t="s">
        <v>38</v>
      </c>
      <c r="D37" s="63" t="s">
        <v>47</v>
      </c>
      <c r="E37" s="57" t="s">
        <v>50</v>
      </c>
      <c r="F37" s="63" t="s">
        <v>138</v>
      </c>
      <c r="G37" s="57" t="s">
        <v>139</v>
      </c>
      <c r="H37" s="69"/>
      <c r="I37" s="70"/>
      <c r="J37" s="70"/>
      <c r="K37" s="70"/>
      <c r="L37" s="70"/>
      <c r="M37" s="33" t="s">
        <v>34</v>
      </c>
      <c r="N37" s="33" t="s">
        <v>35</v>
      </c>
      <c r="O37" s="33" t="s">
        <v>36</v>
      </c>
      <c r="P37" s="51" t="s">
        <v>140</v>
      </c>
      <c r="Q37" s="52"/>
      <c r="R37" s="67"/>
      <c r="S37" s="140">
        <f t="shared" si="53"/>
        <v>0</v>
      </c>
      <c r="T37" s="140">
        <f t="shared" si="44"/>
        <v>0</v>
      </c>
      <c r="U37" s="140">
        <f t="shared" si="51"/>
        <v>0</v>
      </c>
      <c r="V37" s="150" t="s">
        <v>140</v>
      </c>
      <c r="W37" s="140">
        <v>100000</v>
      </c>
      <c r="X37" s="140">
        <v>9</v>
      </c>
      <c r="Y37" s="140">
        <f t="shared" si="45"/>
        <v>900000</v>
      </c>
      <c r="Z37" s="140">
        <f>+X37</f>
        <v>9</v>
      </c>
      <c r="AA37" s="140">
        <f t="shared" si="46"/>
        <v>900000</v>
      </c>
      <c r="AB37" s="140">
        <f t="shared" ref="AB37:AB38" si="56">+Z37</f>
        <v>9</v>
      </c>
      <c r="AC37" s="140">
        <f t="shared" si="47"/>
        <v>900000</v>
      </c>
      <c r="AD37" s="140">
        <v>10</v>
      </c>
      <c r="AE37" s="140">
        <f t="shared" si="48"/>
        <v>1000000</v>
      </c>
      <c r="AF37" s="140">
        <f t="shared" si="49"/>
        <v>37</v>
      </c>
      <c r="AG37" s="140">
        <f t="shared" si="49"/>
        <v>3700000</v>
      </c>
      <c r="AH37" s="35">
        <f t="shared" si="50"/>
        <v>3700000</v>
      </c>
      <c r="AI37" s="56"/>
    </row>
    <row r="38" spans="1:37" s="77" customFormat="1" ht="89.25" customHeight="1" x14ac:dyDescent="0.25">
      <c r="A38" s="60">
        <v>12</v>
      </c>
      <c r="B38" s="68">
        <v>1</v>
      </c>
      <c r="C38" s="63" t="s">
        <v>38</v>
      </c>
      <c r="D38" s="73" t="s">
        <v>32</v>
      </c>
      <c r="E38" s="74" t="s">
        <v>114</v>
      </c>
      <c r="F38" s="75" t="s">
        <v>160</v>
      </c>
      <c r="G38" s="75" t="s">
        <v>141</v>
      </c>
      <c r="H38" s="33"/>
      <c r="I38" s="70"/>
      <c r="J38" s="70"/>
      <c r="K38" s="70"/>
      <c r="L38" s="70"/>
      <c r="M38" s="76" t="s">
        <v>34</v>
      </c>
      <c r="N38" s="33" t="s">
        <v>35</v>
      </c>
      <c r="O38" s="76" t="s">
        <v>41</v>
      </c>
      <c r="P38" s="51" t="s">
        <v>142</v>
      </c>
      <c r="Q38" s="52">
        <f>150000*3</f>
        <v>450000</v>
      </c>
      <c r="R38" s="67">
        <v>8</v>
      </c>
      <c r="S38" s="140">
        <f>+R38*Q38</f>
        <v>3600000</v>
      </c>
      <c r="T38" s="140">
        <f t="shared" si="44"/>
        <v>8</v>
      </c>
      <c r="U38" s="140">
        <f>S38</f>
        <v>3600000</v>
      </c>
      <c r="V38" s="150" t="str">
        <f>+P38</f>
        <v>Costo Incentivo Lideres Pares</v>
      </c>
      <c r="W38" s="151">
        <f>154500*3</f>
        <v>463500</v>
      </c>
      <c r="X38" s="140">
        <f>+R38</f>
        <v>8</v>
      </c>
      <c r="Y38" s="140">
        <f>+W38*X38</f>
        <v>3708000</v>
      </c>
      <c r="Z38" s="140">
        <f>8+35</f>
        <v>43</v>
      </c>
      <c r="AA38" s="140">
        <f>+Z38*W38</f>
        <v>19930500</v>
      </c>
      <c r="AB38" s="140">
        <f t="shared" si="56"/>
        <v>43</v>
      </c>
      <c r="AC38" s="140">
        <f>+AB38*W38</f>
        <v>19930500</v>
      </c>
      <c r="AD38" s="140">
        <f>+AB38</f>
        <v>43</v>
      </c>
      <c r="AE38" s="140">
        <f>+AD38*W38</f>
        <v>19930500</v>
      </c>
      <c r="AF38" s="140">
        <f t="shared" si="49"/>
        <v>137</v>
      </c>
      <c r="AG38" s="140">
        <f>+Y38+AA38+AC38+AE38</f>
        <v>63499500</v>
      </c>
      <c r="AH38" s="35">
        <f>+U38+AG38</f>
        <v>67099500</v>
      </c>
      <c r="AI38" s="56"/>
    </row>
    <row r="39" spans="1:37" s="11" customFormat="1" x14ac:dyDescent="0.2">
      <c r="A39" s="49" t="s">
        <v>165</v>
      </c>
      <c r="B39" s="25"/>
      <c r="C39" s="26"/>
      <c r="D39" s="26"/>
      <c r="E39" s="26"/>
      <c r="F39" s="26"/>
      <c r="G39" s="26"/>
      <c r="H39" s="27"/>
      <c r="I39" s="27"/>
      <c r="J39" s="27"/>
      <c r="K39" s="27"/>
      <c r="L39" s="27"/>
      <c r="M39" s="25"/>
      <c r="N39" s="25"/>
      <c r="O39" s="25"/>
      <c r="P39" s="64"/>
      <c r="Q39" s="28"/>
      <c r="R39" s="29"/>
      <c r="S39" s="29"/>
      <c r="T39" s="29"/>
      <c r="U39" s="30"/>
      <c r="V39" s="25"/>
      <c r="W39" s="28"/>
      <c r="X39" s="29"/>
      <c r="Y39" s="29"/>
      <c r="Z39" s="29"/>
      <c r="AA39" s="29"/>
      <c r="AB39" s="29"/>
      <c r="AC39" s="29"/>
      <c r="AD39" s="29"/>
      <c r="AE39" s="29"/>
      <c r="AF39" s="29"/>
      <c r="AG39" s="30"/>
      <c r="AH39" s="31">
        <f>SUM(AH33:AH38)</f>
        <v>109441075</v>
      </c>
      <c r="AI39" s="32">
        <f>+AH39</f>
        <v>109441075</v>
      </c>
    </row>
    <row r="40" spans="1:37" s="11" customFormat="1" x14ac:dyDescent="0.2">
      <c r="A40" s="83" t="s">
        <v>166</v>
      </c>
      <c r="B40" s="84"/>
      <c r="C40" s="85"/>
      <c r="D40" s="85"/>
      <c r="E40" s="85"/>
      <c r="F40" s="85"/>
      <c r="G40" s="85"/>
      <c r="H40" s="86"/>
      <c r="I40" s="86"/>
      <c r="J40" s="86"/>
      <c r="K40" s="86"/>
      <c r="L40" s="86"/>
      <c r="M40" s="84"/>
      <c r="N40" s="84"/>
      <c r="O40" s="84"/>
      <c r="P40" s="87"/>
      <c r="Q40" s="88"/>
      <c r="R40" s="89"/>
      <c r="S40" s="89"/>
      <c r="T40" s="89"/>
      <c r="U40" s="90"/>
      <c r="V40" s="84"/>
      <c r="W40" s="88"/>
      <c r="X40" s="89"/>
      <c r="Y40" s="89"/>
      <c r="Z40" s="89"/>
      <c r="AA40" s="89"/>
      <c r="AB40" s="89"/>
      <c r="AC40" s="89"/>
      <c r="AD40" s="89"/>
      <c r="AE40" s="89"/>
      <c r="AF40" s="89"/>
      <c r="AG40" s="90"/>
      <c r="AH40" s="82"/>
      <c r="AI40" s="82">
        <f>+AI30+AI39</f>
        <v>444525701</v>
      </c>
    </row>
  </sheetData>
  <sheetProtection password="CB42" sheet="1" objects="1" scenarios="1" formatCells="0" formatColumns="0" formatRows="0" insertRows="0"/>
  <mergeCells count="45">
    <mergeCell ref="D12:D27"/>
    <mergeCell ref="E12:E27"/>
    <mergeCell ref="F12:F27"/>
    <mergeCell ref="AI2:AI3"/>
    <mergeCell ref="C5:C7"/>
    <mergeCell ref="D5:D10"/>
    <mergeCell ref="E5:E10"/>
    <mergeCell ref="F5:F7"/>
    <mergeCell ref="F8:F10"/>
    <mergeCell ref="AC2:AC3"/>
    <mergeCell ref="AD2:AD3"/>
    <mergeCell ref="AE2:AE3"/>
    <mergeCell ref="AF2:AF3"/>
    <mergeCell ref="AG2:AG3"/>
    <mergeCell ref="AH2:AH3"/>
    <mergeCell ref="W2:W3"/>
    <mergeCell ref="X2:X3"/>
    <mergeCell ref="Y2:Y3"/>
    <mergeCell ref="Z2:Z3"/>
    <mergeCell ref="AA2:AA3"/>
    <mergeCell ref="AB2:AB3"/>
    <mergeCell ref="V2:V3"/>
    <mergeCell ref="G2:G3"/>
    <mergeCell ref="I2:L2"/>
    <mergeCell ref="M2:M3"/>
    <mergeCell ref="N2:N3"/>
    <mergeCell ref="O2:O3"/>
    <mergeCell ref="P2:P3"/>
    <mergeCell ref="Q2:Q3"/>
    <mergeCell ref="R2:R3"/>
    <mergeCell ref="S2:S3"/>
    <mergeCell ref="T2:T3"/>
    <mergeCell ref="U2:U3"/>
    <mergeCell ref="F2:F3"/>
    <mergeCell ref="A2:A3"/>
    <mergeCell ref="B2:B3"/>
    <mergeCell ref="C2:C3"/>
    <mergeCell ref="D2:D3"/>
    <mergeCell ref="E2:E3"/>
    <mergeCell ref="A19:A25"/>
    <mergeCell ref="B19:B25"/>
    <mergeCell ref="C19:C25"/>
    <mergeCell ref="A12:A18"/>
    <mergeCell ref="B12:B18"/>
    <mergeCell ref="C12:C18"/>
  </mergeCells>
  <dataValidations disablePrompts="1" count="1">
    <dataValidation type="decimal" operator="greaterThanOrEqual" allowBlank="1" showInputMessage="1" showErrorMessage="1" sqref="W29:W30 W38:W40 W36 W33 W5:W10 W19 W26:W27">
      <formula1>0</formula1>
    </dataValidation>
  </dataValidation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22"/>
  <sheetViews>
    <sheetView showGridLines="0" workbookViewId="0">
      <selection activeCell="A3" sqref="A3"/>
    </sheetView>
  </sheetViews>
  <sheetFormatPr baseColWidth="10" defaultRowHeight="15" x14ac:dyDescent="0.25"/>
  <cols>
    <col min="1" max="1" width="53.28515625" style="19" customWidth="1"/>
    <col min="2" max="2" width="17.5703125" style="23" bestFit="1" customWidth="1"/>
    <col min="3" max="3" width="18.5703125" style="19" bestFit="1" customWidth="1"/>
    <col min="4" max="16384" width="11.42578125" style="19"/>
  </cols>
  <sheetData>
    <row r="1" spans="1:3" ht="39.75" customHeight="1" x14ac:dyDescent="0.25">
      <c r="A1" s="188" t="s">
        <v>100</v>
      </c>
      <c r="B1" s="188"/>
      <c r="C1" s="188"/>
    </row>
    <row r="2" spans="1:3" x14ac:dyDescent="0.25">
      <c r="A2" s="189" t="s">
        <v>148</v>
      </c>
      <c r="B2" s="189"/>
      <c r="C2" s="189"/>
    </row>
    <row r="3" spans="1:3" x14ac:dyDescent="0.25">
      <c r="A3" s="118"/>
      <c r="B3" s="119"/>
      <c r="C3" s="118"/>
    </row>
    <row r="4" spans="1:3" x14ac:dyDescent="0.25">
      <c r="A4" s="120" t="s">
        <v>102</v>
      </c>
      <c r="B4" s="121"/>
      <c r="C4" s="118"/>
    </row>
    <row r="6" spans="1:3" s="20" customFormat="1" x14ac:dyDescent="0.25">
      <c r="A6" s="91" t="s">
        <v>103</v>
      </c>
      <c r="B6" s="92" t="s">
        <v>104</v>
      </c>
      <c r="C6" s="93" t="s">
        <v>98</v>
      </c>
    </row>
    <row r="7" spans="1:3" s="21" customFormat="1" x14ac:dyDescent="0.25">
      <c r="A7" s="94" t="s">
        <v>105</v>
      </c>
      <c r="B7" s="106">
        <f>+'[1]Fase I Valle del Cauca'!AH4</f>
        <v>0</v>
      </c>
      <c r="C7" s="96">
        <f>+'Fase I Sucre'!AI4</f>
        <v>236285113</v>
      </c>
    </row>
    <row r="8" spans="1:3" s="22" customFormat="1" x14ac:dyDescent="0.25">
      <c r="A8" s="97" t="s">
        <v>106</v>
      </c>
      <c r="B8" s="95">
        <f>+'[1]Fase I Valle del Cauca'!AH11</f>
        <v>0</v>
      </c>
      <c r="C8" s="96">
        <f>+'Fase I Sucre'!AI11</f>
        <v>70885532</v>
      </c>
    </row>
    <row r="9" spans="1:3" s="22" customFormat="1" x14ac:dyDescent="0.25">
      <c r="A9" s="97" t="s">
        <v>107</v>
      </c>
      <c r="B9" s="95">
        <f>+'[1]Fase I Valle del Cauca'!AH16</f>
        <v>0</v>
      </c>
      <c r="C9" s="96">
        <f>+'Fase I Sucre'!AI24</f>
        <v>30379517</v>
      </c>
    </row>
    <row r="10" spans="1:3" s="22" customFormat="1" x14ac:dyDescent="0.25">
      <c r="A10" s="99" t="s">
        <v>161</v>
      </c>
      <c r="B10" s="107">
        <f>SUM(B7:B9)</f>
        <v>0</v>
      </c>
      <c r="C10" s="108">
        <f>SUM(C7:C9)</f>
        <v>337550162</v>
      </c>
    </row>
    <row r="11" spans="1:3" s="22" customFormat="1" x14ac:dyDescent="0.25">
      <c r="A11" s="97"/>
      <c r="B11" s="107"/>
      <c r="C11" s="96"/>
    </row>
    <row r="12" spans="1:3" x14ac:dyDescent="0.25">
      <c r="A12" s="101" t="s">
        <v>108</v>
      </c>
      <c r="B12" s="109">
        <f>+'Fase I Sucre'!AH35</f>
        <v>108834120</v>
      </c>
      <c r="C12" s="96">
        <f>+'Fase I Sucre'!AI35</f>
        <v>108834120</v>
      </c>
    </row>
    <row r="13" spans="1:3" x14ac:dyDescent="0.25">
      <c r="A13" s="102" t="s">
        <v>162</v>
      </c>
      <c r="B13" s="110">
        <f>+B12</f>
        <v>108834120</v>
      </c>
      <c r="C13" s="100">
        <f>+C12</f>
        <v>108834120</v>
      </c>
    </row>
    <row r="14" spans="1:3" x14ac:dyDescent="0.25">
      <c r="A14" s="104" t="s">
        <v>163</v>
      </c>
      <c r="B14" s="105">
        <f>+B10+B13</f>
        <v>108834120</v>
      </c>
      <c r="C14" s="105">
        <f>+C10+C13</f>
        <v>446384282</v>
      </c>
    </row>
    <row r="19" spans="1:3" s="24" customFormat="1" x14ac:dyDescent="0.25">
      <c r="A19" s="122" t="s">
        <v>109</v>
      </c>
      <c r="B19" s="119"/>
      <c r="C19" s="123"/>
    </row>
    <row r="20" spans="1:3" s="24" customFormat="1" x14ac:dyDescent="0.25">
      <c r="A20" s="122" t="s">
        <v>110</v>
      </c>
      <c r="B20" s="119"/>
      <c r="C20" s="123"/>
    </row>
    <row r="21" spans="1:3" x14ac:dyDescent="0.25">
      <c r="A21" s="118"/>
      <c r="B21" s="119"/>
      <c r="C21" s="118"/>
    </row>
    <row r="22" spans="1:3" x14ac:dyDescent="0.25">
      <c r="A22" s="118"/>
      <c r="B22" s="119"/>
      <c r="C22" s="118"/>
    </row>
  </sheetData>
  <sheetProtection password="CB42" sheet="1" objects="1" scenarios="1"/>
  <mergeCells count="2">
    <mergeCell ref="A1:C1"/>
    <mergeCell ref="A2:C2"/>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L36"/>
  <sheetViews>
    <sheetView showGridLines="0" zoomScale="70" zoomScaleNormal="70" workbookViewId="0">
      <selection activeCell="G15" sqref="G15"/>
    </sheetView>
  </sheetViews>
  <sheetFormatPr baseColWidth="10" defaultRowHeight="12.75" x14ac:dyDescent="0.2"/>
  <cols>
    <col min="1" max="1" width="6.28515625" style="46" bestFit="1" customWidth="1"/>
    <col min="2" max="2" width="15" style="46" customWidth="1"/>
    <col min="3" max="3" width="17.140625" style="46" customWidth="1"/>
    <col min="4" max="4" width="24.42578125" style="46" customWidth="1"/>
    <col min="5" max="5" width="43.28515625" style="46" customWidth="1"/>
    <col min="6" max="6" width="61.140625" style="46" customWidth="1"/>
    <col min="7" max="7" width="29.42578125" style="46" customWidth="1"/>
    <col min="8" max="8" width="7.28515625" style="46" bestFit="1" customWidth="1"/>
    <col min="9" max="9" width="3.85546875" style="46" bestFit="1" customWidth="1"/>
    <col min="10" max="12" width="3.28515625" style="46" bestFit="1" customWidth="1"/>
    <col min="13" max="13" width="18.5703125" style="46" customWidth="1"/>
    <col min="14" max="14" width="11.42578125" style="46"/>
    <col min="15" max="15" width="13.7109375" style="46" customWidth="1"/>
    <col min="16" max="16" width="17.7109375" style="46" customWidth="1"/>
    <col min="17" max="18" width="11.42578125" style="46"/>
    <col min="19" max="19" width="12.85546875" style="46" bestFit="1" customWidth="1"/>
    <col min="20" max="20" width="11.5703125" style="46" bestFit="1" customWidth="1"/>
    <col min="21" max="21" width="14.28515625" style="46" customWidth="1"/>
    <col min="22" max="22" width="12.140625" style="46" customWidth="1"/>
    <col min="23" max="23" width="13" style="46" bestFit="1" customWidth="1"/>
    <col min="24" max="24" width="11.5703125" style="46" bestFit="1" customWidth="1"/>
    <col min="25" max="25" width="12.85546875" style="46" bestFit="1" customWidth="1"/>
    <col min="26" max="26" width="11.5703125" style="46" bestFit="1" customWidth="1"/>
    <col min="27" max="27" width="14" style="46" bestFit="1" customWidth="1"/>
    <col min="28" max="28" width="11.5703125" style="46" bestFit="1" customWidth="1"/>
    <col min="29" max="29" width="15.85546875" style="46" customWidth="1"/>
    <col min="30" max="30" width="11.5703125" style="46" bestFit="1" customWidth="1"/>
    <col min="31" max="31" width="14" style="46" bestFit="1" customWidth="1"/>
    <col min="32" max="32" width="11.5703125" style="46" bestFit="1" customWidth="1"/>
    <col min="33" max="33" width="14" style="46" bestFit="1" customWidth="1"/>
    <col min="34" max="34" width="18" style="46" bestFit="1" customWidth="1"/>
    <col min="35" max="35" width="19.42578125" style="47" customWidth="1"/>
    <col min="36" max="36" width="13" style="48" bestFit="1" customWidth="1"/>
    <col min="37" max="37" width="11.42578125" style="46"/>
    <col min="38" max="38" width="14" style="46" bestFit="1" customWidth="1"/>
    <col min="39" max="16384" width="11.42578125" style="46"/>
  </cols>
  <sheetData>
    <row r="1" spans="1:35" s="48" customFormat="1" x14ac:dyDescent="0.2">
      <c r="A1" s="45" t="s">
        <v>111</v>
      </c>
      <c r="B1" s="46"/>
      <c r="C1" s="46"/>
      <c r="D1" s="46"/>
      <c r="E1" s="46"/>
      <c r="F1" s="46"/>
      <c r="G1" s="46"/>
      <c r="H1" s="46"/>
      <c r="I1" s="46"/>
      <c r="J1" s="46"/>
      <c r="K1" s="46"/>
      <c r="L1" s="46"/>
      <c r="M1" s="46"/>
      <c r="N1" s="46"/>
      <c r="O1" s="46"/>
      <c r="P1" s="46"/>
      <c r="Q1" s="46"/>
      <c r="R1" s="46"/>
      <c r="S1" s="46"/>
      <c r="T1" s="46"/>
      <c r="U1" s="46"/>
      <c r="V1" s="46"/>
      <c r="W1" s="46"/>
      <c r="X1" s="46"/>
      <c r="Y1" s="46"/>
      <c r="Z1" s="46"/>
      <c r="AA1" s="46"/>
      <c r="AB1" s="46"/>
      <c r="AC1" s="46"/>
      <c r="AD1" s="46"/>
      <c r="AE1" s="46"/>
      <c r="AF1" s="46"/>
      <c r="AG1" s="46"/>
      <c r="AH1" s="46"/>
      <c r="AI1" s="47"/>
    </row>
    <row r="2" spans="1:35" s="1" customFormat="1" ht="15" customHeight="1" x14ac:dyDescent="0.25">
      <c r="A2" s="197" t="s">
        <v>0</v>
      </c>
      <c r="B2" s="196" t="s">
        <v>51</v>
      </c>
      <c r="C2" s="196" t="s">
        <v>1</v>
      </c>
      <c r="D2" s="196" t="s">
        <v>52</v>
      </c>
      <c r="E2" s="196" t="s">
        <v>53</v>
      </c>
      <c r="F2" s="196" t="s">
        <v>54</v>
      </c>
      <c r="G2" s="196" t="s">
        <v>2</v>
      </c>
      <c r="H2" s="36" t="s">
        <v>3</v>
      </c>
      <c r="I2" s="196" t="s">
        <v>4</v>
      </c>
      <c r="J2" s="199"/>
      <c r="K2" s="199"/>
      <c r="L2" s="199"/>
      <c r="M2" s="197" t="s">
        <v>5</v>
      </c>
      <c r="N2" s="197" t="s">
        <v>6</v>
      </c>
      <c r="O2" s="197" t="s">
        <v>7</v>
      </c>
      <c r="P2" s="200" t="s">
        <v>8</v>
      </c>
      <c r="Q2" s="201" t="s">
        <v>112</v>
      </c>
      <c r="R2" s="202" t="s">
        <v>9</v>
      </c>
      <c r="S2" s="202" t="s">
        <v>10</v>
      </c>
      <c r="T2" s="202" t="s">
        <v>11</v>
      </c>
      <c r="U2" s="203" t="s">
        <v>12</v>
      </c>
      <c r="V2" s="198" t="s">
        <v>13</v>
      </c>
      <c r="W2" s="216" t="s">
        <v>113</v>
      </c>
      <c r="X2" s="204" t="s">
        <v>14</v>
      </c>
      <c r="Y2" s="204" t="s">
        <v>15</v>
      </c>
      <c r="Z2" s="204" t="s">
        <v>16</v>
      </c>
      <c r="AA2" s="204" t="s">
        <v>17</v>
      </c>
      <c r="AB2" s="204" t="s">
        <v>18</v>
      </c>
      <c r="AC2" s="204" t="s">
        <v>19</v>
      </c>
      <c r="AD2" s="204" t="s">
        <v>20</v>
      </c>
      <c r="AE2" s="204" t="s">
        <v>21</v>
      </c>
      <c r="AF2" s="204" t="s">
        <v>22</v>
      </c>
      <c r="AG2" s="214" t="s">
        <v>23</v>
      </c>
      <c r="AH2" s="215" t="s">
        <v>24</v>
      </c>
      <c r="AI2" s="211" t="s">
        <v>98</v>
      </c>
    </row>
    <row r="3" spans="1:35" s="1" customFormat="1" ht="87.75" customHeight="1" x14ac:dyDescent="0.25">
      <c r="A3" s="197"/>
      <c r="B3" s="196"/>
      <c r="C3" s="196" t="s">
        <v>25</v>
      </c>
      <c r="D3" s="196" t="s">
        <v>26</v>
      </c>
      <c r="E3" s="196"/>
      <c r="F3" s="196"/>
      <c r="G3" s="196"/>
      <c r="H3" s="2" t="s">
        <v>30</v>
      </c>
      <c r="I3" s="2" t="s">
        <v>27</v>
      </c>
      <c r="J3" s="2" t="s">
        <v>28</v>
      </c>
      <c r="K3" s="2" t="s">
        <v>29</v>
      </c>
      <c r="L3" s="2" t="s">
        <v>30</v>
      </c>
      <c r="M3" s="197"/>
      <c r="N3" s="197"/>
      <c r="O3" s="197"/>
      <c r="P3" s="200"/>
      <c r="Q3" s="201"/>
      <c r="R3" s="202"/>
      <c r="S3" s="202"/>
      <c r="T3" s="202"/>
      <c r="U3" s="203"/>
      <c r="V3" s="198"/>
      <c r="W3" s="216"/>
      <c r="X3" s="204"/>
      <c r="Y3" s="204"/>
      <c r="Z3" s="204"/>
      <c r="AA3" s="204"/>
      <c r="AB3" s="204"/>
      <c r="AC3" s="204"/>
      <c r="AD3" s="204"/>
      <c r="AE3" s="204"/>
      <c r="AF3" s="204"/>
      <c r="AG3" s="214"/>
      <c r="AH3" s="215"/>
      <c r="AI3" s="212"/>
    </row>
    <row r="4" spans="1:35" s="11" customFormat="1" x14ac:dyDescent="0.2">
      <c r="A4" s="49" t="s">
        <v>55</v>
      </c>
      <c r="B4" s="25"/>
      <c r="C4" s="26"/>
      <c r="D4" s="26"/>
      <c r="E4" s="26"/>
      <c r="F4" s="26"/>
      <c r="G4" s="26"/>
      <c r="H4" s="27"/>
      <c r="I4" s="27"/>
      <c r="J4" s="27"/>
      <c r="K4" s="27"/>
      <c r="L4" s="27"/>
      <c r="M4" s="25"/>
      <c r="N4" s="25"/>
      <c r="O4" s="25"/>
      <c r="P4" s="25"/>
      <c r="Q4" s="28"/>
      <c r="R4" s="29"/>
      <c r="S4" s="29"/>
      <c r="T4" s="29"/>
      <c r="U4" s="30"/>
      <c r="V4" s="25"/>
      <c r="W4" s="28"/>
      <c r="X4" s="29"/>
      <c r="Y4" s="29"/>
      <c r="Z4" s="29"/>
      <c r="AA4" s="29"/>
      <c r="AB4" s="29"/>
      <c r="AC4" s="29"/>
      <c r="AD4" s="29"/>
      <c r="AE4" s="29"/>
      <c r="AF4" s="29"/>
      <c r="AG4" s="30"/>
      <c r="AH4" s="31">
        <f>SUM(AH5:AH10)</f>
        <v>0</v>
      </c>
      <c r="AI4" s="32">
        <v>236285113</v>
      </c>
    </row>
    <row r="5" spans="1:35" s="11" customFormat="1" ht="15" customHeight="1" x14ac:dyDescent="0.25">
      <c r="A5" s="50">
        <v>7</v>
      </c>
      <c r="B5" s="50">
        <v>1</v>
      </c>
      <c r="C5" s="213" t="s">
        <v>38</v>
      </c>
      <c r="D5" s="193" t="s">
        <v>32</v>
      </c>
      <c r="E5" s="205" t="s">
        <v>114</v>
      </c>
      <c r="F5" s="205" t="s">
        <v>115</v>
      </c>
      <c r="G5" s="43" t="s">
        <v>116</v>
      </c>
      <c r="H5" s="44"/>
      <c r="I5" s="44"/>
      <c r="J5" s="44"/>
      <c r="K5" s="44"/>
      <c r="L5" s="44"/>
      <c r="M5" s="4" t="s">
        <v>34</v>
      </c>
      <c r="N5" s="4" t="s">
        <v>35</v>
      </c>
      <c r="O5" s="4" t="s">
        <v>39</v>
      </c>
      <c r="P5" s="6" t="s">
        <v>117</v>
      </c>
      <c r="Q5" s="78"/>
      <c r="R5" s="79"/>
      <c r="S5" s="137">
        <f>+R5*Q5</f>
        <v>0</v>
      </c>
      <c r="T5" s="137">
        <f>+R5</f>
        <v>0</v>
      </c>
      <c r="U5" s="137">
        <f>S5</f>
        <v>0</v>
      </c>
      <c r="V5" s="138" t="s">
        <v>117</v>
      </c>
      <c r="W5" s="139"/>
      <c r="X5" s="137"/>
      <c r="Y5" s="137">
        <f t="shared" ref="Y5:Y10" si="0">+W5*X5</f>
        <v>0</v>
      </c>
      <c r="Z5" s="137"/>
      <c r="AA5" s="137">
        <f t="shared" ref="AA5:AA10" si="1">+Z5*W5</f>
        <v>0</v>
      </c>
      <c r="AB5" s="137"/>
      <c r="AC5" s="137">
        <f t="shared" ref="AC5:AC10" si="2">+AB5*W5</f>
        <v>0</v>
      </c>
      <c r="AD5" s="137"/>
      <c r="AE5" s="137">
        <f t="shared" ref="AE5:AE10" si="3">+AD5*W5</f>
        <v>0</v>
      </c>
      <c r="AF5" s="137">
        <f t="shared" ref="AF5:AG10" si="4">+X5+Z5+AB5+AD5</f>
        <v>0</v>
      </c>
      <c r="AG5" s="137">
        <f>+Y5+AA5+AC5+AE5</f>
        <v>0</v>
      </c>
      <c r="AH5" s="153">
        <f>+U5+AG5</f>
        <v>0</v>
      </c>
      <c r="AI5" s="56"/>
    </row>
    <row r="6" spans="1:35" s="11" customFormat="1" ht="31.5" customHeight="1" x14ac:dyDescent="0.25">
      <c r="A6" s="50">
        <v>7</v>
      </c>
      <c r="B6" s="50">
        <v>1</v>
      </c>
      <c r="C6" s="213"/>
      <c r="D6" s="194"/>
      <c r="E6" s="206"/>
      <c r="F6" s="206"/>
      <c r="G6" s="43" t="s">
        <v>118</v>
      </c>
      <c r="H6" s="44"/>
      <c r="I6" s="44"/>
      <c r="J6" s="44"/>
      <c r="K6" s="44"/>
      <c r="L6" s="44"/>
      <c r="M6" s="4" t="s">
        <v>34</v>
      </c>
      <c r="N6" s="4" t="s">
        <v>35</v>
      </c>
      <c r="O6" s="4" t="s">
        <v>39</v>
      </c>
      <c r="P6" s="6" t="s">
        <v>117</v>
      </c>
      <c r="Q6" s="78"/>
      <c r="R6" s="79"/>
      <c r="S6" s="137">
        <f>+R6*Q6</f>
        <v>0</v>
      </c>
      <c r="T6" s="137">
        <f>+R6</f>
        <v>0</v>
      </c>
      <c r="U6" s="137">
        <f>S6</f>
        <v>0</v>
      </c>
      <c r="V6" s="138" t="s">
        <v>117</v>
      </c>
      <c r="W6" s="139"/>
      <c r="X6" s="137"/>
      <c r="Y6" s="137">
        <f t="shared" si="0"/>
        <v>0</v>
      </c>
      <c r="Z6" s="137"/>
      <c r="AA6" s="137">
        <f t="shared" si="1"/>
        <v>0</v>
      </c>
      <c r="AB6" s="137"/>
      <c r="AC6" s="137">
        <f t="shared" si="2"/>
        <v>0</v>
      </c>
      <c r="AD6" s="137"/>
      <c r="AE6" s="137">
        <f t="shared" si="3"/>
        <v>0</v>
      </c>
      <c r="AF6" s="137">
        <f t="shared" si="4"/>
        <v>0</v>
      </c>
      <c r="AG6" s="137">
        <f>+Y6+AA6+AC6+AE6</f>
        <v>0</v>
      </c>
      <c r="AH6" s="153">
        <f>+U6+AG6</f>
        <v>0</v>
      </c>
      <c r="AI6" s="56"/>
    </row>
    <row r="7" spans="1:35" s="59" customFormat="1" ht="38.25" x14ac:dyDescent="0.25">
      <c r="A7" s="50">
        <v>7</v>
      </c>
      <c r="B7" s="50">
        <v>1</v>
      </c>
      <c r="C7" s="213"/>
      <c r="D7" s="194"/>
      <c r="E7" s="206"/>
      <c r="F7" s="207"/>
      <c r="G7" s="3" t="s">
        <v>119</v>
      </c>
      <c r="H7" s="5"/>
      <c r="I7" s="5"/>
      <c r="J7" s="5"/>
      <c r="K7" s="5"/>
      <c r="L7" s="5"/>
      <c r="M7" s="4" t="s">
        <v>34</v>
      </c>
      <c r="N7" s="4" t="s">
        <v>35</v>
      </c>
      <c r="O7" s="4" t="s">
        <v>39</v>
      </c>
      <c r="P7" s="6" t="s">
        <v>117</v>
      </c>
      <c r="Q7" s="78"/>
      <c r="R7" s="79"/>
      <c r="S7" s="137">
        <f t="shared" ref="S7:S10" si="5">+R7*Q7</f>
        <v>0</v>
      </c>
      <c r="T7" s="137">
        <f t="shared" ref="T7:T10" si="6">+R7</f>
        <v>0</v>
      </c>
      <c r="U7" s="137">
        <f t="shared" ref="U7:U10" si="7">S7</f>
        <v>0</v>
      </c>
      <c r="V7" s="138" t="s">
        <v>117</v>
      </c>
      <c r="W7" s="139"/>
      <c r="X7" s="137"/>
      <c r="Y7" s="137">
        <f t="shared" si="0"/>
        <v>0</v>
      </c>
      <c r="Z7" s="137"/>
      <c r="AA7" s="137">
        <f t="shared" si="1"/>
        <v>0</v>
      </c>
      <c r="AB7" s="137"/>
      <c r="AC7" s="137">
        <f t="shared" si="2"/>
        <v>0</v>
      </c>
      <c r="AD7" s="137"/>
      <c r="AE7" s="137">
        <f t="shared" si="3"/>
        <v>0</v>
      </c>
      <c r="AF7" s="137">
        <f t="shared" si="4"/>
        <v>0</v>
      </c>
      <c r="AG7" s="137">
        <f t="shared" si="4"/>
        <v>0</v>
      </c>
      <c r="AH7" s="153">
        <f>+U7+AG7</f>
        <v>0</v>
      </c>
      <c r="AI7" s="56"/>
    </row>
    <row r="8" spans="1:35" s="59" customFormat="1" ht="38.25" customHeight="1" x14ac:dyDescent="0.25">
      <c r="A8" s="60">
        <v>11</v>
      </c>
      <c r="B8" s="60">
        <v>1</v>
      </c>
      <c r="C8" s="61" t="s">
        <v>38</v>
      </c>
      <c r="D8" s="194"/>
      <c r="E8" s="206"/>
      <c r="F8" s="205" t="s">
        <v>120</v>
      </c>
      <c r="G8" s="3" t="s">
        <v>64</v>
      </c>
      <c r="H8" s="5"/>
      <c r="I8" s="5"/>
      <c r="J8" s="5"/>
      <c r="K8" s="5"/>
      <c r="L8" s="5"/>
      <c r="M8" s="4" t="s">
        <v>34</v>
      </c>
      <c r="N8" s="4" t="s">
        <v>35</v>
      </c>
      <c r="O8" s="4" t="s">
        <v>39</v>
      </c>
      <c r="P8" s="6" t="s">
        <v>117</v>
      </c>
      <c r="Q8" s="78"/>
      <c r="R8" s="79"/>
      <c r="S8" s="137">
        <f t="shared" si="5"/>
        <v>0</v>
      </c>
      <c r="T8" s="137">
        <f t="shared" si="6"/>
        <v>0</v>
      </c>
      <c r="U8" s="137">
        <f t="shared" si="7"/>
        <v>0</v>
      </c>
      <c r="V8" s="138" t="s">
        <v>117</v>
      </c>
      <c r="W8" s="139"/>
      <c r="X8" s="137"/>
      <c r="Y8" s="137">
        <f t="shared" si="0"/>
        <v>0</v>
      </c>
      <c r="Z8" s="137"/>
      <c r="AA8" s="137">
        <f t="shared" si="1"/>
        <v>0</v>
      </c>
      <c r="AB8" s="137"/>
      <c r="AC8" s="137">
        <f t="shared" si="2"/>
        <v>0</v>
      </c>
      <c r="AD8" s="137"/>
      <c r="AE8" s="137">
        <f t="shared" si="3"/>
        <v>0</v>
      </c>
      <c r="AF8" s="137">
        <f t="shared" si="4"/>
        <v>0</v>
      </c>
      <c r="AG8" s="137">
        <f t="shared" si="4"/>
        <v>0</v>
      </c>
      <c r="AH8" s="153">
        <f>+U8+AG8</f>
        <v>0</v>
      </c>
      <c r="AI8" s="56"/>
    </row>
    <row r="9" spans="1:35" s="59" customFormat="1" ht="38.25" x14ac:dyDescent="0.25">
      <c r="A9" s="60">
        <v>11</v>
      </c>
      <c r="B9" s="60">
        <v>1</v>
      </c>
      <c r="C9" s="61" t="s">
        <v>38</v>
      </c>
      <c r="D9" s="194"/>
      <c r="E9" s="206"/>
      <c r="F9" s="206"/>
      <c r="G9" s="3" t="s">
        <v>121</v>
      </c>
      <c r="H9" s="5"/>
      <c r="I9" s="5"/>
      <c r="J9" s="5"/>
      <c r="K9" s="5"/>
      <c r="L9" s="5"/>
      <c r="M9" s="4" t="s">
        <v>34</v>
      </c>
      <c r="N9" s="4" t="s">
        <v>35</v>
      </c>
      <c r="O9" s="4" t="s">
        <v>39</v>
      </c>
      <c r="P9" s="6" t="s">
        <v>117</v>
      </c>
      <c r="Q9" s="78"/>
      <c r="R9" s="79"/>
      <c r="S9" s="137">
        <f t="shared" si="5"/>
        <v>0</v>
      </c>
      <c r="T9" s="137">
        <f t="shared" si="6"/>
        <v>0</v>
      </c>
      <c r="U9" s="137">
        <f t="shared" si="7"/>
        <v>0</v>
      </c>
      <c r="V9" s="138" t="s">
        <v>117</v>
      </c>
      <c r="W9" s="139"/>
      <c r="X9" s="137"/>
      <c r="Y9" s="137">
        <f>+W9*X9</f>
        <v>0</v>
      </c>
      <c r="Z9" s="137"/>
      <c r="AA9" s="137">
        <f t="shared" si="1"/>
        <v>0</v>
      </c>
      <c r="AB9" s="137"/>
      <c r="AC9" s="137">
        <f t="shared" si="2"/>
        <v>0</v>
      </c>
      <c r="AD9" s="137"/>
      <c r="AE9" s="137">
        <f t="shared" si="3"/>
        <v>0</v>
      </c>
      <c r="AF9" s="137">
        <f t="shared" si="4"/>
        <v>0</v>
      </c>
      <c r="AG9" s="137">
        <f t="shared" si="4"/>
        <v>0</v>
      </c>
      <c r="AH9" s="153">
        <f t="shared" ref="AH9:AH10" si="8">+U9+AG9</f>
        <v>0</v>
      </c>
      <c r="AI9" s="56"/>
    </row>
    <row r="10" spans="1:35" s="59" customFormat="1" ht="38.25" x14ac:dyDescent="0.25">
      <c r="A10" s="60">
        <v>11</v>
      </c>
      <c r="B10" s="60">
        <v>1</v>
      </c>
      <c r="C10" s="61" t="s">
        <v>38</v>
      </c>
      <c r="D10" s="195"/>
      <c r="E10" s="207"/>
      <c r="F10" s="207"/>
      <c r="G10" s="3" t="s">
        <v>66</v>
      </c>
      <c r="H10" s="5"/>
      <c r="I10" s="5"/>
      <c r="J10" s="5"/>
      <c r="K10" s="5"/>
      <c r="L10" s="5"/>
      <c r="M10" s="4" t="s">
        <v>34</v>
      </c>
      <c r="N10" s="4" t="s">
        <v>35</v>
      </c>
      <c r="O10" s="4" t="s">
        <v>39</v>
      </c>
      <c r="P10" s="6" t="s">
        <v>117</v>
      </c>
      <c r="Q10" s="78"/>
      <c r="R10" s="79"/>
      <c r="S10" s="137">
        <f t="shared" si="5"/>
        <v>0</v>
      </c>
      <c r="T10" s="137">
        <f t="shared" si="6"/>
        <v>0</v>
      </c>
      <c r="U10" s="137">
        <f t="shared" si="7"/>
        <v>0</v>
      </c>
      <c r="V10" s="138" t="s">
        <v>117</v>
      </c>
      <c r="W10" s="139"/>
      <c r="X10" s="137"/>
      <c r="Y10" s="137">
        <f t="shared" si="0"/>
        <v>0</v>
      </c>
      <c r="Z10" s="137"/>
      <c r="AA10" s="137">
        <f t="shared" si="1"/>
        <v>0</v>
      </c>
      <c r="AB10" s="137"/>
      <c r="AC10" s="137">
        <f t="shared" si="2"/>
        <v>0</v>
      </c>
      <c r="AD10" s="137"/>
      <c r="AE10" s="137">
        <f t="shared" si="3"/>
        <v>0</v>
      </c>
      <c r="AF10" s="137">
        <f t="shared" si="4"/>
        <v>0</v>
      </c>
      <c r="AG10" s="137">
        <f t="shared" si="4"/>
        <v>0</v>
      </c>
      <c r="AH10" s="153">
        <f t="shared" si="8"/>
        <v>0</v>
      </c>
      <c r="AI10" s="56"/>
    </row>
    <row r="11" spans="1:35" s="11" customFormat="1" x14ac:dyDescent="0.2">
      <c r="A11" s="62" t="s">
        <v>56</v>
      </c>
      <c r="B11" s="25"/>
      <c r="C11" s="26"/>
      <c r="D11" s="26"/>
      <c r="E11" s="26"/>
      <c r="F11" s="26"/>
      <c r="G11" s="38"/>
      <c r="H11" s="39"/>
      <c r="I11" s="39"/>
      <c r="J11" s="39"/>
      <c r="K11" s="39"/>
      <c r="L11" s="39"/>
      <c r="M11" s="37"/>
      <c r="N11" s="37"/>
      <c r="O11" s="37"/>
      <c r="P11" s="37"/>
      <c r="Q11" s="40"/>
      <c r="R11" s="41"/>
      <c r="S11" s="164"/>
      <c r="T11" s="164"/>
      <c r="U11" s="164"/>
      <c r="V11" s="164"/>
      <c r="W11" s="164"/>
      <c r="X11" s="164"/>
      <c r="Y11" s="164"/>
      <c r="Z11" s="164"/>
      <c r="AA11" s="164"/>
      <c r="AB11" s="164"/>
      <c r="AC11" s="164"/>
      <c r="AD11" s="164"/>
      <c r="AE11" s="164"/>
      <c r="AF11" s="164"/>
      <c r="AG11" s="164"/>
      <c r="AH11" s="168">
        <f>SUM(AH12:AH23)</f>
        <v>0</v>
      </c>
      <c r="AI11" s="32">
        <v>70885532</v>
      </c>
    </row>
    <row r="12" spans="1:35" s="11" customFormat="1" ht="38.25" x14ac:dyDescent="0.25">
      <c r="A12" s="190">
        <v>13</v>
      </c>
      <c r="B12" s="217">
        <v>1</v>
      </c>
      <c r="C12" s="193" t="s">
        <v>38</v>
      </c>
      <c r="D12" s="193" t="s">
        <v>32</v>
      </c>
      <c r="E12" s="205" t="s">
        <v>122</v>
      </c>
      <c r="F12" s="208" t="s">
        <v>123</v>
      </c>
      <c r="G12" s="43" t="s">
        <v>172</v>
      </c>
      <c r="H12" s="5"/>
      <c r="I12" s="5"/>
      <c r="J12" s="5"/>
      <c r="K12" s="5"/>
      <c r="L12" s="5"/>
      <c r="M12" s="4" t="s">
        <v>34</v>
      </c>
      <c r="N12" s="4" t="s">
        <v>35</v>
      </c>
      <c r="O12" s="4" t="s">
        <v>41</v>
      </c>
      <c r="P12" s="6" t="s">
        <v>124</v>
      </c>
      <c r="Q12" s="78"/>
      <c r="R12" s="8">
        <f>+SUM(R13:R16)</f>
        <v>0</v>
      </c>
      <c r="S12" s="137">
        <f>+SUM(S13:S16)</f>
        <v>0</v>
      </c>
      <c r="T12" s="137">
        <f>+SUM(T13:T16)</f>
        <v>0</v>
      </c>
      <c r="U12" s="137">
        <f>+SUM(U13:U16)</f>
        <v>0</v>
      </c>
      <c r="V12" s="138" t="s">
        <v>124</v>
      </c>
      <c r="W12" s="139"/>
      <c r="X12" s="137">
        <f>+SUM(X13:X16)</f>
        <v>0</v>
      </c>
      <c r="Y12" s="137">
        <f t="shared" ref="Y12:AG12" si="9">+SUM(Y13:Y16)</f>
        <v>0</v>
      </c>
      <c r="Z12" s="137">
        <f t="shared" si="9"/>
        <v>0</v>
      </c>
      <c r="AA12" s="137">
        <f t="shared" si="9"/>
        <v>0</v>
      </c>
      <c r="AB12" s="137">
        <f t="shared" si="9"/>
        <v>0</v>
      </c>
      <c r="AC12" s="137">
        <f t="shared" si="9"/>
        <v>0</v>
      </c>
      <c r="AD12" s="137">
        <f t="shared" si="9"/>
        <v>0</v>
      </c>
      <c r="AE12" s="137">
        <f t="shared" si="9"/>
        <v>0</v>
      </c>
      <c r="AF12" s="137">
        <f t="shared" si="9"/>
        <v>0</v>
      </c>
      <c r="AG12" s="137">
        <f t="shared" si="9"/>
        <v>0</v>
      </c>
      <c r="AH12" s="153">
        <f t="shared" ref="AH12:AH23" si="10">+U12+AG12</f>
        <v>0</v>
      </c>
      <c r="AI12" s="56"/>
    </row>
    <row r="13" spans="1:35" s="11" customFormat="1" x14ac:dyDescent="0.25">
      <c r="A13" s="191"/>
      <c r="B13" s="218"/>
      <c r="C13" s="194"/>
      <c r="D13" s="194"/>
      <c r="E13" s="206"/>
      <c r="F13" s="209"/>
      <c r="G13" s="131" t="s">
        <v>201</v>
      </c>
      <c r="H13" s="5"/>
      <c r="I13" s="5"/>
      <c r="J13" s="5"/>
      <c r="K13" s="5"/>
      <c r="L13" s="5"/>
      <c r="M13" s="4"/>
      <c r="N13" s="4"/>
      <c r="O13" s="4"/>
      <c r="P13" s="6"/>
      <c r="Q13" s="135"/>
      <c r="R13" s="136"/>
      <c r="S13" s="137">
        <f t="shared" ref="S13:S23" si="11">+R13*Q13</f>
        <v>0</v>
      </c>
      <c r="T13" s="137">
        <f t="shared" ref="T13:T23" si="12">+R13</f>
        <v>0</v>
      </c>
      <c r="U13" s="137">
        <f t="shared" ref="U13:U23" si="13">S13</f>
        <v>0</v>
      </c>
      <c r="V13" s="138"/>
      <c r="W13" s="139"/>
      <c r="X13" s="139"/>
      <c r="Y13" s="137">
        <f>+$W13*X13</f>
        <v>0</v>
      </c>
      <c r="Z13" s="139"/>
      <c r="AA13" s="137">
        <f>+$W13*Z13</f>
        <v>0</v>
      </c>
      <c r="AB13" s="139"/>
      <c r="AC13" s="137">
        <f t="shared" ref="AC13:AE16" si="14">+$W13*AB13</f>
        <v>0</v>
      </c>
      <c r="AD13" s="139"/>
      <c r="AE13" s="137">
        <f t="shared" si="14"/>
        <v>0</v>
      </c>
      <c r="AF13" s="137">
        <f t="shared" ref="AF13:AG23" si="15">+X13+Z13+AB13+AD13</f>
        <v>0</v>
      </c>
      <c r="AG13" s="137">
        <f t="shared" si="15"/>
        <v>0</v>
      </c>
      <c r="AH13" s="153"/>
      <c r="AI13" s="56"/>
    </row>
    <row r="14" spans="1:35" s="11" customFormat="1" x14ac:dyDescent="0.25">
      <c r="A14" s="191"/>
      <c r="B14" s="218"/>
      <c r="C14" s="194"/>
      <c r="D14" s="194"/>
      <c r="E14" s="206"/>
      <c r="F14" s="209"/>
      <c r="G14" s="131" t="s">
        <v>202</v>
      </c>
      <c r="H14" s="5"/>
      <c r="I14" s="5"/>
      <c r="J14" s="5"/>
      <c r="K14" s="5"/>
      <c r="L14" s="5"/>
      <c r="M14" s="4"/>
      <c r="N14" s="4"/>
      <c r="O14" s="4"/>
      <c r="P14" s="6"/>
      <c r="Q14" s="135"/>
      <c r="R14" s="136"/>
      <c r="S14" s="137">
        <f t="shared" si="11"/>
        <v>0</v>
      </c>
      <c r="T14" s="137">
        <f t="shared" si="12"/>
        <v>0</v>
      </c>
      <c r="U14" s="137">
        <f t="shared" si="13"/>
        <v>0</v>
      </c>
      <c r="V14" s="138"/>
      <c r="W14" s="139"/>
      <c r="X14" s="139"/>
      <c r="Y14" s="137">
        <f t="shared" ref="Y14:Y21" si="16">+$W14*X14</f>
        <v>0</v>
      </c>
      <c r="Z14" s="139"/>
      <c r="AA14" s="137">
        <f t="shared" ref="AA14:AA16" si="17">+$W14*Z14</f>
        <v>0</v>
      </c>
      <c r="AB14" s="139"/>
      <c r="AC14" s="137">
        <f t="shared" si="14"/>
        <v>0</v>
      </c>
      <c r="AD14" s="139"/>
      <c r="AE14" s="137">
        <f t="shared" si="14"/>
        <v>0</v>
      </c>
      <c r="AF14" s="137">
        <f t="shared" si="15"/>
        <v>0</v>
      </c>
      <c r="AG14" s="137">
        <f t="shared" si="15"/>
        <v>0</v>
      </c>
      <c r="AH14" s="153"/>
      <c r="AI14" s="56"/>
    </row>
    <row r="15" spans="1:35" s="11" customFormat="1" x14ac:dyDescent="0.25">
      <c r="A15" s="191"/>
      <c r="B15" s="218"/>
      <c r="C15" s="194"/>
      <c r="D15" s="194"/>
      <c r="E15" s="206"/>
      <c r="F15" s="209"/>
      <c r="G15" s="131" t="s">
        <v>203</v>
      </c>
      <c r="H15" s="5"/>
      <c r="I15" s="5"/>
      <c r="J15" s="5"/>
      <c r="K15" s="5"/>
      <c r="L15" s="5"/>
      <c r="M15" s="4"/>
      <c r="N15" s="4"/>
      <c r="O15" s="4"/>
      <c r="P15" s="6"/>
      <c r="Q15" s="135"/>
      <c r="R15" s="136"/>
      <c r="S15" s="137">
        <f t="shared" si="11"/>
        <v>0</v>
      </c>
      <c r="T15" s="137">
        <f t="shared" si="12"/>
        <v>0</v>
      </c>
      <c r="U15" s="137">
        <f t="shared" si="13"/>
        <v>0</v>
      </c>
      <c r="V15" s="138"/>
      <c r="W15" s="139"/>
      <c r="X15" s="139"/>
      <c r="Y15" s="137">
        <f t="shared" si="16"/>
        <v>0</v>
      </c>
      <c r="Z15" s="139"/>
      <c r="AA15" s="137">
        <f t="shared" si="17"/>
        <v>0</v>
      </c>
      <c r="AB15" s="139"/>
      <c r="AC15" s="137">
        <f t="shared" si="14"/>
        <v>0</v>
      </c>
      <c r="AD15" s="139"/>
      <c r="AE15" s="137">
        <f t="shared" si="14"/>
        <v>0</v>
      </c>
      <c r="AF15" s="137">
        <f t="shared" si="15"/>
        <v>0</v>
      </c>
      <c r="AG15" s="137">
        <f t="shared" si="15"/>
        <v>0</v>
      </c>
      <c r="AH15" s="153"/>
      <c r="AI15" s="56"/>
    </row>
    <row r="16" spans="1:35" s="11" customFormat="1" x14ac:dyDescent="0.25">
      <c r="A16" s="192"/>
      <c r="B16" s="220"/>
      <c r="C16" s="195"/>
      <c r="D16" s="194"/>
      <c r="E16" s="206"/>
      <c r="F16" s="209"/>
      <c r="G16" s="131" t="s">
        <v>204</v>
      </c>
      <c r="H16" s="5"/>
      <c r="I16" s="5"/>
      <c r="J16" s="5"/>
      <c r="K16" s="5"/>
      <c r="L16" s="5"/>
      <c r="M16" s="4"/>
      <c r="N16" s="4"/>
      <c r="O16" s="4"/>
      <c r="P16" s="6"/>
      <c r="Q16" s="135"/>
      <c r="R16" s="136"/>
      <c r="S16" s="137">
        <f t="shared" si="11"/>
        <v>0</v>
      </c>
      <c r="T16" s="137">
        <f t="shared" si="12"/>
        <v>0</v>
      </c>
      <c r="U16" s="137">
        <f t="shared" si="13"/>
        <v>0</v>
      </c>
      <c r="V16" s="138"/>
      <c r="W16" s="139"/>
      <c r="X16" s="139"/>
      <c r="Y16" s="137">
        <f t="shared" si="16"/>
        <v>0</v>
      </c>
      <c r="Z16" s="139"/>
      <c r="AA16" s="137">
        <f t="shared" si="17"/>
        <v>0</v>
      </c>
      <c r="AB16" s="139"/>
      <c r="AC16" s="137">
        <f t="shared" si="14"/>
        <v>0</v>
      </c>
      <c r="AD16" s="139"/>
      <c r="AE16" s="137">
        <f t="shared" si="14"/>
        <v>0</v>
      </c>
      <c r="AF16" s="137">
        <f t="shared" si="15"/>
        <v>0</v>
      </c>
      <c r="AG16" s="137">
        <f t="shared" si="15"/>
        <v>0</v>
      </c>
      <c r="AH16" s="153"/>
      <c r="AI16" s="56"/>
    </row>
    <row r="17" spans="1:38" s="11" customFormat="1" ht="38.25" x14ac:dyDescent="0.25">
      <c r="A17" s="190">
        <v>13</v>
      </c>
      <c r="B17" s="217">
        <v>1</v>
      </c>
      <c r="C17" s="193" t="s">
        <v>38</v>
      </c>
      <c r="D17" s="194"/>
      <c r="E17" s="206"/>
      <c r="F17" s="209"/>
      <c r="G17" s="43" t="s">
        <v>180</v>
      </c>
      <c r="H17" s="5"/>
      <c r="I17" s="5"/>
      <c r="J17" s="5"/>
      <c r="K17" s="5"/>
      <c r="L17" s="5"/>
      <c r="M17" s="4" t="s">
        <v>34</v>
      </c>
      <c r="N17" s="4" t="s">
        <v>35</v>
      </c>
      <c r="O17" s="4" t="s">
        <v>41</v>
      </c>
      <c r="P17" s="6" t="s">
        <v>125</v>
      </c>
      <c r="Q17" s="132"/>
      <c r="R17" s="8">
        <f>+SUM(R18:R21)</f>
        <v>0</v>
      </c>
      <c r="S17" s="137">
        <f>+SUM(S18:S21)</f>
        <v>0</v>
      </c>
      <c r="T17" s="137">
        <f>+SUM(T18:T21)</f>
        <v>0</v>
      </c>
      <c r="U17" s="137">
        <f>+SUM(U18:U21)</f>
        <v>0</v>
      </c>
      <c r="V17" s="138" t="s">
        <v>125</v>
      </c>
      <c r="W17" s="139"/>
      <c r="X17" s="137">
        <f>+SUM(X18:X21)</f>
        <v>0</v>
      </c>
      <c r="Y17" s="137">
        <f t="shared" ref="Y17" si="18">+SUM(Y18:Y21)</f>
        <v>0</v>
      </c>
      <c r="Z17" s="137">
        <f t="shared" ref="Z17" si="19">+SUM(Z18:Z21)</f>
        <v>0</v>
      </c>
      <c r="AA17" s="137">
        <f t="shared" ref="AA17" si="20">+SUM(AA18:AA21)</f>
        <v>0</v>
      </c>
      <c r="AB17" s="137">
        <f t="shared" ref="AB17" si="21">+SUM(AB18:AB21)</f>
        <v>0</v>
      </c>
      <c r="AC17" s="137">
        <f t="shared" ref="AC17" si="22">+SUM(AC18:AC21)</f>
        <v>0</v>
      </c>
      <c r="AD17" s="137">
        <f t="shared" ref="AD17" si="23">+SUM(AD18:AD21)</f>
        <v>0</v>
      </c>
      <c r="AE17" s="137">
        <f t="shared" ref="AE17:AG17" si="24">+SUM(AE18:AE21)</f>
        <v>0</v>
      </c>
      <c r="AF17" s="137">
        <f t="shared" si="24"/>
        <v>0</v>
      </c>
      <c r="AG17" s="137">
        <f t="shared" si="24"/>
        <v>0</v>
      </c>
      <c r="AH17" s="153">
        <f t="shared" si="10"/>
        <v>0</v>
      </c>
      <c r="AI17" s="56"/>
    </row>
    <row r="18" spans="1:38" s="11" customFormat="1" x14ac:dyDescent="0.25">
      <c r="A18" s="191"/>
      <c r="B18" s="218"/>
      <c r="C18" s="194"/>
      <c r="D18" s="194"/>
      <c r="E18" s="206"/>
      <c r="F18" s="209"/>
      <c r="G18" s="131" t="s">
        <v>201</v>
      </c>
      <c r="H18" s="5"/>
      <c r="I18" s="5"/>
      <c r="J18" s="5"/>
      <c r="K18" s="5"/>
      <c r="L18" s="5"/>
      <c r="M18" s="4"/>
      <c r="N18" s="4"/>
      <c r="O18" s="4"/>
      <c r="P18" s="6"/>
      <c r="Q18" s="135"/>
      <c r="R18" s="135"/>
      <c r="S18" s="137">
        <f t="shared" si="11"/>
        <v>0</v>
      </c>
      <c r="T18" s="137">
        <f t="shared" si="12"/>
        <v>0</v>
      </c>
      <c r="U18" s="137">
        <f t="shared" si="13"/>
        <v>0</v>
      </c>
      <c r="V18" s="138"/>
      <c r="W18" s="139"/>
      <c r="X18" s="139"/>
      <c r="Y18" s="137">
        <f t="shared" si="16"/>
        <v>0</v>
      </c>
      <c r="Z18" s="139"/>
      <c r="AA18" s="137">
        <f t="shared" ref="AA18:AA21" si="25">+$W18*Z18</f>
        <v>0</v>
      </c>
      <c r="AB18" s="139"/>
      <c r="AC18" s="137">
        <f t="shared" ref="AC18:AC21" si="26">+$W18*AB18</f>
        <v>0</v>
      </c>
      <c r="AD18" s="139"/>
      <c r="AE18" s="137">
        <f t="shared" ref="AE18" si="27">+$W18*AD18</f>
        <v>0</v>
      </c>
      <c r="AF18" s="137">
        <f t="shared" si="15"/>
        <v>0</v>
      </c>
      <c r="AG18" s="137">
        <f t="shared" si="15"/>
        <v>0</v>
      </c>
      <c r="AH18" s="153"/>
      <c r="AI18" s="56"/>
    </row>
    <row r="19" spans="1:38" s="11" customFormat="1" x14ac:dyDescent="0.25">
      <c r="A19" s="191"/>
      <c r="B19" s="218"/>
      <c r="C19" s="194"/>
      <c r="D19" s="194"/>
      <c r="E19" s="206"/>
      <c r="F19" s="209"/>
      <c r="G19" s="131" t="s">
        <v>202</v>
      </c>
      <c r="H19" s="5"/>
      <c r="I19" s="5"/>
      <c r="J19" s="5"/>
      <c r="K19" s="5"/>
      <c r="L19" s="5"/>
      <c r="M19" s="4"/>
      <c r="N19" s="4"/>
      <c r="O19" s="4"/>
      <c r="P19" s="6"/>
      <c r="Q19" s="135"/>
      <c r="R19" s="135"/>
      <c r="S19" s="137">
        <f t="shared" si="11"/>
        <v>0</v>
      </c>
      <c r="T19" s="137">
        <f t="shared" si="12"/>
        <v>0</v>
      </c>
      <c r="U19" s="137">
        <f t="shared" si="13"/>
        <v>0</v>
      </c>
      <c r="V19" s="138"/>
      <c r="W19" s="139"/>
      <c r="X19" s="139"/>
      <c r="Y19" s="137">
        <f t="shared" si="16"/>
        <v>0</v>
      </c>
      <c r="Z19" s="139"/>
      <c r="AA19" s="137">
        <f t="shared" si="25"/>
        <v>0</v>
      </c>
      <c r="AB19" s="139"/>
      <c r="AC19" s="137">
        <f t="shared" si="26"/>
        <v>0</v>
      </c>
      <c r="AD19" s="139"/>
      <c r="AE19" s="137">
        <f t="shared" ref="AE19" si="28">+$W19*AD19</f>
        <v>0</v>
      </c>
      <c r="AF19" s="137">
        <f t="shared" si="15"/>
        <v>0</v>
      </c>
      <c r="AG19" s="137">
        <f t="shared" si="15"/>
        <v>0</v>
      </c>
      <c r="AH19" s="153"/>
      <c r="AI19" s="56"/>
    </row>
    <row r="20" spans="1:38" s="11" customFormat="1" x14ac:dyDescent="0.25">
      <c r="A20" s="191"/>
      <c r="B20" s="218"/>
      <c r="C20" s="194"/>
      <c r="D20" s="194"/>
      <c r="E20" s="206"/>
      <c r="F20" s="209"/>
      <c r="G20" s="131" t="s">
        <v>203</v>
      </c>
      <c r="H20" s="5"/>
      <c r="I20" s="5"/>
      <c r="J20" s="5"/>
      <c r="K20" s="5"/>
      <c r="L20" s="5"/>
      <c r="M20" s="4"/>
      <c r="N20" s="4"/>
      <c r="O20" s="4"/>
      <c r="P20" s="6"/>
      <c r="Q20" s="135"/>
      <c r="R20" s="135"/>
      <c r="S20" s="137">
        <f t="shared" si="11"/>
        <v>0</v>
      </c>
      <c r="T20" s="137">
        <f t="shared" si="12"/>
        <v>0</v>
      </c>
      <c r="U20" s="137">
        <f t="shared" si="13"/>
        <v>0</v>
      </c>
      <c r="V20" s="138"/>
      <c r="W20" s="139"/>
      <c r="X20" s="139"/>
      <c r="Y20" s="137">
        <f t="shared" si="16"/>
        <v>0</v>
      </c>
      <c r="Z20" s="139"/>
      <c r="AA20" s="137">
        <f t="shared" si="25"/>
        <v>0</v>
      </c>
      <c r="AB20" s="139"/>
      <c r="AC20" s="137">
        <f t="shared" si="26"/>
        <v>0</v>
      </c>
      <c r="AD20" s="139"/>
      <c r="AE20" s="137">
        <f t="shared" ref="AE20" si="29">+$W20*AD20</f>
        <v>0</v>
      </c>
      <c r="AF20" s="137">
        <f t="shared" si="15"/>
        <v>0</v>
      </c>
      <c r="AG20" s="137">
        <f t="shared" si="15"/>
        <v>0</v>
      </c>
      <c r="AH20" s="153"/>
      <c r="AI20" s="56"/>
    </row>
    <row r="21" spans="1:38" s="11" customFormat="1" x14ac:dyDescent="0.25">
      <c r="A21" s="192"/>
      <c r="B21" s="220"/>
      <c r="C21" s="195"/>
      <c r="D21" s="194"/>
      <c r="E21" s="206"/>
      <c r="F21" s="209"/>
      <c r="G21" s="131" t="s">
        <v>204</v>
      </c>
      <c r="H21" s="5"/>
      <c r="I21" s="5"/>
      <c r="J21" s="5"/>
      <c r="K21" s="5"/>
      <c r="L21" s="5"/>
      <c r="M21" s="4"/>
      <c r="N21" s="4"/>
      <c r="O21" s="4"/>
      <c r="P21" s="6"/>
      <c r="Q21" s="135"/>
      <c r="R21" s="135"/>
      <c r="S21" s="137">
        <f t="shared" si="11"/>
        <v>0</v>
      </c>
      <c r="T21" s="137">
        <f t="shared" si="12"/>
        <v>0</v>
      </c>
      <c r="U21" s="137">
        <f t="shared" si="13"/>
        <v>0</v>
      </c>
      <c r="V21" s="138"/>
      <c r="W21" s="139"/>
      <c r="X21" s="139"/>
      <c r="Y21" s="137">
        <f t="shared" si="16"/>
        <v>0</v>
      </c>
      <c r="Z21" s="139"/>
      <c r="AA21" s="137">
        <f t="shared" si="25"/>
        <v>0</v>
      </c>
      <c r="AB21" s="139"/>
      <c r="AC21" s="137">
        <f t="shared" si="26"/>
        <v>0</v>
      </c>
      <c r="AD21" s="139"/>
      <c r="AE21" s="137">
        <f t="shared" ref="AE21" si="30">+$W21*AD21</f>
        <v>0</v>
      </c>
      <c r="AF21" s="137"/>
      <c r="AG21" s="137">
        <f t="shared" si="15"/>
        <v>0</v>
      </c>
      <c r="AH21" s="153"/>
      <c r="AI21" s="56"/>
    </row>
    <row r="22" spans="1:38" s="11" customFormat="1" ht="38.25" x14ac:dyDescent="0.25">
      <c r="A22" s="60">
        <v>13</v>
      </c>
      <c r="B22" s="60">
        <v>1</v>
      </c>
      <c r="C22" s="63" t="s">
        <v>38</v>
      </c>
      <c r="D22" s="194"/>
      <c r="E22" s="206"/>
      <c r="F22" s="209"/>
      <c r="G22" s="43" t="s">
        <v>126</v>
      </c>
      <c r="H22" s="5"/>
      <c r="I22" s="5"/>
      <c r="J22" s="5"/>
      <c r="K22" s="5"/>
      <c r="L22" s="5"/>
      <c r="M22" s="4" t="s">
        <v>34</v>
      </c>
      <c r="N22" s="4" t="s">
        <v>35</v>
      </c>
      <c r="O22" s="4" t="s">
        <v>41</v>
      </c>
      <c r="P22" s="6" t="s">
        <v>127</v>
      </c>
      <c r="Q22" s="78"/>
      <c r="R22" s="79"/>
      <c r="S22" s="137">
        <f t="shared" si="11"/>
        <v>0</v>
      </c>
      <c r="T22" s="137">
        <f t="shared" si="12"/>
        <v>0</v>
      </c>
      <c r="U22" s="137">
        <f t="shared" si="13"/>
        <v>0</v>
      </c>
      <c r="V22" s="138" t="s">
        <v>127</v>
      </c>
      <c r="W22" s="139"/>
      <c r="X22" s="137"/>
      <c r="Y22" s="137">
        <f t="shared" ref="Y22:Y23" si="31">+W22*X22</f>
        <v>0</v>
      </c>
      <c r="Z22" s="137"/>
      <c r="AA22" s="137">
        <f t="shared" ref="AA22:AA23" si="32">+Z22*W22</f>
        <v>0</v>
      </c>
      <c r="AB22" s="137"/>
      <c r="AC22" s="137">
        <f t="shared" ref="AC22:AC23" si="33">+AB22*W22</f>
        <v>0</v>
      </c>
      <c r="AD22" s="137"/>
      <c r="AE22" s="137">
        <f t="shared" ref="AE22:AE23" si="34">+AD22*W22</f>
        <v>0</v>
      </c>
      <c r="AF22" s="137">
        <f t="shared" si="15"/>
        <v>0</v>
      </c>
      <c r="AG22" s="137">
        <f t="shared" si="15"/>
        <v>0</v>
      </c>
      <c r="AH22" s="153">
        <f t="shared" si="10"/>
        <v>0</v>
      </c>
      <c r="AI22" s="56"/>
    </row>
    <row r="23" spans="1:38" s="59" customFormat="1" ht="150.75" customHeight="1" x14ac:dyDescent="0.25">
      <c r="A23" s="60">
        <v>13</v>
      </c>
      <c r="B23" s="60">
        <v>1</v>
      </c>
      <c r="C23" s="63" t="s">
        <v>38</v>
      </c>
      <c r="D23" s="195"/>
      <c r="E23" s="207"/>
      <c r="F23" s="210"/>
      <c r="G23" s="43" t="s">
        <v>128</v>
      </c>
      <c r="H23" s="5"/>
      <c r="I23" s="5"/>
      <c r="J23" s="5"/>
      <c r="K23" s="5"/>
      <c r="L23" s="5"/>
      <c r="M23" s="4" t="s">
        <v>34</v>
      </c>
      <c r="N23" s="4" t="s">
        <v>35</v>
      </c>
      <c r="O23" s="4" t="s">
        <v>41</v>
      </c>
      <c r="P23" s="6" t="s">
        <v>129</v>
      </c>
      <c r="Q23" s="78"/>
      <c r="R23" s="79"/>
      <c r="S23" s="137">
        <f t="shared" si="11"/>
        <v>0</v>
      </c>
      <c r="T23" s="137">
        <f t="shared" si="12"/>
        <v>0</v>
      </c>
      <c r="U23" s="137">
        <f t="shared" si="13"/>
        <v>0</v>
      </c>
      <c r="V23" s="138" t="s">
        <v>129</v>
      </c>
      <c r="W23" s="139"/>
      <c r="X23" s="137"/>
      <c r="Y23" s="137">
        <f t="shared" si="31"/>
        <v>0</v>
      </c>
      <c r="Z23" s="137"/>
      <c r="AA23" s="137">
        <f t="shared" si="32"/>
        <v>0</v>
      </c>
      <c r="AB23" s="137"/>
      <c r="AC23" s="137">
        <f t="shared" si="33"/>
        <v>0</v>
      </c>
      <c r="AD23" s="137"/>
      <c r="AE23" s="137">
        <f t="shared" si="34"/>
        <v>0</v>
      </c>
      <c r="AF23" s="137">
        <f t="shared" si="15"/>
        <v>0</v>
      </c>
      <c r="AG23" s="137">
        <f t="shared" si="15"/>
        <v>0</v>
      </c>
      <c r="AH23" s="153">
        <f t="shared" si="10"/>
        <v>0</v>
      </c>
      <c r="AI23" s="56"/>
    </row>
    <row r="24" spans="1:38" s="11" customFormat="1" x14ac:dyDescent="0.2">
      <c r="A24" s="49" t="s">
        <v>57</v>
      </c>
      <c r="B24" s="25"/>
      <c r="C24" s="26"/>
      <c r="D24" s="26"/>
      <c r="E24" s="26"/>
      <c r="F24" s="26"/>
      <c r="G24" s="38"/>
      <c r="H24" s="39"/>
      <c r="I24" s="39"/>
      <c r="J24" s="39"/>
      <c r="K24" s="39"/>
      <c r="L24" s="39"/>
      <c r="M24" s="37"/>
      <c r="N24" s="37"/>
      <c r="O24" s="37"/>
      <c r="P24" s="34"/>
      <c r="Q24" s="40"/>
      <c r="R24" s="41"/>
      <c r="S24" s="164"/>
      <c r="T24" s="164"/>
      <c r="U24" s="164"/>
      <c r="V24" s="164"/>
      <c r="W24" s="164"/>
      <c r="X24" s="164"/>
      <c r="Y24" s="164"/>
      <c r="Z24" s="164"/>
      <c r="AA24" s="164"/>
      <c r="AB24" s="164"/>
      <c r="AC24" s="164"/>
      <c r="AD24" s="164"/>
      <c r="AE24" s="164"/>
      <c r="AF24" s="164"/>
      <c r="AG24" s="164"/>
      <c r="AH24" s="168">
        <f>SUM(AH25)</f>
        <v>0</v>
      </c>
      <c r="AI24" s="32">
        <v>30379517</v>
      </c>
    </row>
    <row r="25" spans="1:38" s="59" customFormat="1" ht="89.25" x14ac:dyDescent="0.25">
      <c r="A25" s="60">
        <v>8</v>
      </c>
      <c r="B25" s="60">
        <v>1</v>
      </c>
      <c r="C25" s="63" t="s">
        <v>38</v>
      </c>
      <c r="D25" s="63" t="s">
        <v>32</v>
      </c>
      <c r="E25" s="57" t="s">
        <v>122</v>
      </c>
      <c r="F25" s="57" t="s">
        <v>130</v>
      </c>
      <c r="G25" s="3"/>
      <c r="H25" s="5"/>
      <c r="I25" s="5"/>
      <c r="J25" s="5"/>
      <c r="K25" s="5"/>
      <c r="L25" s="5"/>
      <c r="M25" s="4" t="s">
        <v>34</v>
      </c>
      <c r="N25" s="4" t="s">
        <v>35</v>
      </c>
      <c r="O25" s="4" t="s">
        <v>40</v>
      </c>
      <c r="P25" s="6"/>
      <c r="Q25" s="78"/>
      <c r="R25" s="79"/>
      <c r="S25" s="137">
        <f t="shared" ref="S25" si="35">+R25*Q25</f>
        <v>0</v>
      </c>
      <c r="T25" s="137">
        <f t="shared" ref="T25" si="36">+R25</f>
        <v>0</v>
      </c>
      <c r="U25" s="137">
        <f t="shared" ref="U25" si="37">S25</f>
        <v>0</v>
      </c>
      <c r="V25" s="138"/>
      <c r="W25" s="139"/>
      <c r="X25" s="137"/>
      <c r="Y25" s="137">
        <f t="shared" ref="Y25" si="38">+W25*X25</f>
        <v>0</v>
      </c>
      <c r="Z25" s="137"/>
      <c r="AA25" s="137">
        <f t="shared" ref="AA25" si="39">+Z25*W25</f>
        <v>0</v>
      </c>
      <c r="AB25" s="137"/>
      <c r="AC25" s="137">
        <f t="shared" ref="AC25" si="40">+AB25*W25</f>
        <v>0</v>
      </c>
      <c r="AD25" s="137"/>
      <c r="AE25" s="137">
        <f t="shared" ref="AE25" si="41">+AD25*W25</f>
        <v>0</v>
      </c>
      <c r="AF25" s="137">
        <f t="shared" ref="AF25:AG25" si="42">+X25+Z25+AB25+AD25</f>
        <v>0</v>
      </c>
      <c r="AG25" s="137">
        <f t="shared" si="42"/>
        <v>0</v>
      </c>
      <c r="AH25" s="153">
        <f t="shared" ref="AH25" si="43">+U25+AG25</f>
        <v>0</v>
      </c>
      <c r="AI25" s="56"/>
    </row>
    <row r="26" spans="1:38" s="11" customFormat="1" x14ac:dyDescent="0.2">
      <c r="A26" s="49" t="s">
        <v>164</v>
      </c>
      <c r="B26" s="25"/>
      <c r="C26" s="26"/>
      <c r="D26" s="26"/>
      <c r="E26" s="26"/>
      <c r="F26" s="26"/>
      <c r="G26" s="38"/>
      <c r="H26" s="39"/>
      <c r="I26" s="39"/>
      <c r="J26" s="39"/>
      <c r="K26" s="39"/>
      <c r="L26" s="39"/>
      <c r="M26" s="37"/>
      <c r="N26" s="37"/>
      <c r="O26" s="37"/>
      <c r="P26" s="34"/>
      <c r="Q26" s="40"/>
      <c r="R26" s="41"/>
      <c r="S26" s="164"/>
      <c r="T26" s="164"/>
      <c r="U26" s="164"/>
      <c r="V26" s="164"/>
      <c r="W26" s="164"/>
      <c r="X26" s="164"/>
      <c r="Y26" s="164"/>
      <c r="Z26" s="164"/>
      <c r="AA26" s="164"/>
      <c r="AB26" s="164"/>
      <c r="AC26" s="164"/>
      <c r="AD26" s="164"/>
      <c r="AE26" s="164"/>
      <c r="AF26" s="164"/>
      <c r="AG26" s="164"/>
      <c r="AH26" s="168">
        <f>+AH4+AH11+AH24</f>
        <v>0</v>
      </c>
      <c r="AI26" s="32">
        <f>+AI4+AI11+AI24</f>
        <v>337550162</v>
      </c>
    </row>
    <row r="27" spans="1:38" x14ac:dyDescent="0.2">
      <c r="S27" s="165"/>
      <c r="T27" s="165"/>
      <c r="U27" s="165"/>
      <c r="V27" s="165"/>
      <c r="W27" s="165"/>
      <c r="X27" s="165"/>
      <c r="Y27" s="165"/>
      <c r="Z27" s="165"/>
      <c r="AA27" s="166"/>
      <c r="AB27" s="165"/>
      <c r="AC27" s="165"/>
      <c r="AD27" s="165"/>
      <c r="AE27" s="165"/>
      <c r="AF27" s="165"/>
      <c r="AG27" s="165"/>
      <c r="AH27" s="165">
        <f>SUM(AH7:AH25)</f>
        <v>0</v>
      </c>
      <c r="AJ27" s="46"/>
    </row>
    <row r="28" spans="1:38" s="11" customFormat="1" x14ac:dyDescent="0.2">
      <c r="A28" s="49" t="s">
        <v>58</v>
      </c>
      <c r="B28" s="25"/>
      <c r="C28" s="26"/>
      <c r="D28" s="26"/>
      <c r="E28" s="26"/>
      <c r="F28" s="26"/>
      <c r="G28" s="26"/>
      <c r="H28" s="27"/>
      <c r="I28" s="27"/>
      <c r="J28" s="27"/>
      <c r="K28" s="27"/>
      <c r="L28" s="27"/>
      <c r="M28" s="25"/>
      <c r="N28" s="25"/>
      <c r="O28" s="25"/>
      <c r="P28" s="25"/>
      <c r="Q28" s="28"/>
      <c r="R28" s="29"/>
      <c r="S28" s="167"/>
      <c r="T28" s="167"/>
      <c r="U28" s="167"/>
      <c r="V28" s="167"/>
      <c r="W28" s="167"/>
      <c r="X28" s="167"/>
      <c r="Y28" s="167"/>
      <c r="Z28" s="167"/>
      <c r="AA28" s="167"/>
      <c r="AB28" s="167"/>
      <c r="AC28" s="167"/>
      <c r="AD28" s="167"/>
      <c r="AE28" s="167"/>
      <c r="AF28" s="167"/>
      <c r="AG28" s="167"/>
      <c r="AH28" s="168"/>
      <c r="AI28" s="32"/>
    </row>
    <row r="29" spans="1:38" s="59" customFormat="1" ht="89.25" x14ac:dyDescent="0.25">
      <c r="A29" s="60">
        <v>6</v>
      </c>
      <c r="B29" s="60">
        <v>1</v>
      </c>
      <c r="C29" s="63" t="s">
        <v>31</v>
      </c>
      <c r="D29" s="63" t="s">
        <v>32</v>
      </c>
      <c r="E29" s="57" t="s">
        <v>33</v>
      </c>
      <c r="F29" s="63" t="s">
        <v>131</v>
      </c>
      <c r="G29" s="57" t="s">
        <v>132</v>
      </c>
      <c r="H29" s="58"/>
      <c r="I29" s="58"/>
      <c r="J29" s="58"/>
      <c r="K29" s="58"/>
      <c r="L29" s="58"/>
      <c r="M29" s="33" t="s">
        <v>34</v>
      </c>
      <c r="N29" s="33" t="s">
        <v>35</v>
      </c>
      <c r="O29" s="33" t="s">
        <v>36</v>
      </c>
      <c r="P29" s="51" t="s">
        <v>37</v>
      </c>
      <c r="Q29" s="52">
        <f>15355</f>
        <v>15355</v>
      </c>
      <c r="R29" s="67">
        <v>209</v>
      </c>
      <c r="S29" s="140">
        <f>+R29*Q29</f>
        <v>3209195</v>
      </c>
      <c r="T29" s="140">
        <f t="shared" ref="T29:T34" si="44">+R29</f>
        <v>209</v>
      </c>
      <c r="U29" s="140">
        <f>S29</f>
        <v>3209195</v>
      </c>
      <c r="V29" s="150" t="s">
        <v>37</v>
      </c>
      <c r="W29" s="151">
        <f>+Q29</f>
        <v>15355</v>
      </c>
      <c r="X29" s="140">
        <v>209</v>
      </c>
      <c r="Y29" s="140">
        <f t="shared" ref="Y29:Y33" si="45">+W29*X29</f>
        <v>3209195</v>
      </c>
      <c r="Z29" s="140">
        <v>209</v>
      </c>
      <c r="AA29" s="140">
        <f t="shared" ref="AA29:AA33" si="46">+Z29*W29</f>
        <v>3209195</v>
      </c>
      <c r="AB29" s="140">
        <f>+Z29</f>
        <v>209</v>
      </c>
      <c r="AC29" s="140">
        <f t="shared" ref="AC29:AC33" si="47">+AB29*W29</f>
        <v>3209195</v>
      </c>
      <c r="AD29" s="140">
        <v>208</v>
      </c>
      <c r="AE29" s="140">
        <f t="shared" ref="AE29:AE33" si="48">+AD29*W29</f>
        <v>3193840</v>
      </c>
      <c r="AF29" s="140">
        <f t="shared" ref="AF29:AG34" si="49">+X29+Z29+AB29+AD29</f>
        <v>835</v>
      </c>
      <c r="AG29" s="140">
        <f t="shared" si="49"/>
        <v>12821425</v>
      </c>
      <c r="AH29" s="153">
        <f t="shared" ref="AH29:AH33" si="50">+U29+AG29</f>
        <v>16030620</v>
      </c>
      <c r="AI29" s="56"/>
      <c r="AL29" s="111"/>
    </row>
    <row r="30" spans="1:38" s="59" customFormat="1" ht="114.75" x14ac:dyDescent="0.25">
      <c r="A30" s="60">
        <v>34</v>
      </c>
      <c r="B30" s="68">
        <v>1</v>
      </c>
      <c r="C30" s="63" t="s">
        <v>42</v>
      </c>
      <c r="D30" s="63" t="s">
        <v>43</v>
      </c>
      <c r="E30" s="57" t="s">
        <v>44</v>
      </c>
      <c r="F30" s="63" t="s">
        <v>158</v>
      </c>
      <c r="G30" s="57" t="s">
        <v>133</v>
      </c>
      <c r="H30" s="33"/>
      <c r="I30" s="58"/>
      <c r="J30" s="58"/>
      <c r="K30" s="58"/>
      <c r="L30" s="58"/>
      <c r="M30" s="33" t="s">
        <v>34</v>
      </c>
      <c r="N30" s="33" t="s">
        <v>35</v>
      </c>
      <c r="O30" s="63" t="s">
        <v>45</v>
      </c>
      <c r="P30" s="51" t="s">
        <v>134</v>
      </c>
      <c r="Q30" s="52"/>
      <c r="R30" s="67"/>
      <c r="S30" s="140">
        <f>+R30*Q30</f>
        <v>0</v>
      </c>
      <c r="T30" s="140">
        <f t="shared" si="44"/>
        <v>0</v>
      </c>
      <c r="U30" s="140">
        <f t="shared" ref="U30:U33" si="51">S30</f>
        <v>0</v>
      </c>
      <c r="V30" s="150" t="s">
        <v>134</v>
      </c>
      <c r="W30" s="140">
        <f>36000*24</f>
        <v>864000</v>
      </c>
      <c r="X30" s="140">
        <v>4</v>
      </c>
      <c r="Y30" s="140">
        <f t="shared" si="45"/>
        <v>3456000</v>
      </c>
      <c r="Z30" s="140">
        <v>3</v>
      </c>
      <c r="AA30" s="140">
        <f t="shared" si="46"/>
        <v>2592000</v>
      </c>
      <c r="AB30" s="140"/>
      <c r="AC30" s="140">
        <f t="shared" si="47"/>
        <v>0</v>
      </c>
      <c r="AD30" s="140">
        <f t="shared" ref="AD30:AD31" si="52">+AB30</f>
        <v>0</v>
      </c>
      <c r="AE30" s="140">
        <f t="shared" si="48"/>
        <v>0</v>
      </c>
      <c r="AF30" s="140">
        <f>+X30+Z30+AB30+AD30</f>
        <v>7</v>
      </c>
      <c r="AG30" s="140">
        <f t="shared" si="49"/>
        <v>6048000</v>
      </c>
      <c r="AH30" s="153">
        <f t="shared" si="50"/>
        <v>6048000</v>
      </c>
      <c r="AI30" s="56"/>
      <c r="AL30" s="116"/>
    </row>
    <row r="31" spans="1:38" s="59" customFormat="1" ht="114.75" x14ac:dyDescent="0.25">
      <c r="A31" s="60">
        <v>35</v>
      </c>
      <c r="B31" s="68">
        <v>1</v>
      </c>
      <c r="C31" s="63" t="s">
        <v>42</v>
      </c>
      <c r="D31" s="63" t="s">
        <v>43</v>
      </c>
      <c r="E31" s="57" t="s">
        <v>44</v>
      </c>
      <c r="F31" s="63" t="s">
        <v>158</v>
      </c>
      <c r="G31" s="57" t="s">
        <v>135</v>
      </c>
      <c r="H31" s="33"/>
      <c r="I31" s="58"/>
      <c r="J31" s="58"/>
      <c r="K31" s="58"/>
      <c r="L31" s="58"/>
      <c r="M31" s="33" t="s">
        <v>34</v>
      </c>
      <c r="N31" s="33" t="s">
        <v>35</v>
      </c>
      <c r="O31" s="63" t="s">
        <v>45</v>
      </c>
      <c r="P31" s="51" t="s">
        <v>134</v>
      </c>
      <c r="Q31" s="52"/>
      <c r="R31" s="67"/>
      <c r="S31" s="140">
        <f t="shared" ref="S31:S33" si="53">+R31*Q31</f>
        <v>0</v>
      </c>
      <c r="T31" s="140">
        <f t="shared" si="44"/>
        <v>0</v>
      </c>
      <c r="U31" s="140">
        <f t="shared" si="51"/>
        <v>0</v>
      </c>
      <c r="V31" s="150" t="s">
        <v>134</v>
      </c>
      <c r="W31" s="140">
        <f>36000*12</f>
        <v>432000</v>
      </c>
      <c r="X31" s="140"/>
      <c r="Y31" s="140">
        <f t="shared" si="45"/>
        <v>0</v>
      </c>
      <c r="Z31" s="140">
        <f t="shared" ref="Z31" si="54">+X31</f>
        <v>0</v>
      </c>
      <c r="AA31" s="140">
        <f t="shared" si="46"/>
        <v>0</v>
      </c>
      <c r="AB31" s="140">
        <v>7</v>
      </c>
      <c r="AC31" s="140">
        <f t="shared" si="47"/>
        <v>3024000</v>
      </c>
      <c r="AD31" s="140">
        <f t="shared" si="52"/>
        <v>7</v>
      </c>
      <c r="AE31" s="140">
        <f t="shared" si="48"/>
        <v>3024000</v>
      </c>
      <c r="AF31" s="140">
        <f t="shared" si="49"/>
        <v>14</v>
      </c>
      <c r="AG31" s="140">
        <f t="shared" si="49"/>
        <v>6048000</v>
      </c>
      <c r="AH31" s="153">
        <f t="shared" si="50"/>
        <v>6048000</v>
      </c>
      <c r="AI31" s="56"/>
    </row>
    <row r="32" spans="1:38" s="72" customFormat="1" ht="76.5" x14ac:dyDescent="0.25">
      <c r="A32" s="60">
        <v>43</v>
      </c>
      <c r="B32" s="68">
        <v>1</v>
      </c>
      <c r="C32" s="63" t="s">
        <v>46</v>
      </c>
      <c r="D32" s="63" t="s">
        <v>47</v>
      </c>
      <c r="E32" s="57" t="s">
        <v>48</v>
      </c>
      <c r="F32" s="63" t="s">
        <v>159</v>
      </c>
      <c r="G32" s="57" t="s">
        <v>136</v>
      </c>
      <c r="H32" s="69"/>
      <c r="I32" s="69"/>
      <c r="J32" s="70"/>
      <c r="K32" s="69"/>
      <c r="L32" s="70"/>
      <c r="M32" s="33" t="s">
        <v>34</v>
      </c>
      <c r="N32" s="33" t="s">
        <v>35</v>
      </c>
      <c r="O32" s="33" t="s">
        <v>49</v>
      </c>
      <c r="P32" s="51" t="s">
        <v>137</v>
      </c>
      <c r="Q32" s="52"/>
      <c r="R32" s="67"/>
      <c r="S32" s="140">
        <f t="shared" si="53"/>
        <v>0</v>
      </c>
      <c r="T32" s="140">
        <f t="shared" si="44"/>
        <v>0</v>
      </c>
      <c r="U32" s="140">
        <f t="shared" si="51"/>
        <v>0</v>
      </c>
      <c r="V32" s="150" t="s">
        <v>137</v>
      </c>
      <c r="W32" s="151">
        <v>5000000</v>
      </c>
      <c r="X32" s="140">
        <f t="shared" ref="X32" si="55">+R32</f>
        <v>0</v>
      </c>
      <c r="Y32" s="140">
        <f t="shared" si="45"/>
        <v>0</v>
      </c>
      <c r="Z32" s="140">
        <v>1</v>
      </c>
      <c r="AA32" s="140">
        <f t="shared" si="46"/>
        <v>5000000</v>
      </c>
      <c r="AB32" s="140"/>
      <c r="AC32" s="140">
        <f t="shared" si="47"/>
        <v>0</v>
      </c>
      <c r="AD32" s="140">
        <v>0</v>
      </c>
      <c r="AE32" s="140">
        <f t="shared" si="48"/>
        <v>0</v>
      </c>
      <c r="AF32" s="140">
        <f t="shared" si="49"/>
        <v>1</v>
      </c>
      <c r="AG32" s="140">
        <f t="shared" si="49"/>
        <v>5000000</v>
      </c>
      <c r="AH32" s="153">
        <f t="shared" si="50"/>
        <v>5000000</v>
      </c>
      <c r="AI32" s="56"/>
      <c r="AL32" s="115"/>
    </row>
    <row r="33" spans="1:35" s="72" customFormat="1" ht="144" customHeight="1" x14ac:dyDescent="0.25">
      <c r="A33" s="60">
        <v>46</v>
      </c>
      <c r="B33" s="68">
        <v>1</v>
      </c>
      <c r="C33" s="33" t="s">
        <v>38</v>
      </c>
      <c r="D33" s="63" t="s">
        <v>47</v>
      </c>
      <c r="E33" s="57" t="s">
        <v>50</v>
      </c>
      <c r="F33" s="63" t="s">
        <v>138</v>
      </c>
      <c r="G33" s="57" t="s">
        <v>139</v>
      </c>
      <c r="H33" s="69"/>
      <c r="I33" s="70"/>
      <c r="J33" s="70"/>
      <c r="K33" s="70"/>
      <c r="L33" s="70"/>
      <c r="M33" s="33" t="s">
        <v>34</v>
      </c>
      <c r="N33" s="33" t="s">
        <v>35</v>
      </c>
      <c r="O33" s="33" t="s">
        <v>36</v>
      </c>
      <c r="P33" s="51" t="s">
        <v>140</v>
      </c>
      <c r="Q33" s="52"/>
      <c r="R33" s="67"/>
      <c r="S33" s="140">
        <f t="shared" si="53"/>
        <v>0</v>
      </c>
      <c r="T33" s="140">
        <f t="shared" si="44"/>
        <v>0</v>
      </c>
      <c r="U33" s="140">
        <f t="shared" si="51"/>
        <v>0</v>
      </c>
      <c r="V33" s="150" t="s">
        <v>140</v>
      </c>
      <c r="W33" s="140">
        <v>100000</v>
      </c>
      <c r="X33" s="140">
        <v>10</v>
      </c>
      <c r="Y33" s="140">
        <f t="shared" si="45"/>
        <v>1000000</v>
      </c>
      <c r="Z33" s="140">
        <f>+X33</f>
        <v>10</v>
      </c>
      <c r="AA33" s="140">
        <f t="shared" si="46"/>
        <v>1000000</v>
      </c>
      <c r="AB33" s="140">
        <f t="shared" ref="AB33:AB34" si="56">+Z33</f>
        <v>10</v>
      </c>
      <c r="AC33" s="140">
        <f t="shared" si="47"/>
        <v>1000000</v>
      </c>
      <c r="AD33" s="140">
        <v>10</v>
      </c>
      <c r="AE33" s="140">
        <f t="shared" si="48"/>
        <v>1000000</v>
      </c>
      <c r="AF33" s="140">
        <f t="shared" si="49"/>
        <v>40</v>
      </c>
      <c r="AG33" s="140">
        <f t="shared" si="49"/>
        <v>4000000</v>
      </c>
      <c r="AH33" s="153">
        <f t="shared" si="50"/>
        <v>4000000</v>
      </c>
      <c r="AI33" s="56"/>
    </row>
    <row r="34" spans="1:35" s="77" customFormat="1" ht="89.25" customHeight="1" x14ac:dyDescent="0.25">
      <c r="A34" s="60">
        <v>12</v>
      </c>
      <c r="B34" s="68">
        <v>1</v>
      </c>
      <c r="C34" s="63" t="s">
        <v>38</v>
      </c>
      <c r="D34" s="73" t="s">
        <v>32</v>
      </c>
      <c r="E34" s="74" t="s">
        <v>114</v>
      </c>
      <c r="F34" s="75" t="s">
        <v>160</v>
      </c>
      <c r="G34" s="75" t="s">
        <v>141</v>
      </c>
      <c r="H34" s="33"/>
      <c r="I34" s="70"/>
      <c r="J34" s="70"/>
      <c r="K34" s="70"/>
      <c r="L34" s="70"/>
      <c r="M34" s="76" t="s">
        <v>34</v>
      </c>
      <c r="N34" s="33" t="s">
        <v>35</v>
      </c>
      <c r="O34" s="76" t="s">
        <v>41</v>
      </c>
      <c r="P34" s="51" t="s">
        <v>142</v>
      </c>
      <c r="Q34" s="52">
        <f>150000*3</f>
        <v>450000</v>
      </c>
      <c r="R34" s="67">
        <v>10</v>
      </c>
      <c r="S34" s="140">
        <f>+R34*Q34</f>
        <v>4500000</v>
      </c>
      <c r="T34" s="140">
        <f t="shared" si="44"/>
        <v>10</v>
      </c>
      <c r="U34" s="140">
        <f>S34</f>
        <v>4500000</v>
      </c>
      <c r="V34" s="150" t="str">
        <f>+P34</f>
        <v>Costo Incentivo Lideres Pares</v>
      </c>
      <c r="W34" s="151">
        <f>154500*3</f>
        <v>463500</v>
      </c>
      <c r="X34" s="140">
        <f>+R34</f>
        <v>10</v>
      </c>
      <c r="Y34" s="140">
        <f>+W34*X34</f>
        <v>4635000</v>
      </c>
      <c r="Z34" s="140">
        <v>45</v>
      </c>
      <c r="AA34" s="140">
        <f>+Z34*W34</f>
        <v>20857500</v>
      </c>
      <c r="AB34" s="140">
        <f t="shared" si="56"/>
        <v>45</v>
      </c>
      <c r="AC34" s="140">
        <f>+AB34*W34</f>
        <v>20857500</v>
      </c>
      <c r="AD34" s="140">
        <f>+AB34</f>
        <v>45</v>
      </c>
      <c r="AE34" s="140">
        <f>+AD34*W34</f>
        <v>20857500</v>
      </c>
      <c r="AF34" s="140">
        <f t="shared" si="49"/>
        <v>145</v>
      </c>
      <c r="AG34" s="140">
        <f>+Y34+AA34+AC34+AE34</f>
        <v>67207500</v>
      </c>
      <c r="AH34" s="153">
        <f>+U34+AG34</f>
        <v>71707500</v>
      </c>
      <c r="AI34" s="56"/>
    </row>
    <row r="35" spans="1:35" s="11" customFormat="1" x14ac:dyDescent="0.2">
      <c r="A35" s="49" t="s">
        <v>165</v>
      </c>
      <c r="B35" s="25"/>
      <c r="C35" s="26"/>
      <c r="D35" s="26"/>
      <c r="E35" s="26"/>
      <c r="F35" s="26"/>
      <c r="G35" s="26"/>
      <c r="H35" s="27"/>
      <c r="I35" s="27"/>
      <c r="J35" s="27"/>
      <c r="K35" s="27"/>
      <c r="L35" s="27"/>
      <c r="M35" s="25"/>
      <c r="N35" s="25"/>
      <c r="O35" s="25"/>
      <c r="P35" s="64"/>
      <c r="Q35" s="28"/>
      <c r="R35" s="29"/>
      <c r="S35" s="29"/>
      <c r="T35" s="29"/>
      <c r="U35" s="30"/>
      <c r="V35" s="25"/>
      <c r="W35" s="28"/>
      <c r="X35" s="29"/>
      <c r="Y35" s="29"/>
      <c r="Z35" s="29"/>
      <c r="AA35" s="29"/>
      <c r="AB35" s="29"/>
      <c r="AC35" s="29"/>
      <c r="AD35" s="29"/>
      <c r="AE35" s="29"/>
      <c r="AF35" s="29"/>
      <c r="AG35" s="30"/>
      <c r="AH35" s="31">
        <f>SUM(AH29:AH34)</f>
        <v>108834120</v>
      </c>
      <c r="AI35" s="32">
        <f>+AH35</f>
        <v>108834120</v>
      </c>
    </row>
    <row r="36" spans="1:35" s="11" customFormat="1" x14ac:dyDescent="0.2">
      <c r="A36" s="83" t="s">
        <v>166</v>
      </c>
      <c r="B36" s="84"/>
      <c r="C36" s="85"/>
      <c r="D36" s="85"/>
      <c r="E36" s="85"/>
      <c r="F36" s="85"/>
      <c r="G36" s="85"/>
      <c r="H36" s="86"/>
      <c r="I36" s="86"/>
      <c r="J36" s="86"/>
      <c r="K36" s="86"/>
      <c r="L36" s="86"/>
      <c r="M36" s="84"/>
      <c r="N36" s="84"/>
      <c r="O36" s="84"/>
      <c r="P36" s="87"/>
      <c r="Q36" s="88"/>
      <c r="R36" s="89"/>
      <c r="S36" s="89"/>
      <c r="T36" s="89"/>
      <c r="U36" s="90"/>
      <c r="V36" s="84"/>
      <c r="W36" s="88"/>
      <c r="X36" s="89"/>
      <c r="Y36" s="89"/>
      <c r="Z36" s="89"/>
      <c r="AA36" s="89"/>
      <c r="AB36" s="89"/>
      <c r="AC36" s="89"/>
      <c r="AD36" s="89"/>
      <c r="AE36" s="89"/>
      <c r="AF36" s="89"/>
      <c r="AG36" s="90"/>
      <c r="AH36" s="82"/>
      <c r="AI36" s="82">
        <f>+AI26+AI35</f>
        <v>446384282</v>
      </c>
    </row>
  </sheetData>
  <sheetProtection password="CB42" sheet="1" objects="1" scenarios="1" formatCells="0" formatColumns="0" formatRows="0" insertRows="0"/>
  <mergeCells count="45">
    <mergeCell ref="A12:A16"/>
    <mergeCell ref="B12:B16"/>
    <mergeCell ref="C12:C16"/>
    <mergeCell ref="A17:A21"/>
    <mergeCell ref="B17:B21"/>
    <mergeCell ref="C17:C21"/>
    <mergeCell ref="D12:D23"/>
    <mergeCell ref="E12:E23"/>
    <mergeCell ref="F12:F23"/>
    <mergeCell ref="AI2:AI3"/>
    <mergeCell ref="C5:C7"/>
    <mergeCell ref="D5:D10"/>
    <mergeCell ref="E5:E10"/>
    <mergeCell ref="F5:F7"/>
    <mergeCell ref="F8:F10"/>
    <mergeCell ref="AC2:AC3"/>
    <mergeCell ref="AD2:AD3"/>
    <mergeCell ref="AE2:AE3"/>
    <mergeCell ref="AF2:AF3"/>
    <mergeCell ref="AG2:AG3"/>
    <mergeCell ref="AH2:AH3"/>
    <mergeCell ref="W2:W3"/>
    <mergeCell ref="X2:X3"/>
    <mergeCell ref="Y2:Y3"/>
    <mergeCell ref="Z2:Z3"/>
    <mergeCell ref="AA2:AA3"/>
    <mergeCell ref="AB2:AB3"/>
    <mergeCell ref="V2:V3"/>
    <mergeCell ref="G2:G3"/>
    <mergeCell ref="I2:L2"/>
    <mergeCell ref="M2:M3"/>
    <mergeCell ref="N2:N3"/>
    <mergeCell ref="O2:O3"/>
    <mergeCell ref="P2:P3"/>
    <mergeCell ref="Q2:Q3"/>
    <mergeCell ref="R2:R3"/>
    <mergeCell ref="S2:S3"/>
    <mergeCell ref="T2:T3"/>
    <mergeCell ref="U2:U3"/>
    <mergeCell ref="F2:F3"/>
    <mergeCell ref="A2:A3"/>
    <mergeCell ref="B2:B3"/>
    <mergeCell ref="C2:C3"/>
    <mergeCell ref="D2:D3"/>
    <mergeCell ref="E2:E3"/>
  </mergeCells>
  <dataValidations count="1">
    <dataValidation type="decimal" operator="greaterThanOrEqual" allowBlank="1" showInputMessage="1" showErrorMessage="1" sqref="W25:W26 W34:W36 W32 W29 W5:W10 X13:X16 W12:W23 X18:X21 Z13:Z16 Z18:Z21 AB13:AB16 AB18:AB21 AD13:AD16 AD18:AD21">
      <formula1>0</formula1>
    </dataValidation>
  </dataValidations>
  <pageMargins left="0.7" right="0.7" top="0.75" bottom="0.75" header="0.3" footer="0.3"/>
  <pageSetup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23"/>
  <sheetViews>
    <sheetView showGridLines="0" workbookViewId="0">
      <selection activeCell="C14" sqref="C14"/>
    </sheetView>
  </sheetViews>
  <sheetFormatPr baseColWidth="10" defaultRowHeight="15" x14ac:dyDescent="0.25"/>
  <cols>
    <col min="1" max="1" width="53.28515625" style="19" customWidth="1"/>
    <col min="2" max="2" width="17.5703125" style="23" bestFit="1" customWidth="1"/>
    <col min="3" max="3" width="18.5703125" style="19" bestFit="1" customWidth="1"/>
    <col min="4" max="16384" width="11.42578125" style="19"/>
  </cols>
  <sheetData>
    <row r="1" spans="1:3" ht="39.75" customHeight="1" x14ac:dyDescent="0.25">
      <c r="A1" s="188" t="s">
        <v>100</v>
      </c>
      <c r="B1" s="188"/>
      <c r="C1" s="188"/>
    </row>
    <row r="2" spans="1:3" x14ac:dyDescent="0.25">
      <c r="A2" s="189" t="s">
        <v>149</v>
      </c>
      <c r="B2" s="189"/>
      <c r="C2" s="189"/>
    </row>
    <row r="3" spans="1:3" x14ac:dyDescent="0.25">
      <c r="A3" s="118"/>
      <c r="B3" s="119"/>
      <c r="C3" s="118"/>
    </row>
    <row r="4" spans="1:3" x14ac:dyDescent="0.25">
      <c r="A4" s="120" t="s">
        <v>102</v>
      </c>
      <c r="B4" s="121"/>
      <c r="C4" s="118"/>
    </row>
    <row r="6" spans="1:3" s="20" customFormat="1" x14ac:dyDescent="0.25">
      <c r="A6" s="91" t="s">
        <v>103</v>
      </c>
      <c r="B6" s="92" t="s">
        <v>104</v>
      </c>
      <c r="C6" s="93" t="s">
        <v>98</v>
      </c>
    </row>
    <row r="7" spans="1:3" s="21" customFormat="1" x14ac:dyDescent="0.25">
      <c r="A7" s="94" t="s">
        <v>105</v>
      </c>
      <c r="B7" s="106">
        <f>+'[1]Fase I Valle del Cauca'!AH4</f>
        <v>0</v>
      </c>
      <c r="C7" s="96">
        <f>+'Fase I Bolivar'!AI4</f>
        <v>210518654</v>
      </c>
    </row>
    <row r="8" spans="1:3" s="22" customFormat="1" x14ac:dyDescent="0.25">
      <c r="A8" s="97" t="s">
        <v>106</v>
      </c>
      <c r="B8" s="95">
        <f>+'[1]Fase I Valle del Cauca'!AH11</f>
        <v>0</v>
      </c>
      <c r="C8" s="96">
        <f>+'Fase I Bolivar'!AI11</f>
        <v>63155601</v>
      </c>
    </row>
    <row r="9" spans="1:3" s="22" customFormat="1" x14ac:dyDescent="0.25">
      <c r="A9" s="97" t="s">
        <v>107</v>
      </c>
      <c r="B9" s="95">
        <f>+'[1]Fase I Valle del Cauca'!AH16</f>
        <v>0</v>
      </c>
      <c r="C9" s="96">
        <f>+'Fase I Bolivar'!AI24</f>
        <v>27066691</v>
      </c>
    </row>
    <row r="10" spans="1:3" s="22" customFormat="1" x14ac:dyDescent="0.25">
      <c r="A10" s="99" t="s">
        <v>161</v>
      </c>
      <c r="B10" s="107">
        <f>SUM(B7:B9)</f>
        <v>0</v>
      </c>
      <c r="C10" s="108">
        <f>SUM(C7:C9)</f>
        <v>300740946</v>
      </c>
    </row>
    <row r="11" spans="1:3" s="22" customFormat="1" x14ac:dyDescent="0.25">
      <c r="A11" s="97"/>
      <c r="B11" s="107"/>
      <c r="C11" s="96"/>
    </row>
    <row r="12" spans="1:3" x14ac:dyDescent="0.25">
      <c r="A12" s="101" t="s">
        <v>108</v>
      </c>
      <c r="B12" s="109">
        <f>+'Fase I Bolivar'!AH35</f>
        <v>93855490</v>
      </c>
      <c r="C12" s="96">
        <f>+'Fase I Bolivar'!AI35</f>
        <v>93855490</v>
      </c>
    </row>
    <row r="13" spans="1:3" x14ac:dyDescent="0.25">
      <c r="A13" s="102" t="s">
        <v>162</v>
      </c>
      <c r="B13" s="110">
        <f>+B12</f>
        <v>93855490</v>
      </c>
      <c r="C13" s="100">
        <f>+C12</f>
        <v>93855490</v>
      </c>
    </row>
    <row r="14" spans="1:3" x14ac:dyDescent="0.25">
      <c r="A14" s="104" t="s">
        <v>163</v>
      </c>
      <c r="B14" s="105">
        <f>+B10+B13</f>
        <v>93855490</v>
      </c>
      <c r="C14" s="105">
        <f>+C10+C13</f>
        <v>394596436</v>
      </c>
    </row>
    <row r="19" spans="1:3" s="24" customFormat="1" x14ac:dyDescent="0.25">
      <c r="A19" s="122" t="s">
        <v>109</v>
      </c>
      <c r="B19" s="119"/>
      <c r="C19" s="123"/>
    </row>
    <row r="20" spans="1:3" s="24" customFormat="1" x14ac:dyDescent="0.25">
      <c r="A20" s="122" t="s">
        <v>110</v>
      </c>
      <c r="B20" s="119"/>
      <c r="C20" s="123"/>
    </row>
    <row r="21" spans="1:3" x14ac:dyDescent="0.25">
      <c r="A21" s="118"/>
      <c r="B21" s="119"/>
      <c r="C21" s="118"/>
    </row>
    <row r="22" spans="1:3" x14ac:dyDescent="0.25">
      <c r="A22" s="118"/>
      <c r="B22" s="119"/>
      <c r="C22" s="118"/>
    </row>
    <row r="23" spans="1:3" x14ac:dyDescent="0.25">
      <c r="A23" s="118"/>
      <c r="B23" s="119"/>
      <c r="C23" s="118"/>
    </row>
  </sheetData>
  <sheetProtection password="CB42" sheet="1" objects="1" scenarios="1"/>
  <mergeCells count="2">
    <mergeCell ref="A1:C1"/>
    <mergeCell ref="A2:C2"/>
  </mergeCell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K36"/>
  <sheetViews>
    <sheetView showGridLines="0" topLeftCell="F1" zoomScale="70" zoomScaleNormal="70" workbookViewId="0">
      <selection activeCell="W32" sqref="W32"/>
    </sheetView>
  </sheetViews>
  <sheetFormatPr baseColWidth="10" defaultRowHeight="12.75" x14ac:dyDescent="0.2"/>
  <cols>
    <col min="1" max="1" width="6.28515625" style="46" bestFit="1" customWidth="1"/>
    <col min="2" max="2" width="15" style="46" customWidth="1"/>
    <col min="3" max="3" width="17.140625" style="46" customWidth="1"/>
    <col min="4" max="4" width="24.42578125" style="46" customWidth="1"/>
    <col min="5" max="5" width="43.28515625" style="46" customWidth="1"/>
    <col min="6" max="6" width="61.140625" style="46" customWidth="1"/>
    <col min="7" max="7" width="29.42578125" style="46" customWidth="1"/>
    <col min="8" max="8" width="7.28515625" style="46" bestFit="1" customWidth="1"/>
    <col min="9" max="9" width="3.85546875" style="46" bestFit="1" customWidth="1"/>
    <col min="10" max="12" width="3.28515625" style="46" bestFit="1" customWidth="1"/>
    <col min="13" max="13" width="18.5703125" style="46" customWidth="1"/>
    <col min="14" max="14" width="11.42578125" style="46"/>
    <col min="15" max="15" width="13.7109375" style="46" customWidth="1"/>
    <col min="16" max="16" width="17.7109375" style="46" customWidth="1"/>
    <col min="17" max="18" width="11.42578125" style="46"/>
    <col min="19" max="19" width="12.85546875" style="46" bestFit="1" customWidth="1"/>
    <col min="20" max="20" width="11.5703125" style="46" bestFit="1" customWidth="1"/>
    <col min="21" max="21" width="14.28515625" style="46" customWidth="1"/>
    <col min="22" max="22" width="12.140625" style="46" customWidth="1"/>
    <col min="23" max="23" width="13" style="46" bestFit="1" customWidth="1"/>
    <col min="24" max="24" width="11.5703125" style="46" bestFit="1" customWidth="1"/>
    <col min="25" max="25" width="12.85546875" style="46" bestFit="1" customWidth="1"/>
    <col min="26" max="26" width="11.5703125" style="46" bestFit="1" customWidth="1"/>
    <col min="27" max="27" width="14" style="46" bestFit="1" customWidth="1"/>
    <col min="28" max="28" width="11.5703125" style="46" bestFit="1" customWidth="1"/>
    <col min="29" max="29" width="14.5703125" style="46" customWidth="1"/>
    <col min="30" max="30" width="11.5703125" style="46" bestFit="1" customWidth="1"/>
    <col min="31" max="31" width="14" style="46" bestFit="1" customWidth="1"/>
    <col min="32" max="32" width="11.5703125" style="46" bestFit="1" customWidth="1"/>
    <col min="33" max="33" width="14" style="46" bestFit="1" customWidth="1"/>
    <col min="34" max="34" width="18" style="46" bestFit="1" customWidth="1"/>
    <col min="35" max="35" width="19.42578125" style="47" customWidth="1"/>
    <col min="36" max="36" width="13" style="48" bestFit="1" customWidth="1"/>
    <col min="37" max="37" width="14" style="46" bestFit="1" customWidth="1"/>
    <col min="38" max="16384" width="11.42578125" style="46"/>
  </cols>
  <sheetData>
    <row r="1" spans="1:35" s="48" customFormat="1" x14ac:dyDescent="0.2">
      <c r="A1" s="45" t="s">
        <v>111</v>
      </c>
      <c r="B1" s="46"/>
      <c r="C1" s="46"/>
      <c r="D1" s="46"/>
      <c r="E1" s="46"/>
      <c r="F1" s="46"/>
      <c r="G1" s="46"/>
      <c r="H1" s="46"/>
      <c r="I1" s="46"/>
      <c r="J1" s="46"/>
      <c r="K1" s="46"/>
      <c r="L1" s="46"/>
      <c r="M1" s="46"/>
      <c r="N1" s="46"/>
      <c r="O1" s="46"/>
      <c r="P1" s="46"/>
      <c r="Q1" s="46"/>
      <c r="R1" s="46"/>
      <c r="S1" s="46"/>
      <c r="T1" s="46"/>
      <c r="U1" s="46"/>
      <c r="V1" s="46"/>
      <c r="W1" s="46"/>
      <c r="X1" s="46"/>
      <c r="Y1" s="46"/>
      <c r="Z1" s="46"/>
      <c r="AA1" s="46"/>
      <c r="AB1" s="46"/>
      <c r="AC1" s="46"/>
      <c r="AD1" s="46"/>
      <c r="AE1" s="46"/>
      <c r="AF1" s="46"/>
      <c r="AG1" s="46"/>
      <c r="AH1" s="46"/>
      <c r="AI1" s="47"/>
    </row>
    <row r="2" spans="1:35" s="1" customFormat="1" ht="15" customHeight="1" x14ac:dyDescent="0.25">
      <c r="A2" s="197" t="s">
        <v>0</v>
      </c>
      <c r="B2" s="196" t="s">
        <v>51</v>
      </c>
      <c r="C2" s="196" t="s">
        <v>1</v>
      </c>
      <c r="D2" s="196" t="s">
        <v>52</v>
      </c>
      <c r="E2" s="196" t="s">
        <v>53</v>
      </c>
      <c r="F2" s="196" t="s">
        <v>54</v>
      </c>
      <c r="G2" s="196" t="s">
        <v>2</v>
      </c>
      <c r="H2" s="36" t="s">
        <v>3</v>
      </c>
      <c r="I2" s="196" t="s">
        <v>4</v>
      </c>
      <c r="J2" s="199"/>
      <c r="K2" s="199"/>
      <c r="L2" s="199"/>
      <c r="M2" s="197" t="s">
        <v>5</v>
      </c>
      <c r="N2" s="197" t="s">
        <v>6</v>
      </c>
      <c r="O2" s="197" t="s">
        <v>7</v>
      </c>
      <c r="P2" s="200" t="s">
        <v>8</v>
      </c>
      <c r="Q2" s="201" t="s">
        <v>112</v>
      </c>
      <c r="R2" s="202" t="s">
        <v>9</v>
      </c>
      <c r="S2" s="202" t="s">
        <v>10</v>
      </c>
      <c r="T2" s="202" t="s">
        <v>11</v>
      </c>
      <c r="U2" s="203" t="s">
        <v>12</v>
      </c>
      <c r="V2" s="198" t="s">
        <v>13</v>
      </c>
      <c r="W2" s="216" t="s">
        <v>113</v>
      </c>
      <c r="X2" s="204" t="s">
        <v>14</v>
      </c>
      <c r="Y2" s="204" t="s">
        <v>15</v>
      </c>
      <c r="Z2" s="204" t="s">
        <v>16</v>
      </c>
      <c r="AA2" s="204" t="s">
        <v>17</v>
      </c>
      <c r="AB2" s="204" t="s">
        <v>18</v>
      </c>
      <c r="AC2" s="204" t="s">
        <v>19</v>
      </c>
      <c r="AD2" s="204" t="s">
        <v>20</v>
      </c>
      <c r="AE2" s="204" t="s">
        <v>21</v>
      </c>
      <c r="AF2" s="204" t="s">
        <v>22</v>
      </c>
      <c r="AG2" s="214" t="s">
        <v>23</v>
      </c>
      <c r="AH2" s="215" t="s">
        <v>24</v>
      </c>
      <c r="AI2" s="211" t="s">
        <v>98</v>
      </c>
    </row>
    <row r="3" spans="1:35" s="1" customFormat="1" ht="87.75" customHeight="1" x14ac:dyDescent="0.25">
      <c r="A3" s="197"/>
      <c r="B3" s="196"/>
      <c r="C3" s="196" t="s">
        <v>25</v>
      </c>
      <c r="D3" s="196" t="s">
        <v>26</v>
      </c>
      <c r="E3" s="196"/>
      <c r="F3" s="196"/>
      <c r="G3" s="196"/>
      <c r="H3" s="2" t="s">
        <v>30</v>
      </c>
      <c r="I3" s="2" t="s">
        <v>27</v>
      </c>
      <c r="J3" s="2" t="s">
        <v>28</v>
      </c>
      <c r="K3" s="2" t="s">
        <v>29</v>
      </c>
      <c r="L3" s="2" t="s">
        <v>30</v>
      </c>
      <c r="M3" s="197"/>
      <c r="N3" s="197"/>
      <c r="O3" s="197"/>
      <c r="P3" s="200"/>
      <c r="Q3" s="201"/>
      <c r="R3" s="202"/>
      <c r="S3" s="202"/>
      <c r="T3" s="202"/>
      <c r="U3" s="203"/>
      <c r="V3" s="198"/>
      <c r="W3" s="216"/>
      <c r="X3" s="204"/>
      <c r="Y3" s="204"/>
      <c r="Z3" s="204"/>
      <c r="AA3" s="204"/>
      <c r="AB3" s="204"/>
      <c r="AC3" s="204"/>
      <c r="AD3" s="204"/>
      <c r="AE3" s="204"/>
      <c r="AF3" s="204"/>
      <c r="AG3" s="214"/>
      <c r="AH3" s="215"/>
      <c r="AI3" s="212"/>
    </row>
    <row r="4" spans="1:35" s="11" customFormat="1" x14ac:dyDescent="0.2">
      <c r="A4" s="49" t="s">
        <v>55</v>
      </c>
      <c r="B4" s="25"/>
      <c r="C4" s="26"/>
      <c r="D4" s="26"/>
      <c r="E4" s="26"/>
      <c r="F4" s="26"/>
      <c r="G4" s="26"/>
      <c r="H4" s="27"/>
      <c r="I4" s="27"/>
      <c r="J4" s="27"/>
      <c r="K4" s="27"/>
      <c r="L4" s="27"/>
      <c r="M4" s="25"/>
      <c r="N4" s="25"/>
      <c r="O4" s="25"/>
      <c r="P4" s="25"/>
      <c r="Q4" s="28"/>
      <c r="R4" s="29"/>
      <c r="S4" s="29"/>
      <c r="T4" s="29"/>
      <c r="U4" s="30"/>
      <c r="V4" s="25"/>
      <c r="W4" s="28"/>
      <c r="X4" s="29"/>
      <c r="Y4" s="29"/>
      <c r="Z4" s="29"/>
      <c r="AA4" s="29"/>
      <c r="AB4" s="29"/>
      <c r="AC4" s="29"/>
      <c r="AD4" s="29"/>
      <c r="AE4" s="29"/>
      <c r="AF4" s="29"/>
      <c r="AG4" s="30"/>
      <c r="AH4" s="31">
        <f>SUM(AH5:AH10)</f>
        <v>0</v>
      </c>
      <c r="AI4" s="32">
        <v>210518654</v>
      </c>
    </row>
    <row r="5" spans="1:35" s="11" customFormat="1" ht="15" customHeight="1" x14ac:dyDescent="0.25">
      <c r="A5" s="50">
        <v>7</v>
      </c>
      <c r="B5" s="50">
        <v>1</v>
      </c>
      <c r="C5" s="213" t="s">
        <v>38</v>
      </c>
      <c r="D5" s="193" t="s">
        <v>32</v>
      </c>
      <c r="E5" s="205" t="s">
        <v>114</v>
      </c>
      <c r="F5" s="205" t="s">
        <v>115</v>
      </c>
      <c r="G5" s="43" t="s">
        <v>116</v>
      </c>
      <c r="H5" s="44"/>
      <c r="I5" s="44"/>
      <c r="J5" s="44"/>
      <c r="K5" s="44"/>
      <c r="L5" s="44"/>
      <c r="M5" s="4" t="s">
        <v>34</v>
      </c>
      <c r="N5" s="4" t="s">
        <v>35</v>
      </c>
      <c r="O5" s="4" t="s">
        <v>39</v>
      </c>
      <c r="P5" s="6" t="s">
        <v>117</v>
      </c>
      <c r="Q5" s="78"/>
      <c r="R5" s="79"/>
      <c r="S5" s="137">
        <f>+R5*Q5</f>
        <v>0</v>
      </c>
      <c r="T5" s="137">
        <f>+R5</f>
        <v>0</v>
      </c>
      <c r="U5" s="137">
        <f>S5</f>
        <v>0</v>
      </c>
      <c r="V5" s="138" t="s">
        <v>117</v>
      </c>
      <c r="W5" s="139"/>
      <c r="X5" s="137"/>
      <c r="Y5" s="137">
        <f t="shared" ref="Y5:Y10" si="0">+W5*X5</f>
        <v>0</v>
      </c>
      <c r="Z5" s="137"/>
      <c r="AA5" s="137">
        <f t="shared" ref="AA5:AA10" si="1">+Z5*W5</f>
        <v>0</v>
      </c>
      <c r="AB5" s="137"/>
      <c r="AC5" s="137">
        <f t="shared" ref="AC5:AC10" si="2">+AB5*W5</f>
        <v>0</v>
      </c>
      <c r="AD5" s="137"/>
      <c r="AE5" s="137">
        <f t="shared" ref="AE5:AE10" si="3">+AD5*W5</f>
        <v>0</v>
      </c>
      <c r="AF5" s="137">
        <f t="shared" ref="AF5:AG10" si="4">+X5+Z5+AB5+AD5</f>
        <v>0</v>
      </c>
      <c r="AG5" s="137">
        <f>+Y5+AA5+AC5+AE5</f>
        <v>0</v>
      </c>
      <c r="AH5" s="153">
        <f>+U5+AG5</f>
        <v>0</v>
      </c>
      <c r="AI5" s="154"/>
    </row>
    <row r="6" spans="1:35" s="11" customFormat="1" ht="31.5" customHeight="1" x14ac:dyDescent="0.25">
      <c r="A6" s="50">
        <v>7</v>
      </c>
      <c r="B6" s="50">
        <v>1</v>
      </c>
      <c r="C6" s="213"/>
      <c r="D6" s="194"/>
      <c r="E6" s="206"/>
      <c r="F6" s="206"/>
      <c r="G6" s="43" t="s">
        <v>118</v>
      </c>
      <c r="H6" s="44"/>
      <c r="I6" s="44"/>
      <c r="J6" s="44"/>
      <c r="K6" s="44"/>
      <c r="L6" s="44"/>
      <c r="M6" s="4" t="s">
        <v>34</v>
      </c>
      <c r="N6" s="4" t="s">
        <v>35</v>
      </c>
      <c r="O6" s="4" t="s">
        <v>39</v>
      </c>
      <c r="P6" s="6" t="s">
        <v>117</v>
      </c>
      <c r="Q6" s="78"/>
      <c r="R6" s="79"/>
      <c r="S6" s="137">
        <f>+R6*Q6</f>
        <v>0</v>
      </c>
      <c r="T6" s="137">
        <f>+R6</f>
        <v>0</v>
      </c>
      <c r="U6" s="137">
        <f>S6</f>
        <v>0</v>
      </c>
      <c r="V6" s="138" t="s">
        <v>117</v>
      </c>
      <c r="W6" s="139"/>
      <c r="X6" s="137"/>
      <c r="Y6" s="137">
        <f t="shared" si="0"/>
        <v>0</v>
      </c>
      <c r="Z6" s="137"/>
      <c r="AA6" s="137">
        <f t="shared" si="1"/>
        <v>0</v>
      </c>
      <c r="AB6" s="137"/>
      <c r="AC6" s="137">
        <f t="shared" si="2"/>
        <v>0</v>
      </c>
      <c r="AD6" s="137"/>
      <c r="AE6" s="137">
        <f t="shared" si="3"/>
        <v>0</v>
      </c>
      <c r="AF6" s="137">
        <f t="shared" si="4"/>
        <v>0</v>
      </c>
      <c r="AG6" s="137">
        <f>+Y6+AA6+AC6+AE6</f>
        <v>0</v>
      </c>
      <c r="AH6" s="153">
        <f>+U6+AG6</f>
        <v>0</v>
      </c>
      <c r="AI6" s="154"/>
    </row>
    <row r="7" spans="1:35" s="59" customFormat="1" ht="38.25" x14ac:dyDescent="0.25">
      <c r="A7" s="50">
        <v>7</v>
      </c>
      <c r="B7" s="50">
        <v>1</v>
      </c>
      <c r="C7" s="213"/>
      <c r="D7" s="194"/>
      <c r="E7" s="206"/>
      <c r="F7" s="207"/>
      <c r="G7" s="3" t="s">
        <v>119</v>
      </c>
      <c r="H7" s="5"/>
      <c r="I7" s="5"/>
      <c r="J7" s="5"/>
      <c r="K7" s="5"/>
      <c r="L7" s="5"/>
      <c r="M7" s="4" t="s">
        <v>34</v>
      </c>
      <c r="N7" s="4" t="s">
        <v>35</v>
      </c>
      <c r="O7" s="4" t="s">
        <v>39</v>
      </c>
      <c r="P7" s="6" t="s">
        <v>117</v>
      </c>
      <c r="Q7" s="78"/>
      <c r="R7" s="79"/>
      <c r="S7" s="137">
        <f t="shared" ref="S7:S10" si="5">+R7*Q7</f>
        <v>0</v>
      </c>
      <c r="T7" s="137">
        <f t="shared" ref="T7:T10" si="6">+R7</f>
        <v>0</v>
      </c>
      <c r="U7" s="137">
        <f t="shared" ref="U7:U10" si="7">S7</f>
        <v>0</v>
      </c>
      <c r="V7" s="138" t="s">
        <v>117</v>
      </c>
      <c r="W7" s="139"/>
      <c r="X7" s="137"/>
      <c r="Y7" s="137">
        <f t="shared" si="0"/>
        <v>0</v>
      </c>
      <c r="Z7" s="137"/>
      <c r="AA7" s="137">
        <f t="shared" si="1"/>
        <v>0</v>
      </c>
      <c r="AB7" s="137"/>
      <c r="AC7" s="137">
        <f t="shared" si="2"/>
        <v>0</v>
      </c>
      <c r="AD7" s="137"/>
      <c r="AE7" s="137">
        <f t="shared" si="3"/>
        <v>0</v>
      </c>
      <c r="AF7" s="137">
        <f t="shared" si="4"/>
        <v>0</v>
      </c>
      <c r="AG7" s="137">
        <f t="shared" si="4"/>
        <v>0</v>
      </c>
      <c r="AH7" s="153">
        <f>+U7+AG7</f>
        <v>0</v>
      </c>
      <c r="AI7" s="154"/>
    </row>
    <row r="8" spans="1:35" s="59" customFormat="1" ht="38.25" customHeight="1" x14ac:dyDescent="0.25">
      <c r="A8" s="60">
        <v>11</v>
      </c>
      <c r="B8" s="60">
        <v>1</v>
      </c>
      <c r="C8" s="61" t="s">
        <v>38</v>
      </c>
      <c r="D8" s="194"/>
      <c r="E8" s="206"/>
      <c r="F8" s="205" t="s">
        <v>120</v>
      </c>
      <c r="G8" s="3" t="s">
        <v>64</v>
      </c>
      <c r="H8" s="5"/>
      <c r="I8" s="5"/>
      <c r="J8" s="5"/>
      <c r="K8" s="5"/>
      <c r="L8" s="5"/>
      <c r="M8" s="4" t="s">
        <v>34</v>
      </c>
      <c r="N8" s="4" t="s">
        <v>35</v>
      </c>
      <c r="O8" s="4" t="s">
        <v>39</v>
      </c>
      <c r="P8" s="6" t="s">
        <v>117</v>
      </c>
      <c r="Q8" s="78"/>
      <c r="R8" s="79"/>
      <c r="S8" s="137">
        <f t="shared" si="5"/>
        <v>0</v>
      </c>
      <c r="T8" s="137">
        <f t="shared" si="6"/>
        <v>0</v>
      </c>
      <c r="U8" s="137">
        <f t="shared" si="7"/>
        <v>0</v>
      </c>
      <c r="V8" s="138" t="s">
        <v>117</v>
      </c>
      <c r="W8" s="139"/>
      <c r="X8" s="137"/>
      <c r="Y8" s="137">
        <f t="shared" si="0"/>
        <v>0</v>
      </c>
      <c r="Z8" s="137"/>
      <c r="AA8" s="137">
        <f t="shared" si="1"/>
        <v>0</v>
      </c>
      <c r="AB8" s="137"/>
      <c r="AC8" s="137">
        <f t="shared" si="2"/>
        <v>0</v>
      </c>
      <c r="AD8" s="137"/>
      <c r="AE8" s="137">
        <f t="shared" si="3"/>
        <v>0</v>
      </c>
      <c r="AF8" s="137">
        <f t="shared" si="4"/>
        <v>0</v>
      </c>
      <c r="AG8" s="137">
        <f t="shared" si="4"/>
        <v>0</v>
      </c>
      <c r="AH8" s="153">
        <f>+U8+AG8</f>
        <v>0</v>
      </c>
      <c r="AI8" s="154"/>
    </row>
    <row r="9" spans="1:35" s="59" customFormat="1" ht="38.25" x14ac:dyDescent="0.25">
      <c r="A9" s="60">
        <v>11</v>
      </c>
      <c r="B9" s="60">
        <v>1</v>
      </c>
      <c r="C9" s="61" t="s">
        <v>38</v>
      </c>
      <c r="D9" s="194"/>
      <c r="E9" s="206"/>
      <c r="F9" s="206"/>
      <c r="G9" s="3" t="s">
        <v>121</v>
      </c>
      <c r="H9" s="5"/>
      <c r="I9" s="5"/>
      <c r="J9" s="5"/>
      <c r="K9" s="5"/>
      <c r="L9" s="5"/>
      <c r="M9" s="4" t="s">
        <v>34</v>
      </c>
      <c r="N9" s="4" t="s">
        <v>35</v>
      </c>
      <c r="O9" s="4" t="s">
        <v>39</v>
      </c>
      <c r="P9" s="6" t="s">
        <v>117</v>
      </c>
      <c r="Q9" s="78"/>
      <c r="R9" s="79"/>
      <c r="S9" s="137">
        <f t="shared" si="5"/>
        <v>0</v>
      </c>
      <c r="T9" s="137">
        <f t="shared" si="6"/>
        <v>0</v>
      </c>
      <c r="U9" s="137">
        <f t="shared" si="7"/>
        <v>0</v>
      </c>
      <c r="V9" s="138" t="s">
        <v>117</v>
      </c>
      <c r="W9" s="139"/>
      <c r="X9" s="137"/>
      <c r="Y9" s="137">
        <f t="shared" si="0"/>
        <v>0</v>
      </c>
      <c r="Z9" s="137"/>
      <c r="AA9" s="137">
        <f t="shared" si="1"/>
        <v>0</v>
      </c>
      <c r="AB9" s="137"/>
      <c r="AC9" s="137">
        <f t="shared" si="2"/>
        <v>0</v>
      </c>
      <c r="AD9" s="137"/>
      <c r="AE9" s="137">
        <f t="shared" si="3"/>
        <v>0</v>
      </c>
      <c r="AF9" s="137">
        <f t="shared" si="4"/>
        <v>0</v>
      </c>
      <c r="AG9" s="137">
        <f t="shared" si="4"/>
        <v>0</v>
      </c>
      <c r="AH9" s="153">
        <f t="shared" ref="AH9:AH10" si="8">+U9+AG9</f>
        <v>0</v>
      </c>
      <c r="AI9" s="154"/>
    </row>
    <row r="10" spans="1:35" s="59" customFormat="1" ht="38.25" x14ac:dyDescent="0.25">
      <c r="A10" s="60">
        <v>11</v>
      </c>
      <c r="B10" s="60">
        <v>1</v>
      </c>
      <c r="C10" s="61" t="s">
        <v>38</v>
      </c>
      <c r="D10" s="195"/>
      <c r="E10" s="207"/>
      <c r="F10" s="207"/>
      <c r="G10" s="3" t="s">
        <v>66</v>
      </c>
      <c r="H10" s="5"/>
      <c r="I10" s="5"/>
      <c r="J10" s="5"/>
      <c r="K10" s="5"/>
      <c r="L10" s="5"/>
      <c r="M10" s="4" t="s">
        <v>34</v>
      </c>
      <c r="N10" s="4" t="s">
        <v>35</v>
      </c>
      <c r="O10" s="4" t="s">
        <v>39</v>
      </c>
      <c r="P10" s="6" t="s">
        <v>117</v>
      </c>
      <c r="Q10" s="78"/>
      <c r="R10" s="79"/>
      <c r="S10" s="137">
        <f t="shared" si="5"/>
        <v>0</v>
      </c>
      <c r="T10" s="137">
        <f t="shared" si="6"/>
        <v>0</v>
      </c>
      <c r="U10" s="137">
        <f t="shared" si="7"/>
        <v>0</v>
      </c>
      <c r="V10" s="138" t="s">
        <v>117</v>
      </c>
      <c r="W10" s="139"/>
      <c r="X10" s="137"/>
      <c r="Y10" s="137">
        <f t="shared" si="0"/>
        <v>0</v>
      </c>
      <c r="Z10" s="137"/>
      <c r="AA10" s="137">
        <f t="shared" si="1"/>
        <v>0</v>
      </c>
      <c r="AB10" s="137"/>
      <c r="AC10" s="137">
        <f t="shared" si="2"/>
        <v>0</v>
      </c>
      <c r="AD10" s="137"/>
      <c r="AE10" s="137">
        <f t="shared" si="3"/>
        <v>0</v>
      </c>
      <c r="AF10" s="137">
        <f t="shared" si="4"/>
        <v>0</v>
      </c>
      <c r="AG10" s="137">
        <f t="shared" si="4"/>
        <v>0</v>
      </c>
      <c r="AH10" s="153">
        <f t="shared" si="8"/>
        <v>0</v>
      </c>
      <c r="AI10" s="154"/>
    </row>
    <row r="11" spans="1:35" s="11" customFormat="1" x14ac:dyDescent="0.2">
      <c r="A11" s="62" t="s">
        <v>56</v>
      </c>
      <c r="B11" s="25"/>
      <c r="C11" s="26"/>
      <c r="D11" s="26"/>
      <c r="E11" s="26"/>
      <c r="F11" s="26"/>
      <c r="G11" s="38"/>
      <c r="H11" s="39"/>
      <c r="I11" s="39"/>
      <c r="J11" s="39"/>
      <c r="K11" s="39"/>
      <c r="L11" s="39"/>
      <c r="M11" s="37"/>
      <c r="N11" s="37"/>
      <c r="O11" s="37"/>
      <c r="P11" s="37"/>
      <c r="Q11" s="40"/>
      <c r="R11" s="41"/>
      <c r="S11" s="164"/>
      <c r="T11" s="164"/>
      <c r="U11" s="164"/>
      <c r="V11" s="164"/>
      <c r="W11" s="164"/>
      <c r="X11" s="164"/>
      <c r="Y11" s="164"/>
      <c r="Z11" s="164"/>
      <c r="AA11" s="164"/>
      <c r="AB11" s="164"/>
      <c r="AC11" s="164"/>
      <c r="AD11" s="164"/>
      <c r="AE11" s="164"/>
      <c r="AF11" s="164"/>
      <c r="AG11" s="164"/>
      <c r="AH11" s="168">
        <f>SUM(AH12:AH23)</f>
        <v>0</v>
      </c>
      <c r="AI11" s="170">
        <v>63155601</v>
      </c>
    </row>
    <row r="12" spans="1:35" s="11" customFormat="1" ht="38.25" x14ac:dyDescent="0.25">
      <c r="A12" s="190">
        <v>13</v>
      </c>
      <c r="B12" s="217">
        <v>1</v>
      </c>
      <c r="C12" s="193" t="s">
        <v>38</v>
      </c>
      <c r="D12" s="193" t="s">
        <v>32</v>
      </c>
      <c r="E12" s="205" t="s">
        <v>122</v>
      </c>
      <c r="F12" s="208" t="s">
        <v>123</v>
      </c>
      <c r="G12" s="43" t="s">
        <v>172</v>
      </c>
      <c r="H12" s="5"/>
      <c r="I12" s="5"/>
      <c r="J12" s="5"/>
      <c r="K12" s="5"/>
      <c r="L12" s="5"/>
      <c r="M12" s="4" t="s">
        <v>34</v>
      </c>
      <c r="N12" s="4" t="s">
        <v>35</v>
      </c>
      <c r="O12" s="4" t="s">
        <v>41</v>
      </c>
      <c r="P12" s="6" t="s">
        <v>124</v>
      </c>
      <c r="Q12" s="135"/>
      <c r="R12" s="136">
        <f>+SUM(R13:R16)</f>
        <v>0</v>
      </c>
      <c r="S12" s="148">
        <f>+SUM(S13:S16)</f>
        <v>0</v>
      </c>
      <c r="T12" s="148">
        <f>+SUM(T13:T16)</f>
        <v>0</v>
      </c>
      <c r="U12" s="148">
        <f>+SUM(U13:U16)</f>
        <v>0</v>
      </c>
      <c r="V12" s="138" t="s">
        <v>124</v>
      </c>
      <c r="W12" s="139"/>
      <c r="X12" s="148">
        <f t="shared" ref="X12:Y12" si="9">+SUM(X13:X16)</f>
        <v>0</v>
      </c>
      <c r="Y12" s="148">
        <f t="shared" si="9"/>
        <v>0</v>
      </c>
      <c r="Z12" s="148">
        <f>+SUM(Z13:Z16)</f>
        <v>0</v>
      </c>
      <c r="AA12" s="148">
        <f t="shared" ref="AA12:AG12" si="10">+SUM(AA13:AA16)</f>
        <v>0</v>
      </c>
      <c r="AB12" s="148">
        <f t="shared" si="10"/>
        <v>0</v>
      </c>
      <c r="AC12" s="148">
        <f t="shared" si="10"/>
        <v>0</v>
      </c>
      <c r="AD12" s="148">
        <f t="shared" si="10"/>
        <v>0</v>
      </c>
      <c r="AE12" s="148">
        <f t="shared" si="10"/>
        <v>0</v>
      </c>
      <c r="AF12" s="148">
        <f t="shared" si="10"/>
        <v>0</v>
      </c>
      <c r="AG12" s="148">
        <f t="shared" si="10"/>
        <v>0</v>
      </c>
      <c r="AH12" s="153">
        <f t="shared" ref="AH12:AH23" si="11">+U12+AG12</f>
        <v>0</v>
      </c>
      <c r="AI12" s="154"/>
    </row>
    <row r="13" spans="1:35" s="11" customFormat="1" x14ac:dyDescent="0.25">
      <c r="A13" s="191"/>
      <c r="B13" s="218"/>
      <c r="C13" s="194"/>
      <c r="D13" s="194"/>
      <c r="E13" s="206"/>
      <c r="F13" s="209"/>
      <c r="G13" s="43" t="s">
        <v>208</v>
      </c>
      <c r="H13" s="5"/>
      <c r="I13" s="5"/>
      <c r="J13" s="5"/>
      <c r="K13" s="5"/>
      <c r="L13" s="5"/>
      <c r="M13" s="4"/>
      <c r="N13" s="4"/>
      <c r="O13" s="4"/>
      <c r="P13" s="6"/>
      <c r="Q13" s="135"/>
      <c r="R13" s="136"/>
      <c r="S13" s="137">
        <f>+Q13*R13</f>
        <v>0</v>
      </c>
      <c r="T13" s="137">
        <f>+R13</f>
        <v>0</v>
      </c>
      <c r="U13" s="137">
        <f t="shared" ref="U13:U23" si="12">S13</f>
        <v>0</v>
      </c>
      <c r="V13" s="138"/>
      <c r="W13" s="139">
        <v>1</v>
      </c>
      <c r="X13" s="137"/>
      <c r="Y13" s="137">
        <f>+$W13*X13</f>
        <v>0</v>
      </c>
      <c r="Z13" s="137"/>
      <c r="AA13" s="137">
        <f>+$W13*Z13</f>
        <v>0</v>
      </c>
      <c r="AB13" s="137"/>
      <c r="AC13" s="137">
        <f>+$W13*AB13</f>
        <v>0</v>
      </c>
      <c r="AD13" s="137"/>
      <c r="AE13" s="137">
        <f>+$W13*AD13</f>
        <v>0</v>
      </c>
      <c r="AF13" s="137">
        <f t="shared" ref="AF13:AG23" si="13">+X13+Z13+AB13+AD13</f>
        <v>0</v>
      </c>
      <c r="AG13" s="137">
        <f t="shared" si="13"/>
        <v>0</v>
      </c>
      <c r="AH13" s="153"/>
      <c r="AI13" s="154"/>
    </row>
    <row r="14" spans="1:35" s="11" customFormat="1" x14ac:dyDescent="0.25">
      <c r="A14" s="191"/>
      <c r="B14" s="218"/>
      <c r="C14" s="194"/>
      <c r="D14" s="194"/>
      <c r="E14" s="206"/>
      <c r="F14" s="209"/>
      <c r="G14" s="43" t="s">
        <v>209</v>
      </c>
      <c r="H14" s="5"/>
      <c r="I14" s="5"/>
      <c r="J14" s="5"/>
      <c r="K14" s="5"/>
      <c r="L14" s="5"/>
      <c r="M14" s="4"/>
      <c r="N14" s="4"/>
      <c r="O14" s="4"/>
      <c r="P14" s="6"/>
      <c r="Q14" s="135"/>
      <c r="R14" s="136"/>
      <c r="S14" s="137">
        <f t="shared" ref="S14:S21" si="14">+Q14*R14</f>
        <v>0</v>
      </c>
      <c r="T14" s="137">
        <f t="shared" ref="T14:T21" si="15">+R14</f>
        <v>0</v>
      </c>
      <c r="U14" s="137">
        <f t="shared" si="12"/>
        <v>0</v>
      </c>
      <c r="V14" s="138"/>
      <c r="W14" s="139">
        <v>1</v>
      </c>
      <c r="X14" s="137"/>
      <c r="Y14" s="137">
        <f t="shared" ref="Y14:Y21" si="16">+$W14*X14</f>
        <v>0</v>
      </c>
      <c r="Z14" s="137"/>
      <c r="AA14" s="137">
        <f t="shared" ref="AA14:AA21" si="17">+$W14*Z14</f>
        <v>0</v>
      </c>
      <c r="AB14" s="137"/>
      <c r="AC14" s="137">
        <f t="shared" ref="AC14:AC21" si="18">+$W14*AB14</f>
        <v>0</v>
      </c>
      <c r="AD14" s="137"/>
      <c r="AE14" s="137">
        <f t="shared" ref="AE14:AE21" si="19">+$W14*AD14</f>
        <v>0</v>
      </c>
      <c r="AF14" s="137">
        <f t="shared" si="13"/>
        <v>0</v>
      </c>
      <c r="AG14" s="137">
        <f t="shared" si="13"/>
        <v>0</v>
      </c>
      <c r="AH14" s="153"/>
      <c r="AI14" s="154"/>
    </row>
    <row r="15" spans="1:35" s="11" customFormat="1" x14ac:dyDescent="0.25">
      <c r="A15" s="191"/>
      <c r="B15" s="218"/>
      <c r="C15" s="194"/>
      <c r="D15" s="194"/>
      <c r="E15" s="206"/>
      <c r="F15" s="209"/>
      <c r="G15" s="43" t="s">
        <v>210</v>
      </c>
      <c r="H15" s="5"/>
      <c r="I15" s="5"/>
      <c r="J15" s="5"/>
      <c r="K15" s="5"/>
      <c r="L15" s="5"/>
      <c r="M15" s="4"/>
      <c r="N15" s="4"/>
      <c r="O15" s="4"/>
      <c r="P15" s="6"/>
      <c r="Q15" s="135"/>
      <c r="R15" s="136"/>
      <c r="S15" s="137">
        <f t="shared" si="14"/>
        <v>0</v>
      </c>
      <c r="T15" s="137">
        <f t="shared" si="15"/>
        <v>0</v>
      </c>
      <c r="U15" s="137">
        <f t="shared" si="12"/>
        <v>0</v>
      </c>
      <c r="V15" s="138"/>
      <c r="W15" s="139">
        <v>1</v>
      </c>
      <c r="X15" s="137"/>
      <c r="Y15" s="137">
        <f t="shared" si="16"/>
        <v>0</v>
      </c>
      <c r="Z15" s="137"/>
      <c r="AA15" s="137">
        <f t="shared" si="17"/>
        <v>0</v>
      </c>
      <c r="AB15" s="137"/>
      <c r="AC15" s="137">
        <f t="shared" si="18"/>
        <v>0</v>
      </c>
      <c r="AD15" s="137"/>
      <c r="AE15" s="137">
        <f t="shared" si="19"/>
        <v>0</v>
      </c>
      <c r="AF15" s="137">
        <f t="shared" si="13"/>
        <v>0</v>
      </c>
      <c r="AG15" s="137">
        <f t="shared" si="13"/>
        <v>0</v>
      </c>
      <c r="AH15" s="153"/>
      <c r="AI15" s="154"/>
    </row>
    <row r="16" spans="1:35" s="11" customFormat="1" x14ac:dyDescent="0.25">
      <c r="A16" s="192"/>
      <c r="B16" s="220"/>
      <c r="C16" s="195"/>
      <c r="D16" s="194"/>
      <c r="E16" s="206"/>
      <c r="F16" s="209"/>
      <c r="G16" s="43" t="s">
        <v>211</v>
      </c>
      <c r="H16" s="5"/>
      <c r="I16" s="5"/>
      <c r="J16" s="5"/>
      <c r="K16" s="5"/>
      <c r="L16" s="5"/>
      <c r="M16" s="4"/>
      <c r="N16" s="4"/>
      <c r="O16" s="4"/>
      <c r="P16" s="6"/>
      <c r="Q16" s="135"/>
      <c r="R16" s="136"/>
      <c r="S16" s="137">
        <f t="shared" si="14"/>
        <v>0</v>
      </c>
      <c r="T16" s="137">
        <f t="shared" si="15"/>
        <v>0</v>
      </c>
      <c r="U16" s="137">
        <f t="shared" si="12"/>
        <v>0</v>
      </c>
      <c r="V16" s="138"/>
      <c r="W16" s="139">
        <v>1</v>
      </c>
      <c r="X16" s="137"/>
      <c r="Y16" s="137">
        <f t="shared" si="16"/>
        <v>0</v>
      </c>
      <c r="Z16" s="137"/>
      <c r="AA16" s="137">
        <f t="shared" si="17"/>
        <v>0</v>
      </c>
      <c r="AB16" s="137"/>
      <c r="AC16" s="137">
        <f t="shared" si="18"/>
        <v>0</v>
      </c>
      <c r="AD16" s="137"/>
      <c r="AE16" s="137">
        <f t="shared" si="19"/>
        <v>0</v>
      </c>
      <c r="AF16" s="137">
        <f t="shared" si="13"/>
        <v>0</v>
      </c>
      <c r="AG16" s="137">
        <f t="shared" si="13"/>
        <v>0</v>
      </c>
      <c r="AH16" s="153"/>
      <c r="AI16" s="154"/>
    </row>
    <row r="17" spans="1:37" s="11" customFormat="1" ht="38.25" x14ac:dyDescent="0.25">
      <c r="A17" s="60">
        <v>13</v>
      </c>
      <c r="B17" s="60">
        <v>1</v>
      </c>
      <c r="C17" s="63" t="s">
        <v>38</v>
      </c>
      <c r="D17" s="194"/>
      <c r="E17" s="206"/>
      <c r="F17" s="209"/>
      <c r="G17" s="43" t="s">
        <v>173</v>
      </c>
      <c r="H17" s="5"/>
      <c r="I17" s="5"/>
      <c r="J17" s="5"/>
      <c r="K17" s="5"/>
      <c r="L17" s="5"/>
      <c r="M17" s="4" t="s">
        <v>34</v>
      </c>
      <c r="N17" s="4" t="s">
        <v>35</v>
      </c>
      <c r="O17" s="4" t="s">
        <v>41</v>
      </c>
      <c r="P17" s="6" t="s">
        <v>125</v>
      </c>
      <c r="Q17" s="135"/>
      <c r="R17" s="136">
        <f>+SUM(R18:R21)</f>
        <v>0</v>
      </c>
      <c r="S17" s="148">
        <f>+SUM(S18:S21)</f>
        <v>0</v>
      </c>
      <c r="T17" s="148">
        <f>+SUM(T18:T21)</f>
        <v>0</v>
      </c>
      <c r="U17" s="148">
        <f>+SUM(U18:U21)</f>
        <v>0</v>
      </c>
      <c r="V17" s="138" t="s">
        <v>125</v>
      </c>
      <c r="W17" s="139"/>
      <c r="X17" s="148">
        <f t="shared" ref="X17" si="20">+SUM(X18:X21)</f>
        <v>0</v>
      </c>
      <c r="Y17" s="148">
        <f t="shared" ref="Y17:Z17" si="21">+SUM(Y18:Y21)</f>
        <v>0</v>
      </c>
      <c r="Z17" s="148">
        <f t="shared" si="21"/>
        <v>0</v>
      </c>
      <c r="AA17" s="148">
        <f t="shared" ref="AA17" si="22">+SUM(AA18:AA21)</f>
        <v>0</v>
      </c>
      <c r="AB17" s="148">
        <f t="shared" ref="AB17" si="23">+SUM(AB18:AB21)</f>
        <v>0</v>
      </c>
      <c r="AC17" s="148">
        <f t="shared" ref="AC17" si="24">+SUM(AC18:AC21)</f>
        <v>0</v>
      </c>
      <c r="AD17" s="148">
        <f t="shared" ref="AD17" si="25">+SUM(AD18:AD21)</f>
        <v>0</v>
      </c>
      <c r="AE17" s="148">
        <f t="shared" ref="AE17:AG17" si="26">+SUM(AE18:AE21)</f>
        <v>0</v>
      </c>
      <c r="AF17" s="148">
        <f t="shared" si="26"/>
        <v>0</v>
      </c>
      <c r="AG17" s="148">
        <f t="shared" si="26"/>
        <v>0</v>
      </c>
      <c r="AH17" s="153">
        <f t="shared" si="11"/>
        <v>0</v>
      </c>
      <c r="AI17" s="154"/>
    </row>
    <row r="18" spans="1:37" s="11" customFormat="1" x14ac:dyDescent="0.25">
      <c r="A18" s="60"/>
      <c r="B18" s="60"/>
      <c r="C18" s="63"/>
      <c r="D18" s="194"/>
      <c r="E18" s="206"/>
      <c r="F18" s="209"/>
      <c r="G18" s="43" t="s">
        <v>208</v>
      </c>
      <c r="H18" s="5"/>
      <c r="I18" s="5"/>
      <c r="J18" s="5"/>
      <c r="K18" s="5"/>
      <c r="L18" s="5"/>
      <c r="M18" s="4"/>
      <c r="N18" s="4"/>
      <c r="O18" s="4"/>
      <c r="P18" s="6"/>
      <c r="Q18" s="135"/>
      <c r="R18" s="136"/>
      <c r="S18" s="137">
        <f t="shared" si="14"/>
        <v>0</v>
      </c>
      <c r="T18" s="137">
        <f t="shared" si="15"/>
        <v>0</v>
      </c>
      <c r="U18" s="137">
        <f t="shared" si="12"/>
        <v>0</v>
      </c>
      <c r="V18" s="138"/>
      <c r="W18" s="139">
        <v>1</v>
      </c>
      <c r="X18" s="137"/>
      <c r="Y18" s="137">
        <f t="shared" si="16"/>
        <v>0</v>
      </c>
      <c r="Z18" s="137"/>
      <c r="AA18" s="137">
        <f t="shared" si="17"/>
        <v>0</v>
      </c>
      <c r="AB18" s="137"/>
      <c r="AC18" s="137">
        <f t="shared" si="18"/>
        <v>0</v>
      </c>
      <c r="AD18" s="137"/>
      <c r="AE18" s="137">
        <f t="shared" si="19"/>
        <v>0</v>
      </c>
      <c r="AF18" s="137">
        <f t="shared" si="13"/>
        <v>0</v>
      </c>
      <c r="AG18" s="137">
        <f t="shared" si="13"/>
        <v>0</v>
      </c>
      <c r="AH18" s="153"/>
      <c r="AI18" s="154"/>
    </row>
    <row r="19" spans="1:37" s="11" customFormat="1" x14ac:dyDescent="0.25">
      <c r="A19" s="60"/>
      <c r="B19" s="60"/>
      <c r="C19" s="63"/>
      <c r="D19" s="194"/>
      <c r="E19" s="206"/>
      <c r="F19" s="209"/>
      <c r="G19" s="43" t="s">
        <v>209</v>
      </c>
      <c r="H19" s="5"/>
      <c r="I19" s="5"/>
      <c r="J19" s="5"/>
      <c r="K19" s="5"/>
      <c r="L19" s="5"/>
      <c r="M19" s="4"/>
      <c r="N19" s="4"/>
      <c r="O19" s="4"/>
      <c r="P19" s="6"/>
      <c r="Q19" s="135"/>
      <c r="R19" s="136"/>
      <c r="S19" s="137">
        <f t="shared" si="14"/>
        <v>0</v>
      </c>
      <c r="T19" s="137">
        <f t="shared" si="15"/>
        <v>0</v>
      </c>
      <c r="U19" s="137">
        <f t="shared" si="12"/>
        <v>0</v>
      </c>
      <c r="V19" s="138"/>
      <c r="W19" s="139">
        <v>1</v>
      </c>
      <c r="X19" s="137"/>
      <c r="Y19" s="137">
        <f t="shared" si="16"/>
        <v>0</v>
      </c>
      <c r="Z19" s="137"/>
      <c r="AA19" s="137">
        <f t="shared" si="17"/>
        <v>0</v>
      </c>
      <c r="AB19" s="137"/>
      <c r="AC19" s="137">
        <f t="shared" si="18"/>
        <v>0</v>
      </c>
      <c r="AD19" s="137"/>
      <c r="AE19" s="137">
        <f t="shared" si="19"/>
        <v>0</v>
      </c>
      <c r="AF19" s="137">
        <f t="shared" si="13"/>
        <v>0</v>
      </c>
      <c r="AG19" s="137">
        <f t="shared" si="13"/>
        <v>0</v>
      </c>
      <c r="AH19" s="153"/>
      <c r="AI19" s="154"/>
    </row>
    <row r="20" spans="1:37" s="11" customFormat="1" x14ac:dyDescent="0.25">
      <c r="A20" s="60"/>
      <c r="B20" s="60"/>
      <c r="C20" s="63"/>
      <c r="D20" s="194"/>
      <c r="E20" s="206"/>
      <c r="F20" s="209"/>
      <c r="G20" s="43" t="s">
        <v>210</v>
      </c>
      <c r="H20" s="5"/>
      <c r="I20" s="5"/>
      <c r="J20" s="5"/>
      <c r="K20" s="5"/>
      <c r="L20" s="5"/>
      <c r="M20" s="4"/>
      <c r="N20" s="4"/>
      <c r="O20" s="4"/>
      <c r="P20" s="6"/>
      <c r="Q20" s="135"/>
      <c r="R20" s="136"/>
      <c r="S20" s="137">
        <f t="shared" si="14"/>
        <v>0</v>
      </c>
      <c r="T20" s="137">
        <f t="shared" si="15"/>
        <v>0</v>
      </c>
      <c r="U20" s="137">
        <f t="shared" si="12"/>
        <v>0</v>
      </c>
      <c r="V20" s="138"/>
      <c r="W20" s="139">
        <v>1</v>
      </c>
      <c r="X20" s="137"/>
      <c r="Y20" s="137">
        <f t="shared" si="16"/>
        <v>0</v>
      </c>
      <c r="Z20" s="137"/>
      <c r="AA20" s="137">
        <f t="shared" si="17"/>
        <v>0</v>
      </c>
      <c r="AB20" s="137"/>
      <c r="AC20" s="137">
        <f t="shared" si="18"/>
        <v>0</v>
      </c>
      <c r="AD20" s="137"/>
      <c r="AE20" s="137">
        <f t="shared" si="19"/>
        <v>0</v>
      </c>
      <c r="AF20" s="137">
        <f t="shared" si="13"/>
        <v>0</v>
      </c>
      <c r="AG20" s="137">
        <f t="shared" si="13"/>
        <v>0</v>
      </c>
      <c r="AH20" s="153"/>
      <c r="AI20" s="154"/>
    </row>
    <row r="21" spans="1:37" s="11" customFormat="1" x14ac:dyDescent="0.25">
      <c r="A21" s="60"/>
      <c r="B21" s="60"/>
      <c r="C21" s="63"/>
      <c r="D21" s="194"/>
      <c r="E21" s="206"/>
      <c r="F21" s="209"/>
      <c r="G21" s="43" t="s">
        <v>211</v>
      </c>
      <c r="H21" s="5"/>
      <c r="I21" s="5"/>
      <c r="J21" s="5"/>
      <c r="K21" s="5"/>
      <c r="L21" s="5"/>
      <c r="M21" s="4"/>
      <c r="N21" s="4"/>
      <c r="O21" s="4"/>
      <c r="P21" s="6"/>
      <c r="Q21" s="135"/>
      <c r="R21" s="136"/>
      <c r="S21" s="137">
        <f t="shared" si="14"/>
        <v>0</v>
      </c>
      <c r="T21" s="137">
        <f t="shared" si="15"/>
        <v>0</v>
      </c>
      <c r="U21" s="137">
        <f t="shared" si="12"/>
        <v>0</v>
      </c>
      <c r="V21" s="138"/>
      <c r="W21" s="139">
        <v>1</v>
      </c>
      <c r="X21" s="137"/>
      <c r="Y21" s="137">
        <f t="shared" si="16"/>
        <v>0</v>
      </c>
      <c r="Z21" s="137"/>
      <c r="AA21" s="137">
        <f t="shared" si="17"/>
        <v>0</v>
      </c>
      <c r="AB21" s="137"/>
      <c r="AC21" s="137">
        <f t="shared" si="18"/>
        <v>0</v>
      </c>
      <c r="AD21" s="137"/>
      <c r="AE21" s="137">
        <f t="shared" si="19"/>
        <v>0</v>
      </c>
      <c r="AF21" s="137">
        <f t="shared" si="13"/>
        <v>0</v>
      </c>
      <c r="AG21" s="137">
        <f t="shared" si="13"/>
        <v>0</v>
      </c>
      <c r="AH21" s="153"/>
      <c r="AI21" s="154"/>
    </row>
    <row r="22" spans="1:37" s="11" customFormat="1" ht="38.25" x14ac:dyDescent="0.25">
      <c r="A22" s="60">
        <v>13</v>
      </c>
      <c r="B22" s="60">
        <v>1</v>
      </c>
      <c r="C22" s="63" t="s">
        <v>38</v>
      </c>
      <c r="D22" s="194"/>
      <c r="E22" s="206"/>
      <c r="F22" s="209"/>
      <c r="G22" s="43" t="s">
        <v>126</v>
      </c>
      <c r="H22" s="5"/>
      <c r="I22" s="5"/>
      <c r="J22" s="5"/>
      <c r="K22" s="5"/>
      <c r="L22" s="5"/>
      <c r="M22" s="4" t="s">
        <v>34</v>
      </c>
      <c r="N22" s="4" t="s">
        <v>35</v>
      </c>
      <c r="O22" s="4" t="s">
        <v>41</v>
      </c>
      <c r="P22" s="6" t="s">
        <v>127</v>
      </c>
      <c r="Q22" s="78"/>
      <c r="R22" s="79"/>
      <c r="S22" s="137">
        <f t="shared" ref="S22:S23" si="27">+R22*Q22</f>
        <v>0</v>
      </c>
      <c r="T22" s="137">
        <f t="shared" ref="T22:T23" si="28">+R22</f>
        <v>0</v>
      </c>
      <c r="U22" s="137">
        <f t="shared" si="12"/>
        <v>0</v>
      </c>
      <c r="V22" s="138" t="s">
        <v>127</v>
      </c>
      <c r="W22" s="139"/>
      <c r="X22" s="137"/>
      <c r="Y22" s="137">
        <f t="shared" ref="Y22:Y23" si="29">+W22*X22</f>
        <v>0</v>
      </c>
      <c r="Z22" s="137"/>
      <c r="AA22" s="137">
        <f t="shared" ref="AA22:AA23" si="30">+Z22*W22</f>
        <v>0</v>
      </c>
      <c r="AB22" s="137"/>
      <c r="AC22" s="137">
        <f t="shared" ref="AC22:AC23" si="31">+AB22*W22</f>
        <v>0</v>
      </c>
      <c r="AD22" s="137"/>
      <c r="AE22" s="137">
        <f t="shared" ref="AE22:AE23" si="32">+AD22*W22</f>
        <v>0</v>
      </c>
      <c r="AF22" s="137">
        <f t="shared" si="13"/>
        <v>0</v>
      </c>
      <c r="AG22" s="137">
        <f t="shared" si="13"/>
        <v>0</v>
      </c>
      <c r="AH22" s="153">
        <f t="shared" si="11"/>
        <v>0</v>
      </c>
      <c r="AI22" s="154"/>
    </row>
    <row r="23" spans="1:37" s="59" customFormat="1" ht="150.75" customHeight="1" x14ac:dyDescent="0.25">
      <c r="A23" s="60">
        <v>13</v>
      </c>
      <c r="B23" s="60">
        <v>1</v>
      </c>
      <c r="C23" s="63" t="s">
        <v>38</v>
      </c>
      <c r="D23" s="195"/>
      <c r="E23" s="207"/>
      <c r="F23" s="210"/>
      <c r="G23" s="43" t="s">
        <v>128</v>
      </c>
      <c r="H23" s="5"/>
      <c r="I23" s="5"/>
      <c r="J23" s="5"/>
      <c r="K23" s="5"/>
      <c r="L23" s="5"/>
      <c r="M23" s="4" t="s">
        <v>34</v>
      </c>
      <c r="N23" s="4" t="s">
        <v>35</v>
      </c>
      <c r="O23" s="4" t="s">
        <v>41</v>
      </c>
      <c r="P23" s="6" t="s">
        <v>129</v>
      </c>
      <c r="Q23" s="78"/>
      <c r="R23" s="79"/>
      <c r="S23" s="137">
        <f t="shared" si="27"/>
        <v>0</v>
      </c>
      <c r="T23" s="137">
        <f t="shared" si="28"/>
        <v>0</v>
      </c>
      <c r="U23" s="137">
        <f t="shared" si="12"/>
        <v>0</v>
      </c>
      <c r="V23" s="138" t="s">
        <v>129</v>
      </c>
      <c r="W23" s="139"/>
      <c r="X23" s="137"/>
      <c r="Y23" s="137">
        <f t="shared" si="29"/>
        <v>0</v>
      </c>
      <c r="Z23" s="137"/>
      <c r="AA23" s="137">
        <f t="shared" si="30"/>
        <v>0</v>
      </c>
      <c r="AB23" s="137"/>
      <c r="AC23" s="137">
        <f t="shared" si="31"/>
        <v>0</v>
      </c>
      <c r="AD23" s="137"/>
      <c r="AE23" s="137">
        <f t="shared" si="32"/>
        <v>0</v>
      </c>
      <c r="AF23" s="137">
        <f t="shared" si="13"/>
        <v>0</v>
      </c>
      <c r="AG23" s="137">
        <f t="shared" si="13"/>
        <v>0</v>
      </c>
      <c r="AH23" s="153">
        <f t="shared" si="11"/>
        <v>0</v>
      </c>
      <c r="AI23" s="154"/>
    </row>
    <row r="24" spans="1:37" s="11" customFormat="1" x14ac:dyDescent="0.2">
      <c r="A24" s="49" t="s">
        <v>57</v>
      </c>
      <c r="B24" s="25"/>
      <c r="C24" s="26"/>
      <c r="D24" s="26"/>
      <c r="E24" s="26"/>
      <c r="F24" s="26"/>
      <c r="G24" s="38"/>
      <c r="H24" s="39"/>
      <c r="I24" s="39"/>
      <c r="J24" s="39"/>
      <c r="K24" s="39"/>
      <c r="L24" s="39"/>
      <c r="M24" s="37"/>
      <c r="N24" s="37"/>
      <c r="O24" s="37"/>
      <c r="P24" s="34"/>
      <c r="Q24" s="40"/>
      <c r="R24" s="41"/>
      <c r="S24" s="164"/>
      <c r="T24" s="164"/>
      <c r="U24" s="164"/>
      <c r="V24" s="164"/>
      <c r="W24" s="164"/>
      <c r="X24" s="164"/>
      <c r="Y24" s="164"/>
      <c r="Z24" s="164"/>
      <c r="AA24" s="164"/>
      <c r="AB24" s="164"/>
      <c r="AC24" s="164"/>
      <c r="AD24" s="164"/>
      <c r="AE24" s="164"/>
      <c r="AF24" s="164"/>
      <c r="AG24" s="164"/>
      <c r="AH24" s="168">
        <f>SUM(AH25)</f>
        <v>0</v>
      </c>
      <c r="AI24" s="170">
        <v>27066691</v>
      </c>
    </row>
    <row r="25" spans="1:37" s="59" customFormat="1" ht="89.25" x14ac:dyDescent="0.25">
      <c r="A25" s="60">
        <v>8</v>
      </c>
      <c r="B25" s="60">
        <v>1</v>
      </c>
      <c r="C25" s="63" t="s">
        <v>38</v>
      </c>
      <c r="D25" s="63" t="s">
        <v>32</v>
      </c>
      <c r="E25" s="57" t="s">
        <v>122</v>
      </c>
      <c r="F25" s="57" t="s">
        <v>130</v>
      </c>
      <c r="G25" s="3"/>
      <c r="H25" s="5"/>
      <c r="I25" s="5"/>
      <c r="J25" s="5"/>
      <c r="K25" s="5"/>
      <c r="L25" s="5"/>
      <c r="M25" s="4" t="s">
        <v>34</v>
      </c>
      <c r="N25" s="4" t="s">
        <v>35</v>
      </c>
      <c r="O25" s="4" t="s">
        <v>40</v>
      </c>
      <c r="P25" s="6"/>
      <c r="Q25" s="78"/>
      <c r="R25" s="79"/>
      <c r="S25" s="137">
        <f t="shared" ref="S25" si="33">+R25*Q25</f>
        <v>0</v>
      </c>
      <c r="T25" s="137">
        <f t="shared" ref="T25" si="34">+R25</f>
        <v>0</v>
      </c>
      <c r="U25" s="137">
        <f t="shared" ref="U25" si="35">S25</f>
        <v>0</v>
      </c>
      <c r="V25" s="138"/>
      <c r="W25" s="139"/>
      <c r="X25" s="137"/>
      <c r="Y25" s="137">
        <f t="shared" ref="Y25" si="36">+W25*X25</f>
        <v>0</v>
      </c>
      <c r="Z25" s="137"/>
      <c r="AA25" s="137">
        <f t="shared" ref="AA25" si="37">+Z25*W25</f>
        <v>0</v>
      </c>
      <c r="AB25" s="137"/>
      <c r="AC25" s="137">
        <f t="shared" ref="AC25" si="38">+AB25*W25</f>
        <v>0</v>
      </c>
      <c r="AD25" s="137"/>
      <c r="AE25" s="137">
        <f t="shared" ref="AE25" si="39">+AD25*W25</f>
        <v>0</v>
      </c>
      <c r="AF25" s="137">
        <f t="shared" ref="AF25:AG25" si="40">+X25+Z25+AB25+AD25</f>
        <v>0</v>
      </c>
      <c r="AG25" s="137">
        <f t="shared" si="40"/>
        <v>0</v>
      </c>
      <c r="AH25" s="153">
        <f t="shared" ref="AH25" si="41">+U25+AG25</f>
        <v>0</v>
      </c>
      <c r="AI25" s="154"/>
    </row>
    <row r="26" spans="1:37" s="11" customFormat="1" x14ac:dyDescent="0.2">
      <c r="A26" s="49" t="s">
        <v>164</v>
      </c>
      <c r="B26" s="25"/>
      <c r="C26" s="26"/>
      <c r="D26" s="26"/>
      <c r="E26" s="26"/>
      <c r="F26" s="26"/>
      <c r="G26" s="38"/>
      <c r="H26" s="39"/>
      <c r="I26" s="39"/>
      <c r="J26" s="39"/>
      <c r="K26" s="39"/>
      <c r="L26" s="39"/>
      <c r="M26" s="37"/>
      <c r="N26" s="37"/>
      <c r="O26" s="37"/>
      <c r="P26" s="34"/>
      <c r="Q26" s="40"/>
      <c r="R26" s="41"/>
      <c r="S26" s="164"/>
      <c r="T26" s="164"/>
      <c r="U26" s="164"/>
      <c r="V26" s="164"/>
      <c r="W26" s="164"/>
      <c r="X26" s="164"/>
      <c r="Y26" s="164"/>
      <c r="Z26" s="164"/>
      <c r="AA26" s="164"/>
      <c r="AB26" s="164"/>
      <c r="AC26" s="164"/>
      <c r="AD26" s="164"/>
      <c r="AE26" s="164"/>
      <c r="AF26" s="164"/>
      <c r="AG26" s="164"/>
      <c r="AH26" s="168">
        <f>+AH4+AH11+AH24</f>
        <v>0</v>
      </c>
      <c r="AI26" s="170">
        <f>+AI4+AI11+AI24</f>
        <v>300740946</v>
      </c>
    </row>
    <row r="27" spans="1:37" x14ac:dyDescent="0.2">
      <c r="S27" s="165"/>
      <c r="T27" s="165"/>
      <c r="U27" s="165"/>
      <c r="V27" s="165"/>
      <c r="W27" s="165"/>
      <c r="X27" s="165"/>
      <c r="Y27" s="165"/>
      <c r="Z27" s="165"/>
      <c r="AA27" s="166"/>
      <c r="AB27" s="165"/>
      <c r="AC27" s="165"/>
      <c r="AD27" s="165"/>
      <c r="AE27" s="165"/>
      <c r="AF27" s="165"/>
      <c r="AG27" s="165"/>
      <c r="AH27" s="165">
        <f>SUM(AH7:AH25)</f>
        <v>0</v>
      </c>
      <c r="AI27" s="171"/>
      <c r="AJ27" s="46"/>
    </row>
    <row r="28" spans="1:37" s="11" customFormat="1" x14ac:dyDescent="0.2">
      <c r="A28" s="49" t="s">
        <v>58</v>
      </c>
      <c r="B28" s="25"/>
      <c r="C28" s="26"/>
      <c r="D28" s="26"/>
      <c r="E28" s="26"/>
      <c r="F28" s="26"/>
      <c r="G28" s="26"/>
      <c r="H28" s="27"/>
      <c r="I28" s="27"/>
      <c r="J28" s="27"/>
      <c r="K28" s="27"/>
      <c r="L28" s="27"/>
      <c r="M28" s="25"/>
      <c r="N28" s="25"/>
      <c r="O28" s="25"/>
      <c r="P28" s="25"/>
      <c r="Q28" s="28"/>
      <c r="R28" s="29"/>
      <c r="S28" s="167"/>
      <c r="T28" s="167"/>
      <c r="U28" s="167"/>
      <c r="V28" s="167"/>
      <c r="W28" s="167"/>
      <c r="X28" s="167"/>
      <c r="Y28" s="167"/>
      <c r="Z28" s="167"/>
      <c r="AA28" s="167"/>
      <c r="AB28" s="167"/>
      <c r="AC28" s="167"/>
      <c r="AD28" s="167"/>
      <c r="AE28" s="167"/>
      <c r="AF28" s="167"/>
      <c r="AG28" s="167"/>
      <c r="AH28" s="168"/>
      <c r="AI28" s="170"/>
    </row>
    <row r="29" spans="1:37" s="59" customFormat="1" ht="89.25" x14ac:dyDescent="0.25">
      <c r="A29" s="60">
        <v>6</v>
      </c>
      <c r="B29" s="60">
        <v>1</v>
      </c>
      <c r="C29" s="63" t="s">
        <v>31</v>
      </c>
      <c r="D29" s="63" t="s">
        <v>32</v>
      </c>
      <c r="E29" s="57" t="s">
        <v>33</v>
      </c>
      <c r="F29" s="63" t="s">
        <v>131</v>
      </c>
      <c r="G29" s="57" t="s">
        <v>132</v>
      </c>
      <c r="H29" s="58"/>
      <c r="I29" s="58"/>
      <c r="J29" s="58"/>
      <c r="K29" s="58"/>
      <c r="L29" s="58"/>
      <c r="M29" s="33" t="s">
        <v>34</v>
      </c>
      <c r="N29" s="33" t="s">
        <v>35</v>
      </c>
      <c r="O29" s="33" t="s">
        <v>36</v>
      </c>
      <c r="P29" s="51" t="s">
        <v>37</v>
      </c>
      <c r="Q29" s="52">
        <f>15355</f>
        <v>15355</v>
      </c>
      <c r="R29" s="67">
        <v>188</v>
      </c>
      <c r="S29" s="140">
        <f>+R29*Q29</f>
        <v>2886740</v>
      </c>
      <c r="T29" s="140">
        <f t="shared" ref="T29:T34" si="42">+R29</f>
        <v>188</v>
      </c>
      <c r="U29" s="140">
        <f>S29</f>
        <v>2886740</v>
      </c>
      <c r="V29" s="150" t="s">
        <v>37</v>
      </c>
      <c r="W29" s="151">
        <f>+Q29</f>
        <v>15355</v>
      </c>
      <c r="X29" s="140">
        <v>188</v>
      </c>
      <c r="Y29" s="140">
        <f t="shared" ref="Y29:Y33" si="43">+W29*X29</f>
        <v>2886740</v>
      </c>
      <c r="Z29" s="140">
        <v>188</v>
      </c>
      <c r="AA29" s="140">
        <f t="shared" ref="AA29:AA33" si="44">+Z29*W29</f>
        <v>2886740</v>
      </c>
      <c r="AB29" s="140">
        <f>+Z29</f>
        <v>188</v>
      </c>
      <c r="AC29" s="140">
        <f t="shared" ref="AC29:AC33" si="45">+AB29*W29</f>
        <v>2886740</v>
      </c>
      <c r="AD29" s="140">
        <v>186</v>
      </c>
      <c r="AE29" s="140">
        <f t="shared" ref="AE29:AE33" si="46">+AD29*W29</f>
        <v>2856030</v>
      </c>
      <c r="AF29" s="140">
        <f t="shared" ref="AF29:AG34" si="47">+X29+Z29+AB29+AD29</f>
        <v>750</v>
      </c>
      <c r="AG29" s="140">
        <f t="shared" si="47"/>
        <v>11516250</v>
      </c>
      <c r="AH29" s="153">
        <f t="shared" ref="AH29:AH33" si="48">+U29+AG29</f>
        <v>14402990</v>
      </c>
      <c r="AI29" s="154"/>
      <c r="AK29" s="111"/>
    </row>
    <row r="30" spans="1:37" s="59" customFormat="1" ht="114.75" x14ac:dyDescent="0.25">
      <c r="A30" s="60">
        <v>34</v>
      </c>
      <c r="B30" s="68">
        <v>1</v>
      </c>
      <c r="C30" s="63" t="s">
        <v>42</v>
      </c>
      <c r="D30" s="63" t="s">
        <v>43</v>
      </c>
      <c r="E30" s="57" t="s">
        <v>44</v>
      </c>
      <c r="F30" s="63" t="s">
        <v>158</v>
      </c>
      <c r="G30" s="57" t="s">
        <v>133</v>
      </c>
      <c r="H30" s="33"/>
      <c r="I30" s="58"/>
      <c r="J30" s="58"/>
      <c r="K30" s="58"/>
      <c r="L30" s="58"/>
      <c r="M30" s="33" t="s">
        <v>34</v>
      </c>
      <c r="N30" s="33" t="s">
        <v>35</v>
      </c>
      <c r="O30" s="63" t="s">
        <v>45</v>
      </c>
      <c r="P30" s="51" t="s">
        <v>134</v>
      </c>
      <c r="Q30" s="52"/>
      <c r="R30" s="67"/>
      <c r="S30" s="140">
        <f>+R30*Q30</f>
        <v>0</v>
      </c>
      <c r="T30" s="140">
        <f t="shared" si="42"/>
        <v>0</v>
      </c>
      <c r="U30" s="140">
        <f t="shared" ref="U30:U33" si="49">S30</f>
        <v>0</v>
      </c>
      <c r="V30" s="150" t="s">
        <v>134</v>
      </c>
      <c r="W30" s="140">
        <f>36000*24</f>
        <v>864000</v>
      </c>
      <c r="X30" s="140">
        <v>4</v>
      </c>
      <c r="Y30" s="140">
        <f t="shared" si="43"/>
        <v>3456000</v>
      </c>
      <c r="Z30" s="140">
        <v>3</v>
      </c>
      <c r="AA30" s="140">
        <f t="shared" si="44"/>
        <v>2592000</v>
      </c>
      <c r="AB30" s="140"/>
      <c r="AC30" s="140">
        <f t="shared" si="45"/>
        <v>0</v>
      </c>
      <c r="AD30" s="140">
        <f t="shared" ref="AD30:AD31" si="50">+AB30</f>
        <v>0</v>
      </c>
      <c r="AE30" s="140">
        <f t="shared" si="46"/>
        <v>0</v>
      </c>
      <c r="AF30" s="140">
        <f>+X30+Z30+AB30+AD30</f>
        <v>7</v>
      </c>
      <c r="AG30" s="140">
        <f t="shared" si="47"/>
        <v>6048000</v>
      </c>
      <c r="AH30" s="153">
        <f t="shared" si="48"/>
        <v>6048000</v>
      </c>
      <c r="AI30" s="154"/>
    </row>
    <row r="31" spans="1:37" s="59" customFormat="1" ht="114.75" x14ac:dyDescent="0.25">
      <c r="A31" s="60">
        <v>35</v>
      </c>
      <c r="B31" s="68">
        <v>1</v>
      </c>
      <c r="C31" s="63" t="s">
        <v>42</v>
      </c>
      <c r="D31" s="63" t="s">
        <v>43</v>
      </c>
      <c r="E31" s="57" t="s">
        <v>44</v>
      </c>
      <c r="F31" s="63" t="s">
        <v>158</v>
      </c>
      <c r="G31" s="57" t="s">
        <v>135</v>
      </c>
      <c r="H31" s="33"/>
      <c r="I31" s="58"/>
      <c r="J31" s="58"/>
      <c r="K31" s="58"/>
      <c r="L31" s="58"/>
      <c r="M31" s="33" t="s">
        <v>34</v>
      </c>
      <c r="N31" s="33" t="s">
        <v>35</v>
      </c>
      <c r="O31" s="63" t="s">
        <v>45</v>
      </c>
      <c r="P31" s="51" t="s">
        <v>134</v>
      </c>
      <c r="Q31" s="52"/>
      <c r="R31" s="67"/>
      <c r="S31" s="140">
        <f t="shared" ref="S31:S33" si="51">+R31*Q31</f>
        <v>0</v>
      </c>
      <c r="T31" s="140">
        <f t="shared" si="42"/>
        <v>0</v>
      </c>
      <c r="U31" s="140">
        <f t="shared" si="49"/>
        <v>0</v>
      </c>
      <c r="V31" s="150" t="s">
        <v>134</v>
      </c>
      <c r="W31" s="140">
        <f>36000*12</f>
        <v>432000</v>
      </c>
      <c r="X31" s="140"/>
      <c r="Y31" s="140">
        <f t="shared" si="43"/>
        <v>0</v>
      </c>
      <c r="Z31" s="140">
        <f t="shared" ref="Z31" si="52">+X31</f>
        <v>0</v>
      </c>
      <c r="AA31" s="140">
        <f t="shared" si="44"/>
        <v>0</v>
      </c>
      <c r="AB31" s="140">
        <v>7</v>
      </c>
      <c r="AC31" s="140">
        <f t="shared" si="45"/>
        <v>3024000</v>
      </c>
      <c r="AD31" s="140">
        <f t="shared" si="50"/>
        <v>7</v>
      </c>
      <c r="AE31" s="140">
        <f t="shared" si="46"/>
        <v>3024000</v>
      </c>
      <c r="AF31" s="140">
        <f t="shared" si="47"/>
        <v>14</v>
      </c>
      <c r="AG31" s="140">
        <f t="shared" si="47"/>
        <v>6048000</v>
      </c>
      <c r="AH31" s="153">
        <f t="shared" si="48"/>
        <v>6048000</v>
      </c>
      <c r="AI31" s="154"/>
    </row>
    <row r="32" spans="1:37" s="72" customFormat="1" ht="76.5" x14ac:dyDescent="0.25">
      <c r="A32" s="60">
        <v>43</v>
      </c>
      <c r="B32" s="68">
        <v>1</v>
      </c>
      <c r="C32" s="63" t="s">
        <v>46</v>
      </c>
      <c r="D32" s="63" t="s">
        <v>47</v>
      </c>
      <c r="E32" s="57" t="s">
        <v>48</v>
      </c>
      <c r="F32" s="63" t="s">
        <v>159</v>
      </c>
      <c r="G32" s="57" t="s">
        <v>136</v>
      </c>
      <c r="H32" s="69"/>
      <c r="I32" s="69"/>
      <c r="J32" s="70"/>
      <c r="K32" s="69"/>
      <c r="L32" s="70"/>
      <c r="M32" s="33" t="s">
        <v>34</v>
      </c>
      <c r="N32" s="33" t="s">
        <v>35</v>
      </c>
      <c r="O32" s="33" t="s">
        <v>49</v>
      </c>
      <c r="P32" s="51" t="s">
        <v>137</v>
      </c>
      <c r="Q32" s="52"/>
      <c r="R32" s="67"/>
      <c r="S32" s="140">
        <f t="shared" si="51"/>
        <v>0</v>
      </c>
      <c r="T32" s="140">
        <f t="shared" si="42"/>
        <v>0</v>
      </c>
      <c r="U32" s="140">
        <f t="shared" si="49"/>
        <v>0</v>
      </c>
      <c r="V32" s="150" t="s">
        <v>137</v>
      </c>
      <c r="W32" s="151">
        <v>5000000</v>
      </c>
      <c r="X32" s="140">
        <f t="shared" ref="X32" si="53">+R32</f>
        <v>0</v>
      </c>
      <c r="Y32" s="140">
        <f t="shared" si="43"/>
        <v>0</v>
      </c>
      <c r="Z32" s="140">
        <v>1</v>
      </c>
      <c r="AA32" s="140">
        <f t="shared" si="44"/>
        <v>5000000</v>
      </c>
      <c r="AB32" s="140"/>
      <c r="AC32" s="140">
        <f t="shared" si="45"/>
        <v>0</v>
      </c>
      <c r="AD32" s="140">
        <v>0</v>
      </c>
      <c r="AE32" s="140">
        <f t="shared" si="46"/>
        <v>0</v>
      </c>
      <c r="AF32" s="140">
        <f t="shared" si="47"/>
        <v>1</v>
      </c>
      <c r="AG32" s="140">
        <f t="shared" si="47"/>
        <v>5000000</v>
      </c>
      <c r="AH32" s="153">
        <f t="shared" si="48"/>
        <v>5000000</v>
      </c>
      <c r="AI32" s="154"/>
    </row>
    <row r="33" spans="1:35" s="72" customFormat="1" ht="144" customHeight="1" x14ac:dyDescent="0.25">
      <c r="A33" s="60">
        <v>46</v>
      </c>
      <c r="B33" s="68">
        <v>1</v>
      </c>
      <c r="C33" s="33" t="s">
        <v>38</v>
      </c>
      <c r="D33" s="63" t="s">
        <v>47</v>
      </c>
      <c r="E33" s="57" t="s">
        <v>50</v>
      </c>
      <c r="F33" s="63" t="s">
        <v>138</v>
      </c>
      <c r="G33" s="57" t="s">
        <v>139</v>
      </c>
      <c r="H33" s="69"/>
      <c r="I33" s="70"/>
      <c r="J33" s="70"/>
      <c r="K33" s="70"/>
      <c r="L33" s="70"/>
      <c r="M33" s="33" t="s">
        <v>34</v>
      </c>
      <c r="N33" s="33" t="s">
        <v>35</v>
      </c>
      <c r="O33" s="33" t="s">
        <v>36</v>
      </c>
      <c r="P33" s="51" t="s">
        <v>140</v>
      </c>
      <c r="Q33" s="52"/>
      <c r="R33" s="67"/>
      <c r="S33" s="140">
        <f t="shared" si="51"/>
        <v>0</v>
      </c>
      <c r="T33" s="140">
        <f t="shared" si="42"/>
        <v>0</v>
      </c>
      <c r="U33" s="140">
        <f t="shared" si="49"/>
        <v>0</v>
      </c>
      <c r="V33" s="150" t="s">
        <v>140</v>
      </c>
      <c r="W33" s="140">
        <v>100000</v>
      </c>
      <c r="X33" s="140">
        <v>9</v>
      </c>
      <c r="Y33" s="140">
        <f t="shared" si="43"/>
        <v>900000</v>
      </c>
      <c r="Z33" s="140">
        <f>+X33</f>
        <v>9</v>
      </c>
      <c r="AA33" s="140">
        <f t="shared" si="44"/>
        <v>900000</v>
      </c>
      <c r="AB33" s="140">
        <f t="shared" ref="AB33:AB34" si="54">+Z33</f>
        <v>9</v>
      </c>
      <c r="AC33" s="140">
        <f t="shared" si="45"/>
        <v>900000</v>
      </c>
      <c r="AD33" s="140">
        <f>+AB33</f>
        <v>9</v>
      </c>
      <c r="AE33" s="140">
        <f t="shared" si="46"/>
        <v>900000</v>
      </c>
      <c r="AF33" s="140">
        <f t="shared" si="47"/>
        <v>36</v>
      </c>
      <c r="AG33" s="140">
        <f t="shared" si="47"/>
        <v>3600000</v>
      </c>
      <c r="AH33" s="153">
        <f t="shared" si="48"/>
        <v>3600000</v>
      </c>
      <c r="AI33" s="154"/>
    </row>
    <row r="34" spans="1:35" s="77" customFormat="1" ht="89.25" customHeight="1" x14ac:dyDescent="0.25">
      <c r="A34" s="60">
        <v>12</v>
      </c>
      <c r="B34" s="68">
        <v>1</v>
      </c>
      <c r="C34" s="63" t="s">
        <v>38</v>
      </c>
      <c r="D34" s="73" t="s">
        <v>32</v>
      </c>
      <c r="E34" s="74" t="s">
        <v>114</v>
      </c>
      <c r="F34" s="75" t="s">
        <v>160</v>
      </c>
      <c r="G34" s="75" t="s">
        <v>141</v>
      </c>
      <c r="H34" s="33"/>
      <c r="I34" s="70"/>
      <c r="J34" s="70"/>
      <c r="K34" s="70"/>
      <c r="L34" s="70"/>
      <c r="M34" s="76" t="s">
        <v>34</v>
      </c>
      <c r="N34" s="33" t="s">
        <v>35</v>
      </c>
      <c r="O34" s="76" t="s">
        <v>41</v>
      </c>
      <c r="P34" s="51" t="s">
        <v>142</v>
      </c>
      <c r="Q34" s="52">
        <f>150000*3</f>
        <v>450000</v>
      </c>
      <c r="R34" s="67">
        <v>8</v>
      </c>
      <c r="S34" s="140">
        <f>+R34*Q34</f>
        <v>3600000</v>
      </c>
      <c r="T34" s="140">
        <f t="shared" si="42"/>
        <v>8</v>
      </c>
      <c r="U34" s="140">
        <f>S34</f>
        <v>3600000</v>
      </c>
      <c r="V34" s="150" t="str">
        <f>+P34</f>
        <v>Costo Incentivo Lideres Pares</v>
      </c>
      <c r="W34" s="151">
        <f>154500*3</f>
        <v>463500</v>
      </c>
      <c r="X34" s="140">
        <f>+R34</f>
        <v>8</v>
      </c>
      <c r="Y34" s="140">
        <f>+W34*X34</f>
        <v>3708000</v>
      </c>
      <c r="Z34" s="140">
        <f>8+29</f>
        <v>37</v>
      </c>
      <c r="AA34" s="140">
        <f>+Z34*W34</f>
        <v>17149500</v>
      </c>
      <c r="AB34" s="140">
        <f t="shared" si="54"/>
        <v>37</v>
      </c>
      <c r="AC34" s="140">
        <f>+AB34*W34</f>
        <v>17149500</v>
      </c>
      <c r="AD34" s="140">
        <f>+AB34</f>
        <v>37</v>
      </c>
      <c r="AE34" s="140">
        <f>+AD34*W34</f>
        <v>17149500</v>
      </c>
      <c r="AF34" s="140">
        <f t="shared" si="47"/>
        <v>119</v>
      </c>
      <c r="AG34" s="140">
        <f>+Y34+AA34+AC34+AE34</f>
        <v>55156500</v>
      </c>
      <c r="AH34" s="153">
        <f>+U34+AG34</f>
        <v>58756500</v>
      </c>
      <c r="AI34" s="154"/>
    </row>
    <row r="35" spans="1:35" s="11" customFormat="1" x14ac:dyDescent="0.2">
      <c r="A35" s="49" t="s">
        <v>165</v>
      </c>
      <c r="B35" s="25"/>
      <c r="C35" s="26"/>
      <c r="D35" s="26"/>
      <c r="E35" s="26"/>
      <c r="F35" s="26"/>
      <c r="G35" s="26"/>
      <c r="H35" s="27"/>
      <c r="I35" s="27"/>
      <c r="J35" s="27"/>
      <c r="K35" s="27"/>
      <c r="L35" s="27"/>
      <c r="M35" s="25"/>
      <c r="N35" s="25"/>
      <c r="O35" s="25"/>
      <c r="P35" s="64"/>
      <c r="Q35" s="28"/>
      <c r="R35" s="29"/>
      <c r="S35" s="29"/>
      <c r="T35" s="29"/>
      <c r="U35" s="30"/>
      <c r="V35" s="25"/>
      <c r="W35" s="28"/>
      <c r="X35" s="29"/>
      <c r="Y35" s="29"/>
      <c r="Z35" s="29"/>
      <c r="AA35" s="29"/>
      <c r="AB35" s="29"/>
      <c r="AC35" s="29"/>
      <c r="AD35" s="29"/>
      <c r="AE35" s="29"/>
      <c r="AF35" s="29"/>
      <c r="AG35" s="30"/>
      <c r="AH35" s="31">
        <f>SUM(AH29:AH34)</f>
        <v>93855490</v>
      </c>
      <c r="AI35" s="32">
        <f>+AH35</f>
        <v>93855490</v>
      </c>
    </row>
    <row r="36" spans="1:35" s="11" customFormat="1" x14ac:dyDescent="0.2">
      <c r="A36" s="83" t="s">
        <v>166</v>
      </c>
      <c r="B36" s="84"/>
      <c r="C36" s="85"/>
      <c r="D36" s="85"/>
      <c r="E36" s="85"/>
      <c r="F36" s="85"/>
      <c r="G36" s="85"/>
      <c r="H36" s="86"/>
      <c r="I36" s="86"/>
      <c r="J36" s="86"/>
      <c r="K36" s="86"/>
      <c r="L36" s="86"/>
      <c r="M36" s="84"/>
      <c r="N36" s="84"/>
      <c r="O36" s="84"/>
      <c r="P36" s="87"/>
      <c r="Q36" s="88"/>
      <c r="R36" s="89"/>
      <c r="S36" s="89"/>
      <c r="T36" s="89"/>
      <c r="U36" s="90"/>
      <c r="V36" s="84"/>
      <c r="W36" s="88"/>
      <c r="X36" s="89"/>
      <c r="Y36" s="89"/>
      <c r="Z36" s="89"/>
      <c r="AA36" s="89"/>
      <c r="AB36" s="89"/>
      <c r="AC36" s="89"/>
      <c r="AD36" s="89"/>
      <c r="AE36" s="89"/>
      <c r="AF36" s="89"/>
      <c r="AG36" s="90"/>
      <c r="AH36" s="82"/>
      <c r="AI36" s="82">
        <f>+AI26+AI35</f>
        <v>394596436</v>
      </c>
    </row>
  </sheetData>
  <sheetProtection password="CB42" sheet="1" objects="1" scenarios="1" formatCells="0" formatColumns="0" formatRows="0" insertRows="0"/>
  <mergeCells count="42">
    <mergeCell ref="AI2:AI3"/>
    <mergeCell ref="C5:C7"/>
    <mergeCell ref="D5:D10"/>
    <mergeCell ref="E5:E10"/>
    <mergeCell ref="F5:F7"/>
    <mergeCell ref="F8:F10"/>
    <mergeCell ref="AC2:AC3"/>
    <mergeCell ref="AD2:AD3"/>
    <mergeCell ref="AE2:AE3"/>
    <mergeCell ref="AF2:AF3"/>
    <mergeCell ref="AG2:AG3"/>
    <mergeCell ref="AH2:AH3"/>
    <mergeCell ref="W2:W3"/>
    <mergeCell ref="X2:X3"/>
    <mergeCell ref="Y2:Y3"/>
    <mergeCell ref="Z2:Z3"/>
    <mergeCell ref="AA2:AA3"/>
    <mergeCell ref="AB2:AB3"/>
    <mergeCell ref="V2:V3"/>
    <mergeCell ref="G2:G3"/>
    <mergeCell ref="I2:L2"/>
    <mergeCell ref="M2:M3"/>
    <mergeCell ref="N2:N3"/>
    <mergeCell ref="O2:O3"/>
    <mergeCell ref="P2:P3"/>
    <mergeCell ref="Q2:Q3"/>
    <mergeCell ref="R2:R3"/>
    <mergeCell ref="S2:S3"/>
    <mergeCell ref="T2:T3"/>
    <mergeCell ref="U2:U3"/>
    <mergeCell ref="A12:A16"/>
    <mergeCell ref="B12:B16"/>
    <mergeCell ref="C12:C16"/>
    <mergeCell ref="F2:F3"/>
    <mergeCell ref="A2:A3"/>
    <mergeCell ref="B2:B3"/>
    <mergeCell ref="C2:C3"/>
    <mergeCell ref="D2:D3"/>
    <mergeCell ref="E2:E3"/>
    <mergeCell ref="D12:D23"/>
    <mergeCell ref="E12:E23"/>
    <mergeCell ref="F12:F23"/>
  </mergeCells>
  <dataValidations count="1">
    <dataValidation type="decimal" operator="greaterThanOrEqual" allowBlank="1" showInputMessage="1" showErrorMessage="1" sqref="W25:W26 W34:W36 W32 W29 W5:W10 W12:W23">
      <formula1>0</formula1>
    </dataValidation>
  </dataValidations>
  <pageMargins left="0.7" right="0.7" top="0.75" bottom="0.75" header="0.3" footer="0.3"/>
  <pageSetup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23"/>
  <sheetViews>
    <sheetView showGridLines="0" workbookViewId="0">
      <selection activeCell="B5" sqref="B5"/>
    </sheetView>
  </sheetViews>
  <sheetFormatPr baseColWidth="10" defaultRowHeight="15" x14ac:dyDescent="0.25"/>
  <cols>
    <col min="1" max="1" width="53.28515625" style="19" customWidth="1"/>
    <col min="2" max="2" width="17.5703125" style="23" bestFit="1" customWidth="1"/>
    <col min="3" max="3" width="18.5703125" style="19" bestFit="1" customWidth="1"/>
    <col min="4" max="16384" width="11.42578125" style="19"/>
  </cols>
  <sheetData>
    <row r="1" spans="1:3" ht="39.75" customHeight="1" x14ac:dyDescent="0.25">
      <c r="A1" s="188" t="s">
        <v>100</v>
      </c>
      <c r="B1" s="188"/>
      <c r="C1" s="188"/>
    </row>
    <row r="2" spans="1:3" x14ac:dyDescent="0.25">
      <c r="A2" s="189" t="s">
        <v>150</v>
      </c>
      <c r="B2" s="189"/>
      <c r="C2" s="189"/>
    </row>
    <row r="3" spans="1:3" x14ac:dyDescent="0.25">
      <c r="A3" s="118"/>
      <c r="B3" s="119"/>
      <c r="C3" s="118"/>
    </row>
    <row r="4" spans="1:3" x14ac:dyDescent="0.25">
      <c r="A4" s="120" t="s">
        <v>102</v>
      </c>
      <c r="B4" s="121"/>
      <c r="C4" s="118"/>
    </row>
    <row r="6" spans="1:3" s="20" customFormat="1" x14ac:dyDescent="0.25">
      <c r="A6" s="91" t="s">
        <v>103</v>
      </c>
      <c r="B6" s="92" t="s">
        <v>104</v>
      </c>
      <c r="C6" s="93" t="s">
        <v>98</v>
      </c>
    </row>
    <row r="7" spans="1:3" s="21" customFormat="1" x14ac:dyDescent="0.25">
      <c r="A7" s="94" t="s">
        <v>105</v>
      </c>
      <c r="B7" s="106">
        <f>+'[1]Fase I Valle del Cauca'!AH4</f>
        <v>0</v>
      </c>
      <c r="C7" s="96">
        <f>+'Fase I Santander'!AI4</f>
        <v>199943826</v>
      </c>
    </row>
    <row r="8" spans="1:3" s="22" customFormat="1" x14ac:dyDescent="0.25">
      <c r="A8" s="97" t="s">
        <v>106</v>
      </c>
      <c r="B8" s="95">
        <f>+'[1]Fase I Valle del Cauca'!AH11</f>
        <v>0</v>
      </c>
      <c r="C8" s="96">
        <f>+'Fase I Santander'!AI11</f>
        <v>59983149</v>
      </c>
    </row>
    <row r="9" spans="1:3" s="22" customFormat="1" x14ac:dyDescent="0.25">
      <c r="A9" s="97" t="s">
        <v>107</v>
      </c>
      <c r="B9" s="95">
        <f>+'[1]Fase I Valle del Cauca'!AH16</f>
        <v>0</v>
      </c>
      <c r="C9" s="96">
        <f>+'Fase I Santander'!AI24</f>
        <v>25707069</v>
      </c>
    </row>
    <row r="10" spans="1:3" s="22" customFormat="1" x14ac:dyDescent="0.25">
      <c r="A10" s="99" t="s">
        <v>161</v>
      </c>
      <c r="B10" s="107">
        <f>SUM(B7:B9)</f>
        <v>0</v>
      </c>
      <c r="C10" s="108">
        <f>SUM(C7:C9)</f>
        <v>285634044</v>
      </c>
    </row>
    <row r="11" spans="1:3" s="22" customFormat="1" x14ac:dyDescent="0.25">
      <c r="A11" s="97"/>
      <c r="B11" s="107"/>
      <c r="C11" s="96"/>
    </row>
    <row r="12" spans="1:3" x14ac:dyDescent="0.25">
      <c r="A12" s="101" t="s">
        <v>108</v>
      </c>
      <c r="B12" s="109">
        <f>+'Fase I Santander'!AH35</f>
        <v>92842980</v>
      </c>
      <c r="C12" s="96">
        <f>+'Fase I Santander'!AI35</f>
        <v>92842980</v>
      </c>
    </row>
    <row r="13" spans="1:3" x14ac:dyDescent="0.25">
      <c r="A13" s="102" t="s">
        <v>162</v>
      </c>
      <c r="B13" s="110">
        <f>+B12</f>
        <v>92842980</v>
      </c>
      <c r="C13" s="100">
        <f>+C12</f>
        <v>92842980</v>
      </c>
    </row>
    <row r="14" spans="1:3" x14ac:dyDescent="0.25">
      <c r="A14" s="104" t="s">
        <v>163</v>
      </c>
      <c r="B14" s="105">
        <f>+B10+B13</f>
        <v>92842980</v>
      </c>
      <c r="C14" s="105">
        <f>+C10+C13</f>
        <v>378477024</v>
      </c>
    </row>
    <row r="19" spans="1:3" s="24" customFormat="1" x14ac:dyDescent="0.25">
      <c r="A19" s="122" t="s">
        <v>109</v>
      </c>
      <c r="B19" s="119"/>
      <c r="C19" s="123"/>
    </row>
    <row r="20" spans="1:3" s="24" customFormat="1" x14ac:dyDescent="0.25">
      <c r="A20" s="122" t="s">
        <v>110</v>
      </c>
      <c r="B20" s="119"/>
      <c r="C20" s="123"/>
    </row>
    <row r="21" spans="1:3" x14ac:dyDescent="0.25">
      <c r="A21" s="118"/>
      <c r="B21" s="119"/>
      <c r="C21" s="118"/>
    </row>
    <row r="22" spans="1:3" x14ac:dyDescent="0.25">
      <c r="A22" s="118"/>
      <c r="B22" s="119"/>
      <c r="C22" s="118"/>
    </row>
    <row r="23" spans="1:3" x14ac:dyDescent="0.25">
      <c r="A23" s="118"/>
      <c r="B23" s="119"/>
      <c r="C23" s="118"/>
    </row>
  </sheetData>
  <sheetProtection password="CB42" sheet="1" objects="1" scenarios="1"/>
  <mergeCells count="2">
    <mergeCell ref="A1:C1"/>
    <mergeCell ref="A2:C2"/>
  </mergeCell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K36"/>
  <sheetViews>
    <sheetView showGridLines="0" topLeftCell="D4" zoomScale="70" zoomScaleNormal="70" workbookViewId="0">
      <selection activeCell="G19" sqref="G19"/>
    </sheetView>
  </sheetViews>
  <sheetFormatPr baseColWidth="10" defaultRowHeight="12.75" x14ac:dyDescent="0.2"/>
  <cols>
    <col min="1" max="1" width="6.28515625" style="46" bestFit="1" customWidth="1"/>
    <col min="2" max="2" width="15" style="46" customWidth="1"/>
    <col min="3" max="3" width="17.140625" style="46" customWidth="1"/>
    <col min="4" max="4" width="24.42578125" style="46" customWidth="1"/>
    <col min="5" max="5" width="43.28515625" style="46" customWidth="1"/>
    <col min="6" max="6" width="61.140625" style="46" customWidth="1"/>
    <col min="7" max="7" width="29.42578125" style="46" customWidth="1"/>
    <col min="8" max="8" width="7.28515625" style="46" bestFit="1" customWidth="1"/>
    <col min="9" max="9" width="3.85546875" style="46" bestFit="1" customWidth="1"/>
    <col min="10" max="12" width="3.28515625" style="46" bestFit="1" customWidth="1"/>
    <col min="13" max="13" width="18.5703125" style="46" customWidth="1"/>
    <col min="14" max="14" width="11.42578125" style="46"/>
    <col min="15" max="15" width="13.7109375" style="46" customWidth="1"/>
    <col min="16" max="16" width="17.7109375" style="46" customWidth="1"/>
    <col min="17" max="18" width="11.5703125" style="46" bestFit="1" customWidth="1"/>
    <col min="19" max="19" width="12.85546875" style="46" bestFit="1" customWidth="1"/>
    <col min="20" max="20" width="11.5703125" style="46" bestFit="1" customWidth="1"/>
    <col min="21" max="21" width="14.28515625" style="46" customWidth="1"/>
    <col min="22" max="22" width="12.140625" style="46" customWidth="1"/>
    <col min="23" max="23" width="13" style="46" bestFit="1" customWidth="1"/>
    <col min="24" max="24" width="11.5703125" style="46" bestFit="1" customWidth="1"/>
    <col min="25" max="25" width="12.85546875" style="46" bestFit="1" customWidth="1"/>
    <col min="26" max="26" width="11.5703125" style="46" bestFit="1" customWidth="1"/>
    <col min="27" max="27" width="14" style="46" bestFit="1" customWidth="1"/>
    <col min="28" max="28" width="11.5703125" style="46" bestFit="1" customWidth="1"/>
    <col min="29" max="29" width="14" style="46" bestFit="1" customWidth="1"/>
    <col min="30" max="30" width="11.5703125" style="46" bestFit="1" customWidth="1"/>
    <col min="31" max="31" width="14" style="46" bestFit="1" customWidth="1"/>
    <col min="32" max="32" width="11.5703125" style="46" bestFit="1" customWidth="1"/>
    <col min="33" max="33" width="14" style="46" bestFit="1" customWidth="1"/>
    <col min="34" max="34" width="18" style="46" bestFit="1" customWidth="1"/>
    <col min="35" max="35" width="19.42578125" style="47" customWidth="1"/>
    <col min="36" max="36" width="13" style="48" bestFit="1" customWidth="1"/>
    <col min="37" max="37" width="14" style="46" bestFit="1" customWidth="1"/>
    <col min="38" max="16384" width="11.42578125" style="46"/>
  </cols>
  <sheetData>
    <row r="1" spans="1:35" s="48" customFormat="1" x14ac:dyDescent="0.2">
      <c r="A1" s="45" t="s">
        <v>111</v>
      </c>
      <c r="B1" s="46"/>
      <c r="C1" s="46"/>
      <c r="D1" s="46"/>
      <c r="E1" s="46"/>
      <c r="F1" s="46"/>
      <c r="G1" s="46"/>
      <c r="H1" s="46"/>
      <c r="I1" s="46"/>
      <c r="J1" s="46"/>
      <c r="K1" s="46"/>
      <c r="L1" s="46"/>
      <c r="M1" s="46"/>
      <c r="N1" s="46"/>
      <c r="O1" s="46"/>
      <c r="P1" s="46"/>
      <c r="Q1" s="46"/>
      <c r="R1" s="46"/>
      <c r="S1" s="46"/>
      <c r="T1" s="46"/>
      <c r="U1" s="46"/>
      <c r="V1" s="46"/>
      <c r="W1" s="46"/>
      <c r="X1" s="46"/>
      <c r="Y1" s="46"/>
      <c r="Z1" s="46"/>
      <c r="AA1" s="46"/>
      <c r="AB1" s="46"/>
      <c r="AC1" s="46"/>
      <c r="AD1" s="46"/>
      <c r="AE1" s="46"/>
      <c r="AF1" s="46"/>
      <c r="AG1" s="46"/>
      <c r="AH1" s="46"/>
      <c r="AI1" s="47"/>
    </row>
    <row r="2" spans="1:35" s="1" customFormat="1" ht="15" customHeight="1" x14ac:dyDescent="0.25">
      <c r="A2" s="197" t="s">
        <v>0</v>
      </c>
      <c r="B2" s="196" t="s">
        <v>51</v>
      </c>
      <c r="C2" s="196" t="s">
        <v>1</v>
      </c>
      <c r="D2" s="196" t="s">
        <v>52</v>
      </c>
      <c r="E2" s="196" t="s">
        <v>53</v>
      </c>
      <c r="F2" s="196" t="s">
        <v>54</v>
      </c>
      <c r="G2" s="196" t="s">
        <v>2</v>
      </c>
      <c r="H2" s="36" t="s">
        <v>3</v>
      </c>
      <c r="I2" s="196" t="s">
        <v>4</v>
      </c>
      <c r="J2" s="199"/>
      <c r="K2" s="199"/>
      <c r="L2" s="199"/>
      <c r="M2" s="197" t="s">
        <v>5</v>
      </c>
      <c r="N2" s="197" t="s">
        <v>6</v>
      </c>
      <c r="O2" s="197" t="s">
        <v>7</v>
      </c>
      <c r="P2" s="200" t="s">
        <v>8</v>
      </c>
      <c r="Q2" s="201" t="s">
        <v>112</v>
      </c>
      <c r="R2" s="202" t="s">
        <v>9</v>
      </c>
      <c r="S2" s="202" t="s">
        <v>10</v>
      </c>
      <c r="T2" s="202" t="s">
        <v>11</v>
      </c>
      <c r="U2" s="203" t="s">
        <v>12</v>
      </c>
      <c r="V2" s="198" t="s">
        <v>13</v>
      </c>
      <c r="W2" s="216" t="s">
        <v>113</v>
      </c>
      <c r="X2" s="204" t="s">
        <v>14</v>
      </c>
      <c r="Y2" s="204" t="s">
        <v>15</v>
      </c>
      <c r="Z2" s="204" t="s">
        <v>16</v>
      </c>
      <c r="AA2" s="204" t="s">
        <v>17</v>
      </c>
      <c r="AB2" s="204" t="s">
        <v>18</v>
      </c>
      <c r="AC2" s="204" t="s">
        <v>19</v>
      </c>
      <c r="AD2" s="204" t="s">
        <v>20</v>
      </c>
      <c r="AE2" s="204" t="s">
        <v>21</v>
      </c>
      <c r="AF2" s="204" t="s">
        <v>22</v>
      </c>
      <c r="AG2" s="214" t="s">
        <v>23</v>
      </c>
      <c r="AH2" s="215" t="s">
        <v>24</v>
      </c>
      <c r="AI2" s="211" t="s">
        <v>98</v>
      </c>
    </row>
    <row r="3" spans="1:35" s="1" customFormat="1" ht="87.75" customHeight="1" x14ac:dyDescent="0.25">
      <c r="A3" s="197"/>
      <c r="B3" s="196"/>
      <c r="C3" s="196" t="s">
        <v>25</v>
      </c>
      <c r="D3" s="196" t="s">
        <v>26</v>
      </c>
      <c r="E3" s="196"/>
      <c r="F3" s="196"/>
      <c r="G3" s="196"/>
      <c r="H3" s="2" t="s">
        <v>30</v>
      </c>
      <c r="I3" s="2" t="s">
        <v>27</v>
      </c>
      <c r="J3" s="2" t="s">
        <v>28</v>
      </c>
      <c r="K3" s="2" t="s">
        <v>29</v>
      </c>
      <c r="L3" s="2" t="s">
        <v>30</v>
      </c>
      <c r="M3" s="197"/>
      <c r="N3" s="197"/>
      <c r="O3" s="197"/>
      <c r="P3" s="200"/>
      <c r="Q3" s="201"/>
      <c r="R3" s="202"/>
      <c r="S3" s="202"/>
      <c r="T3" s="202"/>
      <c r="U3" s="203"/>
      <c r="V3" s="198"/>
      <c r="W3" s="216"/>
      <c r="X3" s="204"/>
      <c r="Y3" s="204"/>
      <c r="Z3" s="204"/>
      <c r="AA3" s="204"/>
      <c r="AB3" s="204"/>
      <c r="AC3" s="204"/>
      <c r="AD3" s="204"/>
      <c r="AE3" s="204"/>
      <c r="AF3" s="204"/>
      <c r="AG3" s="214"/>
      <c r="AH3" s="215"/>
      <c r="AI3" s="212"/>
    </row>
    <row r="4" spans="1:35" s="11" customFormat="1" x14ac:dyDescent="0.2">
      <c r="A4" s="49" t="s">
        <v>55</v>
      </c>
      <c r="B4" s="25"/>
      <c r="C4" s="26"/>
      <c r="D4" s="26"/>
      <c r="E4" s="26"/>
      <c r="F4" s="26"/>
      <c r="G4" s="26"/>
      <c r="H4" s="27"/>
      <c r="I4" s="27"/>
      <c r="J4" s="27"/>
      <c r="K4" s="27"/>
      <c r="L4" s="27"/>
      <c r="M4" s="25"/>
      <c r="N4" s="25"/>
      <c r="O4" s="25"/>
      <c r="P4" s="25"/>
      <c r="Q4" s="28"/>
      <c r="R4" s="29"/>
      <c r="S4" s="29"/>
      <c r="T4" s="29"/>
      <c r="U4" s="30"/>
      <c r="V4" s="25"/>
      <c r="W4" s="28"/>
      <c r="X4" s="29"/>
      <c r="Y4" s="29"/>
      <c r="Z4" s="29"/>
      <c r="AA4" s="29"/>
      <c r="AB4" s="29"/>
      <c r="AC4" s="29"/>
      <c r="AD4" s="29"/>
      <c r="AE4" s="29"/>
      <c r="AF4" s="29"/>
      <c r="AG4" s="30"/>
      <c r="AH4" s="31">
        <f>SUM(AH5:AH10)</f>
        <v>0</v>
      </c>
      <c r="AI4" s="32">
        <v>199943826</v>
      </c>
    </row>
    <row r="5" spans="1:35" s="11" customFormat="1" ht="15" customHeight="1" x14ac:dyDescent="0.25">
      <c r="A5" s="50">
        <v>7</v>
      </c>
      <c r="B5" s="50">
        <v>1</v>
      </c>
      <c r="C5" s="213" t="s">
        <v>38</v>
      </c>
      <c r="D5" s="193" t="s">
        <v>32</v>
      </c>
      <c r="E5" s="205" t="s">
        <v>114</v>
      </c>
      <c r="F5" s="205" t="s">
        <v>115</v>
      </c>
      <c r="G5" s="43" t="s">
        <v>116</v>
      </c>
      <c r="H5" s="44"/>
      <c r="I5" s="44"/>
      <c r="J5" s="44"/>
      <c r="K5" s="44"/>
      <c r="L5" s="44"/>
      <c r="M5" s="4" t="s">
        <v>34</v>
      </c>
      <c r="N5" s="4" t="s">
        <v>35</v>
      </c>
      <c r="O5" s="4" t="s">
        <v>39</v>
      </c>
      <c r="P5" s="6" t="s">
        <v>117</v>
      </c>
      <c r="Q5" s="152"/>
      <c r="R5" s="152"/>
      <c r="S5" s="137">
        <f>+R5*Q5</f>
        <v>0</v>
      </c>
      <c r="T5" s="137">
        <f>+R5</f>
        <v>0</v>
      </c>
      <c r="U5" s="137">
        <f>S5</f>
        <v>0</v>
      </c>
      <c r="V5" s="138" t="s">
        <v>117</v>
      </c>
      <c r="W5" s="139"/>
      <c r="X5" s="137"/>
      <c r="Y5" s="137">
        <f t="shared" ref="Y5:Y10" si="0">+W5*X5</f>
        <v>0</v>
      </c>
      <c r="Z5" s="137"/>
      <c r="AA5" s="137">
        <f t="shared" ref="AA5:AA10" si="1">+Z5*W5</f>
        <v>0</v>
      </c>
      <c r="AB5" s="137"/>
      <c r="AC5" s="137">
        <f t="shared" ref="AC5:AC10" si="2">+AB5*W5</f>
        <v>0</v>
      </c>
      <c r="AD5" s="137"/>
      <c r="AE5" s="137">
        <f t="shared" ref="AE5:AE10" si="3">+AD5*W5</f>
        <v>0</v>
      </c>
      <c r="AF5" s="137">
        <f t="shared" ref="AF5:AG10" si="4">+X5+Z5+AB5+AD5</f>
        <v>0</v>
      </c>
      <c r="AG5" s="137">
        <f>+Y5+AA5+AC5+AE5</f>
        <v>0</v>
      </c>
      <c r="AH5" s="153">
        <f>+U5+AG5</f>
        <v>0</v>
      </c>
      <c r="AI5" s="56"/>
    </row>
    <row r="6" spans="1:35" s="11" customFormat="1" ht="31.5" customHeight="1" x14ac:dyDescent="0.25">
      <c r="A6" s="50">
        <v>7</v>
      </c>
      <c r="B6" s="50">
        <v>1</v>
      </c>
      <c r="C6" s="213"/>
      <c r="D6" s="194"/>
      <c r="E6" s="206"/>
      <c r="F6" s="206"/>
      <c r="G6" s="43" t="s">
        <v>118</v>
      </c>
      <c r="H6" s="44"/>
      <c r="I6" s="44"/>
      <c r="J6" s="44"/>
      <c r="K6" s="44"/>
      <c r="L6" s="44"/>
      <c r="M6" s="4" t="s">
        <v>34</v>
      </c>
      <c r="N6" s="4" t="s">
        <v>35</v>
      </c>
      <c r="O6" s="4" t="s">
        <v>39</v>
      </c>
      <c r="P6" s="6" t="s">
        <v>117</v>
      </c>
      <c r="Q6" s="152"/>
      <c r="R6" s="152"/>
      <c r="S6" s="137">
        <f>+R6*Q6</f>
        <v>0</v>
      </c>
      <c r="T6" s="137">
        <f>+R6</f>
        <v>0</v>
      </c>
      <c r="U6" s="137">
        <f>S6</f>
        <v>0</v>
      </c>
      <c r="V6" s="138" t="s">
        <v>117</v>
      </c>
      <c r="W6" s="139"/>
      <c r="X6" s="137"/>
      <c r="Y6" s="137">
        <f t="shared" si="0"/>
        <v>0</v>
      </c>
      <c r="Z6" s="137"/>
      <c r="AA6" s="137">
        <f t="shared" si="1"/>
        <v>0</v>
      </c>
      <c r="AB6" s="137"/>
      <c r="AC6" s="137">
        <f t="shared" si="2"/>
        <v>0</v>
      </c>
      <c r="AD6" s="137"/>
      <c r="AE6" s="137">
        <f t="shared" si="3"/>
        <v>0</v>
      </c>
      <c r="AF6" s="137">
        <f t="shared" si="4"/>
        <v>0</v>
      </c>
      <c r="AG6" s="137">
        <f>+Y6+AA6+AC6+AE6</f>
        <v>0</v>
      </c>
      <c r="AH6" s="153">
        <f>+U6+AG6</f>
        <v>0</v>
      </c>
      <c r="AI6" s="56"/>
    </row>
    <row r="7" spans="1:35" s="59" customFormat="1" ht="38.25" x14ac:dyDescent="0.25">
      <c r="A7" s="50">
        <v>7</v>
      </c>
      <c r="B7" s="50">
        <v>1</v>
      </c>
      <c r="C7" s="213"/>
      <c r="D7" s="194"/>
      <c r="E7" s="206"/>
      <c r="F7" s="207"/>
      <c r="G7" s="3" t="s">
        <v>119</v>
      </c>
      <c r="H7" s="5"/>
      <c r="I7" s="5"/>
      <c r="J7" s="5"/>
      <c r="K7" s="5"/>
      <c r="L7" s="5"/>
      <c r="M7" s="4" t="s">
        <v>34</v>
      </c>
      <c r="N7" s="4" t="s">
        <v>35</v>
      </c>
      <c r="O7" s="4" t="s">
        <v>39</v>
      </c>
      <c r="P7" s="6" t="s">
        <v>117</v>
      </c>
      <c r="Q7" s="152"/>
      <c r="R7" s="152"/>
      <c r="S7" s="137">
        <f t="shared" ref="S7:S10" si="5">+R7*Q7</f>
        <v>0</v>
      </c>
      <c r="T7" s="137">
        <f t="shared" ref="T7:T10" si="6">+R7</f>
        <v>0</v>
      </c>
      <c r="U7" s="137">
        <f t="shared" ref="U7:U10" si="7">S7</f>
        <v>0</v>
      </c>
      <c r="V7" s="138" t="s">
        <v>117</v>
      </c>
      <c r="W7" s="139"/>
      <c r="X7" s="137"/>
      <c r="Y7" s="137">
        <f t="shared" si="0"/>
        <v>0</v>
      </c>
      <c r="Z7" s="137"/>
      <c r="AA7" s="137">
        <f t="shared" si="1"/>
        <v>0</v>
      </c>
      <c r="AB7" s="137"/>
      <c r="AC7" s="137">
        <f t="shared" si="2"/>
        <v>0</v>
      </c>
      <c r="AD7" s="137"/>
      <c r="AE7" s="137">
        <f t="shared" si="3"/>
        <v>0</v>
      </c>
      <c r="AF7" s="137">
        <f t="shared" si="4"/>
        <v>0</v>
      </c>
      <c r="AG7" s="137">
        <f t="shared" si="4"/>
        <v>0</v>
      </c>
      <c r="AH7" s="153">
        <f>+U7+AG7</f>
        <v>0</v>
      </c>
      <c r="AI7" s="56"/>
    </row>
    <row r="8" spans="1:35" s="59" customFormat="1" ht="38.25" customHeight="1" x14ac:dyDescent="0.25">
      <c r="A8" s="60">
        <v>11</v>
      </c>
      <c r="B8" s="60">
        <v>1</v>
      </c>
      <c r="C8" s="61" t="s">
        <v>38</v>
      </c>
      <c r="D8" s="194"/>
      <c r="E8" s="206"/>
      <c r="F8" s="205" t="s">
        <v>120</v>
      </c>
      <c r="G8" s="3" t="s">
        <v>64</v>
      </c>
      <c r="H8" s="5"/>
      <c r="I8" s="5"/>
      <c r="J8" s="5"/>
      <c r="K8" s="5"/>
      <c r="L8" s="5"/>
      <c r="M8" s="4" t="s">
        <v>34</v>
      </c>
      <c r="N8" s="4" t="s">
        <v>35</v>
      </c>
      <c r="O8" s="4" t="s">
        <v>39</v>
      </c>
      <c r="P8" s="6" t="s">
        <v>117</v>
      </c>
      <c r="Q8" s="152"/>
      <c r="R8" s="152"/>
      <c r="S8" s="137">
        <f t="shared" si="5"/>
        <v>0</v>
      </c>
      <c r="T8" s="137">
        <f t="shared" si="6"/>
        <v>0</v>
      </c>
      <c r="U8" s="137">
        <f t="shared" si="7"/>
        <v>0</v>
      </c>
      <c r="V8" s="138" t="s">
        <v>117</v>
      </c>
      <c r="W8" s="139"/>
      <c r="X8" s="137"/>
      <c r="Y8" s="137">
        <f t="shared" si="0"/>
        <v>0</v>
      </c>
      <c r="Z8" s="137"/>
      <c r="AA8" s="137">
        <f t="shared" si="1"/>
        <v>0</v>
      </c>
      <c r="AB8" s="137"/>
      <c r="AC8" s="137">
        <f t="shared" si="2"/>
        <v>0</v>
      </c>
      <c r="AD8" s="137"/>
      <c r="AE8" s="137">
        <f t="shared" si="3"/>
        <v>0</v>
      </c>
      <c r="AF8" s="137">
        <f t="shared" si="4"/>
        <v>0</v>
      </c>
      <c r="AG8" s="137">
        <f t="shared" si="4"/>
        <v>0</v>
      </c>
      <c r="AH8" s="153">
        <f>+U8+AG8</f>
        <v>0</v>
      </c>
      <c r="AI8" s="56"/>
    </row>
    <row r="9" spans="1:35" s="59" customFormat="1" ht="38.25" x14ac:dyDescent="0.25">
      <c r="A9" s="60">
        <v>11</v>
      </c>
      <c r="B9" s="60">
        <v>1</v>
      </c>
      <c r="C9" s="61" t="s">
        <v>38</v>
      </c>
      <c r="D9" s="194"/>
      <c r="E9" s="206"/>
      <c r="F9" s="206"/>
      <c r="G9" s="3" t="s">
        <v>121</v>
      </c>
      <c r="H9" s="5"/>
      <c r="I9" s="5"/>
      <c r="J9" s="5"/>
      <c r="K9" s="5"/>
      <c r="L9" s="5"/>
      <c r="M9" s="4" t="s">
        <v>34</v>
      </c>
      <c r="N9" s="4" t="s">
        <v>35</v>
      </c>
      <c r="O9" s="4" t="s">
        <v>39</v>
      </c>
      <c r="P9" s="6" t="s">
        <v>117</v>
      </c>
      <c r="Q9" s="152"/>
      <c r="R9" s="152"/>
      <c r="S9" s="137">
        <f t="shared" si="5"/>
        <v>0</v>
      </c>
      <c r="T9" s="137">
        <f t="shared" si="6"/>
        <v>0</v>
      </c>
      <c r="U9" s="137">
        <f t="shared" si="7"/>
        <v>0</v>
      </c>
      <c r="V9" s="138" t="s">
        <v>117</v>
      </c>
      <c r="W9" s="139"/>
      <c r="X9" s="137"/>
      <c r="Y9" s="137">
        <f t="shared" si="0"/>
        <v>0</v>
      </c>
      <c r="Z9" s="137"/>
      <c r="AA9" s="137">
        <f t="shared" si="1"/>
        <v>0</v>
      </c>
      <c r="AB9" s="137"/>
      <c r="AC9" s="137">
        <f t="shared" si="2"/>
        <v>0</v>
      </c>
      <c r="AD9" s="137"/>
      <c r="AE9" s="137">
        <f t="shared" si="3"/>
        <v>0</v>
      </c>
      <c r="AF9" s="137">
        <f t="shared" si="4"/>
        <v>0</v>
      </c>
      <c r="AG9" s="137">
        <f t="shared" si="4"/>
        <v>0</v>
      </c>
      <c r="AH9" s="153">
        <f t="shared" ref="AH9:AH10" si="8">+U9+AG9</f>
        <v>0</v>
      </c>
      <c r="AI9" s="56"/>
    </row>
    <row r="10" spans="1:35" s="59" customFormat="1" ht="38.25" x14ac:dyDescent="0.25">
      <c r="A10" s="60">
        <v>11</v>
      </c>
      <c r="B10" s="60">
        <v>1</v>
      </c>
      <c r="C10" s="61" t="s">
        <v>38</v>
      </c>
      <c r="D10" s="195"/>
      <c r="E10" s="207"/>
      <c r="F10" s="207"/>
      <c r="G10" s="3" t="s">
        <v>66</v>
      </c>
      <c r="H10" s="5"/>
      <c r="I10" s="5"/>
      <c r="J10" s="5"/>
      <c r="K10" s="5"/>
      <c r="L10" s="5"/>
      <c r="M10" s="4" t="s">
        <v>34</v>
      </c>
      <c r="N10" s="4" t="s">
        <v>35</v>
      </c>
      <c r="O10" s="4" t="s">
        <v>39</v>
      </c>
      <c r="P10" s="6" t="s">
        <v>117</v>
      </c>
      <c r="Q10" s="152"/>
      <c r="R10" s="152"/>
      <c r="S10" s="137">
        <f t="shared" si="5"/>
        <v>0</v>
      </c>
      <c r="T10" s="137">
        <f t="shared" si="6"/>
        <v>0</v>
      </c>
      <c r="U10" s="137">
        <f t="shared" si="7"/>
        <v>0</v>
      </c>
      <c r="V10" s="138" t="s">
        <v>117</v>
      </c>
      <c r="W10" s="139"/>
      <c r="X10" s="137"/>
      <c r="Y10" s="137">
        <f t="shared" si="0"/>
        <v>0</v>
      </c>
      <c r="Z10" s="137"/>
      <c r="AA10" s="137">
        <f t="shared" si="1"/>
        <v>0</v>
      </c>
      <c r="AB10" s="137"/>
      <c r="AC10" s="137">
        <f t="shared" si="2"/>
        <v>0</v>
      </c>
      <c r="AD10" s="137"/>
      <c r="AE10" s="137">
        <f t="shared" si="3"/>
        <v>0</v>
      </c>
      <c r="AF10" s="137">
        <f t="shared" si="4"/>
        <v>0</v>
      </c>
      <c r="AG10" s="137">
        <f t="shared" si="4"/>
        <v>0</v>
      </c>
      <c r="AH10" s="153">
        <f t="shared" si="8"/>
        <v>0</v>
      </c>
      <c r="AI10" s="56"/>
    </row>
    <row r="11" spans="1:35" s="11" customFormat="1" x14ac:dyDescent="0.2">
      <c r="A11" s="62" t="s">
        <v>56</v>
      </c>
      <c r="B11" s="25"/>
      <c r="C11" s="26"/>
      <c r="D11" s="26"/>
      <c r="E11" s="26"/>
      <c r="F11" s="26"/>
      <c r="G11" s="38"/>
      <c r="H11" s="39"/>
      <c r="I11" s="39"/>
      <c r="J11" s="39"/>
      <c r="K11" s="39"/>
      <c r="L11" s="39"/>
      <c r="M11" s="37"/>
      <c r="N11" s="37"/>
      <c r="O11" s="37"/>
      <c r="P11" s="37"/>
      <c r="Q11" s="172"/>
      <c r="R11" s="172"/>
      <c r="S11" s="172"/>
      <c r="T11" s="172"/>
      <c r="U11" s="172"/>
      <c r="V11" s="172"/>
      <c r="W11" s="172"/>
      <c r="X11" s="172"/>
      <c r="Y11" s="172"/>
      <c r="Z11" s="172"/>
      <c r="AA11" s="172"/>
      <c r="AB11" s="172"/>
      <c r="AC11" s="172"/>
      <c r="AD11" s="172"/>
      <c r="AE11" s="172"/>
      <c r="AF11" s="172"/>
      <c r="AG11" s="172"/>
      <c r="AH11" s="168">
        <f>SUM(AH12:AH23)</f>
        <v>0</v>
      </c>
      <c r="AI11" s="32">
        <v>59983149</v>
      </c>
    </row>
    <row r="12" spans="1:35" s="11" customFormat="1" ht="38.25" x14ac:dyDescent="0.25">
      <c r="A12" s="60">
        <v>13</v>
      </c>
      <c r="B12" s="60">
        <v>1</v>
      </c>
      <c r="C12" s="63" t="s">
        <v>38</v>
      </c>
      <c r="D12" s="193" t="s">
        <v>32</v>
      </c>
      <c r="E12" s="205" t="s">
        <v>122</v>
      </c>
      <c r="F12" s="208" t="s">
        <v>123</v>
      </c>
      <c r="G12" s="43" t="s">
        <v>172</v>
      </c>
      <c r="H12" s="5"/>
      <c r="I12" s="5"/>
      <c r="J12" s="5"/>
      <c r="K12" s="5"/>
      <c r="L12" s="5"/>
      <c r="M12" s="4" t="s">
        <v>34</v>
      </c>
      <c r="N12" s="4" t="s">
        <v>35</v>
      </c>
      <c r="O12" s="4" t="s">
        <v>41</v>
      </c>
      <c r="P12" s="6" t="s">
        <v>124</v>
      </c>
      <c r="Q12" s="148"/>
      <c r="R12" s="148">
        <f>+SUM(R13:R16)</f>
        <v>0</v>
      </c>
      <c r="S12" s="148">
        <f>+SUM(S13:S16)</f>
        <v>0</v>
      </c>
      <c r="T12" s="148">
        <f>+SUM(T13:T16)</f>
        <v>0</v>
      </c>
      <c r="U12" s="148">
        <f>+SUM(U13:U16)</f>
        <v>0</v>
      </c>
      <c r="V12" s="138" t="s">
        <v>124</v>
      </c>
      <c r="W12" s="139"/>
      <c r="X12" s="148">
        <f>+SUM(X13:X16)</f>
        <v>0</v>
      </c>
      <c r="Y12" s="148">
        <f>+SUM(Y13:Y16)</f>
        <v>0</v>
      </c>
      <c r="Z12" s="148">
        <f t="shared" ref="Z12:AG12" si="9">+SUM(Z13:Z16)</f>
        <v>0</v>
      </c>
      <c r="AA12" s="148">
        <f t="shared" si="9"/>
        <v>0</v>
      </c>
      <c r="AB12" s="148">
        <f t="shared" si="9"/>
        <v>0</v>
      </c>
      <c r="AC12" s="148">
        <f t="shared" si="9"/>
        <v>0</v>
      </c>
      <c r="AD12" s="148">
        <f t="shared" si="9"/>
        <v>0</v>
      </c>
      <c r="AE12" s="148">
        <f t="shared" si="9"/>
        <v>0</v>
      </c>
      <c r="AF12" s="148">
        <f t="shared" si="9"/>
        <v>0</v>
      </c>
      <c r="AG12" s="148">
        <f t="shared" si="9"/>
        <v>0</v>
      </c>
      <c r="AH12" s="153">
        <f t="shared" ref="AH12:AH23" si="10">+U12+AG12</f>
        <v>0</v>
      </c>
      <c r="AI12" s="56"/>
    </row>
    <row r="13" spans="1:35" s="11" customFormat="1" x14ac:dyDescent="0.25">
      <c r="A13" s="60"/>
      <c r="B13" s="60"/>
      <c r="C13" s="63"/>
      <c r="D13" s="194"/>
      <c r="E13" s="206"/>
      <c r="F13" s="209"/>
      <c r="G13" s="43" t="s">
        <v>212</v>
      </c>
      <c r="H13" s="5"/>
      <c r="I13" s="5"/>
      <c r="J13" s="5"/>
      <c r="K13" s="5"/>
      <c r="L13" s="5"/>
      <c r="M13" s="4"/>
      <c r="N13" s="4"/>
      <c r="O13" s="4"/>
      <c r="P13" s="6"/>
      <c r="Q13" s="148"/>
      <c r="R13" s="148"/>
      <c r="S13" s="137">
        <f t="shared" ref="S13:S23" si="11">+R13*Q13</f>
        <v>0</v>
      </c>
      <c r="T13" s="137">
        <f t="shared" ref="T13:T23" si="12">+R13</f>
        <v>0</v>
      </c>
      <c r="U13" s="137">
        <f t="shared" ref="U13:U23" si="13">S13</f>
        <v>0</v>
      </c>
      <c r="V13" s="138"/>
      <c r="W13" s="139">
        <v>1</v>
      </c>
      <c r="X13" s="137"/>
      <c r="Y13" s="137">
        <f>+$W13*X13</f>
        <v>0</v>
      </c>
      <c r="Z13" s="137"/>
      <c r="AA13" s="137">
        <f t="shared" ref="AA13:AC16" si="14">+$W13*Z13</f>
        <v>0</v>
      </c>
      <c r="AB13" s="137"/>
      <c r="AC13" s="137">
        <f t="shared" si="14"/>
        <v>0</v>
      </c>
      <c r="AD13" s="137"/>
      <c r="AE13" s="137">
        <f t="shared" ref="AE13" si="15">+$W13*AD13</f>
        <v>0</v>
      </c>
      <c r="AF13" s="137">
        <f t="shared" ref="AF13:AG23" si="16">+X13+Z13+AB13+AD13</f>
        <v>0</v>
      </c>
      <c r="AG13" s="137">
        <f t="shared" si="16"/>
        <v>0</v>
      </c>
      <c r="AH13" s="153"/>
      <c r="AI13" s="56"/>
    </row>
    <row r="14" spans="1:35" s="11" customFormat="1" x14ac:dyDescent="0.25">
      <c r="A14" s="60"/>
      <c r="B14" s="60"/>
      <c r="C14" s="63"/>
      <c r="D14" s="194"/>
      <c r="E14" s="206"/>
      <c r="F14" s="209"/>
      <c r="G14" s="43" t="s">
        <v>215</v>
      </c>
      <c r="H14" s="5"/>
      <c r="I14" s="5"/>
      <c r="J14" s="5"/>
      <c r="K14" s="5"/>
      <c r="L14" s="5"/>
      <c r="M14" s="4"/>
      <c r="N14" s="4"/>
      <c r="O14" s="4"/>
      <c r="P14" s="6"/>
      <c r="Q14" s="148"/>
      <c r="R14" s="148"/>
      <c r="S14" s="137">
        <f t="shared" si="11"/>
        <v>0</v>
      </c>
      <c r="T14" s="137">
        <f t="shared" si="12"/>
        <v>0</v>
      </c>
      <c r="U14" s="137">
        <f t="shared" si="13"/>
        <v>0</v>
      </c>
      <c r="V14" s="138"/>
      <c r="W14" s="139">
        <v>1</v>
      </c>
      <c r="X14" s="137"/>
      <c r="Y14" s="137">
        <f t="shared" ref="Y14:Y21" si="17">+$W14*X14</f>
        <v>0</v>
      </c>
      <c r="Z14" s="137"/>
      <c r="AA14" s="137">
        <f t="shared" si="14"/>
        <v>0</v>
      </c>
      <c r="AB14" s="137"/>
      <c r="AC14" s="137">
        <f t="shared" si="14"/>
        <v>0</v>
      </c>
      <c r="AD14" s="137"/>
      <c r="AE14" s="137">
        <f t="shared" ref="AE14" si="18">+$W14*AD14</f>
        <v>0</v>
      </c>
      <c r="AF14" s="137">
        <f t="shared" si="16"/>
        <v>0</v>
      </c>
      <c r="AG14" s="137">
        <f t="shared" si="16"/>
        <v>0</v>
      </c>
      <c r="AH14" s="153"/>
      <c r="AI14" s="56"/>
    </row>
    <row r="15" spans="1:35" s="11" customFormat="1" x14ac:dyDescent="0.25">
      <c r="A15" s="60"/>
      <c r="B15" s="60"/>
      <c r="C15" s="63"/>
      <c r="D15" s="194"/>
      <c r="E15" s="206"/>
      <c r="F15" s="209"/>
      <c r="G15" s="43" t="s">
        <v>213</v>
      </c>
      <c r="H15" s="5"/>
      <c r="I15" s="5"/>
      <c r="J15" s="5"/>
      <c r="K15" s="5"/>
      <c r="L15" s="5"/>
      <c r="M15" s="4"/>
      <c r="N15" s="4"/>
      <c r="O15" s="4"/>
      <c r="P15" s="6"/>
      <c r="Q15" s="148"/>
      <c r="R15" s="148"/>
      <c r="S15" s="137">
        <f t="shared" si="11"/>
        <v>0</v>
      </c>
      <c r="T15" s="137">
        <f t="shared" si="12"/>
        <v>0</v>
      </c>
      <c r="U15" s="137">
        <f t="shared" si="13"/>
        <v>0</v>
      </c>
      <c r="V15" s="138"/>
      <c r="W15" s="139">
        <v>1</v>
      </c>
      <c r="X15" s="137"/>
      <c r="Y15" s="137">
        <f t="shared" si="17"/>
        <v>0</v>
      </c>
      <c r="Z15" s="137"/>
      <c r="AA15" s="137">
        <f t="shared" si="14"/>
        <v>0</v>
      </c>
      <c r="AB15" s="137"/>
      <c r="AC15" s="137">
        <f t="shared" si="14"/>
        <v>0</v>
      </c>
      <c r="AD15" s="137"/>
      <c r="AE15" s="137">
        <f t="shared" ref="AE15" si="19">+$W15*AD15</f>
        <v>0</v>
      </c>
      <c r="AF15" s="137">
        <f t="shared" si="16"/>
        <v>0</v>
      </c>
      <c r="AG15" s="137">
        <f t="shared" si="16"/>
        <v>0</v>
      </c>
      <c r="AH15" s="153"/>
      <c r="AI15" s="56"/>
    </row>
    <row r="16" spans="1:35" s="11" customFormat="1" x14ac:dyDescent="0.25">
      <c r="A16" s="60"/>
      <c r="B16" s="60"/>
      <c r="C16" s="63"/>
      <c r="D16" s="194"/>
      <c r="E16" s="206"/>
      <c r="F16" s="209"/>
      <c r="G16" s="43" t="s">
        <v>214</v>
      </c>
      <c r="H16" s="5"/>
      <c r="I16" s="5"/>
      <c r="J16" s="5"/>
      <c r="K16" s="5"/>
      <c r="L16" s="5"/>
      <c r="M16" s="4"/>
      <c r="N16" s="4"/>
      <c r="O16" s="4"/>
      <c r="P16" s="6"/>
      <c r="Q16" s="148"/>
      <c r="R16" s="148"/>
      <c r="S16" s="137">
        <f t="shared" si="11"/>
        <v>0</v>
      </c>
      <c r="T16" s="137">
        <f t="shared" si="12"/>
        <v>0</v>
      </c>
      <c r="U16" s="137">
        <f t="shared" si="13"/>
        <v>0</v>
      </c>
      <c r="V16" s="138"/>
      <c r="W16" s="139">
        <v>1</v>
      </c>
      <c r="X16" s="137"/>
      <c r="Y16" s="137">
        <f t="shared" si="17"/>
        <v>0</v>
      </c>
      <c r="Z16" s="137"/>
      <c r="AA16" s="137">
        <f t="shared" si="14"/>
        <v>0</v>
      </c>
      <c r="AB16" s="137"/>
      <c r="AC16" s="137">
        <f t="shared" si="14"/>
        <v>0</v>
      </c>
      <c r="AD16" s="137"/>
      <c r="AE16" s="137">
        <f t="shared" ref="AE16" si="20">+$W16*AD16</f>
        <v>0</v>
      </c>
      <c r="AF16" s="137">
        <f t="shared" si="16"/>
        <v>0</v>
      </c>
      <c r="AG16" s="137">
        <f t="shared" si="16"/>
        <v>0</v>
      </c>
      <c r="AH16" s="153"/>
      <c r="AI16" s="56"/>
    </row>
    <row r="17" spans="1:37" s="11" customFormat="1" ht="38.25" x14ac:dyDescent="0.25">
      <c r="A17" s="60">
        <v>13</v>
      </c>
      <c r="B17" s="60">
        <v>1</v>
      </c>
      <c r="C17" s="63" t="s">
        <v>38</v>
      </c>
      <c r="D17" s="194"/>
      <c r="E17" s="206"/>
      <c r="F17" s="209"/>
      <c r="G17" s="43" t="s">
        <v>180</v>
      </c>
      <c r="H17" s="5"/>
      <c r="I17" s="5"/>
      <c r="J17" s="5"/>
      <c r="K17" s="5"/>
      <c r="L17" s="5"/>
      <c r="M17" s="4" t="s">
        <v>34</v>
      </c>
      <c r="N17" s="4" t="s">
        <v>35</v>
      </c>
      <c r="O17" s="4" t="s">
        <v>41</v>
      </c>
      <c r="P17" s="6" t="s">
        <v>125</v>
      </c>
      <c r="Q17" s="148"/>
      <c r="R17" s="148">
        <f>+SUM(R18:R21)</f>
        <v>0</v>
      </c>
      <c r="S17" s="148">
        <f>+SUM(S18:S21)</f>
        <v>0</v>
      </c>
      <c r="T17" s="148">
        <f>+SUM(T18:T21)</f>
        <v>0</v>
      </c>
      <c r="U17" s="148">
        <f>+SUM(U18:U21)</f>
        <v>0</v>
      </c>
      <c r="V17" s="138" t="s">
        <v>125</v>
      </c>
      <c r="W17" s="139"/>
      <c r="X17" s="148">
        <f>+SUM(X18:X21)</f>
        <v>0</v>
      </c>
      <c r="Y17" s="148">
        <f>+SUM(Y18:Y21)</f>
        <v>0</v>
      </c>
      <c r="Z17" s="148">
        <f t="shared" ref="Z17" si="21">+SUM(Z18:Z21)</f>
        <v>0</v>
      </c>
      <c r="AA17" s="148">
        <f t="shared" ref="AA17" si="22">+SUM(AA18:AA21)</f>
        <v>0</v>
      </c>
      <c r="AB17" s="148">
        <f t="shared" ref="AB17" si="23">+SUM(AB18:AB21)</f>
        <v>0</v>
      </c>
      <c r="AC17" s="148">
        <f t="shared" ref="AC17" si="24">+SUM(AC18:AC21)</f>
        <v>0</v>
      </c>
      <c r="AD17" s="148">
        <f t="shared" ref="AD17" si="25">+SUM(AD18:AD21)</f>
        <v>0</v>
      </c>
      <c r="AE17" s="148">
        <f t="shared" ref="AE17:AG17" si="26">+SUM(AE18:AE21)</f>
        <v>0</v>
      </c>
      <c r="AF17" s="148">
        <f t="shared" si="26"/>
        <v>0</v>
      </c>
      <c r="AG17" s="148">
        <f t="shared" si="26"/>
        <v>0</v>
      </c>
      <c r="AH17" s="153">
        <f t="shared" si="10"/>
        <v>0</v>
      </c>
      <c r="AI17" s="56"/>
    </row>
    <row r="18" spans="1:37" s="11" customFormat="1" x14ac:dyDescent="0.25">
      <c r="A18" s="60"/>
      <c r="B18" s="60"/>
      <c r="C18" s="63"/>
      <c r="D18" s="194"/>
      <c r="E18" s="206"/>
      <c r="F18" s="209"/>
      <c r="G18" s="43" t="s">
        <v>212</v>
      </c>
      <c r="H18" s="5"/>
      <c r="I18" s="5"/>
      <c r="J18" s="5"/>
      <c r="K18" s="5"/>
      <c r="L18" s="5"/>
      <c r="M18" s="4"/>
      <c r="N18" s="4"/>
      <c r="O18" s="4"/>
      <c r="P18" s="6"/>
      <c r="Q18" s="148"/>
      <c r="R18" s="148"/>
      <c r="S18" s="137">
        <f t="shared" si="11"/>
        <v>0</v>
      </c>
      <c r="T18" s="137">
        <f t="shared" si="12"/>
        <v>0</v>
      </c>
      <c r="U18" s="137">
        <f t="shared" si="13"/>
        <v>0</v>
      </c>
      <c r="V18" s="138"/>
      <c r="W18" s="139">
        <v>1</v>
      </c>
      <c r="X18" s="137"/>
      <c r="Y18" s="137">
        <f t="shared" si="17"/>
        <v>0</v>
      </c>
      <c r="Z18" s="137"/>
      <c r="AA18" s="137">
        <f t="shared" ref="AA18:AA21" si="27">+$W18*Z18</f>
        <v>0</v>
      </c>
      <c r="AB18" s="137"/>
      <c r="AC18" s="137">
        <f t="shared" ref="AC18" si="28">+$W18*AB18</f>
        <v>0</v>
      </c>
      <c r="AD18" s="137"/>
      <c r="AE18" s="137">
        <f t="shared" ref="AE18" si="29">+$W18*AD18</f>
        <v>0</v>
      </c>
      <c r="AF18" s="137">
        <f t="shared" si="16"/>
        <v>0</v>
      </c>
      <c r="AG18" s="137">
        <f t="shared" si="16"/>
        <v>0</v>
      </c>
      <c r="AH18" s="153"/>
      <c r="AI18" s="56"/>
    </row>
    <row r="19" spans="1:37" s="11" customFormat="1" x14ac:dyDescent="0.25">
      <c r="A19" s="60"/>
      <c r="B19" s="60"/>
      <c r="C19" s="63"/>
      <c r="D19" s="194"/>
      <c r="E19" s="206"/>
      <c r="F19" s="209"/>
      <c r="G19" s="43" t="s">
        <v>215</v>
      </c>
      <c r="H19" s="5"/>
      <c r="I19" s="5"/>
      <c r="J19" s="5"/>
      <c r="K19" s="5"/>
      <c r="L19" s="5"/>
      <c r="M19" s="4"/>
      <c r="N19" s="4"/>
      <c r="O19" s="4"/>
      <c r="P19" s="6"/>
      <c r="Q19" s="148"/>
      <c r="R19" s="148"/>
      <c r="S19" s="137">
        <f t="shared" si="11"/>
        <v>0</v>
      </c>
      <c r="T19" s="137">
        <f t="shared" si="12"/>
        <v>0</v>
      </c>
      <c r="U19" s="137">
        <f t="shared" si="13"/>
        <v>0</v>
      </c>
      <c r="V19" s="138"/>
      <c r="W19" s="139">
        <v>1</v>
      </c>
      <c r="X19" s="137"/>
      <c r="Y19" s="137">
        <f t="shared" si="17"/>
        <v>0</v>
      </c>
      <c r="Z19" s="137"/>
      <c r="AA19" s="137">
        <f t="shared" si="27"/>
        <v>0</v>
      </c>
      <c r="AB19" s="137"/>
      <c r="AC19" s="137">
        <f t="shared" ref="AC19" si="30">+$W19*AB19</f>
        <v>0</v>
      </c>
      <c r="AD19" s="137"/>
      <c r="AE19" s="137">
        <f t="shared" ref="AE19" si="31">+$W19*AD19</f>
        <v>0</v>
      </c>
      <c r="AF19" s="137">
        <f t="shared" si="16"/>
        <v>0</v>
      </c>
      <c r="AG19" s="137">
        <f t="shared" si="16"/>
        <v>0</v>
      </c>
      <c r="AH19" s="153"/>
      <c r="AI19" s="56"/>
    </row>
    <row r="20" spans="1:37" s="11" customFormat="1" x14ac:dyDescent="0.25">
      <c r="A20" s="60"/>
      <c r="B20" s="60"/>
      <c r="C20" s="63"/>
      <c r="D20" s="194"/>
      <c r="E20" s="206"/>
      <c r="F20" s="209"/>
      <c r="G20" s="43" t="s">
        <v>213</v>
      </c>
      <c r="H20" s="5"/>
      <c r="I20" s="5"/>
      <c r="J20" s="5"/>
      <c r="K20" s="5"/>
      <c r="L20" s="5"/>
      <c r="M20" s="4"/>
      <c r="N20" s="4"/>
      <c r="O20" s="4"/>
      <c r="P20" s="6"/>
      <c r="Q20" s="148"/>
      <c r="R20" s="148"/>
      <c r="S20" s="137">
        <f t="shared" si="11"/>
        <v>0</v>
      </c>
      <c r="T20" s="137">
        <f t="shared" si="12"/>
        <v>0</v>
      </c>
      <c r="U20" s="137">
        <f t="shared" si="13"/>
        <v>0</v>
      </c>
      <c r="V20" s="138"/>
      <c r="W20" s="139">
        <v>1</v>
      </c>
      <c r="X20" s="137"/>
      <c r="Y20" s="137">
        <f t="shared" si="17"/>
        <v>0</v>
      </c>
      <c r="Z20" s="137"/>
      <c r="AA20" s="137">
        <f t="shared" si="27"/>
        <v>0</v>
      </c>
      <c r="AB20" s="137"/>
      <c r="AC20" s="137">
        <f t="shared" ref="AC20" si="32">+$W20*AB20</f>
        <v>0</v>
      </c>
      <c r="AD20" s="137"/>
      <c r="AE20" s="137">
        <f t="shared" ref="AE20" si="33">+$W20*AD20</f>
        <v>0</v>
      </c>
      <c r="AF20" s="137">
        <f t="shared" si="16"/>
        <v>0</v>
      </c>
      <c r="AG20" s="137">
        <f t="shared" si="16"/>
        <v>0</v>
      </c>
      <c r="AH20" s="153"/>
      <c r="AI20" s="56"/>
    </row>
    <row r="21" spans="1:37" s="11" customFormat="1" x14ac:dyDescent="0.25">
      <c r="A21" s="60"/>
      <c r="B21" s="60"/>
      <c r="C21" s="63"/>
      <c r="D21" s="194"/>
      <c r="E21" s="206"/>
      <c r="F21" s="209"/>
      <c r="G21" s="43" t="s">
        <v>214</v>
      </c>
      <c r="H21" s="5"/>
      <c r="I21" s="5"/>
      <c r="J21" s="5"/>
      <c r="K21" s="5"/>
      <c r="L21" s="5"/>
      <c r="M21" s="4"/>
      <c r="N21" s="4"/>
      <c r="O21" s="4"/>
      <c r="P21" s="6"/>
      <c r="Q21" s="148"/>
      <c r="R21" s="148"/>
      <c r="S21" s="137">
        <f t="shared" si="11"/>
        <v>0</v>
      </c>
      <c r="T21" s="137">
        <f t="shared" si="12"/>
        <v>0</v>
      </c>
      <c r="U21" s="137">
        <f t="shared" si="13"/>
        <v>0</v>
      </c>
      <c r="V21" s="138"/>
      <c r="W21" s="139">
        <v>1</v>
      </c>
      <c r="X21" s="137"/>
      <c r="Y21" s="137">
        <f t="shared" si="17"/>
        <v>0</v>
      </c>
      <c r="Z21" s="137"/>
      <c r="AA21" s="137">
        <f t="shared" si="27"/>
        <v>0</v>
      </c>
      <c r="AB21" s="137"/>
      <c r="AC21" s="137">
        <f t="shared" ref="AC21" si="34">+$W21*AB21</f>
        <v>0</v>
      </c>
      <c r="AD21" s="137"/>
      <c r="AE21" s="137">
        <f t="shared" ref="AE21" si="35">+$W21*AD21</f>
        <v>0</v>
      </c>
      <c r="AF21" s="137">
        <f t="shared" si="16"/>
        <v>0</v>
      </c>
      <c r="AG21" s="137">
        <f t="shared" si="16"/>
        <v>0</v>
      </c>
      <c r="AH21" s="153"/>
      <c r="AI21" s="56"/>
    </row>
    <row r="22" spans="1:37" s="11" customFormat="1" ht="38.25" x14ac:dyDescent="0.25">
      <c r="A22" s="60">
        <v>13</v>
      </c>
      <c r="B22" s="60">
        <v>1</v>
      </c>
      <c r="C22" s="63" t="s">
        <v>38</v>
      </c>
      <c r="D22" s="194"/>
      <c r="E22" s="206"/>
      <c r="F22" s="209"/>
      <c r="G22" s="43" t="s">
        <v>126</v>
      </c>
      <c r="H22" s="5"/>
      <c r="I22" s="5"/>
      <c r="J22" s="5"/>
      <c r="K22" s="5"/>
      <c r="L22" s="5"/>
      <c r="M22" s="4" t="s">
        <v>34</v>
      </c>
      <c r="N22" s="4" t="s">
        <v>35</v>
      </c>
      <c r="O22" s="4" t="s">
        <v>41</v>
      </c>
      <c r="P22" s="6" t="s">
        <v>127</v>
      </c>
      <c r="Q22" s="152"/>
      <c r="R22" s="152"/>
      <c r="S22" s="137">
        <f t="shared" si="11"/>
        <v>0</v>
      </c>
      <c r="T22" s="137">
        <f t="shared" si="12"/>
        <v>0</v>
      </c>
      <c r="U22" s="137">
        <f t="shared" si="13"/>
        <v>0</v>
      </c>
      <c r="V22" s="138" t="s">
        <v>127</v>
      </c>
      <c r="W22" s="139"/>
      <c r="X22" s="137"/>
      <c r="Y22" s="137">
        <f t="shared" ref="Y22:Y23" si="36">+W22*X22</f>
        <v>0</v>
      </c>
      <c r="Z22" s="137"/>
      <c r="AA22" s="137">
        <f t="shared" ref="AA22:AA23" si="37">+Z22*W22</f>
        <v>0</v>
      </c>
      <c r="AB22" s="137"/>
      <c r="AC22" s="137">
        <f t="shared" ref="AC22:AC23" si="38">+AB22*W22</f>
        <v>0</v>
      </c>
      <c r="AD22" s="137"/>
      <c r="AE22" s="137">
        <f t="shared" ref="AE22:AE23" si="39">+AD22*W22</f>
        <v>0</v>
      </c>
      <c r="AF22" s="137">
        <f t="shared" si="16"/>
        <v>0</v>
      </c>
      <c r="AG22" s="137">
        <f t="shared" si="16"/>
        <v>0</v>
      </c>
      <c r="AH22" s="153">
        <f t="shared" si="10"/>
        <v>0</v>
      </c>
      <c r="AI22" s="56"/>
    </row>
    <row r="23" spans="1:37" s="59" customFormat="1" ht="150.75" customHeight="1" x14ac:dyDescent="0.25">
      <c r="A23" s="60">
        <v>13</v>
      </c>
      <c r="B23" s="60">
        <v>1</v>
      </c>
      <c r="C23" s="63" t="s">
        <v>38</v>
      </c>
      <c r="D23" s="195"/>
      <c r="E23" s="207"/>
      <c r="F23" s="210"/>
      <c r="G23" s="43" t="s">
        <v>128</v>
      </c>
      <c r="H23" s="5"/>
      <c r="I23" s="5"/>
      <c r="J23" s="5"/>
      <c r="K23" s="5"/>
      <c r="L23" s="5"/>
      <c r="M23" s="4" t="s">
        <v>34</v>
      </c>
      <c r="N23" s="4" t="s">
        <v>35</v>
      </c>
      <c r="O23" s="4" t="s">
        <v>41</v>
      </c>
      <c r="P23" s="6" t="s">
        <v>129</v>
      </c>
      <c r="Q23" s="152"/>
      <c r="R23" s="152"/>
      <c r="S23" s="137">
        <f t="shared" si="11"/>
        <v>0</v>
      </c>
      <c r="T23" s="137">
        <f t="shared" si="12"/>
        <v>0</v>
      </c>
      <c r="U23" s="137">
        <f t="shared" si="13"/>
        <v>0</v>
      </c>
      <c r="V23" s="138" t="s">
        <v>129</v>
      </c>
      <c r="W23" s="139"/>
      <c r="X23" s="137"/>
      <c r="Y23" s="137">
        <f t="shared" si="36"/>
        <v>0</v>
      </c>
      <c r="Z23" s="137"/>
      <c r="AA23" s="137">
        <f t="shared" si="37"/>
        <v>0</v>
      </c>
      <c r="AB23" s="137"/>
      <c r="AC23" s="137">
        <f t="shared" si="38"/>
        <v>0</v>
      </c>
      <c r="AD23" s="137"/>
      <c r="AE23" s="137">
        <f t="shared" si="39"/>
        <v>0</v>
      </c>
      <c r="AF23" s="137">
        <f t="shared" si="16"/>
        <v>0</v>
      </c>
      <c r="AG23" s="137">
        <f t="shared" si="16"/>
        <v>0</v>
      </c>
      <c r="AH23" s="153">
        <f t="shared" si="10"/>
        <v>0</v>
      </c>
      <c r="AI23" s="56"/>
    </row>
    <row r="24" spans="1:37" s="11" customFormat="1" x14ac:dyDescent="0.2">
      <c r="A24" s="49" t="s">
        <v>57</v>
      </c>
      <c r="B24" s="25"/>
      <c r="C24" s="26"/>
      <c r="D24" s="26"/>
      <c r="E24" s="26"/>
      <c r="F24" s="26"/>
      <c r="G24" s="38"/>
      <c r="H24" s="39"/>
      <c r="I24" s="39"/>
      <c r="J24" s="39"/>
      <c r="K24" s="39"/>
      <c r="L24" s="39"/>
      <c r="M24" s="37"/>
      <c r="N24" s="37"/>
      <c r="O24" s="37"/>
      <c r="P24" s="34"/>
      <c r="Q24" s="172"/>
      <c r="R24" s="172"/>
      <c r="S24" s="172"/>
      <c r="T24" s="172"/>
      <c r="U24" s="172"/>
      <c r="V24" s="172"/>
      <c r="W24" s="172"/>
      <c r="X24" s="172"/>
      <c r="Y24" s="172"/>
      <c r="Z24" s="172"/>
      <c r="AA24" s="172"/>
      <c r="AB24" s="172"/>
      <c r="AC24" s="172"/>
      <c r="AD24" s="172"/>
      <c r="AE24" s="172"/>
      <c r="AF24" s="172"/>
      <c r="AG24" s="172"/>
      <c r="AH24" s="168">
        <f>SUM(AH25)</f>
        <v>0</v>
      </c>
      <c r="AI24" s="32">
        <v>25707069</v>
      </c>
    </row>
    <row r="25" spans="1:37" s="59" customFormat="1" ht="89.25" x14ac:dyDescent="0.25">
      <c r="A25" s="60">
        <v>8</v>
      </c>
      <c r="B25" s="60">
        <v>1</v>
      </c>
      <c r="C25" s="63" t="s">
        <v>38</v>
      </c>
      <c r="D25" s="63" t="s">
        <v>32</v>
      </c>
      <c r="E25" s="57" t="s">
        <v>122</v>
      </c>
      <c r="F25" s="57" t="s">
        <v>130</v>
      </c>
      <c r="G25" s="3"/>
      <c r="H25" s="5"/>
      <c r="I25" s="5"/>
      <c r="J25" s="5"/>
      <c r="K25" s="5"/>
      <c r="L25" s="5"/>
      <c r="M25" s="4" t="s">
        <v>34</v>
      </c>
      <c r="N25" s="4" t="s">
        <v>35</v>
      </c>
      <c r="O25" s="4" t="s">
        <v>40</v>
      </c>
      <c r="P25" s="6"/>
      <c r="Q25" s="152"/>
      <c r="R25" s="152"/>
      <c r="S25" s="137">
        <f t="shared" ref="S25" si="40">+R25*Q25</f>
        <v>0</v>
      </c>
      <c r="T25" s="137">
        <f t="shared" ref="T25" si="41">+R25</f>
        <v>0</v>
      </c>
      <c r="U25" s="137">
        <f t="shared" ref="U25" si="42">S25</f>
        <v>0</v>
      </c>
      <c r="V25" s="138"/>
      <c r="W25" s="139"/>
      <c r="X25" s="137"/>
      <c r="Y25" s="137">
        <f t="shared" ref="Y25" si="43">+W25*X25</f>
        <v>0</v>
      </c>
      <c r="Z25" s="137"/>
      <c r="AA25" s="137">
        <f t="shared" ref="AA25" si="44">+Z25*W25</f>
        <v>0</v>
      </c>
      <c r="AB25" s="137"/>
      <c r="AC25" s="137">
        <f t="shared" ref="AC25" si="45">+AB25*W25</f>
        <v>0</v>
      </c>
      <c r="AD25" s="137"/>
      <c r="AE25" s="137">
        <f t="shared" ref="AE25" si="46">+AD25*W25</f>
        <v>0</v>
      </c>
      <c r="AF25" s="137">
        <f t="shared" ref="AF25:AG25" si="47">+X25+Z25+AB25+AD25</f>
        <v>0</v>
      </c>
      <c r="AG25" s="137">
        <f t="shared" si="47"/>
        <v>0</v>
      </c>
      <c r="AH25" s="153">
        <f t="shared" ref="AH25" si="48">+U25+AG25</f>
        <v>0</v>
      </c>
      <c r="AI25" s="56"/>
    </row>
    <row r="26" spans="1:37" s="11" customFormat="1" x14ac:dyDescent="0.2">
      <c r="A26" s="49" t="s">
        <v>164</v>
      </c>
      <c r="B26" s="25"/>
      <c r="C26" s="26"/>
      <c r="D26" s="26"/>
      <c r="E26" s="26"/>
      <c r="F26" s="26"/>
      <c r="G26" s="38"/>
      <c r="H26" s="39"/>
      <c r="I26" s="39"/>
      <c r="J26" s="39"/>
      <c r="K26" s="39"/>
      <c r="L26" s="39"/>
      <c r="M26" s="37"/>
      <c r="N26" s="37"/>
      <c r="O26" s="37"/>
      <c r="P26" s="34"/>
      <c r="Q26" s="172"/>
      <c r="R26" s="172"/>
      <c r="S26" s="172"/>
      <c r="T26" s="172"/>
      <c r="U26" s="172"/>
      <c r="V26" s="172"/>
      <c r="W26" s="172"/>
      <c r="X26" s="172"/>
      <c r="Y26" s="172"/>
      <c r="Z26" s="172"/>
      <c r="AA26" s="172"/>
      <c r="AB26" s="172"/>
      <c r="AC26" s="172"/>
      <c r="AD26" s="172"/>
      <c r="AE26" s="172"/>
      <c r="AF26" s="172"/>
      <c r="AG26" s="172"/>
      <c r="AH26" s="168">
        <f>+AH4+AH11+AH24</f>
        <v>0</v>
      </c>
      <c r="AI26" s="32">
        <f>+AI4+AI11+AI24</f>
        <v>285634044</v>
      </c>
    </row>
    <row r="27" spans="1:37" x14ac:dyDescent="0.2">
      <c r="Q27" s="173"/>
      <c r="R27" s="173"/>
      <c r="S27" s="173"/>
      <c r="T27" s="173"/>
      <c r="U27" s="173"/>
      <c r="V27" s="173"/>
      <c r="W27" s="173"/>
      <c r="X27" s="173"/>
      <c r="Y27" s="173"/>
      <c r="Z27" s="173"/>
      <c r="AA27" s="174"/>
      <c r="AB27" s="173"/>
      <c r="AC27" s="173"/>
      <c r="AD27" s="173"/>
      <c r="AE27" s="173"/>
      <c r="AF27" s="173"/>
      <c r="AG27" s="173"/>
      <c r="AH27" s="173">
        <f>SUM(AH7:AH25)</f>
        <v>0</v>
      </c>
      <c r="AJ27" s="46"/>
    </row>
    <row r="28" spans="1:37" s="11" customFormat="1" x14ac:dyDescent="0.2">
      <c r="A28" s="49" t="s">
        <v>58</v>
      </c>
      <c r="B28" s="25"/>
      <c r="C28" s="26"/>
      <c r="D28" s="26"/>
      <c r="E28" s="26"/>
      <c r="F28" s="26"/>
      <c r="G28" s="26"/>
      <c r="H28" s="27"/>
      <c r="I28" s="27"/>
      <c r="J28" s="27"/>
      <c r="K28" s="27"/>
      <c r="L28" s="27"/>
      <c r="M28" s="25"/>
      <c r="N28" s="25"/>
      <c r="O28" s="25"/>
      <c r="P28" s="25"/>
      <c r="Q28" s="175"/>
      <c r="R28" s="175"/>
      <c r="S28" s="175"/>
      <c r="T28" s="175"/>
      <c r="U28" s="175"/>
      <c r="V28" s="175"/>
      <c r="W28" s="175"/>
      <c r="X28" s="175"/>
      <c r="Y28" s="175"/>
      <c r="Z28" s="175"/>
      <c r="AA28" s="175"/>
      <c r="AB28" s="175"/>
      <c r="AC28" s="175"/>
      <c r="AD28" s="175"/>
      <c r="AE28" s="175"/>
      <c r="AF28" s="175"/>
      <c r="AG28" s="175"/>
      <c r="AH28" s="168"/>
      <c r="AI28" s="32"/>
    </row>
    <row r="29" spans="1:37" s="59" customFormat="1" ht="89.25" x14ac:dyDescent="0.25">
      <c r="A29" s="60">
        <v>6</v>
      </c>
      <c r="B29" s="60">
        <v>1</v>
      </c>
      <c r="C29" s="63" t="s">
        <v>31</v>
      </c>
      <c r="D29" s="63" t="s">
        <v>32</v>
      </c>
      <c r="E29" s="57" t="s">
        <v>33</v>
      </c>
      <c r="F29" s="63" t="s">
        <v>131</v>
      </c>
      <c r="G29" s="57" t="s">
        <v>132</v>
      </c>
      <c r="H29" s="58"/>
      <c r="I29" s="58"/>
      <c r="J29" s="58"/>
      <c r="K29" s="58"/>
      <c r="L29" s="58"/>
      <c r="M29" s="33" t="s">
        <v>34</v>
      </c>
      <c r="N29" s="33" t="s">
        <v>35</v>
      </c>
      <c r="O29" s="33" t="s">
        <v>36</v>
      </c>
      <c r="P29" s="51" t="s">
        <v>37</v>
      </c>
      <c r="Q29" s="140">
        <f>15355</f>
        <v>15355</v>
      </c>
      <c r="R29" s="113">
        <v>175</v>
      </c>
      <c r="S29" s="140">
        <f>+R29*Q29</f>
        <v>2687125</v>
      </c>
      <c r="T29" s="140">
        <f t="shared" ref="T29:T34" si="49">+R29</f>
        <v>175</v>
      </c>
      <c r="U29" s="140">
        <f>S29</f>
        <v>2687125</v>
      </c>
      <c r="V29" s="150" t="s">
        <v>37</v>
      </c>
      <c r="W29" s="151">
        <f>+Q29</f>
        <v>15355</v>
      </c>
      <c r="X29" s="140">
        <v>175</v>
      </c>
      <c r="Y29" s="140">
        <f t="shared" ref="Y29:Y33" si="50">+W29*X29</f>
        <v>2687125</v>
      </c>
      <c r="Z29" s="140">
        <v>175</v>
      </c>
      <c r="AA29" s="140">
        <f t="shared" ref="AA29:AA33" si="51">+Z29*W29</f>
        <v>2687125</v>
      </c>
      <c r="AB29" s="140">
        <f>+Z29</f>
        <v>175</v>
      </c>
      <c r="AC29" s="140">
        <f t="shared" ref="AC29:AC33" si="52">+AB29*W29</f>
        <v>2687125</v>
      </c>
      <c r="AD29" s="140">
        <v>176</v>
      </c>
      <c r="AE29" s="140">
        <f t="shared" ref="AE29:AE33" si="53">+AD29*W29</f>
        <v>2702480</v>
      </c>
      <c r="AF29" s="140">
        <f t="shared" ref="AF29:AG34" si="54">+X29+Z29+AB29+AD29</f>
        <v>701</v>
      </c>
      <c r="AG29" s="140">
        <f t="shared" si="54"/>
        <v>10763855</v>
      </c>
      <c r="AH29" s="153">
        <f t="shared" ref="AH29:AH33" si="55">+U29+AG29</f>
        <v>13450980</v>
      </c>
      <c r="AI29" s="56"/>
      <c r="AK29" s="111"/>
    </row>
    <row r="30" spans="1:37" s="59" customFormat="1" ht="114.75" x14ac:dyDescent="0.25">
      <c r="A30" s="60">
        <v>34</v>
      </c>
      <c r="B30" s="68">
        <v>1</v>
      </c>
      <c r="C30" s="63" t="s">
        <v>42</v>
      </c>
      <c r="D30" s="63" t="s">
        <v>43</v>
      </c>
      <c r="E30" s="57" t="s">
        <v>44</v>
      </c>
      <c r="F30" s="63" t="s">
        <v>158</v>
      </c>
      <c r="G30" s="57" t="s">
        <v>133</v>
      </c>
      <c r="H30" s="33"/>
      <c r="I30" s="58"/>
      <c r="J30" s="58"/>
      <c r="K30" s="58"/>
      <c r="L30" s="58"/>
      <c r="M30" s="33" t="s">
        <v>34</v>
      </c>
      <c r="N30" s="33" t="s">
        <v>35</v>
      </c>
      <c r="O30" s="63" t="s">
        <v>45</v>
      </c>
      <c r="P30" s="51" t="s">
        <v>134</v>
      </c>
      <c r="Q30" s="140"/>
      <c r="R30" s="113"/>
      <c r="S30" s="140">
        <f>+R30*Q30</f>
        <v>0</v>
      </c>
      <c r="T30" s="140">
        <f t="shared" si="49"/>
        <v>0</v>
      </c>
      <c r="U30" s="140">
        <f t="shared" ref="U30:U33" si="56">S30</f>
        <v>0</v>
      </c>
      <c r="V30" s="150" t="s">
        <v>134</v>
      </c>
      <c r="W30" s="140">
        <f>36000*24</f>
        <v>864000</v>
      </c>
      <c r="X30" s="140">
        <v>3</v>
      </c>
      <c r="Y30" s="140">
        <f t="shared" si="50"/>
        <v>2592000</v>
      </c>
      <c r="Z30" s="140">
        <v>3</v>
      </c>
      <c r="AA30" s="140">
        <f t="shared" si="51"/>
        <v>2592000</v>
      </c>
      <c r="AB30" s="140"/>
      <c r="AC30" s="140">
        <f t="shared" si="52"/>
        <v>0</v>
      </c>
      <c r="AD30" s="140">
        <f t="shared" ref="AD30:AD31" si="57">+AB30</f>
        <v>0</v>
      </c>
      <c r="AE30" s="140">
        <f t="shared" si="53"/>
        <v>0</v>
      </c>
      <c r="AF30" s="140">
        <f>+X30+Z30+AB30+AD30</f>
        <v>6</v>
      </c>
      <c r="AG30" s="140">
        <f t="shared" si="54"/>
        <v>5184000</v>
      </c>
      <c r="AH30" s="153">
        <f t="shared" si="55"/>
        <v>5184000</v>
      </c>
      <c r="AI30" s="56"/>
    </row>
    <row r="31" spans="1:37" s="59" customFormat="1" ht="114.75" x14ac:dyDescent="0.25">
      <c r="A31" s="60">
        <v>35</v>
      </c>
      <c r="B31" s="68">
        <v>1</v>
      </c>
      <c r="C31" s="63" t="s">
        <v>42</v>
      </c>
      <c r="D31" s="63" t="s">
        <v>43</v>
      </c>
      <c r="E31" s="57" t="s">
        <v>44</v>
      </c>
      <c r="F31" s="63" t="s">
        <v>158</v>
      </c>
      <c r="G31" s="57" t="s">
        <v>135</v>
      </c>
      <c r="H31" s="33"/>
      <c r="I31" s="58"/>
      <c r="J31" s="58"/>
      <c r="K31" s="58"/>
      <c r="L31" s="58"/>
      <c r="M31" s="33" t="s">
        <v>34</v>
      </c>
      <c r="N31" s="33" t="s">
        <v>35</v>
      </c>
      <c r="O31" s="63" t="s">
        <v>45</v>
      </c>
      <c r="P31" s="51" t="s">
        <v>134</v>
      </c>
      <c r="Q31" s="140"/>
      <c r="R31" s="113"/>
      <c r="S31" s="140">
        <f t="shared" ref="S31:S33" si="58">+R31*Q31</f>
        <v>0</v>
      </c>
      <c r="T31" s="140">
        <f t="shared" si="49"/>
        <v>0</v>
      </c>
      <c r="U31" s="140">
        <f t="shared" si="56"/>
        <v>0</v>
      </c>
      <c r="V31" s="150" t="s">
        <v>134</v>
      </c>
      <c r="W31" s="140">
        <f>36000*12</f>
        <v>432000</v>
      </c>
      <c r="X31" s="140"/>
      <c r="Y31" s="140">
        <f t="shared" si="50"/>
        <v>0</v>
      </c>
      <c r="Z31" s="140">
        <f t="shared" ref="Z31" si="59">+X31</f>
        <v>0</v>
      </c>
      <c r="AA31" s="140">
        <f t="shared" si="51"/>
        <v>0</v>
      </c>
      <c r="AB31" s="140">
        <v>6</v>
      </c>
      <c r="AC31" s="140">
        <f t="shared" si="52"/>
        <v>2592000</v>
      </c>
      <c r="AD31" s="140">
        <f t="shared" si="57"/>
        <v>6</v>
      </c>
      <c r="AE31" s="140">
        <f t="shared" si="53"/>
        <v>2592000</v>
      </c>
      <c r="AF31" s="140">
        <f t="shared" si="54"/>
        <v>12</v>
      </c>
      <c r="AG31" s="140">
        <f t="shared" si="54"/>
        <v>5184000</v>
      </c>
      <c r="AH31" s="153">
        <f t="shared" si="55"/>
        <v>5184000</v>
      </c>
      <c r="AI31" s="56"/>
    </row>
    <row r="32" spans="1:37" s="72" customFormat="1" ht="76.5" x14ac:dyDescent="0.25">
      <c r="A32" s="60">
        <v>43</v>
      </c>
      <c r="B32" s="68">
        <v>1</v>
      </c>
      <c r="C32" s="63" t="s">
        <v>46</v>
      </c>
      <c r="D32" s="63" t="s">
        <v>47</v>
      </c>
      <c r="E32" s="57" t="s">
        <v>48</v>
      </c>
      <c r="F32" s="63" t="s">
        <v>159</v>
      </c>
      <c r="G32" s="57" t="s">
        <v>136</v>
      </c>
      <c r="H32" s="69"/>
      <c r="I32" s="69"/>
      <c r="J32" s="70"/>
      <c r="K32" s="69"/>
      <c r="L32" s="70"/>
      <c r="M32" s="33" t="s">
        <v>34</v>
      </c>
      <c r="N32" s="33" t="s">
        <v>35</v>
      </c>
      <c r="O32" s="33" t="s">
        <v>49</v>
      </c>
      <c r="P32" s="51" t="s">
        <v>137</v>
      </c>
      <c r="Q32" s="140"/>
      <c r="R32" s="113"/>
      <c r="S32" s="140">
        <f t="shared" si="58"/>
        <v>0</v>
      </c>
      <c r="T32" s="140">
        <f t="shared" si="49"/>
        <v>0</v>
      </c>
      <c r="U32" s="140">
        <f t="shared" si="56"/>
        <v>0</v>
      </c>
      <c r="V32" s="150" t="s">
        <v>137</v>
      </c>
      <c r="W32" s="151">
        <v>5000000</v>
      </c>
      <c r="X32" s="140">
        <f t="shared" ref="X32" si="60">+R32</f>
        <v>0</v>
      </c>
      <c r="Y32" s="140">
        <f t="shared" si="50"/>
        <v>0</v>
      </c>
      <c r="Z32" s="140">
        <v>1</v>
      </c>
      <c r="AA32" s="140">
        <f t="shared" si="51"/>
        <v>5000000</v>
      </c>
      <c r="AB32" s="140"/>
      <c r="AC32" s="140">
        <f t="shared" si="52"/>
        <v>0</v>
      </c>
      <c r="AD32" s="140">
        <v>0</v>
      </c>
      <c r="AE32" s="140">
        <f t="shared" si="53"/>
        <v>0</v>
      </c>
      <c r="AF32" s="140">
        <f t="shared" si="54"/>
        <v>1</v>
      </c>
      <c r="AG32" s="140">
        <f t="shared" si="54"/>
        <v>5000000</v>
      </c>
      <c r="AH32" s="153">
        <f t="shared" si="55"/>
        <v>5000000</v>
      </c>
      <c r="AI32" s="56"/>
    </row>
    <row r="33" spans="1:35" s="72" customFormat="1" ht="144" customHeight="1" x14ac:dyDescent="0.25">
      <c r="A33" s="60">
        <v>46</v>
      </c>
      <c r="B33" s="68">
        <v>1</v>
      </c>
      <c r="C33" s="33" t="s">
        <v>38</v>
      </c>
      <c r="D33" s="63" t="s">
        <v>47</v>
      </c>
      <c r="E33" s="57" t="s">
        <v>50</v>
      </c>
      <c r="F33" s="63" t="s">
        <v>138</v>
      </c>
      <c r="G33" s="57" t="s">
        <v>139</v>
      </c>
      <c r="H33" s="69"/>
      <c r="I33" s="70"/>
      <c r="J33" s="70"/>
      <c r="K33" s="70"/>
      <c r="L33" s="70"/>
      <c r="M33" s="33" t="s">
        <v>34</v>
      </c>
      <c r="N33" s="33" t="s">
        <v>35</v>
      </c>
      <c r="O33" s="33" t="s">
        <v>36</v>
      </c>
      <c r="P33" s="51" t="s">
        <v>140</v>
      </c>
      <c r="Q33" s="140"/>
      <c r="R33" s="113"/>
      <c r="S33" s="140">
        <f t="shared" si="58"/>
        <v>0</v>
      </c>
      <c r="T33" s="140">
        <f t="shared" si="49"/>
        <v>0</v>
      </c>
      <c r="U33" s="140">
        <f t="shared" si="56"/>
        <v>0</v>
      </c>
      <c r="V33" s="150" t="s">
        <v>140</v>
      </c>
      <c r="W33" s="140">
        <v>100000</v>
      </c>
      <c r="X33" s="140">
        <v>8</v>
      </c>
      <c r="Y33" s="140">
        <f t="shared" si="50"/>
        <v>800000</v>
      </c>
      <c r="Z33" s="140">
        <f>+X33</f>
        <v>8</v>
      </c>
      <c r="AA33" s="140">
        <f t="shared" si="51"/>
        <v>800000</v>
      </c>
      <c r="AB33" s="140">
        <f t="shared" ref="AB33:AB34" si="61">+Z33</f>
        <v>8</v>
      </c>
      <c r="AC33" s="140">
        <f t="shared" si="52"/>
        <v>800000</v>
      </c>
      <c r="AD33" s="140">
        <v>10</v>
      </c>
      <c r="AE33" s="140">
        <f t="shared" si="53"/>
        <v>1000000</v>
      </c>
      <c r="AF33" s="140">
        <f t="shared" si="54"/>
        <v>34</v>
      </c>
      <c r="AG33" s="140">
        <f t="shared" si="54"/>
        <v>3400000</v>
      </c>
      <c r="AH33" s="153">
        <f t="shared" si="55"/>
        <v>3400000</v>
      </c>
      <c r="AI33" s="56"/>
    </row>
    <row r="34" spans="1:35" s="77" customFormat="1" ht="89.25" customHeight="1" x14ac:dyDescent="0.25">
      <c r="A34" s="60">
        <v>12</v>
      </c>
      <c r="B34" s="68">
        <v>1</v>
      </c>
      <c r="C34" s="63" t="s">
        <v>38</v>
      </c>
      <c r="D34" s="73" t="s">
        <v>32</v>
      </c>
      <c r="E34" s="74" t="s">
        <v>114</v>
      </c>
      <c r="F34" s="75" t="s">
        <v>160</v>
      </c>
      <c r="G34" s="75" t="s">
        <v>141</v>
      </c>
      <c r="H34" s="33"/>
      <c r="I34" s="70"/>
      <c r="J34" s="70"/>
      <c r="K34" s="70"/>
      <c r="L34" s="70"/>
      <c r="M34" s="76" t="s">
        <v>34</v>
      </c>
      <c r="N34" s="33" t="s">
        <v>35</v>
      </c>
      <c r="O34" s="76" t="s">
        <v>41</v>
      </c>
      <c r="P34" s="51" t="s">
        <v>142</v>
      </c>
      <c r="Q34" s="140">
        <f>150000*3</f>
        <v>450000</v>
      </c>
      <c r="R34" s="113">
        <v>7</v>
      </c>
      <c r="S34" s="140">
        <f>+R34*Q34</f>
        <v>3150000</v>
      </c>
      <c r="T34" s="140">
        <f t="shared" si="49"/>
        <v>7</v>
      </c>
      <c r="U34" s="140">
        <f>S34</f>
        <v>3150000</v>
      </c>
      <c r="V34" s="150" t="str">
        <f>+P34</f>
        <v>Costo Incentivo Lideres Pares</v>
      </c>
      <c r="W34" s="151">
        <f>154500*3</f>
        <v>463500</v>
      </c>
      <c r="X34" s="140">
        <f>+R34</f>
        <v>7</v>
      </c>
      <c r="Y34" s="140">
        <f>+W34*X34</f>
        <v>3244500</v>
      </c>
      <c r="Z34" s="140">
        <f>7+32</f>
        <v>39</v>
      </c>
      <c r="AA34" s="140">
        <f>+Z34*W34</f>
        <v>18076500</v>
      </c>
      <c r="AB34" s="140">
        <f t="shared" si="61"/>
        <v>39</v>
      </c>
      <c r="AC34" s="140">
        <f>+AB34*W34</f>
        <v>18076500</v>
      </c>
      <c r="AD34" s="140">
        <f>+AB34</f>
        <v>39</v>
      </c>
      <c r="AE34" s="140">
        <f>+AD34*W34</f>
        <v>18076500</v>
      </c>
      <c r="AF34" s="140">
        <f t="shared" si="54"/>
        <v>124</v>
      </c>
      <c r="AG34" s="140">
        <f>+Y34+AA34+AC34+AE34</f>
        <v>57474000</v>
      </c>
      <c r="AH34" s="153">
        <f>+U34+AG34</f>
        <v>60624000</v>
      </c>
      <c r="AI34" s="56"/>
    </row>
    <row r="35" spans="1:35" s="11" customFormat="1" x14ac:dyDescent="0.2">
      <c r="A35" s="49" t="s">
        <v>165</v>
      </c>
      <c r="B35" s="25"/>
      <c r="C35" s="26"/>
      <c r="D35" s="26"/>
      <c r="E35" s="26"/>
      <c r="F35" s="26"/>
      <c r="G35" s="26"/>
      <c r="H35" s="27"/>
      <c r="I35" s="27"/>
      <c r="J35" s="27"/>
      <c r="K35" s="27"/>
      <c r="L35" s="27"/>
      <c r="M35" s="25"/>
      <c r="N35" s="25"/>
      <c r="O35" s="25"/>
      <c r="P35" s="64"/>
      <c r="Q35" s="28"/>
      <c r="R35" s="29"/>
      <c r="S35" s="29"/>
      <c r="T35" s="29"/>
      <c r="U35" s="30"/>
      <c r="V35" s="25"/>
      <c r="W35" s="28"/>
      <c r="X35" s="29"/>
      <c r="Y35" s="29"/>
      <c r="Z35" s="29"/>
      <c r="AA35" s="29"/>
      <c r="AB35" s="29"/>
      <c r="AC35" s="29"/>
      <c r="AD35" s="29"/>
      <c r="AE35" s="29"/>
      <c r="AF35" s="29"/>
      <c r="AG35" s="30"/>
      <c r="AH35" s="31">
        <f>SUM(AH29:AH34)</f>
        <v>92842980</v>
      </c>
      <c r="AI35" s="32">
        <f>+AH35</f>
        <v>92842980</v>
      </c>
    </row>
    <row r="36" spans="1:35" s="11" customFormat="1" x14ac:dyDescent="0.2">
      <c r="A36" s="83" t="s">
        <v>166</v>
      </c>
      <c r="B36" s="84"/>
      <c r="C36" s="85"/>
      <c r="D36" s="85"/>
      <c r="E36" s="85"/>
      <c r="F36" s="85"/>
      <c r="G36" s="85"/>
      <c r="H36" s="86"/>
      <c r="I36" s="86"/>
      <c r="J36" s="86"/>
      <c r="K36" s="86"/>
      <c r="L36" s="86"/>
      <c r="M36" s="84"/>
      <c r="N36" s="84"/>
      <c r="O36" s="84"/>
      <c r="P36" s="87"/>
      <c r="Q36" s="88"/>
      <c r="R36" s="89"/>
      <c r="S36" s="89"/>
      <c r="T36" s="89"/>
      <c r="U36" s="90"/>
      <c r="V36" s="84"/>
      <c r="W36" s="88"/>
      <c r="X36" s="89"/>
      <c r="Y36" s="89"/>
      <c r="Z36" s="89"/>
      <c r="AA36" s="89"/>
      <c r="AB36" s="89"/>
      <c r="AC36" s="89"/>
      <c r="AD36" s="89"/>
      <c r="AE36" s="89"/>
      <c r="AF36" s="89"/>
      <c r="AG36" s="90"/>
      <c r="AH36" s="82"/>
      <c r="AI36" s="82">
        <f>+AI26+AI35</f>
        <v>378477024</v>
      </c>
    </row>
  </sheetData>
  <sheetProtection password="CB42" sheet="1" objects="1" scenarios="1" formatCells="0" formatColumns="0" formatRows="0" insertRows="0"/>
  <mergeCells count="39">
    <mergeCell ref="D12:D23"/>
    <mergeCell ref="E12:E23"/>
    <mergeCell ref="F12:F23"/>
    <mergeCell ref="AI2:AI3"/>
    <mergeCell ref="C5:C7"/>
    <mergeCell ref="D5:D10"/>
    <mergeCell ref="E5:E10"/>
    <mergeCell ref="F5:F7"/>
    <mergeCell ref="F8:F10"/>
    <mergeCell ref="AC2:AC3"/>
    <mergeCell ref="AD2:AD3"/>
    <mergeCell ref="AE2:AE3"/>
    <mergeCell ref="AF2:AF3"/>
    <mergeCell ref="AG2:AG3"/>
    <mergeCell ref="AH2:AH3"/>
    <mergeCell ref="W2:W3"/>
    <mergeCell ref="X2:X3"/>
    <mergeCell ref="Y2:Y3"/>
    <mergeCell ref="Z2:Z3"/>
    <mergeCell ref="AA2:AA3"/>
    <mergeCell ref="AB2:AB3"/>
    <mergeCell ref="V2:V3"/>
    <mergeCell ref="G2:G3"/>
    <mergeCell ref="I2:L2"/>
    <mergeCell ref="M2:M3"/>
    <mergeCell ref="N2:N3"/>
    <mergeCell ref="O2:O3"/>
    <mergeCell ref="P2:P3"/>
    <mergeCell ref="Q2:Q3"/>
    <mergeCell ref="R2:R3"/>
    <mergeCell ref="S2:S3"/>
    <mergeCell ref="T2:T3"/>
    <mergeCell ref="U2:U3"/>
    <mergeCell ref="F2:F3"/>
    <mergeCell ref="A2:A3"/>
    <mergeCell ref="B2:B3"/>
    <mergeCell ref="C2:C3"/>
    <mergeCell ref="D2:D3"/>
    <mergeCell ref="E2:E3"/>
  </mergeCells>
  <dataValidations count="1">
    <dataValidation type="decimal" operator="greaterThanOrEqual" allowBlank="1" showInputMessage="1" showErrorMessage="1" sqref="W25:W26 W34:W36 W32 W29 W5:W10 W12:W23">
      <formula1>0</formula1>
    </dataValidation>
  </dataValidation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23"/>
  <sheetViews>
    <sheetView showGridLines="0" workbookViewId="0">
      <selection activeCell="D4" sqref="D4"/>
    </sheetView>
  </sheetViews>
  <sheetFormatPr baseColWidth="10" defaultRowHeight="15" x14ac:dyDescent="0.25"/>
  <cols>
    <col min="1" max="1" width="53.28515625" style="19" customWidth="1"/>
    <col min="2" max="2" width="17.5703125" style="23" bestFit="1" customWidth="1"/>
    <col min="3" max="3" width="18.5703125" style="19" bestFit="1" customWidth="1"/>
    <col min="4" max="16384" width="11.42578125" style="19"/>
  </cols>
  <sheetData>
    <row r="1" spans="1:3" ht="39.75" customHeight="1" x14ac:dyDescent="0.25">
      <c r="A1" s="188" t="s">
        <v>100</v>
      </c>
      <c r="B1" s="188"/>
      <c r="C1" s="188"/>
    </row>
    <row r="2" spans="1:3" x14ac:dyDescent="0.25">
      <c r="A2" s="189" t="s">
        <v>151</v>
      </c>
      <c r="B2" s="189"/>
      <c r="C2" s="189"/>
    </row>
    <row r="3" spans="1:3" x14ac:dyDescent="0.25">
      <c r="A3" s="118"/>
      <c r="B3" s="119"/>
      <c r="C3" s="118"/>
    </row>
    <row r="4" spans="1:3" x14ac:dyDescent="0.25">
      <c r="A4" s="120" t="s">
        <v>102</v>
      </c>
      <c r="B4" s="121"/>
      <c r="C4" s="118"/>
    </row>
    <row r="6" spans="1:3" s="20" customFormat="1" x14ac:dyDescent="0.25">
      <c r="A6" s="91" t="s">
        <v>103</v>
      </c>
      <c r="B6" s="92" t="s">
        <v>104</v>
      </c>
      <c r="C6" s="93" t="s">
        <v>98</v>
      </c>
    </row>
    <row r="7" spans="1:3" s="21" customFormat="1" x14ac:dyDescent="0.25">
      <c r="A7" s="94" t="s">
        <v>105</v>
      </c>
      <c r="B7" s="106">
        <f>+'[1]Fase I Valle del Cauca'!AH4</f>
        <v>0</v>
      </c>
      <c r="C7" s="96">
        <f>+'Fase I Meta'!AI4</f>
        <v>161646435</v>
      </c>
    </row>
    <row r="8" spans="1:3" s="22" customFormat="1" x14ac:dyDescent="0.25">
      <c r="A8" s="97" t="s">
        <v>106</v>
      </c>
      <c r="B8" s="95">
        <f>+'[1]Fase I Valle del Cauca'!AH11</f>
        <v>0</v>
      </c>
      <c r="C8" s="96">
        <f>+'Fase I Meta'!AI11</f>
        <v>48493931</v>
      </c>
    </row>
    <row r="9" spans="1:3" s="22" customFormat="1" x14ac:dyDescent="0.25">
      <c r="A9" s="97" t="s">
        <v>107</v>
      </c>
      <c r="B9" s="95">
        <f>+'[1]Fase I Valle del Cauca'!AH16</f>
        <v>0</v>
      </c>
      <c r="C9" s="96">
        <f>+'Fase I Meta'!AI24</f>
        <v>20783115</v>
      </c>
    </row>
    <row r="10" spans="1:3" s="22" customFormat="1" x14ac:dyDescent="0.25">
      <c r="A10" s="99" t="s">
        <v>161</v>
      </c>
      <c r="B10" s="107">
        <f>SUM(B7:B9)</f>
        <v>0</v>
      </c>
      <c r="C10" s="108">
        <f>SUM(C7:C9)</f>
        <v>230923481</v>
      </c>
    </row>
    <row r="11" spans="1:3" s="22" customFormat="1" x14ac:dyDescent="0.25">
      <c r="A11" s="97"/>
      <c r="B11" s="107"/>
      <c r="C11" s="96"/>
    </row>
    <row r="12" spans="1:3" x14ac:dyDescent="0.25">
      <c r="A12" s="101" t="s">
        <v>108</v>
      </c>
      <c r="B12" s="109">
        <f>+'Fase I Meta'!AH35</f>
        <v>79031695</v>
      </c>
      <c r="C12" s="96">
        <f>+'Fase I Meta'!AI35</f>
        <v>79031695</v>
      </c>
    </row>
    <row r="13" spans="1:3" x14ac:dyDescent="0.25">
      <c r="A13" s="102" t="s">
        <v>162</v>
      </c>
      <c r="B13" s="110">
        <f>+B12</f>
        <v>79031695</v>
      </c>
      <c r="C13" s="100">
        <f>+C12</f>
        <v>79031695</v>
      </c>
    </row>
    <row r="14" spans="1:3" x14ac:dyDescent="0.25">
      <c r="A14" s="104" t="s">
        <v>163</v>
      </c>
      <c r="B14" s="105">
        <f>+B10+B13</f>
        <v>79031695</v>
      </c>
      <c r="C14" s="105">
        <f>+C10+C13</f>
        <v>309955176</v>
      </c>
    </row>
    <row r="19" spans="1:3" s="24" customFormat="1" x14ac:dyDescent="0.25">
      <c r="A19" s="122" t="s">
        <v>109</v>
      </c>
      <c r="B19" s="119"/>
      <c r="C19" s="123"/>
    </row>
    <row r="20" spans="1:3" s="24" customFormat="1" x14ac:dyDescent="0.25">
      <c r="A20" s="122" t="s">
        <v>110</v>
      </c>
      <c r="B20" s="119"/>
      <c r="C20" s="123"/>
    </row>
    <row r="21" spans="1:3" x14ac:dyDescent="0.25">
      <c r="A21" s="118"/>
      <c r="B21" s="119"/>
      <c r="C21" s="118"/>
    </row>
    <row r="22" spans="1:3" x14ac:dyDescent="0.25">
      <c r="A22" s="118"/>
      <c r="B22" s="119"/>
      <c r="C22" s="118"/>
    </row>
    <row r="23" spans="1:3" x14ac:dyDescent="0.25">
      <c r="A23" s="118"/>
      <c r="B23" s="119"/>
      <c r="C23" s="118"/>
    </row>
  </sheetData>
  <sheetProtection password="CB42" sheet="1" objects="1" scenarios="1"/>
  <mergeCells count="2">
    <mergeCell ref="A1:C1"/>
    <mergeCell ref="A2:C2"/>
  </mergeCell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K36"/>
  <sheetViews>
    <sheetView showGridLines="0" topLeftCell="D1" zoomScale="70" zoomScaleNormal="70" workbookViewId="0">
      <selection activeCell="H5" sqref="H5"/>
    </sheetView>
  </sheetViews>
  <sheetFormatPr baseColWidth="10" defaultRowHeight="12.75" x14ac:dyDescent="0.2"/>
  <cols>
    <col min="1" max="1" width="6.28515625" style="46" bestFit="1" customWidth="1"/>
    <col min="2" max="2" width="15" style="46" customWidth="1"/>
    <col min="3" max="3" width="17.140625" style="46" customWidth="1"/>
    <col min="4" max="4" width="24.42578125" style="46" customWidth="1"/>
    <col min="5" max="5" width="43.28515625" style="46" customWidth="1"/>
    <col min="6" max="6" width="61.140625" style="46" customWidth="1"/>
    <col min="7" max="7" width="29.42578125" style="46" customWidth="1"/>
    <col min="8" max="8" width="7.28515625" style="46" bestFit="1" customWidth="1"/>
    <col min="9" max="9" width="3.85546875" style="46" bestFit="1" customWidth="1"/>
    <col min="10" max="12" width="3.28515625" style="46" bestFit="1" customWidth="1"/>
    <col min="13" max="13" width="18.5703125" style="46" customWidth="1"/>
    <col min="14" max="14" width="11.42578125" style="46"/>
    <col min="15" max="15" width="13.7109375" style="46" customWidth="1"/>
    <col min="16" max="16" width="17.7109375" style="46" customWidth="1"/>
    <col min="17" max="18" width="11.5703125" style="46" bestFit="1" customWidth="1"/>
    <col min="19" max="19" width="12.85546875" style="46" bestFit="1" customWidth="1"/>
    <col min="20" max="20" width="11.5703125" style="46" bestFit="1" customWidth="1"/>
    <col min="21" max="21" width="14.28515625" style="46" customWidth="1"/>
    <col min="22" max="22" width="12.140625" style="46" customWidth="1"/>
    <col min="23" max="23" width="13" style="46" bestFit="1" customWidth="1"/>
    <col min="24" max="24" width="11.5703125" style="46" bestFit="1" customWidth="1"/>
    <col min="25" max="25" width="12.85546875" style="46" bestFit="1" customWidth="1"/>
    <col min="26" max="26" width="11.5703125" style="46" bestFit="1" customWidth="1"/>
    <col min="27" max="27" width="14" style="46" bestFit="1" customWidth="1"/>
    <col min="28" max="28" width="11.5703125" style="46" bestFit="1" customWidth="1"/>
    <col min="29" max="29" width="14" style="46" bestFit="1" customWidth="1"/>
    <col min="30" max="30" width="12.140625" style="46" customWidth="1"/>
    <col min="31" max="31" width="14" style="46" bestFit="1" customWidth="1"/>
    <col min="32" max="32" width="11.5703125" style="46" bestFit="1" customWidth="1"/>
    <col min="33" max="33" width="14" style="46" bestFit="1" customWidth="1"/>
    <col min="34" max="34" width="18" style="46" bestFit="1" customWidth="1"/>
    <col min="35" max="35" width="19.42578125" style="47" customWidth="1"/>
    <col min="36" max="36" width="13" style="48" bestFit="1" customWidth="1"/>
    <col min="37" max="37" width="14" style="46" bestFit="1" customWidth="1"/>
    <col min="38" max="16384" width="11.42578125" style="46"/>
  </cols>
  <sheetData>
    <row r="1" spans="1:35" s="48" customFormat="1" x14ac:dyDescent="0.2">
      <c r="A1" s="45" t="s">
        <v>111</v>
      </c>
      <c r="B1" s="46"/>
      <c r="C1" s="46"/>
      <c r="D1" s="46"/>
      <c r="E1" s="46"/>
      <c r="F1" s="46"/>
      <c r="G1" s="46"/>
      <c r="H1" s="46"/>
      <c r="I1" s="46"/>
      <c r="J1" s="46"/>
      <c r="K1" s="46"/>
      <c r="L1" s="46"/>
      <c r="M1" s="46"/>
      <c r="N1" s="46"/>
      <c r="O1" s="46"/>
      <c r="P1" s="46"/>
      <c r="Q1" s="46"/>
      <c r="R1" s="46"/>
      <c r="S1" s="46"/>
      <c r="T1" s="46"/>
      <c r="U1" s="46"/>
      <c r="V1" s="46"/>
      <c r="W1" s="46"/>
      <c r="X1" s="46"/>
      <c r="Y1" s="46"/>
      <c r="Z1" s="46"/>
      <c r="AA1" s="46"/>
      <c r="AB1" s="46"/>
      <c r="AC1" s="46"/>
      <c r="AD1" s="46"/>
      <c r="AE1" s="46"/>
      <c r="AF1" s="46"/>
      <c r="AG1" s="46"/>
      <c r="AH1" s="46"/>
      <c r="AI1" s="47"/>
    </row>
    <row r="2" spans="1:35" s="1" customFormat="1" ht="15" customHeight="1" x14ac:dyDescent="0.25">
      <c r="A2" s="197" t="s">
        <v>0</v>
      </c>
      <c r="B2" s="196" t="s">
        <v>51</v>
      </c>
      <c r="C2" s="196" t="s">
        <v>1</v>
      </c>
      <c r="D2" s="196" t="s">
        <v>52</v>
      </c>
      <c r="E2" s="196" t="s">
        <v>53</v>
      </c>
      <c r="F2" s="196" t="s">
        <v>54</v>
      </c>
      <c r="G2" s="196" t="s">
        <v>2</v>
      </c>
      <c r="H2" s="36" t="s">
        <v>3</v>
      </c>
      <c r="I2" s="196" t="s">
        <v>4</v>
      </c>
      <c r="J2" s="199"/>
      <c r="K2" s="199"/>
      <c r="L2" s="199"/>
      <c r="M2" s="197" t="s">
        <v>5</v>
      </c>
      <c r="N2" s="197" t="s">
        <v>6</v>
      </c>
      <c r="O2" s="197" t="s">
        <v>7</v>
      </c>
      <c r="P2" s="200" t="s">
        <v>8</v>
      </c>
      <c r="Q2" s="201" t="s">
        <v>112</v>
      </c>
      <c r="R2" s="202" t="s">
        <v>9</v>
      </c>
      <c r="S2" s="202" t="s">
        <v>10</v>
      </c>
      <c r="T2" s="202" t="s">
        <v>11</v>
      </c>
      <c r="U2" s="203" t="s">
        <v>12</v>
      </c>
      <c r="V2" s="198" t="s">
        <v>13</v>
      </c>
      <c r="W2" s="216" t="s">
        <v>113</v>
      </c>
      <c r="X2" s="204" t="s">
        <v>14</v>
      </c>
      <c r="Y2" s="204" t="s">
        <v>15</v>
      </c>
      <c r="Z2" s="204" t="s">
        <v>16</v>
      </c>
      <c r="AA2" s="204" t="s">
        <v>17</v>
      </c>
      <c r="AB2" s="204" t="s">
        <v>18</v>
      </c>
      <c r="AC2" s="204" t="s">
        <v>19</v>
      </c>
      <c r="AD2" s="204" t="s">
        <v>20</v>
      </c>
      <c r="AE2" s="204" t="s">
        <v>21</v>
      </c>
      <c r="AF2" s="204" t="s">
        <v>22</v>
      </c>
      <c r="AG2" s="214" t="s">
        <v>23</v>
      </c>
      <c r="AH2" s="215" t="s">
        <v>24</v>
      </c>
      <c r="AI2" s="211" t="s">
        <v>98</v>
      </c>
    </row>
    <row r="3" spans="1:35" s="1" customFormat="1" ht="87.75" customHeight="1" x14ac:dyDescent="0.25">
      <c r="A3" s="197"/>
      <c r="B3" s="196"/>
      <c r="C3" s="196" t="s">
        <v>25</v>
      </c>
      <c r="D3" s="196" t="s">
        <v>26</v>
      </c>
      <c r="E3" s="196"/>
      <c r="F3" s="196"/>
      <c r="G3" s="196"/>
      <c r="H3" s="2" t="s">
        <v>30</v>
      </c>
      <c r="I3" s="2" t="s">
        <v>27</v>
      </c>
      <c r="J3" s="2" t="s">
        <v>28</v>
      </c>
      <c r="K3" s="2" t="s">
        <v>29</v>
      </c>
      <c r="L3" s="2" t="s">
        <v>30</v>
      </c>
      <c r="M3" s="197"/>
      <c r="N3" s="197"/>
      <c r="O3" s="197"/>
      <c r="P3" s="200"/>
      <c r="Q3" s="201"/>
      <c r="R3" s="202"/>
      <c r="S3" s="202"/>
      <c r="T3" s="202"/>
      <c r="U3" s="203"/>
      <c r="V3" s="198"/>
      <c r="W3" s="216"/>
      <c r="X3" s="204"/>
      <c r="Y3" s="204"/>
      <c r="Z3" s="204"/>
      <c r="AA3" s="204"/>
      <c r="AB3" s="204"/>
      <c r="AC3" s="204"/>
      <c r="AD3" s="204"/>
      <c r="AE3" s="204"/>
      <c r="AF3" s="204"/>
      <c r="AG3" s="214"/>
      <c r="AH3" s="215"/>
      <c r="AI3" s="212"/>
    </row>
    <row r="4" spans="1:35" s="11" customFormat="1" x14ac:dyDescent="0.2">
      <c r="A4" s="49" t="s">
        <v>55</v>
      </c>
      <c r="B4" s="25"/>
      <c r="C4" s="26"/>
      <c r="D4" s="26"/>
      <c r="E4" s="26"/>
      <c r="F4" s="26"/>
      <c r="G4" s="26"/>
      <c r="H4" s="27"/>
      <c r="I4" s="27"/>
      <c r="J4" s="27"/>
      <c r="K4" s="27"/>
      <c r="L4" s="27"/>
      <c r="M4" s="25"/>
      <c r="N4" s="25"/>
      <c r="O4" s="25"/>
      <c r="P4" s="25"/>
      <c r="Q4" s="28"/>
      <c r="R4" s="29"/>
      <c r="S4" s="29"/>
      <c r="T4" s="29"/>
      <c r="U4" s="30"/>
      <c r="V4" s="25"/>
      <c r="W4" s="28"/>
      <c r="X4" s="29"/>
      <c r="Y4" s="29"/>
      <c r="Z4" s="29"/>
      <c r="AA4" s="29"/>
      <c r="AB4" s="29"/>
      <c r="AC4" s="29"/>
      <c r="AD4" s="29"/>
      <c r="AE4" s="29"/>
      <c r="AF4" s="29"/>
      <c r="AG4" s="30"/>
      <c r="AH4" s="31">
        <f>SUM(AH5:AH10)</f>
        <v>0</v>
      </c>
      <c r="AI4" s="32">
        <v>161646435</v>
      </c>
    </row>
    <row r="5" spans="1:35" s="11" customFormat="1" ht="15" customHeight="1" x14ac:dyDescent="0.25">
      <c r="A5" s="50">
        <v>7</v>
      </c>
      <c r="B5" s="50">
        <v>1</v>
      </c>
      <c r="C5" s="213" t="s">
        <v>38</v>
      </c>
      <c r="D5" s="193" t="s">
        <v>32</v>
      </c>
      <c r="E5" s="205" t="s">
        <v>114</v>
      </c>
      <c r="F5" s="205" t="s">
        <v>115</v>
      </c>
      <c r="G5" s="43" t="s">
        <v>116</v>
      </c>
      <c r="H5" s="44"/>
      <c r="I5" s="44"/>
      <c r="J5" s="44"/>
      <c r="K5" s="44"/>
      <c r="L5" s="44"/>
      <c r="M5" s="4" t="s">
        <v>34</v>
      </c>
      <c r="N5" s="4" t="s">
        <v>35</v>
      </c>
      <c r="O5" s="4" t="s">
        <v>39</v>
      </c>
      <c r="P5" s="6" t="s">
        <v>117</v>
      </c>
      <c r="Q5" s="152"/>
      <c r="R5" s="152"/>
      <c r="S5" s="137">
        <f>+R5*Q5</f>
        <v>0</v>
      </c>
      <c r="T5" s="137">
        <f>+R5</f>
        <v>0</v>
      </c>
      <c r="U5" s="137">
        <f>S5</f>
        <v>0</v>
      </c>
      <c r="V5" s="138" t="s">
        <v>117</v>
      </c>
      <c r="W5" s="139"/>
      <c r="X5" s="137"/>
      <c r="Y5" s="137">
        <f t="shared" ref="Y5:Y10" si="0">+W5*X5</f>
        <v>0</v>
      </c>
      <c r="Z5" s="137"/>
      <c r="AA5" s="137">
        <f t="shared" ref="AA5:AA10" si="1">+Z5*W5</f>
        <v>0</v>
      </c>
      <c r="AB5" s="137"/>
      <c r="AC5" s="137">
        <f t="shared" ref="AC5:AC10" si="2">+AB5*W5</f>
        <v>0</v>
      </c>
      <c r="AD5" s="137"/>
      <c r="AE5" s="137">
        <f t="shared" ref="AE5:AE10" si="3">+AD5*W5</f>
        <v>0</v>
      </c>
      <c r="AF5" s="137">
        <f t="shared" ref="AF5:AG10" si="4">+X5+Z5+AB5+AD5</f>
        <v>0</v>
      </c>
      <c r="AG5" s="137">
        <f>+Y5+AA5+AC5+AE5</f>
        <v>0</v>
      </c>
      <c r="AH5" s="153">
        <f>+U5+AG5</f>
        <v>0</v>
      </c>
      <c r="AI5" s="56"/>
    </row>
    <row r="6" spans="1:35" s="11" customFormat="1" ht="31.5" customHeight="1" x14ac:dyDescent="0.25">
      <c r="A6" s="50">
        <v>7</v>
      </c>
      <c r="B6" s="50">
        <v>1</v>
      </c>
      <c r="C6" s="213"/>
      <c r="D6" s="194"/>
      <c r="E6" s="206"/>
      <c r="F6" s="206"/>
      <c r="G6" s="43" t="s">
        <v>118</v>
      </c>
      <c r="H6" s="44"/>
      <c r="I6" s="44"/>
      <c r="J6" s="44"/>
      <c r="K6" s="44"/>
      <c r="L6" s="44"/>
      <c r="M6" s="4" t="s">
        <v>34</v>
      </c>
      <c r="N6" s="4" t="s">
        <v>35</v>
      </c>
      <c r="O6" s="4" t="s">
        <v>39</v>
      </c>
      <c r="P6" s="6" t="s">
        <v>117</v>
      </c>
      <c r="Q6" s="152"/>
      <c r="R6" s="152"/>
      <c r="S6" s="137">
        <f>+R6*Q6</f>
        <v>0</v>
      </c>
      <c r="T6" s="137">
        <f>+R6</f>
        <v>0</v>
      </c>
      <c r="U6" s="137">
        <f>S6</f>
        <v>0</v>
      </c>
      <c r="V6" s="138" t="s">
        <v>117</v>
      </c>
      <c r="W6" s="139"/>
      <c r="X6" s="137"/>
      <c r="Y6" s="137">
        <f t="shared" si="0"/>
        <v>0</v>
      </c>
      <c r="Z6" s="137"/>
      <c r="AA6" s="137">
        <f t="shared" si="1"/>
        <v>0</v>
      </c>
      <c r="AB6" s="137"/>
      <c r="AC6" s="137">
        <f t="shared" si="2"/>
        <v>0</v>
      </c>
      <c r="AD6" s="137"/>
      <c r="AE6" s="137">
        <f t="shared" si="3"/>
        <v>0</v>
      </c>
      <c r="AF6" s="137">
        <f t="shared" si="4"/>
        <v>0</v>
      </c>
      <c r="AG6" s="137">
        <f>+Y6+AA6+AC6+AE6</f>
        <v>0</v>
      </c>
      <c r="AH6" s="153">
        <f>+U6+AG6</f>
        <v>0</v>
      </c>
      <c r="AI6" s="56"/>
    </row>
    <row r="7" spans="1:35" s="59" customFormat="1" ht="38.25" x14ac:dyDescent="0.25">
      <c r="A7" s="50">
        <v>7</v>
      </c>
      <c r="B7" s="50">
        <v>1</v>
      </c>
      <c r="C7" s="213"/>
      <c r="D7" s="194"/>
      <c r="E7" s="206"/>
      <c r="F7" s="207"/>
      <c r="G7" s="3" t="s">
        <v>119</v>
      </c>
      <c r="H7" s="5"/>
      <c r="I7" s="5"/>
      <c r="J7" s="5"/>
      <c r="K7" s="5"/>
      <c r="L7" s="5"/>
      <c r="M7" s="4" t="s">
        <v>34</v>
      </c>
      <c r="N7" s="4" t="s">
        <v>35</v>
      </c>
      <c r="O7" s="4" t="s">
        <v>39</v>
      </c>
      <c r="P7" s="6" t="s">
        <v>117</v>
      </c>
      <c r="Q7" s="152"/>
      <c r="R7" s="152"/>
      <c r="S7" s="137">
        <f t="shared" ref="S7:S10" si="5">+R7*Q7</f>
        <v>0</v>
      </c>
      <c r="T7" s="137">
        <f t="shared" ref="T7:T10" si="6">+R7</f>
        <v>0</v>
      </c>
      <c r="U7" s="137">
        <f t="shared" ref="U7:U10" si="7">S7</f>
        <v>0</v>
      </c>
      <c r="V7" s="138" t="s">
        <v>117</v>
      </c>
      <c r="W7" s="139"/>
      <c r="X7" s="137"/>
      <c r="Y7" s="137">
        <f t="shared" si="0"/>
        <v>0</v>
      </c>
      <c r="Z7" s="137"/>
      <c r="AA7" s="137">
        <f t="shared" si="1"/>
        <v>0</v>
      </c>
      <c r="AB7" s="137"/>
      <c r="AC7" s="137">
        <f t="shared" si="2"/>
        <v>0</v>
      </c>
      <c r="AD7" s="137"/>
      <c r="AE7" s="137">
        <f t="shared" si="3"/>
        <v>0</v>
      </c>
      <c r="AF7" s="137">
        <f t="shared" si="4"/>
        <v>0</v>
      </c>
      <c r="AG7" s="137">
        <f t="shared" si="4"/>
        <v>0</v>
      </c>
      <c r="AH7" s="153">
        <f>+U7+AG7</f>
        <v>0</v>
      </c>
      <c r="AI7" s="56"/>
    </row>
    <row r="8" spans="1:35" s="59" customFormat="1" ht="38.25" customHeight="1" x14ac:dyDescent="0.25">
      <c r="A8" s="60">
        <v>11</v>
      </c>
      <c r="B8" s="60">
        <v>1</v>
      </c>
      <c r="C8" s="61" t="s">
        <v>38</v>
      </c>
      <c r="D8" s="194"/>
      <c r="E8" s="206"/>
      <c r="F8" s="205" t="s">
        <v>120</v>
      </c>
      <c r="G8" s="3" t="s">
        <v>64</v>
      </c>
      <c r="H8" s="5"/>
      <c r="I8" s="5"/>
      <c r="J8" s="5"/>
      <c r="K8" s="5"/>
      <c r="L8" s="5"/>
      <c r="M8" s="4" t="s">
        <v>34</v>
      </c>
      <c r="N8" s="4" t="s">
        <v>35</v>
      </c>
      <c r="O8" s="4" t="s">
        <v>39</v>
      </c>
      <c r="P8" s="6" t="s">
        <v>117</v>
      </c>
      <c r="Q8" s="152"/>
      <c r="R8" s="152"/>
      <c r="S8" s="137">
        <f t="shared" si="5"/>
        <v>0</v>
      </c>
      <c r="T8" s="137">
        <f t="shared" si="6"/>
        <v>0</v>
      </c>
      <c r="U8" s="137">
        <f t="shared" si="7"/>
        <v>0</v>
      </c>
      <c r="V8" s="138" t="s">
        <v>117</v>
      </c>
      <c r="W8" s="139"/>
      <c r="X8" s="137"/>
      <c r="Y8" s="137">
        <f t="shared" si="0"/>
        <v>0</v>
      </c>
      <c r="Z8" s="137"/>
      <c r="AA8" s="137">
        <f t="shared" si="1"/>
        <v>0</v>
      </c>
      <c r="AB8" s="137"/>
      <c r="AC8" s="137">
        <f t="shared" si="2"/>
        <v>0</v>
      </c>
      <c r="AD8" s="137"/>
      <c r="AE8" s="137">
        <f t="shared" si="3"/>
        <v>0</v>
      </c>
      <c r="AF8" s="137">
        <f t="shared" si="4"/>
        <v>0</v>
      </c>
      <c r="AG8" s="137">
        <f t="shared" si="4"/>
        <v>0</v>
      </c>
      <c r="AH8" s="153">
        <f>+U8+AG8</f>
        <v>0</v>
      </c>
      <c r="AI8" s="56"/>
    </row>
    <row r="9" spans="1:35" s="59" customFormat="1" ht="38.25" x14ac:dyDescent="0.25">
      <c r="A9" s="60">
        <v>11</v>
      </c>
      <c r="B9" s="60">
        <v>1</v>
      </c>
      <c r="C9" s="61" t="s">
        <v>38</v>
      </c>
      <c r="D9" s="194"/>
      <c r="E9" s="206"/>
      <c r="F9" s="206"/>
      <c r="G9" s="3" t="s">
        <v>121</v>
      </c>
      <c r="H9" s="5"/>
      <c r="I9" s="5"/>
      <c r="J9" s="5"/>
      <c r="K9" s="5"/>
      <c r="L9" s="5"/>
      <c r="M9" s="4" t="s">
        <v>34</v>
      </c>
      <c r="N9" s="4" t="s">
        <v>35</v>
      </c>
      <c r="O9" s="4" t="s">
        <v>39</v>
      </c>
      <c r="P9" s="6" t="s">
        <v>117</v>
      </c>
      <c r="Q9" s="152"/>
      <c r="R9" s="152"/>
      <c r="S9" s="137">
        <f t="shared" si="5"/>
        <v>0</v>
      </c>
      <c r="T9" s="137">
        <f t="shared" si="6"/>
        <v>0</v>
      </c>
      <c r="U9" s="137">
        <f t="shared" si="7"/>
        <v>0</v>
      </c>
      <c r="V9" s="138" t="s">
        <v>117</v>
      </c>
      <c r="W9" s="139"/>
      <c r="X9" s="137"/>
      <c r="Y9" s="137">
        <f t="shared" si="0"/>
        <v>0</v>
      </c>
      <c r="Z9" s="137"/>
      <c r="AA9" s="137">
        <f t="shared" si="1"/>
        <v>0</v>
      </c>
      <c r="AB9" s="137"/>
      <c r="AC9" s="137">
        <f t="shared" si="2"/>
        <v>0</v>
      </c>
      <c r="AD9" s="137"/>
      <c r="AE9" s="137">
        <f t="shared" si="3"/>
        <v>0</v>
      </c>
      <c r="AF9" s="137">
        <f t="shared" si="4"/>
        <v>0</v>
      </c>
      <c r="AG9" s="137">
        <f t="shared" si="4"/>
        <v>0</v>
      </c>
      <c r="AH9" s="153">
        <f t="shared" ref="AH9:AH10" si="8">+U9+AG9</f>
        <v>0</v>
      </c>
      <c r="AI9" s="56"/>
    </row>
    <row r="10" spans="1:35" s="59" customFormat="1" ht="38.25" x14ac:dyDescent="0.25">
      <c r="A10" s="60">
        <v>11</v>
      </c>
      <c r="B10" s="60">
        <v>1</v>
      </c>
      <c r="C10" s="61" t="s">
        <v>38</v>
      </c>
      <c r="D10" s="195"/>
      <c r="E10" s="207"/>
      <c r="F10" s="207"/>
      <c r="G10" s="3" t="s">
        <v>66</v>
      </c>
      <c r="H10" s="5"/>
      <c r="I10" s="5"/>
      <c r="J10" s="5"/>
      <c r="K10" s="5"/>
      <c r="L10" s="5"/>
      <c r="M10" s="4" t="s">
        <v>34</v>
      </c>
      <c r="N10" s="4" t="s">
        <v>35</v>
      </c>
      <c r="O10" s="4" t="s">
        <v>39</v>
      </c>
      <c r="P10" s="6" t="s">
        <v>117</v>
      </c>
      <c r="Q10" s="152"/>
      <c r="R10" s="152"/>
      <c r="S10" s="137">
        <f t="shared" si="5"/>
        <v>0</v>
      </c>
      <c r="T10" s="137">
        <f t="shared" si="6"/>
        <v>0</v>
      </c>
      <c r="U10" s="137">
        <f t="shared" si="7"/>
        <v>0</v>
      </c>
      <c r="V10" s="138" t="s">
        <v>117</v>
      </c>
      <c r="W10" s="139"/>
      <c r="X10" s="137"/>
      <c r="Y10" s="137">
        <f t="shared" si="0"/>
        <v>0</v>
      </c>
      <c r="Z10" s="137"/>
      <c r="AA10" s="137">
        <f t="shared" si="1"/>
        <v>0</v>
      </c>
      <c r="AB10" s="137"/>
      <c r="AC10" s="137">
        <f t="shared" si="2"/>
        <v>0</v>
      </c>
      <c r="AD10" s="137"/>
      <c r="AE10" s="137">
        <f t="shared" si="3"/>
        <v>0</v>
      </c>
      <c r="AF10" s="137">
        <f t="shared" si="4"/>
        <v>0</v>
      </c>
      <c r="AG10" s="137">
        <f t="shared" si="4"/>
        <v>0</v>
      </c>
      <c r="AH10" s="153">
        <f t="shared" si="8"/>
        <v>0</v>
      </c>
      <c r="AI10" s="56"/>
    </row>
    <row r="11" spans="1:35" s="11" customFormat="1" x14ac:dyDescent="0.2">
      <c r="A11" s="62" t="s">
        <v>56</v>
      </c>
      <c r="B11" s="25"/>
      <c r="C11" s="26"/>
      <c r="D11" s="26"/>
      <c r="E11" s="26"/>
      <c r="F11" s="26"/>
      <c r="G11" s="38"/>
      <c r="H11" s="39"/>
      <c r="I11" s="39"/>
      <c r="J11" s="39"/>
      <c r="K11" s="39"/>
      <c r="L11" s="39"/>
      <c r="M11" s="37"/>
      <c r="N11" s="37"/>
      <c r="O11" s="37"/>
      <c r="P11" s="37"/>
      <c r="Q11" s="172"/>
      <c r="R11" s="172"/>
      <c r="S11" s="172"/>
      <c r="T11" s="172"/>
      <c r="U11" s="172"/>
      <c r="V11" s="172"/>
      <c r="W11" s="172"/>
      <c r="X11" s="172"/>
      <c r="Y11" s="172"/>
      <c r="Z11" s="172"/>
      <c r="AA11" s="172"/>
      <c r="AB11" s="172"/>
      <c r="AC11" s="172"/>
      <c r="AD11" s="172"/>
      <c r="AE11" s="172"/>
      <c r="AF11" s="172"/>
      <c r="AG11" s="172"/>
      <c r="AH11" s="168">
        <f>SUM(AH12:AH23)</f>
        <v>0</v>
      </c>
      <c r="AI11" s="32">
        <v>48493931</v>
      </c>
    </row>
    <row r="12" spans="1:35" s="11" customFormat="1" ht="38.25" x14ac:dyDescent="0.25">
      <c r="A12" s="190">
        <v>13</v>
      </c>
      <c r="B12" s="217">
        <v>1</v>
      </c>
      <c r="C12" s="222" t="s">
        <v>38</v>
      </c>
      <c r="D12" s="193" t="s">
        <v>32</v>
      </c>
      <c r="E12" s="205" t="s">
        <v>122</v>
      </c>
      <c r="F12" s="208" t="s">
        <v>123</v>
      </c>
      <c r="G12" s="43" t="s">
        <v>172</v>
      </c>
      <c r="H12" s="5"/>
      <c r="I12" s="5"/>
      <c r="J12" s="5"/>
      <c r="K12" s="5"/>
      <c r="L12" s="5"/>
      <c r="M12" s="4" t="s">
        <v>34</v>
      </c>
      <c r="N12" s="4" t="s">
        <v>35</v>
      </c>
      <c r="O12" s="4" t="s">
        <v>41</v>
      </c>
      <c r="P12" s="6" t="s">
        <v>124</v>
      </c>
      <c r="Q12" s="152"/>
      <c r="R12" s="152"/>
      <c r="S12" s="137">
        <f>+SUM(S13:S16)</f>
        <v>0</v>
      </c>
      <c r="T12" s="137">
        <f t="shared" ref="T12:U12" si="9">+SUM(T13:T16)</f>
        <v>0</v>
      </c>
      <c r="U12" s="137">
        <f t="shared" si="9"/>
        <v>0</v>
      </c>
      <c r="V12" s="138" t="s">
        <v>124</v>
      </c>
      <c r="W12" s="139"/>
      <c r="X12" s="137">
        <f t="shared" ref="X12" si="10">+SUM(X13:X16)</f>
        <v>0</v>
      </c>
      <c r="Y12" s="137">
        <f t="shared" ref="Y12" si="11">+SUM(Y13:Y16)</f>
        <v>0</v>
      </c>
      <c r="Z12" s="137">
        <f t="shared" ref="Z12" si="12">+SUM(Z13:Z16)</f>
        <v>0</v>
      </c>
      <c r="AA12" s="137">
        <f t="shared" ref="AA12" si="13">+SUM(AA13:AA16)</f>
        <v>0</v>
      </c>
      <c r="AB12" s="137">
        <f t="shared" ref="AB12" si="14">+SUM(AB13:AB16)</f>
        <v>0</v>
      </c>
      <c r="AC12" s="137">
        <f t="shared" ref="AC12" si="15">+SUM(AC13:AC16)</f>
        <v>0</v>
      </c>
      <c r="AD12" s="137">
        <f t="shared" ref="AD12" si="16">+SUM(AD13:AD16)</f>
        <v>0</v>
      </c>
      <c r="AE12" s="137">
        <f t="shared" ref="AE12:AG12" si="17">+SUM(AE13:AE16)</f>
        <v>0</v>
      </c>
      <c r="AF12" s="137">
        <f t="shared" si="17"/>
        <v>0</v>
      </c>
      <c r="AG12" s="137">
        <f t="shared" si="17"/>
        <v>0</v>
      </c>
      <c r="AH12" s="153">
        <f t="shared" ref="AH12:AH23" si="18">+U12+AG12</f>
        <v>0</v>
      </c>
      <c r="AI12" s="56"/>
    </row>
    <row r="13" spans="1:35" s="11" customFormat="1" x14ac:dyDescent="0.25">
      <c r="A13" s="191"/>
      <c r="B13" s="218"/>
      <c r="C13" s="223"/>
      <c r="D13" s="194"/>
      <c r="E13" s="206"/>
      <c r="F13" s="209"/>
      <c r="G13" s="43" t="s">
        <v>216</v>
      </c>
      <c r="H13" s="5"/>
      <c r="I13" s="5"/>
      <c r="J13" s="5"/>
      <c r="K13" s="5"/>
      <c r="L13" s="5"/>
      <c r="M13" s="4"/>
      <c r="N13" s="4"/>
      <c r="O13" s="4"/>
      <c r="P13" s="6"/>
      <c r="Q13" s="148"/>
      <c r="R13" s="148"/>
      <c r="S13" s="137">
        <f t="shared" ref="S13:S23" si="19">+R13*Q13</f>
        <v>0</v>
      </c>
      <c r="T13" s="137">
        <f t="shared" ref="T13:T23" si="20">+R13</f>
        <v>0</v>
      </c>
      <c r="U13" s="137">
        <f t="shared" ref="U13:U23" si="21">S13</f>
        <v>0</v>
      </c>
      <c r="V13" s="138"/>
      <c r="W13" s="148"/>
      <c r="X13" s="148"/>
      <c r="Y13" s="137">
        <f t="shared" ref="Y13:Y16" si="22">+$W13*X13</f>
        <v>0</v>
      </c>
      <c r="Z13" s="148"/>
      <c r="AA13" s="137">
        <f t="shared" ref="AA13:AA16" si="23">+$W13*Z13</f>
        <v>0</v>
      </c>
      <c r="AB13" s="148"/>
      <c r="AC13" s="137">
        <f t="shared" ref="AC13:AC16" si="24">+$W13*AB13</f>
        <v>0</v>
      </c>
      <c r="AD13" s="148"/>
      <c r="AE13" s="137">
        <f t="shared" ref="AE13:AE16" si="25">+$W13*AD13</f>
        <v>0</v>
      </c>
      <c r="AF13" s="137">
        <f t="shared" ref="AF13:AG23" si="26">+X13+Z13+AB13+AD13</f>
        <v>0</v>
      </c>
      <c r="AG13" s="137">
        <f t="shared" si="26"/>
        <v>0</v>
      </c>
      <c r="AH13" s="153"/>
      <c r="AI13" s="56"/>
    </row>
    <row r="14" spans="1:35" s="11" customFormat="1" x14ac:dyDescent="0.25">
      <c r="A14" s="191"/>
      <c r="B14" s="218"/>
      <c r="C14" s="223"/>
      <c r="D14" s="194"/>
      <c r="E14" s="206"/>
      <c r="F14" s="209"/>
      <c r="G14" s="43" t="s">
        <v>217</v>
      </c>
      <c r="H14" s="5"/>
      <c r="I14" s="5"/>
      <c r="J14" s="5"/>
      <c r="K14" s="5"/>
      <c r="L14" s="5"/>
      <c r="M14" s="4"/>
      <c r="N14" s="4"/>
      <c r="O14" s="4"/>
      <c r="P14" s="6"/>
      <c r="Q14" s="148"/>
      <c r="R14" s="148"/>
      <c r="S14" s="137">
        <f t="shared" si="19"/>
        <v>0</v>
      </c>
      <c r="T14" s="137">
        <f t="shared" si="20"/>
        <v>0</v>
      </c>
      <c r="U14" s="137">
        <f t="shared" si="21"/>
        <v>0</v>
      </c>
      <c r="V14" s="138"/>
      <c r="W14" s="148"/>
      <c r="X14" s="148"/>
      <c r="Y14" s="137">
        <f t="shared" si="22"/>
        <v>0</v>
      </c>
      <c r="Z14" s="148"/>
      <c r="AA14" s="137">
        <f t="shared" si="23"/>
        <v>0</v>
      </c>
      <c r="AB14" s="148"/>
      <c r="AC14" s="137">
        <f t="shared" si="24"/>
        <v>0</v>
      </c>
      <c r="AD14" s="148"/>
      <c r="AE14" s="137">
        <f t="shared" si="25"/>
        <v>0</v>
      </c>
      <c r="AF14" s="137">
        <f t="shared" si="26"/>
        <v>0</v>
      </c>
      <c r="AG14" s="137">
        <f t="shared" si="26"/>
        <v>0</v>
      </c>
      <c r="AH14" s="153"/>
      <c r="AI14" s="56"/>
    </row>
    <row r="15" spans="1:35" s="11" customFormat="1" x14ac:dyDescent="0.25">
      <c r="A15" s="191"/>
      <c r="B15" s="218"/>
      <c r="C15" s="223"/>
      <c r="D15" s="194"/>
      <c r="E15" s="206"/>
      <c r="F15" s="209"/>
      <c r="G15" s="43" t="s">
        <v>218</v>
      </c>
      <c r="H15" s="5"/>
      <c r="I15" s="5"/>
      <c r="J15" s="5"/>
      <c r="K15" s="5"/>
      <c r="L15" s="5"/>
      <c r="M15" s="4"/>
      <c r="N15" s="4"/>
      <c r="O15" s="4"/>
      <c r="P15" s="6"/>
      <c r="Q15" s="148"/>
      <c r="R15" s="148"/>
      <c r="S15" s="137">
        <f t="shared" si="19"/>
        <v>0</v>
      </c>
      <c r="T15" s="137">
        <f t="shared" si="20"/>
        <v>0</v>
      </c>
      <c r="U15" s="137">
        <f t="shared" si="21"/>
        <v>0</v>
      </c>
      <c r="V15" s="138"/>
      <c r="W15" s="148"/>
      <c r="X15" s="148"/>
      <c r="Y15" s="137">
        <f t="shared" si="22"/>
        <v>0</v>
      </c>
      <c r="Z15" s="148"/>
      <c r="AA15" s="137">
        <f t="shared" si="23"/>
        <v>0</v>
      </c>
      <c r="AB15" s="148"/>
      <c r="AC15" s="137">
        <f t="shared" si="24"/>
        <v>0</v>
      </c>
      <c r="AD15" s="148"/>
      <c r="AE15" s="137">
        <f t="shared" si="25"/>
        <v>0</v>
      </c>
      <c r="AF15" s="137">
        <f t="shared" si="26"/>
        <v>0</v>
      </c>
      <c r="AG15" s="137">
        <f t="shared" si="26"/>
        <v>0</v>
      </c>
      <c r="AH15" s="153"/>
      <c r="AI15" s="56"/>
    </row>
    <row r="16" spans="1:35" s="11" customFormat="1" x14ac:dyDescent="0.25">
      <c r="A16" s="192"/>
      <c r="B16" s="220"/>
      <c r="C16" s="224"/>
      <c r="D16" s="194"/>
      <c r="E16" s="206"/>
      <c r="F16" s="209"/>
      <c r="G16" s="43" t="s">
        <v>219</v>
      </c>
      <c r="H16" s="5"/>
      <c r="I16" s="5"/>
      <c r="J16" s="5"/>
      <c r="K16" s="5"/>
      <c r="L16" s="5"/>
      <c r="M16" s="4"/>
      <c r="N16" s="4"/>
      <c r="O16" s="4"/>
      <c r="P16" s="6"/>
      <c r="Q16" s="148"/>
      <c r="R16" s="148"/>
      <c r="S16" s="137">
        <f t="shared" si="19"/>
        <v>0</v>
      </c>
      <c r="T16" s="137">
        <f t="shared" si="20"/>
        <v>0</v>
      </c>
      <c r="U16" s="137">
        <f t="shared" si="21"/>
        <v>0</v>
      </c>
      <c r="V16" s="138"/>
      <c r="W16" s="148"/>
      <c r="X16" s="148"/>
      <c r="Y16" s="137">
        <f t="shared" si="22"/>
        <v>0</v>
      </c>
      <c r="Z16" s="148"/>
      <c r="AA16" s="137">
        <f t="shared" si="23"/>
        <v>0</v>
      </c>
      <c r="AB16" s="148"/>
      <c r="AC16" s="137">
        <f t="shared" si="24"/>
        <v>0</v>
      </c>
      <c r="AD16" s="148"/>
      <c r="AE16" s="137">
        <f t="shared" si="25"/>
        <v>0</v>
      </c>
      <c r="AF16" s="137">
        <f t="shared" si="26"/>
        <v>0</v>
      </c>
      <c r="AG16" s="137">
        <f t="shared" si="26"/>
        <v>0</v>
      </c>
      <c r="AH16" s="153"/>
      <c r="AI16" s="56"/>
    </row>
    <row r="17" spans="1:37" s="11" customFormat="1" ht="38.25" x14ac:dyDescent="0.25">
      <c r="A17" s="190">
        <v>13</v>
      </c>
      <c r="B17" s="217">
        <v>1</v>
      </c>
      <c r="C17" s="222" t="s">
        <v>38</v>
      </c>
      <c r="D17" s="194"/>
      <c r="E17" s="206"/>
      <c r="F17" s="209"/>
      <c r="G17" s="43" t="s">
        <v>173</v>
      </c>
      <c r="H17" s="5"/>
      <c r="I17" s="5"/>
      <c r="J17" s="5"/>
      <c r="K17" s="5"/>
      <c r="L17" s="5"/>
      <c r="M17" s="4" t="s">
        <v>34</v>
      </c>
      <c r="N17" s="4" t="s">
        <v>35</v>
      </c>
      <c r="O17" s="4" t="s">
        <v>41</v>
      </c>
      <c r="P17" s="6" t="s">
        <v>125</v>
      </c>
      <c r="Q17" s="148"/>
      <c r="R17" s="148"/>
      <c r="S17" s="137">
        <f t="shared" ref="S17:U17" si="27">+SUM(S18:S21)</f>
        <v>0</v>
      </c>
      <c r="T17" s="137">
        <f t="shared" si="27"/>
        <v>0</v>
      </c>
      <c r="U17" s="137">
        <f t="shared" si="27"/>
        <v>0</v>
      </c>
      <c r="V17" s="138" t="s">
        <v>125</v>
      </c>
      <c r="W17" s="139"/>
      <c r="X17" s="137">
        <f t="shared" ref="X17" si="28">+SUM(X18:X21)</f>
        <v>0</v>
      </c>
      <c r="Y17" s="137">
        <f t="shared" ref="Y17" si="29">+SUM(Y18:Y21)</f>
        <v>0</v>
      </c>
      <c r="Z17" s="137">
        <f t="shared" ref="Z17" si="30">+SUM(Z18:Z21)</f>
        <v>0</v>
      </c>
      <c r="AA17" s="137">
        <f t="shared" ref="AA17" si="31">+SUM(AA18:AA21)</f>
        <v>0</v>
      </c>
      <c r="AB17" s="137">
        <f t="shared" ref="AB17" si="32">+SUM(AB18:AB21)</f>
        <v>0</v>
      </c>
      <c r="AC17" s="137">
        <f t="shared" ref="AC17" si="33">+SUM(AC18:AC21)</f>
        <v>0</v>
      </c>
      <c r="AD17" s="137">
        <f t="shared" ref="AD17" si="34">+SUM(AD18:AD21)</f>
        <v>0</v>
      </c>
      <c r="AE17" s="137">
        <f t="shared" ref="AE17" si="35">+SUM(AE18:AE21)</f>
        <v>0</v>
      </c>
      <c r="AF17" s="137">
        <f t="shared" ref="AF17:AG17" si="36">+SUM(AF18:AF21)</f>
        <v>0</v>
      </c>
      <c r="AG17" s="137">
        <f t="shared" si="36"/>
        <v>0</v>
      </c>
      <c r="AH17" s="153">
        <f t="shared" si="18"/>
        <v>0</v>
      </c>
      <c r="AI17" s="56"/>
    </row>
    <row r="18" spans="1:37" s="11" customFormat="1" x14ac:dyDescent="0.25">
      <c r="A18" s="191"/>
      <c r="B18" s="218"/>
      <c r="C18" s="223"/>
      <c r="D18" s="194"/>
      <c r="E18" s="206"/>
      <c r="F18" s="209"/>
      <c r="G18" s="43" t="s">
        <v>216</v>
      </c>
      <c r="H18" s="5"/>
      <c r="I18" s="5"/>
      <c r="J18" s="5"/>
      <c r="K18" s="5"/>
      <c r="L18" s="5"/>
      <c r="M18" s="4"/>
      <c r="N18" s="4"/>
      <c r="O18" s="4"/>
      <c r="P18" s="6"/>
      <c r="Q18" s="148"/>
      <c r="R18" s="148"/>
      <c r="S18" s="137">
        <f t="shared" si="19"/>
        <v>0</v>
      </c>
      <c r="T18" s="137">
        <f t="shared" si="20"/>
        <v>0</v>
      </c>
      <c r="U18" s="137">
        <f t="shared" si="21"/>
        <v>0</v>
      </c>
      <c r="V18" s="138"/>
      <c r="W18" s="148"/>
      <c r="X18" s="148"/>
      <c r="Y18" s="137">
        <f t="shared" ref="Y18:Y21" si="37">+$W18*X18</f>
        <v>0</v>
      </c>
      <c r="Z18" s="148"/>
      <c r="AA18" s="137">
        <f t="shared" ref="AA18:AA21" si="38">+$W18*Z18</f>
        <v>0</v>
      </c>
      <c r="AB18" s="148"/>
      <c r="AC18" s="137">
        <f t="shared" ref="AC18:AC21" si="39">+$W18*AB18</f>
        <v>0</v>
      </c>
      <c r="AD18" s="148"/>
      <c r="AE18" s="137">
        <f t="shared" ref="AE18:AE21" si="40">+$W18*AD18</f>
        <v>0</v>
      </c>
      <c r="AF18" s="137">
        <f t="shared" si="26"/>
        <v>0</v>
      </c>
      <c r="AG18" s="137">
        <f t="shared" si="26"/>
        <v>0</v>
      </c>
      <c r="AH18" s="153"/>
      <c r="AI18" s="56"/>
    </row>
    <row r="19" spans="1:37" s="11" customFormat="1" x14ac:dyDescent="0.25">
      <c r="A19" s="191"/>
      <c r="B19" s="218"/>
      <c r="C19" s="223"/>
      <c r="D19" s="194"/>
      <c r="E19" s="206"/>
      <c r="F19" s="209"/>
      <c r="G19" s="43" t="s">
        <v>217</v>
      </c>
      <c r="H19" s="5"/>
      <c r="I19" s="5"/>
      <c r="J19" s="5"/>
      <c r="K19" s="5"/>
      <c r="L19" s="5"/>
      <c r="M19" s="4"/>
      <c r="N19" s="4"/>
      <c r="O19" s="4"/>
      <c r="P19" s="6"/>
      <c r="Q19" s="148"/>
      <c r="R19" s="148"/>
      <c r="S19" s="137">
        <f t="shared" si="19"/>
        <v>0</v>
      </c>
      <c r="T19" s="137">
        <f t="shared" si="20"/>
        <v>0</v>
      </c>
      <c r="U19" s="137">
        <f t="shared" si="21"/>
        <v>0</v>
      </c>
      <c r="V19" s="138"/>
      <c r="W19" s="148"/>
      <c r="X19" s="148"/>
      <c r="Y19" s="137">
        <f t="shared" si="37"/>
        <v>0</v>
      </c>
      <c r="Z19" s="148"/>
      <c r="AA19" s="137">
        <f t="shared" si="38"/>
        <v>0</v>
      </c>
      <c r="AB19" s="148"/>
      <c r="AC19" s="137">
        <f t="shared" si="39"/>
        <v>0</v>
      </c>
      <c r="AD19" s="148"/>
      <c r="AE19" s="137">
        <f t="shared" si="40"/>
        <v>0</v>
      </c>
      <c r="AF19" s="137">
        <f t="shared" si="26"/>
        <v>0</v>
      </c>
      <c r="AG19" s="137">
        <f t="shared" si="26"/>
        <v>0</v>
      </c>
      <c r="AH19" s="153"/>
      <c r="AI19" s="56"/>
    </row>
    <row r="20" spans="1:37" s="11" customFormat="1" x14ac:dyDescent="0.25">
      <c r="A20" s="191"/>
      <c r="B20" s="218"/>
      <c r="C20" s="223"/>
      <c r="D20" s="194"/>
      <c r="E20" s="206"/>
      <c r="F20" s="209"/>
      <c r="G20" s="43" t="s">
        <v>218</v>
      </c>
      <c r="H20" s="5"/>
      <c r="I20" s="5"/>
      <c r="J20" s="5"/>
      <c r="K20" s="5"/>
      <c r="L20" s="5"/>
      <c r="M20" s="4"/>
      <c r="N20" s="4"/>
      <c r="O20" s="4"/>
      <c r="P20" s="6"/>
      <c r="Q20" s="148"/>
      <c r="R20" s="148"/>
      <c r="S20" s="137">
        <f t="shared" si="19"/>
        <v>0</v>
      </c>
      <c r="T20" s="137">
        <f t="shared" si="20"/>
        <v>0</v>
      </c>
      <c r="U20" s="137">
        <f t="shared" si="21"/>
        <v>0</v>
      </c>
      <c r="V20" s="138"/>
      <c r="W20" s="148"/>
      <c r="X20" s="148"/>
      <c r="Y20" s="137">
        <f t="shared" si="37"/>
        <v>0</v>
      </c>
      <c r="Z20" s="148"/>
      <c r="AA20" s="137">
        <f t="shared" si="38"/>
        <v>0</v>
      </c>
      <c r="AB20" s="148"/>
      <c r="AC20" s="137">
        <f t="shared" si="39"/>
        <v>0</v>
      </c>
      <c r="AD20" s="148"/>
      <c r="AE20" s="137">
        <f t="shared" si="40"/>
        <v>0</v>
      </c>
      <c r="AF20" s="137">
        <f t="shared" si="26"/>
        <v>0</v>
      </c>
      <c r="AG20" s="137">
        <f t="shared" si="26"/>
        <v>0</v>
      </c>
      <c r="AH20" s="153"/>
      <c r="AI20" s="56"/>
    </row>
    <row r="21" spans="1:37" s="11" customFormat="1" x14ac:dyDescent="0.25">
      <c r="A21" s="192"/>
      <c r="B21" s="220"/>
      <c r="C21" s="224"/>
      <c r="D21" s="194"/>
      <c r="E21" s="206"/>
      <c r="F21" s="209"/>
      <c r="G21" s="43" t="s">
        <v>219</v>
      </c>
      <c r="H21" s="5"/>
      <c r="I21" s="5"/>
      <c r="J21" s="5"/>
      <c r="K21" s="5"/>
      <c r="L21" s="5"/>
      <c r="M21" s="4"/>
      <c r="N21" s="4"/>
      <c r="O21" s="4"/>
      <c r="P21" s="6"/>
      <c r="Q21" s="148"/>
      <c r="R21" s="148"/>
      <c r="S21" s="137">
        <f t="shared" si="19"/>
        <v>0</v>
      </c>
      <c r="T21" s="137">
        <f t="shared" si="20"/>
        <v>0</v>
      </c>
      <c r="U21" s="137">
        <f t="shared" si="21"/>
        <v>0</v>
      </c>
      <c r="V21" s="138"/>
      <c r="W21" s="148"/>
      <c r="X21" s="148"/>
      <c r="Y21" s="137">
        <f t="shared" si="37"/>
        <v>0</v>
      </c>
      <c r="Z21" s="148"/>
      <c r="AA21" s="137">
        <f t="shared" si="38"/>
        <v>0</v>
      </c>
      <c r="AB21" s="148"/>
      <c r="AC21" s="137">
        <f t="shared" si="39"/>
        <v>0</v>
      </c>
      <c r="AD21" s="148"/>
      <c r="AE21" s="137">
        <f t="shared" si="40"/>
        <v>0</v>
      </c>
      <c r="AF21" s="137">
        <f t="shared" si="26"/>
        <v>0</v>
      </c>
      <c r="AG21" s="137">
        <f t="shared" si="26"/>
        <v>0</v>
      </c>
      <c r="AH21" s="153"/>
      <c r="AI21" s="56"/>
    </row>
    <row r="22" spans="1:37" s="11" customFormat="1" ht="38.25" x14ac:dyDescent="0.25">
      <c r="A22" s="60">
        <v>13</v>
      </c>
      <c r="B22" s="60">
        <v>1</v>
      </c>
      <c r="C22" s="63" t="s">
        <v>38</v>
      </c>
      <c r="D22" s="194"/>
      <c r="E22" s="206"/>
      <c r="F22" s="209"/>
      <c r="G22" s="43" t="s">
        <v>126</v>
      </c>
      <c r="H22" s="5"/>
      <c r="I22" s="5"/>
      <c r="J22" s="5"/>
      <c r="K22" s="5"/>
      <c r="L22" s="5"/>
      <c r="M22" s="4" t="s">
        <v>34</v>
      </c>
      <c r="N22" s="4" t="s">
        <v>35</v>
      </c>
      <c r="O22" s="4" t="s">
        <v>41</v>
      </c>
      <c r="P22" s="6" t="s">
        <v>127</v>
      </c>
      <c r="Q22" s="152"/>
      <c r="R22" s="152"/>
      <c r="S22" s="137">
        <f t="shared" si="19"/>
        <v>0</v>
      </c>
      <c r="T22" s="137">
        <f t="shared" si="20"/>
        <v>0</v>
      </c>
      <c r="U22" s="137">
        <f t="shared" si="21"/>
        <v>0</v>
      </c>
      <c r="V22" s="138" t="s">
        <v>127</v>
      </c>
      <c r="W22" s="139"/>
      <c r="X22" s="137"/>
      <c r="Y22" s="137">
        <f t="shared" ref="Y22:Y23" si="41">+W22*X22</f>
        <v>0</v>
      </c>
      <c r="Z22" s="137"/>
      <c r="AA22" s="137">
        <f t="shared" ref="AA22:AA23" si="42">+Z22*W22</f>
        <v>0</v>
      </c>
      <c r="AB22" s="137"/>
      <c r="AC22" s="137">
        <f t="shared" ref="AC22:AC23" si="43">+AB22*W22</f>
        <v>0</v>
      </c>
      <c r="AD22" s="137"/>
      <c r="AE22" s="137">
        <f t="shared" ref="AE22:AE23" si="44">+AD22*W22</f>
        <v>0</v>
      </c>
      <c r="AF22" s="137">
        <f t="shared" si="26"/>
        <v>0</v>
      </c>
      <c r="AG22" s="137">
        <f t="shared" si="26"/>
        <v>0</v>
      </c>
      <c r="AH22" s="153">
        <f t="shared" si="18"/>
        <v>0</v>
      </c>
      <c r="AI22" s="56"/>
    </row>
    <row r="23" spans="1:37" s="59" customFormat="1" ht="150.75" customHeight="1" x14ac:dyDescent="0.25">
      <c r="A23" s="60">
        <v>13</v>
      </c>
      <c r="B23" s="60">
        <v>1</v>
      </c>
      <c r="C23" s="63" t="s">
        <v>38</v>
      </c>
      <c r="D23" s="195"/>
      <c r="E23" s="207"/>
      <c r="F23" s="210"/>
      <c r="G23" s="43" t="s">
        <v>128</v>
      </c>
      <c r="H23" s="5"/>
      <c r="I23" s="5"/>
      <c r="J23" s="5"/>
      <c r="K23" s="5"/>
      <c r="L23" s="5"/>
      <c r="M23" s="4" t="s">
        <v>34</v>
      </c>
      <c r="N23" s="4" t="s">
        <v>35</v>
      </c>
      <c r="O23" s="4" t="s">
        <v>41</v>
      </c>
      <c r="P23" s="6" t="s">
        <v>129</v>
      </c>
      <c r="Q23" s="152"/>
      <c r="R23" s="152"/>
      <c r="S23" s="137">
        <f t="shared" si="19"/>
        <v>0</v>
      </c>
      <c r="T23" s="137">
        <f t="shared" si="20"/>
        <v>0</v>
      </c>
      <c r="U23" s="137">
        <f t="shared" si="21"/>
        <v>0</v>
      </c>
      <c r="V23" s="138" t="s">
        <v>129</v>
      </c>
      <c r="W23" s="139"/>
      <c r="X23" s="137"/>
      <c r="Y23" s="137">
        <f t="shared" si="41"/>
        <v>0</v>
      </c>
      <c r="Z23" s="137"/>
      <c r="AA23" s="137">
        <f t="shared" si="42"/>
        <v>0</v>
      </c>
      <c r="AB23" s="137"/>
      <c r="AC23" s="137">
        <f t="shared" si="43"/>
        <v>0</v>
      </c>
      <c r="AD23" s="137"/>
      <c r="AE23" s="137">
        <f t="shared" si="44"/>
        <v>0</v>
      </c>
      <c r="AF23" s="137">
        <f t="shared" si="26"/>
        <v>0</v>
      </c>
      <c r="AG23" s="137">
        <f t="shared" si="26"/>
        <v>0</v>
      </c>
      <c r="AH23" s="153">
        <f t="shared" si="18"/>
        <v>0</v>
      </c>
      <c r="AI23" s="56"/>
    </row>
    <row r="24" spans="1:37" s="11" customFormat="1" x14ac:dyDescent="0.2">
      <c r="A24" s="49" t="s">
        <v>57</v>
      </c>
      <c r="B24" s="25"/>
      <c r="C24" s="26"/>
      <c r="D24" s="26"/>
      <c r="E24" s="26"/>
      <c r="F24" s="26"/>
      <c r="G24" s="38"/>
      <c r="H24" s="39"/>
      <c r="I24" s="39"/>
      <c r="J24" s="39"/>
      <c r="K24" s="39"/>
      <c r="L24" s="39"/>
      <c r="M24" s="37"/>
      <c r="N24" s="37"/>
      <c r="O24" s="37"/>
      <c r="P24" s="34"/>
      <c r="Q24" s="172"/>
      <c r="R24" s="172"/>
      <c r="S24" s="172"/>
      <c r="T24" s="172"/>
      <c r="U24" s="172"/>
      <c r="V24" s="172"/>
      <c r="W24" s="172"/>
      <c r="X24" s="172"/>
      <c r="Y24" s="172"/>
      <c r="Z24" s="172"/>
      <c r="AA24" s="172"/>
      <c r="AB24" s="172"/>
      <c r="AC24" s="172"/>
      <c r="AD24" s="172"/>
      <c r="AE24" s="172"/>
      <c r="AF24" s="172"/>
      <c r="AG24" s="172"/>
      <c r="AH24" s="168">
        <f>SUM(AH25)</f>
        <v>0</v>
      </c>
      <c r="AI24" s="32">
        <v>20783115</v>
      </c>
    </row>
    <row r="25" spans="1:37" s="59" customFormat="1" ht="89.25" x14ac:dyDescent="0.25">
      <c r="A25" s="60">
        <v>8</v>
      </c>
      <c r="B25" s="60">
        <v>1</v>
      </c>
      <c r="C25" s="63" t="s">
        <v>38</v>
      </c>
      <c r="D25" s="63" t="s">
        <v>32</v>
      </c>
      <c r="E25" s="57" t="s">
        <v>122</v>
      </c>
      <c r="F25" s="57" t="s">
        <v>130</v>
      </c>
      <c r="G25" s="3"/>
      <c r="H25" s="5"/>
      <c r="I25" s="5"/>
      <c r="J25" s="5"/>
      <c r="K25" s="5"/>
      <c r="L25" s="5"/>
      <c r="M25" s="4" t="s">
        <v>34</v>
      </c>
      <c r="N25" s="4" t="s">
        <v>35</v>
      </c>
      <c r="O25" s="4" t="s">
        <v>40</v>
      </c>
      <c r="P25" s="6"/>
      <c r="Q25" s="152"/>
      <c r="R25" s="152"/>
      <c r="S25" s="137">
        <f t="shared" ref="S25" si="45">+R25*Q25</f>
        <v>0</v>
      </c>
      <c r="T25" s="137">
        <f t="shared" ref="T25" si="46">+R25</f>
        <v>0</v>
      </c>
      <c r="U25" s="137">
        <f t="shared" ref="U25" si="47">S25</f>
        <v>0</v>
      </c>
      <c r="V25" s="138"/>
      <c r="W25" s="139"/>
      <c r="X25" s="137"/>
      <c r="Y25" s="137">
        <f t="shared" ref="Y25" si="48">+W25*X25</f>
        <v>0</v>
      </c>
      <c r="Z25" s="137"/>
      <c r="AA25" s="137">
        <f t="shared" ref="AA25" si="49">+Z25*W25</f>
        <v>0</v>
      </c>
      <c r="AB25" s="137"/>
      <c r="AC25" s="137">
        <f t="shared" ref="AC25" si="50">+AB25*W25</f>
        <v>0</v>
      </c>
      <c r="AD25" s="137"/>
      <c r="AE25" s="137">
        <f t="shared" ref="AE25" si="51">+AD25*W25</f>
        <v>0</v>
      </c>
      <c r="AF25" s="137">
        <f t="shared" ref="AF25:AG25" si="52">+X25+Z25+AB25+AD25</f>
        <v>0</v>
      </c>
      <c r="AG25" s="137">
        <f t="shared" si="52"/>
        <v>0</v>
      </c>
      <c r="AH25" s="153">
        <f t="shared" ref="AH25" si="53">+U25+AG25</f>
        <v>0</v>
      </c>
      <c r="AI25" s="56"/>
    </row>
    <row r="26" spans="1:37" s="11" customFormat="1" x14ac:dyDescent="0.2">
      <c r="A26" s="49" t="s">
        <v>164</v>
      </c>
      <c r="B26" s="25"/>
      <c r="C26" s="26"/>
      <c r="D26" s="26"/>
      <c r="E26" s="26"/>
      <c r="F26" s="26"/>
      <c r="G26" s="38"/>
      <c r="H26" s="39"/>
      <c r="I26" s="39"/>
      <c r="J26" s="39"/>
      <c r="K26" s="39"/>
      <c r="L26" s="39"/>
      <c r="M26" s="37"/>
      <c r="N26" s="37"/>
      <c r="O26" s="37"/>
      <c r="P26" s="34"/>
      <c r="Q26" s="172"/>
      <c r="R26" s="172"/>
      <c r="S26" s="172"/>
      <c r="T26" s="172"/>
      <c r="U26" s="172"/>
      <c r="V26" s="172"/>
      <c r="W26" s="172"/>
      <c r="X26" s="172"/>
      <c r="Y26" s="172"/>
      <c r="Z26" s="172"/>
      <c r="AA26" s="172"/>
      <c r="AB26" s="172"/>
      <c r="AC26" s="172"/>
      <c r="AD26" s="172"/>
      <c r="AE26" s="172"/>
      <c r="AF26" s="172"/>
      <c r="AG26" s="172"/>
      <c r="AH26" s="168">
        <f>+AH4+AH11+AH24</f>
        <v>0</v>
      </c>
      <c r="AI26" s="32">
        <f>+AI4+AI11+AI24</f>
        <v>230923481</v>
      </c>
    </row>
    <row r="27" spans="1:37" x14ac:dyDescent="0.2">
      <c r="Q27" s="173"/>
      <c r="R27" s="173"/>
      <c r="S27" s="173"/>
      <c r="T27" s="173"/>
      <c r="U27" s="173"/>
      <c r="V27" s="173"/>
      <c r="W27" s="173"/>
      <c r="X27" s="173"/>
      <c r="Y27" s="173"/>
      <c r="Z27" s="173"/>
      <c r="AA27" s="174"/>
      <c r="AB27" s="173"/>
      <c r="AC27" s="173"/>
      <c r="AD27" s="173"/>
      <c r="AE27" s="173"/>
      <c r="AF27" s="173"/>
      <c r="AG27" s="173"/>
      <c r="AH27" s="173">
        <f>SUM(AH7:AH25)</f>
        <v>0</v>
      </c>
      <c r="AJ27" s="46"/>
    </row>
    <row r="28" spans="1:37" s="11" customFormat="1" x14ac:dyDescent="0.2">
      <c r="A28" s="49" t="s">
        <v>58</v>
      </c>
      <c r="B28" s="25"/>
      <c r="C28" s="26"/>
      <c r="D28" s="26"/>
      <c r="E28" s="26"/>
      <c r="F28" s="26"/>
      <c r="G28" s="26"/>
      <c r="H28" s="27"/>
      <c r="I28" s="27"/>
      <c r="J28" s="27"/>
      <c r="K28" s="27"/>
      <c r="L28" s="27"/>
      <c r="M28" s="25"/>
      <c r="N28" s="25"/>
      <c r="O28" s="25"/>
      <c r="P28" s="25"/>
      <c r="Q28" s="175"/>
      <c r="R28" s="175"/>
      <c r="S28" s="175"/>
      <c r="T28" s="175"/>
      <c r="U28" s="175"/>
      <c r="V28" s="175"/>
      <c r="W28" s="175"/>
      <c r="X28" s="175"/>
      <c r="Y28" s="175"/>
      <c r="Z28" s="175"/>
      <c r="AA28" s="175"/>
      <c r="AB28" s="175"/>
      <c r="AC28" s="175"/>
      <c r="AD28" s="175"/>
      <c r="AE28" s="175"/>
      <c r="AF28" s="175"/>
      <c r="AG28" s="175"/>
      <c r="AH28" s="168"/>
      <c r="AI28" s="32"/>
    </row>
    <row r="29" spans="1:37" s="59" customFormat="1" ht="89.25" x14ac:dyDescent="0.25">
      <c r="A29" s="60">
        <v>6</v>
      </c>
      <c r="B29" s="60">
        <v>1</v>
      </c>
      <c r="C29" s="63" t="s">
        <v>31</v>
      </c>
      <c r="D29" s="63" t="s">
        <v>32</v>
      </c>
      <c r="E29" s="57" t="s">
        <v>33</v>
      </c>
      <c r="F29" s="63" t="s">
        <v>131</v>
      </c>
      <c r="G29" s="57" t="s">
        <v>132</v>
      </c>
      <c r="H29" s="58"/>
      <c r="I29" s="58"/>
      <c r="J29" s="58"/>
      <c r="K29" s="58"/>
      <c r="L29" s="58"/>
      <c r="M29" s="33" t="s">
        <v>34</v>
      </c>
      <c r="N29" s="33" t="s">
        <v>35</v>
      </c>
      <c r="O29" s="33" t="s">
        <v>36</v>
      </c>
      <c r="P29" s="51" t="s">
        <v>37</v>
      </c>
      <c r="Q29" s="140">
        <f>15355</f>
        <v>15355</v>
      </c>
      <c r="R29" s="113">
        <v>142</v>
      </c>
      <c r="S29" s="140">
        <f>+R29*Q29</f>
        <v>2180410</v>
      </c>
      <c r="T29" s="140">
        <f t="shared" ref="T29:T34" si="54">+R29</f>
        <v>142</v>
      </c>
      <c r="U29" s="140">
        <f>S29</f>
        <v>2180410</v>
      </c>
      <c r="V29" s="150" t="s">
        <v>37</v>
      </c>
      <c r="W29" s="151">
        <f>+Q29</f>
        <v>15355</v>
      </c>
      <c r="X29" s="140">
        <v>142</v>
      </c>
      <c r="Y29" s="140">
        <f t="shared" ref="Y29:Y33" si="55">+W29*X29</f>
        <v>2180410</v>
      </c>
      <c r="Z29" s="140">
        <v>142</v>
      </c>
      <c r="AA29" s="140">
        <f t="shared" ref="AA29:AA33" si="56">+Z29*W29</f>
        <v>2180410</v>
      </c>
      <c r="AB29" s="140">
        <v>142</v>
      </c>
      <c r="AC29" s="140">
        <f t="shared" ref="AC29:AC33" si="57">+AB29*W29</f>
        <v>2180410</v>
      </c>
      <c r="AD29" s="140">
        <v>141</v>
      </c>
      <c r="AE29" s="140">
        <f t="shared" ref="AE29:AE33" si="58">+AD29*W29</f>
        <v>2165055</v>
      </c>
      <c r="AF29" s="140">
        <f t="shared" ref="AF29:AG34" si="59">+X29+Z29+AB29+AD29</f>
        <v>567</v>
      </c>
      <c r="AG29" s="140">
        <f t="shared" si="59"/>
        <v>8706285</v>
      </c>
      <c r="AH29" s="153">
        <f t="shared" ref="AH29:AH33" si="60">+U29+AG29</f>
        <v>10886695</v>
      </c>
      <c r="AI29" s="56"/>
      <c r="AK29" s="112"/>
    </row>
    <row r="30" spans="1:37" s="59" customFormat="1" ht="114.75" x14ac:dyDescent="0.25">
      <c r="A30" s="60">
        <v>34</v>
      </c>
      <c r="B30" s="68">
        <v>1</v>
      </c>
      <c r="C30" s="63" t="s">
        <v>42</v>
      </c>
      <c r="D30" s="63" t="s">
        <v>43</v>
      </c>
      <c r="E30" s="57" t="s">
        <v>44</v>
      </c>
      <c r="F30" s="63" t="s">
        <v>158</v>
      </c>
      <c r="G30" s="57" t="s">
        <v>133</v>
      </c>
      <c r="H30" s="33"/>
      <c r="I30" s="58"/>
      <c r="J30" s="58"/>
      <c r="K30" s="58"/>
      <c r="L30" s="58"/>
      <c r="M30" s="33" t="s">
        <v>34</v>
      </c>
      <c r="N30" s="33" t="s">
        <v>35</v>
      </c>
      <c r="O30" s="63" t="s">
        <v>45</v>
      </c>
      <c r="P30" s="51" t="s">
        <v>134</v>
      </c>
      <c r="Q30" s="140"/>
      <c r="R30" s="113"/>
      <c r="S30" s="140">
        <f>+R30*Q30</f>
        <v>0</v>
      </c>
      <c r="T30" s="140">
        <f t="shared" si="54"/>
        <v>0</v>
      </c>
      <c r="U30" s="140">
        <f t="shared" ref="U30:U33" si="61">S30</f>
        <v>0</v>
      </c>
      <c r="V30" s="150" t="s">
        <v>134</v>
      </c>
      <c r="W30" s="140">
        <f>36000*24</f>
        <v>864000</v>
      </c>
      <c r="X30" s="140">
        <v>3</v>
      </c>
      <c r="Y30" s="140">
        <f t="shared" si="55"/>
        <v>2592000</v>
      </c>
      <c r="Z30" s="140">
        <v>3</v>
      </c>
      <c r="AA30" s="140">
        <f t="shared" si="56"/>
        <v>2592000</v>
      </c>
      <c r="AB30" s="140"/>
      <c r="AC30" s="140">
        <f t="shared" si="57"/>
        <v>0</v>
      </c>
      <c r="AD30" s="140">
        <f t="shared" ref="AD30:AD31" si="62">+AB30</f>
        <v>0</v>
      </c>
      <c r="AE30" s="140">
        <f t="shared" si="58"/>
        <v>0</v>
      </c>
      <c r="AF30" s="140">
        <f>+X30+Z30+AB30+AD30</f>
        <v>6</v>
      </c>
      <c r="AG30" s="140">
        <f t="shared" si="59"/>
        <v>5184000</v>
      </c>
      <c r="AH30" s="153">
        <f t="shared" si="60"/>
        <v>5184000</v>
      </c>
      <c r="AI30" s="56"/>
    </row>
    <row r="31" spans="1:37" s="59" customFormat="1" ht="114.75" x14ac:dyDescent="0.25">
      <c r="A31" s="60">
        <v>35</v>
      </c>
      <c r="B31" s="68">
        <v>1</v>
      </c>
      <c r="C31" s="63" t="s">
        <v>42</v>
      </c>
      <c r="D31" s="63" t="s">
        <v>43</v>
      </c>
      <c r="E31" s="57" t="s">
        <v>44</v>
      </c>
      <c r="F31" s="63" t="s">
        <v>158</v>
      </c>
      <c r="G31" s="57" t="s">
        <v>135</v>
      </c>
      <c r="H31" s="33"/>
      <c r="I31" s="58"/>
      <c r="J31" s="58"/>
      <c r="K31" s="58"/>
      <c r="L31" s="58"/>
      <c r="M31" s="33" t="s">
        <v>34</v>
      </c>
      <c r="N31" s="33" t="s">
        <v>35</v>
      </c>
      <c r="O31" s="63" t="s">
        <v>45</v>
      </c>
      <c r="P31" s="51" t="s">
        <v>134</v>
      </c>
      <c r="Q31" s="140"/>
      <c r="R31" s="113"/>
      <c r="S31" s="140">
        <f t="shared" ref="S31:S33" si="63">+R31*Q31</f>
        <v>0</v>
      </c>
      <c r="T31" s="140">
        <f t="shared" si="54"/>
        <v>0</v>
      </c>
      <c r="U31" s="140">
        <f t="shared" si="61"/>
        <v>0</v>
      </c>
      <c r="V31" s="150" t="s">
        <v>134</v>
      </c>
      <c r="W31" s="140">
        <f>36000*12</f>
        <v>432000</v>
      </c>
      <c r="X31" s="140"/>
      <c r="Y31" s="140">
        <f t="shared" si="55"/>
        <v>0</v>
      </c>
      <c r="Z31" s="140">
        <f t="shared" ref="Z31" si="64">+X31</f>
        <v>0</v>
      </c>
      <c r="AA31" s="140">
        <f t="shared" si="56"/>
        <v>0</v>
      </c>
      <c r="AB31" s="140">
        <v>6</v>
      </c>
      <c r="AC31" s="140">
        <f t="shared" si="57"/>
        <v>2592000</v>
      </c>
      <c r="AD31" s="140">
        <f t="shared" si="62"/>
        <v>6</v>
      </c>
      <c r="AE31" s="140">
        <f t="shared" si="58"/>
        <v>2592000</v>
      </c>
      <c r="AF31" s="140">
        <f t="shared" si="59"/>
        <v>12</v>
      </c>
      <c r="AG31" s="140">
        <f t="shared" si="59"/>
        <v>5184000</v>
      </c>
      <c r="AH31" s="153">
        <f t="shared" si="60"/>
        <v>5184000</v>
      </c>
      <c r="AI31" s="56"/>
    </row>
    <row r="32" spans="1:37" s="72" customFormat="1" ht="76.5" x14ac:dyDescent="0.25">
      <c r="A32" s="60">
        <v>43</v>
      </c>
      <c r="B32" s="68">
        <v>1</v>
      </c>
      <c r="C32" s="63" t="s">
        <v>46</v>
      </c>
      <c r="D32" s="63" t="s">
        <v>47</v>
      </c>
      <c r="E32" s="57" t="s">
        <v>48</v>
      </c>
      <c r="F32" s="63" t="s">
        <v>159</v>
      </c>
      <c r="G32" s="57" t="s">
        <v>136</v>
      </c>
      <c r="H32" s="69"/>
      <c r="I32" s="69"/>
      <c r="J32" s="70"/>
      <c r="K32" s="69"/>
      <c r="L32" s="70"/>
      <c r="M32" s="33" t="s">
        <v>34</v>
      </c>
      <c r="N32" s="33" t="s">
        <v>35</v>
      </c>
      <c r="O32" s="33" t="s">
        <v>49</v>
      </c>
      <c r="P32" s="51" t="s">
        <v>137</v>
      </c>
      <c r="Q32" s="140"/>
      <c r="R32" s="113"/>
      <c r="S32" s="140">
        <f t="shared" si="63"/>
        <v>0</v>
      </c>
      <c r="T32" s="140">
        <f t="shared" si="54"/>
        <v>0</v>
      </c>
      <c r="U32" s="140">
        <f t="shared" si="61"/>
        <v>0</v>
      </c>
      <c r="V32" s="150" t="s">
        <v>137</v>
      </c>
      <c r="W32" s="151">
        <v>5000000</v>
      </c>
      <c r="X32" s="140">
        <f t="shared" ref="X32" si="65">+R32</f>
        <v>0</v>
      </c>
      <c r="Y32" s="140">
        <f t="shared" si="55"/>
        <v>0</v>
      </c>
      <c r="Z32" s="140">
        <v>1</v>
      </c>
      <c r="AA32" s="140">
        <f t="shared" si="56"/>
        <v>5000000</v>
      </c>
      <c r="AB32" s="140"/>
      <c r="AC32" s="140">
        <f t="shared" si="57"/>
        <v>0</v>
      </c>
      <c r="AD32" s="140">
        <v>0</v>
      </c>
      <c r="AE32" s="140">
        <f t="shared" si="58"/>
        <v>0</v>
      </c>
      <c r="AF32" s="140">
        <f t="shared" si="59"/>
        <v>1</v>
      </c>
      <c r="AG32" s="140">
        <f t="shared" si="59"/>
        <v>5000000</v>
      </c>
      <c r="AH32" s="153">
        <f t="shared" si="60"/>
        <v>5000000</v>
      </c>
      <c r="AI32" s="56"/>
    </row>
    <row r="33" spans="1:35" s="72" customFormat="1" ht="144" customHeight="1" x14ac:dyDescent="0.25">
      <c r="A33" s="60">
        <v>46</v>
      </c>
      <c r="B33" s="68">
        <v>1</v>
      </c>
      <c r="C33" s="33" t="s">
        <v>38</v>
      </c>
      <c r="D33" s="63" t="s">
        <v>47</v>
      </c>
      <c r="E33" s="57" t="s">
        <v>50</v>
      </c>
      <c r="F33" s="63" t="s">
        <v>138</v>
      </c>
      <c r="G33" s="57" t="s">
        <v>139</v>
      </c>
      <c r="H33" s="69"/>
      <c r="I33" s="70"/>
      <c r="J33" s="70"/>
      <c r="K33" s="70"/>
      <c r="L33" s="70"/>
      <c r="M33" s="33" t="s">
        <v>34</v>
      </c>
      <c r="N33" s="33" t="s">
        <v>35</v>
      </c>
      <c r="O33" s="33" t="s">
        <v>36</v>
      </c>
      <c r="P33" s="51" t="s">
        <v>140</v>
      </c>
      <c r="Q33" s="140"/>
      <c r="R33" s="113"/>
      <c r="S33" s="140">
        <f t="shared" si="63"/>
        <v>0</v>
      </c>
      <c r="T33" s="140">
        <f t="shared" si="54"/>
        <v>0</v>
      </c>
      <c r="U33" s="140">
        <f t="shared" si="61"/>
        <v>0</v>
      </c>
      <c r="V33" s="150" t="s">
        <v>140</v>
      </c>
      <c r="W33" s="140">
        <v>100000</v>
      </c>
      <c r="X33" s="140">
        <v>7</v>
      </c>
      <c r="Y33" s="140">
        <f t="shared" si="55"/>
        <v>700000</v>
      </c>
      <c r="Z33" s="140">
        <f>+X33</f>
        <v>7</v>
      </c>
      <c r="AA33" s="140">
        <f t="shared" si="56"/>
        <v>700000</v>
      </c>
      <c r="AB33" s="140">
        <f t="shared" ref="AB33:AB34" si="66">+Z33</f>
        <v>7</v>
      </c>
      <c r="AC33" s="140">
        <f t="shared" si="57"/>
        <v>700000</v>
      </c>
      <c r="AD33" s="140">
        <f>+AB33</f>
        <v>7</v>
      </c>
      <c r="AE33" s="140">
        <f t="shared" si="58"/>
        <v>700000</v>
      </c>
      <c r="AF33" s="140">
        <f t="shared" si="59"/>
        <v>28</v>
      </c>
      <c r="AG33" s="140">
        <f t="shared" si="59"/>
        <v>2800000</v>
      </c>
      <c r="AH33" s="153">
        <f t="shared" si="60"/>
        <v>2800000</v>
      </c>
      <c r="AI33" s="56"/>
    </row>
    <row r="34" spans="1:35" s="77" customFormat="1" ht="89.25" customHeight="1" x14ac:dyDescent="0.25">
      <c r="A34" s="60">
        <v>12</v>
      </c>
      <c r="B34" s="68">
        <v>1</v>
      </c>
      <c r="C34" s="63" t="s">
        <v>38</v>
      </c>
      <c r="D34" s="73" t="s">
        <v>32</v>
      </c>
      <c r="E34" s="74" t="s">
        <v>114</v>
      </c>
      <c r="F34" s="75" t="s">
        <v>160</v>
      </c>
      <c r="G34" s="75" t="s">
        <v>141</v>
      </c>
      <c r="H34" s="33"/>
      <c r="I34" s="70"/>
      <c r="J34" s="70"/>
      <c r="K34" s="70"/>
      <c r="L34" s="70"/>
      <c r="M34" s="76" t="s">
        <v>34</v>
      </c>
      <c r="N34" s="33" t="s">
        <v>35</v>
      </c>
      <c r="O34" s="76" t="s">
        <v>41</v>
      </c>
      <c r="P34" s="51" t="s">
        <v>142</v>
      </c>
      <c r="Q34" s="140">
        <f>150000*3</f>
        <v>450000</v>
      </c>
      <c r="R34" s="113">
        <v>6</v>
      </c>
      <c r="S34" s="140">
        <f>+R34*Q34</f>
        <v>2700000</v>
      </c>
      <c r="T34" s="140">
        <f t="shared" si="54"/>
        <v>6</v>
      </c>
      <c r="U34" s="140">
        <f>S34</f>
        <v>2700000</v>
      </c>
      <c r="V34" s="150" t="str">
        <f>+P34</f>
        <v>Costo Incentivo Lideres Pares</v>
      </c>
      <c r="W34" s="151">
        <f>154500*3</f>
        <v>463500</v>
      </c>
      <c r="X34" s="140">
        <f>+R34</f>
        <v>6</v>
      </c>
      <c r="Y34" s="140">
        <f>+W34*X34</f>
        <v>2781000</v>
      </c>
      <c r="Z34" s="140">
        <f>6+26</f>
        <v>32</v>
      </c>
      <c r="AA34" s="140">
        <f>+Z34*W34</f>
        <v>14832000</v>
      </c>
      <c r="AB34" s="140">
        <f t="shared" si="66"/>
        <v>32</v>
      </c>
      <c r="AC34" s="140">
        <f>+AB34*W34</f>
        <v>14832000</v>
      </c>
      <c r="AD34" s="140">
        <f>+AB34</f>
        <v>32</v>
      </c>
      <c r="AE34" s="140">
        <f>+AD34*W34</f>
        <v>14832000</v>
      </c>
      <c r="AF34" s="140">
        <f t="shared" si="59"/>
        <v>102</v>
      </c>
      <c r="AG34" s="140">
        <f>+Y34+AA34+AC34+AE34</f>
        <v>47277000</v>
      </c>
      <c r="AH34" s="153">
        <f>+U34+AG34</f>
        <v>49977000</v>
      </c>
      <c r="AI34" s="56"/>
    </row>
    <row r="35" spans="1:35" s="11" customFormat="1" x14ac:dyDescent="0.2">
      <c r="A35" s="49" t="s">
        <v>165</v>
      </c>
      <c r="B35" s="25"/>
      <c r="C35" s="26"/>
      <c r="D35" s="26"/>
      <c r="E35" s="26"/>
      <c r="F35" s="26"/>
      <c r="G35" s="26"/>
      <c r="H35" s="27"/>
      <c r="I35" s="27"/>
      <c r="J35" s="27"/>
      <c r="K35" s="27"/>
      <c r="L35" s="27"/>
      <c r="M35" s="25"/>
      <c r="N35" s="25"/>
      <c r="O35" s="25"/>
      <c r="P35" s="64"/>
      <c r="Q35" s="175"/>
      <c r="R35" s="175"/>
      <c r="S35" s="175"/>
      <c r="T35" s="175"/>
      <c r="U35" s="175"/>
      <c r="V35" s="175"/>
      <c r="W35" s="175"/>
      <c r="X35" s="175"/>
      <c r="Y35" s="175"/>
      <c r="Z35" s="175"/>
      <c r="AA35" s="175"/>
      <c r="AB35" s="175"/>
      <c r="AC35" s="175"/>
      <c r="AD35" s="175"/>
      <c r="AE35" s="175"/>
      <c r="AF35" s="175"/>
      <c r="AG35" s="175"/>
      <c r="AH35" s="168">
        <f>SUM(AH29:AH34)</f>
        <v>79031695</v>
      </c>
      <c r="AI35" s="32">
        <f>+AH35</f>
        <v>79031695</v>
      </c>
    </row>
    <row r="36" spans="1:35" s="11" customFormat="1" x14ac:dyDescent="0.2">
      <c r="A36" s="83" t="s">
        <v>166</v>
      </c>
      <c r="B36" s="84"/>
      <c r="C36" s="85"/>
      <c r="D36" s="85"/>
      <c r="E36" s="85"/>
      <c r="F36" s="85"/>
      <c r="G36" s="85"/>
      <c r="H36" s="86"/>
      <c r="I36" s="86"/>
      <c r="J36" s="86"/>
      <c r="K36" s="86"/>
      <c r="L36" s="86"/>
      <c r="M36" s="84"/>
      <c r="N36" s="84"/>
      <c r="O36" s="84"/>
      <c r="P36" s="87"/>
      <c r="Q36" s="176"/>
      <c r="R36" s="176"/>
      <c r="S36" s="176"/>
      <c r="T36" s="176"/>
      <c r="U36" s="176"/>
      <c r="V36" s="176"/>
      <c r="W36" s="176"/>
      <c r="X36" s="176"/>
      <c r="Y36" s="176"/>
      <c r="Z36" s="176"/>
      <c r="AA36" s="176"/>
      <c r="AB36" s="176"/>
      <c r="AC36" s="176"/>
      <c r="AD36" s="176"/>
      <c r="AE36" s="176"/>
      <c r="AF36" s="176"/>
      <c r="AG36" s="176"/>
      <c r="AH36" s="177"/>
      <c r="AI36" s="82">
        <f>+AI26+AI35</f>
        <v>309955176</v>
      </c>
    </row>
  </sheetData>
  <sheetProtection password="CB42" sheet="1" objects="1" scenarios="1" formatCells="0" formatColumns="0" formatRows="0" insertRows="0"/>
  <mergeCells count="45">
    <mergeCell ref="D12:D23"/>
    <mergeCell ref="E12:E23"/>
    <mergeCell ref="F12:F23"/>
    <mergeCell ref="AI2:AI3"/>
    <mergeCell ref="C5:C7"/>
    <mergeCell ref="D5:D10"/>
    <mergeCell ref="E5:E10"/>
    <mergeCell ref="F5:F7"/>
    <mergeCell ref="F8:F10"/>
    <mergeCell ref="AC2:AC3"/>
    <mergeCell ref="AD2:AD3"/>
    <mergeCell ref="AE2:AE3"/>
    <mergeCell ref="AF2:AF3"/>
    <mergeCell ref="AG2:AG3"/>
    <mergeCell ref="AH2:AH3"/>
    <mergeCell ref="W2:W3"/>
    <mergeCell ref="X2:X3"/>
    <mergeCell ref="Y2:Y3"/>
    <mergeCell ref="Z2:Z3"/>
    <mergeCell ref="AA2:AA3"/>
    <mergeCell ref="AB2:AB3"/>
    <mergeCell ref="V2:V3"/>
    <mergeCell ref="G2:G3"/>
    <mergeCell ref="I2:L2"/>
    <mergeCell ref="M2:M3"/>
    <mergeCell ref="N2:N3"/>
    <mergeCell ref="O2:O3"/>
    <mergeCell ref="P2:P3"/>
    <mergeCell ref="Q2:Q3"/>
    <mergeCell ref="R2:R3"/>
    <mergeCell ref="S2:S3"/>
    <mergeCell ref="T2:T3"/>
    <mergeCell ref="U2:U3"/>
    <mergeCell ref="F2:F3"/>
    <mergeCell ref="A2:A3"/>
    <mergeCell ref="B2:B3"/>
    <mergeCell ref="C2:C3"/>
    <mergeCell ref="D2:D3"/>
    <mergeCell ref="E2:E3"/>
    <mergeCell ref="A12:A16"/>
    <mergeCell ref="B12:B16"/>
    <mergeCell ref="C12:C16"/>
    <mergeCell ref="A17:A21"/>
    <mergeCell ref="B17:B21"/>
    <mergeCell ref="C17:C21"/>
  </mergeCells>
  <dataValidations disablePrompts="1" count="1">
    <dataValidation type="decimal" operator="greaterThanOrEqual" allowBlank="1" showInputMessage="1" showErrorMessage="1" sqref="W25:W26 W34:W36 W32 W29 W5:W10 W12 W17 W22:W23">
      <formula1>0</formula1>
    </dataValidation>
  </dataValidations>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23"/>
  <sheetViews>
    <sheetView showGridLines="0" workbookViewId="0">
      <selection activeCell="C9" sqref="C9"/>
    </sheetView>
  </sheetViews>
  <sheetFormatPr baseColWidth="10" defaultRowHeight="15" x14ac:dyDescent="0.25"/>
  <cols>
    <col min="1" max="1" width="53.28515625" style="19" customWidth="1"/>
    <col min="2" max="2" width="17.5703125" style="23" bestFit="1" customWidth="1"/>
    <col min="3" max="3" width="18.5703125" style="19" bestFit="1" customWidth="1"/>
    <col min="4" max="16384" width="11.42578125" style="19"/>
  </cols>
  <sheetData>
    <row r="1" spans="1:3" ht="39.75" customHeight="1" x14ac:dyDescent="0.25">
      <c r="A1" s="188" t="s">
        <v>100</v>
      </c>
      <c r="B1" s="188"/>
      <c r="C1" s="188"/>
    </row>
    <row r="2" spans="1:3" x14ac:dyDescent="0.25">
      <c r="A2" s="189" t="s">
        <v>152</v>
      </c>
      <c r="B2" s="189"/>
      <c r="C2" s="189"/>
    </row>
    <row r="3" spans="1:3" x14ac:dyDescent="0.25">
      <c r="A3" s="118"/>
      <c r="B3" s="119"/>
      <c r="C3" s="118"/>
    </row>
    <row r="4" spans="1:3" x14ac:dyDescent="0.25">
      <c r="A4" s="120" t="s">
        <v>102</v>
      </c>
      <c r="B4" s="121"/>
      <c r="C4" s="118"/>
    </row>
    <row r="6" spans="1:3" s="20" customFormat="1" x14ac:dyDescent="0.25">
      <c r="A6" s="91" t="s">
        <v>103</v>
      </c>
      <c r="B6" s="92" t="s">
        <v>104</v>
      </c>
      <c r="C6" s="93" t="s">
        <v>98</v>
      </c>
    </row>
    <row r="7" spans="1:3" s="21" customFormat="1" x14ac:dyDescent="0.25">
      <c r="A7" s="94" t="s">
        <v>105</v>
      </c>
      <c r="B7" s="106">
        <f>+'[1]Fase I Valle del Cauca'!AH4</f>
        <v>0</v>
      </c>
      <c r="C7" s="96">
        <f>+'Fase I Nte Santander'!AI4</f>
        <v>154239179</v>
      </c>
    </row>
    <row r="8" spans="1:3" s="22" customFormat="1" x14ac:dyDescent="0.25">
      <c r="A8" s="97" t="s">
        <v>106</v>
      </c>
      <c r="B8" s="95">
        <f>+'[1]Fase I Valle del Cauca'!AH11</f>
        <v>0</v>
      </c>
      <c r="C8" s="96">
        <f>+'Fase I Nte Santander'!AI11</f>
        <v>46271760</v>
      </c>
    </row>
    <row r="9" spans="1:3" s="22" customFormat="1" x14ac:dyDescent="0.25">
      <c r="A9" s="97" t="s">
        <v>107</v>
      </c>
      <c r="B9" s="95">
        <f>+'[1]Fase I Valle del Cauca'!AH16</f>
        <v>0</v>
      </c>
      <c r="C9" s="96">
        <f>+'Fase I Nte Santander'!AI24</f>
        <v>19830751</v>
      </c>
    </row>
    <row r="10" spans="1:3" s="22" customFormat="1" x14ac:dyDescent="0.25">
      <c r="A10" s="99" t="s">
        <v>161</v>
      </c>
      <c r="B10" s="107">
        <f>SUM(B7:B9)</f>
        <v>0</v>
      </c>
      <c r="C10" s="108">
        <f>SUM(C7:C9)</f>
        <v>220341690</v>
      </c>
    </row>
    <row r="11" spans="1:3" s="22" customFormat="1" x14ac:dyDescent="0.25">
      <c r="A11" s="97"/>
      <c r="B11" s="107"/>
      <c r="C11" s="96"/>
    </row>
    <row r="12" spans="1:3" x14ac:dyDescent="0.25">
      <c r="A12" s="101" t="s">
        <v>108</v>
      </c>
      <c r="B12" s="109">
        <f>+'Fase I Nte Santander'!AH35</f>
        <v>74530480</v>
      </c>
      <c r="C12" s="96">
        <f>+'Fase I Nte Santander'!AI35</f>
        <v>74530480</v>
      </c>
    </row>
    <row r="13" spans="1:3" x14ac:dyDescent="0.25">
      <c r="A13" s="102" t="s">
        <v>162</v>
      </c>
      <c r="B13" s="110">
        <f>+B12</f>
        <v>74530480</v>
      </c>
      <c r="C13" s="100">
        <f>+C12</f>
        <v>74530480</v>
      </c>
    </row>
    <row r="14" spans="1:3" x14ac:dyDescent="0.25">
      <c r="A14" s="104" t="s">
        <v>163</v>
      </c>
      <c r="B14" s="105">
        <f>+B10+B13</f>
        <v>74530480</v>
      </c>
      <c r="C14" s="105">
        <f>+C10+C13</f>
        <v>294872170</v>
      </c>
    </row>
    <row r="19" spans="1:3" s="24" customFormat="1" x14ac:dyDescent="0.25">
      <c r="A19" s="122" t="s">
        <v>109</v>
      </c>
      <c r="B19" s="119"/>
      <c r="C19" s="123"/>
    </row>
    <row r="20" spans="1:3" s="24" customFormat="1" x14ac:dyDescent="0.25">
      <c r="A20" s="122" t="s">
        <v>110</v>
      </c>
      <c r="B20" s="119"/>
      <c r="C20" s="123"/>
    </row>
    <row r="21" spans="1:3" x14ac:dyDescent="0.25">
      <c r="A21" s="118"/>
      <c r="B21" s="119"/>
      <c r="C21" s="118"/>
    </row>
    <row r="22" spans="1:3" x14ac:dyDescent="0.25">
      <c r="A22" s="118"/>
      <c r="B22" s="119"/>
      <c r="C22" s="118"/>
    </row>
    <row r="23" spans="1:3" x14ac:dyDescent="0.25">
      <c r="A23" s="118"/>
      <c r="B23" s="119"/>
      <c r="C23" s="118"/>
    </row>
  </sheetData>
  <sheetProtection password="CB42" sheet="1" objects="1" scenarios="1"/>
  <mergeCells count="2">
    <mergeCell ref="A1:C1"/>
    <mergeCell ref="A2:C2"/>
  </mergeCells>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L36"/>
  <sheetViews>
    <sheetView showGridLines="0" zoomScale="68" zoomScaleNormal="68" workbookViewId="0">
      <pane xSplit="1" ySplit="3" topLeftCell="B12" activePane="bottomRight" state="frozen"/>
      <selection activeCell="AI27" sqref="AI27"/>
      <selection pane="topRight" activeCell="AI27" sqref="AI27"/>
      <selection pane="bottomLeft" activeCell="AI27" sqref="AI27"/>
      <selection pane="bottomRight" activeCell="F12" sqref="F12:F23"/>
    </sheetView>
  </sheetViews>
  <sheetFormatPr baseColWidth="10" defaultRowHeight="12.75" x14ac:dyDescent="0.2"/>
  <cols>
    <col min="1" max="1" width="12.28515625" style="46" customWidth="1"/>
    <col min="2" max="2" width="15" style="46" customWidth="1"/>
    <col min="3" max="3" width="17.140625" style="46" customWidth="1"/>
    <col min="4" max="4" width="24.42578125" style="46" customWidth="1"/>
    <col min="5" max="5" width="43.28515625" style="46" customWidth="1"/>
    <col min="6" max="6" width="61.140625" style="46" customWidth="1"/>
    <col min="7" max="7" width="29.42578125" style="46" customWidth="1"/>
    <col min="8" max="8" width="7.28515625" style="46" bestFit="1" customWidth="1"/>
    <col min="9" max="9" width="3.85546875" style="46" bestFit="1" customWidth="1"/>
    <col min="10" max="12" width="3.28515625" style="46" bestFit="1" customWidth="1"/>
    <col min="13" max="13" width="18.5703125" style="46" customWidth="1"/>
    <col min="14" max="14" width="11.42578125" style="46"/>
    <col min="15" max="15" width="13.7109375" style="46" customWidth="1"/>
    <col min="16" max="16" width="17.7109375" style="46" customWidth="1"/>
    <col min="17" max="18" width="11.5703125" style="46" bestFit="1" customWidth="1"/>
    <col min="19" max="19" width="16.140625" style="46" customWidth="1"/>
    <col min="20" max="20" width="11.5703125" style="46" bestFit="1" customWidth="1"/>
    <col min="21" max="21" width="14.28515625" style="46" customWidth="1"/>
    <col min="22" max="22" width="12.140625" style="46" customWidth="1"/>
    <col min="23" max="23" width="13.42578125" style="46" bestFit="1" customWidth="1"/>
    <col min="24" max="24" width="11.5703125" style="46" bestFit="1" customWidth="1"/>
    <col min="25" max="25" width="13" style="46" bestFit="1" customWidth="1"/>
    <col min="26" max="26" width="11.5703125" style="46" bestFit="1" customWidth="1"/>
    <col min="27" max="27" width="14" style="46" bestFit="1" customWidth="1"/>
    <col min="28" max="28" width="11.5703125" style="46" bestFit="1" customWidth="1"/>
    <col min="29" max="29" width="14" style="46" bestFit="1" customWidth="1"/>
    <col min="30" max="30" width="12.5703125" style="46" customWidth="1"/>
    <col min="31" max="31" width="14" style="46" bestFit="1" customWidth="1"/>
    <col min="32" max="32" width="11.5703125" style="46" bestFit="1" customWidth="1"/>
    <col min="33" max="33" width="14" style="46" bestFit="1" customWidth="1"/>
    <col min="34" max="34" width="17.85546875" style="46" bestFit="1" customWidth="1"/>
    <col min="35" max="35" width="16.85546875" style="47" customWidth="1"/>
    <col min="36" max="36" width="13" style="48" bestFit="1" customWidth="1"/>
    <col min="37" max="37" width="11.42578125" style="46"/>
    <col min="38" max="38" width="14" style="46" bestFit="1" customWidth="1"/>
    <col min="39" max="16384" width="11.42578125" style="46"/>
  </cols>
  <sheetData>
    <row r="1" spans="1:35" s="48" customFormat="1" x14ac:dyDescent="0.2">
      <c r="A1" s="45" t="s">
        <v>111</v>
      </c>
      <c r="B1" s="46"/>
      <c r="C1" s="46"/>
      <c r="D1" s="46"/>
      <c r="E1" s="46"/>
      <c r="F1" s="46"/>
      <c r="G1" s="46"/>
      <c r="H1" s="46"/>
      <c r="I1" s="46"/>
      <c r="J1" s="46"/>
      <c r="K1" s="46"/>
      <c r="L1" s="46"/>
      <c r="M1" s="46"/>
      <c r="N1" s="46"/>
      <c r="O1" s="46"/>
      <c r="P1" s="46"/>
      <c r="Q1" s="46"/>
      <c r="R1" s="46"/>
      <c r="S1" s="46"/>
      <c r="T1" s="46"/>
      <c r="U1" s="46"/>
      <c r="V1" s="46"/>
      <c r="W1" s="46"/>
      <c r="X1" s="46"/>
      <c r="Y1" s="46"/>
      <c r="Z1" s="46"/>
      <c r="AA1" s="46"/>
      <c r="AB1" s="46"/>
      <c r="AC1" s="46"/>
      <c r="AD1" s="46"/>
      <c r="AE1" s="46"/>
      <c r="AF1" s="46"/>
      <c r="AG1" s="46"/>
      <c r="AH1" s="46"/>
      <c r="AI1" s="47"/>
    </row>
    <row r="2" spans="1:35" s="1" customFormat="1" ht="15" customHeight="1" x14ac:dyDescent="0.25">
      <c r="A2" s="197" t="s">
        <v>0</v>
      </c>
      <c r="B2" s="196" t="s">
        <v>51</v>
      </c>
      <c r="C2" s="196" t="s">
        <v>1</v>
      </c>
      <c r="D2" s="196" t="s">
        <v>52</v>
      </c>
      <c r="E2" s="196" t="s">
        <v>53</v>
      </c>
      <c r="F2" s="196" t="s">
        <v>54</v>
      </c>
      <c r="G2" s="196" t="s">
        <v>2</v>
      </c>
      <c r="H2" s="36" t="s">
        <v>3</v>
      </c>
      <c r="I2" s="196" t="s">
        <v>4</v>
      </c>
      <c r="J2" s="199"/>
      <c r="K2" s="199"/>
      <c r="L2" s="199"/>
      <c r="M2" s="197" t="s">
        <v>5</v>
      </c>
      <c r="N2" s="197" t="s">
        <v>6</v>
      </c>
      <c r="O2" s="197" t="s">
        <v>7</v>
      </c>
      <c r="P2" s="200" t="s">
        <v>8</v>
      </c>
      <c r="Q2" s="201" t="s">
        <v>112</v>
      </c>
      <c r="R2" s="202" t="s">
        <v>9</v>
      </c>
      <c r="S2" s="202" t="s">
        <v>10</v>
      </c>
      <c r="T2" s="202" t="s">
        <v>11</v>
      </c>
      <c r="U2" s="203" t="s">
        <v>12</v>
      </c>
      <c r="V2" s="198" t="s">
        <v>13</v>
      </c>
      <c r="W2" s="216" t="s">
        <v>113</v>
      </c>
      <c r="X2" s="204" t="s">
        <v>14</v>
      </c>
      <c r="Y2" s="204" t="s">
        <v>15</v>
      </c>
      <c r="Z2" s="204" t="s">
        <v>16</v>
      </c>
      <c r="AA2" s="204" t="s">
        <v>17</v>
      </c>
      <c r="AB2" s="204" t="s">
        <v>18</v>
      </c>
      <c r="AC2" s="204" t="s">
        <v>19</v>
      </c>
      <c r="AD2" s="204" t="s">
        <v>20</v>
      </c>
      <c r="AE2" s="204" t="s">
        <v>21</v>
      </c>
      <c r="AF2" s="204" t="s">
        <v>22</v>
      </c>
      <c r="AG2" s="214" t="s">
        <v>23</v>
      </c>
      <c r="AH2" s="215" t="s">
        <v>24</v>
      </c>
      <c r="AI2" s="211" t="s">
        <v>98</v>
      </c>
    </row>
    <row r="3" spans="1:35" s="1" customFormat="1" ht="45.75" customHeight="1" x14ac:dyDescent="0.25">
      <c r="A3" s="197"/>
      <c r="B3" s="196"/>
      <c r="C3" s="196" t="s">
        <v>25</v>
      </c>
      <c r="D3" s="196" t="s">
        <v>26</v>
      </c>
      <c r="E3" s="196"/>
      <c r="F3" s="196"/>
      <c r="G3" s="196"/>
      <c r="H3" s="2" t="s">
        <v>30</v>
      </c>
      <c r="I3" s="2" t="s">
        <v>27</v>
      </c>
      <c r="J3" s="2" t="s">
        <v>28</v>
      </c>
      <c r="K3" s="2" t="s">
        <v>29</v>
      </c>
      <c r="L3" s="2" t="s">
        <v>30</v>
      </c>
      <c r="M3" s="197"/>
      <c r="N3" s="197"/>
      <c r="O3" s="197"/>
      <c r="P3" s="200"/>
      <c r="Q3" s="201"/>
      <c r="R3" s="202"/>
      <c r="S3" s="202"/>
      <c r="T3" s="202"/>
      <c r="U3" s="203"/>
      <c r="V3" s="198"/>
      <c r="W3" s="216"/>
      <c r="X3" s="204"/>
      <c r="Y3" s="204"/>
      <c r="Z3" s="204"/>
      <c r="AA3" s="204"/>
      <c r="AB3" s="204"/>
      <c r="AC3" s="204"/>
      <c r="AD3" s="204"/>
      <c r="AE3" s="204"/>
      <c r="AF3" s="204"/>
      <c r="AG3" s="214"/>
      <c r="AH3" s="215"/>
      <c r="AI3" s="212"/>
    </row>
    <row r="4" spans="1:35" s="11" customFormat="1" x14ac:dyDescent="0.2">
      <c r="A4" s="49" t="s">
        <v>55</v>
      </c>
      <c r="B4" s="25"/>
      <c r="C4" s="26"/>
      <c r="D4" s="26"/>
      <c r="E4" s="26"/>
      <c r="F4" s="26"/>
      <c r="G4" s="26"/>
      <c r="H4" s="27"/>
      <c r="I4" s="27"/>
      <c r="J4" s="27"/>
      <c r="K4" s="27"/>
      <c r="L4" s="27"/>
      <c r="M4" s="25"/>
      <c r="N4" s="25"/>
      <c r="O4" s="25"/>
      <c r="P4" s="25"/>
      <c r="Q4" s="28"/>
      <c r="R4" s="29"/>
      <c r="S4" s="29"/>
      <c r="T4" s="29"/>
      <c r="U4" s="30"/>
      <c r="V4" s="25"/>
      <c r="W4" s="28"/>
      <c r="X4" s="29"/>
      <c r="Y4" s="29"/>
      <c r="Z4" s="29"/>
      <c r="AA4" s="29"/>
      <c r="AB4" s="29"/>
      <c r="AC4" s="29"/>
      <c r="AD4" s="29"/>
      <c r="AE4" s="29"/>
      <c r="AF4" s="29"/>
      <c r="AG4" s="30"/>
      <c r="AH4" s="31">
        <f>SUM(AH5:AH10)</f>
        <v>0</v>
      </c>
      <c r="AI4" s="32">
        <v>154239179</v>
      </c>
    </row>
    <row r="5" spans="1:35" s="11" customFormat="1" ht="15" customHeight="1" x14ac:dyDescent="0.25">
      <c r="A5" s="50">
        <v>7</v>
      </c>
      <c r="B5" s="50">
        <v>1</v>
      </c>
      <c r="C5" s="213" t="s">
        <v>38</v>
      </c>
      <c r="D5" s="193" t="s">
        <v>32</v>
      </c>
      <c r="E5" s="205" t="s">
        <v>114</v>
      </c>
      <c r="F5" s="205" t="s">
        <v>115</v>
      </c>
      <c r="G5" s="43" t="s">
        <v>116</v>
      </c>
      <c r="H5" s="44"/>
      <c r="I5" s="44"/>
      <c r="J5" s="44"/>
      <c r="K5" s="44"/>
      <c r="L5" s="44"/>
      <c r="M5" s="4" t="s">
        <v>34</v>
      </c>
      <c r="N5" s="4" t="s">
        <v>35</v>
      </c>
      <c r="O5" s="4" t="s">
        <v>39</v>
      </c>
      <c r="P5" s="6" t="s">
        <v>117</v>
      </c>
      <c r="Q5" s="152"/>
      <c r="R5" s="152"/>
      <c r="S5" s="137">
        <f>+R5*Q5</f>
        <v>0</v>
      </c>
      <c r="T5" s="137">
        <f>+R5</f>
        <v>0</v>
      </c>
      <c r="U5" s="137">
        <f>S5</f>
        <v>0</v>
      </c>
      <c r="V5" s="138" t="s">
        <v>117</v>
      </c>
      <c r="W5" s="139"/>
      <c r="X5" s="137"/>
      <c r="Y5" s="137">
        <f t="shared" ref="Y5:Y10" si="0">+W5*X5</f>
        <v>0</v>
      </c>
      <c r="Z5" s="137"/>
      <c r="AA5" s="137">
        <f t="shared" ref="AA5:AA10" si="1">+Z5*W5</f>
        <v>0</v>
      </c>
      <c r="AB5" s="137"/>
      <c r="AC5" s="137">
        <f t="shared" ref="AC5:AC10" si="2">+AB5*W5</f>
        <v>0</v>
      </c>
      <c r="AD5" s="137"/>
      <c r="AE5" s="137">
        <f t="shared" ref="AE5:AE10" si="3">+AD5*W5</f>
        <v>0</v>
      </c>
      <c r="AF5" s="137">
        <f t="shared" ref="AF5:AG10" si="4">+X5+Z5+AB5+AD5</f>
        <v>0</v>
      </c>
      <c r="AG5" s="137">
        <f>+Y5+AA5+AC5+AE5</f>
        <v>0</v>
      </c>
      <c r="AH5" s="35">
        <f>+U5+AG5</f>
        <v>0</v>
      </c>
      <c r="AI5" s="56"/>
    </row>
    <row r="6" spans="1:35" s="11" customFormat="1" ht="31.5" customHeight="1" x14ac:dyDescent="0.25">
      <c r="A6" s="50">
        <v>7</v>
      </c>
      <c r="B6" s="50">
        <v>1</v>
      </c>
      <c r="C6" s="213"/>
      <c r="D6" s="194"/>
      <c r="E6" s="206"/>
      <c r="F6" s="206"/>
      <c r="G6" s="43" t="s">
        <v>118</v>
      </c>
      <c r="H6" s="44"/>
      <c r="I6" s="44"/>
      <c r="J6" s="44"/>
      <c r="K6" s="44"/>
      <c r="L6" s="44"/>
      <c r="M6" s="4" t="s">
        <v>34</v>
      </c>
      <c r="N6" s="4" t="s">
        <v>35</v>
      </c>
      <c r="O6" s="4" t="s">
        <v>39</v>
      </c>
      <c r="P6" s="6" t="s">
        <v>117</v>
      </c>
      <c r="Q6" s="152"/>
      <c r="R6" s="152"/>
      <c r="S6" s="137">
        <f>+R6*Q6</f>
        <v>0</v>
      </c>
      <c r="T6" s="137">
        <f>+R6</f>
        <v>0</v>
      </c>
      <c r="U6" s="137">
        <f>S6</f>
        <v>0</v>
      </c>
      <c r="V6" s="138" t="s">
        <v>117</v>
      </c>
      <c r="W6" s="139"/>
      <c r="X6" s="137"/>
      <c r="Y6" s="137">
        <f t="shared" si="0"/>
        <v>0</v>
      </c>
      <c r="Z6" s="137"/>
      <c r="AA6" s="137">
        <f t="shared" si="1"/>
        <v>0</v>
      </c>
      <c r="AB6" s="137"/>
      <c r="AC6" s="137">
        <f t="shared" si="2"/>
        <v>0</v>
      </c>
      <c r="AD6" s="137"/>
      <c r="AE6" s="137">
        <f t="shared" si="3"/>
        <v>0</v>
      </c>
      <c r="AF6" s="137">
        <f t="shared" si="4"/>
        <v>0</v>
      </c>
      <c r="AG6" s="137">
        <f>+Y6+AA6+AC6+AE6</f>
        <v>0</v>
      </c>
      <c r="AH6" s="35">
        <f>+U6+AG6</f>
        <v>0</v>
      </c>
      <c r="AI6" s="56"/>
    </row>
    <row r="7" spans="1:35" s="59" customFormat="1" ht="38.25" x14ac:dyDescent="0.25">
      <c r="A7" s="50">
        <v>7</v>
      </c>
      <c r="B7" s="50">
        <v>1</v>
      </c>
      <c r="C7" s="213"/>
      <c r="D7" s="194"/>
      <c r="E7" s="206"/>
      <c r="F7" s="207"/>
      <c r="G7" s="3" t="s">
        <v>119</v>
      </c>
      <c r="H7" s="5"/>
      <c r="I7" s="5"/>
      <c r="J7" s="5"/>
      <c r="K7" s="5"/>
      <c r="L7" s="5"/>
      <c r="M7" s="4" t="s">
        <v>34</v>
      </c>
      <c r="N7" s="4" t="s">
        <v>35</v>
      </c>
      <c r="O7" s="4" t="s">
        <v>39</v>
      </c>
      <c r="P7" s="6" t="s">
        <v>117</v>
      </c>
      <c r="Q7" s="152"/>
      <c r="R7" s="152"/>
      <c r="S7" s="137">
        <f t="shared" ref="S7:S10" si="5">+R7*Q7</f>
        <v>0</v>
      </c>
      <c r="T7" s="137">
        <f t="shared" ref="T7:T10" si="6">+R7</f>
        <v>0</v>
      </c>
      <c r="U7" s="137">
        <f t="shared" ref="U7:U10" si="7">S7</f>
        <v>0</v>
      </c>
      <c r="V7" s="138" t="s">
        <v>117</v>
      </c>
      <c r="W7" s="139"/>
      <c r="X7" s="137"/>
      <c r="Y7" s="137">
        <f t="shared" si="0"/>
        <v>0</v>
      </c>
      <c r="Z7" s="137"/>
      <c r="AA7" s="137">
        <f t="shared" si="1"/>
        <v>0</v>
      </c>
      <c r="AB7" s="137"/>
      <c r="AC7" s="137">
        <f t="shared" si="2"/>
        <v>0</v>
      </c>
      <c r="AD7" s="137"/>
      <c r="AE7" s="137">
        <f t="shared" si="3"/>
        <v>0</v>
      </c>
      <c r="AF7" s="137">
        <f t="shared" si="4"/>
        <v>0</v>
      </c>
      <c r="AG7" s="137">
        <f t="shared" si="4"/>
        <v>0</v>
      </c>
      <c r="AH7" s="35">
        <f>+U7+AG7</f>
        <v>0</v>
      </c>
      <c r="AI7" s="56"/>
    </row>
    <row r="8" spans="1:35" s="59" customFormat="1" ht="38.25" customHeight="1" x14ac:dyDescent="0.25">
      <c r="A8" s="60">
        <v>11</v>
      </c>
      <c r="B8" s="60">
        <v>1</v>
      </c>
      <c r="C8" s="61" t="s">
        <v>38</v>
      </c>
      <c r="D8" s="194"/>
      <c r="E8" s="206"/>
      <c r="F8" s="205" t="s">
        <v>120</v>
      </c>
      <c r="G8" s="3" t="s">
        <v>64</v>
      </c>
      <c r="H8" s="5"/>
      <c r="I8" s="5"/>
      <c r="J8" s="5"/>
      <c r="K8" s="5"/>
      <c r="L8" s="5"/>
      <c r="M8" s="4" t="s">
        <v>34</v>
      </c>
      <c r="N8" s="4" t="s">
        <v>35</v>
      </c>
      <c r="O8" s="4" t="s">
        <v>39</v>
      </c>
      <c r="P8" s="6" t="s">
        <v>117</v>
      </c>
      <c r="Q8" s="152"/>
      <c r="R8" s="152"/>
      <c r="S8" s="137">
        <f t="shared" si="5"/>
        <v>0</v>
      </c>
      <c r="T8" s="137">
        <f t="shared" si="6"/>
        <v>0</v>
      </c>
      <c r="U8" s="137">
        <f t="shared" si="7"/>
        <v>0</v>
      </c>
      <c r="V8" s="138" t="s">
        <v>117</v>
      </c>
      <c r="W8" s="139"/>
      <c r="X8" s="137"/>
      <c r="Y8" s="137">
        <f t="shared" si="0"/>
        <v>0</v>
      </c>
      <c r="Z8" s="137"/>
      <c r="AA8" s="137">
        <f t="shared" si="1"/>
        <v>0</v>
      </c>
      <c r="AB8" s="137"/>
      <c r="AC8" s="137">
        <f t="shared" si="2"/>
        <v>0</v>
      </c>
      <c r="AD8" s="137"/>
      <c r="AE8" s="137">
        <f t="shared" si="3"/>
        <v>0</v>
      </c>
      <c r="AF8" s="137">
        <f t="shared" si="4"/>
        <v>0</v>
      </c>
      <c r="AG8" s="137">
        <f t="shared" si="4"/>
        <v>0</v>
      </c>
      <c r="AH8" s="35">
        <f>+U8+AG8</f>
        <v>0</v>
      </c>
      <c r="AI8" s="56"/>
    </row>
    <row r="9" spans="1:35" s="59" customFormat="1" ht="38.25" x14ac:dyDescent="0.25">
      <c r="A9" s="60">
        <v>11</v>
      </c>
      <c r="B9" s="60">
        <v>1</v>
      </c>
      <c r="C9" s="61" t="s">
        <v>38</v>
      </c>
      <c r="D9" s="194"/>
      <c r="E9" s="206"/>
      <c r="F9" s="206"/>
      <c r="G9" s="3" t="s">
        <v>121</v>
      </c>
      <c r="H9" s="5"/>
      <c r="I9" s="5"/>
      <c r="J9" s="5"/>
      <c r="K9" s="5"/>
      <c r="L9" s="5"/>
      <c r="M9" s="4" t="s">
        <v>34</v>
      </c>
      <c r="N9" s="4" t="s">
        <v>35</v>
      </c>
      <c r="O9" s="4" t="s">
        <v>39</v>
      </c>
      <c r="P9" s="6" t="s">
        <v>117</v>
      </c>
      <c r="Q9" s="152"/>
      <c r="R9" s="152"/>
      <c r="S9" s="137">
        <f t="shared" si="5"/>
        <v>0</v>
      </c>
      <c r="T9" s="137">
        <f t="shared" si="6"/>
        <v>0</v>
      </c>
      <c r="U9" s="137">
        <f t="shared" si="7"/>
        <v>0</v>
      </c>
      <c r="V9" s="138" t="s">
        <v>117</v>
      </c>
      <c r="W9" s="139"/>
      <c r="X9" s="137"/>
      <c r="Y9" s="137">
        <f t="shared" si="0"/>
        <v>0</v>
      </c>
      <c r="Z9" s="137"/>
      <c r="AA9" s="137">
        <f t="shared" si="1"/>
        <v>0</v>
      </c>
      <c r="AB9" s="137"/>
      <c r="AC9" s="137">
        <f t="shared" si="2"/>
        <v>0</v>
      </c>
      <c r="AD9" s="137"/>
      <c r="AE9" s="137">
        <f t="shared" si="3"/>
        <v>0</v>
      </c>
      <c r="AF9" s="137">
        <f t="shared" si="4"/>
        <v>0</v>
      </c>
      <c r="AG9" s="137">
        <f t="shared" si="4"/>
        <v>0</v>
      </c>
      <c r="AH9" s="35">
        <f t="shared" ref="AH9:AH10" si="8">+U9+AG9</f>
        <v>0</v>
      </c>
      <c r="AI9" s="56"/>
    </row>
    <row r="10" spans="1:35" s="59" customFormat="1" ht="38.25" x14ac:dyDescent="0.25">
      <c r="A10" s="60">
        <v>11</v>
      </c>
      <c r="B10" s="60">
        <v>1</v>
      </c>
      <c r="C10" s="61" t="s">
        <v>38</v>
      </c>
      <c r="D10" s="195"/>
      <c r="E10" s="207"/>
      <c r="F10" s="207"/>
      <c r="G10" s="3" t="s">
        <v>66</v>
      </c>
      <c r="H10" s="5"/>
      <c r="I10" s="5"/>
      <c r="J10" s="5"/>
      <c r="K10" s="5"/>
      <c r="L10" s="5"/>
      <c r="M10" s="4" t="s">
        <v>34</v>
      </c>
      <c r="N10" s="4" t="s">
        <v>35</v>
      </c>
      <c r="O10" s="4" t="s">
        <v>39</v>
      </c>
      <c r="P10" s="6" t="s">
        <v>117</v>
      </c>
      <c r="Q10" s="152"/>
      <c r="R10" s="152"/>
      <c r="S10" s="137">
        <f t="shared" si="5"/>
        <v>0</v>
      </c>
      <c r="T10" s="137">
        <f t="shared" si="6"/>
        <v>0</v>
      </c>
      <c r="U10" s="137">
        <f t="shared" si="7"/>
        <v>0</v>
      </c>
      <c r="V10" s="138" t="s">
        <v>117</v>
      </c>
      <c r="W10" s="139"/>
      <c r="X10" s="137"/>
      <c r="Y10" s="137">
        <f t="shared" si="0"/>
        <v>0</v>
      </c>
      <c r="Z10" s="137"/>
      <c r="AA10" s="137">
        <f t="shared" si="1"/>
        <v>0</v>
      </c>
      <c r="AB10" s="137"/>
      <c r="AC10" s="137">
        <f t="shared" si="2"/>
        <v>0</v>
      </c>
      <c r="AD10" s="137"/>
      <c r="AE10" s="137">
        <f t="shared" si="3"/>
        <v>0</v>
      </c>
      <c r="AF10" s="137">
        <f t="shared" si="4"/>
        <v>0</v>
      </c>
      <c r="AG10" s="137">
        <f t="shared" si="4"/>
        <v>0</v>
      </c>
      <c r="AH10" s="35">
        <f t="shared" si="8"/>
        <v>0</v>
      </c>
      <c r="AI10" s="56"/>
    </row>
    <row r="11" spans="1:35" s="11" customFormat="1" x14ac:dyDescent="0.2">
      <c r="A11" s="62" t="s">
        <v>56</v>
      </c>
      <c r="B11" s="25"/>
      <c r="C11" s="26"/>
      <c r="D11" s="26"/>
      <c r="E11" s="26"/>
      <c r="F11" s="26"/>
      <c r="G11" s="38"/>
      <c r="H11" s="39"/>
      <c r="I11" s="39"/>
      <c r="J11" s="39"/>
      <c r="K11" s="39"/>
      <c r="L11" s="39"/>
      <c r="M11" s="37"/>
      <c r="N11" s="37"/>
      <c r="O11" s="37"/>
      <c r="P11" s="37"/>
      <c r="Q11" s="172"/>
      <c r="R11" s="172"/>
      <c r="S11" s="172"/>
      <c r="T11" s="172"/>
      <c r="U11" s="172"/>
      <c r="V11" s="172"/>
      <c r="W11" s="172"/>
      <c r="X11" s="172"/>
      <c r="Y11" s="172"/>
      <c r="Z11" s="172"/>
      <c r="AA11" s="172"/>
      <c r="AB11" s="172"/>
      <c r="AC11" s="172"/>
      <c r="AD11" s="172"/>
      <c r="AE11" s="172"/>
      <c r="AF11" s="172"/>
      <c r="AG11" s="172"/>
      <c r="AH11" s="31">
        <f>SUM(AH12:AH23)</f>
        <v>0</v>
      </c>
      <c r="AI11" s="32">
        <v>46271760</v>
      </c>
    </row>
    <row r="12" spans="1:35" s="11" customFormat="1" ht="38.25" x14ac:dyDescent="0.25">
      <c r="A12" s="217">
        <v>13</v>
      </c>
      <c r="B12" s="217">
        <v>1</v>
      </c>
      <c r="C12" s="222" t="s">
        <v>38</v>
      </c>
      <c r="D12" s="193" t="s">
        <v>32</v>
      </c>
      <c r="E12" s="205" t="s">
        <v>122</v>
      </c>
      <c r="F12" s="208" t="s">
        <v>123</v>
      </c>
      <c r="G12" s="43" t="s">
        <v>172</v>
      </c>
      <c r="H12" s="5"/>
      <c r="I12" s="5"/>
      <c r="J12" s="5"/>
      <c r="K12" s="5"/>
      <c r="L12" s="5"/>
      <c r="M12" s="4" t="s">
        <v>34</v>
      </c>
      <c r="N12" s="4" t="s">
        <v>35</v>
      </c>
      <c r="O12" s="4" t="s">
        <v>41</v>
      </c>
      <c r="P12" s="6" t="s">
        <v>124</v>
      </c>
      <c r="Q12" s="148"/>
      <c r="R12" s="137">
        <f>+SUM(R13:R16)</f>
        <v>0</v>
      </c>
      <c r="S12" s="137">
        <f>+SUM(S13:S16)</f>
        <v>0</v>
      </c>
      <c r="T12" s="137">
        <f>+SUM(T13:T16)</f>
        <v>0</v>
      </c>
      <c r="U12" s="137">
        <f>+SUM(U13:U16)</f>
        <v>0</v>
      </c>
      <c r="V12" s="138" t="s">
        <v>124</v>
      </c>
      <c r="W12" s="139"/>
      <c r="X12" s="137">
        <f t="shared" ref="X12:AG12" si="9">+SUM(X13:X16)</f>
        <v>0</v>
      </c>
      <c r="Y12" s="137">
        <f t="shared" si="9"/>
        <v>0</v>
      </c>
      <c r="Z12" s="137">
        <f t="shared" si="9"/>
        <v>0</v>
      </c>
      <c r="AA12" s="137">
        <f t="shared" si="9"/>
        <v>0</v>
      </c>
      <c r="AB12" s="137">
        <f t="shared" si="9"/>
        <v>0</v>
      </c>
      <c r="AC12" s="137">
        <f t="shared" si="9"/>
        <v>0</v>
      </c>
      <c r="AD12" s="137">
        <f t="shared" si="9"/>
        <v>0</v>
      </c>
      <c r="AE12" s="137">
        <f t="shared" si="9"/>
        <v>0</v>
      </c>
      <c r="AF12" s="137">
        <f t="shared" si="9"/>
        <v>0</v>
      </c>
      <c r="AG12" s="137">
        <f t="shared" si="9"/>
        <v>0</v>
      </c>
      <c r="AH12" s="35">
        <f t="shared" ref="AH12:AH23" si="10">+U12+AG12</f>
        <v>0</v>
      </c>
      <c r="AI12" s="56"/>
    </row>
    <row r="13" spans="1:35" s="11" customFormat="1" x14ac:dyDescent="0.25">
      <c r="A13" s="218"/>
      <c r="B13" s="218"/>
      <c r="C13" s="223"/>
      <c r="D13" s="194"/>
      <c r="E13" s="206"/>
      <c r="F13" s="209"/>
      <c r="G13" s="131" t="s">
        <v>220</v>
      </c>
      <c r="H13" s="5"/>
      <c r="I13" s="5"/>
      <c r="J13" s="5"/>
      <c r="K13" s="5"/>
      <c r="L13" s="5"/>
      <c r="M13" s="4"/>
      <c r="N13" s="4"/>
      <c r="O13" s="4"/>
      <c r="P13" s="6"/>
      <c r="Q13" s="148"/>
      <c r="R13" s="148"/>
      <c r="S13" s="137">
        <f t="shared" ref="S13:S23" si="11">+R13*Q13</f>
        <v>0</v>
      </c>
      <c r="T13" s="137">
        <f t="shared" ref="T13:T23" si="12">+R13</f>
        <v>0</v>
      </c>
      <c r="U13" s="137">
        <f t="shared" ref="U13:U23" si="13">S13</f>
        <v>0</v>
      </c>
      <c r="V13" s="138"/>
      <c r="W13" s="139"/>
      <c r="X13" s="137"/>
      <c r="Y13" s="137">
        <f t="shared" ref="Y13:Y16" si="14">+$W13*X13</f>
        <v>0</v>
      </c>
      <c r="Z13" s="137"/>
      <c r="AA13" s="137">
        <f t="shared" ref="AA13:AA16" si="15">+$W13*Z13</f>
        <v>0</v>
      </c>
      <c r="AB13" s="137"/>
      <c r="AC13" s="137">
        <f t="shared" ref="AC13:AC16" si="16">+$W13*AB13</f>
        <v>0</v>
      </c>
      <c r="AD13" s="137"/>
      <c r="AE13" s="137">
        <f t="shared" ref="AE13:AE16" si="17">+$W13*AD13</f>
        <v>0</v>
      </c>
      <c r="AF13" s="137">
        <f t="shared" ref="AF13:AG23" si="18">+X13+Z13+AB13+AD13</f>
        <v>0</v>
      </c>
      <c r="AG13" s="137">
        <f t="shared" si="18"/>
        <v>0</v>
      </c>
      <c r="AH13" s="35"/>
      <c r="AI13" s="56"/>
    </row>
    <row r="14" spans="1:35" s="11" customFormat="1" x14ac:dyDescent="0.25">
      <c r="A14" s="218"/>
      <c r="B14" s="218"/>
      <c r="C14" s="223"/>
      <c r="D14" s="194"/>
      <c r="E14" s="206"/>
      <c r="F14" s="209"/>
      <c r="G14" s="131" t="s">
        <v>221</v>
      </c>
      <c r="H14" s="5"/>
      <c r="I14" s="5"/>
      <c r="J14" s="5"/>
      <c r="K14" s="5"/>
      <c r="L14" s="5"/>
      <c r="M14" s="4"/>
      <c r="N14" s="4"/>
      <c r="O14" s="4"/>
      <c r="P14" s="6"/>
      <c r="Q14" s="148"/>
      <c r="R14" s="148"/>
      <c r="S14" s="137">
        <f t="shared" si="11"/>
        <v>0</v>
      </c>
      <c r="T14" s="137">
        <f t="shared" si="12"/>
        <v>0</v>
      </c>
      <c r="U14" s="137">
        <f t="shared" si="13"/>
        <v>0</v>
      </c>
      <c r="V14" s="138"/>
      <c r="W14" s="139"/>
      <c r="X14" s="137"/>
      <c r="Y14" s="137">
        <f t="shared" si="14"/>
        <v>0</v>
      </c>
      <c r="Z14" s="137"/>
      <c r="AA14" s="137">
        <f t="shared" si="15"/>
        <v>0</v>
      </c>
      <c r="AB14" s="137"/>
      <c r="AC14" s="137">
        <f t="shared" si="16"/>
        <v>0</v>
      </c>
      <c r="AD14" s="137"/>
      <c r="AE14" s="137">
        <f t="shared" si="17"/>
        <v>0</v>
      </c>
      <c r="AF14" s="137">
        <f t="shared" si="18"/>
        <v>0</v>
      </c>
      <c r="AG14" s="137">
        <f t="shared" si="18"/>
        <v>0</v>
      </c>
      <c r="AH14" s="35"/>
      <c r="AI14" s="56"/>
    </row>
    <row r="15" spans="1:35" s="11" customFormat="1" x14ac:dyDescent="0.25">
      <c r="A15" s="218"/>
      <c r="B15" s="218"/>
      <c r="C15" s="223"/>
      <c r="D15" s="194"/>
      <c r="E15" s="206"/>
      <c r="F15" s="209"/>
      <c r="G15" s="131" t="s">
        <v>222</v>
      </c>
      <c r="H15" s="5"/>
      <c r="I15" s="5"/>
      <c r="J15" s="5"/>
      <c r="K15" s="5"/>
      <c r="L15" s="5"/>
      <c r="M15" s="4"/>
      <c r="N15" s="4"/>
      <c r="O15" s="4"/>
      <c r="P15" s="6"/>
      <c r="Q15" s="148"/>
      <c r="R15" s="148"/>
      <c r="S15" s="137">
        <f t="shared" si="11"/>
        <v>0</v>
      </c>
      <c r="T15" s="137">
        <f t="shared" si="12"/>
        <v>0</v>
      </c>
      <c r="U15" s="137">
        <f t="shared" si="13"/>
        <v>0</v>
      </c>
      <c r="V15" s="138"/>
      <c r="W15" s="139"/>
      <c r="X15" s="137"/>
      <c r="Y15" s="137">
        <f t="shared" si="14"/>
        <v>0</v>
      </c>
      <c r="Z15" s="137"/>
      <c r="AA15" s="137">
        <f t="shared" si="15"/>
        <v>0</v>
      </c>
      <c r="AB15" s="137"/>
      <c r="AC15" s="137">
        <f t="shared" si="16"/>
        <v>0</v>
      </c>
      <c r="AD15" s="137"/>
      <c r="AE15" s="137">
        <f t="shared" si="17"/>
        <v>0</v>
      </c>
      <c r="AF15" s="137">
        <f t="shared" si="18"/>
        <v>0</v>
      </c>
      <c r="AG15" s="137">
        <f t="shared" si="18"/>
        <v>0</v>
      </c>
      <c r="AH15" s="35"/>
      <c r="AI15" s="56"/>
    </row>
    <row r="16" spans="1:35" s="11" customFormat="1" x14ac:dyDescent="0.25">
      <c r="A16" s="220"/>
      <c r="B16" s="220"/>
      <c r="C16" s="224"/>
      <c r="D16" s="194"/>
      <c r="E16" s="206"/>
      <c r="F16" s="209"/>
      <c r="G16" s="131" t="s">
        <v>223</v>
      </c>
      <c r="H16" s="5"/>
      <c r="I16" s="5"/>
      <c r="J16" s="5"/>
      <c r="K16" s="5"/>
      <c r="L16" s="5"/>
      <c r="M16" s="4"/>
      <c r="N16" s="4"/>
      <c r="O16" s="4"/>
      <c r="P16" s="6"/>
      <c r="Q16" s="148"/>
      <c r="R16" s="148"/>
      <c r="S16" s="137">
        <f t="shared" si="11"/>
        <v>0</v>
      </c>
      <c r="T16" s="137">
        <f t="shared" si="12"/>
        <v>0</v>
      </c>
      <c r="U16" s="137">
        <f t="shared" si="13"/>
        <v>0</v>
      </c>
      <c r="V16" s="138"/>
      <c r="W16" s="139"/>
      <c r="X16" s="137"/>
      <c r="Y16" s="137">
        <f t="shared" si="14"/>
        <v>0</v>
      </c>
      <c r="Z16" s="137"/>
      <c r="AA16" s="137">
        <f t="shared" si="15"/>
        <v>0</v>
      </c>
      <c r="AB16" s="137"/>
      <c r="AC16" s="137">
        <f t="shared" si="16"/>
        <v>0</v>
      </c>
      <c r="AD16" s="137"/>
      <c r="AE16" s="137">
        <f t="shared" si="17"/>
        <v>0</v>
      </c>
      <c r="AF16" s="137">
        <f t="shared" si="18"/>
        <v>0</v>
      </c>
      <c r="AG16" s="137">
        <f t="shared" si="18"/>
        <v>0</v>
      </c>
      <c r="AH16" s="35"/>
      <c r="AI16" s="56"/>
    </row>
    <row r="17" spans="1:38" s="11" customFormat="1" ht="38.25" x14ac:dyDescent="0.25">
      <c r="A17" s="217">
        <v>13</v>
      </c>
      <c r="B17" s="217">
        <v>1</v>
      </c>
      <c r="C17" s="222" t="s">
        <v>38</v>
      </c>
      <c r="D17" s="194"/>
      <c r="E17" s="206"/>
      <c r="F17" s="209"/>
      <c r="G17" s="43" t="s">
        <v>173</v>
      </c>
      <c r="H17" s="5"/>
      <c r="I17" s="5"/>
      <c r="J17" s="5"/>
      <c r="K17" s="5"/>
      <c r="L17" s="5"/>
      <c r="M17" s="4" t="s">
        <v>34</v>
      </c>
      <c r="N17" s="4" t="s">
        <v>35</v>
      </c>
      <c r="O17" s="4" t="s">
        <v>41</v>
      </c>
      <c r="P17" s="6" t="s">
        <v>125</v>
      </c>
      <c r="Q17" s="148"/>
      <c r="R17" s="137">
        <f>+SUM(R18:R21)</f>
        <v>0</v>
      </c>
      <c r="S17" s="137">
        <f>+SUM(S18:S21)</f>
        <v>0</v>
      </c>
      <c r="T17" s="137">
        <f>+SUM(T18:T21)</f>
        <v>0</v>
      </c>
      <c r="U17" s="137">
        <f>+SUM(U18:U21)</f>
        <v>0</v>
      </c>
      <c r="V17" s="138" t="s">
        <v>125</v>
      </c>
      <c r="W17" s="139"/>
      <c r="X17" s="137">
        <f t="shared" ref="X17" si="19">+SUM(X18:X21)</f>
        <v>0</v>
      </c>
      <c r="Y17" s="137">
        <f t="shared" ref="Y17" si="20">+SUM(Y18:Y21)</f>
        <v>0</v>
      </c>
      <c r="Z17" s="137">
        <f t="shared" ref="Z17" si="21">+SUM(Z18:Z21)</f>
        <v>0</v>
      </c>
      <c r="AA17" s="137">
        <f t="shared" ref="AA17" si="22">+SUM(AA18:AA21)</f>
        <v>0</v>
      </c>
      <c r="AB17" s="137">
        <f t="shared" ref="AB17" si="23">+SUM(AB18:AB21)</f>
        <v>0</v>
      </c>
      <c r="AC17" s="137">
        <f t="shared" ref="AC17" si="24">+SUM(AC18:AC21)</f>
        <v>0</v>
      </c>
      <c r="AD17" s="137">
        <f t="shared" ref="AD17" si="25">+SUM(AD18:AD21)</f>
        <v>0</v>
      </c>
      <c r="AE17" s="137">
        <f t="shared" ref="AE17:AG17" si="26">+SUM(AE18:AE21)</f>
        <v>0</v>
      </c>
      <c r="AF17" s="137">
        <f t="shared" si="26"/>
        <v>0</v>
      </c>
      <c r="AG17" s="137">
        <f t="shared" si="26"/>
        <v>0</v>
      </c>
      <c r="AH17" s="35">
        <f t="shared" si="10"/>
        <v>0</v>
      </c>
      <c r="AI17" s="56"/>
    </row>
    <row r="18" spans="1:38" s="11" customFormat="1" x14ac:dyDescent="0.25">
      <c r="A18" s="218"/>
      <c r="B18" s="218"/>
      <c r="C18" s="223"/>
      <c r="D18" s="194"/>
      <c r="E18" s="206"/>
      <c r="F18" s="209"/>
      <c r="G18" s="131" t="s">
        <v>220</v>
      </c>
      <c r="H18" s="5"/>
      <c r="I18" s="5"/>
      <c r="J18" s="5"/>
      <c r="K18" s="5"/>
      <c r="L18" s="5"/>
      <c r="M18" s="4"/>
      <c r="N18" s="4"/>
      <c r="O18" s="4"/>
      <c r="P18" s="6"/>
      <c r="Q18" s="148"/>
      <c r="R18" s="148"/>
      <c r="S18" s="137">
        <f t="shared" si="11"/>
        <v>0</v>
      </c>
      <c r="T18" s="137">
        <f t="shared" si="12"/>
        <v>0</v>
      </c>
      <c r="U18" s="137">
        <f t="shared" si="13"/>
        <v>0</v>
      </c>
      <c r="V18" s="138"/>
      <c r="W18" s="139"/>
      <c r="X18" s="137"/>
      <c r="Y18" s="137">
        <f t="shared" ref="Y18:Y21" si="27">+$W18*X18</f>
        <v>0</v>
      </c>
      <c r="Z18" s="137"/>
      <c r="AA18" s="137">
        <f t="shared" ref="AA18:AA21" si="28">+$W18*Z18</f>
        <v>0</v>
      </c>
      <c r="AB18" s="137"/>
      <c r="AC18" s="137">
        <f t="shared" ref="AC18:AC21" si="29">+$W18*AB18</f>
        <v>0</v>
      </c>
      <c r="AD18" s="137"/>
      <c r="AE18" s="137">
        <f t="shared" ref="AE18:AE21" si="30">+$W18*AD18</f>
        <v>0</v>
      </c>
      <c r="AF18" s="137">
        <f t="shared" si="18"/>
        <v>0</v>
      </c>
      <c r="AG18" s="137">
        <f t="shared" si="18"/>
        <v>0</v>
      </c>
      <c r="AH18" s="35"/>
      <c r="AI18" s="56"/>
    </row>
    <row r="19" spans="1:38" s="11" customFormat="1" x14ac:dyDescent="0.25">
      <c r="A19" s="218"/>
      <c r="B19" s="218"/>
      <c r="C19" s="223"/>
      <c r="D19" s="194"/>
      <c r="E19" s="206"/>
      <c r="F19" s="209"/>
      <c r="G19" s="131" t="s">
        <v>221</v>
      </c>
      <c r="H19" s="5"/>
      <c r="I19" s="5"/>
      <c r="J19" s="5"/>
      <c r="K19" s="5"/>
      <c r="L19" s="5"/>
      <c r="M19" s="4"/>
      <c r="N19" s="4"/>
      <c r="O19" s="4"/>
      <c r="P19" s="6"/>
      <c r="Q19" s="148"/>
      <c r="R19" s="148"/>
      <c r="S19" s="137">
        <f t="shared" si="11"/>
        <v>0</v>
      </c>
      <c r="T19" s="137">
        <f t="shared" si="12"/>
        <v>0</v>
      </c>
      <c r="U19" s="137">
        <f t="shared" si="13"/>
        <v>0</v>
      </c>
      <c r="V19" s="138"/>
      <c r="W19" s="139"/>
      <c r="X19" s="137"/>
      <c r="Y19" s="137">
        <f t="shared" si="27"/>
        <v>0</v>
      </c>
      <c r="Z19" s="137"/>
      <c r="AA19" s="137">
        <f t="shared" si="28"/>
        <v>0</v>
      </c>
      <c r="AB19" s="137"/>
      <c r="AC19" s="137">
        <f t="shared" si="29"/>
        <v>0</v>
      </c>
      <c r="AD19" s="137"/>
      <c r="AE19" s="137">
        <f t="shared" si="30"/>
        <v>0</v>
      </c>
      <c r="AF19" s="137">
        <f t="shared" si="18"/>
        <v>0</v>
      </c>
      <c r="AG19" s="137">
        <f t="shared" si="18"/>
        <v>0</v>
      </c>
      <c r="AH19" s="35"/>
      <c r="AI19" s="56"/>
    </row>
    <row r="20" spans="1:38" s="11" customFormat="1" x14ac:dyDescent="0.25">
      <c r="A20" s="218"/>
      <c r="B20" s="218"/>
      <c r="C20" s="223"/>
      <c r="D20" s="194"/>
      <c r="E20" s="206"/>
      <c r="F20" s="209"/>
      <c r="G20" s="131" t="s">
        <v>222</v>
      </c>
      <c r="H20" s="5"/>
      <c r="I20" s="5"/>
      <c r="J20" s="5"/>
      <c r="K20" s="5"/>
      <c r="L20" s="5"/>
      <c r="M20" s="4"/>
      <c r="N20" s="4"/>
      <c r="O20" s="4"/>
      <c r="P20" s="6"/>
      <c r="Q20" s="148"/>
      <c r="R20" s="148"/>
      <c r="S20" s="137">
        <f t="shared" si="11"/>
        <v>0</v>
      </c>
      <c r="T20" s="137">
        <f t="shared" si="12"/>
        <v>0</v>
      </c>
      <c r="U20" s="137">
        <f t="shared" si="13"/>
        <v>0</v>
      </c>
      <c r="V20" s="138"/>
      <c r="W20" s="139"/>
      <c r="X20" s="137"/>
      <c r="Y20" s="137">
        <f t="shared" si="27"/>
        <v>0</v>
      </c>
      <c r="Z20" s="137"/>
      <c r="AA20" s="137">
        <f t="shared" si="28"/>
        <v>0</v>
      </c>
      <c r="AB20" s="137"/>
      <c r="AC20" s="137">
        <f t="shared" si="29"/>
        <v>0</v>
      </c>
      <c r="AD20" s="137"/>
      <c r="AE20" s="137">
        <f t="shared" si="30"/>
        <v>0</v>
      </c>
      <c r="AF20" s="137">
        <f t="shared" si="18"/>
        <v>0</v>
      </c>
      <c r="AG20" s="137">
        <f t="shared" si="18"/>
        <v>0</v>
      </c>
      <c r="AH20" s="35"/>
      <c r="AI20" s="56"/>
    </row>
    <row r="21" spans="1:38" s="11" customFormat="1" x14ac:dyDescent="0.25">
      <c r="A21" s="220"/>
      <c r="B21" s="220"/>
      <c r="C21" s="224"/>
      <c r="D21" s="194"/>
      <c r="E21" s="206"/>
      <c r="F21" s="209"/>
      <c r="G21" s="131" t="s">
        <v>223</v>
      </c>
      <c r="H21" s="5"/>
      <c r="I21" s="5"/>
      <c r="J21" s="5"/>
      <c r="K21" s="5"/>
      <c r="L21" s="5"/>
      <c r="M21" s="4"/>
      <c r="N21" s="4"/>
      <c r="O21" s="4"/>
      <c r="P21" s="6"/>
      <c r="Q21" s="148"/>
      <c r="R21" s="148"/>
      <c r="S21" s="137">
        <f t="shared" si="11"/>
        <v>0</v>
      </c>
      <c r="T21" s="137">
        <f t="shared" si="12"/>
        <v>0</v>
      </c>
      <c r="U21" s="137">
        <f t="shared" si="13"/>
        <v>0</v>
      </c>
      <c r="V21" s="138"/>
      <c r="W21" s="139"/>
      <c r="X21" s="137"/>
      <c r="Y21" s="137">
        <f t="shared" si="27"/>
        <v>0</v>
      </c>
      <c r="Z21" s="137"/>
      <c r="AA21" s="137">
        <f t="shared" si="28"/>
        <v>0</v>
      </c>
      <c r="AB21" s="137"/>
      <c r="AC21" s="137">
        <f t="shared" si="29"/>
        <v>0</v>
      </c>
      <c r="AD21" s="137"/>
      <c r="AE21" s="137">
        <f t="shared" si="30"/>
        <v>0</v>
      </c>
      <c r="AF21" s="137">
        <f t="shared" si="18"/>
        <v>0</v>
      </c>
      <c r="AG21" s="137">
        <f t="shared" si="18"/>
        <v>0</v>
      </c>
      <c r="AH21" s="35"/>
      <c r="AI21" s="56"/>
    </row>
    <row r="22" spans="1:38" s="11" customFormat="1" ht="38.25" x14ac:dyDescent="0.25">
      <c r="A22" s="60">
        <v>13</v>
      </c>
      <c r="B22" s="60">
        <v>1</v>
      </c>
      <c r="C22" s="63" t="s">
        <v>38</v>
      </c>
      <c r="D22" s="194"/>
      <c r="E22" s="206"/>
      <c r="F22" s="209"/>
      <c r="G22" s="43" t="s">
        <v>126</v>
      </c>
      <c r="H22" s="5"/>
      <c r="I22" s="5"/>
      <c r="J22" s="5"/>
      <c r="K22" s="5"/>
      <c r="L22" s="5"/>
      <c r="M22" s="4" t="s">
        <v>34</v>
      </c>
      <c r="N22" s="4" t="s">
        <v>35</v>
      </c>
      <c r="O22" s="4" t="s">
        <v>41</v>
      </c>
      <c r="P22" s="6" t="s">
        <v>127</v>
      </c>
      <c r="Q22" s="152"/>
      <c r="R22" s="152"/>
      <c r="S22" s="137">
        <f t="shared" si="11"/>
        <v>0</v>
      </c>
      <c r="T22" s="137">
        <f t="shared" si="12"/>
        <v>0</v>
      </c>
      <c r="U22" s="137">
        <f t="shared" si="13"/>
        <v>0</v>
      </c>
      <c r="V22" s="138" t="s">
        <v>127</v>
      </c>
      <c r="W22" s="139"/>
      <c r="X22" s="137"/>
      <c r="Y22" s="137">
        <f t="shared" ref="Y22:Y23" si="31">+W22*X22</f>
        <v>0</v>
      </c>
      <c r="Z22" s="137"/>
      <c r="AA22" s="137">
        <f t="shared" ref="AA22:AA23" si="32">+Z22*W22</f>
        <v>0</v>
      </c>
      <c r="AB22" s="137"/>
      <c r="AC22" s="137">
        <f t="shared" ref="AC22:AC23" si="33">+AB22*W22</f>
        <v>0</v>
      </c>
      <c r="AD22" s="137"/>
      <c r="AE22" s="137">
        <f t="shared" ref="AE22:AE23" si="34">+AD22*W22</f>
        <v>0</v>
      </c>
      <c r="AF22" s="137">
        <f t="shared" si="18"/>
        <v>0</v>
      </c>
      <c r="AG22" s="137">
        <f t="shared" si="18"/>
        <v>0</v>
      </c>
      <c r="AH22" s="35">
        <f t="shared" si="10"/>
        <v>0</v>
      </c>
      <c r="AI22" s="56"/>
    </row>
    <row r="23" spans="1:38" s="59" customFormat="1" ht="150.75" customHeight="1" x14ac:dyDescent="0.25">
      <c r="A23" s="60">
        <v>13</v>
      </c>
      <c r="B23" s="60">
        <v>1</v>
      </c>
      <c r="C23" s="63" t="s">
        <v>38</v>
      </c>
      <c r="D23" s="195"/>
      <c r="E23" s="207"/>
      <c r="F23" s="210"/>
      <c r="G23" s="43" t="s">
        <v>128</v>
      </c>
      <c r="H23" s="5"/>
      <c r="I23" s="5"/>
      <c r="J23" s="5"/>
      <c r="K23" s="5"/>
      <c r="L23" s="5"/>
      <c r="M23" s="4" t="s">
        <v>34</v>
      </c>
      <c r="N23" s="4" t="s">
        <v>35</v>
      </c>
      <c r="O23" s="4" t="s">
        <v>41</v>
      </c>
      <c r="P23" s="6" t="s">
        <v>129</v>
      </c>
      <c r="Q23" s="152"/>
      <c r="R23" s="152"/>
      <c r="S23" s="137">
        <f t="shared" si="11"/>
        <v>0</v>
      </c>
      <c r="T23" s="137">
        <f t="shared" si="12"/>
        <v>0</v>
      </c>
      <c r="U23" s="137">
        <f t="shared" si="13"/>
        <v>0</v>
      </c>
      <c r="V23" s="138" t="s">
        <v>129</v>
      </c>
      <c r="W23" s="139"/>
      <c r="X23" s="137"/>
      <c r="Y23" s="137">
        <f t="shared" si="31"/>
        <v>0</v>
      </c>
      <c r="Z23" s="137"/>
      <c r="AA23" s="137">
        <f t="shared" si="32"/>
        <v>0</v>
      </c>
      <c r="AB23" s="137"/>
      <c r="AC23" s="137">
        <f t="shared" si="33"/>
        <v>0</v>
      </c>
      <c r="AD23" s="137"/>
      <c r="AE23" s="137">
        <f t="shared" si="34"/>
        <v>0</v>
      </c>
      <c r="AF23" s="137">
        <f t="shared" si="18"/>
        <v>0</v>
      </c>
      <c r="AG23" s="137">
        <f t="shared" si="18"/>
        <v>0</v>
      </c>
      <c r="AH23" s="35">
        <f t="shared" si="10"/>
        <v>0</v>
      </c>
      <c r="AI23" s="56"/>
    </row>
    <row r="24" spans="1:38" s="11" customFormat="1" x14ac:dyDescent="0.2">
      <c r="A24" s="49" t="s">
        <v>57</v>
      </c>
      <c r="B24" s="25"/>
      <c r="C24" s="26"/>
      <c r="D24" s="26"/>
      <c r="E24" s="26"/>
      <c r="F24" s="26"/>
      <c r="G24" s="38"/>
      <c r="H24" s="39"/>
      <c r="I24" s="39"/>
      <c r="J24" s="39"/>
      <c r="K24" s="39"/>
      <c r="L24" s="39"/>
      <c r="M24" s="37"/>
      <c r="N24" s="37"/>
      <c r="O24" s="37"/>
      <c r="P24" s="34"/>
      <c r="Q24" s="172"/>
      <c r="R24" s="172"/>
      <c r="S24" s="172"/>
      <c r="T24" s="172"/>
      <c r="U24" s="172"/>
      <c r="V24" s="172"/>
      <c r="W24" s="172"/>
      <c r="X24" s="172"/>
      <c r="Y24" s="172"/>
      <c r="Z24" s="172"/>
      <c r="AA24" s="172"/>
      <c r="AB24" s="172"/>
      <c r="AC24" s="172"/>
      <c r="AD24" s="172"/>
      <c r="AE24" s="172"/>
      <c r="AF24" s="172"/>
      <c r="AG24" s="172"/>
      <c r="AH24" s="31">
        <f>SUM(AH25)</f>
        <v>0</v>
      </c>
      <c r="AI24" s="32">
        <v>19830751</v>
      </c>
    </row>
    <row r="25" spans="1:38" s="59" customFormat="1" ht="89.25" x14ac:dyDescent="0.25">
      <c r="A25" s="60">
        <v>8</v>
      </c>
      <c r="B25" s="60">
        <v>1</v>
      </c>
      <c r="C25" s="63" t="s">
        <v>38</v>
      </c>
      <c r="D25" s="63" t="s">
        <v>32</v>
      </c>
      <c r="E25" s="57" t="s">
        <v>122</v>
      </c>
      <c r="F25" s="57" t="s">
        <v>130</v>
      </c>
      <c r="G25" s="3"/>
      <c r="H25" s="5"/>
      <c r="I25" s="5"/>
      <c r="J25" s="5"/>
      <c r="K25" s="5"/>
      <c r="L25" s="5"/>
      <c r="M25" s="4" t="s">
        <v>34</v>
      </c>
      <c r="N25" s="4" t="s">
        <v>35</v>
      </c>
      <c r="O25" s="4" t="s">
        <v>40</v>
      </c>
      <c r="P25" s="6"/>
      <c r="Q25" s="152"/>
      <c r="R25" s="152"/>
      <c r="S25" s="137">
        <f t="shared" ref="S25" si="35">+R25*Q25</f>
        <v>0</v>
      </c>
      <c r="T25" s="137">
        <f t="shared" ref="T25" si="36">+R25</f>
        <v>0</v>
      </c>
      <c r="U25" s="137">
        <f t="shared" ref="U25" si="37">S25</f>
        <v>0</v>
      </c>
      <c r="V25" s="138"/>
      <c r="W25" s="139"/>
      <c r="X25" s="137"/>
      <c r="Y25" s="137">
        <f t="shared" ref="Y25" si="38">+W25*X25</f>
        <v>0</v>
      </c>
      <c r="Z25" s="137"/>
      <c r="AA25" s="137">
        <f t="shared" ref="AA25" si="39">+Z25*W25</f>
        <v>0</v>
      </c>
      <c r="AB25" s="137"/>
      <c r="AC25" s="137">
        <f t="shared" ref="AC25" si="40">+AB25*W25</f>
        <v>0</v>
      </c>
      <c r="AD25" s="137"/>
      <c r="AE25" s="137">
        <f t="shared" ref="AE25" si="41">+AD25*W25</f>
        <v>0</v>
      </c>
      <c r="AF25" s="137">
        <f t="shared" ref="AF25:AG25" si="42">+X25+Z25+AB25+AD25</f>
        <v>0</v>
      </c>
      <c r="AG25" s="137">
        <f t="shared" si="42"/>
        <v>0</v>
      </c>
      <c r="AH25" s="35">
        <f t="shared" ref="AH25" si="43">+U25+AG25</f>
        <v>0</v>
      </c>
      <c r="AI25" s="56"/>
    </row>
    <row r="26" spans="1:38" s="11" customFormat="1" x14ac:dyDescent="0.2">
      <c r="A26" s="49" t="s">
        <v>164</v>
      </c>
      <c r="B26" s="25"/>
      <c r="C26" s="26"/>
      <c r="D26" s="26"/>
      <c r="E26" s="26"/>
      <c r="F26" s="26"/>
      <c r="G26" s="38"/>
      <c r="H26" s="39"/>
      <c r="I26" s="39"/>
      <c r="J26" s="39"/>
      <c r="K26" s="39"/>
      <c r="L26" s="39"/>
      <c r="M26" s="37"/>
      <c r="N26" s="37"/>
      <c r="O26" s="37"/>
      <c r="P26" s="34"/>
      <c r="Q26" s="172"/>
      <c r="R26" s="172"/>
      <c r="S26" s="172"/>
      <c r="T26" s="172"/>
      <c r="U26" s="172"/>
      <c r="V26" s="172"/>
      <c r="W26" s="172"/>
      <c r="X26" s="172"/>
      <c r="Y26" s="172"/>
      <c r="Z26" s="172"/>
      <c r="AA26" s="172"/>
      <c r="AB26" s="172"/>
      <c r="AC26" s="172"/>
      <c r="AD26" s="172"/>
      <c r="AE26" s="172"/>
      <c r="AF26" s="172"/>
      <c r="AG26" s="172"/>
      <c r="AH26" s="31">
        <f>+AH4+AH11+AH24</f>
        <v>0</v>
      </c>
      <c r="AI26" s="32">
        <f>+AI4+AI11+AI24</f>
        <v>220341690</v>
      </c>
    </row>
    <row r="27" spans="1:38" x14ac:dyDescent="0.2">
      <c r="Q27" s="173"/>
      <c r="R27" s="173"/>
      <c r="S27" s="173"/>
      <c r="T27" s="173"/>
      <c r="U27" s="173"/>
      <c r="V27" s="173"/>
      <c r="W27" s="173"/>
      <c r="X27" s="173"/>
      <c r="Y27" s="173"/>
      <c r="Z27" s="173"/>
      <c r="AA27" s="174"/>
      <c r="AB27" s="173"/>
      <c r="AC27" s="173"/>
      <c r="AD27" s="173"/>
      <c r="AE27" s="173"/>
      <c r="AF27" s="173"/>
      <c r="AG27" s="173"/>
      <c r="AH27" s="66">
        <f>SUM(AH7:AH25)</f>
        <v>0</v>
      </c>
      <c r="AJ27" s="46"/>
    </row>
    <row r="28" spans="1:38" s="11" customFormat="1" x14ac:dyDescent="0.2">
      <c r="A28" s="49" t="s">
        <v>58</v>
      </c>
      <c r="B28" s="25"/>
      <c r="C28" s="26"/>
      <c r="D28" s="26"/>
      <c r="E28" s="26"/>
      <c r="F28" s="26"/>
      <c r="G28" s="26"/>
      <c r="H28" s="27"/>
      <c r="I28" s="27"/>
      <c r="J28" s="27"/>
      <c r="K28" s="27"/>
      <c r="L28" s="27"/>
      <c r="M28" s="25"/>
      <c r="N28" s="25"/>
      <c r="O28" s="25"/>
      <c r="P28" s="25"/>
      <c r="Q28" s="175"/>
      <c r="R28" s="175"/>
      <c r="S28" s="175"/>
      <c r="T28" s="175"/>
      <c r="U28" s="175"/>
      <c r="V28" s="175"/>
      <c r="W28" s="175"/>
      <c r="X28" s="175"/>
      <c r="Y28" s="175"/>
      <c r="Z28" s="175"/>
      <c r="AA28" s="175"/>
      <c r="AB28" s="175"/>
      <c r="AC28" s="175"/>
      <c r="AD28" s="175"/>
      <c r="AE28" s="175"/>
      <c r="AF28" s="175"/>
      <c r="AG28" s="175"/>
      <c r="AH28" s="31"/>
      <c r="AI28" s="32"/>
    </row>
    <row r="29" spans="1:38" s="59" customFormat="1" ht="89.25" x14ac:dyDescent="0.25">
      <c r="A29" s="60">
        <v>6</v>
      </c>
      <c r="B29" s="60">
        <v>1</v>
      </c>
      <c r="C29" s="63" t="s">
        <v>31</v>
      </c>
      <c r="D29" s="63" t="s">
        <v>32</v>
      </c>
      <c r="E29" s="57" t="s">
        <v>33</v>
      </c>
      <c r="F29" s="63" t="s">
        <v>131</v>
      </c>
      <c r="G29" s="57" t="s">
        <v>132</v>
      </c>
      <c r="H29" s="58"/>
      <c r="I29" s="58"/>
      <c r="J29" s="58"/>
      <c r="K29" s="58"/>
      <c r="L29" s="58"/>
      <c r="M29" s="33" t="s">
        <v>34</v>
      </c>
      <c r="N29" s="33" t="s">
        <v>35</v>
      </c>
      <c r="O29" s="33" t="s">
        <v>36</v>
      </c>
      <c r="P29" s="51" t="s">
        <v>37</v>
      </c>
      <c r="Q29" s="140">
        <f>15355</f>
        <v>15355</v>
      </c>
      <c r="R29" s="113">
        <v>135</v>
      </c>
      <c r="S29" s="140">
        <f>+R29*Q29</f>
        <v>2072925</v>
      </c>
      <c r="T29" s="140">
        <f t="shared" ref="T29:T34" si="44">+R29</f>
        <v>135</v>
      </c>
      <c r="U29" s="140">
        <f>S29</f>
        <v>2072925</v>
      </c>
      <c r="V29" s="150" t="s">
        <v>37</v>
      </c>
      <c r="W29" s="151">
        <f>+Q29</f>
        <v>15355</v>
      </c>
      <c r="X29" s="140">
        <v>135</v>
      </c>
      <c r="Y29" s="140">
        <f t="shared" ref="Y29:Y33" si="45">+W29*X29</f>
        <v>2072925</v>
      </c>
      <c r="Z29" s="140">
        <v>135</v>
      </c>
      <c r="AA29" s="140">
        <f t="shared" ref="AA29:AA33" si="46">+Z29*W29</f>
        <v>2072925</v>
      </c>
      <c r="AB29" s="140">
        <f>+Z29</f>
        <v>135</v>
      </c>
      <c r="AC29" s="140">
        <f t="shared" ref="AC29:AC33" si="47">+AB29*W29</f>
        <v>2072925</v>
      </c>
      <c r="AD29" s="140">
        <v>136</v>
      </c>
      <c r="AE29" s="140">
        <f t="shared" ref="AE29:AE33" si="48">+AD29*W29</f>
        <v>2088280</v>
      </c>
      <c r="AF29" s="140">
        <f>+X29+Z29+AB29+AD29</f>
        <v>541</v>
      </c>
      <c r="AG29" s="140">
        <f t="shared" ref="AF29:AG33" si="49">+Y29+AA29+AC29+AE29</f>
        <v>8307055</v>
      </c>
      <c r="AH29" s="35">
        <f>+U29+AG29</f>
        <v>10379980</v>
      </c>
      <c r="AI29" s="56"/>
      <c r="AL29" s="111"/>
    </row>
    <row r="30" spans="1:38" s="59" customFormat="1" ht="114.75" x14ac:dyDescent="0.25">
      <c r="A30" s="60">
        <v>34</v>
      </c>
      <c r="B30" s="68">
        <v>1</v>
      </c>
      <c r="C30" s="63" t="s">
        <v>42</v>
      </c>
      <c r="D30" s="63" t="s">
        <v>43</v>
      </c>
      <c r="E30" s="57" t="s">
        <v>44</v>
      </c>
      <c r="F30" s="63" t="s">
        <v>158</v>
      </c>
      <c r="G30" s="57" t="s">
        <v>133</v>
      </c>
      <c r="H30" s="33"/>
      <c r="I30" s="58"/>
      <c r="J30" s="58"/>
      <c r="K30" s="58"/>
      <c r="L30" s="58"/>
      <c r="M30" s="33" t="s">
        <v>34</v>
      </c>
      <c r="N30" s="33" t="s">
        <v>35</v>
      </c>
      <c r="O30" s="63" t="s">
        <v>45</v>
      </c>
      <c r="P30" s="51" t="s">
        <v>134</v>
      </c>
      <c r="Q30" s="140"/>
      <c r="R30" s="113"/>
      <c r="S30" s="140">
        <f>+R30*Q30</f>
        <v>0</v>
      </c>
      <c r="T30" s="140">
        <f t="shared" si="44"/>
        <v>0</v>
      </c>
      <c r="U30" s="140">
        <f t="shared" ref="U30:U33" si="50">S30</f>
        <v>0</v>
      </c>
      <c r="V30" s="150" t="s">
        <v>134</v>
      </c>
      <c r="W30" s="140">
        <f>36000*24</f>
        <v>864000</v>
      </c>
      <c r="X30" s="140">
        <v>3</v>
      </c>
      <c r="Y30" s="140">
        <f t="shared" si="45"/>
        <v>2592000</v>
      </c>
      <c r="Z30" s="140">
        <f t="shared" ref="Z30:Z31" si="51">+X30</f>
        <v>3</v>
      </c>
      <c r="AA30" s="140">
        <f t="shared" si="46"/>
        <v>2592000</v>
      </c>
      <c r="AB30" s="140"/>
      <c r="AC30" s="140">
        <f t="shared" si="47"/>
        <v>0</v>
      </c>
      <c r="AD30" s="140">
        <f t="shared" ref="AD30:AD31" si="52">+AB30</f>
        <v>0</v>
      </c>
      <c r="AE30" s="140">
        <f t="shared" si="48"/>
        <v>0</v>
      </c>
      <c r="AF30" s="140">
        <f>+X30+Z30+AB30+AD30</f>
        <v>6</v>
      </c>
      <c r="AG30" s="140">
        <f t="shared" si="49"/>
        <v>5184000</v>
      </c>
      <c r="AH30" s="35">
        <f t="shared" ref="AH30:AH33" si="53">+U30+AG30</f>
        <v>5184000</v>
      </c>
      <c r="AI30" s="56"/>
    </row>
    <row r="31" spans="1:38" s="59" customFormat="1" ht="114.75" x14ac:dyDescent="0.25">
      <c r="A31" s="60">
        <v>35</v>
      </c>
      <c r="B31" s="68">
        <v>1</v>
      </c>
      <c r="C31" s="63" t="s">
        <v>42</v>
      </c>
      <c r="D31" s="63" t="s">
        <v>43</v>
      </c>
      <c r="E31" s="57" t="s">
        <v>44</v>
      </c>
      <c r="F31" s="63" t="s">
        <v>158</v>
      </c>
      <c r="G31" s="57" t="s">
        <v>135</v>
      </c>
      <c r="H31" s="33"/>
      <c r="I31" s="58"/>
      <c r="J31" s="58"/>
      <c r="K31" s="58"/>
      <c r="L31" s="58"/>
      <c r="M31" s="33" t="s">
        <v>34</v>
      </c>
      <c r="N31" s="33" t="s">
        <v>35</v>
      </c>
      <c r="O31" s="63" t="s">
        <v>45</v>
      </c>
      <c r="P31" s="51" t="s">
        <v>134</v>
      </c>
      <c r="Q31" s="140"/>
      <c r="R31" s="113"/>
      <c r="S31" s="140">
        <f t="shared" ref="S31:S33" si="54">+R31*Q31</f>
        <v>0</v>
      </c>
      <c r="T31" s="140">
        <f t="shared" si="44"/>
        <v>0</v>
      </c>
      <c r="U31" s="140">
        <f t="shared" si="50"/>
        <v>0</v>
      </c>
      <c r="V31" s="150" t="s">
        <v>134</v>
      </c>
      <c r="W31" s="140">
        <f>36000*12</f>
        <v>432000</v>
      </c>
      <c r="X31" s="140"/>
      <c r="Y31" s="140">
        <f t="shared" si="45"/>
        <v>0</v>
      </c>
      <c r="Z31" s="140">
        <f t="shared" si="51"/>
        <v>0</v>
      </c>
      <c r="AA31" s="140">
        <f t="shared" si="46"/>
        <v>0</v>
      </c>
      <c r="AB31" s="140">
        <v>6</v>
      </c>
      <c r="AC31" s="140">
        <f t="shared" si="47"/>
        <v>2592000</v>
      </c>
      <c r="AD31" s="140">
        <f t="shared" si="52"/>
        <v>6</v>
      </c>
      <c r="AE31" s="140">
        <f t="shared" si="48"/>
        <v>2592000</v>
      </c>
      <c r="AF31" s="140">
        <f t="shared" si="49"/>
        <v>12</v>
      </c>
      <c r="AG31" s="140">
        <f t="shared" si="49"/>
        <v>5184000</v>
      </c>
      <c r="AH31" s="35">
        <f t="shared" si="53"/>
        <v>5184000</v>
      </c>
      <c r="AI31" s="56"/>
    </row>
    <row r="32" spans="1:38" s="72" customFormat="1" ht="76.5" x14ac:dyDescent="0.25">
      <c r="A32" s="60">
        <v>43</v>
      </c>
      <c r="B32" s="68">
        <v>1</v>
      </c>
      <c r="C32" s="63" t="s">
        <v>46</v>
      </c>
      <c r="D32" s="63" t="s">
        <v>47</v>
      </c>
      <c r="E32" s="57" t="s">
        <v>48</v>
      </c>
      <c r="F32" s="63" t="s">
        <v>159</v>
      </c>
      <c r="G32" s="57" t="s">
        <v>136</v>
      </c>
      <c r="H32" s="69"/>
      <c r="I32" s="69"/>
      <c r="J32" s="70"/>
      <c r="K32" s="69"/>
      <c r="L32" s="70"/>
      <c r="M32" s="33" t="s">
        <v>34</v>
      </c>
      <c r="N32" s="33" t="s">
        <v>35</v>
      </c>
      <c r="O32" s="33" t="s">
        <v>49</v>
      </c>
      <c r="P32" s="51" t="s">
        <v>137</v>
      </c>
      <c r="Q32" s="140"/>
      <c r="R32" s="113"/>
      <c r="S32" s="140">
        <f t="shared" si="54"/>
        <v>0</v>
      </c>
      <c r="T32" s="140">
        <f t="shared" si="44"/>
        <v>0</v>
      </c>
      <c r="U32" s="140">
        <f t="shared" si="50"/>
        <v>0</v>
      </c>
      <c r="V32" s="150" t="s">
        <v>137</v>
      </c>
      <c r="W32" s="151">
        <v>5000000</v>
      </c>
      <c r="X32" s="140">
        <f t="shared" ref="X32" si="55">+R32</f>
        <v>0</v>
      </c>
      <c r="Y32" s="140">
        <f t="shared" si="45"/>
        <v>0</v>
      </c>
      <c r="Z32" s="140">
        <v>0</v>
      </c>
      <c r="AA32" s="140">
        <f t="shared" si="46"/>
        <v>0</v>
      </c>
      <c r="AB32" s="140"/>
      <c r="AC32" s="140">
        <f t="shared" si="47"/>
        <v>0</v>
      </c>
      <c r="AD32" s="140">
        <v>1</v>
      </c>
      <c r="AE32" s="140">
        <f t="shared" si="48"/>
        <v>5000000</v>
      </c>
      <c r="AF32" s="140">
        <f t="shared" si="49"/>
        <v>1</v>
      </c>
      <c r="AG32" s="140">
        <f t="shared" si="49"/>
        <v>5000000</v>
      </c>
      <c r="AH32" s="35">
        <f t="shared" si="53"/>
        <v>5000000</v>
      </c>
      <c r="AI32" s="56"/>
    </row>
    <row r="33" spans="1:35" s="72" customFormat="1" ht="144" customHeight="1" x14ac:dyDescent="0.25">
      <c r="A33" s="60">
        <v>46</v>
      </c>
      <c r="B33" s="68">
        <v>1</v>
      </c>
      <c r="C33" s="33" t="s">
        <v>38</v>
      </c>
      <c r="D33" s="63" t="s">
        <v>47</v>
      </c>
      <c r="E33" s="57" t="s">
        <v>50</v>
      </c>
      <c r="F33" s="63" t="s">
        <v>138</v>
      </c>
      <c r="G33" s="57" t="s">
        <v>139</v>
      </c>
      <c r="H33" s="69"/>
      <c r="I33" s="70"/>
      <c r="J33" s="70"/>
      <c r="K33" s="70"/>
      <c r="L33" s="70"/>
      <c r="M33" s="33" t="s">
        <v>34</v>
      </c>
      <c r="N33" s="33" t="s">
        <v>35</v>
      </c>
      <c r="O33" s="33" t="s">
        <v>36</v>
      </c>
      <c r="P33" s="51" t="s">
        <v>140</v>
      </c>
      <c r="Q33" s="140"/>
      <c r="R33" s="113"/>
      <c r="S33" s="140">
        <f t="shared" si="54"/>
        <v>0</v>
      </c>
      <c r="T33" s="140">
        <f t="shared" si="44"/>
        <v>0</v>
      </c>
      <c r="U33" s="140">
        <f t="shared" si="50"/>
        <v>0</v>
      </c>
      <c r="V33" s="150" t="s">
        <v>140</v>
      </c>
      <c r="W33" s="140">
        <v>100000</v>
      </c>
      <c r="X33" s="140">
        <v>6</v>
      </c>
      <c r="Y33" s="140">
        <f t="shared" si="45"/>
        <v>600000</v>
      </c>
      <c r="Z33" s="140">
        <f>+X33</f>
        <v>6</v>
      </c>
      <c r="AA33" s="140">
        <f t="shared" si="46"/>
        <v>600000</v>
      </c>
      <c r="AB33" s="140">
        <f t="shared" ref="AB33:AB34" si="56">+Z33</f>
        <v>6</v>
      </c>
      <c r="AC33" s="140">
        <f t="shared" si="47"/>
        <v>600000</v>
      </c>
      <c r="AD33" s="140">
        <f>+AB33+1</f>
        <v>7</v>
      </c>
      <c r="AE33" s="140">
        <f t="shared" si="48"/>
        <v>700000</v>
      </c>
      <c r="AF33" s="140">
        <f t="shared" si="49"/>
        <v>25</v>
      </c>
      <c r="AG33" s="140">
        <f t="shared" si="49"/>
        <v>2500000</v>
      </c>
      <c r="AH33" s="35">
        <f t="shared" si="53"/>
        <v>2500000</v>
      </c>
      <c r="AI33" s="56"/>
    </row>
    <row r="34" spans="1:35" s="77" customFormat="1" ht="89.25" customHeight="1" x14ac:dyDescent="0.25">
      <c r="A34" s="60">
        <v>12</v>
      </c>
      <c r="B34" s="68">
        <v>1</v>
      </c>
      <c r="C34" s="63" t="s">
        <v>38</v>
      </c>
      <c r="D34" s="73" t="s">
        <v>32</v>
      </c>
      <c r="E34" s="74" t="s">
        <v>114</v>
      </c>
      <c r="F34" s="75" t="s">
        <v>160</v>
      </c>
      <c r="G34" s="75" t="s">
        <v>141</v>
      </c>
      <c r="H34" s="33"/>
      <c r="I34" s="70"/>
      <c r="J34" s="70"/>
      <c r="K34" s="70"/>
      <c r="L34" s="70"/>
      <c r="M34" s="76" t="s">
        <v>34</v>
      </c>
      <c r="N34" s="33" t="s">
        <v>35</v>
      </c>
      <c r="O34" s="76" t="s">
        <v>41</v>
      </c>
      <c r="P34" s="51" t="s">
        <v>142</v>
      </c>
      <c r="Q34" s="140">
        <f>150000*3</f>
        <v>450000</v>
      </c>
      <c r="R34" s="113">
        <v>5</v>
      </c>
      <c r="S34" s="140">
        <f>+R34*Q34</f>
        <v>2250000</v>
      </c>
      <c r="T34" s="140">
        <f t="shared" si="44"/>
        <v>5</v>
      </c>
      <c r="U34" s="140">
        <f>S34</f>
        <v>2250000</v>
      </c>
      <c r="V34" s="150" t="str">
        <f>+P34</f>
        <v>Costo Incentivo Lideres Pares</v>
      </c>
      <c r="W34" s="151">
        <f>154500*3</f>
        <v>463500</v>
      </c>
      <c r="X34" s="140">
        <v>5</v>
      </c>
      <c r="Y34" s="140">
        <f>+W34*X34</f>
        <v>2317500</v>
      </c>
      <c r="Z34" s="140">
        <v>30</v>
      </c>
      <c r="AA34" s="140">
        <f>+Z34*W34</f>
        <v>13905000</v>
      </c>
      <c r="AB34" s="140">
        <f t="shared" si="56"/>
        <v>30</v>
      </c>
      <c r="AC34" s="140">
        <f>+AB34*W34</f>
        <v>13905000</v>
      </c>
      <c r="AD34" s="140">
        <f>+AB34</f>
        <v>30</v>
      </c>
      <c r="AE34" s="140">
        <f>+AD34*W34</f>
        <v>13905000</v>
      </c>
      <c r="AF34" s="140">
        <f>+X34+Z34+AB34+AD34</f>
        <v>95</v>
      </c>
      <c r="AG34" s="140">
        <f>+Y34+AA34+AC34+AE34</f>
        <v>44032500</v>
      </c>
      <c r="AH34" s="35">
        <f>+U34+AG34</f>
        <v>46282500</v>
      </c>
      <c r="AI34" s="56"/>
    </row>
    <row r="35" spans="1:35" s="11" customFormat="1" x14ac:dyDescent="0.2">
      <c r="A35" s="49" t="s">
        <v>165</v>
      </c>
      <c r="B35" s="25"/>
      <c r="C35" s="26"/>
      <c r="D35" s="26"/>
      <c r="E35" s="26"/>
      <c r="F35" s="26"/>
      <c r="G35" s="26"/>
      <c r="H35" s="27"/>
      <c r="I35" s="27"/>
      <c r="J35" s="27"/>
      <c r="K35" s="27"/>
      <c r="L35" s="27"/>
      <c r="M35" s="25"/>
      <c r="N35" s="25"/>
      <c r="O35" s="25"/>
      <c r="P35" s="64"/>
      <c r="Q35" s="175"/>
      <c r="R35" s="175"/>
      <c r="S35" s="175"/>
      <c r="T35" s="175"/>
      <c r="U35" s="175"/>
      <c r="V35" s="175"/>
      <c r="W35" s="175"/>
      <c r="X35" s="175"/>
      <c r="Y35" s="175"/>
      <c r="Z35" s="175"/>
      <c r="AA35" s="175"/>
      <c r="AB35" s="175"/>
      <c r="AC35" s="175"/>
      <c r="AD35" s="175"/>
      <c r="AE35" s="175"/>
      <c r="AF35" s="175"/>
      <c r="AG35" s="175"/>
      <c r="AH35" s="31">
        <f>SUM(AH29:AH34)</f>
        <v>74530480</v>
      </c>
      <c r="AI35" s="32">
        <f>+AH35</f>
        <v>74530480</v>
      </c>
    </row>
    <row r="36" spans="1:35" s="11" customFormat="1" x14ac:dyDescent="0.2">
      <c r="A36" s="83" t="s">
        <v>166</v>
      </c>
      <c r="B36" s="84"/>
      <c r="C36" s="85"/>
      <c r="D36" s="85"/>
      <c r="E36" s="85"/>
      <c r="F36" s="85"/>
      <c r="G36" s="85"/>
      <c r="H36" s="86"/>
      <c r="I36" s="86"/>
      <c r="J36" s="86"/>
      <c r="K36" s="86"/>
      <c r="L36" s="86"/>
      <c r="M36" s="84"/>
      <c r="N36" s="84"/>
      <c r="O36" s="84"/>
      <c r="P36" s="87"/>
      <c r="Q36" s="176"/>
      <c r="R36" s="176"/>
      <c r="S36" s="176"/>
      <c r="T36" s="176"/>
      <c r="U36" s="176"/>
      <c r="V36" s="176"/>
      <c r="W36" s="176"/>
      <c r="X36" s="176"/>
      <c r="Y36" s="176"/>
      <c r="Z36" s="176"/>
      <c r="AA36" s="176"/>
      <c r="AB36" s="176"/>
      <c r="AC36" s="176"/>
      <c r="AD36" s="176"/>
      <c r="AE36" s="176"/>
      <c r="AF36" s="176"/>
      <c r="AG36" s="176"/>
      <c r="AH36" s="82"/>
      <c r="AI36" s="82">
        <f>+AI26+AI35</f>
        <v>294872170</v>
      </c>
    </row>
  </sheetData>
  <sheetProtection password="CB42" sheet="1" objects="1" scenarios="1" formatColumns="0" formatRows="0" insertRows="0"/>
  <mergeCells count="45">
    <mergeCell ref="A12:A16"/>
    <mergeCell ref="B12:B16"/>
    <mergeCell ref="C12:C16"/>
    <mergeCell ref="A17:A21"/>
    <mergeCell ref="B17:B21"/>
    <mergeCell ref="C17:C21"/>
    <mergeCell ref="F2:F3"/>
    <mergeCell ref="A2:A3"/>
    <mergeCell ref="B2:B3"/>
    <mergeCell ref="C2:C3"/>
    <mergeCell ref="D2:D3"/>
    <mergeCell ref="E2:E3"/>
    <mergeCell ref="V2:V3"/>
    <mergeCell ref="G2:G3"/>
    <mergeCell ref="I2:L2"/>
    <mergeCell ref="M2:M3"/>
    <mergeCell ref="N2:N3"/>
    <mergeCell ref="O2:O3"/>
    <mergeCell ref="P2:P3"/>
    <mergeCell ref="Q2:Q3"/>
    <mergeCell ref="R2:R3"/>
    <mergeCell ref="S2:S3"/>
    <mergeCell ref="T2:T3"/>
    <mergeCell ref="U2:U3"/>
    <mergeCell ref="X2:X3"/>
    <mergeCell ref="Y2:Y3"/>
    <mergeCell ref="Z2:Z3"/>
    <mergeCell ref="AA2:AA3"/>
    <mergeCell ref="AB2:AB3"/>
    <mergeCell ref="D12:D23"/>
    <mergeCell ref="E12:E23"/>
    <mergeCell ref="F12:F23"/>
    <mergeCell ref="AI2:AI3"/>
    <mergeCell ref="C5:C7"/>
    <mergeCell ref="D5:D10"/>
    <mergeCell ref="E5:E10"/>
    <mergeCell ref="F5:F7"/>
    <mergeCell ref="F8:F10"/>
    <mergeCell ref="AC2:AC3"/>
    <mergeCell ref="AD2:AD3"/>
    <mergeCell ref="AE2:AE3"/>
    <mergeCell ref="AF2:AF3"/>
    <mergeCell ref="AG2:AG3"/>
    <mergeCell ref="AH2:AH3"/>
    <mergeCell ref="W2:W3"/>
  </mergeCells>
  <dataValidations count="1">
    <dataValidation type="decimal" operator="greaterThanOrEqual" allowBlank="1" showInputMessage="1" showErrorMessage="1" sqref="W12:W23 W34:W36 W32 W29 W5:W10 W25:W26">
      <formula1>0</formula1>
    </dataValidation>
  </dataValidations>
  <pageMargins left="0.7" right="0.7" top="0.75" bottom="0.75" header="0.3" footer="0.3"/>
  <pageSetup orientation="portrait"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22"/>
  <sheetViews>
    <sheetView showGridLines="0" workbookViewId="0">
      <selection activeCell="A2" sqref="A2:C2"/>
    </sheetView>
  </sheetViews>
  <sheetFormatPr baseColWidth="10" defaultRowHeight="15" x14ac:dyDescent="0.25"/>
  <cols>
    <col min="1" max="1" width="53.28515625" style="19" customWidth="1"/>
    <col min="2" max="2" width="17.5703125" style="23" bestFit="1" customWidth="1"/>
    <col min="3" max="3" width="18.5703125" style="19" bestFit="1" customWidth="1"/>
    <col min="4" max="16384" width="11.42578125" style="19"/>
  </cols>
  <sheetData>
    <row r="1" spans="1:3" ht="39.75" customHeight="1" x14ac:dyDescent="0.25">
      <c r="A1" s="188" t="s">
        <v>100</v>
      </c>
      <c r="B1" s="188"/>
      <c r="C1" s="188"/>
    </row>
    <row r="2" spans="1:3" x14ac:dyDescent="0.25">
      <c r="A2" s="189" t="s">
        <v>153</v>
      </c>
      <c r="B2" s="189"/>
      <c r="C2" s="189"/>
    </row>
    <row r="3" spans="1:3" x14ac:dyDescent="0.25">
      <c r="A3" s="118"/>
      <c r="B3" s="119"/>
      <c r="C3" s="118"/>
    </row>
    <row r="4" spans="1:3" x14ac:dyDescent="0.25">
      <c r="A4" s="120" t="s">
        <v>102</v>
      </c>
      <c r="B4" s="121"/>
      <c r="C4" s="118"/>
    </row>
    <row r="6" spans="1:3" s="20" customFormat="1" x14ac:dyDescent="0.25">
      <c r="A6" s="91" t="s">
        <v>103</v>
      </c>
      <c r="B6" s="92" t="s">
        <v>104</v>
      </c>
      <c r="C6" s="93" t="s">
        <v>98</v>
      </c>
    </row>
    <row r="7" spans="1:3" s="21" customFormat="1" x14ac:dyDescent="0.25">
      <c r="A7" s="94" t="s">
        <v>105</v>
      </c>
      <c r="B7" s="106">
        <f>+'[1]Fase I Valle del Cauca'!AH4</f>
        <v>0</v>
      </c>
      <c r="C7" s="96">
        <f>+'Fase I Nariño'!AI4</f>
        <v>138304394</v>
      </c>
    </row>
    <row r="8" spans="1:3" s="22" customFormat="1" x14ac:dyDescent="0.25">
      <c r="A8" s="97" t="s">
        <v>106</v>
      </c>
      <c r="B8" s="95">
        <f>+'[1]Fase I Valle del Cauca'!AH11</f>
        <v>0</v>
      </c>
      <c r="C8" s="96">
        <f>+'Fase I Nariño'!AI11</f>
        <v>41491309</v>
      </c>
    </row>
    <row r="9" spans="1:3" s="22" customFormat="1" x14ac:dyDescent="0.25">
      <c r="A9" s="97" t="s">
        <v>107</v>
      </c>
      <c r="B9" s="95">
        <f>+'[1]Fase I Valle del Cauca'!AH16</f>
        <v>0</v>
      </c>
      <c r="C9" s="96">
        <f>+'Fase I Nariño'!AI22</f>
        <v>17781991</v>
      </c>
    </row>
    <row r="10" spans="1:3" s="22" customFormat="1" x14ac:dyDescent="0.25">
      <c r="A10" s="99" t="s">
        <v>161</v>
      </c>
      <c r="B10" s="107">
        <f>SUM(B7:B9)</f>
        <v>0</v>
      </c>
      <c r="C10" s="108">
        <f>SUM(C7:C9)</f>
        <v>197577694</v>
      </c>
    </row>
    <row r="11" spans="1:3" s="22" customFormat="1" x14ac:dyDescent="0.25">
      <c r="A11" s="97"/>
      <c r="B11" s="107"/>
      <c r="C11" s="96"/>
    </row>
    <row r="12" spans="1:3" x14ac:dyDescent="0.25">
      <c r="A12" s="101" t="s">
        <v>108</v>
      </c>
      <c r="B12" s="109">
        <f>+'Fase I Nariño'!AH33</f>
        <v>64337630</v>
      </c>
      <c r="C12" s="96">
        <f>+'Fase I Nariño'!AI33</f>
        <v>64337630</v>
      </c>
    </row>
    <row r="13" spans="1:3" x14ac:dyDescent="0.25">
      <c r="A13" s="102" t="s">
        <v>162</v>
      </c>
      <c r="B13" s="110">
        <f>+B12</f>
        <v>64337630</v>
      </c>
      <c r="C13" s="100">
        <f>+C12</f>
        <v>64337630</v>
      </c>
    </row>
    <row r="14" spans="1:3" x14ac:dyDescent="0.25">
      <c r="A14" s="104" t="s">
        <v>163</v>
      </c>
      <c r="B14" s="105">
        <f>+B10+B13</f>
        <v>64337630</v>
      </c>
      <c r="C14" s="105">
        <f>+C10+C13</f>
        <v>261915324</v>
      </c>
    </row>
    <row r="18" spans="1:3" x14ac:dyDescent="0.25">
      <c r="A18" s="118"/>
      <c r="B18" s="119"/>
      <c r="C18" s="118"/>
    </row>
    <row r="19" spans="1:3" s="24" customFormat="1" x14ac:dyDescent="0.25">
      <c r="A19" s="122" t="s">
        <v>109</v>
      </c>
      <c r="B19" s="119"/>
      <c r="C19" s="123"/>
    </row>
    <row r="20" spans="1:3" s="24" customFormat="1" x14ac:dyDescent="0.25">
      <c r="A20" s="122" t="s">
        <v>110</v>
      </c>
      <c r="B20" s="119"/>
      <c r="C20" s="123"/>
    </row>
    <row r="21" spans="1:3" x14ac:dyDescent="0.25">
      <c r="A21" s="118"/>
      <c r="B21" s="119"/>
      <c r="C21" s="118"/>
    </row>
    <row r="22" spans="1:3" x14ac:dyDescent="0.25">
      <c r="A22" s="118"/>
      <c r="B22" s="119"/>
      <c r="C22" s="118"/>
    </row>
  </sheetData>
  <sheetProtection password="CB42" sheet="1" objects="1" scenarios="1"/>
  <mergeCells count="2">
    <mergeCell ref="A1:C1"/>
    <mergeCell ref="A2:C2"/>
  </mergeCells>
  <pageMargins left="0.7" right="0.7" top="0.75" bottom="0.75" header="0.3" footer="0.3"/>
  <pageSetup orientation="portrait" horizontalDpi="300"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K34"/>
  <sheetViews>
    <sheetView showGridLines="0" zoomScale="85" zoomScaleNormal="85" workbookViewId="0">
      <pane xSplit="1" ySplit="3" topLeftCell="B12" activePane="bottomRight" state="frozen"/>
      <selection activeCell="AI27" sqref="AI27"/>
      <selection pane="topRight" activeCell="AI27" sqref="AI27"/>
      <selection pane="bottomLeft" activeCell="AI27" sqref="AI27"/>
      <selection pane="bottomRight" activeCell="F12" sqref="F12:F21"/>
    </sheetView>
  </sheetViews>
  <sheetFormatPr baseColWidth="10" defaultRowHeight="12.75" x14ac:dyDescent="0.2"/>
  <cols>
    <col min="1" max="1" width="9.140625" style="46" customWidth="1"/>
    <col min="2" max="2" width="15" style="46" customWidth="1"/>
    <col min="3" max="3" width="17.140625" style="46" customWidth="1"/>
    <col min="4" max="4" width="24.42578125" style="46" customWidth="1"/>
    <col min="5" max="5" width="43.28515625" style="46" customWidth="1"/>
    <col min="6" max="6" width="61.140625" style="46" customWidth="1"/>
    <col min="7" max="7" width="29.42578125" style="46" customWidth="1"/>
    <col min="8" max="8" width="7.28515625" style="46" bestFit="1" customWidth="1"/>
    <col min="9" max="9" width="3.85546875" style="46" bestFit="1" customWidth="1"/>
    <col min="10" max="12" width="3.28515625" style="46" bestFit="1" customWidth="1"/>
    <col min="13" max="13" width="18.5703125" style="46" customWidth="1"/>
    <col min="14" max="14" width="11.42578125" style="46"/>
    <col min="15" max="15" width="13.7109375" style="46" customWidth="1"/>
    <col min="16" max="16" width="17.7109375" style="46" customWidth="1"/>
    <col min="17" max="18" width="11.5703125" style="46" bestFit="1" customWidth="1"/>
    <col min="19" max="19" width="16.140625" style="46" customWidth="1"/>
    <col min="20" max="20" width="11.5703125" style="46" bestFit="1" customWidth="1"/>
    <col min="21" max="21" width="14.28515625" style="46" customWidth="1"/>
    <col min="22" max="22" width="12.140625" style="46" customWidth="1"/>
    <col min="23" max="23" width="13.140625" style="46" bestFit="1" customWidth="1"/>
    <col min="24" max="24" width="11.5703125" style="46" bestFit="1" customWidth="1"/>
    <col min="25" max="25" width="12.85546875" style="46" bestFit="1" customWidth="1"/>
    <col min="26" max="26" width="11.5703125" style="46" bestFit="1" customWidth="1"/>
    <col min="27" max="27" width="14" style="46" bestFit="1" customWidth="1"/>
    <col min="28" max="28" width="12.7109375" style="46" customWidth="1"/>
    <col min="29" max="29" width="14" style="46" bestFit="1" customWidth="1"/>
    <col min="30" max="30" width="11.5703125" style="46" bestFit="1" customWidth="1"/>
    <col min="31" max="31" width="14" style="46" bestFit="1" customWidth="1"/>
    <col min="32" max="32" width="11.5703125" style="46" bestFit="1" customWidth="1"/>
    <col min="33" max="33" width="14" style="46" bestFit="1" customWidth="1"/>
    <col min="34" max="34" width="18" style="46" bestFit="1" customWidth="1"/>
    <col min="35" max="35" width="16.85546875" style="47" customWidth="1"/>
    <col min="36" max="36" width="13" style="48" bestFit="1" customWidth="1"/>
    <col min="37" max="37" width="12.85546875" style="46" bestFit="1" customWidth="1"/>
    <col min="38" max="16384" width="11.42578125" style="46"/>
  </cols>
  <sheetData>
    <row r="1" spans="1:35" s="48" customFormat="1" x14ac:dyDescent="0.2">
      <c r="A1" s="45" t="s">
        <v>111</v>
      </c>
      <c r="B1" s="46"/>
      <c r="C1" s="46"/>
      <c r="D1" s="46"/>
      <c r="E1" s="46"/>
      <c r="F1" s="46"/>
      <c r="G1" s="46"/>
      <c r="H1" s="46"/>
      <c r="I1" s="46"/>
      <c r="J1" s="46"/>
      <c r="K1" s="46"/>
      <c r="L1" s="46"/>
      <c r="M1" s="46"/>
      <c r="N1" s="46"/>
      <c r="O1" s="46"/>
      <c r="P1" s="46"/>
      <c r="Q1" s="46"/>
      <c r="R1" s="46"/>
      <c r="S1" s="46"/>
      <c r="T1" s="46"/>
      <c r="U1" s="46"/>
      <c r="V1" s="46"/>
      <c r="W1" s="46"/>
      <c r="X1" s="46"/>
      <c r="Y1" s="46"/>
      <c r="Z1" s="46"/>
      <c r="AA1" s="46"/>
      <c r="AB1" s="46"/>
      <c r="AC1" s="46"/>
      <c r="AD1" s="46"/>
      <c r="AE1" s="46"/>
      <c r="AF1" s="46"/>
      <c r="AG1" s="46"/>
      <c r="AH1" s="46"/>
      <c r="AI1" s="47"/>
    </row>
    <row r="2" spans="1:35" s="1" customFormat="1" ht="15" customHeight="1" x14ac:dyDescent="0.25">
      <c r="A2" s="197" t="s">
        <v>0</v>
      </c>
      <c r="B2" s="196" t="s">
        <v>51</v>
      </c>
      <c r="C2" s="196" t="s">
        <v>1</v>
      </c>
      <c r="D2" s="196" t="s">
        <v>52</v>
      </c>
      <c r="E2" s="196" t="s">
        <v>53</v>
      </c>
      <c r="F2" s="196" t="s">
        <v>54</v>
      </c>
      <c r="G2" s="196" t="s">
        <v>2</v>
      </c>
      <c r="H2" s="36" t="s">
        <v>3</v>
      </c>
      <c r="I2" s="196" t="s">
        <v>4</v>
      </c>
      <c r="J2" s="199"/>
      <c r="K2" s="199"/>
      <c r="L2" s="199"/>
      <c r="M2" s="197" t="s">
        <v>5</v>
      </c>
      <c r="N2" s="197" t="s">
        <v>6</v>
      </c>
      <c r="O2" s="197" t="s">
        <v>7</v>
      </c>
      <c r="P2" s="200" t="s">
        <v>8</v>
      </c>
      <c r="Q2" s="201" t="s">
        <v>112</v>
      </c>
      <c r="R2" s="202" t="s">
        <v>9</v>
      </c>
      <c r="S2" s="202" t="s">
        <v>10</v>
      </c>
      <c r="T2" s="202" t="s">
        <v>11</v>
      </c>
      <c r="U2" s="203" t="s">
        <v>12</v>
      </c>
      <c r="V2" s="198" t="s">
        <v>13</v>
      </c>
      <c r="W2" s="216" t="s">
        <v>113</v>
      </c>
      <c r="X2" s="204" t="s">
        <v>14</v>
      </c>
      <c r="Y2" s="204" t="s">
        <v>15</v>
      </c>
      <c r="Z2" s="204" t="s">
        <v>16</v>
      </c>
      <c r="AA2" s="204" t="s">
        <v>17</v>
      </c>
      <c r="AB2" s="204" t="s">
        <v>18</v>
      </c>
      <c r="AC2" s="204" t="s">
        <v>19</v>
      </c>
      <c r="AD2" s="204" t="s">
        <v>20</v>
      </c>
      <c r="AE2" s="204" t="s">
        <v>21</v>
      </c>
      <c r="AF2" s="204" t="s">
        <v>22</v>
      </c>
      <c r="AG2" s="214" t="s">
        <v>23</v>
      </c>
      <c r="AH2" s="215" t="s">
        <v>24</v>
      </c>
      <c r="AI2" s="211" t="s">
        <v>98</v>
      </c>
    </row>
    <row r="3" spans="1:35" s="1" customFormat="1" ht="45.75" customHeight="1" x14ac:dyDescent="0.25">
      <c r="A3" s="197"/>
      <c r="B3" s="196"/>
      <c r="C3" s="196" t="s">
        <v>25</v>
      </c>
      <c r="D3" s="196" t="s">
        <v>26</v>
      </c>
      <c r="E3" s="196"/>
      <c r="F3" s="196"/>
      <c r="G3" s="196"/>
      <c r="H3" s="2" t="s">
        <v>30</v>
      </c>
      <c r="I3" s="2" t="s">
        <v>27</v>
      </c>
      <c r="J3" s="2" t="s">
        <v>28</v>
      </c>
      <c r="K3" s="2" t="s">
        <v>29</v>
      </c>
      <c r="L3" s="2" t="s">
        <v>30</v>
      </c>
      <c r="M3" s="197"/>
      <c r="N3" s="197"/>
      <c r="O3" s="197"/>
      <c r="P3" s="200"/>
      <c r="Q3" s="201"/>
      <c r="R3" s="202"/>
      <c r="S3" s="202"/>
      <c r="T3" s="202"/>
      <c r="U3" s="203"/>
      <c r="V3" s="198"/>
      <c r="W3" s="216"/>
      <c r="X3" s="204"/>
      <c r="Y3" s="204"/>
      <c r="Z3" s="204"/>
      <c r="AA3" s="204"/>
      <c r="AB3" s="204"/>
      <c r="AC3" s="204"/>
      <c r="AD3" s="204"/>
      <c r="AE3" s="204"/>
      <c r="AF3" s="204"/>
      <c r="AG3" s="214"/>
      <c r="AH3" s="215"/>
      <c r="AI3" s="212"/>
    </row>
    <row r="4" spans="1:35" s="11" customFormat="1" x14ac:dyDescent="0.2">
      <c r="A4" s="49" t="s">
        <v>55</v>
      </c>
      <c r="B4" s="25"/>
      <c r="C4" s="26"/>
      <c r="D4" s="26"/>
      <c r="E4" s="26"/>
      <c r="F4" s="26"/>
      <c r="G4" s="26"/>
      <c r="H4" s="27"/>
      <c r="I4" s="27"/>
      <c r="J4" s="27"/>
      <c r="K4" s="27"/>
      <c r="L4" s="27"/>
      <c r="M4" s="25"/>
      <c r="N4" s="25"/>
      <c r="O4" s="25"/>
      <c r="P4" s="25"/>
      <c r="Q4" s="28"/>
      <c r="R4" s="29"/>
      <c r="S4" s="29"/>
      <c r="T4" s="29"/>
      <c r="U4" s="30"/>
      <c r="V4" s="25"/>
      <c r="W4" s="28"/>
      <c r="X4" s="29"/>
      <c r="Y4" s="29"/>
      <c r="Z4" s="29"/>
      <c r="AA4" s="29"/>
      <c r="AB4" s="29"/>
      <c r="AC4" s="29"/>
      <c r="AD4" s="29"/>
      <c r="AE4" s="29"/>
      <c r="AF4" s="29"/>
      <c r="AG4" s="30"/>
      <c r="AH4" s="31">
        <f>SUM(AH5:AH10)</f>
        <v>0</v>
      </c>
      <c r="AI4" s="32">
        <v>138304394</v>
      </c>
    </row>
    <row r="5" spans="1:35" s="11" customFormat="1" ht="15" customHeight="1" x14ac:dyDescent="0.25">
      <c r="A5" s="50">
        <v>7</v>
      </c>
      <c r="B5" s="50">
        <v>1</v>
      </c>
      <c r="C5" s="213" t="s">
        <v>38</v>
      </c>
      <c r="D5" s="193" t="s">
        <v>32</v>
      </c>
      <c r="E5" s="205" t="s">
        <v>114</v>
      </c>
      <c r="F5" s="205" t="s">
        <v>115</v>
      </c>
      <c r="G5" s="43" t="s">
        <v>116</v>
      </c>
      <c r="H5" s="44"/>
      <c r="I5" s="44"/>
      <c r="J5" s="44"/>
      <c r="K5" s="44"/>
      <c r="L5" s="44"/>
      <c r="M5" s="4" t="s">
        <v>34</v>
      </c>
      <c r="N5" s="4" t="s">
        <v>35</v>
      </c>
      <c r="O5" s="4" t="s">
        <v>39</v>
      </c>
      <c r="P5" s="6" t="s">
        <v>117</v>
      </c>
      <c r="Q5" s="152"/>
      <c r="R5" s="152"/>
      <c r="S5" s="137">
        <f>+R5*Q5</f>
        <v>0</v>
      </c>
      <c r="T5" s="137">
        <f>+R5</f>
        <v>0</v>
      </c>
      <c r="U5" s="137">
        <f>S5</f>
        <v>0</v>
      </c>
      <c r="V5" s="138" t="s">
        <v>117</v>
      </c>
      <c r="W5" s="139"/>
      <c r="X5" s="137"/>
      <c r="Y5" s="137">
        <f t="shared" ref="Y5:Y10" si="0">+W5*X5</f>
        <v>0</v>
      </c>
      <c r="Z5" s="137"/>
      <c r="AA5" s="137">
        <f t="shared" ref="AA5:AA10" si="1">+Z5*W5</f>
        <v>0</v>
      </c>
      <c r="AB5" s="137"/>
      <c r="AC5" s="137">
        <f t="shared" ref="AC5:AC10" si="2">+AB5*W5</f>
        <v>0</v>
      </c>
      <c r="AD5" s="137"/>
      <c r="AE5" s="137">
        <f t="shared" ref="AE5:AE10" si="3">+AD5*W5</f>
        <v>0</v>
      </c>
      <c r="AF5" s="137">
        <f t="shared" ref="AF5:AG10" si="4">+X5+Z5+AB5+AD5</f>
        <v>0</v>
      </c>
      <c r="AG5" s="137">
        <f>+Y5+AA5+AC5+AE5</f>
        <v>0</v>
      </c>
      <c r="AH5" s="153">
        <f>+U5+AG5</f>
        <v>0</v>
      </c>
      <c r="AI5" s="154"/>
    </row>
    <row r="6" spans="1:35" s="11" customFormat="1" ht="31.5" customHeight="1" x14ac:dyDescent="0.25">
      <c r="A6" s="50">
        <v>7</v>
      </c>
      <c r="B6" s="50">
        <v>1</v>
      </c>
      <c r="C6" s="213"/>
      <c r="D6" s="194"/>
      <c r="E6" s="206"/>
      <c r="F6" s="206"/>
      <c r="G6" s="43" t="s">
        <v>118</v>
      </c>
      <c r="H6" s="44"/>
      <c r="I6" s="44"/>
      <c r="J6" s="44"/>
      <c r="K6" s="44"/>
      <c r="L6" s="44"/>
      <c r="M6" s="4" t="s">
        <v>34</v>
      </c>
      <c r="N6" s="4" t="s">
        <v>35</v>
      </c>
      <c r="O6" s="4" t="s">
        <v>39</v>
      </c>
      <c r="P6" s="6" t="s">
        <v>117</v>
      </c>
      <c r="Q6" s="152"/>
      <c r="R6" s="152"/>
      <c r="S6" s="137">
        <f>+R6*Q6</f>
        <v>0</v>
      </c>
      <c r="T6" s="137">
        <f>+R6</f>
        <v>0</v>
      </c>
      <c r="U6" s="137">
        <f>S6</f>
        <v>0</v>
      </c>
      <c r="V6" s="138" t="s">
        <v>117</v>
      </c>
      <c r="W6" s="139"/>
      <c r="X6" s="137"/>
      <c r="Y6" s="137">
        <f t="shared" si="0"/>
        <v>0</v>
      </c>
      <c r="Z6" s="137"/>
      <c r="AA6" s="137">
        <f t="shared" si="1"/>
        <v>0</v>
      </c>
      <c r="AB6" s="137"/>
      <c r="AC6" s="137">
        <f t="shared" si="2"/>
        <v>0</v>
      </c>
      <c r="AD6" s="137"/>
      <c r="AE6" s="137">
        <f t="shared" si="3"/>
        <v>0</v>
      </c>
      <c r="AF6" s="137">
        <f t="shared" si="4"/>
        <v>0</v>
      </c>
      <c r="AG6" s="137">
        <f>+Y6+AA6+AC6+AE6</f>
        <v>0</v>
      </c>
      <c r="AH6" s="153">
        <f>+U6+AG6</f>
        <v>0</v>
      </c>
      <c r="AI6" s="154"/>
    </row>
    <row r="7" spans="1:35" s="59" customFormat="1" ht="38.25" x14ac:dyDescent="0.25">
      <c r="A7" s="50">
        <v>7</v>
      </c>
      <c r="B7" s="50">
        <v>1</v>
      </c>
      <c r="C7" s="213"/>
      <c r="D7" s="194"/>
      <c r="E7" s="206"/>
      <c r="F7" s="207"/>
      <c r="G7" s="3" t="s">
        <v>119</v>
      </c>
      <c r="H7" s="5"/>
      <c r="I7" s="5"/>
      <c r="J7" s="5"/>
      <c r="K7" s="5"/>
      <c r="L7" s="5"/>
      <c r="M7" s="4" t="s">
        <v>34</v>
      </c>
      <c r="N7" s="4" t="s">
        <v>35</v>
      </c>
      <c r="O7" s="4" t="s">
        <v>39</v>
      </c>
      <c r="P7" s="6" t="s">
        <v>117</v>
      </c>
      <c r="Q7" s="152"/>
      <c r="R7" s="152"/>
      <c r="S7" s="137">
        <f t="shared" ref="S7:S10" si="5">+R7*Q7</f>
        <v>0</v>
      </c>
      <c r="T7" s="137">
        <f t="shared" ref="T7:T10" si="6">+R7</f>
        <v>0</v>
      </c>
      <c r="U7" s="137">
        <f t="shared" ref="U7:U10" si="7">S7</f>
        <v>0</v>
      </c>
      <c r="V7" s="138" t="s">
        <v>117</v>
      </c>
      <c r="W7" s="139"/>
      <c r="X7" s="137"/>
      <c r="Y7" s="137">
        <f t="shared" si="0"/>
        <v>0</v>
      </c>
      <c r="Z7" s="137"/>
      <c r="AA7" s="137">
        <f t="shared" si="1"/>
        <v>0</v>
      </c>
      <c r="AB7" s="137"/>
      <c r="AC7" s="137">
        <f t="shared" si="2"/>
        <v>0</v>
      </c>
      <c r="AD7" s="137"/>
      <c r="AE7" s="137">
        <f t="shared" si="3"/>
        <v>0</v>
      </c>
      <c r="AF7" s="137">
        <f t="shared" si="4"/>
        <v>0</v>
      </c>
      <c r="AG7" s="137">
        <f t="shared" si="4"/>
        <v>0</v>
      </c>
      <c r="AH7" s="153">
        <f>+U7+AG7</f>
        <v>0</v>
      </c>
      <c r="AI7" s="154"/>
    </row>
    <row r="8" spans="1:35" s="59" customFormat="1" ht="38.25" customHeight="1" x14ac:dyDescent="0.25">
      <c r="A8" s="60">
        <v>11</v>
      </c>
      <c r="B8" s="60">
        <v>1</v>
      </c>
      <c r="C8" s="61" t="s">
        <v>38</v>
      </c>
      <c r="D8" s="194"/>
      <c r="E8" s="206"/>
      <c r="F8" s="205" t="s">
        <v>120</v>
      </c>
      <c r="G8" s="3" t="s">
        <v>64</v>
      </c>
      <c r="H8" s="5"/>
      <c r="I8" s="5"/>
      <c r="J8" s="5"/>
      <c r="K8" s="5"/>
      <c r="L8" s="5"/>
      <c r="M8" s="4" t="s">
        <v>34</v>
      </c>
      <c r="N8" s="4" t="s">
        <v>35</v>
      </c>
      <c r="O8" s="4" t="s">
        <v>39</v>
      </c>
      <c r="P8" s="6" t="s">
        <v>117</v>
      </c>
      <c r="Q8" s="152"/>
      <c r="R8" s="152"/>
      <c r="S8" s="137">
        <f t="shared" si="5"/>
        <v>0</v>
      </c>
      <c r="T8" s="137">
        <f t="shared" si="6"/>
        <v>0</v>
      </c>
      <c r="U8" s="137">
        <f t="shared" si="7"/>
        <v>0</v>
      </c>
      <c r="V8" s="138" t="s">
        <v>117</v>
      </c>
      <c r="W8" s="139"/>
      <c r="X8" s="137"/>
      <c r="Y8" s="137">
        <f t="shared" si="0"/>
        <v>0</v>
      </c>
      <c r="Z8" s="137"/>
      <c r="AA8" s="137">
        <f t="shared" si="1"/>
        <v>0</v>
      </c>
      <c r="AB8" s="137"/>
      <c r="AC8" s="137">
        <f t="shared" si="2"/>
        <v>0</v>
      </c>
      <c r="AD8" s="137"/>
      <c r="AE8" s="137">
        <f t="shared" si="3"/>
        <v>0</v>
      </c>
      <c r="AF8" s="137">
        <f t="shared" si="4"/>
        <v>0</v>
      </c>
      <c r="AG8" s="137">
        <f t="shared" si="4"/>
        <v>0</v>
      </c>
      <c r="AH8" s="153">
        <f>+U8+AG8</f>
        <v>0</v>
      </c>
      <c r="AI8" s="154"/>
    </row>
    <row r="9" spans="1:35" s="59" customFormat="1" ht="38.25" x14ac:dyDescent="0.25">
      <c r="A9" s="60">
        <v>11</v>
      </c>
      <c r="B9" s="60">
        <v>1</v>
      </c>
      <c r="C9" s="61" t="s">
        <v>38</v>
      </c>
      <c r="D9" s="194"/>
      <c r="E9" s="206"/>
      <c r="F9" s="206"/>
      <c r="G9" s="3" t="s">
        <v>121</v>
      </c>
      <c r="H9" s="5"/>
      <c r="I9" s="5"/>
      <c r="J9" s="5"/>
      <c r="K9" s="5"/>
      <c r="L9" s="5"/>
      <c r="M9" s="4" t="s">
        <v>34</v>
      </c>
      <c r="N9" s="4" t="s">
        <v>35</v>
      </c>
      <c r="O9" s="4" t="s">
        <v>39</v>
      </c>
      <c r="P9" s="6" t="s">
        <v>117</v>
      </c>
      <c r="Q9" s="152"/>
      <c r="R9" s="152"/>
      <c r="S9" s="137">
        <f t="shared" si="5"/>
        <v>0</v>
      </c>
      <c r="T9" s="137">
        <f t="shared" si="6"/>
        <v>0</v>
      </c>
      <c r="U9" s="137">
        <f t="shared" si="7"/>
        <v>0</v>
      </c>
      <c r="V9" s="138" t="s">
        <v>117</v>
      </c>
      <c r="W9" s="139"/>
      <c r="X9" s="137"/>
      <c r="Y9" s="137">
        <f t="shared" si="0"/>
        <v>0</v>
      </c>
      <c r="Z9" s="137"/>
      <c r="AA9" s="137">
        <f t="shared" si="1"/>
        <v>0</v>
      </c>
      <c r="AB9" s="137"/>
      <c r="AC9" s="137">
        <f t="shared" si="2"/>
        <v>0</v>
      </c>
      <c r="AD9" s="137"/>
      <c r="AE9" s="137">
        <f t="shared" si="3"/>
        <v>0</v>
      </c>
      <c r="AF9" s="137">
        <f t="shared" si="4"/>
        <v>0</v>
      </c>
      <c r="AG9" s="137">
        <f t="shared" si="4"/>
        <v>0</v>
      </c>
      <c r="AH9" s="153">
        <f t="shared" ref="AH9:AH10" si="8">+U9+AG9</f>
        <v>0</v>
      </c>
      <c r="AI9" s="154"/>
    </row>
    <row r="10" spans="1:35" s="59" customFormat="1" ht="38.25" x14ac:dyDescent="0.25">
      <c r="A10" s="60">
        <v>11</v>
      </c>
      <c r="B10" s="60">
        <v>1</v>
      </c>
      <c r="C10" s="61" t="s">
        <v>38</v>
      </c>
      <c r="D10" s="195"/>
      <c r="E10" s="207"/>
      <c r="F10" s="207"/>
      <c r="G10" s="3" t="s">
        <v>66</v>
      </c>
      <c r="H10" s="5"/>
      <c r="I10" s="5"/>
      <c r="J10" s="5"/>
      <c r="K10" s="5"/>
      <c r="L10" s="5"/>
      <c r="M10" s="4" t="s">
        <v>34</v>
      </c>
      <c r="N10" s="4" t="s">
        <v>35</v>
      </c>
      <c r="O10" s="4" t="s">
        <v>39</v>
      </c>
      <c r="P10" s="6" t="s">
        <v>117</v>
      </c>
      <c r="Q10" s="152"/>
      <c r="R10" s="152"/>
      <c r="S10" s="137">
        <f t="shared" si="5"/>
        <v>0</v>
      </c>
      <c r="T10" s="137">
        <f t="shared" si="6"/>
        <v>0</v>
      </c>
      <c r="U10" s="137">
        <f t="shared" si="7"/>
        <v>0</v>
      </c>
      <c r="V10" s="138" t="s">
        <v>117</v>
      </c>
      <c r="W10" s="139"/>
      <c r="X10" s="137"/>
      <c r="Y10" s="137">
        <f t="shared" si="0"/>
        <v>0</v>
      </c>
      <c r="Z10" s="137"/>
      <c r="AA10" s="137">
        <f t="shared" si="1"/>
        <v>0</v>
      </c>
      <c r="AB10" s="137"/>
      <c r="AC10" s="137">
        <f t="shared" si="2"/>
        <v>0</v>
      </c>
      <c r="AD10" s="137"/>
      <c r="AE10" s="137">
        <f t="shared" si="3"/>
        <v>0</v>
      </c>
      <c r="AF10" s="137">
        <f t="shared" si="4"/>
        <v>0</v>
      </c>
      <c r="AG10" s="137">
        <f t="shared" si="4"/>
        <v>0</v>
      </c>
      <c r="AH10" s="153">
        <f t="shared" si="8"/>
        <v>0</v>
      </c>
      <c r="AI10" s="154"/>
    </row>
    <row r="11" spans="1:35" s="11" customFormat="1" x14ac:dyDescent="0.2">
      <c r="A11" s="62" t="s">
        <v>56</v>
      </c>
      <c r="B11" s="25"/>
      <c r="C11" s="26"/>
      <c r="D11" s="26"/>
      <c r="E11" s="26"/>
      <c r="F11" s="26"/>
      <c r="G11" s="38"/>
      <c r="H11" s="39"/>
      <c r="I11" s="39"/>
      <c r="J11" s="39"/>
      <c r="K11" s="39"/>
      <c r="L11" s="39"/>
      <c r="M11" s="37"/>
      <c r="N11" s="37"/>
      <c r="O11" s="37"/>
      <c r="P11" s="37"/>
      <c r="Q11" s="172"/>
      <c r="R11" s="172"/>
      <c r="S11" s="172"/>
      <c r="T11" s="172"/>
      <c r="U11" s="172"/>
      <c r="V11" s="172"/>
      <c r="W11" s="172"/>
      <c r="X11" s="172"/>
      <c r="Y11" s="172"/>
      <c r="Z11" s="172"/>
      <c r="AA11" s="172"/>
      <c r="AB11" s="172"/>
      <c r="AC11" s="172"/>
      <c r="AD11" s="172"/>
      <c r="AE11" s="172"/>
      <c r="AF11" s="172"/>
      <c r="AG11" s="172"/>
      <c r="AH11" s="168">
        <f>SUM(AH12:AH21)</f>
        <v>0</v>
      </c>
      <c r="AI11" s="170">
        <v>41491309</v>
      </c>
    </row>
    <row r="12" spans="1:35" s="11" customFormat="1" ht="38.25" x14ac:dyDescent="0.25">
      <c r="A12" s="217">
        <v>13</v>
      </c>
      <c r="B12" s="217">
        <v>1</v>
      </c>
      <c r="C12" s="222" t="s">
        <v>38</v>
      </c>
      <c r="D12" s="193" t="s">
        <v>32</v>
      </c>
      <c r="E12" s="205" t="s">
        <v>122</v>
      </c>
      <c r="F12" s="208" t="s">
        <v>123</v>
      </c>
      <c r="G12" s="43" t="s">
        <v>172</v>
      </c>
      <c r="H12" s="5"/>
      <c r="I12" s="5"/>
      <c r="J12" s="5"/>
      <c r="K12" s="5"/>
      <c r="L12" s="5"/>
      <c r="M12" s="4" t="s">
        <v>34</v>
      </c>
      <c r="N12" s="4" t="s">
        <v>35</v>
      </c>
      <c r="O12" s="4" t="s">
        <v>41</v>
      </c>
      <c r="P12" s="6" t="s">
        <v>124</v>
      </c>
      <c r="Q12" s="148"/>
      <c r="R12" s="137">
        <f>+SUM(R13:R15)</f>
        <v>0</v>
      </c>
      <c r="S12" s="137">
        <f>+SUM(S13:S15)</f>
        <v>0</v>
      </c>
      <c r="T12" s="137">
        <f>+SUM(T13:T15)</f>
        <v>0</v>
      </c>
      <c r="U12" s="137">
        <f>+SUM(U13:U15)</f>
        <v>0</v>
      </c>
      <c r="V12" s="138" t="s">
        <v>124</v>
      </c>
      <c r="W12" s="139"/>
      <c r="X12" s="137">
        <f t="shared" ref="X12:AE12" si="9">+SUM(X13:X15)</f>
        <v>0</v>
      </c>
      <c r="Y12" s="137">
        <f t="shared" si="9"/>
        <v>0</v>
      </c>
      <c r="Z12" s="137">
        <f t="shared" si="9"/>
        <v>0</v>
      </c>
      <c r="AA12" s="137">
        <f t="shared" si="9"/>
        <v>0</v>
      </c>
      <c r="AB12" s="137">
        <f t="shared" si="9"/>
        <v>0</v>
      </c>
      <c r="AC12" s="137">
        <f t="shared" si="9"/>
        <v>0</v>
      </c>
      <c r="AD12" s="137">
        <f t="shared" si="9"/>
        <v>0</v>
      </c>
      <c r="AE12" s="137">
        <f t="shared" si="9"/>
        <v>0</v>
      </c>
      <c r="AF12" s="137">
        <f t="shared" ref="AF12" si="10">+SUM(AF13:AF15)</f>
        <v>0</v>
      </c>
      <c r="AG12" s="137">
        <f t="shared" ref="AG12" si="11">+SUM(AG13:AG15)</f>
        <v>0</v>
      </c>
      <c r="AH12" s="153">
        <f t="shared" ref="AH12:AH21" si="12">+U12+AG12</f>
        <v>0</v>
      </c>
      <c r="AI12" s="154"/>
    </row>
    <row r="13" spans="1:35" s="11" customFormat="1" x14ac:dyDescent="0.25">
      <c r="A13" s="218"/>
      <c r="B13" s="218"/>
      <c r="C13" s="223"/>
      <c r="D13" s="194"/>
      <c r="E13" s="206"/>
      <c r="F13" s="209"/>
      <c r="G13" s="43" t="s">
        <v>224</v>
      </c>
      <c r="H13" s="5"/>
      <c r="I13" s="5"/>
      <c r="J13" s="5"/>
      <c r="K13" s="5"/>
      <c r="L13" s="5"/>
      <c r="M13" s="4"/>
      <c r="N13" s="4"/>
      <c r="O13" s="4"/>
      <c r="P13" s="6"/>
      <c r="Q13" s="148"/>
      <c r="R13" s="148"/>
      <c r="S13" s="137">
        <f t="shared" ref="S13:S21" si="13">+R13*Q13</f>
        <v>0</v>
      </c>
      <c r="T13" s="137">
        <f t="shared" ref="T13:T21" si="14">+R13</f>
        <v>0</v>
      </c>
      <c r="U13" s="137">
        <f t="shared" ref="U13:U21" si="15">S13</f>
        <v>0</v>
      </c>
      <c r="V13" s="138"/>
      <c r="W13" s="139">
        <v>1</v>
      </c>
      <c r="X13" s="137"/>
      <c r="Y13" s="137">
        <f t="shared" ref="Y13:Y15" si="16">+$W13*X13</f>
        <v>0</v>
      </c>
      <c r="Z13" s="137"/>
      <c r="AA13" s="137">
        <f t="shared" ref="AA13:AA15" si="17">+$W13*Z13</f>
        <v>0</v>
      </c>
      <c r="AB13" s="137"/>
      <c r="AC13" s="137">
        <f t="shared" ref="AC13:AC15" si="18">+$W13*AB13</f>
        <v>0</v>
      </c>
      <c r="AD13" s="137"/>
      <c r="AE13" s="137">
        <f t="shared" ref="AE13:AE15" si="19">+$W13*AD13</f>
        <v>0</v>
      </c>
      <c r="AF13" s="137">
        <f t="shared" ref="AF13:AG21" si="20">+X13+Z13+AB13+AD13</f>
        <v>0</v>
      </c>
      <c r="AG13" s="137">
        <f t="shared" si="20"/>
        <v>0</v>
      </c>
      <c r="AH13" s="153"/>
      <c r="AI13" s="154"/>
    </row>
    <row r="14" spans="1:35" s="11" customFormat="1" x14ac:dyDescent="0.25">
      <c r="A14" s="218"/>
      <c r="B14" s="218"/>
      <c r="C14" s="223"/>
      <c r="D14" s="194"/>
      <c r="E14" s="206"/>
      <c r="F14" s="209"/>
      <c r="G14" s="43" t="s">
        <v>225</v>
      </c>
      <c r="H14" s="5"/>
      <c r="I14" s="5"/>
      <c r="J14" s="5"/>
      <c r="K14" s="5"/>
      <c r="L14" s="5"/>
      <c r="M14" s="4"/>
      <c r="N14" s="4"/>
      <c r="O14" s="4"/>
      <c r="P14" s="6"/>
      <c r="Q14" s="148"/>
      <c r="R14" s="148"/>
      <c r="S14" s="137">
        <f t="shared" si="13"/>
        <v>0</v>
      </c>
      <c r="T14" s="137">
        <f t="shared" si="14"/>
        <v>0</v>
      </c>
      <c r="U14" s="137">
        <f t="shared" si="15"/>
        <v>0</v>
      </c>
      <c r="V14" s="138"/>
      <c r="W14" s="139">
        <v>1</v>
      </c>
      <c r="X14" s="137"/>
      <c r="Y14" s="137">
        <f t="shared" si="16"/>
        <v>0</v>
      </c>
      <c r="Z14" s="137"/>
      <c r="AA14" s="137">
        <f t="shared" si="17"/>
        <v>0</v>
      </c>
      <c r="AB14" s="137"/>
      <c r="AC14" s="137">
        <f t="shared" si="18"/>
        <v>0</v>
      </c>
      <c r="AD14" s="137"/>
      <c r="AE14" s="137">
        <f t="shared" si="19"/>
        <v>0</v>
      </c>
      <c r="AF14" s="137">
        <f t="shared" si="20"/>
        <v>0</v>
      </c>
      <c r="AG14" s="137">
        <f t="shared" si="20"/>
        <v>0</v>
      </c>
      <c r="AH14" s="153"/>
      <c r="AI14" s="154"/>
    </row>
    <row r="15" spans="1:35" s="11" customFormat="1" x14ac:dyDescent="0.25">
      <c r="A15" s="220"/>
      <c r="B15" s="220"/>
      <c r="C15" s="224"/>
      <c r="D15" s="194"/>
      <c r="E15" s="206"/>
      <c r="F15" s="209"/>
      <c r="G15" s="43" t="s">
        <v>226</v>
      </c>
      <c r="H15" s="5"/>
      <c r="I15" s="5"/>
      <c r="J15" s="5"/>
      <c r="K15" s="5"/>
      <c r="L15" s="5"/>
      <c r="M15" s="4"/>
      <c r="N15" s="4"/>
      <c r="O15" s="4"/>
      <c r="P15" s="6"/>
      <c r="Q15" s="148"/>
      <c r="R15" s="148"/>
      <c r="S15" s="137">
        <f t="shared" si="13"/>
        <v>0</v>
      </c>
      <c r="T15" s="137">
        <f t="shared" si="14"/>
        <v>0</v>
      </c>
      <c r="U15" s="137">
        <f t="shared" si="15"/>
        <v>0</v>
      </c>
      <c r="V15" s="138"/>
      <c r="W15" s="139">
        <v>1</v>
      </c>
      <c r="X15" s="137"/>
      <c r="Y15" s="137">
        <f t="shared" si="16"/>
        <v>0</v>
      </c>
      <c r="Z15" s="137"/>
      <c r="AA15" s="137">
        <f t="shared" si="17"/>
        <v>0</v>
      </c>
      <c r="AB15" s="137"/>
      <c r="AC15" s="137">
        <f t="shared" si="18"/>
        <v>0</v>
      </c>
      <c r="AD15" s="137"/>
      <c r="AE15" s="137">
        <f t="shared" si="19"/>
        <v>0</v>
      </c>
      <c r="AF15" s="137">
        <f t="shared" si="20"/>
        <v>0</v>
      </c>
      <c r="AG15" s="137">
        <f t="shared" si="20"/>
        <v>0</v>
      </c>
      <c r="AH15" s="153"/>
      <c r="AI15" s="154"/>
    </row>
    <row r="16" spans="1:35" s="11" customFormat="1" ht="38.25" x14ac:dyDescent="0.25">
      <c r="A16" s="217">
        <v>13</v>
      </c>
      <c r="B16" s="217">
        <v>1</v>
      </c>
      <c r="C16" s="222" t="s">
        <v>38</v>
      </c>
      <c r="D16" s="194"/>
      <c r="E16" s="206"/>
      <c r="F16" s="209"/>
      <c r="G16" s="43" t="s">
        <v>180</v>
      </c>
      <c r="H16" s="5"/>
      <c r="I16" s="5"/>
      <c r="J16" s="5"/>
      <c r="K16" s="5"/>
      <c r="L16" s="5"/>
      <c r="M16" s="4" t="s">
        <v>34</v>
      </c>
      <c r="N16" s="4" t="s">
        <v>35</v>
      </c>
      <c r="O16" s="4" t="s">
        <v>41</v>
      </c>
      <c r="P16" s="6" t="s">
        <v>125</v>
      </c>
      <c r="Q16" s="148"/>
      <c r="R16" s="148"/>
      <c r="S16" s="137">
        <f>+SUM(S17:S19)</f>
        <v>0</v>
      </c>
      <c r="T16" s="137">
        <f>+SUM(T17:T19)</f>
        <v>0</v>
      </c>
      <c r="U16" s="137">
        <f>+SUM(U17:U19)</f>
        <v>0</v>
      </c>
      <c r="V16" s="138" t="s">
        <v>125</v>
      </c>
      <c r="W16" s="139"/>
      <c r="X16" s="137">
        <f t="shared" ref="X16" si="21">+SUM(X17:X19)</f>
        <v>0</v>
      </c>
      <c r="Y16" s="137">
        <f t="shared" ref="Y16" si="22">+SUM(Y17:Y19)</f>
        <v>0</v>
      </c>
      <c r="Z16" s="137">
        <f t="shared" ref="Z16" si="23">+SUM(Z17:Z19)</f>
        <v>0</v>
      </c>
      <c r="AA16" s="137">
        <f t="shared" ref="AA16" si="24">+SUM(AA17:AA19)</f>
        <v>0</v>
      </c>
      <c r="AB16" s="137">
        <f t="shared" ref="AB16" si="25">+SUM(AB17:AB19)</f>
        <v>0</v>
      </c>
      <c r="AC16" s="137">
        <f t="shared" ref="AC16" si="26">+SUM(AC17:AC19)</f>
        <v>0</v>
      </c>
      <c r="AD16" s="137">
        <f t="shared" ref="AD16" si="27">+SUM(AD17:AD19)</f>
        <v>0</v>
      </c>
      <c r="AE16" s="137">
        <f t="shared" ref="AE16" si="28">+SUM(AE17:AE19)</f>
        <v>0</v>
      </c>
      <c r="AF16" s="137">
        <f t="shared" ref="AF16" si="29">+SUM(AF17:AF19)</f>
        <v>0</v>
      </c>
      <c r="AG16" s="137">
        <f t="shared" ref="AG16" si="30">+SUM(AG17:AG19)</f>
        <v>0</v>
      </c>
      <c r="AH16" s="153">
        <f t="shared" si="12"/>
        <v>0</v>
      </c>
      <c r="AI16" s="154"/>
    </row>
    <row r="17" spans="1:37" s="11" customFormat="1" x14ac:dyDescent="0.25">
      <c r="A17" s="218"/>
      <c r="B17" s="218"/>
      <c r="C17" s="223"/>
      <c r="D17" s="194"/>
      <c r="E17" s="206"/>
      <c r="F17" s="209"/>
      <c r="G17" s="43" t="s">
        <v>224</v>
      </c>
      <c r="H17" s="5"/>
      <c r="I17" s="5"/>
      <c r="J17" s="5"/>
      <c r="K17" s="5"/>
      <c r="L17" s="5"/>
      <c r="M17" s="4"/>
      <c r="N17" s="4"/>
      <c r="O17" s="4"/>
      <c r="P17" s="6"/>
      <c r="Q17" s="148"/>
      <c r="R17" s="148"/>
      <c r="S17" s="137">
        <f t="shared" si="13"/>
        <v>0</v>
      </c>
      <c r="T17" s="137">
        <f t="shared" si="14"/>
        <v>0</v>
      </c>
      <c r="U17" s="137">
        <f t="shared" si="15"/>
        <v>0</v>
      </c>
      <c r="V17" s="138"/>
      <c r="W17" s="139"/>
      <c r="X17" s="137"/>
      <c r="Y17" s="137">
        <f t="shared" ref="Y17:Y19" si="31">+$W17*X17</f>
        <v>0</v>
      </c>
      <c r="Z17" s="137"/>
      <c r="AA17" s="137">
        <f t="shared" ref="AA17:AA19" si="32">+$W17*Z17</f>
        <v>0</v>
      </c>
      <c r="AB17" s="137"/>
      <c r="AC17" s="137">
        <f t="shared" ref="AC17:AC19" si="33">+$W17*AB17</f>
        <v>0</v>
      </c>
      <c r="AD17" s="137"/>
      <c r="AE17" s="137">
        <f t="shared" ref="AE17:AE19" si="34">+$W17*AD17</f>
        <v>0</v>
      </c>
      <c r="AF17" s="137">
        <f t="shared" si="20"/>
        <v>0</v>
      </c>
      <c r="AG17" s="137">
        <f t="shared" si="20"/>
        <v>0</v>
      </c>
      <c r="AH17" s="153"/>
      <c r="AI17" s="154"/>
    </row>
    <row r="18" spans="1:37" s="11" customFormat="1" x14ac:dyDescent="0.25">
      <c r="A18" s="218"/>
      <c r="B18" s="218"/>
      <c r="C18" s="223"/>
      <c r="D18" s="194"/>
      <c r="E18" s="206"/>
      <c r="F18" s="209"/>
      <c r="G18" s="43" t="s">
        <v>225</v>
      </c>
      <c r="H18" s="5"/>
      <c r="I18" s="5"/>
      <c r="J18" s="5"/>
      <c r="K18" s="5"/>
      <c r="L18" s="5"/>
      <c r="M18" s="4"/>
      <c r="N18" s="4"/>
      <c r="O18" s="4"/>
      <c r="P18" s="6"/>
      <c r="Q18" s="148"/>
      <c r="R18" s="148"/>
      <c r="S18" s="137">
        <f t="shared" si="13"/>
        <v>0</v>
      </c>
      <c r="T18" s="137">
        <f t="shared" si="14"/>
        <v>0</v>
      </c>
      <c r="U18" s="137">
        <f t="shared" si="15"/>
        <v>0</v>
      </c>
      <c r="V18" s="138"/>
      <c r="W18" s="139"/>
      <c r="X18" s="137"/>
      <c r="Y18" s="137">
        <f t="shared" si="31"/>
        <v>0</v>
      </c>
      <c r="Z18" s="137"/>
      <c r="AA18" s="137">
        <f t="shared" si="32"/>
        <v>0</v>
      </c>
      <c r="AB18" s="137"/>
      <c r="AC18" s="137">
        <f t="shared" si="33"/>
        <v>0</v>
      </c>
      <c r="AD18" s="137"/>
      <c r="AE18" s="137">
        <f t="shared" si="34"/>
        <v>0</v>
      </c>
      <c r="AF18" s="137">
        <f t="shared" si="20"/>
        <v>0</v>
      </c>
      <c r="AG18" s="137">
        <f t="shared" si="20"/>
        <v>0</v>
      </c>
      <c r="AH18" s="153"/>
      <c r="AI18" s="154"/>
    </row>
    <row r="19" spans="1:37" s="11" customFormat="1" x14ac:dyDescent="0.25">
      <c r="A19" s="220"/>
      <c r="B19" s="220"/>
      <c r="C19" s="224"/>
      <c r="D19" s="194"/>
      <c r="E19" s="206"/>
      <c r="F19" s="209"/>
      <c r="G19" s="43" t="s">
        <v>226</v>
      </c>
      <c r="H19" s="5"/>
      <c r="I19" s="5"/>
      <c r="J19" s="5"/>
      <c r="K19" s="5"/>
      <c r="L19" s="5"/>
      <c r="M19" s="4"/>
      <c r="N19" s="4"/>
      <c r="O19" s="4"/>
      <c r="P19" s="6"/>
      <c r="Q19" s="148"/>
      <c r="R19" s="148"/>
      <c r="S19" s="137">
        <f t="shared" si="13"/>
        <v>0</v>
      </c>
      <c r="T19" s="137">
        <f t="shared" si="14"/>
        <v>0</v>
      </c>
      <c r="U19" s="137">
        <f t="shared" si="15"/>
        <v>0</v>
      </c>
      <c r="V19" s="138"/>
      <c r="W19" s="139"/>
      <c r="X19" s="137"/>
      <c r="Y19" s="137">
        <f t="shared" si="31"/>
        <v>0</v>
      </c>
      <c r="Z19" s="137"/>
      <c r="AA19" s="137">
        <f t="shared" si="32"/>
        <v>0</v>
      </c>
      <c r="AB19" s="137"/>
      <c r="AC19" s="137">
        <f t="shared" si="33"/>
        <v>0</v>
      </c>
      <c r="AD19" s="137"/>
      <c r="AE19" s="137">
        <f t="shared" si="34"/>
        <v>0</v>
      </c>
      <c r="AF19" s="137">
        <f t="shared" si="20"/>
        <v>0</v>
      </c>
      <c r="AG19" s="137">
        <f t="shared" si="20"/>
        <v>0</v>
      </c>
      <c r="AH19" s="153"/>
      <c r="AI19" s="154"/>
    </row>
    <row r="20" spans="1:37" s="11" customFormat="1" ht="38.25" x14ac:dyDescent="0.25">
      <c r="A20" s="60">
        <v>13</v>
      </c>
      <c r="B20" s="60">
        <v>1</v>
      </c>
      <c r="C20" s="63" t="s">
        <v>38</v>
      </c>
      <c r="D20" s="194"/>
      <c r="E20" s="206"/>
      <c r="F20" s="209"/>
      <c r="G20" s="43" t="s">
        <v>126</v>
      </c>
      <c r="H20" s="5"/>
      <c r="I20" s="5"/>
      <c r="J20" s="5"/>
      <c r="K20" s="5"/>
      <c r="L20" s="5"/>
      <c r="M20" s="4" t="s">
        <v>34</v>
      </c>
      <c r="N20" s="4" t="s">
        <v>35</v>
      </c>
      <c r="O20" s="4" t="s">
        <v>41</v>
      </c>
      <c r="P20" s="6" t="s">
        <v>127</v>
      </c>
      <c r="Q20" s="152"/>
      <c r="R20" s="152"/>
      <c r="S20" s="137">
        <f t="shared" si="13"/>
        <v>0</v>
      </c>
      <c r="T20" s="137">
        <f t="shared" si="14"/>
        <v>0</v>
      </c>
      <c r="U20" s="137">
        <f t="shared" si="15"/>
        <v>0</v>
      </c>
      <c r="V20" s="138" t="s">
        <v>127</v>
      </c>
      <c r="W20" s="139"/>
      <c r="X20" s="137"/>
      <c r="Y20" s="137">
        <f t="shared" ref="Y20:Y21" si="35">+W20*X20</f>
        <v>0</v>
      </c>
      <c r="Z20" s="137"/>
      <c r="AA20" s="137">
        <f t="shared" ref="AA20:AA21" si="36">+Z20*W20</f>
        <v>0</v>
      </c>
      <c r="AB20" s="137"/>
      <c r="AC20" s="137">
        <f t="shared" ref="AC20:AC21" si="37">+AB20*W20</f>
        <v>0</v>
      </c>
      <c r="AD20" s="137"/>
      <c r="AE20" s="137">
        <f t="shared" ref="AE20:AE21" si="38">+AD20*W20</f>
        <v>0</v>
      </c>
      <c r="AF20" s="137">
        <f t="shared" si="20"/>
        <v>0</v>
      </c>
      <c r="AG20" s="137">
        <f t="shared" si="20"/>
        <v>0</v>
      </c>
      <c r="AH20" s="153">
        <f t="shared" si="12"/>
        <v>0</v>
      </c>
      <c r="AI20" s="154"/>
    </row>
    <row r="21" spans="1:37" s="59" customFormat="1" ht="150.75" customHeight="1" x14ac:dyDescent="0.25">
      <c r="A21" s="60">
        <v>13</v>
      </c>
      <c r="B21" s="60">
        <v>1</v>
      </c>
      <c r="C21" s="63" t="s">
        <v>38</v>
      </c>
      <c r="D21" s="195"/>
      <c r="E21" s="207"/>
      <c r="F21" s="210"/>
      <c r="G21" s="43" t="s">
        <v>128</v>
      </c>
      <c r="H21" s="5"/>
      <c r="I21" s="5"/>
      <c r="J21" s="5"/>
      <c r="K21" s="5"/>
      <c r="L21" s="5"/>
      <c r="M21" s="4" t="s">
        <v>34</v>
      </c>
      <c r="N21" s="4" t="s">
        <v>35</v>
      </c>
      <c r="O21" s="4" t="s">
        <v>41</v>
      </c>
      <c r="P21" s="6" t="s">
        <v>129</v>
      </c>
      <c r="Q21" s="152"/>
      <c r="R21" s="152"/>
      <c r="S21" s="137">
        <f t="shared" si="13"/>
        <v>0</v>
      </c>
      <c r="T21" s="137">
        <f t="shared" si="14"/>
        <v>0</v>
      </c>
      <c r="U21" s="137">
        <f t="shared" si="15"/>
        <v>0</v>
      </c>
      <c r="V21" s="138" t="s">
        <v>129</v>
      </c>
      <c r="W21" s="139"/>
      <c r="X21" s="137"/>
      <c r="Y21" s="137">
        <f t="shared" si="35"/>
        <v>0</v>
      </c>
      <c r="Z21" s="137"/>
      <c r="AA21" s="137">
        <f t="shared" si="36"/>
        <v>0</v>
      </c>
      <c r="AB21" s="137"/>
      <c r="AC21" s="137">
        <f t="shared" si="37"/>
        <v>0</v>
      </c>
      <c r="AD21" s="137"/>
      <c r="AE21" s="137">
        <f t="shared" si="38"/>
        <v>0</v>
      </c>
      <c r="AF21" s="137">
        <f t="shared" si="20"/>
        <v>0</v>
      </c>
      <c r="AG21" s="137">
        <f t="shared" si="20"/>
        <v>0</v>
      </c>
      <c r="AH21" s="153">
        <f t="shared" si="12"/>
        <v>0</v>
      </c>
      <c r="AI21" s="154"/>
    </row>
    <row r="22" spans="1:37" s="11" customFormat="1" x14ac:dyDescent="0.2">
      <c r="A22" s="49" t="s">
        <v>57</v>
      </c>
      <c r="B22" s="25"/>
      <c r="C22" s="26"/>
      <c r="D22" s="26"/>
      <c r="E22" s="26"/>
      <c r="F22" s="26"/>
      <c r="G22" s="38"/>
      <c r="H22" s="39"/>
      <c r="I22" s="39"/>
      <c r="J22" s="39"/>
      <c r="K22" s="39"/>
      <c r="L22" s="39"/>
      <c r="M22" s="37"/>
      <c r="N22" s="37"/>
      <c r="O22" s="37"/>
      <c r="P22" s="34"/>
      <c r="Q22" s="172"/>
      <c r="R22" s="172"/>
      <c r="S22" s="172"/>
      <c r="T22" s="172"/>
      <c r="U22" s="172"/>
      <c r="V22" s="172"/>
      <c r="W22" s="172"/>
      <c r="X22" s="172"/>
      <c r="Y22" s="172"/>
      <c r="Z22" s="172"/>
      <c r="AA22" s="172"/>
      <c r="AB22" s="172"/>
      <c r="AC22" s="172"/>
      <c r="AD22" s="172"/>
      <c r="AE22" s="172"/>
      <c r="AF22" s="172"/>
      <c r="AG22" s="172"/>
      <c r="AH22" s="168">
        <f>SUM(AH23)</f>
        <v>0</v>
      </c>
      <c r="AI22" s="170">
        <v>17781991</v>
      </c>
    </row>
    <row r="23" spans="1:37" s="59" customFormat="1" ht="89.25" x14ac:dyDescent="0.25">
      <c r="A23" s="60">
        <v>8</v>
      </c>
      <c r="B23" s="60">
        <v>1</v>
      </c>
      <c r="C23" s="63" t="s">
        <v>38</v>
      </c>
      <c r="D23" s="63" t="s">
        <v>32</v>
      </c>
      <c r="E23" s="57" t="s">
        <v>122</v>
      </c>
      <c r="F23" s="57" t="s">
        <v>130</v>
      </c>
      <c r="G23" s="3"/>
      <c r="H23" s="5"/>
      <c r="I23" s="5"/>
      <c r="J23" s="5"/>
      <c r="K23" s="5"/>
      <c r="L23" s="5"/>
      <c r="M23" s="4" t="s">
        <v>34</v>
      </c>
      <c r="N23" s="4" t="s">
        <v>35</v>
      </c>
      <c r="O23" s="4" t="s">
        <v>40</v>
      </c>
      <c r="P23" s="6"/>
      <c r="Q23" s="152"/>
      <c r="R23" s="152"/>
      <c r="S23" s="137">
        <f t="shared" ref="S23" si="39">+R23*Q23</f>
        <v>0</v>
      </c>
      <c r="T23" s="137">
        <f t="shared" ref="T23" si="40">+R23</f>
        <v>0</v>
      </c>
      <c r="U23" s="137">
        <f t="shared" ref="U23" si="41">S23</f>
        <v>0</v>
      </c>
      <c r="V23" s="138"/>
      <c r="W23" s="139"/>
      <c r="X23" s="137"/>
      <c r="Y23" s="137">
        <f t="shared" ref="Y23" si="42">+W23*X23</f>
        <v>0</v>
      </c>
      <c r="Z23" s="137"/>
      <c r="AA23" s="137">
        <f t="shared" ref="AA23" si="43">+Z23*W23</f>
        <v>0</v>
      </c>
      <c r="AB23" s="137"/>
      <c r="AC23" s="137">
        <f t="shared" ref="AC23" si="44">+AB23*W23</f>
        <v>0</v>
      </c>
      <c r="AD23" s="137"/>
      <c r="AE23" s="137">
        <f t="shared" ref="AE23" si="45">+AD23*W23</f>
        <v>0</v>
      </c>
      <c r="AF23" s="137">
        <f t="shared" ref="AF23:AG23" si="46">+X23+Z23+AB23+AD23</f>
        <v>0</v>
      </c>
      <c r="AG23" s="137">
        <f t="shared" si="46"/>
        <v>0</v>
      </c>
      <c r="AH23" s="153">
        <f t="shared" ref="AH23" si="47">+U23+AG23</f>
        <v>0</v>
      </c>
      <c r="AI23" s="154"/>
    </row>
    <row r="24" spans="1:37" s="11" customFormat="1" x14ac:dyDescent="0.2">
      <c r="A24" s="49" t="s">
        <v>164</v>
      </c>
      <c r="B24" s="25"/>
      <c r="C24" s="26"/>
      <c r="D24" s="26"/>
      <c r="E24" s="26"/>
      <c r="F24" s="26"/>
      <c r="G24" s="38"/>
      <c r="H24" s="39"/>
      <c r="I24" s="39"/>
      <c r="J24" s="39"/>
      <c r="K24" s="39"/>
      <c r="L24" s="39"/>
      <c r="M24" s="37"/>
      <c r="N24" s="37"/>
      <c r="O24" s="37"/>
      <c r="P24" s="34"/>
      <c r="Q24" s="172"/>
      <c r="R24" s="172"/>
      <c r="S24" s="172"/>
      <c r="T24" s="172"/>
      <c r="U24" s="172"/>
      <c r="V24" s="172"/>
      <c r="W24" s="172"/>
      <c r="X24" s="172"/>
      <c r="Y24" s="172"/>
      <c r="Z24" s="172"/>
      <c r="AA24" s="172"/>
      <c r="AB24" s="172"/>
      <c r="AC24" s="172"/>
      <c r="AD24" s="172"/>
      <c r="AE24" s="172"/>
      <c r="AF24" s="172"/>
      <c r="AG24" s="172"/>
      <c r="AH24" s="168">
        <f>+AH4+AH11+AH22</f>
        <v>0</v>
      </c>
      <c r="AI24" s="170">
        <f>+AI4+AI11+AI22</f>
        <v>197577694</v>
      </c>
    </row>
    <row r="25" spans="1:37" x14ac:dyDescent="0.2">
      <c r="Q25" s="173"/>
      <c r="R25" s="173"/>
      <c r="S25" s="173"/>
      <c r="T25" s="173"/>
      <c r="U25" s="173"/>
      <c r="V25" s="173"/>
      <c r="W25" s="173"/>
      <c r="X25" s="173"/>
      <c r="Y25" s="173"/>
      <c r="Z25" s="173"/>
      <c r="AA25" s="174"/>
      <c r="AB25" s="173"/>
      <c r="AC25" s="173"/>
      <c r="AD25" s="173"/>
      <c r="AE25" s="173"/>
      <c r="AF25" s="173"/>
      <c r="AG25" s="173"/>
      <c r="AH25" s="173">
        <f>SUM(AH7:AH23)</f>
        <v>0</v>
      </c>
      <c r="AI25" s="178"/>
      <c r="AJ25" s="46"/>
    </row>
    <row r="26" spans="1:37" s="11" customFormat="1" x14ac:dyDescent="0.2">
      <c r="A26" s="49" t="s">
        <v>58</v>
      </c>
      <c r="B26" s="25"/>
      <c r="C26" s="26"/>
      <c r="D26" s="26"/>
      <c r="E26" s="26"/>
      <c r="F26" s="26"/>
      <c r="G26" s="26"/>
      <c r="H26" s="27"/>
      <c r="I26" s="27"/>
      <c r="J26" s="27"/>
      <c r="K26" s="27"/>
      <c r="L26" s="27"/>
      <c r="M26" s="25"/>
      <c r="N26" s="25"/>
      <c r="O26" s="25"/>
      <c r="P26" s="25"/>
      <c r="Q26" s="175"/>
      <c r="R26" s="175"/>
      <c r="S26" s="175"/>
      <c r="T26" s="175"/>
      <c r="U26" s="175"/>
      <c r="V26" s="175"/>
      <c r="W26" s="175"/>
      <c r="X26" s="175"/>
      <c r="Y26" s="175"/>
      <c r="Z26" s="175"/>
      <c r="AA26" s="175"/>
      <c r="AB26" s="175"/>
      <c r="AC26" s="175"/>
      <c r="AD26" s="175"/>
      <c r="AE26" s="175"/>
      <c r="AF26" s="175"/>
      <c r="AG26" s="175"/>
      <c r="AH26" s="168"/>
      <c r="AI26" s="170"/>
    </row>
    <row r="27" spans="1:37" s="59" customFormat="1" ht="89.25" x14ac:dyDescent="0.25">
      <c r="A27" s="60">
        <v>6</v>
      </c>
      <c r="B27" s="60">
        <v>1</v>
      </c>
      <c r="C27" s="63" t="s">
        <v>31</v>
      </c>
      <c r="D27" s="63" t="s">
        <v>32</v>
      </c>
      <c r="E27" s="57" t="s">
        <v>33</v>
      </c>
      <c r="F27" s="63" t="s">
        <v>131</v>
      </c>
      <c r="G27" s="57" t="s">
        <v>132</v>
      </c>
      <c r="H27" s="58"/>
      <c r="I27" s="58"/>
      <c r="J27" s="58"/>
      <c r="K27" s="58"/>
      <c r="L27" s="58"/>
      <c r="M27" s="33" t="s">
        <v>34</v>
      </c>
      <c r="N27" s="33" t="s">
        <v>35</v>
      </c>
      <c r="O27" s="33" t="s">
        <v>36</v>
      </c>
      <c r="P27" s="51" t="s">
        <v>37</v>
      </c>
      <c r="Q27" s="140">
        <f>15355</f>
        <v>15355</v>
      </c>
      <c r="R27" s="113">
        <v>121</v>
      </c>
      <c r="S27" s="140">
        <f>+R27*Q27</f>
        <v>1857955</v>
      </c>
      <c r="T27" s="140">
        <f t="shared" ref="T27:T32" si="48">+R27</f>
        <v>121</v>
      </c>
      <c r="U27" s="140">
        <f>S27</f>
        <v>1857955</v>
      </c>
      <c r="V27" s="150" t="s">
        <v>37</v>
      </c>
      <c r="W27" s="151">
        <f>+Q27</f>
        <v>15355</v>
      </c>
      <c r="X27" s="140">
        <v>121</v>
      </c>
      <c r="Y27" s="140">
        <f t="shared" ref="Y27:Y31" si="49">+W27*X27</f>
        <v>1857955</v>
      </c>
      <c r="Z27" s="140">
        <v>121</v>
      </c>
      <c r="AA27" s="140">
        <f t="shared" ref="AA27:AA31" si="50">+Z27*W27</f>
        <v>1857955</v>
      </c>
      <c r="AB27" s="140">
        <f>+Z27</f>
        <v>121</v>
      </c>
      <c r="AC27" s="140">
        <f t="shared" ref="AC27:AC31" si="51">+AB27*W27</f>
        <v>1857955</v>
      </c>
      <c r="AD27" s="140">
        <v>122</v>
      </c>
      <c r="AE27" s="140">
        <f t="shared" ref="AE27:AE31" si="52">+AD27*W27</f>
        <v>1873310</v>
      </c>
      <c r="AF27" s="140">
        <f>+X27+Z27+AB27+AD27</f>
        <v>485</v>
      </c>
      <c r="AG27" s="140">
        <f t="shared" ref="AF27:AG31" si="53">+Y27+AA27+AC27+AE27</f>
        <v>7447175</v>
      </c>
      <c r="AH27" s="153">
        <f>+U27+AG27</f>
        <v>9305130</v>
      </c>
      <c r="AI27" s="154"/>
      <c r="AK27" s="111"/>
    </row>
    <row r="28" spans="1:37" s="59" customFormat="1" ht="114.75" x14ac:dyDescent="0.25">
      <c r="A28" s="60">
        <v>34</v>
      </c>
      <c r="B28" s="68">
        <v>1</v>
      </c>
      <c r="C28" s="63" t="s">
        <v>42</v>
      </c>
      <c r="D28" s="63" t="s">
        <v>43</v>
      </c>
      <c r="E28" s="57" t="s">
        <v>44</v>
      </c>
      <c r="F28" s="63" t="s">
        <v>158</v>
      </c>
      <c r="G28" s="57" t="s">
        <v>133</v>
      </c>
      <c r="H28" s="33"/>
      <c r="I28" s="58"/>
      <c r="J28" s="58"/>
      <c r="K28" s="58"/>
      <c r="L28" s="58"/>
      <c r="M28" s="33" t="s">
        <v>34</v>
      </c>
      <c r="N28" s="33" t="s">
        <v>35</v>
      </c>
      <c r="O28" s="63" t="s">
        <v>45</v>
      </c>
      <c r="P28" s="51" t="s">
        <v>134</v>
      </c>
      <c r="Q28" s="140"/>
      <c r="R28" s="113"/>
      <c r="S28" s="140">
        <f>+R28*Q28</f>
        <v>0</v>
      </c>
      <c r="T28" s="140">
        <f t="shared" si="48"/>
        <v>0</v>
      </c>
      <c r="U28" s="140">
        <f t="shared" ref="U28:U31" si="54">S28</f>
        <v>0</v>
      </c>
      <c r="V28" s="150" t="s">
        <v>134</v>
      </c>
      <c r="W28" s="140">
        <f>36000*24</f>
        <v>864000</v>
      </c>
      <c r="X28" s="140">
        <v>2</v>
      </c>
      <c r="Y28" s="140">
        <f t="shared" si="49"/>
        <v>1728000</v>
      </c>
      <c r="Z28" s="140">
        <f t="shared" ref="Z28:Z29" si="55">+X28</f>
        <v>2</v>
      </c>
      <c r="AA28" s="140">
        <f t="shared" si="50"/>
        <v>1728000</v>
      </c>
      <c r="AB28" s="140"/>
      <c r="AC28" s="140">
        <f t="shared" si="51"/>
        <v>0</v>
      </c>
      <c r="AD28" s="140">
        <f t="shared" ref="AD28:AD29" si="56">+AB28</f>
        <v>0</v>
      </c>
      <c r="AE28" s="140">
        <f t="shared" si="52"/>
        <v>0</v>
      </c>
      <c r="AF28" s="140">
        <f>+X28+Z28+AB28+AD28</f>
        <v>4</v>
      </c>
      <c r="AG28" s="140">
        <f t="shared" si="53"/>
        <v>3456000</v>
      </c>
      <c r="AH28" s="153">
        <f t="shared" ref="AH28:AH31" si="57">+U28+AG28</f>
        <v>3456000</v>
      </c>
      <c r="AI28" s="154"/>
    </row>
    <row r="29" spans="1:37" s="59" customFormat="1" ht="114.75" x14ac:dyDescent="0.25">
      <c r="A29" s="60">
        <v>35</v>
      </c>
      <c r="B29" s="68">
        <v>1</v>
      </c>
      <c r="C29" s="63" t="s">
        <v>42</v>
      </c>
      <c r="D29" s="63" t="s">
        <v>43</v>
      </c>
      <c r="E29" s="57" t="s">
        <v>44</v>
      </c>
      <c r="F29" s="63" t="s">
        <v>158</v>
      </c>
      <c r="G29" s="57" t="s">
        <v>135</v>
      </c>
      <c r="H29" s="33"/>
      <c r="I29" s="58"/>
      <c r="J29" s="58"/>
      <c r="K29" s="58"/>
      <c r="L29" s="58"/>
      <c r="M29" s="33" t="s">
        <v>34</v>
      </c>
      <c r="N29" s="33" t="s">
        <v>35</v>
      </c>
      <c r="O29" s="63" t="s">
        <v>45</v>
      </c>
      <c r="P29" s="51" t="s">
        <v>134</v>
      </c>
      <c r="Q29" s="140"/>
      <c r="R29" s="113"/>
      <c r="S29" s="140">
        <f t="shared" ref="S29:S31" si="58">+R29*Q29</f>
        <v>0</v>
      </c>
      <c r="T29" s="140">
        <f t="shared" si="48"/>
        <v>0</v>
      </c>
      <c r="U29" s="140">
        <f t="shared" si="54"/>
        <v>0</v>
      </c>
      <c r="V29" s="150" t="s">
        <v>134</v>
      </c>
      <c r="W29" s="140">
        <f>36000*12</f>
        <v>432000</v>
      </c>
      <c r="X29" s="140"/>
      <c r="Y29" s="140">
        <f t="shared" si="49"/>
        <v>0</v>
      </c>
      <c r="Z29" s="140">
        <f t="shared" si="55"/>
        <v>0</v>
      </c>
      <c r="AA29" s="140">
        <f t="shared" si="50"/>
        <v>0</v>
      </c>
      <c r="AB29" s="140">
        <v>4</v>
      </c>
      <c r="AC29" s="140">
        <f t="shared" si="51"/>
        <v>1728000</v>
      </c>
      <c r="AD29" s="140">
        <f t="shared" si="56"/>
        <v>4</v>
      </c>
      <c r="AE29" s="140">
        <f t="shared" si="52"/>
        <v>1728000</v>
      </c>
      <c r="AF29" s="140">
        <f t="shared" si="53"/>
        <v>8</v>
      </c>
      <c r="AG29" s="140">
        <f t="shared" si="53"/>
        <v>3456000</v>
      </c>
      <c r="AH29" s="153">
        <f t="shared" si="57"/>
        <v>3456000</v>
      </c>
      <c r="AI29" s="154"/>
    </row>
    <row r="30" spans="1:37" s="72" customFormat="1" ht="76.5" x14ac:dyDescent="0.25">
      <c r="A30" s="60">
        <v>43</v>
      </c>
      <c r="B30" s="68">
        <v>1</v>
      </c>
      <c r="C30" s="63" t="s">
        <v>46</v>
      </c>
      <c r="D30" s="63" t="s">
        <v>47</v>
      </c>
      <c r="E30" s="57" t="s">
        <v>48</v>
      </c>
      <c r="F30" s="63" t="s">
        <v>159</v>
      </c>
      <c r="G30" s="57" t="s">
        <v>136</v>
      </c>
      <c r="H30" s="69"/>
      <c r="I30" s="69"/>
      <c r="J30" s="70"/>
      <c r="K30" s="69"/>
      <c r="L30" s="70"/>
      <c r="M30" s="33" t="s">
        <v>34</v>
      </c>
      <c r="N30" s="33" t="s">
        <v>35</v>
      </c>
      <c r="O30" s="33" t="s">
        <v>49</v>
      </c>
      <c r="P30" s="51" t="s">
        <v>137</v>
      </c>
      <c r="Q30" s="140"/>
      <c r="R30" s="113"/>
      <c r="S30" s="140">
        <f t="shared" si="58"/>
        <v>0</v>
      </c>
      <c r="T30" s="140">
        <f t="shared" si="48"/>
        <v>0</v>
      </c>
      <c r="U30" s="140">
        <f t="shared" si="54"/>
        <v>0</v>
      </c>
      <c r="V30" s="150" t="s">
        <v>137</v>
      </c>
      <c r="W30" s="151">
        <v>5000000</v>
      </c>
      <c r="X30" s="140">
        <f t="shared" ref="X30" si="59">+R30</f>
        <v>0</v>
      </c>
      <c r="Y30" s="140">
        <f t="shared" si="49"/>
        <v>0</v>
      </c>
      <c r="Z30" s="140">
        <v>0</v>
      </c>
      <c r="AA30" s="140">
        <f t="shared" si="50"/>
        <v>0</v>
      </c>
      <c r="AB30" s="140"/>
      <c r="AC30" s="140">
        <f t="shared" si="51"/>
        <v>0</v>
      </c>
      <c r="AD30" s="140">
        <v>1</v>
      </c>
      <c r="AE30" s="140">
        <f t="shared" si="52"/>
        <v>5000000</v>
      </c>
      <c r="AF30" s="140">
        <f t="shared" si="53"/>
        <v>1</v>
      </c>
      <c r="AG30" s="140">
        <f t="shared" si="53"/>
        <v>5000000</v>
      </c>
      <c r="AH30" s="153">
        <f t="shared" si="57"/>
        <v>5000000</v>
      </c>
      <c r="AI30" s="154"/>
    </row>
    <row r="31" spans="1:37" s="72" customFormat="1" ht="144" customHeight="1" x14ac:dyDescent="0.25">
      <c r="A31" s="60">
        <v>46</v>
      </c>
      <c r="B31" s="68">
        <v>1</v>
      </c>
      <c r="C31" s="33" t="s">
        <v>38</v>
      </c>
      <c r="D31" s="63" t="s">
        <v>47</v>
      </c>
      <c r="E31" s="57" t="s">
        <v>50</v>
      </c>
      <c r="F31" s="63" t="s">
        <v>138</v>
      </c>
      <c r="G31" s="57" t="s">
        <v>139</v>
      </c>
      <c r="H31" s="69"/>
      <c r="I31" s="70"/>
      <c r="J31" s="70"/>
      <c r="K31" s="70"/>
      <c r="L31" s="70"/>
      <c r="M31" s="33" t="s">
        <v>34</v>
      </c>
      <c r="N31" s="33" t="s">
        <v>35</v>
      </c>
      <c r="O31" s="33" t="s">
        <v>36</v>
      </c>
      <c r="P31" s="51" t="s">
        <v>140</v>
      </c>
      <c r="Q31" s="140"/>
      <c r="R31" s="113"/>
      <c r="S31" s="140">
        <f t="shared" si="58"/>
        <v>0</v>
      </c>
      <c r="T31" s="140">
        <f t="shared" si="48"/>
        <v>0</v>
      </c>
      <c r="U31" s="140">
        <f t="shared" si="54"/>
        <v>0</v>
      </c>
      <c r="V31" s="150" t="s">
        <v>140</v>
      </c>
      <c r="W31" s="140">
        <v>100000</v>
      </c>
      <c r="X31" s="140">
        <v>6</v>
      </c>
      <c r="Y31" s="140">
        <f t="shared" si="49"/>
        <v>600000</v>
      </c>
      <c r="Z31" s="140">
        <f>+X31</f>
        <v>6</v>
      </c>
      <c r="AA31" s="140">
        <f t="shared" si="50"/>
        <v>600000</v>
      </c>
      <c r="AB31" s="140">
        <f t="shared" ref="AB31:AB32" si="60">+Z31</f>
        <v>6</v>
      </c>
      <c r="AC31" s="140">
        <f t="shared" si="51"/>
        <v>600000</v>
      </c>
      <c r="AD31" s="140">
        <v>6</v>
      </c>
      <c r="AE31" s="140">
        <f t="shared" si="52"/>
        <v>600000</v>
      </c>
      <c r="AF31" s="140">
        <f t="shared" si="53"/>
        <v>24</v>
      </c>
      <c r="AG31" s="140">
        <f t="shared" si="53"/>
        <v>2400000</v>
      </c>
      <c r="AH31" s="153">
        <f t="shared" si="57"/>
        <v>2400000</v>
      </c>
      <c r="AI31" s="154"/>
    </row>
    <row r="32" spans="1:37" s="77" customFormat="1" ht="89.25" customHeight="1" x14ac:dyDescent="0.25">
      <c r="A32" s="60">
        <v>12</v>
      </c>
      <c r="B32" s="68">
        <v>1</v>
      </c>
      <c r="C32" s="63" t="s">
        <v>38</v>
      </c>
      <c r="D32" s="73" t="s">
        <v>32</v>
      </c>
      <c r="E32" s="74" t="s">
        <v>114</v>
      </c>
      <c r="F32" s="75" t="s">
        <v>160</v>
      </c>
      <c r="G32" s="75" t="s">
        <v>141</v>
      </c>
      <c r="H32" s="33"/>
      <c r="I32" s="70"/>
      <c r="J32" s="70"/>
      <c r="K32" s="70"/>
      <c r="L32" s="70"/>
      <c r="M32" s="76" t="s">
        <v>34</v>
      </c>
      <c r="N32" s="33" t="s">
        <v>35</v>
      </c>
      <c r="O32" s="76" t="s">
        <v>41</v>
      </c>
      <c r="P32" s="51" t="s">
        <v>142</v>
      </c>
      <c r="Q32" s="140">
        <f>150000*3</f>
        <v>450000</v>
      </c>
      <c r="R32" s="113">
        <v>5</v>
      </c>
      <c r="S32" s="140">
        <f>+R32*Q32</f>
        <v>2250000</v>
      </c>
      <c r="T32" s="140">
        <f t="shared" si="48"/>
        <v>5</v>
      </c>
      <c r="U32" s="140">
        <f>S32</f>
        <v>2250000</v>
      </c>
      <c r="V32" s="150" t="str">
        <f>+P32</f>
        <v>Costo Incentivo Lideres Pares</v>
      </c>
      <c r="W32" s="151">
        <f>154500*3</f>
        <v>463500</v>
      </c>
      <c r="X32" s="140">
        <v>5</v>
      </c>
      <c r="Y32" s="140">
        <f>+W32*X32</f>
        <v>2317500</v>
      </c>
      <c r="Z32" s="140">
        <v>26</v>
      </c>
      <c r="AA32" s="140">
        <f>+Z32*W32</f>
        <v>12051000</v>
      </c>
      <c r="AB32" s="140">
        <f t="shared" si="60"/>
        <v>26</v>
      </c>
      <c r="AC32" s="140">
        <f>+AB32*W32</f>
        <v>12051000</v>
      </c>
      <c r="AD32" s="140">
        <f>+AB32</f>
        <v>26</v>
      </c>
      <c r="AE32" s="140">
        <f>+AD32*W32</f>
        <v>12051000</v>
      </c>
      <c r="AF32" s="140">
        <f>+X32+Z32+AB32+AD32</f>
        <v>83</v>
      </c>
      <c r="AG32" s="140">
        <f>+Y32+AA32+AC32+AE32</f>
        <v>38470500</v>
      </c>
      <c r="AH32" s="153">
        <f>+U32+AG32</f>
        <v>40720500</v>
      </c>
      <c r="AI32" s="154"/>
    </row>
    <row r="33" spans="1:35" s="11" customFormat="1" x14ac:dyDescent="0.2">
      <c r="A33" s="49" t="s">
        <v>165</v>
      </c>
      <c r="B33" s="25"/>
      <c r="C33" s="26"/>
      <c r="D33" s="26"/>
      <c r="E33" s="26"/>
      <c r="F33" s="26"/>
      <c r="G33" s="26"/>
      <c r="H33" s="27"/>
      <c r="I33" s="27"/>
      <c r="J33" s="27"/>
      <c r="K33" s="27"/>
      <c r="L33" s="27"/>
      <c r="M33" s="25"/>
      <c r="N33" s="25"/>
      <c r="O33" s="25"/>
      <c r="P33" s="64"/>
      <c r="Q33" s="175"/>
      <c r="R33" s="175"/>
      <c r="S33" s="175"/>
      <c r="T33" s="175"/>
      <c r="U33" s="175"/>
      <c r="V33" s="175"/>
      <c r="W33" s="175"/>
      <c r="X33" s="175"/>
      <c r="Y33" s="175"/>
      <c r="Z33" s="175"/>
      <c r="AA33" s="175"/>
      <c r="AB33" s="175"/>
      <c r="AC33" s="175"/>
      <c r="AD33" s="175"/>
      <c r="AE33" s="175"/>
      <c r="AF33" s="175"/>
      <c r="AG33" s="175"/>
      <c r="AH33" s="168">
        <f>SUM(AH27:AH32)</f>
        <v>64337630</v>
      </c>
      <c r="AI33" s="170">
        <f>+AH33</f>
        <v>64337630</v>
      </c>
    </row>
    <row r="34" spans="1:35" s="11" customFormat="1" x14ac:dyDescent="0.2">
      <c r="A34" s="83" t="s">
        <v>166</v>
      </c>
      <c r="B34" s="84"/>
      <c r="C34" s="85"/>
      <c r="D34" s="85"/>
      <c r="E34" s="85"/>
      <c r="F34" s="85"/>
      <c r="G34" s="85"/>
      <c r="H34" s="86"/>
      <c r="I34" s="86"/>
      <c r="J34" s="86"/>
      <c r="K34" s="86"/>
      <c r="L34" s="86"/>
      <c r="M34" s="84"/>
      <c r="N34" s="84"/>
      <c r="O34" s="84"/>
      <c r="P34" s="87"/>
      <c r="Q34" s="176"/>
      <c r="R34" s="176"/>
      <c r="S34" s="176"/>
      <c r="T34" s="176"/>
      <c r="U34" s="176"/>
      <c r="V34" s="176"/>
      <c r="W34" s="176"/>
      <c r="X34" s="176"/>
      <c r="Y34" s="176"/>
      <c r="Z34" s="176"/>
      <c r="AA34" s="176"/>
      <c r="AB34" s="176"/>
      <c r="AC34" s="176"/>
      <c r="AD34" s="176"/>
      <c r="AE34" s="176"/>
      <c r="AF34" s="176"/>
      <c r="AG34" s="176"/>
      <c r="AH34" s="177"/>
      <c r="AI34" s="177">
        <f>+AI24+AI33</f>
        <v>261915324</v>
      </c>
    </row>
  </sheetData>
  <sheetProtection password="CB42" sheet="1" objects="1" scenarios="1" formatCells="0" formatColumns="0" formatRows="0" insertRows="0"/>
  <mergeCells count="45">
    <mergeCell ref="A12:A15"/>
    <mergeCell ref="B12:B15"/>
    <mergeCell ref="C12:C15"/>
    <mergeCell ref="A16:A19"/>
    <mergeCell ref="B16:B19"/>
    <mergeCell ref="C16:C19"/>
    <mergeCell ref="F2:F3"/>
    <mergeCell ref="A2:A3"/>
    <mergeCell ref="B2:B3"/>
    <mergeCell ref="C2:C3"/>
    <mergeCell ref="D2:D3"/>
    <mergeCell ref="E2:E3"/>
    <mergeCell ref="V2:V3"/>
    <mergeCell ref="G2:G3"/>
    <mergeCell ref="I2:L2"/>
    <mergeCell ref="M2:M3"/>
    <mergeCell ref="N2:N3"/>
    <mergeCell ref="O2:O3"/>
    <mergeCell ref="P2:P3"/>
    <mergeCell ref="Q2:Q3"/>
    <mergeCell ref="R2:R3"/>
    <mergeCell ref="S2:S3"/>
    <mergeCell ref="T2:T3"/>
    <mergeCell ref="U2:U3"/>
    <mergeCell ref="X2:X3"/>
    <mergeCell ref="Y2:Y3"/>
    <mergeCell ref="Z2:Z3"/>
    <mergeCell ref="AA2:AA3"/>
    <mergeCell ref="AB2:AB3"/>
    <mergeCell ref="D12:D21"/>
    <mergeCell ref="E12:E21"/>
    <mergeCell ref="F12:F21"/>
    <mergeCell ref="AI2:AI3"/>
    <mergeCell ref="C5:C7"/>
    <mergeCell ref="D5:D10"/>
    <mergeCell ref="E5:E10"/>
    <mergeCell ref="F5:F7"/>
    <mergeCell ref="F8:F10"/>
    <mergeCell ref="AC2:AC3"/>
    <mergeCell ref="AD2:AD3"/>
    <mergeCell ref="AE2:AE3"/>
    <mergeCell ref="AF2:AF3"/>
    <mergeCell ref="AG2:AG3"/>
    <mergeCell ref="AH2:AH3"/>
    <mergeCell ref="W2:W3"/>
  </mergeCells>
  <dataValidations count="1">
    <dataValidation type="decimal" operator="greaterThanOrEqual" allowBlank="1" showInputMessage="1" showErrorMessage="1" sqref="W32:W34 W30 W27 W23:W24 W5:W10 W12:W21">
      <formula1>0</formula1>
    </dataValidation>
  </dataValidations>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22"/>
  <sheetViews>
    <sheetView showGridLines="0" workbookViewId="0">
      <selection activeCell="A9" sqref="A9"/>
    </sheetView>
  </sheetViews>
  <sheetFormatPr baseColWidth="10" defaultRowHeight="15" x14ac:dyDescent="0.25"/>
  <cols>
    <col min="1" max="1" width="53.28515625" style="19" customWidth="1"/>
    <col min="2" max="2" width="17.5703125" style="23" bestFit="1" customWidth="1"/>
    <col min="3" max="3" width="18.5703125" style="19" bestFit="1" customWidth="1"/>
    <col min="4" max="16384" width="11.42578125" style="19"/>
  </cols>
  <sheetData>
    <row r="1" spans="1:3" ht="39.75" customHeight="1" x14ac:dyDescent="0.25">
      <c r="A1" s="188" t="s">
        <v>100</v>
      </c>
      <c r="B1" s="188"/>
      <c r="C1" s="188"/>
    </row>
    <row r="2" spans="1:3" x14ac:dyDescent="0.25">
      <c r="A2" s="189" t="s">
        <v>154</v>
      </c>
      <c r="B2" s="189"/>
      <c r="C2" s="189"/>
    </row>
    <row r="3" spans="1:3" x14ac:dyDescent="0.25">
      <c r="A3" s="118"/>
      <c r="B3" s="119"/>
      <c r="C3" s="118"/>
    </row>
    <row r="4" spans="1:3" x14ac:dyDescent="0.25">
      <c r="A4" s="120" t="s">
        <v>102</v>
      </c>
      <c r="B4" s="121"/>
      <c r="C4" s="118"/>
    </row>
    <row r="6" spans="1:3" s="20" customFormat="1" x14ac:dyDescent="0.25">
      <c r="A6" s="91" t="s">
        <v>103</v>
      </c>
      <c r="B6" s="92" t="s">
        <v>104</v>
      </c>
      <c r="C6" s="93" t="s">
        <v>98</v>
      </c>
    </row>
    <row r="7" spans="1:3" s="21" customFormat="1" x14ac:dyDescent="0.25">
      <c r="A7" s="94" t="s">
        <v>105</v>
      </c>
      <c r="B7" s="106">
        <f>+'[1]Fase I Valle del Cauca'!AH4</f>
        <v>0</v>
      </c>
      <c r="C7" s="96">
        <f>+'Fase I Cesar'!AI4</f>
        <v>128101836</v>
      </c>
    </row>
    <row r="8" spans="1:3" s="22" customFormat="1" x14ac:dyDescent="0.25">
      <c r="A8" s="97" t="s">
        <v>106</v>
      </c>
      <c r="B8" s="95">
        <f>+'[1]Fase I Valle del Cauca'!AH11</f>
        <v>0</v>
      </c>
      <c r="C8" s="96">
        <f>+'Fase I Cesar'!AI11</f>
        <v>38430551</v>
      </c>
    </row>
    <row r="9" spans="1:3" s="22" customFormat="1" x14ac:dyDescent="0.25">
      <c r="A9" s="97" t="s">
        <v>107</v>
      </c>
      <c r="B9" s="95">
        <f>+'[1]Fase I Valle del Cauca'!AH16</f>
        <v>0</v>
      </c>
      <c r="C9" s="96">
        <f>+'Fase I Cesar'!AI24</f>
        <v>16470236</v>
      </c>
    </row>
    <row r="10" spans="1:3" s="22" customFormat="1" x14ac:dyDescent="0.25">
      <c r="A10" s="99" t="s">
        <v>161</v>
      </c>
      <c r="B10" s="107">
        <f>SUM(B7:B9)</f>
        <v>0</v>
      </c>
      <c r="C10" s="108">
        <f>SUM(C7:C9)</f>
        <v>183002623</v>
      </c>
    </row>
    <row r="11" spans="1:3" s="22" customFormat="1" x14ac:dyDescent="0.25">
      <c r="A11" s="97"/>
      <c r="B11" s="107"/>
      <c r="C11" s="96"/>
    </row>
    <row r="12" spans="1:3" x14ac:dyDescent="0.25">
      <c r="A12" s="101" t="s">
        <v>108</v>
      </c>
      <c r="B12" s="109">
        <f>+'Fase I Cesar'!AH35</f>
        <v>60835995</v>
      </c>
      <c r="C12" s="96">
        <f>+'Fase I Cesar'!AI35</f>
        <v>60835995</v>
      </c>
    </row>
    <row r="13" spans="1:3" x14ac:dyDescent="0.25">
      <c r="A13" s="102" t="s">
        <v>162</v>
      </c>
      <c r="B13" s="110">
        <f>+B12</f>
        <v>60835995</v>
      </c>
      <c r="C13" s="100">
        <f>+C12</f>
        <v>60835995</v>
      </c>
    </row>
    <row r="14" spans="1:3" x14ac:dyDescent="0.25">
      <c r="A14" s="104" t="s">
        <v>163</v>
      </c>
      <c r="B14" s="105">
        <f>+B10+B13</f>
        <v>60835995</v>
      </c>
      <c r="C14" s="105">
        <f>+C10+C13</f>
        <v>243838618</v>
      </c>
    </row>
    <row r="18" spans="1:3" x14ac:dyDescent="0.25">
      <c r="A18" s="118"/>
      <c r="B18" s="119"/>
      <c r="C18" s="118"/>
    </row>
    <row r="19" spans="1:3" s="24" customFormat="1" x14ac:dyDescent="0.25">
      <c r="A19" s="122" t="s">
        <v>109</v>
      </c>
      <c r="B19" s="119"/>
      <c r="C19" s="123"/>
    </row>
    <row r="20" spans="1:3" s="24" customFormat="1" x14ac:dyDescent="0.25">
      <c r="A20" s="122" t="s">
        <v>110</v>
      </c>
      <c r="B20" s="119"/>
      <c r="C20" s="123"/>
    </row>
    <row r="21" spans="1:3" x14ac:dyDescent="0.25">
      <c r="A21" s="118"/>
      <c r="B21" s="119"/>
      <c r="C21" s="118"/>
    </row>
    <row r="22" spans="1:3" x14ac:dyDescent="0.25">
      <c r="A22" s="118"/>
      <c r="B22" s="119"/>
      <c r="C22" s="118"/>
    </row>
  </sheetData>
  <sheetProtection password="CB42" sheet="1" objects="1" scenarios="1"/>
  <mergeCells count="2">
    <mergeCell ref="A1:C1"/>
    <mergeCell ref="A2:C2"/>
  </mergeCells>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K36"/>
  <sheetViews>
    <sheetView showGridLines="0" zoomScale="70" zoomScaleNormal="70" workbookViewId="0">
      <pane xSplit="1" ySplit="3" topLeftCell="B4" activePane="bottomRight" state="frozen"/>
      <selection activeCell="AI27" sqref="AI27"/>
      <selection pane="topRight" activeCell="AI27" sqref="AI27"/>
      <selection pane="bottomLeft" activeCell="AI27" sqref="AI27"/>
      <selection pane="bottomRight" activeCell="D34" sqref="D34"/>
    </sheetView>
  </sheetViews>
  <sheetFormatPr baseColWidth="10" defaultRowHeight="12.75" x14ac:dyDescent="0.2"/>
  <cols>
    <col min="1" max="1" width="11.140625" style="46" customWidth="1"/>
    <col min="2" max="2" width="15" style="46" customWidth="1"/>
    <col min="3" max="3" width="17.140625" style="46" customWidth="1"/>
    <col min="4" max="4" width="24.42578125" style="46" customWidth="1"/>
    <col min="5" max="5" width="43.28515625" style="46" customWidth="1"/>
    <col min="6" max="6" width="61.140625" style="46" customWidth="1"/>
    <col min="7" max="7" width="29.42578125" style="46" customWidth="1"/>
    <col min="8" max="8" width="7.28515625" style="46" bestFit="1" customWidth="1"/>
    <col min="9" max="9" width="3.85546875" style="46" bestFit="1" customWidth="1"/>
    <col min="10" max="12" width="3.28515625" style="46" bestFit="1" customWidth="1"/>
    <col min="13" max="13" width="18.5703125" style="46" customWidth="1"/>
    <col min="14" max="14" width="11.42578125" style="46"/>
    <col min="15" max="15" width="13.7109375" style="46" customWidth="1"/>
    <col min="16" max="16" width="17.7109375" style="46" customWidth="1"/>
    <col min="17" max="18" width="11.5703125" style="46" bestFit="1" customWidth="1"/>
    <col min="19" max="19" width="16.140625" style="46" customWidth="1"/>
    <col min="20" max="20" width="11.5703125" style="46" bestFit="1" customWidth="1"/>
    <col min="21" max="21" width="14.28515625" style="46" customWidth="1"/>
    <col min="22" max="22" width="12.140625" style="46" customWidth="1"/>
    <col min="23" max="23" width="13" style="46" bestFit="1" customWidth="1"/>
    <col min="24" max="24" width="12.5703125" style="46" customWidth="1"/>
    <col min="25" max="25" width="12.85546875" style="46" bestFit="1" customWidth="1"/>
    <col min="26" max="26" width="11.5703125" style="46" bestFit="1" customWidth="1"/>
    <col min="27" max="27" width="14" style="46" bestFit="1" customWidth="1"/>
    <col min="28" max="28" width="11.5703125" style="46" bestFit="1" customWidth="1"/>
    <col min="29" max="29" width="14" style="46" bestFit="1" customWidth="1"/>
    <col min="30" max="30" width="11.5703125" style="46" bestFit="1" customWidth="1"/>
    <col min="31" max="31" width="14" style="46" bestFit="1" customWidth="1"/>
    <col min="32" max="32" width="11.5703125" style="46" bestFit="1" customWidth="1"/>
    <col min="33" max="33" width="14" style="46" bestFit="1" customWidth="1"/>
    <col min="34" max="34" width="18" style="46" bestFit="1" customWidth="1"/>
    <col min="35" max="35" width="17.85546875" style="47" customWidth="1"/>
    <col min="36" max="36" width="13" style="48" bestFit="1" customWidth="1"/>
    <col min="37" max="37" width="12.85546875" style="46" bestFit="1" customWidth="1"/>
    <col min="38" max="16384" width="11.42578125" style="46"/>
  </cols>
  <sheetData>
    <row r="1" spans="1:35" s="48" customFormat="1" x14ac:dyDescent="0.2">
      <c r="A1" s="45" t="s">
        <v>111</v>
      </c>
      <c r="B1" s="46"/>
      <c r="C1" s="46"/>
      <c r="D1" s="46"/>
      <c r="E1" s="46"/>
      <c r="F1" s="46"/>
      <c r="G1" s="46"/>
      <c r="H1" s="46"/>
      <c r="I1" s="46"/>
      <c r="J1" s="46"/>
      <c r="K1" s="46"/>
      <c r="L1" s="46"/>
      <c r="M1" s="46"/>
      <c r="N1" s="46"/>
      <c r="O1" s="46"/>
      <c r="P1" s="46"/>
      <c r="Q1" s="46"/>
      <c r="R1" s="46"/>
      <c r="S1" s="46"/>
      <c r="T1" s="46"/>
      <c r="U1" s="46"/>
      <c r="V1" s="46"/>
      <c r="W1" s="46"/>
      <c r="X1" s="46"/>
      <c r="Y1" s="46"/>
      <c r="Z1" s="46"/>
      <c r="AA1" s="46"/>
      <c r="AB1" s="46"/>
      <c r="AC1" s="46"/>
      <c r="AD1" s="46"/>
      <c r="AE1" s="46"/>
      <c r="AF1" s="46"/>
      <c r="AG1" s="46"/>
      <c r="AH1" s="46"/>
      <c r="AI1" s="47"/>
    </row>
    <row r="2" spans="1:35" s="1" customFormat="1" ht="15" customHeight="1" x14ac:dyDescent="0.25">
      <c r="A2" s="197" t="s">
        <v>0</v>
      </c>
      <c r="B2" s="196" t="s">
        <v>51</v>
      </c>
      <c r="C2" s="196" t="s">
        <v>1</v>
      </c>
      <c r="D2" s="196" t="s">
        <v>52</v>
      </c>
      <c r="E2" s="196" t="s">
        <v>53</v>
      </c>
      <c r="F2" s="196" t="s">
        <v>54</v>
      </c>
      <c r="G2" s="196" t="s">
        <v>2</v>
      </c>
      <c r="H2" s="36" t="s">
        <v>3</v>
      </c>
      <c r="I2" s="196" t="s">
        <v>4</v>
      </c>
      <c r="J2" s="199"/>
      <c r="K2" s="199"/>
      <c r="L2" s="199"/>
      <c r="M2" s="197" t="s">
        <v>5</v>
      </c>
      <c r="N2" s="197" t="s">
        <v>6</v>
      </c>
      <c r="O2" s="197" t="s">
        <v>7</v>
      </c>
      <c r="P2" s="200" t="s">
        <v>8</v>
      </c>
      <c r="Q2" s="201" t="s">
        <v>112</v>
      </c>
      <c r="R2" s="202" t="s">
        <v>9</v>
      </c>
      <c r="S2" s="202" t="s">
        <v>10</v>
      </c>
      <c r="T2" s="202" t="s">
        <v>11</v>
      </c>
      <c r="U2" s="203" t="s">
        <v>12</v>
      </c>
      <c r="V2" s="198" t="s">
        <v>13</v>
      </c>
      <c r="W2" s="216" t="s">
        <v>113</v>
      </c>
      <c r="X2" s="204" t="s">
        <v>14</v>
      </c>
      <c r="Y2" s="204" t="s">
        <v>15</v>
      </c>
      <c r="Z2" s="204" t="s">
        <v>16</v>
      </c>
      <c r="AA2" s="204" t="s">
        <v>17</v>
      </c>
      <c r="AB2" s="204" t="s">
        <v>18</v>
      </c>
      <c r="AC2" s="204" t="s">
        <v>19</v>
      </c>
      <c r="AD2" s="204" t="s">
        <v>20</v>
      </c>
      <c r="AE2" s="204" t="s">
        <v>21</v>
      </c>
      <c r="AF2" s="204" t="s">
        <v>22</v>
      </c>
      <c r="AG2" s="214" t="s">
        <v>23</v>
      </c>
      <c r="AH2" s="215" t="s">
        <v>24</v>
      </c>
      <c r="AI2" s="211" t="s">
        <v>98</v>
      </c>
    </row>
    <row r="3" spans="1:35" s="1" customFormat="1" ht="45.75" customHeight="1" x14ac:dyDescent="0.25">
      <c r="A3" s="197"/>
      <c r="B3" s="196"/>
      <c r="C3" s="196" t="s">
        <v>25</v>
      </c>
      <c r="D3" s="196" t="s">
        <v>26</v>
      </c>
      <c r="E3" s="196"/>
      <c r="F3" s="196"/>
      <c r="G3" s="196"/>
      <c r="H3" s="2" t="s">
        <v>30</v>
      </c>
      <c r="I3" s="2" t="s">
        <v>27</v>
      </c>
      <c r="J3" s="2" t="s">
        <v>28</v>
      </c>
      <c r="K3" s="2" t="s">
        <v>29</v>
      </c>
      <c r="L3" s="2" t="s">
        <v>30</v>
      </c>
      <c r="M3" s="197"/>
      <c r="N3" s="197"/>
      <c r="O3" s="197"/>
      <c r="P3" s="200"/>
      <c r="Q3" s="201"/>
      <c r="R3" s="202"/>
      <c r="S3" s="202"/>
      <c r="T3" s="202"/>
      <c r="U3" s="203"/>
      <c r="V3" s="198"/>
      <c r="W3" s="216"/>
      <c r="X3" s="204"/>
      <c r="Y3" s="204"/>
      <c r="Z3" s="204"/>
      <c r="AA3" s="204"/>
      <c r="AB3" s="204"/>
      <c r="AC3" s="204"/>
      <c r="AD3" s="204"/>
      <c r="AE3" s="204"/>
      <c r="AF3" s="204"/>
      <c r="AG3" s="214"/>
      <c r="AH3" s="215"/>
      <c r="AI3" s="212"/>
    </row>
    <row r="4" spans="1:35" s="11" customFormat="1" x14ac:dyDescent="0.2">
      <c r="A4" s="49" t="s">
        <v>55</v>
      </c>
      <c r="B4" s="25"/>
      <c r="C4" s="26"/>
      <c r="D4" s="26"/>
      <c r="E4" s="26"/>
      <c r="F4" s="26"/>
      <c r="G4" s="26"/>
      <c r="H4" s="27"/>
      <c r="I4" s="27"/>
      <c r="J4" s="27"/>
      <c r="K4" s="27"/>
      <c r="L4" s="27"/>
      <c r="M4" s="25"/>
      <c r="N4" s="25"/>
      <c r="O4" s="25"/>
      <c r="P4" s="25"/>
      <c r="Q4" s="28"/>
      <c r="R4" s="29"/>
      <c r="S4" s="29"/>
      <c r="T4" s="29"/>
      <c r="U4" s="30"/>
      <c r="V4" s="25"/>
      <c r="W4" s="28"/>
      <c r="X4" s="29"/>
      <c r="Y4" s="29"/>
      <c r="Z4" s="29"/>
      <c r="AA4" s="29"/>
      <c r="AB4" s="29"/>
      <c r="AC4" s="29"/>
      <c r="AD4" s="29"/>
      <c r="AE4" s="29"/>
      <c r="AF4" s="29"/>
      <c r="AG4" s="30"/>
      <c r="AH4" s="31">
        <f>SUM(AH5:AH10)</f>
        <v>0</v>
      </c>
      <c r="AI4" s="32">
        <v>128101836</v>
      </c>
    </row>
    <row r="5" spans="1:35" s="11" customFormat="1" ht="15" customHeight="1" x14ac:dyDescent="0.25">
      <c r="A5" s="50">
        <v>7</v>
      </c>
      <c r="B5" s="50">
        <v>1</v>
      </c>
      <c r="C5" s="213" t="s">
        <v>38</v>
      </c>
      <c r="D5" s="193" t="s">
        <v>32</v>
      </c>
      <c r="E5" s="205" t="s">
        <v>114</v>
      </c>
      <c r="F5" s="205" t="s">
        <v>115</v>
      </c>
      <c r="G5" s="43" t="s">
        <v>116</v>
      </c>
      <c r="H5" s="44"/>
      <c r="I5" s="44"/>
      <c r="J5" s="44"/>
      <c r="K5" s="44"/>
      <c r="L5" s="44"/>
      <c r="M5" s="4" t="s">
        <v>34</v>
      </c>
      <c r="N5" s="4" t="s">
        <v>35</v>
      </c>
      <c r="O5" s="4" t="s">
        <v>39</v>
      </c>
      <c r="P5" s="6" t="s">
        <v>117</v>
      </c>
      <c r="Q5" s="152"/>
      <c r="R5" s="152"/>
      <c r="S5" s="137">
        <f>+R5*Q5</f>
        <v>0</v>
      </c>
      <c r="T5" s="137">
        <f>+R5</f>
        <v>0</v>
      </c>
      <c r="U5" s="137">
        <f>S5</f>
        <v>0</v>
      </c>
      <c r="V5" s="138" t="s">
        <v>117</v>
      </c>
      <c r="W5" s="139"/>
      <c r="X5" s="137"/>
      <c r="Y5" s="137">
        <f t="shared" ref="Y5:Y10" si="0">+W5*X5</f>
        <v>0</v>
      </c>
      <c r="Z5" s="137"/>
      <c r="AA5" s="137">
        <f t="shared" ref="AA5:AA10" si="1">+Z5*W5</f>
        <v>0</v>
      </c>
      <c r="AB5" s="137"/>
      <c r="AC5" s="137">
        <f t="shared" ref="AC5:AC10" si="2">+AB5*W5</f>
        <v>0</v>
      </c>
      <c r="AD5" s="137"/>
      <c r="AE5" s="137">
        <f t="shared" ref="AE5:AE10" si="3">+AD5*W5</f>
        <v>0</v>
      </c>
      <c r="AF5" s="137">
        <f t="shared" ref="AF5:AG10" si="4">+X5+Z5+AB5+AD5</f>
        <v>0</v>
      </c>
      <c r="AG5" s="137">
        <f>+Y5+AA5+AC5+AE5</f>
        <v>0</v>
      </c>
      <c r="AH5" s="153">
        <f>+U5+AG5</f>
        <v>0</v>
      </c>
      <c r="AI5" s="154"/>
    </row>
    <row r="6" spans="1:35" s="11" customFormat="1" ht="31.5" customHeight="1" x14ac:dyDescent="0.25">
      <c r="A6" s="50">
        <v>7</v>
      </c>
      <c r="B6" s="50">
        <v>1</v>
      </c>
      <c r="C6" s="213"/>
      <c r="D6" s="194"/>
      <c r="E6" s="206"/>
      <c r="F6" s="206"/>
      <c r="G6" s="43" t="s">
        <v>118</v>
      </c>
      <c r="H6" s="44"/>
      <c r="I6" s="44"/>
      <c r="J6" s="44"/>
      <c r="K6" s="44"/>
      <c r="L6" s="44"/>
      <c r="M6" s="4" t="s">
        <v>34</v>
      </c>
      <c r="N6" s="4" t="s">
        <v>35</v>
      </c>
      <c r="O6" s="4" t="s">
        <v>39</v>
      </c>
      <c r="P6" s="6" t="s">
        <v>117</v>
      </c>
      <c r="Q6" s="152"/>
      <c r="R6" s="152"/>
      <c r="S6" s="137">
        <f>+R6*Q6</f>
        <v>0</v>
      </c>
      <c r="T6" s="137">
        <f>+R6</f>
        <v>0</v>
      </c>
      <c r="U6" s="137">
        <f>S6</f>
        <v>0</v>
      </c>
      <c r="V6" s="138" t="s">
        <v>117</v>
      </c>
      <c r="W6" s="139"/>
      <c r="X6" s="137"/>
      <c r="Y6" s="137">
        <f t="shared" si="0"/>
        <v>0</v>
      </c>
      <c r="Z6" s="137"/>
      <c r="AA6" s="137">
        <f t="shared" si="1"/>
        <v>0</v>
      </c>
      <c r="AB6" s="137"/>
      <c r="AC6" s="137">
        <f t="shared" si="2"/>
        <v>0</v>
      </c>
      <c r="AD6" s="137"/>
      <c r="AE6" s="137">
        <f t="shared" si="3"/>
        <v>0</v>
      </c>
      <c r="AF6" s="137">
        <f t="shared" si="4"/>
        <v>0</v>
      </c>
      <c r="AG6" s="137">
        <f>+Y6+AA6+AC6+AE6</f>
        <v>0</v>
      </c>
      <c r="AH6" s="153">
        <f>+U6+AG6</f>
        <v>0</v>
      </c>
      <c r="AI6" s="154"/>
    </row>
    <row r="7" spans="1:35" s="59" customFormat="1" ht="38.25" x14ac:dyDescent="0.25">
      <c r="A7" s="50">
        <v>7</v>
      </c>
      <c r="B7" s="50">
        <v>1</v>
      </c>
      <c r="C7" s="213"/>
      <c r="D7" s="194"/>
      <c r="E7" s="206"/>
      <c r="F7" s="207"/>
      <c r="G7" s="3" t="s">
        <v>119</v>
      </c>
      <c r="H7" s="5"/>
      <c r="I7" s="5"/>
      <c r="J7" s="5"/>
      <c r="K7" s="5"/>
      <c r="L7" s="5"/>
      <c r="M7" s="4" t="s">
        <v>34</v>
      </c>
      <c r="N7" s="4" t="s">
        <v>35</v>
      </c>
      <c r="O7" s="4" t="s">
        <v>39</v>
      </c>
      <c r="P7" s="6" t="s">
        <v>117</v>
      </c>
      <c r="Q7" s="152"/>
      <c r="R7" s="152"/>
      <c r="S7" s="137">
        <f t="shared" ref="S7:S10" si="5">+R7*Q7</f>
        <v>0</v>
      </c>
      <c r="T7" s="137">
        <f t="shared" ref="T7:T10" si="6">+R7</f>
        <v>0</v>
      </c>
      <c r="U7" s="137">
        <f t="shared" ref="U7:U10" si="7">S7</f>
        <v>0</v>
      </c>
      <c r="V7" s="138" t="s">
        <v>117</v>
      </c>
      <c r="W7" s="139"/>
      <c r="X7" s="137"/>
      <c r="Y7" s="137">
        <f t="shared" si="0"/>
        <v>0</v>
      </c>
      <c r="Z7" s="137"/>
      <c r="AA7" s="137">
        <f t="shared" si="1"/>
        <v>0</v>
      </c>
      <c r="AB7" s="137"/>
      <c r="AC7" s="137">
        <f t="shared" si="2"/>
        <v>0</v>
      </c>
      <c r="AD7" s="137"/>
      <c r="AE7" s="137">
        <f t="shared" si="3"/>
        <v>0</v>
      </c>
      <c r="AF7" s="137">
        <f t="shared" si="4"/>
        <v>0</v>
      </c>
      <c r="AG7" s="137">
        <f t="shared" si="4"/>
        <v>0</v>
      </c>
      <c r="AH7" s="153">
        <f>+U7+AG7</f>
        <v>0</v>
      </c>
      <c r="AI7" s="154"/>
    </row>
    <row r="8" spans="1:35" s="59" customFormat="1" ht="38.25" customHeight="1" x14ac:dyDescent="0.25">
      <c r="A8" s="60">
        <v>11</v>
      </c>
      <c r="B8" s="60">
        <v>1</v>
      </c>
      <c r="C8" s="61" t="s">
        <v>38</v>
      </c>
      <c r="D8" s="194"/>
      <c r="E8" s="206"/>
      <c r="F8" s="205" t="s">
        <v>120</v>
      </c>
      <c r="G8" s="3" t="s">
        <v>64</v>
      </c>
      <c r="H8" s="5"/>
      <c r="I8" s="5"/>
      <c r="J8" s="5"/>
      <c r="K8" s="5"/>
      <c r="L8" s="5"/>
      <c r="M8" s="4" t="s">
        <v>34</v>
      </c>
      <c r="N8" s="4" t="s">
        <v>35</v>
      </c>
      <c r="O8" s="4" t="s">
        <v>39</v>
      </c>
      <c r="P8" s="6" t="s">
        <v>117</v>
      </c>
      <c r="Q8" s="152"/>
      <c r="R8" s="152"/>
      <c r="S8" s="137">
        <f t="shared" si="5"/>
        <v>0</v>
      </c>
      <c r="T8" s="137">
        <f t="shared" si="6"/>
        <v>0</v>
      </c>
      <c r="U8" s="137">
        <f t="shared" si="7"/>
        <v>0</v>
      </c>
      <c r="V8" s="138" t="s">
        <v>117</v>
      </c>
      <c r="W8" s="139"/>
      <c r="X8" s="137"/>
      <c r="Y8" s="137">
        <f t="shared" si="0"/>
        <v>0</v>
      </c>
      <c r="Z8" s="137"/>
      <c r="AA8" s="137">
        <f t="shared" si="1"/>
        <v>0</v>
      </c>
      <c r="AB8" s="137"/>
      <c r="AC8" s="137">
        <f t="shared" si="2"/>
        <v>0</v>
      </c>
      <c r="AD8" s="137"/>
      <c r="AE8" s="137">
        <f t="shared" si="3"/>
        <v>0</v>
      </c>
      <c r="AF8" s="137">
        <f t="shared" si="4"/>
        <v>0</v>
      </c>
      <c r="AG8" s="137">
        <f t="shared" si="4"/>
        <v>0</v>
      </c>
      <c r="AH8" s="153">
        <f>+U8+AG8</f>
        <v>0</v>
      </c>
      <c r="AI8" s="154"/>
    </row>
    <row r="9" spans="1:35" s="59" customFormat="1" ht="38.25" x14ac:dyDescent="0.25">
      <c r="A9" s="60">
        <v>11</v>
      </c>
      <c r="B9" s="60">
        <v>1</v>
      </c>
      <c r="C9" s="61" t="s">
        <v>38</v>
      </c>
      <c r="D9" s="194"/>
      <c r="E9" s="206"/>
      <c r="F9" s="206"/>
      <c r="G9" s="3" t="s">
        <v>121</v>
      </c>
      <c r="H9" s="5"/>
      <c r="I9" s="5"/>
      <c r="J9" s="5"/>
      <c r="K9" s="5"/>
      <c r="L9" s="5"/>
      <c r="M9" s="4" t="s">
        <v>34</v>
      </c>
      <c r="N9" s="4" t="s">
        <v>35</v>
      </c>
      <c r="O9" s="4" t="s">
        <v>39</v>
      </c>
      <c r="P9" s="6" t="s">
        <v>117</v>
      </c>
      <c r="Q9" s="152"/>
      <c r="R9" s="152"/>
      <c r="S9" s="137">
        <f t="shared" si="5"/>
        <v>0</v>
      </c>
      <c r="T9" s="137">
        <f t="shared" si="6"/>
        <v>0</v>
      </c>
      <c r="U9" s="137">
        <f t="shared" si="7"/>
        <v>0</v>
      </c>
      <c r="V9" s="138" t="s">
        <v>117</v>
      </c>
      <c r="W9" s="139"/>
      <c r="X9" s="137"/>
      <c r="Y9" s="137">
        <f t="shared" si="0"/>
        <v>0</v>
      </c>
      <c r="Z9" s="137"/>
      <c r="AA9" s="137">
        <f t="shared" si="1"/>
        <v>0</v>
      </c>
      <c r="AB9" s="137"/>
      <c r="AC9" s="137">
        <f t="shared" si="2"/>
        <v>0</v>
      </c>
      <c r="AD9" s="137"/>
      <c r="AE9" s="137">
        <f t="shared" si="3"/>
        <v>0</v>
      </c>
      <c r="AF9" s="137">
        <f t="shared" si="4"/>
        <v>0</v>
      </c>
      <c r="AG9" s="137">
        <f t="shared" si="4"/>
        <v>0</v>
      </c>
      <c r="AH9" s="153">
        <f t="shared" ref="AH9:AH10" si="8">+U9+AG9</f>
        <v>0</v>
      </c>
      <c r="AI9" s="154"/>
    </row>
    <row r="10" spans="1:35" s="59" customFormat="1" ht="38.25" x14ac:dyDescent="0.25">
      <c r="A10" s="60">
        <v>11</v>
      </c>
      <c r="B10" s="60">
        <v>1</v>
      </c>
      <c r="C10" s="61" t="s">
        <v>38</v>
      </c>
      <c r="D10" s="195"/>
      <c r="E10" s="207"/>
      <c r="F10" s="207"/>
      <c r="G10" s="3" t="s">
        <v>66</v>
      </c>
      <c r="H10" s="5"/>
      <c r="I10" s="5"/>
      <c r="J10" s="5"/>
      <c r="K10" s="5"/>
      <c r="L10" s="5"/>
      <c r="M10" s="4" t="s">
        <v>34</v>
      </c>
      <c r="N10" s="4" t="s">
        <v>35</v>
      </c>
      <c r="O10" s="4" t="s">
        <v>39</v>
      </c>
      <c r="P10" s="6" t="s">
        <v>117</v>
      </c>
      <c r="Q10" s="152"/>
      <c r="R10" s="152"/>
      <c r="S10" s="137">
        <f t="shared" si="5"/>
        <v>0</v>
      </c>
      <c r="T10" s="137">
        <f t="shared" si="6"/>
        <v>0</v>
      </c>
      <c r="U10" s="137">
        <f t="shared" si="7"/>
        <v>0</v>
      </c>
      <c r="V10" s="138" t="s">
        <v>117</v>
      </c>
      <c r="W10" s="139"/>
      <c r="X10" s="137"/>
      <c r="Y10" s="137">
        <f t="shared" si="0"/>
        <v>0</v>
      </c>
      <c r="Z10" s="137"/>
      <c r="AA10" s="137">
        <f t="shared" si="1"/>
        <v>0</v>
      </c>
      <c r="AB10" s="137"/>
      <c r="AC10" s="137">
        <f t="shared" si="2"/>
        <v>0</v>
      </c>
      <c r="AD10" s="137"/>
      <c r="AE10" s="137">
        <f t="shared" si="3"/>
        <v>0</v>
      </c>
      <c r="AF10" s="137">
        <f t="shared" si="4"/>
        <v>0</v>
      </c>
      <c r="AG10" s="137">
        <f t="shared" si="4"/>
        <v>0</v>
      </c>
      <c r="AH10" s="153">
        <f t="shared" si="8"/>
        <v>0</v>
      </c>
      <c r="AI10" s="154"/>
    </row>
    <row r="11" spans="1:35" s="11" customFormat="1" x14ac:dyDescent="0.2">
      <c r="A11" s="62" t="s">
        <v>56</v>
      </c>
      <c r="B11" s="25"/>
      <c r="C11" s="26"/>
      <c r="D11" s="26"/>
      <c r="E11" s="26"/>
      <c r="F11" s="26"/>
      <c r="G11" s="38"/>
      <c r="H11" s="39"/>
      <c r="I11" s="39"/>
      <c r="J11" s="39"/>
      <c r="K11" s="39"/>
      <c r="L11" s="39"/>
      <c r="M11" s="37"/>
      <c r="N11" s="37"/>
      <c r="O11" s="37"/>
      <c r="P11" s="37"/>
      <c r="Q11" s="172"/>
      <c r="R11" s="172"/>
      <c r="S11" s="172"/>
      <c r="T11" s="172"/>
      <c r="U11" s="172"/>
      <c r="V11" s="172"/>
      <c r="W11" s="172"/>
      <c r="X11" s="172"/>
      <c r="Y11" s="172"/>
      <c r="Z11" s="172"/>
      <c r="AA11" s="172"/>
      <c r="AB11" s="172"/>
      <c r="AC11" s="172"/>
      <c r="AD11" s="172"/>
      <c r="AE11" s="172"/>
      <c r="AF11" s="172"/>
      <c r="AG11" s="172"/>
      <c r="AH11" s="168">
        <f>SUM(AH12:AH23)</f>
        <v>0</v>
      </c>
      <c r="AI11" s="170">
        <v>38430551</v>
      </c>
    </row>
    <row r="12" spans="1:35" s="11" customFormat="1" ht="38.25" x14ac:dyDescent="0.25">
      <c r="A12" s="217">
        <v>13</v>
      </c>
      <c r="B12" s="217">
        <v>1</v>
      </c>
      <c r="C12" s="222" t="s">
        <v>38</v>
      </c>
      <c r="D12" s="193" t="s">
        <v>32</v>
      </c>
      <c r="E12" s="205" t="s">
        <v>122</v>
      </c>
      <c r="F12" s="208" t="s">
        <v>123</v>
      </c>
      <c r="G12" s="43" t="s">
        <v>172</v>
      </c>
      <c r="H12" s="5"/>
      <c r="I12" s="5"/>
      <c r="J12" s="5"/>
      <c r="K12" s="5"/>
      <c r="L12" s="5"/>
      <c r="M12" s="4" t="s">
        <v>34</v>
      </c>
      <c r="N12" s="4" t="s">
        <v>35</v>
      </c>
      <c r="O12" s="4" t="s">
        <v>41</v>
      </c>
      <c r="P12" s="6" t="s">
        <v>124</v>
      </c>
      <c r="Q12" s="148"/>
      <c r="R12" s="148">
        <f>+SUM(R13:R16)</f>
        <v>0</v>
      </c>
      <c r="S12" s="148">
        <f t="shared" ref="S12:U12" si="9">+SUM(S13:S16)</f>
        <v>0</v>
      </c>
      <c r="T12" s="148">
        <f t="shared" si="9"/>
        <v>0</v>
      </c>
      <c r="U12" s="148">
        <f t="shared" si="9"/>
        <v>0</v>
      </c>
      <c r="V12" s="138" t="s">
        <v>124</v>
      </c>
      <c r="W12" s="139"/>
      <c r="X12" s="148">
        <f t="shared" ref="X12" si="10">+SUM(X13:X16)</f>
        <v>0</v>
      </c>
      <c r="Y12" s="148">
        <f t="shared" ref="Y12" si="11">+SUM(Y13:Y16)</f>
        <v>0</v>
      </c>
      <c r="Z12" s="148">
        <f t="shared" ref="Z12" si="12">+SUM(Z13:Z16)</f>
        <v>0</v>
      </c>
      <c r="AA12" s="148">
        <f t="shared" ref="AA12" si="13">+SUM(AA13:AA16)</f>
        <v>0</v>
      </c>
      <c r="AB12" s="148">
        <f t="shared" ref="AB12" si="14">+SUM(AB13:AB16)</f>
        <v>0</v>
      </c>
      <c r="AC12" s="148">
        <f t="shared" ref="AC12" si="15">+SUM(AC13:AC16)</f>
        <v>0</v>
      </c>
      <c r="AD12" s="148">
        <f t="shared" ref="AD12" si="16">+SUM(AD13:AD16)</f>
        <v>0</v>
      </c>
      <c r="AE12" s="148">
        <f t="shared" ref="AE12:AG12" si="17">+SUM(AE13:AE16)</f>
        <v>0</v>
      </c>
      <c r="AF12" s="148">
        <f t="shared" si="17"/>
        <v>0</v>
      </c>
      <c r="AG12" s="148">
        <f t="shared" si="17"/>
        <v>0</v>
      </c>
      <c r="AH12" s="153">
        <f t="shared" ref="AH12:AH23" si="18">+U12+AG12</f>
        <v>0</v>
      </c>
      <c r="AI12" s="154"/>
    </row>
    <row r="13" spans="1:35" s="11" customFormat="1" x14ac:dyDescent="0.25">
      <c r="A13" s="218"/>
      <c r="B13" s="218"/>
      <c r="C13" s="223"/>
      <c r="D13" s="194"/>
      <c r="E13" s="206"/>
      <c r="F13" s="209"/>
      <c r="G13" s="131" t="s">
        <v>227</v>
      </c>
      <c r="H13" s="5"/>
      <c r="I13" s="5"/>
      <c r="J13" s="5"/>
      <c r="K13" s="5"/>
      <c r="L13" s="5"/>
      <c r="M13" s="4"/>
      <c r="N13" s="4"/>
      <c r="O13" s="4"/>
      <c r="P13" s="6"/>
      <c r="Q13" s="148"/>
      <c r="R13" s="148"/>
      <c r="S13" s="137">
        <f t="shared" ref="S13:S23" si="19">+R13*Q13</f>
        <v>0</v>
      </c>
      <c r="T13" s="137">
        <f t="shared" ref="T13:T23" si="20">+R13</f>
        <v>0</v>
      </c>
      <c r="U13" s="137">
        <f t="shared" ref="U13:U23" si="21">S13</f>
        <v>0</v>
      </c>
      <c r="V13" s="138"/>
      <c r="W13" s="139">
        <v>1</v>
      </c>
      <c r="X13" s="137"/>
      <c r="Y13" s="137">
        <f t="shared" ref="Y13:Y16" si="22">+$W13*X13</f>
        <v>0</v>
      </c>
      <c r="Z13" s="137"/>
      <c r="AA13" s="137">
        <f t="shared" ref="AA13:AA16" si="23">+$W13*Z13</f>
        <v>0</v>
      </c>
      <c r="AB13" s="137"/>
      <c r="AC13" s="137">
        <f t="shared" ref="AC13:AC16" si="24">+$W13*AB13</f>
        <v>0</v>
      </c>
      <c r="AD13" s="137"/>
      <c r="AE13" s="137">
        <f t="shared" ref="AE13:AE16" si="25">+$W13*AD13</f>
        <v>0</v>
      </c>
      <c r="AF13" s="137">
        <f t="shared" ref="AF13:AG23" si="26">+X13+Z13+AB13+AD13</f>
        <v>0</v>
      </c>
      <c r="AG13" s="137">
        <f t="shared" si="26"/>
        <v>0</v>
      </c>
      <c r="AH13" s="153"/>
      <c r="AI13" s="154"/>
    </row>
    <row r="14" spans="1:35" s="11" customFormat="1" x14ac:dyDescent="0.25">
      <c r="A14" s="218"/>
      <c r="B14" s="218"/>
      <c r="C14" s="223"/>
      <c r="D14" s="194"/>
      <c r="E14" s="206"/>
      <c r="F14" s="209"/>
      <c r="G14" s="131" t="s">
        <v>228</v>
      </c>
      <c r="H14" s="5"/>
      <c r="I14" s="5"/>
      <c r="J14" s="5"/>
      <c r="K14" s="5"/>
      <c r="L14" s="5"/>
      <c r="M14" s="4"/>
      <c r="N14" s="4"/>
      <c r="O14" s="4"/>
      <c r="P14" s="6"/>
      <c r="Q14" s="148"/>
      <c r="R14" s="148"/>
      <c r="S14" s="137">
        <f t="shared" si="19"/>
        <v>0</v>
      </c>
      <c r="T14" s="137">
        <f t="shared" si="20"/>
        <v>0</v>
      </c>
      <c r="U14" s="137">
        <f t="shared" si="21"/>
        <v>0</v>
      </c>
      <c r="V14" s="138"/>
      <c r="W14" s="139">
        <v>1</v>
      </c>
      <c r="X14" s="137"/>
      <c r="Y14" s="137">
        <f t="shared" si="22"/>
        <v>0</v>
      </c>
      <c r="Z14" s="137"/>
      <c r="AA14" s="137">
        <f t="shared" si="23"/>
        <v>0</v>
      </c>
      <c r="AB14" s="137"/>
      <c r="AC14" s="137">
        <f t="shared" si="24"/>
        <v>0</v>
      </c>
      <c r="AD14" s="137"/>
      <c r="AE14" s="137">
        <f t="shared" si="25"/>
        <v>0</v>
      </c>
      <c r="AF14" s="137">
        <f t="shared" si="26"/>
        <v>0</v>
      </c>
      <c r="AG14" s="137">
        <f t="shared" si="26"/>
        <v>0</v>
      </c>
      <c r="AH14" s="153"/>
      <c r="AI14" s="154"/>
    </row>
    <row r="15" spans="1:35" s="11" customFormat="1" x14ac:dyDescent="0.25">
      <c r="A15" s="218"/>
      <c r="B15" s="218"/>
      <c r="C15" s="223"/>
      <c r="D15" s="194"/>
      <c r="E15" s="206"/>
      <c r="F15" s="209"/>
      <c r="G15" s="131" t="s">
        <v>229</v>
      </c>
      <c r="H15" s="5"/>
      <c r="I15" s="5"/>
      <c r="J15" s="5"/>
      <c r="K15" s="5"/>
      <c r="L15" s="5"/>
      <c r="M15" s="4"/>
      <c r="N15" s="4"/>
      <c r="O15" s="4"/>
      <c r="P15" s="6"/>
      <c r="Q15" s="148"/>
      <c r="R15" s="148"/>
      <c r="S15" s="137">
        <f t="shared" si="19"/>
        <v>0</v>
      </c>
      <c r="T15" s="137">
        <f t="shared" si="20"/>
        <v>0</v>
      </c>
      <c r="U15" s="137">
        <f t="shared" si="21"/>
        <v>0</v>
      </c>
      <c r="V15" s="138"/>
      <c r="W15" s="139">
        <v>1</v>
      </c>
      <c r="X15" s="137"/>
      <c r="Y15" s="137">
        <f t="shared" si="22"/>
        <v>0</v>
      </c>
      <c r="Z15" s="137"/>
      <c r="AA15" s="137">
        <f t="shared" si="23"/>
        <v>0</v>
      </c>
      <c r="AB15" s="137"/>
      <c r="AC15" s="137">
        <f t="shared" si="24"/>
        <v>0</v>
      </c>
      <c r="AD15" s="137"/>
      <c r="AE15" s="137">
        <f t="shared" si="25"/>
        <v>0</v>
      </c>
      <c r="AF15" s="137">
        <f t="shared" si="26"/>
        <v>0</v>
      </c>
      <c r="AG15" s="137">
        <f t="shared" si="26"/>
        <v>0</v>
      </c>
      <c r="AH15" s="153"/>
      <c r="AI15" s="154"/>
    </row>
    <row r="16" spans="1:35" s="11" customFormat="1" x14ac:dyDescent="0.25">
      <c r="A16" s="220"/>
      <c r="B16" s="220"/>
      <c r="C16" s="224"/>
      <c r="D16" s="194"/>
      <c r="E16" s="206"/>
      <c r="F16" s="209"/>
      <c r="G16" s="131" t="s">
        <v>230</v>
      </c>
      <c r="H16" s="5"/>
      <c r="I16" s="5"/>
      <c r="J16" s="5"/>
      <c r="K16" s="5"/>
      <c r="L16" s="5"/>
      <c r="M16" s="4"/>
      <c r="N16" s="4"/>
      <c r="O16" s="4"/>
      <c r="P16" s="6"/>
      <c r="Q16" s="148"/>
      <c r="R16" s="148"/>
      <c r="S16" s="137">
        <f t="shared" si="19"/>
        <v>0</v>
      </c>
      <c r="T16" s="137">
        <f t="shared" si="20"/>
        <v>0</v>
      </c>
      <c r="U16" s="137">
        <f t="shared" si="21"/>
        <v>0</v>
      </c>
      <c r="V16" s="138"/>
      <c r="W16" s="139">
        <v>1</v>
      </c>
      <c r="X16" s="137"/>
      <c r="Y16" s="137">
        <f t="shared" si="22"/>
        <v>0</v>
      </c>
      <c r="Z16" s="137"/>
      <c r="AA16" s="137">
        <f t="shared" si="23"/>
        <v>0</v>
      </c>
      <c r="AB16" s="137"/>
      <c r="AC16" s="137">
        <f t="shared" si="24"/>
        <v>0</v>
      </c>
      <c r="AD16" s="137"/>
      <c r="AE16" s="137">
        <f t="shared" si="25"/>
        <v>0</v>
      </c>
      <c r="AF16" s="137">
        <f t="shared" si="26"/>
        <v>0</v>
      </c>
      <c r="AG16" s="137">
        <f t="shared" si="26"/>
        <v>0</v>
      </c>
      <c r="AH16" s="153"/>
      <c r="AI16" s="154"/>
    </row>
    <row r="17" spans="1:37" s="11" customFormat="1" ht="38.25" x14ac:dyDescent="0.25">
      <c r="A17" s="217">
        <v>13</v>
      </c>
      <c r="B17" s="217">
        <v>1</v>
      </c>
      <c r="C17" s="222" t="s">
        <v>38</v>
      </c>
      <c r="D17" s="194"/>
      <c r="E17" s="206"/>
      <c r="F17" s="209"/>
      <c r="G17" s="43" t="s">
        <v>173</v>
      </c>
      <c r="H17" s="5"/>
      <c r="I17" s="5"/>
      <c r="J17" s="5"/>
      <c r="K17" s="5"/>
      <c r="L17" s="5"/>
      <c r="M17" s="4" t="s">
        <v>34</v>
      </c>
      <c r="N17" s="4" t="s">
        <v>35</v>
      </c>
      <c r="O17" s="4" t="s">
        <v>41</v>
      </c>
      <c r="P17" s="6" t="s">
        <v>125</v>
      </c>
      <c r="Q17" s="148"/>
      <c r="R17" s="148">
        <f>+SUM(R18:R21)</f>
        <v>0</v>
      </c>
      <c r="S17" s="148">
        <f>+SUM(S18:S21)</f>
        <v>0</v>
      </c>
      <c r="T17" s="148">
        <f t="shared" ref="T17" si="27">+SUM(T18:T21)</f>
        <v>0</v>
      </c>
      <c r="U17" s="148">
        <f t="shared" ref="U17" si="28">+SUM(U18:U21)</f>
        <v>0</v>
      </c>
      <c r="V17" s="138" t="s">
        <v>125</v>
      </c>
      <c r="W17" s="139"/>
      <c r="X17" s="148">
        <f t="shared" ref="X17" si="29">+SUM(X18:X21)</f>
        <v>0</v>
      </c>
      <c r="Y17" s="148">
        <f t="shared" ref="Y17" si="30">+SUM(Y18:Y21)</f>
        <v>0</v>
      </c>
      <c r="Z17" s="148">
        <f t="shared" ref="Z17" si="31">+SUM(Z18:Z21)</f>
        <v>0</v>
      </c>
      <c r="AA17" s="148">
        <f t="shared" ref="AA17" si="32">+SUM(AA18:AA21)</f>
        <v>0</v>
      </c>
      <c r="AB17" s="148">
        <f t="shared" ref="AB17" si="33">+SUM(AB18:AB21)</f>
        <v>0</v>
      </c>
      <c r="AC17" s="148">
        <f t="shared" ref="AC17" si="34">+SUM(AC18:AC21)</f>
        <v>0</v>
      </c>
      <c r="AD17" s="148">
        <f t="shared" ref="AD17" si="35">+SUM(AD18:AD21)</f>
        <v>0</v>
      </c>
      <c r="AE17" s="148">
        <f t="shared" ref="AE17:AG17" si="36">+SUM(AE18:AE21)</f>
        <v>0</v>
      </c>
      <c r="AF17" s="148">
        <f t="shared" si="36"/>
        <v>0</v>
      </c>
      <c r="AG17" s="148">
        <f t="shared" si="36"/>
        <v>0</v>
      </c>
      <c r="AH17" s="153">
        <f t="shared" si="18"/>
        <v>0</v>
      </c>
      <c r="AI17" s="154"/>
    </row>
    <row r="18" spans="1:37" s="11" customFormat="1" x14ac:dyDescent="0.25">
      <c r="A18" s="218"/>
      <c r="B18" s="218"/>
      <c r="C18" s="223"/>
      <c r="D18" s="194"/>
      <c r="E18" s="206"/>
      <c r="F18" s="209"/>
      <c r="G18" s="131" t="s">
        <v>227</v>
      </c>
      <c r="H18" s="5"/>
      <c r="I18" s="5"/>
      <c r="J18" s="5"/>
      <c r="K18" s="5"/>
      <c r="L18" s="5"/>
      <c r="M18" s="4"/>
      <c r="N18" s="4"/>
      <c r="O18" s="4"/>
      <c r="P18" s="6"/>
      <c r="Q18" s="148"/>
      <c r="R18" s="148"/>
      <c r="S18" s="137">
        <f t="shared" si="19"/>
        <v>0</v>
      </c>
      <c r="T18" s="137">
        <f t="shared" si="20"/>
        <v>0</v>
      </c>
      <c r="U18" s="137">
        <f t="shared" si="21"/>
        <v>0</v>
      </c>
      <c r="V18" s="138"/>
      <c r="W18" s="139">
        <v>1</v>
      </c>
      <c r="X18" s="137"/>
      <c r="Y18" s="137">
        <f t="shared" ref="Y18:Y21" si="37">+$W18*X18</f>
        <v>0</v>
      </c>
      <c r="Z18" s="137"/>
      <c r="AA18" s="137">
        <f t="shared" ref="AA18:AA21" si="38">+$W18*Z18</f>
        <v>0</v>
      </c>
      <c r="AB18" s="137"/>
      <c r="AC18" s="137">
        <f t="shared" ref="AC18:AC21" si="39">+$W18*AB18</f>
        <v>0</v>
      </c>
      <c r="AD18" s="137"/>
      <c r="AE18" s="137">
        <f t="shared" ref="AE18:AE21" si="40">+$W18*AD18</f>
        <v>0</v>
      </c>
      <c r="AF18" s="137">
        <f t="shared" si="26"/>
        <v>0</v>
      </c>
      <c r="AG18" s="137">
        <f t="shared" si="26"/>
        <v>0</v>
      </c>
      <c r="AH18" s="153"/>
      <c r="AI18" s="154"/>
    </row>
    <row r="19" spans="1:37" s="11" customFormat="1" x14ac:dyDescent="0.25">
      <c r="A19" s="218"/>
      <c r="B19" s="218"/>
      <c r="C19" s="223"/>
      <c r="D19" s="194"/>
      <c r="E19" s="206"/>
      <c r="F19" s="209"/>
      <c r="G19" s="131" t="s">
        <v>228</v>
      </c>
      <c r="H19" s="5"/>
      <c r="I19" s="5"/>
      <c r="J19" s="5"/>
      <c r="K19" s="5"/>
      <c r="L19" s="5"/>
      <c r="M19" s="4"/>
      <c r="N19" s="4"/>
      <c r="O19" s="4"/>
      <c r="P19" s="6"/>
      <c r="Q19" s="148"/>
      <c r="R19" s="148"/>
      <c r="S19" s="137">
        <f t="shared" si="19"/>
        <v>0</v>
      </c>
      <c r="T19" s="137">
        <f t="shared" si="20"/>
        <v>0</v>
      </c>
      <c r="U19" s="137">
        <f t="shared" si="21"/>
        <v>0</v>
      </c>
      <c r="V19" s="138"/>
      <c r="W19" s="139">
        <v>1</v>
      </c>
      <c r="X19" s="137"/>
      <c r="Y19" s="137">
        <f t="shared" si="37"/>
        <v>0</v>
      </c>
      <c r="Z19" s="137"/>
      <c r="AA19" s="137">
        <f t="shared" si="38"/>
        <v>0</v>
      </c>
      <c r="AB19" s="137"/>
      <c r="AC19" s="137">
        <f t="shared" si="39"/>
        <v>0</v>
      </c>
      <c r="AD19" s="137"/>
      <c r="AE19" s="137">
        <f t="shared" si="40"/>
        <v>0</v>
      </c>
      <c r="AF19" s="137">
        <f t="shared" si="26"/>
        <v>0</v>
      </c>
      <c r="AG19" s="137">
        <f t="shared" si="26"/>
        <v>0</v>
      </c>
      <c r="AH19" s="153"/>
      <c r="AI19" s="154"/>
    </row>
    <row r="20" spans="1:37" s="11" customFormat="1" x14ac:dyDescent="0.25">
      <c r="A20" s="218"/>
      <c r="B20" s="218"/>
      <c r="C20" s="223"/>
      <c r="D20" s="194"/>
      <c r="E20" s="206"/>
      <c r="F20" s="209"/>
      <c r="G20" s="131" t="s">
        <v>229</v>
      </c>
      <c r="H20" s="5"/>
      <c r="I20" s="5"/>
      <c r="J20" s="5"/>
      <c r="K20" s="5"/>
      <c r="L20" s="5"/>
      <c r="M20" s="4"/>
      <c r="N20" s="4"/>
      <c r="O20" s="4"/>
      <c r="P20" s="6"/>
      <c r="Q20" s="148"/>
      <c r="R20" s="148"/>
      <c r="S20" s="137">
        <f t="shared" si="19"/>
        <v>0</v>
      </c>
      <c r="T20" s="137">
        <f t="shared" si="20"/>
        <v>0</v>
      </c>
      <c r="U20" s="137">
        <f t="shared" si="21"/>
        <v>0</v>
      </c>
      <c r="V20" s="138"/>
      <c r="W20" s="139">
        <v>1</v>
      </c>
      <c r="X20" s="137"/>
      <c r="Y20" s="137">
        <f t="shared" si="37"/>
        <v>0</v>
      </c>
      <c r="Z20" s="137"/>
      <c r="AA20" s="137">
        <f t="shared" si="38"/>
        <v>0</v>
      </c>
      <c r="AB20" s="137"/>
      <c r="AC20" s="137">
        <f t="shared" si="39"/>
        <v>0</v>
      </c>
      <c r="AD20" s="137"/>
      <c r="AE20" s="137">
        <f t="shared" si="40"/>
        <v>0</v>
      </c>
      <c r="AF20" s="137">
        <f t="shared" si="26"/>
        <v>0</v>
      </c>
      <c r="AG20" s="137">
        <f t="shared" si="26"/>
        <v>0</v>
      </c>
      <c r="AH20" s="153"/>
      <c r="AI20" s="154"/>
    </row>
    <row r="21" spans="1:37" s="11" customFormat="1" x14ac:dyDescent="0.25">
      <c r="A21" s="220"/>
      <c r="B21" s="220"/>
      <c r="C21" s="224"/>
      <c r="D21" s="194"/>
      <c r="E21" s="206"/>
      <c r="F21" s="209"/>
      <c r="G21" s="131" t="s">
        <v>230</v>
      </c>
      <c r="H21" s="5"/>
      <c r="I21" s="5"/>
      <c r="J21" s="5"/>
      <c r="K21" s="5"/>
      <c r="L21" s="5"/>
      <c r="M21" s="4"/>
      <c r="N21" s="4"/>
      <c r="O21" s="4"/>
      <c r="P21" s="6"/>
      <c r="Q21" s="148"/>
      <c r="R21" s="148"/>
      <c r="S21" s="137">
        <f t="shared" si="19"/>
        <v>0</v>
      </c>
      <c r="T21" s="137">
        <f t="shared" si="20"/>
        <v>0</v>
      </c>
      <c r="U21" s="137">
        <f t="shared" si="21"/>
        <v>0</v>
      </c>
      <c r="V21" s="138"/>
      <c r="W21" s="139">
        <v>1</v>
      </c>
      <c r="X21" s="137"/>
      <c r="Y21" s="137">
        <f t="shared" si="37"/>
        <v>0</v>
      </c>
      <c r="Z21" s="137"/>
      <c r="AA21" s="137">
        <f t="shared" si="38"/>
        <v>0</v>
      </c>
      <c r="AB21" s="137"/>
      <c r="AC21" s="137">
        <f t="shared" si="39"/>
        <v>0</v>
      </c>
      <c r="AD21" s="137"/>
      <c r="AE21" s="137">
        <f t="shared" si="40"/>
        <v>0</v>
      </c>
      <c r="AF21" s="137">
        <f t="shared" si="26"/>
        <v>0</v>
      </c>
      <c r="AG21" s="137">
        <f t="shared" si="26"/>
        <v>0</v>
      </c>
      <c r="AH21" s="153"/>
      <c r="AI21" s="154"/>
    </row>
    <row r="22" spans="1:37" s="11" customFormat="1" ht="38.25" x14ac:dyDescent="0.25">
      <c r="A22" s="60">
        <v>13</v>
      </c>
      <c r="B22" s="60">
        <v>1</v>
      </c>
      <c r="C22" s="63" t="s">
        <v>38</v>
      </c>
      <c r="D22" s="194"/>
      <c r="E22" s="206"/>
      <c r="F22" s="209"/>
      <c r="G22" s="43" t="s">
        <v>126</v>
      </c>
      <c r="H22" s="5"/>
      <c r="I22" s="5"/>
      <c r="J22" s="5"/>
      <c r="K22" s="5"/>
      <c r="L22" s="5"/>
      <c r="M22" s="4" t="s">
        <v>34</v>
      </c>
      <c r="N22" s="4" t="s">
        <v>35</v>
      </c>
      <c r="O22" s="4" t="s">
        <v>41</v>
      </c>
      <c r="P22" s="6" t="s">
        <v>127</v>
      </c>
      <c r="Q22" s="152"/>
      <c r="R22" s="152"/>
      <c r="S22" s="137">
        <f t="shared" si="19"/>
        <v>0</v>
      </c>
      <c r="T22" s="137">
        <f t="shared" si="20"/>
        <v>0</v>
      </c>
      <c r="U22" s="137">
        <f t="shared" si="21"/>
        <v>0</v>
      </c>
      <c r="V22" s="138" t="s">
        <v>127</v>
      </c>
      <c r="W22" s="139"/>
      <c r="X22" s="137"/>
      <c r="Y22" s="137">
        <f t="shared" ref="Y22:Y23" si="41">+W22*X22</f>
        <v>0</v>
      </c>
      <c r="Z22" s="137"/>
      <c r="AA22" s="137">
        <f t="shared" ref="AA22:AA23" si="42">+Z22*W22</f>
        <v>0</v>
      </c>
      <c r="AB22" s="137"/>
      <c r="AC22" s="137">
        <f t="shared" ref="AC22:AC23" si="43">+AB22*W22</f>
        <v>0</v>
      </c>
      <c r="AD22" s="137"/>
      <c r="AE22" s="137">
        <f t="shared" ref="AE22:AE23" si="44">+AD22*W22</f>
        <v>0</v>
      </c>
      <c r="AF22" s="137">
        <f t="shared" si="26"/>
        <v>0</v>
      </c>
      <c r="AG22" s="137">
        <f t="shared" si="26"/>
        <v>0</v>
      </c>
      <c r="AH22" s="153">
        <f t="shared" si="18"/>
        <v>0</v>
      </c>
      <c r="AI22" s="154"/>
    </row>
    <row r="23" spans="1:37" s="59" customFormat="1" ht="150.75" customHeight="1" x14ac:dyDescent="0.25">
      <c r="A23" s="60">
        <v>13</v>
      </c>
      <c r="B23" s="60">
        <v>1</v>
      </c>
      <c r="C23" s="63" t="s">
        <v>38</v>
      </c>
      <c r="D23" s="195"/>
      <c r="E23" s="207"/>
      <c r="F23" s="210"/>
      <c r="G23" s="43" t="s">
        <v>128</v>
      </c>
      <c r="H23" s="5"/>
      <c r="I23" s="5"/>
      <c r="J23" s="5"/>
      <c r="K23" s="5"/>
      <c r="L23" s="5"/>
      <c r="M23" s="4" t="s">
        <v>34</v>
      </c>
      <c r="N23" s="4" t="s">
        <v>35</v>
      </c>
      <c r="O23" s="4" t="s">
        <v>41</v>
      </c>
      <c r="P23" s="6" t="s">
        <v>129</v>
      </c>
      <c r="Q23" s="152"/>
      <c r="R23" s="152"/>
      <c r="S23" s="137">
        <f t="shared" si="19"/>
        <v>0</v>
      </c>
      <c r="T23" s="137">
        <f t="shared" si="20"/>
        <v>0</v>
      </c>
      <c r="U23" s="137">
        <f t="shared" si="21"/>
        <v>0</v>
      </c>
      <c r="V23" s="138" t="s">
        <v>129</v>
      </c>
      <c r="W23" s="139"/>
      <c r="X23" s="137"/>
      <c r="Y23" s="137">
        <f t="shared" si="41"/>
        <v>0</v>
      </c>
      <c r="Z23" s="137"/>
      <c r="AA23" s="137">
        <f t="shared" si="42"/>
        <v>0</v>
      </c>
      <c r="AB23" s="137"/>
      <c r="AC23" s="137">
        <f t="shared" si="43"/>
        <v>0</v>
      </c>
      <c r="AD23" s="137"/>
      <c r="AE23" s="137">
        <f t="shared" si="44"/>
        <v>0</v>
      </c>
      <c r="AF23" s="137">
        <f t="shared" si="26"/>
        <v>0</v>
      </c>
      <c r="AG23" s="137">
        <f t="shared" si="26"/>
        <v>0</v>
      </c>
      <c r="AH23" s="153">
        <f t="shared" si="18"/>
        <v>0</v>
      </c>
      <c r="AI23" s="154"/>
    </row>
    <row r="24" spans="1:37" s="11" customFormat="1" x14ac:dyDescent="0.2">
      <c r="A24" s="49" t="s">
        <v>57</v>
      </c>
      <c r="B24" s="25"/>
      <c r="C24" s="26"/>
      <c r="D24" s="26"/>
      <c r="E24" s="26"/>
      <c r="F24" s="26"/>
      <c r="G24" s="38"/>
      <c r="H24" s="39"/>
      <c r="I24" s="39"/>
      <c r="J24" s="39"/>
      <c r="K24" s="39"/>
      <c r="L24" s="39"/>
      <c r="M24" s="37"/>
      <c r="N24" s="37"/>
      <c r="O24" s="37"/>
      <c r="P24" s="34"/>
      <c r="Q24" s="172"/>
      <c r="R24" s="172"/>
      <c r="S24" s="172"/>
      <c r="T24" s="172"/>
      <c r="U24" s="172"/>
      <c r="V24" s="172"/>
      <c r="W24" s="172"/>
      <c r="X24" s="172"/>
      <c r="Y24" s="172"/>
      <c r="Z24" s="172"/>
      <c r="AA24" s="172"/>
      <c r="AB24" s="172"/>
      <c r="AC24" s="172"/>
      <c r="AD24" s="172"/>
      <c r="AE24" s="172"/>
      <c r="AF24" s="172"/>
      <c r="AG24" s="172"/>
      <c r="AH24" s="168">
        <f>SUM(AH25)</f>
        <v>0</v>
      </c>
      <c r="AI24" s="170">
        <v>16470236</v>
      </c>
    </row>
    <row r="25" spans="1:37" s="59" customFormat="1" ht="89.25" x14ac:dyDescent="0.25">
      <c r="A25" s="60">
        <v>8</v>
      </c>
      <c r="B25" s="60">
        <v>1</v>
      </c>
      <c r="C25" s="63" t="s">
        <v>38</v>
      </c>
      <c r="D25" s="63" t="s">
        <v>32</v>
      </c>
      <c r="E25" s="57" t="s">
        <v>122</v>
      </c>
      <c r="F25" s="57" t="s">
        <v>130</v>
      </c>
      <c r="G25" s="3"/>
      <c r="H25" s="5"/>
      <c r="I25" s="5"/>
      <c r="J25" s="5"/>
      <c r="K25" s="5"/>
      <c r="L25" s="5"/>
      <c r="M25" s="4" t="s">
        <v>34</v>
      </c>
      <c r="N25" s="4" t="s">
        <v>35</v>
      </c>
      <c r="O25" s="4" t="s">
        <v>40</v>
      </c>
      <c r="P25" s="6"/>
      <c r="Q25" s="152"/>
      <c r="R25" s="152"/>
      <c r="S25" s="137">
        <f t="shared" ref="S25" si="45">+R25*Q25</f>
        <v>0</v>
      </c>
      <c r="T25" s="137">
        <f t="shared" ref="T25" si="46">+R25</f>
        <v>0</v>
      </c>
      <c r="U25" s="137">
        <f t="shared" ref="U25" si="47">S25</f>
        <v>0</v>
      </c>
      <c r="V25" s="138"/>
      <c r="W25" s="139"/>
      <c r="X25" s="137"/>
      <c r="Y25" s="137">
        <f t="shared" ref="Y25" si="48">+W25*X25</f>
        <v>0</v>
      </c>
      <c r="Z25" s="137"/>
      <c r="AA25" s="137">
        <f t="shared" ref="AA25" si="49">+Z25*W25</f>
        <v>0</v>
      </c>
      <c r="AB25" s="137"/>
      <c r="AC25" s="137">
        <f t="shared" ref="AC25" si="50">+AB25*W25</f>
        <v>0</v>
      </c>
      <c r="AD25" s="137"/>
      <c r="AE25" s="137">
        <f t="shared" ref="AE25" si="51">+AD25*W25</f>
        <v>0</v>
      </c>
      <c r="AF25" s="137">
        <f t="shared" ref="AF25:AG25" si="52">+X25+Z25+AB25+AD25</f>
        <v>0</v>
      </c>
      <c r="AG25" s="137">
        <f t="shared" si="52"/>
        <v>0</v>
      </c>
      <c r="AH25" s="153">
        <f t="shared" ref="AH25" si="53">+U25+AG25</f>
        <v>0</v>
      </c>
      <c r="AI25" s="154"/>
    </row>
    <row r="26" spans="1:37" s="11" customFormat="1" x14ac:dyDescent="0.2">
      <c r="A26" s="49" t="s">
        <v>164</v>
      </c>
      <c r="B26" s="25"/>
      <c r="C26" s="26"/>
      <c r="D26" s="26"/>
      <c r="E26" s="26"/>
      <c r="F26" s="26"/>
      <c r="G26" s="38"/>
      <c r="H26" s="39"/>
      <c r="I26" s="39"/>
      <c r="J26" s="39"/>
      <c r="K26" s="39"/>
      <c r="L26" s="39"/>
      <c r="M26" s="37"/>
      <c r="N26" s="37"/>
      <c r="O26" s="37"/>
      <c r="P26" s="34"/>
      <c r="Q26" s="172"/>
      <c r="R26" s="172"/>
      <c r="S26" s="172"/>
      <c r="T26" s="172"/>
      <c r="U26" s="172"/>
      <c r="V26" s="172"/>
      <c r="W26" s="172"/>
      <c r="X26" s="172"/>
      <c r="Y26" s="172"/>
      <c r="Z26" s="172"/>
      <c r="AA26" s="172"/>
      <c r="AB26" s="172"/>
      <c r="AC26" s="172"/>
      <c r="AD26" s="172"/>
      <c r="AE26" s="172"/>
      <c r="AF26" s="172"/>
      <c r="AG26" s="172"/>
      <c r="AH26" s="168">
        <f>+AH4+AH11+AH24</f>
        <v>0</v>
      </c>
      <c r="AI26" s="170">
        <f>+AI4+AI11+AI24</f>
        <v>183002623</v>
      </c>
    </row>
    <row r="27" spans="1:37" x14ac:dyDescent="0.2">
      <c r="Q27" s="173"/>
      <c r="R27" s="173"/>
      <c r="S27" s="173"/>
      <c r="T27" s="173"/>
      <c r="U27" s="173"/>
      <c r="V27" s="173"/>
      <c r="W27" s="173"/>
      <c r="X27" s="173"/>
      <c r="Y27" s="173"/>
      <c r="Z27" s="173"/>
      <c r="AA27" s="174"/>
      <c r="AB27" s="173"/>
      <c r="AC27" s="173"/>
      <c r="AD27" s="173"/>
      <c r="AE27" s="173"/>
      <c r="AF27" s="173"/>
      <c r="AG27" s="173"/>
      <c r="AH27" s="173">
        <f>SUM(AH7:AH25)</f>
        <v>0</v>
      </c>
      <c r="AI27" s="178"/>
      <c r="AJ27" s="46"/>
    </row>
    <row r="28" spans="1:37" s="11" customFormat="1" x14ac:dyDescent="0.2">
      <c r="A28" s="49" t="s">
        <v>58</v>
      </c>
      <c r="B28" s="25"/>
      <c r="C28" s="26"/>
      <c r="D28" s="26"/>
      <c r="E28" s="26"/>
      <c r="F28" s="26"/>
      <c r="G28" s="26"/>
      <c r="H28" s="27"/>
      <c r="I28" s="27"/>
      <c r="J28" s="27"/>
      <c r="K28" s="27"/>
      <c r="L28" s="27"/>
      <c r="M28" s="25"/>
      <c r="N28" s="25"/>
      <c r="O28" s="25"/>
      <c r="P28" s="25"/>
      <c r="Q28" s="175"/>
      <c r="R28" s="175"/>
      <c r="S28" s="175"/>
      <c r="T28" s="175"/>
      <c r="U28" s="175"/>
      <c r="V28" s="175"/>
      <c r="W28" s="175"/>
      <c r="X28" s="175"/>
      <c r="Y28" s="175"/>
      <c r="Z28" s="175"/>
      <c r="AA28" s="175"/>
      <c r="AB28" s="175"/>
      <c r="AC28" s="175"/>
      <c r="AD28" s="175"/>
      <c r="AE28" s="175"/>
      <c r="AF28" s="175"/>
      <c r="AG28" s="175"/>
      <c r="AH28" s="168"/>
      <c r="AI28" s="170"/>
    </row>
    <row r="29" spans="1:37" s="59" customFormat="1" ht="89.25" x14ac:dyDescent="0.25">
      <c r="A29" s="60">
        <v>6</v>
      </c>
      <c r="B29" s="60">
        <v>1</v>
      </c>
      <c r="C29" s="63" t="s">
        <v>31</v>
      </c>
      <c r="D29" s="63" t="s">
        <v>32</v>
      </c>
      <c r="E29" s="57" t="s">
        <v>33</v>
      </c>
      <c r="F29" s="63" t="s">
        <v>131</v>
      </c>
      <c r="G29" s="57" t="s">
        <v>132</v>
      </c>
      <c r="H29" s="58"/>
      <c r="I29" s="58"/>
      <c r="J29" s="58"/>
      <c r="K29" s="58"/>
      <c r="L29" s="58"/>
      <c r="M29" s="33" t="s">
        <v>34</v>
      </c>
      <c r="N29" s="33" t="s">
        <v>35</v>
      </c>
      <c r="O29" s="33" t="s">
        <v>36</v>
      </c>
      <c r="P29" s="51" t="s">
        <v>37</v>
      </c>
      <c r="Q29" s="140">
        <f>15355</f>
        <v>15355</v>
      </c>
      <c r="R29" s="113">
        <v>74</v>
      </c>
      <c r="S29" s="140">
        <f>+R29*Q29</f>
        <v>1136270</v>
      </c>
      <c r="T29" s="140">
        <f t="shared" ref="T29:T34" si="54">+R29</f>
        <v>74</v>
      </c>
      <c r="U29" s="140">
        <f>S29</f>
        <v>1136270</v>
      </c>
      <c r="V29" s="150" t="s">
        <v>37</v>
      </c>
      <c r="W29" s="151">
        <f>+Q29</f>
        <v>15355</v>
      </c>
      <c r="X29" s="140">
        <v>74</v>
      </c>
      <c r="Y29" s="140">
        <f t="shared" ref="Y29:Y33" si="55">+W29*X29</f>
        <v>1136270</v>
      </c>
      <c r="Z29" s="140">
        <v>74</v>
      </c>
      <c r="AA29" s="140">
        <f t="shared" ref="AA29:AA33" si="56">+Z29*W29</f>
        <v>1136270</v>
      </c>
      <c r="AB29" s="140">
        <f>+Z29</f>
        <v>74</v>
      </c>
      <c r="AC29" s="140">
        <f t="shared" ref="AC29:AC33" si="57">+AB29*W29</f>
        <v>1136270</v>
      </c>
      <c r="AD29" s="140">
        <v>73</v>
      </c>
      <c r="AE29" s="140">
        <f t="shared" ref="AE29:AE33" si="58">+AD29*W29</f>
        <v>1120915</v>
      </c>
      <c r="AF29" s="140">
        <f>+X29+Z29+AB29+AD29</f>
        <v>295</v>
      </c>
      <c r="AG29" s="140">
        <f t="shared" ref="AF29:AG33" si="59">+Y29+AA29+AC29+AE29</f>
        <v>4529725</v>
      </c>
      <c r="AH29" s="153">
        <f>+U29+AG29</f>
        <v>5665995</v>
      </c>
      <c r="AI29" s="154"/>
      <c r="AK29" s="112"/>
    </row>
    <row r="30" spans="1:37" s="59" customFormat="1" ht="114.75" x14ac:dyDescent="0.25">
      <c r="A30" s="60">
        <v>34</v>
      </c>
      <c r="B30" s="68">
        <v>1</v>
      </c>
      <c r="C30" s="63" t="s">
        <v>42</v>
      </c>
      <c r="D30" s="63" t="s">
        <v>43</v>
      </c>
      <c r="E30" s="57" t="s">
        <v>44</v>
      </c>
      <c r="F30" s="63" t="s">
        <v>158</v>
      </c>
      <c r="G30" s="57" t="s">
        <v>133</v>
      </c>
      <c r="H30" s="33"/>
      <c r="I30" s="58"/>
      <c r="J30" s="58"/>
      <c r="K30" s="58"/>
      <c r="L30" s="58"/>
      <c r="M30" s="33" t="s">
        <v>34</v>
      </c>
      <c r="N30" s="33" t="s">
        <v>35</v>
      </c>
      <c r="O30" s="63" t="s">
        <v>45</v>
      </c>
      <c r="P30" s="51" t="s">
        <v>134</v>
      </c>
      <c r="Q30" s="140"/>
      <c r="R30" s="113"/>
      <c r="S30" s="140">
        <f>+R30*Q30</f>
        <v>0</v>
      </c>
      <c r="T30" s="140">
        <f t="shared" si="54"/>
        <v>0</v>
      </c>
      <c r="U30" s="140">
        <f t="shared" ref="U30:U33" si="60">S30</f>
        <v>0</v>
      </c>
      <c r="V30" s="150" t="s">
        <v>134</v>
      </c>
      <c r="W30" s="140">
        <f>36000*24</f>
        <v>864000</v>
      </c>
      <c r="X30" s="140">
        <v>2</v>
      </c>
      <c r="Y30" s="140">
        <f t="shared" si="55"/>
        <v>1728000</v>
      </c>
      <c r="Z30" s="140">
        <f>+X30+1</f>
        <v>3</v>
      </c>
      <c r="AA30" s="140">
        <f t="shared" si="56"/>
        <v>2592000</v>
      </c>
      <c r="AB30" s="140"/>
      <c r="AC30" s="140">
        <f t="shared" si="57"/>
        <v>0</v>
      </c>
      <c r="AD30" s="140">
        <f t="shared" ref="AD30:AD31" si="61">+AB30</f>
        <v>0</v>
      </c>
      <c r="AE30" s="140">
        <f t="shared" si="58"/>
        <v>0</v>
      </c>
      <c r="AF30" s="140">
        <f>+X30+Z30+AB30+AD30</f>
        <v>5</v>
      </c>
      <c r="AG30" s="140">
        <f t="shared" si="59"/>
        <v>4320000</v>
      </c>
      <c r="AH30" s="153">
        <f t="shared" ref="AH30:AH33" si="62">+U30+AG30</f>
        <v>4320000</v>
      </c>
      <c r="AI30" s="154"/>
    </row>
    <row r="31" spans="1:37" s="59" customFormat="1" ht="114.75" x14ac:dyDescent="0.25">
      <c r="A31" s="60">
        <v>35</v>
      </c>
      <c r="B31" s="68">
        <v>1</v>
      </c>
      <c r="C31" s="63" t="s">
        <v>42</v>
      </c>
      <c r="D31" s="63" t="s">
        <v>43</v>
      </c>
      <c r="E31" s="57" t="s">
        <v>44</v>
      </c>
      <c r="F31" s="63" t="s">
        <v>158</v>
      </c>
      <c r="G31" s="57" t="s">
        <v>135</v>
      </c>
      <c r="H31" s="33"/>
      <c r="I31" s="58"/>
      <c r="J31" s="58"/>
      <c r="K31" s="58"/>
      <c r="L31" s="58"/>
      <c r="M31" s="33" t="s">
        <v>34</v>
      </c>
      <c r="N31" s="33" t="s">
        <v>35</v>
      </c>
      <c r="O31" s="63" t="s">
        <v>45</v>
      </c>
      <c r="P31" s="51" t="s">
        <v>134</v>
      </c>
      <c r="Q31" s="140"/>
      <c r="R31" s="113"/>
      <c r="S31" s="140">
        <f t="shared" ref="S31:S33" si="63">+R31*Q31</f>
        <v>0</v>
      </c>
      <c r="T31" s="140">
        <f t="shared" si="54"/>
        <v>0</v>
      </c>
      <c r="U31" s="140">
        <f t="shared" si="60"/>
        <v>0</v>
      </c>
      <c r="V31" s="150" t="s">
        <v>134</v>
      </c>
      <c r="W31" s="140">
        <f>36000*12</f>
        <v>432000</v>
      </c>
      <c r="X31" s="140"/>
      <c r="Y31" s="140">
        <f t="shared" si="55"/>
        <v>0</v>
      </c>
      <c r="Z31" s="140">
        <f t="shared" ref="Z31" si="64">+X31</f>
        <v>0</v>
      </c>
      <c r="AA31" s="140">
        <f t="shared" si="56"/>
        <v>0</v>
      </c>
      <c r="AB31" s="140">
        <v>5</v>
      </c>
      <c r="AC31" s="140">
        <f t="shared" si="57"/>
        <v>2160000</v>
      </c>
      <c r="AD31" s="140">
        <f t="shared" si="61"/>
        <v>5</v>
      </c>
      <c r="AE31" s="140">
        <f t="shared" si="58"/>
        <v>2160000</v>
      </c>
      <c r="AF31" s="140">
        <f t="shared" si="59"/>
        <v>10</v>
      </c>
      <c r="AG31" s="140">
        <f t="shared" si="59"/>
        <v>4320000</v>
      </c>
      <c r="AH31" s="153">
        <f t="shared" si="62"/>
        <v>4320000</v>
      </c>
      <c r="AI31" s="154"/>
    </row>
    <row r="32" spans="1:37" s="72" customFormat="1" ht="76.5" x14ac:dyDescent="0.25">
      <c r="A32" s="60">
        <v>43</v>
      </c>
      <c r="B32" s="68">
        <v>1</v>
      </c>
      <c r="C32" s="63" t="s">
        <v>46</v>
      </c>
      <c r="D32" s="63" t="s">
        <v>47</v>
      </c>
      <c r="E32" s="57" t="s">
        <v>48</v>
      </c>
      <c r="F32" s="63" t="s">
        <v>159</v>
      </c>
      <c r="G32" s="57" t="s">
        <v>136</v>
      </c>
      <c r="H32" s="69"/>
      <c r="I32" s="69"/>
      <c r="J32" s="70"/>
      <c r="K32" s="69"/>
      <c r="L32" s="70"/>
      <c r="M32" s="33" t="s">
        <v>34</v>
      </c>
      <c r="N32" s="33" t="s">
        <v>35</v>
      </c>
      <c r="O32" s="33" t="s">
        <v>49</v>
      </c>
      <c r="P32" s="51" t="s">
        <v>137</v>
      </c>
      <c r="Q32" s="140"/>
      <c r="R32" s="113"/>
      <c r="S32" s="140">
        <f t="shared" si="63"/>
        <v>0</v>
      </c>
      <c r="T32" s="140">
        <f t="shared" si="54"/>
        <v>0</v>
      </c>
      <c r="U32" s="140">
        <f t="shared" si="60"/>
        <v>0</v>
      </c>
      <c r="V32" s="150" t="s">
        <v>137</v>
      </c>
      <c r="W32" s="151">
        <v>5000000</v>
      </c>
      <c r="X32" s="140">
        <f t="shared" ref="X32" si="65">+R32</f>
        <v>0</v>
      </c>
      <c r="Y32" s="140">
        <f t="shared" si="55"/>
        <v>0</v>
      </c>
      <c r="Z32" s="140">
        <v>0</v>
      </c>
      <c r="AA32" s="140">
        <f t="shared" si="56"/>
        <v>0</v>
      </c>
      <c r="AB32" s="140"/>
      <c r="AC32" s="140">
        <f t="shared" si="57"/>
        <v>0</v>
      </c>
      <c r="AD32" s="140">
        <v>1</v>
      </c>
      <c r="AE32" s="140">
        <f t="shared" si="58"/>
        <v>5000000</v>
      </c>
      <c r="AF32" s="140">
        <f t="shared" si="59"/>
        <v>1</v>
      </c>
      <c r="AG32" s="140">
        <f t="shared" si="59"/>
        <v>5000000</v>
      </c>
      <c r="AH32" s="153">
        <f t="shared" si="62"/>
        <v>5000000</v>
      </c>
      <c r="AI32" s="154"/>
    </row>
    <row r="33" spans="1:35" s="72" customFormat="1" ht="144" customHeight="1" x14ac:dyDescent="0.25">
      <c r="A33" s="60">
        <v>46</v>
      </c>
      <c r="B33" s="68">
        <v>1</v>
      </c>
      <c r="C33" s="33" t="s">
        <v>38</v>
      </c>
      <c r="D33" s="63" t="s">
        <v>47</v>
      </c>
      <c r="E33" s="57" t="s">
        <v>50</v>
      </c>
      <c r="F33" s="63" t="s">
        <v>138</v>
      </c>
      <c r="G33" s="57" t="s">
        <v>139</v>
      </c>
      <c r="H33" s="69"/>
      <c r="I33" s="70"/>
      <c r="J33" s="70"/>
      <c r="K33" s="70"/>
      <c r="L33" s="70"/>
      <c r="M33" s="33" t="s">
        <v>34</v>
      </c>
      <c r="N33" s="33" t="s">
        <v>35</v>
      </c>
      <c r="O33" s="33" t="s">
        <v>36</v>
      </c>
      <c r="P33" s="51" t="s">
        <v>140</v>
      </c>
      <c r="Q33" s="140"/>
      <c r="R33" s="113"/>
      <c r="S33" s="140">
        <f t="shared" si="63"/>
        <v>0</v>
      </c>
      <c r="T33" s="140">
        <f t="shared" si="54"/>
        <v>0</v>
      </c>
      <c r="U33" s="140">
        <f t="shared" si="60"/>
        <v>0</v>
      </c>
      <c r="V33" s="150" t="s">
        <v>140</v>
      </c>
      <c r="W33" s="140">
        <v>100000</v>
      </c>
      <c r="X33" s="140">
        <v>5</v>
      </c>
      <c r="Y33" s="140">
        <f t="shared" si="55"/>
        <v>500000</v>
      </c>
      <c r="Z33" s="140">
        <v>6</v>
      </c>
      <c r="AA33" s="140">
        <f t="shared" si="56"/>
        <v>600000</v>
      </c>
      <c r="AB33" s="140">
        <v>5</v>
      </c>
      <c r="AC33" s="140">
        <f t="shared" si="57"/>
        <v>500000</v>
      </c>
      <c r="AD33" s="140">
        <v>6</v>
      </c>
      <c r="AE33" s="140">
        <f t="shared" si="58"/>
        <v>600000</v>
      </c>
      <c r="AF33" s="140">
        <f t="shared" si="59"/>
        <v>22</v>
      </c>
      <c r="AG33" s="140">
        <f t="shared" si="59"/>
        <v>2200000</v>
      </c>
      <c r="AH33" s="153">
        <f t="shared" si="62"/>
        <v>2200000</v>
      </c>
      <c r="AI33" s="154"/>
    </row>
    <row r="34" spans="1:35" s="77" customFormat="1" ht="89.25" customHeight="1" x14ac:dyDescent="0.25">
      <c r="A34" s="60">
        <v>12</v>
      </c>
      <c r="B34" s="68">
        <v>1</v>
      </c>
      <c r="C34" s="63" t="s">
        <v>38</v>
      </c>
      <c r="D34" s="73" t="s">
        <v>32</v>
      </c>
      <c r="E34" s="74" t="s">
        <v>114</v>
      </c>
      <c r="F34" s="75" t="s">
        <v>160</v>
      </c>
      <c r="G34" s="75" t="s">
        <v>141</v>
      </c>
      <c r="H34" s="33"/>
      <c r="I34" s="70"/>
      <c r="J34" s="70"/>
      <c r="K34" s="70"/>
      <c r="L34" s="70"/>
      <c r="M34" s="76" t="s">
        <v>34</v>
      </c>
      <c r="N34" s="33" t="s">
        <v>35</v>
      </c>
      <c r="O34" s="76" t="s">
        <v>41</v>
      </c>
      <c r="P34" s="51" t="s">
        <v>142</v>
      </c>
      <c r="Q34" s="140">
        <f>150000*3</f>
        <v>450000</v>
      </c>
      <c r="R34" s="113">
        <v>5</v>
      </c>
      <c r="S34" s="140">
        <f>+R34*Q34</f>
        <v>2250000</v>
      </c>
      <c r="T34" s="140">
        <f t="shared" si="54"/>
        <v>5</v>
      </c>
      <c r="U34" s="140">
        <f>S34</f>
        <v>2250000</v>
      </c>
      <c r="V34" s="150" t="str">
        <f>+P34</f>
        <v>Costo Incentivo Lideres Pares</v>
      </c>
      <c r="W34" s="151">
        <f>154500*3</f>
        <v>463500</v>
      </c>
      <c r="X34" s="140">
        <v>5</v>
      </c>
      <c r="Y34" s="140">
        <f>+W34*X34</f>
        <v>2317500</v>
      </c>
      <c r="Z34" s="140">
        <v>25</v>
      </c>
      <c r="AA34" s="140">
        <f>+Z34*W34</f>
        <v>11587500</v>
      </c>
      <c r="AB34" s="140">
        <f t="shared" ref="AB34" si="66">+Z34</f>
        <v>25</v>
      </c>
      <c r="AC34" s="140">
        <f>+AB34*W34</f>
        <v>11587500</v>
      </c>
      <c r="AD34" s="140">
        <f>+AB34</f>
        <v>25</v>
      </c>
      <c r="AE34" s="140">
        <f>+AD34*W34</f>
        <v>11587500</v>
      </c>
      <c r="AF34" s="140">
        <f>+X34+Z34+AB34+AD34</f>
        <v>80</v>
      </c>
      <c r="AG34" s="140">
        <f>+Y34+AA34+AC34+AE34</f>
        <v>37080000</v>
      </c>
      <c r="AH34" s="153">
        <f>+U34+AG34</f>
        <v>39330000</v>
      </c>
      <c r="AI34" s="154"/>
    </row>
    <row r="35" spans="1:35" s="11" customFormat="1" x14ac:dyDescent="0.2">
      <c r="A35" s="49" t="s">
        <v>165</v>
      </c>
      <c r="B35" s="25"/>
      <c r="C35" s="26"/>
      <c r="D35" s="26"/>
      <c r="E35" s="26"/>
      <c r="F35" s="26"/>
      <c r="G35" s="26"/>
      <c r="H35" s="27"/>
      <c r="I35" s="27"/>
      <c r="J35" s="27"/>
      <c r="K35" s="27"/>
      <c r="L35" s="27"/>
      <c r="M35" s="25"/>
      <c r="N35" s="25"/>
      <c r="O35" s="25"/>
      <c r="P35" s="64"/>
      <c r="Q35" s="175"/>
      <c r="R35" s="175"/>
      <c r="S35" s="175"/>
      <c r="T35" s="175"/>
      <c r="U35" s="175"/>
      <c r="V35" s="175"/>
      <c r="W35" s="175"/>
      <c r="X35" s="175"/>
      <c r="Y35" s="175"/>
      <c r="Z35" s="175"/>
      <c r="AA35" s="175"/>
      <c r="AB35" s="175"/>
      <c r="AC35" s="175"/>
      <c r="AD35" s="175"/>
      <c r="AE35" s="175"/>
      <c r="AF35" s="175"/>
      <c r="AG35" s="175"/>
      <c r="AH35" s="168">
        <f>SUM(AH29:AH34)</f>
        <v>60835995</v>
      </c>
      <c r="AI35" s="170">
        <f>+AH35</f>
        <v>60835995</v>
      </c>
    </row>
    <row r="36" spans="1:35" s="11" customFormat="1" x14ac:dyDescent="0.2">
      <c r="A36" s="83" t="s">
        <v>166</v>
      </c>
      <c r="B36" s="84"/>
      <c r="C36" s="85"/>
      <c r="D36" s="85"/>
      <c r="E36" s="85"/>
      <c r="F36" s="85"/>
      <c r="G36" s="85"/>
      <c r="H36" s="86"/>
      <c r="I36" s="86"/>
      <c r="J36" s="86"/>
      <c r="K36" s="86"/>
      <c r="L36" s="86"/>
      <c r="M36" s="84"/>
      <c r="N36" s="84"/>
      <c r="O36" s="84"/>
      <c r="P36" s="87"/>
      <c r="Q36" s="176"/>
      <c r="R36" s="176"/>
      <c r="S36" s="176"/>
      <c r="T36" s="176"/>
      <c r="U36" s="176"/>
      <c r="V36" s="176"/>
      <c r="W36" s="176"/>
      <c r="X36" s="176"/>
      <c r="Y36" s="176"/>
      <c r="Z36" s="176"/>
      <c r="AA36" s="176"/>
      <c r="AB36" s="176"/>
      <c r="AC36" s="176"/>
      <c r="AD36" s="176"/>
      <c r="AE36" s="176"/>
      <c r="AF36" s="176"/>
      <c r="AG36" s="176"/>
      <c r="AH36" s="177"/>
      <c r="AI36" s="177">
        <f>+AI26+AI35</f>
        <v>243838618</v>
      </c>
    </row>
  </sheetData>
  <sheetProtection password="CB42" sheet="1" objects="1" scenarios="1" formatCells="0" formatColumns="0" formatRows="0" insertRows="0"/>
  <mergeCells count="45">
    <mergeCell ref="A12:A16"/>
    <mergeCell ref="B12:B16"/>
    <mergeCell ref="C12:C16"/>
    <mergeCell ref="A17:A21"/>
    <mergeCell ref="B17:B21"/>
    <mergeCell ref="C17:C21"/>
    <mergeCell ref="F2:F3"/>
    <mergeCell ref="A2:A3"/>
    <mergeCell ref="B2:B3"/>
    <mergeCell ref="C2:C3"/>
    <mergeCell ref="D2:D3"/>
    <mergeCell ref="E2:E3"/>
    <mergeCell ref="V2:V3"/>
    <mergeCell ref="G2:G3"/>
    <mergeCell ref="I2:L2"/>
    <mergeCell ref="M2:M3"/>
    <mergeCell ref="N2:N3"/>
    <mergeCell ref="O2:O3"/>
    <mergeCell ref="P2:P3"/>
    <mergeCell ref="Q2:Q3"/>
    <mergeCell ref="R2:R3"/>
    <mergeCell ref="S2:S3"/>
    <mergeCell ref="T2:T3"/>
    <mergeCell ref="U2:U3"/>
    <mergeCell ref="X2:X3"/>
    <mergeCell ref="Y2:Y3"/>
    <mergeCell ref="Z2:Z3"/>
    <mergeCell ref="AA2:AA3"/>
    <mergeCell ref="AB2:AB3"/>
    <mergeCell ref="D12:D23"/>
    <mergeCell ref="E12:E23"/>
    <mergeCell ref="F12:F23"/>
    <mergeCell ref="AI2:AI3"/>
    <mergeCell ref="C5:C7"/>
    <mergeCell ref="D5:D10"/>
    <mergeCell ref="E5:E10"/>
    <mergeCell ref="F5:F7"/>
    <mergeCell ref="F8:F10"/>
    <mergeCell ref="AC2:AC3"/>
    <mergeCell ref="AD2:AD3"/>
    <mergeCell ref="AE2:AE3"/>
    <mergeCell ref="AF2:AF3"/>
    <mergeCell ref="AG2:AG3"/>
    <mergeCell ref="AH2:AH3"/>
    <mergeCell ref="W2:W3"/>
  </mergeCells>
  <dataValidations disablePrompts="1" count="1">
    <dataValidation type="decimal" operator="greaterThanOrEqual" allowBlank="1" showInputMessage="1" showErrorMessage="1" sqref="W25:W26 W34:W36 W32 W29 W5:W10 W12:W23">
      <formula1>0</formula1>
    </dataValidation>
  </dataValidations>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22"/>
  <sheetViews>
    <sheetView showGridLines="0" workbookViewId="0">
      <selection activeCell="B4" sqref="B4"/>
    </sheetView>
  </sheetViews>
  <sheetFormatPr baseColWidth="10" defaultRowHeight="15" x14ac:dyDescent="0.25"/>
  <cols>
    <col min="1" max="1" width="53.28515625" style="19" customWidth="1"/>
    <col min="2" max="2" width="17.5703125" style="23" bestFit="1" customWidth="1"/>
    <col min="3" max="3" width="18.5703125" style="19" bestFit="1" customWidth="1"/>
    <col min="4" max="16384" width="11.42578125" style="19"/>
  </cols>
  <sheetData>
    <row r="1" spans="1:3" ht="39.75" customHeight="1" x14ac:dyDescent="0.25">
      <c r="A1" s="188" t="s">
        <v>100</v>
      </c>
      <c r="B1" s="188"/>
      <c r="C1" s="188"/>
    </row>
    <row r="2" spans="1:3" x14ac:dyDescent="0.25">
      <c r="A2" s="189" t="s">
        <v>155</v>
      </c>
      <c r="B2" s="189"/>
      <c r="C2" s="189"/>
    </row>
    <row r="3" spans="1:3" x14ac:dyDescent="0.25">
      <c r="A3" s="118"/>
      <c r="B3" s="119"/>
      <c r="C3" s="118"/>
    </row>
    <row r="4" spans="1:3" x14ac:dyDescent="0.25">
      <c r="A4" s="120" t="s">
        <v>102</v>
      </c>
      <c r="B4" s="121"/>
      <c r="C4" s="118"/>
    </row>
    <row r="6" spans="1:3" s="20" customFormat="1" x14ac:dyDescent="0.25">
      <c r="A6" s="91" t="s">
        <v>103</v>
      </c>
      <c r="B6" s="92" t="s">
        <v>104</v>
      </c>
      <c r="C6" s="93" t="s">
        <v>98</v>
      </c>
    </row>
    <row r="7" spans="1:3" s="21" customFormat="1" x14ac:dyDescent="0.25">
      <c r="A7" s="94" t="s">
        <v>105</v>
      </c>
      <c r="B7" s="106">
        <f>+'[1]Fase I Valle del Cauca'!AH4</f>
        <v>0</v>
      </c>
      <c r="C7" s="96">
        <f>+'Fase I Huila'!AI4</f>
        <v>120252454</v>
      </c>
    </row>
    <row r="8" spans="1:3" s="22" customFormat="1" x14ac:dyDescent="0.25">
      <c r="A8" s="97" t="s">
        <v>106</v>
      </c>
      <c r="B8" s="95">
        <f>+'[1]Fase I Valle del Cauca'!AH11</f>
        <v>0</v>
      </c>
      <c r="C8" s="96">
        <f>+'Fase I Huila'!AI11</f>
        <v>36075734</v>
      </c>
    </row>
    <row r="9" spans="1:3" s="22" customFormat="1" x14ac:dyDescent="0.25">
      <c r="A9" s="97" t="s">
        <v>107</v>
      </c>
      <c r="B9" s="95">
        <f>+'[1]Fase I Valle del Cauca'!AH16</f>
        <v>0</v>
      </c>
      <c r="C9" s="96">
        <f>+'Fase I Huila'!AI22</f>
        <v>15461036</v>
      </c>
    </row>
    <row r="10" spans="1:3" s="22" customFormat="1" x14ac:dyDescent="0.25">
      <c r="A10" s="99" t="s">
        <v>161</v>
      </c>
      <c r="B10" s="107">
        <f>SUM(B7:B9)</f>
        <v>0</v>
      </c>
      <c r="C10" s="108">
        <f>SUM(C7:C9)</f>
        <v>171789224</v>
      </c>
    </row>
    <row r="11" spans="1:3" s="22" customFormat="1" x14ac:dyDescent="0.25">
      <c r="A11" s="97"/>
      <c r="B11" s="107"/>
      <c r="C11" s="96"/>
    </row>
    <row r="12" spans="1:3" x14ac:dyDescent="0.25">
      <c r="A12" s="101" t="s">
        <v>108</v>
      </c>
      <c r="B12" s="109">
        <f>+'Fase I Huila'!AH33</f>
        <v>54589365</v>
      </c>
      <c r="C12" s="96">
        <f>+'Fase I Huila'!AI33</f>
        <v>54589365</v>
      </c>
    </row>
    <row r="13" spans="1:3" x14ac:dyDescent="0.25">
      <c r="A13" s="102" t="s">
        <v>162</v>
      </c>
      <c r="B13" s="110">
        <f>+B12</f>
        <v>54589365</v>
      </c>
      <c r="C13" s="100">
        <f>+C12</f>
        <v>54589365</v>
      </c>
    </row>
    <row r="14" spans="1:3" x14ac:dyDescent="0.25">
      <c r="A14" s="104" t="s">
        <v>163</v>
      </c>
      <c r="B14" s="105">
        <f>+B10+B13</f>
        <v>54589365</v>
      </c>
      <c r="C14" s="105">
        <f>+C10+C13</f>
        <v>226378589</v>
      </c>
    </row>
    <row r="18" spans="1:3" x14ac:dyDescent="0.25">
      <c r="A18" s="118"/>
      <c r="B18" s="119"/>
      <c r="C18" s="118"/>
    </row>
    <row r="19" spans="1:3" s="24" customFormat="1" x14ac:dyDescent="0.25">
      <c r="A19" s="122" t="s">
        <v>109</v>
      </c>
      <c r="B19" s="119"/>
      <c r="C19" s="123"/>
    </row>
    <row r="20" spans="1:3" s="24" customFormat="1" x14ac:dyDescent="0.25">
      <c r="A20" s="122" t="s">
        <v>110</v>
      </c>
      <c r="B20" s="119"/>
      <c r="C20" s="123"/>
    </row>
    <row r="21" spans="1:3" x14ac:dyDescent="0.25">
      <c r="A21" s="118"/>
      <c r="B21" s="119"/>
      <c r="C21" s="118"/>
    </row>
    <row r="22" spans="1:3" x14ac:dyDescent="0.25">
      <c r="A22" s="118"/>
      <c r="B22" s="119"/>
      <c r="C22" s="118"/>
    </row>
  </sheetData>
  <sheetProtection password="CB42" sheet="1" objects="1" scenarios="1"/>
  <mergeCells count="2">
    <mergeCell ref="A1:C1"/>
    <mergeCell ref="A2:C2"/>
  </mergeCells>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M34"/>
  <sheetViews>
    <sheetView showGridLines="0" zoomScale="70" zoomScaleNormal="70" workbookViewId="0">
      <pane xSplit="1" ySplit="3" topLeftCell="B7" activePane="bottomRight" state="frozen"/>
      <selection activeCell="AI27" sqref="AI27"/>
      <selection pane="topRight" activeCell="AI27" sqref="AI27"/>
      <selection pane="bottomLeft" activeCell="AI27" sqref="AI27"/>
      <selection pane="bottomRight" activeCell="G9" sqref="G9"/>
    </sheetView>
  </sheetViews>
  <sheetFormatPr baseColWidth="10" defaultRowHeight="12.75" x14ac:dyDescent="0.2"/>
  <cols>
    <col min="1" max="1" width="11.85546875" style="46" customWidth="1"/>
    <col min="2" max="2" width="15" style="46" customWidth="1"/>
    <col min="3" max="3" width="17.140625" style="46" customWidth="1"/>
    <col min="4" max="4" width="24.42578125" style="46" customWidth="1"/>
    <col min="5" max="5" width="43.28515625" style="46" customWidth="1"/>
    <col min="6" max="6" width="61.140625" style="46" customWidth="1"/>
    <col min="7" max="7" width="29.42578125" style="46" customWidth="1"/>
    <col min="8" max="8" width="7.28515625" style="46" bestFit="1" customWidth="1"/>
    <col min="9" max="9" width="3.85546875" style="46" bestFit="1" customWidth="1"/>
    <col min="10" max="11" width="3.28515625" style="46" bestFit="1" customWidth="1"/>
    <col min="12" max="12" width="3.85546875" style="46" customWidth="1"/>
    <col min="13" max="13" width="19" style="46" customWidth="1"/>
    <col min="14" max="14" width="11.42578125" style="46"/>
    <col min="15" max="15" width="13.7109375" style="46" customWidth="1"/>
    <col min="16" max="16" width="17.7109375" style="46" customWidth="1"/>
    <col min="17" max="18" width="11.5703125" style="46" bestFit="1" customWidth="1"/>
    <col min="19" max="19" width="16.140625" style="46" customWidth="1"/>
    <col min="20" max="20" width="11.5703125" style="46" bestFit="1" customWidth="1"/>
    <col min="21" max="21" width="14.28515625" style="46" customWidth="1"/>
    <col min="22" max="22" width="12.140625" style="46" customWidth="1"/>
    <col min="23" max="23" width="13" style="46" bestFit="1" customWidth="1"/>
    <col min="24" max="24" width="11.5703125" style="46" bestFit="1" customWidth="1"/>
    <col min="25" max="25" width="12.85546875" style="46" bestFit="1" customWidth="1"/>
    <col min="26" max="26" width="11.5703125" style="46" bestFit="1" customWidth="1"/>
    <col min="27" max="27" width="12.85546875" style="46" bestFit="1" customWidth="1"/>
    <col min="28" max="28" width="11.5703125" style="46" bestFit="1" customWidth="1"/>
    <col min="29" max="29" width="12.85546875" style="46" bestFit="1" customWidth="1"/>
    <col min="30" max="30" width="11.5703125" style="46" bestFit="1" customWidth="1"/>
    <col min="31" max="31" width="12.85546875" style="46" bestFit="1" customWidth="1"/>
    <col min="32" max="32" width="11.5703125" style="46" bestFit="1" customWidth="1"/>
    <col min="33" max="33" width="14" style="46" bestFit="1" customWidth="1"/>
    <col min="34" max="34" width="18" style="46" bestFit="1" customWidth="1"/>
    <col min="35" max="35" width="16.85546875" style="47" customWidth="1"/>
    <col min="36" max="36" width="13" style="48" bestFit="1" customWidth="1"/>
    <col min="37" max="37" width="15.7109375" style="46" customWidth="1"/>
    <col min="38" max="16384" width="11.42578125" style="46"/>
  </cols>
  <sheetData>
    <row r="1" spans="1:35" s="48" customFormat="1" x14ac:dyDescent="0.2">
      <c r="A1" s="45" t="s">
        <v>111</v>
      </c>
      <c r="B1" s="46"/>
      <c r="C1" s="46"/>
      <c r="D1" s="46"/>
      <c r="E1" s="46"/>
      <c r="F1" s="46"/>
      <c r="G1" s="46"/>
      <c r="H1" s="46"/>
      <c r="I1" s="46"/>
      <c r="J1" s="46"/>
      <c r="K1" s="46"/>
      <c r="L1" s="46"/>
      <c r="M1" s="46"/>
      <c r="N1" s="46"/>
      <c r="O1" s="46"/>
      <c r="P1" s="46"/>
      <c r="Q1" s="46"/>
      <c r="R1" s="46"/>
      <c r="S1" s="46"/>
      <c r="T1" s="46"/>
      <c r="U1" s="46"/>
      <c r="V1" s="46"/>
      <c r="W1" s="46"/>
      <c r="X1" s="46"/>
      <c r="Y1" s="46"/>
      <c r="Z1" s="46"/>
      <c r="AA1" s="46"/>
      <c r="AB1" s="46"/>
      <c r="AC1" s="46"/>
      <c r="AD1" s="46"/>
      <c r="AE1" s="46"/>
      <c r="AF1" s="46"/>
      <c r="AG1" s="46"/>
      <c r="AH1" s="46"/>
      <c r="AI1" s="47"/>
    </row>
    <row r="2" spans="1:35" s="1" customFormat="1" ht="15" customHeight="1" x14ac:dyDescent="0.25">
      <c r="A2" s="197" t="s">
        <v>0</v>
      </c>
      <c r="B2" s="196" t="s">
        <v>51</v>
      </c>
      <c r="C2" s="196" t="s">
        <v>1</v>
      </c>
      <c r="D2" s="196" t="s">
        <v>52</v>
      </c>
      <c r="E2" s="196" t="s">
        <v>53</v>
      </c>
      <c r="F2" s="196" t="s">
        <v>54</v>
      </c>
      <c r="G2" s="196" t="s">
        <v>2</v>
      </c>
      <c r="H2" s="36" t="s">
        <v>3</v>
      </c>
      <c r="I2" s="196" t="s">
        <v>4</v>
      </c>
      <c r="J2" s="199"/>
      <c r="K2" s="199"/>
      <c r="L2" s="199"/>
      <c r="M2" s="197" t="s">
        <v>5</v>
      </c>
      <c r="N2" s="197" t="s">
        <v>6</v>
      </c>
      <c r="O2" s="197" t="s">
        <v>7</v>
      </c>
      <c r="P2" s="200" t="s">
        <v>8</v>
      </c>
      <c r="Q2" s="201" t="s">
        <v>112</v>
      </c>
      <c r="R2" s="202" t="s">
        <v>9</v>
      </c>
      <c r="S2" s="202" t="s">
        <v>10</v>
      </c>
      <c r="T2" s="202" t="s">
        <v>11</v>
      </c>
      <c r="U2" s="203" t="s">
        <v>12</v>
      </c>
      <c r="V2" s="198" t="s">
        <v>13</v>
      </c>
      <c r="W2" s="216" t="s">
        <v>113</v>
      </c>
      <c r="X2" s="204" t="s">
        <v>14</v>
      </c>
      <c r="Y2" s="204" t="s">
        <v>15</v>
      </c>
      <c r="Z2" s="204" t="s">
        <v>16</v>
      </c>
      <c r="AA2" s="204" t="s">
        <v>17</v>
      </c>
      <c r="AB2" s="204" t="s">
        <v>18</v>
      </c>
      <c r="AC2" s="204" t="s">
        <v>19</v>
      </c>
      <c r="AD2" s="204" t="s">
        <v>20</v>
      </c>
      <c r="AE2" s="204" t="s">
        <v>21</v>
      </c>
      <c r="AF2" s="204" t="s">
        <v>22</v>
      </c>
      <c r="AG2" s="214" t="s">
        <v>23</v>
      </c>
      <c r="AH2" s="215" t="s">
        <v>24</v>
      </c>
      <c r="AI2" s="211" t="s">
        <v>98</v>
      </c>
    </row>
    <row r="3" spans="1:35" s="1" customFormat="1" ht="45.75" customHeight="1" x14ac:dyDescent="0.25">
      <c r="A3" s="197"/>
      <c r="B3" s="196"/>
      <c r="C3" s="196" t="s">
        <v>25</v>
      </c>
      <c r="D3" s="196" t="s">
        <v>26</v>
      </c>
      <c r="E3" s="196"/>
      <c r="F3" s="196"/>
      <c r="G3" s="196"/>
      <c r="H3" s="2" t="s">
        <v>30</v>
      </c>
      <c r="I3" s="2" t="s">
        <v>27</v>
      </c>
      <c r="J3" s="2" t="s">
        <v>28</v>
      </c>
      <c r="K3" s="2" t="s">
        <v>29</v>
      </c>
      <c r="L3" s="2" t="s">
        <v>30</v>
      </c>
      <c r="M3" s="197"/>
      <c r="N3" s="197"/>
      <c r="O3" s="197"/>
      <c r="P3" s="200"/>
      <c r="Q3" s="201"/>
      <c r="R3" s="202"/>
      <c r="S3" s="202"/>
      <c r="T3" s="202"/>
      <c r="U3" s="203"/>
      <c r="V3" s="198"/>
      <c r="W3" s="216"/>
      <c r="X3" s="204"/>
      <c r="Y3" s="204"/>
      <c r="Z3" s="204"/>
      <c r="AA3" s="204"/>
      <c r="AB3" s="204"/>
      <c r="AC3" s="204"/>
      <c r="AD3" s="204"/>
      <c r="AE3" s="204"/>
      <c r="AF3" s="204"/>
      <c r="AG3" s="214"/>
      <c r="AH3" s="215"/>
      <c r="AI3" s="212"/>
    </row>
    <row r="4" spans="1:35" s="11" customFormat="1" x14ac:dyDescent="0.2">
      <c r="A4" s="49" t="s">
        <v>55</v>
      </c>
      <c r="B4" s="25"/>
      <c r="C4" s="26"/>
      <c r="D4" s="26"/>
      <c r="E4" s="26"/>
      <c r="F4" s="26"/>
      <c r="G4" s="26"/>
      <c r="H4" s="27"/>
      <c r="I4" s="27"/>
      <c r="J4" s="27"/>
      <c r="K4" s="27"/>
      <c r="L4" s="27"/>
      <c r="M4" s="25"/>
      <c r="N4" s="25"/>
      <c r="O4" s="25"/>
      <c r="P4" s="25"/>
      <c r="Q4" s="28"/>
      <c r="R4" s="29"/>
      <c r="S4" s="29"/>
      <c r="T4" s="29"/>
      <c r="U4" s="30"/>
      <c r="V4" s="25"/>
      <c r="W4" s="28"/>
      <c r="X4" s="29"/>
      <c r="Y4" s="29"/>
      <c r="Z4" s="29"/>
      <c r="AA4" s="29"/>
      <c r="AB4" s="29"/>
      <c r="AC4" s="29"/>
      <c r="AD4" s="29"/>
      <c r="AE4" s="29"/>
      <c r="AF4" s="29"/>
      <c r="AG4" s="30"/>
      <c r="AH4" s="31">
        <f>SUM(AH5:AH10)</f>
        <v>0</v>
      </c>
      <c r="AI4" s="32">
        <v>120252454</v>
      </c>
    </row>
    <row r="5" spans="1:35" s="11" customFormat="1" ht="15" customHeight="1" x14ac:dyDescent="0.25">
      <c r="A5" s="50">
        <v>7</v>
      </c>
      <c r="B5" s="50">
        <v>1</v>
      </c>
      <c r="C5" s="213" t="s">
        <v>38</v>
      </c>
      <c r="D5" s="193" t="s">
        <v>32</v>
      </c>
      <c r="E5" s="205" t="s">
        <v>114</v>
      </c>
      <c r="F5" s="205" t="s">
        <v>115</v>
      </c>
      <c r="G5" s="43" t="s">
        <v>116</v>
      </c>
      <c r="H5" s="44"/>
      <c r="I5" s="44"/>
      <c r="J5" s="44"/>
      <c r="K5" s="44"/>
      <c r="L5" s="44"/>
      <c r="M5" s="4" t="s">
        <v>34</v>
      </c>
      <c r="N5" s="4" t="s">
        <v>35</v>
      </c>
      <c r="O5" s="4" t="s">
        <v>39</v>
      </c>
      <c r="P5" s="6" t="s">
        <v>117</v>
      </c>
      <c r="Q5" s="152"/>
      <c r="R5" s="152"/>
      <c r="S5" s="137">
        <f>+R5*Q5</f>
        <v>0</v>
      </c>
      <c r="T5" s="137">
        <f>+R5</f>
        <v>0</v>
      </c>
      <c r="U5" s="137">
        <f>S5</f>
        <v>0</v>
      </c>
      <c r="V5" s="138" t="s">
        <v>117</v>
      </c>
      <c r="W5" s="139"/>
      <c r="X5" s="137"/>
      <c r="Y5" s="137">
        <f t="shared" ref="Y5:Y10" si="0">+W5*X5</f>
        <v>0</v>
      </c>
      <c r="Z5" s="137"/>
      <c r="AA5" s="137">
        <f t="shared" ref="AA5:AA10" si="1">+Z5*W5</f>
        <v>0</v>
      </c>
      <c r="AB5" s="137"/>
      <c r="AC5" s="137">
        <f t="shared" ref="AC5:AC10" si="2">+AB5*W5</f>
        <v>0</v>
      </c>
      <c r="AD5" s="137"/>
      <c r="AE5" s="137">
        <f t="shared" ref="AE5:AE10" si="3">+AD5*W5</f>
        <v>0</v>
      </c>
      <c r="AF5" s="137">
        <f t="shared" ref="AF5:AG10" si="4">+X5+Z5+AB5+AD5</f>
        <v>0</v>
      </c>
      <c r="AG5" s="137">
        <f>+Y5+AA5+AC5+AE5</f>
        <v>0</v>
      </c>
      <c r="AH5" s="153">
        <f>+U5+AG5</f>
        <v>0</v>
      </c>
      <c r="AI5" s="154"/>
    </row>
    <row r="6" spans="1:35" s="11" customFormat="1" ht="31.5" customHeight="1" x14ac:dyDescent="0.25">
      <c r="A6" s="50">
        <v>7</v>
      </c>
      <c r="B6" s="50">
        <v>1</v>
      </c>
      <c r="C6" s="213"/>
      <c r="D6" s="194"/>
      <c r="E6" s="206"/>
      <c r="F6" s="206"/>
      <c r="G6" s="43" t="s">
        <v>118</v>
      </c>
      <c r="H6" s="44"/>
      <c r="I6" s="44"/>
      <c r="J6" s="44"/>
      <c r="K6" s="44"/>
      <c r="L6" s="44"/>
      <c r="M6" s="4" t="s">
        <v>34</v>
      </c>
      <c r="N6" s="4" t="s">
        <v>35</v>
      </c>
      <c r="O6" s="4" t="s">
        <v>39</v>
      </c>
      <c r="P6" s="6" t="s">
        <v>117</v>
      </c>
      <c r="Q6" s="152"/>
      <c r="R6" s="152"/>
      <c r="S6" s="137">
        <f>+R6*Q6</f>
        <v>0</v>
      </c>
      <c r="T6" s="137">
        <f>+R6</f>
        <v>0</v>
      </c>
      <c r="U6" s="137">
        <f>S6</f>
        <v>0</v>
      </c>
      <c r="V6" s="138" t="s">
        <v>117</v>
      </c>
      <c r="W6" s="139"/>
      <c r="X6" s="137"/>
      <c r="Y6" s="137">
        <f t="shared" si="0"/>
        <v>0</v>
      </c>
      <c r="Z6" s="137"/>
      <c r="AA6" s="137">
        <f t="shared" si="1"/>
        <v>0</v>
      </c>
      <c r="AB6" s="137"/>
      <c r="AC6" s="137">
        <f t="shared" si="2"/>
        <v>0</v>
      </c>
      <c r="AD6" s="137"/>
      <c r="AE6" s="137">
        <f t="shared" si="3"/>
        <v>0</v>
      </c>
      <c r="AF6" s="137">
        <f t="shared" si="4"/>
        <v>0</v>
      </c>
      <c r="AG6" s="137">
        <f>+Y6+AA6+AC6+AE6</f>
        <v>0</v>
      </c>
      <c r="AH6" s="153">
        <f>+U6+AG6</f>
        <v>0</v>
      </c>
      <c r="AI6" s="154"/>
    </row>
    <row r="7" spans="1:35" s="59" customFormat="1" ht="38.25" x14ac:dyDescent="0.25">
      <c r="A7" s="50">
        <v>7</v>
      </c>
      <c r="B7" s="50">
        <v>1</v>
      </c>
      <c r="C7" s="213"/>
      <c r="D7" s="194"/>
      <c r="E7" s="206"/>
      <c r="F7" s="207"/>
      <c r="G7" s="3" t="s">
        <v>119</v>
      </c>
      <c r="H7" s="5"/>
      <c r="I7" s="5"/>
      <c r="J7" s="5"/>
      <c r="K7" s="5"/>
      <c r="L7" s="5"/>
      <c r="M7" s="4" t="s">
        <v>34</v>
      </c>
      <c r="N7" s="4" t="s">
        <v>35</v>
      </c>
      <c r="O7" s="4" t="s">
        <v>39</v>
      </c>
      <c r="P7" s="6" t="s">
        <v>117</v>
      </c>
      <c r="Q7" s="152"/>
      <c r="R7" s="152"/>
      <c r="S7" s="137">
        <f t="shared" ref="S7:S10" si="5">+R7*Q7</f>
        <v>0</v>
      </c>
      <c r="T7" s="137">
        <f t="shared" ref="T7:T10" si="6">+R7</f>
        <v>0</v>
      </c>
      <c r="U7" s="137">
        <f t="shared" ref="U7:U10" si="7">S7</f>
        <v>0</v>
      </c>
      <c r="V7" s="138" t="s">
        <v>117</v>
      </c>
      <c r="W7" s="139"/>
      <c r="X7" s="137"/>
      <c r="Y7" s="137">
        <f t="shared" si="0"/>
        <v>0</v>
      </c>
      <c r="Z7" s="137"/>
      <c r="AA7" s="137">
        <f t="shared" si="1"/>
        <v>0</v>
      </c>
      <c r="AB7" s="137"/>
      <c r="AC7" s="137">
        <f t="shared" si="2"/>
        <v>0</v>
      </c>
      <c r="AD7" s="137"/>
      <c r="AE7" s="137">
        <f t="shared" si="3"/>
        <v>0</v>
      </c>
      <c r="AF7" s="137">
        <f t="shared" si="4"/>
        <v>0</v>
      </c>
      <c r="AG7" s="137">
        <f t="shared" si="4"/>
        <v>0</v>
      </c>
      <c r="AH7" s="153">
        <f>+U7+AG7</f>
        <v>0</v>
      </c>
      <c r="AI7" s="154"/>
    </row>
    <row r="8" spans="1:35" s="59" customFormat="1" ht="38.25" customHeight="1" x14ac:dyDescent="0.25">
      <c r="A8" s="60">
        <v>11</v>
      </c>
      <c r="B8" s="60">
        <v>1</v>
      </c>
      <c r="C8" s="61" t="s">
        <v>38</v>
      </c>
      <c r="D8" s="194"/>
      <c r="E8" s="206"/>
      <c r="F8" s="205" t="s">
        <v>120</v>
      </c>
      <c r="G8" s="3" t="s">
        <v>64</v>
      </c>
      <c r="H8" s="5"/>
      <c r="I8" s="5"/>
      <c r="J8" s="5"/>
      <c r="K8" s="5"/>
      <c r="L8" s="5"/>
      <c r="M8" s="4" t="s">
        <v>34</v>
      </c>
      <c r="N8" s="4" t="s">
        <v>35</v>
      </c>
      <c r="O8" s="4" t="s">
        <v>39</v>
      </c>
      <c r="P8" s="6" t="s">
        <v>117</v>
      </c>
      <c r="Q8" s="152"/>
      <c r="R8" s="152"/>
      <c r="S8" s="137">
        <f t="shared" si="5"/>
        <v>0</v>
      </c>
      <c r="T8" s="137">
        <f t="shared" si="6"/>
        <v>0</v>
      </c>
      <c r="U8" s="137">
        <f t="shared" si="7"/>
        <v>0</v>
      </c>
      <c r="V8" s="138" t="s">
        <v>117</v>
      </c>
      <c r="W8" s="139"/>
      <c r="X8" s="137"/>
      <c r="Y8" s="137">
        <f t="shared" si="0"/>
        <v>0</v>
      </c>
      <c r="Z8" s="137"/>
      <c r="AA8" s="137">
        <f t="shared" si="1"/>
        <v>0</v>
      </c>
      <c r="AB8" s="137"/>
      <c r="AC8" s="137">
        <f t="shared" si="2"/>
        <v>0</v>
      </c>
      <c r="AD8" s="137"/>
      <c r="AE8" s="137">
        <f t="shared" si="3"/>
        <v>0</v>
      </c>
      <c r="AF8" s="137">
        <f t="shared" si="4"/>
        <v>0</v>
      </c>
      <c r="AG8" s="137">
        <f t="shared" si="4"/>
        <v>0</v>
      </c>
      <c r="AH8" s="153">
        <f>+U8+AG8</f>
        <v>0</v>
      </c>
      <c r="AI8" s="154"/>
    </row>
    <row r="9" spans="1:35" s="59" customFormat="1" ht="38.25" x14ac:dyDescent="0.25">
      <c r="A9" s="60">
        <v>11</v>
      </c>
      <c r="B9" s="60">
        <v>1</v>
      </c>
      <c r="C9" s="61" t="s">
        <v>38</v>
      </c>
      <c r="D9" s="194"/>
      <c r="E9" s="206"/>
      <c r="F9" s="206"/>
      <c r="G9" s="3" t="s">
        <v>121</v>
      </c>
      <c r="H9" s="5"/>
      <c r="I9" s="5"/>
      <c r="J9" s="5"/>
      <c r="K9" s="5"/>
      <c r="L9" s="5"/>
      <c r="M9" s="4" t="s">
        <v>34</v>
      </c>
      <c r="N9" s="4" t="s">
        <v>35</v>
      </c>
      <c r="O9" s="4" t="s">
        <v>39</v>
      </c>
      <c r="P9" s="6" t="s">
        <v>117</v>
      </c>
      <c r="Q9" s="152"/>
      <c r="R9" s="152"/>
      <c r="S9" s="137">
        <f t="shared" si="5"/>
        <v>0</v>
      </c>
      <c r="T9" s="137">
        <f t="shared" si="6"/>
        <v>0</v>
      </c>
      <c r="U9" s="137">
        <f t="shared" si="7"/>
        <v>0</v>
      </c>
      <c r="V9" s="138" t="s">
        <v>117</v>
      </c>
      <c r="W9" s="139"/>
      <c r="X9" s="137"/>
      <c r="Y9" s="137">
        <f t="shared" si="0"/>
        <v>0</v>
      </c>
      <c r="Z9" s="137"/>
      <c r="AA9" s="137">
        <f t="shared" si="1"/>
        <v>0</v>
      </c>
      <c r="AB9" s="137"/>
      <c r="AC9" s="137">
        <f t="shared" si="2"/>
        <v>0</v>
      </c>
      <c r="AD9" s="137"/>
      <c r="AE9" s="137">
        <f t="shared" si="3"/>
        <v>0</v>
      </c>
      <c r="AF9" s="137">
        <f t="shared" si="4"/>
        <v>0</v>
      </c>
      <c r="AG9" s="137">
        <f t="shared" si="4"/>
        <v>0</v>
      </c>
      <c r="AH9" s="153">
        <f t="shared" ref="AH9:AH10" si="8">+U9+AG9</f>
        <v>0</v>
      </c>
      <c r="AI9" s="154"/>
    </row>
    <row r="10" spans="1:35" s="59" customFormat="1" ht="38.25" x14ac:dyDescent="0.25">
      <c r="A10" s="60">
        <v>11</v>
      </c>
      <c r="B10" s="60">
        <v>1</v>
      </c>
      <c r="C10" s="61" t="s">
        <v>38</v>
      </c>
      <c r="D10" s="195"/>
      <c r="E10" s="207"/>
      <c r="F10" s="207"/>
      <c r="G10" s="3" t="s">
        <v>66</v>
      </c>
      <c r="H10" s="5"/>
      <c r="I10" s="5"/>
      <c r="J10" s="5"/>
      <c r="K10" s="5"/>
      <c r="L10" s="5"/>
      <c r="M10" s="4" t="s">
        <v>34</v>
      </c>
      <c r="N10" s="4" t="s">
        <v>35</v>
      </c>
      <c r="O10" s="4" t="s">
        <v>39</v>
      </c>
      <c r="P10" s="6" t="s">
        <v>117</v>
      </c>
      <c r="Q10" s="152"/>
      <c r="R10" s="152"/>
      <c r="S10" s="137">
        <f t="shared" si="5"/>
        <v>0</v>
      </c>
      <c r="T10" s="137">
        <f t="shared" si="6"/>
        <v>0</v>
      </c>
      <c r="U10" s="137">
        <f t="shared" si="7"/>
        <v>0</v>
      </c>
      <c r="V10" s="138" t="s">
        <v>117</v>
      </c>
      <c r="W10" s="139"/>
      <c r="X10" s="137"/>
      <c r="Y10" s="137">
        <f t="shared" si="0"/>
        <v>0</v>
      </c>
      <c r="Z10" s="137"/>
      <c r="AA10" s="137">
        <f t="shared" si="1"/>
        <v>0</v>
      </c>
      <c r="AB10" s="137"/>
      <c r="AC10" s="137">
        <f t="shared" si="2"/>
        <v>0</v>
      </c>
      <c r="AD10" s="137"/>
      <c r="AE10" s="137">
        <f t="shared" si="3"/>
        <v>0</v>
      </c>
      <c r="AF10" s="137">
        <f t="shared" si="4"/>
        <v>0</v>
      </c>
      <c r="AG10" s="137">
        <f t="shared" si="4"/>
        <v>0</v>
      </c>
      <c r="AH10" s="153">
        <f t="shared" si="8"/>
        <v>0</v>
      </c>
      <c r="AI10" s="154"/>
    </row>
    <row r="11" spans="1:35" s="11" customFormat="1" x14ac:dyDescent="0.2">
      <c r="A11" s="62" t="s">
        <v>56</v>
      </c>
      <c r="B11" s="25"/>
      <c r="C11" s="26"/>
      <c r="D11" s="26"/>
      <c r="E11" s="26"/>
      <c r="F11" s="26"/>
      <c r="G11" s="38"/>
      <c r="H11" s="39"/>
      <c r="I11" s="39"/>
      <c r="J11" s="39"/>
      <c r="K11" s="39"/>
      <c r="L11" s="39"/>
      <c r="M11" s="37"/>
      <c r="N11" s="37"/>
      <c r="O11" s="37"/>
      <c r="P11" s="37"/>
      <c r="Q11" s="172"/>
      <c r="R11" s="172"/>
      <c r="S11" s="172"/>
      <c r="T11" s="172"/>
      <c r="U11" s="172"/>
      <c r="V11" s="172"/>
      <c r="W11" s="172"/>
      <c r="X11" s="172"/>
      <c r="Y11" s="172"/>
      <c r="Z11" s="172"/>
      <c r="AA11" s="172"/>
      <c r="AB11" s="172"/>
      <c r="AC11" s="172"/>
      <c r="AD11" s="172"/>
      <c r="AE11" s="172"/>
      <c r="AF11" s="172"/>
      <c r="AG11" s="172"/>
      <c r="AH11" s="168">
        <f>SUM(AH12:AH21)</f>
        <v>0</v>
      </c>
      <c r="AI11" s="170">
        <v>36075734</v>
      </c>
    </row>
    <row r="12" spans="1:35" s="11" customFormat="1" ht="38.25" x14ac:dyDescent="0.25">
      <c r="A12" s="217">
        <v>13</v>
      </c>
      <c r="B12" s="217">
        <v>1</v>
      </c>
      <c r="C12" s="222" t="s">
        <v>38</v>
      </c>
      <c r="D12" s="193" t="s">
        <v>32</v>
      </c>
      <c r="E12" s="205" t="s">
        <v>122</v>
      </c>
      <c r="F12" s="208" t="s">
        <v>123</v>
      </c>
      <c r="G12" s="43" t="s">
        <v>172</v>
      </c>
      <c r="H12" s="5"/>
      <c r="I12" s="5"/>
      <c r="J12" s="5"/>
      <c r="K12" s="5"/>
      <c r="L12" s="5"/>
      <c r="M12" s="4" t="s">
        <v>34</v>
      </c>
      <c r="N12" s="4" t="s">
        <v>35</v>
      </c>
      <c r="O12" s="4" t="s">
        <v>41</v>
      </c>
      <c r="P12" s="6" t="s">
        <v>124</v>
      </c>
      <c r="Q12" s="148"/>
      <c r="R12" s="137">
        <f>+SUM(R13:R15)</f>
        <v>0</v>
      </c>
      <c r="S12" s="137">
        <f>+SUM(S13:S15)</f>
        <v>0</v>
      </c>
      <c r="T12" s="137">
        <f>+SUM(T13:T15)</f>
        <v>0</v>
      </c>
      <c r="U12" s="137">
        <f>+SUM(U13:U15)</f>
        <v>0</v>
      </c>
      <c r="V12" s="138" t="s">
        <v>124</v>
      </c>
      <c r="W12" s="139"/>
      <c r="X12" s="137">
        <f t="shared" ref="X12:AG12" si="9">+SUM(X13:X15)</f>
        <v>0</v>
      </c>
      <c r="Y12" s="137">
        <f t="shared" si="9"/>
        <v>0</v>
      </c>
      <c r="Z12" s="137">
        <f t="shared" si="9"/>
        <v>0</v>
      </c>
      <c r="AA12" s="137">
        <f t="shared" si="9"/>
        <v>0</v>
      </c>
      <c r="AB12" s="137">
        <f t="shared" si="9"/>
        <v>0</v>
      </c>
      <c r="AC12" s="137">
        <f t="shared" si="9"/>
        <v>0</v>
      </c>
      <c r="AD12" s="137">
        <f t="shared" si="9"/>
        <v>0</v>
      </c>
      <c r="AE12" s="137">
        <f t="shared" si="9"/>
        <v>0</v>
      </c>
      <c r="AF12" s="137">
        <f t="shared" si="9"/>
        <v>0</v>
      </c>
      <c r="AG12" s="137">
        <f t="shared" si="9"/>
        <v>0</v>
      </c>
      <c r="AH12" s="153">
        <f t="shared" ref="AH12:AH21" si="10">+U12+AG12</f>
        <v>0</v>
      </c>
      <c r="AI12" s="154"/>
    </row>
    <row r="13" spans="1:35" s="11" customFormat="1" x14ac:dyDescent="0.25">
      <c r="A13" s="218"/>
      <c r="B13" s="218"/>
      <c r="C13" s="223"/>
      <c r="D13" s="194"/>
      <c r="E13" s="206"/>
      <c r="F13" s="209"/>
      <c r="G13" s="131" t="s">
        <v>231</v>
      </c>
      <c r="H13" s="5"/>
      <c r="I13" s="5"/>
      <c r="J13" s="5"/>
      <c r="K13" s="5"/>
      <c r="L13" s="5"/>
      <c r="M13" s="4"/>
      <c r="N13" s="4"/>
      <c r="O13" s="4"/>
      <c r="P13" s="6"/>
      <c r="Q13" s="148"/>
      <c r="R13" s="148"/>
      <c r="S13" s="137">
        <f t="shared" ref="S13:S21" si="11">+R13*Q13</f>
        <v>0</v>
      </c>
      <c r="T13" s="137">
        <f t="shared" ref="T13:T21" si="12">+R13</f>
        <v>0</v>
      </c>
      <c r="U13" s="137">
        <f t="shared" ref="U13:U21" si="13">S13</f>
        <v>0</v>
      </c>
      <c r="V13" s="138"/>
      <c r="W13" s="148"/>
      <c r="X13" s="148"/>
      <c r="Y13" s="137">
        <f t="shared" ref="Y13:Y15" si="14">+$W13*X13</f>
        <v>0</v>
      </c>
      <c r="Z13" s="137"/>
      <c r="AA13" s="137">
        <f t="shared" ref="AA13:AA15" si="15">+$W13*Z13</f>
        <v>0</v>
      </c>
      <c r="AB13" s="137"/>
      <c r="AC13" s="137">
        <f t="shared" ref="AC13:AC15" si="16">+$W13*AB13</f>
        <v>0</v>
      </c>
      <c r="AD13" s="137"/>
      <c r="AE13" s="137">
        <f t="shared" ref="AE13:AE15" si="17">+$W13*AD13</f>
        <v>0</v>
      </c>
      <c r="AF13" s="137">
        <f t="shared" ref="AF13:AG21" si="18">+X13+Z13+AB13+AD13</f>
        <v>0</v>
      </c>
      <c r="AG13" s="137">
        <f t="shared" si="18"/>
        <v>0</v>
      </c>
      <c r="AH13" s="153"/>
      <c r="AI13" s="154"/>
    </row>
    <row r="14" spans="1:35" s="11" customFormat="1" x14ac:dyDescent="0.25">
      <c r="A14" s="218"/>
      <c r="B14" s="218"/>
      <c r="C14" s="223"/>
      <c r="D14" s="194"/>
      <c r="E14" s="206"/>
      <c r="F14" s="209"/>
      <c r="G14" s="131" t="s">
        <v>233</v>
      </c>
      <c r="H14" s="5"/>
      <c r="I14" s="5"/>
      <c r="J14" s="5"/>
      <c r="K14" s="5"/>
      <c r="L14" s="5"/>
      <c r="M14" s="4"/>
      <c r="N14" s="4"/>
      <c r="O14" s="4"/>
      <c r="P14" s="6"/>
      <c r="Q14" s="148"/>
      <c r="R14" s="148"/>
      <c r="S14" s="137">
        <f t="shared" si="11"/>
        <v>0</v>
      </c>
      <c r="T14" s="137">
        <f t="shared" si="12"/>
        <v>0</v>
      </c>
      <c r="U14" s="137">
        <f t="shared" si="13"/>
        <v>0</v>
      </c>
      <c r="V14" s="138"/>
      <c r="W14" s="148"/>
      <c r="X14" s="148"/>
      <c r="Y14" s="137">
        <f t="shared" si="14"/>
        <v>0</v>
      </c>
      <c r="Z14" s="137"/>
      <c r="AA14" s="137">
        <f t="shared" si="15"/>
        <v>0</v>
      </c>
      <c r="AB14" s="137"/>
      <c r="AC14" s="137">
        <f t="shared" si="16"/>
        <v>0</v>
      </c>
      <c r="AD14" s="137"/>
      <c r="AE14" s="137">
        <f t="shared" si="17"/>
        <v>0</v>
      </c>
      <c r="AF14" s="137">
        <f t="shared" si="18"/>
        <v>0</v>
      </c>
      <c r="AG14" s="137">
        <f t="shared" si="18"/>
        <v>0</v>
      </c>
      <c r="AH14" s="153"/>
      <c r="AI14" s="154"/>
    </row>
    <row r="15" spans="1:35" s="11" customFormat="1" x14ac:dyDescent="0.25">
      <c r="A15" s="218"/>
      <c r="B15" s="218"/>
      <c r="C15" s="223"/>
      <c r="D15" s="194"/>
      <c r="E15" s="206"/>
      <c r="F15" s="209"/>
      <c r="G15" s="131" t="s">
        <v>232</v>
      </c>
      <c r="H15" s="5"/>
      <c r="I15" s="5"/>
      <c r="J15" s="5"/>
      <c r="K15" s="5"/>
      <c r="L15" s="5"/>
      <c r="M15" s="4"/>
      <c r="N15" s="4"/>
      <c r="O15" s="4"/>
      <c r="P15" s="6"/>
      <c r="Q15" s="148"/>
      <c r="R15" s="148"/>
      <c r="S15" s="137">
        <f t="shared" si="11"/>
        <v>0</v>
      </c>
      <c r="T15" s="137">
        <f t="shared" si="12"/>
        <v>0</v>
      </c>
      <c r="U15" s="137">
        <f t="shared" si="13"/>
        <v>0</v>
      </c>
      <c r="V15" s="138"/>
      <c r="W15" s="148"/>
      <c r="X15" s="148"/>
      <c r="Y15" s="137">
        <f t="shared" si="14"/>
        <v>0</v>
      </c>
      <c r="Z15" s="137"/>
      <c r="AA15" s="137">
        <f t="shared" si="15"/>
        <v>0</v>
      </c>
      <c r="AB15" s="137"/>
      <c r="AC15" s="137">
        <f t="shared" si="16"/>
        <v>0</v>
      </c>
      <c r="AD15" s="137"/>
      <c r="AE15" s="137">
        <f t="shared" si="17"/>
        <v>0</v>
      </c>
      <c r="AF15" s="137">
        <f t="shared" si="18"/>
        <v>0</v>
      </c>
      <c r="AG15" s="137">
        <f t="shared" si="18"/>
        <v>0</v>
      </c>
      <c r="AH15" s="153"/>
      <c r="AI15" s="154"/>
    </row>
    <row r="16" spans="1:35" s="11" customFormat="1" ht="38.25" x14ac:dyDescent="0.25">
      <c r="A16" s="217">
        <v>13</v>
      </c>
      <c r="B16" s="217">
        <v>1</v>
      </c>
      <c r="C16" s="222" t="s">
        <v>38</v>
      </c>
      <c r="D16" s="194"/>
      <c r="E16" s="206"/>
      <c r="F16" s="209"/>
      <c r="G16" s="43" t="s">
        <v>173</v>
      </c>
      <c r="H16" s="5"/>
      <c r="I16" s="5"/>
      <c r="J16" s="5"/>
      <c r="K16" s="5"/>
      <c r="L16" s="5"/>
      <c r="M16" s="4" t="s">
        <v>34</v>
      </c>
      <c r="N16" s="4" t="s">
        <v>35</v>
      </c>
      <c r="O16" s="4" t="s">
        <v>41</v>
      </c>
      <c r="P16" s="6" t="s">
        <v>125</v>
      </c>
      <c r="Q16" s="148"/>
      <c r="R16" s="148"/>
      <c r="S16" s="137">
        <f>+SUM(S17:S19)</f>
        <v>0</v>
      </c>
      <c r="T16" s="137">
        <f>+SUM(T17:T19)</f>
        <v>0</v>
      </c>
      <c r="U16" s="137">
        <f>+SUM(U17:U19)</f>
        <v>0</v>
      </c>
      <c r="V16" s="138" t="s">
        <v>125</v>
      </c>
      <c r="W16" s="148"/>
      <c r="X16" s="137">
        <f t="shared" ref="X16" si="19">+SUM(X17:X19)</f>
        <v>0</v>
      </c>
      <c r="Y16" s="137">
        <f t="shared" ref="Y16" si="20">+SUM(Y17:Y19)</f>
        <v>0</v>
      </c>
      <c r="Z16" s="137">
        <f t="shared" ref="Z16" si="21">+SUM(Z17:Z19)</f>
        <v>0</v>
      </c>
      <c r="AA16" s="137">
        <f t="shared" ref="AA16" si="22">+SUM(AA17:AA19)</f>
        <v>0</v>
      </c>
      <c r="AB16" s="137">
        <f t="shared" ref="AB16" si="23">+SUM(AB17:AB19)</f>
        <v>0</v>
      </c>
      <c r="AC16" s="137">
        <f t="shared" ref="AC16" si="24">+SUM(AC17:AC19)</f>
        <v>0</v>
      </c>
      <c r="AD16" s="137">
        <f t="shared" ref="AD16" si="25">+SUM(AD17:AD19)</f>
        <v>0</v>
      </c>
      <c r="AE16" s="137">
        <f t="shared" ref="AE16:AG16" si="26">+SUM(AE17:AE19)</f>
        <v>0</v>
      </c>
      <c r="AF16" s="137">
        <f t="shared" si="26"/>
        <v>0</v>
      </c>
      <c r="AG16" s="137">
        <f t="shared" si="26"/>
        <v>0</v>
      </c>
      <c r="AH16" s="153">
        <f t="shared" si="10"/>
        <v>0</v>
      </c>
      <c r="AI16" s="154"/>
    </row>
    <row r="17" spans="1:39" s="11" customFormat="1" x14ac:dyDescent="0.25">
      <c r="A17" s="218"/>
      <c r="B17" s="218"/>
      <c r="C17" s="223"/>
      <c r="D17" s="194"/>
      <c r="E17" s="206"/>
      <c r="F17" s="209"/>
      <c r="G17" s="131" t="s">
        <v>231</v>
      </c>
      <c r="H17" s="5"/>
      <c r="I17" s="5"/>
      <c r="J17" s="5"/>
      <c r="K17" s="5"/>
      <c r="L17" s="5"/>
      <c r="M17" s="4"/>
      <c r="N17" s="4"/>
      <c r="O17" s="4"/>
      <c r="P17" s="6"/>
      <c r="Q17" s="148"/>
      <c r="R17" s="148"/>
      <c r="S17" s="137">
        <f t="shared" si="11"/>
        <v>0</v>
      </c>
      <c r="T17" s="137">
        <f t="shared" si="12"/>
        <v>0</v>
      </c>
      <c r="U17" s="137">
        <f t="shared" si="13"/>
        <v>0</v>
      </c>
      <c r="V17" s="138"/>
      <c r="W17" s="148"/>
      <c r="X17" s="148"/>
      <c r="Y17" s="137">
        <f t="shared" ref="Y17:Y19" si="27">+$W17*X17</f>
        <v>0</v>
      </c>
      <c r="Z17" s="137"/>
      <c r="AA17" s="137">
        <f t="shared" ref="AA17:AA19" si="28">+$W17*Z17</f>
        <v>0</v>
      </c>
      <c r="AB17" s="137"/>
      <c r="AC17" s="137">
        <f t="shared" ref="AC17:AC19" si="29">+$W17*AB17</f>
        <v>0</v>
      </c>
      <c r="AD17" s="137"/>
      <c r="AE17" s="137">
        <f t="shared" ref="AE17:AE19" si="30">+$W17*AD17</f>
        <v>0</v>
      </c>
      <c r="AF17" s="137">
        <f t="shared" si="18"/>
        <v>0</v>
      </c>
      <c r="AG17" s="137">
        <f t="shared" si="18"/>
        <v>0</v>
      </c>
      <c r="AH17" s="153"/>
      <c r="AI17" s="154"/>
    </row>
    <row r="18" spans="1:39" s="11" customFormat="1" x14ac:dyDescent="0.25">
      <c r="A18" s="218"/>
      <c r="B18" s="218"/>
      <c r="C18" s="223"/>
      <c r="D18" s="194"/>
      <c r="E18" s="206"/>
      <c r="F18" s="209"/>
      <c r="G18" s="131" t="s">
        <v>233</v>
      </c>
      <c r="H18" s="5"/>
      <c r="I18" s="5"/>
      <c r="J18" s="5"/>
      <c r="K18" s="5"/>
      <c r="L18" s="5"/>
      <c r="M18" s="4"/>
      <c r="N18" s="4"/>
      <c r="O18" s="4"/>
      <c r="P18" s="6"/>
      <c r="Q18" s="148"/>
      <c r="R18" s="148"/>
      <c r="S18" s="137">
        <f t="shared" si="11"/>
        <v>0</v>
      </c>
      <c r="T18" s="137">
        <f t="shared" si="12"/>
        <v>0</v>
      </c>
      <c r="U18" s="137">
        <f t="shared" si="13"/>
        <v>0</v>
      </c>
      <c r="V18" s="138"/>
      <c r="W18" s="148"/>
      <c r="X18" s="148"/>
      <c r="Y18" s="137">
        <f t="shared" si="27"/>
        <v>0</v>
      </c>
      <c r="Z18" s="137"/>
      <c r="AA18" s="137">
        <f t="shared" si="28"/>
        <v>0</v>
      </c>
      <c r="AB18" s="137"/>
      <c r="AC18" s="137">
        <f t="shared" si="29"/>
        <v>0</v>
      </c>
      <c r="AD18" s="137"/>
      <c r="AE18" s="137">
        <f t="shared" si="30"/>
        <v>0</v>
      </c>
      <c r="AF18" s="137">
        <f t="shared" si="18"/>
        <v>0</v>
      </c>
      <c r="AG18" s="137">
        <f t="shared" si="18"/>
        <v>0</v>
      </c>
      <c r="AH18" s="153"/>
      <c r="AI18" s="154"/>
    </row>
    <row r="19" spans="1:39" s="11" customFormat="1" x14ac:dyDescent="0.25">
      <c r="A19" s="218"/>
      <c r="B19" s="218"/>
      <c r="C19" s="223"/>
      <c r="D19" s="194"/>
      <c r="E19" s="206"/>
      <c r="F19" s="209"/>
      <c r="G19" s="131" t="s">
        <v>232</v>
      </c>
      <c r="H19" s="5"/>
      <c r="I19" s="5"/>
      <c r="J19" s="5"/>
      <c r="K19" s="5"/>
      <c r="L19" s="5"/>
      <c r="M19" s="4"/>
      <c r="N19" s="4"/>
      <c r="O19" s="4"/>
      <c r="P19" s="6"/>
      <c r="Q19" s="148"/>
      <c r="R19" s="148"/>
      <c r="S19" s="137">
        <f t="shared" si="11"/>
        <v>0</v>
      </c>
      <c r="T19" s="137">
        <f t="shared" si="12"/>
        <v>0</v>
      </c>
      <c r="U19" s="137">
        <f t="shared" si="13"/>
        <v>0</v>
      </c>
      <c r="V19" s="138"/>
      <c r="W19" s="148"/>
      <c r="X19" s="148"/>
      <c r="Y19" s="137">
        <f t="shared" si="27"/>
        <v>0</v>
      </c>
      <c r="Z19" s="137"/>
      <c r="AA19" s="137">
        <f t="shared" si="28"/>
        <v>0</v>
      </c>
      <c r="AB19" s="137"/>
      <c r="AC19" s="137">
        <f t="shared" si="29"/>
        <v>0</v>
      </c>
      <c r="AD19" s="137"/>
      <c r="AE19" s="137">
        <f t="shared" si="30"/>
        <v>0</v>
      </c>
      <c r="AF19" s="137">
        <f t="shared" si="18"/>
        <v>0</v>
      </c>
      <c r="AG19" s="137">
        <f t="shared" si="18"/>
        <v>0</v>
      </c>
      <c r="AH19" s="153"/>
      <c r="AI19" s="154"/>
    </row>
    <row r="20" spans="1:39" s="11" customFormat="1" ht="38.25" x14ac:dyDescent="0.25">
      <c r="A20" s="60">
        <v>13</v>
      </c>
      <c r="B20" s="60">
        <v>1</v>
      </c>
      <c r="C20" s="63" t="s">
        <v>38</v>
      </c>
      <c r="D20" s="194"/>
      <c r="E20" s="206"/>
      <c r="F20" s="209"/>
      <c r="G20" s="43" t="s">
        <v>126</v>
      </c>
      <c r="H20" s="5"/>
      <c r="I20" s="5"/>
      <c r="J20" s="5"/>
      <c r="K20" s="5"/>
      <c r="L20" s="5"/>
      <c r="M20" s="4" t="s">
        <v>34</v>
      </c>
      <c r="N20" s="4" t="s">
        <v>35</v>
      </c>
      <c r="O20" s="4" t="s">
        <v>41</v>
      </c>
      <c r="P20" s="6" t="s">
        <v>127</v>
      </c>
      <c r="Q20" s="152"/>
      <c r="R20" s="152"/>
      <c r="S20" s="137">
        <f t="shared" si="11"/>
        <v>0</v>
      </c>
      <c r="T20" s="137">
        <f t="shared" si="12"/>
        <v>0</v>
      </c>
      <c r="U20" s="137">
        <f t="shared" si="13"/>
        <v>0</v>
      </c>
      <c r="V20" s="138" t="s">
        <v>127</v>
      </c>
      <c r="W20" s="139"/>
      <c r="X20" s="137"/>
      <c r="Y20" s="137">
        <f t="shared" ref="Y20:Y21" si="31">+W20*X20</f>
        <v>0</v>
      </c>
      <c r="Z20" s="137"/>
      <c r="AA20" s="137">
        <f t="shared" ref="AA20:AA21" si="32">+Z20*W20</f>
        <v>0</v>
      </c>
      <c r="AB20" s="137"/>
      <c r="AC20" s="137">
        <f t="shared" ref="AC20:AC21" si="33">+AB20*W20</f>
        <v>0</v>
      </c>
      <c r="AD20" s="137"/>
      <c r="AE20" s="137">
        <f t="shared" ref="AE20:AE21" si="34">+AD20*W20</f>
        <v>0</v>
      </c>
      <c r="AF20" s="137">
        <f t="shared" si="18"/>
        <v>0</v>
      </c>
      <c r="AG20" s="137">
        <f t="shared" si="18"/>
        <v>0</v>
      </c>
      <c r="AH20" s="153">
        <f t="shared" si="10"/>
        <v>0</v>
      </c>
      <c r="AI20" s="154"/>
    </row>
    <row r="21" spans="1:39" s="59" customFormat="1" ht="150.75" customHeight="1" x14ac:dyDescent="0.25">
      <c r="A21" s="60">
        <v>13</v>
      </c>
      <c r="B21" s="60">
        <v>1</v>
      </c>
      <c r="C21" s="63" t="s">
        <v>38</v>
      </c>
      <c r="D21" s="195"/>
      <c r="E21" s="207"/>
      <c r="F21" s="210"/>
      <c r="G21" s="43" t="s">
        <v>128</v>
      </c>
      <c r="H21" s="5"/>
      <c r="I21" s="5"/>
      <c r="J21" s="5"/>
      <c r="K21" s="5"/>
      <c r="L21" s="5"/>
      <c r="M21" s="4" t="s">
        <v>34</v>
      </c>
      <c r="N21" s="4" t="s">
        <v>35</v>
      </c>
      <c r="O21" s="4" t="s">
        <v>41</v>
      </c>
      <c r="P21" s="6" t="s">
        <v>129</v>
      </c>
      <c r="Q21" s="152"/>
      <c r="R21" s="152"/>
      <c r="S21" s="137">
        <f t="shared" si="11"/>
        <v>0</v>
      </c>
      <c r="T21" s="137">
        <f t="shared" si="12"/>
        <v>0</v>
      </c>
      <c r="U21" s="137">
        <f t="shared" si="13"/>
        <v>0</v>
      </c>
      <c r="V21" s="138" t="s">
        <v>129</v>
      </c>
      <c r="W21" s="139"/>
      <c r="X21" s="137"/>
      <c r="Y21" s="137">
        <f t="shared" si="31"/>
        <v>0</v>
      </c>
      <c r="Z21" s="137"/>
      <c r="AA21" s="137">
        <f t="shared" si="32"/>
        <v>0</v>
      </c>
      <c r="AB21" s="137"/>
      <c r="AC21" s="137">
        <f t="shared" si="33"/>
        <v>0</v>
      </c>
      <c r="AD21" s="137"/>
      <c r="AE21" s="137">
        <f t="shared" si="34"/>
        <v>0</v>
      </c>
      <c r="AF21" s="137">
        <f t="shared" si="18"/>
        <v>0</v>
      </c>
      <c r="AG21" s="137">
        <f t="shared" si="18"/>
        <v>0</v>
      </c>
      <c r="AH21" s="153">
        <f t="shared" si="10"/>
        <v>0</v>
      </c>
      <c r="AI21" s="154"/>
    </row>
    <row r="22" spans="1:39" s="11" customFormat="1" x14ac:dyDescent="0.2">
      <c r="A22" s="49" t="s">
        <v>57</v>
      </c>
      <c r="B22" s="25"/>
      <c r="C22" s="26"/>
      <c r="D22" s="26"/>
      <c r="E22" s="26"/>
      <c r="F22" s="26"/>
      <c r="G22" s="38"/>
      <c r="H22" s="39"/>
      <c r="I22" s="39"/>
      <c r="J22" s="39"/>
      <c r="K22" s="39"/>
      <c r="L22" s="39"/>
      <c r="M22" s="37"/>
      <c r="N22" s="37"/>
      <c r="O22" s="37"/>
      <c r="P22" s="34"/>
      <c r="Q22" s="172"/>
      <c r="R22" s="172"/>
      <c r="S22" s="172"/>
      <c r="T22" s="172"/>
      <c r="U22" s="172"/>
      <c r="V22" s="172"/>
      <c r="W22" s="172"/>
      <c r="X22" s="172"/>
      <c r="Y22" s="172"/>
      <c r="Z22" s="172"/>
      <c r="AA22" s="172"/>
      <c r="AB22" s="172"/>
      <c r="AC22" s="172"/>
      <c r="AD22" s="172"/>
      <c r="AE22" s="172"/>
      <c r="AF22" s="172"/>
      <c r="AG22" s="172"/>
      <c r="AH22" s="168">
        <f>SUM(AH23)</f>
        <v>0</v>
      </c>
      <c r="AI22" s="170">
        <v>15461036</v>
      </c>
    </row>
    <row r="23" spans="1:39" s="59" customFormat="1" ht="89.25" x14ac:dyDescent="0.25">
      <c r="A23" s="60">
        <v>8</v>
      </c>
      <c r="B23" s="60">
        <v>1</v>
      </c>
      <c r="C23" s="63" t="s">
        <v>38</v>
      </c>
      <c r="D23" s="63" t="s">
        <v>32</v>
      </c>
      <c r="E23" s="57" t="s">
        <v>122</v>
      </c>
      <c r="F23" s="57" t="s">
        <v>130</v>
      </c>
      <c r="G23" s="3"/>
      <c r="H23" s="5"/>
      <c r="I23" s="5"/>
      <c r="J23" s="5"/>
      <c r="K23" s="5"/>
      <c r="L23" s="5"/>
      <c r="M23" s="4" t="s">
        <v>34</v>
      </c>
      <c r="N23" s="4" t="s">
        <v>35</v>
      </c>
      <c r="O23" s="4" t="s">
        <v>40</v>
      </c>
      <c r="P23" s="6"/>
      <c r="Q23" s="152"/>
      <c r="R23" s="152"/>
      <c r="S23" s="137">
        <f t="shared" ref="S23" si="35">+R23*Q23</f>
        <v>0</v>
      </c>
      <c r="T23" s="137">
        <f t="shared" ref="T23" si="36">+R23</f>
        <v>0</v>
      </c>
      <c r="U23" s="137">
        <f t="shared" ref="U23" si="37">S23</f>
        <v>0</v>
      </c>
      <c r="V23" s="138"/>
      <c r="W23" s="139"/>
      <c r="X23" s="137"/>
      <c r="Y23" s="137">
        <f t="shared" ref="Y23" si="38">+W23*X23</f>
        <v>0</v>
      </c>
      <c r="Z23" s="137"/>
      <c r="AA23" s="137">
        <f t="shared" ref="AA23" si="39">+Z23*W23</f>
        <v>0</v>
      </c>
      <c r="AB23" s="137"/>
      <c r="AC23" s="137">
        <f t="shared" ref="AC23" si="40">+AB23*W23</f>
        <v>0</v>
      </c>
      <c r="AD23" s="137"/>
      <c r="AE23" s="137">
        <f t="shared" ref="AE23" si="41">+AD23*W23</f>
        <v>0</v>
      </c>
      <c r="AF23" s="137">
        <f t="shared" ref="AF23:AG23" si="42">+X23+Z23+AB23+AD23</f>
        <v>0</v>
      </c>
      <c r="AG23" s="137">
        <f t="shared" si="42"/>
        <v>0</v>
      </c>
      <c r="AH23" s="153">
        <f t="shared" ref="AH23" si="43">+U23+AG23</f>
        <v>0</v>
      </c>
      <c r="AI23" s="154"/>
    </row>
    <row r="24" spans="1:39" s="11" customFormat="1" x14ac:dyDescent="0.2">
      <c r="A24" s="49" t="s">
        <v>164</v>
      </c>
      <c r="B24" s="25"/>
      <c r="C24" s="26"/>
      <c r="D24" s="26"/>
      <c r="E24" s="26"/>
      <c r="F24" s="26"/>
      <c r="G24" s="38"/>
      <c r="H24" s="39"/>
      <c r="I24" s="39"/>
      <c r="J24" s="39"/>
      <c r="K24" s="39"/>
      <c r="L24" s="39"/>
      <c r="M24" s="37"/>
      <c r="N24" s="37"/>
      <c r="O24" s="37"/>
      <c r="P24" s="34"/>
      <c r="Q24" s="172"/>
      <c r="R24" s="172"/>
      <c r="S24" s="172"/>
      <c r="T24" s="172"/>
      <c r="U24" s="172"/>
      <c r="V24" s="172"/>
      <c r="W24" s="172"/>
      <c r="X24" s="172"/>
      <c r="Y24" s="172"/>
      <c r="Z24" s="172"/>
      <c r="AA24" s="172"/>
      <c r="AB24" s="172"/>
      <c r="AC24" s="172"/>
      <c r="AD24" s="172"/>
      <c r="AE24" s="172"/>
      <c r="AF24" s="172"/>
      <c r="AG24" s="172"/>
      <c r="AH24" s="168">
        <f>+AH4+AH11+AH22</f>
        <v>0</v>
      </c>
      <c r="AI24" s="170">
        <f>+AI4+AI11+AI22</f>
        <v>171789224</v>
      </c>
    </row>
    <row r="25" spans="1:39" x14ac:dyDescent="0.2">
      <c r="Q25" s="173"/>
      <c r="R25" s="173"/>
      <c r="S25" s="173"/>
      <c r="T25" s="173"/>
      <c r="U25" s="173"/>
      <c r="V25" s="173"/>
      <c r="W25" s="173"/>
      <c r="X25" s="173"/>
      <c r="Y25" s="173"/>
      <c r="Z25" s="173"/>
      <c r="AA25" s="174"/>
      <c r="AB25" s="173"/>
      <c r="AC25" s="173"/>
      <c r="AD25" s="173"/>
      <c r="AE25" s="173"/>
      <c r="AF25" s="173"/>
      <c r="AG25" s="173"/>
      <c r="AH25" s="173">
        <f>SUM(AH7:AH23)</f>
        <v>0</v>
      </c>
      <c r="AI25" s="178"/>
      <c r="AJ25" s="46"/>
    </row>
    <row r="26" spans="1:39" s="11" customFormat="1" x14ac:dyDescent="0.2">
      <c r="A26" s="49" t="s">
        <v>58</v>
      </c>
      <c r="B26" s="25"/>
      <c r="C26" s="26"/>
      <c r="D26" s="26"/>
      <c r="E26" s="26"/>
      <c r="F26" s="26"/>
      <c r="G26" s="26"/>
      <c r="H26" s="27"/>
      <c r="I26" s="27"/>
      <c r="J26" s="27"/>
      <c r="K26" s="27"/>
      <c r="L26" s="27"/>
      <c r="M26" s="25"/>
      <c r="N26" s="25"/>
      <c r="O26" s="25"/>
      <c r="P26" s="25"/>
      <c r="Q26" s="175"/>
      <c r="R26" s="175"/>
      <c r="S26" s="175"/>
      <c r="T26" s="175"/>
      <c r="U26" s="175"/>
      <c r="V26" s="175"/>
      <c r="W26" s="175"/>
      <c r="X26" s="175"/>
      <c r="Y26" s="175"/>
      <c r="Z26" s="175"/>
      <c r="AA26" s="175"/>
      <c r="AB26" s="175"/>
      <c r="AC26" s="175"/>
      <c r="AD26" s="175"/>
      <c r="AE26" s="175"/>
      <c r="AF26" s="175"/>
      <c r="AG26" s="175"/>
      <c r="AH26" s="168"/>
      <c r="AI26" s="170"/>
    </row>
    <row r="27" spans="1:39" s="59" customFormat="1" ht="89.25" x14ac:dyDescent="0.25">
      <c r="A27" s="60">
        <v>6</v>
      </c>
      <c r="B27" s="60">
        <v>1</v>
      </c>
      <c r="C27" s="63" t="s">
        <v>31</v>
      </c>
      <c r="D27" s="63" t="s">
        <v>32</v>
      </c>
      <c r="E27" s="57" t="s">
        <v>33</v>
      </c>
      <c r="F27" s="63" t="s">
        <v>131</v>
      </c>
      <c r="G27" s="57" t="s">
        <v>132</v>
      </c>
      <c r="H27" s="58"/>
      <c r="I27" s="58"/>
      <c r="J27" s="58"/>
      <c r="K27" s="58"/>
      <c r="L27" s="58"/>
      <c r="M27" s="33" t="s">
        <v>34</v>
      </c>
      <c r="N27" s="33" t="s">
        <v>35</v>
      </c>
      <c r="O27" s="33" t="s">
        <v>36</v>
      </c>
      <c r="P27" s="51" t="s">
        <v>37</v>
      </c>
      <c r="Q27" s="140">
        <f>15355</f>
        <v>15355</v>
      </c>
      <c r="R27" s="113">
        <v>93</v>
      </c>
      <c r="S27" s="140">
        <f>+R27*Q27</f>
        <v>1428015</v>
      </c>
      <c r="T27" s="140">
        <f t="shared" ref="T27:T32" si="44">+R27</f>
        <v>93</v>
      </c>
      <c r="U27" s="140">
        <f>S27</f>
        <v>1428015</v>
      </c>
      <c r="V27" s="150" t="s">
        <v>37</v>
      </c>
      <c r="W27" s="151">
        <f>+Q27</f>
        <v>15355</v>
      </c>
      <c r="X27" s="140">
        <v>93</v>
      </c>
      <c r="Y27" s="140">
        <f t="shared" ref="Y27:Y31" si="45">+W27*X27</f>
        <v>1428015</v>
      </c>
      <c r="Z27" s="140">
        <v>93</v>
      </c>
      <c r="AA27" s="140">
        <f t="shared" ref="AA27:AA31" si="46">+Z27*W27</f>
        <v>1428015</v>
      </c>
      <c r="AB27" s="140">
        <v>92</v>
      </c>
      <c r="AC27" s="140">
        <f t="shared" ref="AC27:AC31" si="47">+AB27*W27</f>
        <v>1412660</v>
      </c>
      <c r="AD27" s="140">
        <v>92</v>
      </c>
      <c r="AE27" s="140">
        <f t="shared" ref="AE27:AE31" si="48">+AD27*W27</f>
        <v>1412660</v>
      </c>
      <c r="AF27" s="140">
        <f>+X27+Z27+AB27+AD27</f>
        <v>370</v>
      </c>
      <c r="AG27" s="140">
        <f t="shared" ref="AF27:AG31" si="49">+Y27+AA27+AC27+AE27</f>
        <v>5681350</v>
      </c>
      <c r="AH27" s="153">
        <f>+U27+AG27</f>
        <v>7109365</v>
      </c>
      <c r="AI27" s="154"/>
      <c r="AK27" s="117"/>
      <c r="AM27" s="59">
        <f>370/4</f>
        <v>92.5</v>
      </c>
    </row>
    <row r="28" spans="1:39" s="59" customFormat="1" ht="114.75" x14ac:dyDescent="0.25">
      <c r="A28" s="60">
        <v>34</v>
      </c>
      <c r="B28" s="68">
        <v>1</v>
      </c>
      <c r="C28" s="63" t="s">
        <v>42</v>
      </c>
      <c r="D28" s="63" t="s">
        <v>43</v>
      </c>
      <c r="E28" s="57" t="s">
        <v>44</v>
      </c>
      <c r="F28" s="63" t="s">
        <v>158</v>
      </c>
      <c r="G28" s="57" t="s">
        <v>133</v>
      </c>
      <c r="H28" s="33"/>
      <c r="I28" s="58"/>
      <c r="J28" s="58"/>
      <c r="K28" s="58"/>
      <c r="L28" s="58"/>
      <c r="M28" s="33" t="s">
        <v>34</v>
      </c>
      <c r="N28" s="33" t="s">
        <v>35</v>
      </c>
      <c r="O28" s="63" t="s">
        <v>45</v>
      </c>
      <c r="P28" s="51" t="s">
        <v>134</v>
      </c>
      <c r="Q28" s="140"/>
      <c r="R28" s="113"/>
      <c r="S28" s="140">
        <f>+R28*Q28</f>
        <v>0</v>
      </c>
      <c r="T28" s="140">
        <f t="shared" si="44"/>
        <v>0</v>
      </c>
      <c r="U28" s="140">
        <f t="shared" ref="U28:U31" si="50">S28</f>
        <v>0</v>
      </c>
      <c r="V28" s="150" t="s">
        <v>134</v>
      </c>
      <c r="W28" s="140">
        <f>36000*24</f>
        <v>864000</v>
      </c>
      <c r="X28" s="140">
        <v>2</v>
      </c>
      <c r="Y28" s="140">
        <f t="shared" si="45"/>
        <v>1728000</v>
      </c>
      <c r="Z28" s="140">
        <f>+X28</f>
        <v>2</v>
      </c>
      <c r="AA28" s="140">
        <f t="shared" si="46"/>
        <v>1728000</v>
      </c>
      <c r="AB28" s="140"/>
      <c r="AC28" s="140">
        <f t="shared" si="47"/>
        <v>0</v>
      </c>
      <c r="AD28" s="140">
        <f t="shared" ref="AD28:AD29" si="51">+AB28</f>
        <v>0</v>
      </c>
      <c r="AE28" s="140">
        <f t="shared" si="48"/>
        <v>0</v>
      </c>
      <c r="AF28" s="140">
        <f>+X28+Z28+AB28+AD28</f>
        <v>4</v>
      </c>
      <c r="AG28" s="140">
        <f t="shared" si="49"/>
        <v>3456000</v>
      </c>
      <c r="AH28" s="153">
        <f t="shared" ref="AH28:AH31" si="52">+U28+AG28</f>
        <v>3456000</v>
      </c>
      <c r="AI28" s="154"/>
    </row>
    <row r="29" spans="1:39" s="59" customFormat="1" ht="114.75" x14ac:dyDescent="0.25">
      <c r="A29" s="60">
        <v>35</v>
      </c>
      <c r="B29" s="68">
        <v>1</v>
      </c>
      <c r="C29" s="63" t="s">
        <v>42</v>
      </c>
      <c r="D29" s="63" t="s">
        <v>43</v>
      </c>
      <c r="E29" s="57" t="s">
        <v>44</v>
      </c>
      <c r="F29" s="63" t="s">
        <v>158</v>
      </c>
      <c r="G29" s="57" t="s">
        <v>135</v>
      </c>
      <c r="H29" s="33"/>
      <c r="I29" s="58"/>
      <c r="J29" s="58"/>
      <c r="K29" s="58"/>
      <c r="L29" s="58"/>
      <c r="M29" s="33" t="s">
        <v>34</v>
      </c>
      <c r="N29" s="33" t="s">
        <v>35</v>
      </c>
      <c r="O29" s="63" t="s">
        <v>45</v>
      </c>
      <c r="P29" s="51" t="s">
        <v>134</v>
      </c>
      <c r="Q29" s="140"/>
      <c r="R29" s="113"/>
      <c r="S29" s="140">
        <f t="shared" ref="S29:S31" si="53">+R29*Q29</f>
        <v>0</v>
      </c>
      <c r="T29" s="140">
        <f t="shared" si="44"/>
        <v>0</v>
      </c>
      <c r="U29" s="140">
        <f t="shared" si="50"/>
        <v>0</v>
      </c>
      <c r="V29" s="150" t="s">
        <v>134</v>
      </c>
      <c r="W29" s="140">
        <f>36000*12</f>
        <v>432000</v>
      </c>
      <c r="X29" s="140"/>
      <c r="Y29" s="140">
        <f t="shared" si="45"/>
        <v>0</v>
      </c>
      <c r="Z29" s="140">
        <f t="shared" ref="Z29" si="54">+X29</f>
        <v>0</v>
      </c>
      <c r="AA29" s="140">
        <f t="shared" si="46"/>
        <v>0</v>
      </c>
      <c r="AB29" s="140">
        <v>4</v>
      </c>
      <c r="AC29" s="140">
        <f t="shared" si="47"/>
        <v>1728000</v>
      </c>
      <c r="AD29" s="140">
        <f t="shared" si="51"/>
        <v>4</v>
      </c>
      <c r="AE29" s="140">
        <f t="shared" si="48"/>
        <v>1728000</v>
      </c>
      <c r="AF29" s="140">
        <f t="shared" si="49"/>
        <v>8</v>
      </c>
      <c r="AG29" s="140">
        <f t="shared" si="49"/>
        <v>3456000</v>
      </c>
      <c r="AH29" s="153">
        <f t="shared" si="52"/>
        <v>3456000</v>
      </c>
      <c r="AI29" s="154"/>
    </row>
    <row r="30" spans="1:39" s="72" customFormat="1" ht="76.5" x14ac:dyDescent="0.25">
      <c r="A30" s="60">
        <v>43</v>
      </c>
      <c r="B30" s="68">
        <v>1</v>
      </c>
      <c r="C30" s="63" t="s">
        <v>46</v>
      </c>
      <c r="D30" s="63" t="s">
        <v>47</v>
      </c>
      <c r="E30" s="57" t="s">
        <v>48</v>
      </c>
      <c r="F30" s="63" t="s">
        <v>159</v>
      </c>
      <c r="G30" s="57" t="s">
        <v>136</v>
      </c>
      <c r="H30" s="69"/>
      <c r="I30" s="69"/>
      <c r="J30" s="70"/>
      <c r="K30" s="69"/>
      <c r="L30" s="70"/>
      <c r="M30" s="33" t="s">
        <v>34</v>
      </c>
      <c r="N30" s="33" t="s">
        <v>35</v>
      </c>
      <c r="O30" s="33" t="s">
        <v>49</v>
      </c>
      <c r="P30" s="51" t="s">
        <v>137</v>
      </c>
      <c r="Q30" s="140"/>
      <c r="R30" s="113"/>
      <c r="S30" s="140">
        <f t="shared" si="53"/>
        <v>0</v>
      </c>
      <c r="T30" s="140">
        <f t="shared" si="44"/>
        <v>0</v>
      </c>
      <c r="U30" s="140">
        <f t="shared" si="50"/>
        <v>0</v>
      </c>
      <c r="V30" s="150" t="s">
        <v>137</v>
      </c>
      <c r="W30" s="151">
        <v>5000000</v>
      </c>
      <c r="X30" s="140">
        <f t="shared" ref="X30" si="55">+R30</f>
        <v>0</v>
      </c>
      <c r="Y30" s="140">
        <f t="shared" si="45"/>
        <v>0</v>
      </c>
      <c r="Z30" s="140">
        <v>0</v>
      </c>
      <c r="AA30" s="140">
        <f t="shared" si="46"/>
        <v>0</v>
      </c>
      <c r="AB30" s="140"/>
      <c r="AC30" s="140">
        <f t="shared" si="47"/>
        <v>0</v>
      </c>
      <c r="AD30" s="140">
        <v>1</v>
      </c>
      <c r="AE30" s="140">
        <f t="shared" si="48"/>
        <v>5000000</v>
      </c>
      <c r="AF30" s="140">
        <f t="shared" si="49"/>
        <v>1</v>
      </c>
      <c r="AG30" s="140">
        <f t="shared" si="49"/>
        <v>5000000</v>
      </c>
      <c r="AH30" s="153">
        <f t="shared" si="52"/>
        <v>5000000</v>
      </c>
      <c r="AI30" s="154"/>
    </row>
    <row r="31" spans="1:39" s="72" customFormat="1" ht="144" customHeight="1" x14ac:dyDescent="0.25">
      <c r="A31" s="60">
        <v>46</v>
      </c>
      <c r="B31" s="68">
        <v>1</v>
      </c>
      <c r="C31" s="33" t="s">
        <v>38</v>
      </c>
      <c r="D31" s="63" t="s">
        <v>47</v>
      </c>
      <c r="E31" s="57" t="s">
        <v>50</v>
      </c>
      <c r="F31" s="63" t="s">
        <v>138</v>
      </c>
      <c r="G31" s="57" t="s">
        <v>139</v>
      </c>
      <c r="H31" s="69"/>
      <c r="I31" s="70"/>
      <c r="J31" s="70"/>
      <c r="K31" s="70"/>
      <c r="L31" s="70"/>
      <c r="M31" s="33" t="s">
        <v>34</v>
      </c>
      <c r="N31" s="33" t="s">
        <v>35</v>
      </c>
      <c r="O31" s="33" t="s">
        <v>36</v>
      </c>
      <c r="P31" s="51" t="s">
        <v>140</v>
      </c>
      <c r="Q31" s="140"/>
      <c r="R31" s="113"/>
      <c r="S31" s="140">
        <f t="shared" si="53"/>
        <v>0</v>
      </c>
      <c r="T31" s="140">
        <f t="shared" si="44"/>
        <v>0</v>
      </c>
      <c r="U31" s="140">
        <f t="shared" si="50"/>
        <v>0</v>
      </c>
      <c r="V31" s="150" t="s">
        <v>140</v>
      </c>
      <c r="W31" s="140">
        <v>100000</v>
      </c>
      <c r="X31" s="140">
        <v>4</v>
      </c>
      <c r="Y31" s="140">
        <f t="shared" si="45"/>
        <v>400000</v>
      </c>
      <c r="Z31" s="140">
        <v>5</v>
      </c>
      <c r="AA31" s="140">
        <f t="shared" si="46"/>
        <v>500000</v>
      </c>
      <c r="AB31" s="140">
        <v>4</v>
      </c>
      <c r="AC31" s="140">
        <f t="shared" si="47"/>
        <v>400000</v>
      </c>
      <c r="AD31" s="140">
        <v>5</v>
      </c>
      <c r="AE31" s="140">
        <f t="shared" si="48"/>
        <v>500000</v>
      </c>
      <c r="AF31" s="140">
        <f t="shared" si="49"/>
        <v>18</v>
      </c>
      <c r="AG31" s="140">
        <f t="shared" si="49"/>
        <v>1800000</v>
      </c>
      <c r="AH31" s="153">
        <f t="shared" si="52"/>
        <v>1800000</v>
      </c>
      <c r="AI31" s="154"/>
    </row>
    <row r="32" spans="1:39" s="77" customFormat="1" ht="89.25" customHeight="1" x14ac:dyDescent="0.25">
      <c r="A32" s="60">
        <v>12</v>
      </c>
      <c r="B32" s="68">
        <v>1</v>
      </c>
      <c r="C32" s="63" t="s">
        <v>38</v>
      </c>
      <c r="D32" s="73" t="s">
        <v>32</v>
      </c>
      <c r="E32" s="74" t="s">
        <v>114</v>
      </c>
      <c r="F32" s="75" t="s">
        <v>160</v>
      </c>
      <c r="G32" s="75" t="s">
        <v>141</v>
      </c>
      <c r="H32" s="33"/>
      <c r="I32" s="70"/>
      <c r="J32" s="70"/>
      <c r="K32" s="70"/>
      <c r="L32" s="70"/>
      <c r="M32" s="76" t="s">
        <v>34</v>
      </c>
      <c r="N32" s="33" t="s">
        <v>35</v>
      </c>
      <c r="O32" s="76" t="s">
        <v>41</v>
      </c>
      <c r="P32" s="51" t="s">
        <v>142</v>
      </c>
      <c r="Q32" s="140">
        <f>150000*3</f>
        <v>450000</v>
      </c>
      <c r="R32" s="113">
        <v>5</v>
      </c>
      <c r="S32" s="140">
        <f>+R32*Q32</f>
        <v>2250000</v>
      </c>
      <c r="T32" s="140">
        <f t="shared" si="44"/>
        <v>5</v>
      </c>
      <c r="U32" s="140">
        <f>S32</f>
        <v>2250000</v>
      </c>
      <c r="V32" s="150" t="str">
        <f>+P32</f>
        <v>Costo Incentivo Lideres Pares</v>
      </c>
      <c r="W32" s="151">
        <f>154500*3</f>
        <v>463500</v>
      </c>
      <c r="X32" s="140">
        <v>5</v>
      </c>
      <c r="Y32" s="140">
        <f>+W32*X32</f>
        <v>2317500</v>
      </c>
      <c r="Z32" s="140">
        <v>21</v>
      </c>
      <c r="AA32" s="140">
        <f>+Z32*W32</f>
        <v>9733500</v>
      </c>
      <c r="AB32" s="140">
        <f t="shared" ref="AB32" si="56">+Z32</f>
        <v>21</v>
      </c>
      <c r="AC32" s="140">
        <f>+AB32*W32</f>
        <v>9733500</v>
      </c>
      <c r="AD32" s="140">
        <f>+AB32</f>
        <v>21</v>
      </c>
      <c r="AE32" s="140">
        <f>+AD32*W32</f>
        <v>9733500</v>
      </c>
      <c r="AF32" s="140">
        <f>+X32+Z32+AB32+AD32</f>
        <v>68</v>
      </c>
      <c r="AG32" s="140">
        <f>+Y32+AA32+AC32+AE32</f>
        <v>31518000</v>
      </c>
      <c r="AH32" s="153">
        <f>+U32+AG32</f>
        <v>33768000</v>
      </c>
      <c r="AI32" s="154"/>
    </row>
    <row r="33" spans="1:35" s="11" customFormat="1" x14ac:dyDescent="0.2">
      <c r="A33" s="49" t="s">
        <v>165</v>
      </c>
      <c r="B33" s="25"/>
      <c r="C33" s="26"/>
      <c r="D33" s="26"/>
      <c r="E33" s="26"/>
      <c r="F33" s="26"/>
      <c r="G33" s="26"/>
      <c r="H33" s="27"/>
      <c r="I33" s="27"/>
      <c r="J33" s="27"/>
      <c r="K33" s="27"/>
      <c r="L33" s="27"/>
      <c r="M33" s="25"/>
      <c r="N33" s="25"/>
      <c r="O33" s="25"/>
      <c r="P33" s="64"/>
      <c r="Q33" s="175"/>
      <c r="R33" s="175"/>
      <c r="S33" s="175"/>
      <c r="T33" s="175"/>
      <c r="U33" s="175"/>
      <c r="V33" s="175"/>
      <c r="W33" s="175"/>
      <c r="X33" s="175"/>
      <c r="Y33" s="175"/>
      <c r="Z33" s="175"/>
      <c r="AA33" s="175"/>
      <c r="AB33" s="175"/>
      <c r="AC33" s="175"/>
      <c r="AD33" s="175"/>
      <c r="AE33" s="175"/>
      <c r="AF33" s="175"/>
      <c r="AG33" s="175"/>
      <c r="AH33" s="168">
        <f>SUM(AH27:AH32)</f>
        <v>54589365</v>
      </c>
      <c r="AI33" s="170">
        <f>+AH33</f>
        <v>54589365</v>
      </c>
    </row>
    <row r="34" spans="1:35" s="11" customFormat="1" x14ac:dyDescent="0.2">
      <c r="A34" s="83" t="s">
        <v>166</v>
      </c>
      <c r="B34" s="84"/>
      <c r="C34" s="85"/>
      <c r="D34" s="85"/>
      <c r="E34" s="85"/>
      <c r="F34" s="85"/>
      <c r="G34" s="85"/>
      <c r="H34" s="86"/>
      <c r="I34" s="86"/>
      <c r="J34" s="86"/>
      <c r="K34" s="86"/>
      <c r="L34" s="86"/>
      <c r="M34" s="84"/>
      <c r="N34" s="84"/>
      <c r="O34" s="84"/>
      <c r="P34" s="87"/>
      <c r="Q34" s="176"/>
      <c r="R34" s="176"/>
      <c r="S34" s="176"/>
      <c r="T34" s="176"/>
      <c r="U34" s="176"/>
      <c r="V34" s="176"/>
      <c r="W34" s="176"/>
      <c r="X34" s="176"/>
      <c r="Y34" s="176"/>
      <c r="Z34" s="176"/>
      <c r="AA34" s="176"/>
      <c r="AB34" s="176"/>
      <c r="AC34" s="176"/>
      <c r="AD34" s="176"/>
      <c r="AE34" s="176"/>
      <c r="AF34" s="176"/>
      <c r="AG34" s="176"/>
      <c r="AH34" s="177"/>
      <c r="AI34" s="177">
        <f>+AI24+AI33</f>
        <v>226378589</v>
      </c>
    </row>
  </sheetData>
  <sheetProtection password="CB42" sheet="1" objects="1" scenarios="1" formatCells="0" formatColumns="0" formatRows="0" insertRows="0"/>
  <mergeCells count="45">
    <mergeCell ref="A12:A15"/>
    <mergeCell ref="B12:B15"/>
    <mergeCell ref="C12:C15"/>
    <mergeCell ref="A16:A19"/>
    <mergeCell ref="B16:B19"/>
    <mergeCell ref="C16:C19"/>
    <mergeCell ref="F2:F3"/>
    <mergeCell ref="A2:A3"/>
    <mergeCell ref="B2:B3"/>
    <mergeCell ref="C2:C3"/>
    <mergeCell ref="D2:D3"/>
    <mergeCell ref="E2:E3"/>
    <mergeCell ref="V2:V3"/>
    <mergeCell ref="G2:G3"/>
    <mergeCell ref="I2:L2"/>
    <mergeCell ref="M2:M3"/>
    <mergeCell ref="N2:N3"/>
    <mergeCell ref="O2:O3"/>
    <mergeCell ref="P2:P3"/>
    <mergeCell ref="Q2:Q3"/>
    <mergeCell ref="R2:R3"/>
    <mergeCell ref="S2:S3"/>
    <mergeCell ref="T2:T3"/>
    <mergeCell ref="U2:U3"/>
    <mergeCell ref="X2:X3"/>
    <mergeCell ref="Y2:Y3"/>
    <mergeCell ref="Z2:Z3"/>
    <mergeCell ref="AA2:AA3"/>
    <mergeCell ref="AB2:AB3"/>
    <mergeCell ref="D12:D21"/>
    <mergeCell ref="E12:E21"/>
    <mergeCell ref="F12:F21"/>
    <mergeCell ref="AI2:AI3"/>
    <mergeCell ref="C5:C7"/>
    <mergeCell ref="D5:D10"/>
    <mergeCell ref="E5:E10"/>
    <mergeCell ref="F5:F7"/>
    <mergeCell ref="F8:F10"/>
    <mergeCell ref="AC2:AC3"/>
    <mergeCell ref="AD2:AD3"/>
    <mergeCell ref="AE2:AE3"/>
    <mergeCell ref="AF2:AF3"/>
    <mergeCell ref="AG2:AG3"/>
    <mergeCell ref="AH2:AH3"/>
    <mergeCell ref="W2:W3"/>
  </mergeCells>
  <dataValidations count="1">
    <dataValidation type="decimal" operator="greaterThanOrEqual" allowBlank="1" showInputMessage="1" showErrorMessage="1" sqref="W32:W34 W30 W27 W23:W24 W5:W10 W12 W20:W21">
      <formula1>0</formula1>
    </dataValidation>
  </dataValidations>
  <pageMargins left="0.7" right="0.7" top="0.75" bottom="0.75" header="0.3" footer="0.3"/>
  <pageSetup orientation="portrait"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23"/>
  <sheetViews>
    <sheetView showGridLines="0" workbookViewId="0">
      <selection activeCell="A4" sqref="A4"/>
    </sheetView>
  </sheetViews>
  <sheetFormatPr baseColWidth="10" defaultRowHeight="15" x14ac:dyDescent="0.25"/>
  <cols>
    <col min="1" max="1" width="53.28515625" style="19" customWidth="1"/>
    <col min="2" max="2" width="17.5703125" style="23" bestFit="1" customWidth="1"/>
    <col min="3" max="3" width="18.5703125" style="19" bestFit="1" customWidth="1"/>
    <col min="4" max="16384" width="11.42578125" style="19"/>
  </cols>
  <sheetData>
    <row r="1" spans="1:3" ht="39.75" customHeight="1" x14ac:dyDescent="0.25">
      <c r="A1" s="188" t="s">
        <v>100</v>
      </c>
      <c r="B1" s="188"/>
      <c r="C1" s="188"/>
    </row>
    <row r="2" spans="1:3" x14ac:dyDescent="0.25">
      <c r="A2" s="189" t="s">
        <v>156</v>
      </c>
      <c r="B2" s="189"/>
      <c r="C2" s="189"/>
    </row>
    <row r="3" spans="1:3" x14ac:dyDescent="0.25">
      <c r="A3" s="118"/>
      <c r="B3" s="119"/>
      <c r="C3" s="118"/>
    </row>
    <row r="4" spans="1:3" x14ac:dyDescent="0.25">
      <c r="A4" s="120" t="s">
        <v>102</v>
      </c>
      <c r="B4" s="121"/>
      <c r="C4" s="118"/>
    </row>
    <row r="6" spans="1:3" s="20" customFormat="1" x14ac:dyDescent="0.25">
      <c r="A6" s="91" t="s">
        <v>103</v>
      </c>
      <c r="B6" s="92" t="s">
        <v>104</v>
      </c>
      <c r="C6" s="93" t="s">
        <v>98</v>
      </c>
    </row>
    <row r="7" spans="1:3" s="21" customFormat="1" x14ac:dyDescent="0.25">
      <c r="A7" s="94" t="s">
        <v>105</v>
      </c>
      <c r="B7" s="106">
        <f>+'[1]Fase I Valle del Cauca'!AH4</f>
        <v>0</v>
      </c>
      <c r="C7" s="96">
        <f>+'Fase I Cordoba'!AI4</f>
        <v>119899330</v>
      </c>
    </row>
    <row r="8" spans="1:3" s="22" customFormat="1" x14ac:dyDescent="0.25">
      <c r="A8" s="97" t="s">
        <v>106</v>
      </c>
      <c r="B8" s="95">
        <f>+'[1]Fase I Valle del Cauca'!AH11</f>
        <v>0</v>
      </c>
      <c r="C8" s="96">
        <f>+'Fase I Cordoba'!AI11</f>
        <v>35969793</v>
      </c>
    </row>
    <row r="9" spans="1:3" s="22" customFormat="1" x14ac:dyDescent="0.25">
      <c r="A9" s="97" t="s">
        <v>107</v>
      </c>
      <c r="B9" s="95">
        <f>+'[1]Fase I Valle del Cauca'!AH16</f>
        <v>0</v>
      </c>
      <c r="C9" s="96">
        <f>+'Fase I Cordoba'!AI24</f>
        <v>15415625</v>
      </c>
    </row>
    <row r="10" spans="1:3" s="22" customFormat="1" x14ac:dyDescent="0.25">
      <c r="A10" s="99" t="s">
        <v>161</v>
      </c>
      <c r="B10" s="107">
        <f>SUM(B7:B9)</f>
        <v>0</v>
      </c>
      <c r="C10" s="108">
        <f>SUM(C7:C9)</f>
        <v>171284748</v>
      </c>
    </row>
    <row r="11" spans="1:3" s="22" customFormat="1" x14ac:dyDescent="0.25">
      <c r="A11" s="97"/>
      <c r="B11" s="107"/>
      <c r="C11" s="96"/>
    </row>
    <row r="12" spans="1:3" x14ac:dyDescent="0.25">
      <c r="A12" s="101" t="s">
        <v>108</v>
      </c>
      <c r="B12" s="109">
        <f>+'Fase I Cordoba'!AH35</f>
        <v>63353515</v>
      </c>
      <c r="C12" s="96">
        <f>+'Fase I Cordoba'!AI35</f>
        <v>63353515</v>
      </c>
    </row>
    <row r="13" spans="1:3" x14ac:dyDescent="0.25">
      <c r="A13" s="102" t="s">
        <v>162</v>
      </c>
      <c r="B13" s="110">
        <f>+B12</f>
        <v>63353515</v>
      </c>
      <c r="C13" s="100">
        <f>+C12</f>
        <v>63353515</v>
      </c>
    </row>
    <row r="14" spans="1:3" x14ac:dyDescent="0.25">
      <c r="A14" s="104" t="s">
        <v>163</v>
      </c>
      <c r="B14" s="105">
        <f>+B10+B13</f>
        <v>63353515</v>
      </c>
      <c r="C14" s="105">
        <f>+C10+C13</f>
        <v>234638263</v>
      </c>
    </row>
    <row r="18" spans="1:3" x14ac:dyDescent="0.25">
      <c r="A18" s="118"/>
      <c r="B18" s="119"/>
      <c r="C18" s="118"/>
    </row>
    <row r="19" spans="1:3" s="24" customFormat="1" x14ac:dyDescent="0.25">
      <c r="A19" s="122" t="s">
        <v>109</v>
      </c>
      <c r="B19" s="119"/>
      <c r="C19" s="123"/>
    </row>
    <row r="20" spans="1:3" s="24" customFormat="1" x14ac:dyDescent="0.25">
      <c r="A20" s="122" t="s">
        <v>110</v>
      </c>
      <c r="B20" s="119"/>
      <c r="C20" s="123"/>
    </row>
    <row r="21" spans="1:3" x14ac:dyDescent="0.25">
      <c r="A21" s="118"/>
      <c r="B21" s="119"/>
      <c r="C21" s="118"/>
    </row>
    <row r="22" spans="1:3" x14ac:dyDescent="0.25">
      <c r="A22" s="118"/>
      <c r="B22" s="119"/>
      <c r="C22" s="118"/>
    </row>
    <row r="23" spans="1:3" x14ac:dyDescent="0.25">
      <c r="A23" s="118"/>
      <c r="B23" s="119"/>
      <c r="C23" s="118"/>
    </row>
  </sheetData>
  <sheetProtection password="CB42" sheet="1" objects="1" scenarios="1"/>
  <mergeCells count="2">
    <mergeCell ref="A1:C1"/>
    <mergeCell ref="A2:C2"/>
  </mergeCells>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K36"/>
  <sheetViews>
    <sheetView showGridLines="0" zoomScale="70" zoomScaleNormal="70" workbookViewId="0">
      <pane xSplit="1" ySplit="3" topLeftCell="P4" activePane="bottomRight" state="frozen"/>
      <selection activeCell="AI27" sqref="AI27"/>
      <selection pane="topRight" activeCell="AI27" sqref="AI27"/>
      <selection pane="bottomLeft" activeCell="AI27" sqref="AI27"/>
      <selection pane="bottomRight" activeCell="AI32" sqref="AI32"/>
    </sheetView>
  </sheetViews>
  <sheetFormatPr baseColWidth="10" defaultRowHeight="12.75" x14ac:dyDescent="0.2"/>
  <cols>
    <col min="1" max="1" width="11" style="46" customWidth="1"/>
    <col min="2" max="2" width="15" style="46" customWidth="1"/>
    <col min="3" max="3" width="17.140625" style="46" customWidth="1"/>
    <col min="4" max="4" width="24.42578125" style="46" customWidth="1"/>
    <col min="5" max="5" width="43.28515625" style="46" customWidth="1"/>
    <col min="6" max="6" width="61.140625" style="46" customWidth="1"/>
    <col min="7" max="7" width="29.42578125" style="46" customWidth="1"/>
    <col min="8" max="8" width="7.28515625" style="46" bestFit="1" customWidth="1"/>
    <col min="9" max="9" width="3.85546875" style="46" bestFit="1" customWidth="1"/>
    <col min="10" max="12" width="3.28515625" style="46" bestFit="1" customWidth="1"/>
    <col min="13" max="13" width="20.140625" style="46" customWidth="1"/>
    <col min="14" max="14" width="11.42578125" style="46"/>
    <col min="15" max="15" width="13.7109375" style="46" customWidth="1"/>
    <col min="16" max="16" width="17.7109375" style="46" customWidth="1"/>
    <col min="17" max="18" width="11.5703125" style="46" bestFit="1" customWidth="1"/>
    <col min="19" max="19" width="16.140625" style="46" customWidth="1"/>
    <col min="20" max="20" width="11.5703125" style="46" bestFit="1" customWidth="1"/>
    <col min="21" max="21" width="14.28515625" style="46" customWidth="1"/>
    <col min="22" max="22" width="12.140625" style="46" customWidth="1"/>
    <col min="23" max="23" width="13" style="46" bestFit="1" customWidth="1"/>
    <col min="24" max="24" width="11.5703125" style="46" bestFit="1" customWidth="1"/>
    <col min="25" max="25" width="12.85546875" style="46" bestFit="1" customWidth="1"/>
    <col min="26" max="26" width="11.5703125" style="46" bestFit="1" customWidth="1"/>
    <col min="27" max="27" width="14" style="46" bestFit="1" customWidth="1"/>
    <col min="28" max="28" width="11.5703125" style="46" bestFit="1" customWidth="1"/>
    <col min="29" max="29" width="14" style="46" bestFit="1" customWidth="1"/>
    <col min="30" max="30" width="11.5703125" style="46" bestFit="1" customWidth="1"/>
    <col min="31" max="31" width="14" style="46" bestFit="1" customWidth="1"/>
    <col min="32" max="32" width="11.5703125" style="46" bestFit="1" customWidth="1"/>
    <col min="33" max="33" width="14.7109375" style="46" customWidth="1"/>
    <col min="34" max="34" width="18" style="46" bestFit="1" customWidth="1"/>
    <col min="35" max="35" width="17.42578125" style="47" customWidth="1"/>
    <col min="36" max="36" width="13" style="48" bestFit="1" customWidth="1"/>
    <col min="37" max="37" width="12.85546875" style="46" bestFit="1" customWidth="1"/>
    <col min="38" max="16384" width="11.42578125" style="46"/>
  </cols>
  <sheetData>
    <row r="1" spans="1:35" s="48" customFormat="1" x14ac:dyDescent="0.2">
      <c r="A1" s="45" t="s">
        <v>111</v>
      </c>
      <c r="B1" s="46"/>
      <c r="C1" s="46"/>
      <c r="D1" s="46"/>
      <c r="E1" s="46"/>
      <c r="F1" s="46"/>
      <c r="G1" s="46"/>
      <c r="H1" s="46"/>
      <c r="I1" s="46"/>
      <c r="J1" s="46"/>
      <c r="K1" s="46"/>
      <c r="L1" s="46"/>
      <c r="M1" s="46"/>
      <c r="N1" s="46"/>
      <c r="O1" s="46"/>
      <c r="P1" s="46"/>
      <c r="Q1" s="46"/>
      <c r="R1" s="46"/>
      <c r="S1" s="46"/>
      <c r="T1" s="46"/>
      <c r="U1" s="46"/>
      <c r="V1" s="46"/>
      <c r="W1" s="46"/>
      <c r="X1" s="46"/>
      <c r="Y1" s="46"/>
      <c r="Z1" s="46"/>
      <c r="AA1" s="46"/>
      <c r="AB1" s="46"/>
      <c r="AC1" s="46"/>
      <c r="AD1" s="46"/>
      <c r="AE1" s="46"/>
      <c r="AF1" s="46"/>
      <c r="AG1" s="46"/>
      <c r="AH1" s="46"/>
      <c r="AI1" s="47"/>
    </row>
    <row r="2" spans="1:35" s="1" customFormat="1" ht="15" customHeight="1" x14ac:dyDescent="0.25">
      <c r="A2" s="197" t="s">
        <v>0</v>
      </c>
      <c r="B2" s="196" t="s">
        <v>51</v>
      </c>
      <c r="C2" s="196" t="s">
        <v>1</v>
      </c>
      <c r="D2" s="196" t="s">
        <v>52</v>
      </c>
      <c r="E2" s="196" t="s">
        <v>53</v>
      </c>
      <c r="F2" s="196" t="s">
        <v>54</v>
      </c>
      <c r="G2" s="196" t="s">
        <v>2</v>
      </c>
      <c r="H2" s="36" t="s">
        <v>3</v>
      </c>
      <c r="I2" s="196" t="s">
        <v>4</v>
      </c>
      <c r="J2" s="199"/>
      <c r="K2" s="199"/>
      <c r="L2" s="199"/>
      <c r="M2" s="197" t="s">
        <v>5</v>
      </c>
      <c r="N2" s="197" t="s">
        <v>6</v>
      </c>
      <c r="O2" s="197" t="s">
        <v>7</v>
      </c>
      <c r="P2" s="200" t="s">
        <v>8</v>
      </c>
      <c r="Q2" s="201" t="s">
        <v>112</v>
      </c>
      <c r="R2" s="202" t="s">
        <v>9</v>
      </c>
      <c r="S2" s="202" t="s">
        <v>10</v>
      </c>
      <c r="T2" s="202" t="s">
        <v>11</v>
      </c>
      <c r="U2" s="203" t="s">
        <v>12</v>
      </c>
      <c r="V2" s="198" t="s">
        <v>13</v>
      </c>
      <c r="W2" s="216" t="s">
        <v>113</v>
      </c>
      <c r="X2" s="204" t="s">
        <v>14</v>
      </c>
      <c r="Y2" s="204" t="s">
        <v>15</v>
      </c>
      <c r="Z2" s="204" t="s">
        <v>16</v>
      </c>
      <c r="AA2" s="204" t="s">
        <v>17</v>
      </c>
      <c r="AB2" s="204" t="s">
        <v>18</v>
      </c>
      <c r="AC2" s="204" t="s">
        <v>19</v>
      </c>
      <c r="AD2" s="204" t="s">
        <v>20</v>
      </c>
      <c r="AE2" s="204" t="s">
        <v>21</v>
      </c>
      <c r="AF2" s="204" t="s">
        <v>22</v>
      </c>
      <c r="AG2" s="214" t="s">
        <v>23</v>
      </c>
      <c r="AH2" s="215" t="s">
        <v>24</v>
      </c>
      <c r="AI2" s="211" t="s">
        <v>98</v>
      </c>
    </row>
    <row r="3" spans="1:35" s="1" customFormat="1" ht="45.75" customHeight="1" x14ac:dyDescent="0.25">
      <c r="A3" s="197"/>
      <c r="B3" s="196"/>
      <c r="C3" s="196" t="s">
        <v>25</v>
      </c>
      <c r="D3" s="196" t="s">
        <v>26</v>
      </c>
      <c r="E3" s="196"/>
      <c r="F3" s="196"/>
      <c r="G3" s="196"/>
      <c r="H3" s="2" t="s">
        <v>30</v>
      </c>
      <c r="I3" s="2" t="s">
        <v>27</v>
      </c>
      <c r="J3" s="2" t="s">
        <v>28</v>
      </c>
      <c r="K3" s="2" t="s">
        <v>29</v>
      </c>
      <c r="L3" s="2" t="s">
        <v>30</v>
      </c>
      <c r="M3" s="197"/>
      <c r="N3" s="197"/>
      <c r="O3" s="197"/>
      <c r="P3" s="200"/>
      <c r="Q3" s="201"/>
      <c r="R3" s="202"/>
      <c r="S3" s="202"/>
      <c r="T3" s="202"/>
      <c r="U3" s="203"/>
      <c r="V3" s="198"/>
      <c r="W3" s="216"/>
      <c r="X3" s="204"/>
      <c r="Y3" s="204"/>
      <c r="Z3" s="204"/>
      <c r="AA3" s="204"/>
      <c r="AB3" s="204"/>
      <c r="AC3" s="204"/>
      <c r="AD3" s="204"/>
      <c r="AE3" s="204"/>
      <c r="AF3" s="204"/>
      <c r="AG3" s="214"/>
      <c r="AH3" s="215"/>
      <c r="AI3" s="212"/>
    </row>
    <row r="4" spans="1:35" s="11" customFormat="1" x14ac:dyDescent="0.2">
      <c r="A4" s="49" t="s">
        <v>55</v>
      </c>
      <c r="B4" s="25"/>
      <c r="C4" s="26"/>
      <c r="D4" s="26"/>
      <c r="E4" s="26"/>
      <c r="F4" s="26"/>
      <c r="G4" s="26"/>
      <c r="H4" s="27"/>
      <c r="I4" s="27"/>
      <c r="J4" s="27"/>
      <c r="K4" s="27"/>
      <c r="L4" s="27"/>
      <c r="M4" s="25"/>
      <c r="N4" s="25"/>
      <c r="O4" s="25"/>
      <c r="P4" s="25"/>
      <c r="Q4" s="28"/>
      <c r="R4" s="29"/>
      <c r="S4" s="29"/>
      <c r="T4" s="29"/>
      <c r="U4" s="30"/>
      <c r="V4" s="25"/>
      <c r="W4" s="28"/>
      <c r="X4" s="29"/>
      <c r="Y4" s="29"/>
      <c r="Z4" s="29"/>
      <c r="AA4" s="29"/>
      <c r="AB4" s="29"/>
      <c r="AC4" s="29"/>
      <c r="AD4" s="29"/>
      <c r="AE4" s="29"/>
      <c r="AF4" s="29"/>
      <c r="AG4" s="30"/>
      <c r="AH4" s="31">
        <f>SUM(AH5:AH10)</f>
        <v>0</v>
      </c>
      <c r="AI4" s="32">
        <v>119899330</v>
      </c>
    </row>
    <row r="5" spans="1:35" s="11" customFormat="1" ht="15" customHeight="1" x14ac:dyDescent="0.25">
      <c r="A5" s="50">
        <v>7</v>
      </c>
      <c r="B5" s="50">
        <v>1</v>
      </c>
      <c r="C5" s="213" t="s">
        <v>38</v>
      </c>
      <c r="D5" s="193" t="s">
        <v>32</v>
      </c>
      <c r="E5" s="205" t="s">
        <v>114</v>
      </c>
      <c r="F5" s="205" t="s">
        <v>115</v>
      </c>
      <c r="G5" s="43" t="s">
        <v>116</v>
      </c>
      <c r="H5" s="44"/>
      <c r="I5" s="44"/>
      <c r="J5" s="44"/>
      <c r="K5" s="44"/>
      <c r="L5" s="44"/>
      <c r="M5" s="4" t="s">
        <v>34</v>
      </c>
      <c r="N5" s="4" t="s">
        <v>35</v>
      </c>
      <c r="O5" s="4" t="s">
        <v>39</v>
      </c>
      <c r="P5" s="6" t="s">
        <v>117</v>
      </c>
      <c r="Q5" s="152"/>
      <c r="R5" s="152"/>
      <c r="S5" s="137">
        <f>+R5*Q5</f>
        <v>0</v>
      </c>
      <c r="T5" s="137">
        <f>+R5</f>
        <v>0</v>
      </c>
      <c r="U5" s="137">
        <f>S5</f>
        <v>0</v>
      </c>
      <c r="V5" s="138" t="s">
        <v>117</v>
      </c>
      <c r="W5" s="139"/>
      <c r="X5" s="137"/>
      <c r="Y5" s="137">
        <f t="shared" ref="Y5:Y10" si="0">+W5*X5</f>
        <v>0</v>
      </c>
      <c r="Z5" s="137"/>
      <c r="AA5" s="137">
        <f t="shared" ref="AA5:AA10" si="1">+Z5*W5</f>
        <v>0</v>
      </c>
      <c r="AB5" s="137"/>
      <c r="AC5" s="137">
        <f t="shared" ref="AC5:AC10" si="2">+AB5*W5</f>
        <v>0</v>
      </c>
      <c r="AD5" s="137"/>
      <c r="AE5" s="137">
        <f t="shared" ref="AE5:AE10" si="3">+AD5*W5</f>
        <v>0</v>
      </c>
      <c r="AF5" s="137">
        <f t="shared" ref="AF5:AG10" si="4">+X5+Z5+AB5+AD5</f>
        <v>0</v>
      </c>
      <c r="AG5" s="137">
        <f>+Y5+AA5+AC5+AE5</f>
        <v>0</v>
      </c>
      <c r="AH5" s="153">
        <f>+U5+AG5</f>
        <v>0</v>
      </c>
      <c r="AI5" s="154"/>
    </row>
    <row r="6" spans="1:35" s="11" customFormat="1" ht="31.5" customHeight="1" x14ac:dyDescent="0.25">
      <c r="A6" s="50">
        <v>7</v>
      </c>
      <c r="B6" s="50">
        <v>1</v>
      </c>
      <c r="C6" s="213"/>
      <c r="D6" s="194"/>
      <c r="E6" s="206"/>
      <c r="F6" s="206"/>
      <c r="G6" s="43" t="s">
        <v>118</v>
      </c>
      <c r="H6" s="44"/>
      <c r="I6" s="44"/>
      <c r="J6" s="44"/>
      <c r="K6" s="44"/>
      <c r="L6" s="44"/>
      <c r="M6" s="4" t="s">
        <v>34</v>
      </c>
      <c r="N6" s="4" t="s">
        <v>35</v>
      </c>
      <c r="O6" s="4" t="s">
        <v>39</v>
      </c>
      <c r="P6" s="6" t="s">
        <v>117</v>
      </c>
      <c r="Q6" s="152"/>
      <c r="R6" s="152"/>
      <c r="S6" s="137">
        <f>+R6*Q6</f>
        <v>0</v>
      </c>
      <c r="T6" s="137">
        <f>+R6</f>
        <v>0</v>
      </c>
      <c r="U6" s="137">
        <f>S6</f>
        <v>0</v>
      </c>
      <c r="V6" s="138" t="s">
        <v>117</v>
      </c>
      <c r="W6" s="139"/>
      <c r="X6" s="137"/>
      <c r="Y6" s="137">
        <f t="shared" si="0"/>
        <v>0</v>
      </c>
      <c r="Z6" s="137"/>
      <c r="AA6" s="137">
        <f t="shared" si="1"/>
        <v>0</v>
      </c>
      <c r="AB6" s="137"/>
      <c r="AC6" s="137">
        <f t="shared" si="2"/>
        <v>0</v>
      </c>
      <c r="AD6" s="137"/>
      <c r="AE6" s="137">
        <f t="shared" si="3"/>
        <v>0</v>
      </c>
      <c r="AF6" s="137">
        <f t="shared" si="4"/>
        <v>0</v>
      </c>
      <c r="AG6" s="137">
        <f>+Y6+AA6+AC6+AE6</f>
        <v>0</v>
      </c>
      <c r="AH6" s="153">
        <f>+U6+AG6</f>
        <v>0</v>
      </c>
      <c r="AI6" s="154"/>
    </row>
    <row r="7" spans="1:35" s="59" customFormat="1" ht="38.25" x14ac:dyDescent="0.25">
      <c r="A7" s="50">
        <v>7</v>
      </c>
      <c r="B7" s="50">
        <v>1</v>
      </c>
      <c r="C7" s="213"/>
      <c r="D7" s="194"/>
      <c r="E7" s="206"/>
      <c r="F7" s="207"/>
      <c r="G7" s="3" t="s">
        <v>119</v>
      </c>
      <c r="H7" s="5"/>
      <c r="I7" s="5"/>
      <c r="J7" s="5"/>
      <c r="K7" s="5"/>
      <c r="L7" s="5"/>
      <c r="M7" s="4" t="s">
        <v>34</v>
      </c>
      <c r="N7" s="4" t="s">
        <v>35</v>
      </c>
      <c r="O7" s="4" t="s">
        <v>39</v>
      </c>
      <c r="P7" s="6" t="s">
        <v>117</v>
      </c>
      <c r="Q7" s="152"/>
      <c r="R7" s="152"/>
      <c r="S7" s="137">
        <f t="shared" ref="S7:S10" si="5">+R7*Q7</f>
        <v>0</v>
      </c>
      <c r="T7" s="137">
        <f t="shared" ref="T7:T10" si="6">+R7</f>
        <v>0</v>
      </c>
      <c r="U7" s="137">
        <f t="shared" ref="U7:U10" si="7">S7</f>
        <v>0</v>
      </c>
      <c r="V7" s="138" t="s">
        <v>117</v>
      </c>
      <c r="W7" s="139"/>
      <c r="X7" s="137"/>
      <c r="Y7" s="137">
        <f t="shared" si="0"/>
        <v>0</v>
      </c>
      <c r="Z7" s="137"/>
      <c r="AA7" s="137">
        <f t="shared" si="1"/>
        <v>0</v>
      </c>
      <c r="AB7" s="137"/>
      <c r="AC7" s="137">
        <f t="shared" si="2"/>
        <v>0</v>
      </c>
      <c r="AD7" s="137"/>
      <c r="AE7" s="137">
        <f t="shared" si="3"/>
        <v>0</v>
      </c>
      <c r="AF7" s="137">
        <f t="shared" si="4"/>
        <v>0</v>
      </c>
      <c r="AG7" s="137">
        <f t="shared" si="4"/>
        <v>0</v>
      </c>
      <c r="AH7" s="153">
        <f>+U7+AG7</f>
        <v>0</v>
      </c>
      <c r="AI7" s="154"/>
    </row>
    <row r="8" spans="1:35" s="59" customFormat="1" ht="38.25" customHeight="1" x14ac:dyDescent="0.25">
      <c r="A8" s="60">
        <v>11</v>
      </c>
      <c r="B8" s="60">
        <v>1</v>
      </c>
      <c r="C8" s="61" t="s">
        <v>38</v>
      </c>
      <c r="D8" s="194"/>
      <c r="E8" s="206"/>
      <c r="F8" s="205" t="s">
        <v>120</v>
      </c>
      <c r="G8" s="3" t="s">
        <v>64</v>
      </c>
      <c r="H8" s="5"/>
      <c r="I8" s="5"/>
      <c r="J8" s="5"/>
      <c r="K8" s="5"/>
      <c r="L8" s="5"/>
      <c r="M8" s="4" t="s">
        <v>34</v>
      </c>
      <c r="N8" s="4" t="s">
        <v>35</v>
      </c>
      <c r="O8" s="4" t="s">
        <v>39</v>
      </c>
      <c r="P8" s="6" t="s">
        <v>117</v>
      </c>
      <c r="Q8" s="152"/>
      <c r="R8" s="152"/>
      <c r="S8" s="137">
        <f t="shared" si="5"/>
        <v>0</v>
      </c>
      <c r="T8" s="137">
        <f t="shared" si="6"/>
        <v>0</v>
      </c>
      <c r="U8" s="137">
        <f t="shared" si="7"/>
        <v>0</v>
      </c>
      <c r="V8" s="138" t="s">
        <v>117</v>
      </c>
      <c r="W8" s="139"/>
      <c r="X8" s="137"/>
      <c r="Y8" s="137">
        <f t="shared" si="0"/>
        <v>0</v>
      </c>
      <c r="Z8" s="137"/>
      <c r="AA8" s="137">
        <f t="shared" si="1"/>
        <v>0</v>
      </c>
      <c r="AB8" s="137"/>
      <c r="AC8" s="137">
        <f t="shared" si="2"/>
        <v>0</v>
      </c>
      <c r="AD8" s="137"/>
      <c r="AE8" s="137">
        <f t="shared" si="3"/>
        <v>0</v>
      </c>
      <c r="AF8" s="137">
        <f t="shared" si="4"/>
        <v>0</v>
      </c>
      <c r="AG8" s="137">
        <f t="shared" si="4"/>
        <v>0</v>
      </c>
      <c r="AH8" s="153">
        <f>+U8+AG8</f>
        <v>0</v>
      </c>
      <c r="AI8" s="154"/>
    </row>
    <row r="9" spans="1:35" s="59" customFormat="1" ht="38.25" x14ac:dyDescent="0.25">
      <c r="A9" s="60">
        <v>11</v>
      </c>
      <c r="B9" s="60">
        <v>1</v>
      </c>
      <c r="C9" s="61" t="s">
        <v>38</v>
      </c>
      <c r="D9" s="194"/>
      <c r="E9" s="206"/>
      <c r="F9" s="206"/>
      <c r="G9" s="3" t="s">
        <v>121</v>
      </c>
      <c r="H9" s="5"/>
      <c r="I9" s="5"/>
      <c r="J9" s="5"/>
      <c r="K9" s="5"/>
      <c r="L9" s="5"/>
      <c r="M9" s="4" t="s">
        <v>34</v>
      </c>
      <c r="N9" s="4" t="s">
        <v>35</v>
      </c>
      <c r="O9" s="4" t="s">
        <v>39</v>
      </c>
      <c r="P9" s="6" t="s">
        <v>117</v>
      </c>
      <c r="Q9" s="152"/>
      <c r="R9" s="152"/>
      <c r="S9" s="137">
        <f t="shared" si="5"/>
        <v>0</v>
      </c>
      <c r="T9" s="137">
        <f t="shared" si="6"/>
        <v>0</v>
      </c>
      <c r="U9" s="137">
        <f t="shared" si="7"/>
        <v>0</v>
      </c>
      <c r="V9" s="138" t="s">
        <v>117</v>
      </c>
      <c r="W9" s="139"/>
      <c r="X9" s="137"/>
      <c r="Y9" s="137">
        <f t="shared" si="0"/>
        <v>0</v>
      </c>
      <c r="Z9" s="137"/>
      <c r="AA9" s="137">
        <f t="shared" si="1"/>
        <v>0</v>
      </c>
      <c r="AB9" s="137"/>
      <c r="AC9" s="137">
        <f t="shared" si="2"/>
        <v>0</v>
      </c>
      <c r="AD9" s="137"/>
      <c r="AE9" s="137">
        <f t="shared" si="3"/>
        <v>0</v>
      </c>
      <c r="AF9" s="137">
        <f t="shared" si="4"/>
        <v>0</v>
      </c>
      <c r="AG9" s="137">
        <f t="shared" si="4"/>
        <v>0</v>
      </c>
      <c r="AH9" s="153">
        <f t="shared" ref="AH9:AH10" si="8">+U9+AG9</f>
        <v>0</v>
      </c>
      <c r="AI9" s="154"/>
    </row>
    <row r="10" spans="1:35" s="59" customFormat="1" ht="38.25" x14ac:dyDescent="0.25">
      <c r="A10" s="60">
        <v>11</v>
      </c>
      <c r="B10" s="60">
        <v>1</v>
      </c>
      <c r="C10" s="61" t="s">
        <v>38</v>
      </c>
      <c r="D10" s="195"/>
      <c r="E10" s="207"/>
      <c r="F10" s="207"/>
      <c r="G10" s="3" t="s">
        <v>66</v>
      </c>
      <c r="H10" s="5"/>
      <c r="I10" s="5"/>
      <c r="J10" s="5"/>
      <c r="K10" s="5"/>
      <c r="L10" s="5"/>
      <c r="M10" s="4" t="s">
        <v>34</v>
      </c>
      <c r="N10" s="4" t="s">
        <v>35</v>
      </c>
      <c r="O10" s="4" t="s">
        <v>39</v>
      </c>
      <c r="P10" s="6" t="s">
        <v>117</v>
      </c>
      <c r="Q10" s="152"/>
      <c r="R10" s="152"/>
      <c r="S10" s="137">
        <f t="shared" si="5"/>
        <v>0</v>
      </c>
      <c r="T10" s="137">
        <f t="shared" si="6"/>
        <v>0</v>
      </c>
      <c r="U10" s="137">
        <f t="shared" si="7"/>
        <v>0</v>
      </c>
      <c r="V10" s="138" t="s">
        <v>117</v>
      </c>
      <c r="W10" s="139"/>
      <c r="X10" s="137"/>
      <c r="Y10" s="137">
        <f t="shared" si="0"/>
        <v>0</v>
      </c>
      <c r="Z10" s="137"/>
      <c r="AA10" s="137">
        <f t="shared" si="1"/>
        <v>0</v>
      </c>
      <c r="AB10" s="137"/>
      <c r="AC10" s="137">
        <f t="shared" si="2"/>
        <v>0</v>
      </c>
      <c r="AD10" s="137"/>
      <c r="AE10" s="137">
        <f t="shared" si="3"/>
        <v>0</v>
      </c>
      <c r="AF10" s="137">
        <f t="shared" si="4"/>
        <v>0</v>
      </c>
      <c r="AG10" s="137">
        <f t="shared" si="4"/>
        <v>0</v>
      </c>
      <c r="AH10" s="153">
        <f t="shared" si="8"/>
        <v>0</v>
      </c>
      <c r="AI10" s="154"/>
    </row>
    <row r="11" spans="1:35" s="11" customFormat="1" x14ac:dyDescent="0.2">
      <c r="A11" s="62" t="s">
        <v>56</v>
      </c>
      <c r="B11" s="25"/>
      <c r="C11" s="26"/>
      <c r="D11" s="26"/>
      <c r="E11" s="26"/>
      <c r="F11" s="26"/>
      <c r="G11" s="38"/>
      <c r="H11" s="39"/>
      <c r="I11" s="39"/>
      <c r="J11" s="39"/>
      <c r="K11" s="39"/>
      <c r="L11" s="39"/>
      <c r="M11" s="37"/>
      <c r="N11" s="37"/>
      <c r="O11" s="37"/>
      <c r="P11" s="37"/>
      <c r="Q11" s="172"/>
      <c r="R11" s="172"/>
      <c r="S11" s="172"/>
      <c r="T11" s="172"/>
      <c r="U11" s="172"/>
      <c r="V11" s="172"/>
      <c r="W11" s="172"/>
      <c r="X11" s="172"/>
      <c r="Y11" s="172"/>
      <c r="Z11" s="172"/>
      <c r="AA11" s="172"/>
      <c r="AB11" s="172"/>
      <c r="AC11" s="172"/>
      <c r="AD11" s="172"/>
      <c r="AE11" s="172"/>
      <c r="AF11" s="172"/>
      <c r="AG11" s="172"/>
      <c r="AH11" s="168">
        <f>SUM(AH12:AH23)</f>
        <v>0</v>
      </c>
      <c r="AI11" s="180">
        <v>35969793</v>
      </c>
    </row>
    <row r="12" spans="1:35" s="11" customFormat="1" ht="38.25" x14ac:dyDescent="0.25">
      <c r="A12" s="217">
        <v>13</v>
      </c>
      <c r="B12" s="217">
        <v>1</v>
      </c>
      <c r="C12" s="222" t="s">
        <v>38</v>
      </c>
      <c r="D12" s="193" t="s">
        <v>32</v>
      </c>
      <c r="E12" s="205" t="s">
        <v>122</v>
      </c>
      <c r="F12" s="208" t="s">
        <v>123</v>
      </c>
      <c r="G12" s="43" t="s">
        <v>172</v>
      </c>
      <c r="H12" s="5"/>
      <c r="I12" s="5"/>
      <c r="J12" s="5"/>
      <c r="K12" s="5"/>
      <c r="L12" s="5"/>
      <c r="M12" s="4" t="s">
        <v>34</v>
      </c>
      <c r="N12" s="4" t="s">
        <v>35</v>
      </c>
      <c r="O12" s="4" t="s">
        <v>41</v>
      </c>
      <c r="P12" s="6" t="s">
        <v>124</v>
      </c>
      <c r="Q12" s="148"/>
      <c r="R12" s="148">
        <f>+SUM(R13:R16)</f>
        <v>0</v>
      </c>
      <c r="S12" s="148">
        <f t="shared" ref="S12:U12" si="9">+SUM(S13:S16)</f>
        <v>0</v>
      </c>
      <c r="T12" s="148">
        <f t="shared" si="9"/>
        <v>0</v>
      </c>
      <c r="U12" s="148">
        <f t="shared" si="9"/>
        <v>0</v>
      </c>
      <c r="V12" s="138" t="s">
        <v>124</v>
      </c>
      <c r="W12" s="139"/>
      <c r="X12" s="148">
        <f t="shared" ref="X12" si="10">+SUM(X13:X16)</f>
        <v>0</v>
      </c>
      <c r="Y12" s="148">
        <f t="shared" ref="Y12" si="11">+SUM(Y13:Y16)</f>
        <v>0</v>
      </c>
      <c r="Z12" s="148">
        <f t="shared" ref="Z12" si="12">+SUM(Z13:Z16)</f>
        <v>0</v>
      </c>
      <c r="AA12" s="148">
        <f t="shared" ref="AA12" si="13">+SUM(AA13:AA16)</f>
        <v>0</v>
      </c>
      <c r="AB12" s="148">
        <f t="shared" ref="AB12" si="14">+SUM(AB13:AB16)</f>
        <v>0</v>
      </c>
      <c r="AC12" s="148">
        <f t="shared" ref="AC12" si="15">+SUM(AC13:AC16)</f>
        <v>0</v>
      </c>
      <c r="AD12" s="148">
        <f t="shared" ref="AD12" si="16">+SUM(AD13:AD16)</f>
        <v>0</v>
      </c>
      <c r="AE12" s="148">
        <f t="shared" ref="AE12" si="17">+SUM(AE13:AE16)</f>
        <v>0</v>
      </c>
      <c r="AF12" s="148">
        <f t="shared" ref="AF12" si="18">+SUM(AF13:AF16)</f>
        <v>0</v>
      </c>
      <c r="AG12" s="148">
        <f t="shared" ref="AG12" si="19">+SUM(AG13:AG16)</f>
        <v>0</v>
      </c>
      <c r="AH12" s="153">
        <f t="shared" ref="AH12:AH23" si="20">+U12+AG12</f>
        <v>0</v>
      </c>
      <c r="AI12" s="181"/>
    </row>
    <row r="13" spans="1:35" s="11" customFormat="1" x14ac:dyDescent="0.25">
      <c r="A13" s="218"/>
      <c r="B13" s="218"/>
      <c r="C13" s="223"/>
      <c r="D13" s="194"/>
      <c r="E13" s="206"/>
      <c r="F13" s="209"/>
      <c r="G13" s="131" t="s">
        <v>234</v>
      </c>
      <c r="H13" s="5"/>
      <c r="I13" s="5"/>
      <c r="J13" s="5"/>
      <c r="K13" s="5"/>
      <c r="L13" s="5"/>
      <c r="M13" s="4"/>
      <c r="N13" s="4"/>
      <c r="O13" s="4"/>
      <c r="P13" s="6"/>
      <c r="Q13" s="148"/>
      <c r="R13" s="148"/>
      <c r="S13" s="137">
        <f t="shared" ref="S13:S23" si="21">+R13*Q13</f>
        <v>0</v>
      </c>
      <c r="T13" s="137">
        <f t="shared" ref="T13:T23" si="22">+R13</f>
        <v>0</v>
      </c>
      <c r="U13" s="137">
        <f t="shared" ref="U13:U23" si="23">S13</f>
        <v>0</v>
      </c>
      <c r="V13" s="138"/>
      <c r="W13" s="139"/>
      <c r="X13" s="137"/>
      <c r="Y13" s="137">
        <f t="shared" ref="Y13:Y16" si="24">+$W13*X13</f>
        <v>0</v>
      </c>
      <c r="Z13" s="137"/>
      <c r="AA13" s="137">
        <f t="shared" ref="AA13:AA16" si="25">+$W13*Z13</f>
        <v>0</v>
      </c>
      <c r="AB13" s="137"/>
      <c r="AC13" s="137">
        <f t="shared" ref="AC13:AC16" si="26">+$W13*AB13</f>
        <v>0</v>
      </c>
      <c r="AD13" s="137"/>
      <c r="AE13" s="137">
        <f t="shared" ref="AE13:AE16" si="27">+$W13*AD13</f>
        <v>0</v>
      </c>
      <c r="AF13" s="137">
        <f t="shared" ref="AF13:AG23" si="28">+X13+Z13+AB13+AD13</f>
        <v>0</v>
      </c>
      <c r="AG13" s="137">
        <f t="shared" si="28"/>
        <v>0</v>
      </c>
      <c r="AH13" s="153"/>
      <c r="AI13" s="181"/>
    </row>
    <row r="14" spans="1:35" s="11" customFormat="1" x14ac:dyDescent="0.25">
      <c r="A14" s="218"/>
      <c r="B14" s="218"/>
      <c r="C14" s="223"/>
      <c r="D14" s="194"/>
      <c r="E14" s="206"/>
      <c r="F14" s="209"/>
      <c r="G14" s="131" t="s">
        <v>235</v>
      </c>
      <c r="H14" s="5"/>
      <c r="I14" s="5"/>
      <c r="J14" s="5"/>
      <c r="K14" s="5"/>
      <c r="L14" s="5"/>
      <c r="M14" s="4"/>
      <c r="N14" s="4"/>
      <c r="O14" s="4"/>
      <c r="P14" s="6"/>
      <c r="Q14" s="148"/>
      <c r="R14" s="148"/>
      <c r="S14" s="137">
        <f t="shared" si="21"/>
        <v>0</v>
      </c>
      <c r="T14" s="137">
        <f t="shared" si="22"/>
        <v>0</v>
      </c>
      <c r="U14" s="137">
        <f t="shared" si="23"/>
        <v>0</v>
      </c>
      <c r="V14" s="138"/>
      <c r="W14" s="139"/>
      <c r="X14" s="137"/>
      <c r="Y14" s="137">
        <f t="shared" si="24"/>
        <v>0</v>
      </c>
      <c r="Z14" s="137"/>
      <c r="AA14" s="137">
        <f t="shared" si="25"/>
        <v>0</v>
      </c>
      <c r="AB14" s="137"/>
      <c r="AC14" s="137">
        <f t="shared" si="26"/>
        <v>0</v>
      </c>
      <c r="AD14" s="137"/>
      <c r="AE14" s="137">
        <f t="shared" si="27"/>
        <v>0</v>
      </c>
      <c r="AF14" s="137">
        <f t="shared" si="28"/>
        <v>0</v>
      </c>
      <c r="AG14" s="137">
        <f t="shared" si="28"/>
        <v>0</v>
      </c>
      <c r="AH14" s="153"/>
      <c r="AI14" s="181"/>
    </row>
    <row r="15" spans="1:35" s="11" customFormat="1" x14ac:dyDescent="0.25">
      <c r="A15" s="218"/>
      <c r="B15" s="218"/>
      <c r="C15" s="223"/>
      <c r="D15" s="194"/>
      <c r="E15" s="206"/>
      <c r="F15" s="209"/>
      <c r="G15" s="131" t="s">
        <v>236</v>
      </c>
      <c r="H15" s="5"/>
      <c r="I15" s="5"/>
      <c r="J15" s="5"/>
      <c r="K15" s="5"/>
      <c r="L15" s="5"/>
      <c r="M15" s="4"/>
      <c r="N15" s="4"/>
      <c r="O15" s="4"/>
      <c r="P15" s="6"/>
      <c r="Q15" s="148"/>
      <c r="R15" s="148"/>
      <c r="S15" s="137">
        <f t="shared" si="21"/>
        <v>0</v>
      </c>
      <c r="T15" s="137">
        <f t="shared" si="22"/>
        <v>0</v>
      </c>
      <c r="U15" s="137">
        <f t="shared" si="23"/>
        <v>0</v>
      </c>
      <c r="V15" s="138"/>
      <c r="W15" s="139"/>
      <c r="X15" s="137"/>
      <c r="Y15" s="137">
        <f t="shared" si="24"/>
        <v>0</v>
      </c>
      <c r="Z15" s="137"/>
      <c r="AA15" s="137">
        <f t="shared" si="25"/>
        <v>0</v>
      </c>
      <c r="AB15" s="137"/>
      <c r="AC15" s="137">
        <f t="shared" si="26"/>
        <v>0</v>
      </c>
      <c r="AD15" s="137"/>
      <c r="AE15" s="137">
        <f t="shared" si="27"/>
        <v>0</v>
      </c>
      <c r="AF15" s="137">
        <f t="shared" si="28"/>
        <v>0</v>
      </c>
      <c r="AG15" s="137">
        <f t="shared" si="28"/>
        <v>0</v>
      </c>
      <c r="AH15" s="153"/>
      <c r="AI15" s="181"/>
    </row>
    <row r="16" spans="1:35" s="11" customFormat="1" x14ac:dyDescent="0.25">
      <c r="A16" s="220"/>
      <c r="B16" s="220"/>
      <c r="C16" s="224"/>
      <c r="D16" s="194"/>
      <c r="E16" s="206"/>
      <c r="F16" s="209"/>
      <c r="G16" s="131" t="s">
        <v>237</v>
      </c>
      <c r="H16" s="5"/>
      <c r="I16" s="5"/>
      <c r="J16" s="5"/>
      <c r="K16" s="5"/>
      <c r="L16" s="5"/>
      <c r="M16" s="4"/>
      <c r="N16" s="4"/>
      <c r="O16" s="4"/>
      <c r="P16" s="6"/>
      <c r="Q16" s="148"/>
      <c r="R16" s="148"/>
      <c r="S16" s="137">
        <f t="shared" si="21"/>
        <v>0</v>
      </c>
      <c r="T16" s="137">
        <f t="shared" si="22"/>
        <v>0</v>
      </c>
      <c r="U16" s="137">
        <f t="shared" si="23"/>
        <v>0</v>
      </c>
      <c r="V16" s="138"/>
      <c r="W16" s="139"/>
      <c r="X16" s="137"/>
      <c r="Y16" s="137">
        <f t="shared" si="24"/>
        <v>0</v>
      </c>
      <c r="Z16" s="137"/>
      <c r="AA16" s="137">
        <f t="shared" si="25"/>
        <v>0</v>
      </c>
      <c r="AB16" s="137"/>
      <c r="AC16" s="137">
        <f t="shared" si="26"/>
        <v>0</v>
      </c>
      <c r="AD16" s="137"/>
      <c r="AE16" s="137">
        <f t="shared" si="27"/>
        <v>0</v>
      </c>
      <c r="AF16" s="137">
        <f t="shared" si="28"/>
        <v>0</v>
      </c>
      <c r="AG16" s="137">
        <f t="shared" si="28"/>
        <v>0</v>
      </c>
      <c r="AH16" s="153"/>
      <c r="AI16" s="181"/>
    </row>
    <row r="17" spans="1:37" s="11" customFormat="1" ht="38.25" x14ac:dyDescent="0.25">
      <c r="A17" s="217">
        <v>13</v>
      </c>
      <c r="B17" s="217">
        <v>1</v>
      </c>
      <c r="C17" s="222" t="s">
        <v>38</v>
      </c>
      <c r="D17" s="194"/>
      <c r="E17" s="206"/>
      <c r="F17" s="209"/>
      <c r="G17" s="43" t="s">
        <v>173</v>
      </c>
      <c r="H17" s="5"/>
      <c r="I17" s="5"/>
      <c r="J17" s="5"/>
      <c r="K17" s="5"/>
      <c r="L17" s="5"/>
      <c r="M17" s="4" t="s">
        <v>34</v>
      </c>
      <c r="N17" s="4" t="s">
        <v>35</v>
      </c>
      <c r="O17" s="4" t="s">
        <v>41</v>
      </c>
      <c r="P17" s="6" t="s">
        <v>125</v>
      </c>
      <c r="Q17" s="148"/>
      <c r="R17" s="148">
        <f>+SUM(R18:R21)</f>
        <v>0</v>
      </c>
      <c r="S17" s="148">
        <f t="shared" ref="S17" si="29">+SUM(S18:S21)</f>
        <v>0</v>
      </c>
      <c r="T17" s="148">
        <f t="shared" ref="T17" si="30">+SUM(T18:T21)</f>
        <v>0</v>
      </c>
      <c r="U17" s="148">
        <f t="shared" ref="U17" si="31">+SUM(U18:U21)</f>
        <v>0</v>
      </c>
      <c r="V17" s="138" t="s">
        <v>125</v>
      </c>
      <c r="W17" s="139"/>
      <c r="X17" s="148">
        <f t="shared" ref="X17:Y17" si="32">+SUM(X18:X21)</f>
        <v>0</v>
      </c>
      <c r="Y17" s="148">
        <f t="shared" si="32"/>
        <v>0</v>
      </c>
      <c r="Z17" s="148">
        <f t="shared" ref="Z17" si="33">+SUM(Z18:Z21)</f>
        <v>0</v>
      </c>
      <c r="AA17" s="148">
        <f t="shared" ref="AA17" si="34">+SUM(AA18:AA21)</f>
        <v>0</v>
      </c>
      <c r="AB17" s="148">
        <f t="shared" ref="AB17" si="35">+SUM(AB18:AB21)</f>
        <v>0</v>
      </c>
      <c r="AC17" s="148">
        <f t="shared" ref="AC17" si="36">+SUM(AC18:AC21)</f>
        <v>0</v>
      </c>
      <c r="AD17" s="148">
        <f t="shared" ref="AD17" si="37">+SUM(AD18:AD21)</f>
        <v>0</v>
      </c>
      <c r="AE17" s="148">
        <f t="shared" ref="AE17" si="38">+SUM(AE18:AE21)</f>
        <v>0</v>
      </c>
      <c r="AF17" s="148">
        <f t="shared" ref="AF17" si="39">+SUM(AF18:AF21)</f>
        <v>0</v>
      </c>
      <c r="AG17" s="148">
        <f t="shared" ref="AG17" si="40">+SUM(AG18:AG21)</f>
        <v>0</v>
      </c>
      <c r="AH17" s="153">
        <f t="shared" si="20"/>
        <v>0</v>
      </c>
      <c r="AI17" s="181"/>
    </row>
    <row r="18" spans="1:37" s="11" customFormat="1" x14ac:dyDescent="0.25">
      <c r="A18" s="218"/>
      <c r="B18" s="218"/>
      <c r="C18" s="223"/>
      <c r="D18" s="194"/>
      <c r="E18" s="206"/>
      <c r="F18" s="209"/>
      <c r="G18" s="131" t="s">
        <v>234</v>
      </c>
      <c r="H18" s="5"/>
      <c r="I18" s="5"/>
      <c r="J18" s="5"/>
      <c r="K18" s="5"/>
      <c r="L18" s="5"/>
      <c r="M18" s="4"/>
      <c r="N18" s="4"/>
      <c r="O18" s="4"/>
      <c r="P18" s="6"/>
      <c r="Q18" s="148"/>
      <c r="R18" s="148"/>
      <c r="S18" s="137">
        <f t="shared" si="21"/>
        <v>0</v>
      </c>
      <c r="T18" s="137">
        <f t="shared" si="22"/>
        <v>0</v>
      </c>
      <c r="U18" s="137">
        <f t="shared" si="23"/>
        <v>0</v>
      </c>
      <c r="V18" s="138"/>
      <c r="W18" s="139"/>
      <c r="X18" s="137"/>
      <c r="Y18" s="137">
        <f t="shared" ref="Y18:Y21" si="41">+$W18*X18</f>
        <v>0</v>
      </c>
      <c r="Z18" s="137"/>
      <c r="AA18" s="137">
        <f t="shared" ref="AA18:AA21" si="42">+$W18*Z18</f>
        <v>0</v>
      </c>
      <c r="AB18" s="137"/>
      <c r="AC18" s="137">
        <f t="shared" ref="AC18:AC21" si="43">+$W18*AB18</f>
        <v>0</v>
      </c>
      <c r="AD18" s="137"/>
      <c r="AE18" s="137">
        <f t="shared" ref="AE18:AE21" si="44">+$W18*AD18</f>
        <v>0</v>
      </c>
      <c r="AF18" s="137">
        <f t="shared" si="28"/>
        <v>0</v>
      </c>
      <c r="AG18" s="137">
        <f t="shared" si="28"/>
        <v>0</v>
      </c>
      <c r="AH18" s="153"/>
      <c r="AI18" s="181"/>
    </row>
    <row r="19" spans="1:37" s="11" customFormat="1" x14ac:dyDescent="0.25">
      <c r="A19" s="218"/>
      <c r="B19" s="218"/>
      <c r="C19" s="223"/>
      <c r="D19" s="194"/>
      <c r="E19" s="206"/>
      <c r="F19" s="209"/>
      <c r="G19" s="131" t="s">
        <v>235</v>
      </c>
      <c r="H19" s="5"/>
      <c r="I19" s="5"/>
      <c r="J19" s="5"/>
      <c r="K19" s="5"/>
      <c r="L19" s="5"/>
      <c r="M19" s="4"/>
      <c r="N19" s="4"/>
      <c r="O19" s="4"/>
      <c r="P19" s="6"/>
      <c r="Q19" s="148"/>
      <c r="R19" s="148"/>
      <c r="S19" s="137">
        <f t="shared" si="21"/>
        <v>0</v>
      </c>
      <c r="T19" s="137">
        <f t="shared" si="22"/>
        <v>0</v>
      </c>
      <c r="U19" s="137">
        <f t="shared" si="23"/>
        <v>0</v>
      </c>
      <c r="V19" s="138"/>
      <c r="W19" s="139"/>
      <c r="X19" s="137"/>
      <c r="Y19" s="137">
        <f t="shared" si="41"/>
        <v>0</v>
      </c>
      <c r="Z19" s="137"/>
      <c r="AA19" s="137">
        <f t="shared" si="42"/>
        <v>0</v>
      </c>
      <c r="AB19" s="137"/>
      <c r="AC19" s="137">
        <f t="shared" si="43"/>
        <v>0</v>
      </c>
      <c r="AD19" s="137"/>
      <c r="AE19" s="137">
        <f t="shared" si="44"/>
        <v>0</v>
      </c>
      <c r="AF19" s="137">
        <f t="shared" si="28"/>
        <v>0</v>
      </c>
      <c r="AG19" s="137">
        <f t="shared" si="28"/>
        <v>0</v>
      </c>
      <c r="AH19" s="153"/>
      <c r="AI19" s="181"/>
    </row>
    <row r="20" spans="1:37" s="11" customFormat="1" x14ac:dyDescent="0.25">
      <c r="A20" s="218"/>
      <c r="B20" s="218"/>
      <c r="C20" s="223"/>
      <c r="D20" s="194"/>
      <c r="E20" s="206"/>
      <c r="F20" s="209"/>
      <c r="G20" s="131" t="s">
        <v>236</v>
      </c>
      <c r="H20" s="5"/>
      <c r="I20" s="5"/>
      <c r="J20" s="5"/>
      <c r="K20" s="5"/>
      <c r="L20" s="5"/>
      <c r="M20" s="4"/>
      <c r="N20" s="4"/>
      <c r="O20" s="4"/>
      <c r="P20" s="6"/>
      <c r="Q20" s="148"/>
      <c r="R20" s="148"/>
      <c r="S20" s="137">
        <f t="shared" si="21"/>
        <v>0</v>
      </c>
      <c r="T20" s="137">
        <f t="shared" si="22"/>
        <v>0</v>
      </c>
      <c r="U20" s="137">
        <f t="shared" si="23"/>
        <v>0</v>
      </c>
      <c r="V20" s="138"/>
      <c r="W20" s="139"/>
      <c r="X20" s="137"/>
      <c r="Y20" s="137">
        <f t="shared" si="41"/>
        <v>0</v>
      </c>
      <c r="Z20" s="137"/>
      <c r="AA20" s="137">
        <f t="shared" si="42"/>
        <v>0</v>
      </c>
      <c r="AB20" s="137"/>
      <c r="AC20" s="137">
        <f t="shared" si="43"/>
        <v>0</v>
      </c>
      <c r="AD20" s="137"/>
      <c r="AE20" s="137">
        <f t="shared" si="44"/>
        <v>0</v>
      </c>
      <c r="AF20" s="137">
        <f t="shared" si="28"/>
        <v>0</v>
      </c>
      <c r="AG20" s="137">
        <f t="shared" si="28"/>
        <v>0</v>
      </c>
      <c r="AH20" s="153"/>
      <c r="AI20" s="181"/>
    </row>
    <row r="21" spans="1:37" s="11" customFormat="1" x14ac:dyDescent="0.25">
      <c r="A21" s="220"/>
      <c r="B21" s="220"/>
      <c r="C21" s="224"/>
      <c r="D21" s="194"/>
      <c r="E21" s="206"/>
      <c r="F21" s="209"/>
      <c r="G21" s="131" t="s">
        <v>237</v>
      </c>
      <c r="H21" s="5"/>
      <c r="I21" s="5"/>
      <c r="J21" s="5"/>
      <c r="K21" s="5"/>
      <c r="L21" s="5"/>
      <c r="M21" s="4"/>
      <c r="N21" s="4"/>
      <c r="O21" s="4"/>
      <c r="P21" s="6"/>
      <c r="Q21" s="148"/>
      <c r="R21" s="148"/>
      <c r="S21" s="137">
        <f t="shared" si="21"/>
        <v>0</v>
      </c>
      <c r="T21" s="137">
        <f t="shared" si="22"/>
        <v>0</v>
      </c>
      <c r="U21" s="137">
        <f t="shared" si="23"/>
        <v>0</v>
      </c>
      <c r="V21" s="138"/>
      <c r="W21" s="139"/>
      <c r="X21" s="137"/>
      <c r="Y21" s="137">
        <f t="shared" si="41"/>
        <v>0</v>
      </c>
      <c r="Z21" s="137"/>
      <c r="AA21" s="137">
        <f t="shared" si="42"/>
        <v>0</v>
      </c>
      <c r="AB21" s="137"/>
      <c r="AC21" s="137">
        <f t="shared" si="43"/>
        <v>0</v>
      </c>
      <c r="AD21" s="137"/>
      <c r="AE21" s="137">
        <f t="shared" si="44"/>
        <v>0</v>
      </c>
      <c r="AF21" s="137">
        <f t="shared" si="28"/>
        <v>0</v>
      </c>
      <c r="AG21" s="137">
        <f t="shared" si="28"/>
        <v>0</v>
      </c>
      <c r="AH21" s="153"/>
      <c r="AI21" s="181"/>
    </row>
    <row r="22" spans="1:37" s="11" customFormat="1" ht="38.25" x14ac:dyDescent="0.25">
      <c r="A22" s="60">
        <v>13</v>
      </c>
      <c r="B22" s="60">
        <v>1</v>
      </c>
      <c r="C22" s="63" t="s">
        <v>38</v>
      </c>
      <c r="D22" s="194"/>
      <c r="E22" s="206"/>
      <c r="F22" s="209"/>
      <c r="G22" s="43" t="s">
        <v>126</v>
      </c>
      <c r="H22" s="5"/>
      <c r="I22" s="5"/>
      <c r="J22" s="5"/>
      <c r="K22" s="5"/>
      <c r="L22" s="5"/>
      <c r="M22" s="4" t="s">
        <v>34</v>
      </c>
      <c r="N22" s="4" t="s">
        <v>35</v>
      </c>
      <c r="O22" s="4" t="s">
        <v>41</v>
      </c>
      <c r="P22" s="6" t="s">
        <v>127</v>
      </c>
      <c r="Q22" s="152"/>
      <c r="R22" s="152"/>
      <c r="S22" s="137">
        <f t="shared" si="21"/>
        <v>0</v>
      </c>
      <c r="T22" s="137">
        <f t="shared" si="22"/>
        <v>0</v>
      </c>
      <c r="U22" s="137">
        <f t="shared" si="23"/>
        <v>0</v>
      </c>
      <c r="V22" s="138" t="s">
        <v>127</v>
      </c>
      <c r="W22" s="139"/>
      <c r="X22" s="137"/>
      <c r="Y22" s="137">
        <f t="shared" ref="Y22:Y23" si="45">+W22*X22</f>
        <v>0</v>
      </c>
      <c r="Z22" s="137"/>
      <c r="AA22" s="137">
        <f t="shared" ref="AA22:AA23" si="46">+Z22*W22</f>
        <v>0</v>
      </c>
      <c r="AB22" s="137"/>
      <c r="AC22" s="137">
        <f t="shared" ref="AC22:AC23" si="47">+AB22*W22</f>
        <v>0</v>
      </c>
      <c r="AD22" s="137"/>
      <c r="AE22" s="137">
        <f t="shared" ref="AE22:AE23" si="48">+AD22*W22</f>
        <v>0</v>
      </c>
      <c r="AF22" s="137">
        <f t="shared" si="28"/>
        <v>0</v>
      </c>
      <c r="AG22" s="137">
        <f t="shared" si="28"/>
        <v>0</v>
      </c>
      <c r="AH22" s="153">
        <f t="shared" si="20"/>
        <v>0</v>
      </c>
      <c r="AI22" s="181"/>
    </row>
    <row r="23" spans="1:37" s="59" customFormat="1" ht="150.75" customHeight="1" x14ac:dyDescent="0.25">
      <c r="A23" s="60">
        <v>13</v>
      </c>
      <c r="B23" s="60">
        <v>1</v>
      </c>
      <c r="C23" s="63" t="s">
        <v>38</v>
      </c>
      <c r="D23" s="195"/>
      <c r="E23" s="207"/>
      <c r="F23" s="210"/>
      <c r="G23" s="43" t="s">
        <v>128</v>
      </c>
      <c r="H23" s="5"/>
      <c r="I23" s="5"/>
      <c r="J23" s="5"/>
      <c r="K23" s="5"/>
      <c r="L23" s="5"/>
      <c r="M23" s="4" t="s">
        <v>34</v>
      </c>
      <c r="N23" s="4" t="s">
        <v>35</v>
      </c>
      <c r="O23" s="4" t="s">
        <v>41</v>
      </c>
      <c r="P23" s="6" t="s">
        <v>129</v>
      </c>
      <c r="Q23" s="152"/>
      <c r="R23" s="152"/>
      <c r="S23" s="137">
        <f t="shared" si="21"/>
        <v>0</v>
      </c>
      <c r="T23" s="137">
        <f t="shared" si="22"/>
        <v>0</v>
      </c>
      <c r="U23" s="137">
        <f t="shared" si="23"/>
        <v>0</v>
      </c>
      <c r="V23" s="138" t="s">
        <v>129</v>
      </c>
      <c r="W23" s="139"/>
      <c r="X23" s="137"/>
      <c r="Y23" s="137">
        <f t="shared" si="45"/>
        <v>0</v>
      </c>
      <c r="Z23" s="137"/>
      <c r="AA23" s="137">
        <f t="shared" si="46"/>
        <v>0</v>
      </c>
      <c r="AB23" s="137"/>
      <c r="AC23" s="137">
        <f t="shared" si="47"/>
        <v>0</v>
      </c>
      <c r="AD23" s="137"/>
      <c r="AE23" s="137">
        <f t="shared" si="48"/>
        <v>0</v>
      </c>
      <c r="AF23" s="137">
        <f t="shared" si="28"/>
        <v>0</v>
      </c>
      <c r="AG23" s="137">
        <f t="shared" si="28"/>
        <v>0</v>
      </c>
      <c r="AH23" s="153">
        <f t="shared" si="20"/>
        <v>0</v>
      </c>
      <c r="AI23" s="181"/>
    </row>
    <row r="24" spans="1:37" s="11" customFormat="1" x14ac:dyDescent="0.2">
      <c r="A24" s="49" t="s">
        <v>57</v>
      </c>
      <c r="B24" s="25"/>
      <c r="C24" s="26"/>
      <c r="D24" s="26"/>
      <c r="E24" s="26"/>
      <c r="F24" s="26"/>
      <c r="G24" s="38"/>
      <c r="H24" s="39"/>
      <c r="I24" s="39"/>
      <c r="J24" s="39"/>
      <c r="K24" s="39"/>
      <c r="L24" s="39"/>
      <c r="M24" s="37"/>
      <c r="N24" s="37"/>
      <c r="O24" s="37"/>
      <c r="P24" s="34"/>
      <c r="Q24" s="172"/>
      <c r="R24" s="172"/>
      <c r="S24" s="172"/>
      <c r="T24" s="172"/>
      <c r="U24" s="172"/>
      <c r="V24" s="172"/>
      <c r="W24" s="172"/>
      <c r="X24" s="172"/>
      <c r="Y24" s="172"/>
      <c r="Z24" s="172"/>
      <c r="AA24" s="172"/>
      <c r="AB24" s="172"/>
      <c r="AC24" s="172"/>
      <c r="AD24" s="172"/>
      <c r="AE24" s="172"/>
      <c r="AF24" s="172"/>
      <c r="AG24" s="172"/>
      <c r="AH24" s="168">
        <f>SUM(AH25)</f>
        <v>0</v>
      </c>
      <c r="AI24" s="180">
        <v>15415625</v>
      </c>
    </row>
    <row r="25" spans="1:37" s="59" customFormat="1" ht="89.25" x14ac:dyDescent="0.25">
      <c r="A25" s="60">
        <v>8</v>
      </c>
      <c r="B25" s="60">
        <v>1</v>
      </c>
      <c r="C25" s="63" t="s">
        <v>38</v>
      </c>
      <c r="D25" s="63" t="s">
        <v>32</v>
      </c>
      <c r="E25" s="57" t="s">
        <v>122</v>
      </c>
      <c r="F25" s="57" t="s">
        <v>130</v>
      </c>
      <c r="G25" s="3"/>
      <c r="H25" s="5"/>
      <c r="I25" s="5"/>
      <c r="J25" s="5"/>
      <c r="K25" s="5"/>
      <c r="L25" s="5"/>
      <c r="M25" s="4" t="s">
        <v>34</v>
      </c>
      <c r="N25" s="4" t="s">
        <v>35</v>
      </c>
      <c r="O25" s="4" t="s">
        <v>40</v>
      </c>
      <c r="P25" s="6"/>
      <c r="Q25" s="152"/>
      <c r="R25" s="152"/>
      <c r="S25" s="137">
        <f t="shared" ref="S25" si="49">+R25*Q25</f>
        <v>0</v>
      </c>
      <c r="T25" s="137">
        <f t="shared" ref="T25" si="50">+R25</f>
        <v>0</v>
      </c>
      <c r="U25" s="137">
        <f t="shared" ref="U25" si="51">S25</f>
        <v>0</v>
      </c>
      <c r="V25" s="138"/>
      <c r="W25" s="139"/>
      <c r="X25" s="137"/>
      <c r="Y25" s="137">
        <f t="shared" ref="Y25" si="52">+W25*X25</f>
        <v>0</v>
      </c>
      <c r="Z25" s="137"/>
      <c r="AA25" s="137">
        <f t="shared" ref="AA25" si="53">+Z25*W25</f>
        <v>0</v>
      </c>
      <c r="AB25" s="137"/>
      <c r="AC25" s="137">
        <f t="shared" ref="AC25" si="54">+AB25*W25</f>
        <v>0</v>
      </c>
      <c r="AD25" s="137"/>
      <c r="AE25" s="137">
        <f t="shared" ref="AE25" si="55">+AD25*W25</f>
        <v>0</v>
      </c>
      <c r="AF25" s="137">
        <f t="shared" ref="AF25:AG25" si="56">+X25+Z25+AB25+AD25</f>
        <v>0</v>
      </c>
      <c r="AG25" s="137">
        <f t="shared" si="56"/>
        <v>0</v>
      </c>
      <c r="AH25" s="153">
        <f t="shared" ref="AH25" si="57">+U25+AG25</f>
        <v>0</v>
      </c>
      <c r="AI25" s="181"/>
    </row>
    <row r="26" spans="1:37" s="11" customFormat="1" x14ac:dyDescent="0.2">
      <c r="A26" s="49" t="s">
        <v>164</v>
      </c>
      <c r="B26" s="25"/>
      <c r="C26" s="26"/>
      <c r="D26" s="26"/>
      <c r="E26" s="26"/>
      <c r="F26" s="26"/>
      <c r="G26" s="38"/>
      <c r="H26" s="39"/>
      <c r="I26" s="39"/>
      <c r="J26" s="39"/>
      <c r="K26" s="39"/>
      <c r="L26" s="39"/>
      <c r="M26" s="37"/>
      <c r="N26" s="37"/>
      <c r="O26" s="37"/>
      <c r="P26" s="34"/>
      <c r="Q26" s="172"/>
      <c r="R26" s="172"/>
      <c r="S26" s="172"/>
      <c r="T26" s="172"/>
      <c r="U26" s="172"/>
      <c r="V26" s="172"/>
      <c r="W26" s="172"/>
      <c r="X26" s="172"/>
      <c r="Y26" s="172"/>
      <c r="Z26" s="172"/>
      <c r="AA26" s="172"/>
      <c r="AB26" s="172"/>
      <c r="AC26" s="172"/>
      <c r="AD26" s="172"/>
      <c r="AE26" s="172"/>
      <c r="AF26" s="172"/>
      <c r="AG26" s="172"/>
      <c r="AH26" s="168">
        <f>+AH4+AH11+AH24</f>
        <v>0</v>
      </c>
      <c r="AI26" s="180">
        <f>+AI4+AI11+AI24</f>
        <v>171284748</v>
      </c>
    </row>
    <row r="27" spans="1:37" x14ac:dyDescent="0.2">
      <c r="Q27" s="173"/>
      <c r="R27" s="173"/>
      <c r="S27" s="173"/>
      <c r="T27" s="173"/>
      <c r="U27" s="173"/>
      <c r="V27" s="173"/>
      <c r="W27" s="173"/>
      <c r="X27" s="173"/>
      <c r="Y27" s="173"/>
      <c r="Z27" s="173"/>
      <c r="AA27" s="174"/>
      <c r="AB27" s="173"/>
      <c r="AC27" s="173"/>
      <c r="AD27" s="173"/>
      <c r="AE27" s="173"/>
      <c r="AF27" s="173"/>
      <c r="AG27" s="173"/>
      <c r="AH27" s="173">
        <f>SUM(AH7:AH25)</f>
        <v>0</v>
      </c>
      <c r="AI27" s="182"/>
      <c r="AJ27" s="46"/>
    </row>
    <row r="28" spans="1:37" s="11" customFormat="1" x14ac:dyDescent="0.2">
      <c r="A28" s="49" t="s">
        <v>58</v>
      </c>
      <c r="B28" s="25"/>
      <c r="C28" s="26"/>
      <c r="D28" s="26"/>
      <c r="E28" s="26"/>
      <c r="F28" s="26"/>
      <c r="G28" s="26"/>
      <c r="H28" s="27"/>
      <c r="I28" s="27"/>
      <c r="J28" s="27"/>
      <c r="K28" s="27"/>
      <c r="L28" s="27"/>
      <c r="M28" s="25"/>
      <c r="N28" s="25"/>
      <c r="O28" s="25"/>
      <c r="P28" s="25"/>
      <c r="Q28" s="175"/>
      <c r="R28" s="175"/>
      <c r="S28" s="175"/>
      <c r="T28" s="175"/>
      <c r="U28" s="175"/>
      <c r="V28" s="175"/>
      <c r="W28" s="175"/>
      <c r="X28" s="175"/>
      <c r="Y28" s="175"/>
      <c r="Z28" s="175"/>
      <c r="AA28" s="175"/>
      <c r="AB28" s="175"/>
      <c r="AC28" s="175"/>
      <c r="AD28" s="175"/>
      <c r="AE28" s="175"/>
      <c r="AF28" s="175"/>
      <c r="AG28" s="175"/>
      <c r="AH28" s="168"/>
      <c r="AI28" s="180"/>
    </row>
    <row r="29" spans="1:37" s="59" customFormat="1" ht="89.25" x14ac:dyDescent="0.25">
      <c r="A29" s="60">
        <v>6</v>
      </c>
      <c r="B29" s="60">
        <v>1</v>
      </c>
      <c r="C29" s="63" t="s">
        <v>31</v>
      </c>
      <c r="D29" s="63" t="s">
        <v>32</v>
      </c>
      <c r="E29" s="57" t="s">
        <v>33</v>
      </c>
      <c r="F29" s="63" t="s">
        <v>131</v>
      </c>
      <c r="G29" s="57" t="s">
        <v>132</v>
      </c>
      <c r="H29" s="58"/>
      <c r="I29" s="58"/>
      <c r="J29" s="58"/>
      <c r="K29" s="58"/>
      <c r="L29" s="58"/>
      <c r="M29" s="33" t="s">
        <v>34</v>
      </c>
      <c r="N29" s="33" t="s">
        <v>35</v>
      </c>
      <c r="O29" s="33" t="s">
        <v>36</v>
      </c>
      <c r="P29" s="51" t="s">
        <v>37</v>
      </c>
      <c r="Q29" s="140">
        <f>15355</f>
        <v>15355</v>
      </c>
      <c r="R29" s="113">
        <v>99</v>
      </c>
      <c r="S29" s="140">
        <f>+R29*Q29</f>
        <v>1520145</v>
      </c>
      <c r="T29" s="140">
        <f t="shared" ref="T29:T34" si="58">+R29</f>
        <v>99</v>
      </c>
      <c r="U29" s="140">
        <f>S29</f>
        <v>1520145</v>
      </c>
      <c r="V29" s="150" t="s">
        <v>37</v>
      </c>
      <c r="W29" s="151">
        <f>+Q29</f>
        <v>15355</v>
      </c>
      <c r="X29" s="140">
        <v>99</v>
      </c>
      <c r="Y29" s="140">
        <f t="shared" ref="Y29:Y33" si="59">+W29*X29</f>
        <v>1520145</v>
      </c>
      <c r="Z29" s="140">
        <v>99</v>
      </c>
      <c r="AA29" s="140">
        <f t="shared" ref="AA29:AA33" si="60">+Z29*W29</f>
        <v>1520145</v>
      </c>
      <c r="AB29" s="140">
        <v>98</v>
      </c>
      <c r="AC29" s="140">
        <f t="shared" ref="AC29:AC33" si="61">+AB29*W29</f>
        <v>1504790</v>
      </c>
      <c r="AD29" s="140">
        <v>98</v>
      </c>
      <c r="AE29" s="140">
        <f t="shared" ref="AE29:AE33" si="62">+AD29*W29</f>
        <v>1504790</v>
      </c>
      <c r="AF29" s="140">
        <f>+X29+Z29+AB29+AD29</f>
        <v>394</v>
      </c>
      <c r="AG29" s="140">
        <f t="shared" ref="AF29:AG33" si="63">+Y29+AA29+AC29+AE29</f>
        <v>6049870</v>
      </c>
      <c r="AH29" s="153">
        <f>+U29+AG29</f>
        <v>7570015</v>
      </c>
      <c r="AI29" s="181"/>
      <c r="AK29" s="111"/>
    </row>
    <row r="30" spans="1:37" s="59" customFormat="1" ht="114.75" x14ac:dyDescent="0.25">
      <c r="A30" s="60">
        <v>34</v>
      </c>
      <c r="B30" s="68">
        <v>1</v>
      </c>
      <c r="C30" s="63" t="s">
        <v>42</v>
      </c>
      <c r="D30" s="63" t="s">
        <v>43</v>
      </c>
      <c r="E30" s="57" t="s">
        <v>44</v>
      </c>
      <c r="F30" s="63" t="s">
        <v>158</v>
      </c>
      <c r="G30" s="57" t="s">
        <v>133</v>
      </c>
      <c r="H30" s="33"/>
      <c r="I30" s="58"/>
      <c r="J30" s="58"/>
      <c r="K30" s="58"/>
      <c r="L30" s="58"/>
      <c r="M30" s="33" t="s">
        <v>34</v>
      </c>
      <c r="N30" s="33" t="s">
        <v>35</v>
      </c>
      <c r="O30" s="63" t="s">
        <v>45</v>
      </c>
      <c r="P30" s="51" t="s">
        <v>134</v>
      </c>
      <c r="Q30" s="140"/>
      <c r="R30" s="113"/>
      <c r="S30" s="140">
        <f>+R30*Q30</f>
        <v>0</v>
      </c>
      <c r="T30" s="140">
        <f t="shared" si="58"/>
        <v>0</v>
      </c>
      <c r="U30" s="140">
        <f t="shared" ref="U30:U33" si="64">S30</f>
        <v>0</v>
      </c>
      <c r="V30" s="150" t="s">
        <v>134</v>
      </c>
      <c r="W30" s="140">
        <f>36000*24</f>
        <v>864000</v>
      </c>
      <c r="X30" s="140">
        <v>2</v>
      </c>
      <c r="Y30" s="140">
        <f t="shared" si="59"/>
        <v>1728000</v>
      </c>
      <c r="Z30" s="140">
        <f>+X30+1</f>
        <v>3</v>
      </c>
      <c r="AA30" s="140">
        <f t="shared" si="60"/>
        <v>2592000</v>
      </c>
      <c r="AB30" s="140"/>
      <c r="AC30" s="140">
        <f t="shared" si="61"/>
        <v>0</v>
      </c>
      <c r="AD30" s="140">
        <f t="shared" ref="AD30:AD31" si="65">+AB30</f>
        <v>0</v>
      </c>
      <c r="AE30" s="140">
        <f t="shared" si="62"/>
        <v>0</v>
      </c>
      <c r="AF30" s="140">
        <f>+X30+Z30+AB30+AD30</f>
        <v>5</v>
      </c>
      <c r="AG30" s="140">
        <f t="shared" si="63"/>
        <v>4320000</v>
      </c>
      <c r="AH30" s="153">
        <f t="shared" ref="AH30:AH33" si="66">+U30+AG30</f>
        <v>4320000</v>
      </c>
      <c r="AI30" s="181"/>
    </row>
    <row r="31" spans="1:37" s="59" customFormat="1" ht="114.75" x14ac:dyDescent="0.25">
      <c r="A31" s="60">
        <v>35</v>
      </c>
      <c r="B31" s="68">
        <v>1</v>
      </c>
      <c r="C31" s="63" t="s">
        <v>42</v>
      </c>
      <c r="D31" s="63" t="s">
        <v>43</v>
      </c>
      <c r="E31" s="57" t="s">
        <v>44</v>
      </c>
      <c r="F31" s="63" t="s">
        <v>158</v>
      </c>
      <c r="G31" s="57" t="s">
        <v>135</v>
      </c>
      <c r="H31" s="33"/>
      <c r="I31" s="58"/>
      <c r="J31" s="58"/>
      <c r="K31" s="58"/>
      <c r="L31" s="58"/>
      <c r="M31" s="33" t="s">
        <v>34</v>
      </c>
      <c r="N31" s="33" t="s">
        <v>35</v>
      </c>
      <c r="O31" s="63" t="s">
        <v>45</v>
      </c>
      <c r="P31" s="51" t="s">
        <v>134</v>
      </c>
      <c r="Q31" s="140"/>
      <c r="R31" s="113"/>
      <c r="S31" s="140">
        <f t="shared" ref="S31:S33" si="67">+R31*Q31</f>
        <v>0</v>
      </c>
      <c r="T31" s="140">
        <f t="shared" si="58"/>
        <v>0</v>
      </c>
      <c r="U31" s="140">
        <f t="shared" si="64"/>
        <v>0</v>
      </c>
      <c r="V31" s="150" t="s">
        <v>134</v>
      </c>
      <c r="W31" s="140">
        <f>36000*12</f>
        <v>432000</v>
      </c>
      <c r="X31" s="140"/>
      <c r="Y31" s="140">
        <f t="shared" si="59"/>
        <v>0</v>
      </c>
      <c r="Z31" s="140">
        <f t="shared" ref="Z31" si="68">+X31</f>
        <v>0</v>
      </c>
      <c r="AA31" s="140">
        <f t="shared" si="60"/>
        <v>0</v>
      </c>
      <c r="AB31" s="140">
        <v>5</v>
      </c>
      <c r="AC31" s="140">
        <f t="shared" si="61"/>
        <v>2160000</v>
      </c>
      <c r="AD31" s="140">
        <f t="shared" si="65"/>
        <v>5</v>
      </c>
      <c r="AE31" s="140">
        <f t="shared" si="62"/>
        <v>2160000</v>
      </c>
      <c r="AF31" s="140">
        <f t="shared" si="63"/>
        <v>10</v>
      </c>
      <c r="AG31" s="140">
        <f t="shared" si="63"/>
        <v>4320000</v>
      </c>
      <c r="AH31" s="153">
        <f t="shared" si="66"/>
        <v>4320000</v>
      </c>
      <c r="AI31" s="181"/>
    </row>
    <row r="32" spans="1:37" s="72" customFormat="1" ht="76.5" x14ac:dyDescent="0.25">
      <c r="A32" s="60">
        <v>43</v>
      </c>
      <c r="B32" s="68">
        <v>1</v>
      </c>
      <c r="C32" s="63" t="s">
        <v>46</v>
      </c>
      <c r="D32" s="63" t="s">
        <v>47</v>
      </c>
      <c r="E32" s="57" t="s">
        <v>48</v>
      </c>
      <c r="F32" s="63" t="s">
        <v>159</v>
      </c>
      <c r="G32" s="57" t="s">
        <v>136</v>
      </c>
      <c r="H32" s="69"/>
      <c r="I32" s="69"/>
      <c r="J32" s="70"/>
      <c r="K32" s="69"/>
      <c r="L32" s="70"/>
      <c r="M32" s="33" t="s">
        <v>34</v>
      </c>
      <c r="N32" s="33" t="s">
        <v>35</v>
      </c>
      <c r="O32" s="33" t="s">
        <v>49</v>
      </c>
      <c r="P32" s="51" t="s">
        <v>137</v>
      </c>
      <c r="Q32" s="140"/>
      <c r="R32" s="113"/>
      <c r="S32" s="140">
        <f t="shared" si="67"/>
        <v>0</v>
      </c>
      <c r="T32" s="140">
        <f t="shared" si="58"/>
        <v>0</v>
      </c>
      <c r="U32" s="140">
        <f t="shared" si="64"/>
        <v>0</v>
      </c>
      <c r="V32" s="150" t="s">
        <v>137</v>
      </c>
      <c r="W32" s="151">
        <v>5000000</v>
      </c>
      <c r="X32" s="140">
        <f t="shared" ref="X32" si="69">+R32</f>
        <v>0</v>
      </c>
      <c r="Y32" s="140">
        <f t="shared" si="59"/>
        <v>0</v>
      </c>
      <c r="Z32" s="140">
        <v>0</v>
      </c>
      <c r="AA32" s="140">
        <f t="shared" si="60"/>
        <v>0</v>
      </c>
      <c r="AB32" s="140"/>
      <c r="AC32" s="140">
        <f t="shared" si="61"/>
        <v>0</v>
      </c>
      <c r="AD32" s="140">
        <v>1</v>
      </c>
      <c r="AE32" s="140">
        <f t="shared" si="62"/>
        <v>5000000</v>
      </c>
      <c r="AF32" s="140">
        <f t="shared" si="63"/>
        <v>1</v>
      </c>
      <c r="AG32" s="140">
        <f t="shared" si="63"/>
        <v>5000000</v>
      </c>
      <c r="AH32" s="153">
        <f t="shared" si="66"/>
        <v>5000000</v>
      </c>
      <c r="AI32" s="181"/>
    </row>
    <row r="33" spans="1:35" s="72" customFormat="1" ht="144" customHeight="1" x14ac:dyDescent="0.25">
      <c r="A33" s="60">
        <v>46</v>
      </c>
      <c r="B33" s="68">
        <v>1</v>
      </c>
      <c r="C33" s="33" t="s">
        <v>38</v>
      </c>
      <c r="D33" s="63" t="s">
        <v>47</v>
      </c>
      <c r="E33" s="57" t="s">
        <v>50</v>
      </c>
      <c r="F33" s="63" t="s">
        <v>138</v>
      </c>
      <c r="G33" s="57" t="s">
        <v>139</v>
      </c>
      <c r="H33" s="69"/>
      <c r="I33" s="70"/>
      <c r="J33" s="70"/>
      <c r="K33" s="70"/>
      <c r="L33" s="70"/>
      <c r="M33" s="33" t="s">
        <v>34</v>
      </c>
      <c r="N33" s="33" t="s">
        <v>35</v>
      </c>
      <c r="O33" s="33" t="s">
        <v>36</v>
      </c>
      <c r="P33" s="51" t="s">
        <v>140</v>
      </c>
      <c r="Q33" s="140"/>
      <c r="R33" s="113"/>
      <c r="S33" s="140">
        <f t="shared" si="67"/>
        <v>0</v>
      </c>
      <c r="T33" s="140">
        <f t="shared" si="58"/>
        <v>0</v>
      </c>
      <c r="U33" s="140">
        <f t="shared" si="64"/>
        <v>0</v>
      </c>
      <c r="V33" s="150" t="s">
        <v>140</v>
      </c>
      <c r="W33" s="140">
        <v>100000</v>
      </c>
      <c r="X33" s="140">
        <v>5</v>
      </c>
      <c r="Y33" s="140">
        <f t="shared" si="59"/>
        <v>500000</v>
      </c>
      <c r="Z33" s="140">
        <v>5</v>
      </c>
      <c r="AA33" s="140">
        <f t="shared" si="60"/>
        <v>500000</v>
      </c>
      <c r="AB33" s="140">
        <v>5</v>
      </c>
      <c r="AC33" s="140">
        <f t="shared" si="61"/>
        <v>500000</v>
      </c>
      <c r="AD33" s="140">
        <v>4</v>
      </c>
      <c r="AE33" s="140">
        <f t="shared" si="62"/>
        <v>400000</v>
      </c>
      <c r="AF33" s="140">
        <f t="shared" si="63"/>
        <v>19</v>
      </c>
      <c r="AG33" s="140">
        <f t="shared" si="63"/>
        <v>1900000</v>
      </c>
      <c r="AH33" s="153">
        <f t="shared" si="66"/>
        <v>1900000</v>
      </c>
      <c r="AI33" s="181"/>
    </row>
    <row r="34" spans="1:35" s="77" customFormat="1" ht="89.25" customHeight="1" x14ac:dyDescent="0.25">
      <c r="A34" s="60">
        <v>12</v>
      </c>
      <c r="B34" s="68">
        <v>1</v>
      </c>
      <c r="C34" s="63" t="s">
        <v>38</v>
      </c>
      <c r="D34" s="73" t="s">
        <v>32</v>
      </c>
      <c r="E34" s="74" t="s">
        <v>114</v>
      </c>
      <c r="F34" s="75" t="s">
        <v>160</v>
      </c>
      <c r="G34" s="75" t="s">
        <v>141</v>
      </c>
      <c r="H34" s="33"/>
      <c r="I34" s="70"/>
      <c r="J34" s="70"/>
      <c r="K34" s="70"/>
      <c r="L34" s="70"/>
      <c r="M34" s="76" t="s">
        <v>34</v>
      </c>
      <c r="N34" s="33" t="s">
        <v>35</v>
      </c>
      <c r="O34" s="76" t="s">
        <v>41</v>
      </c>
      <c r="P34" s="51" t="s">
        <v>142</v>
      </c>
      <c r="Q34" s="140">
        <f>150000*3</f>
        <v>450000</v>
      </c>
      <c r="R34" s="113">
        <v>6</v>
      </c>
      <c r="S34" s="140">
        <f>+R34*Q34</f>
        <v>2700000</v>
      </c>
      <c r="T34" s="140">
        <f t="shared" si="58"/>
        <v>6</v>
      </c>
      <c r="U34" s="140">
        <f>S34</f>
        <v>2700000</v>
      </c>
      <c r="V34" s="150" t="str">
        <f>+P34</f>
        <v>Costo Incentivo Lideres Pares</v>
      </c>
      <c r="W34" s="151">
        <f>154500*3</f>
        <v>463500</v>
      </c>
      <c r="X34" s="140">
        <v>6</v>
      </c>
      <c r="Y34" s="140">
        <f>+W34*X34</f>
        <v>2781000</v>
      </c>
      <c r="Z34" s="140">
        <v>25</v>
      </c>
      <c r="AA34" s="140">
        <f>+Z34*W34</f>
        <v>11587500</v>
      </c>
      <c r="AB34" s="140">
        <f t="shared" ref="AB34" si="70">+Z34</f>
        <v>25</v>
      </c>
      <c r="AC34" s="140">
        <f>+AB34*W34</f>
        <v>11587500</v>
      </c>
      <c r="AD34" s="140">
        <f>+AB34</f>
        <v>25</v>
      </c>
      <c r="AE34" s="140">
        <f>+AD34*W34</f>
        <v>11587500</v>
      </c>
      <c r="AF34" s="140">
        <f>+X34+Z34+AB34+AD34</f>
        <v>81</v>
      </c>
      <c r="AG34" s="140">
        <f>+Y34+AA34+AC34+AE34</f>
        <v>37543500</v>
      </c>
      <c r="AH34" s="153">
        <f>+U34+AG34</f>
        <v>40243500</v>
      </c>
      <c r="AI34" s="181"/>
    </row>
    <row r="35" spans="1:35" s="11" customFormat="1" x14ac:dyDescent="0.2">
      <c r="A35" s="49" t="s">
        <v>165</v>
      </c>
      <c r="B35" s="25"/>
      <c r="C35" s="26"/>
      <c r="D35" s="26"/>
      <c r="E35" s="26"/>
      <c r="F35" s="26"/>
      <c r="G35" s="26"/>
      <c r="H35" s="27"/>
      <c r="I35" s="27"/>
      <c r="J35" s="27"/>
      <c r="K35" s="27"/>
      <c r="L35" s="27"/>
      <c r="M35" s="25"/>
      <c r="N35" s="25"/>
      <c r="O35" s="25"/>
      <c r="P35" s="64"/>
      <c r="Q35" s="175"/>
      <c r="R35" s="175"/>
      <c r="S35" s="175"/>
      <c r="T35" s="175"/>
      <c r="U35" s="175"/>
      <c r="V35" s="175"/>
      <c r="W35" s="175"/>
      <c r="X35" s="175"/>
      <c r="Y35" s="175"/>
      <c r="Z35" s="175"/>
      <c r="AA35" s="175"/>
      <c r="AB35" s="175"/>
      <c r="AC35" s="175"/>
      <c r="AD35" s="175"/>
      <c r="AE35" s="175"/>
      <c r="AF35" s="175"/>
      <c r="AG35" s="175"/>
      <c r="AH35" s="168">
        <f>SUM(AH29:AH34)</f>
        <v>63353515</v>
      </c>
      <c r="AI35" s="180">
        <f>+AH35</f>
        <v>63353515</v>
      </c>
    </row>
    <row r="36" spans="1:35" s="11" customFormat="1" x14ac:dyDescent="0.2">
      <c r="A36" s="83" t="s">
        <v>166</v>
      </c>
      <c r="B36" s="84"/>
      <c r="C36" s="85"/>
      <c r="D36" s="85"/>
      <c r="E36" s="85"/>
      <c r="F36" s="85"/>
      <c r="G36" s="85"/>
      <c r="H36" s="86"/>
      <c r="I36" s="86"/>
      <c r="J36" s="86"/>
      <c r="K36" s="86"/>
      <c r="L36" s="86"/>
      <c r="M36" s="84"/>
      <c r="N36" s="84"/>
      <c r="O36" s="84"/>
      <c r="P36" s="87"/>
      <c r="Q36" s="176"/>
      <c r="R36" s="176"/>
      <c r="S36" s="176"/>
      <c r="T36" s="176"/>
      <c r="U36" s="176"/>
      <c r="V36" s="176"/>
      <c r="W36" s="176"/>
      <c r="X36" s="176"/>
      <c r="Y36" s="176"/>
      <c r="Z36" s="176"/>
      <c r="AA36" s="176"/>
      <c r="AB36" s="176"/>
      <c r="AC36" s="176"/>
      <c r="AD36" s="176"/>
      <c r="AE36" s="176"/>
      <c r="AF36" s="176"/>
      <c r="AG36" s="176"/>
      <c r="AH36" s="177"/>
      <c r="AI36" s="82">
        <f>+AI26+AI35</f>
        <v>234638263</v>
      </c>
    </row>
  </sheetData>
  <sheetProtection sheet="1" objects="1" scenarios="1" formatCells="0" formatColumns="0" formatRows="0" insertRows="0"/>
  <mergeCells count="45">
    <mergeCell ref="A12:A16"/>
    <mergeCell ref="B12:B16"/>
    <mergeCell ref="C12:C16"/>
    <mergeCell ref="A17:A21"/>
    <mergeCell ref="B17:B21"/>
    <mergeCell ref="C17:C21"/>
    <mergeCell ref="F2:F3"/>
    <mergeCell ref="A2:A3"/>
    <mergeCell ref="B2:B3"/>
    <mergeCell ref="C2:C3"/>
    <mergeCell ref="D2:D3"/>
    <mergeCell ref="E2:E3"/>
    <mergeCell ref="V2:V3"/>
    <mergeCell ref="G2:G3"/>
    <mergeCell ref="I2:L2"/>
    <mergeCell ref="M2:M3"/>
    <mergeCell ref="N2:N3"/>
    <mergeCell ref="O2:O3"/>
    <mergeCell ref="P2:P3"/>
    <mergeCell ref="Q2:Q3"/>
    <mergeCell ref="R2:R3"/>
    <mergeCell ref="S2:S3"/>
    <mergeCell ref="T2:T3"/>
    <mergeCell ref="U2:U3"/>
    <mergeCell ref="X2:X3"/>
    <mergeCell ref="Y2:Y3"/>
    <mergeCell ref="Z2:Z3"/>
    <mergeCell ref="AA2:AA3"/>
    <mergeCell ref="AB2:AB3"/>
    <mergeCell ref="D12:D23"/>
    <mergeCell ref="E12:E23"/>
    <mergeCell ref="F12:F23"/>
    <mergeCell ref="AI2:AI3"/>
    <mergeCell ref="C5:C7"/>
    <mergeCell ref="D5:D10"/>
    <mergeCell ref="E5:E10"/>
    <mergeCell ref="F5:F7"/>
    <mergeCell ref="F8:F10"/>
    <mergeCell ref="AC2:AC3"/>
    <mergeCell ref="AD2:AD3"/>
    <mergeCell ref="AE2:AE3"/>
    <mergeCell ref="AF2:AF3"/>
    <mergeCell ref="AG2:AG3"/>
    <mergeCell ref="AH2:AH3"/>
    <mergeCell ref="W2:W3"/>
  </mergeCells>
  <dataValidations count="1">
    <dataValidation type="decimal" operator="greaterThanOrEqual" allowBlank="1" showInputMessage="1" showErrorMessage="1" sqref="W25:W26 W34:W36 W32 W29 W5:W10 W12:W23">
      <formula1>0</formula1>
    </dataValidation>
  </dataValidations>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22"/>
  <sheetViews>
    <sheetView showGridLines="0" workbookViewId="0">
      <selection activeCell="E24" sqref="E24"/>
    </sheetView>
  </sheetViews>
  <sheetFormatPr baseColWidth="10" defaultRowHeight="15" x14ac:dyDescent="0.25"/>
  <cols>
    <col min="1" max="1" width="53.28515625" style="124" customWidth="1"/>
    <col min="2" max="2" width="17.5703125" style="125" bestFit="1" customWidth="1"/>
    <col min="3" max="3" width="18.5703125" style="124" bestFit="1" customWidth="1"/>
    <col min="4" max="16384" width="11.42578125" style="124"/>
  </cols>
  <sheetData>
    <row r="1" spans="1:3" ht="39.75" customHeight="1" x14ac:dyDescent="0.25">
      <c r="A1" s="188" t="s">
        <v>100</v>
      </c>
      <c r="B1" s="188"/>
      <c r="C1" s="188"/>
    </row>
    <row r="2" spans="1:3" x14ac:dyDescent="0.25">
      <c r="A2" s="189" t="s">
        <v>157</v>
      </c>
      <c r="B2" s="189"/>
      <c r="C2" s="189"/>
    </row>
    <row r="3" spans="1:3" x14ac:dyDescent="0.25">
      <c r="A3" s="118"/>
      <c r="B3" s="119"/>
      <c r="C3" s="118"/>
    </row>
    <row r="4" spans="1:3" x14ac:dyDescent="0.25">
      <c r="A4" s="120" t="s">
        <v>102</v>
      </c>
      <c r="B4" s="121"/>
      <c r="C4" s="118"/>
    </row>
    <row r="6" spans="1:3" s="126" customFormat="1" x14ac:dyDescent="0.25">
      <c r="A6" s="91" t="s">
        <v>103</v>
      </c>
      <c r="B6" s="92" t="s">
        <v>104</v>
      </c>
      <c r="C6" s="93" t="s">
        <v>98</v>
      </c>
    </row>
    <row r="7" spans="1:3" s="127" customFormat="1" x14ac:dyDescent="0.25">
      <c r="A7" s="94" t="s">
        <v>105</v>
      </c>
      <c r="B7" s="106">
        <f>+'[1]Fase I Valle del Cauca'!AH4</f>
        <v>0</v>
      </c>
      <c r="C7" s="96">
        <f>+'Fase I Cauca'!AI4</f>
        <v>115474337</v>
      </c>
    </row>
    <row r="8" spans="1:3" s="128" customFormat="1" x14ac:dyDescent="0.25">
      <c r="A8" s="97" t="s">
        <v>106</v>
      </c>
      <c r="B8" s="95">
        <f>+'[1]Fase I Valle del Cauca'!AH11</f>
        <v>0</v>
      </c>
      <c r="C8" s="96">
        <f>+'Fase I Cauca'!AI11</f>
        <v>34642308</v>
      </c>
    </row>
    <row r="9" spans="1:3" s="128" customFormat="1" x14ac:dyDescent="0.25">
      <c r="A9" s="97" t="s">
        <v>107</v>
      </c>
      <c r="B9" s="95">
        <f>+'[1]Fase I Valle del Cauca'!AH16</f>
        <v>0</v>
      </c>
      <c r="C9" s="96">
        <f>+'Fase I Cauca'!AI22</f>
        <v>14846698</v>
      </c>
    </row>
    <row r="10" spans="1:3" s="128" customFormat="1" x14ac:dyDescent="0.25">
      <c r="A10" s="99" t="s">
        <v>161</v>
      </c>
      <c r="B10" s="107">
        <f>SUM(B7:B9)</f>
        <v>0</v>
      </c>
      <c r="C10" s="108">
        <f>SUM(C7:C9)</f>
        <v>164963343</v>
      </c>
    </row>
    <row r="11" spans="1:3" s="128" customFormat="1" x14ac:dyDescent="0.25">
      <c r="A11" s="97"/>
      <c r="B11" s="107"/>
      <c r="C11" s="96"/>
    </row>
    <row r="12" spans="1:3" x14ac:dyDescent="0.25">
      <c r="A12" s="101" t="s">
        <v>108</v>
      </c>
      <c r="B12" s="109">
        <f>+'Fase I Cauca'!AH33</f>
        <v>54144385</v>
      </c>
      <c r="C12" s="96">
        <f>+'Fase I Cauca'!AI33</f>
        <v>54144385</v>
      </c>
    </row>
    <row r="13" spans="1:3" x14ac:dyDescent="0.25">
      <c r="A13" s="102" t="s">
        <v>162</v>
      </c>
      <c r="B13" s="110">
        <f>+B12</f>
        <v>54144385</v>
      </c>
      <c r="C13" s="100">
        <f>+C12</f>
        <v>54144385</v>
      </c>
    </row>
    <row r="14" spans="1:3" x14ac:dyDescent="0.25">
      <c r="A14" s="104" t="s">
        <v>163</v>
      </c>
      <c r="B14" s="105">
        <f>+B10+B13</f>
        <v>54144385</v>
      </c>
      <c r="C14" s="105">
        <f>+C10+C13</f>
        <v>219107728</v>
      </c>
    </row>
    <row r="18" spans="1:3" x14ac:dyDescent="0.25">
      <c r="A18" s="118"/>
      <c r="B18" s="119"/>
      <c r="C18" s="118"/>
    </row>
    <row r="19" spans="1:3" s="129" customFormat="1" x14ac:dyDescent="0.25">
      <c r="A19" s="122" t="s">
        <v>109</v>
      </c>
      <c r="B19" s="119"/>
      <c r="C19" s="123"/>
    </row>
    <row r="20" spans="1:3" s="129" customFormat="1" x14ac:dyDescent="0.25">
      <c r="A20" s="122" t="s">
        <v>110</v>
      </c>
      <c r="B20" s="119"/>
      <c r="C20" s="123"/>
    </row>
    <row r="21" spans="1:3" x14ac:dyDescent="0.25">
      <c r="A21" s="118"/>
      <c r="B21" s="119"/>
      <c r="C21" s="118"/>
    </row>
    <row r="22" spans="1:3" x14ac:dyDescent="0.25">
      <c r="A22" s="118"/>
      <c r="B22" s="119"/>
      <c r="C22" s="118"/>
    </row>
  </sheetData>
  <sheetProtection password="CB42" sheet="1" objects="1" scenarios="1"/>
  <mergeCells count="2">
    <mergeCell ref="A1:C1"/>
    <mergeCell ref="A2:C2"/>
  </mergeCells>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K34"/>
  <sheetViews>
    <sheetView showGridLines="0" zoomScale="70" zoomScaleNormal="70" workbookViewId="0">
      <pane xSplit="1" ySplit="3" topLeftCell="R4" activePane="bottomRight" state="frozen"/>
      <selection activeCell="AI27" sqref="AI27"/>
      <selection pane="topRight" activeCell="AI27" sqref="AI27"/>
      <selection pane="bottomLeft" activeCell="AI27" sqref="AI27"/>
      <selection pane="bottomRight" activeCell="AE5" sqref="AE5"/>
    </sheetView>
  </sheetViews>
  <sheetFormatPr baseColWidth="10" defaultRowHeight="12.75" x14ac:dyDescent="0.2"/>
  <cols>
    <col min="1" max="1" width="9.28515625" style="46" customWidth="1"/>
    <col min="2" max="2" width="15" style="46" customWidth="1"/>
    <col min="3" max="3" width="17.140625" style="46" customWidth="1"/>
    <col min="4" max="4" width="24.42578125" style="46" customWidth="1"/>
    <col min="5" max="5" width="43.28515625" style="46" customWidth="1"/>
    <col min="6" max="6" width="61.140625" style="46" customWidth="1"/>
    <col min="7" max="7" width="29.42578125" style="46" customWidth="1"/>
    <col min="8" max="8" width="7.28515625" style="46" bestFit="1" customWidth="1"/>
    <col min="9" max="9" width="3.85546875" style="46" bestFit="1" customWidth="1"/>
    <col min="10" max="11" width="3.28515625" style="46" bestFit="1" customWidth="1"/>
    <col min="12" max="12" width="4.28515625" style="46" customWidth="1"/>
    <col min="13" max="13" width="18.5703125" style="46" customWidth="1"/>
    <col min="14" max="14" width="11.42578125" style="46"/>
    <col min="15" max="15" width="13.7109375" style="46" customWidth="1"/>
    <col min="16" max="16" width="17.7109375" style="46" customWidth="1"/>
    <col min="17" max="18" width="11.42578125" style="46"/>
    <col min="19" max="19" width="16.140625" style="46" customWidth="1"/>
    <col min="20" max="20" width="11.42578125" style="46"/>
    <col min="21" max="21" width="14.28515625" style="46" customWidth="1"/>
    <col min="22" max="22" width="12.140625" style="46" customWidth="1"/>
    <col min="23" max="23" width="13" style="46" bestFit="1" customWidth="1"/>
    <col min="24" max="24" width="11.5703125" style="46" bestFit="1" customWidth="1"/>
    <col min="25" max="25" width="12.85546875" style="46" bestFit="1" customWidth="1"/>
    <col min="26" max="26" width="11.5703125" style="46" bestFit="1" customWidth="1"/>
    <col min="27" max="27" width="12.85546875" style="46" bestFit="1" customWidth="1"/>
    <col min="28" max="28" width="11.5703125" style="46" bestFit="1" customWidth="1"/>
    <col min="29" max="29" width="12.85546875" style="46" bestFit="1" customWidth="1"/>
    <col min="30" max="30" width="11.5703125" style="46" bestFit="1" customWidth="1"/>
    <col min="31" max="31" width="12.85546875" style="46" bestFit="1" customWidth="1"/>
    <col min="32" max="32" width="11.5703125" style="46" bestFit="1" customWidth="1"/>
    <col min="33" max="33" width="14" style="46" bestFit="1" customWidth="1"/>
    <col min="34" max="34" width="18" style="46" bestFit="1" customWidth="1"/>
    <col min="35" max="35" width="18.85546875" style="47" customWidth="1"/>
    <col min="36" max="36" width="13" style="48" bestFit="1" customWidth="1"/>
    <col min="37" max="37" width="12.85546875" style="46" bestFit="1" customWidth="1"/>
    <col min="38" max="16384" width="11.42578125" style="46"/>
  </cols>
  <sheetData>
    <row r="1" spans="1:35" s="48" customFormat="1" x14ac:dyDescent="0.2">
      <c r="A1" s="45" t="s">
        <v>111</v>
      </c>
      <c r="B1" s="46"/>
      <c r="C1" s="46"/>
      <c r="D1" s="46"/>
      <c r="E1" s="46"/>
      <c r="F1" s="46"/>
      <c r="G1" s="46"/>
      <c r="H1" s="46"/>
      <c r="I1" s="46"/>
      <c r="J1" s="46"/>
      <c r="K1" s="46"/>
      <c r="L1" s="46"/>
      <c r="M1" s="46"/>
      <c r="N1" s="46"/>
      <c r="O1" s="46"/>
      <c r="P1" s="46"/>
      <c r="Q1" s="46"/>
      <c r="R1" s="46"/>
      <c r="S1" s="46"/>
      <c r="T1" s="46"/>
      <c r="U1" s="46"/>
      <c r="V1" s="46"/>
      <c r="W1" s="46"/>
      <c r="X1" s="46"/>
      <c r="Y1" s="46"/>
      <c r="Z1" s="46"/>
      <c r="AA1" s="46"/>
      <c r="AB1" s="46"/>
      <c r="AC1" s="46"/>
      <c r="AD1" s="46"/>
      <c r="AE1" s="46"/>
      <c r="AF1" s="46"/>
      <c r="AG1" s="46"/>
      <c r="AH1" s="46"/>
      <c r="AI1" s="47"/>
    </row>
    <row r="2" spans="1:35" s="1" customFormat="1" ht="15" customHeight="1" x14ac:dyDescent="0.25">
      <c r="A2" s="197" t="s">
        <v>0</v>
      </c>
      <c r="B2" s="196" t="s">
        <v>51</v>
      </c>
      <c r="C2" s="196" t="s">
        <v>1</v>
      </c>
      <c r="D2" s="196" t="s">
        <v>52</v>
      </c>
      <c r="E2" s="196" t="s">
        <v>53</v>
      </c>
      <c r="F2" s="196" t="s">
        <v>54</v>
      </c>
      <c r="G2" s="196" t="s">
        <v>2</v>
      </c>
      <c r="H2" s="36" t="s">
        <v>3</v>
      </c>
      <c r="I2" s="196" t="s">
        <v>4</v>
      </c>
      <c r="J2" s="199"/>
      <c r="K2" s="199"/>
      <c r="L2" s="199"/>
      <c r="M2" s="197" t="s">
        <v>5</v>
      </c>
      <c r="N2" s="197" t="s">
        <v>6</v>
      </c>
      <c r="O2" s="197" t="s">
        <v>7</v>
      </c>
      <c r="P2" s="200" t="s">
        <v>8</v>
      </c>
      <c r="Q2" s="201" t="s">
        <v>112</v>
      </c>
      <c r="R2" s="202" t="s">
        <v>9</v>
      </c>
      <c r="S2" s="202" t="s">
        <v>10</v>
      </c>
      <c r="T2" s="202" t="s">
        <v>11</v>
      </c>
      <c r="U2" s="203" t="s">
        <v>12</v>
      </c>
      <c r="V2" s="198" t="s">
        <v>13</v>
      </c>
      <c r="W2" s="216" t="s">
        <v>113</v>
      </c>
      <c r="X2" s="204" t="s">
        <v>14</v>
      </c>
      <c r="Y2" s="204" t="s">
        <v>15</v>
      </c>
      <c r="Z2" s="204" t="s">
        <v>16</v>
      </c>
      <c r="AA2" s="204" t="s">
        <v>17</v>
      </c>
      <c r="AB2" s="204" t="s">
        <v>18</v>
      </c>
      <c r="AC2" s="204" t="s">
        <v>19</v>
      </c>
      <c r="AD2" s="204" t="s">
        <v>20</v>
      </c>
      <c r="AE2" s="204" t="s">
        <v>21</v>
      </c>
      <c r="AF2" s="204" t="s">
        <v>22</v>
      </c>
      <c r="AG2" s="214" t="s">
        <v>23</v>
      </c>
      <c r="AH2" s="215" t="s">
        <v>24</v>
      </c>
      <c r="AI2" s="211" t="s">
        <v>98</v>
      </c>
    </row>
    <row r="3" spans="1:35" s="1" customFormat="1" ht="45.75" customHeight="1" x14ac:dyDescent="0.25">
      <c r="A3" s="197"/>
      <c r="B3" s="196"/>
      <c r="C3" s="196" t="s">
        <v>25</v>
      </c>
      <c r="D3" s="196" t="s">
        <v>26</v>
      </c>
      <c r="E3" s="196"/>
      <c r="F3" s="196"/>
      <c r="G3" s="196"/>
      <c r="H3" s="2" t="s">
        <v>30</v>
      </c>
      <c r="I3" s="2" t="s">
        <v>27</v>
      </c>
      <c r="J3" s="2" t="s">
        <v>28</v>
      </c>
      <c r="K3" s="2" t="s">
        <v>29</v>
      </c>
      <c r="L3" s="2" t="s">
        <v>30</v>
      </c>
      <c r="M3" s="197"/>
      <c r="N3" s="197"/>
      <c r="O3" s="197"/>
      <c r="P3" s="200"/>
      <c r="Q3" s="201"/>
      <c r="R3" s="202"/>
      <c r="S3" s="202"/>
      <c r="T3" s="202"/>
      <c r="U3" s="203"/>
      <c r="V3" s="198"/>
      <c r="W3" s="216"/>
      <c r="X3" s="204"/>
      <c r="Y3" s="204"/>
      <c r="Z3" s="204"/>
      <c r="AA3" s="204"/>
      <c r="AB3" s="204"/>
      <c r="AC3" s="204"/>
      <c r="AD3" s="204"/>
      <c r="AE3" s="204"/>
      <c r="AF3" s="204"/>
      <c r="AG3" s="214"/>
      <c r="AH3" s="215"/>
      <c r="AI3" s="212"/>
    </row>
    <row r="4" spans="1:35" s="11" customFormat="1" x14ac:dyDescent="0.2">
      <c r="A4" s="49" t="s">
        <v>55</v>
      </c>
      <c r="B4" s="25"/>
      <c r="C4" s="26"/>
      <c r="D4" s="26"/>
      <c r="E4" s="26"/>
      <c r="F4" s="26"/>
      <c r="G4" s="26"/>
      <c r="H4" s="27"/>
      <c r="I4" s="27"/>
      <c r="J4" s="27"/>
      <c r="K4" s="27"/>
      <c r="L4" s="27"/>
      <c r="M4" s="25"/>
      <c r="N4" s="25"/>
      <c r="O4" s="25"/>
      <c r="P4" s="25"/>
      <c r="Q4" s="28"/>
      <c r="R4" s="29"/>
      <c r="S4" s="29"/>
      <c r="T4" s="29"/>
      <c r="U4" s="30"/>
      <c r="V4" s="25"/>
      <c r="W4" s="28"/>
      <c r="X4" s="29"/>
      <c r="Y4" s="29"/>
      <c r="Z4" s="29"/>
      <c r="AA4" s="29"/>
      <c r="AB4" s="29"/>
      <c r="AC4" s="29"/>
      <c r="AD4" s="29"/>
      <c r="AE4" s="29"/>
      <c r="AF4" s="29"/>
      <c r="AG4" s="30"/>
      <c r="AH4" s="31">
        <f>SUM(AH5:AH10)</f>
        <v>0</v>
      </c>
      <c r="AI4" s="32">
        <v>115474337</v>
      </c>
    </row>
    <row r="5" spans="1:35" s="11" customFormat="1" ht="15" customHeight="1" x14ac:dyDescent="0.25">
      <c r="A5" s="50">
        <v>7</v>
      </c>
      <c r="B5" s="50">
        <v>1</v>
      </c>
      <c r="C5" s="213" t="s">
        <v>38</v>
      </c>
      <c r="D5" s="193" t="s">
        <v>32</v>
      </c>
      <c r="E5" s="205" t="s">
        <v>114</v>
      </c>
      <c r="F5" s="205" t="s">
        <v>115</v>
      </c>
      <c r="G5" s="43" t="s">
        <v>116</v>
      </c>
      <c r="H5" s="44"/>
      <c r="I5" s="44"/>
      <c r="J5" s="44"/>
      <c r="K5" s="44"/>
      <c r="L5" s="44"/>
      <c r="M5" s="4" t="s">
        <v>34</v>
      </c>
      <c r="N5" s="4" t="s">
        <v>35</v>
      </c>
      <c r="O5" s="4" t="s">
        <v>39</v>
      </c>
      <c r="P5" s="6" t="s">
        <v>117</v>
      </c>
      <c r="Q5" s="183"/>
      <c r="R5" s="184"/>
      <c r="S5" s="8">
        <f>+R5*Q5</f>
        <v>0</v>
      </c>
      <c r="T5" s="7">
        <f>+R5</f>
        <v>0</v>
      </c>
      <c r="U5" s="9">
        <f>S5</f>
        <v>0</v>
      </c>
      <c r="V5" s="6" t="s">
        <v>117</v>
      </c>
      <c r="W5" s="139"/>
      <c r="X5" s="137"/>
      <c r="Y5" s="137">
        <f t="shared" ref="Y5:Y10" si="0">+W5*X5</f>
        <v>0</v>
      </c>
      <c r="Z5" s="137"/>
      <c r="AA5" s="137">
        <f t="shared" ref="AA5:AA10" si="1">+Z5*W5</f>
        <v>0</v>
      </c>
      <c r="AB5" s="137"/>
      <c r="AC5" s="137">
        <f t="shared" ref="AC5:AC10" si="2">+AB5*W5</f>
        <v>0</v>
      </c>
      <c r="AD5" s="137"/>
      <c r="AE5" s="137">
        <f t="shared" ref="AE5:AE10" si="3">+AD5*W5</f>
        <v>0</v>
      </c>
      <c r="AF5" s="137">
        <f t="shared" ref="AF5:AG10" si="4">+X5+Z5+AB5+AD5</f>
        <v>0</v>
      </c>
      <c r="AG5" s="137">
        <f>+Y5+AA5+AC5+AE5</f>
        <v>0</v>
      </c>
      <c r="AH5" s="153">
        <f>+U5+AG5</f>
        <v>0</v>
      </c>
      <c r="AI5" s="56"/>
    </row>
    <row r="6" spans="1:35" s="11" customFormat="1" ht="31.5" customHeight="1" x14ac:dyDescent="0.25">
      <c r="A6" s="50">
        <v>7</v>
      </c>
      <c r="B6" s="50">
        <v>1</v>
      </c>
      <c r="C6" s="213"/>
      <c r="D6" s="194"/>
      <c r="E6" s="206"/>
      <c r="F6" s="206"/>
      <c r="G6" s="43" t="s">
        <v>118</v>
      </c>
      <c r="H6" s="44"/>
      <c r="I6" s="44"/>
      <c r="J6" s="44"/>
      <c r="K6" s="44"/>
      <c r="L6" s="44"/>
      <c r="M6" s="4" t="s">
        <v>34</v>
      </c>
      <c r="N6" s="4" t="s">
        <v>35</v>
      </c>
      <c r="O6" s="4" t="s">
        <v>39</v>
      </c>
      <c r="P6" s="6" t="s">
        <v>117</v>
      </c>
      <c r="Q6" s="183"/>
      <c r="R6" s="184"/>
      <c r="S6" s="8">
        <f>+R6*Q6</f>
        <v>0</v>
      </c>
      <c r="T6" s="7">
        <f>+R6</f>
        <v>0</v>
      </c>
      <c r="U6" s="9">
        <f>S6</f>
        <v>0</v>
      </c>
      <c r="V6" s="6" t="s">
        <v>117</v>
      </c>
      <c r="W6" s="139"/>
      <c r="X6" s="137"/>
      <c r="Y6" s="137">
        <f t="shared" si="0"/>
        <v>0</v>
      </c>
      <c r="Z6" s="137"/>
      <c r="AA6" s="137">
        <f t="shared" si="1"/>
        <v>0</v>
      </c>
      <c r="AB6" s="137"/>
      <c r="AC6" s="137">
        <f t="shared" si="2"/>
        <v>0</v>
      </c>
      <c r="AD6" s="137"/>
      <c r="AE6" s="137">
        <f t="shared" si="3"/>
        <v>0</v>
      </c>
      <c r="AF6" s="137">
        <f t="shared" si="4"/>
        <v>0</v>
      </c>
      <c r="AG6" s="137">
        <f>+Y6+AA6+AC6+AE6</f>
        <v>0</v>
      </c>
      <c r="AH6" s="153">
        <f>+U6+AG6</f>
        <v>0</v>
      </c>
      <c r="AI6" s="56"/>
    </row>
    <row r="7" spans="1:35" s="59" customFormat="1" ht="38.25" x14ac:dyDescent="0.25">
      <c r="A7" s="50">
        <v>7</v>
      </c>
      <c r="B7" s="50">
        <v>1</v>
      </c>
      <c r="C7" s="213"/>
      <c r="D7" s="194"/>
      <c r="E7" s="206"/>
      <c r="F7" s="207"/>
      <c r="G7" s="3" t="s">
        <v>119</v>
      </c>
      <c r="H7" s="5"/>
      <c r="I7" s="5"/>
      <c r="J7" s="5"/>
      <c r="K7" s="5"/>
      <c r="L7" s="5"/>
      <c r="M7" s="4" t="s">
        <v>34</v>
      </c>
      <c r="N7" s="4" t="s">
        <v>35</v>
      </c>
      <c r="O7" s="4" t="s">
        <v>39</v>
      </c>
      <c r="P7" s="6" t="s">
        <v>117</v>
      </c>
      <c r="Q7" s="183"/>
      <c r="R7" s="184"/>
      <c r="S7" s="8">
        <f t="shared" ref="S7:S10" si="5">+R7*Q7</f>
        <v>0</v>
      </c>
      <c r="T7" s="7">
        <f t="shared" ref="T7:T10" si="6">+R7</f>
        <v>0</v>
      </c>
      <c r="U7" s="9">
        <f t="shared" ref="U7:U10" si="7">S7</f>
        <v>0</v>
      </c>
      <c r="V7" s="6" t="s">
        <v>117</v>
      </c>
      <c r="W7" s="139"/>
      <c r="X7" s="137"/>
      <c r="Y7" s="137">
        <f t="shared" si="0"/>
        <v>0</v>
      </c>
      <c r="Z7" s="137"/>
      <c r="AA7" s="137">
        <f t="shared" si="1"/>
        <v>0</v>
      </c>
      <c r="AB7" s="137"/>
      <c r="AC7" s="137">
        <f t="shared" si="2"/>
        <v>0</v>
      </c>
      <c r="AD7" s="137"/>
      <c r="AE7" s="137">
        <f t="shared" si="3"/>
        <v>0</v>
      </c>
      <c r="AF7" s="137">
        <f t="shared" si="4"/>
        <v>0</v>
      </c>
      <c r="AG7" s="137">
        <f t="shared" si="4"/>
        <v>0</v>
      </c>
      <c r="AH7" s="153">
        <f>+U7+AG7</f>
        <v>0</v>
      </c>
      <c r="AI7" s="56"/>
    </row>
    <row r="8" spans="1:35" s="59" customFormat="1" ht="38.25" customHeight="1" x14ac:dyDescent="0.25">
      <c r="A8" s="60">
        <v>11</v>
      </c>
      <c r="B8" s="60">
        <v>1</v>
      </c>
      <c r="C8" s="61" t="s">
        <v>38</v>
      </c>
      <c r="D8" s="194"/>
      <c r="E8" s="206"/>
      <c r="F8" s="205" t="s">
        <v>120</v>
      </c>
      <c r="G8" s="3" t="s">
        <v>64</v>
      </c>
      <c r="H8" s="5"/>
      <c r="I8" s="5"/>
      <c r="J8" s="5"/>
      <c r="K8" s="5"/>
      <c r="L8" s="5"/>
      <c r="M8" s="4" t="s">
        <v>34</v>
      </c>
      <c r="N8" s="4" t="s">
        <v>35</v>
      </c>
      <c r="O8" s="4" t="s">
        <v>39</v>
      </c>
      <c r="P8" s="6" t="s">
        <v>117</v>
      </c>
      <c r="Q8" s="183"/>
      <c r="R8" s="184"/>
      <c r="S8" s="8">
        <f t="shared" si="5"/>
        <v>0</v>
      </c>
      <c r="T8" s="7">
        <f t="shared" si="6"/>
        <v>0</v>
      </c>
      <c r="U8" s="9">
        <f t="shared" si="7"/>
        <v>0</v>
      </c>
      <c r="V8" s="6" t="s">
        <v>117</v>
      </c>
      <c r="W8" s="139"/>
      <c r="X8" s="137"/>
      <c r="Y8" s="137">
        <f t="shared" si="0"/>
        <v>0</v>
      </c>
      <c r="Z8" s="137"/>
      <c r="AA8" s="137">
        <f t="shared" si="1"/>
        <v>0</v>
      </c>
      <c r="AB8" s="137"/>
      <c r="AC8" s="137">
        <f t="shared" si="2"/>
        <v>0</v>
      </c>
      <c r="AD8" s="137"/>
      <c r="AE8" s="137">
        <f t="shared" si="3"/>
        <v>0</v>
      </c>
      <c r="AF8" s="137">
        <f t="shared" si="4"/>
        <v>0</v>
      </c>
      <c r="AG8" s="137">
        <f t="shared" si="4"/>
        <v>0</v>
      </c>
      <c r="AH8" s="153">
        <f>+U8+AG8</f>
        <v>0</v>
      </c>
      <c r="AI8" s="56"/>
    </row>
    <row r="9" spans="1:35" s="59" customFormat="1" ht="38.25" x14ac:dyDescent="0.25">
      <c r="A9" s="60">
        <v>11</v>
      </c>
      <c r="B9" s="60">
        <v>1</v>
      </c>
      <c r="C9" s="61" t="s">
        <v>38</v>
      </c>
      <c r="D9" s="194"/>
      <c r="E9" s="206"/>
      <c r="F9" s="206"/>
      <c r="G9" s="3" t="s">
        <v>121</v>
      </c>
      <c r="H9" s="5"/>
      <c r="I9" s="5"/>
      <c r="J9" s="5"/>
      <c r="K9" s="5"/>
      <c r="L9" s="5"/>
      <c r="M9" s="4" t="s">
        <v>34</v>
      </c>
      <c r="N9" s="4" t="s">
        <v>35</v>
      </c>
      <c r="O9" s="4" t="s">
        <v>39</v>
      </c>
      <c r="P9" s="6" t="s">
        <v>117</v>
      </c>
      <c r="Q9" s="183"/>
      <c r="R9" s="184"/>
      <c r="S9" s="8">
        <f t="shared" si="5"/>
        <v>0</v>
      </c>
      <c r="T9" s="7">
        <f t="shared" si="6"/>
        <v>0</v>
      </c>
      <c r="U9" s="9">
        <f t="shared" si="7"/>
        <v>0</v>
      </c>
      <c r="V9" s="6" t="s">
        <v>117</v>
      </c>
      <c r="W9" s="139"/>
      <c r="X9" s="137"/>
      <c r="Y9" s="137">
        <f t="shared" si="0"/>
        <v>0</v>
      </c>
      <c r="Z9" s="137"/>
      <c r="AA9" s="137">
        <f t="shared" si="1"/>
        <v>0</v>
      </c>
      <c r="AB9" s="137"/>
      <c r="AC9" s="137">
        <f t="shared" si="2"/>
        <v>0</v>
      </c>
      <c r="AD9" s="137"/>
      <c r="AE9" s="137">
        <f t="shared" si="3"/>
        <v>0</v>
      </c>
      <c r="AF9" s="137">
        <f t="shared" si="4"/>
        <v>0</v>
      </c>
      <c r="AG9" s="137">
        <f t="shared" si="4"/>
        <v>0</v>
      </c>
      <c r="AH9" s="153">
        <f t="shared" ref="AH9:AH10" si="8">+U9+AG9</f>
        <v>0</v>
      </c>
      <c r="AI9" s="56"/>
    </row>
    <row r="10" spans="1:35" s="59" customFormat="1" ht="38.25" x14ac:dyDescent="0.25">
      <c r="A10" s="60">
        <v>11</v>
      </c>
      <c r="B10" s="60">
        <v>1</v>
      </c>
      <c r="C10" s="61" t="s">
        <v>38</v>
      </c>
      <c r="D10" s="195"/>
      <c r="E10" s="207"/>
      <c r="F10" s="207"/>
      <c r="G10" s="3" t="s">
        <v>66</v>
      </c>
      <c r="H10" s="5"/>
      <c r="I10" s="5"/>
      <c r="J10" s="5"/>
      <c r="K10" s="5"/>
      <c r="L10" s="5"/>
      <c r="M10" s="4" t="s">
        <v>34</v>
      </c>
      <c r="N10" s="4" t="s">
        <v>35</v>
      </c>
      <c r="O10" s="4" t="s">
        <v>39</v>
      </c>
      <c r="P10" s="6" t="s">
        <v>117</v>
      </c>
      <c r="Q10" s="183"/>
      <c r="R10" s="184"/>
      <c r="S10" s="8">
        <f t="shared" si="5"/>
        <v>0</v>
      </c>
      <c r="T10" s="7">
        <f t="shared" si="6"/>
        <v>0</v>
      </c>
      <c r="U10" s="9">
        <f t="shared" si="7"/>
        <v>0</v>
      </c>
      <c r="V10" s="6" t="s">
        <v>117</v>
      </c>
      <c r="W10" s="139"/>
      <c r="X10" s="137"/>
      <c r="Y10" s="137">
        <f t="shared" si="0"/>
        <v>0</v>
      </c>
      <c r="Z10" s="137"/>
      <c r="AA10" s="137">
        <f t="shared" si="1"/>
        <v>0</v>
      </c>
      <c r="AB10" s="137"/>
      <c r="AC10" s="137">
        <f t="shared" si="2"/>
        <v>0</v>
      </c>
      <c r="AD10" s="137"/>
      <c r="AE10" s="137">
        <f t="shared" si="3"/>
        <v>0</v>
      </c>
      <c r="AF10" s="137">
        <f t="shared" si="4"/>
        <v>0</v>
      </c>
      <c r="AG10" s="137">
        <f t="shared" si="4"/>
        <v>0</v>
      </c>
      <c r="AH10" s="153">
        <f t="shared" si="8"/>
        <v>0</v>
      </c>
      <c r="AI10" s="56"/>
    </row>
    <row r="11" spans="1:35" s="11" customFormat="1" x14ac:dyDescent="0.2">
      <c r="A11" s="62" t="s">
        <v>56</v>
      </c>
      <c r="B11" s="25"/>
      <c r="C11" s="26"/>
      <c r="D11" s="26"/>
      <c r="E11" s="26"/>
      <c r="F11" s="26"/>
      <c r="G11" s="38"/>
      <c r="H11" s="39"/>
      <c r="I11" s="39"/>
      <c r="J11" s="39"/>
      <c r="K11" s="39"/>
      <c r="L11" s="39"/>
      <c r="M11" s="37"/>
      <c r="N11" s="37"/>
      <c r="O11" s="37"/>
      <c r="P11" s="37"/>
      <c r="Q11" s="40"/>
      <c r="R11" s="41"/>
      <c r="S11" s="41"/>
      <c r="T11" s="41"/>
      <c r="U11" s="42"/>
      <c r="V11" s="37"/>
      <c r="W11" s="172"/>
      <c r="X11" s="172"/>
      <c r="Y11" s="172"/>
      <c r="Z11" s="172"/>
      <c r="AA11" s="172"/>
      <c r="AB11" s="172"/>
      <c r="AC11" s="172"/>
      <c r="AD11" s="172"/>
      <c r="AE11" s="172"/>
      <c r="AF11" s="172"/>
      <c r="AG11" s="172"/>
      <c r="AH11" s="168">
        <f>SUM(AH12:AH21)</f>
        <v>0</v>
      </c>
      <c r="AI11" s="32">
        <v>34642308</v>
      </c>
    </row>
    <row r="12" spans="1:35" s="11" customFormat="1" ht="38.25" x14ac:dyDescent="0.25">
      <c r="A12" s="217">
        <v>13</v>
      </c>
      <c r="B12" s="217">
        <v>1</v>
      </c>
      <c r="C12" s="222" t="s">
        <v>38</v>
      </c>
      <c r="D12" s="193" t="s">
        <v>32</v>
      </c>
      <c r="E12" s="205" t="s">
        <v>122</v>
      </c>
      <c r="F12" s="208" t="s">
        <v>123</v>
      </c>
      <c r="G12" s="43" t="s">
        <v>172</v>
      </c>
      <c r="H12" s="5"/>
      <c r="I12" s="5"/>
      <c r="J12" s="5"/>
      <c r="K12" s="5"/>
      <c r="L12" s="5"/>
      <c r="M12" s="4" t="s">
        <v>34</v>
      </c>
      <c r="N12" s="4" t="s">
        <v>35</v>
      </c>
      <c r="O12" s="4" t="s">
        <v>41</v>
      </c>
      <c r="P12" s="6" t="s">
        <v>124</v>
      </c>
      <c r="Q12" s="185"/>
      <c r="R12" s="148">
        <f>+SUM(R13:R15)</f>
        <v>0</v>
      </c>
      <c r="S12" s="148">
        <f t="shared" ref="S12:U12" si="9">+SUM(S13:S15)</f>
        <v>0</v>
      </c>
      <c r="T12" s="148">
        <f t="shared" si="9"/>
        <v>0</v>
      </c>
      <c r="U12" s="148">
        <f t="shared" si="9"/>
        <v>0</v>
      </c>
      <c r="V12" s="138" t="s">
        <v>124</v>
      </c>
      <c r="W12" s="139"/>
      <c r="X12" s="148">
        <f>+SUM(X13:X15)</f>
        <v>0</v>
      </c>
      <c r="Y12" s="148">
        <f t="shared" ref="Y12:AE12" si="10">+SUM(Y13:Y15)</f>
        <v>0</v>
      </c>
      <c r="Z12" s="148">
        <f t="shared" si="10"/>
        <v>0</v>
      </c>
      <c r="AA12" s="148">
        <f t="shared" si="10"/>
        <v>0</v>
      </c>
      <c r="AB12" s="148">
        <f t="shared" si="10"/>
        <v>0</v>
      </c>
      <c r="AC12" s="148">
        <f t="shared" si="10"/>
        <v>0</v>
      </c>
      <c r="AD12" s="148">
        <f t="shared" si="10"/>
        <v>0</v>
      </c>
      <c r="AE12" s="148">
        <f t="shared" si="10"/>
        <v>0</v>
      </c>
      <c r="AF12" s="148">
        <f t="shared" ref="AF12" si="11">+SUM(AF13:AF15)</f>
        <v>0</v>
      </c>
      <c r="AG12" s="148">
        <f t="shared" ref="AG12" si="12">+SUM(AG13:AG15)</f>
        <v>0</v>
      </c>
      <c r="AH12" s="153">
        <f t="shared" ref="AH12:AH21" si="13">+U12+AG12</f>
        <v>0</v>
      </c>
      <c r="AI12" s="154"/>
    </row>
    <row r="13" spans="1:35" s="11" customFormat="1" x14ac:dyDescent="0.25">
      <c r="A13" s="218"/>
      <c r="B13" s="218"/>
      <c r="C13" s="223"/>
      <c r="D13" s="194"/>
      <c r="E13" s="206"/>
      <c r="F13" s="209"/>
      <c r="G13" s="131" t="s">
        <v>238</v>
      </c>
      <c r="H13" s="5"/>
      <c r="I13" s="5"/>
      <c r="J13" s="5"/>
      <c r="K13" s="5"/>
      <c r="L13" s="5"/>
      <c r="M13" s="4"/>
      <c r="N13" s="4"/>
      <c r="O13" s="4"/>
      <c r="P13" s="6"/>
      <c r="Q13" s="148"/>
      <c r="R13" s="148"/>
      <c r="S13" s="137">
        <f t="shared" ref="S13:S15" si="14">+R13*Q13</f>
        <v>0</v>
      </c>
      <c r="T13" s="137">
        <f t="shared" ref="T13:T15" si="15">+R13</f>
        <v>0</v>
      </c>
      <c r="U13" s="137">
        <f t="shared" ref="U13:U15" si="16">S13</f>
        <v>0</v>
      </c>
      <c r="V13" s="138"/>
      <c r="W13" s="148"/>
      <c r="X13" s="148"/>
      <c r="Y13" s="137">
        <f t="shared" ref="Y13:Y15" si="17">+$W13*X13</f>
        <v>0</v>
      </c>
      <c r="Z13" s="148"/>
      <c r="AA13" s="137">
        <f t="shared" ref="AA13:AA15" si="18">+$W13*Z13</f>
        <v>0</v>
      </c>
      <c r="AB13" s="148"/>
      <c r="AC13" s="137">
        <f t="shared" ref="AC13:AC15" si="19">+$W13*AB13</f>
        <v>0</v>
      </c>
      <c r="AD13" s="148"/>
      <c r="AE13" s="137">
        <f t="shared" ref="AE13:AE15" si="20">+$W13*AD13</f>
        <v>0</v>
      </c>
      <c r="AF13" s="137">
        <f t="shared" ref="AF13:AG21" si="21">+X13+Z13+AB13+AD13</f>
        <v>0</v>
      </c>
      <c r="AG13" s="137">
        <f t="shared" si="21"/>
        <v>0</v>
      </c>
      <c r="AH13" s="153"/>
      <c r="AI13" s="154"/>
    </row>
    <row r="14" spans="1:35" s="11" customFormat="1" x14ac:dyDescent="0.25">
      <c r="A14" s="218"/>
      <c r="B14" s="218"/>
      <c r="C14" s="223"/>
      <c r="D14" s="194"/>
      <c r="E14" s="206"/>
      <c r="F14" s="209"/>
      <c r="G14" s="131" t="s">
        <v>239</v>
      </c>
      <c r="H14" s="5"/>
      <c r="I14" s="5"/>
      <c r="J14" s="5"/>
      <c r="K14" s="5"/>
      <c r="L14" s="5"/>
      <c r="M14" s="4"/>
      <c r="N14" s="4"/>
      <c r="O14" s="4"/>
      <c r="P14" s="6"/>
      <c r="Q14" s="148"/>
      <c r="R14" s="148"/>
      <c r="S14" s="137">
        <f t="shared" si="14"/>
        <v>0</v>
      </c>
      <c r="T14" s="137">
        <f t="shared" si="15"/>
        <v>0</v>
      </c>
      <c r="U14" s="137">
        <f t="shared" si="16"/>
        <v>0</v>
      </c>
      <c r="V14" s="138"/>
      <c r="W14" s="148"/>
      <c r="X14" s="148"/>
      <c r="Y14" s="137">
        <f t="shared" si="17"/>
        <v>0</v>
      </c>
      <c r="Z14" s="148"/>
      <c r="AA14" s="137">
        <f t="shared" si="18"/>
        <v>0</v>
      </c>
      <c r="AB14" s="148"/>
      <c r="AC14" s="137">
        <f t="shared" si="19"/>
        <v>0</v>
      </c>
      <c r="AD14" s="148"/>
      <c r="AE14" s="137">
        <f t="shared" si="20"/>
        <v>0</v>
      </c>
      <c r="AF14" s="137">
        <f t="shared" si="21"/>
        <v>0</v>
      </c>
      <c r="AG14" s="137">
        <f t="shared" si="21"/>
        <v>0</v>
      </c>
      <c r="AH14" s="153"/>
      <c r="AI14" s="154"/>
    </row>
    <row r="15" spans="1:35" s="11" customFormat="1" x14ac:dyDescent="0.25">
      <c r="A15" s="220"/>
      <c r="B15" s="220"/>
      <c r="C15" s="224"/>
      <c r="D15" s="194"/>
      <c r="E15" s="206"/>
      <c r="F15" s="209"/>
      <c r="G15" s="131" t="s">
        <v>240</v>
      </c>
      <c r="H15" s="5"/>
      <c r="I15" s="5"/>
      <c r="J15" s="5"/>
      <c r="K15" s="5"/>
      <c r="L15" s="5"/>
      <c r="M15" s="4"/>
      <c r="N15" s="4"/>
      <c r="O15" s="4"/>
      <c r="P15" s="6"/>
      <c r="Q15" s="148"/>
      <c r="R15" s="148"/>
      <c r="S15" s="137">
        <f t="shared" si="14"/>
        <v>0</v>
      </c>
      <c r="T15" s="137">
        <f t="shared" si="15"/>
        <v>0</v>
      </c>
      <c r="U15" s="137">
        <f t="shared" si="16"/>
        <v>0</v>
      </c>
      <c r="V15" s="138"/>
      <c r="W15" s="148"/>
      <c r="X15" s="148"/>
      <c r="Y15" s="137">
        <f t="shared" si="17"/>
        <v>0</v>
      </c>
      <c r="Z15" s="148"/>
      <c r="AA15" s="137">
        <f t="shared" si="18"/>
        <v>0</v>
      </c>
      <c r="AB15" s="148"/>
      <c r="AC15" s="137">
        <f t="shared" si="19"/>
        <v>0</v>
      </c>
      <c r="AD15" s="148"/>
      <c r="AE15" s="137">
        <f t="shared" si="20"/>
        <v>0</v>
      </c>
      <c r="AF15" s="137">
        <f t="shared" si="21"/>
        <v>0</v>
      </c>
      <c r="AG15" s="137">
        <f t="shared" si="21"/>
        <v>0</v>
      </c>
      <c r="AH15" s="153"/>
      <c r="AI15" s="154"/>
    </row>
    <row r="16" spans="1:35" s="11" customFormat="1" ht="38.25" x14ac:dyDescent="0.25">
      <c r="A16" s="217">
        <v>13</v>
      </c>
      <c r="B16" s="217">
        <v>1</v>
      </c>
      <c r="C16" s="222" t="s">
        <v>38</v>
      </c>
      <c r="D16" s="194"/>
      <c r="E16" s="206"/>
      <c r="F16" s="209"/>
      <c r="G16" s="43" t="s">
        <v>173</v>
      </c>
      <c r="H16" s="5"/>
      <c r="I16" s="5"/>
      <c r="J16" s="5"/>
      <c r="K16" s="5"/>
      <c r="L16" s="5"/>
      <c r="M16" s="4" t="s">
        <v>34</v>
      </c>
      <c r="N16" s="4" t="s">
        <v>35</v>
      </c>
      <c r="O16" s="4" t="s">
        <v>41</v>
      </c>
      <c r="P16" s="6" t="s">
        <v>125</v>
      </c>
      <c r="Q16" s="148"/>
      <c r="R16" s="148">
        <f>+SUM(R17:R19)</f>
        <v>0</v>
      </c>
      <c r="S16" s="148">
        <f t="shared" ref="S16" si="22">+SUM(S17:S19)</f>
        <v>0</v>
      </c>
      <c r="T16" s="148">
        <f t="shared" ref="T16" si="23">+SUM(T17:T19)</f>
        <v>0</v>
      </c>
      <c r="U16" s="148">
        <f t="shared" ref="U16" si="24">+SUM(U17:U19)</f>
        <v>0</v>
      </c>
      <c r="V16" s="138" t="s">
        <v>125</v>
      </c>
      <c r="W16" s="139"/>
      <c r="X16" s="148">
        <f>+SUM(X17:X19)</f>
        <v>0</v>
      </c>
      <c r="Y16" s="148">
        <f t="shared" ref="Y16" si="25">+SUM(Y17:Y19)</f>
        <v>0</v>
      </c>
      <c r="Z16" s="148">
        <f t="shared" ref="Z16" si="26">+SUM(Z17:Z19)</f>
        <v>0</v>
      </c>
      <c r="AA16" s="148">
        <f t="shared" ref="AA16" si="27">+SUM(AA17:AA19)</f>
        <v>0</v>
      </c>
      <c r="AB16" s="148">
        <f t="shared" ref="AB16" si="28">+SUM(AB17:AB19)</f>
        <v>0</v>
      </c>
      <c r="AC16" s="148">
        <f t="shared" ref="AC16" si="29">+SUM(AC17:AC19)</f>
        <v>0</v>
      </c>
      <c r="AD16" s="148">
        <f t="shared" ref="AD16" si="30">+SUM(AD17:AD19)</f>
        <v>0</v>
      </c>
      <c r="AE16" s="148">
        <f t="shared" ref="AE16" si="31">+SUM(AE17:AE19)</f>
        <v>0</v>
      </c>
      <c r="AF16" s="148">
        <f t="shared" ref="AF16" si="32">+SUM(AF17:AF19)</f>
        <v>0</v>
      </c>
      <c r="AG16" s="148">
        <f t="shared" ref="AG16" si="33">+SUM(AG17:AG19)</f>
        <v>0</v>
      </c>
      <c r="AH16" s="153">
        <f t="shared" si="13"/>
        <v>0</v>
      </c>
      <c r="AI16" s="154"/>
    </row>
    <row r="17" spans="1:37" s="11" customFormat="1" x14ac:dyDescent="0.25">
      <c r="A17" s="218"/>
      <c r="B17" s="218"/>
      <c r="C17" s="223"/>
      <c r="D17" s="194"/>
      <c r="E17" s="206"/>
      <c r="F17" s="209"/>
      <c r="G17" s="131" t="s">
        <v>238</v>
      </c>
      <c r="H17" s="5"/>
      <c r="I17" s="5"/>
      <c r="J17" s="5"/>
      <c r="K17" s="5"/>
      <c r="L17" s="5"/>
      <c r="M17" s="4"/>
      <c r="N17" s="4"/>
      <c r="O17" s="4"/>
      <c r="P17" s="6"/>
      <c r="Q17" s="148"/>
      <c r="R17" s="148"/>
      <c r="S17" s="137">
        <f t="shared" ref="S17:S19" si="34">+R17*Q17</f>
        <v>0</v>
      </c>
      <c r="T17" s="137">
        <f t="shared" ref="T17:T19" si="35">+R17</f>
        <v>0</v>
      </c>
      <c r="U17" s="137">
        <f t="shared" ref="U17:U19" si="36">S17</f>
        <v>0</v>
      </c>
      <c r="V17" s="138"/>
      <c r="W17" s="148"/>
      <c r="X17" s="148"/>
      <c r="Y17" s="137">
        <f t="shared" ref="Y17:Y19" si="37">+$W17*X17</f>
        <v>0</v>
      </c>
      <c r="Z17" s="148"/>
      <c r="AA17" s="137">
        <f t="shared" ref="AA17:AA19" si="38">+$W17*Z17</f>
        <v>0</v>
      </c>
      <c r="AB17" s="148"/>
      <c r="AC17" s="137">
        <f t="shared" ref="AC17:AC19" si="39">+$W17*AB17</f>
        <v>0</v>
      </c>
      <c r="AD17" s="148"/>
      <c r="AE17" s="137">
        <f t="shared" ref="AE17:AE19" si="40">+$W17*AD17</f>
        <v>0</v>
      </c>
      <c r="AF17" s="137">
        <f t="shared" si="21"/>
        <v>0</v>
      </c>
      <c r="AG17" s="137">
        <f t="shared" si="21"/>
        <v>0</v>
      </c>
      <c r="AH17" s="153"/>
      <c r="AI17" s="154"/>
    </row>
    <row r="18" spans="1:37" s="11" customFormat="1" x14ac:dyDescent="0.25">
      <c r="A18" s="218"/>
      <c r="B18" s="218"/>
      <c r="C18" s="223"/>
      <c r="D18" s="194"/>
      <c r="E18" s="206"/>
      <c r="F18" s="209"/>
      <c r="G18" s="131" t="s">
        <v>239</v>
      </c>
      <c r="H18" s="5"/>
      <c r="I18" s="5"/>
      <c r="J18" s="5"/>
      <c r="K18" s="5"/>
      <c r="L18" s="5"/>
      <c r="M18" s="4"/>
      <c r="N18" s="4"/>
      <c r="O18" s="4"/>
      <c r="P18" s="6"/>
      <c r="Q18" s="148"/>
      <c r="R18" s="148"/>
      <c r="S18" s="137">
        <f t="shared" si="34"/>
        <v>0</v>
      </c>
      <c r="T18" s="137">
        <f t="shared" si="35"/>
        <v>0</v>
      </c>
      <c r="U18" s="137">
        <f t="shared" si="36"/>
        <v>0</v>
      </c>
      <c r="V18" s="138"/>
      <c r="W18" s="148"/>
      <c r="X18" s="148"/>
      <c r="Y18" s="137">
        <f t="shared" si="37"/>
        <v>0</v>
      </c>
      <c r="Z18" s="148"/>
      <c r="AA18" s="137">
        <f t="shared" si="38"/>
        <v>0</v>
      </c>
      <c r="AB18" s="148"/>
      <c r="AC18" s="137">
        <f t="shared" si="39"/>
        <v>0</v>
      </c>
      <c r="AD18" s="148"/>
      <c r="AE18" s="137">
        <f t="shared" si="40"/>
        <v>0</v>
      </c>
      <c r="AF18" s="137">
        <f t="shared" si="21"/>
        <v>0</v>
      </c>
      <c r="AG18" s="137">
        <f t="shared" si="21"/>
        <v>0</v>
      </c>
      <c r="AH18" s="153"/>
      <c r="AI18" s="154"/>
    </row>
    <row r="19" spans="1:37" s="11" customFormat="1" x14ac:dyDescent="0.25">
      <c r="A19" s="220"/>
      <c r="B19" s="220"/>
      <c r="C19" s="224"/>
      <c r="D19" s="194"/>
      <c r="E19" s="206"/>
      <c r="F19" s="209"/>
      <c r="G19" s="131" t="s">
        <v>240</v>
      </c>
      <c r="H19" s="5"/>
      <c r="I19" s="5"/>
      <c r="J19" s="5"/>
      <c r="K19" s="5"/>
      <c r="L19" s="5"/>
      <c r="M19" s="4"/>
      <c r="N19" s="4"/>
      <c r="O19" s="4"/>
      <c r="P19" s="6"/>
      <c r="Q19" s="148"/>
      <c r="R19" s="148"/>
      <c r="S19" s="137">
        <f t="shared" si="34"/>
        <v>0</v>
      </c>
      <c r="T19" s="137">
        <f t="shared" si="35"/>
        <v>0</v>
      </c>
      <c r="U19" s="137">
        <f t="shared" si="36"/>
        <v>0</v>
      </c>
      <c r="V19" s="138"/>
      <c r="W19" s="148"/>
      <c r="X19" s="148"/>
      <c r="Y19" s="137">
        <f t="shared" si="37"/>
        <v>0</v>
      </c>
      <c r="Z19" s="148"/>
      <c r="AA19" s="137">
        <f t="shared" si="38"/>
        <v>0</v>
      </c>
      <c r="AB19" s="148"/>
      <c r="AC19" s="137">
        <f t="shared" si="39"/>
        <v>0</v>
      </c>
      <c r="AD19" s="148"/>
      <c r="AE19" s="137">
        <f t="shared" si="40"/>
        <v>0</v>
      </c>
      <c r="AF19" s="137">
        <f t="shared" si="21"/>
        <v>0</v>
      </c>
      <c r="AG19" s="137">
        <f t="shared" si="21"/>
        <v>0</v>
      </c>
      <c r="AH19" s="153"/>
      <c r="AI19" s="154"/>
    </row>
    <row r="20" spans="1:37" s="11" customFormat="1" ht="38.25" x14ac:dyDescent="0.25">
      <c r="A20" s="60">
        <v>13</v>
      </c>
      <c r="B20" s="60">
        <v>1</v>
      </c>
      <c r="C20" s="63" t="s">
        <v>38</v>
      </c>
      <c r="D20" s="194"/>
      <c r="E20" s="206"/>
      <c r="F20" s="209"/>
      <c r="G20" s="43" t="s">
        <v>126</v>
      </c>
      <c r="H20" s="5"/>
      <c r="I20" s="5"/>
      <c r="J20" s="5"/>
      <c r="K20" s="5"/>
      <c r="L20" s="5"/>
      <c r="M20" s="4" t="s">
        <v>34</v>
      </c>
      <c r="N20" s="4" t="s">
        <v>35</v>
      </c>
      <c r="O20" s="4" t="s">
        <v>41</v>
      </c>
      <c r="P20" s="6" t="s">
        <v>127</v>
      </c>
      <c r="Q20" s="185"/>
      <c r="R20" s="185"/>
      <c r="S20" s="137">
        <f t="shared" ref="S20:S21" si="41">+R20*Q20</f>
        <v>0</v>
      </c>
      <c r="T20" s="137">
        <f t="shared" ref="T20:T21" si="42">+R20</f>
        <v>0</v>
      </c>
      <c r="U20" s="137">
        <f t="shared" ref="U20:U21" si="43">S20</f>
        <v>0</v>
      </c>
      <c r="V20" s="138" t="s">
        <v>127</v>
      </c>
      <c r="W20" s="139"/>
      <c r="X20" s="137"/>
      <c r="Y20" s="137">
        <f t="shared" ref="Y20:Y21" si="44">+W20*X20</f>
        <v>0</v>
      </c>
      <c r="Z20" s="137"/>
      <c r="AA20" s="137">
        <f t="shared" ref="AA20:AA21" si="45">+Z20*W20</f>
        <v>0</v>
      </c>
      <c r="AB20" s="137"/>
      <c r="AC20" s="137">
        <f t="shared" ref="AC20:AC21" si="46">+AB20*W20</f>
        <v>0</v>
      </c>
      <c r="AD20" s="137"/>
      <c r="AE20" s="137">
        <f t="shared" ref="AE20:AE21" si="47">+AD20*W20</f>
        <v>0</v>
      </c>
      <c r="AF20" s="137">
        <f t="shared" si="21"/>
        <v>0</v>
      </c>
      <c r="AG20" s="137">
        <f t="shared" si="21"/>
        <v>0</v>
      </c>
      <c r="AH20" s="153">
        <f t="shared" si="13"/>
        <v>0</v>
      </c>
      <c r="AI20" s="154"/>
    </row>
    <row r="21" spans="1:37" s="59" customFormat="1" ht="150.75" customHeight="1" x14ac:dyDescent="0.25">
      <c r="A21" s="60">
        <v>13</v>
      </c>
      <c r="B21" s="60">
        <v>1</v>
      </c>
      <c r="C21" s="63" t="s">
        <v>38</v>
      </c>
      <c r="D21" s="195"/>
      <c r="E21" s="207"/>
      <c r="F21" s="210"/>
      <c r="G21" s="43" t="s">
        <v>128</v>
      </c>
      <c r="H21" s="5"/>
      <c r="I21" s="5"/>
      <c r="J21" s="5"/>
      <c r="K21" s="5"/>
      <c r="L21" s="5"/>
      <c r="M21" s="4" t="s">
        <v>34</v>
      </c>
      <c r="N21" s="4" t="s">
        <v>35</v>
      </c>
      <c r="O21" s="4" t="s">
        <v>41</v>
      </c>
      <c r="P21" s="6" t="s">
        <v>129</v>
      </c>
      <c r="Q21" s="185"/>
      <c r="R21" s="185"/>
      <c r="S21" s="137">
        <f t="shared" si="41"/>
        <v>0</v>
      </c>
      <c r="T21" s="137">
        <f t="shared" si="42"/>
        <v>0</v>
      </c>
      <c r="U21" s="137">
        <f t="shared" si="43"/>
        <v>0</v>
      </c>
      <c r="V21" s="138" t="s">
        <v>129</v>
      </c>
      <c r="W21" s="139"/>
      <c r="X21" s="137"/>
      <c r="Y21" s="137">
        <f t="shared" si="44"/>
        <v>0</v>
      </c>
      <c r="Z21" s="137"/>
      <c r="AA21" s="137">
        <f t="shared" si="45"/>
        <v>0</v>
      </c>
      <c r="AB21" s="137"/>
      <c r="AC21" s="137">
        <f t="shared" si="46"/>
        <v>0</v>
      </c>
      <c r="AD21" s="137"/>
      <c r="AE21" s="137">
        <f t="shared" si="47"/>
        <v>0</v>
      </c>
      <c r="AF21" s="137">
        <f t="shared" si="21"/>
        <v>0</v>
      </c>
      <c r="AG21" s="137">
        <f t="shared" si="21"/>
        <v>0</v>
      </c>
      <c r="AH21" s="153">
        <f t="shared" si="13"/>
        <v>0</v>
      </c>
      <c r="AI21" s="154"/>
    </row>
    <row r="22" spans="1:37" s="11" customFormat="1" x14ac:dyDescent="0.2">
      <c r="A22" s="49" t="s">
        <v>57</v>
      </c>
      <c r="B22" s="25"/>
      <c r="C22" s="26"/>
      <c r="D22" s="26"/>
      <c r="E22" s="26"/>
      <c r="F22" s="26"/>
      <c r="G22" s="38"/>
      <c r="H22" s="39"/>
      <c r="I22" s="39"/>
      <c r="J22" s="39"/>
      <c r="K22" s="39"/>
      <c r="L22" s="39"/>
      <c r="M22" s="37"/>
      <c r="N22" s="37"/>
      <c r="O22" s="37"/>
      <c r="P22" s="34"/>
      <c r="Q22" s="186"/>
      <c r="R22" s="186"/>
      <c r="S22" s="164"/>
      <c r="T22" s="164"/>
      <c r="U22" s="164"/>
      <c r="V22" s="164"/>
      <c r="W22" s="172"/>
      <c r="X22" s="172"/>
      <c r="Y22" s="172"/>
      <c r="Z22" s="172"/>
      <c r="AA22" s="172"/>
      <c r="AB22" s="172"/>
      <c r="AC22" s="172"/>
      <c r="AD22" s="172"/>
      <c r="AE22" s="172"/>
      <c r="AF22" s="172"/>
      <c r="AG22" s="172"/>
      <c r="AH22" s="168">
        <f>SUM(AH23)</f>
        <v>0</v>
      </c>
      <c r="AI22" s="170">
        <v>14846698</v>
      </c>
    </row>
    <row r="23" spans="1:37" s="59" customFormat="1" ht="89.25" x14ac:dyDescent="0.25">
      <c r="A23" s="60">
        <v>8</v>
      </c>
      <c r="B23" s="60">
        <v>1</v>
      </c>
      <c r="C23" s="63" t="s">
        <v>38</v>
      </c>
      <c r="D23" s="63" t="s">
        <v>32</v>
      </c>
      <c r="E23" s="57" t="s">
        <v>122</v>
      </c>
      <c r="F23" s="57" t="s">
        <v>130</v>
      </c>
      <c r="G23" s="3"/>
      <c r="H23" s="5"/>
      <c r="I23" s="5"/>
      <c r="J23" s="5"/>
      <c r="K23" s="5"/>
      <c r="L23" s="5"/>
      <c r="M23" s="4" t="s">
        <v>34</v>
      </c>
      <c r="N23" s="4" t="s">
        <v>35</v>
      </c>
      <c r="O23" s="4" t="s">
        <v>40</v>
      </c>
      <c r="P23" s="6"/>
      <c r="Q23" s="185"/>
      <c r="R23" s="185"/>
      <c r="S23" s="137">
        <f t="shared" ref="S23" si="48">+R23*Q23</f>
        <v>0</v>
      </c>
      <c r="T23" s="137">
        <f t="shared" ref="T23" si="49">+R23</f>
        <v>0</v>
      </c>
      <c r="U23" s="137">
        <f t="shared" ref="U23" si="50">S23</f>
        <v>0</v>
      </c>
      <c r="V23" s="138"/>
      <c r="W23" s="139"/>
      <c r="X23" s="137"/>
      <c r="Y23" s="137">
        <f t="shared" ref="Y23" si="51">+W23*X23</f>
        <v>0</v>
      </c>
      <c r="Z23" s="137"/>
      <c r="AA23" s="137">
        <f t="shared" ref="AA23" si="52">+Z23*W23</f>
        <v>0</v>
      </c>
      <c r="AB23" s="137"/>
      <c r="AC23" s="137">
        <f t="shared" ref="AC23" si="53">+AB23*W23</f>
        <v>0</v>
      </c>
      <c r="AD23" s="137"/>
      <c r="AE23" s="137">
        <f t="shared" ref="AE23" si="54">+AD23*W23</f>
        <v>0</v>
      </c>
      <c r="AF23" s="137">
        <f t="shared" ref="AF23:AG23" si="55">+X23+Z23+AB23+AD23</f>
        <v>0</v>
      </c>
      <c r="AG23" s="137">
        <f t="shared" si="55"/>
        <v>0</v>
      </c>
      <c r="AH23" s="153">
        <f t="shared" ref="AH23" si="56">+U23+AG23</f>
        <v>0</v>
      </c>
      <c r="AI23" s="154"/>
    </row>
    <row r="24" spans="1:37" s="11" customFormat="1" x14ac:dyDescent="0.2">
      <c r="A24" s="49" t="s">
        <v>164</v>
      </c>
      <c r="B24" s="25"/>
      <c r="C24" s="26"/>
      <c r="D24" s="26"/>
      <c r="E24" s="26"/>
      <c r="F24" s="26"/>
      <c r="G24" s="38"/>
      <c r="H24" s="39"/>
      <c r="I24" s="39"/>
      <c r="J24" s="39"/>
      <c r="K24" s="39"/>
      <c r="L24" s="39"/>
      <c r="M24" s="37"/>
      <c r="N24" s="37"/>
      <c r="O24" s="37"/>
      <c r="P24" s="34"/>
      <c r="Q24" s="186"/>
      <c r="R24" s="186"/>
      <c r="S24" s="164"/>
      <c r="T24" s="164"/>
      <c r="U24" s="164"/>
      <c r="V24" s="164"/>
      <c r="W24" s="172"/>
      <c r="X24" s="172"/>
      <c r="Y24" s="172"/>
      <c r="Z24" s="172"/>
      <c r="AA24" s="172"/>
      <c r="AB24" s="172"/>
      <c r="AC24" s="172"/>
      <c r="AD24" s="172"/>
      <c r="AE24" s="172"/>
      <c r="AF24" s="172"/>
      <c r="AG24" s="172"/>
      <c r="AH24" s="168">
        <f>+AH4+AH11+AH22</f>
        <v>0</v>
      </c>
      <c r="AI24" s="170">
        <f>+AI4+AI11+AI22</f>
        <v>164963343</v>
      </c>
    </row>
    <row r="25" spans="1:37" x14ac:dyDescent="0.2">
      <c r="Q25" s="165"/>
      <c r="R25" s="165"/>
      <c r="S25" s="165"/>
      <c r="T25" s="165"/>
      <c r="U25" s="165"/>
      <c r="V25" s="165"/>
      <c r="W25" s="173"/>
      <c r="X25" s="173"/>
      <c r="Y25" s="173"/>
      <c r="Z25" s="173"/>
      <c r="AA25" s="174"/>
      <c r="AB25" s="173"/>
      <c r="AC25" s="173"/>
      <c r="AD25" s="173"/>
      <c r="AE25" s="173"/>
      <c r="AF25" s="173"/>
      <c r="AG25" s="173"/>
      <c r="AH25" s="173">
        <f>SUM(AH7:AH23)</f>
        <v>0</v>
      </c>
      <c r="AI25" s="171"/>
      <c r="AJ25" s="46"/>
    </row>
    <row r="26" spans="1:37" s="11" customFormat="1" x14ac:dyDescent="0.2">
      <c r="A26" s="49" t="s">
        <v>58</v>
      </c>
      <c r="B26" s="25"/>
      <c r="C26" s="26"/>
      <c r="D26" s="26"/>
      <c r="E26" s="26"/>
      <c r="F26" s="26"/>
      <c r="G26" s="26"/>
      <c r="H26" s="27"/>
      <c r="I26" s="27"/>
      <c r="J26" s="27"/>
      <c r="K26" s="27"/>
      <c r="L26" s="27"/>
      <c r="M26" s="25"/>
      <c r="N26" s="25"/>
      <c r="O26" s="25"/>
      <c r="P26" s="25"/>
      <c r="Q26" s="187"/>
      <c r="R26" s="187"/>
      <c r="S26" s="167"/>
      <c r="T26" s="167"/>
      <c r="U26" s="167"/>
      <c r="V26" s="167"/>
      <c r="W26" s="175"/>
      <c r="X26" s="175"/>
      <c r="Y26" s="175"/>
      <c r="Z26" s="175"/>
      <c r="AA26" s="175"/>
      <c r="AB26" s="175"/>
      <c r="AC26" s="175"/>
      <c r="AD26" s="175"/>
      <c r="AE26" s="175"/>
      <c r="AF26" s="175"/>
      <c r="AG26" s="175"/>
      <c r="AH26" s="168"/>
      <c r="AI26" s="170"/>
    </row>
    <row r="27" spans="1:37" s="59" customFormat="1" ht="89.25" x14ac:dyDescent="0.25">
      <c r="A27" s="60">
        <v>6</v>
      </c>
      <c r="B27" s="60">
        <v>1</v>
      </c>
      <c r="C27" s="63" t="s">
        <v>31</v>
      </c>
      <c r="D27" s="63" t="s">
        <v>32</v>
      </c>
      <c r="E27" s="57" t="s">
        <v>33</v>
      </c>
      <c r="F27" s="63" t="s">
        <v>131</v>
      </c>
      <c r="G27" s="57" t="s">
        <v>132</v>
      </c>
      <c r="H27" s="58"/>
      <c r="I27" s="58"/>
      <c r="J27" s="58"/>
      <c r="K27" s="58"/>
      <c r="L27" s="58"/>
      <c r="M27" s="33" t="s">
        <v>34</v>
      </c>
      <c r="N27" s="33" t="s">
        <v>35</v>
      </c>
      <c r="O27" s="33" t="s">
        <v>36</v>
      </c>
      <c r="P27" s="51" t="s">
        <v>37</v>
      </c>
      <c r="Q27" s="140">
        <f>15355</f>
        <v>15355</v>
      </c>
      <c r="R27" s="113">
        <v>97</v>
      </c>
      <c r="S27" s="140">
        <f>+R27*Q27</f>
        <v>1489435</v>
      </c>
      <c r="T27" s="140">
        <f t="shared" ref="T27:T32" si="57">+R27</f>
        <v>97</v>
      </c>
      <c r="U27" s="140">
        <f>S27</f>
        <v>1489435</v>
      </c>
      <c r="V27" s="150" t="s">
        <v>37</v>
      </c>
      <c r="W27" s="151">
        <f>+Q27</f>
        <v>15355</v>
      </c>
      <c r="X27" s="140">
        <v>98</v>
      </c>
      <c r="Y27" s="140">
        <f t="shared" ref="Y27:Y31" si="58">+W27*X27</f>
        <v>1504790</v>
      </c>
      <c r="Z27" s="140">
        <v>98</v>
      </c>
      <c r="AA27" s="140">
        <f t="shared" ref="AA27:AA31" si="59">+Z27*W27</f>
        <v>1504790</v>
      </c>
      <c r="AB27" s="140">
        <v>97</v>
      </c>
      <c r="AC27" s="140">
        <f t="shared" ref="AC27:AC31" si="60">+AB27*W27</f>
        <v>1489435</v>
      </c>
      <c r="AD27" s="140">
        <f>+AB27</f>
        <v>97</v>
      </c>
      <c r="AE27" s="140">
        <f t="shared" ref="AE27:AE31" si="61">+AD27*W27</f>
        <v>1489435</v>
      </c>
      <c r="AF27" s="140">
        <f>+X27+Z27+AB27+AD27</f>
        <v>390</v>
      </c>
      <c r="AG27" s="140">
        <f t="shared" ref="AF27:AG31" si="62">+Y27+AA27+AC27+AE27</f>
        <v>5988450</v>
      </c>
      <c r="AH27" s="153">
        <f>+U27+AG27</f>
        <v>7477885</v>
      </c>
      <c r="AI27" s="154"/>
      <c r="AK27" s="111"/>
    </row>
    <row r="28" spans="1:37" s="59" customFormat="1" ht="114.75" x14ac:dyDescent="0.25">
      <c r="A28" s="60">
        <v>34</v>
      </c>
      <c r="B28" s="68">
        <v>1</v>
      </c>
      <c r="C28" s="63" t="s">
        <v>42</v>
      </c>
      <c r="D28" s="63" t="s">
        <v>43</v>
      </c>
      <c r="E28" s="57" t="s">
        <v>44</v>
      </c>
      <c r="F28" s="63" t="s">
        <v>158</v>
      </c>
      <c r="G28" s="57" t="s">
        <v>133</v>
      </c>
      <c r="H28" s="33"/>
      <c r="I28" s="58"/>
      <c r="J28" s="58"/>
      <c r="K28" s="58"/>
      <c r="L28" s="58"/>
      <c r="M28" s="33" t="s">
        <v>34</v>
      </c>
      <c r="N28" s="33" t="s">
        <v>35</v>
      </c>
      <c r="O28" s="63" t="s">
        <v>45</v>
      </c>
      <c r="P28" s="51" t="s">
        <v>134</v>
      </c>
      <c r="Q28" s="140"/>
      <c r="R28" s="113"/>
      <c r="S28" s="140">
        <f>+R28*Q28</f>
        <v>0</v>
      </c>
      <c r="T28" s="140">
        <f t="shared" si="57"/>
        <v>0</v>
      </c>
      <c r="U28" s="140">
        <f t="shared" ref="U28:U31" si="63">S28</f>
        <v>0</v>
      </c>
      <c r="V28" s="150" t="s">
        <v>134</v>
      </c>
      <c r="W28" s="140">
        <f>36000*24</f>
        <v>864000</v>
      </c>
      <c r="X28" s="140">
        <v>2</v>
      </c>
      <c r="Y28" s="140">
        <f t="shared" si="58"/>
        <v>1728000</v>
      </c>
      <c r="Z28" s="140">
        <f>+X28</f>
        <v>2</v>
      </c>
      <c r="AA28" s="140">
        <f t="shared" si="59"/>
        <v>1728000</v>
      </c>
      <c r="AB28" s="140"/>
      <c r="AC28" s="140">
        <f t="shared" si="60"/>
        <v>0</v>
      </c>
      <c r="AD28" s="140">
        <f t="shared" ref="AD28:AD29" si="64">+AB28</f>
        <v>0</v>
      </c>
      <c r="AE28" s="140">
        <f t="shared" si="61"/>
        <v>0</v>
      </c>
      <c r="AF28" s="140">
        <f>+X28+Z28+AB28+AD28</f>
        <v>4</v>
      </c>
      <c r="AG28" s="140">
        <f t="shared" si="62"/>
        <v>3456000</v>
      </c>
      <c r="AH28" s="153">
        <f t="shared" ref="AH28:AH31" si="65">+U28+AG28</f>
        <v>3456000</v>
      </c>
      <c r="AI28" s="154"/>
    </row>
    <row r="29" spans="1:37" s="59" customFormat="1" ht="114.75" x14ac:dyDescent="0.25">
      <c r="A29" s="60">
        <v>35</v>
      </c>
      <c r="B29" s="68">
        <v>1</v>
      </c>
      <c r="C29" s="63" t="s">
        <v>42</v>
      </c>
      <c r="D29" s="63" t="s">
        <v>43</v>
      </c>
      <c r="E29" s="57" t="s">
        <v>44</v>
      </c>
      <c r="F29" s="63" t="s">
        <v>158</v>
      </c>
      <c r="G29" s="57" t="s">
        <v>135</v>
      </c>
      <c r="H29" s="33"/>
      <c r="I29" s="58"/>
      <c r="J29" s="58"/>
      <c r="K29" s="58"/>
      <c r="L29" s="58"/>
      <c r="M29" s="33" t="s">
        <v>34</v>
      </c>
      <c r="N29" s="33" t="s">
        <v>35</v>
      </c>
      <c r="O29" s="63" t="s">
        <v>45</v>
      </c>
      <c r="P29" s="51" t="s">
        <v>134</v>
      </c>
      <c r="Q29" s="140"/>
      <c r="R29" s="113"/>
      <c r="S29" s="140">
        <f t="shared" ref="S29:S31" si="66">+R29*Q29</f>
        <v>0</v>
      </c>
      <c r="T29" s="140">
        <f t="shared" si="57"/>
        <v>0</v>
      </c>
      <c r="U29" s="140">
        <f t="shared" si="63"/>
        <v>0</v>
      </c>
      <c r="V29" s="150" t="s">
        <v>134</v>
      </c>
      <c r="W29" s="140">
        <f>36000*12</f>
        <v>432000</v>
      </c>
      <c r="X29" s="140"/>
      <c r="Y29" s="140">
        <f t="shared" si="58"/>
        <v>0</v>
      </c>
      <c r="Z29" s="140">
        <f t="shared" ref="Z29" si="67">+X29</f>
        <v>0</v>
      </c>
      <c r="AA29" s="140">
        <f t="shared" si="59"/>
        <v>0</v>
      </c>
      <c r="AB29" s="140">
        <v>4</v>
      </c>
      <c r="AC29" s="140">
        <f t="shared" si="60"/>
        <v>1728000</v>
      </c>
      <c r="AD29" s="140">
        <f t="shared" si="64"/>
        <v>4</v>
      </c>
      <c r="AE29" s="140">
        <f t="shared" si="61"/>
        <v>1728000</v>
      </c>
      <c r="AF29" s="140">
        <f t="shared" si="62"/>
        <v>8</v>
      </c>
      <c r="AG29" s="140">
        <f t="shared" si="62"/>
        <v>3456000</v>
      </c>
      <c r="AH29" s="153">
        <f t="shared" si="65"/>
        <v>3456000</v>
      </c>
      <c r="AI29" s="154"/>
    </row>
    <row r="30" spans="1:37" s="72" customFormat="1" ht="76.5" x14ac:dyDescent="0.25">
      <c r="A30" s="60">
        <v>43</v>
      </c>
      <c r="B30" s="68">
        <v>1</v>
      </c>
      <c r="C30" s="63" t="s">
        <v>46</v>
      </c>
      <c r="D30" s="63" t="s">
        <v>47</v>
      </c>
      <c r="E30" s="57" t="s">
        <v>48</v>
      </c>
      <c r="F30" s="63" t="s">
        <v>159</v>
      </c>
      <c r="G30" s="57" t="s">
        <v>136</v>
      </c>
      <c r="H30" s="69"/>
      <c r="I30" s="69"/>
      <c r="J30" s="70"/>
      <c r="K30" s="69"/>
      <c r="L30" s="70"/>
      <c r="M30" s="33" t="s">
        <v>34</v>
      </c>
      <c r="N30" s="33" t="s">
        <v>35</v>
      </c>
      <c r="O30" s="33" t="s">
        <v>49</v>
      </c>
      <c r="P30" s="51" t="s">
        <v>137</v>
      </c>
      <c r="Q30" s="140"/>
      <c r="R30" s="113"/>
      <c r="S30" s="140">
        <f t="shared" si="66"/>
        <v>0</v>
      </c>
      <c r="T30" s="140">
        <f t="shared" si="57"/>
        <v>0</v>
      </c>
      <c r="U30" s="140">
        <f t="shared" si="63"/>
        <v>0</v>
      </c>
      <c r="V30" s="150" t="s">
        <v>137</v>
      </c>
      <c r="W30" s="151">
        <v>5000000</v>
      </c>
      <c r="X30" s="140">
        <f t="shared" ref="X30" si="68">+R30</f>
        <v>0</v>
      </c>
      <c r="Y30" s="140">
        <f t="shared" si="58"/>
        <v>0</v>
      </c>
      <c r="Z30" s="140">
        <v>0</v>
      </c>
      <c r="AA30" s="140">
        <f t="shared" si="59"/>
        <v>0</v>
      </c>
      <c r="AB30" s="140"/>
      <c r="AC30" s="140">
        <f t="shared" si="60"/>
        <v>0</v>
      </c>
      <c r="AD30" s="140">
        <v>1</v>
      </c>
      <c r="AE30" s="140">
        <f t="shared" si="61"/>
        <v>5000000</v>
      </c>
      <c r="AF30" s="140">
        <f t="shared" si="62"/>
        <v>1</v>
      </c>
      <c r="AG30" s="140">
        <f t="shared" si="62"/>
        <v>5000000</v>
      </c>
      <c r="AH30" s="153">
        <f t="shared" si="65"/>
        <v>5000000</v>
      </c>
      <c r="AI30" s="154"/>
    </row>
    <row r="31" spans="1:37" s="72" customFormat="1" ht="144" customHeight="1" x14ac:dyDescent="0.25">
      <c r="A31" s="60">
        <v>46</v>
      </c>
      <c r="B31" s="68">
        <v>1</v>
      </c>
      <c r="C31" s="33" t="s">
        <v>38</v>
      </c>
      <c r="D31" s="63" t="s">
        <v>47</v>
      </c>
      <c r="E31" s="57" t="s">
        <v>50</v>
      </c>
      <c r="F31" s="63" t="s">
        <v>138</v>
      </c>
      <c r="G31" s="57" t="s">
        <v>139</v>
      </c>
      <c r="H31" s="69"/>
      <c r="I31" s="70"/>
      <c r="J31" s="70"/>
      <c r="K31" s="70"/>
      <c r="L31" s="70"/>
      <c r="M31" s="33" t="s">
        <v>34</v>
      </c>
      <c r="N31" s="33" t="s">
        <v>35</v>
      </c>
      <c r="O31" s="33" t="s">
        <v>36</v>
      </c>
      <c r="P31" s="51" t="s">
        <v>140</v>
      </c>
      <c r="Q31" s="140"/>
      <c r="R31" s="113"/>
      <c r="S31" s="140">
        <f t="shared" si="66"/>
        <v>0</v>
      </c>
      <c r="T31" s="140">
        <f t="shared" si="57"/>
        <v>0</v>
      </c>
      <c r="U31" s="140">
        <f t="shared" si="63"/>
        <v>0</v>
      </c>
      <c r="V31" s="150" t="s">
        <v>140</v>
      </c>
      <c r="W31" s="140">
        <v>100000</v>
      </c>
      <c r="X31" s="140">
        <v>5</v>
      </c>
      <c r="Y31" s="140">
        <f t="shared" si="58"/>
        <v>500000</v>
      </c>
      <c r="Z31" s="140">
        <v>5</v>
      </c>
      <c r="AA31" s="140">
        <f t="shared" si="59"/>
        <v>500000</v>
      </c>
      <c r="AB31" s="140">
        <v>5</v>
      </c>
      <c r="AC31" s="140">
        <f t="shared" si="60"/>
        <v>500000</v>
      </c>
      <c r="AD31" s="140">
        <v>4</v>
      </c>
      <c r="AE31" s="140">
        <f t="shared" si="61"/>
        <v>400000</v>
      </c>
      <c r="AF31" s="140">
        <f t="shared" si="62"/>
        <v>19</v>
      </c>
      <c r="AG31" s="140">
        <f t="shared" si="62"/>
        <v>1900000</v>
      </c>
      <c r="AH31" s="153">
        <f t="shared" si="65"/>
        <v>1900000</v>
      </c>
      <c r="AI31" s="154"/>
    </row>
    <row r="32" spans="1:37" s="77" customFormat="1" ht="89.25" customHeight="1" x14ac:dyDescent="0.25">
      <c r="A32" s="60">
        <v>12</v>
      </c>
      <c r="B32" s="68">
        <v>1</v>
      </c>
      <c r="C32" s="63" t="s">
        <v>38</v>
      </c>
      <c r="D32" s="73" t="s">
        <v>32</v>
      </c>
      <c r="E32" s="74" t="s">
        <v>114</v>
      </c>
      <c r="F32" s="75" t="s">
        <v>160</v>
      </c>
      <c r="G32" s="75" t="s">
        <v>141</v>
      </c>
      <c r="H32" s="33"/>
      <c r="I32" s="70"/>
      <c r="J32" s="70"/>
      <c r="K32" s="70"/>
      <c r="L32" s="70"/>
      <c r="M32" s="76" t="s">
        <v>34</v>
      </c>
      <c r="N32" s="33" t="s">
        <v>35</v>
      </c>
      <c r="O32" s="76" t="s">
        <v>41</v>
      </c>
      <c r="P32" s="51" t="s">
        <v>142</v>
      </c>
      <c r="Q32" s="140">
        <f>150000*3</f>
        <v>450000</v>
      </c>
      <c r="R32" s="113">
        <v>4</v>
      </c>
      <c r="S32" s="140">
        <f>+R32*Q32</f>
        <v>1800000</v>
      </c>
      <c r="T32" s="140">
        <f t="shared" si="57"/>
        <v>4</v>
      </c>
      <c r="U32" s="140">
        <f>S32</f>
        <v>1800000</v>
      </c>
      <c r="V32" s="150" t="str">
        <f>+P32</f>
        <v>Costo Incentivo Lideres Pares</v>
      </c>
      <c r="W32" s="151">
        <f>154500*3</f>
        <v>463500</v>
      </c>
      <c r="X32" s="140">
        <v>4</v>
      </c>
      <c r="Y32" s="140">
        <f>+W32*X32</f>
        <v>1854000</v>
      </c>
      <c r="Z32" s="140">
        <v>21</v>
      </c>
      <c r="AA32" s="140">
        <f>+Z32*W32</f>
        <v>9733500</v>
      </c>
      <c r="AB32" s="140">
        <f t="shared" ref="AB32" si="69">+Z32</f>
        <v>21</v>
      </c>
      <c r="AC32" s="140">
        <f>+AB32*W32</f>
        <v>9733500</v>
      </c>
      <c r="AD32" s="140">
        <f>+AB32</f>
        <v>21</v>
      </c>
      <c r="AE32" s="140">
        <f>+AD32*W32</f>
        <v>9733500</v>
      </c>
      <c r="AF32" s="140">
        <f>+X32+Z32+AB32+AD32</f>
        <v>67</v>
      </c>
      <c r="AG32" s="140">
        <f>+Y32+AA32+AC32+AE32</f>
        <v>31054500</v>
      </c>
      <c r="AH32" s="153">
        <f>+U32+AG32</f>
        <v>32854500</v>
      </c>
      <c r="AI32" s="154"/>
    </row>
    <row r="33" spans="1:35" s="11" customFormat="1" x14ac:dyDescent="0.2">
      <c r="A33" s="49" t="s">
        <v>165</v>
      </c>
      <c r="B33" s="25"/>
      <c r="C33" s="26"/>
      <c r="D33" s="26"/>
      <c r="E33" s="26"/>
      <c r="F33" s="26"/>
      <c r="G33" s="26"/>
      <c r="H33" s="27"/>
      <c r="I33" s="27"/>
      <c r="J33" s="27"/>
      <c r="K33" s="27"/>
      <c r="L33" s="27"/>
      <c r="M33" s="25"/>
      <c r="N33" s="25"/>
      <c r="O33" s="25"/>
      <c r="P33" s="64"/>
      <c r="Q33" s="167"/>
      <c r="R33" s="167"/>
      <c r="S33" s="167"/>
      <c r="T33" s="167"/>
      <c r="U33" s="167"/>
      <c r="V33" s="167"/>
      <c r="W33" s="167"/>
      <c r="X33" s="167"/>
      <c r="Y33" s="167"/>
      <c r="Z33" s="167"/>
      <c r="AA33" s="167"/>
      <c r="AB33" s="167"/>
      <c r="AC33" s="167"/>
      <c r="AD33" s="167"/>
      <c r="AE33" s="167"/>
      <c r="AF33" s="167"/>
      <c r="AG33" s="167"/>
      <c r="AH33" s="168">
        <f>SUM(AH27:AH32)</f>
        <v>54144385</v>
      </c>
      <c r="AI33" s="170">
        <f>+AH33</f>
        <v>54144385</v>
      </c>
    </row>
    <row r="34" spans="1:35" s="11" customFormat="1" x14ac:dyDescent="0.2">
      <c r="A34" s="83" t="s">
        <v>166</v>
      </c>
      <c r="B34" s="84"/>
      <c r="C34" s="85"/>
      <c r="D34" s="85"/>
      <c r="E34" s="85"/>
      <c r="F34" s="85"/>
      <c r="G34" s="85"/>
      <c r="H34" s="86"/>
      <c r="I34" s="86"/>
      <c r="J34" s="86"/>
      <c r="K34" s="86"/>
      <c r="L34" s="86"/>
      <c r="M34" s="84"/>
      <c r="N34" s="84"/>
      <c r="O34" s="84"/>
      <c r="P34" s="87"/>
      <c r="Q34" s="179"/>
      <c r="R34" s="179"/>
      <c r="S34" s="179"/>
      <c r="T34" s="179"/>
      <c r="U34" s="179"/>
      <c r="V34" s="179"/>
      <c r="W34" s="179"/>
      <c r="X34" s="179"/>
      <c r="Y34" s="179"/>
      <c r="Z34" s="179"/>
      <c r="AA34" s="179"/>
      <c r="AB34" s="179"/>
      <c r="AC34" s="179"/>
      <c r="AD34" s="179"/>
      <c r="AE34" s="179"/>
      <c r="AF34" s="179"/>
      <c r="AG34" s="179"/>
      <c r="AH34" s="177"/>
      <c r="AI34" s="177">
        <f>+AI24+AI33</f>
        <v>219107728</v>
      </c>
    </row>
  </sheetData>
  <sheetProtection password="CB42" sheet="1" objects="1" scenarios="1" formatCells="0" formatColumns="0" formatRows="0" insertRows="0"/>
  <mergeCells count="45">
    <mergeCell ref="A16:A19"/>
    <mergeCell ref="B16:B19"/>
    <mergeCell ref="C16:C19"/>
    <mergeCell ref="A12:A15"/>
    <mergeCell ref="B12:B15"/>
    <mergeCell ref="C12:C15"/>
    <mergeCell ref="F2:F3"/>
    <mergeCell ref="A2:A3"/>
    <mergeCell ref="B2:B3"/>
    <mergeCell ref="C2:C3"/>
    <mergeCell ref="D2:D3"/>
    <mergeCell ref="E2:E3"/>
    <mergeCell ref="V2:V3"/>
    <mergeCell ref="G2:G3"/>
    <mergeCell ref="I2:L2"/>
    <mergeCell ref="M2:M3"/>
    <mergeCell ref="N2:N3"/>
    <mergeCell ref="O2:O3"/>
    <mergeCell ref="P2:P3"/>
    <mergeCell ref="Q2:Q3"/>
    <mergeCell ref="R2:R3"/>
    <mergeCell ref="S2:S3"/>
    <mergeCell ref="T2:T3"/>
    <mergeCell ref="U2:U3"/>
    <mergeCell ref="X2:X3"/>
    <mergeCell ref="Y2:Y3"/>
    <mergeCell ref="Z2:Z3"/>
    <mergeCell ref="AA2:AA3"/>
    <mergeCell ref="AB2:AB3"/>
    <mergeCell ref="D12:D21"/>
    <mergeCell ref="E12:E21"/>
    <mergeCell ref="F12:F21"/>
    <mergeCell ref="AI2:AI3"/>
    <mergeCell ref="C5:C7"/>
    <mergeCell ref="D5:D10"/>
    <mergeCell ref="E5:E10"/>
    <mergeCell ref="F5:F7"/>
    <mergeCell ref="F8:F10"/>
    <mergeCell ref="AC2:AC3"/>
    <mergeCell ref="AD2:AD3"/>
    <mergeCell ref="AE2:AE3"/>
    <mergeCell ref="AF2:AF3"/>
    <mergeCell ref="AG2:AG3"/>
    <mergeCell ref="AH2:AH3"/>
    <mergeCell ref="W2:W3"/>
  </mergeCells>
  <dataValidations disablePrompts="1" count="1">
    <dataValidation type="decimal" operator="greaterThanOrEqual" allowBlank="1" showInputMessage="1" showErrorMessage="1" sqref="W23:W24 W32:W34 W30 W27 W5:W10 W12 W16 W20:W21">
      <formula1>0</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33</vt:i4>
      </vt:variant>
    </vt:vector>
  </HeadingPairs>
  <TitlesOfParts>
    <vt:vector size="33" baseType="lpstr">
      <vt:lpstr>Instructivo</vt:lpstr>
      <vt:lpstr>Summary Ant-Choco</vt:lpstr>
      <vt:lpstr>Fase I Antio-Choco</vt:lpstr>
      <vt:lpstr>Summary Bog</vt:lpstr>
      <vt:lpstr>Fase I Bog</vt:lpstr>
      <vt:lpstr>Summary Valle del Cauca</vt:lpstr>
      <vt:lpstr>Fase I Valle del Cauca</vt:lpstr>
      <vt:lpstr>Summary Atlantico</vt:lpstr>
      <vt:lpstr>Fase I Atlantico</vt:lpstr>
      <vt:lpstr>Summary Eje Cafetero</vt:lpstr>
      <vt:lpstr>Fase I Eje Cafetero</vt:lpstr>
      <vt:lpstr>Summary MAG-Guajira</vt:lpstr>
      <vt:lpstr>Fase I MAG-Guajira</vt:lpstr>
      <vt:lpstr>Summary Sucre</vt:lpstr>
      <vt:lpstr>Fase I Sucre</vt:lpstr>
      <vt:lpstr>Summary Bolivar</vt:lpstr>
      <vt:lpstr>Fase I Bolivar</vt:lpstr>
      <vt:lpstr>Summary Santander</vt:lpstr>
      <vt:lpstr>Fase I Santander</vt:lpstr>
      <vt:lpstr>Summary Meta</vt:lpstr>
      <vt:lpstr>Fase I Meta</vt:lpstr>
      <vt:lpstr>Summary Nte Stder</vt:lpstr>
      <vt:lpstr>Fase I Nte Santander</vt:lpstr>
      <vt:lpstr>Summary Nariño</vt:lpstr>
      <vt:lpstr>Fase I Nariño</vt:lpstr>
      <vt:lpstr>Summary Cesar</vt:lpstr>
      <vt:lpstr>Fase I Cesar</vt:lpstr>
      <vt:lpstr>Summary Huila</vt:lpstr>
      <vt:lpstr>Fase I Huila</vt:lpstr>
      <vt:lpstr>Summary Cordoba</vt:lpstr>
      <vt:lpstr>Fase I Cordoba</vt:lpstr>
      <vt:lpstr>Summary Cauca</vt:lpstr>
      <vt:lpstr>Fase I Cauca</vt:lpstr>
    </vt:vector>
  </TitlesOfParts>
  <Company>Microsoft</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Julian Alberto Arias</dc:creator>
  <cp:lastModifiedBy>Julian Alberto Arias</cp:lastModifiedBy>
  <dcterms:created xsi:type="dcterms:W3CDTF">2011-10-21T21:35:34Z</dcterms:created>
  <dcterms:modified xsi:type="dcterms:W3CDTF">2011-10-27T20:58:56Z</dcterms:modified>
</cp:coreProperties>
</file>