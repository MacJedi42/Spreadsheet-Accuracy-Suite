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75" yWindow="90" windowWidth="19320" windowHeight="10920"/>
  </bookViews>
  <sheets>
    <sheet name="DENR Fiscal Note Table" sheetId="7" r:id="rId1"/>
  </sheets>
  <calcPr calcId="125725"/>
</workbook>
</file>

<file path=xl/calcChain.xml><?xml version="1.0" encoding="utf-8"?>
<calcChain xmlns="http://schemas.openxmlformats.org/spreadsheetml/2006/main">
  <c r="D53" i="7"/>
  <c r="D60"/>
  <c r="E60"/>
  <c r="F60"/>
  <c r="G60"/>
  <c r="H60"/>
  <c r="I60"/>
  <c r="J60"/>
  <c r="K60"/>
  <c r="L60"/>
  <c r="M60"/>
  <c r="N60"/>
  <c r="O60"/>
  <c r="P60"/>
  <c r="Q60"/>
  <c r="R60"/>
  <c r="S60"/>
  <c r="T60"/>
  <c r="U60"/>
  <c r="V60"/>
  <c r="W60"/>
  <c r="C60"/>
  <c r="C32"/>
  <c r="C61"/>
  <c r="D50"/>
  <c r="E50"/>
  <c r="F50"/>
  <c r="G50"/>
  <c r="H50"/>
  <c r="I50"/>
  <c r="J50"/>
  <c r="K50"/>
  <c r="L50"/>
  <c r="M50"/>
  <c r="N50"/>
  <c r="O50"/>
  <c r="P50"/>
  <c r="Q50"/>
  <c r="R50"/>
  <c r="S50"/>
  <c r="T50"/>
  <c r="U50"/>
  <c r="V50"/>
  <c r="W50"/>
  <c r="D51"/>
  <c r="E51"/>
  <c r="F51"/>
  <c r="G51"/>
  <c r="H51"/>
  <c r="I51"/>
  <c r="J51"/>
  <c r="K51"/>
  <c r="L51"/>
  <c r="M51"/>
  <c r="N51"/>
  <c r="O51"/>
  <c r="P51"/>
  <c r="Q51"/>
  <c r="R51"/>
  <c r="S51"/>
  <c r="T51"/>
  <c r="U51"/>
  <c r="V51"/>
  <c r="W51"/>
  <c r="D52"/>
  <c r="E52"/>
  <c r="F52"/>
  <c r="G52"/>
  <c r="H52"/>
  <c r="I52"/>
  <c r="J52"/>
  <c r="K52"/>
  <c r="L52"/>
  <c r="M52"/>
  <c r="N52"/>
  <c r="O52"/>
  <c r="P52"/>
  <c r="Q52"/>
  <c r="R52"/>
  <c r="S52"/>
  <c r="T52"/>
  <c r="U52"/>
  <c r="V52"/>
  <c r="W52"/>
  <c r="E53"/>
  <c r="F53"/>
  <c r="G53"/>
  <c r="H53"/>
  <c r="I53"/>
  <c r="J53"/>
  <c r="K53"/>
  <c r="L53"/>
  <c r="M53"/>
  <c r="N53"/>
  <c r="O53"/>
  <c r="P53"/>
  <c r="Q53"/>
  <c r="R53"/>
  <c r="S53"/>
  <c r="T53"/>
  <c r="U53"/>
  <c r="V53"/>
  <c r="W53"/>
  <c r="D54"/>
  <c r="E54"/>
  <c r="F54"/>
  <c r="G54"/>
  <c r="H54"/>
  <c r="I54"/>
  <c r="J54"/>
  <c r="K54"/>
  <c r="L54"/>
  <c r="M54"/>
  <c r="N54"/>
  <c r="O54"/>
  <c r="P54"/>
  <c r="Q54"/>
  <c r="R54"/>
  <c r="S54"/>
  <c r="T54"/>
  <c r="U54"/>
  <c r="V54"/>
  <c r="W54"/>
  <c r="D55"/>
  <c r="E55"/>
  <c r="F55"/>
  <c r="G55"/>
  <c r="H55"/>
  <c r="I55"/>
  <c r="J55"/>
  <c r="K55"/>
  <c r="L55"/>
  <c r="M55"/>
  <c r="N55"/>
  <c r="O55"/>
  <c r="P55"/>
  <c r="Q55"/>
  <c r="R55"/>
  <c r="S55"/>
  <c r="T55"/>
  <c r="U55"/>
  <c r="V55"/>
  <c r="W55"/>
  <c r="D56"/>
  <c r="E56"/>
  <c r="F56"/>
  <c r="G56"/>
  <c r="H56"/>
  <c r="I56"/>
  <c r="J56"/>
  <c r="K56"/>
  <c r="L56"/>
  <c r="M56"/>
  <c r="N56"/>
  <c r="O56"/>
  <c r="P56"/>
  <c r="Q56"/>
  <c r="R56"/>
  <c r="S56"/>
  <c r="T56"/>
  <c r="U56"/>
  <c r="V56"/>
  <c r="W56"/>
  <c r="D57"/>
  <c r="E57"/>
  <c r="F57"/>
  <c r="G57"/>
  <c r="H57"/>
  <c r="I57"/>
  <c r="J57"/>
  <c r="K57"/>
  <c r="L57"/>
  <c r="M57"/>
  <c r="N57"/>
  <c r="O57"/>
  <c r="P57"/>
  <c r="Q57"/>
  <c r="R57"/>
  <c r="S57"/>
  <c r="T57"/>
  <c r="U57"/>
  <c r="V57"/>
  <c r="W57"/>
  <c r="C51"/>
  <c r="C52"/>
  <c r="C53"/>
  <c r="C54"/>
  <c r="C55"/>
  <c r="C56"/>
  <c r="C57"/>
  <c r="C50"/>
  <c r="D46"/>
  <c r="E46"/>
  <c r="F46"/>
  <c r="G46"/>
  <c r="H46"/>
  <c r="I46"/>
  <c r="J46"/>
  <c r="K46"/>
  <c r="L46"/>
  <c r="M46"/>
  <c r="N46"/>
  <c r="O46"/>
  <c r="P46"/>
  <c r="Q46"/>
  <c r="R46"/>
  <c r="S46"/>
  <c r="T46"/>
  <c r="U46"/>
  <c r="V46"/>
  <c r="W46"/>
  <c r="D45"/>
  <c r="E45"/>
  <c r="F45"/>
  <c r="G45"/>
  <c r="H45"/>
  <c r="I45"/>
  <c r="J45"/>
  <c r="K45"/>
  <c r="L45"/>
  <c r="M45"/>
  <c r="N45"/>
  <c r="O45"/>
  <c r="P45"/>
  <c r="Q45"/>
  <c r="R45"/>
  <c r="S45"/>
  <c r="T45"/>
  <c r="U45"/>
  <c r="V45"/>
  <c r="W45"/>
  <c r="D44"/>
  <c r="E44"/>
  <c r="F44"/>
  <c r="G44"/>
  <c r="H44"/>
  <c r="I44"/>
  <c r="J44"/>
  <c r="K44"/>
  <c r="L44"/>
  <c r="M44"/>
  <c r="N44"/>
  <c r="O44"/>
  <c r="P44"/>
  <c r="Q44"/>
  <c r="R44"/>
  <c r="S44"/>
  <c r="T44"/>
  <c r="U44"/>
  <c r="V44"/>
  <c r="W44"/>
  <c r="D43"/>
  <c r="E43"/>
  <c r="F43"/>
  <c r="G43"/>
  <c r="H43"/>
  <c r="I43"/>
  <c r="J43"/>
  <c r="K43"/>
  <c r="L43"/>
  <c r="M43"/>
  <c r="N43"/>
  <c r="O43"/>
  <c r="P43"/>
  <c r="Q43"/>
  <c r="R43"/>
  <c r="S43"/>
  <c r="T43"/>
  <c r="U43"/>
  <c r="V43"/>
  <c r="W43"/>
  <c r="D42"/>
  <c r="E42"/>
  <c r="F42"/>
  <c r="G42"/>
  <c r="H42"/>
  <c r="I42"/>
  <c r="J42"/>
  <c r="K42"/>
  <c r="L42"/>
  <c r="M42"/>
  <c r="N42"/>
  <c r="O42"/>
  <c r="P42"/>
  <c r="Q42"/>
  <c r="R42"/>
  <c r="S42"/>
  <c r="T42"/>
  <c r="U42"/>
  <c r="V42"/>
  <c r="W42"/>
  <c r="D41"/>
  <c r="E41"/>
  <c r="F41"/>
  <c r="G41"/>
  <c r="H41"/>
  <c r="I41"/>
  <c r="J41"/>
  <c r="K41"/>
  <c r="L41"/>
  <c r="M41"/>
  <c r="N41"/>
  <c r="O41"/>
  <c r="P41"/>
  <c r="Q41"/>
  <c r="R41"/>
  <c r="S41"/>
  <c r="T41"/>
  <c r="U41"/>
  <c r="V41"/>
  <c r="W41"/>
  <c r="D40"/>
  <c r="E40"/>
  <c r="F40"/>
  <c r="G40"/>
  <c r="H40"/>
  <c r="I40"/>
  <c r="J40"/>
  <c r="K40"/>
  <c r="L40"/>
  <c r="M40"/>
  <c r="N40"/>
  <c r="O40"/>
  <c r="P40"/>
  <c r="Q40"/>
  <c r="R40"/>
  <c r="S40"/>
  <c r="T40"/>
  <c r="U40"/>
  <c r="V40"/>
  <c r="W40"/>
  <c r="C40"/>
  <c r="C41"/>
  <c r="C42"/>
  <c r="C43"/>
  <c r="C44"/>
  <c r="C45"/>
  <c r="C46"/>
  <c r="D39"/>
  <c r="D47" s="1"/>
  <c r="E39"/>
  <c r="F39"/>
  <c r="G39"/>
  <c r="H39"/>
  <c r="I39"/>
  <c r="J39"/>
  <c r="K39"/>
  <c r="L39"/>
  <c r="M39"/>
  <c r="N39"/>
  <c r="O39"/>
  <c r="P39"/>
  <c r="Q39"/>
  <c r="R39"/>
  <c r="S39"/>
  <c r="T39"/>
  <c r="U39"/>
  <c r="V39"/>
  <c r="W39"/>
  <c r="C39"/>
  <c r="W58"/>
  <c r="V58"/>
  <c r="U58"/>
  <c r="T58"/>
  <c r="S58"/>
  <c r="R58"/>
  <c r="Q58"/>
  <c r="P58"/>
  <c r="O58"/>
  <c r="N58"/>
  <c r="M58"/>
  <c r="L58"/>
  <c r="K58"/>
  <c r="J58"/>
  <c r="I58"/>
  <c r="H58"/>
  <c r="G58"/>
  <c r="F58"/>
  <c r="E58"/>
  <c r="D58"/>
  <c r="C58"/>
  <c r="V47"/>
  <c r="U47"/>
  <c r="T47"/>
  <c r="R47"/>
  <c r="Q47"/>
  <c r="P47"/>
  <c r="N47"/>
  <c r="M47"/>
  <c r="L47"/>
  <c r="J47"/>
  <c r="I47"/>
  <c r="H47"/>
  <c r="F47"/>
  <c r="E47"/>
  <c r="C47"/>
  <c r="E7"/>
  <c r="F7" s="1"/>
  <c r="G7" s="1"/>
  <c r="H7" s="1"/>
  <c r="I7" s="1"/>
  <c r="J7" s="1"/>
  <c r="K7" s="1"/>
  <c r="L7" s="1"/>
  <c r="M7" s="1"/>
  <c r="N7" s="1"/>
  <c r="O7" s="1"/>
  <c r="P7" s="1"/>
  <c r="Q7" s="1"/>
  <c r="R7" s="1"/>
  <c r="S7" s="1"/>
  <c r="T7" s="1"/>
  <c r="U7" s="1"/>
  <c r="V7" s="1"/>
  <c r="W7" s="1"/>
  <c r="W28"/>
  <c r="V28"/>
  <c r="U28"/>
  <c r="T28"/>
  <c r="S28"/>
  <c r="R28"/>
  <c r="Q28"/>
  <c r="P28"/>
  <c r="O28"/>
  <c r="N28"/>
  <c r="M28"/>
  <c r="L28"/>
  <c r="K28"/>
  <c r="J28"/>
  <c r="I28"/>
  <c r="H28"/>
  <c r="G28"/>
  <c r="F28"/>
  <c r="E28"/>
  <c r="D28"/>
  <c r="C28"/>
  <c r="W17"/>
  <c r="V17"/>
  <c r="U17"/>
  <c r="T17"/>
  <c r="S17"/>
  <c r="R17"/>
  <c r="Q17"/>
  <c r="P17"/>
  <c r="O17"/>
  <c r="N17"/>
  <c r="M17"/>
  <c r="L17"/>
  <c r="K17"/>
  <c r="J17"/>
  <c r="I17"/>
  <c r="H17"/>
  <c r="G17"/>
  <c r="F17"/>
  <c r="E17"/>
  <c r="D17"/>
  <c r="C17"/>
  <c r="D30" l="1"/>
  <c r="H30"/>
  <c r="L30"/>
  <c r="P30"/>
  <c r="T30"/>
  <c r="C30"/>
  <c r="G30"/>
  <c r="K30"/>
  <c r="O30"/>
  <c r="S30"/>
  <c r="W30"/>
  <c r="F30"/>
  <c r="J30"/>
  <c r="N30"/>
  <c r="R30"/>
  <c r="V30"/>
  <c r="E30"/>
  <c r="I30"/>
  <c r="M30"/>
  <c r="Q30"/>
  <c r="U30"/>
  <c r="H31"/>
  <c r="L31"/>
  <c r="P31"/>
  <c r="T31"/>
  <c r="C31"/>
  <c r="G31"/>
  <c r="K31"/>
  <c r="O31"/>
  <c r="S31"/>
  <c r="W31"/>
  <c r="F31"/>
  <c r="J31"/>
  <c r="N31"/>
  <c r="R31"/>
  <c r="V31"/>
  <c r="I31"/>
  <c r="M31"/>
  <c r="Q31"/>
  <c r="U31"/>
  <c r="W47"/>
  <c r="S47"/>
  <c r="O47"/>
  <c r="K47"/>
  <c r="G47"/>
  <c r="E31"/>
  <c r="D31"/>
</calcChain>
</file>

<file path=xl/sharedStrings.xml><?xml version="1.0" encoding="utf-8"?>
<sst xmlns="http://schemas.openxmlformats.org/spreadsheetml/2006/main" count="94" uniqueCount="50">
  <si>
    <t>2025-26</t>
  </si>
  <si>
    <t>2026-27</t>
  </si>
  <si>
    <t>2027-28</t>
  </si>
  <si>
    <t>2028-29</t>
  </si>
  <si>
    <t>2029-30</t>
  </si>
  <si>
    <t>2030-31</t>
  </si>
  <si>
    <t>2031-32</t>
  </si>
  <si>
    <t>2011-12</t>
  </si>
  <si>
    <t>2012-13</t>
  </si>
  <si>
    <t>2013-14</t>
  </si>
  <si>
    <t xml:space="preserve">Costs </t>
  </si>
  <si>
    <t xml:space="preserve">Benefits </t>
  </si>
  <si>
    <t>Fiscal Year</t>
  </si>
  <si>
    <t>Total Costs</t>
  </si>
  <si>
    <t>Total Benefits</t>
  </si>
  <si>
    <t>2014-15</t>
  </si>
  <si>
    <t>2015-16</t>
  </si>
  <si>
    <t>2016-17</t>
  </si>
  <si>
    <t>2017-18</t>
  </si>
  <si>
    <t>2018-19</t>
  </si>
  <si>
    <t>2019-20</t>
  </si>
  <si>
    <t>2020-21</t>
  </si>
  <si>
    <t>2021-22</t>
  </si>
  <si>
    <t>2022-23</t>
  </si>
  <si>
    <t>2023-24</t>
  </si>
  <si>
    <t>2024-25</t>
  </si>
  <si>
    <t>Year Number</t>
  </si>
  <si>
    <t>Cost1</t>
  </si>
  <si>
    <t>Cost2</t>
  </si>
  <si>
    <t>Cost3</t>
  </si>
  <si>
    <t>Cost4</t>
  </si>
  <si>
    <t>Cost5</t>
  </si>
  <si>
    <t>Cost6</t>
  </si>
  <si>
    <t>Cost7</t>
  </si>
  <si>
    <t>Cost8</t>
  </si>
  <si>
    <t xml:space="preserve">Benefit1 </t>
  </si>
  <si>
    <t>Benefit2</t>
  </si>
  <si>
    <t>Benefit3</t>
  </si>
  <si>
    <t>Benefit4</t>
  </si>
  <si>
    <t>Benefit5</t>
  </si>
  <si>
    <t xml:space="preserve">Benefit6 </t>
  </si>
  <si>
    <t>Benefit7</t>
  </si>
  <si>
    <t>Benefit8</t>
  </si>
  <si>
    <t>Inflation</t>
  </si>
  <si>
    <t>Discount Rate</t>
  </si>
  <si>
    <t>Net Present Value</t>
  </si>
  <si>
    <t>Net Present Value by Year</t>
  </si>
  <si>
    <t>Total Impact (benefits+costs)</t>
  </si>
  <si>
    <t>Net Impact (benefits-costs)</t>
  </si>
  <si>
    <t>This worksheet calculates the costs and benefits for proposed rule changes. Enter values in the first table, using one line for each affected entity - federal government, state government, local governments, DOT, private citizens etc. Write the name of the entity in the Cost1, Cost2 etc boxes. Each entity should have a line in both the cost and benefits section.                                                                                                                                                                                                                                                                                                                                                                                                                                                                                                                                                                                                                                                                                                                                                                                                               You may or may not choose to use an inflation factor. Usually we would use inflation if we are examining a long period of time or if we expect the prices in our model to increase at a rate faster (or lower) than the general economy.  If you choose to use inflation, make sure to multiply each value in the cost and benefit fields by the inflation rate in the corresponding column. For example the value for  cost1 in year 2015-16 should be multiplied by 0.08 (G5) The default inflation rate is 2 percent.  The second table takes the values from the previous one and adjusts them with a 7 percent discount rate. This is done to reflect peoples' time preference to have money today versus in the future.                                                                                                                                                                                                                                You may select how many years of analysis are sufficient to accurately represent the impacts of the rule change. Usually people consider 5-7 years or more if the rule has long term impacts or is significant. Label your final tables with a descriptive title such as "Net Cost and Benefits of Proposed Rule X by Affected Party" and center it above your analysis.                                                                                                                                                                                                                                                                                   This worksheet is not locked so you may make changes for your particular rule. If you have questions, please call Sara at 919-715-4871.</t>
  </si>
</sst>
</file>

<file path=xl/styles.xml><?xml version="1.0" encoding="utf-8"?>
<styleSheet xmlns="http://schemas.openxmlformats.org/spreadsheetml/2006/main">
  <numFmts count="2">
    <numFmt numFmtId="44" formatCode="_(&quot;$&quot;* #,##0.00_);_(&quot;$&quot;* \(#,##0.00\);_(&quot;$&quot;* &quot;-&quot;??_);_(@_)"/>
    <numFmt numFmtId="181" formatCode="&quot;$&quot;#,##0.00"/>
  </numFmts>
  <fonts count="4">
    <font>
      <sz val="11"/>
      <color theme="1"/>
      <name val="Calibri"/>
      <family val="2"/>
      <scheme val="minor"/>
    </font>
    <font>
      <sz val="11"/>
      <color indexed="8"/>
      <name val="Calibri"/>
      <family val="2"/>
    </font>
    <font>
      <b/>
      <sz val="11"/>
      <color indexed="8"/>
      <name val="Calibri"/>
      <family val="2"/>
    </font>
    <font>
      <b/>
      <i/>
      <sz val="11"/>
      <color indexed="8"/>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0" borderId="1" xfId="0" applyFont="1" applyBorder="1"/>
    <xf numFmtId="0" fontId="0" fillId="0" borderId="1" xfId="0" applyBorder="1"/>
    <xf numFmtId="0" fontId="3" fillId="0" borderId="1" xfId="0" applyFont="1" applyBorder="1"/>
    <xf numFmtId="3" fontId="0" fillId="0" borderId="1" xfId="0" applyNumberFormat="1" applyBorder="1"/>
    <xf numFmtId="3" fontId="3" fillId="0" borderId="1" xfId="1" applyNumberFormat="1" applyFont="1" applyBorder="1"/>
    <xf numFmtId="0" fontId="2" fillId="0" borderId="0" xfId="0" applyFont="1" applyBorder="1"/>
    <xf numFmtId="3" fontId="2" fillId="0" borderId="0" xfId="0" applyNumberFormat="1" applyFont="1" applyBorder="1"/>
    <xf numFmtId="181" fontId="0" fillId="0" borderId="1" xfId="0" applyNumberFormat="1" applyBorder="1"/>
    <xf numFmtId="181" fontId="3" fillId="0" borderId="1" xfId="1" applyNumberFormat="1" applyFont="1" applyBorder="1"/>
    <xf numFmtId="181" fontId="2" fillId="0" borderId="1" xfId="0" applyNumberFormat="1" applyFont="1" applyBorder="1"/>
    <xf numFmtId="181" fontId="3" fillId="0" borderId="1" xfId="0" applyNumberFormat="1" applyFont="1" applyBorder="1"/>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W61"/>
  <sheetViews>
    <sheetView tabSelected="1" topLeftCell="A17" zoomScaleNormal="100" workbookViewId="0">
      <selection activeCell="A48" sqref="A48"/>
    </sheetView>
  </sheetViews>
  <sheetFormatPr defaultRowHeight="15"/>
  <cols>
    <col min="2" max="2" width="35.28515625" customWidth="1"/>
    <col min="3" max="3" width="9.28515625" bestFit="1" customWidth="1"/>
    <col min="13" max="13" width="9.140625" customWidth="1"/>
  </cols>
  <sheetData>
    <row r="1" spans="1:23" ht="182.25" customHeight="1">
      <c r="A1" s="12" t="s">
        <v>49</v>
      </c>
      <c r="B1" s="12"/>
      <c r="C1" s="12"/>
      <c r="D1" s="12"/>
      <c r="E1" s="12"/>
      <c r="F1" s="12"/>
      <c r="G1" s="12"/>
      <c r="H1" s="12"/>
      <c r="I1" s="12"/>
      <c r="J1" s="12"/>
      <c r="K1" s="12"/>
      <c r="L1" s="12"/>
      <c r="M1" s="12"/>
    </row>
    <row r="3" spans="1:23" ht="25.5" customHeight="1"/>
    <row r="4" spans="1:23" ht="30.75" customHeight="1"/>
    <row r="5" spans="1:23">
      <c r="B5" s="1" t="s">
        <v>12</v>
      </c>
      <c r="C5" s="1" t="s">
        <v>7</v>
      </c>
      <c r="D5" s="1" t="s">
        <v>8</v>
      </c>
      <c r="E5" s="1" t="s">
        <v>9</v>
      </c>
      <c r="F5" s="1" t="s">
        <v>15</v>
      </c>
      <c r="G5" s="1" t="s">
        <v>16</v>
      </c>
      <c r="H5" s="1" t="s">
        <v>17</v>
      </c>
      <c r="I5" s="1" t="s">
        <v>18</v>
      </c>
      <c r="J5" s="1" t="s">
        <v>19</v>
      </c>
      <c r="K5" s="1" t="s">
        <v>20</v>
      </c>
      <c r="L5" s="1" t="s">
        <v>21</v>
      </c>
      <c r="M5" s="1" t="s">
        <v>22</v>
      </c>
      <c r="N5" s="1" t="s">
        <v>23</v>
      </c>
      <c r="O5" s="1" t="s">
        <v>24</v>
      </c>
      <c r="P5" s="1" t="s">
        <v>25</v>
      </c>
      <c r="Q5" s="1" t="s">
        <v>0</v>
      </c>
      <c r="R5" s="1" t="s">
        <v>1</v>
      </c>
      <c r="S5" s="1" t="s">
        <v>2</v>
      </c>
      <c r="T5" s="1" t="s">
        <v>3</v>
      </c>
      <c r="U5" s="1" t="s">
        <v>4</v>
      </c>
      <c r="V5" s="1" t="s">
        <v>5</v>
      </c>
      <c r="W5" s="1" t="s">
        <v>6</v>
      </c>
    </row>
    <row r="6" spans="1:23">
      <c r="B6" s="1" t="s">
        <v>26</v>
      </c>
      <c r="C6" s="1">
        <v>0</v>
      </c>
      <c r="D6" s="1">
        <v>1</v>
      </c>
      <c r="E6" s="1">
        <v>2</v>
      </c>
      <c r="F6" s="1">
        <v>3</v>
      </c>
      <c r="G6" s="1">
        <v>4</v>
      </c>
      <c r="H6" s="1">
        <v>5</v>
      </c>
      <c r="I6" s="1">
        <v>6</v>
      </c>
      <c r="J6" s="1">
        <v>7</v>
      </c>
      <c r="K6" s="1">
        <v>8</v>
      </c>
      <c r="L6" s="1">
        <v>9</v>
      </c>
      <c r="M6" s="1">
        <v>10</v>
      </c>
      <c r="N6" s="1">
        <v>11</v>
      </c>
      <c r="O6" s="1">
        <v>12</v>
      </c>
      <c r="P6" s="1">
        <v>13</v>
      </c>
      <c r="Q6" s="1">
        <v>14</v>
      </c>
      <c r="R6" s="1">
        <v>15</v>
      </c>
      <c r="S6" s="1">
        <v>16</v>
      </c>
      <c r="T6" s="1">
        <v>17</v>
      </c>
      <c r="U6" s="1">
        <v>18</v>
      </c>
      <c r="V6" s="1">
        <v>19</v>
      </c>
      <c r="W6" s="1">
        <v>20</v>
      </c>
    </row>
    <row r="7" spans="1:23">
      <c r="B7" s="1" t="s">
        <v>43</v>
      </c>
      <c r="C7" s="1"/>
      <c r="D7" s="1">
        <v>0.02</v>
      </c>
      <c r="E7" s="1">
        <f>D7+0.02</f>
        <v>0.04</v>
      </c>
      <c r="F7" s="1">
        <f t="shared" ref="F7:W7" si="0">E7+0.02</f>
        <v>0.06</v>
      </c>
      <c r="G7" s="1">
        <f t="shared" si="0"/>
        <v>0.08</v>
      </c>
      <c r="H7" s="1">
        <f t="shared" si="0"/>
        <v>0.1</v>
      </c>
      <c r="I7" s="1">
        <f t="shared" si="0"/>
        <v>0.12000000000000001</v>
      </c>
      <c r="J7" s="1">
        <f t="shared" si="0"/>
        <v>0.14000000000000001</v>
      </c>
      <c r="K7" s="1">
        <f t="shared" si="0"/>
        <v>0.16</v>
      </c>
      <c r="L7" s="1">
        <f t="shared" si="0"/>
        <v>0.18</v>
      </c>
      <c r="M7" s="1">
        <f t="shared" si="0"/>
        <v>0.19999999999999998</v>
      </c>
      <c r="N7" s="1">
        <f t="shared" si="0"/>
        <v>0.21999999999999997</v>
      </c>
      <c r="O7" s="1">
        <f t="shared" si="0"/>
        <v>0.23999999999999996</v>
      </c>
      <c r="P7" s="1">
        <f t="shared" si="0"/>
        <v>0.25999999999999995</v>
      </c>
      <c r="Q7" s="1">
        <f t="shared" si="0"/>
        <v>0.27999999999999997</v>
      </c>
      <c r="R7" s="1">
        <f t="shared" si="0"/>
        <v>0.3</v>
      </c>
      <c r="S7" s="1">
        <f t="shared" si="0"/>
        <v>0.32</v>
      </c>
      <c r="T7" s="1">
        <f t="shared" si="0"/>
        <v>0.34</v>
      </c>
      <c r="U7" s="1">
        <f t="shared" si="0"/>
        <v>0.36000000000000004</v>
      </c>
      <c r="V7" s="1">
        <f t="shared" si="0"/>
        <v>0.38000000000000006</v>
      </c>
      <c r="W7" s="1">
        <f t="shared" si="0"/>
        <v>0.40000000000000008</v>
      </c>
    </row>
    <row r="8" spans="1:23">
      <c r="B8" s="3" t="s">
        <v>10</v>
      </c>
      <c r="C8" s="8"/>
      <c r="D8" s="2"/>
      <c r="E8" s="2"/>
      <c r="F8" s="2"/>
      <c r="G8" s="2"/>
      <c r="H8" s="2"/>
      <c r="I8" s="2"/>
      <c r="J8" s="2"/>
      <c r="K8" s="2"/>
      <c r="L8" s="2"/>
      <c r="M8" s="2"/>
      <c r="N8" s="2"/>
      <c r="O8" s="2"/>
      <c r="P8" s="2"/>
      <c r="Q8" s="2"/>
      <c r="R8" s="2"/>
      <c r="S8" s="2"/>
      <c r="T8" s="2"/>
      <c r="U8" s="2"/>
      <c r="V8" s="2"/>
      <c r="W8" s="2"/>
    </row>
    <row r="9" spans="1:23">
      <c r="B9" s="2" t="s">
        <v>27</v>
      </c>
      <c r="C9" s="8"/>
      <c r="D9" s="8">
        <v>1</v>
      </c>
      <c r="E9" s="8">
        <v>1</v>
      </c>
      <c r="F9" s="8">
        <v>1</v>
      </c>
      <c r="G9" s="8">
        <v>1</v>
      </c>
      <c r="H9" s="8">
        <v>1</v>
      </c>
      <c r="I9" s="8">
        <v>1</v>
      </c>
      <c r="J9" s="8">
        <v>1</v>
      </c>
      <c r="K9" s="8">
        <v>1</v>
      </c>
      <c r="L9" s="8">
        <v>1</v>
      </c>
      <c r="M9" s="8">
        <v>1</v>
      </c>
      <c r="N9" s="8">
        <v>1</v>
      </c>
      <c r="O9" s="8">
        <v>1</v>
      </c>
      <c r="P9" s="8">
        <v>1</v>
      </c>
      <c r="Q9" s="8">
        <v>1</v>
      </c>
      <c r="R9" s="8">
        <v>1</v>
      </c>
      <c r="S9" s="8">
        <v>1</v>
      </c>
      <c r="T9" s="8">
        <v>1</v>
      </c>
      <c r="U9" s="8">
        <v>1</v>
      </c>
      <c r="V9" s="8">
        <v>1</v>
      </c>
      <c r="W9" s="8">
        <v>1</v>
      </c>
    </row>
    <row r="10" spans="1:23">
      <c r="B10" s="2" t="s">
        <v>28</v>
      </c>
      <c r="C10" s="8"/>
      <c r="D10" s="8"/>
      <c r="E10" s="8"/>
      <c r="F10" s="8"/>
      <c r="G10" s="8"/>
      <c r="H10" s="8"/>
      <c r="I10" s="8"/>
      <c r="J10" s="8"/>
      <c r="K10" s="8"/>
      <c r="L10" s="8"/>
      <c r="M10" s="8"/>
      <c r="N10" s="8"/>
      <c r="O10" s="8"/>
      <c r="P10" s="8"/>
      <c r="Q10" s="8"/>
      <c r="R10" s="8"/>
      <c r="S10" s="8"/>
      <c r="T10" s="8"/>
      <c r="U10" s="8"/>
      <c r="V10" s="8"/>
      <c r="W10" s="8"/>
    </row>
    <row r="11" spans="1:23">
      <c r="B11" s="2" t="s">
        <v>29</v>
      </c>
      <c r="C11" s="8"/>
      <c r="D11" s="8"/>
      <c r="E11" s="8"/>
      <c r="F11" s="8"/>
      <c r="G11" s="8"/>
      <c r="H11" s="8"/>
      <c r="I11" s="8"/>
      <c r="J11" s="8"/>
      <c r="K11" s="8"/>
      <c r="L11" s="8"/>
      <c r="M11" s="8"/>
      <c r="N11" s="8"/>
      <c r="O11" s="8"/>
      <c r="P11" s="8"/>
      <c r="Q11" s="8"/>
      <c r="R11" s="8"/>
      <c r="S11" s="8"/>
      <c r="T11" s="8"/>
      <c r="U11" s="8"/>
      <c r="V11" s="8"/>
      <c r="W11" s="8"/>
    </row>
    <row r="12" spans="1:23">
      <c r="B12" s="2" t="s">
        <v>30</v>
      </c>
      <c r="C12" s="8"/>
      <c r="D12" s="8"/>
      <c r="E12" s="8"/>
      <c r="F12" s="8"/>
      <c r="G12" s="8"/>
      <c r="H12" s="8"/>
      <c r="I12" s="8"/>
      <c r="J12" s="8"/>
      <c r="K12" s="8"/>
      <c r="L12" s="8"/>
      <c r="M12" s="8"/>
      <c r="N12" s="8"/>
      <c r="O12" s="8"/>
      <c r="P12" s="8"/>
      <c r="Q12" s="8"/>
      <c r="R12" s="8"/>
      <c r="S12" s="8"/>
      <c r="T12" s="8"/>
      <c r="U12" s="8"/>
      <c r="V12" s="8"/>
      <c r="W12" s="8"/>
    </row>
    <row r="13" spans="1:23">
      <c r="B13" s="2" t="s">
        <v>31</v>
      </c>
      <c r="C13" s="8"/>
      <c r="D13" s="8"/>
      <c r="E13" s="8"/>
      <c r="F13" s="8"/>
      <c r="G13" s="8"/>
      <c r="H13" s="8"/>
      <c r="I13" s="8"/>
      <c r="J13" s="8"/>
      <c r="K13" s="8"/>
      <c r="L13" s="8"/>
      <c r="M13" s="8"/>
      <c r="N13" s="8"/>
      <c r="O13" s="8"/>
      <c r="P13" s="8"/>
      <c r="Q13" s="8"/>
      <c r="R13" s="8"/>
      <c r="S13" s="8"/>
      <c r="T13" s="8"/>
      <c r="U13" s="8"/>
      <c r="V13" s="8"/>
      <c r="W13" s="8"/>
    </row>
    <row r="14" spans="1:23">
      <c r="B14" s="2" t="s">
        <v>32</v>
      </c>
      <c r="C14" s="8"/>
      <c r="D14" s="8"/>
      <c r="E14" s="8"/>
      <c r="F14" s="8"/>
      <c r="G14" s="8"/>
      <c r="H14" s="8"/>
      <c r="I14" s="8"/>
      <c r="J14" s="8"/>
      <c r="K14" s="8"/>
      <c r="L14" s="8"/>
      <c r="M14" s="8"/>
      <c r="N14" s="8"/>
      <c r="O14" s="8"/>
      <c r="P14" s="8"/>
      <c r="Q14" s="8"/>
      <c r="R14" s="8"/>
      <c r="S14" s="8"/>
      <c r="T14" s="8"/>
      <c r="U14" s="8"/>
      <c r="V14" s="8"/>
      <c r="W14" s="8"/>
    </row>
    <row r="15" spans="1:23">
      <c r="B15" s="2" t="s">
        <v>33</v>
      </c>
      <c r="C15" s="8"/>
      <c r="D15" s="8"/>
      <c r="E15" s="8"/>
      <c r="F15" s="8"/>
      <c r="G15" s="8"/>
      <c r="H15" s="8"/>
      <c r="I15" s="8"/>
      <c r="J15" s="8"/>
      <c r="K15" s="8"/>
      <c r="L15" s="8"/>
      <c r="M15" s="8"/>
      <c r="N15" s="8"/>
      <c r="O15" s="8"/>
      <c r="P15" s="8"/>
      <c r="Q15" s="8"/>
      <c r="R15" s="8"/>
      <c r="S15" s="8"/>
      <c r="T15" s="8"/>
      <c r="U15" s="8"/>
      <c r="V15" s="8"/>
      <c r="W15" s="8"/>
    </row>
    <row r="16" spans="1:23">
      <c r="B16" s="2" t="s">
        <v>34</v>
      </c>
      <c r="C16" s="8"/>
      <c r="D16" s="8"/>
      <c r="E16" s="8"/>
      <c r="F16" s="8"/>
      <c r="G16" s="8"/>
      <c r="H16" s="8"/>
      <c r="I16" s="8"/>
      <c r="J16" s="8"/>
      <c r="K16" s="8"/>
      <c r="L16" s="8"/>
      <c r="M16" s="8"/>
      <c r="N16" s="8"/>
      <c r="O16" s="8"/>
      <c r="P16" s="8"/>
      <c r="Q16" s="8"/>
      <c r="R16" s="8"/>
      <c r="S16" s="8"/>
      <c r="T16" s="8"/>
      <c r="U16" s="8"/>
      <c r="V16" s="8"/>
      <c r="W16" s="8"/>
    </row>
    <row r="17" spans="2:23">
      <c r="B17" s="3" t="s">
        <v>13</v>
      </c>
      <c r="C17" s="9">
        <f t="shared" ref="C17:W17" si="1">SUM(C9:C16)</f>
        <v>0</v>
      </c>
      <c r="D17" s="9">
        <f t="shared" si="1"/>
        <v>1</v>
      </c>
      <c r="E17" s="9">
        <f t="shared" si="1"/>
        <v>1</v>
      </c>
      <c r="F17" s="9">
        <f t="shared" si="1"/>
        <v>1</v>
      </c>
      <c r="G17" s="9">
        <f t="shared" si="1"/>
        <v>1</v>
      </c>
      <c r="H17" s="9">
        <f t="shared" si="1"/>
        <v>1</v>
      </c>
      <c r="I17" s="9">
        <f t="shared" si="1"/>
        <v>1</v>
      </c>
      <c r="J17" s="9">
        <f t="shared" si="1"/>
        <v>1</v>
      </c>
      <c r="K17" s="9">
        <f t="shared" si="1"/>
        <v>1</v>
      </c>
      <c r="L17" s="9">
        <f t="shared" si="1"/>
        <v>1</v>
      </c>
      <c r="M17" s="9">
        <f t="shared" si="1"/>
        <v>1</v>
      </c>
      <c r="N17" s="9">
        <f t="shared" si="1"/>
        <v>1</v>
      </c>
      <c r="O17" s="9">
        <f t="shared" si="1"/>
        <v>1</v>
      </c>
      <c r="P17" s="9">
        <f t="shared" si="1"/>
        <v>1</v>
      </c>
      <c r="Q17" s="9">
        <f t="shared" si="1"/>
        <v>1</v>
      </c>
      <c r="R17" s="9">
        <f t="shared" si="1"/>
        <v>1</v>
      </c>
      <c r="S17" s="9">
        <f t="shared" si="1"/>
        <v>1</v>
      </c>
      <c r="T17" s="9">
        <f t="shared" si="1"/>
        <v>1</v>
      </c>
      <c r="U17" s="9">
        <f t="shared" si="1"/>
        <v>1</v>
      </c>
      <c r="V17" s="9">
        <f t="shared" si="1"/>
        <v>1</v>
      </c>
      <c r="W17" s="9">
        <f t="shared" si="1"/>
        <v>1</v>
      </c>
    </row>
    <row r="18" spans="2:23">
      <c r="B18" s="3"/>
      <c r="C18" s="9"/>
      <c r="D18" s="5"/>
      <c r="E18" s="5"/>
      <c r="F18" s="5"/>
      <c r="G18" s="5"/>
      <c r="H18" s="5"/>
      <c r="I18" s="5"/>
      <c r="J18" s="5"/>
      <c r="K18" s="5"/>
      <c r="L18" s="5"/>
      <c r="M18" s="5"/>
      <c r="N18" s="5"/>
      <c r="O18" s="5"/>
      <c r="P18" s="5"/>
      <c r="Q18" s="5"/>
      <c r="R18" s="5"/>
      <c r="S18" s="5"/>
      <c r="T18" s="5"/>
      <c r="U18" s="5"/>
      <c r="V18" s="5"/>
      <c r="W18" s="5"/>
    </row>
    <row r="19" spans="2:23">
      <c r="B19" s="3" t="s">
        <v>11</v>
      </c>
      <c r="C19" s="8"/>
      <c r="D19" s="4"/>
      <c r="E19" s="4"/>
      <c r="F19" s="4"/>
      <c r="G19" s="4"/>
      <c r="H19" s="4"/>
      <c r="I19" s="4"/>
      <c r="J19" s="4"/>
      <c r="K19" s="4"/>
      <c r="L19" s="4"/>
      <c r="M19" s="4"/>
      <c r="N19" s="4"/>
      <c r="O19" s="4"/>
      <c r="P19" s="4"/>
      <c r="Q19" s="4"/>
      <c r="R19" s="4"/>
      <c r="S19" s="4"/>
      <c r="T19" s="4"/>
      <c r="U19" s="4"/>
      <c r="V19" s="4"/>
      <c r="W19" s="4"/>
    </row>
    <row r="20" spans="2:23">
      <c r="B20" s="2" t="s">
        <v>35</v>
      </c>
      <c r="C20" s="8"/>
      <c r="D20" s="8"/>
      <c r="E20" s="8"/>
      <c r="F20" s="8">
        <v>4</v>
      </c>
      <c r="G20" s="8">
        <v>4</v>
      </c>
      <c r="H20" s="8">
        <v>4</v>
      </c>
      <c r="I20" s="8">
        <v>4</v>
      </c>
      <c r="J20" s="8">
        <v>4</v>
      </c>
      <c r="K20" s="8">
        <v>4</v>
      </c>
      <c r="L20" s="8">
        <v>4</v>
      </c>
      <c r="M20" s="8">
        <v>4</v>
      </c>
      <c r="N20" s="8">
        <v>4</v>
      </c>
      <c r="O20" s="8">
        <v>4</v>
      </c>
      <c r="P20" s="8">
        <v>4</v>
      </c>
      <c r="Q20" s="8"/>
      <c r="R20" s="8"/>
      <c r="S20" s="8"/>
      <c r="T20" s="8"/>
      <c r="U20" s="8"/>
      <c r="V20" s="8"/>
      <c r="W20" s="8"/>
    </row>
    <row r="21" spans="2:23">
      <c r="B21" s="2" t="s">
        <v>36</v>
      </c>
      <c r="C21" s="8"/>
      <c r="D21" s="8"/>
      <c r="E21" s="8"/>
      <c r="F21" s="8"/>
      <c r="G21" s="8"/>
      <c r="H21" s="8"/>
      <c r="I21" s="8"/>
      <c r="J21" s="8"/>
      <c r="K21" s="8"/>
      <c r="L21" s="8"/>
      <c r="M21" s="8"/>
      <c r="N21" s="8"/>
      <c r="O21" s="8"/>
      <c r="P21" s="8"/>
      <c r="Q21" s="8"/>
      <c r="R21" s="8"/>
      <c r="S21" s="8"/>
      <c r="T21" s="8"/>
      <c r="U21" s="8"/>
      <c r="V21" s="8"/>
      <c r="W21" s="8"/>
    </row>
    <row r="22" spans="2:23">
      <c r="B22" s="2" t="s">
        <v>37</v>
      </c>
      <c r="C22" s="8"/>
      <c r="D22" s="8"/>
      <c r="E22" s="8"/>
      <c r="F22" s="8"/>
      <c r="G22" s="8"/>
      <c r="H22" s="8"/>
      <c r="I22" s="8"/>
      <c r="J22" s="8"/>
      <c r="K22" s="8"/>
      <c r="L22" s="8"/>
      <c r="M22" s="8"/>
      <c r="N22" s="8"/>
      <c r="O22" s="8"/>
      <c r="P22" s="8"/>
      <c r="Q22" s="8"/>
      <c r="R22" s="8"/>
      <c r="S22" s="8"/>
      <c r="T22" s="8"/>
      <c r="U22" s="8"/>
      <c r="V22" s="8"/>
      <c r="W22" s="8"/>
    </row>
    <row r="23" spans="2:23">
      <c r="B23" s="2" t="s">
        <v>38</v>
      </c>
      <c r="C23" s="8"/>
      <c r="D23" s="8"/>
      <c r="E23" s="8"/>
      <c r="F23" s="8"/>
      <c r="G23" s="8"/>
      <c r="H23" s="8"/>
      <c r="I23" s="8"/>
      <c r="J23" s="8"/>
      <c r="K23" s="8"/>
      <c r="L23" s="8"/>
      <c r="M23" s="8"/>
      <c r="N23" s="8"/>
      <c r="O23" s="8"/>
      <c r="P23" s="8"/>
      <c r="Q23" s="8"/>
      <c r="R23" s="8"/>
      <c r="S23" s="8"/>
      <c r="T23" s="8"/>
      <c r="U23" s="8"/>
      <c r="V23" s="8"/>
      <c r="W23" s="8"/>
    </row>
    <row r="24" spans="2:23">
      <c r="B24" s="2" t="s">
        <v>39</v>
      </c>
      <c r="C24" s="8"/>
      <c r="D24" s="8"/>
      <c r="E24" s="8"/>
      <c r="F24" s="8"/>
      <c r="G24" s="8"/>
      <c r="H24" s="8"/>
      <c r="I24" s="8"/>
      <c r="J24" s="8"/>
      <c r="K24" s="8"/>
      <c r="L24" s="8"/>
      <c r="M24" s="8"/>
      <c r="N24" s="8"/>
      <c r="O24" s="8"/>
      <c r="P24" s="8"/>
      <c r="Q24" s="8"/>
      <c r="R24" s="8"/>
      <c r="S24" s="8"/>
      <c r="T24" s="8"/>
      <c r="U24" s="8"/>
      <c r="V24" s="8"/>
      <c r="W24" s="8"/>
    </row>
    <row r="25" spans="2:23">
      <c r="B25" s="2" t="s">
        <v>40</v>
      </c>
      <c r="C25" s="8"/>
      <c r="D25" s="8"/>
      <c r="E25" s="8"/>
      <c r="F25" s="8"/>
      <c r="G25" s="8"/>
      <c r="H25" s="8"/>
      <c r="I25" s="8"/>
      <c r="J25" s="8"/>
      <c r="K25" s="8"/>
      <c r="L25" s="8"/>
      <c r="M25" s="8"/>
      <c r="N25" s="8"/>
      <c r="O25" s="8"/>
      <c r="P25" s="8"/>
      <c r="Q25" s="8"/>
      <c r="R25" s="8"/>
      <c r="S25" s="8"/>
      <c r="T25" s="8"/>
      <c r="U25" s="8"/>
      <c r="V25" s="8"/>
      <c r="W25" s="8"/>
    </row>
    <row r="26" spans="2:23">
      <c r="B26" s="2" t="s">
        <v>41</v>
      </c>
      <c r="C26" s="8"/>
      <c r="D26" s="8"/>
      <c r="E26" s="8"/>
      <c r="F26" s="8"/>
      <c r="G26" s="8"/>
      <c r="H26" s="8"/>
      <c r="I26" s="8"/>
      <c r="J26" s="8"/>
      <c r="K26" s="8"/>
      <c r="L26" s="8"/>
      <c r="M26" s="8"/>
      <c r="N26" s="8"/>
      <c r="O26" s="8"/>
      <c r="P26" s="8"/>
      <c r="Q26" s="8"/>
      <c r="R26" s="8"/>
      <c r="S26" s="8"/>
      <c r="T26" s="8"/>
      <c r="U26" s="8"/>
      <c r="V26" s="8"/>
      <c r="W26" s="8"/>
    </row>
    <row r="27" spans="2:23">
      <c r="B27" s="2" t="s">
        <v>42</v>
      </c>
      <c r="C27" s="8"/>
      <c r="D27" s="8"/>
      <c r="E27" s="8"/>
      <c r="F27" s="8"/>
      <c r="G27" s="8"/>
      <c r="H27" s="8"/>
      <c r="I27" s="8"/>
      <c r="J27" s="8"/>
      <c r="K27" s="8"/>
      <c r="L27" s="8"/>
      <c r="M27" s="8"/>
      <c r="N27" s="8"/>
      <c r="O27" s="8"/>
      <c r="P27" s="8"/>
      <c r="Q27" s="8"/>
      <c r="R27" s="8"/>
      <c r="S27" s="8"/>
      <c r="T27" s="8"/>
      <c r="U27" s="8"/>
      <c r="V27" s="8"/>
      <c r="W27" s="8"/>
    </row>
    <row r="28" spans="2:23">
      <c r="B28" s="3" t="s">
        <v>14</v>
      </c>
      <c r="C28" s="9">
        <f t="shared" ref="C28:W28" si="2">SUM(C20:C27)</f>
        <v>0</v>
      </c>
      <c r="D28" s="9">
        <f t="shared" si="2"/>
        <v>0</v>
      </c>
      <c r="E28" s="9">
        <f t="shared" si="2"/>
        <v>0</v>
      </c>
      <c r="F28" s="9">
        <f t="shared" si="2"/>
        <v>4</v>
      </c>
      <c r="G28" s="9">
        <f t="shared" si="2"/>
        <v>4</v>
      </c>
      <c r="H28" s="9">
        <f t="shared" si="2"/>
        <v>4</v>
      </c>
      <c r="I28" s="9">
        <f t="shared" si="2"/>
        <v>4</v>
      </c>
      <c r="J28" s="9">
        <f t="shared" si="2"/>
        <v>4</v>
      </c>
      <c r="K28" s="9">
        <f t="shared" si="2"/>
        <v>4</v>
      </c>
      <c r="L28" s="9">
        <f t="shared" si="2"/>
        <v>4</v>
      </c>
      <c r="M28" s="9">
        <f t="shared" si="2"/>
        <v>4</v>
      </c>
      <c r="N28" s="9">
        <f t="shared" si="2"/>
        <v>4</v>
      </c>
      <c r="O28" s="9">
        <f t="shared" si="2"/>
        <v>4</v>
      </c>
      <c r="P28" s="9">
        <f t="shared" si="2"/>
        <v>4</v>
      </c>
      <c r="Q28" s="9">
        <f t="shared" si="2"/>
        <v>0</v>
      </c>
      <c r="R28" s="9">
        <f t="shared" si="2"/>
        <v>0</v>
      </c>
      <c r="S28" s="9">
        <f t="shared" si="2"/>
        <v>0</v>
      </c>
      <c r="T28" s="9">
        <f t="shared" si="2"/>
        <v>0</v>
      </c>
      <c r="U28" s="9">
        <f t="shared" si="2"/>
        <v>0</v>
      </c>
      <c r="V28" s="9">
        <f t="shared" si="2"/>
        <v>0</v>
      </c>
      <c r="W28" s="9">
        <f t="shared" si="2"/>
        <v>0</v>
      </c>
    </row>
    <row r="29" spans="2:23">
      <c r="B29" s="3"/>
      <c r="C29" s="9"/>
      <c r="D29" s="9"/>
      <c r="E29" s="9"/>
      <c r="F29" s="9"/>
      <c r="G29" s="9"/>
      <c r="H29" s="9"/>
      <c r="I29" s="9"/>
      <c r="J29" s="9"/>
      <c r="K29" s="9"/>
      <c r="L29" s="9"/>
      <c r="M29" s="9"/>
      <c r="N29" s="9"/>
      <c r="O29" s="9"/>
      <c r="P29" s="9"/>
      <c r="Q29" s="9"/>
      <c r="R29" s="9"/>
      <c r="S29" s="9"/>
      <c r="T29" s="9"/>
      <c r="U29" s="9"/>
      <c r="V29" s="9"/>
      <c r="W29" s="9"/>
    </row>
    <row r="30" spans="2:23">
      <c r="B30" s="1" t="s">
        <v>48</v>
      </c>
      <c r="C30" s="10">
        <f>C28-C17</f>
        <v>0</v>
      </c>
      <c r="D30" s="10">
        <f t="shared" ref="D30:W30" si="3">D28-D17</f>
        <v>-1</v>
      </c>
      <c r="E30" s="10">
        <f t="shared" si="3"/>
        <v>-1</v>
      </c>
      <c r="F30" s="10">
        <f t="shared" si="3"/>
        <v>3</v>
      </c>
      <c r="G30" s="10">
        <f t="shared" si="3"/>
        <v>3</v>
      </c>
      <c r="H30" s="10">
        <f t="shared" si="3"/>
        <v>3</v>
      </c>
      <c r="I30" s="10">
        <f t="shared" si="3"/>
        <v>3</v>
      </c>
      <c r="J30" s="10">
        <f t="shared" si="3"/>
        <v>3</v>
      </c>
      <c r="K30" s="10">
        <f t="shared" si="3"/>
        <v>3</v>
      </c>
      <c r="L30" s="10">
        <f t="shared" si="3"/>
        <v>3</v>
      </c>
      <c r="M30" s="10">
        <f t="shared" si="3"/>
        <v>3</v>
      </c>
      <c r="N30" s="10">
        <f t="shared" si="3"/>
        <v>3</v>
      </c>
      <c r="O30" s="10">
        <f t="shared" si="3"/>
        <v>3</v>
      </c>
      <c r="P30" s="10">
        <f t="shared" si="3"/>
        <v>3</v>
      </c>
      <c r="Q30" s="10">
        <f t="shared" si="3"/>
        <v>-1</v>
      </c>
      <c r="R30" s="10">
        <f t="shared" si="3"/>
        <v>-1</v>
      </c>
      <c r="S30" s="10">
        <f t="shared" si="3"/>
        <v>-1</v>
      </c>
      <c r="T30" s="10">
        <f t="shared" si="3"/>
        <v>-1</v>
      </c>
      <c r="U30" s="10">
        <f t="shared" si="3"/>
        <v>-1</v>
      </c>
      <c r="V30" s="10">
        <f t="shared" si="3"/>
        <v>-1</v>
      </c>
      <c r="W30" s="10">
        <f t="shared" si="3"/>
        <v>-1</v>
      </c>
    </row>
    <row r="31" spans="2:23">
      <c r="B31" s="1" t="s">
        <v>47</v>
      </c>
      <c r="C31" s="11">
        <f>C28+C17</f>
        <v>0</v>
      </c>
      <c r="D31" s="11">
        <f t="shared" ref="D31:W31" si="4">D28+D17</f>
        <v>1</v>
      </c>
      <c r="E31" s="11">
        <f t="shared" si="4"/>
        <v>1</v>
      </c>
      <c r="F31" s="11">
        <f t="shared" si="4"/>
        <v>5</v>
      </c>
      <c r="G31" s="11">
        <f t="shared" si="4"/>
        <v>5</v>
      </c>
      <c r="H31" s="11">
        <f t="shared" si="4"/>
        <v>5</v>
      </c>
      <c r="I31" s="11">
        <f t="shared" si="4"/>
        <v>5</v>
      </c>
      <c r="J31" s="11">
        <f t="shared" si="4"/>
        <v>5</v>
      </c>
      <c r="K31" s="11">
        <f t="shared" si="4"/>
        <v>5</v>
      </c>
      <c r="L31" s="11">
        <f t="shared" si="4"/>
        <v>5</v>
      </c>
      <c r="M31" s="11">
        <f t="shared" si="4"/>
        <v>5</v>
      </c>
      <c r="N31" s="11">
        <f t="shared" si="4"/>
        <v>5</v>
      </c>
      <c r="O31" s="11">
        <f t="shared" si="4"/>
        <v>5</v>
      </c>
      <c r="P31" s="11">
        <f t="shared" si="4"/>
        <v>5</v>
      </c>
      <c r="Q31" s="11">
        <f t="shared" si="4"/>
        <v>1</v>
      </c>
      <c r="R31" s="11">
        <f t="shared" si="4"/>
        <v>1</v>
      </c>
      <c r="S31" s="11">
        <f t="shared" si="4"/>
        <v>1</v>
      </c>
      <c r="T31" s="11">
        <f t="shared" si="4"/>
        <v>1</v>
      </c>
      <c r="U31" s="11">
        <f t="shared" si="4"/>
        <v>1</v>
      </c>
      <c r="V31" s="11">
        <f t="shared" si="4"/>
        <v>1</v>
      </c>
      <c r="W31" s="11">
        <f t="shared" si="4"/>
        <v>1</v>
      </c>
    </row>
    <row r="32" spans="2:23">
      <c r="B32" s="1" t="s">
        <v>45</v>
      </c>
      <c r="C32" s="10">
        <f>C30+NPV(0.07,D30:W30)</f>
        <v>15.604516062179494</v>
      </c>
      <c r="D32" s="7"/>
      <c r="E32" s="7"/>
      <c r="F32" s="7"/>
      <c r="G32" s="7"/>
      <c r="H32" s="7"/>
      <c r="I32" s="7"/>
      <c r="J32" s="7"/>
      <c r="K32" s="7"/>
      <c r="L32" s="7"/>
      <c r="M32" s="7"/>
      <c r="N32" s="7"/>
      <c r="O32" s="7"/>
      <c r="P32" s="7"/>
      <c r="Q32" s="7"/>
      <c r="R32" s="7"/>
      <c r="S32" s="7"/>
      <c r="T32" s="7"/>
      <c r="U32" s="7"/>
      <c r="V32" s="7"/>
      <c r="W32" s="7"/>
    </row>
    <row r="33" spans="2:23">
      <c r="B33" s="6"/>
      <c r="C33" s="7"/>
      <c r="D33" s="7"/>
      <c r="E33" s="7"/>
      <c r="F33" s="7"/>
      <c r="G33" s="7"/>
      <c r="H33" s="7"/>
      <c r="I33" s="7"/>
      <c r="J33" s="7"/>
      <c r="K33" s="7"/>
      <c r="L33" s="7"/>
      <c r="M33" s="7"/>
      <c r="N33" s="7"/>
      <c r="O33" s="7"/>
      <c r="P33" s="7"/>
      <c r="Q33" s="7"/>
      <c r="R33" s="7"/>
      <c r="S33" s="7"/>
      <c r="T33" s="7"/>
      <c r="U33" s="7"/>
      <c r="V33" s="7"/>
      <c r="W33" s="7"/>
    </row>
    <row r="35" spans="2:23">
      <c r="B35" s="1" t="s">
        <v>12</v>
      </c>
      <c r="C35" s="1" t="s">
        <v>7</v>
      </c>
      <c r="D35" s="1" t="s">
        <v>8</v>
      </c>
      <c r="E35" s="1" t="s">
        <v>9</v>
      </c>
      <c r="F35" s="1" t="s">
        <v>15</v>
      </c>
      <c r="G35" s="1" t="s">
        <v>16</v>
      </c>
      <c r="H35" s="1" t="s">
        <v>17</v>
      </c>
      <c r="I35" s="1" t="s">
        <v>18</v>
      </c>
      <c r="J35" s="1" t="s">
        <v>19</v>
      </c>
      <c r="K35" s="1" t="s">
        <v>20</v>
      </c>
      <c r="L35" s="1" t="s">
        <v>21</v>
      </c>
      <c r="M35" s="1" t="s">
        <v>22</v>
      </c>
      <c r="N35" s="1" t="s">
        <v>23</v>
      </c>
      <c r="O35" s="1" t="s">
        <v>24</v>
      </c>
      <c r="P35" s="1" t="s">
        <v>25</v>
      </c>
      <c r="Q35" s="1" t="s">
        <v>0</v>
      </c>
      <c r="R35" s="1" t="s">
        <v>1</v>
      </c>
      <c r="S35" s="1" t="s">
        <v>2</v>
      </c>
      <c r="T35" s="1" t="s">
        <v>3</v>
      </c>
      <c r="U35" s="1" t="s">
        <v>4</v>
      </c>
      <c r="V35" s="1" t="s">
        <v>5</v>
      </c>
      <c r="W35" s="1" t="s">
        <v>6</v>
      </c>
    </row>
    <row r="36" spans="2:23">
      <c r="B36" s="1" t="s">
        <v>26</v>
      </c>
      <c r="C36" s="1">
        <v>0</v>
      </c>
      <c r="D36" s="1">
        <v>1</v>
      </c>
      <c r="E36" s="1">
        <v>2</v>
      </c>
      <c r="F36" s="1">
        <v>3</v>
      </c>
      <c r="G36" s="1">
        <v>4</v>
      </c>
      <c r="H36" s="1">
        <v>5</v>
      </c>
      <c r="I36" s="1">
        <v>6</v>
      </c>
      <c r="J36" s="1">
        <v>7</v>
      </c>
      <c r="K36" s="1">
        <v>8</v>
      </c>
      <c r="L36" s="1">
        <v>9</v>
      </c>
      <c r="M36" s="1">
        <v>10</v>
      </c>
      <c r="N36" s="1">
        <v>11</v>
      </c>
      <c r="O36" s="1">
        <v>12</v>
      </c>
      <c r="P36" s="1">
        <v>13</v>
      </c>
      <c r="Q36" s="1">
        <v>14</v>
      </c>
      <c r="R36" s="1">
        <v>15</v>
      </c>
      <c r="S36" s="1">
        <v>16</v>
      </c>
      <c r="T36" s="1">
        <v>17</v>
      </c>
      <c r="U36" s="1">
        <v>18</v>
      </c>
      <c r="V36" s="1">
        <v>19</v>
      </c>
      <c r="W36" s="1">
        <v>20</v>
      </c>
    </row>
    <row r="37" spans="2:23">
      <c r="B37" s="1" t="s">
        <v>44</v>
      </c>
      <c r="C37" s="1"/>
      <c r="D37" s="1">
        <v>7.0000000000000007E-2</v>
      </c>
      <c r="E37" s="1">
        <v>7.0000000000000007E-2</v>
      </c>
      <c r="F37" s="1">
        <v>7.0000000000000007E-2</v>
      </c>
      <c r="G37" s="1">
        <v>7.0000000000000007E-2</v>
      </c>
      <c r="H37" s="1">
        <v>7.0000000000000007E-2</v>
      </c>
      <c r="I37" s="1">
        <v>7.0000000000000007E-2</v>
      </c>
      <c r="J37" s="1">
        <v>7.0000000000000007E-2</v>
      </c>
      <c r="K37" s="1">
        <v>7.0000000000000007E-2</v>
      </c>
      <c r="L37" s="1">
        <v>7.0000000000000007E-2</v>
      </c>
      <c r="M37" s="1">
        <v>7.0000000000000007E-2</v>
      </c>
      <c r="N37" s="1">
        <v>7.0000000000000007E-2</v>
      </c>
      <c r="O37" s="1">
        <v>7.0000000000000007E-2</v>
      </c>
      <c r="P37" s="1">
        <v>7.0000000000000007E-2</v>
      </c>
      <c r="Q37" s="1">
        <v>7.0000000000000007E-2</v>
      </c>
      <c r="R37" s="1">
        <v>7.0000000000000007E-2</v>
      </c>
      <c r="S37" s="1">
        <v>7.0000000000000007E-2</v>
      </c>
      <c r="T37" s="1">
        <v>7.0000000000000007E-2</v>
      </c>
      <c r="U37" s="1">
        <v>7.0000000000000007E-2</v>
      </c>
      <c r="V37" s="1">
        <v>7.0000000000000007E-2</v>
      </c>
      <c r="W37" s="1">
        <v>7.0000000000000007E-2</v>
      </c>
    </row>
    <row r="38" spans="2:23">
      <c r="B38" s="3" t="s">
        <v>10</v>
      </c>
      <c r="C38" s="2"/>
      <c r="D38" s="2"/>
      <c r="E38" s="2"/>
      <c r="F38" s="2"/>
      <c r="G38" s="2"/>
      <c r="H38" s="2"/>
      <c r="I38" s="2"/>
      <c r="J38" s="2"/>
      <c r="K38" s="2"/>
      <c r="L38" s="2"/>
      <c r="M38" s="2"/>
      <c r="N38" s="2"/>
      <c r="O38" s="2"/>
      <c r="P38" s="2"/>
      <c r="Q38" s="2"/>
      <c r="R38" s="2"/>
      <c r="S38" s="2"/>
      <c r="T38" s="2"/>
      <c r="U38" s="2"/>
      <c r="V38" s="2"/>
      <c r="W38" s="2"/>
    </row>
    <row r="39" spans="2:23">
      <c r="B39" s="2" t="s">
        <v>27</v>
      </c>
      <c r="C39" s="8">
        <f>C9/(1+C$37)^C$36</f>
        <v>0</v>
      </c>
      <c r="D39" s="8">
        <f>D9/(1+D$37)^D$36</f>
        <v>0.93457943925233644</v>
      </c>
      <c r="E39" s="8">
        <f>E9/(1+E$37)^E$36</f>
        <v>0.87343872827321156</v>
      </c>
      <c r="F39" s="8">
        <f>F9/(1+F$37)^F$36</f>
        <v>0.81629787689085187</v>
      </c>
      <c r="G39" s="8">
        <f>G9/(1+G$37)^G$36</f>
        <v>0.7628952120475252</v>
      </c>
      <c r="H39" s="8">
        <f>H9/(1+H$37)^H$36</f>
        <v>0.71298617948366838</v>
      </c>
      <c r="I39" s="8">
        <f>I9/(1+I$37)^I$36</f>
        <v>0.66634222381651254</v>
      </c>
      <c r="J39" s="8">
        <f>J9/(1+J$37)^J$36</f>
        <v>0.62274974188459109</v>
      </c>
      <c r="K39" s="8">
        <f>K9/(1+K$37)^K$36</f>
        <v>0.5820091045650384</v>
      </c>
      <c r="L39" s="8">
        <f>L9/(1+L$37)^L$36</f>
        <v>0.54393374258414806</v>
      </c>
      <c r="M39" s="8">
        <f>M9/(1+M$37)^M$36</f>
        <v>0.5083492921347178</v>
      </c>
      <c r="N39" s="8">
        <f>N9/(1+N$37)^N$36</f>
        <v>0.47509279638758667</v>
      </c>
      <c r="O39" s="8">
        <f>O9/(1+O$37)^O$36</f>
        <v>0.44401195924073528</v>
      </c>
      <c r="P39" s="8">
        <f>P9/(1+P$37)^P$36</f>
        <v>0.41496444788853759</v>
      </c>
      <c r="Q39" s="8">
        <f>Q9/(1+Q$37)^Q$36</f>
        <v>0.3878172410173249</v>
      </c>
      <c r="R39" s="8">
        <f>R9/(1+R$37)^R$36</f>
        <v>0.36244601964235967</v>
      </c>
      <c r="S39" s="8">
        <f>S9/(1+S$37)^S$36</f>
        <v>0.33873459779659787</v>
      </c>
      <c r="T39" s="8">
        <f>T9/(1+T$37)^T$36</f>
        <v>0.31657439046411018</v>
      </c>
      <c r="U39" s="8">
        <f>U9/(1+U$37)^U$36</f>
        <v>0.29586391632159825</v>
      </c>
      <c r="V39" s="8">
        <f>V9/(1+V$37)^V$36</f>
        <v>0.27650833301083949</v>
      </c>
      <c r="W39" s="8">
        <f>W9/(1+W$37)^W$36</f>
        <v>0.2584190028138687</v>
      </c>
    </row>
    <row r="40" spans="2:23">
      <c r="B40" s="2" t="s">
        <v>28</v>
      </c>
      <c r="C40" s="8">
        <f>C10/(1+C$37)^C$36</f>
        <v>0</v>
      </c>
      <c r="D40" s="8">
        <f>D10/(1+D$37)^D$36</f>
        <v>0</v>
      </c>
      <c r="E40" s="8">
        <f>E10/(1+E$37)^E$36</f>
        <v>0</v>
      </c>
      <c r="F40" s="8">
        <f>F10/(1+F$37)^F$36</f>
        <v>0</v>
      </c>
      <c r="G40" s="8">
        <f>G10/(1+G$37)^G$36</f>
        <v>0</v>
      </c>
      <c r="H40" s="8">
        <f>H10/(1+H$37)^H$36</f>
        <v>0</v>
      </c>
      <c r="I40" s="8">
        <f>I10/(1+I$37)^I$36</f>
        <v>0</v>
      </c>
      <c r="J40" s="8">
        <f>J10/(1+J$37)^J$36</f>
        <v>0</v>
      </c>
      <c r="K40" s="8">
        <f>K10/(1+K$37)^K$36</f>
        <v>0</v>
      </c>
      <c r="L40" s="8">
        <f>L10/(1+L$37)^L$36</f>
        <v>0</v>
      </c>
      <c r="M40" s="8">
        <f>M10/(1+M$37)^M$36</f>
        <v>0</v>
      </c>
      <c r="N40" s="8">
        <f>N10/(1+N$37)^N$36</f>
        <v>0</v>
      </c>
      <c r="O40" s="8">
        <f>O10/(1+O$37)^O$36</f>
        <v>0</v>
      </c>
      <c r="P40" s="8">
        <f>P10/(1+P$37)^P$36</f>
        <v>0</v>
      </c>
      <c r="Q40" s="8">
        <f>Q10/(1+Q$37)^Q$36</f>
        <v>0</v>
      </c>
      <c r="R40" s="8">
        <f>R10/(1+R$37)^R$36</f>
        <v>0</v>
      </c>
      <c r="S40" s="8">
        <f>S10/(1+S$37)^S$36</f>
        <v>0</v>
      </c>
      <c r="T40" s="8">
        <f>T10/(1+T$37)^T$36</f>
        <v>0</v>
      </c>
      <c r="U40" s="8">
        <f>U10/(1+U$37)^U$36</f>
        <v>0</v>
      </c>
      <c r="V40" s="8">
        <f>V10/(1+V$37)^V$36</f>
        <v>0</v>
      </c>
      <c r="W40" s="8">
        <f>W10/(1+W$37)^W$36</f>
        <v>0</v>
      </c>
    </row>
    <row r="41" spans="2:23">
      <c r="B41" s="2" t="s">
        <v>29</v>
      </c>
      <c r="C41" s="8">
        <f>C11/(1+C$37)^C$36</f>
        <v>0</v>
      </c>
      <c r="D41" s="8">
        <f>D11/(1+D$37)^D$36</f>
        <v>0</v>
      </c>
      <c r="E41" s="8">
        <f>E11/(1+E$37)^E$36</f>
        <v>0</v>
      </c>
      <c r="F41" s="8">
        <f>F11/(1+F$37)^F$36</f>
        <v>0</v>
      </c>
      <c r="G41" s="8">
        <f>G11/(1+G$37)^G$36</f>
        <v>0</v>
      </c>
      <c r="H41" s="8">
        <f>H11/(1+H$37)^H$36</f>
        <v>0</v>
      </c>
      <c r="I41" s="8">
        <f>I11/(1+I$37)^I$36</f>
        <v>0</v>
      </c>
      <c r="J41" s="8">
        <f>J11/(1+J$37)^J$36</f>
        <v>0</v>
      </c>
      <c r="K41" s="8">
        <f>K11/(1+K$37)^K$36</f>
        <v>0</v>
      </c>
      <c r="L41" s="8">
        <f>L11/(1+L$37)^L$36</f>
        <v>0</v>
      </c>
      <c r="M41" s="8">
        <f>M11/(1+M$37)^M$36</f>
        <v>0</v>
      </c>
      <c r="N41" s="8">
        <f>N11/(1+N$37)^N$36</f>
        <v>0</v>
      </c>
      <c r="O41" s="8">
        <f>O11/(1+O$37)^O$36</f>
        <v>0</v>
      </c>
      <c r="P41" s="8">
        <f>P11/(1+P$37)^P$36</f>
        <v>0</v>
      </c>
      <c r="Q41" s="8">
        <f>Q11/(1+Q$37)^Q$36</f>
        <v>0</v>
      </c>
      <c r="R41" s="8">
        <f>R11/(1+R$37)^R$36</f>
        <v>0</v>
      </c>
      <c r="S41" s="8">
        <f>S11/(1+S$37)^S$36</f>
        <v>0</v>
      </c>
      <c r="T41" s="8">
        <f>T11/(1+T$37)^T$36</f>
        <v>0</v>
      </c>
      <c r="U41" s="8">
        <f>U11/(1+U$37)^U$36</f>
        <v>0</v>
      </c>
      <c r="V41" s="8">
        <f>V11/(1+V$37)^V$36</f>
        <v>0</v>
      </c>
      <c r="W41" s="8">
        <f>W11/(1+W$37)^W$36</f>
        <v>0</v>
      </c>
    </row>
    <row r="42" spans="2:23">
      <c r="B42" s="2" t="s">
        <v>30</v>
      </c>
      <c r="C42" s="8">
        <f>C12/(1+C$37)^C$36</f>
        <v>0</v>
      </c>
      <c r="D42" s="8">
        <f>D12/(1+D$37)^D$36</f>
        <v>0</v>
      </c>
      <c r="E42" s="8">
        <f>E12/(1+E$37)^E$36</f>
        <v>0</v>
      </c>
      <c r="F42" s="8">
        <f>F12/(1+F$37)^F$36</f>
        <v>0</v>
      </c>
      <c r="G42" s="8">
        <f>G12/(1+G$37)^G$36</f>
        <v>0</v>
      </c>
      <c r="H42" s="8">
        <f>H12/(1+H$37)^H$36</f>
        <v>0</v>
      </c>
      <c r="I42" s="8">
        <f>I12/(1+I$37)^I$36</f>
        <v>0</v>
      </c>
      <c r="J42" s="8">
        <f>J12/(1+J$37)^J$36</f>
        <v>0</v>
      </c>
      <c r="K42" s="8">
        <f>K12/(1+K$37)^K$36</f>
        <v>0</v>
      </c>
      <c r="L42" s="8">
        <f>L12/(1+L$37)^L$36</f>
        <v>0</v>
      </c>
      <c r="M42" s="8">
        <f>M12/(1+M$37)^M$36</f>
        <v>0</v>
      </c>
      <c r="N42" s="8">
        <f>N12/(1+N$37)^N$36</f>
        <v>0</v>
      </c>
      <c r="O42" s="8">
        <f>O12/(1+O$37)^O$36</f>
        <v>0</v>
      </c>
      <c r="P42" s="8">
        <f>P12/(1+P$37)^P$36</f>
        <v>0</v>
      </c>
      <c r="Q42" s="8">
        <f>Q12/(1+Q$37)^Q$36</f>
        <v>0</v>
      </c>
      <c r="R42" s="8">
        <f>R12/(1+R$37)^R$36</f>
        <v>0</v>
      </c>
      <c r="S42" s="8">
        <f>S12/(1+S$37)^S$36</f>
        <v>0</v>
      </c>
      <c r="T42" s="8">
        <f>T12/(1+T$37)^T$36</f>
        <v>0</v>
      </c>
      <c r="U42" s="8">
        <f>U12/(1+U$37)^U$36</f>
        <v>0</v>
      </c>
      <c r="V42" s="8">
        <f>V12/(1+V$37)^V$36</f>
        <v>0</v>
      </c>
      <c r="W42" s="8">
        <f>W12/(1+W$37)^W$36</f>
        <v>0</v>
      </c>
    </row>
    <row r="43" spans="2:23">
      <c r="B43" s="2" t="s">
        <v>31</v>
      </c>
      <c r="C43" s="8">
        <f>C13/(1+C$37)^C$36</f>
        <v>0</v>
      </c>
      <c r="D43" s="8">
        <f>D13/(1+D$37)^D$36</f>
        <v>0</v>
      </c>
      <c r="E43" s="8">
        <f>E13/(1+E$37)^E$36</f>
        <v>0</v>
      </c>
      <c r="F43" s="8">
        <f>F13/(1+F$37)^F$36</f>
        <v>0</v>
      </c>
      <c r="G43" s="8">
        <f>G13/(1+G$37)^G$36</f>
        <v>0</v>
      </c>
      <c r="H43" s="8">
        <f>H13/(1+H$37)^H$36</f>
        <v>0</v>
      </c>
      <c r="I43" s="8">
        <f>I13/(1+I$37)^I$36</f>
        <v>0</v>
      </c>
      <c r="J43" s="8">
        <f>J13/(1+J$37)^J$36</f>
        <v>0</v>
      </c>
      <c r="K43" s="8">
        <f>K13/(1+K$37)^K$36</f>
        <v>0</v>
      </c>
      <c r="L43" s="8">
        <f>L13/(1+L$37)^L$36</f>
        <v>0</v>
      </c>
      <c r="M43" s="8">
        <f>M13/(1+M$37)^M$36</f>
        <v>0</v>
      </c>
      <c r="N43" s="8">
        <f>N13/(1+N$37)^N$36</f>
        <v>0</v>
      </c>
      <c r="O43" s="8">
        <f>O13/(1+O$37)^O$36</f>
        <v>0</v>
      </c>
      <c r="P43" s="8">
        <f>P13/(1+P$37)^P$36</f>
        <v>0</v>
      </c>
      <c r="Q43" s="8">
        <f>Q13/(1+Q$37)^Q$36</f>
        <v>0</v>
      </c>
      <c r="R43" s="8">
        <f>R13/(1+R$37)^R$36</f>
        <v>0</v>
      </c>
      <c r="S43" s="8">
        <f>S13/(1+S$37)^S$36</f>
        <v>0</v>
      </c>
      <c r="T43" s="8">
        <f>T13/(1+T$37)^T$36</f>
        <v>0</v>
      </c>
      <c r="U43" s="8">
        <f>U13/(1+U$37)^U$36</f>
        <v>0</v>
      </c>
      <c r="V43" s="8">
        <f>V13/(1+V$37)^V$36</f>
        <v>0</v>
      </c>
      <c r="W43" s="8">
        <f>W13/(1+W$37)^W$36</f>
        <v>0</v>
      </c>
    </row>
    <row r="44" spans="2:23">
      <c r="B44" s="2" t="s">
        <v>32</v>
      </c>
      <c r="C44" s="8">
        <f>C14/(1+C$37)^C$36</f>
        <v>0</v>
      </c>
      <c r="D44" s="8">
        <f>D14/(1+D$37)^D$36</f>
        <v>0</v>
      </c>
      <c r="E44" s="8">
        <f>E14/(1+E$37)^E$36</f>
        <v>0</v>
      </c>
      <c r="F44" s="8">
        <f>F14/(1+F$37)^F$36</f>
        <v>0</v>
      </c>
      <c r="G44" s="8">
        <f>G14/(1+G$37)^G$36</f>
        <v>0</v>
      </c>
      <c r="H44" s="8">
        <f>H14/(1+H$37)^H$36</f>
        <v>0</v>
      </c>
      <c r="I44" s="8">
        <f>I14/(1+I$37)^I$36</f>
        <v>0</v>
      </c>
      <c r="J44" s="8">
        <f>J14/(1+J$37)^J$36</f>
        <v>0</v>
      </c>
      <c r="K44" s="8">
        <f>K14/(1+K$37)^K$36</f>
        <v>0</v>
      </c>
      <c r="L44" s="8">
        <f>L14/(1+L$37)^L$36</f>
        <v>0</v>
      </c>
      <c r="M44" s="8">
        <f>M14/(1+M$37)^M$36</f>
        <v>0</v>
      </c>
      <c r="N44" s="8">
        <f>N14/(1+N$37)^N$36</f>
        <v>0</v>
      </c>
      <c r="O44" s="8">
        <f>O14/(1+O$37)^O$36</f>
        <v>0</v>
      </c>
      <c r="P44" s="8">
        <f>P14/(1+P$37)^P$36</f>
        <v>0</v>
      </c>
      <c r="Q44" s="8">
        <f>Q14/(1+Q$37)^Q$36</f>
        <v>0</v>
      </c>
      <c r="R44" s="8">
        <f>R14/(1+R$37)^R$36</f>
        <v>0</v>
      </c>
      <c r="S44" s="8">
        <f>S14/(1+S$37)^S$36</f>
        <v>0</v>
      </c>
      <c r="T44" s="8">
        <f>T14/(1+T$37)^T$36</f>
        <v>0</v>
      </c>
      <c r="U44" s="8">
        <f>U14/(1+U$37)^U$36</f>
        <v>0</v>
      </c>
      <c r="V44" s="8">
        <f>V14/(1+V$37)^V$36</f>
        <v>0</v>
      </c>
      <c r="W44" s="8">
        <f>W14/(1+W$37)^W$36</f>
        <v>0</v>
      </c>
    </row>
    <row r="45" spans="2:23">
      <c r="B45" s="2" t="s">
        <v>33</v>
      </c>
      <c r="C45" s="8">
        <f>C15/(1+C$37)^C$36</f>
        <v>0</v>
      </c>
      <c r="D45" s="8">
        <f>D15/(1+D$37)^D$36</f>
        <v>0</v>
      </c>
      <c r="E45" s="8">
        <f>E15/(1+E$37)^E$36</f>
        <v>0</v>
      </c>
      <c r="F45" s="8">
        <f>F15/(1+F$37)^F$36</f>
        <v>0</v>
      </c>
      <c r="G45" s="8">
        <f>G15/(1+G$37)^G$36</f>
        <v>0</v>
      </c>
      <c r="H45" s="8">
        <f>H15/(1+H$37)^H$36</f>
        <v>0</v>
      </c>
      <c r="I45" s="8">
        <f>I15/(1+I$37)^I$36</f>
        <v>0</v>
      </c>
      <c r="J45" s="8">
        <f>J15/(1+J$37)^J$36</f>
        <v>0</v>
      </c>
      <c r="K45" s="8">
        <f>K15/(1+K$37)^K$36</f>
        <v>0</v>
      </c>
      <c r="L45" s="8">
        <f>L15/(1+L$37)^L$36</f>
        <v>0</v>
      </c>
      <c r="M45" s="8">
        <f>M15/(1+M$37)^M$36</f>
        <v>0</v>
      </c>
      <c r="N45" s="8">
        <f>N15/(1+N$37)^N$36</f>
        <v>0</v>
      </c>
      <c r="O45" s="8">
        <f>O15/(1+O$37)^O$36</f>
        <v>0</v>
      </c>
      <c r="P45" s="8">
        <f>P15/(1+P$37)^P$36</f>
        <v>0</v>
      </c>
      <c r="Q45" s="8">
        <f>Q15/(1+Q$37)^Q$36</f>
        <v>0</v>
      </c>
      <c r="R45" s="8">
        <f>R15/(1+R$37)^R$36</f>
        <v>0</v>
      </c>
      <c r="S45" s="8">
        <f>S15/(1+S$37)^S$36</f>
        <v>0</v>
      </c>
      <c r="T45" s="8">
        <f>T15/(1+T$37)^T$36</f>
        <v>0</v>
      </c>
      <c r="U45" s="8">
        <f>U15/(1+U$37)^U$36</f>
        <v>0</v>
      </c>
      <c r="V45" s="8">
        <f>V15/(1+V$37)^V$36</f>
        <v>0</v>
      </c>
      <c r="W45" s="8">
        <f>W15/(1+W$37)^W$36</f>
        <v>0</v>
      </c>
    </row>
    <row r="46" spans="2:23">
      <c r="B46" s="2" t="s">
        <v>34</v>
      </c>
      <c r="C46" s="8">
        <f>C16/(1+C$37)^C$36</f>
        <v>0</v>
      </c>
      <c r="D46" s="8">
        <f>D16/(1+D$37)^D$36</f>
        <v>0</v>
      </c>
      <c r="E46" s="8">
        <f>E16/(1+E$37)^E$36</f>
        <v>0</v>
      </c>
      <c r="F46" s="8">
        <f>F16/(1+F$37)^F$36</f>
        <v>0</v>
      </c>
      <c r="G46" s="8">
        <f>G16/(1+G$37)^G$36</f>
        <v>0</v>
      </c>
      <c r="H46" s="8">
        <f>H16/(1+H$37)^H$36</f>
        <v>0</v>
      </c>
      <c r="I46" s="8">
        <f>I16/(1+I$37)^I$36</f>
        <v>0</v>
      </c>
      <c r="J46" s="8">
        <f>J16/(1+J$37)^J$36</f>
        <v>0</v>
      </c>
      <c r="K46" s="8">
        <f>K16/(1+K$37)^K$36</f>
        <v>0</v>
      </c>
      <c r="L46" s="8">
        <f>L16/(1+L$37)^L$36</f>
        <v>0</v>
      </c>
      <c r="M46" s="8">
        <f>M16/(1+M$37)^M$36</f>
        <v>0</v>
      </c>
      <c r="N46" s="8">
        <f>N16/(1+N$37)^N$36</f>
        <v>0</v>
      </c>
      <c r="O46" s="8">
        <f>O16/(1+O$37)^O$36</f>
        <v>0</v>
      </c>
      <c r="P46" s="8">
        <f>P16/(1+P$37)^P$36</f>
        <v>0</v>
      </c>
      <c r="Q46" s="8">
        <f>Q16/(1+Q$37)^Q$36</f>
        <v>0</v>
      </c>
      <c r="R46" s="8">
        <f>R16/(1+R$37)^R$36</f>
        <v>0</v>
      </c>
      <c r="S46" s="8">
        <f>S16/(1+S$37)^S$36</f>
        <v>0</v>
      </c>
      <c r="T46" s="8">
        <f>T16/(1+T$37)^T$36</f>
        <v>0</v>
      </c>
      <c r="U46" s="8">
        <f>U16/(1+U$37)^U$36</f>
        <v>0</v>
      </c>
      <c r="V46" s="8">
        <f>V16/(1+V$37)^V$36</f>
        <v>0</v>
      </c>
      <c r="W46" s="8">
        <f>W16/(1+W$37)^W$36</f>
        <v>0</v>
      </c>
    </row>
    <row r="47" spans="2:23">
      <c r="B47" s="3" t="s">
        <v>13</v>
      </c>
      <c r="C47" s="9">
        <f t="shared" ref="C47" si="5">SUM(C39:C46)</f>
        <v>0</v>
      </c>
      <c r="D47" s="9">
        <f t="shared" ref="D47" si="6">SUM(D39:D46)</f>
        <v>0.93457943925233644</v>
      </c>
      <c r="E47" s="9">
        <f t="shared" ref="E47" si="7">SUM(E39:E46)</f>
        <v>0.87343872827321156</v>
      </c>
      <c r="F47" s="9">
        <f t="shared" ref="F47" si="8">SUM(F39:F46)</f>
        <v>0.81629787689085187</v>
      </c>
      <c r="G47" s="9">
        <f t="shared" ref="G47" si="9">SUM(G39:G46)</f>
        <v>0.7628952120475252</v>
      </c>
      <c r="H47" s="9">
        <f t="shared" ref="H47" si="10">SUM(H39:H46)</f>
        <v>0.71298617948366838</v>
      </c>
      <c r="I47" s="9">
        <f t="shared" ref="I47" si="11">SUM(I39:I46)</f>
        <v>0.66634222381651254</v>
      </c>
      <c r="J47" s="9">
        <f t="shared" ref="J47" si="12">SUM(J39:J46)</f>
        <v>0.62274974188459109</v>
      </c>
      <c r="K47" s="9">
        <f t="shared" ref="K47" si="13">SUM(K39:K46)</f>
        <v>0.5820091045650384</v>
      </c>
      <c r="L47" s="9">
        <f t="shared" ref="L47" si="14">SUM(L39:L46)</f>
        <v>0.54393374258414806</v>
      </c>
      <c r="M47" s="9">
        <f t="shared" ref="M47" si="15">SUM(M39:M46)</f>
        <v>0.5083492921347178</v>
      </c>
      <c r="N47" s="9">
        <f t="shared" ref="N47" si="16">SUM(N39:N46)</f>
        <v>0.47509279638758667</v>
      </c>
      <c r="O47" s="9">
        <f t="shared" ref="O47" si="17">SUM(O39:O46)</f>
        <v>0.44401195924073528</v>
      </c>
      <c r="P47" s="9">
        <f t="shared" ref="P47" si="18">SUM(P39:P46)</f>
        <v>0.41496444788853759</v>
      </c>
      <c r="Q47" s="9">
        <f t="shared" ref="Q47" si="19">SUM(Q39:Q46)</f>
        <v>0.3878172410173249</v>
      </c>
      <c r="R47" s="9">
        <f t="shared" ref="R47" si="20">SUM(R39:R46)</f>
        <v>0.36244601964235967</v>
      </c>
      <c r="S47" s="9">
        <f t="shared" ref="S47" si="21">SUM(S39:S46)</f>
        <v>0.33873459779659787</v>
      </c>
      <c r="T47" s="9">
        <f t="shared" ref="T47" si="22">SUM(T39:T46)</f>
        <v>0.31657439046411018</v>
      </c>
      <c r="U47" s="9">
        <f t="shared" ref="U47" si="23">SUM(U39:U46)</f>
        <v>0.29586391632159825</v>
      </c>
      <c r="V47" s="9">
        <f t="shared" ref="V47" si="24">SUM(V39:V46)</f>
        <v>0.27650833301083949</v>
      </c>
      <c r="W47" s="9">
        <f t="shared" ref="W47" si="25">SUM(W39:W46)</f>
        <v>0.2584190028138687</v>
      </c>
    </row>
    <row r="48" spans="2:23">
      <c r="B48" s="3"/>
      <c r="C48" s="5"/>
      <c r="D48" s="5"/>
      <c r="E48" s="5"/>
      <c r="F48" s="5"/>
      <c r="G48" s="5"/>
      <c r="H48" s="5"/>
      <c r="I48" s="5"/>
      <c r="J48" s="5"/>
      <c r="K48" s="5"/>
      <c r="L48" s="5"/>
      <c r="M48" s="5"/>
      <c r="N48" s="5"/>
      <c r="O48" s="5"/>
      <c r="P48" s="5"/>
      <c r="Q48" s="5"/>
      <c r="R48" s="5"/>
      <c r="S48" s="5"/>
      <c r="T48" s="5"/>
      <c r="U48" s="5"/>
      <c r="V48" s="5"/>
      <c r="W48" s="5"/>
    </row>
    <row r="49" spans="2:23">
      <c r="B49" s="3" t="s">
        <v>11</v>
      </c>
      <c r="C49" s="4"/>
      <c r="D49" s="4"/>
      <c r="E49" s="4"/>
      <c r="F49" s="4"/>
      <c r="G49" s="4"/>
      <c r="H49" s="4"/>
      <c r="I49" s="4"/>
      <c r="J49" s="4"/>
      <c r="K49" s="4"/>
      <c r="L49" s="4"/>
      <c r="M49" s="4"/>
      <c r="N49" s="4"/>
      <c r="O49" s="4"/>
      <c r="P49" s="4"/>
      <c r="Q49" s="4"/>
      <c r="R49" s="4"/>
      <c r="S49" s="4"/>
      <c r="T49" s="4"/>
      <c r="U49" s="4"/>
      <c r="V49" s="4"/>
      <c r="W49" s="4"/>
    </row>
    <row r="50" spans="2:23">
      <c r="B50" s="2" t="s">
        <v>35</v>
      </c>
      <c r="C50" s="8">
        <f>C20/(1+C$37)^C$36</f>
        <v>0</v>
      </c>
      <c r="D50" s="8">
        <f t="shared" ref="D50:W57" si="26">D20/(1+D$37)^D$36</f>
        <v>0</v>
      </c>
      <c r="E50" s="8">
        <f t="shared" si="26"/>
        <v>0</v>
      </c>
      <c r="F50" s="8">
        <f t="shared" si="26"/>
        <v>3.2651915075634075</v>
      </c>
      <c r="G50" s="8">
        <f t="shared" si="26"/>
        <v>3.0515808481901008</v>
      </c>
      <c r="H50" s="8">
        <f t="shared" si="26"/>
        <v>2.8519447179346735</v>
      </c>
      <c r="I50" s="8">
        <f t="shared" si="26"/>
        <v>2.6653688952660501</v>
      </c>
      <c r="J50" s="8">
        <f t="shared" si="26"/>
        <v>2.4909989675383644</v>
      </c>
      <c r="K50" s="8">
        <f t="shared" si="26"/>
        <v>2.3280364182601536</v>
      </c>
      <c r="L50" s="8">
        <f t="shared" si="26"/>
        <v>2.1757349703365922</v>
      </c>
      <c r="M50" s="8">
        <f t="shared" si="26"/>
        <v>2.0333971685388712</v>
      </c>
      <c r="N50" s="8">
        <f t="shared" si="26"/>
        <v>1.9003711855503467</v>
      </c>
      <c r="O50" s="8">
        <f t="shared" si="26"/>
        <v>1.7760478369629411</v>
      </c>
      <c r="P50" s="8">
        <f t="shared" si="26"/>
        <v>1.6598577915541504</v>
      </c>
      <c r="Q50" s="8">
        <f t="shared" si="26"/>
        <v>0</v>
      </c>
      <c r="R50" s="8">
        <f t="shared" si="26"/>
        <v>0</v>
      </c>
      <c r="S50" s="8">
        <f t="shared" si="26"/>
        <v>0</v>
      </c>
      <c r="T50" s="8">
        <f t="shared" si="26"/>
        <v>0</v>
      </c>
      <c r="U50" s="8">
        <f t="shared" si="26"/>
        <v>0</v>
      </c>
      <c r="V50" s="8">
        <f t="shared" si="26"/>
        <v>0</v>
      </c>
      <c r="W50" s="8">
        <f t="shared" si="26"/>
        <v>0</v>
      </c>
    </row>
    <row r="51" spans="2:23">
      <c r="B51" s="2" t="s">
        <v>36</v>
      </c>
      <c r="C51" s="8">
        <f t="shared" ref="C51:R57" si="27">C21/(1+C$37)^C$36</f>
        <v>0</v>
      </c>
      <c r="D51" s="8">
        <f t="shared" si="27"/>
        <v>0</v>
      </c>
      <c r="E51" s="8">
        <f t="shared" si="27"/>
        <v>0</v>
      </c>
      <c r="F51" s="8">
        <f t="shared" si="27"/>
        <v>0</v>
      </c>
      <c r="G51" s="8">
        <f t="shared" si="27"/>
        <v>0</v>
      </c>
      <c r="H51" s="8">
        <f t="shared" si="27"/>
        <v>0</v>
      </c>
      <c r="I51" s="8">
        <f t="shared" si="27"/>
        <v>0</v>
      </c>
      <c r="J51" s="8">
        <f t="shared" si="27"/>
        <v>0</v>
      </c>
      <c r="K51" s="8">
        <f t="shared" si="27"/>
        <v>0</v>
      </c>
      <c r="L51" s="8">
        <f t="shared" si="27"/>
        <v>0</v>
      </c>
      <c r="M51" s="8">
        <f t="shared" si="27"/>
        <v>0</v>
      </c>
      <c r="N51" s="8">
        <f t="shared" si="27"/>
        <v>0</v>
      </c>
      <c r="O51" s="8">
        <f t="shared" si="27"/>
        <v>0</v>
      </c>
      <c r="P51" s="8">
        <f t="shared" si="27"/>
        <v>0</v>
      </c>
      <c r="Q51" s="8">
        <f t="shared" si="27"/>
        <v>0</v>
      </c>
      <c r="R51" s="8">
        <f t="shared" si="27"/>
        <v>0</v>
      </c>
      <c r="S51" s="8">
        <f t="shared" si="26"/>
        <v>0</v>
      </c>
      <c r="T51" s="8">
        <f t="shared" si="26"/>
        <v>0</v>
      </c>
      <c r="U51" s="8">
        <f t="shared" si="26"/>
        <v>0</v>
      </c>
      <c r="V51" s="8">
        <f t="shared" si="26"/>
        <v>0</v>
      </c>
      <c r="W51" s="8">
        <f t="shared" si="26"/>
        <v>0</v>
      </c>
    </row>
    <row r="52" spans="2:23">
      <c r="B52" s="2" t="s">
        <v>37</v>
      </c>
      <c r="C52" s="8">
        <f t="shared" si="27"/>
        <v>0</v>
      </c>
      <c r="D52" s="8">
        <f t="shared" si="26"/>
        <v>0</v>
      </c>
      <c r="E52" s="8">
        <f t="shared" si="26"/>
        <v>0</v>
      </c>
      <c r="F52" s="8">
        <f t="shared" si="26"/>
        <v>0</v>
      </c>
      <c r="G52" s="8">
        <f t="shared" si="26"/>
        <v>0</v>
      </c>
      <c r="H52" s="8">
        <f t="shared" si="26"/>
        <v>0</v>
      </c>
      <c r="I52" s="8">
        <f t="shared" si="26"/>
        <v>0</v>
      </c>
      <c r="J52" s="8">
        <f t="shared" si="26"/>
        <v>0</v>
      </c>
      <c r="K52" s="8">
        <f t="shared" si="26"/>
        <v>0</v>
      </c>
      <c r="L52" s="8">
        <f t="shared" si="26"/>
        <v>0</v>
      </c>
      <c r="M52" s="8">
        <f t="shared" si="26"/>
        <v>0</v>
      </c>
      <c r="N52" s="8">
        <f t="shared" si="26"/>
        <v>0</v>
      </c>
      <c r="O52" s="8">
        <f t="shared" si="26"/>
        <v>0</v>
      </c>
      <c r="P52" s="8">
        <f t="shared" si="26"/>
        <v>0</v>
      </c>
      <c r="Q52" s="8">
        <f t="shared" si="26"/>
        <v>0</v>
      </c>
      <c r="R52" s="8">
        <f t="shared" si="26"/>
        <v>0</v>
      </c>
      <c r="S52" s="8">
        <f t="shared" si="26"/>
        <v>0</v>
      </c>
      <c r="T52" s="8">
        <f t="shared" si="26"/>
        <v>0</v>
      </c>
      <c r="U52" s="8">
        <f t="shared" si="26"/>
        <v>0</v>
      </c>
      <c r="V52" s="8">
        <f t="shared" si="26"/>
        <v>0</v>
      </c>
      <c r="W52" s="8">
        <f t="shared" si="26"/>
        <v>0</v>
      </c>
    </row>
    <row r="53" spans="2:23">
      <c r="B53" s="2" t="s">
        <v>38</v>
      </c>
      <c r="C53" s="8">
        <f t="shared" si="27"/>
        <v>0</v>
      </c>
      <c r="D53" s="8">
        <f>D23/(1+D$37)^D$36</f>
        <v>0</v>
      </c>
      <c r="E53" s="8">
        <f t="shared" si="26"/>
        <v>0</v>
      </c>
      <c r="F53" s="8">
        <f t="shared" si="26"/>
        <v>0</v>
      </c>
      <c r="G53" s="8">
        <f t="shared" si="26"/>
        <v>0</v>
      </c>
      <c r="H53" s="8">
        <f t="shared" si="26"/>
        <v>0</v>
      </c>
      <c r="I53" s="8">
        <f t="shared" si="26"/>
        <v>0</v>
      </c>
      <c r="J53" s="8">
        <f t="shared" si="26"/>
        <v>0</v>
      </c>
      <c r="K53" s="8">
        <f t="shared" si="26"/>
        <v>0</v>
      </c>
      <c r="L53" s="8">
        <f t="shared" si="26"/>
        <v>0</v>
      </c>
      <c r="M53" s="8">
        <f t="shared" si="26"/>
        <v>0</v>
      </c>
      <c r="N53" s="8">
        <f t="shared" si="26"/>
        <v>0</v>
      </c>
      <c r="O53" s="8">
        <f t="shared" si="26"/>
        <v>0</v>
      </c>
      <c r="P53" s="8">
        <f t="shared" si="26"/>
        <v>0</v>
      </c>
      <c r="Q53" s="8">
        <f t="shared" si="26"/>
        <v>0</v>
      </c>
      <c r="R53" s="8">
        <f t="shared" si="26"/>
        <v>0</v>
      </c>
      <c r="S53" s="8">
        <f t="shared" si="26"/>
        <v>0</v>
      </c>
      <c r="T53" s="8">
        <f t="shared" si="26"/>
        <v>0</v>
      </c>
      <c r="U53" s="8">
        <f t="shared" si="26"/>
        <v>0</v>
      </c>
      <c r="V53" s="8">
        <f t="shared" si="26"/>
        <v>0</v>
      </c>
      <c r="W53" s="8">
        <f t="shared" si="26"/>
        <v>0</v>
      </c>
    </row>
    <row r="54" spans="2:23">
      <c r="B54" s="2" t="s">
        <v>39</v>
      </c>
      <c r="C54" s="8">
        <f t="shared" si="27"/>
        <v>0</v>
      </c>
      <c r="D54" s="8">
        <f t="shared" si="26"/>
        <v>0</v>
      </c>
      <c r="E54" s="8">
        <f t="shared" si="26"/>
        <v>0</v>
      </c>
      <c r="F54" s="8">
        <f t="shared" si="26"/>
        <v>0</v>
      </c>
      <c r="G54" s="8">
        <f t="shared" si="26"/>
        <v>0</v>
      </c>
      <c r="H54" s="8">
        <f t="shared" si="26"/>
        <v>0</v>
      </c>
      <c r="I54" s="8">
        <f t="shared" si="26"/>
        <v>0</v>
      </c>
      <c r="J54" s="8">
        <f t="shared" si="26"/>
        <v>0</v>
      </c>
      <c r="K54" s="8">
        <f t="shared" si="26"/>
        <v>0</v>
      </c>
      <c r="L54" s="8">
        <f t="shared" si="26"/>
        <v>0</v>
      </c>
      <c r="M54" s="8">
        <f t="shared" si="26"/>
        <v>0</v>
      </c>
      <c r="N54" s="8">
        <f t="shared" si="26"/>
        <v>0</v>
      </c>
      <c r="O54" s="8">
        <f t="shared" si="26"/>
        <v>0</v>
      </c>
      <c r="P54" s="8">
        <f t="shared" si="26"/>
        <v>0</v>
      </c>
      <c r="Q54" s="8">
        <f t="shared" si="26"/>
        <v>0</v>
      </c>
      <c r="R54" s="8">
        <f t="shared" si="26"/>
        <v>0</v>
      </c>
      <c r="S54" s="8">
        <f t="shared" si="26"/>
        <v>0</v>
      </c>
      <c r="T54" s="8">
        <f t="shared" si="26"/>
        <v>0</v>
      </c>
      <c r="U54" s="8">
        <f t="shared" si="26"/>
        <v>0</v>
      </c>
      <c r="V54" s="8">
        <f t="shared" si="26"/>
        <v>0</v>
      </c>
      <c r="W54" s="8">
        <f t="shared" si="26"/>
        <v>0</v>
      </c>
    </row>
    <row r="55" spans="2:23">
      <c r="B55" s="2" t="s">
        <v>40</v>
      </c>
      <c r="C55" s="8">
        <f t="shared" si="27"/>
        <v>0</v>
      </c>
      <c r="D55" s="8">
        <f t="shared" si="26"/>
        <v>0</v>
      </c>
      <c r="E55" s="8">
        <f t="shared" si="26"/>
        <v>0</v>
      </c>
      <c r="F55" s="8">
        <f t="shared" si="26"/>
        <v>0</v>
      </c>
      <c r="G55" s="8">
        <f t="shared" si="26"/>
        <v>0</v>
      </c>
      <c r="H55" s="8">
        <f t="shared" si="26"/>
        <v>0</v>
      </c>
      <c r="I55" s="8">
        <f t="shared" si="26"/>
        <v>0</v>
      </c>
      <c r="J55" s="8">
        <f t="shared" si="26"/>
        <v>0</v>
      </c>
      <c r="K55" s="8">
        <f t="shared" si="26"/>
        <v>0</v>
      </c>
      <c r="L55" s="8">
        <f t="shared" si="26"/>
        <v>0</v>
      </c>
      <c r="M55" s="8">
        <f t="shared" si="26"/>
        <v>0</v>
      </c>
      <c r="N55" s="8">
        <f t="shared" si="26"/>
        <v>0</v>
      </c>
      <c r="O55" s="8">
        <f t="shared" si="26"/>
        <v>0</v>
      </c>
      <c r="P55" s="8">
        <f t="shared" si="26"/>
        <v>0</v>
      </c>
      <c r="Q55" s="8">
        <f t="shared" si="26"/>
        <v>0</v>
      </c>
      <c r="R55" s="8">
        <f t="shared" si="26"/>
        <v>0</v>
      </c>
      <c r="S55" s="8">
        <f t="shared" si="26"/>
        <v>0</v>
      </c>
      <c r="T55" s="8">
        <f t="shared" si="26"/>
        <v>0</v>
      </c>
      <c r="U55" s="8">
        <f t="shared" si="26"/>
        <v>0</v>
      </c>
      <c r="V55" s="8">
        <f t="shared" si="26"/>
        <v>0</v>
      </c>
      <c r="W55" s="8">
        <f t="shared" si="26"/>
        <v>0</v>
      </c>
    </row>
    <row r="56" spans="2:23">
      <c r="B56" s="2" t="s">
        <v>41</v>
      </c>
      <c r="C56" s="8">
        <f t="shared" si="27"/>
        <v>0</v>
      </c>
      <c r="D56" s="8">
        <f t="shared" si="26"/>
        <v>0</v>
      </c>
      <c r="E56" s="8">
        <f t="shared" si="26"/>
        <v>0</v>
      </c>
      <c r="F56" s="8">
        <f t="shared" si="26"/>
        <v>0</v>
      </c>
      <c r="G56" s="8">
        <f t="shared" si="26"/>
        <v>0</v>
      </c>
      <c r="H56" s="8">
        <f t="shared" si="26"/>
        <v>0</v>
      </c>
      <c r="I56" s="8">
        <f t="shared" si="26"/>
        <v>0</v>
      </c>
      <c r="J56" s="8">
        <f t="shared" si="26"/>
        <v>0</v>
      </c>
      <c r="K56" s="8">
        <f t="shared" si="26"/>
        <v>0</v>
      </c>
      <c r="L56" s="8">
        <f t="shared" si="26"/>
        <v>0</v>
      </c>
      <c r="M56" s="8">
        <f t="shared" si="26"/>
        <v>0</v>
      </c>
      <c r="N56" s="8">
        <f t="shared" si="26"/>
        <v>0</v>
      </c>
      <c r="O56" s="8">
        <f t="shared" si="26"/>
        <v>0</v>
      </c>
      <c r="P56" s="8">
        <f t="shared" si="26"/>
        <v>0</v>
      </c>
      <c r="Q56" s="8">
        <f t="shared" si="26"/>
        <v>0</v>
      </c>
      <c r="R56" s="8">
        <f t="shared" si="26"/>
        <v>0</v>
      </c>
      <c r="S56" s="8">
        <f t="shared" si="26"/>
        <v>0</v>
      </c>
      <c r="T56" s="8">
        <f t="shared" si="26"/>
        <v>0</v>
      </c>
      <c r="U56" s="8">
        <f t="shared" si="26"/>
        <v>0</v>
      </c>
      <c r="V56" s="8">
        <f t="shared" si="26"/>
        <v>0</v>
      </c>
      <c r="W56" s="8">
        <f t="shared" si="26"/>
        <v>0</v>
      </c>
    </row>
    <row r="57" spans="2:23">
      <c r="B57" s="2" t="s">
        <v>42</v>
      </c>
      <c r="C57" s="8">
        <f t="shared" si="27"/>
        <v>0</v>
      </c>
      <c r="D57" s="8">
        <f t="shared" si="26"/>
        <v>0</v>
      </c>
      <c r="E57" s="8">
        <f t="shared" si="26"/>
        <v>0</v>
      </c>
      <c r="F57" s="8">
        <f t="shared" si="26"/>
        <v>0</v>
      </c>
      <c r="G57" s="8">
        <f t="shared" si="26"/>
        <v>0</v>
      </c>
      <c r="H57" s="8">
        <f t="shared" si="26"/>
        <v>0</v>
      </c>
      <c r="I57" s="8">
        <f t="shared" si="26"/>
        <v>0</v>
      </c>
      <c r="J57" s="8">
        <f t="shared" si="26"/>
        <v>0</v>
      </c>
      <c r="K57" s="8">
        <f t="shared" si="26"/>
        <v>0</v>
      </c>
      <c r="L57" s="8">
        <f t="shared" si="26"/>
        <v>0</v>
      </c>
      <c r="M57" s="8">
        <f t="shared" si="26"/>
        <v>0</v>
      </c>
      <c r="N57" s="8">
        <f t="shared" si="26"/>
        <v>0</v>
      </c>
      <c r="O57" s="8">
        <f t="shared" si="26"/>
        <v>0</v>
      </c>
      <c r="P57" s="8">
        <f t="shared" si="26"/>
        <v>0</v>
      </c>
      <c r="Q57" s="8">
        <f t="shared" si="26"/>
        <v>0</v>
      </c>
      <c r="R57" s="8">
        <f t="shared" si="26"/>
        <v>0</v>
      </c>
      <c r="S57" s="8">
        <f t="shared" si="26"/>
        <v>0</v>
      </c>
      <c r="T57" s="8">
        <f t="shared" si="26"/>
        <v>0</v>
      </c>
      <c r="U57" s="8">
        <f t="shared" si="26"/>
        <v>0</v>
      </c>
      <c r="V57" s="8">
        <f t="shared" si="26"/>
        <v>0</v>
      </c>
      <c r="W57" s="8">
        <f t="shared" si="26"/>
        <v>0</v>
      </c>
    </row>
    <row r="58" spans="2:23">
      <c r="B58" s="3" t="s">
        <v>14</v>
      </c>
      <c r="C58" s="9">
        <f t="shared" ref="C58" si="28">SUM(C50:C57)</f>
        <v>0</v>
      </c>
      <c r="D58" s="9">
        <f t="shared" ref="D58" si="29">SUM(D50:D57)</f>
        <v>0</v>
      </c>
      <c r="E58" s="9">
        <f t="shared" ref="E58" si="30">SUM(E50:E57)</f>
        <v>0</v>
      </c>
      <c r="F58" s="9">
        <f t="shared" ref="F58" si="31">SUM(F50:F57)</f>
        <v>3.2651915075634075</v>
      </c>
      <c r="G58" s="9">
        <f t="shared" ref="G58" si="32">SUM(G50:G57)</f>
        <v>3.0515808481901008</v>
      </c>
      <c r="H58" s="9">
        <f t="shared" ref="H58" si="33">SUM(H50:H57)</f>
        <v>2.8519447179346735</v>
      </c>
      <c r="I58" s="9">
        <f t="shared" ref="I58" si="34">SUM(I50:I57)</f>
        <v>2.6653688952660501</v>
      </c>
      <c r="J58" s="9">
        <f t="shared" ref="J58" si="35">SUM(J50:J57)</f>
        <v>2.4909989675383644</v>
      </c>
      <c r="K58" s="9">
        <f t="shared" ref="K58" si="36">SUM(K50:K57)</f>
        <v>2.3280364182601536</v>
      </c>
      <c r="L58" s="9">
        <f t="shared" ref="L58" si="37">SUM(L50:L57)</f>
        <v>2.1757349703365922</v>
      </c>
      <c r="M58" s="9">
        <f t="shared" ref="M58" si="38">SUM(M50:M57)</f>
        <v>2.0333971685388712</v>
      </c>
      <c r="N58" s="9">
        <f t="shared" ref="N58" si="39">SUM(N50:N57)</f>
        <v>1.9003711855503467</v>
      </c>
      <c r="O58" s="9">
        <f t="shared" ref="O58" si="40">SUM(O50:O57)</f>
        <v>1.7760478369629411</v>
      </c>
      <c r="P58" s="9">
        <f t="shared" ref="P58" si="41">SUM(P50:P57)</f>
        <v>1.6598577915541504</v>
      </c>
      <c r="Q58" s="9">
        <f t="shared" ref="Q58" si="42">SUM(Q50:Q57)</f>
        <v>0</v>
      </c>
      <c r="R58" s="9">
        <f t="shared" ref="R58" si="43">SUM(R50:R57)</f>
        <v>0</v>
      </c>
      <c r="S58" s="9">
        <f t="shared" ref="S58" si="44">SUM(S50:S57)</f>
        <v>0</v>
      </c>
      <c r="T58" s="9">
        <f t="shared" ref="T58" si="45">SUM(T50:T57)</f>
        <v>0</v>
      </c>
      <c r="U58" s="9">
        <f t="shared" ref="U58" si="46">SUM(U50:U57)</f>
        <v>0</v>
      </c>
      <c r="V58" s="9">
        <f t="shared" ref="V58" si="47">SUM(V50:V57)</f>
        <v>0</v>
      </c>
      <c r="W58" s="9">
        <f t="shared" ref="W58" si="48">SUM(W50:W57)</f>
        <v>0</v>
      </c>
    </row>
    <row r="59" spans="2:23">
      <c r="B59" s="3"/>
      <c r="C59" s="9"/>
      <c r="D59" s="9"/>
      <c r="E59" s="9"/>
      <c r="F59" s="9"/>
      <c r="G59" s="9"/>
      <c r="H59" s="9"/>
      <c r="I59" s="9"/>
      <c r="J59" s="9"/>
      <c r="K59" s="9"/>
      <c r="L59" s="9"/>
      <c r="M59" s="9"/>
      <c r="N59" s="9"/>
      <c r="O59" s="9"/>
      <c r="P59" s="9"/>
      <c r="Q59" s="9"/>
      <c r="R59" s="9"/>
      <c r="S59" s="9"/>
      <c r="T59" s="9"/>
      <c r="U59" s="9"/>
      <c r="V59" s="9"/>
      <c r="W59" s="9"/>
    </row>
    <row r="60" spans="2:23">
      <c r="B60" s="1" t="s">
        <v>46</v>
      </c>
      <c r="C60" s="10">
        <f>C58-C47</f>
        <v>0</v>
      </c>
      <c r="D60" s="10">
        <f t="shared" ref="D60:W60" si="49">D58-D47</f>
        <v>-0.93457943925233644</v>
      </c>
      <c r="E60" s="10">
        <f t="shared" si="49"/>
        <v>-0.87343872827321156</v>
      </c>
      <c r="F60" s="10">
        <f t="shared" si="49"/>
        <v>2.4488936306725555</v>
      </c>
      <c r="G60" s="10">
        <f t="shared" si="49"/>
        <v>2.2886856361425756</v>
      </c>
      <c r="H60" s="10">
        <f t="shared" si="49"/>
        <v>2.1389585384510053</v>
      </c>
      <c r="I60" s="10">
        <f t="shared" si="49"/>
        <v>1.9990266714495375</v>
      </c>
      <c r="J60" s="10">
        <f t="shared" si="49"/>
        <v>1.8682492256537733</v>
      </c>
      <c r="K60" s="10">
        <f t="shared" si="49"/>
        <v>1.7460273136951152</v>
      </c>
      <c r="L60" s="10">
        <f t="shared" si="49"/>
        <v>1.6318012277524443</v>
      </c>
      <c r="M60" s="10">
        <f t="shared" si="49"/>
        <v>1.5250478764041535</v>
      </c>
      <c r="N60" s="10">
        <f t="shared" si="49"/>
        <v>1.4252783891627601</v>
      </c>
      <c r="O60" s="10">
        <f t="shared" si="49"/>
        <v>1.3320358777222059</v>
      </c>
      <c r="P60" s="10">
        <f t="shared" si="49"/>
        <v>1.2448933436656127</v>
      </c>
      <c r="Q60" s="10">
        <f t="shared" si="49"/>
        <v>-0.3878172410173249</v>
      </c>
      <c r="R60" s="10">
        <f t="shared" si="49"/>
        <v>-0.36244601964235967</v>
      </c>
      <c r="S60" s="10">
        <f t="shared" si="49"/>
        <v>-0.33873459779659787</v>
      </c>
      <c r="T60" s="10">
        <f t="shared" si="49"/>
        <v>-0.31657439046411018</v>
      </c>
      <c r="U60" s="10">
        <f t="shared" si="49"/>
        <v>-0.29586391632159825</v>
      </c>
      <c r="V60" s="10">
        <f t="shared" si="49"/>
        <v>-0.27650833301083949</v>
      </c>
      <c r="W60" s="10">
        <f t="shared" si="49"/>
        <v>-0.2584190028138687</v>
      </c>
    </row>
    <row r="61" spans="2:23">
      <c r="B61" s="1" t="s">
        <v>45</v>
      </c>
      <c r="C61" s="10">
        <f>SUM(C60:W60)</f>
        <v>15.604516062179492</v>
      </c>
      <c r="D61" s="1"/>
      <c r="E61" s="1"/>
      <c r="F61" s="1"/>
      <c r="G61" s="1"/>
      <c r="H61" s="1"/>
      <c r="I61" s="1"/>
      <c r="J61" s="1"/>
      <c r="K61" s="1"/>
      <c r="L61" s="1"/>
      <c r="M61" s="1"/>
      <c r="N61" s="1"/>
      <c r="O61" s="1"/>
      <c r="P61" s="1"/>
      <c r="Q61" s="1"/>
      <c r="R61" s="1"/>
      <c r="S61" s="1"/>
      <c r="T61" s="1"/>
      <c r="U61" s="1"/>
      <c r="V61" s="1"/>
      <c r="W61" s="1"/>
    </row>
  </sheetData>
  <mergeCells count="1">
    <mergeCell ref="A1:M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DENR Fiscal Note Table</vt:lpstr>
    </vt:vector>
  </TitlesOfParts>
  <Company>State of NC ITS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Anca Grozav</dc:creator>
  <cp:lastModifiedBy>senienow</cp:lastModifiedBy>
  <cp:lastPrinted>2010-09-20T20:52:04Z</cp:lastPrinted>
  <dcterms:created xsi:type="dcterms:W3CDTF">2010-04-13T16:43:34Z</dcterms:created>
  <dcterms:modified xsi:type="dcterms:W3CDTF">2011-08-12T20:13:40Z</dcterms:modified>
</cp:coreProperties>
</file>